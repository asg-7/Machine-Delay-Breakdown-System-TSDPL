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76\Desktop\"/>
    </mc:Choice>
  </mc:AlternateContent>
  <bookViews>
    <workbookView xWindow="240" yWindow="30" windowWidth="10245" windowHeight="1545" tabRatio="599"/>
  </bookViews>
  <sheets>
    <sheet name="OCTOBER-25" sheetId="18" r:id="rId1"/>
    <sheet name="Sheet1" sheetId="27" r:id="rId2"/>
    <sheet name="Sheet3" sheetId="17" state="hidden" r:id="rId3"/>
  </sheets>
  <definedNames>
    <definedName name="_xlnm._FilterDatabase" localSheetId="0" hidden="1">'OCTOBER-25'!#REF!</definedName>
    <definedName name="A">Sheet3!$L$5</definedName>
    <definedName name="B">Sheet3!$M$6</definedName>
    <definedName name="CC">Sheet3!$N$10</definedName>
    <definedName name="Coil_Feeding">Sheet3!$M$7</definedName>
    <definedName name="CRANE_DELAY">Sheet3!$M$24:$M$30</definedName>
    <definedName name="EE">Sheet3!$N$17</definedName>
    <definedName name="IMRAN___SUJIT___">'OCTOBER-25'!$D$6646</definedName>
    <definedName name="MAINTENANCE_BREAKDOWN">Sheet3!$N$18:$N$71</definedName>
    <definedName name="OPERATION_DELAY">Sheet3!$L$26:$L$36</definedName>
    <definedName name="Q">Sheet3!$N$6</definedName>
    <definedName name="QQ">Sheet3!$L$25</definedName>
    <definedName name="QUALITY_DELAY">Sheet3!$N$11:$N$14</definedName>
    <definedName name="SCRAP_REMOVAL">Sheet3!$M$11:$M$14</definedName>
    <definedName name="SETUP_DELAY">Sheet3!$L$12:$L$21</definedName>
    <definedName name="SETUPDELAY">Sheet3!$L$12:$L$21</definedName>
    <definedName name="SHIFT">#REF!</definedName>
    <definedName name="SHIFT_HAND_OVER">Sheet3!$L$7</definedName>
    <definedName name="WW">Sheet3!$M$23</definedName>
    <definedName name="X">Sheet3!$M$6</definedName>
    <definedName name="XX">Sheet3!$M$10</definedName>
    <definedName name="Z">Sheet3!$L$6</definedName>
    <definedName name="ZZ">Sheet3!$L$10</definedName>
  </definedNames>
  <calcPr calcId="162913"/>
  <fileRecoveryPr autoRecover="0"/>
</workbook>
</file>

<file path=xl/calcChain.xml><?xml version="1.0" encoding="utf-8"?>
<calcChain xmlns="http://schemas.openxmlformats.org/spreadsheetml/2006/main">
  <c r="H31" i="27" l="1"/>
  <c r="E1964" i="18" l="1"/>
  <c r="I21" i="27" l="1"/>
  <c r="I26" i="27" l="1"/>
</calcChain>
</file>

<file path=xl/sharedStrings.xml><?xml version="1.0" encoding="utf-8"?>
<sst xmlns="http://schemas.openxmlformats.org/spreadsheetml/2006/main" count="13435" uniqueCount="2075">
  <si>
    <t>A</t>
  </si>
  <si>
    <t xml:space="preserve">    DATE </t>
  </si>
  <si>
    <t>SHIFT</t>
  </si>
  <si>
    <t>SHIFT INCHARGE</t>
  </si>
  <si>
    <t xml:space="preserve">TONNAGE </t>
  </si>
  <si>
    <t>COIL</t>
  </si>
  <si>
    <t>MACHINE</t>
  </si>
  <si>
    <t>TIME</t>
  </si>
  <si>
    <t>REASON</t>
  </si>
  <si>
    <t>DESCRIPTION</t>
  </si>
  <si>
    <t>B</t>
  </si>
  <si>
    <t>SLITTER</t>
  </si>
  <si>
    <t>C</t>
  </si>
  <si>
    <t>FELT PAD CHANGE</t>
  </si>
  <si>
    <t>SEGMENT CHANGE</t>
  </si>
  <si>
    <t>CRANE DELAY</t>
  </si>
  <si>
    <t>TEAM</t>
  </si>
  <si>
    <t xml:space="preserve">CHOPPER CALIBIRATION </t>
  </si>
  <si>
    <t>RECOILER GEAR BROKEN</t>
  </si>
  <si>
    <t>EXIT SHEAR GAP ADJUSTMENT</t>
  </si>
  <si>
    <t>RECOILER OBBS BOLT BROKEN</t>
  </si>
  <si>
    <t>RECOILER FEEDING TABLE BASE  WELDING BROKEN</t>
  </si>
  <si>
    <t>EXIT COIL CAR HOSE PIPE LEAKAGE</t>
  </si>
  <si>
    <t xml:space="preserve">OVER ARM CHECK NUT DAMAGE </t>
  </si>
  <si>
    <t xml:space="preserve"> OVERARM SET UP</t>
  </si>
  <si>
    <t>SHIFT HAND OVER</t>
  </si>
  <si>
    <t>SHIFT HANDOVER FROM PREVIOUS SHIFT</t>
  </si>
  <si>
    <t>TOOLBOX/SAFETYTALK</t>
  </si>
  <si>
    <t>Coil Feeding</t>
  </si>
  <si>
    <t>TOTAL COIL FEEDING TIME DURING SHIFT WORKING</t>
  </si>
  <si>
    <t>SCRAP REMOVAL</t>
  </si>
  <si>
    <t>SCRAP BOX CLEANING</t>
  </si>
  <si>
    <t>SETUP DELAY</t>
  </si>
  <si>
    <t>MAINTENANCE BREAKDOWN</t>
  </si>
  <si>
    <t>QUALITY DELAY</t>
  </si>
  <si>
    <t>REWORK COIL PROCESSING</t>
  </si>
  <si>
    <t>SLITTER ARBOR SETUP INTER CHANGE &amp; LOOP LINE/OVER ARM CHANGE</t>
  </si>
  <si>
    <t>CHOPPER CHANGE &amp; CALLIBRATION</t>
  </si>
  <si>
    <t>CHUTE PIPE SHIFTING</t>
  </si>
  <si>
    <t>CHOPPER CHUTE  SCRAP JAM</t>
  </si>
  <si>
    <t>COIL TRANSFER CAR EVACUATION DELAY</t>
  </si>
  <si>
    <t>INLINE SEPERATOR CHANGING</t>
  </si>
  <si>
    <t xml:space="preserve">EXIT COIL CAR OUT FROM TRACK </t>
  </si>
  <si>
    <t>BRUSHING ROLL FIXING</t>
  </si>
  <si>
    <t xml:space="preserve">MANUAL JOG NOT WORKING </t>
  </si>
  <si>
    <t>RECOILER CYLINDER CHANGE</t>
  </si>
  <si>
    <t>NAGESHWAR REDDY</t>
  </si>
  <si>
    <t>SUNIL PRADHAN</t>
  </si>
  <si>
    <t>JAGANNATH REDDY</t>
  </si>
  <si>
    <t>ASHISH SINGH</t>
  </si>
  <si>
    <t>RAVI , PRAVEEN &amp; TEAM</t>
  </si>
  <si>
    <t>IMRAN , SUJIT &amp; TEAM</t>
  </si>
  <si>
    <t>NARAYAN , PAPPU &amp; TEAM</t>
  </si>
  <si>
    <t>PLANNED DELAY</t>
  </si>
  <si>
    <t>UNPLANNED DELAY</t>
  </si>
  <si>
    <t>OPERATION DELAY</t>
  </si>
  <si>
    <t>TRIM SCRAP CLEANING</t>
  </si>
  <si>
    <t>SCRAP VEHICLE LOADING</t>
  </si>
  <si>
    <t>END CUT BUNDLE HANDLING</t>
  </si>
  <si>
    <t>POP COIL  DUE TO  RM DEFECT</t>
  </si>
  <si>
    <t>SAMPLE COLLECTION</t>
  </si>
  <si>
    <t>SHEET MEASUREMENT DELAY</t>
  </si>
  <si>
    <t>COIL UNLOAD FROM UNCOILER</t>
  </si>
  <si>
    <t>SHEET BEND IN TENSION PAD</t>
  </si>
  <si>
    <t>SLITTER TRIM SCRAP STUCK</t>
  </si>
  <si>
    <t>LUNCH/TEA</t>
  </si>
  <si>
    <t>WRONG COIL PROCESSING</t>
  </si>
  <si>
    <t xml:space="preserve">SLIT COIL SEGRIGATION </t>
  </si>
  <si>
    <t>FG SPACE ISSUE</t>
  </si>
  <si>
    <t>CRANE MAINTENANCE</t>
  </si>
  <si>
    <t>LT/CT OPERATION ISSUE</t>
  </si>
  <si>
    <t>CRANE TRIP ISSUE</t>
  </si>
  <si>
    <t>EXIT TURNSTILE JAM</t>
  </si>
  <si>
    <t>EXIT TURNSTILE PIANO LOCK BROKEN</t>
  </si>
  <si>
    <t>EXIT COIL CAR IN/OUT PROBLEM</t>
  </si>
  <si>
    <t>HYDRAULIC LEACKAGE IN LINE</t>
  </si>
  <si>
    <t>ENTRY SHEAR NOT WORKING</t>
  </si>
  <si>
    <t>SLITTER ARBOR PENETRATION ISSUE</t>
  </si>
  <si>
    <t>RECOILER EXPAND/COLLAPSE ISSUE</t>
  </si>
  <si>
    <t>PIANO SUPPORT ROLL BROKEN</t>
  </si>
  <si>
    <t>THREADING TABLE ISSUE</t>
  </si>
  <si>
    <t>EXIT COIL CAR BEARING DAMAGED</t>
  </si>
  <si>
    <t>OTHERS</t>
  </si>
  <si>
    <t>SHIFT  HAND OVER</t>
  </si>
  <si>
    <t>COMMUNICATION - MEETING DEALY</t>
  </si>
  <si>
    <t>PREVENTIVE MAINTENANCE</t>
  </si>
  <si>
    <t>RECOILER DRIVE FAULT</t>
  </si>
  <si>
    <t>UNCOILER DRIVE FAULT</t>
  </si>
  <si>
    <t>SLITTER DRIVE FAULT</t>
  </si>
  <si>
    <t>COMMUNICATION FAULT</t>
  </si>
  <si>
    <t>HYDRAULIC POWER PACK TEMPERATURE HIGH</t>
  </si>
  <si>
    <t>FELT PAD PNEUMATIC LECKAGE</t>
  </si>
  <si>
    <t>LOOP TABLE UP/DOWN ISSUE</t>
  </si>
  <si>
    <t>EXIT SHEAR CUTTING ISSUE</t>
  </si>
  <si>
    <t>OVER ARM LOCKING CYLINDER ISSUE</t>
  </si>
  <si>
    <t>ENTRY SIDE GUIDE OPEN/CLOSE ISSUE</t>
  </si>
  <si>
    <t>COIL FEEDING</t>
  </si>
  <si>
    <t>ENDCUT CUTTING DELAY</t>
  </si>
  <si>
    <t>SLITTER HEAD OPEN/CLOSE ISSUE</t>
  </si>
  <si>
    <t>SLITTER PENETRATION UP/DOWN ISSUE</t>
  </si>
  <si>
    <t>UNCOILER SHAFT BROKEN</t>
  </si>
  <si>
    <t>UNCOILER WEDGE BOLT BROKEN</t>
  </si>
  <si>
    <t>MAINTENANCE DAILY CHECK LIST</t>
  </si>
  <si>
    <t>RECOILER SEGMENT BOLT BROKEN</t>
  </si>
  <si>
    <t>UNCOILER SEGMENT BOLT BROKEN</t>
  </si>
  <si>
    <t>CHOPPER CHUTE PIPE  CYLINDER BOLT BROKEN</t>
  </si>
  <si>
    <t xml:space="preserve">CHOPPER CHUTE PIPE  UP/DOWN PROBLEM </t>
  </si>
  <si>
    <t>SLITTER ARBOR TURNSTILE AUTO IN/OUT ISSUE</t>
  </si>
  <si>
    <t>SLITTER ARBOR TURNSTILE ROTATE ISSUE</t>
  </si>
  <si>
    <t>EXIT SHEAR BLADE CHANGE</t>
  </si>
  <si>
    <t>EXIT TRUN STILE BOTTOM BEARING BOLT BROKEN</t>
  </si>
  <si>
    <t>SCRAP CONVEYER BREAKDOWN</t>
  </si>
  <si>
    <t xml:space="preserve">TENSION UNIT WHEEL LINEAR  PLATE DAMAGE </t>
  </si>
  <si>
    <t>TENSION UNIT BOTTOM LINER BEARING CHANGE</t>
  </si>
  <si>
    <t>SLITTER TURNSTILE BOTTOM LINER BEARING CHANGE</t>
  </si>
  <si>
    <t>CONVEYOR FORWARS REVERSE ISSUE</t>
  </si>
  <si>
    <t>RECOILER SHAFT BROKEN</t>
  </si>
  <si>
    <t>EXIT COIL CAR LEASER SENSOR ISSUE</t>
  </si>
  <si>
    <t>RECOILER TURN STYLE LOCKING CYLINDER BROKEN</t>
  </si>
  <si>
    <t>ENTRY COIL CAR IN/OUT PROBLEM</t>
  </si>
  <si>
    <t>FELTPAD NUMETIC CYLINDER LOCK UNLOCK PROBLEM</t>
  </si>
  <si>
    <t xml:space="preserve"> ARBOR SETUP</t>
  </si>
  <si>
    <t>RECOILING DELAY</t>
  </si>
  <si>
    <t xml:space="preserve">UNCOILER SEGMENT CHANGE </t>
  </si>
  <si>
    <t>COIL NOT AVAILABLE</t>
  </si>
  <si>
    <t>SLITTER CUTTER CHANGE &amp; CLEARANCE</t>
  </si>
  <si>
    <t xml:space="preserve">GENERAL AIR PRESSURE NOT AVAILABLE </t>
  </si>
  <si>
    <t xml:space="preserve">WRONG ARBOUR SET UP </t>
  </si>
  <si>
    <t>CUTTER JAM IN ARBOUR</t>
  </si>
  <si>
    <t>OVER ARM ROTATION ISSUE</t>
  </si>
  <si>
    <t>NO SPACE</t>
  </si>
  <si>
    <t xml:space="preserve">FELT PAD CHANGE </t>
  </si>
  <si>
    <t xml:space="preserve">OVER ARM NUMETIC AIR PRESSURE PIPE WELDING </t>
  </si>
  <si>
    <t xml:space="preserve">CUTTER CHANGE </t>
  </si>
  <si>
    <t xml:space="preserve">INSPECTION </t>
  </si>
  <si>
    <t>REWORK</t>
  </si>
  <si>
    <t>BOX CLEAN</t>
  </si>
  <si>
    <t>2 TIMES SET UP INTER CHANGE</t>
  </si>
  <si>
    <t>NO SCHEDULE</t>
  </si>
  <si>
    <t xml:space="preserve">END CUTTING </t>
  </si>
  <si>
    <t>BUS LATE</t>
  </si>
  <si>
    <t>PUFF COIL REMOVE</t>
  </si>
  <si>
    <t>ALL CUTTER CHANGE</t>
  </si>
  <si>
    <t xml:space="preserve">3 TIMES CUTTER CHANGE </t>
  </si>
  <si>
    <t xml:space="preserve">FELTPAD CHANGE </t>
  </si>
  <si>
    <t>NO SPACE FOR FG COIL STORAGE</t>
  </si>
  <si>
    <t>CUTTER CLEARANCE FOR BREAKWAY</t>
  </si>
  <si>
    <t>PUFF COIL REMOVED</t>
  </si>
  <si>
    <t>END CUT BOX CLEANNING</t>
  </si>
  <si>
    <t>INSPECTION DELAY</t>
  </si>
  <si>
    <t>SL NO</t>
  </si>
  <si>
    <t>CONTACT NO</t>
  </si>
  <si>
    <t>CRANE NO</t>
  </si>
  <si>
    <t>SAROJ BEHERA</t>
  </si>
  <si>
    <t>SANTOSH SAHU</t>
  </si>
  <si>
    <t>RAJESH BEHERA</t>
  </si>
  <si>
    <t>SANTOSH KUMAR</t>
  </si>
  <si>
    <t>DIPTI BISWAL</t>
  </si>
  <si>
    <t>UDAYA BARIK</t>
  </si>
  <si>
    <t>SRIMANTA DALEI</t>
  </si>
  <si>
    <t>PRASANTA JENA</t>
  </si>
  <si>
    <t>SRADEYA BARIK</t>
  </si>
  <si>
    <t>BINDHANI</t>
  </si>
  <si>
    <t>SILU</t>
  </si>
  <si>
    <t>JAJATI</t>
  </si>
  <si>
    <t>RUPAK</t>
  </si>
  <si>
    <t>PAPU</t>
  </si>
  <si>
    <t>SUNADA GEDI</t>
  </si>
  <si>
    <t>BIJAY KUMAR SAHOO</t>
  </si>
  <si>
    <t>PARIKSHITA BINDHANI</t>
  </si>
  <si>
    <t>PRATAP MALLIK</t>
  </si>
  <si>
    <t>SWARUP SAMAL</t>
  </si>
  <si>
    <t>BISWAJIT NAYAK</t>
  </si>
  <si>
    <t>PANDA</t>
  </si>
  <si>
    <t>REHMAN</t>
  </si>
  <si>
    <t>3&amp;4</t>
  </si>
  <si>
    <t>1&amp;2</t>
  </si>
  <si>
    <t>5&amp;6</t>
  </si>
  <si>
    <t>SUSANT MANDAL</t>
  </si>
  <si>
    <t>SOUMYA RANJAN DAS</t>
  </si>
  <si>
    <t>CRANE OPERATOR NAME</t>
  </si>
  <si>
    <t>TSDPL, KALINGANAGAR</t>
  </si>
  <si>
    <t>END CUT CUTTING DUE TO REMARK</t>
  </si>
  <si>
    <t>RE - WORK</t>
  </si>
  <si>
    <t>SCRAP CONVYER JAAM</t>
  </si>
  <si>
    <t>2 TIME END CUT BOX CLEANNING</t>
  </si>
  <si>
    <t>2+1 RW</t>
  </si>
  <si>
    <t>03.09.2025</t>
  </si>
  <si>
    <t xml:space="preserve">RAHUL KUMAR </t>
  </si>
  <si>
    <t xml:space="preserve">2 TIMES CLEARANCE ADJUSTMENT </t>
  </si>
  <si>
    <t>01.10.2025</t>
  </si>
  <si>
    <t xml:space="preserve">END CUTTING FOR FOLD MARK ON AUTO CUSTOMER </t>
  </si>
  <si>
    <t>OFFLINE SETUP FOR EVRY COIL AS PER SCHEDULE</t>
  </si>
  <si>
    <t>4 TIME SETUP INTER CHNAGE</t>
  </si>
  <si>
    <t>WRONG HANDOVER SET UP</t>
  </si>
  <si>
    <t>NEW SET UP DELAY DUE TO SINGLE SET UP COIL PROCESS</t>
  </si>
  <si>
    <t>2 TIMES inline over arm set up inter change</t>
  </si>
  <si>
    <t>8 RW</t>
  </si>
  <si>
    <t>02.10.2025</t>
  </si>
  <si>
    <t>EVRY COIL INLINE OVER ARM SETUP CHANGE</t>
  </si>
  <si>
    <t>LINE CLEANNING</t>
  </si>
  <si>
    <t>10 rw</t>
  </si>
  <si>
    <t>PIANO LOCK CYLENDER BROKEN</t>
  </si>
  <si>
    <t>CHOPPER  CHANGE &amp; CLEARANCE ADJUST</t>
  </si>
  <si>
    <t>4 RW</t>
  </si>
  <si>
    <t>UNCOILER SEGMENT  WHOLE MISSMATCH DUE TO WAGE BOLT BROKEN</t>
  </si>
  <si>
    <t>PENDING WORK FROM P REV SHIFT</t>
  </si>
  <si>
    <t xml:space="preserve">INSPECTION &amp; END CUT ELAY </t>
  </si>
  <si>
    <t xml:space="preserve">CLEARANCE ADJUSTMENT </t>
  </si>
  <si>
    <t>UNCOILER SEGMENT WORKK</t>
  </si>
  <si>
    <t>03.10.2025</t>
  </si>
  <si>
    <t>CUTTER CLEARANCE FOR BREAKWAY IN ( RE)</t>
  </si>
  <si>
    <t xml:space="preserve">RBS JAAM IN ARBBER </t>
  </si>
  <si>
    <t>SETUP ENTER CHANGE AND IN LINE/ LOOP LINE/ OVER ARM SETUP</t>
  </si>
  <si>
    <t xml:space="preserve">RBS &amp; CUTTER  JAAM IN ARBBER </t>
  </si>
  <si>
    <t>TENSONER ROLL CHANGE  &amp; UNCOILER WAGE BOLT CHANGE</t>
  </si>
  <si>
    <t>2 TIMES ET UP INTER CHANGE &amp; INLINE OVER ARM SET UP</t>
  </si>
  <si>
    <t xml:space="preserve">INSPECTION &amp; PUFF COIL REMOVE </t>
  </si>
  <si>
    <t>04.10.2025</t>
  </si>
  <si>
    <t>1.5+3RW</t>
  </si>
  <si>
    <t>INLINE &amp; OVER ARM CHANGE FOR RE - COILING</t>
  </si>
  <si>
    <t xml:space="preserve">COIL SHIFTED  DUE TO HAVY TELY SCOPY  COIL </t>
  </si>
  <si>
    <t xml:space="preserve">INLINE LOCK PIN BROKEN </t>
  </si>
  <si>
    <t>PUP COIL REMOVE FOR COIL SHIFTED DUE TO INLINE LOCK PLATE BROKEN</t>
  </si>
  <si>
    <t>2 TIMESETUP INTER CHANGE BUT COIL NOT PROCESS DUE SCHEDULE ISSUE</t>
  </si>
  <si>
    <t>1 REWORK</t>
  </si>
  <si>
    <t>SETUP INTERCHANGE AND CLEARANCE ADJUST</t>
  </si>
  <si>
    <t xml:space="preserve">CAR PIT CLEANING </t>
  </si>
  <si>
    <t xml:space="preserve"> REWORK </t>
  </si>
  <si>
    <t xml:space="preserve">REWORK </t>
  </si>
  <si>
    <t>PENDING MAINTENANCE WORK FROM PREV. SHIFT</t>
  </si>
  <si>
    <t>2  TIMES SET UP INTER CHANGE &amp; INLINE LOOP LINE OVER ARM SET UP</t>
  </si>
  <si>
    <t xml:space="preserve">CLEARANCE ADJUST </t>
  </si>
  <si>
    <t>SCRAP BOX CLEAN</t>
  </si>
  <si>
    <t>08+1RW</t>
  </si>
  <si>
    <t>05.10.2025</t>
  </si>
  <si>
    <t>CUTTER CHANGE</t>
  </si>
  <si>
    <t>LINE SPEED SLOW DUE TO RM  WAVENESS</t>
  </si>
  <si>
    <t>100 MPM</t>
  </si>
  <si>
    <t>PINCH ROLL SENSOR CHANGE</t>
  </si>
  <si>
    <t>END CUT DUE TO SLP</t>
  </si>
  <si>
    <t xml:space="preserve">LOADING CAR IN OUT PROBLEM AND HOLD DOWN ROLL BOLT LOOSE </t>
  </si>
  <si>
    <t xml:space="preserve">BUTTOM CAMERA FRAME WELDING </t>
  </si>
  <si>
    <t xml:space="preserve">ACB ROLL CYLINDER OIL LEAKAGE </t>
  </si>
  <si>
    <t xml:space="preserve">TRIM JAM OS CHOPPER </t>
  </si>
  <si>
    <t xml:space="preserve">CUTTER CHANGE &amp; CLEARANCE </t>
  </si>
  <si>
    <t xml:space="preserve">END CUT AND INSPECTION </t>
  </si>
  <si>
    <t>SET UP INTER CHANGE &amp; INLINE &amp; OVER ARM LOOP LINE SET UP</t>
  </si>
  <si>
    <t xml:space="preserve">RECOILER SEGMENT CHANGE </t>
  </si>
  <si>
    <t xml:space="preserve">2 TIMES CHOPPER CALIBIRATION </t>
  </si>
  <si>
    <t xml:space="preserve">2 TIMES SCRAP BOX CLEAN </t>
  </si>
  <si>
    <t xml:space="preserve">LINE SPEED SLOW DUE TO RM  WAVENESS &amp; FELT PAD CHANGE </t>
  </si>
  <si>
    <t>06.10.2025</t>
  </si>
  <si>
    <t xml:space="preserve">INSPECTION DELAY </t>
  </si>
  <si>
    <t xml:space="preserve">END CUT CUTTING </t>
  </si>
  <si>
    <t xml:space="preserve">FELT PAD CAHNGE </t>
  </si>
  <si>
    <t>O/S SIDE CHUTE  SHIFT</t>
  </si>
  <si>
    <t>DIGANTA SAHU</t>
  </si>
  <si>
    <t>5TIMES END CUT BOX  CLEANNING</t>
  </si>
  <si>
    <t>4 TIMES FELT PAD CHANGE</t>
  </si>
  <si>
    <t xml:space="preserve">2 TIME CLEARANCE ADJUST </t>
  </si>
  <si>
    <t>FELT PAD AIR LEAKEGE</t>
  </si>
  <si>
    <t xml:space="preserve">END CUT FOR SLP AND INSPECTION </t>
  </si>
  <si>
    <t>LOCK PIN BROKEN</t>
  </si>
  <si>
    <t>07.10.2025</t>
  </si>
  <si>
    <t xml:space="preserve"> SET UP INTER CHANGE &amp; INLINE LOOP LINE OVER ARM SET UP</t>
  </si>
  <si>
    <t>THREADING  TABLE UP DOWN PROBLEM</t>
  </si>
  <si>
    <t>SAFETY MOCK DRILL ME TTING</t>
  </si>
  <si>
    <t xml:space="preserve">INSPECTION &amp; END CUT DELAY </t>
  </si>
  <si>
    <t xml:space="preserve">ACB ROLL OIL LEACKAGE FROMM CYLINDER </t>
  </si>
  <si>
    <t xml:space="preserve">3 TIMES SET U[P INTER CHANGE </t>
  </si>
  <si>
    <t xml:space="preserve">INLINE &amp; OVER ARM SET UP FOR PARTING COIL </t>
  </si>
  <si>
    <t>ORING CHANGE BY MAINT DEPT.</t>
  </si>
  <si>
    <t xml:space="preserve">PARTING DELAY </t>
  </si>
  <si>
    <t>O\S CHUTE UNIT NOT MOVING</t>
  </si>
  <si>
    <t xml:space="preserve"> CLEARANCE ADJUST AND CUTTER CHANGE</t>
  </si>
  <si>
    <t>41TIMES END CUT BOX  CLEANNING</t>
  </si>
  <si>
    <t>CHUTE PIPE IN OUT ISSUE</t>
  </si>
  <si>
    <t>08.10.2025</t>
  </si>
  <si>
    <t>EXIT TURNSTILE LOCK PIN BROKEN</t>
  </si>
  <si>
    <t xml:space="preserve">3 SET UP CHANGE </t>
  </si>
  <si>
    <t>2 TIMES END CUT BOX CLEANNING</t>
  </si>
  <si>
    <t>END CUT CUTTING  AND PUFF REMOVED</t>
  </si>
  <si>
    <t xml:space="preserve">ARBOUR SET UP </t>
  </si>
  <si>
    <t xml:space="preserve">2 TIMES SET UP OINTER CHANGE &amp; INLINE &amp; OVER ARM SET UP </t>
  </si>
  <si>
    <t xml:space="preserve">2 TIMRES SCRAP BOX CLEAN </t>
  </si>
  <si>
    <t xml:space="preserve">INSPECTION &amp; END CUT CUTTING DELAY </t>
  </si>
  <si>
    <t xml:space="preserve">ARBOUR &amp; INLINE RECET UP </t>
  </si>
  <si>
    <t xml:space="preserve"> END CUT BOX  CLEANNING</t>
  </si>
  <si>
    <t>SEGMENT CHANGE AND  CHOPPER CHANGE</t>
  </si>
  <si>
    <t xml:space="preserve">3 NO </t>
  </si>
  <si>
    <t xml:space="preserve">END CUT CUTTING  </t>
  </si>
  <si>
    <t xml:space="preserve">FELT PAD CAHNGE AND CHUTE SHIFT </t>
  </si>
  <si>
    <t>09.10.2025</t>
  </si>
  <si>
    <t>2 TIMES CUTTER CHANGE</t>
  </si>
  <si>
    <t xml:space="preserve">SET UP CHANGE </t>
  </si>
  <si>
    <t>DIGANTA SAHOO</t>
  </si>
  <si>
    <t>09.10.21</t>
  </si>
  <si>
    <t xml:space="preserve">SET UP INTER CHANGE &amp; INLINE LOOP LINE OVER RM SET UP </t>
  </si>
  <si>
    <t>CUTTER CGHANGE &amp; CLEARANCE ADJUST</t>
  </si>
  <si>
    <t xml:space="preserve">SCRAP BOX CLEAN </t>
  </si>
  <si>
    <t xml:space="preserve">EXIT SHEAR GAP SHIM ADJUSTMENT </t>
  </si>
  <si>
    <t xml:space="preserve">END CUT CUTTING DELAY </t>
  </si>
  <si>
    <t>3 TIMES FELT PAD CHANGE</t>
  </si>
  <si>
    <t>PENDING PUFF COIL REMOVE</t>
  </si>
  <si>
    <t>2  CLEARANCE ADJUST AND CUTTER CHANGE</t>
  </si>
  <si>
    <t>10.10.2025</t>
  </si>
  <si>
    <t xml:space="preserve"> CUTTER CHANGE</t>
  </si>
  <si>
    <t xml:space="preserve"> 2 SET UP CHANGE </t>
  </si>
  <si>
    <t xml:space="preserve">SET UP INTER CHANGE &amp; INLINE OVER ARM SET UP </t>
  </si>
  <si>
    <t xml:space="preserve">PARTING COIL INLINE SSET UP </t>
  </si>
  <si>
    <t xml:space="preserve">GEAR CHANGE ISSUE </t>
  </si>
  <si>
    <t xml:space="preserve">PACKIGING DELAY </t>
  </si>
  <si>
    <t xml:space="preserve">DUE TO MULITI SLIT PARTING COIL </t>
  </si>
  <si>
    <t>2  SET UP INTER CHANGE &amp; INLINE LOOP LINE OVER ARM SET UP</t>
  </si>
  <si>
    <t xml:space="preserve">  SET UP INTER CHANGE &amp; INLINE LOOP LINE OVER ARM SET UP</t>
  </si>
  <si>
    <t xml:space="preserve">  SET UP DELAY DUE 2 COIL IN RUNNING SUTUP</t>
  </si>
  <si>
    <t>3 COIL PARTING WITH SLITTINGAN 6 SLIT COIL PACKING</t>
  </si>
  <si>
    <t>11.10.2025</t>
  </si>
  <si>
    <t xml:space="preserve"> 3 SET UP CHANGE </t>
  </si>
  <si>
    <t xml:space="preserve">ACB ROLL OIL DROPPING ISSUE </t>
  </si>
  <si>
    <t>ARBOUR,INLINE,OVER ARM SET UP,CHOPPER CALIBRATION,REPLACE INSPECTION TABLE FELT PAD ,FELT PAD FELT CHANGE,PIANO ROLL CHANGE</t>
  </si>
  <si>
    <t>UNLOADING  COIL CAR MECHANICAL STOPPER SHIFTING and CALIBRATION</t>
  </si>
  <si>
    <t>END CUT CUTTING</t>
  </si>
  <si>
    <t>2 TIMES BOX CLEAN</t>
  </si>
  <si>
    <t>UNLOADING  COIL CAR MECHANICAL STOPPER SHIFTING  &amp; CALIBRATION</t>
  </si>
  <si>
    <t>COUNTINUE WORK IN PREVIOR SHIFT</t>
  </si>
  <si>
    <t>ARBBER PIN BROKEN &amp; DEFLECTER ROLL BOTTOM TABLE WELDING</t>
  </si>
  <si>
    <t xml:space="preserve">OVERARM UP / DOWN PROBLEM </t>
  </si>
  <si>
    <t>M / S CHOPPER NOT CUTTING  DUE TO GAP INCREASE IN RUNNING LINE</t>
  </si>
  <si>
    <t xml:space="preserve">2 TIME SCRAP BOX CLEANNING </t>
  </si>
  <si>
    <t>END CUTTING DELAY</t>
  </si>
  <si>
    <t>CALIBRATION BY MAINTNACE</t>
  </si>
  <si>
    <t>RBS CHANGE FOR CUTTER LINE MARK</t>
  </si>
  <si>
    <t>O / S CHPPER  HEAD IN / OUT PROBLEM DUE TO BEARING DAMAGE</t>
  </si>
  <si>
    <t>Speed loss delay for Metalsa Processing 40MPM</t>
  </si>
  <si>
    <t>Chopper O/S head in/out issue</t>
  </si>
  <si>
    <t>12.10.2025</t>
  </si>
  <si>
    <t xml:space="preserve">2 TIMES SET UP INTER CHANGE </t>
  </si>
  <si>
    <t>3 TIMES SCRAP BOX CLEAN</t>
  </si>
  <si>
    <t>4  TIMES CHOPPER CALIBRATION  due to gap increase</t>
  </si>
  <si>
    <t>3 times cutter change and clearance</t>
  </si>
  <si>
    <t>M / S CHOPPER CALIBRATION  DUE TO GAP INCREASE IN RUNNING LINE</t>
  </si>
  <si>
    <t>END CUTTING</t>
  </si>
  <si>
    <t>2 TIME SETUP INTER CHANGE</t>
  </si>
  <si>
    <t>TURNSTYLE JAAM &amp; EVRY COIL UNITIZE DUE TO NO SPACE</t>
  </si>
  <si>
    <t xml:space="preserve">COIL NOT AVAILABLE FOR CRANE  NO - 03 DELAY </t>
  </si>
  <si>
    <t>13.10.2025</t>
  </si>
  <si>
    <t xml:space="preserve">3 TIMES SCRAP BOX CLEAN </t>
  </si>
  <si>
    <t>3 TIMES CUTTER CHANGE &amp; CLEARANCE ADJUST</t>
  </si>
  <si>
    <t xml:space="preserve">2 TIMESSET UP INTER CHANGE </t>
  </si>
  <si>
    <t>FOR  BREAKAWAY</t>
  </si>
  <si>
    <t>MORE END CUT FOR SLP IN TML COIL</t>
  </si>
  <si>
    <t xml:space="preserve">M\S CHOPPER ION OUT &amp; HOSE PIPE CHANGE </t>
  </si>
  <si>
    <t>3 TIME SETUP INTER CHANGE</t>
  </si>
  <si>
    <t xml:space="preserve"> SCRAP BOX CLEAN</t>
  </si>
  <si>
    <t>PARTING DELAY</t>
  </si>
  <si>
    <t>2 times cutter change and clearance</t>
  </si>
  <si>
    <t>2 TIME  SET UP INTER CHANGE &amp; INLINE LOOP LINE OVER ARM SET UP</t>
  </si>
  <si>
    <t>PUFF COIL RIMOVE</t>
  </si>
  <si>
    <t>14.10.2025</t>
  </si>
  <si>
    <t>3 TIMES SET UP INTER CHANGE</t>
  </si>
  <si>
    <t>3 TIMES SCRAB BOX CLEAN</t>
  </si>
  <si>
    <t>for brreakaway</t>
  </si>
  <si>
    <t xml:space="preserve">2 times CLEARANCE ADJUST </t>
  </si>
  <si>
    <t xml:space="preserve">FOR CUTTER EDGE BROKEN DUE TO POOR GRINDING </t>
  </si>
  <si>
    <t xml:space="preserve">5 TIMES CUTTER CHANGE FOR  CUTTER EDGE BROKEN </t>
  </si>
  <si>
    <t>VIKRAM SINGH</t>
  </si>
  <si>
    <t>ARBBER CHECK BY TIWARY SIR  &amp; M / S CHOPPER SENCER BROKEN</t>
  </si>
  <si>
    <t>END  SCRAPBIN CLEANNING</t>
  </si>
  <si>
    <t>CONVEYAR JAM</t>
  </si>
  <si>
    <t>M\S CHOPPER BLADE CHANGE</t>
  </si>
  <si>
    <t>15.10.2025</t>
  </si>
  <si>
    <t xml:space="preserve">BOTH CHOPPER CHANGE </t>
  </si>
  <si>
    <t xml:space="preserve">3 TIMES CHOPPER CALIBIRATION </t>
  </si>
  <si>
    <t xml:space="preserve">DUE TO GAP INCREASE </t>
  </si>
  <si>
    <t xml:space="preserve">END CUT &amp; INSPECTION </t>
  </si>
  <si>
    <t xml:space="preserve">RECOILER SEGMENT CHANGE FROM 610 TO 760 </t>
  </si>
  <si>
    <t xml:space="preserve">3 TIME S CONVYER JAM &amp;  TRIP </t>
  </si>
  <si>
    <t xml:space="preserve">PUFF COIL REMOVE </t>
  </si>
  <si>
    <t xml:space="preserve">FOE EDGE BEND </t>
  </si>
  <si>
    <t>CUTTER CHANGE &amp; CUTTER CLEARANCE</t>
  </si>
  <si>
    <t>M/ S CHOPPER REMOVE &amp; FEEDING</t>
  </si>
  <si>
    <t>2 TIME CHOPPER CALIBRATION</t>
  </si>
  <si>
    <t>2 NTIME M/ S CHOPPER SIM ADJUST</t>
  </si>
  <si>
    <t>M/ S CHOPPER HEAD OPEN</t>
  </si>
  <si>
    <t xml:space="preserve">ENTRY SCRAP BOX IN PROBLEM </t>
  </si>
  <si>
    <t xml:space="preserve">EXIT TURNSTILE LOCK PIN BROKEN </t>
  </si>
  <si>
    <t>CONVEYAR BREAKDOWN</t>
  </si>
  <si>
    <t xml:space="preserve"> BOX CLEAN</t>
  </si>
  <si>
    <t>16.10.2025</t>
  </si>
  <si>
    <t xml:space="preserve">2 TIMES CUTTER CHANGE </t>
  </si>
  <si>
    <t>SCRAP CLEANING</t>
  </si>
  <si>
    <t>2 TIME SETUP INTER  CHANGE</t>
  </si>
  <si>
    <t>FELT PAD VELLOW PIPE PIN AIR LEAKAGE</t>
  </si>
  <si>
    <t xml:space="preserve"> CHOPPER CALIBRATION</t>
  </si>
  <si>
    <t xml:space="preserve"> CUTTER CLEARANCE</t>
  </si>
  <si>
    <t xml:space="preserve">FELT PAD CHANGE AND CHUTE SHIFT </t>
  </si>
  <si>
    <t>LOADING CAR   FORWARD  PROBLEM</t>
  </si>
  <si>
    <t>OFFCUT OVER LAP</t>
  </si>
  <si>
    <t>17.10.2025</t>
  </si>
  <si>
    <t xml:space="preserve">SET UP INTER CHANGE &amp; INLINE &amp; OVBER ARM SET UP </t>
  </si>
  <si>
    <t xml:space="preserve">EXIT COIL CAR PIANO WORK </t>
  </si>
  <si>
    <t>EXIT SHARE VERY SLOW FUNCTION DUE TO OIL LEAKAGE IN VALVE</t>
  </si>
  <si>
    <t xml:space="preserve"> SETUP INTER  CHANGE</t>
  </si>
  <si>
    <t>18.10.2025</t>
  </si>
  <si>
    <t xml:space="preserve">3 TIMES SET UP INTER CHANGE &amp; LOOP LINE OVER ARM SET UP </t>
  </si>
  <si>
    <t xml:space="preserve">ONE SET EDITED INSIDE LINE </t>
  </si>
  <si>
    <t xml:space="preserve">RECOILER BREAK FAIL </t>
  </si>
  <si>
    <t>FUL COIL REVERSED &amp; COIL WARP WELDING</t>
  </si>
  <si>
    <t xml:space="preserve">WELDED PUFF COIL REMOVED </t>
  </si>
  <si>
    <t>ARBOUR PIN BROKEN</t>
  </si>
  <si>
    <t xml:space="preserve">CUTTER JAM IN SRBOUR </t>
  </si>
  <si>
    <t>DUE TO BUS DELAY</t>
  </si>
  <si>
    <t>2TIME BOX CLEAN</t>
  </si>
  <si>
    <t>CUTTER JAM</t>
  </si>
  <si>
    <t>3TIME  SET UP INTER CHANGE INLINE OVER ARM SET UP</t>
  </si>
  <si>
    <t xml:space="preserve">PUFF COIL REMOVED </t>
  </si>
  <si>
    <t>SET UP INTER CHANGE &amp; INLINE OVER ARM SET  UP</t>
  </si>
  <si>
    <t>CLEARANCE ADJUST</t>
  </si>
  <si>
    <t>FOR BREAKAWAY</t>
  </si>
  <si>
    <t>LINE UNDER MAINTENANCE  WORK</t>
  </si>
  <si>
    <t xml:space="preserve">CONVYER AUTOMATIC OFF </t>
  </si>
  <si>
    <t>19.10.2025</t>
  </si>
  <si>
    <t xml:space="preserve">2 TIME SET UP INTER CHANGE </t>
  </si>
  <si>
    <t>CHUTE PIPE SENSOR WIRE BROKEN</t>
  </si>
  <si>
    <t>LINE AUTO START ISSUE</t>
  </si>
  <si>
    <t>4 TIME SET UP INTER CHANGE &amp; INLINE OVER ARM SET  UP</t>
  </si>
  <si>
    <t>20.10.2025</t>
  </si>
  <si>
    <t xml:space="preserve"> SET UP INTER CHANGE </t>
  </si>
  <si>
    <t>OFF LINE SETUP DUE TO SETUP NOT HANDOVER</t>
  </si>
  <si>
    <t>RE - COILER SEGMENT CHANGE</t>
  </si>
  <si>
    <t>OVERARM &amp; INLINE SETUP CHANGE FOR PARTING</t>
  </si>
  <si>
    <t>END CUT BOX CLEANING</t>
  </si>
  <si>
    <t>BOTH SIDE CHOPPER CHANGE AND CALIBRATION</t>
  </si>
  <si>
    <t xml:space="preserve">EXIT SHEAR BLADE EDGE CHANGE </t>
  </si>
  <si>
    <t xml:space="preserve">HAPPY DIWALI </t>
  </si>
  <si>
    <t xml:space="preserve">AUBOUR PIN BROKEN </t>
  </si>
  <si>
    <t>END CUT FOR MILL SCAB</t>
  </si>
  <si>
    <t>2 TIMES CUTTER CHANGE AND CLEARANCE,FELT PAD CHANGE</t>
  </si>
  <si>
    <t>21.10.2025</t>
  </si>
  <si>
    <t>M / S CHOPPER INCREASE GAP IN RUNNING LINE  &amp; CALIBRATION SIM ADJUSTMENT</t>
  </si>
  <si>
    <t>Start time</t>
  </si>
  <si>
    <t>End Time</t>
  </si>
  <si>
    <t>2 TIME CUTTER CHANGE</t>
  </si>
  <si>
    <t>SET UP CHANGE</t>
  </si>
  <si>
    <t>COIL TEMP HIGH MORE THEN 80 DEGREE</t>
  </si>
  <si>
    <t>4+4 REWORK</t>
  </si>
  <si>
    <t>7+3 RW</t>
  </si>
  <si>
    <t>SET UP INTER CHANGE AND INLINE,LOOP LINE,OVER ARM SET UP</t>
  </si>
  <si>
    <t>3 TIMES CHUTE PIPE SHIFTING</t>
  </si>
  <si>
    <t>CHOPPER SIM ADJUSTMENT</t>
  </si>
  <si>
    <t>22.10.2025</t>
  </si>
  <si>
    <t>CUTTER CHENGE</t>
  </si>
  <si>
    <t>CHOPPER CALIBRATION</t>
  </si>
  <si>
    <t>CUTTER CHANGE  &amp; CUTTER CLEARANCE</t>
  </si>
  <si>
    <t>TRIMING MANUALY REMOVE DUE TO  ATACH IN SILT FOR SORT WIDTH (1875)</t>
  </si>
  <si>
    <t xml:space="preserve">2 SET UP CHANGE </t>
  </si>
  <si>
    <t>04;10</t>
  </si>
  <si>
    <t>CHUTE SHIFT</t>
  </si>
  <si>
    <t>SET UP INTER CHANGE</t>
  </si>
  <si>
    <t>2 TIMES CHOPPER CALIBRATION</t>
  </si>
  <si>
    <t xml:space="preserve">4 TIMES FELT PAD CHANGE </t>
  </si>
  <si>
    <t>END CUT CUTTING DUE TO MILL SCAB</t>
  </si>
  <si>
    <t>23.10.2025</t>
  </si>
  <si>
    <t>2 SETUP INTER CHANGE</t>
  </si>
  <si>
    <t xml:space="preserve">PUP COIL REMOVE DUE TO OVER LAPING IN INLINE </t>
  </si>
  <si>
    <t>3 TIME CHUTE SHIFT</t>
  </si>
  <si>
    <t>SET UP INTER CHANGE,CHOPPER CHANGE</t>
  </si>
  <si>
    <t>SIM ADJUSTMENT AND CALIBRATION</t>
  </si>
  <si>
    <t xml:space="preserve"> </t>
  </si>
  <si>
    <t>24.10.2025</t>
  </si>
  <si>
    <t>SETUP INTER CHANGE</t>
  </si>
  <si>
    <t>CUTTER CHENGE FOR CUTTER BLUND MARK</t>
  </si>
  <si>
    <t>3 TIME SET UP INTER CHANGE</t>
  </si>
  <si>
    <t>FELT CHANGE</t>
  </si>
  <si>
    <t>25.10.2025</t>
  </si>
  <si>
    <t xml:space="preserve">M\S CHOPPER CALIBIRATION </t>
  </si>
  <si>
    <t xml:space="preserve">SHIM ADJUSTMENT DUE TO GAP INCREASE &amp; DECREASE ISSUE </t>
  </si>
  <si>
    <t>M\S CHOPPER SHIM ADJUSTMENT</t>
  </si>
  <si>
    <t xml:space="preserve">2 TIMES SET UP INTERCHANGE &amp; LOOP LINE &amp; INLINE OVER ARM SET UP </t>
  </si>
  <si>
    <t>2 TIMES CUTTER CHANGE &amp; CLEARANCE ADJUST</t>
  </si>
  <si>
    <t>END CUT CUTTING  DELAY</t>
  </si>
  <si>
    <t>CHUTE PIPE SHIFTINGs</t>
  </si>
  <si>
    <t>2 TIME SLIT OVER LAPING  IN RUNNING LINE</t>
  </si>
  <si>
    <t>O / S  CHANGE CHANGE</t>
  </si>
  <si>
    <t>O / S CHOPPER CUTTING ISSUE IN 1.8MM COIL AT SHIFT STARTING</t>
  </si>
  <si>
    <t>2 TIMES SET UP INTER CHANGE INLINE OVER ARM LOOP LINE SET UP</t>
  </si>
  <si>
    <t>TURNSTYLE LOCK PIN BROKEN</t>
  </si>
  <si>
    <t>2 TIMES CUTTER CLEARANCE ADJUST</t>
  </si>
  <si>
    <t xml:space="preserve">FELT PAD CHANGE  CHUTE PIPE SHIFTING </t>
  </si>
  <si>
    <t>26.10.2025</t>
  </si>
  <si>
    <t xml:space="preserve">2 TIME M\S CHOPPER CALIBIRATION </t>
  </si>
  <si>
    <t xml:space="preserve">2 TIMES CUTTER CHANGE AND CLEARANCE </t>
  </si>
  <si>
    <t xml:space="preserve">2 TIMES SET UP INTER CHANGE &amp; INLINE OVER ARM SET UP </t>
  </si>
  <si>
    <t>2 TIMES CUTTE CHANGE &amp; CLEARANCE ADJUST</t>
  </si>
  <si>
    <t xml:space="preserve">3 TIMES FELT CHANGE </t>
  </si>
  <si>
    <t xml:space="preserve">O\S CHUTE PIPE SHIFTING </t>
  </si>
  <si>
    <t>27.10.2025</t>
  </si>
  <si>
    <t xml:space="preserve">3 TIMES CUTTER CHANGE AND CLEARANCE </t>
  </si>
  <si>
    <t xml:space="preserve">MS CHOPPER BLADE OUT </t>
  </si>
  <si>
    <t>MS CHOPPER BLADE CHANGE DUE TO BROKEN</t>
  </si>
  <si>
    <t>3 TIMES BOX CLEAN</t>
  </si>
  <si>
    <t>2 TIME SET UP INTER CHANGE</t>
  </si>
  <si>
    <t>LODING CAR DOWN ISSUE</t>
  </si>
  <si>
    <t>28.10.2025</t>
  </si>
  <si>
    <t>END CUT  DELAY</t>
  </si>
  <si>
    <t xml:space="preserve">MS CHOPPER GAP INCREASE </t>
  </si>
  <si>
    <t>OS CHOPPER GAP INCREASE</t>
  </si>
  <si>
    <t>2 TIMES CUTTER CHANGE AND CLEARANCE ADJUST</t>
  </si>
  <si>
    <t>LODING CAR REV / FWD ISSUE</t>
  </si>
  <si>
    <t>29.10.2025</t>
  </si>
  <si>
    <t>COIL FEEDING DELAY DUE TO CRANE PUT COIL ON COIL CAR</t>
  </si>
  <si>
    <t>SET UP DELAY</t>
  </si>
  <si>
    <t>2 TIME SETUP CHANGE</t>
  </si>
  <si>
    <t xml:space="preserve">O / S CHOPPER ALL (10 ) BLADE CHANGE &amp; CHOPPER FEEDING DUE TO CHOPPER NOT REDY </t>
  </si>
  <si>
    <t>30.10.2025</t>
  </si>
  <si>
    <t>CHOPPER CALIBRATION&amp;2 TIME CHUTU PIPE SHIFTING</t>
  </si>
  <si>
    <t>3 SET UP CHANGE</t>
  </si>
  <si>
    <t xml:space="preserve">END CUT </t>
  </si>
  <si>
    <t xml:space="preserve">CUTTER CHANGE AND CLEARANCE </t>
  </si>
  <si>
    <t xml:space="preserve">QUALITY DECISION DELAY </t>
  </si>
  <si>
    <t>RE COILER SEGMENT CHANGE</t>
  </si>
  <si>
    <t>2 TIME CHOPPER CALIBRATION &amp; SIM ADJUST</t>
  </si>
  <si>
    <t>CUTTER CLEARANCE FOR BRAKWAY</t>
  </si>
  <si>
    <t>31.10.2025</t>
  </si>
  <si>
    <t>M/S SIDE CHOPPER CHANGE AND CALIBRATION</t>
  </si>
  <si>
    <t xml:space="preserve">MS GAP INCREASE \ CALIBRATION </t>
  </si>
  <si>
    <t xml:space="preserve">2 SETUP ENTER CHANGE  </t>
  </si>
  <si>
    <t>SET UP INTER CHANGE &amp; LOOP LINE INLINE OVER ARM SET UP</t>
  </si>
  <si>
    <t xml:space="preserve">SCRAP BOX CLEA </t>
  </si>
  <si>
    <t>3 TIMES CUTTER CHANGE &amp; 2 TIMES CLEARANCE ADJUST</t>
  </si>
  <si>
    <t xml:space="preserve">3 TIMES FELT PAD CHANGE </t>
  </si>
  <si>
    <t xml:space="preserve">EXIT TURNSTILE PIANO LOCK PIN BROKEN &amp; COIL CAR RESERVE ISSUE </t>
  </si>
  <si>
    <t>3 TIME SETUP CHANGE</t>
  </si>
  <si>
    <t>LOADING CAR REV / FOW PROBLEM &amp; CHECK</t>
  </si>
  <si>
    <t>COIL TEMP. MORE THAN 80°</t>
  </si>
  <si>
    <t>01.11.2025</t>
  </si>
  <si>
    <t>PM</t>
  </si>
  <si>
    <t>2 TIMES CHOPPER CALIBRATION DUE TO GAP INCREASE</t>
  </si>
  <si>
    <t xml:space="preserve"> 2 TIMES SET UP INTER CHANGE,FELT PAD CHANGE</t>
  </si>
  <si>
    <t>02.11.2025</t>
  </si>
  <si>
    <t>END CUTTING DEALY</t>
  </si>
  <si>
    <t>3TIMES CUTTER CHANGE AND  CLEARANCE  ADJUST</t>
  </si>
  <si>
    <t xml:space="preserve">2 TIMES  FELT PAD CHANGE </t>
  </si>
  <si>
    <t>2  TIMES  SCRAP BOX CLEAN</t>
  </si>
  <si>
    <t xml:space="preserve">2TIMES  PUFF COIL REMOVE </t>
  </si>
  <si>
    <t>HYDRAULIC OIL  LEVEL LOW</t>
  </si>
  <si>
    <t>PACKAGING DELAY DUE TO GRINGING PERSON NOT AVAILABLE FOR SHEAR EDGE GRINDING</t>
  </si>
  <si>
    <t xml:space="preserve">3 TIMES CLEARANCE ADJUST </t>
  </si>
  <si>
    <t xml:space="preserve">2 TIMES PUFF COIL REMOVE </t>
  </si>
  <si>
    <t xml:space="preserve">NO EXTRA SPACER ADDED IN BOTH SIDE OF BOTTOM ARBOUR </t>
  </si>
  <si>
    <t>3 TIMES SET UP INTER CHANGE &amp; INLINE OVER ARM SET UP</t>
  </si>
  <si>
    <t xml:space="preserve">HANDOVER ARBOUR SET UP EDITED </t>
  </si>
  <si>
    <t xml:space="preserve">M\S CHUTE PIPE POSTION OUT </t>
  </si>
  <si>
    <t>CHUTE PIPE PIN WELDING</t>
  </si>
  <si>
    <t>2 TIMES SET UP INTER CHANGE &amp; INLINE OVER ARM SET UP</t>
  </si>
  <si>
    <t>ENTRY SCRAP BOX IN OUT ISSUE</t>
  </si>
  <si>
    <t xml:space="preserve">2 TIMES CLEARANCE ADJUST </t>
  </si>
  <si>
    <t>03.11.2025</t>
  </si>
  <si>
    <t>3 TIMES SET UP CHANGED</t>
  </si>
  <si>
    <t>END CUT CUTTING DELAY</t>
  </si>
  <si>
    <t>BLOWER WELDING</t>
  </si>
  <si>
    <t>SETUP FOR ONE COIL ONE SETUP</t>
  </si>
  <si>
    <t>ARBOUR LOCK PIN BROCKEN</t>
  </si>
  <si>
    <t>2 TIMES CLEARANCE ADJUST</t>
  </si>
  <si>
    <t>04.11.2025</t>
  </si>
  <si>
    <t xml:space="preserve">CUTTER CHANGE &amp; CLEARANCE ADJUST </t>
  </si>
  <si>
    <t>WIDER TRIM JAM INSIDE M\S CHUTE PIPE</t>
  </si>
  <si>
    <t xml:space="preserve">3 TIMES PUFF COIL REMOVE </t>
  </si>
  <si>
    <t xml:space="preserve">PACKAGING DELAY </t>
  </si>
  <si>
    <t>RECOILER SEGMENT CHANGE FROM 610 TO 760</t>
  </si>
  <si>
    <t>3 TIMES SET UP INTER CHAMGE &amp; INLINE &amp; OVER ARM SET UP</t>
  </si>
  <si>
    <t>TRIM JAM INSIDE CHUTE PIPE</t>
  </si>
  <si>
    <t xml:space="preserve">CUTTER CHANGE  </t>
  </si>
  <si>
    <t>TRIM JAM INSIDE O/S CHUTE PIPE</t>
  </si>
  <si>
    <t>2 TIMES  SCRAP BOX CLEAN</t>
  </si>
  <si>
    <t>05.11.2025</t>
  </si>
  <si>
    <t>3 TIMES SET UP INTER CHANGE ,CHOPPER CALIBRATION</t>
  </si>
  <si>
    <t>SEGMENT CHANGED</t>
  </si>
  <si>
    <t>3 TIMES FELT PAD CHANGED</t>
  </si>
  <si>
    <t>multi slit so packaging delay</t>
  </si>
  <si>
    <t xml:space="preserve">BOTH SIDE CHOPPER CHANGE </t>
  </si>
  <si>
    <t xml:space="preserve"> CHOPPER CALIBRATION AND MS SIM ADJUSTMENT 2 TIMES DUE TO GAP VARIATION </t>
  </si>
  <si>
    <t>3 TIMES SET UP INTER CHANGE &amp; INLINE &amp; LOOP LINE OVER ARM SET UP</t>
  </si>
  <si>
    <t xml:space="preserve">2 TIMES CUTTER CHANGE &amp; CLEARANCE AJUST </t>
  </si>
  <si>
    <t>06.11.2025</t>
  </si>
  <si>
    <t>RECOILER SEGMENT CHANGE</t>
  </si>
  <si>
    <t>PIANO CYLINDER BROKEN</t>
  </si>
  <si>
    <t>4+5RW</t>
  </si>
  <si>
    <t>END CUT BOX CLEANINGE</t>
  </si>
  <si>
    <t>2 TIMESETUP INTER CHANGE</t>
  </si>
  <si>
    <t>07.11.2025</t>
  </si>
  <si>
    <t xml:space="preserve">2 TIMES SET UP INTER CHANGE &amp; LOOP LINE OVER ARM SET UP </t>
  </si>
  <si>
    <t xml:space="preserve">UNCOILER PIT CLEAN </t>
  </si>
  <si>
    <t>CAR PIT STRAP CLEANNING</t>
  </si>
  <si>
    <t>7 RW</t>
  </si>
  <si>
    <t>UNCOILER SEGMENT CHANGE</t>
  </si>
  <si>
    <t>5+3RW</t>
  </si>
  <si>
    <t xml:space="preserve">WELDER NOT AVAILABLE </t>
  </si>
  <si>
    <t>08.11.2025</t>
  </si>
  <si>
    <t xml:space="preserve">SET UP INTER CHANGE &amp; INLINE  ,LOOP LINE OVER ARM SET UP </t>
  </si>
  <si>
    <t xml:space="preserve">STRAIGHTNER ROLL BUFFING </t>
  </si>
  <si>
    <t xml:space="preserve">RE OVER ARM SET UP </t>
  </si>
  <si>
    <t>PACKAGING DELAY DUE TO WELDER NOT AVL.</t>
  </si>
  <si>
    <t>SIM ADJUSTMENT</t>
  </si>
  <si>
    <t>SCRAP STUCK IN CHUTE PIPE</t>
  </si>
  <si>
    <t>2 TIMES FELT PAD CHANGE</t>
  </si>
  <si>
    <t>2 TIME CUTTER CLEARANCE</t>
  </si>
  <si>
    <t xml:space="preserve">COIL UNLOAD SIM ADJUSTMENT AND SEGMENT CHANGE </t>
  </si>
  <si>
    <t>09.11.2025</t>
  </si>
  <si>
    <t xml:space="preserve"> BOTH SIDE CHOPPER CHANGE</t>
  </si>
  <si>
    <t>CHOPPER CALIBRATION AND SIM ADJUSTMENT</t>
  </si>
  <si>
    <t>TENSION ROLL MS SIDE CYLINDER CHANGE</t>
  </si>
  <si>
    <t>EXIT SHEAR SIM ADJUSTMENT</t>
  </si>
  <si>
    <t>CUTTER CHANGE RBS CHANGE</t>
  </si>
  <si>
    <t>PUFF COIL REMOVED DUE TO ARBOR HEAD SENSOR OUT IN RUUNIG LINE</t>
  </si>
  <si>
    <t>COILE EDG BE BEND</t>
  </si>
  <si>
    <t>OVER ARM SHAFT UP \ DOWN ISSUE</t>
  </si>
  <si>
    <t xml:space="preserve">DUE TO LESS MANPOWER </t>
  </si>
  <si>
    <t>2 OPERTOR + 1 SET UP PERSON</t>
  </si>
  <si>
    <t>10.11.2025</t>
  </si>
  <si>
    <t>OVER ARM UP / DOWN &amp; COMMUNCTION PROBLEM</t>
  </si>
  <si>
    <t xml:space="preserve"> 2 TIMES MS CHUTE SHIFT </t>
  </si>
  <si>
    <t xml:space="preserve">MS CHOPPER CALIBRATION </t>
  </si>
  <si>
    <t xml:space="preserve">MEETING </t>
  </si>
  <si>
    <t>EXIT SHEAR ,CHOPPER CALIBRATION SHEAR TABLE WELDING,OUT BOARD BROKEN BOLT REMOVED AND REPLACE</t>
  </si>
  <si>
    <t>SET UP AND SEGMENT CHANGE,INLINE,OVER ARM SET UP</t>
  </si>
  <si>
    <t>PACKING DELAY DUE TO MULTISLIT AND LESS MAN POWER</t>
  </si>
  <si>
    <t xml:space="preserve">2 TIME SET UP INTER CHANGE &amp; INLINE  ,LOOP LINE OVER ARM SET UP </t>
  </si>
  <si>
    <t xml:space="preserve">2 TIMES CLEARANCE </t>
  </si>
  <si>
    <t xml:space="preserve">UNLOADING CAR PIANO ROLL CHANGE </t>
  </si>
  <si>
    <t xml:space="preserve">OS CHUTE SHIFT </t>
  </si>
  <si>
    <t>INSPECTION</t>
  </si>
  <si>
    <t>END CUT CUTTING AND PUFF COIL REMOVED</t>
  </si>
  <si>
    <t>3 TIMES CLEARANCE ADJUST AND CUTTER CHANGED</t>
  </si>
  <si>
    <t>FELT PAD CHANGED</t>
  </si>
  <si>
    <t>12.11.2025</t>
  </si>
  <si>
    <t>11.11.2025</t>
  </si>
  <si>
    <t xml:space="preserve"> SET UP INTER CHANGE &amp; INLINE  ,LOOP LINE OVER ARM SET UP </t>
  </si>
  <si>
    <t>2 TIME CUTTER CLEARANCE FOR BREAKWAY</t>
  </si>
  <si>
    <t>EXIT END CUT BOX CLEANNING DELAY DUE TO CRANE NO 5 BUSY IN OTHER WORK</t>
  </si>
  <si>
    <t xml:space="preserve">2 TIMES  SET UP INTER CHANGE &amp; INLINE  ,LOOP LINE OVER ARM SET UP </t>
  </si>
  <si>
    <t xml:space="preserve">3 TIMES SET UP INTER CHANGE &amp; INLINE OVER ARM SETUP </t>
  </si>
  <si>
    <t>CLEARANCE ADJUST &amp; CUTTER CGHAMGE</t>
  </si>
  <si>
    <t xml:space="preserve">ENTRY SCRAP BOX CHAIN BROKEN IN  PREVIOR SHIFT </t>
  </si>
  <si>
    <t>PUP[ COIL REMOVE</t>
  </si>
  <si>
    <t>13.11.2025</t>
  </si>
  <si>
    <t>STRAIGHTNIER  BOTTOM ROLL SCRAP JAAM &amp; BUFFING</t>
  </si>
  <si>
    <t>QUALITY MEETING</t>
  </si>
  <si>
    <t>TRIM BEND IN O\S CHUTE PIPE WHILE FEEDING</t>
  </si>
  <si>
    <t>BOTH SIDE CHOPPER BLADE CHANGE</t>
  </si>
  <si>
    <t xml:space="preserve">4 TIMES SCRAP BOX CLEAN </t>
  </si>
  <si>
    <t>CIRCUIT BREAKER FAULT</t>
  </si>
  <si>
    <t>14.11.2025</t>
  </si>
  <si>
    <t>2 TIME SETU INTER CHANGE &amp; INLINE OVERARM SETUP</t>
  </si>
  <si>
    <t>RECOILER LUBRICATION MOTOR CHANGE</t>
  </si>
  <si>
    <t>TURNSTYLE PIANO LUCK / UNLUCK PIN BROKEN</t>
  </si>
  <si>
    <t>3 TIME CUTTER CLEARANCE FOR BREAKWAY (HS800)</t>
  </si>
  <si>
    <t>3 TIMES CLEARANCE ADJUST</t>
  </si>
  <si>
    <t>LINE SPEED SLOW DUE TO HEAVY WAVENESS IN RM COIL</t>
  </si>
  <si>
    <t xml:space="preserve">BOTH CHOPPER CALIBIRATION &amp; SHIM ADJUSTMENT </t>
  </si>
  <si>
    <t xml:space="preserve">ARBOR BROKENPIN  REMOVE &amp;  PIN FITTING DURING CHOPPR CHANGE </t>
  </si>
  <si>
    <t xml:space="preserve">2 TIMES CUTTER CHANGE &amp; CLEARANCE </t>
  </si>
  <si>
    <t xml:space="preserve"> SET UP INTER CHANGE &amp; LOOP LINE ,INLINE OVER, ARM SET UP </t>
  </si>
  <si>
    <t>EXIT SHEAR SHIM ADJUSTMENT</t>
  </si>
  <si>
    <t>15.11.2025</t>
  </si>
  <si>
    <t>EXIT SHEAR SHIM ADJUSTMENT CONTINUE JOB IN BEFOR SHIT</t>
  </si>
  <si>
    <t>1 TIME CUTTER CHANGE FOR BROKEN &amp; 1 TIME CLEARANCE FOR BREAKWAY</t>
  </si>
  <si>
    <t>2 TIMES CUTTER CHANGE AND CLEARANCE</t>
  </si>
  <si>
    <t>SET UP INTER CHANGE,INLINE,LOOP LINE, OVER ARM SET UP</t>
  </si>
  <si>
    <t>SET UP EDIT FOR HAND OVER</t>
  </si>
  <si>
    <t>16.11.2025</t>
  </si>
  <si>
    <t>OVERARM UP / DOWN ISSUE</t>
  </si>
  <si>
    <t xml:space="preserve"> CUTTER CHANGE </t>
  </si>
  <si>
    <t>SETUP EDITING DUE TO  NO SETUP HANDOVER</t>
  </si>
  <si>
    <t>RM COIL NOT AVAILABLE FOR CRANE DELAY (NO - 3)</t>
  </si>
  <si>
    <t>ARBOR HEAD IN OUT ISSSUE</t>
  </si>
  <si>
    <t xml:space="preserve">COIL OVER LAP IN I INLINE AND GAS CUTTING </t>
  </si>
  <si>
    <t>17.11.2025</t>
  </si>
  <si>
    <t>SHEET STUCK IN MANDREL</t>
  </si>
  <si>
    <t>2 TIMES CONVEYOR TRIP</t>
  </si>
  <si>
    <t>END CUT CUTTING FOR MILL SCAB</t>
  </si>
  <si>
    <t>2TIME SET UP INTER CHANGE</t>
  </si>
  <si>
    <t>SET UP INTER CHANGE ,SEGMENT CHANGE,CHOPPER CALIBRATION,INLINE,OVER ARM SET UP</t>
  </si>
  <si>
    <t>4 TIMES BOX CLEAN</t>
  </si>
  <si>
    <t>SET UP INTER CHANGE,OVER ARM SET UP</t>
  </si>
  <si>
    <t>5 TIMES CUTTER CHANGE AND 3 TIMES CLEARANCE ADJUST</t>
  </si>
  <si>
    <t xml:space="preserve"> CUTTER CHANGE AND  CLEARANCE ADJUST</t>
  </si>
  <si>
    <t>18.11.2025</t>
  </si>
  <si>
    <t>3 TIME SETU INTER CHANGE &amp; INLINE OVERARM SETUP</t>
  </si>
  <si>
    <t xml:space="preserve">EXIT BOX NOT CLEANED \ BOX NOT AVAILABLE </t>
  </si>
  <si>
    <t>3 TIMES SCARAP BOX CLEAN</t>
  </si>
  <si>
    <t>ARBOR PIN BROKEN</t>
  </si>
  <si>
    <t>19.11.2025</t>
  </si>
  <si>
    <t xml:space="preserve">2 TIMES CUTTER CHANGE &amp; CKLEARANCE </t>
  </si>
  <si>
    <t xml:space="preserve">ARBOUR HEAD OPEN ISSUE </t>
  </si>
  <si>
    <t xml:space="preserve">ARBOUR HEAD VALUE ISSUE </t>
  </si>
  <si>
    <t xml:space="preserve">INPSECTION &amp; END CUT DELAY  </t>
  </si>
  <si>
    <t xml:space="preserve">NO SCHEDULE </t>
  </si>
  <si>
    <t>SCHEDULE NOT GIVEN BY SCHEDULING DEPT.</t>
  </si>
  <si>
    <t xml:space="preserve">3 TIMES SET UP INTER CHANGE &amp; INLINE OVER ARM SET UP </t>
  </si>
  <si>
    <t>EDGE GRIDING DELAY DUE TO MAINTNACE PERSON NOT AVAILABLE</t>
  </si>
  <si>
    <t>CUTTER CHANGE DUE TO BROKEN IN RUNNING LINE MANUALLY CHANGE</t>
  </si>
  <si>
    <t>OFFLINE SETUP DUE TO NO HANDOVER SETUP BY PREVIOR SHIFT</t>
  </si>
  <si>
    <t>20.11.2025</t>
  </si>
  <si>
    <t xml:space="preserve">3 TIMES  SET UP INTER CHANGE &amp; INLINE OVER ARM SET UP </t>
  </si>
  <si>
    <t>HEAVY TELESCOPY COIL PROCESS UP TO 160-190</t>
  </si>
  <si>
    <t xml:space="preserve">OFFLINE SETUP DUE TO ONE COIL ONE SETUP </t>
  </si>
  <si>
    <t>EXIT SCAP TOLLY IN OUT PROBLEM</t>
  </si>
  <si>
    <t>2ND COIL 40 MTR END CUTTING DUE TO SLIVER &amp; GOUGE MARK</t>
  </si>
  <si>
    <t>3 TIME CUTTER CLEARANCE</t>
  </si>
  <si>
    <t>21.11.2025</t>
  </si>
  <si>
    <t xml:space="preserve">COIL BACK   /    CUTTER NOT AVAILABLE </t>
  </si>
  <si>
    <t xml:space="preserve">3 TIMES SIM ADJUSTMENT AND CALIBRATION MS CHOPPER </t>
  </si>
  <si>
    <t xml:space="preserve">EXIT SHEAR BLADE CHANGE AND CALIBRATION </t>
  </si>
  <si>
    <t xml:space="preserve">CUTTER CHANGE AND CLEARANCE 3 TIMES DUE TO CUTTER NOT AVAILABLE </t>
  </si>
  <si>
    <t xml:space="preserve">CUTTER CHANGE AND CLEARANCE IN NIGHT SHIFT RUNNING SET UP </t>
  </si>
  <si>
    <t>CUTTER CHANGE &amp; CLEARANCE ADJUST</t>
  </si>
  <si>
    <t xml:space="preserve"> 2 TIMES M\ SCHOPPER BLADE FITTING &amp; O\S CHOPPER SHIM ADJUSTMENT </t>
  </si>
  <si>
    <t>TRIMMING STOCK IN CHUTE PIPE IN PREVIOR SHIFT</t>
  </si>
  <si>
    <t>22.11.2025</t>
  </si>
  <si>
    <t xml:space="preserve">PUP COIL REMOVED </t>
  </si>
  <si>
    <t xml:space="preserve">SLITTER ARBOUR ROTARY GEAR ALIGNMENT OUT </t>
  </si>
  <si>
    <t>COIL PARTING DELAY</t>
  </si>
  <si>
    <t xml:space="preserve">SLITTER ARBOUR ROTARY GEAR ALIGNMENT OUT FROM </t>
  </si>
  <si>
    <t>2 TIMES INLINE SET UP FOR PARTING COIL</t>
  </si>
  <si>
    <t>COIL NOT AVL.</t>
  </si>
  <si>
    <t>ARBBER PENITRATION ISSUE</t>
  </si>
  <si>
    <t>INLINE CHANGE</t>
  </si>
  <si>
    <t xml:space="preserve">CUTTER REMOVE FOR PARTING </t>
  </si>
  <si>
    <t>23.11.2025</t>
  </si>
  <si>
    <t>EXIT TURNSTILE  PIANO PRESSOUR ISSUE</t>
  </si>
  <si>
    <t>ARBOUR HEAD WORK</t>
  </si>
  <si>
    <t xml:space="preserve">RECOILER SEGMENT CHANGE FROM 760 TO 610 </t>
  </si>
  <si>
    <t xml:space="preserve">2 TIMES INLINE CHANGE &amp; ARBOUR SET UP CHANGE </t>
  </si>
  <si>
    <t xml:space="preserve">COIL NOT AVL, LINE </t>
  </si>
  <si>
    <t xml:space="preserve">COIL PARTING DELAY </t>
  </si>
  <si>
    <t>24.11.2025</t>
  </si>
  <si>
    <t>3 TIME CUTTER CLEARANCE &amp; 1 TIME CUTTER CHANGE</t>
  </si>
  <si>
    <t>ARBOUR HEAD WORK &amp; CALIBRATION</t>
  </si>
  <si>
    <t>SETUP CHANGE INLINE CHANGE</t>
  </si>
  <si>
    <t>CUTTER CHANGE &amp; 2 TIME CUTTER CLEARANCE</t>
  </si>
  <si>
    <t xml:space="preserve">SET UP INTER CHANGE AND CLEARANCE </t>
  </si>
  <si>
    <t xml:space="preserve">SET UP EDIT SIZE MORE THEN TOLERANCE </t>
  </si>
  <si>
    <t>2 TIME CUTTER CLEARANCE &amp; 1 TIME CUTTER CHANGE</t>
  </si>
  <si>
    <t xml:space="preserve">SET UP INTER CHANGE  </t>
  </si>
  <si>
    <t>25.11.2025</t>
  </si>
  <si>
    <t>3 TIMES CHUTE PIPE SHIFTING AMD 2 TIMES CALIBRATION</t>
  </si>
  <si>
    <t>SET UP CHANGE,OS CHOPPER CHANGE,CALIBRATION</t>
  </si>
  <si>
    <t xml:space="preserve">MS CHUTE SHIFT 2 TIMES </t>
  </si>
  <si>
    <t>26.11.2025</t>
  </si>
  <si>
    <t xml:space="preserve">2 TIME MANUALLY  FEMAILRBS REMOVE  CLEARANCE CHECK THENRBS ADD </t>
  </si>
  <si>
    <t>BRUSSING ROLL FEEDING</t>
  </si>
  <si>
    <t>PRESS ROLL SENCER FITTING</t>
  </si>
  <si>
    <t>SET UP DELAY DUE TO 1 COIL 1 SET UP</t>
  </si>
  <si>
    <t>2 TIMES CHOPPER BLADE REMOVED</t>
  </si>
  <si>
    <t>CONVEYOR JAM</t>
  </si>
  <si>
    <t xml:space="preserve">2 TIMES SET UP INTER CHANGE AND CLEARANCE </t>
  </si>
  <si>
    <t xml:space="preserve">ARBOUR PIN BROKEN </t>
  </si>
  <si>
    <t xml:space="preserve">OS TOP CHOPPER BLADE CHANGE </t>
  </si>
  <si>
    <t>6 TIMES CLEARANCE ADJUST</t>
  </si>
  <si>
    <t>PIN BROKEN</t>
  </si>
  <si>
    <t xml:space="preserve">2 TIMES PUFF COIL REMOVED </t>
  </si>
  <si>
    <t>1 TIME SET UP INTER CHANGE AND CLEARANCE</t>
  </si>
  <si>
    <t>27.11.2025</t>
  </si>
  <si>
    <t>4 TIME CUTTER CHANGE</t>
  </si>
  <si>
    <t xml:space="preserve">SET  UP TURNSTILE LOCK PROBLEM </t>
  </si>
  <si>
    <t xml:space="preserve">3  TIMES SET UP INTER CHANGE AND CLEARANCE </t>
  </si>
  <si>
    <t xml:space="preserve">MS CHOPPER TOP ALL BLADE CHANGE </t>
  </si>
  <si>
    <t>28.11.2025</t>
  </si>
  <si>
    <t xml:space="preserve">SET UP INTER CHANGE &amp; LOOP LINE OVER ARM SET UP </t>
  </si>
  <si>
    <t xml:space="preserve">COIL JAM INSIDE RECOILER </t>
  </si>
  <si>
    <t xml:space="preserve">10 MM PARTING COIL </t>
  </si>
  <si>
    <t xml:space="preserve">CHOPPER CAIBIRATION &amp; SHIM ADJUSTMENT </t>
  </si>
  <si>
    <t xml:space="preserve">M\S CHOPPER BLADE SUPPORT PLATE REMOVE </t>
  </si>
  <si>
    <t>RECOILER SEGMENT CHANGE FROM 760 TO 610</t>
  </si>
  <si>
    <t>INSPECTION DELAY &amp; END CUTTING</t>
  </si>
  <si>
    <t>EXIT SHARE SIM ADJUST</t>
  </si>
  <si>
    <t xml:space="preserve">3 TIMES BOX CLEAN </t>
  </si>
  <si>
    <t xml:space="preserve">RBS CHANGE AND CUTTER CHANGE </t>
  </si>
  <si>
    <t>SET UP ,  SEGMENT CHANGE 610 TO  AND CHOPPER CALIBRATION</t>
  </si>
  <si>
    <t>29.11.2025</t>
  </si>
  <si>
    <t>GAP INCREASE UP TO 1.70 MM</t>
  </si>
  <si>
    <t xml:space="preserve">SET UP INTER CHANGE &amp; INLINE LOOP LINE OVER ARM SE UP </t>
  </si>
  <si>
    <t xml:space="preserve">TRIM JAM INSIDE CHUTE PIPE </t>
  </si>
  <si>
    <t xml:space="preserve">CHOPPER CALIBIRATION &amp;  CHUTE PIPE SHIFTING </t>
  </si>
  <si>
    <t xml:space="preserve">MEASUREMENT &amp; END CUT FOR -VE WIDTH </t>
  </si>
  <si>
    <t xml:space="preserve">3 TIMES CLEARANCE ADJUST 7&amp; CUTTER CHANGE </t>
  </si>
  <si>
    <t xml:space="preserve">2 TIMES CLEARANCE ADJUST &amp;1 TIME  CUTTER CHANGE </t>
  </si>
  <si>
    <t>30.11.2025</t>
  </si>
  <si>
    <t xml:space="preserve">CHUTE SHIFTING AND CALIBRATION </t>
  </si>
  <si>
    <t xml:space="preserve">1 TIMES CLEARANCE ADJUST &amp;1 TIME  CUTTER CHANGE </t>
  </si>
  <si>
    <t xml:space="preserve">2 TIME  SCRAP BOX CLEAN </t>
  </si>
  <si>
    <t>END CUT DELAY</t>
  </si>
  <si>
    <t>3 TIME  CUTTER CHANGE AND CLERARNCE ADJUST</t>
  </si>
  <si>
    <t>RE  SET UP</t>
  </si>
  <si>
    <t>01.12.2025</t>
  </si>
  <si>
    <t xml:space="preserve">1 TIMES CLEARANCE ADJUST &amp;3 TIME  CUTTER CHANGE </t>
  </si>
  <si>
    <t>EXIT PIONO LOCK PIN BROKEN</t>
  </si>
  <si>
    <t>ARBOUR TUNSTYLE ALIGNMENT ISSSU</t>
  </si>
  <si>
    <t xml:space="preserve">3 TIME  SCRAP BOX CLEAN </t>
  </si>
  <si>
    <t>2 SET UP INTER CHANGE</t>
  </si>
  <si>
    <t>CUTTER CHANGE AND CLEARANCE FOR HS800 COIL</t>
  </si>
  <si>
    <t>02.12.2025</t>
  </si>
  <si>
    <t>ARBOR  ROTATION ISSUE</t>
  </si>
  <si>
    <t>OVER ARM STATION GRIPPER ISSUE,FELT PAD TOP MOUNTING WELDING</t>
  </si>
  <si>
    <t>OVER ARM SET UP AFTER GRIPPER ISSUE RESOLVE</t>
  </si>
  <si>
    <t>SET UP INTERCHANGE ,CHOPPER CALIBRATION,CHUTE SHIFTING</t>
  </si>
  <si>
    <t>ALL CUTTER CHANGE AND CLEARANCE DUE TO CUTTER BROKEN</t>
  </si>
  <si>
    <t>03.12.2025</t>
  </si>
  <si>
    <t xml:space="preserve">2 TIME SET UP INTER CHANGE &amp; LOOP LINE OVER ARM SET UP </t>
  </si>
  <si>
    <t>BOTH SIDE CHOPPER CHANGE</t>
  </si>
  <si>
    <t>RE COILER SEGMENT ( 610 TO 760 )</t>
  </si>
  <si>
    <t xml:space="preserve">1 TIMES CLEARANCE ADJUST &amp;   CUTTER CHANGE </t>
  </si>
  <si>
    <t xml:space="preserve">2TIMES CLEARANCE ADJUST </t>
  </si>
  <si>
    <t>LOADING COIL CAR HYD.PIPE CHANGE&amp; EXIT SHEAR BLADE CHANGE</t>
  </si>
  <si>
    <t>3 TIMES CUTTER CHANGE</t>
  </si>
  <si>
    <t>04.12.2025</t>
  </si>
  <si>
    <t xml:space="preserve">   CUTTER CHANGE </t>
  </si>
  <si>
    <t>TRIM STUCK IN O\S CHUTE PIPE , DURING FEEDING COIL</t>
  </si>
  <si>
    <t>CUTYTER CHANGE</t>
  </si>
  <si>
    <t xml:space="preserve">COIL SHIFTING FROM INLINE SEPARATOR SHAFT </t>
  </si>
  <si>
    <t xml:space="preserve">CHUTE SHIFTING </t>
  </si>
  <si>
    <t>LINE RUN SLOW DUE TO LESS TRIMMING</t>
  </si>
  <si>
    <t>05.12.2025</t>
  </si>
  <si>
    <t xml:space="preserve">OBBS &amp; UNCOILER PIT COVER WORK </t>
  </si>
  <si>
    <t>2 TIMES SCRAP BOX CLEAN</t>
  </si>
  <si>
    <t>FELT  PAD CHANGE</t>
  </si>
  <si>
    <t>LINE RUNS SLOW DUE TO HEAVYWAVENESS COIL</t>
  </si>
  <si>
    <t>AVG SPEED 90 TO 100</t>
  </si>
  <si>
    <t>4 TIME   CUTTER CLEARANCE</t>
  </si>
  <si>
    <t>2 TIME SCRAP BOX CLEANNING</t>
  </si>
  <si>
    <t>QUALITY DICISION PENDING DELAY</t>
  </si>
  <si>
    <t>06.12.2025</t>
  </si>
  <si>
    <t>3 TIME FELT  PAD CHANGE</t>
  </si>
  <si>
    <t>DUE TO SLP REMARK</t>
  </si>
  <si>
    <t>SET UP INTER CHANGE  &amp; INLINE OVER ARM SET UP</t>
  </si>
  <si>
    <t>CLEARANCE FOR BREAKAWAY</t>
  </si>
  <si>
    <t xml:space="preserve">END CUT &amp; PUFF COIL REMOVE </t>
  </si>
  <si>
    <t xml:space="preserve">SCRAP CONVYER JAM </t>
  </si>
  <si>
    <t xml:space="preserve">HYDRULIC TEMP . FAULT </t>
  </si>
  <si>
    <t>07.12.2025</t>
  </si>
  <si>
    <t>HEAD MOBILE BUTTOM CYLINDER CHECK NUT LOOSE</t>
  </si>
  <si>
    <t>SET UP INTER CHANGE &amp;OVER ARM SET UP</t>
  </si>
  <si>
    <t xml:space="preserve">TRUNSTYLE IN &amp; OUT ISSUE </t>
  </si>
  <si>
    <t>08.12.2025</t>
  </si>
  <si>
    <t>ARBOUR  HEAD AND TURNSTILE WORK</t>
  </si>
  <si>
    <t>MAINTENCE WORK</t>
  </si>
  <si>
    <t xml:space="preserve">  SCRAP BOX CLEAN </t>
  </si>
  <si>
    <t>PARTING  DELAY</t>
  </si>
  <si>
    <t xml:space="preserve">2 TIME CUTTER CHANGE &amp; CLEARANCE </t>
  </si>
  <si>
    <t>SLIT CUTING ISSUE</t>
  </si>
  <si>
    <t>SET UP INTER CHANGE AND OVER ARM SET UP</t>
  </si>
  <si>
    <t>3 TIMES CLEARANCE ADJUST AND 1 TIME CUTTER CHANGE</t>
  </si>
  <si>
    <t>LINE RUN 30 MPM FOR METALSA</t>
  </si>
  <si>
    <t>09.12.2025</t>
  </si>
  <si>
    <t>CHOPPER CALIBRATION AND CHUTE PIPE SHIFTING</t>
  </si>
  <si>
    <t>10.12.2025</t>
  </si>
  <si>
    <t>2 TIMES SET UP INTER CHANGE  &amp; INLINE OVER ARM SET UP</t>
  </si>
  <si>
    <t>4 TIMES CUTTER CHANGE AND CLEARANCE DUE TO HS 800</t>
  </si>
  <si>
    <t>PUFF COIL REMOVED AND END CUT CUTTING</t>
  </si>
  <si>
    <t>BOX CLEAN 3 TIMES</t>
  </si>
  <si>
    <t>3 TIMES SET UP INTER CHANGE  &amp; INLINE OVER ARM SET UP</t>
  </si>
  <si>
    <t>EXIT COIL CAR FRW REV ISSUE SO TURN STYLE NOT MOVEMENT</t>
  </si>
  <si>
    <t>TURN STYLE NOT MOVEMENT SO PACKAGING DELAY</t>
  </si>
  <si>
    <t>5 TIMES CLEARANCE ADJUST</t>
  </si>
  <si>
    <t>ENTRY SVRAP BOX CHIAN BROKEN</t>
  </si>
  <si>
    <t xml:space="preserve"> BOTTOM ARBOR HEAD ROTATORY UNION CHANGE</t>
  </si>
  <si>
    <t>4  TIMES CLEARANCE ADJUST</t>
  </si>
  <si>
    <t>11.12.2025</t>
  </si>
  <si>
    <t>WRONG SET UP 8 MM PUT INSTEAD OF 7 MM</t>
  </si>
  <si>
    <t>12.12.2025</t>
  </si>
  <si>
    <t>FELT PAD CHGANGE</t>
  </si>
  <si>
    <t>EMG  NOT WORKING</t>
  </si>
  <si>
    <t xml:space="preserve">4 TIMES CLEARAANCE ADJUST </t>
  </si>
  <si>
    <t xml:space="preserve">BRAKAWAY </t>
  </si>
  <si>
    <t xml:space="preserve">HEAD LOCK UNLOCK PROBLEM </t>
  </si>
  <si>
    <t xml:space="preserve">INSPECTION &amp; END CUT DELAY &amp; PUFF COIL REMOVE </t>
  </si>
  <si>
    <t xml:space="preserve">GENERAL STOP DUE TO ALL DRIVE FAULT </t>
  </si>
  <si>
    <t xml:space="preserve">SET UP INTER CHANGE &amp; INLINE &amp; OVER ARM SET UP </t>
  </si>
  <si>
    <t>M / S CHOPPER CHANGE</t>
  </si>
  <si>
    <t>3 TIMES SET UP CHANGE</t>
  </si>
  <si>
    <t>13.12.2025</t>
  </si>
  <si>
    <t>EXIT SHEAR BLAD CALIBRTAION AND GAP ADJUST</t>
  </si>
  <si>
    <t>2 TIMES CUTTER CHANGE   CLEARANCE  ADJUST</t>
  </si>
  <si>
    <t>LOADING COIL CAR FWD\ RVS ISSUE</t>
  </si>
  <si>
    <t>COIL LOOSE IN RUNNING DUE TO DRIVE FULT</t>
  </si>
  <si>
    <t>OVER ARM DISH CHANGE DUE TO BROKEN IN RUNNING LINE</t>
  </si>
  <si>
    <t>PUP COIL REMOVE FOR MILL SCAB</t>
  </si>
  <si>
    <t>14.12.2025</t>
  </si>
  <si>
    <t>SETUP INTERCHANGE 2 TIMES</t>
  </si>
  <si>
    <t>9 TIMES  CLEARANCE  ADJUST IN 7MM&amp;5 MM</t>
  </si>
  <si>
    <t xml:space="preserve">CHOPPER CALIBIRATION &amp; SHIM ADJUST MENT FOR GAP MAINTAIN </t>
  </si>
  <si>
    <t xml:space="preserve">M\S TOP CHOPPER REMOVE FOR SIDE PLATE CHANGE FOR GAP ISSUE </t>
  </si>
  <si>
    <t>EXIT SHAEAR GAP SHIM ADJUST</t>
  </si>
  <si>
    <t xml:space="preserve">OIL LEACKAGE FROM TENSIONER UNIT VALVE STAND </t>
  </si>
  <si>
    <t>SCRAP STUCK INSIDE CHUTE PIPPE FROM PREVIOUS SHIFT SO GAS CUTTING DONE</t>
  </si>
  <si>
    <t xml:space="preserve">SETUP INTERCHANGE </t>
  </si>
  <si>
    <t>LINE SPEED SLOW DUE TO RM COIL WAVINESS</t>
  </si>
  <si>
    <t xml:space="preserve">  CLEARANCE  ADJUST IN BHOTH SETUP(1.8 AND 2 MM)</t>
  </si>
  <si>
    <t>15.12.2025</t>
  </si>
  <si>
    <t xml:space="preserve">COIL FOLD IN LOOP </t>
  </si>
  <si>
    <t>TRIMMING STOCK IN M / S CHOPPER CHUTE PIPE</t>
  </si>
  <si>
    <t>UNCOILER &amp; RECOILER SEGMENT CHANGE</t>
  </si>
  <si>
    <t>16.12.2025</t>
  </si>
  <si>
    <t>BYPASS WORK FOR LINE HEALTHY</t>
  </si>
  <si>
    <t>RE-WORK</t>
  </si>
  <si>
    <t>17.12.2025</t>
  </si>
  <si>
    <t>UNCOILER MENDRAL CENTER ISSUE</t>
  </si>
  <si>
    <t>ENTRY COIL CAR FWD \RVS ISSUE</t>
  </si>
  <si>
    <t>END CUT</t>
  </si>
  <si>
    <t>18.12.2025</t>
  </si>
  <si>
    <t>DRAN CHAIN BROKEN</t>
  </si>
  <si>
    <t>SET UP INTER CHANGE 2 TIMES</t>
  </si>
  <si>
    <t>4 TIMES CLEARANCE ADJUST 1 TIMES RBS CHANGE</t>
  </si>
  <si>
    <t>4 TIMES CLEARANCE ADJUST</t>
  </si>
  <si>
    <t>DRAN CHAIN FEEDING</t>
  </si>
  <si>
    <t>CUTTER PENITRATION ISSUE AS PER HMI VALUE</t>
  </si>
  <si>
    <t>MANUALY CLEARANCE CHECK IN FEELER GAUGE</t>
  </si>
  <si>
    <t>2 TIMES CHOPPER CALBRATION</t>
  </si>
  <si>
    <t xml:space="preserve">EXIT SHEAR TABLE WELDING </t>
  </si>
  <si>
    <t>19.12.2025</t>
  </si>
  <si>
    <t>ARBBER HEAD TOP LUCKING CLY CHANGE FOR OIL LEACKEGE</t>
  </si>
  <si>
    <t>CUTTER CLEARANGE</t>
  </si>
  <si>
    <t>KNIVE TURNSTYLE FWD\ RVS ISSUE</t>
  </si>
  <si>
    <t>20.12.2025</t>
  </si>
  <si>
    <t>EXIT SHEAR TABLE  CLAMP WELDING</t>
  </si>
  <si>
    <t>LINE RUN 30 MPM DUE TO METALSA</t>
  </si>
  <si>
    <t>3 TIME CUTTER CLEARANGE</t>
  </si>
  <si>
    <t>CHOPPER CHANGE &amp; CALIBRATION</t>
  </si>
  <si>
    <t>INLINE CHANGE FOR PARTING</t>
  </si>
  <si>
    <t>21.12.2025</t>
  </si>
  <si>
    <t>CHOPPER CALIBRATION SO GAP INCREASE</t>
  </si>
  <si>
    <t>SET UP ENTER CHANGE</t>
  </si>
  <si>
    <t>EXIT SHEAR GAP CHECK &amp; ADJUST</t>
  </si>
  <si>
    <t>5 TIMES CUTTER CLEARANCE</t>
  </si>
  <si>
    <t>22.12.2025</t>
  </si>
  <si>
    <t>4 TIME CUTTER CLEARANCE &amp; 2 TIME CUTTER CHANGE</t>
  </si>
  <si>
    <t>ALL TURN STYLE FULL</t>
  </si>
  <si>
    <t>3 TIMES  BOX CLEAN</t>
  </si>
  <si>
    <t>CONVEYOR FRWD ISSUE</t>
  </si>
  <si>
    <t xml:space="preserve"> SET UP INTER CHANGE</t>
  </si>
  <si>
    <t>23.12.2025</t>
  </si>
  <si>
    <t>M / S CHOPPER BOTTOM BLED FALL IN RUNNING LINE</t>
  </si>
  <si>
    <t>3 TIME BOX CLEAN</t>
  </si>
  <si>
    <t>CRANE NO - 5 BREAKDOWN</t>
  </si>
  <si>
    <t xml:space="preserve">ALL CUTTER CHANGE </t>
  </si>
  <si>
    <t>24.12.2025</t>
  </si>
  <si>
    <t>2 TIMES  SET UP INTER CHANGE</t>
  </si>
  <si>
    <t xml:space="preserve">EXIT SHEAR BUSH </t>
  </si>
  <si>
    <t xml:space="preserve">CONVEYOR  TRIP </t>
  </si>
  <si>
    <t>4 TIMES  BOX CLEAN</t>
  </si>
  <si>
    <t>CUTTER CHANGE AND CLEARANCE ADJUST 2 TIMES</t>
  </si>
  <si>
    <t>25.12.2025</t>
  </si>
  <si>
    <t>SETUP  TURNSTILE   POSITION ISSUE IN ARBBOR SIDE</t>
  </si>
  <si>
    <t>2 TIME CUTTER CHANGE &amp; 1 TIME CLEARANCE</t>
  </si>
  <si>
    <t xml:space="preserve"> 2TIMES SET UP INTER CHANGE </t>
  </si>
  <si>
    <t>EMG NOT ACTIVE</t>
  </si>
  <si>
    <t>26.12.2025</t>
  </si>
  <si>
    <t>3 TIMES  SET UP INTER CHANGE</t>
  </si>
  <si>
    <t>2 TIME BOX CLEAN</t>
  </si>
  <si>
    <t>SETUP  TURNSTILE   POSITION ISSUE IN ARBBOR SIDE &amp; IN/OUT ISSUE</t>
  </si>
  <si>
    <t>2 TIME SCRAP CONVYER TRIP</t>
  </si>
  <si>
    <t xml:space="preserve">CONVEYOR FWD \ RVS </t>
  </si>
  <si>
    <t>CUTTER CHANGE &amp; CLEARANCE</t>
  </si>
  <si>
    <t>CLEARANCE PROBLEM DUE TO ARBOR HEAD LOCKING ISSUE</t>
  </si>
  <si>
    <t xml:space="preserve">PRATING DELAY </t>
  </si>
  <si>
    <t xml:space="preserve">3 TIMES INLINE SEPARATER CHANGE </t>
  </si>
  <si>
    <t xml:space="preserve">OBBBS SENSOR ISSUE </t>
  </si>
  <si>
    <t xml:space="preserve">UNCOILER COIL CAR REV &amp; FEW PROBLEM </t>
  </si>
  <si>
    <t>27.12.2025</t>
  </si>
  <si>
    <t>TOP ARBBER CRANK BROKEN</t>
  </si>
  <si>
    <t>6 TIMES SET CLEARANCE ADJUST</t>
  </si>
  <si>
    <t xml:space="preserve">SET UP INTER CHANGE  &amp; INLINE LOOP LINE OVER ARM SET UP </t>
  </si>
  <si>
    <t xml:space="preserve">SBOTH CHOPPER CHANGE </t>
  </si>
  <si>
    <t xml:space="preserve">EXIT SHESR GAP ADJUSTMENT DURING CHOPPER CHANGE </t>
  </si>
  <si>
    <t>RECOILER SEGMENT CHANGE FROM 610 TO 760.</t>
  </si>
  <si>
    <t xml:space="preserve">CHOPPER CALIBIRATION &amp; SHIM ADJUSTMENT FOR GAP </t>
  </si>
  <si>
    <t>28.12.2025</t>
  </si>
  <si>
    <t>BOTH SIDE CHOPPER SIM ADJUST &amp; CALIBRATION</t>
  </si>
  <si>
    <t>CUTTER CLEARANCE FOR BURR &amp; BREAKWAY</t>
  </si>
  <si>
    <t xml:space="preserve">UNLODING COIL CAR PIANO ALL ROLL CHANGE </t>
  </si>
  <si>
    <t>KNIVE TURN STYLE  FWD \RVS ISSUE</t>
  </si>
  <si>
    <t>UNLOADING COIL CAR  FWD \ RVS  ISSUE</t>
  </si>
  <si>
    <t xml:space="preserve">SET UP REMOVE FROM ARBOUR </t>
  </si>
  <si>
    <t xml:space="preserve">SET UP INSERT IN ARBOUR </t>
  </si>
  <si>
    <t xml:space="preserve">TRUNSTYLE JAM SO  FRW  &amp; REV BY CHAIN PULLY  MANUALY </t>
  </si>
  <si>
    <t xml:space="preserve">INSPECTION  &amp; END CUT DELAY </t>
  </si>
  <si>
    <t>BOX CLEAN AND CHUTE AREA CLEAN</t>
  </si>
  <si>
    <t>29.12.2025</t>
  </si>
  <si>
    <t>FELT PAD TOP MOUNTING BASE WELDING</t>
  </si>
  <si>
    <t xml:space="preserve">INSPECTION DELAY AND END CUT CUTTING </t>
  </si>
  <si>
    <t>ARBOUR TURNSTYLE WORK</t>
  </si>
  <si>
    <t>30.12.2025</t>
  </si>
  <si>
    <t>2 SET UP CHANGE</t>
  </si>
  <si>
    <t>RE WORK</t>
  </si>
  <si>
    <t>10+01</t>
  </si>
  <si>
    <t>ARBOUR PENETRATION NOT WORK</t>
  </si>
  <si>
    <t>TOP ARBOUR SHAFT WORK</t>
  </si>
  <si>
    <t>6 TIMES CLEARANCE ADJUST 2 TIMES SET UP INTER CHANGE</t>
  </si>
  <si>
    <t xml:space="preserve">10 TIMES CLEARANCE ADJUST </t>
  </si>
  <si>
    <t>5 MM COIL BACK</t>
  </si>
  <si>
    <t>31.12.2025</t>
  </si>
  <si>
    <t>BUTTOM ARBOUR SET UP AND SET UP INTERCHANGE</t>
  </si>
  <si>
    <t>2 TIMES CLEARANCE ADJUST AND 5 TIMES CUTTER CHANGE</t>
  </si>
  <si>
    <t>CIRCUM BROKEN PUFF COIL SO WELDING</t>
  </si>
  <si>
    <t>10:20  to  12:40pm</t>
  </si>
  <si>
    <t>EXIT CROP SHARE  BLADE CHANGE &amp; CALIBRATION</t>
  </si>
  <si>
    <t>SET UP INTER  CHANGE</t>
  </si>
  <si>
    <t xml:space="preserve">1 TIMES CLEARANCE ADJUST &amp; 1 TIME CUTTER CHANGE </t>
  </si>
  <si>
    <t>CHUTE PIPE SHIFTED</t>
  </si>
  <si>
    <t xml:space="preserve">DEFLECTOR ROLL TABLE WELDING BROKEN </t>
  </si>
  <si>
    <t>01.01.2026</t>
  </si>
  <si>
    <t>CAKE CUTTING CEROM0NY</t>
  </si>
  <si>
    <t>2 TIMES SET UP CHANGE</t>
  </si>
  <si>
    <t>CUTTER CHANGE &amp; CLEARANCE  ADJUST</t>
  </si>
  <si>
    <t>MANUALY JOG NOT WORKING</t>
  </si>
  <si>
    <t>INLINE &amp; OVER CHANGE FOR PARTING</t>
  </si>
  <si>
    <t>SCRAP BOX CLEANNING</t>
  </si>
  <si>
    <t>02.01.2026</t>
  </si>
  <si>
    <t>TENSONER UNIT  HYD. OIL LEAKGE</t>
  </si>
  <si>
    <t>HYD. PRESSURE ISSU</t>
  </si>
  <si>
    <t>ARBOR HEAD FULLY IN ISSUE</t>
  </si>
  <si>
    <t xml:space="preserve">INSPECTION  </t>
  </si>
  <si>
    <t>5 TIMES CUTTER CHANGE &amp; 4 TIMES CLEARANCE ADJUST</t>
  </si>
  <si>
    <t xml:space="preserve">INSPECTION DELAY &amp; END CUT DELAY </t>
  </si>
  <si>
    <t>5 CIOL PUP COIL REMOVE IN UNCOILER SIDE AS PER SLP</t>
  </si>
  <si>
    <t>03.01.2026</t>
  </si>
  <si>
    <t xml:space="preserve">7 COIL OF METALSA  RUNNING 30@MPM </t>
  </si>
  <si>
    <t>END CUTTING (APPROX 20 MTR  ID &amp; OD) IN EACH COIL</t>
  </si>
  <si>
    <t xml:space="preserve">4 COIL OF METALSA  RUNNING 30@MPM </t>
  </si>
  <si>
    <t>SEGMENT CHANGE,BOTH SIDE CHOPPER CHANGE</t>
  </si>
  <si>
    <t>UNCOILER &amp; RECOILER SEGEMENT CHANGE</t>
  </si>
  <si>
    <t xml:space="preserve">REWORK PUP COIL REMOVE </t>
  </si>
  <si>
    <t>2 TIME CLEARANCE FOR BREAKWAY</t>
  </si>
  <si>
    <t>UNCOILER SEGMENT COVER REMOVING IN SHIFT STRAT</t>
  </si>
  <si>
    <t>1+4RW</t>
  </si>
  <si>
    <t>4 TIME INLINE OVERARM CHANGE FOR REWOK</t>
  </si>
  <si>
    <t>SET UP INTER  CHANGE DURING SEGMENT CHANGE</t>
  </si>
  <si>
    <t>04.01.2026</t>
  </si>
  <si>
    <t xml:space="preserve"> CLEARANCE  ADJUST FOR BREAKWAY</t>
  </si>
  <si>
    <t>M\S CHOPPER CALIBRATION</t>
  </si>
  <si>
    <t>4-5 TIMES TRIM OUT FROM CHUTE DUE TO HEAVY WAVENESS IN RM</t>
  </si>
  <si>
    <t>2 TIMES TRIM STUCK M/S CHUTE PIPE DURING COIL FEEDING</t>
  </si>
  <si>
    <t>SPEED LOSS DELAY(LINE RUNNING IN 100MPM DUE TO HEAVY WAVINESS IN RM COIL)</t>
  </si>
  <si>
    <t>SET UP CHANGE AND CHOPPER CALIBRATION</t>
  </si>
  <si>
    <t>RE-SET UP DUE TO CUTTER NOT AVAILABLE</t>
  </si>
  <si>
    <t>CUTTER CHANGE AND CLEARANCE ADJUST</t>
  </si>
  <si>
    <t>TRIM STUCK IN PREVIOUS SHIFT SO REMOVED</t>
  </si>
  <si>
    <t>EJECTION PLATE IN OUT ISSUE</t>
  </si>
  <si>
    <t>05.01.2025</t>
  </si>
  <si>
    <t>2 TIMES SET UP CHANGE EJECTION PLATE NOT WORK SO MANUAALY OPERATE</t>
  </si>
  <si>
    <t>2 TIMES CHOPPER CALIBRATION AND CHUTE PIPE SHIFTING</t>
  </si>
  <si>
    <t>05.01.2026</t>
  </si>
  <si>
    <t xml:space="preserve">CRANE 3 ENGAGE IN WCTL 1 BREAKDOWN </t>
  </si>
  <si>
    <t>2 TIMES CHUTE PIPE SHIFTING</t>
  </si>
  <si>
    <t>SCRAP JAM MS CHUTE PIPE</t>
  </si>
  <si>
    <t>06.01.2026</t>
  </si>
  <si>
    <t xml:space="preserve">3 TIMES CUTTER CHANGE &amp; CLEARANCE ADJUSTMENT </t>
  </si>
  <si>
    <t xml:space="preserve"> SET UP INTER CHANGE &amp; INLINE OVER ARM SET UP </t>
  </si>
  <si>
    <t>SET UP CHANGE,EXIT SHEAR CHANGE,SEGMENT CHANGE,CHOPPER CALIBRATION</t>
  </si>
  <si>
    <t>.218.18</t>
  </si>
  <si>
    <t>4  TIMES CUTTER CLEARANCE</t>
  </si>
  <si>
    <t>ARBBER HEAD CLEARANCE ISSUE</t>
  </si>
  <si>
    <t>SET UP CHANGE FOR PARTING</t>
  </si>
  <si>
    <t xml:space="preserve">ARBOUR HEAD CHECK NUT TIGHTNING DUE CLEARANCE ISSUE PREVIOUS SHIFT </t>
  </si>
  <si>
    <t xml:space="preserve">SET UP CHECK AND CLEARNCE ADJUST </t>
  </si>
  <si>
    <t>07.01.2026</t>
  </si>
  <si>
    <t>2 TIMES CONVYER JAM &amp; TRIP</t>
  </si>
  <si>
    <t>2 TIMES CUTTER CHANGE &amp; 2 TIMES CLEARANCE ADJUST</t>
  </si>
  <si>
    <t xml:space="preserve">POWER PACK HYD. PRESSURE WORK </t>
  </si>
  <si>
    <t xml:space="preserve">INLINE LOCK BEND IN PREVIOUS SHIFT </t>
  </si>
  <si>
    <t>AIR NOZZLE NOT AVL.</t>
  </si>
  <si>
    <t>INSPECTION  BYTSK QC</t>
  </si>
  <si>
    <t xml:space="preserve">SET  UP INTER CHANGE &amp; INLINE LOOP LINE &amp; OVER ARM SET UP </t>
  </si>
  <si>
    <t>EXIT SHEAR EXCESS SLOW OPERATE AFTER ADJUSTING PREESURE IN POWER PACK</t>
  </si>
  <si>
    <t>SLOW SHERING IN LAST 2 COILS .</t>
  </si>
  <si>
    <t>HYD POWER PACK PRESSOR ISSUE</t>
  </si>
  <si>
    <t>SETUP CHANGE</t>
  </si>
  <si>
    <t>CUTTER JAAM IN JAAM</t>
  </si>
  <si>
    <t xml:space="preserve"> SCRAP CONVYER TRIP</t>
  </si>
  <si>
    <t>2  TIMES   SETUP CHANGE</t>
  </si>
  <si>
    <t>3  TIMES  SCRAP BOX CLEANNING</t>
  </si>
  <si>
    <t>08.01.2026</t>
  </si>
  <si>
    <t xml:space="preserve">  SETUP CHANGE</t>
  </si>
  <si>
    <t>2 TIMES  SCRAP BOX CLEANNING</t>
  </si>
  <si>
    <t xml:space="preserve">EXIT SHEAR BLADE CHANGE </t>
  </si>
  <si>
    <t xml:space="preserve">   SETUP CHANGE</t>
  </si>
  <si>
    <t xml:space="preserve">MS CHOPPER TOP BOLT TIGHT AND SHIFT </t>
  </si>
  <si>
    <t>ONLINE BOTTOM ALL  RBS &amp; CUTTER CHANGE FOR CUTTER MARK</t>
  </si>
  <si>
    <t>BOTTOM ARBBER PIN BROKEN</t>
  </si>
  <si>
    <t>TURN STYLE MISS MATCH IN ARBBER</t>
  </si>
  <si>
    <t xml:space="preserve">SETUP INJECTION PLET </t>
  </si>
  <si>
    <t>09.01.2026</t>
  </si>
  <si>
    <t>UNCOILER COIL CAR COVER FOLD ED DURING REV</t>
  </si>
  <si>
    <t>SET UP INTER CHANGE &amp; IN LINE LOOP LINE OVER ARM SET UP</t>
  </si>
  <si>
    <t xml:space="preserve">3 TIMESS INLINE SET UP CHANGE </t>
  </si>
  <si>
    <t xml:space="preserve">TOP ARBOUR AL RBS CHANGE  DUE TO CUTTER MARK </t>
  </si>
  <si>
    <t xml:space="preserve">O / S CHOPPER SIM ADJUST </t>
  </si>
  <si>
    <t>BOTH SIDE CHPPER CALIBRATION</t>
  </si>
  <si>
    <t>RE COILING DELAY LOOSE COIL &amp; EXPAND ID</t>
  </si>
  <si>
    <t>7.5+1RW</t>
  </si>
  <si>
    <t xml:space="preserve">  3 TIME  SETUP CHANGE</t>
  </si>
  <si>
    <t xml:space="preserve">  SCRAP BOX CLEANNING</t>
  </si>
  <si>
    <t>M\ S CHOPPER CALIBRTAION</t>
  </si>
  <si>
    <t>10.01.2026</t>
  </si>
  <si>
    <t>AUTOMATIC POWER CUT OF SLITTER</t>
  </si>
  <si>
    <t>TRIM STUCK IN SCRAP CHUTE PIPE</t>
  </si>
  <si>
    <t>COIL CAR PIANO ROLL CHANGE</t>
  </si>
  <si>
    <t>20.01.2026</t>
  </si>
  <si>
    <t>BOTH SIDE CHOPPER CHUTE PIPE SHIFTTING</t>
  </si>
  <si>
    <t xml:space="preserve">2 TIMESCUTTER CHANGE </t>
  </si>
  <si>
    <t>CONVEYOR  BREAKDOWN</t>
  </si>
  <si>
    <t>11.01.2026</t>
  </si>
  <si>
    <t xml:space="preserve">SET UP INTER CHANGE </t>
  </si>
  <si>
    <t>CUTTER CHANGE AND CLEARANCE</t>
  </si>
  <si>
    <t>OFF CUT TEAR IN RUNNING LINE SO PARTING</t>
  </si>
  <si>
    <t xml:space="preserve">   TIME  SETUP CHANGE</t>
  </si>
  <si>
    <t>SCRAP CONVYER TRIP</t>
  </si>
  <si>
    <t>M / S CHOPPER GAP INCREASE IN RUNNING   &amp; CALIBRATION</t>
  </si>
  <si>
    <t>2 TIME  SCRAP BOX CLEANNING</t>
  </si>
  <si>
    <t>ARBOR HEAD OPEN ISSUE</t>
  </si>
  <si>
    <t>M\ S CHOPPER CALIBRATION</t>
  </si>
  <si>
    <t xml:space="preserve">2 TIMES CLEARANCE  ADJUST </t>
  </si>
  <si>
    <t>2 TIMES CUTTER CHANGE DUE TO CUTTER BROKEN</t>
  </si>
  <si>
    <t>12.01.2026</t>
  </si>
  <si>
    <t>CUTTER CHANGE AND CUTTER JAM</t>
  </si>
  <si>
    <t>TURNSTYLE  BREAKDOWWN</t>
  </si>
  <si>
    <t xml:space="preserve">  SETUP  INTER CHANGE DUE TO TURNSTYLE BREAKDOWN</t>
  </si>
  <si>
    <t xml:space="preserve"> CLEARANCE  ADJUST </t>
  </si>
  <si>
    <t xml:space="preserve">ARBOR HEAD PROBLEM </t>
  </si>
  <si>
    <t xml:space="preserve">EXIT SHEAR GAP CHANGE </t>
  </si>
  <si>
    <t>SENSOR ISSUE</t>
  </si>
  <si>
    <t>PACKAGING DELAY DUE TO HIGH THICKNESS (14 NOS CIRCUMFERENCE STRAPING)</t>
  </si>
  <si>
    <t>CUTTER REMOVED DUE TO CUTTER LINE MARK</t>
  </si>
  <si>
    <t>13.01.2026</t>
  </si>
  <si>
    <t>INLINE SETUP CHANGE FOR PARTING COIL</t>
  </si>
  <si>
    <t>ARBBER HEAD FEEDING</t>
  </si>
  <si>
    <t>ARBOR CALIBRATION</t>
  </si>
  <si>
    <t>EXIT SHEAR CALIBRTAION</t>
  </si>
  <si>
    <t>2 TIMES  BOX CLEAN</t>
  </si>
  <si>
    <t xml:space="preserve">3 TIMES EJECTION PLATE NOT WORK SO MANUALLY OPERATE </t>
  </si>
  <si>
    <t>CUTTER CHANGE AND FELT PAD CHANGE</t>
  </si>
  <si>
    <t>CUTTER JAAM IN ARBBER</t>
  </si>
  <si>
    <t>CUTTER CLEARANCE FOR BREAKWAY ( HS 800 )</t>
  </si>
  <si>
    <t>14.01.2026</t>
  </si>
  <si>
    <t>EXIT COIL CAR DERAILED</t>
  </si>
  <si>
    <t>EXIT COIL CAR  D- RAILED</t>
  </si>
  <si>
    <t>1+5</t>
  </si>
  <si>
    <t>11 RW</t>
  </si>
  <si>
    <t xml:space="preserve"> SETUP CHANGE</t>
  </si>
  <si>
    <t>RECOILING</t>
  </si>
  <si>
    <t>15.01.2026</t>
  </si>
  <si>
    <t xml:space="preserve">REWINDING COIL RAP SHIFTED DUE TO LOOSE COIL AT UN COILER </t>
  </si>
  <si>
    <t xml:space="preserve">CHUTE PIPE SHIFTING </t>
  </si>
  <si>
    <t xml:space="preserve">2 TIMES SET UP INTER CHANGE &amp; LOOPLINE OVERARM SET UP </t>
  </si>
  <si>
    <t>2 TIMES CUTTER CHANGE &amp; 3 TIMES CLEARANCE ADJUST</t>
  </si>
  <si>
    <t>RE SET UP  DUE TO WRONG  CUTTING CLEARANCE  IN HANDOVER SET UP</t>
  </si>
  <si>
    <t>STRIP PRESENCE SENSOR  CHANGE DUE TO NOT WORKING</t>
  </si>
  <si>
    <t>SPEED LOSS  DELAY IN METALSA (30MPM)</t>
  </si>
  <si>
    <t>CUTTER CHANGE &amp;4 TIMES  CLEARANCE ADJUST</t>
  </si>
  <si>
    <t>2 TIME POP COIL DISCARD DUE TO STICKER MARK</t>
  </si>
  <si>
    <t>2 TIME  SETUP CHANGE</t>
  </si>
  <si>
    <t>FELTPAD CHANGE</t>
  </si>
  <si>
    <t>16.01.2026</t>
  </si>
  <si>
    <t>3TIMES SCRAP BOX CLEAN</t>
  </si>
  <si>
    <t xml:space="preserve">END CUT &amp; INSPECTION DELAY </t>
  </si>
  <si>
    <t>ENTRY THREADING PILLAR TABLE HYD.HOSE CHANGE</t>
  </si>
  <si>
    <t xml:space="preserve"> SCRAP CONVYER JAM </t>
  </si>
  <si>
    <t xml:space="preserve">2 TIMES FELTPAD CHANGE </t>
  </si>
  <si>
    <t>17.01.2026</t>
  </si>
  <si>
    <t>COIL IN RECOILER DUE TO TURNSTYLE FULL</t>
  </si>
  <si>
    <t>COIL ID  STUCK IN RE COILER  MANDREL</t>
  </si>
  <si>
    <t xml:space="preserve">INSPECTION &amp; EN CUT </t>
  </si>
  <si>
    <t>END CUT FOR WIDTH  +VE</t>
  </si>
  <si>
    <t>18.01.2026</t>
  </si>
  <si>
    <t xml:space="preserve">3 TIME SCRAP BOX CLEAN </t>
  </si>
  <si>
    <t>M/S SIDE CHUTE PIPE  UP/DOWN CYLINDER MOUNTING  WELDING  BROKEN</t>
  </si>
  <si>
    <t>CONVEYOR BREAKDOWN</t>
  </si>
  <si>
    <t>19.01.2026</t>
  </si>
  <si>
    <t>3 TIMES  CUTTER CHANGE</t>
  </si>
  <si>
    <t xml:space="preserve">  CUTTER CHANGE</t>
  </si>
  <si>
    <t xml:space="preserve">2TIMES  SET UP INTER CHANGE &amp; INLINE OVER ARM SET UP </t>
  </si>
  <si>
    <t>21.01.2026</t>
  </si>
  <si>
    <t>CRANE NO. 4 DELAY</t>
  </si>
  <si>
    <t xml:space="preserve">CONVYER JAM </t>
  </si>
  <si>
    <t xml:space="preserve">TENSIONER UNIT REV &amp; FEW ISSUE </t>
  </si>
  <si>
    <t xml:space="preserve">EXIT TURNSTILE LOCK PIN WORK </t>
  </si>
  <si>
    <t>SET UP INTER CHANGE &amp; INLINE OVER ARM SET UP</t>
  </si>
  <si>
    <t xml:space="preserve">ONLINE CUTTER CHANGE </t>
  </si>
  <si>
    <t xml:space="preserve"> CLEARANCE ADJUST </t>
  </si>
  <si>
    <t>GRIPER TITEING</t>
  </si>
  <si>
    <t>22.01.2026</t>
  </si>
  <si>
    <t xml:space="preserve"> 5 TIMES SET UP INTER CHANGE</t>
  </si>
  <si>
    <t>2 TIMES INLINE OVER ARM SET UP FOR PARTING</t>
  </si>
  <si>
    <t>PUFF COIL REMOVED FOR REMARK</t>
  </si>
  <si>
    <t xml:space="preserve">3TIMES  SET UP INTER CHANGE &amp; INLINE OVER ARM SET UP </t>
  </si>
  <si>
    <t>23.01.2026</t>
  </si>
  <si>
    <t xml:space="preserve">ARBOR CLEARANCE ISSUE </t>
  </si>
  <si>
    <t xml:space="preserve">TENSION UNIT REV &amp; FEW ISSUE </t>
  </si>
  <si>
    <t>BOTH CHOPPER CHANGE</t>
  </si>
  <si>
    <t xml:space="preserve">EXIT SHEAR TOP BLADE CHANGE &amp;  GAP ADJUSTMENT </t>
  </si>
  <si>
    <t xml:space="preserve">3 TIMES SET UP INTERVCHANGE &amp; INLINE OVER ARM SET UP </t>
  </si>
  <si>
    <t>2TIME  SET UP INTER CHANGE &amp; INLINE OVER ARM SET UP/ SEGMENT CHANGE</t>
  </si>
  <si>
    <t>TENSION UNIT DRIVE FAULT MANY TIME</t>
  </si>
  <si>
    <t xml:space="preserve"> CLEARANCE </t>
  </si>
  <si>
    <t>24.01.2026</t>
  </si>
  <si>
    <t>CONVEYOR FWD \ RVS ISSUE</t>
  </si>
  <si>
    <t>SET UP INTER CHANGE &amp; INLINE LOOP LINE OVER ARM SET UP</t>
  </si>
  <si>
    <t>SPACER  STUCK INSIDE ARBOUR SHAFT</t>
  </si>
  <si>
    <t>CONVYER JAM</t>
  </si>
  <si>
    <t>SPACER JAM INSIDE ARBOUR SHAFT</t>
  </si>
  <si>
    <t>2TIME  SET UP INTER CHANGE &amp; INLINE OVER ARM SET UP</t>
  </si>
  <si>
    <t>WRONG SETUP HANDOVER IN BEFOR SHIFT</t>
  </si>
  <si>
    <t>COIL NOT AVAILABLE FOR CRANE NO - 3</t>
  </si>
  <si>
    <t>SCRAP JAM IN CHUTE PIPE</t>
  </si>
  <si>
    <t xml:space="preserve">RE SLIT TWISTED &amp; OVER LAP WITH PRIME </t>
  </si>
  <si>
    <t>SLLITTER</t>
  </si>
  <si>
    <t>25.01.2026</t>
  </si>
  <si>
    <t xml:space="preserve">2 TIMES SET UP INTER CHANGE &amp; INLINE LOOP LINE OVER ARM SET UP </t>
  </si>
  <si>
    <t>POP COIL GENERATED DUE TO SLIT OVERLAP &amp; TWISTED AT INLINE SEPARATOR .</t>
  </si>
  <si>
    <t xml:space="preserve">M\S CHUTE PIPE DOWN ISSUE </t>
  </si>
  <si>
    <t>11+1 RW</t>
  </si>
  <si>
    <t>2 TIMES CUTTER CHANGE AND  1 TIMES CLEARANCE ADJUST</t>
  </si>
  <si>
    <t>MS CHUTE UP DOWN ISSUE</t>
  </si>
  <si>
    <t>INSPECTION DELAY AND END CUT FOR MILL SCAB</t>
  </si>
  <si>
    <t>3 TIME  SCRAP BOX CLEAN</t>
  </si>
  <si>
    <t>RE WOARK  DELAY DUE TO OFF CUT SLIT OD LAYER MOVE OUT</t>
  </si>
  <si>
    <t>EXIT SHARE GAP ADJUST &amp; BOTH SIDE CHOPPER CALIBRATION</t>
  </si>
  <si>
    <t xml:space="preserve">INSPETION DELAY </t>
  </si>
  <si>
    <t>2 TIME CONVYER TRIP</t>
  </si>
  <si>
    <t>9+1RW</t>
  </si>
  <si>
    <t>SET UP INTER CHANGE&amp; INLINE LOOPLINE OVERARM SET UP &amp; RECOILER SEGMENT CHANGE</t>
  </si>
  <si>
    <t>26.01.2026</t>
  </si>
  <si>
    <t>FLAG HOSTING</t>
  </si>
  <si>
    <t>PUFF COIL</t>
  </si>
  <si>
    <t>3 TIME SET UP INTER CHANGE &amp;INLINE, LOOP LINE ,OVERARM SET UP</t>
  </si>
  <si>
    <t>CONVEYOR TRIP</t>
  </si>
  <si>
    <t>2 TIME SET UP INTER CHANGE&amp; INLINE LOOPLINE OVERARM SET UP</t>
  </si>
  <si>
    <t>PUP COIL REMOVE DUE TO BREAKWAY</t>
  </si>
  <si>
    <t>2 TIME CONVYER JAAM</t>
  </si>
  <si>
    <t>M /S CHOPPER BOTTOM BLADE CHANGE FOR BROKEN</t>
  </si>
  <si>
    <t>3 TIME SET UP INTER CHANGE&amp; INLINE LOOPLINE OVERARM SET UP</t>
  </si>
  <si>
    <t xml:space="preserve"> CONVYER JAAM</t>
  </si>
  <si>
    <t>27.01.2026</t>
  </si>
  <si>
    <t xml:space="preserve">SVCRAP BOX CLEAN </t>
  </si>
  <si>
    <t>EXIT SHEAR TABLE WORK</t>
  </si>
  <si>
    <t>5+1RW</t>
  </si>
  <si>
    <t xml:space="preserve"> SET UP INTER CHANGE&amp; INLINE LOOPLINE OVERARM SET UP</t>
  </si>
  <si>
    <t xml:space="preserve">  SCRAP BOX CLEAN</t>
  </si>
  <si>
    <t>BOTH UNCOILER AND RECOILER SEGMENT CHANGE 760 TO 610</t>
  </si>
  <si>
    <t xml:space="preserve">STRIKE </t>
  </si>
  <si>
    <t>UNCOILER SEGMENT CHANGE FROM 610 TO 760</t>
  </si>
  <si>
    <t>28.01.2026</t>
  </si>
  <si>
    <t>M\S CHUTE PIPE WORK</t>
  </si>
  <si>
    <t>10(RW)</t>
  </si>
  <si>
    <t>3 TIME SCRAP CONVYER TRIP</t>
  </si>
  <si>
    <t>M /  S CHOPPER BOTTOM BLED CHANGE FOR BROKEN IN RUNNING LINE</t>
  </si>
  <si>
    <t>M / S CHUTE PIPE CHANGE</t>
  </si>
  <si>
    <t>UNCOILER SEGMENT CHANGE DURING MAINTNACE WORK</t>
  </si>
  <si>
    <t>3 TIMES   SET UP INTER CHANGE INLINE  OVERARM SET UP</t>
  </si>
  <si>
    <t>SET UP TURNSTILE  IN OUT PROBLEM</t>
  </si>
  <si>
    <t>29.01.2026</t>
  </si>
  <si>
    <t>SET UP TURNSTILE  IN OUT PROBLEM FROM PREVIOUS SHIFT</t>
  </si>
  <si>
    <t>2 TIMES SET UP INTER CHANGE AND CHOPPER CALIBRATION</t>
  </si>
  <si>
    <t>RBS CHANGE FOR BROKEN IN PREVIOR SHIFT</t>
  </si>
  <si>
    <t>RM COIL NOT AVAILABLE FOR CRANE NO - 3 BUSY IN OTHER WORK</t>
  </si>
  <si>
    <t>PACKGING DELAY FOR MAN POWER ISSUE</t>
  </si>
  <si>
    <t>PUFF COIL OFR SCRATCHES DUE TO FELTPAD REMOVE IN RUNNING LINE</t>
  </si>
  <si>
    <t>2 TIMES   SET UP INTER CHANGE INLINE  OVERARM SET UP</t>
  </si>
  <si>
    <t>3 TIME CLEARANCE ADJUST DUE TO BREAKWAY AND BURR(4MM HS 800)</t>
  </si>
  <si>
    <t>2 POP COIL GENERATED AND 3 TIME CUTTER CHANGED DUE TO CUTTER DAMAGE IN RUNNING LINE(4MM HS800)</t>
  </si>
  <si>
    <t>ARBOUR TURNSTILE AND ARBOUR CENTRE MISMATCH</t>
  </si>
  <si>
    <t>30.01.2026</t>
  </si>
  <si>
    <t xml:space="preserve">M\S CHOPPER BTOM BLADE CHANGE </t>
  </si>
  <si>
    <t xml:space="preserve">DUE TO CUTTER BROKEN </t>
  </si>
  <si>
    <t xml:space="preserve">2 TIMES SET UP INTER CHANGE &amp; INLINE OVER ARMSET UP </t>
  </si>
  <si>
    <t xml:space="preserve">CUTTER STUCK  INSIDE ARBOUR DURING INSERT </t>
  </si>
  <si>
    <t xml:space="preserve">ARBOUR TURNSTILE FEW &amp; REV ISSUE </t>
  </si>
  <si>
    <t xml:space="preserve"> SET UP INTER CHANGE &amp; INLINE OVER ARMSET UP </t>
  </si>
  <si>
    <t>M / S CHOPPER CALIBRATION</t>
  </si>
  <si>
    <t>CUTTER CLEARANCE</t>
  </si>
  <si>
    <t>31.01.2026</t>
  </si>
  <si>
    <t>SEGEMENT CHANGE</t>
  </si>
  <si>
    <t>TUNSTILE NOT MOVEING</t>
  </si>
  <si>
    <t>1+6RW</t>
  </si>
  <si>
    <t xml:space="preserve"> INLINE OVER ARM SET UP CHANGE FOR PARTING</t>
  </si>
  <si>
    <t>COIL NOT AVAILABLE FOR CRANE BUSY IN OTHER WORK</t>
  </si>
  <si>
    <t>10RW</t>
  </si>
  <si>
    <t>UN COILER SEGEMENT  CHANGE</t>
  </si>
  <si>
    <t>4 TIMES  SETUP CHANGE</t>
  </si>
  <si>
    <t xml:space="preserve">CUTTER JAM </t>
  </si>
  <si>
    <t>01.02.2026</t>
  </si>
  <si>
    <t>4 TIMES SCRAP BOX CLEAN</t>
  </si>
  <si>
    <t>3 TIMES  SETUP CHANGE</t>
  </si>
  <si>
    <t xml:space="preserve"> CHOPPER CALIBIRATION </t>
  </si>
  <si>
    <t>SHEAR GAP ADJUSTMENT</t>
  </si>
  <si>
    <t>LINE SPEED SLOW DUE TO COIL HEVY  WAVENESS ALL COIL</t>
  </si>
  <si>
    <t xml:space="preserve">2 TIMES SETUP ENTER CHANGE </t>
  </si>
  <si>
    <t>02.02.2026</t>
  </si>
  <si>
    <t>EXIT SHARE GAP ADJUSTMENT</t>
  </si>
  <si>
    <t>O / S BOTTOM  CHOPPER  BLADE FALL IN RUNNING LINE</t>
  </si>
  <si>
    <t>2 TIME  SCRAP BOX CLEAN</t>
  </si>
  <si>
    <t xml:space="preserve">RE COILER SEGMET CHANGE </t>
  </si>
  <si>
    <t>CRANE NO 3 UNDER MAINTENANCE</t>
  </si>
  <si>
    <t xml:space="preserve">END CUT DELAY </t>
  </si>
  <si>
    <t xml:space="preserve">COIL NOT AVL IN LINE </t>
  </si>
  <si>
    <t xml:space="preserve">TRUNSTILE JAM </t>
  </si>
  <si>
    <t xml:space="preserve">2 TIMES CONVYER TRIPM </t>
  </si>
  <si>
    <t>03.02.2026</t>
  </si>
  <si>
    <t xml:space="preserve">2 TIMES SETUP ENTER CHANGE AND SET UP CHANGE DELAY </t>
  </si>
  <si>
    <t>2 TIMES COIL BACK AND CUTTER CHANGE</t>
  </si>
  <si>
    <t xml:space="preserve">DUE TO CUTTER DAMAGE AFTER FEEDING </t>
  </si>
  <si>
    <t>2 TIMES CUTTER CHANGE AND 1 TIMES CLEARANCE ADJUST</t>
  </si>
  <si>
    <t>1 PUFF COIL REMOVED AND END CUT CUTTING</t>
  </si>
  <si>
    <t>TURN STYLE NOT  MOVEMENT</t>
  </si>
  <si>
    <t>04.02.2026</t>
  </si>
  <si>
    <t xml:space="preserve"> SETUP ENTER CHANGE </t>
  </si>
  <si>
    <t xml:space="preserve">COIL SHIFT &amp; UNTRIM IN RUNNING LINE DUE TO EMG NOT WORKING </t>
  </si>
  <si>
    <t>POWER CUT BY TATA STEEL</t>
  </si>
  <si>
    <t xml:space="preserve">3 TIMES SETUP ENTER CHANGE AND SET UP CHANGE DELAY </t>
  </si>
  <si>
    <t>2 TIMES CLEARANCE ADJUST AND 2 TIMES CUTTER CHANGE</t>
  </si>
  <si>
    <t>05.02.2026</t>
  </si>
  <si>
    <t>BOTH SIDE CHOPPER CALIBRATION</t>
  </si>
  <si>
    <t>EXIT SHARE GAP ADJUST</t>
  </si>
  <si>
    <t xml:space="preserve">2 TIME  SETUP ENTER CHANGE </t>
  </si>
  <si>
    <t>LINE SLOW RUNNING DUE TO  METALSA COIL PROCESS (30MPM)</t>
  </si>
  <si>
    <t xml:space="preserve"> 2 TIMES SCRAP BOX CLEAN</t>
  </si>
  <si>
    <t xml:space="preserve">3 TIMES SET UP INTER CHANGE </t>
  </si>
  <si>
    <t xml:space="preserve">1 PUFF COIL REMOVED AND END CUT CUTTING </t>
  </si>
  <si>
    <t>06.02.2026</t>
  </si>
  <si>
    <t xml:space="preserve">  SETUP ENTER CHANGE </t>
  </si>
  <si>
    <t>2 TIME  CUTTER CHANGE FOR CUTTER BOKEN FOR METALSA</t>
  </si>
  <si>
    <t>SETUP TURN STILE IN / OUT PROBLEM</t>
  </si>
  <si>
    <t>2 TIMES SET UP INTER CHANG</t>
  </si>
  <si>
    <t xml:space="preserve">3 TIMES MANUALY ARBOUR TURNSTILE IN &amp; OUT </t>
  </si>
  <si>
    <t>3 TIMES CUTTER CHANGE &amp; CLEARANCE ADJUST FOR BREAKAWAY</t>
  </si>
  <si>
    <t>BUS LATE ARRAIVED</t>
  </si>
  <si>
    <t xml:space="preserve">SET UP JAM DURING SET UP INTER CHANGE </t>
  </si>
  <si>
    <t>07.02.2026</t>
  </si>
  <si>
    <t>SCRAP CONVYER  TRIP</t>
  </si>
  <si>
    <t>MANUALY PUSE TURNSTYLE FOR NO LEADSCREEW</t>
  </si>
  <si>
    <t>2 TIME  CUTTER CHANGE FOR CUTTER BOKEN FOR HS800  2+3</t>
  </si>
  <si>
    <t xml:space="preserve"> O / S CHOPPER BOTTOM BLADEFALL IN RUNNING LINE</t>
  </si>
  <si>
    <t xml:space="preserve"> SET UP INTER CHANGE AND CLEARANCE</t>
  </si>
  <si>
    <t xml:space="preserve">OS CHOPPER BLADE  CHANGE </t>
  </si>
  <si>
    <t xml:space="preserve">CONVEYOR JAM </t>
  </si>
  <si>
    <t xml:space="preserve">MANUAL FORWORD REVERSE TURNSTYLE </t>
  </si>
  <si>
    <t>ARBOUR HEAD HYDRULIC WORK</t>
  </si>
  <si>
    <t xml:space="preserve">ARBOUR BOTTOM HEAD GRIPPING ISSUE </t>
  </si>
  <si>
    <t>3 TIMES CUTTER CHANGE &amp; 4 TIMES CLEARANCE ADJUST FOR BREAKAWAY</t>
  </si>
  <si>
    <t>08.02.2026</t>
  </si>
  <si>
    <t xml:space="preserve">2 SET UP INTER CHANGE &amp; INLINE &amp; OVER ARM SET UP </t>
  </si>
  <si>
    <t>CHOPPER CHANGE AND SEGMENT CHANGE AND CHOPPER CALIBRATION</t>
  </si>
  <si>
    <t>METALSA COIL BACK</t>
  </si>
  <si>
    <t xml:space="preserve">3  TIMES CLEARANCE </t>
  </si>
  <si>
    <t>ALL  CUTTER CHANGE FOR 4 MM COIL</t>
  </si>
  <si>
    <t xml:space="preserve"> 2  TIMES  CHOPPER CALIBRATION</t>
  </si>
  <si>
    <t xml:space="preserve"> 3TIMESCUTTER CHANGE AND CLEARANCE</t>
  </si>
  <si>
    <t>PIANO ROLL CHANGE</t>
  </si>
  <si>
    <t xml:space="preserve"> ALL CUTTER ,RUBBER AND OFFSET CHANGE</t>
  </si>
  <si>
    <t>09.02.2026</t>
  </si>
  <si>
    <t xml:space="preserve"> SET UP INTER CHANGE &amp; INLINE &amp; OVER ARM SET UP </t>
  </si>
  <si>
    <t xml:space="preserve"> 2 TIMES  CUTTER CHANGE AND CLEARANCE ADJUST</t>
  </si>
  <si>
    <t>MS CHUTE CALIBRATION</t>
  </si>
  <si>
    <t>CREAN NO 3 DELAY</t>
  </si>
  <si>
    <t>10.02.2026</t>
  </si>
  <si>
    <t>4  TIMES SET UP INTER CHANGE</t>
  </si>
  <si>
    <t xml:space="preserve">SET UP EDIT </t>
  </si>
  <si>
    <t>EXIT SHEAR BLADE GAP</t>
  </si>
  <si>
    <t>5 TIMES CONVEYOR JAM</t>
  </si>
  <si>
    <t>CHOPPER CHANGE MS</t>
  </si>
  <si>
    <t>MEETING WITH OEM FAGOR</t>
  </si>
  <si>
    <t xml:space="preserve"> CONVEYOR JAM</t>
  </si>
  <si>
    <t>RBS CHANGE AND2 TIME CLEARANCE ADJUST</t>
  </si>
  <si>
    <t>11.02.2026</t>
  </si>
  <si>
    <t xml:space="preserve"> 2TIMES    BOX CLEAN</t>
  </si>
  <si>
    <t>3  TIMES SET UP INTER CHANGE AND IN LINE  OVER ARM SETUP</t>
  </si>
  <si>
    <t xml:space="preserve"> 3 TIMES  CUTTER CHANGE AND CLEARANCE ADJUST</t>
  </si>
  <si>
    <t xml:space="preserve">INSPECTIO0N DELAY </t>
  </si>
  <si>
    <t>SAMPLE COLLECT</t>
  </si>
  <si>
    <t xml:space="preserve"> 2 TIMES SET UP INTER CHANGE &amp; IN LINE  OVER ARM SET UP </t>
  </si>
  <si>
    <t xml:space="preserve">6 TIMES ARBOUR TURNSTILE DRIVE FAULT </t>
  </si>
  <si>
    <t xml:space="preserve">COIL EDGE GRINDIG PENDING </t>
  </si>
  <si>
    <t xml:space="preserve">4 TIMES FELTPAD CHANGE </t>
  </si>
  <si>
    <t>END CUT CUTTING &amp;PUFF COIL DELAY</t>
  </si>
  <si>
    <t>RE - COILER MENDRAL CHECKED BY MAINTNACE PERSION</t>
  </si>
  <si>
    <t>12.02.2026</t>
  </si>
  <si>
    <t>EXIT SHEAR CALIBRATION</t>
  </si>
  <si>
    <t>SEGMENT CHANGE,CHOPPER CALIBRATION,SET UP INTER CHANGE</t>
  </si>
  <si>
    <t>END CUT  BOX CLEAN</t>
  </si>
  <si>
    <t>13.02.2026</t>
  </si>
  <si>
    <t>CONVEYOR FWD\ RVS ISSUE</t>
  </si>
  <si>
    <t>END CUT FOR SLPK</t>
  </si>
  <si>
    <t xml:space="preserve">0\S CHUTEPIPE DOWN ISSUE </t>
  </si>
  <si>
    <t xml:space="preserve">CHOPPER BOLT TIGHTNESS </t>
  </si>
  <si>
    <t xml:space="preserve">3 TIMES FELTPAD CHANGE </t>
  </si>
  <si>
    <t>O\S CHOPPER GAP INCREASE UP[ TO 1 MM}</t>
  </si>
  <si>
    <t>M /S CHOPPER SIM ADJUST DUE TO GAP INCREASE IN RUNNING LINE</t>
  </si>
  <si>
    <t>M S CHOPPER CHUTE HOSE PIPE CHANGE DUE TO OIL LEAKAGE</t>
  </si>
  <si>
    <t>14.02.2026</t>
  </si>
  <si>
    <t>ARBOUR PENETRATION ISSUE</t>
  </si>
  <si>
    <t xml:space="preserve">  CUTTER CHANGE </t>
  </si>
  <si>
    <t xml:space="preserve">ALL MALE RBS CHANGE </t>
  </si>
  <si>
    <t xml:space="preserve">SPEED LOSS DEALY </t>
  </si>
  <si>
    <t>METALSA COIL PROCESS IN 30MPM</t>
  </si>
  <si>
    <t xml:space="preserve">  CUTTER CHANGE AND CLEARANCE </t>
  </si>
  <si>
    <t>OIL LEAKGE FROM ACB</t>
  </si>
  <si>
    <t>SCARP CONVYER TRIP CONTINUE IN PREVIOR SHIFT</t>
  </si>
  <si>
    <t>M S CHOPPER TOP BLADE FEETTING DUE TO FALL IN RUNNING LINE</t>
  </si>
  <si>
    <t>INSPECTION LIGHT NOT WORKING</t>
  </si>
  <si>
    <t>2 TIME  END CUT  BOX CLEAN</t>
  </si>
  <si>
    <t>PENDING COIL &amp; SLP/WRONG COIL HANDOVER IN PREVIOR SHIFT</t>
  </si>
  <si>
    <t>15.02.2026</t>
  </si>
  <si>
    <t xml:space="preserve">SCARP CONVYER TRIP </t>
  </si>
  <si>
    <t xml:space="preserve">PUFF REMOVE </t>
  </si>
  <si>
    <t>PUFF REMOVE DUE TO UNTRIM</t>
  </si>
  <si>
    <t xml:space="preserve">   BOX CLEAN</t>
  </si>
  <si>
    <t>CUTTER STUCK IN ARBOUR</t>
  </si>
  <si>
    <t>INSPECTION LIGHT FITTING</t>
  </si>
  <si>
    <t xml:space="preserve">CONVEYOR JAM  AND TRIP 6 TIMES </t>
  </si>
  <si>
    <t>2TIME SETUP INTER CHANGE</t>
  </si>
  <si>
    <t>RM COIL NOT AVAILABLE DELAY BY CRANE NO -3</t>
  </si>
  <si>
    <t>RBS CHANGE FOR CUTTER  MARK</t>
  </si>
  <si>
    <t>16.02.2026</t>
  </si>
  <si>
    <t>CHOPPER CALIBRATION AND MS CHOPPER BLADE CHANGE</t>
  </si>
  <si>
    <t>INSPECTION LIGHT OFF</t>
  </si>
  <si>
    <t xml:space="preserve">2  CUTTER CHANGE AND 3 CLEARANCE </t>
  </si>
  <si>
    <t xml:space="preserve">LINE RUN 20 MPM FOR COIL HEAVY TELCOPYCITY </t>
  </si>
  <si>
    <t>EMG ISSUE</t>
  </si>
  <si>
    <t>OS SIDE GUIDE OPEN ISSUE</t>
  </si>
  <si>
    <t xml:space="preserve">SET UP TURNSTILE IN OUT PROBLEM </t>
  </si>
  <si>
    <t>LEAD SCREW C,LINEAR BEARING ,DRIVE WORK</t>
  </si>
  <si>
    <t>PUFF COIL,AND END CUT CUTTING</t>
  </si>
  <si>
    <t>CUTTER CHANGE,RBS CHANGE</t>
  </si>
  <si>
    <t>MEETING BY TATA STEEL QUALITY</t>
  </si>
  <si>
    <t>17.02.2026</t>
  </si>
  <si>
    <t>SETUP TURN STIE AUTOMATIC ROTATED  IN SETUP IN TIME</t>
  </si>
  <si>
    <t>18.02.2026</t>
  </si>
  <si>
    <t>4 CUTTER AND 3 RBS REPLACE DUE TO DAMAGE CUTTER PUT</t>
  </si>
  <si>
    <t xml:space="preserve">LESS MAN POWER </t>
  </si>
  <si>
    <t>3 TIME  SET UP INTER CHANGE</t>
  </si>
  <si>
    <t>EXIT SHARE TABLE WELDING</t>
  </si>
  <si>
    <t>OFFLINE SETUP FOR NO SETUP HANDOVER BY PREVIORS SHIFT</t>
  </si>
  <si>
    <t>2 CUTTER CLEARANCE FOR BREAKWAY</t>
  </si>
  <si>
    <t>CHOPPER CHANGE  &amp; CALIBRATION</t>
  </si>
  <si>
    <t>INSPECTIONB DELAY</t>
  </si>
  <si>
    <t>19.02.2026</t>
  </si>
  <si>
    <t>SET UP INTER CHANGE AND CHOPPER CALIBRATION</t>
  </si>
  <si>
    <t>TENSION UNIT BEARING CHANGE</t>
  </si>
  <si>
    <t>FELT PAD INSERT INTO OFF CUT</t>
  </si>
  <si>
    <t>1 TIMES CUTTER CHANGE</t>
  </si>
  <si>
    <t>M / S CHOPPER CALIBRATION FOR GAP INCREASE IN RUNNING LINE</t>
  </si>
  <si>
    <t>AIR PRESURE FULT</t>
  </si>
  <si>
    <t>SET UP  CHANGE  FOR PARTING  COIL</t>
  </si>
  <si>
    <t>2 TIMES  CUTTER CHANGE</t>
  </si>
  <si>
    <t xml:space="preserve">SET UP INTER CHANGE &amp; INLINE LOOP LINE OVER ARM SET UP </t>
  </si>
  <si>
    <t xml:space="preserve">COIL TWISTED IN FELT PAD </t>
  </si>
  <si>
    <t xml:space="preserve">M\S CHOPPER CALIBIRATION FOR GAP IN   CREASE </t>
  </si>
  <si>
    <t>20.02.2026</t>
  </si>
  <si>
    <t xml:space="preserve">2 TIMES FELT PAD CHANGE </t>
  </si>
  <si>
    <t>BOTH SIDE CHUTE PIPE SHIFTING</t>
  </si>
  <si>
    <t xml:space="preserve">INSPECTION DELAY AND END CUT </t>
  </si>
  <si>
    <t>TRIMMING JAAM IN O / S CHUTE PIPE</t>
  </si>
  <si>
    <t>21.02.2026</t>
  </si>
  <si>
    <t>SETUP INTER CGANGE</t>
  </si>
  <si>
    <t>OFFLINE SETUP FOR LESS MANPOWER</t>
  </si>
  <si>
    <t>EXIT  SHARE CALIBRATION</t>
  </si>
  <si>
    <t>O / S CHUTE PIPE DOWNISSUE</t>
  </si>
  <si>
    <t>TABLE WELDING</t>
  </si>
  <si>
    <t xml:space="preserve">SETUP INTER CHANGE </t>
  </si>
  <si>
    <t xml:space="preserve">COIL NOT AVAILABLE \ NO SCHEDULE </t>
  </si>
  <si>
    <t>22.02.2026</t>
  </si>
  <si>
    <t>SET UP INTER CHANGE,LOOP LINE,OVER ARM SET UP</t>
  </si>
  <si>
    <t>UNLOADING TURN STYLE ROTATION ISSUE</t>
  </si>
  <si>
    <t>SET UP AND SET UP INTER CHANGE DUE TO LESS MAN POWER</t>
  </si>
  <si>
    <t xml:space="preserve">SETUP </t>
  </si>
  <si>
    <t>4MM COIL CUTTER CLEARANCE</t>
  </si>
  <si>
    <t>4 MM COIL UNLODEING</t>
  </si>
  <si>
    <t>CUTTER  AND RBS CHANGE</t>
  </si>
  <si>
    <t>23.02.2026</t>
  </si>
  <si>
    <t>2 TIME SET UP INTER CHANGE,LOOP LINE,OVER ARM SET UP</t>
  </si>
  <si>
    <t>3 TIME INLINE SETUP FOR PARTTING</t>
  </si>
  <si>
    <t>PARTTING DELAY</t>
  </si>
  <si>
    <t>4 TIME SET UP INTER CHANGE</t>
  </si>
  <si>
    <t xml:space="preserve">OFLINE SET UP </t>
  </si>
  <si>
    <t>8+1RW</t>
  </si>
  <si>
    <t xml:space="preserve">CUTTER STUCK IN ARBOUR </t>
  </si>
  <si>
    <t>5 TIMES INLINE CHANGE</t>
  </si>
  <si>
    <t>SET UP</t>
  </si>
  <si>
    <t>24.02.2026</t>
  </si>
  <si>
    <t xml:space="preserve"> TIMES SCRAP BOX CLEAN</t>
  </si>
  <si>
    <t>END CUT CUTTING &amp; 3 PUP COIL REMOVE</t>
  </si>
  <si>
    <t>UNCOILER &amp; RE COILER SEGMENT CHANGE</t>
  </si>
  <si>
    <t>TENSONER PRESSURE ROLL ADJUST</t>
  </si>
  <si>
    <t>PUFF COIL REMOVED AND CUTTER CHANGE</t>
  </si>
  <si>
    <t>UNLOADING COIL CAR DERAIL WHEN PIANO DOWN</t>
  </si>
  <si>
    <t>2 TIMES CLEARANCE ADJUST AND 2 TIMES CUTTER CHANGE  DUE TO CUTTER BROKEN</t>
  </si>
  <si>
    <t>CHOPPER CALIBRATION AND FELT PAD CHANGE</t>
  </si>
  <si>
    <t>25.02.2026</t>
  </si>
  <si>
    <t>UNLOADING COIL CAR WORK CONTINUE IN PREVIORS SHIFT</t>
  </si>
  <si>
    <t>HDY TEMPETURE FULT</t>
  </si>
  <si>
    <t>CUTTER CHANGE &amp; 2 TIMES CLEARANCE ADJUST</t>
  </si>
  <si>
    <t>STRAIGHTNER BUFFING</t>
  </si>
  <si>
    <t>26.02.2026</t>
  </si>
  <si>
    <t>STAIGHTENER ROLL BUFFING &amp; ENTRY SHARE BACK ROLL BASE BROKEN CONTINUE IN PREVIORS SHIFT</t>
  </si>
  <si>
    <t>2 TIM ESCRAP BOX CLEAN</t>
  </si>
  <si>
    <t xml:space="preserve"> END CUT CUTTING </t>
  </si>
  <si>
    <t>4 TIMES CUTTER CHANGE</t>
  </si>
  <si>
    <t xml:space="preserve"> 2 TIME EMG ISSUE </t>
  </si>
  <si>
    <t>27.02.2026</t>
  </si>
  <si>
    <t>1 TIME CUTTER CHANGE</t>
  </si>
  <si>
    <t>2 TIME OFFLINE SETUP DELAY DUE TO SINGLE COIL SINGLE SETUP</t>
  </si>
  <si>
    <t>2  TIME SET UP INTER CHANGE</t>
  </si>
  <si>
    <t>ALL  RBS CHANGE DUE CUTTER LINE MARK IN PREVIOUS SHIFT HANDOVER SET UP</t>
  </si>
  <si>
    <t>STRIGHTNER ROLL UP DOWN ISSUE</t>
  </si>
  <si>
    <t>COIL  UNLOADED DUE TO CUTTER NOT AVL. FOR CUTTER CHANGE &amp; NEW SET UP CHANGE FOR NEXT CAMPAIGN</t>
  </si>
  <si>
    <t>4 TIME CUTTER CHANGE  DUE TO CUTTER BROKEN IN RUUNING LINE</t>
  </si>
  <si>
    <t>SPEED LOSS DEALY METALSA (30MPM)</t>
  </si>
  <si>
    <t xml:space="preserve">O\S CHOPPER BOTM BLADE FITTING </t>
  </si>
  <si>
    <t xml:space="preserve">ARBOUR TURNSTILE ROATATION IISSUE </t>
  </si>
  <si>
    <t xml:space="preserve">END CUT CUTTING &amp; INSPECTION DELAY </t>
  </si>
  <si>
    <t xml:space="preserve">HANDOVER SET UP FULLY NOT DONE </t>
  </si>
  <si>
    <t>28.02.2026</t>
  </si>
  <si>
    <t>LINE RUNNING PLANNIING DELAY  FOR VE - COMMERCIAL (5MM 310 X 4) BY SHIFT INCHARGE</t>
  </si>
  <si>
    <t>4 TIME CUTTER CHANGE &amp; CLEARANCE</t>
  </si>
  <si>
    <t>NO RM  COIL AVL. ( HIGH TEMP COIL )</t>
  </si>
  <si>
    <t>4+3</t>
  </si>
  <si>
    <t>01.03.2026</t>
  </si>
  <si>
    <t>M\S CHUTE PIPE UP DOWN ISSUE  (SENSOR REPLACED)</t>
  </si>
  <si>
    <t xml:space="preserve"> 2 TIMES CUTTER CHANGE</t>
  </si>
  <si>
    <t>2 TIMES CUTTER CHANGE &amp; CLEARANCE</t>
  </si>
  <si>
    <t xml:space="preserve">INSPECTION DELAY &amp; END CUT </t>
  </si>
  <si>
    <t xml:space="preserve">RM NOT AVAILABLE DUE TO HIGH TEMP COIL 120 DEGREE COIL HANDOVER </t>
  </si>
  <si>
    <t xml:space="preserve">FELT PAD LOCKING ISSUE UPPER </t>
  </si>
  <si>
    <t>UNLOADING TURN STYLE LOCKING PIANO BROKEN</t>
  </si>
  <si>
    <t xml:space="preserve">WRONG INLINE SET UP </t>
  </si>
  <si>
    <t>02.03.2026</t>
  </si>
  <si>
    <t>3 SET UP INTER CHANGE</t>
  </si>
  <si>
    <t>5+2</t>
  </si>
  <si>
    <t>RM NOT AVAILABLE DUE TO HIGH TEMP</t>
  </si>
  <si>
    <t>COIL RUNNING DELAY FOR METALSA( 30MPM SPEED)</t>
  </si>
  <si>
    <t>TRIMMING STOCK INSIDE O / S CHUTE PIPE IN  EVRY 7MM COIL</t>
  </si>
  <si>
    <t xml:space="preserve">INSPECTION LIGHT CUT OFF </t>
  </si>
  <si>
    <t>03.03.2026</t>
  </si>
  <si>
    <t>TRIMING STUCK CONTINIOUSLY OPERATOR SIDE IN CHUTE PIPE</t>
  </si>
  <si>
    <t>2  SET UP INTER CHANGE</t>
  </si>
  <si>
    <t>OFFLINE SETUP DUE TO LESS MAN POWER</t>
  </si>
  <si>
    <t>04.03.2026</t>
  </si>
  <si>
    <t>3TIME END CUT BOX CLEANNING</t>
  </si>
  <si>
    <t>RM NOT AVAILABLE DUE TO CRANE MOVEMENT STOP FOR AUDIT</t>
  </si>
  <si>
    <t>RM NOT AVAILABLE DUE TO CRANE 2 TRIP</t>
  </si>
  <si>
    <t>3 TIME FELT PAD CHANGE</t>
  </si>
  <si>
    <t>05.03.2026</t>
  </si>
  <si>
    <t>SCRATCH</t>
  </si>
  <si>
    <t>2 TIME CLEARANCE &amp; CUTTER CHANGE</t>
  </si>
  <si>
    <t xml:space="preserve"> 3  TIMES SET UP INTER CHANGE(SET UP DELAY IN SINGLE SET UP)</t>
  </si>
  <si>
    <t>EXIT TURNSTILE PIANO TEETH  ARM BROKEN</t>
  </si>
  <si>
    <t>INSPECTION &amp; END CUT DELAY</t>
  </si>
  <si>
    <t xml:space="preserve">TOP ARBOUR HEAD WORK </t>
  </si>
  <si>
    <t>2 TIMES END CUT BOX CLEANING</t>
  </si>
  <si>
    <t>CHOPPER GAP INCREASE</t>
  </si>
  <si>
    <t>3 TIME CLEARANCE ADJUST</t>
  </si>
  <si>
    <t xml:space="preserve">LINE STOP  MAINTAINANCE NOT WORKDUE TO AUDIT </t>
  </si>
  <si>
    <t xml:space="preserve"> SETUP INTER CHANGE</t>
  </si>
  <si>
    <t>SHARE EDGE GRINDING DELAY</t>
  </si>
  <si>
    <t>06.03.2026</t>
  </si>
  <si>
    <t xml:space="preserve">2 TIME SET UP CHANGE </t>
  </si>
  <si>
    <t xml:space="preserve">UNLOADING CAR FORWARD ISSUE </t>
  </si>
  <si>
    <t xml:space="preserve">2 TIMES MS TOP CHOPPER BLADE CHANGE </t>
  </si>
  <si>
    <t>EXIT COIL CAR TRACK WORK</t>
  </si>
  <si>
    <t xml:space="preserve">ARBOUR BOTTOM PIN BROKEN </t>
  </si>
  <si>
    <t>2 TIMES CLEARANCE ADJUSTMENT</t>
  </si>
  <si>
    <t xml:space="preserve">SET UP INETR CHANGE &amp; INLINE OVER ARM SET UP </t>
  </si>
  <si>
    <t xml:space="preserve">INSPECTION &amp; END CUT </t>
  </si>
  <si>
    <t>2 TIME  SETUP INTER CHANGE</t>
  </si>
  <si>
    <t>CUTTER CLARANACE</t>
  </si>
  <si>
    <t>2 TIME FELTPAD CHANGE</t>
  </si>
  <si>
    <t>EXIT SHARE GAP ADJUST BY MAINTNACE DURING CHOPPER CHANGE</t>
  </si>
  <si>
    <t>CHOPPER CALI BRATION</t>
  </si>
  <si>
    <t>07.03.2026</t>
  </si>
  <si>
    <t xml:space="preserve"> END CUT BOX CLEANNING</t>
  </si>
  <si>
    <t xml:space="preserve"> SET UP CHANGE </t>
  </si>
  <si>
    <t xml:space="preserve">2 TIMES CUTTER CHANGE  </t>
  </si>
  <si>
    <t>TRIM STUCK IN OS CHUTE PIPE</t>
  </si>
  <si>
    <t>PEELER  TABLE IN PROBLEM</t>
  </si>
  <si>
    <t xml:space="preserve"> FELT PAD INSERT IN OFFCUT</t>
  </si>
  <si>
    <t>COMMUNICATION FOR ACCIDENT IN WCTL - 1 (Dt - 02.03.2026)</t>
  </si>
  <si>
    <t>ENTRY LOADING COIL CAR WHEEL OUT</t>
  </si>
  <si>
    <t>08.03.2026</t>
  </si>
  <si>
    <t>ENTRY LOADING COIL CAR WHEEL OUT FROM PREVIOUS SHIFT CONTINUE</t>
  </si>
  <si>
    <t>ENTRY COIL CAR WHEEL OUT</t>
  </si>
  <si>
    <t>2 TIME SETUP INTERCHANGE \SEGMENT CHANGE</t>
  </si>
  <si>
    <t xml:space="preserve">EXIT SHARE GAP ADJUST </t>
  </si>
  <si>
    <t>ARBOUR HEAD RING GEAR BOULT LOOSE AND SPRING WASHER CHANGE</t>
  </si>
  <si>
    <t>ONLINE CUTTER CLARANACE</t>
  </si>
  <si>
    <t>END CUT CUTTING DELAY AND PUFF COIL</t>
  </si>
  <si>
    <t>PACKAGING DELAY</t>
  </si>
  <si>
    <t>09.03.2026</t>
  </si>
  <si>
    <t>3 TIME  END CUT BOX CLEANNING</t>
  </si>
  <si>
    <t>CUTTER JAAM IN TOP ARBBOR</t>
  </si>
  <si>
    <t>SHARE EDGE GRINDING DELAY FOR GRINDING PERSON NOT AVAILABLE DUE TO WORK IN OTHER PLACES BY MAINTENACE</t>
  </si>
  <si>
    <t>PACKGING DELAY FOR 6 RADIAL IN EVRY  SLIT FOR ASHOK LEYLAND</t>
  </si>
  <si>
    <t>3TIMES SET UP CHANGE</t>
  </si>
  <si>
    <t>ENTRY COIL CAR WHEEL OUT FROM PREVIOUS SHIFT CONTINUE</t>
  </si>
  <si>
    <t xml:space="preserve">NO MAN POWER FOR SEPARATION </t>
  </si>
  <si>
    <t>10.03.2026</t>
  </si>
  <si>
    <t>EXIT END CUT BOX TORLLY SENCER WORK</t>
  </si>
  <si>
    <t>EXIT COIL CAR PIANO ROLL CHANGE &amp; HYD PRESURE CHECK BY MAINTENACE</t>
  </si>
  <si>
    <t>INSPECTION  &amp; INSPECTION  DELAY  FOR COIL LOOSE RUTECUSE</t>
  </si>
  <si>
    <t>PUFF COIL REMOVE  DUE TO  CUTTER  LINE MARK</t>
  </si>
  <si>
    <t xml:space="preserve"> SET UP CHANGE</t>
  </si>
  <si>
    <t xml:space="preserve"> ALL RBS  CHANGE  OF HANDOVER SETUP</t>
  </si>
  <si>
    <t>11.03.2026</t>
  </si>
  <si>
    <t>END CUT BOX DON'T CLEAN FOR CRANE NO -5 BREAK DOWN</t>
  </si>
  <si>
    <t>4 TIME FELT PAD CHANGED</t>
  </si>
  <si>
    <t xml:space="preserve"> INSPECTION  DELAY </t>
  </si>
  <si>
    <t>2 TIME SET UP CHANGE</t>
  </si>
  <si>
    <t>HANDOVER COIL IN LINE OVERARM SETUP</t>
  </si>
  <si>
    <t>12.03.2026</t>
  </si>
  <si>
    <t xml:space="preserve">2 TIMES SET UP INTER CHANGE &amp;  INLINE OVER ARM SET UP </t>
  </si>
  <si>
    <t xml:space="preserve">O\S BOTTOM CHOPPER BLADE OUT </t>
  </si>
  <si>
    <t xml:space="preserve"> FG TURN STYLE FULL  DUE TO COIL SEPARATION DELAY</t>
  </si>
  <si>
    <t>CAMERA CHECK BY TATA STEEL OFFICER (ASHIS SIR)</t>
  </si>
  <si>
    <t>TIMES BOX CLEAN</t>
  </si>
  <si>
    <t>2 TIME FELT PAD CHANGED</t>
  </si>
  <si>
    <t>EXIT SHARE BOTH (TOP &amp; BOTTOM)  BLADE CHANGE DUE TO BROKEN</t>
  </si>
  <si>
    <t xml:space="preserve">2PUFF COIL REMOVE  </t>
  </si>
  <si>
    <t xml:space="preserve">3 TIMES SET UP INTER CHANGE &amp;  INLINE OVER ARM SET UP </t>
  </si>
  <si>
    <t xml:space="preserve">SNUBBER ROLL  OIL LEAKAGE </t>
  </si>
  <si>
    <t>13.03.2026</t>
  </si>
  <si>
    <t xml:space="preserve">TENSION UNIT FELTPAD BASE WELDING </t>
  </si>
  <si>
    <t>SCRAP CONVYER JAM</t>
  </si>
  <si>
    <t xml:space="preserve">COIL GRINDING DELAY </t>
  </si>
  <si>
    <t xml:space="preserve">O\S CHOPPER HEAD TRAVELL ISSUE </t>
  </si>
  <si>
    <t xml:space="preserve">STRAIGHTNER ROLL CHECK  &amp; CAMBER MEASUREMENT </t>
  </si>
  <si>
    <t>ALL BOTTOM RBS CHANGE FOR CUTTER LINE MARK</t>
  </si>
  <si>
    <t>3 TIMES END BOX CLEAN</t>
  </si>
  <si>
    <t xml:space="preserve">M S CHUTE SHIFT </t>
  </si>
  <si>
    <t>RE -SET UP OVER ARM</t>
  </si>
  <si>
    <t>TENSION UNIT FRWD REV ISSUE</t>
  </si>
  <si>
    <t>14.03.2026</t>
  </si>
  <si>
    <t xml:space="preserve">STRAIGHTNER ROLL GRINDING </t>
  </si>
  <si>
    <t xml:space="preserve">WRONG HANDOVER SET UP </t>
  </si>
  <si>
    <t xml:space="preserve">MS CHOPPER HEAD IN OUT PROBLEM </t>
  </si>
  <si>
    <t xml:space="preserve">OFFSET WRONG </t>
  </si>
  <si>
    <t xml:space="preserve">2 TIMES SET UP CHANGE </t>
  </si>
  <si>
    <t>15.03.2026</t>
  </si>
  <si>
    <t>MS CHOPPER HEAD IN OUT PROBLEM CONINUE IN PREVIOR SHIFT</t>
  </si>
  <si>
    <t>FELT PAD HDY OIL LEAKAGE</t>
  </si>
  <si>
    <t xml:space="preserve">3 TIMES SET UP CHANGE </t>
  </si>
  <si>
    <t>SINGLE COI PROCESS</t>
  </si>
  <si>
    <t>16.03.2026</t>
  </si>
  <si>
    <t>TOP ARBBER HEAD LOCK RING ALL BOLT BROKEN</t>
  </si>
  <si>
    <t>BOTH SIDE CHOPPER &amp; EXIT SHARE CALIBRATION</t>
  </si>
  <si>
    <t>1 TIME CUTTER CHANGE &amp; 2 TIME CLEARANCE</t>
  </si>
  <si>
    <t>5 TIMES SET UP INTER CHANGE</t>
  </si>
  <si>
    <t>NO HANDOVER SET UP GIVEN BY PREV. SHIFT</t>
  </si>
  <si>
    <t xml:space="preserve">ENTRY SCRAP BOX CHAIN BROKEN </t>
  </si>
  <si>
    <t>2 TIMES SET UP INTER CHABGE &amp; INLINE OVER ARM SET UP</t>
  </si>
  <si>
    <t xml:space="preserve"> LINE STOP DUE TO OFF CUT TELISCOPICS</t>
  </si>
  <si>
    <t>17.03.2026</t>
  </si>
  <si>
    <t>2 TIME RE-SETUP DUE TO WRONG SETUP IN PREVIORS SHIFT</t>
  </si>
  <si>
    <t>DECISION DELAY DUE TO COIL HAVY TELESCOPY IN PREVIOR SHIFT</t>
  </si>
  <si>
    <t xml:space="preserve"> 2 TIMES   SET UP INTER CHANGE</t>
  </si>
  <si>
    <t xml:space="preserve">UNCOILER SEGMENT CHANGE AND CHOPPER OPEN </t>
  </si>
  <si>
    <t xml:space="preserve">NO RM </t>
  </si>
  <si>
    <t>UNCOILER SEGMENT CHANGE,CHOPPER CHANGE</t>
  </si>
  <si>
    <t>REWORK,SET UP ARBOUR</t>
  </si>
  <si>
    <t>1+5 RW</t>
  </si>
  <si>
    <t>EXIT SHEAR CALIBRATION AND CONVEYOR CHECKING</t>
  </si>
  <si>
    <t>18.03.2026</t>
  </si>
  <si>
    <t xml:space="preserve"> FELT PAD INSERT IN OFFCUT IN EVRY COIL</t>
  </si>
  <si>
    <t>TENSONER UNIT   FWD \ RVS ISSUE</t>
  </si>
  <si>
    <t>TENSONER UNIT   FWD \ RVS ISSUE CONTINUE FROM PREVIOUS SHIFT</t>
  </si>
  <si>
    <t>19.03.2026</t>
  </si>
  <si>
    <t>EXIT SHEAR BLADE GAP ADJUSTMENT</t>
  </si>
  <si>
    <t xml:space="preserve">RECOILER SEGMENT CHANGE 760 TO  610 </t>
  </si>
  <si>
    <t xml:space="preserve">INLINE SEPARATER  LOCK BROKEN </t>
  </si>
  <si>
    <t>NO RM (HOT RM COIL)</t>
  </si>
  <si>
    <t xml:space="preserve"> 2 TIMES SET UP IN TER CHANGE</t>
  </si>
  <si>
    <t>CUTTER JAMM IN ARBOR</t>
  </si>
  <si>
    <t>20.03.2026</t>
  </si>
  <si>
    <t xml:space="preserve">3 TIME </t>
  </si>
  <si>
    <t>2 SET UP INTER CHANGE &amp; INLINE OVER ARM SET UP</t>
  </si>
  <si>
    <t>RBS CHANGE</t>
  </si>
  <si>
    <t xml:space="preserve"> 2 TIMES CLEARENCE ADJUST</t>
  </si>
  <si>
    <t>21.03.2026</t>
  </si>
  <si>
    <t xml:space="preserve">2 TIME </t>
  </si>
  <si>
    <t>2  CUTTER CLEARANCE AND RBS CHANGE FOR CUTTER LINE MARK</t>
  </si>
  <si>
    <t>ALL DRIVE FAULT</t>
  </si>
  <si>
    <t xml:space="preserve">DRIVE FAULT </t>
  </si>
  <si>
    <t>22.03.2026</t>
  </si>
  <si>
    <t xml:space="preserve">2 TIMES CUTTER CHANGE&amp;RBS CHANGE DUE TO CUTTER LINE MARK  &amp; CLEARANCE </t>
  </si>
  <si>
    <t>SET UP DUE T SINGE COIL</t>
  </si>
  <si>
    <t>23.03.2026</t>
  </si>
  <si>
    <t xml:space="preserve">HIGH TEMP COIL </t>
  </si>
  <si>
    <t xml:space="preserve">6 REWORK </t>
  </si>
  <si>
    <t xml:space="preserve">CRANE 5 USE BY LOGISTIC AND MAINTENANCE </t>
  </si>
  <si>
    <t xml:space="preserve">PINCHROLLL STRAIGHTNER ROLL CLEAN FOR DENT MARK </t>
  </si>
  <si>
    <t>05.+1</t>
  </si>
  <si>
    <t>TURNSTYLE LOCKING ISSUE</t>
  </si>
  <si>
    <t>PINCH ROLLL AND STRAIGHTNER ROLL GRINDING FOR DENT MARK</t>
  </si>
  <si>
    <t>24.03.2026</t>
  </si>
  <si>
    <t>FULL CUTTER SET CHANGE ,</t>
  </si>
  <si>
    <t xml:space="preserve">EJECTION PLATE REW &amp; FEW ISSUE </t>
  </si>
  <si>
    <t xml:space="preserve">TOP ARBOUE FLAGE REPLACE </t>
  </si>
  <si>
    <t xml:space="preserve">3 TIMES SET UP INTER CHANGE&amp; INLINE OVER ARM SET UP </t>
  </si>
  <si>
    <t>4 TIMES CLEARANCED ADJUST</t>
  </si>
  <si>
    <t xml:space="preserve">O\S CHOPPER BLADE CHANGE </t>
  </si>
  <si>
    <t xml:space="preserve">CONVYER TRIP </t>
  </si>
  <si>
    <t xml:space="preserve">SET UP INTER CHANGE&amp; INLINE OVER ARM SET UP </t>
  </si>
  <si>
    <t>25.03.2026</t>
  </si>
  <si>
    <t xml:space="preserve">3 SET UP INTER CHANGE&amp; INLINE OVER ARM SET UP </t>
  </si>
  <si>
    <t>SFTEY AUDIT</t>
  </si>
  <si>
    <t>WRONG SET UP BY PREVIOUS SHIFT</t>
  </si>
  <si>
    <t xml:space="preserve">3 CUTTER DAMAGE AND SPECER MISSING </t>
  </si>
  <si>
    <t xml:space="preserve">4 TIMES  FOR 4 MM COIL </t>
  </si>
  <si>
    <t>SHEAR TOP BLEAD CHANGE</t>
  </si>
  <si>
    <t>CLEARANCE ADJUST AND 2 TIME CUTTER CHANGE</t>
  </si>
  <si>
    <t>26.03.2026</t>
  </si>
  <si>
    <t>O/ S CHUTE PIPE FITTING BROKEN</t>
  </si>
  <si>
    <t>SCRAP CONVEYOR FWD\RVS ISSUE</t>
  </si>
  <si>
    <t>CHOPPER CHANGE,EXIT SHEAR CALIBRATION</t>
  </si>
  <si>
    <t xml:space="preserve"> 2 TIMES CUTTER CHANGE,FELT PAD CHANGE</t>
  </si>
  <si>
    <t>4 TIMES CONVEYOR JAM</t>
  </si>
  <si>
    <t>CHOPPER CHANGE SEGMENT CHANGE SETUP INTER CHANGE AND CALIIBRATION</t>
  </si>
  <si>
    <t>FELT PAD INSERT OFFCUT SLIT</t>
  </si>
  <si>
    <t>27.03.2026</t>
  </si>
  <si>
    <t xml:space="preserve"> 2 TIMES CUTTER CHANGE </t>
  </si>
  <si>
    <t>2 TIMES TRIM JAM INSIDE CHUTE PIPE DUETO STUCK AT BOTTOM CONICAL PART</t>
  </si>
  <si>
    <t>OVER ARM  CHANGING ISSUE</t>
  </si>
  <si>
    <t>2 TIMES SCRAP CONVEYOR  FWD \RVS ISSUE</t>
  </si>
  <si>
    <t>EXIT SHEAR BLADE</t>
  </si>
  <si>
    <t>6+2 RE SIT</t>
  </si>
  <si>
    <t>`</t>
  </si>
  <si>
    <t>SET UP DELAY DUE TO LESS MANPOWER</t>
  </si>
  <si>
    <t xml:space="preserve"> TIME BOX CLEAN</t>
  </si>
  <si>
    <t>28.03.2026</t>
  </si>
  <si>
    <t>SCRAP  CONVERYOR JAM</t>
  </si>
  <si>
    <t>3 TIME SET UP ENTER CHANGE  AND IN LINE  OVER ARM SET UP</t>
  </si>
  <si>
    <t>M/S  SIDE   CHOPPER CALIBRATION DUE TO GAP INCREASE IN RUNNING LINE</t>
  </si>
  <si>
    <t>2 TIMES TRIM JAM INSIDE M/S CHUTE PIPE DUETO STUCK AT BOTTOM CONICAL PART</t>
  </si>
  <si>
    <t>SET UP INTER CHANGE IN LINE OVER ARM SET UP</t>
  </si>
  <si>
    <t>COIL PARTING DUE TO LOOP UP</t>
  </si>
  <si>
    <t xml:space="preserve">FRONT END TRIM STUCK IN CHUTE PIPE  </t>
  </si>
  <si>
    <t xml:space="preserve">DURING  COIL FEEDING </t>
  </si>
  <si>
    <t>2 TIMESET UP INTER CHANGE IN LINE OVER ARM SET UP</t>
  </si>
  <si>
    <t>ALL CUTTER CHANGE AND RBS CHANGE AND CLEARANCE</t>
  </si>
  <si>
    <t>O\S  SIDE   CHOPPER CALIBRATION DUE TO GAP INCREASE IN RUNNING LINE</t>
  </si>
  <si>
    <t>LINE SPEED SLOW DUE TO  RM COIL EDGE WAVENESS</t>
  </si>
  <si>
    <t>29.03.2026</t>
  </si>
  <si>
    <t xml:space="preserve">SET UP WIDTH CHANGE </t>
  </si>
  <si>
    <t xml:space="preserve">SET UP INTER CHANGE &amp; IN LINE OVER ARM SET UP </t>
  </si>
  <si>
    <t>EXIT SHEAR GAP SHIM ADJUSTMENT</t>
  </si>
  <si>
    <t xml:space="preserve">O\S CHUTE PIPE UP &amp; DOWN PROBLEM </t>
  </si>
  <si>
    <t>29.03.2025</t>
  </si>
  <si>
    <t>3 TIMES SET UP INTER  CHANGE ( DUE TO SINGLE COIL PROCESS)</t>
  </si>
  <si>
    <t>CHOPPER OUT DUE TO LOCK PLAT BOLT MISSING</t>
  </si>
  <si>
    <t>30.03.2026</t>
  </si>
  <si>
    <t>3 TIMES SET UP INTERCHANGE INLINE ,OVER ARM SET UP</t>
  </si>
  <si>
    <t xml:space="preserve">2 TIMES CHOPPER CALIBRATION </t>
  </si>
  <si>
    <t>PIANO LOCK PIN BROKEN</t>
  </si>
  <si>
    <t>END CUT DELAY AND PUFF COIL REMOVED</t>
  </si>
  <si>
    <t xml:space="preserve">METAL TAPE NOT AVAILABLE </t>
  </si>
  <si>
    <t>SET UP DELAY DUE TO NEW MANPOWER</t>
  </si>
  <si>
    <t>PUFF COIL FOR BUTTOM SCRATCH</t>
  </si>
  <si>
    <t>2 TIMES SET UP INTER Change</t>
  </si>
  <si>
    <t>inspection delay</t>
  </si>
  <si>
    <t>end cut cutting delay</t>
  </si>
  <si>
    <t>3 times box clean</t>
  </si>
  <si>
    <t>3 times felt pad change</t>
  </si>
  <si>
    <t>chopper calibration</t>
  </si>
  <si>
    <t xml:space="preserve">EJECTION PLATE IN OUT PROBLEM </t>
  </si>
  <si>
    <t>31.03.2026</t>
  </si>
  <si>
    <t>2 TIMES INLINE INTER CHANGE FOR PARTING</t>
  </si>
  <si>
    <t xml:space="preserve">FELT PAD CHANGE 3 TIMES </t>
  </si>
  <si>
    <t xml:space="preserve"> CLEARANCE ADJUST</t>
  </si>
  <si>
    <t>REWORK AND  4 TIME INLINE OVERARM  CHANGE</t>
  </si>
  <si>
    <t>1+7 RW</t>
  </si>
  <si>
    <t>NO RM</t>
  </si>
  <si>
    <t>REWORK COIL PROSESS</t>
  </si>
  <si>
    <t>01.04.2026</t>
  </si>
  <si>
    <t>NO   RM</t>
  </si>
  <si>
    <t>FALTPAD HYDRAULIC CYLINDER MOUNTING BOULT TITING</t>
  </si>
  <si>
    <t>DRIVE FAULT</t>
  </si>
  <si>
    <t>LOADING COIL CAR  FRW ISSUE</t>
  </si>
  <si>
    <t>POWER OFF</t>
  </si>
  <si>
    <t xml:space="preserve">4 TIME SET UP INTER CHANGE </t>
  </si>
  <si>
    <t>SET UP , FOR SINGLE COIL</t>
  </si>
  <si>
    <t>02.04.2026</t>
  </si>
  <si>
    <t>1 RESLIT+4RW</t>
  </si>
  <si>
    <t>UNTRIM DUE TO EMG NOT WORKING IN RUNNING LINE , PUFF COIL DISCARDED</t>
  </si>
  <si>
    <t>NO RM DUE TO HIGH TEMP.</t>
  </si>
  <si>
    <t>PACKAGING DELAY DUE TO HIGH THICKNESS PARTING COIL</t>
  </si>
  <si>
    <t>03.04.2026</t>
  </si>
  <si>
    <t xml:space="preserve">BOTH O\S &amp; M\S CHOPPER CHANGE </t>
  </si>
  <si>
    <t xml:space="preserve">EXIT SHEAR GAP ADJUSTMENT &amp; INLINE SHAFT LOCK REPLACE </t>
  </si>
  <si>
    <t xml:space="preserve">SET UP INTER CHANGE &amp; LOOP LINE INLINE OVER ARM SET UP </t>
  </si>
  <si>
    <t>END CUT &amp; INSPECTION DELAY</t>
  </si>
  <si>
    <t>BOTH CHOPPER CALIBIRATION &amp; O/S SHIM ADJUSTMENT</t>
  </si>
  <si>
    <t>CUTTER CHANGE &amp; CLEARNCE</t>
  </si>
  <si>
    <t>2 TIME CUTTER CHANGE &amp; CLEARNCE</t>
  </si>
  <si>
    <t>04.04.2026</t>
  </si>
  <si>
    <t xml:space="preserve">SET UP INTER CHANGE &amp; INLIN EOVER ARM SET UP </t>
  </si>
  <si>
    <t>SET UP CHECK</t>
  </si>
  <si>
    <t>WRONG  SET UP GIVEN BY PREV, SHIFT</t>
  </si>
  <si>
    <t xml:space="preserve">END CUT DELAY &amp; PUFF COIL REMOVE </t>
  </si>
  <si>
    <t>2 TIMES CLEARANCE ADJUSTMENT  FELT PAD CHANGE</t>
  </si>
  <si>
    <t>TEMP</t>
  </si>
  <si>
    <t>05.04.2026</t>
  </si>
  <si>
    <t>ALL RBS CHANGE AND CUTTER CHANGE DUE TO CUTTER LINE MARK</t>
  </si>
  <si>
    <t>LINE UNDER MAINTENANCE</t>
  </si>
  <si>
    <t>END CUT DELAY DUE TO REMARK</t>
  </si>
  <si>
    <t>CUTTER CHANGE FOR DAMGED CUTTER USED IN NEW SET UP</t>
  </si>
  <si>
    <t>FRONT END &amp; TAIL END DISCARDED</t>
  </si>
  <si>
    <t>INSPECTION DELAY / BOTTOM INSPECTION DELAY</t>
  </si>
  <si>
    <t>COIL RUNNING DELAY FOR METALSA  (30MPM SPEED)</t>
  </si>
  <si>
    <t>3  TIMES SCRAP CONVYER JAM</t>
  </si>
  <si>
    <t>ARBOUR TURNSTILE IN/OUT ISSUE(MANNUAL CUTTER CHANGE)</t>
  </si>
  <si>
    <t>06.04.2026</t>
  </si>
  <si>
    <t>END CUT DELAY DUE TO REMARK AND MILL SCAB</t>
  </si>
  <si>
    <t>ARBOUR TURNSTILE IN/OUT ISSUE</t>
  </si>
  <si>
    <t>HANDOVER EDGE CHECK</t>
  </si>
  <si>
    <t>2 TIMES CLEARANCE ADJUSTMENT 4 TIME FELT PAD CHANGE</t>
  </si>
  <si>
    <t>3  SET UP CHANGE</t>
  </si>
  <si>
    <t xml:space="preserve">5 TIMES CLEARANCE ADJUST AND 1 TIMES SET UP RE CHECK </t>
  </si>
  <si>
    <t>O/S TOP BLADE BROKEN</t>
  </si>
  <si>
    <t>07.04.2026</t>
  </si>
  <si>
    <t>END CUTTING  DELAY</t>
  </si>
  <si>
    <t>SET  UP CHANGE</t>
  </si>
  <si>
    <t xml:space="preserve">NEW SET UP DONE  </t>
  </si>
  <si>
    <t>CUTTER   JAM IN  ARBOR</t>
  </si>
  <si>
    <t>3 TIMES  SET UP ENTER  CHANGE</t>
  </si>
  <si>
    <t>O/S SIDE CHUTE PIPE UP DOWN  ISSUE</t>
  </si>
  <si>
    <t xml:space="preserve">FLET PAD OUT FROM CLAMP </t>
  </si>
  <si>
    <t>2 TIMES PUFF COIL AND END CUT CUTTING FOR SLP REMARK</t>
  </si>
  <si>
    <t>5 TIMES SCRAP BOX CLEAN ENTRY AND EXIT FOR SLP</t>
  </si>
  <si>
    <t>ENTRY SCRAP TROLLY SPROCKET OUT FROM PREVIOUS SHIFT</t>
  </si>
  <si>
    <t>08.04.2026</t>
  </si>
  <si>
    <t xml:space="preserve"> CLEARANCE ADJUSTMENT </t>
  </si>
  <si>
    <t>HOLD DOWN ROLL CHANGE</t>
  </si>
  <si>
    <t>WRONG SET UP BY PREV. SHIFT</t>
  </si>
  <si>
    <t>SPEED LOSS DUE TO HEAVY WAVNESS IN RM</t>
  </si>
  <si>
    <t>COIL BACK DUE RM NEGATIVE WIDTH</t>
  </si>
  <si>
    <t>09.04.2026</t>
  </si>
  <si>
    <t>2 TIME RECOILER SEGMENT CHANGE</t>
  </si>
  <si>
    <t>3 TIMES SET UP CHANGE / SEGMENT CHANGE</t>
  </si>
  <si>
    <t>RECOILER BOTTOM LIGHT CUT OFF</t>
  </si>
  <si>
    <t>EMD CUT CUTTING AND 3 TIMES PUFF COIL REMOVED</t>
  </si>
  <si>
    <t xml:space="preserve">CHOPPER CALIBRATION 2 TIMES </t>
  </si>
  <si>
    <t>10.04.2026</t>
  </si>
  <si>
    <t>STRAIGHTENER ROLL GRINDING</t>
  </si>
  <si>
    <t>END CUT CUTTING DUE TO SLP AND DENT MARK</t>
  </si>
  <si>
    <t>CHOPPER CHANGE &amp; SEGMENT CHANGE</t>
  </si>
  <si>
    <t>2 TIME SET UP INTER  CHANGE</t>
  </si>
  <si>
    <t xml:space="preserve"> 2 TIMES SET UP INTER CHANGE &amp; INLINE OVER ARM &amp; LOOP LINE SET UP </t>
  </si>
  <si>
    <t xml:space="preserve">BOTH CHOPPER BOLT LOOSE </t>
  </si>
  <si>
    <t xml:space="preserve">O\S TOP CHOPPER BOLT FALL DOWN IN RUNNING LINE </t>
  </si>
  <si>
    <t xml:space="preserve">ARBOUR HEAD OPEN CLOSE ISSUE </t>
  </si>
  <si>
    <t>11.04.2026</t>
  </si>
  <si>
    <t xml:space="preserve"> 3 TIMES SET UP INTER CHANGE &amp; INLINE OVER ARM &amp; LOOP LINE SET UP </t>
  </si>
  <si>
    <t>END CUT CUTTING AND FELT PAD CHANGE</t>
  </si>
  <si>
    <t>12.04.2026</t>
  </si>
  <si>
    <t xml:space="preserve">3 CUTTER CHANGE &amp;3 CLEARANCE </t>
  </si>
  <si>
    <t xml:space="preserve"> CHOPPER CALIBRATION DUE TO GAP INCREASE AND CHUTE PIPE SHIFT</t>
  </si>
  <si>
    <t>PUFF COIL AND END CUT CUTTING</t>
  </si>
  <si>
    <t>MS CHUTE PIPE BASE WELDING CRACK</t>
  </si>
  <si>
    <t>RBS  STUCK IN ARBOUR</t>
  </si>
  <si>
    <t>13.04.2026</t>
  </si>
  <si>
    <t xml:space="preserve">ALL  CUTTER CHANGE &amp; CLEARANCE </t>
  </si>
  <si>
    <t xml:space="preserve">SHUT DOWN </t>
  </si>
  <si>
    <t>24.04.2026</t>
  </si>
  <si>
    <t xml:space="preserve"> 2TIMES SET UP INTER CHANGE &amp; INLINE OVER ARM </t>
  </si>
  <si>
    <t>FELT PAD NOT READY  GUN NOT FOUND IN NIGHT SHIFT</t>
  </si>
  <si>
    <t>TENSION UNIT OIL LEAKAGE</t>
  </si>
  <si>
    <t>2 TIMES PUFF COIL REMOVED</t>
  </si>
  <si>
    <t>3 TIMES CLEARANCE ADJUST 3 TIMES CUTTER CHANGE DULL EDGE NEW CUTTER</t>
  </si>
  <si>
    <t>TOP ARBOUR ALL CUTTER AND RBS REPLACE DUE TO CUTTER NOT AVAILABLE</t>
  </si>
  <si>
    <t>2 TIMES TRIM OUT AND FELT PAD CHANGE</t>
  </si>
  <si>
    <t>SET UP INTER CHANGE AND RBS CHANGE</t>
  </si>
  <si>
    <t xml:space="preserve">  CUTTER CHANGE &amp; ONLINE CLEARANCE </t>
  </si>
  <si>
    <t>WEIGHT SCALE ISSUE</t>
  </si>
  <si>
    <t>LOADING CAR FEW REV ISSUE</t>
  </si>
  <si>
    <t>25.04.2026</t>
  </si>
  <si>
    <t xml:space="preserve"> 4 TIMES SET UP INTER CHANGE &amp; INLINE OVER ARM </t>
  </si>
  <si>
    <t>BRUSH UNIT IN OUT DELAY</t>
  </si>
  <si>
    <t>PUP COIL REMOVED</t>
  </si>
  <si>
    <t>26.04.2026</t>
  </si>
  <si>
    <t>2 TIMES SEGMENT CHANGE</t>
  </si>
  <si>
    <t xml:space="preserve">WEIGHT SCALE CALIBRATION </t>
  </si>
  <si>
    <t>ROLL CHANGE</t>
  </si>
  <si>
    <t xml:space="preserve">SET UP INTER CHANGE INLINE OVER ARM SET UP </t>
  </si>
  <si>
    <t xml:space="preserve">3 SET UP INTER CHANGE INLINE OVER ARM SET UP </t>
  </si>
  <si>
    <t>SINGLE COILSINGLE SET UP DELAY</t>
  </si>
  <si>
    <t>ALL MELA RBS CHANGE AND CUTTER  CLEARANCE</t>
  </si>
  <si>
    <t>EJECTION PLATE IN OUT PROBLEM</t>
  </si>
  <si>
    <t>PUFF COIL DUE TO ARBOR PENETRATION UP AUTOMATICALLY</t>
  </si>
  <si>
    <t xml:space="preserve">ALL  CUTTER CHANGE  </t>
  </si>
  <si>
    <t>8.5 COIL AND SCHEDULE NOT AVAILABLE</t>
  </si>
  <si>
    <t>27.04.2026</t>
  </si>
  <si>
    <t xml:space="preserve"> 2  TIMES  UNLODING COIL CAR WORK</t>
  </si>
  <si>
    <t>END CUT CUTTING ND FELT PAD CHANGE</t>
  </si>
  <si>
    <t>28.04.2026</t>
  </si>
  <si>
    <t>SAMPLE CUTTING</t>
  </si>
  <si>
    <t>NO RM  (PLANNED MAINTENANCE )</t>
  </si>
  <si>
    <t>EXIT TURNSTILE  PIANO  LUCK  PIN   ISSUE</t>
  </si>
  <si>
    <t xml:space="preserve">SET UP INTER CHANGE &amp; INLINE OVER ARM SETUP </t>
  </si>
  <si>
    <t>4+2 (RW)</t>
  </si>
  <si>
    <t>29.04.2026</t>
  </si>
  <si>
    <t>6RW</t>
  </si>
  <si>
    <t>NO RM ( HIGH TEMPERATURE COILS )</t>
  </si>
  <si>
    <t>3+4RW</t>
  </si>
  <si>
    <t xml:space="preserve">ENTRY SCRAP BOX IN &amp; OUT PROBLEM </t>
  </si>
  <si>
    <t>CHOPPER BOLT TIGHTNESS</t>
  </si>
  <si>
    <t xml:space="preserve">CUTTER CHANGE &amp; RBS CHANGE </t>
  </si>
  <si>
    <t>BRUSHING UNITY OUT NOT PROPLY CHACKED BY FIMI ENGINEER</t>
  </si>
  <si>
    <t>BRUSHING UNITY WORK &amp; SLITTER HEAD CALIBRATION</t>
  </si>
  <si>
    <t>INSPECTION DELAY BY QUALITY CHECKED</t>
  </si>
  <si>
    <t>2 TIME END CUT BOX CLEAN</t>
  </si>
  <si>
    <t>30.04.2026</t>
  </si>
  <si>
    <t>SETUP  ENTER CHANGE</t>
  </si>
  <si>
    <t>PUFF COIL REMOVE FOR SCRATCH</t>
  </si>
  <si>
    <t>BRUSHING UNITY  CHACKED BY FIMI ENGINEER</t>
  </si>
  <si>
    <t>GIVEN BY PREVIOUS SHIFT</t>
  </si>
  <si>
    <t xml:space="preserve">2 TIMES SET UP INTER CHANGE &amp; INLNE &amp; OVER ARM SET UP </t>
  </si>
  <si>
    <t xml:space="preserve">M\S CHOPPER GAP INCREASE </t>
  </si>
  <si>
    <t xml:space="preserve">CALIBIRATION DONE </t>
  </si>
  <si>
    <t xml:space="preserve">O\S CHUTE SHIFTING </t>
  </si>
  <si>
    <t xml:space="preserve">3 TIMES TRIM OUT </t>
  </si>
  <si>
    <t>01.05.2026</t>
  </si>
  <si>
    <t>HDY NOT WORKING IN UNCOILER AREA</t>
  </si>
  <si>
    <t xml:space="preserve">2 TIME SETUP INTER CHANGE </t>
  </si>
  <si>
    <t>END  CUTTING DELAY</t>
  </si>
  <si>
    <t>3TIME END CUT BOX CLEAN</t>
  </si>
  <si>
    <t>2 TIME SETUP ENTER CHANGE</t>
  </si>
  <si>
    <t>2 TIME  CUTTER CHANGE AND      2TIME   CLEARANCE</t>
  </si>
  <si>
    <t>BRUSHING UNITY  SUPPORT   PLATE REMOVED</t>
  </si>
  <si>
    <t xml:space="preserve">PUFF COIL REMOVED AND GAS CUTTING FRONT END </t>
  </si>
  <si>
    <t>02.05.2026</t>
  </si>
  <si>
    <t xml:space="preserve"> SETUP INTER CHANGE </t>
  </si>
  <si>
    <t>5 TIME CONNVYER TRIP</t>
  </si>
  <si>
    <t>2 TIME CUTTER CLEARANCE  (FOR HS800 4MM COIL )</t>
  </si>
  <si>
    <t>M / S CHOPPER GAP INCREASE IN RUNNING LINE</t>
  </si>
  <si>
    <t>5 PC  CUTTER CHANGE</t>
  </si>
  <si>
    <t>INSPECTION DELAY FOR QUALITY CHECKED</t>
  </si>
  <si>
    <t xml:space="preserve">END CUT FOR SLPK &amp; INSPECTION </t>
  </si>
  <si>
    <t>BOTH CHOPPER CHANGE  &amp; CALIBIRATION ( M\S BOLT OPEN ISSUE)</t>
  </si>
  <si>
    <t>TRIM STUCK IN CHUTE PIPE</t>
  </si>
  <si>
    <t>TAIL END CUTTING</t>
  </si>
  <si>
    <t>FELT PAD INSERT IN OFF CUT</t>
  </si>
  <si>
    <t xml:space="preserve"> ALL CUTTER CHANGE DUE TO CUTTER NOT AVAILABLE AT SAME DIA AND RBS CHANGE</t>
  </si>
  <si>
    <t>UNCOILER PANEL  BUTTOM NOT FUNCTION</t>
  </si>
  <si>
    <t>FELT PAD CUTTING FOR OFF CUT AND 2 TIMES FELT PAD CHANGE</t>
  </si>
  <si>
    <t>03.05.2026</t>
  </si>
  <si>
    <t xml:space="preserve">3 TIME SETUP INTER CHANGE </t>
  </si>
  <si>
    <t>3 TIME UNCOILER PANEL  BUTTOM NOT FUNCTION</t>
  </si>
  <si>
    <t>CREANE NO 3</t>
  </si>
  <si>
    <t>FELT PAD INSERT IN OFF CUT  (EVERY COIL)</t>
  </si>
  <si>
    <t xml:space="preserve"> CLEARANCE</t>
  </si>
  <si>
    <t>BOTH  SIDE CHOPPER GAP INCREASE</t>
  </si>
  <si>
    <t xml:space="preserve">CAL. DONE </t>
  </si>
  <si>
    <t>M/S SIDE CHUTE  PIPE   AUTOMATIC   UP  / WOWN   ISSUE</t>
  </si>
  <si>
    <t>SET UP INTER CHANGE,LOOP LINE ,OVER ARM SET UP</t>
  </si>
  <si>
    <t>CONVEYOR LINK PIN OPEN</t>
  </si>
  <si>
    <t xml:space="preserve">FELT PAD CUTTING </t>
  </si>
  <si>
    <t>CUTTER CHANGE 3 TIMES</t>
  </si>
  <si>
    <t>MS CHOPPER GAP INCREASE</t>
  </si>
  <si>
    <t>04.05.2026</t>
  </si>
  <si>
    <t xml:space="preserve">SET UP INTER CHANGE &amp; INLINE LOOP LINE &amp; OVER ARM SET UP </t>
  </si>
  <si>
    <t>2 TIMES CONVY JAM &amp; TRIP</t>
  </si>
  <si>
    <t xml:space="preserve">CHUTE  CHOPPER CHUTE PIPE SHIFTING </t>
  </si>
  <si>
    <t xml:space="preserve">EXIT COIL CAR  FEW &amp; REW  ISSUE </t>
  </si>
  <si>
    <t xml:space="preserve">BRUSH UNIT IN OUT DELAY </t>
  </si>
  <si>
    <t>GAP INCREASE SO CALIBRATION</t>
  </si>
  <si>
    <t>2 TIME  SET UP INTER CHANGE &amp; INLINE,LOOP LINE,OVER ARM SET UP</t>
  </si>
  <si>
    <t>EMG NOT WORKING</t>
  </si>
  <si>
    <t>1 ST PART DAMAGE COIL REMOVE FOR COIL SHIFTED DUE TO EMG NOT WORKING IN RUNNING LINE</t>
  </si>
  <si>
    <t>TENSION BOTTOM CARDAN SAFT BOLT BROKEN</t>
  </si>
  <si>
    <t>EMG PROBLEM IN PREVIOR SHIFT</t>
  </si>
  <si>
    <t>05.05.2026</t>
  </si>
  <si>
    <t>TRIM JAM IN CHUTE PIPE PREVIOUS  SHIFT</t>
  </si>
  <si>
    <t>RAVI  MAHATO</t>
  </si>
  <si>
    <t xml:space="preserve"> RE COILER    SEGMENT  CHANGE</t>
  </si>
  <si>
    <t>BRUSHUNIT COVER FITTDE</t>
  </si>
  <si>
    <t xml:space="preserve">2 TIMES SET UP  CHANGE </t>
  </si>
  <si>
    <t>QUALITY CHECK TATA STEEL</t>
  </si>
  <si>
    <t>END CUT CUTTING APPROX 27 MTR IN EVERY COIL</t>
  </si>
  <si>
    <t xml:space="preserve"> CHUTE PIPE  SHIFTING  DUE TO HEAVY JAM  </t>
  </si>
  <si>
    <t>M\S FELT PAD CYLINDER TIGHT</t>
  </si>
  <si>
    <t>2 TIMES INLINE OVER ARM SET UP</t>
  </si>
  <si>
    <t>COIL ZIG ZAG ISSUE IN PREVIOR SHIFT CHECKED BY MAINTENACE TEAM</t>
  </si>
  <si>
    <t>2 TIME SCRAP BOX CLEAN</t>
  </si>
  <si>
    <t>PUP COIL REMOVE AS PER SLP</t>
  </si>
  <si>
    <t>INSPETION DELAY</t>
  </si>
  <si>
    <t>06.05.2026</t>
  </si>
  <si>
    <t xml:space="preserve">2 TIMES SET UP INTER CHANGE INLINE LOOP LINE OVER ARM SET UP </t>
  </si>
  <si>
    <t xml:space="preserve">ARBOUR TRUSTILE BOTM LINNER ROD WELDING </t>
  </si>
  <si>
    <t xml:space="preserve">INSERT DURING JAM </t>
  </si>
  <si>
    <t>BRUSH  UNIT IN &amp; OUT DELAY</t>
  </si>
  <si>
    <t xml:space="preserve">2  TIMES FELT PAD CHANGE </t>
  </si>
  <si>
    <t xml:space="preserve"> SET UP INTER CHANGE INLINE LOOP LINE OVER ARM SET UP </t>
  </si>
  <si>
    <t xml:space="preserve">PLANING CHANGE </t>
  </si>
  <si>
    <t>TENSION ROLL TENSION GENERATE  ISSUE</t>
  </si>
  <si>
    <t>3 TIME SCRAP BOX CLEAN</t>
  </si>
  <si>
    <t xml:space="preserve">3 TIME SET UP INTER CHANGE INLINE LOOP LINE OVER ARM SET UP </t>
  </si>
  <si>
    <t>SUJIT &amp;  TEAM</t>
  </si>
  <si>
    <t>07.05.2026</t>
  </si>
  <si>
    <t>DUE TO ONE COIL ONE SET UP</t>
  </si>
  <si>
    <t>SET UP[ INTER CHANGE &amp; INLINE LOOP LINE OVER ARM SET UP</t>
  </si>
  <si>
    <t xml:space="preserve">4 TIMES CUTTER CHANGE FOR CUTTER BROKEN </t>
  </si>
  <si>
    <t>END CUT CUTTING DELAY  &amp; PUFF COIL REMOVE</t>
  </si>
  <si>
    <t>END CUT CUTTING FOE METALSA</t>
  </si>
  <si>
    <t>LINE RUN (30 MPM) FOR METALSA</t>
  </si>
  <si>
    <t>2 TIME CUTTER  CLEARANCEFOR BREAKWAY</t>
  </si>
  <si>
    <t>RM COIL NOT AVAILABLE DELAY FOR CRANE NO -3</t>
  </si>
  <si>
    <t>08.05.2026</t>
  </si>
  <si>
    <t>OVER ARM SHAFT  CHANGE</t>
  </si>
  <si>
    <t>2  TIME   SET UP[ INTER CHANGE &amp; INLINE LOOP LINE OVER ARM SET UP</t>
  </si>
  <si>
    <t>END CUTTING DELAY FOR SLP</t>
  </si>
  <si>
    <t xml:space="preserve">2 TIME CUTTER CHANGE AND CLEARANCE </t>
  </si>
  <si>
    <t>2 PUFF COIL REMOVE</t>
  </si>
  <si>
    <t>M / S CHOPPER GAP INCREASE IN RUNNING LINE &amp; CALIBRATION</t>
  </si>
  <si>
    <t>EXIT SHARE TOP BLADE BOLT LOOSE &amp; BROKEN</t>
  </si>
  <si>
    <t>OFFLINE CLEARANCE FOR BURR</t>
  </si>
  <si>
    <t>2TIME CUTTER CLEARANCE</t>
  </si>
  <si>
    <t>09.05.2026</t>
  </si>
  <si>
    <t>3TIME CUTTER CLEARANCE</t>
  </si>
  <si>
    <t>RUNNIG SETUP  HANDOVER  &amp; SETUP EDIT</t>
  </si>
  <si>
    <t>2TIMES PUFF COIL REMOVED</t>
  </si>
  <si>
    <t xml:space="preserve">2 TIMES  SETUP INTER CHANGE </t>
  </si>
  <si>
    <t xml:space="preserve">GRINDING  FG COIL PREVIOUS SHIFT </t>
  </si>
  <si>
    <t>IMRAN &amp; PRAVIN TEAM</t>
  </si>
  <si>
    <t>PUFF COIL REMOVED DUE TO CUTTER BROKEN</t>
  </si>
  <si>
    <t>LINE NOT RUNNING IN AUTO</t>
  </si>
  <si>
    <t>10.05.2026</t>
  </si>
  <si>
    <t>4 TIME CUTTER CLEARANCE</t>
  </si>
  <si>
    <t xml:space="preserve">BOTH SIDE CHOPPER CHANGE SET UP CHANGE CHANGE SEGMENT CHANGE </t>
  </si>
  <si>
    <t xml:space="preserve">SUJIT &amp; TEAM  </t>
  </si>
  <si>
    <t>PUFF COIL REMOVED FOR SLP</t>
  </si>
  <si>
    <t>FELT PAD INSERT IN EVERY COIL COIL AND FELT PAD CUTTING</t>
  </si>
  <si>
    <t xml:space="preserve"> SCRAP BOX CLEAN </t>
  </si>
  <si>
    <t>2 TIME  CUTTER CLEARANCE  (BURR &amp; BREAKWAY)</t>
  </si>
  <si>
    <t>11.05.2026</t>
  </si>
  <si>
    <t>END CUT CUTTING FOR SLP</t>
  </si>
  <si>
    <t>CHOPPER CHANGE,CALIBRATION,BRUSHING UNIT WORK</t>
  </si>
  <si>
    <t>SIZE EDIT,CLEARANCE ADJUST</t>
  </si>
  <si>
    <t>ARBOUR TOP GRIPPER FLANGE CHANGE</t>
  </si>
  <si>
    <t xml:space="preserve"> CUTTER CLEARANCE  (BURR &amp; BREAKWAY)</t>
  </si>
  <si>
    <t xml:space="preserve">4 TIMES SET UP INTERCHANGE &amp; INLINE OVER ARM SET UP </t>
  </si>
  <si>
    <t xml:space="preserve">O\S CHOPPER GAP INCREASE &amp; CONVYER TRIP </t>
  </si>
  <si>
    <t xml:space="preserve">END CUT FOR SLPK &amp; PUFF COIL REMOVE </t>
  </si>
  <si>
    <t xml:space="preserve">ONE COIL ONE SET UP </t>
  </si>
  <si>
    <t>12.05.2026</t>
  </si>
  <si>
    <t xml:space="preserve">SET UP </t>
  </si>
  <si>
    <t>END CUT CUTTING AND 3 TIMES PUFF COIL REMOVED</t>
  </si>
  <si>
    <t xml:space="preserve">END CUTTING DELAY </t>
  </si>
  <si>
    <t xml:space="preserve">2 TIME SCRAP BOX CLEAN </t>
  </si>
  <si>
    <t>WRONG SETUP  BY PREVIOR SHIFT (OFFSET WORNG &amp; BROKEN CUUTER PUT)</t>
  </si>
  <si>
    <t>2 TIMES CUTTER CHANE &amp; CLEARANCE ADJUST</t>
  </si>
  <si>
    <t>13.05.2026</t>
  </si>
  <si>
    <t xml:space="preserve">EJECTION PLATE LEAD SCREW CHANGE </t>
  </si>
  <si>
    <t xml:space="preserve">OFFLINE SET UP  </t>
  </si>
  <si>
    <t>3 TIMES CUTTER CHANE &amp; CLEARANCE ADJUST</t>
  </si>
  <si>
    <t>2 TIME  SET UP INTER CHANGE</t>
  </si>
  <si>
    <t>ARBOUR TURNSTILE IN  OUT PROBLEME</t>
  </si>
  <si>
    <t>14.05.2026</t>
  </si>
  <si>
    <t xml:space="preserve">5 TIMES CUTTER CHANGE </t>
  </si>
  <si>
    <t xml:space="preserve">CLEARANCE </t>
  </si>
  <si>
    <t>1 TIMES CUTTER CHANE &amp; 2TIME CLEARANCE ADJUST(C2  &amp; C3 /0.2)FOR BREAKWAY</t>
  </si>
  <si>
    <t>AUTO MOOD OPERATING NOT WORKING</t>
  </si>
  <si>
    <t>3 TIME ENDCUT BOX CLEANNING</t>
  </si>
  <si>
    <t xml:space="preserve">2 TIMES SET UP CHANGE &amp; INLINE OVER ARM SET UP </t>
  </si>
  <si>
    <t>END CUT DELAY FOR SLPK &amp; PUFF COIL 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</si>
</sst>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color theme="1"/>
      <name val="Bahnschrift SemiBold"/>
      <family val="2"/>
    </font>
    <font>
      <b/>
      <sz val="11"/>
      <color theme="1"/>
      <name val="Bahnschrift Light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20">
    <xf numFmtId="0" fontId="0" fillId="0" borderId="0" xfId="0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5" xfId="0" applyFill="1" applyBorder="1" applyAlignment="1"/>
    <xf numFmtId="0" fontId="0" fillId="3" borderId="0" xfId="0" applyFill="1" applyBorder="1"/>
    <xf numFmtId="0" fontId="9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11" fillId="0" borderId="0" xfId="0" applyFont="1"/>
    <xf numFmtId="0" fontId="1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 wrapText="1"/>
    </xf>
    <xf numFmtId="0" fontId="23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1" fillId="0" borderId="1" xfId="0" applyFont="1" applyBorder="1" applyAlignment="1">
      <alignment horizontal="center"/>
    </xf>
    <xf numFmtId="164" fontId="32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164" fontId="36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0" xfId="0" applyFont="1"/>
    <xf numFmtId="0" fontId="39" fillId="0" borderId="1" xfId="0" applyFont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676"/>
  <sheetViews>
    <sheetView tabSelected="1" zoomScale="60" zoomScaleNormal="60" workbookViewId="0">
      <pane xSplit="2" ySplit="2" topLeftCell="C6660" activePane="bottomRight" state="frozen"/>
      <selection pane="topRight" activeCell="C1" sqref="C1"/>
      <selection pane="bottomLeft" activeCell="A3" sqref="A3"/>
      <selection pane="bottomRight" activeCell="K6682" sqref="K6682"/>
    </sheetView>
  </sheetViews>
  <sheetFormatPr defaultColWidth="9.140625" defaultRowHeight="18.75" x14ac:dyDescent="0.3"/>
  <cols>
    <col min="1" max="1" width="18.5703125" style="72" customWidth="1"/>
    <col min="2" max="2" width="13.28515625" style="55" customWidth="1"/>
    <col min="3" max="3" width="43.140625" style="67" customWidth="1"/>
    <col min="4" max="4" width="33.5703125" style="55" customWidth="1"/>
    <col min="5" max="5" width="20.42578125" style="19" customWidth="1"/>
    <col min="6" max="6" width="16" style="19" customWidth="1"/>
    <col min="7" max="7" width="16.7109375" style="55" customWidth="1"/>
    <col min="8" max="8" width="9" style="74" customWidth="1"/>
    <col min="9" max="9" width="6.42578125" style="47" hidden="1" customWidth="1"/>
    <col min="10" max="10" width="12.5703125" style="47" hidden="1" customWidth="1"/>
    <col min="11" max="11" width="59" style="55" customWidth="1"/>
    <col min="12" max="12" width="101.7109375" style="60" customWidth="1"/>
    <col min="13" max="13" width="69.85546875" style="1" customWidth="1"/>
    <col min="14" max="15" width="9.140625" style="6"/>
    <col min="16" max="16" width="15.42578125" style="6" customWidth="1"/>
    <col min="17" max="19" width="9.140625" style="6"/>
    <col min="20" max="20" width="9.140625" style="6" customWidth="1"/>
    <col min="21" max="21" width="34.28515625" style="6" customWidth="1"/>
    <col min="22" max="22" width="20.85546875" style="6" customWidth="1"/>
    <col min="23" max="23" width="9.140625" style="6"/>
    <col min="24" max="24" width="15.7109375" style="6" customWidth="1"/>
    <col min="25" max="25" width="9.140625" style="6"/>
    <col min="26" max="26" width="28.7109375" style="6" customWidth="1"/>
    <col min="27" max="27" width="19" style="6" customWidth="1"/>
    <col min="28" max="16384" width="9.140625" style="6"/>
  </cols>
  <sheetData>
    <row r="1" spans="1:13" ht="21" customHeight="1" x14ac:dyDescent="0.25">
      <c r="A1" s="114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02"/>
    </row>
    <row r="2" spans="1:13" s="24" customFormat="1" ht="21" customHeight="1" x14ac:dyDescent="0.3">
      <c r="A2" s="85" t="s">
        <v>1</v>
      </c>
      <c r="B2" s="54" t="s">
        <v>2</v>
      </c>
      <c r="C2" s="66" t="s">
        <v>3</v>
      </c>
      <c r="D2" s="54" t="s">
        <v>16</v>
      </c>
      <c r="E2" s="82" t="s">
        <v>4</v>
      </c>
      <c r="F2" s="82" t="s">
        <v>5</v>
      </c>
      <c r="G2" s="54" t="s">
        <v>6</v>
      </c>
      <c r="H2" s="78" t="s">
        <v>7</v>
      </c>
      <c r="I2" s="44" t="s">
        <v>442</v>
      </c>
      <c r="J2" s="44" t="s">
        <v>443</v>
      </c>
      <c r="K2" s="54" t="s">
        <v>8</v>
      </c>
      <c r="L2" s="59" t="s">
        <v>9</v>
      </c>
      <c r="M2" s="23" t="s">
        <v>82</v>
      </c>
    </row>
    <row r="3" spans="1:13" ht="22.5" x14ac:dyDescent="0.45">
      <c r="A3" s="72" t="s">
        <v>190</v>
      </c>
      <c r="B3" s="55" t="s">
        <v>0</v>
      </c>
      <c r="C3" s="67" t="s">
        <v>46</v>
      </c>
      <c r="D3" s="55" t="s">
        <v>52</v>
      </c>
      <c r="E3" s="19">
        <v>149.19999999999999</v>
      </c>
      <c r="F3" s="19">
        <v>5</v>
      </c>
      <c r="G3" s="55" t="s">
        <v>11</v>
      </c>
      <c r="H3" s="79">
        <v>10</v>
      </c>
      <c r="I3" s="45"/>
      <c r="J3" s="45"/>
      <c r="K3" s="57" t="s">
        <v>25</v>
      </c>
      <c r="L3" s="40"/>
    </row>
    <row r="4" spans="1:13" ht="22.5" x14ac:dyDescent="0.45">
      <c r="H4" s="79">
        <v>10</v>
      </c>
      <c r="I4" s="45"/>
      <c r="J4" s="45"/>
      <c r="K4" s="57" t="s">
        <v>84</v>
      </c>
      <c r="L4" s="40"/>
    </row>
    <row r="5" spans="1:13" ht="22.5" x14ac:dyDescent="0.45">
      <c r="H5" s="79">
        <v>50</v>
      </c>
      <c r="I5" s="45"/>
      <c r="J5" s="45"/>
      <c r="K5" s="57" t="s">
        <v>96</v>
      </c>
      <c r="L5" s="40"/>
    </row>
    <row r="6" spans="1:13" ht="22.5" x14ac:dyDescent="0.45">
      <c r="H6" s="79">
        <v>110</v>
      </c>
      <c r="I6" s="45"/>
      <c r="J6" s="45"/>
      <c r="K6" s="57" t="s">
        <v>32</v>
      </c>
      <c r="L6" s="40" t="s">
        <v>193</v>
      </c>
    </row>
    <row r="7" spans="1:13" ht="22.5" x14ac:dyDescent="0.45">
      <c r="H7" s="79">
        <v>20</v>
      </c>
      <c r="I7" s="45"/>
      <c r="J7" s="45"/>
      <c r="K7" s="57" t="s">
        <v>32</v>
      </c>
      <c r="L7" s="40" t="s">
        <v>146</v>
      </c>
    </row>
    <row r="8" spans="1:13" ht="22.5" x14ac:dyDescent="0.45">
      <c r="H8" s="79">
        <v>80</v>
      </c>
      <c r="I8" s="45"/>
      <c r="J8" s="45"/>
      <c r="K8" s="57" t="s">
        <v>55</v>
      </c>
      <c r="L8" s="40" t="s">
        <v>192</v>
      </c>
    </row>
    <row r="9" spans="1:13" ht="22.5" x14ac:dyDescent="0.45">
      <c r="H9" s="79">
        <v>20</v>
      </c>
      <c r="I9" s="45"/>
      <c r="J9" s="45"/>
      <c r="K9" s="57" t="s">
        <v>102</v>
      </c>
      <c r="L9" s="40"/>
    </row>
    <row r="10" spans="1:13" ht="22.5" x14ac:dyDescent="0.45">
      <c r="H10" s="79">
        <v>20</v>
      </c>
      <c r="I10" s="45"/>
      <c r="J10" s="45"/>
      <c r="K10" s="57" t="s">
        <v>34</v>
      </c>
      <c r="L10" s="40" t="s">
        <v>149</v>
      </c>
    </row>
    <row r="11" spans="1:13" ht="22.5" x14ac:dyDescent="0.45">
      <c r="H11" s="79">
        <v>20</v>
      </c>
      <c r="I11" s="45"/>
      <c r="J11" s="45"/>
      <c r="K11" s="57" t="s">
        <v>34</v>
      </c>
      <c r="L11" s="40" t="s">
        <v>191</v>
      </c>
    </row>
    <row r="12" spans="1:13" ht="22.5" x14ac:dyDescent="0.45">
      <c r="H12" s="79">
        <v>30</v>
      </c>
      <c r="I12" s="45"/>
      <c r="J12" s="45"/>
      <c r="K12" s="57" t="s">
        <v>30</v>
      </c>
      <c r="L12" s="40" t="s">
        <v>185</v>
      </c>
    </row>
    <row r="13" spans="1:13" ht="22.5" x14ac:dyDescent="0.45">
      <c r="H13" s="79">
        <v>14</v>
      </c>
      <c r="I13" s="46"/>
      <c r="J13" s="46"/>
      <c r="K13" s="57" t="s">
        <v>33</v>
      </c>
      <c r="L13" s="40" t="s">
        <v>184</v>
      </c>
    </row>
    <row r="14" spans="1:13" ht="22.5" x14ac:dyDescent="0.45">
      <c r="A14" s="72" t="s">
        <v>190</v>
      </c>
      <c r="B14" s="55" t="s">
        <v>10</v>
      </c>
      <c r="C14" s="67" t="s">
        <v>47</v>
      </c>
      <c r="D14" s="55" t="s">
        <v>50</v>
      </c>
      <c r="E14" s="19">
        <v>59.69</v>
      </c>
      <c r="F14" s="19" t="s">
        <v>186</v>
      </c>
      <c r="G14" s="55" t="s">
        <v>11</v>
      </c>
      <c r="H14" s="74">
        <v>40</v>
      </c>
      <c r="K14" s="57" t="s">
        <v>25</v>
      </c>
    </row>
    <row r="15" spans="1:13" ht="22.5" x14ac:dyDescent="0.45">
      <c r="H15" s="74">
        <v>10</v>
      </c>
      <c r="K15" s="57" t="s">
        <v>84</v>
      </c>
    </row>
    <row r="16" spans="1:13" ht="22.5" x14ac:dyDescent="0.45">
      <c r="H16" s="74">
        <v>40</v>
      </c>
      <c r="K16" s="57" t="s">
        <v>25</v>
      </c>
    </row>
    <row r="17" spans="1:12" ht="22.5" x14ac:dyDescent="0.45">
      <c r="H17" s="74">
        <v>10</v>
      </c>
      <c r="K17" s="57" t="s">
        <v>84</v>
      </c>
      <c r="L17" s="60" t="s">
        <v>194</v>
      </c>
    </row>
    <row r="18" spans="1:12" ht="22.5" x14ac:dyDescent="0.45">
      <c r="H18" s="74">
        <v>80</v>
      </c>
      <c r="K18" s="57" t="s">
        <v>32</v>
      </c>
      <c r="L18" s="60" t="s">
        <v>137</v>
      </c>
    </row>
    <row r="19" spans="1:12" ht="22.5" x14ac:dyDescent="0.45">
      <c r="H19" s="74">
        <v>40</v>
      </c>
      <c r="K19" s="57" t="s">
        <v>32</v>
      </c>
      <c r="L19" s="60" t="s">
        <v>195</v>
      </c>
    </row>
    <row r="20" spans="1:12" x14ac:dyDescent="0.3">
      <c r="H20" s="74">
        <v>120</v>
      </c>
      <c r="K20" s="55" t="s">
        <v>55</v>
      </c>
      <c r="L20" s="60" t="s">
        <v>14</v>
      </c>
    </row>
    <row r="21" spans="1:12" x14ac:dyDescent="0.3">
      <c r="H21" s="74">
        <v>20</v>
      </c>
      <c r="K21" s="55" t="s">
        <v>34</v>
      </c>
      <c r="L21" s="60" t="s">
        <v>134</v>
      </c>
    </row>
    <row r="22" spans="1:12" x14ac:dyDescent="0.3">
      <c r="H22" s="74">
        <v>30</v>
      </c>
      <c r="K22" s="55" t="s">
        <v>34</v>
      </c>
      <c r="L22" s="60" t="s">
        <v>135</v>
      </c>
    </row>
    <row r="23" spans="1:12" ht="22.5" x14ac:dyDescent="0.45">
      <c r="A23" s="72" t="s">
        <v>190</v>
      </c>
      <c r="B23" s="55" t="s">
        <v>12</v>
      </c>
      <c r="C23" s="67" t="s">
        <v>49</v>
      </c>
      <c r="D23" s="55" t="s">
        <v>51</v>
      </c>
      <c r="E23" s="19">
        <v>0</v>
      </c>
      <c r="F23" s="19" t="s">
        <v>197</v>
      </c>
      <c r="G23" s="55" t="s">
        <v>11</v>
      </c>
      <c r="H23" s="74">
        <v>40</v>
      </c>
      <c r="K23" s="57" t="s">
        <v>25</v>
      </c>
    </row>
    <row r="24" spans="1:12" ht="22.5" x14ac:dyDescent="0.45">
      <c r="H24" s="74">
        <v>10</v>
      </c>
      <c r="K24" s="57" t="s">
        <v>84</v>
      </c>
    </row>
    <row r="25" spans="1:12" x14ac:dyDescent="0.3">
      <c r="H25" s="74">
        <v>110</v>
      </c>
      <c r="K25" s="55" t="s">
        <v>33</v>
      </c>
    </row>
    <row r="26" spans="1:12" x14ac:dyDescent="0.3">
      <c r="H26" s="74">
        <v>100</v>
      </c>
      <c r="K26" s="55" t="s">
        <v>34</v>
      </c>
      <c r="L26" s="60" t="s">
        <v>135</v>
      </c>
    </row>
    <row r="27" spans="1:12" x14ac:dyDescent="0.3">
      <c r="H27" s="74">
        <v>30</v>
      </c>
      <c r="K27" s="55" t="s">
        <v>34</v>
      </c>
      <c r="L27" s="60" t="s">
        <v>149</v>
      </c>
    </row>
    <row r="28" spans="1:12" x14ac:dyDescent="0.3">
      <c r="H28" s="74">
        <v>15</v>
      </c>
      <c r="K28" s="55" t="s">
        <v>55</v>
      </c>
      <c r="L28" s="60" t="s">
        <v>147</v>
      </c>
    </row>
    <row r="29" spans="1:12" x14ac:dyDescent="0.3">
      <c r="H29" s="74">
        <v>20</v>
      </c>
      <c r="K29" s="55" t="s">
        <v>34</v>
      </c>
      <c r="L29" s="60" t="s">
        <v>182</v>
      </c>
    </row>
    <row r="30" spans="1:12" x14ac:dyDescent="0.3">
      <c r="H30" s="74">
        <v>20</v>
      </c>
      <c r="K30" s="55" t="s">
        <v>32</v>
      </c>
      <c r="L30" s="60" t="s">
        <v>196</v>
      </c>
    </row>
    <row r="31" spans="1:12" ht="22.5" x14ac:dyDescent="0.45">
      <c r="A31" s="72" t="s">
        <v>198</v>
      </c>
      <c r="B31" s="55" t="s">
        <v>0</v>
      </c>
      <c r="C31" s="67" t="s">
        <v>46</v>
      </c>
      <c r="D31" s="55" t="s">
        <v>52</v>
      </c>
      <c r="E31" s="19">
        <v>0</v>
      </c>
      <c r="F31" s="19" t="s">
        <v>201</v>
      </c>
      <c r="G31" s="55" t="s">
        <v>11</v>
      </c>
      <c r="H31" s="79">
        <v>10</v>
      </c>
      <c r="I31" s="45"/>
      <c r="J31" s="45"/>
      <c r="K31" s="57" t="s">
        <v>25</v>
      </c>
      <c r="L31" s="40"/>
    </row>
    <row r="32" spans="1:12" ht="22.5" x14ac:dyDescent="0.45">
      <c r="H32" s="79">
        <v>10</v>
      </c>
      <c r="I32" s="45"/>
      <c r="J32" s="45"/>
      <c r="K32" s="57" t="s">
        <v>84</v>
      </c>
      <c r="L32" s="40"/>
    </row>
    <row r="33" spans="1:12" ht="22.5" x14ac:dyDescent="0.45">
      <c r="H33" s="79">
        <v>100</v>
      </c>
      <c r="I33" s="45"/>
      <c r="J33" s="45"/>
      <c r="K33" s="57" t="s">
        <v>96</v>
      </c>
      <c r="L33" s="40"/>
    </row>
    <row r="34" spans="1:12" ht="22.5" x14ac:dyDescent="0.45">
      <c r="H34" s="79">
        <v>60</v>
      </c>
      <c r="I34" s="45"/>
      <c r="J34" s="45"/>
      <c r="K34" s="57" t="s">
        <v>32</v>
      </c>
      <c r="L34" s="40" t="s">
        <v>199</v>
      </c>
    </row>
    <row r="35" spans="1:12" ht="22.5" x14ac:dyDescent="0.45">
      <c r="H35" s="79">
        <v>20</v>
      </c>
      <c r="I35" s="45"/>
      <c r="J35" s="45"/>
      <c r="K35" s="57" t="s">
        <v>102</v>
      </c>
      <c r="L35" s="40"/>
    </row>
    <row r="36" spans="1:12" ht="22.5" x14ac:dyDescent="0.45">
      <c r="H36" s="79">
        <v>80</v>
      </c>
      <c r="I36" s="45"/>
      <c r="J36" s="45"/>
      <c r="K36" s="57" t="s">
        <v>34</v>
      </c>
      <c r="L36" s="40" t="s">
        <v>183</v>
      </c>
    </row>
    <row r="37" spans="1:12" ht="22.5" x14ac:dyDescent="0.45">
      <c r="H37" s="79">
        <v>30</v>
      </c>
      <c r="I37" s="45"/>
      <c r="J37" s="45"/>
      <c r="K37" s="57" t="s">
        <v>34</v>
      </c>
      <c r="L37" s="40" t="s">
        <v>139</v>
      </c>
    </row>
    <row r="38" spans="1:12" ht="22.5" x14ac:dyDescent="0.45">
      <c r="H38" s="79">
        <v>20</v>
      </c>
      <c r="I38" s="45"/>
      <c r="J38" s="45"/>
      <c r="K38" s="57" t="s">
        <v>30</v>
      </c>
      <c r="L38" s="40" t="s">
        <v>148</v>
      </c>
    </row>
    <row r="39" spans="1:12" ht="22.5" x14ac:dyDescent="0.45">
      <c r="H39" s="79">
        <v>40</v>
      </c>
      <c r="I39" s="46"/>
      <c r="J39" s="46"/>
      <c r="K39" s="57" t="s">
        <v>55</v>
      </c>
      <c r="L39" s="40" t="s">
        <v>200</v>
      </c>
    </row>
    <row r="40" spans="1:12" ht="22.5" x14ac:dyDescent="0.45">
      <c r="A40" s="72" t="s">
        <v>198</v>
      </c>
      <c r="B40" s="55" t="s">
        <v>10</v>
      </c>
      <c r="C40" s="67" t="s">
        <v>47</v>
      </c>
      <c r="D40" s="55" t="s">
        <v>50</v>
      </c>
      <c r="E40" s="19">
        <v>0</v>
      </c>
      <c r="F40" s="19" t="s">
        <v>204</v>
      </c>
      <c r="G40" s="55" t="s">
        <v>11</v>
      </c>
      <c r="H40" s="74">
        <v>30</v>
      </c>
      <c r="K40" s="57" t="s">
        <v>25</v>
      </c>
      <c r="L40" s="60" t="s">
        <v>140</v>
      </c>
    </row>
    <row r="41" spans="1:12" ht="22.5" x14ac:dyDescent="0.45">
      <c r="H41" s="74">
        <v>10</v>
      </c>
      <c r="K41" s="57" t="s">
        <v>84</v>
      </c>
    </row>
    <row r="42" spans="1:12" ht="22.5" x14ac:dyDescent="0.45">
      <c r="H42" s="74">
        <v>60</v>
      </c>
      <c r="K42" s="57" t="s">
        <v>33</v>
      </c>
      <c r="L42" s="60" t="s">
        <v>202</v>
      </c>
    </row>
    <row r="43" spans="1:12" ht="22.5" x14ac:dyDescent="0.45">
      <c r="H43" s="74">
        <v>40</v>
      </c>
      <c r="K43" s="57" t="s">
        <v>96</v>
      </c>
    </row>
    <row r="44" spans="1:12" ht="22.5" x14ac:dyDescent="0.45">
      <c r="H44" s="74">
        <v>30</v>
      </c>
      <c r="K44" s="57" t="s">
        <v>32</v>
      </c>
      <c r="L44" s="60" t="s">
        <v>199</v>
      </c>
    </row>
    <row r="45" spans="1:12" ht="22.5" x14ac:dyDescent="0.45">
      <c r="H45" s="74">
        <v>20</v>
      </c>
      <c r="K45" s="57" t="s">
        <v>102</v>
      </c>
    </row>
    <row r="46" spans="1:12" ht="22.5" x14ac:dyDescent="0.45">
      <c r="H46" s="79">
        <v>60</v>
      </c>
      <c r="I46" s="45"/>
      <c r="J46" s="45"/>
      <c r="K46" s="57" t="s">
        <v>34</v>
      </c>
      <c r="L46" s="40" t="s">
        <v>183</v>
      </c>
    </row>
    <row r="47" spans="1:12" ht="22.5" x14ac:dyDescent="0.45">
      <c r="H47" s="74">
        <v>20</v>
      </c>
      <c r="K47" s="57" t="s">
        <v>34</v>
      </c>
      <c r="L47" s="40" t="s">
        <v>139</v>
      </c>
    </row>
    <row r="48" spans="1:12" x14ac:dyDescent="0.3">
      <c r="H48" s="74">
        <v>60</v>
      </c>
      <c r="K48" s="55" t="s">
        <v>32</v>
      </c>
      <c r="L48" s="60" t="s">
        <v>203</v>
      </c>
    </row>
    <row r="49" spans="1:13" x14ac:dyDescent="0.3">
      <c r="H49" s="74">
        <v>150</v>
      </c>
      <c r="K49" s="55" t="s">
        <v>55</v>
      </c>
      <c r="L49" s="60" t="s">
        <v>123</v>
      </c>
      <c r="M49" s="1" t="s">
        <v>205</v>
      </c>
    </row>
    <row r="50" spans="1:13" x14ac:dyDescent="0.3">
      <c r="A50" s="72" t="s">
        <v>187</v>
      </c>
      <c r="B50" s="55" t="s">
        <v>12</v>
      </c>
      <c r="C50" s="67" t="s">
        <v>49</v>
      </c>
      <c r="D50" s="55" t="s">
        <v>51</v>
      </c>
      <c r="E50" s="19">
        <v>322.02</v>
      </c>
      <c r="F50" s="19">
        <v>12</v>
      </c>
      <c r="G50" s="55" t="s">
        <v>11</v>
      </c>
      <c r="H50" s="74">
        <v>10</v>
      </c>
      <c r="K50" s="55" t="s">
        <v>25</v>
      </c>
    </row>
    <row r="51" spans="1:13" x14ac:dyDescent="0.3">
      <c r="H51" s="74">
        <v>10</v>
      </c>
      <c r="K51" s="55" t="s">
        <v>84</v>
      </c>
    </row>
    <row r="52" spans="1:13" x14ac:dyDescent="0.3">
      <c r="H52" s="74">
        <v>120</v>
      </c>
      <c r="K52" s="55" t="s">
        <v>96</v>
      </c>
    </row>
    <row r="53" spans="1:13" x14ac:dyDescent="0.3">
      <c r="H53" s="74">
        <v>20</v>
      </c>
      <c r="K53" s="55" t="s">
        <v>32</v>
      </c>
      <c r="L53" s="60" t="s">
        <v>208</v>
      </c>
    </row>
    <row r="54" spans="1:13" x14ac:dyDescent="0.3">
      <c r="H54" s="74">
        <v>20</v>
      </c>
      <c r="K54" s="55" t="s">
        <v>32</v>
      </c>
      <c r="L54" s="60" t="s">
        <v>133</v>
      </c>
    </row>
    <row r="55" spans="1:13" x14ac:dyDescent="0.3">
      <c r="H55" s="74">
        <v>30</v>
      </c>
      <c r="K55" s="55" t="s">
        <v>34</v>
      </c>
      <c r="L55" s="60" t="s">
        <v>207</v>
      </c>
    </row>
    <row r="56" spans="1:13" x14ac:dyDescent="0.3">
      <c r="H56" s="74">
        <v>90</v>
      </c>
      <c r="K56" s="55" t="s">
        <v>33</v>
      </c>
      <c r="L56" s="60" t="s">
        <v>206</v>
      </c>
      <c r="M56" s="41" t="s">
        <v>209</v>
      </c>
    </row>
    <row r="57" spans="1:13" x14ac:dyDescent="0.3">
      <c r="H57" s="74">
        <v>30</v>
      </c>
      <c r="K57" s="55" t="s">
        <v>102</v>
      </c>
    </row>
    <row r="58" spans="1:13" x14ac:dyDescent="0.3">
      <c r="H58" s="74">
        <v>15</v>
      </c>
      <c r="K58" s="55" t="s">
        <v>32</v>
      </c>
      <c r="L58" s="60" t="s">
        <v>131</v>
      </c>
    </row>
    <row r="59" spans="1:13" x14ac:dyDescent="0.3">
      <c r="H59" s="74">
        <v>25</v>
      </c>
      <c r="K59" s="55" t="s">
        <v>30</v>
      </c>
      <c r="L59" s="60" t="s">
        <v>136</v>
      </c>
    </row>
    <row r="60" spans="1:13" s="43" customFormat="1" x14ac:dyDescent="0.3">
      <c r="A60" s="86" t="s">
        <v>210</v>
      </c>
      <c r="B60" s="56" t="s">
        <v>0</v>
      </c>
      <c r="C60" s="68" t="s">
        <v>46</v>
      </c>
      <c r="D60" s="56" t="s">
        <v>52</v>
      </c>
      <c r="E60" s="83">
        <v>324.33999999999997</v>
      </c>
      <c r="F60" s="83">
        <v>11</v>
      </c>
      <c r="G60" s="56" t="s">
        <v>11</v>
      </c>
      <c r="H60" s="80">
        <v>10</v>
      </c>
      <c r="I60" s="48"/>
      <c r="J60" s="48"/>
      <c r="K60" s="56" t="s">
        <v>25</v>
      </c>
      <c r="L60" s="61"/>
      <c r="M60" s="42"/>
    </row>
    <row r="61" spans="1:13" x14ac:dyDescent="0.3">
      <c r="H61" s="74">
        <v>10</v>
      </c>
      <c r="K61" s="55" t="s">
        <v>84</v>
      </c>
    </row>
    <row r="62" spans="1:13" x14ac:dyDescent="0.3">
      <c r="H62" s="74">
        <v>120</v>
      </c>
      <c r="K62" s="55" t="s">
        <v>96</v>
      </c>
    </row>
    <row r="63" spans="1:13" x14ac:dyDescent="0.3">
      <c r="H63" s="74">
        <v>30</v>
      </c>
      <c r="K63" s="55" t="s">
        <v>32</v>
      </c>
    </row>
    <row r="64" spans="1:13" x14ac:dyDescent="0.3">
      <c r="H64" s="74">
        <v>30</v>
      </c>
      <c r="K64" s="55" t="s">
        <v>32</v>
      </c>
      <c r="L64" s="60" t="s">
        <v>211</v>
      </c>
    </row>
    <row r="65" spans="1:12" x14ac:dyDescent="0.3">
      <c r="H65" s="74">
        <v>30</v>
      </c>
      <c r="K65" s="55" t="s">
        <v>32</v>
      </c>
      <c r="L65" s="60" t="s">
        <v>133</v>
      </c>
    </row>
    <row r="66" spans="1:12" x14ac:dyDescent="0.3">
      <c r="H66" s="74">
        <v>30</v>
      </c>
      <c r="K66" s="55" t="s">
        <v>34</v>
      </c>
      <c r="L66" s="60" t="s">
        <v>207</v>
      </c>
    </row>
    <row r="67" spans="1:12" x14ac:dyDescent="0.3">
      <c r="H67" s="74">
        <v>20</v>
      </c>
      <c r="K67" s="55" t="s">
        <v>102</v>
      </c>
    </row>
    <row r="68" spans="1:12" x14ac:dyDescent="0.3">
      <c r="H68" s="74">
        <v>20</v>
      </c>
      <c r="K68" s="55" t="s">
        <v>30</v>
      </c>
      <c r="L68" s="60" t="s">
        <v>148</v>
      </c>
    </row>
    <row r="69" spans="1:12" x14ac:dyDescent="0.3">
      <c r="H69" s="74">
        <v>30</v>
      </c>
      <c r="K69" s="55" t="s">
        <v>55</v>
      </c>
      <c r="L69" s="60" t="s">
        <v>212</v>
      </c>
    </row>
    <row r="70" spans="1:12" x14ac:dyDescent="0.3">
      <c r="A70" s="72" t="s">
        <v>210</v>
      </c>
      <c r="B70" s="55" t="s">
        <v>10</v>
      </c>
      <c r="C70" s="67" t="s">
        <v>47</v>
      </c>
      <c r="D70" s="55" t="s">
        <v>50</v>
      </c>
      <c r="E70" s="19">
        <v>140.26</v>
      </c>
      <c r="F70" s="19">
        <v>5</v>
      </c>
      <c r="G70" s="55" t="s">
        <v>11</v>
      </c>
      <c r="H70" s="74">
        <v>10</v>
      </c>
      <c r="K70" s="55" t="s">
        <v>25</v>
      </c>
    </row>
    <row r="71" spans="1:12" x14ac:dyDescent="0.3">
      <c r="H71" s="74">
        <v>10</v>
      </c>
      <c r="K71" s="55" t="s">
        <v>84</v>
      </c>
    </row>
    <row r="72" spans="1:12" x14ac:dyDescent="0.3">
      <c r="H72" s="74">
        <v>50</v>
      </c>
      <c r="K72" s="55" t="s">
        <v>96</v>
      </c>
    </row>
    <row r="73" spans="1:12" x14ac:dyDescent="0.3">
      <c r="H73" s="74">
        <v>30</v>
      </c>
      <c r="K73" s="55" t="s">
        <v>32</v>
      </c>
      <c r="L73" s="60" t="s">
        <v>142</v>
      </c>
    </row>
    <row r="74" spans="1:12" x14ac:dyDescent="0.3">
      <c r="H74" s="74">
        <v>20</v>
      </c>
      <c r="K74" s="55" t="s">
        <v>32</v>
      </c>
      <c r="L74" s="60" t="s">
        <v>214</v>
      </c>
    </row>
    <row r="75" spans="1:12" ht="22.5" x14ac:dyDescent="0.45">
      <c r="H75" s="74">
        <v>10</v>
      </c>
      <c r="K75" s="57" t="s">
        <v>34</v>
      </c>
      <c r="L75" s="60" t="s">
        <v>141</v>
      </c>
    </row>
    <row r="76" spans="1:12" x14ac:dyDescent="0.3">
      <c r="H76" s="74">
        <v>20</v>
      </c>
      <c r="K76" s="55" t="s">
        <v>102</v>
      </c>
    </row>
    <row r="77" spans="1:12" x14ac:dyDescent="0.3">
      <c r="H77" s="74">
        <v>30</v>
      </c>
      <c r="K77" s="55" t="s">
        <v>30</v>
      </c>
    </row>
    <row r="78" spans="1:12" ht="22.5" x14ac:dyDescent="0.45">
      <c r="H78" s="74">
        <v>225</v>
      </c>
      <c r="K78" s="57" t="s">
        <v>33</v>
      </c>
      <c r="L78" s="60" t="s">
        <v>215</v>
      </c>
    </row>
    <row r="79" spans="1:12" ht="22.5" x14ac:dyDescent="0.45">
      <c r="H79" s="74">
        <v>30</v>
      </c>
      <c r="K79" s="57" t="s">
        <v>32</v>
      </c>
      <c r="L79" s="60" t="s">
        <v>213</v>
      </c>
    </row>
    <row r="80" spans="1:12" x14ac:dyDescent="0.3">
      <c r="A80" s="72" t="s">
        <v>210</v>
      </c>
      <c r="B80" s="55" t="s">
        <v>12</v>
      </c>
      <c r="C80" s="67" t="s">
        <v>49</v>
      </c>
      <c r="D80" s="55" t="s">
        <v>51</v>
      </c>
      <c r="E80" s="19">
        <v>256.76</v>
      </c>
      <c r="F80" s="19">
        <v>10.5</v>
      </c>
      <c r="G80" s="55" t="s">
        <v>11</v>
      </c>
      <c r="H80" s="74">
        <v>10</v>
      </c>
      <c r="K80" s="55" t="s">
        <v>25</v>
      </c>
    </row>
    <row r="81" spans="1:13" x14ac:dyDescent="0.3">
      <c r="H81" s="74">
        <v>10</v>
      </c>
      <c r="K81" s="55" t="s">
        <v>84</v>
      </c>
    </row>
    <row r="82" spans="1:13" x14ac:dyDescent="0.3">
      <c r="H82" s="74">
        <v>120</v>
      </c>
      <c r="K82" s="55" t="s">
        <v>96</v>
      </c>
    </row>
    <row r="83" spans="1:13" x14ac:dyDescent="0.3">
      <c r="H83" s="74">
        <v>60</v>
      </c>
      <c r="K83" s="55" t="s">
        <v>32</v>
      </c>
      <c r="L83" s="60" t="s">
        <v>216</v>
      </c>
    </row>
    <row r="84" spans="1:13" x14ac:dyDescent="0.3">
      <c r="H84" s="74">
        <v>30</v>
      </c>
      <c r="K84" s="55" t="s">
        <v>32</v>
      </c>
      <c r="L84" s="60" t="s">
        <v>143</v>
      </c>
    </row>
    <row r="85" spans="1:13" x14ac:dyDescent="0.3">
      <c r="H85" s="74">
        <v>30</v>
      </c>
      <c r="K85" s="55" t="s">
        <v>30</v>
      </c>
    </row>
    <row r="86" spans="1:13" x14ac:dyDescent="0.3">
      <c r="H86" s="74">
        <v>20</v>
      </c>
      <c r="K86" s="55" t="s">
        <v>55</v>
      </c>
      <c r="L86" s="60" t="s">
        <v>144</v>
      </c>
    </row>
    <row r="87" spans="1:13" x14ac:dyDescent="0.3">
      <c r="H87" s="74">
        <v>45</v>
      </c>
      <c r="K87" s="55" t="s">
        <v>34</v>
      </c>
      <c r="L87" s="60" t="s">
        <v>217</v>
      </c>
    </row>
    <row r="88" spans="1:13" x14ac:dyDescent="0.3">
      <c r="H88" s="74">
        <v>30</v>
      </c>
      <c r="K88" s="55" t="s">
        <v>102</v>
      </c>
    </row>
    <row r="89" spans="1:13" x14ac:dyDescent="0.3">
      <c r="H89" s="74">
        <v>40</v>
      </c>
      <c r="K89" s="55" t="s">
        <v>32</v>
      </c>
      <c r="L89" s="60" t="s">
        <v>189</v>
      </c>
    </row>
    <row r="90" spans="1:13" s="43" customFormat="1" x14ac:dyDescent="0.3">
      <c r="A90" s="86" t="s">
        <v>218</v>
      </c>
      <c r="B90" s="56" t="s">
        <v>0</v>
      </c>
      <c r="C90" s="68" t="s">
        <v>46</v>
      </c>
      <c r="D90" s="56" t="s">
        <v>52</v>
      </c>
      <c r="E90" s="83">
        <v>39.770000000000003</v>
      </c>
      <c r="F90" s="83" t="s">
        <v>219</v>
      </c>
      <c r="G90" s="56" t="s">
        <v>11</v>
      </c>
      <c r="H90" s="80">
        <v>10</v>
      </c>
      <c r="I90" s="48"/>
      <c r="J90" s="48"/>
      <c r="K90" s="56" t="s">
        <v>25</v>
      </c>
      <c r="L90" s="61"/>
      <c r="M90" s="42"/>
    </row>
    <row r="91" spans="1:13" x14ac:dyDescent="0.3">
      <c r="H91" s="74">
        <v>10</v>
      </c>
      <c r="K91" s="55" t="s">
        <v>84</v>
      </c>
    </row>
    <row r="92" spans="1:13" x14ac:dyDescent="0.3">
      <c r="H92" s="74">
        <v>50</v>
      </c>
      <c r="K92" s="55" t="s">
        <v>96</v>
      </c>
    </row>
    <row r="93" spans="1:13" x14ac:dyDescent="0.3">
      <c r="H93" s="74">
        <v>50</v>
      </c>
      <c r="K93" s="55" t="s">
        <v>32</v>
      </c>
      <c r="L93" s="60" t="s">
        <v>224</v>
      </c>
    </row>
    <row r="94" spans="1:13" x14ac:dyDescent="0.3">
      <c r="H94" s="74">
        <v>40</v>
      </c>
      <c r="K94" s="55" t="s">
        <v>32</v>
      </c>
      <c r="L94" s="60" t="s">
        <v>220</v>
      </c>
    </row>
    <row r="95" spans="1:13" x14ac:dyDescent="0.3">
      <c r="H95" s="74">
        <v>40</v>
      </c>
      <c r="K95" s="55" t="s">
        <v>55</v>
      </c>
      <c r="L95" s="60" t="s">
        <v>221</v>
      </c>
    </row>
    <row r="96" spans="1:13" x14ac:dyDescent="0.3">
      <c r="H96" s="74">
        <v>140</v>
      </c>
      <c r="K96" s="55" t="s">
        <v>33</v>
      </c>
      <c r="L96" s="60" t="s">
        <v>222</v>
      </c>
    </row>
    <row r="97" spans="1:12" x14ac:dyDescent="0.3">
      <c r="H97" s="74">
        <v>20</v>
      </c>
      <c r="K97" s="55" t="s">
        <v>102</v>
      </c>
    </row>
    <row r="98" spans="1:12" x14ac:dyDescent="0.3">
      <c r="H98" s="74">
        <v>20</v>
      </c>
      <c r="K98" s="55" t="s">
        <v>30</v>
      </c>
      <c r="L98" s="60" t="s">
        <v>148</v>
      </c>
    </row>
    <row r="99" spans="1:12" x14ac:dyDescent="0.3">
      <c r="H99" s="74">
        <v>20</v>
      </c>
      <c r="K99" s="55" t="s">
        <v>55</v>
      </c>
      <c r="L99" s="60" t="s">
        <v>223</v>
      </c>
    </row>
    <row r="100" spans="1:12" x14ac:dyDescent="0.3">
      <c r="A100" s="72" t="s">
        <v>218</v>
      </c>
      <c r="B100" s="55" t="s">
        <v>10</v>
      </c>
      <c r="C100" s="67" t="s">
        <v>47</v>
      </c>
      <c r="D100" s="55" t="s">
        <v>50</v>
      </c>
      <c r="E100" s="19">
        <v>0</v>
      </c>
      <c r="F100" s="19" t="s">
        <v>225</v>
      </c>
      <c r="G100" s="55" t="s">
        <v>11</v>
      </c>
      <c r="H100" s="74">
        <v>10</v>
      </c>
      <c r="K100" s="55" t="s">
        <v>25</v>
      </c>
    </row>
    <row r="101" spans="1:12" x14ac:dyDescent="0.3">
      <c r="H101" s="74">
        <v>10</v>
      </c>
      <c r="K101" s="55" t="s">
        <v>84</v>
      </c>
    </row>
    <row r="102" spans="1:12" x14ac:dyDescent="0.3">
      <c r="H102" s="74">
        <v>30</v>
      </c>
      <c r="K102" s="55" t="s">
        <v>32</v>
      </c>
      <c r="L102" s="60" t="s">
        <v>226</v>
      </c>
    </row>
    <row r="103" spans="1:12" x14ac:dyDescent="0.3">
      <c r="H103" s="74">
        <v>30</v>
      </c>
      <c r="K103" s="55" t="s">
        <v>55</v>
      </c>
      <c r="L103" s="60" t="s">
        <v>228</v>
      </c>
    </row>
    <row r="104" spans="1:12" ht="22.5" x14ac:dyDescent="0.45">
      <c r="H104" s="74">
        <v>400</v>
      </c>
      <c r="K104" s="57" t="s">
        <v>55</v>
      </c>
      <c r="L104" s="60" t="s">
        <v>227</v>
      </c>
    </row>
    <row r="105" spans="1:12" x14ac:dyDescent="0.3">
      <c r="A105" s="72" t="s">
        <v>218</v>
      </c>
      <c r="B105" s="55" t="s">
        <v>12</v>
      </c>
      <c r="C105" s="67" t="s">
        <v>188</v>
      </c>
      <c r="D105" s="55" t="s">
        <v>51</v>
      </c>
      <c r="E105" s="19">
        <v>311.97000000000003</v>
      </c>
      <c r="F105" s="19" t="s">
        <v>234</v>
      </c>
      <c r="G105" s="55" t="s">
        <v>11</v>
      </c>
      <c r="H105" s="74">
        <v>10</v>
      </c>
      <c r="K105" s="55" t="s">
        <v>25</v>
      </c>
    </row>
    <row r="106" spans="1:12" ht="22.5" x14ac:dyDescent="0.45">
      <c r="H106" s="74">
        <v>10</v>
      </c>
      <c r="K106" s="57" t="s">
        <v>84</v>
      </c>
    </row>
    <row r="107" spans="1:12" ht="22.5" x14ac:dyDescent="0.45">
      <c r="H107" s="74">
        <v>100</v>
      </c>
      <c r="K107" s="57" t="s">
        <v>96</v>
      </c>
    </row>
    <row r="108" spans="1:12" x14ac:dyDescent="0.3">
      <c r="H108" s="74">
        <v>60</v>
      </c>
      <c r="K108" s="55" t="s">
        <v>32</v>
      </c>
      <c r="L108" s="60" t="s">
        <v>231</v>
      </c>
    </row>
    <row r="109" spans="1:12" x14ac:dyDescent="0.3">
      <c r="H109" s="74">
        <v>30</v>
      </c>
      <c r="K109" s="55" t="s">
        <v>32</v>
      </c>
      <c r="L109" s="60" t="s">
        <v>232</v>
      </c>
    </row>
    <row r="110" spans="1:12" x14ac:dyDescent="0.3">
      <c r="H110" s="74">
        <v>30</v>
      </c>
      <c r="K110" s="55" t="s">
        <v>30</v>
      </c>
      <c r="L110" s="60" t="s">
        <v>233</v>
      </c>
    </row>
    <row r="111" spans="1:12" x14ac:dyDescent="0.3">
      <c r="H111" s="74">
        <v>30</v>
      </c>
      <c r="K111" s="55" t="s">
        <v>102</v>
      </c>
    </row>
    <row r="112" spans="1:12" x14ac:dyDescent="0.3">
      <c r="H112" s="74">
        <v>50</v>
      </c>
      <c r="K112" s="55" t="s">
        <v>34</v>
      </c>
      <c r="L112" s="60" t="s">
        <v>229</v>
      </c>
    </row>
    <row r="113" spans="1:13" x14ac:dyDescent="0.3">
      <c r="H113" s="74">
        <v>60</v>
      </c>
      <c r="K113" s="55" t="s">
        <v>33</v>
      </c>
      <c r="L113" s="60" t="s">
        <v>230</v>
      </c>
    </row>
    <row r="114" spans="1:13" x14ac:dyDescent="0.3">
      <c r="A114" s="86" t="s">
        <v>235</v>
      </c>
      <c r="B114" s="56" t="s">
        <v>0</v>
      </c>
      <c r="C114" s="68" t="s">
        <v>47</v>
      </c>
      <c r="D114" s="56" t="s">
        <v>52</v>
      </c>
      <c r="E114" s="83">
        <v>426.1</v>
      </c>
      <c r="F114" s="83">
        <v>11</v>
      </c>
      <c r="G114" s="56" t="s">
        <v>11</v>
      </c>
      <c r="H114" s="80">
        <v>10</v>
      </c>
      <c r="I114" s="48"/>
      <c r="J114" s="48"/>
      <c r="K114" s="56" t="s">
        <v>25</v>
      </c>
      <c r="L114" s="61"/>
    </row>
    <row r="115" spans="1:13" x14ac:dyDescent="0.3">
      <c r="H115" s="74">
        <v>10</v>
      </c>
      <c r="K115" s="55" t="s">
        <v>84</v>
      </c>
    </row>
    <row r="116" spans="1:13" x14ac:dyDescent="0.3">
      <c r="H116" s="74">
        <v>130</v>
      </c>
      <c r="K116" s="55" t="s">
        <v>96</v>
      </c>
    </row>
    <row r="117" spans="1:13" x14ac:dyDescent="0.3">
      <c r="H117" s="74">
        <v>30</v>
      </c>
      <c r="K117" s="55" t="s">
        <v>32</v>
      </c>
      <c r="L117" s="60" t="s">
        <v>236</v>
      </c>
    </row>
    <row r="118" spans="1:13" x14ac:dyDescent="0.3">
      <c r="H118" s="74">
        <v>70</v>
      </c>
      <c r="K118" s="55" t="s">
        <v>55</v>
      </c>
      <c r="L118" s="60" t="s">
        <v>237</v>
      </c>
      <c r="M118" s="1" t="s">
        <v>238</v>
      </c>
    </row>
    <row r="119" spans="1:13" x14ac:dyDescent="0.3">
      <c r="H119" s="74">
        <v>20</v>
      </c>
      <c r="K119" s="55" t="s">
        <v>102</v>
      </c>
    </row>
    <row r="120" spans="1:13" x14ac:dyDescent="0.3">
      <c r="H120" s="74">
        <v>30</v>
      </c>
      <c r="K120" s="55" t="s">
        <v>30</v>
      </c>
      <c r="L120" s="60" t="s">
        <v>233</v>
      </c>
    </row>
    <row r="121" spans="1:13" x14ac:dyDescent="0.3">
      <c r="H121" s="74">
        <v>20</v>
      </c>
      <c r="K121" s="55" t="s">
        <v>33</v>
      </c>
      <c r="L121" s="60" t="s">
        <v>239</v>
      </c>
    </row>
    <row r="122" spans="1:13" x14ac:dyDescent="0.3">
      <c r="H122" s="74">
        <v>20</v>
      </c>
      <c r="K122" s="55" t="s">
        <v>34</v>
      </c>
      <c r="L122" s="60" t="s">
        <v>240</v>
      </c>
    </row>
    <row r="123" spans="1:13" x14ac:dyDescent="0.3">
      <c r="A123" s="86" t="s">
        <v>235</v>
      </c>
      <c r="B123" s="55" t="s">
        <v>10</v>
      </c>
      <c r="C123" s="68" t="s">
        <v>46</v>
      </c>
      <c r="D123" s="56" t="s">
        <v>50</v>
      </c>
      <c r="E123" s="83">
        <v>351.53</v>
      </c>
      <c r="F123" s="83">
        <v>9</v>
      </c>
      <c r="G123" s="56" t="s">
        <v>11</v>
      </c>
      <c r="H123" s="80">
        <v>10</v>
      </c>
      <c r="I123" s="48"/>
      <c r="J123" s="48"/>
      <c r="K123" s="56" t="s">
        <v>25</v>
      </c>
      <c r="L123" s="61"/>
    </row>
    <row r="124" spans="1:13" x14ac:dyDescent="0.3">
      <c r="H124" s="74">
        <v>10</v>
      </c>
      <c r="K124" s="55" t="s">
        <v>84</v>
      </c>
    </row>
    <row r="125" spans="1:13" x14ac:dyDescent="0.3">
      <c r="H125" s="74">
        <v>100</v>
      </c>
      <c r="K125" s="55" t="s">
        <v>96</v>
      </c>
    </row>
    <row r="126" spans="1:13" x14ac:dyDescent="0.3">
      <c r="H126" s="74">
        <v>50</v>
      </c>
      <c r="K126" s="55" t="s">
        <v>33</v>
      </c>
      <c r="L126" s="60" t="s">
        <v>241</v>
      </c>
    </row>
    <row r="127" spans="1:13" x14ac:dyDescent="0.3">
      <c r="H127" s="74">
        <v>20</v>
      </c>
      <c r="K127" s="55" t="s">
        <v>33</v>
      </c>
      <c r="L127" s="60" t="s">
        <v>242</v>
      </c>
    </row>
    <row r="128" spans="1:13" x14ac:dyDescent="0.3">
      <c r="H128" s="74">
        <v>20</v>
      </c>
      <c r="K128" s="55" t="s">
        <v>102</v>
      </c>
    </row>
    <row r="129" spans="1:12" x14ac:dyDescent="0.3">
      <c r="H129" s="74">
        <v>60</v>
      </c>
      <c r="K129" s="55" t="s">
        <v>55</v>
      </c>
      <c r="L129" s="60" t="s">
        <v>237</v>
      </c>
    </row>
    <row r="130" spans="1:12" x14ac:dyDescent="0.3">
      <c r="H130" s="74">
        <v>30</v>
      </c>
      <c r="K130" s="55" t="s">
        <v>32</v>
      </c>
      <c r="L130" s="60" t="s">
        <v>133</v>
      </c>
    </row>
    <row r="131" spans="1:12" x14ac:dyDescent="0.3">
      <c r="H131" s="74">
        <v>10</v>
      </c>
      <c r="K131" s="55" t="s">
        <v>33</v>
      </c>
      <c r="L131" s="60" t="s">
        <v>243</v>
      </c>
    </row>
    <row r="132" spans="1:12" x14ac:dyDescent="0.3">
      <c r="H132" s="74">
        <v>20</v>
      </c>
      <c r="K132" s="55" t="s">
        <v>30</v>
      </c>
      <c r="L132" s="60" t="s">
        <v>148</v>
      </c>
    </row>
    <row r="133" spans="1:12" x14ac:dyDescent="0.3">
      <c r="H133" s="74">
        <v>30</v>
      </c>
      <c r="K133" s="55" t="s">
        <v>30</v>
      </c>
    </row>
    <row r="134" spans="1:12" x14ac:dyDescent="0.3">
      <c r="H134" s="74">
        <v>20</v>
      </c>
      <c r="K134" s="55" t="s">
        <v>55</v>
      </c>
      <c r="L134" s="60" t="s">
        <v>244</v>
      </c>
    </row>
    <row r="135" spans="1:12" x14ac:dyDescent="0.3">
      <c r="A135" s="72" t="s">
        <v>235</v>
      </c>
      <c r="B135" s="55" t="s">
        <v>12</v>
      </c>
      <c r="C135" s="67" t="s">
        <v>188</v>
      </c>
      <c r="D135" s="55" t="s">
        <v>51</v>
      </c>
      <c r="E135" s="19">
        <v>329.85</v>
      </c>
      <c r="F135" s="19">
        <v>9</v>
      </c>
      <c r="G135" s="55" t="s">
        <v>11</v>
      </c>
      <c r="H135" s="74">
        <v>10</v>
      </c>
      <c r="K135" s="55" t="s">
        <v>25</v>
      </c>
    </row>
    <row r="136" spans="1:12" x14ac:dyDescent="0.3">
      <c r="H136" s="74">
        <v>10</v>
      </c>
      <c r="K136" s="55" t="s">
        <v>84</v>
      </c>
    </row>
    <row r="137" spans="1:12" x14ac:dyDescent="0.3">
      <c r="H137" s="74">
        <v>100</v>
      </c>
      <c r="K137" s="55" t="s">
        <v>96</v>
      </c>
    </row>
    <row r="138" spans="1:12" x14ac:dyDescent="0.3">
      <c r="H138" s="74">
        <v>30</v>
      </c>
      <c r="K138" s="55" t="s">
        <v>32</v>
      </c>
      <c r="L138" s="60" t="s">
        <v>245</v>
      </c>
    </row>
    <row r="139" spans="1:12" x14ac:dyDescent="0.3">
      <c r="H139" s="74">
        <v>30</v>
      </c>
      <c r="K139" s="55" t="s">
        <v>30</v>
      </c>
      <c r="L139" s="60" t="s">
        <v>250</v>
      </c>
    </row>
    <row r="140" spans="1:12" x14ac:dyDescent="0.3">
      <c r="H140" s="74">
        <v>20</v>
      </c>
      <c r="K140" s="55" t="s">
        <v>33</v>
      </c>
      <c r="L140" s="60" t="s">
        <v>249</v>
      </c>
    </row>
    <row r="141" spans="1:12" x14ac:dyDescent="0.3">
      <c r="H141" s="74">
        <v>30</v>
      </c>
      <c r="K141" s="55" t="s">
        <v>102</v>
      </c>
    </row>
    <row r="142" spans="1:12" x14ac:dyDescent="0.3">
      <c r="H142" s="74">
        <v>30</v>
      </c>
      <c r="K142" s="55" t="s">
        <v>32</v>
      </c>
      <c r="L142" s="60" t="s">
        <v>247</v>
      </c>
    </row>
    <row r="143" spans="1:12" x14ac:dyDescent="0.3">
      <c r="H143" s="74">
        <v>30</v>
      </c>
      <c r="K143" s="55" t="s">
        <v>34</v>
      </c>
      <c r="L143" s="60" t="s">
        <v>246</v>
      </c>
    </row>
    <row r="144" spans="1:12" x14ac:dyDescent="0.3">
      <c r="H144" s="74">
        <v>40</v>
      </c>
      <c r="K144" s="55" t="s">
        <v>32</v>
      </c>
      <c r="L144" s="60" t="s">
        <v>248</v>
      </c>
    </row>
    <row r="145" spans="1:12" x14ac:dyDescent="0.3">
      <c r="H145" s="74">
        <v>50</v>
      </c>
      <c r="K145" s="55" t="s">
        <v>55</v>
      </c>
      <c r="L145" s="60" t="s">
        <v>251</v>
      </c>
    </row>
    <row r="146" spans="1:12" x14ac:dyDescent="0.3">
      <c r="A146" s="72" t="s">
        <v>252</v>
      </c>
      <c r="B146" s="55" t="s">
        <v>0</v>
      </c>
      <c r="C146" s="68" t="s">
        <v>46</v>
      </c>
      <c r="D146" s="56" t="s">
        <v>50</v>
      </c>
      <c r="E146" s="83">
        <v>342.99</v>
      </c>
      <c r="F146" s="83">
        <v>9</v>
      </c>
      <c r="G146" s="56" t="s">
        <v>11</v>
      </c>
      <c r="H146" s="80">
        <v>10</v>
      </c>
      <c r="I146" s="48"/>
      <c r="J146" s="48"/>
      <c r="K146" s="56" t="s">
        <v>25</v>
      </c>
      <c r="L146" s="61"/>
    </row>
    <row r="147" spans="1:12" x14ac:dyDescent="0.3">
      <c r="H147" s="74">
        <v>10</v>
      </c>
      <c r="K147" s="55" t="s">
        <v>84</v>
      </c>
    </row>
    <row r="148" spans="1:12" x14ac:dyDescent="0.3">
      <c r="H148" s="74">
        <v>100</v>
      </c>
      <c r="K148" s="55" t="s">
        <v>96</v>
      </c>
    </row>
    <row r="149" spans="1:12" x14ac:dyDescent="0.3">
      <c r="H149" s="74">
        <v>20</v>
      </c>
      <c r="K149" s="55" t="s">
        <v>102</v>
      </c>
    </row>
    <row r="150" spans="1:12" x14ac:dyDescent="0.3">
      <c r="H150" s="74">
        <v>20</v>
      </c>
      <c r="K150" s="55" t="s">
        <v>34</v>
      </c>
      <c r="L150" s="60" t="s">
        <v>253</v>
      </c>
    </row>
    <row r="151" spans="1:12" x14ac:dyDescent="0.3">
      <c r="H151" s="74">
        <v>40</v>
      </c>
      <c r="K151" s="55" t="s">
        <v>34</v>
      </c>
      <c r="L151" s="60" t="s">
        <v>254</v>
      </c>
    </row>
    <row r="152" spans="1:12" x14ac:dyDescent="0.3">
      <c r="H152" s="74">
        <v>20</v>
      </c>
      <c r="K152" s="55" t="s">
        <v>55</v>
      </c>
      <c r="L152" s="60" t="s">
        <v>255</v>
      </c>
    </row>
    <row r="153" spans="1:12" x14ac:dyDescent="0.3">
      <c r="H153" s="74">
        <v>30</v>
      </c>
      <c r="K153" s="55" t="s">
        <v>32</v>
      </c>
      <c r="L153" s="60" t="s">
        <v>133</v>
      </c>
    </row>
    <row r="154" spans="1:12" x14ac:dyDescent="0.3">
      <c r="H154" s="74">
        <v>50</v>
      </c>
      <c r="K154" s="55" t="s">
        <v>30</v>
      </c>
      <c r="L154" s="60" t="s">
        <v>148</v>
      </c>
    </row>
    <row r="155" spans="1:12" x14ac:dyDescent="0.3">
      <c r="H155" s="74">
        <v>30</v>
      </c>
      <c r="K155" s="55" t="s">
        <v>55</v>
      </c>
      <c r="L155" s="60" t="s">
        <v>256</v>
      </c>
    </row>
    <row r="156" spans="1:12" x14ac:dyDescent="0.3">
      <c r="A156" s="72" t="s">
        <v>252</v>
      </c>
      <c r="B156" s="55" t="s">
        <v>10</v>
      </c>
      <c r="C156" s="69" t="s">
        <v>257</v>
      </c>
      <c r="D156" s="55" t="s">
        <v>51</v>
      </c>
      <c r="E156" s="19">
        <v>346.56</v>
      </c>
      <c r="F156" s="19">
        <v>9</v>
      </c>
      <c r="G156" s="55" t="s">
        <v>11</v>
      </c>
      <c r="H156" s="74">
        <v>10</v>
      </c>
      <c r="K156" s="56" t="s">
        <v>25</v>
      </c>
    </row>
    <row r="157" spans="1:12" x14ac:dyDescent="0.3">
      <c r="H157" s="74">
        <v>10</v>
      </c>
      <c r="K157" s="55" t="s">
        <v>84</v>
      </c>
    </row>
    <row r="158" spans="1:12" x14ac:dyDescent="0.3">
      <c r="H158" s="74">
        <v>100</v>
      </c>
      <c r="K158" s="55" t="s">
        <v>96</v>
      </c>
    </row>
    <row r="159" spans="1:12" x14ac:dyDescent="0.3">
      <c r="H159" s="74">
        <v>30</v>
      </c>
      <c r="K159" s="55" t="s">
        <v>102</v>
      </c>
    </row>
    <row r="160" spans="1:12" x14ac:dyDescent="0.3">
      <c r="H160" s="74">
        <v>35</v>
      </c>
      <c r="K160" s="55" t="s">
        <v>34</v>
      </c>
      <c r="L160" s="60" t="s">
        <v>253</v>
      </c>
    </row>
    <row r="161" spans="1:12" x14ac:dyDescent="0.3">
      <c r="H161" s="74">
        <v>40</v>
      </c>
      <c r="K161" s="55" t="s">
        <v>34</v>
      </c>
      <c r="L161" s="60" t="s">
        <v>254</v>
      </c>
    </row>
    <row r="162" spans="1:12" x14ac:dyDescent="0.3">
      <c r="H162" s="74">
        <v>40</v>
      </c>
      <c r="K162" s="55" t="s">
        <v>55</v>
      </c>
      <c r="L162" s="60" t="s">
        <v>259</v>
      </c>
    </row>
    <row r="163" spans="1:12" x14ac:dyDescent="0.3">
      <c r="H163" s="74">
        <v>20</v>
      </c>
      <c r="K163" s="55" t="s">
        <v>32</v>
      </c>
      <c r="L163" s="60" t="s">
        <v>133</v>
      </c>
    </row>
    <row r="164" spans="1:12" x14ac:dyDescent="0.3">
      <c r="H164" s="74">
        <v>50</v>
      </c>
      <c r="K164" s="55" t="s">
        <v>30</v>
      </c>
      <c r="L164" s="60" t="s">
        <v>258</v>
      </c>
    </row>
    <row r="165" spans="1:12" x14ac:dyDescent="0.3">
      <c r="A165" s="86" t="s">
        <v>252</v>
      </c>
      <c r="B165" s="56" t="s">
        <v>12</v>
      </c>
      <c r="C165" s="68" t="s">
        <v>188</v>
      </c>
      <c r="D165" s="56" t="s">
        <v>52</v>
      </c>
      <c r="E165" s="83">
        <v>304.12</v>
      </c>
      <c r="F165" s="83">
        <v>8</v>
      </c>
      <c r="G165" s="56" t="s">
        <v>11</v>
      </c>
      <c r="H165" s="80">
        <v>10</v>
      </c>
      <c r="I165" s="48"/>
      <c r="J165" s="48"/>
      <c r="K165" s="56" t="s">
        <v>25</v>
      </c>
      <c r="L165" s="61"/>
    </row>
    <row r="166" spans="1:12" x14ac:dyDescent="0.3">
      <c r="H166" s="74">
        <v>10</v>
      </c>
      <c r="K166" s="55" t="s">
        <v>84</v>
      </c>
    </row>
    <row r="167" spans="1:12" x14ac:dyDescent="0.3">
      <c r="H167" s="74">
        <v>90</v>
      </c>
      <c r="K167" s="55" t="s">
        <v>96</v>
      </c>
    </row>
    <row r="168" spans="1:12" x14ac:dyDescent="0.3">
      <c r="H168" s="74">
        <v>60</v>
      </c>
      <c r="K168" s="55" t="s">
        <v>32</v>
      </c>
      <c r="L168" s="60" t="s">
        <v>231</v>
      </c>
    </row>
    <row r="169" spans="1:12" x14ac:dyDescent="0.3">
      <c r="H169" s="74">
        <v>30</v>
      </c>
      <c r="K169" s="55" t="s">
        <v>102</v>
      </c>
    </row>
    <row r="170" spans="1:12" x14ac:dyDescent="0.3">
      <c r="H170" s="74">
        <v>40</v>
      </c>
      <c r="K170" s="55" t="s">
        <v>32</v>
      </c>
      <c r="L170" s="60" t="s">
        <v>260</v>
      </c>
    </row>
    <row r="171" spans="1:12" x14ac:dyDescent="0.3">
      <c r="H171" s="74">
        <v>40</v>
      </c>
      <c r="K171" s="55" t="s">
        <v>30</v>
      </c>
      <c r="L171" s="60" t="s">
        <v>258</v>
      </c>
    </row>
    <row r="172" spans="1:12" x14ac:dyDescent="0.3">
      <c r="H172" s="74">
        <v>30</v>
      </c>
      <c r="K172" s="55" t="s">
        <v>34</v>
      </c>
      <c r="L172" s="60" t="s">
        <v>262</v>
      </c>
    </row>
    <row r="173" spans="1:12" x14ac:dyDescent="0.3">
      <c r="H173" s="74">
        <v>30</v>
      </c>
      <c r="K173" s="55" t="s">
        <v>33</v>
      </c>
      <c r="L173" s="60" t="s">
        <v>261</v>
      </c>
    </row>
    <row r="174" spans="1:12" ht="22.5" x14ac:dyDescent="0.45">
      <c r="H174" s="79">
        <v>20</v>
      </c>
      <c r="I174" s="46"/>
      <c r="J174" s="46"/>
      <c r="K174" s="57" t="s">
        <v>33</v>
      </c>
      <c r="L174" s="40" t="s">
        <v>184</v>
      </c>
    </row>
    <row r="175" spans="1:12" ht="22.5" x14ac:dyDescent="0.45">
      <c r="H175" s="74">
        <v>40</v>
      </c>
      <c r="K175" s="57" t="s">
        <v>33</v>
      </c>
      <c r="L175" s="60" t="s">
        <v>263</v>
      </c>
    </row>
    <row r="176" spans="1:12" x14ac:dyDescent="0.3">
      <c r="A176" s="72" t="s">
        <v>264</v>
      </c>
      <c r="B176" s="55" t="s">
        <v>0</v>
      </c>
      <c r="C176" s="68" t="s">
        <v>49</v>
      </c>
      <c r="D176" s="56" t="s">
        <v>50</v>
      </c>
      <c r="E176" s="19">
        <v>347.11</v>
      </c>
      <c r="F176" s="19">
        <v>9</v>
      </c>
      <c r="G176" s="56" t="s">
        <v>11</v>
      </c>
      <c r="H176" s="80">
        <v>10</v>
      </c>
      <c r="K176" s="56" t="s">
        <v>25</v>
      </c>
    </row>
    <row r="177" spans="1:12" x14ac:dyDescent="0.3">
      <c r="H177" s="74">
        <v>10</v>
      </c>
      <c r="K177" s="55" t="s">
        <v>84</v>
      </c>
    </row>
    <row r="178" spans="1:12" x14ac:dyDescent="0.3">
      <c r="H178" s="74">
        <v>100</v>
      </c>
      <c r="K178" s="55" t="s">
        <v>96</v>
      </c>
    </row>
    <row r="179" spans="1:12" x14ac:dyDescent="0.3">
      <c r="H179" s="74">
        <v>20</v>
      </c>
      <c r="K179" s="55" t="s">
        <v>102</v>
      </c>
    </row>
    <row r="180" spans="1:12" x14ac:dyDescent="0.3">
      <c r="H180" s="74">
        <v>20</v>
      </c>
      <c r="K180" s="55" t="s">
        <v>34</v>
      </c>
      <c r="L180" s="60" t="s">
        <v>253</v>
      </c>
    </row>
    <row r="181" spans="1:12" x14ac:dyDescent="0.3">
      <c r="H181" s="74">
        <v>40</v>
      </c>
      <c r="K181" s="55" t="s">
        <v>34</v>
      </c>
      <c r="L181" s="60" t="s">
        <v>254</v>
      </c>
    </row>
    <row r="182" spans="1:12" x14ac:dyDescent="0.3">
      <c r="H182" s="74">
        <v>20</v>
      </c>
      <c r="K182" s="55" t="s">
        <v>55</v>
      </c>
      <c r="L182" s="60" t="s">
        <v>255</v>
      </c>
    </row>
    <row r="183" spans="1:12" x14ac:dyDescent="0.3">
      <c r="H183" s="74">
        <v>30</v>
      </c>
      <c r="K183" s="55" t="s">
        <v>32</v>
      </c>
      <c r="L183" s="60" t="s">
        <v>133</v>
      </c>
    </row>
    <row r="184" spans="1:12" x14ac:dyDescent="0.3">
      <c r="H184" s="74">
        <v>50</v>
      </c>
      <c r="K184" s="55" t="s">
        <v>30</v>
      </c>
      <c r="L184" s="60" t="s">
        <v>148</v>
      </c>
    </row>
    <row r="185" spans="1:12" x14ac:dyDescent="0.3">
      <c r="H185" s="74">
        <v>10</v>
      </c>
      <c r="K185" s="55" t="s">
        <v>55</v>
      </c>
      <c r="L185" s="60" t="s">
        <v>256</v>
      </c>
    </row>
    <row r="186" spans="1:12" x14ac:dyDescent="0.3">
      <c r="H186" s="74">
        <v>30</v>
      </c>
      <c r="K186" s="55" t="s">
        <v>32</v>
      </c>
      <c r="L186" s="60" t="s">
        <v>265</v>
      </c>
    </row>
    <row r="187" spans="1:12" ht="22.5" x14ac:dyDescent="0.45">
      <c r="H187" s="74">
        <v>20</v>
      </c>
      <c r="K187" s="57" t="s">
        <v>33</v>
      </c>
      <c r="L187" s="60" t="s">
        <v>266</v>
      </c>
    </row>
    <row r="188" spans="1:12" x14ac:dyDescent="0.3">
      <c r="A188" s="72" t="s">
        <v>264</v>
      </c>
      <c r="B188" s="55" t="s">
        <v>10</v>
      </c>
      <c r="C188" s="69" t="s">
        <v>257</v>
      </c>
      <c r="D188" s="55" t="s">
        <v>51</v>
      </c>
      <c r="E188" s="19">
        <v>246.86</v>
      </c>
      <c r="F188" s="19">
        <v>7.5</v>
      </c>
      <c r="G188" s="55" t="s">
        <v>11</v>
      </c>
      <c r="H188" s="74">
        <v>10</v>
      </c>
      <c r="K188" s="55" t="s">
        <v>25</v>
      </c>
    </row>
    <row r="189" spans="1:12" x14ac:dyDescent="0.3">
      <c r="H189" s="74">
        <v>30</v>
      </c>
      <c r="K189" s="55" t="s">
        <v>84</v>
      </c>
      <c r="L189" s="60" t="s">
        <v>267</v>
      </c>
    </row>
    <row r="190" spans="1:12" x14ac:dyDescent="0.3">
      <c r="H190" s="74">
        <v>80</v>
      </c>
      <c r="K190" s="55" t="s">
        <v>96</v>
      </c>
    </row>
    <row r="191" spans="1:12" x14ac:dyDescent="0.3">
      <c r="H191" s="74">
        <v>90</v>
      </c>
      <c r="K191" s="55" t="s">
        <v>32</v>
      </c>
      <c r="L191" s="60" t="s">
        <v>270</v>
      </c>
    </row>
    <row r="192" spans="1:12" x14ac:dyDescent="0.3">
      <c r="H192" s="74">
        <v>30</v>
      </c>
      <c r="K192" s="55" t="s">
        <v>30</v>
      </c>
      <c r="L192" s="60" t="s">
        <v>250</v>
      </c>
    </row>
    <row r="193" spans="1:13" x14ac:dyDescent="0.3">
      <c r="H193" s="74">
        <v>40</v>
      </c>
      <c r="K193" s="55" t="s">
        <v>34</v>
      </c>
      <c r="L193" s="60" t="s">
        <v>268</v>
      </c>
    </row>
    <row r="194" spans="1:13" x14ac:dyDescent="0.3">
      <c r="H194" s="74">
        <v>20</v>
      </c>
      <c r="K194" s="55" t="s">
        <v>102</v>
      </c>
    </row>
    <row r="195" spans="1:13" x14ac:dyDescent="0.3">
      <c r="H195" s="74">
        <v>30</v>
      </c>
      <c r="K195" s="55" t="s">
        <v>33</v>
      </c>
      <c r="L195" s="60" t="s">
        <v>269</v>
      </c>
      <c r="M195" s="1" t="s">
        <v>272</v>
      </c>
    </row>
    <row r="196" spans="1:13" x14ac:dyDescent="0.3">
      <c r="H196" s="74">
        <v>20</v>
      </c>
      <c r="K196" s="55" t="s">
        <v>33</v>
      </c>
      <c r="L196" s="60" t="s">
        <v>274</v>
      </c>
    </row>
    <row r="197" spans="1:13" x14ac:dyDescent="0.3">
      <c r="H197" s="74">
        <v>20</v>
      </c>
      <c r="K197" s="55" t="s">
        <v>32</v>
      </c>
      <c r="L197" s="60" t="s">
        <v>271</v>
      </c>
    </row>
    <row r="198" spans="1:13" x14ac:dyDescent="0.3">
      <c r="H198" s="74">
        <v>20</v>
      </c>
      <c r="K198" s="55" t="s">
        <v>55</v>
      </c>
      <c r="L198" s="60" t="s">
        <v>273</v>
      </c>
    </row>
    <row r="199" spans="1:13" x14ac:dyDescent="0.3">
      <c r="A199" s="86" t="s">
        <v>264</v>
      </c>
      <c r="B199" s="56" t="s">
        <v>12</v>
      </c>
      <c r="C199" s="68" t="s">
        <v>188</v>
      </c>
      <c r="D199" s="56" t="s">
        <v>52</v>
      </c>
      <c r="E199" s="83">
        <v>251.36</v>
      </c>
      <c r="F199" s="83">
        <v>7.5</v>
      </c>
      <c r="G199" s="56" t="s">
        <v>11</v>
      </c>
      <c r="H199" s="80">
        <v>10</v>
      </c>
      <c r="I199" s="48"/>
      <c r="J199" s="48"/>
      <c r="K199" s="56" t="s">
        <v>25</v>
      </c>
      <c r="L199" s="61"/>
    </row>
    <row r="200" spans="1:13" x14ac:dyDescent="0.3">
      <c r="H200" s="74">
        <v>10</v>
      </c>
      <c r="K200" s="55" t="s">
        <v>84</v>
      </c>
    </row>
    <row r="201" spans="1:13" x14ac:dyDescent="0.3">
      <c r="H201" s="74">
        <v>90</v>
      </c>
      <c r="K201" s="55" t="s">
        <v>96</v>
      </c>
    </row>
    <row r="202" spans="1:13" x14ac:dyDescent="0.3">
      <c r="H202" s="74">
        <v>75</v>
      </c>
      <c r="K202" s="55" t="s">
        <v>32</v>
      </c>
      <c r="L202" s="60" t="s">
        <v>231</v>
      </c>
    </row>
    <row r="203" spans="1:13" x14ac:dyDescent="0.3">
      <c r="H203" s="74">
        <v>30</v>
      </c>
      <c r="K203" s="55" t="s">
        <v>102</v>
      </c>
    </row>
    <row r="204" spans="1:13" x14ac:dyDescent="0.3">
      <c r="H204" s="74">
        <v>45</v>
      </c>
      <c r="K204" s="55" t="s">
        <v>32</v>
      </c>
      <c r="L204" s="60" t="s">
        <v>275</v>
      </c>
    </row>
    <row r="205" spans="1:13" x14ac:dyDescent="0.3">
      <c r="H205" s="74">
        <v>50</v>
      </c>
      <c r="K205" s="55" t="s">
        <v>30</v>
      </c>
      <c r="L205" s="60" t="s">
        <v>276</v>
      </c>
    </row>
    <row r="206" spans="1:13" x14ac:dyDescent="0.3">
      <c r="H206" s="74">
        <v>30</v>
      </c>
      <c r="K206" s="55" t="s">
        <v>34</v>
      </c>
      <c r="L206" s="60" t="s">
        <v>262</v>
      </c>
    </row>
    <row r="207" spans="1:13" x14ac:dyDescent="0.3">
      <c r="H207" s="74">
        <v>30</v>
      </c>
      <c r="K207" s="55" t="s">
        <v>33</v>
      </c>
      <c r="L207" s="60" t="s">
        <v>277</v>
      </c>
    </row>
    <row r="208" spans="1:13" x14ac:dyDescent="0.3">
      <c r="A208" s="72" t="s">
        <v>278</v>
      </c>
      <c r="B208" s="55" t="s">
        <v>0</v>
      </c>
      <c r="C208" s="68" t="s">
        <v>49</v>
      </c>
      <c r="D208" s="56" t="s">
        <v>50</v>
      </c>
      <c r="E208" s="19">
        <v>206.28</v>
      </c>
      <c r="F208" s="19">
        <v>6</v>
      </c>
      <c r="G208" s="56" t="s">
        <v>11</v>
      </c>
      <c r="H208" s="80">
        <v>10</v>
      </c>
      <c r="K208" s="56" t="s">
        <v>25</v>
      </c>
    </row>
    <row r="209" spans="1:12" x14ac:dyDescent="0.3">
      <c r="H209" s="74">
        <v>10</v>
      </c>
      <c r="K209" s="55" t="s">
        <v>84</v>
      </c>
    </row>
    <row r="210" spans="1:12" x14ac:dyDescent="0.3">
      <c r="H210" s="74">
        <v>70</v>
      </c>
      <c r="K210" s="55" t="s">
        <v>96</v>
      </c>
    </row>
    <row r="211" spans="1:12" x14ac:dyDescent="0.3">
      <c r="H211" s="74">
        <v>20</v>
      </c>
      <c r="K211" s="55" t="s">
        <v>102</v>
      </c>
    </row>
    <row r="212" spans="1:12" ht="22.5" x14ac:dyDescent="0.45">
      <c r="H212" s="74">
        <v>70</v>
      </c>
      <c r="K212" s="57" t="s">
        <v>33</v>
      </c>
      <c r="L212" s="60" t="s">
        <v>279</v>
      </c>
    </row>
    <row r="213" spans="1:12" x14ac:dyDescent="0.3">
      <c r="H213" s="74">
        <v>20</v>
      </c>
      <c r="K213" s="55" t="s">
        <v>34</v>
      </c>
      <c r="L213" s="60" t="s">
        <v>253</v>
      </c>
    </row>
    <row r="214" spans="1:12" x14ac:dyDescent="0.3">
      <c r="H214" s="74">
        <v>40</v>
      </c>
      <c r="K214" s="55" t="s">
        <v>34</v>
      </c>
      <c r="L214" s="60" t="s">
        <v>282</v>
      </c>
    </row>
    <row r="215" spans="1:12" x14ac:dyDescent="0.3">
      <c r="H215" s="74">
        <v>20</v>
      </c>
      <c r="K215" s="55" t="s">
        <v>55</v>
      </c>
      <c r="L215" s="60" t="s">
        <v>255</v>
      </c>
    </row>
    <row r="216" spans="1:12" x14ac:dyDescent="0.3">
      <c r="H216" s="74">
        <v>100</v>
      </c>
      <c r="K216" s="55" t="s">
        <v>32</v>
      </c>
      <c r="L216" s="60" t="s">
        <v>280</v>
      </c>
    </row>
    <row r="217" spans="1:12" x14ac:dyDescent="0.3">
      <c r="H217" s="74">
        <v>50</v>
      </c>
      <c r="K217" s="55" t="s">
        <v>30</v>
      </c>
      <c r="L217" s="60" t="s">
        <v>281</v>
      </c>
    </row>
    <row r="218" spans="1:12" x14ac:dyDescent="0.3">
      <c r="A218" s="72" t="s">
        <v>278</v>
      </c>
      <c r="B218" s="55" t="s">
        <v>10</v>
      </c>
      <c r="C218" s="69" t="s">
        <v>257</v>
      </c>
      <c r="D218" s="55" t="s">
        <v>51</v>
      </c>
      <c r="E218" s="19">
        <v>240.8</v>
      </c>
      <c r="F218" s="19">
        <v>7</v>
      </c>
      <c r="G218" s="55" t="s">
        <v>11</v>
      </c>
      <c r="H218" s="74">
        <v>10</v>
      </c>
      <c r="K218" s="55" t="s">
        <v>25</v>
      </c>
    </row>
    <row r="219" spans="1:12" ht="22.5" x14ac:dyDescent="0.45">
      <c r="H219" s="74">
        <v>10</v>
      </c>
      <c r="K219" s="57" t="s">
        <v>84</v>
      </c>
    </row>
    <row r="220" spans="1:12" x14ac:dyDescent="0.3">
      <c r="H220" s="74">
        <v>90</v>
      </c>
      <c r="K220" s="55" t="s">
        <v>96</v>
      </c>
    </row>
    <row r="221" spans="1:12" x14ac:dyDescent="0.3">
      <c r="H221" s="74">
        <v>70</v>
      </c>
      <c r="K221" s="55" t="s">
        <v>32</v>
      </c>
      <c r="L221" s="60" t="s">
        <v>283</v>
      </c>
    </row>
    <row r="222" spans="1:12" x14ac:dyDescent="0.3">
      <c r="H222" s="74">
        <v>60</v>
      </c>
      <c r="K222" s="55" t="s">
        <v>32</v>
      </c>
      <c r="L222" s="60" t="s">
        <v>284</v>
      </c>
    </row>
    <row r="223" spans="1:12" x14ac:dyDescent="0.3">
      <c r="H223" s="74">
        <v>30</v>
      </c>
      <c r="K223" s="55" t="s">
        <v>30</v>
      </c>
      <c r="L223" s="60" t="s">
        <v>285</v>
      </c>
    </row>
    <row r="224" spans="1:12" x14ac:dyDescent="0.3">
      <c r="H224" s="74">
        <v>30</v>
      </c>
      <c r="K224" s="55" t="s">
        <v>102</v>
      </c>
    </row>
    <row r="225" spans="1:12" x14ac:dyDescent="0.3">
      <c r="H225" s="74">
        <v>30</v>
      </c>
      <c r="K225" s="55" t="s">
        <v>32</v>
      </c>
      <c r="L225" s="60" t="s">
        <v>287</v>
      </c>
    </row>
    <row r="226" spans="1:12" x14ac:dyDescent="0.3">
      <c r="H226" s="74">
        <v>40</v>
      </c>
      <c r="K226" s="55" t="s">
        <v>34</v>
      </c>
      <c r="L226" s="60" t="s">
        <v>286</v>
      </c>
    </row>
    <row r="227" spans="1:12" x14ac:dyDescent="0.3">
      <c r="H227" s="74">
        <v>20</v>
      </c>
      <c r="K227" s="55" t="s">
        <v>32</v>
      </c>
      <c r="L227" s="60" t="s">
        <v>131</v>
      </c>
    </row>
    <row r="228" spans="1:12" x14ac:dyDescent="0.3">
      <c r="A228" s="86" t="s">
        <v>278</v>
      </c>
      <c r="B228" s="56" t="s">
        <v>12</v>
      </c>
      <c r="C228" s="68" t="s">
        <v>188</v>
      </c>
      <c r="D228" s="56" t="s">
        <v>52</v>
      </c>
      <c r="E228" s="83">
        <v>293.18</v>
      </c>
      <c r="F228" s="83">
        <v>10</v>
      </c>
      <c r="G228" s="56" t="s">
        <v>11</v>
      </c>
      <c r="H228" s="80">
        <v>10</v>
      </c>
      <c r="I228" s="48"/>
      <c r="J228" s="48"/>
      <c r="K228" s="56" t="s">
        <v>25</v>
      </c>
      <c r="L228" s="61"/>
    </row>
    <row r="229" spans="1:12" x14ac:dyDescent="0.3">
      <c r="H229" s="74">
        <v>10</v>
      </c>
      <c r="K229" s="55" t="s">
        <v>84</v>
      </c>
    </row>
    <row r="230" spans="1:12" x14ac:dyDescent="0.3">
      <c r="H230" s="74">
        <v>100</v>
      </c>
      <c r="K230" s="55" t="s">
        <v>96</v>
      </c>
    </row>
    <row r="231" spans="1:12" x14ac:dyDescent="0.3">
      <c r="H231" s="74">
        <v>30</v>
      </c>
      <c r="K231" s="55" t="s">
        <v>32</v>
      </c>
      <c r="L231" s="60" t="s">
        <v>265</v>
      </c>
    </row>
    <row r="232" spans="1:12" x14ac:dyDescent="0.3">
      <c r="H232" s="74">
        <v>30</v>
      </c>
      <c r="K232" s="55" t="s">
        <v>102</v>
      </c>
    </row>
    <row r="233" spans="1:12" x14ac:dyDescent="0.3">
      <c r="H233" s="74">
        <v>20</v>
      </c>
      <c r="K233" s="55" t="s">
        <v>32</v>
      </c>
      <c r="L233" s="60" t="s">
        <v>275</v>
      </c>
    </row>
    <row r="234" spans="1:12" x14ac:dyDescent="0.3">
      <c r="H234" s="74">
        <v>30</v>
      </c>
      <c r="K234" s="55" t="s">
        <v>30</v>
      </c>
      <c r="L234" s="60" t="s">
        <v>288</v>
      </c>
    </row>
    <row r="235" spans="1:12" x14ac:dyDescent="0.3">
      <c r="H235" s="74">
        <v>20</v>
      </c>
      <c r="K235" s="55" t="s">
        <v>34</v>
      </c>
      <c r="L235" s="60" t="s">
        <v>262</v>
      </c>
    </row>
    <row r="236" spans="1:12" x14ac:dyDescent="0.3">
      <c r="H236" s="74">
        <v>90</v>
      </c>
      <c r="K236" s="55" t="s">
        <v>32</v>
      </c>
      <c r="L236" s="60" t="s">
        <v>289</v>
      </c>
    </row>
    <row r="237" spans="1:12" x14ac:dyDescent="0.3">
      <c r="H237" s="74">
        <v>30</v>
      </c>
      <c r="K237" s="55" t="s">
        <v>15</v>
      </c>
      <c r="L237" s="60" t="s">
        <v>290</v>
      </c>
    </row>
    <row r="238" spans="1:12" x14ac:dyDescent="0.3">
      <c r="A238" s="72" t="s">
        <v>293</v>
      </c>
      <c r="B238" s="55" t="s">
        <v>0</v>
      </c>
      <c r="C238" s="68" t="s">
        <v>49</v>
      </c>
      <c r="D238" s="56" t="s">
        <v>50</v>
      </c>
      <c r="E238" s="19">
        <v>316.23</v>
      </c>
      <c r="F238" s="19">
        <v>12</v>
      </c>
      <c r="G238" s="56" t="s">
        <v>11</v>
      </c>
      <c r="H238" s="80">
        <v>10</v>
      </c>
      <c r="K238" s="56" t="s">
        <v>25</v>
      </c>
    </row>
    <row r="239" spans="1:12" x14ac:dyDescent="0.3">
      <c r="H239" s="74">
        <v>10</v>
      </c>
      <c r="K239" s="55" t="s">
        <v>84</v>
      </c>
    </row>
    <row r="240" spans="1:12" x14ac:dyDescent="0.3">
      <c r="H240" s="74">
        <v>130</v>
      </c>
      <c r="K240" s="55" t="s">
        <v>96</v>
      </c>
    </row>
    <row r="241" spans="1:12" x14ac:dyDescent="0.3">
      <c r="H241" s="74">
        <v>20</v>
      </c>
      <c r="K241" s="55" t="s">
        <v>102</v>
      </c>
    </row>
    <row r="242" spans="1:12" x14ac:dyDescent="0.3">
      <c r="H242" s="74">
        <v>10</v>
      </c>
      <c r="K242" s="55" t="s">
        <v>34</v>
      </c>
      <c r="L242" s="60" t="s">
        <v>253</v>
      </c>
    </row>
    <row r="243" spans="1:12" x14ac:dyDescent="0.3">
      <c r="H243" s="74">
        <v>20</v>
      </c>
      <c r="K243" s="55" t="s">
        <v>34</v>
      </c>
      <c r="L243" s="60" t="s">
        <v>291</v>
      </c>
    </row>
    <row r="244" spans="1:12" x14ac:dyDescent="0.3">
      <c r="H244" s="74">
        <v>20</v>
      </c>
      <c r="K244" s="55" t="s">
        <v>55</v>
      </c>
      <c r="L244" s="60" t="s">
        <v>292</v>
      </c>
    </row>
    <row r="245" spans="1:12" x14ac:dyDescent="0.3">
      <c r="H245" s="74">
        <v>40</v>
      </c>
      <c r="K245" s="55" t="s">
        <v>32</v>
      </c>
      <c r="L245" s="60" t="s">
        <v>294</v>
      </c>
    </row>
    <row r="246" spans="1:12" x14ac:dyDescent="0.3">
      <c r="H246" s="74">
        <v>30</v>
      </c>
      <c r="K246" s="55" t="s">
        <v>32</v>
      </c>
      <c r="L246" s="60" t="s">
        <v>295</v>
      </c>
    </row>
    <row r="247" spans="1:12" x14ac:dyDescent="0.3">
      <c r="H247" s="74">
        <v>30</v>
      </c>
      <c r="K247" s="55" t="s">
        <v>30</v>
      </c>
    </row>
    <row r="248" spans="1:12" x14ac:dyDescent="0.3">
      <c r="A248" s="72" t="s">
        <v>297</v>
      </c>
      <c r="B248" s="55" t="s">
        <v>10</v>
      </c>
      <c r="C248" s="67" t="s">
        <v>296</v>
      </c>
      <c r="D248" s="55" t="s">
        <v>51</v>
      </c>
      <c r="E248" s="19">
        <v>242.89</v>
      </c>
      <c r="F248" s="19">
        <v>12</v>
      </c>
      <c r="G248" s="55" t="s">
        <v>11</v>
      </c>
      <c r="H248" s="74">
        <v>10</v>
      </c>
      <c r="K248" s="55" t="s">
        <v>25</v>
      </c>
    </row>
    <row r="249" spans="1:12" x14ac:dyDescent="0.3">
      <c r="H249" s="74">
        <v>10</v>
      </c>
      <c r="K249" s="55" t="s">
        <v>84</v>
      </c>
    </row>
    <row r="250" spans="1:12" x14ac:dyDescent="0.3">
      <c r="H250" s="74">
        <v>120</v>
      </c>
      <c r="K250" s="55" t="s">
        <v>96</v>
      </c>
    </row>
    <row r="251" spans="1:12" x14ac:dyDescent="0.3">
      <c r="H251" s="74">
        <v>30</v>
      </c>
      <c r="K251" s="55" t="s">
        <v>32</v>
      </c>
      <c r="L251" s="60" t="s">
        <v>298</v>
      </c>
    </row>
    <row r="252" spans="1:12" x14ac:dyDescent="0.3">
      <c r="H252" s="74">
        <v>25</v>
      </c>
      <c r="K252" s="55" t="s">
        <v>32</v>
      </c>
      <c r="L252" s="60" t="s">
        <v>299</v>
      </c>
    </row>
    <row r="253" spans="1:12" x14ac:dyDescent="0.3">
      <c r="H253" s="74">
        <v>30</v>
      </c>
      <c r="K253" s="55" t="s">
        <v>30</v>
      </c>
      <c r="L253" s="60" t="s">
        <v>300</v>
      </c>
    </row>
    <row r="254" spans="1:12" x14ac:dyDescent="0.3">
      <c r="H254" s="74">
        <v>20</v>
      </c>
      <c r="K254" s="55" t="s">
        <v>33</v>
      </c>
      <c r="L254" s="60" t="s">
        <v>301</v>
      </c>
    </row>
    <row r="255" spans="1:12" x14ac:dyDescent="0.3">
      <c r="H255" s="74">
        <v>20</v>
      </c>
      <c r="K255" s="55" t="s">
        <v>34</v>
      </c>
      <c r="L255" s="60" t="s">
        <v>253</v>
      </c>
    </row>
    <row r="256" spans="1:12" x14ac:dyDescent="0.3">
      <c r="H256" s="74">
        <v>30</v>
      </c>
      <c r="K256" s="55" t="s">
        <v>55</v>
      </c>
      <c r="L256" s="60" t="s">
        <v>302</v>
      </c>
    </row>
    <row r="257" spans="1:12" x14ac:dyDescent="0.3">
      <c r="H257" s="74">
        <v>15</v>
      </c>
      <c r="K257" s="55" t="s">
        <v>55</v>
      </c>
      <c r="L257" s="60" t="s">
        <v>303</v>
      </c>
    </row>
    <row r="258" spans="1:12" x14ac:dyDescent="0.3">
      <c r="A258" s="86" t="s">
        <v>293</v>
      </c>
      <c r="B258" s="56" t="s">
        <v>12</v>
      </c>
      <c r="C258" s="68" t="s">
        <v>46</v>
      </c>
      <c r="D258" s="56" t="s">
        <v>52</v>
      </c>
      <c r="E258" s="83">
        <v>329.9</v>
      </c>
      <c r="F258" s="83">
        <v>12</v>
      </c>
      <c r="G258" s="56" t="s">
        <v>11</v>
      </c>
      <c r="H258" s="80">
        <v>10</v>
      </c>
      <c r="I258" s="48"/>
      <c r="J258" s="48"/>
      <c r="K258" s="56" t="s">
        <v>25</v>
      </c>
      <c r="L258" s="61"/>
    </row>
    <row r="259" spans="1:12" x14ac:dyDescent="0.3">
      <c r="H259" s="74">
        <v>10</v>
      </c>
      <c r="K259" s="55" t="s">
        <v>84</v>
      </c>
    </row>
    <row r="260" spans="1:12" x14ac:dyDescent="0.3">
      <c r="H260" s="74">
        <v>130</v>
      </c>
      <c r="K260" s="55" t="s">
        <v>96</v>
      </c>
    </row>
    <row r="261" spans="1:12" x14ac:dyDescent="0.3">
      <c r="H261" s="74">
        <v>30</v>
      </c>
      <c r="K261" s="55" t="s">
        <v>32</v>
      </c>
      <c r="L261" s="60" t="s">
        <v>265</v>
      </c>
    </row>
    <row r="262" spans="1:12" x14ac:dyDescent="0.3">
      <c r="H262" s="74">
        <v>30</v>
      </c>
      <c r="K262" s="55" t="s">
        <v>102</v>
      </c>
    </row>
    <row r="263" spans="1:12" x14ac:dyDescent="0.3">
      <c r="H263" s="74">
        <v>30</v>
      </c>
      <c r="K263" s="55" t="s">
        <v>32</v>
      </c>
      <c r="L263" s="60" t="s">
        <v>305</v>
      </c>
    </row>
    <row r="264" spans="1:12" x14ac:dyDescent="0.3">
      <c r="H264" s="74">
        <v>20</v>
      </c>
      <c r="K264" s="55" t="s">
        <v>55</v>
      </c>
      <c r="L264" s="60" t="s">
        <v>304</v>
      </c>
    </row>
    <row r="265" spans="1:12" x14ac:dyDescent="0.3">
      <c r="H265" s="74">
        <v>30</v>
      </c>
      <c r="K265" s="55" t="s">
        <v>30</v>
      </c>
      <c r="L265" s="60" t="s">
        <v>300</v>
      </c>
    </row>
    <row r="266" spans="1:12" x14ac:dyDescent="0.3">
      <c r="H266" s="74">
        <v>15</v>
      </c>
      <c r="K266" s="55" t="s">
        <v>55</v>
      </c>
      <c r="L266" s="60" t="s">
        <v>303</v>
      </c>
    </row>
    <row r="267" spans="1:12" x14ac:dyDescent="0.3">
      <c r="A267" s="72" t="s">
        <v>306</v>
      </c>
      <c r="B267" s="55" t="s">
        <v>0</v>
      </c>
      <c r="C267" s="67" t="s">
        <v>296</v>
      </c>
      <c r="D267" s="56" t="s">
        <v>50</v>
      </c>
      <c r="E267" s="19">
        <v>373.28</v>
      </c>
      <c r="F267" s="19">
        <v>12</v>
      </c>
      <c r="G267" s="56" t="s">
        <v>11</v>
      </c>
      <c r="H267" s="80">
        <v>10</v>
      </c>
      <c r="K267" s="56" t="s">
        <v>25</v>
      </c>
    </row>
    <row r="268" spans="1:12" x14ac:dyDescent="0.3">
      <c r="H268" s="74">
        <v>10</v>
      </c>
      <c r="K268" s="55" t="s">
        <v>84</v>
      </c>
    </row>
    <row r="269" spans="1:12" x14ac:dyDescent="0.3">
      <c r="H269" s="74">
        <v>120</v>
      </c>
      <c r="K269" s="55" t="s">
        <v>96</v>
      </c>
    </row>
    <row r="270" spans="1:12" x14ac:dyDescent="0.3">
      <c r="H270" s="74">
        <v>20</v>
      </c>
      <c r="K270" s="55" t="s">
        <v>102</v>
      </c>
    </row>
    <row r="271" spans="1:12" x14ac:dyDescent="0.3">
      <c r="H271" s="74">
        <v>10</v>
      </c>
      <c r="K271" s="55" t="s">
        <v>34</v>
      </c>
      <c r="L271" s="60" t="s">
        <v>253</v>
      </c>
    </row>
    <row r="272" spans="1:12" x14ac:dyDescent="0.3">
      <c r="H272" s="74">
        <v>20</v>
      </c>
      <c r="K272" s="55" t="s">
        <v>34</v>
      </c>
      <c r="L272" s="60" t="s">
        <v>291</v>
      </c>
    </row>
    <row r="273" spans="1:13" x14ac:dyDescent="0.3">
      <c r="H273" s="74">
        <v>20</v>
      </c>
      <c r="K273" s="55" t="s">
        <v>55</v>
      </c>
      <c r="L273" s="60" t="s">
        <v>292</v>
      </c>
    </row>
    <row r="274" spans="1:13" x14ac:dyDescent="0.3">
      <c r="H274" s="74">
        <v>30</v>
      </c>
      <c r="K274" s="55" t="s">
        <v>32</v>
      </c>
      <c r="L274" s="60" t="s">
        <v>307</v>
      </c>
    </row>
    <row r="275" spans="1:13" x14ac:dyDescent="0.3">
      <c r="H275" s="74">
        <v>60</v>
      </c>
      <c r="K275" s="55" t="s">
        <v>32</v>
      </c>
      <c r="L275" s="60" t="s">
        <v>308</v>
      </c>
    </row>
    <row r="276" spans="1:13" x14ac:dyDescent="0.3">
      <c r="H276" s="74">
        <v>30</v>
      </c>
      <c r="K276" s="55" t="s">
        <v>30</v>
      </c>
    </row>
    <row r="277" spans="1:13" x14ac:dyDescent="0.3">
      <c r="A277" s="72" t="s">
        <v>306</v>
      </c>
      <c r="B277" s="55" t="s">
        <v>10</v>
      </c>
      <c r="C277" s="67" t="s">
        <v>188</v>
      </c>
      <c r="D277" s="55" t="s">
        <v>51</v>
      </c>
      <c r="E277" s="19">
        <v>246.7</v>
      </c>
      <c r="F277" s="19">
        <v>7</v>
      </c>
      <c r="G277" s="55" t="s">
        <v>11</v>
      </c>
      <c r="H277" s="74">
        <v>10</v>
      </c>
      <c r="K277" s="55" t="s">
        <v>25</v>
      </c>
    </row>
    <row r="278" spans="1:13" x14ac:dyDescent="0.3">
      <c r="H278" s="74">
        <v>30</v>
      </c>
      <c r="K278" s="55" t="s">
        <v>84</v>
      </c>
    </row>
    <row r="279" spans="1:13" x14ac:dyDescent="0.3">
      <c r="H279" s="74">
        <v>80</v>
      </c>
      <c r="K279" s="55" t="s">
        <v>96</v>
      </c>
    </row>
    <row r="280" spans="1:13" x14ac:dyDescent="0.3">
      <c r="H280" s="74">
        <v>30</v>
      </c>
      <c r="K280" s="55" t="s">
        <v>32</v>
      </c>
      <c r="L280" s="60" t="s">
        <v>309</v>
      </c>
    </row>
    <row r="281" spans="1:13" x14ac:dyDescent="0.3">
      <c r="H281" s="74">
        <v>20</v>
      </c>
      <c r="K281" s="55" t="s">
        <v>32</v>
      </c>
      <c r="L281" s="60" t="s">
        <v>310</v>
      </c>
    </row>
    <row r="282" spans="1:13" x14ac:dyDescent="0.3">
      <c r="H282" s="74">
        <v>30</v>
      </c>
      <c r="K282" s="55" t="s">
        <v>30</v>
      </c>
    </row>
    <row r="283" spans="1:13" x14ac:dyDescent="0.3">
      <c r="H283" s="74">
        <v>20</v>
      </c>
      <c r="K283" s="55" t="s">
        <v>33</v>
      </c>
      <c r="L283" s="60" t="s">
        <v>311</v>
      </c>
    </row>
    <row r="284" spans="1:13" x14ac:dyDescent="0.3">
      <c r="H284" s="74">
        <v>40</v>
      </c>
      <c r="K284" s="55" t="s">
        <v>32</v>
      </c>
      <c r="L284" s="60" t="s">
        <v>248</v>
      </c>
    </row>
    <row r="285" spans="1:13" x14ac:dyDescent="0.3">
      <c r="H285" s="74">
        <v>20</v>
      </c>
      <c r="K285" s="55" t="s">
        <v>102</v>
      </c>
    </row>
    <row r="286" spans="1:13" x14ac:dyDescent="0.3">
      <c r="H286" s="74">
        <v>40</v>
      </c>
      <c r="K286" s="55" t="s">
        <v>55</v>
      </c>
      <c r="L286" s="60" t="s">
        <v>273</v>
      </c>
    </row>
    <row r="287" spans="1:13" x14ac:dyDescent="0.3">
      <c r="H287" s="74">
        <v>40</v>
      </c>
      <c r="K287" s="55" t="s">
        <v>55</v>
      </c>
      <c r="L287" s="60" t="s">
        <v>312</v>
      </c>
      <c r="M287" s="1" t="s">
        <v>313</v>
      </c>
    </row>
    <row r="288" spans="1:13" x14ac:dyDescent="0.3">
      <c r="A288" s="86" t="s">
        <v>306</v>
      </c>
      <c r="B288" s="56" t="s">
        <v>12</v>
      </c>
      <c r="C288" s="68" t="s">
        <v>46</v>
      </c>
      <c r="D288" s="56" t="s">
        <v>52</v>
      </c>
      <c r="E288" s="83">
        <v>199.51</v>
      </c>
      <c r="F288" s="83">
        <v>7</v>
      </c>
      <c r="G288" s="56" t="s">
        <v>11</v>
      </c>
      <c r="H288" s="80">
        <v>10</v>
      </c>
      <c r="I288" s="48"/>
      <c r="J288" s="48"/>
      <c r="K288" s="56" t="s">
        <v>25</v>
      </c>
      <c r="L288" s="61"/>
    </row>
    <row r="289" spans="1:12" x14ac:dyDescent="0.3">
      <c r="H289" s="74">
        <v>10</v>
      </c>
      <c r="K289" s="55" t="s">
        <v>84</v>
      </c>
    </row>
    <row r="290" spans="1:12" x14ac:dyDescent="0.3">
      <c r="H290" s="74">
        <v>80</v>
      </c>
      <c r="K290" s="55" t="s">
        <v>96</v>
      </c>
    </row>
    <row r="291" spans="1:12" x14ac:dyDescent="0.3">
      <c r="H291" s="74">
        <v>30</v>
      </c>
      <c r="K291" s="55" t="s">
        <v>32</v>
      </c>
      <c r="L291" s="60" t="s">
        <v>315</v>
      </c>
    </row>
    <row r="292" spans="1:12" x14ac:dyDescent="0.3">
      <c r="H292" s="74">
        <v>30</v>
      </c>
      <c r="K292" s="55" t="s">
        <v>102</v>
      </c>
    </row>
    <row r="293" spans="1:12" x14ac:dyDescent="0.3">
      <c r="H293" s="74">
        <v>30</v>
      </c>
      <c r="K293" s="55" t="s">
        <v>32</v>
      </c>
      <c r="L293" s="60" t="s">
        <v>305</v>
      </c>
    </row>
    <row r="294" spans="1:12" x14ac:dyDescent="0.3">
      <c r="H294" s="74">
        <v>60</v>
      </c>
      <c r="K294" s="55" t="s">
        <v>32</v>
      </c>
      <c r="L294" s="60" t="s">
        <v>316</v>
      </c>
    </row>
    <row r="295" spans="1:12" x14ac:dyDescent="0.3">
      <c r="H295" s="74">
        <v>60</v>
      </c>
      <c r="K295" s="55" t="s">
        <v>55</v>
      </c>
      <c r="L295" s="60" t="s">
        <v>317</v>
      </c>
    </row>
    <row r="296" spans="1:12" x14ac:dyDescent="0.3">
      <c r="H296" s="74">
        <v>30</v>
      </c>
      <c r="K296" s="55" t="s">
        <v>30</v>
      </c>
    </row>
    <row r="297" spans="1:12" x14ac:dyDescent="0.3">
      <c r="H297" s="74">
        <v>40</v>
      </c>
      <c r="K297" s="55" t="s">
        <v>55</v>
      </c>
      <c r="L297" s="60" t="s">
        <v>273</v>
      </c>
    </row>
    <row r="298" spans="1:12" x14ac:dyDescent="0.3">
      <c r="A298" s="72" t="s">
        <v>318</v>
      </c>
      <c r="B298" s="55" t="s">
        <v>0</v>
      </c>
      <c r="C298" s="67" t="s">
        <v>296</v>
      </c>
      <c r="D298" s="56" t="s">
        <v>50</v>
      </c>
      <c r="E298" s="19">
        <v>325.3</v>
      </c>
      <c r="F298" s="19">
        <v>9</v>
      </c>
      <c r="G298" s="56" t="s">
        <v>11</v>
      </c>
      <c r="H298" s="74">
        <v>10</v>
      </c>
      <c r="K298" s="56" t="s">
        <v>25</v>
      </c>
    </row>
    <row r="299" spans="1:12" x14ac:dyDescent="0.3">
      <c r="H299" s="74">
        <v>10</v>
      </c>
      <c r="K299" s="55" t="s">
        <v>84</v>
      </c>
    </row>
    <row r="300" spans="1:12" x14ac:dyDescent="0.3">
      <c r="H300" s="74">
        <v>100</v>
      </c>
      <c r="K300" s="55" t="s">
        <v>96</v>
      </c>
    </row>
    <row r="301" spans="1:12" x14ac:dyDescent="0.3">
      <c r="H301" s="74">
        <v>20</v>
      </c>
      <c r="K301" s="55" t="s">
        <v>102</v>
      </c>
    </row>
    <row r="302" spans="1:12" x14ac:dyDescent="0.3">
      <c r="H302" s="74">
        <v>20</v>
      </c>
      <c r="K302" s="55" t="s">
        <v>34</v>
      </c>
      <c r="L302" s="60" t="s">
        <v>253</v>
      </c>
    </row>
    <row r="303" spans="1:12" x14ac:dyDescent="0.3">
      <c r="H303" s="74">
        <v>20</v>
      </c>
      <c r="K303" s="55" t="s">
        <v>34</v>
      </c>
      <c r="L303" s="60" t="s">
        <v>291</v>
      </c>
    </row>
    <row r="304" spans="1:12" x14ac:dyDescent="0.3">
      <c r="H304" s="74">
        <v>20</v>
      </c>
      <c r="K304" s="55" t="s">
        <v>55</v>
      </c>
      <c r="L304" s="60" t="s">
        <v>292</v>
      </c>
    </row>
    <row r="305" spans="1:12" x14ac:dyDescent="0.3">
      <c r="H305" s="74">
        <v>90</v>
      </c>
      <c r="K305" s="55" t="s">
        <v>32</v>
      </c>
      <c r="L305" s="60" t="s">
        <v>319</v>
      </c>
    </row>
    <row r="306" spans="1:12" x14ac:dyDescent="0.3">
      <c r="H306" s="74">
        <v>30</v>
      </c>
      <c r="K306" s="55" t="s">
        <v>30</v>
      </c>
    </row>
    <row r="307" spans="1:12" x14ac:dyDescent="0.3">
      <c r="A307" s="72" t="s">
        <v>318</v>
      </c>
      <c r="B307" s="55" t="s">
        <v>10</v>
      </c>
      <c r="C307" s="67" t="s">
        <v>188</v>
      </c>
      <c r="D307" s="55" t="s">
        <v>51</v>
      </c>
      <c r="E307" s="19">
        <v>153</v>
      </c>
      <c r="F307" s="19">
        <v>4</v>
      </c>
      <c r="G307" s="56" t="s">
        <v>11</v>
      </c>
      <c r="H307" s="74">
        <v>10</v>
      </c>
      <c r="K307" s="56" t="s">
        <v>25</v>
      </c>
    </row>
    <row r="308" spans="1:12" x14ac:dyDescent="0.3">
      <c r="H308" s="74">
        <v>10</v>
      </c>
      <c r="K308" s="55" t="s">
        <v>84</v>
      </c>
    </row>
    <row r="309" spans="1:12" x14ac:dyDescent="0.3">
      <c r="H309" s="74">
        <v>80</v>
      </c>
      <c r="K309" s="55" t="s">
        <v>32</v>
      </c>
      <c r="L309" s="60" t="s">
        <v>321</v>
      </c>
    </row>
    <row r="310" spans="1:12" x14ac:dyDescent="0.3">
      <c r="H310" s="74">
        <v>40</v>
      </c>
      <c r="K310" s="55" t="s">
        <v>96</v>
      </c>
    </row>
    <row r="311" spans="1:12" x14ac:dyDescent="0.3">
      <c r="H311" s="74">
        <v>60</v>
      </c>
      <c r="K311" s="55" t="s">
        <v>33</v>
      </c>
      <c r="L311" s="60" t="s">
        <v>320</v>
      </c>
    </row>
    <row r="312" spans="1:12" x14ac:dyDescent="0.3">
      <c r="H312" s="74">
        <v>150</v>
      </c>
      <c r="K312" s="55" t="s">
        <v>33</v>
      </c>
      <c r="L312" s="60" t="s">
        <v>322</v>
      </c>
    </row>
    <row r="313" spans="1:12" x14ac:dyDescent="0.3">
      <c r="H313" s="74">
        <v>15</v>
      </c>
      <c r="K313" s="55" t="s">
        <v>34</v>
      </c>
      <c r="L313" s="60" t="s">
        <v>149</v>
      </c>
    </row>
    <row r="314" spans="1:12" x14ac:dyDescent="0.3">
      <c r="H314" s="74">
        <v>20</v>
      </c>
      <c r="K314" s="55" t="s">
        <v>34</v>
      </c>
      <c r="L314" s="60" t="s">
        <v>323</v>
      </c>
    </row>
    <row r="315" spans="1:12" x14ac:dyDescent="0.3">
      <c r="H315" s="74">
        <v>25</v>
      </c>
      <c r="K315" s="55" t="s">
        <v>30</v>
      </c>
      <c r="L315" s="60" t="s">
        <v>324</v>
      </c>
    </row>
    <row r="316" spans="1:12" x14ac:dyDescent="0.3">
      <c r="A316" s="86" t="s">
        <v>318</v>
      </c>
      <c r="B316" s="56" t="s">
        <v>12</v>
      </c>
      <c r="C316" s="68" t="s">
        <v>46</v>
      </c>
      <c r="D316" s="56" t="s">
        <v>52</v>
      </c>
      <c r="E316" s="83">
        <v>207.64</v>
      </c>
      <c r="F316" s="83">
        <v>6</v>
      </c>
      <c r="G316" s="56" t="s">
        <v>11</v>
      </c>
      <c r="H316" s="80">
        <v>10</v>
      </c>
      <c r="I316" s="48"/>
      <c r="J316" s="48"/>
      <c r="K316" s="56" t="s">
        <v>25</v>
      </c>
      <c r="L316" s="61"/>
    </row>
    <row r="317" spans="1:12" x14ac:dyDescent="0.3">
      <c r="H317" s="74">
        <v>10</v>
      </c>
      <c r="K317" s="55" t="s">
        <v>84</v>
      </c>
    </row>
    <row r="318" spans="1:12" x14ac:dyDescent="0.3">
      <c r="H318" s="74">
        <v>70</v>
      </c>
      <c r="K318" s="55" t="s">
        <v>96</v>
      </c>
    </row>
    <row r="319" spans="1:12" x14ac:dyDescent="0.3">
      <c r="H319" s="74">
        <v>30</v>
      </c>
      <c r="K319" s="55" t="s">
        <v>32</v>
      </c>
      <c r="L319" s="60" t="s">
        <v>315</v>
      </c>
    </row>
    <row r="320" spans="1:12" x14ac:dyDescent="0.3">
      <c r="H320" s="74">
        <v>20</v>
      </c>
      <c r="K320" s="55" t="s">
        <v>102</v>
      </c>
    </row>
    <row r="321" spans="1:13" x14ac:dyDescent="0.3">
      <c r="H321" s="81">
        <v>20</v>
      </c>
      <c r="I321" s="49"/>
      <c r="J321" s="49"/>
      <c r="K321" s="58" t="s">
        <v>33</v>
      </c>
      <c r="L321" s="62" t="s">
        <v>325</v>
      </c>
      <c r="M321" s="1" t="s">
        <v>326</v>
      </c>
    </row>
    <row r="322" spans="1:13" x14ac:dyDescent="0.3">
      <c r="H322" s="81">
        <v>30</v>
      </c>
      <c r="I322" s="49"/>
      <c r="J322" s="49"/>
      <c r="K322" s="58" t="s">
        <v>33</v>
      </c>
      <c r="L322" s="62" t="s">
        <v>327</v>
      </c>
    </row>
    <row r="323" spans="1:13" x14ac:dyDescent="0.3">
      <c r="H323" s="81">
        <v>45</v>
      </c>
      <c r="I323" s="49"/>
      <c r="J323" s="49"/>
      <c r="K323" s="58" t="s">
        <v>33</v>
      </c>
      <c r="L323" s="62" t="s">
        <v>334</v>
      </c>
    </row>
    <row r="324" spans="1:13" x14ac:dyDescent="0.3">
      <c r="H324" s="81">
        <v>23</v>
      </c>
      <c r="I324" s="49"/>
      <c r="J324" s="49"/>
      <c r="K324" s="58" t="s">
        <v>33</v>
      </c>
      <c r="L324" s="62" t="s">
        <v>328</v>
      </c>
    </row>
    <row r="325" spans="1:13" x14ac:dyDescent="0.3">
      <c r="H325" s="81">
        <v>24</v>
      </c>
      <c r="I325" s="49"/>
      <c r="J325" s="49"/>
      <c r="K325" s="58" t="s">
        <v>33</v>
      </c>
      <c r="L325" s="62" t="s">
        <v>329</v>
      </c>
      <c r="M325" s="1" t="s">
        <v>332</v>
      </c>
    </row>
    <row r="326" spans="1:13" x14ac:dyDescent="0.3">
      <c r="H326" s="74">
        <v>10</v>
      </c>
      <c r="K326" s="55" t="s">
        <v>34</v>
      </c>
      <c r="L326" s="60" t="s">
        <v>149</v>
      </c>
    </row>
    <row r="327" spans="1:13" x14ac:dyDescent="0.3">
      <c r="H327" s="74">
        <v>20</v>
      </c>
      <c r="K327" s="55" t="s">
        <v>34</v>
      </c>
      <c r="L327" s="60" t="s">
        <v>331</v>
      </c>
    </row>
    <row r="328" spans="1:13" x14ac:dyDescent="0.3">
      <c r="H328" s="74">
        <v>30</v>
      </c>
      <c r="K328" s="55" t="s">
        <v>30</v>
      </c>
      <c r="L328" s="60" t="s">
        <v>330</v>
      </c>
    </row>
    <row r="329" spans="1:13" x14ac:dyDescent="0.3">
      <c r="H329" s="74">
        <v>20</v>
      </c>
      <c r="K329" s="55" t="s">
        <v>55</v>
      </c>
      <c r="L329" s="60" t="s">
        <v>333</v>
      </c>
    </row>
    <row r="330" spans="1:13" x14ac:dyDescent="0.3">
      <c r="A330" s="72" t="s">
        <v>337</v>
      </c>
      <c r="B330" s="55" t="s">
        <v>0</v>
      </c>
      <c r="C330" s="67" t="s">
        <v>296</v>
      </c>
      <c r="D330" s="56" t="s">
        <v>50</v>
      </c>
      <c r="E330" s="19">
        <v>222.97</v>
      </c>
      <c r="F330" s="19">
        <v>8</v>
      </c>
      <c r="G330" s="56" t="s">
        <v>11</v>
      </c>
      <c r="H330" s="74">
        <v>10</v>
      </c>
      <c r="K330" s="56" t="s">
        <v>25</v>
      </c>
    </row>
    <row r="331" spans="1:13" x14ac:dyDescent="0.3">
      <c r="H331" s="74">
        <v>10</v>
      </c>
      <c r="K331" s="55" t="s">
        <v>84</v>
      </c>
    </row>
    <row r="332" spans="1:13" x14ac:dyDescent="0.3">
      <c r="H332" s="74">
        <v>80</v>
      </c>
      <c r="K332" s="55" t="s">
        <v>96</v>
      </c>
    </row>
    <row r="333" spans="1:13" x14ac:dyDescent="0.3">
      <c r="H333" s="74">
        <v>20</v>
      </c>
      <c r="K333" s="55" t="s">
        <v>102</v>
      </c>
    </row>
    <row r="334" spans="1:13" x14ac:dyDescent="0.3">
      <c r="H334" s="74">
        <v>20</v>
      </c>
      <c r="K334" s="55" t="s">
        <v>34</v>
      </c>
      <c r="L334" s="60" t="s">
        <v>253</v>
      </c>
    </row>
    <row r="335" spans="1:13" x14ac:dyDescent="0.3">
      <c r="H335" s="74">
        <v>40</v>
      </c>
      <c r="K335" s="55" t="s">
        <v>34</v>
      </c>
      <c r="L335" s="60" t="s">
        <v>291</v>
      </c>
    </row>
    <row r="336" spans="1:13" x14ac:dyDescent="0.3">
      <c r="H336" s="74">
        <v>20</v>
      </c>
      <c r="K336" s="55" t="s">
        <v>55</v>
      </c>
      <c r="L336" s="60" t="s">
        <v>292</v>
      </c>
    </row>
    <row r="337" spans="1:12" x14ac:dyDescent="0.3">
      <c r="H337" s="74">
        <v>30</v>
      </c>
      <c r="K337" s="55" t="s">
        <v>32</v>
      </c>
      <c r="L337" s="60" t="s">
        <v>315</v>
      </c>
    </row>
    <row r="338" spans="1:12" x14ac:dyDescent="0.3">
      <c r="H338" s="74">
        <v>40</v>
      </c>
      <c r="K338" s="55" t="s">
        <v>30</v>
      </c>
      <c r="L338" s="60" t="s">
        <v>324</v>
      </c>
    </row>
    <row r="339" spans="1:12" x14ac:dyDescent="0.3">
      <c r="H339" s="74">
        <v>30</v>
      </c>
      <c r="K339" s="55" t="s">
        <v>34</v>
      </c>
      <c r="L339" s="60" t="s">
        <v>335</v>
      </c>
    </row>
    <row r="340" spans="1:12" x14ac:dyDescent="0.3">
      <c r="H340" s="74">
        <v>30</v>
      </c>
      <c r="K340" s="55" t="s">
        <v>33</v>
      </c>
      <c r="L340" s="60" t="s">
        <v>336</v>
      </c>
    </row>
    <row r="341" spans="1:12" x14ac:dyDescent="0.3">
      <c r="H341" s="74">
        <v>30</v>
      </c>
      <c r="K341" s="55" t="s">
        <v>32</v>
      </c>
      <c r="L341" s="60" t="s">
        <v>236</v>
      </c>
    </row>
    <row r="343" spans="1:12" x14ac:dyDescent="0.3">
      <c r="A343" s="72" t="s">
        <v>337</v>
      </c>
      <c r="B343" s="55" t="s">
        <v>10</v>
      </c>
      <c r="C343" s="67" t="s">
        <v>49</v>
      </c>
      <c r="D343" s="55" t="s">
        <v>51</v>
      </c>
      <c r="E343" s="19">
        <v>242.31</v>
      </c>
      <c r="F343" s="19">
        <v>8</v>
      </c>
      <c r="G343" s="56" t="s">
        <v>11</v>
      </c>
      <c r="H343" s="74">
        <v>10</v>
      </c>
      <c r="K343" s="56" t="s">
        <v>25</v>
      </c>
    </row>
    <row r="344" spans="1:12" x14ac:dyDescent="0.3">
      <c r="H344" s="74">
        <v>10</v>
      </c>
      <c r="K344" s="55" t="s">
        <v>84</v>
      </c>
    </row>
    <row r="345" spans="1:12" x14ac:dyDescent="0.3">
      <c r="H345" s="74">
        <v>80</v>
      </c>
      <c r="K345" s="55" t="s">
        <v>96</v>
      </c>
    </row>
    <row r="346" spans="1:12" x14ac:dyDescent="0.3">
      <c r="H346" s="74">
        <v>60</v>
      </c>
      <c r="K346" s="55" t="s">
        <v>32</v>
      </c>
      <c r="L346" s="60" t="s">
        <v>338</v>
      </c>
    </row>
    <row r="347" spans="1:12" x14ac:dyDescent="0.3">
      <c r="H347" s="74">
        <v>30</v>
      </c>
      <c r="K347" s="55" t="s">
        <v>34</v>
      </c>
      <c r="L347" s="60" t="s">
        <v>149</v>
      </c>
    </row>
    <row r="348" spans="1:12" x14ac:dyDescent="0.3">
      <c r="H348" s="74">
        <v>15</v>
      </c>
      <c r="K348" s="55" t="s">
        <v>34</v>
      </c>
      <c r="L348" s="60" t="s">
        <v>147</v>
      </c>
    </row>
    <row r="349" spans="1:12" x14ac:dyDescent="0.3">
      <c r="H349" s="74">
        <v>50</v>
      </c>
      <c r="K349" s="55" t="s">
        <v>34</v>
      </c>
      <c r="L349" s="60" t="s">
        <v>254</v>
      </c>
    </row>
    <row r="350" spans="1:12" x14ac:dyDescent="0.3">
      <c r="H350" s="74">
        <v>30</v>
      </c>
      <c r="K350" s="55" t="s">
        <v>55</v>
      </c>
      <c r="L350" s="60" t="s">
        <v>340</v>
      </c>
    </row>
    <row r="351" spans="1:12" x14ac:dyDescent="0.3">
      <c r="H351" s="74">
        <v>30</v>
      </c>
      <c r="K351" s="55" t="s">
        <v>30</v>
      </c>
      <c r="L351" s="60" t="s">
        <v>339</v>
      </c>
    </row>
    <row r="352" spans="1:12" x14ac:dyDescent="0.3">
      <c r="H352" s="74">
        <v>30</v>
      </c>
      <c r="K352" s="55" t="s">
        <v>32</v>
      </c>
      <c r="L352" s="60" t="s">
        <v>341</v>
      </c>
    </row>
    <row r="354" spans="1:13" x14ac:dyDescent="0.3">
      <c r="A354" s="86" t="s">
        <v>337</v>
      </c>
      <c r="B354" s="56" t="s">
        <v>12</v>
      </c>
      <c r="C354" s="68" t="s">
        <v>46</v>
      </c>
      <c r="D354" s="56" t="s">
        <v>52</v>
      </c>
      <c r="E354" s="83">
        <v>320.38</v>
      </c>
      <c r="F354" s="83">
        <v>11</v>
      </c>
      <c r="G354" s="56" t="s">
        <v>11</v>
      </c>
      <c r="H354" s="74">
        <v>10</v>
      </c>
      <c r="K354" s="56" t="s">
        <v>25</v>
      </c>
    </row>
    <row r="355" spans="1:13" x14ac:dyDescent="0.3">
      <c r="H355" s="74">
        <v>10</v>
      </c>
      <c r="K355" s="55" t="s">
        <v>84</v>
      </c>
    </row>
    <row r="356" spans="1:13" x14ac:dyDescent="0.3">
      <c r="H356" s="74">
        <v>120</v>
      </c>
      <c r="K356" s="55" t="s">
        <v>96</v>
      </c>
    </row>
    <row r="357" spans="1:13" x14ac:dyDescent="0.3">
      <c r="H357" s="74">
        <v>60</v>
      </c>
      <c r="K357" s="55" t="s">
        <v>32</v>
      </c>
      <c r="L357" s="60" t="s">
        <v>344</v>
      </c>
    </row>
    <row r="358" spans="1:13" x14ac:dyDescent="0.3">
      <c r="H358" s="74">
        <v>30</v>
      </c>
      <c r="K358" s="55" t="s">
        <v>34</v>
      </c>
      <c r="L358" s="60" t="s">
        <v>149</v>
      </c>
    </row>
    <row r="359" spans="1:13" x14ac:dyDescent="0.3">
      <c r="H359" s="74">
        <v>40</v>
      </c>
      <c r="K359" s="55" t="s">
        <v>34</v>
      </c>
      <c r="L359" s="60" t="s">
        <v>343</v>
      </c>
    </row>
    <row r="360" spans="1:13" x14ac:dyDescent="0.3">
      <c r="H360" s="74">
        <v>20</v>
      </c>
      <c r="K360" s="55" t="s">
        <v>33</v>
      </c>
      <c r="L360" s="63" t="s">
        <v>342</v>
      </c>
    </row>
    <row r="361" spans="1:13" x14ac:dyDescent="0.3">
      <c r="H361" s="74">
        <v>30</v>
      </c>
      <c r="K361" s="55" t="s">
        <v>30</v>
      </c>
      <c r="L361" s="60" t="s">
        <v>339</v>
      </c>
    </row>
    <row r="362" spans="1:13" x14ac:dyDescent="0.3">
      <c r="H362" s="74">
        <v>20</v>
      </c>
      <c r="K362" s="55" t="s">
        <v>15</v>
      </c>
      <c r="L362" s="60" t="s">
        <v>346</v>
      </c>
    </row>
    <row r="363" spans="1:13" x14ac:dyDescent="0.3">
      <c r="H363" s="74">
        <v>30</v>
      </c>
      <c r="K363" s="55" t="s">
        <v>55</v>
      </c>
      <c r="L363" s="60" t="s">
        <v>345</v>
      </c>
    </row>
    <row r="365" spans="1:13" x14ac:dyDescent="0.3">
      <c r="A365" s="72" t="s">
        <v>347</v>
      </c>
      <c r="B365" s="55" t="s">
        <v>0</v>
      </c>
      <c r="C365" s="67" t="s">
        <v>188</v>
      </c>
      <c r="D365" s="55" t="s">
        <v>51</v>
      </c>
      <c r="E365" s="19">
        <v>239.02</v>
      </c>
      <c r="F365" s="19">
        <v>9</v>
      </c>
      <c r="G365" s="55" t="s">
        <v>11</v>
      </c>
      <c r="H365" s="74">
        <v>10</v>
      </c>
      <c r="K365" s="55" t="s">
        <v>25</v>
      </c>
    </row>
    <row r="366" spans="1:13" x14ac:dyDescent="0.3">
      <c r="H366" s="74">
        <v>10</v>
      </c>
      <c r="K366" s="55" t="s">
        <v>84</v>
      </c>
    </row>
    <row r="367" spans="1:13" x14ac:dyDescent="0.3">
      <c r="H367" s="74">
        <v>120</v>
      </c>
      <c r="K367" s="55" t="s">
        <v>96</v>
      </c>
    </row>
    <row r="368" spans="1:13" x14ac:dyDescent="0.3">
      <c r="H368" s="74">
        <v>40</v>
      </c>
      <c r="K368" s="55" t="s">
        <v>32</v>
      </c>
      <c r="L368" s="60" t="s">
        <v>349</v>
      </c>
      <c r="M368" s="1" t="s">
        <v>351</v>
      </c>
    </row>
    <row r="369" spans="1:13" x14ac:dyDescent="0.3">
      <c r="H369" s="74">
        <v>60</v>
      </c>
      <c r="K369" s="55" t="s">
        <v>32</v>
      </c>
      <c r="L369" s="60" t="s">
        <v>350</v>
      </c>
    </row>
    <row r="370" spans="1:13" x14ac:dyDescent="0.3">
      <c r="H370" s="74">
        <v>40</v>
      </c>
      <c r="K370" s="55" t="s">
        <v>30</v>
      </c>
      <c r="L370" s="60" t="s">
        <v>348</v>
      </c>
      <c r="M370" s="1" t="s">
        <v>352</v>
      </c>
    </row>
    <row r="371" spans="1:13" x14ac:dyDescent="0.3">
      <c r="H371" s="74">
        <v>30</v>
      </c>
      <c r="K371" s="55" t="s">
        <v>33</v>
      </c>
      <c r="L371" s="60" t="s">
        <v>353</v>
      </c>
    </row>
    <row r="372" spans="1:13" x14ac:dyDescent="0.3">
      <c r="H372" s="74">
        <v>40</v>
      </c>
      <c r="K372" s="55" t="s">
        <v>34</v>
      </c>
      <c r="L372" s="60" t="s">
        <v>268</v>
      </c>
    </row>
    <row r="373" spans="1:13" x14ac:dyDescent="0.3">
      <c r="H373" s="74">
        <v>20</v>
      </c>
      <c r="K373" s="55" t="s">
        <v>102</v>
      </c>
    </row>
    <row r="375" spans="1:13" x14ac:dyDescent="0.3">
      <c r="A375" s="86" t="s">
        <v>347</v>
      </c>
      <c r="B375" s="56" t="s">
        <v>10</v>
      </c>
      <c r="C375" s="68" t="s">
        <v>49</v>
      </c>
      <c r="D375" s="56" t="s">
        <v>52</v>
      </c>
      <c r="E375" s="83">
        <v>282.45999999999998</v>
      </c>
      <c r="F375" s="83">
        <v>8</v>
      </c>
      <c r="G375" s="56" t="s">
        <v>11</v>
      </c>
      <c r="H375" s="74">
        <v>10</v>
      </c>
      <c r="K375" s="56" t="s">
        <v>25</v>
      </c>
    </row>
    <row r="376" spans="1:13" x14ac:dyDescent="0.3">
      <c r="H376" s="74">
        <v>10</v>
      </c>
      <c r="K376" s="55" t="s">
        <v>84</v>
      </c>
    </row>
    <row r="377" spans="1:13" x14ac:dyDescent="0.3">
      <c r="H377" s="74">
        <v>90</v>
      </c>
      <c r="K377" s="55" t="s">
        <v>96</v>
      </c>
    </row>
    <row r="378" spans="1:13" x14ac:dyDescent="0.3">
      <c r="H378" s="74">
        <v>90</v>
      </c>
      <c r="K378" s="55" t="s">
        <v>32</v>
      </c>
      <c r="L378" s="60" t="s">
        <v>354</v>
      </c>
    </row>
    <row r="379" spans="1:13" x14ac:dyDescent="0.3">
      <c r="H379" s="74">
        <v>30</v>
      </c>
      <c r="K379" s="55" t="s">
        <v>34</v>
      </c>
      <c r="L379" s="60" t="s">
        <v>149</v>
      </c>
    </row>
    <row r="380" spans="1:13" x14ac:dyDescent="0.3">
      <c r="H380" s="74">
        <v>20</v>
      </c>
      <c r="K380" s="55" t="s">
        <v>34</v>
      </c>
      <c r="L380" s="60" t="s">
        <v>343</v>
      </c>
    </row>
    <row r="381" spans="1:13" x14ac:dyDescent="0.3">
      <c r="H381" s="74">
        <v>20</v>
      </c>
      <c r="K381" s="55" t="s">
        <v>33</v>
      </c>
      <c r="L381" s="63" t="s">
        <v>342</v>
      </c>
    </row>
    <row r="382" spans="1:13" x14ac:dyDescent="0.3">
      <c r="H382" s="74">
        <v>20</v>
      </c>
      <c r="K382" s="55" t="s">
        <v>30</v>
      </c>
      <c r="L382" s="60" t="s">
        <v>355</v>
      </c>
    </row>
    <row r="383" spans="1:13" x14ac:dyDescent="0.3">
      <c r="H383" s="74">
        <v>30</v>
      </c>
      <c r="K383" s="55" t="s">
        <v>15</v>
      </c>
      <c r="L383" s="60" t="s">
        <v>346</v>
      </c>
    </row>
    <row r="384" spans="1:13" x14ac:dyDescent="0.3">
      <c r="H384" s="74">
        <v>30</v>
      </c>
      <c r="K384" s="55" t="s">
        <v>55</v>
      </c>
      <c r="L384" s="60" t="s">
        <v>356</v>
      </c>
    </row>
    <row r="385" spans="1:12" x14ac:dyDescent="0.3">
      <c r="A385" s="72" t="s">
        <v>347</v>
      </c>
      <c r="C385" s="68" t="s">
        <v>46</v>
      </c>
      <c r="D385" s="55" t="s">
        <v>50</v>
      </c>
      <c r="E385" s="19">
        <v>254.25</v>
      </c>
      <c r="F385" s="19">
        <v>7</v>
      </c>
      <c r="G385" s="56" t="s">
        <v>11</v>
      </c>
      <c r="H385" s="74">
        <v>10</v>
      </c>
      <c r="K385" s="56" t="s">
        <v>25</v>
      </c>
    </row>
    <row r="386" spans="1:12" x14ac:dyDescent="0.3">
      <c r="H386" s="74">
        <v>10</v>
      </c>
      <c r="K386" s="55" t="s">
        <v>84</v>
      </c>
    </row>
    <row r="387" spans="1:12" x14ac:dyDescent="0.3">
      <c r="H387" s="74">
        <v>70</v>
      </c>
      <c r="K387" s="55" t="s">
        <v>96</v>
      </c>
    </row>
    <row r="388" spans="1:12" x14ac:dyDescent="0.3">
      <c r="H388" s="74">
        <v>20</v>
      </c>
      <c r="K388" s="55" t="s">
        <v>102</v>
      </c>
    </row>
    <row r="389" spans="1:12" x14ac:dyDescent="0.3">
      <c r="H389" s="74">
        <v>20</v>
      </c>
      <c r="K389" s="55" t="s">
        <v>34</v>
      </c>
      <c r="L389" s="60" t="s">
        <v>253</v>
      </c>
    </row>
    <row r="390" spans="1:12" x14ac:dyDescent="0.3">
      <c r="H390" s="74">
        <v>40</v>
      </c>
      <c r="K390" s="55" t="s">
        <v>34</v>
      </c>
      <c r="L390" s="60" t="s">
        <v>291</v>
      </c>
    </row>
    <row r="391" spans="1:12" x14ac:dyDescent="0.3">
      <c r="H391" s="74">
        <v>20</v>
      </c>
      <c r="K391" s="55" t="s">
        <v>55</v>
      </c>
      <c r="L391" s="60" t="s">
        <v>292</v>
      </c>
    </row>
    <row r="392" spans="1:12" x14ac:dyDescent="0.3">
      <c r="H392" s="74">
        <v>40</v>
      </c>
      <c r="K392" s="55" t="s">
        <v>32</v>
      </c>
      <c r="L392" s="60" t="s">
        <v>358</v>
      </c>
    </row>
    <row r="393" spans="1:12" x14ac:dyDescent="0.3">
      <c r="H393" s="74">
        <v>40</v>
      </c>
      <c r="K393" s="55" t="s">
        <v>30</v>
      </c>
      <c r="L393" s="60" t="s">
        <v>324</v>
      </c>
    </row>
    <row r="394" spans="1:12" x14ac:dyDescent="0.3">
      <c r="H394" s="74">
        <v>30</v>
      </c>
      <c r="K394" s="55" t="s">
        <v>34</v>
      </c>
      <c r="L394" s="60" t="s">
        <v>335</v>
      </c>
    </row>
    <row r="395" spans="1:12" x14ac:dyDescent="0.3">
      <c r="H395" s="74">
        <v>40</v>
      </c>
      <c r="K395" s="55" t="s">
        <v>32</v>
      </c>
      <c r="L395" s="60" t="s">
        <v>357</v>
      </c>
    </row>
    <row r="396" spans="1:12" x14ac:dyDescent="0.3">
      <c r="H396" s="74">
        <v>20</v>
      </c>
      <c r="K396" s="55" t="s">
        <v>34</v>
      </c>
      <c r="L396" s="60" t="s">
        <v>359</v>
      </c>
    </row>
    <row r="397" spans="1:12" x14ac:dyDescent="0.3">
      <c r="A397" s="72" t="s">
        <v>360</v>
      </c>
      <c r="B397" s="55" t="s">
        <v>0</v>
      </c>
      <c r="C397" s="67" t="s">
        <v>188</v>
      </c>
      <c r="D397" s="55" t="s">
        <v>51</v>
      </c>
      <c r="E397" s="19">
        <v>245.38</v>
      </c>
      <c r="F397" s="19">
        <v>7</v>
      </c>
      <c r="G397" s="56" t="s">
        <v>11</v>
      </c>
      <c r="H397" s="74">
        <v>10</v>
      </c>
      <c r="K397" s="56" t="s">
        <v>25</v>
      </c>
    </row>
    <row r="398" spans="1:12" x14ac:dyDescent="0.3">
      <c r="H398" s="74">
        <v>10</v>
      </c>
      <c r="K398" s="55" t="s">
        <v>84</v>
      </c>
    </row>
    <row r="399" spans="1:12" x14ac:dyDescent="0.3">
      <c r="H399" s="74">
        <v>90</v>
      </c>
      <c r="K399" s="55" t="s">
        <v>96</v>
      </c>
    </row>
    <row r="400" spans="1:12" x14ac:dyDescent="0.3">
      <c r="H400" s="74">
        <v>15</v>
      </c>
      <c r="K400" s="55" t="s">
        <v>34</v>
      </c>
      <c r="L400" s="60" t="s">
        <v>253</v>
      </c>
    </row>
    <row r="401" spans="1:13" x14ac:dyDescent="0.3">
      <c r="H401" s="74">
        <v>35</v>
      </c>
      <c r="K401" s="55" t="s">
        <v>34</v>
      </c>
      <c r="L401" s="60" t="s">
        <v>291</v>
      </c>
    </row>
    <row r="402" spans="1:13" x14ac:dyDescent="0.3">
      <c r="H402" s="74">
        <v>40</v>
      </c>
      <c r="K402" s="55" t="s">
        <v>32</v>
      </c>
      <c r="L402" s="60" t="s">
        <v>364</v>
      </c>
      <c r="M402" s="1" t="s">
        <v>363</v>
      </c>
    </row>
    <row r="403" spans="1:13" x14ac:dyDescent="0.3">
      <c r="H403" s="74">
        <v>90</v>
      </c>
      <c r="K403" s="55" t="s">
        <v>32</v>
      </c>
      <c r="L403" s="60" t="s">
        <v>361</v>
      </c>
    </row>
    <row r="404" spans="1:13" x14ac:dyDescent="0.3">
      <c r="H404" s="74">
        <v>20</v>
      </c>
      <c r="K404" s="55" t="s">
        <v>102</v>
      </c>
    </row>
    <row r="405" spans="1:13" x14ac:dyDescent="0.3">
      <c r="H405" s="74">
        <v>30</v>
      </c>
      <c r="K405" s="55" t="s">
        <v>30</v>
      </c>
      <c r="L405" s="60" t="s">
        <v>362</v>
      </c>
    </row>
    <row r="406" spans="1:13" x14ac:dyDescent="0.3">
      <c r="H406" s="74">
        <v>60</v>
      </c>
      <c r="K406" s="55" t="s">
        <v>32</v>
      </c>
      <c r="L406" s="60" t="s">
        <v>366</v>
      </c>
      <c r="M406" s="1" t="s">
        <v>365</v>
      </c>
    </row>
    <row r="407" spans="1:13" x14ac:dyDescent="0.3">
      <c r="A407" s="86" t="s">
        <v>360</v>
      </c>
      <c r="B407" s="56" t="s">
        <v>10</v>
      </c>
      <c r="C407" s="70" t="s">
        <v>367</v>
      </c>
      <c r="D407" s="56" t="s">
        <v>52</v>
      </c>
      <c r="E407" s="83">
        <v>189.42</v>
      </c>
      <c r="F407" s="83">
        <v>6</v>
      </c>
      <c r="G407" s="56" t="s">
        <v>11</v>
      </c>
      <c r="H407" s="74">
        <v>10</v>
      </c>
      <c r="K407" s="56" t="s">
        <v>25</v>
      </c>
    </row>
    <row r="408" spans="1:13" x14ac:dyDescent="0.3">
      <c r="H408" s="74">
        <v>10</v>
      </c>
      <c r="K408" s="55" t="s">
        <v>84</v>
      </c>
    </row>
    <row r="409" spans="1:13" x14ac:dyDescent="0.3">
      <c r="H409" s="74">
        <v>70</v>
      </c>
      <c r="K409" s="55" t="s">
        <v>96</v>
      </c>
    </row>
    <row r="410" spans="1:13" x14ac:dyDescent="0.3">
      <c r="H410" s="74">
        <v>20</v>
      </c>
      <c r="K410" s="55" t="s">
        <v>102</v>
      </c>
    </row>
    <row r="411" spans="1:13" x14ac:dyDescent="0.3">
      <c r="H411" s="74">
        <v>60</v>
      </c>
      <c r="K411" s="55" t="s">
        <v>32</v>
      </c>
      <c r="L411" s="60" t="s">
        <v>344</v>
      </c>
    </row>
    <row r="412" spans="1:13" x14ac:dyDescent="0.3">
      <c r="H412" s="74">
        <v>30</v>
      </c>
      <c r="K412" s="55" t="s">
        <v>32</v>
      </c>
      <c r="L412" s="60" t="s">
        <v>146</v>
      </c>
    </row>
    <row r="413" spans="1:13" x14ac:dyDescent="0.3">
      <c r="H413" s="74">
        <v>70</v>
      </c>
      <c r="K413" s="55" t="s">
        <v>33</v>
      </c>
      <c r="L413" s="63" t="s">
        <v>368</v>
      </c>
    </row>
    <row r="414" spans="1:13" x14ac:dyDescent="0.3">
      <c r="H414" s="74">
        <v>20</v>
      </c>
      <c r="K414" s="55" t="s">
        <v>34</v>
      </c>
      <c r="L414" s="60" t="s">
        <v>149</v>
      </c>
    </row>
    <row r="415" spans="1:13" x14ac:dyDescent="0.3">
      <c r="H415" s="74">
        <v>30</v>
      </c>
      <c r="K415" s="55" t="s">
        <v>34</v>
      </c>
      <c r="L415" s="60" t="s">
        <v>343</v>
      </c>
    </row>
    <row r="416" spans="1:13" x14ac:dyDescent="0.3">
      <c r="H416" s="74">
        <v>20</v>
      </c>
      <c r="K416" s="55" t="s">
        <v>30</v>
      </c>
      <c r="L416" s="60" t="s">
        <v>369</v>
      </c>
    </row>
    <row r="417" spans="1:13" x14ac:dyDescent="0.3">
      <c r="A417" s="86" t="s">
        <v>360</v>
      </c>
      <c r="B417" s="55" t="s">
        <v>12</v>
      </c>
      <c r="C417" s="68" t="s">
        <v>49</v>
      </c>
      <c r="D417" s="55" t="s">
        <v>50</v>
      </c>
      <c r="E417" s="19">
        <v>313.95</v>
      </c>
      <c r="F417" s="19">
        <v>10</v>
      </c>
      <c r="G417" s="56" t="s">
        <v>11</v>
      </c>
      <c r="H417" s="74">
        <v>10</v>
      </c>
      <c r="K417" s="56" t="s">
        <v>25</v>
      </c>
    </row>
    <row r="418" spans="1:13" x14ac:dyDescent="0.3">
      <c r="H418" s="74">
        <v>10</v>
      </c>
      <c r="K418" s="55" t="s">
        <v>84</v>
      </c>
    </row>
    <row r="419" spans="1:13" x14ac:dyDescent="0.3">
      <c r="H419" s="74">
        <v>100</v>
      </c>
      <c r="K419" s="55" t="s">
        <v>96</v>
      </c>
    </row>
    <row r="420" spans="1:13" x14ac:dyDescent="0.3">
      <c r="H420" s="74">
        <v>20</v>
      </c>
      <c r="K420" s="55" t="s">
        <v>102</v>
      </c>
    </row>
    <row r="421" spans="1:13" x14ac:dyDescent="0.3">
      <c r="H421" s="74">
        <v>30</v>
      </c>
      <c r="K421" s="55" t="s">
        <v>34</v>
      </c>
      <c r="L421" s="60" t="s">
        <v>253</v>
      </c>
    </row>
    <row r="422" spans="1:13" x14ac:dyDescent="0.3">
      <c r="H422" s="74">
        <v>40</v>
      </c>
      <c r="K422" s="55" t="s">
        <v>34</v>
      </c>
      <c r="L422" s="60" t="s">
        <v>291</v>
      </c>
    </row>
    <row r="423" spans="1:13" x14ac:dyDescent="0.3">
      <c r="H423" s="74">
        <v>20</v>
      </c>
      <c r="K423" s="55" t="s">
        <v>55</v>
      </c>
      <c r="L423" s="60" t="s">
        <v>292</v>
      </c>
    </row>
    <row r="424" spans="1:13" x14ac:dyDescent="0.3">
      <c r="H424" s="74">
        <v>40</v>
      </c>
      <c r="K424" s="55" t="s">
        <v>32</v>
      </c>
      <c r="L424" s="60" t="s">
        <v>358</v>
      </c>
    </row>
    <row r="425" spans="1:13" x14ac:dyDescent="0.3">
      <c r="H425" s="74">
        <v>40</v>
      </c>
      <c r="K425" s="55" t="s">
        <v>30</v>
      </c>
      <c r="L425" s="60" t="s">
        <v>324</v>
      </c>
    </row>
    <row r="426" spans="1:13" x14ac:dyDescent="0.3">
      <c r="H426" s="74">
        <v>30</v>
      </c>
      <c r="K426" s="55" t="s">
        <v>33</v>
      </c>
      <c r="L426" s="60" t="s">
        <v>370</v>
      </c>
    </row>
    <row r="427" spans="1:13" x14ac:dyDescent="0.3">
      <c r="H427" s="74">
        <v>30</v>
      </c>
      <c r="K427" s="55" t="s">
        <v>55</v>
      </c>
      <c r="L427" s="60" t="s">
        <v>371</v>
      </c>
    </row>
    <row r="428" spans="1:13" x14ac:dyDescent="0.3">
      <c r="A428" s="72" t="s">
        <v>372</v>
      </c>
      <c r="B428" s="55" t="s">
        <v>0</v>
      </c>
      <c r="C428" s="67" t="s">
        <v>188</v>
      </c>
      <c r="D428" s="55" t="s">
        <v>51</v>
      </c>
      <c r="E428" s="19">
        <v>215.54</v>
      </c>
      <c r="F428" s="19">
        <v>7</v>
      </c>
      <c r="G428" s="55" t="s">
        <v>11</v>
      </c>
      <c r="H428" s="74">
        <v>10</v>
      </c>
      <c r="K428" s="55" t="s">
        <v>25</v>
      </c>
    </row>
    <row r="429" spans="1:13" x14ac:dyDescent="0.3">
      <c r="H429" s="74">
        <v>10</v>
      </c>
      <c r="K429" s="55" t="s">
        <v>84</v>
      </c>
    </row>
    <row r="430" spans="1:13" x14ac:dyDescent="0.3">
      <c r="H430" s="74">
        <v>90</v>
      </c>
      <c r="K430" s="55" t="s">
        <v>96</v>
      </c>
    </row>
    <row r="431" spans="1:13" x14ac:dyDescent="0.3">
      <c r="H431" s="74">
        <v>50</v>
      </c>
      <c r="K431" s="55" t="s">
        <v>32</v>
      </c>
      <c r="L431" s="60" t="s">
        <v>373</v>
      </c>
    </row>
    <row r="432" spans="1:13" x14ac:dyDescent="0.3">
      <c r="H432" s="74">
        <v>50</v>
      </c>
      <c r="K432" s="55" t="s">
        <v>32</v>
      </c>
      <c r="L432" s="60" t="s">
        <v>374</v>
      </c>
      <c r="M432" s="1" t="s">
        <v>375</v>
      </c>
    </row>
    <row r="433" spans="1:13" x14ac:dyDescent="0.3">
      <c r="H433" s="74">
        <v>35</v>
      </c>
      <c r="K433" s="55" t="s">
        <v>30</v>
      </c>
      <c r="L433" s="60" t="s">
        <v>250</v>
      </c>
    </row>
    <row r="434" spans="1:13" x14ac:dyDescent="0.3">
      <c r="H434" s="74">
        <v>30</v>
      </c>
      <c r="K434" s="55" t="s">
        <v>34</v>
      </c>
      <c r="L434" s="60" t="s">
        <v>376</v>
      </c>
    </row>
    <row r="435" spans="1:13" x14ac:dyDescent="0.3">
      <c r="H435" s="74">
        <v>20</v>
      </c>
      <c r="K435" s="55" t="s">
        <v>102</v>
      </c>
    </row>
    <row r="436" spans="1:13" x14ac:dyDescent="0.3">
      <c r="H436" s="74">
        <v>15</v>
      </c>
      <c r="K436" s="55" t="s">
        <v>33</v>
      </c>
      <c r="L436" s="60" t="s">
        <v>378</v>
      </c>
    </row>
    <row r="437" spans="1:13" x14ac:dyDescent="0.3">
      <c r="H437" s="74">
        <v>50</v>
      </c>
      <c r="K437" s="55" t="s">
        <v>32</v>
      </c>
      <c r="L437" s="60" t="s">
        <v>377</v>
      </c>
    </row>
    <row r="438" spans="1:13" x14ac:dyDescent="0.3">
      <c r="H438" s="74">
        <v>15</v>
      </c>
      <c r="K438" s="55" t="s">
        <v>55</v>
      </c>
      <c r="L438" s="60" t="s">
        <v>131</v>
      </c>
    </row>
    <row r="439" spans="1:13" x14ac:dyDescent="0.3">
      <c r="H439" s="74">
        <v>15</v>
      </c>
      <c r="K439" s="55" t="s">
        <v>55</v>
      </c>
      <c r="L439" s="60" t="s">
        <v>379</v>
      </c>
      <c r="M439" s="1" t="s">
        <v>380</v>
      </c>
    </row>
    <row r="440" spans="1:13" x14ac:dyDescent="0.3">
      <c r="A440" s="86" t="s">
        <v>372</v>
      </c>
      <c r="B440" s="56" t="s">
        <v>10</v>
      </c>
      <c r="C440" s="67" t="s">
        <v>46</v>
      </c>
      <c r="D440" s="56" t="s">
        <v>52</v>
      </c>
      <c r="E440" s="83">
        <v>83.1</v>
      </c>
      <c r="F440" s="83">
        <v>3</v>
      </c>
      <c r="G440" s="56" t="s">
        <v>11</v>
      </c>
      <c r="H440" s="74">
        <v>10</v>
      </c>
      <c r="K440" s="56" t="s">
        <v>25</v>
      </c>
    </row>
    <row r="441" spans="1:13" x14ac:dyDescent="0.3">
      <c r="H441" s="74">
        <v>10</v>
      </c>
      <c r="K441" s="55" t="s">
        <v>84</v>
      </c>
    </row>
    <row r="442" spans="1:13" x14ac:dyDescent="0.3">
      <c r="H442" s="74">
        <v>30</v>
      </c>
      <c r="K442" s="55" t="s">
        <v>96</v>
      </c>
    </row>
    <row r="443" spans="1:13" x14ac:dyDescent="0.3">
      <c r="H443" s="74">
        <v>20</v>
      </c>
      <c r="K443" s="55" t="s">
        <v>102</v>
      </c>
    </row>
    <row r="444" spans="1:13" x14ac:dyDescent="0.3">
      <c r="H444" s="74">
        <v>30</v>
      </c>
      <c r="K444" s="55" t="s">
        <v>32</v>
      </c>
      <c r="L444" s="60" t="s">
        <v>381</v>
      </c>
    </row>
    <row r="445" spans="1:13" x14ac:dyDescent="0.3">
      <c r="H445" s="74">
        <v>230</v>
      </c>
      <c r="K445" s="55" t="s">
        <v>33</v>
      </c>
      <c r="L445" s="60" t="s">
        <v>385</v>
      </c>
    </row>
    <row r="446" spans="1:13" x14ac:dyDescent="0.3">
      <c r="H446" s="74">
        <v>40</v>
      </c>
      <c r="K446" s="55" t="s">
        <v>55</v>
      </c>
      <c r="L446" s="63" t="s">
        <v>382</v>
      </c>
    </row>
    <row r="447" spans="1:13" x14ac:dyDescent="0.3">
      <c r="H447" s="74">
        <v>40</v>
      </c>
      <c r="K447" s="55" t="s">
        <v>55</v>
      </c>
      <c r="L447" s="60" t="s">
        <v>384</v>
      </c>
    </row>
    <row r="448" spans="1:13" x14ac:dyDescent="0.3">
      <c r="H448" s="74">
        <v>30</v>
      </c>
      <c r="K448" s="55" t="s">
        <v>33</v>
      </c>
      <c r="L448" s="60" t="s">
        <v>383</v>
      </c>
    </row>
    <row r="449" spans="1:12" x14ac:dyDescent="0.3">
      <c r="A449" s="86" t="s">
        <v>372</v>
      </c>
      <c r="B449" s="55" t="s">
        <v>12</v>
      </c>
      <c r="C449" s="68" t="s">
        <v>49</v>
      </c>
      <c r="D449" s="55" t="s">
        <v>50</v>
      </c>
      <c r="E449" s="19">
        <v>194.01</v>
      </c>
      <c r="F449" s="19">
        <v>7</v>
      </c>
      <c r="G449" s="56" t="s">
        <v>11</v>
      </c>
      <c r="H449" s="74">
        <v>10</v>
      </c>
      <c r="K449" s="56" t="s">
        <v>25</v>
      </c>
    </row>
    <row r="450" spans="1:12" x14ac:dyDescent="0.3">
      <c r="H450" s="74">
        <v>10</v>
      </c>
      <c r="K450" s="55" t="s">
        <v>84</v>
      </c>
    </row>
    <row r="451" spans="1:12" x14ac:dyDescent="0.3">
      <c r="H451" s="74">
        <v>30</v>
      </c>
      <c r="K451" s="55" t="s">
        <v>32</v>
      </c>
      <c r="L451" s="60" t="s">
        <v>133</v>
      </c>
    </row>
    <row r="452" spans="1:12" x14ac:dyDescent="0.3">
      <c r="H452" s="74">
        <v>30</v>
      </c>
      <c r="K452" s="55" t="s">
        <v>33</v>
      </c>
      <c r="L452" s="60" t="s">
        <v>386</v>
      </c>
    </row>
    <row r="453" spans="1:12" x14ac:dyDescent="0.3">
      <c r="H453" s="74">
        <v>70</v>
      </c>
      <c r="K453" s="55" t="s">
        <v>96</v>
      </c>
    </row>
    <row r="454" spans="1:12" x14ac:dyDescent="0.3">
      <c r="H454" s="74">
        <v>20</v>
      </c>
      <c r="K454" s="55" t="s">
        <v>102</v>
      </c>
    </row>
    <row r="455" spans="1:12" x14ac:dyDescent="0.3">
      <c r="H455" s="74">
        <v>30</v>
      </c>
      <c r="K455" s="55" t="s">
        <v>32</v>
      </c>
      <c r="L455" s="60" t="s">
        <v>315</v>
      </c>
    </row>
    <row r="456" spans="1:12" x14ac:dyDescent="0.3">
      <c r="H456" s="74">
        <v>35</v>
      </c>
      <c r="K456" s="55" t="s">
        <v>33</v>
      </c>
      <c r="L456" s="60" t="s">
        <v>387</v>
      </c>
    </row>
    <row r="457" spans="1:12" x14ac:dyDescent="0.3">
      <c r="H457" s="74">
        <v>120</v>
      </c>
      <c r="K457" s="55" t="s">
        <v>33</v>
      </c>
      <c r="L457" s="60" t="s">
        <v>388</v>
      </c>
    </row>
    <row r="458" spans="1:12" x14ac:dyDescent="0.3">
      <c r="H458" s="74">
        <v>30</v>
      </c>
      <c r="K458" s="55" t="s">
        <v>30</v>
      </c>
      <c r="L458" s="60" t="s">
        <v>389</v>
      </c>
    </row>
    <row r="459" spans="1:12" x14ac:dyDescent="0.3">
      <c r="A459" s="72" t="s">
        <v>390</v>
      </c>
      <c r="B459" s="55" t="s">
        <v>0</v>
      </c>
      <c r="C459" s="67" t="s">
        <v>188</v>
      </c>
      <c r="D459" s="55" t="s">
        <v>51</v>
      </c>
      <c r="E459" s="19">
        <v>321.85000000000002</v>
      </c>
      <c r="F459" s="19">
        <v>12</v>
      </c>
      <c r="G459" s="56" t="s">
        <v>11</v>
      </c>
      <c r="H459" s="74">
        <v>10</v>
      </c>
      <c r="K459" s="56" t="s">
        <v>25</v>
      </c>
    </row>
    <row r="460" spans="1:12" x14ac:dyDescent="0.3">
      <c r="H460" s="74">
        <v>10</v>
      </c>
      <c r="K460" s="55" t="s">
        <v>84</v>
      </c>
    </row>
    <row r="461" spans="1:12" x14ac:dyDescent="0.3">
      <c r="H461" s="74">
        <v>50</v>
      </c>
      <c r="K461" s="55" t="s">
        <v>32</v>
      </c>
      <c r="L461" s="60" t="s">
        <v>391</v>
      </c>
    </row>
    <row r="462" spans="1:12" x14ac:dyDescent="0.3">
      <c r="H462" s="74">
        <v>120</v>
      </c>
      <c r="K462" s="55" t="s">
        <v>96</v>
      </c>
    </row>
    <row r="463" spans="1:12" x14ac:dyDescent="0.3">
      <c r="H463" s="74">
        <v>20</v>
      </c>
      <c r="K463" s="55" t="s">
        <v>34</v>
      </c>
      <c r="L463" s="60" t="s">
        <v>149</v>
      </c>
    </row>
    <row r="464" spans="1:12" x14ac:dyDescent="0.3">
      <c r="H464" s="74">
        <v>25</v>
      </c>
      <c r="K464" s="55" t="s">
        <v>102</v>
      </c>
    </row>
    <row r="465" spans="1:12" x14ac:dyDescent="0.3">
      <c r="H465" s="74">
        <v>30</v>
      </c>
      <c r="K465" s="55" t="s">
        <v>30</v>
      </c>
      <c r="L465" s="60" t="s">
        <v>136</v>
      </c>
    </row>
    <row r="466" spans="1:12" x14ac:dyDescent="0.3">
      <c r="H466" s="74">
        <v>20</v>
      </c>
      <c r="K466" s="55" t="s">
        <v>55</v>
      </c>
      <c r="L466" s="60" t="s">
        <v>13</v>
      </c>
    </row>
    <row r="467" spans="1:12" x14ac:dyDescent="0.3">
      <c r="H467" s="74">
        <v>10</v>
      </c>
      <c r="K467" s="55" t="s">
        <v>55</v>
      </c>
      <c r="L467" s="60" t="s">
        <v>392</v>
      </c>
    </row>
    <row r="468" spans="1:12" x14ac:dyDescent="0.3">
      <c r="A468" s="86" t="s">
        <v>390</v>
      </c>
      <c r="B468" s="56" t="s">
        <v>10</v>
      </c>
      <c r="C468" s="71" t="s">
        <v>46</v>
      </c>
      <c r="D468" s="56" t="s">
        <v>52</v>
      </c>
      <c r="E468" s="83">
        <v>273.83999999999997</v>
      </c>
      <c r="F468" s="83">
        <v>10.5</v>
      </c>
      <c r="G468" s="56" t="s">
        <v>11</v>
      </c>
      <c r="H468" s="74">
        <v>10</v>
      </c>
      <c r="K468" s="56" t="s">
        <v>25</v>
      </c>
    </row>
    <row r="469" spans="1:12" x14ac:dyDescent="0.3">
      <c r="H469" s="74">
        <v>10</v>
      </c>
      <c r="K469" s="55" t="s">
        <v>84</v>
      </c>
    </row>
    <row r="470" spans="1:12" x14ac:dyDescent="0.3">
      <c r="H470" s="74">
        <v>110</v>
      </c>
      <c r="K470" s="55" t="s">
        <v>96</v>
      </c>
    </row>
    <row r="471" spans="1:12" x14ac:dyDescent="0.3">
      <c r="H471" s="74">
        <v>20</v>
      </c>
      <c r="K471" s="55" t="s">
        <v>102</v>
      </c>
    </row>
    <row r="472" spans="1:12" x14ac:dyDescent="0.3">
      <c r="H472" s="74">
        <v>20</v>
      </c>
      <c r="K472" s="55" t="s">
        <v>32</v>
      </c>
      <c r="L472" s="60" t="s">
        <v>396</v>
      </c>
    </row>
    <row r="473" spans="1:12" x14ac:dyDescent="0.3">
      <c r="H473" s="74">
        <v>60</v>
      </c>
      <c r="K473" s="55" t="s">
        <v>32</v>
      </c>
      <c r="L473" s="60" t="s">
        <v>393</v>
      </c>
    </row>
    <row r="474" spans="1:12" x14ac:dyDescent="0.3">
      <c r="H474" s="74">
        <v>20</v>
      </c>
      <c r="K474" s="55" t="s">
        <v>34</v>
      </c>
      <c r="L474" s="60" t="s">
        <v>149</v>
      </c>
    </row>
    <row r="475" spans="1:12" x14ac:dyDescent="0.3">
      <c r="H475" s="74">
        <v>55</v>
      </c>
      <c r="K475" s="55" t="s">
        <v>33</v>
      </c>
      <c r="L475" s="60" t="s">
        <v>394</v>
      </c>
    </row>
    <row r="476" spans="1:12" x14ac:dyDescent="0.3">
      <c r="H476" s="74">
        <v>50</v>
      </c>
      <c r="K476" s="55" t="s">
        <v>15</v>
      </c>
      <c r="L476" s="60" t="s">
        <v>124</v>
      </c>
    </row>
    <row r="477" spans="1:12" x14ac:dyDescent="0.3">
      <c r="H477" s="74">
        <v>20</v>
      </c>
      <c r="K477" s="55" t="s">
        <v>30</v>
      </c>
      <c r="L477" s="60" t="s">
        <v>148</v>
      </c>
    </row>
    <row r="478" spans="1:12" x14ac:dyDescent="0.3">
      <c r="H478" s="74">
        <v>20</v>
      </c>
      <c r="K478" s="55" t="s">
        <v>33</v>
      </c>
      <c r="L478" s="60" t="s">
        <v>395</v>
      </c>
    </row>
    <row r="479" spans="1:12" x14ac:dyDescent="0.3">
      <c r="A479" s="86" t="s">
        <v>390</v>
      </c>
      <c r="B479" s="55" t="s">
        <v>12</v>
      </c>
      <c r="C479" s="68" t="s">
        <v>49</v>
      </c>
      <c r="D479" s="55" t="s">
        <v>50</v>
      </c>
      <c r="E479" s="19">
        <v>228.3</v>
      </c>
      <c r="F479" s="19">
        <v>9.5</v>
      </c>
      <c r="G479" s="56" t="s">
        <v>11</v>
      </c>
      <c r="H479" s="74">
        <v>10</v>
      </c>
      <c r="K479" s="56" t="s">
        <v>25</v>
      </c>
    </row>
    <row r="480" spans="1:12" x14ac:dyDescent="0.3">
      <c r="H480" s="74">
        <v>10</v>
      </c>
      <c r="K480" s="55" t="s">
        <v>84</v>
      </c>
    </row>
    <row r="481" spans="1:12" x14ac:dyDescent="0.3">
      <c r="H481" s="74">
        <v>100</v>
      </c>
      <c r="K481" s="55" t="s">
        <v>96</v>
      </c>
    </row>
    <row r="482" spans="1:12" x14ac:dyDescent="0.3">
      <c r="H482" s="74">
        <v>60</v>
      </c>
      <c r="K482" s="55" t="s">
        <v>32</v>
      </c>
      <c r="L482" s="60" t="s">
        <v>314</v>
      </c>
    </row>
    <row r="483" spans="1:12" x14ac:dyDescent="0.3">
      <c r="H483" s="74">
        <v>30</v>
      </c>
      <c r="K483" s="55" t="s">
        <v>55</v>
      </c>
      <c r="L483" s="60" t="s">
        <v>397</v>
      </c>
    </row>
    <row r="484" spans="1:12" x14ac:dyDescent="0.3">
      <c r="H484" s="74">
        <v>70</v>
      </c>
      <c r="K484" s="55" t="s">
        <v>33</v>
      </c>
      <c r="L484" s="60" t="s">
        <v>398</v>
      </c>
    </row>
    <row r="485" spans="1:12" x14ac:dyDescent="0.3">
      <c r="H485" s="74">
        <v>20</v>
      </c>
      <c r="K485" s="55" t="s">
        <v>34</v>
      </c>
    </row>
    <row r="486" spans="1:12" x14ac:dyDescent="0.3">
      <c r="H486" s="74">
        <v>30</v>
      </c>
      <c r="K486" s="55" t="s">
        <v>55</v>
      </c>
      <c r="L486" s="60" t="s">
        <v>399</v>
      </c>
    </row>
    <row r="487" spans="1:12" x14ac:dyDescent="0.3">
      <c r="H487" s="74">
        <v>20</v>
      </c>
      <c r="K487" s="55" t="s">
        <v>102</v>
      </c>
    </row>
    <row r="488" spans="1:12" x14ac:dyDescent="0.3">
      <c r="H488" s="74">
        <v>30</v>
      </c>
      <c r="K488" s="55" t="s">
        <v>30</v>
      </c>
      <c r="L488" s="60" t="s">
        <v>389</v>
      </c>
    </row>
    <row r="489" spans="1:12" x14ac:dyDescent="0.3">
      <c r="A489" s="72" t="s">
        <v>400</v>
      </c>
      <c r="B489" s="55" t="s">
        <v>0</v>
      </c>
      <c r="C489" s="67" t="s">
        <v>188</v>
      </c>
      <c r="D489" s="55" t="s">
        <v>51</v>
      </c>
      <c r="E489" s="19">
        <v>256.51</v>
      </c>
      <c r="F489" s="19">
        <v>10</v>
      </c>
      <c r="G489" s="55" t="s">
        <v>11</v>
      </c>
      <c r="H489" s="74">
        <v>10</v>
      </c>
      <c r="K489" s="55" t="s">
        <v>25</v>
      </c>
    </row>
    <row r="490" spans="1:12" x14ac:dyDescent="0.3">
      <c r="H490" s="74">
        <v>10</v>
      </c>
      <c r="K490" s="55" t="s">
        <v>84</v>
      </c>
    </row>
    <row r="491" spans="1:12" x14ac:dyDescent="0.3">
      <c r="H491" s="74">
        <v>100</v>
      </c>
      <c r="K491" s="55" t="s">
        <v>96</v>
      </c>
    </row>
    <row r="492" spans="1:12" x14ac:dyDescent="0.3">
      <c r="H492" s="74">
        <v>25</v>
      </c>
      <c r="K492" s="55" t="s">
        <v>32</v>
      </c>
      <c r="L492" s="60" t="s">
        <v>391</v>
      </c>
    </row>
    <row r="493" spans="1:12" x14ac:dyDescent="0.3">
      <c r="H493" s="74">
        <v>30</v>
      </c>
      <c r="K493" s="55" t="s">
        <v>32</v>
      </c>
      <c r="L493" s="60" t="s">
        <v>401</v>
      </c>
    </row>
    <row r="494" spans="1:12" x14ac:dyDescent="0.3">
      <c r="H494" s="74">
        <v>30</v>
      </c>
      <c r="K494" s="55" t="s">
        <v>30</v>
      </c>
      <c r="L494" s="60" t="s">
        <v>300</v>
      </c>
    </row>
    <row r="495" spans="1:12" x14ac:dyDescent="0.3">
      <c r="H495" s="74">
        <v>15</v>
      </c>
      <c r="K495" s="55" t="s">
        <v>33</v>
      </c>
      <c r="L495" s="60" t="s">
        <v>402</v>
      </c>
    </row>
    <row r="496" spans="1:12" x14ac:dyDescent="0.3">
      <c r="H496" s="74">
        <v>30</v>
      </c>
      <c r="K496" s="55" t="s">
        <v>55</v>
      </c>
      <c r="L496" s="60" t="s">
        <v>399</v>
      </c>
    </row>
    <row r="497" spans="1:12" x14ac:dyDescent="0.3">
      <c r="H497" s="74">
        <v>20</v>
      </c>
      <c r="K497" s="55" t="s">
        <v>102</v>
      </c>
    </row>
    <row r="498" spans="1:12" x14ac:dyDescent="0.3">
      <c r="H498" s="74">
        <v>20</v>
      </c>
      <c r="K498" s="55" t="s">
        <v>32</v>
      </c>
      <c r="L498" s="60" t="s">
        <v>232</v>
      </c>
    </row>
    <row r="499" spans="1:12" x14ac:dyDescent="0.3">
      <c r="H499" s="74">
        <v>30</v>
      </c>
      <c r="K499" s="55" t="s">
        <v>55</v>
      </c>
      <c r="L499" s="60" t="s">
        <v>397</v>
      </c>
    </row>
    <row r="500" spans="1:12" x14ac:dyDescent="0.3">
      <c r="A500" s="86" t="s">
        <v>400</v>
      </c>
      <c r="B500" s="56" t="s">
        <v>10</v>
      </c>
      <c r="C500" s="71" t="s">
        <v>46</v>
      </c>
      <c r="D500" s="56" t="s">
        <v>52</v>
      </c>
      <c r="E500" s="83">
        <v>368.71</v>
      </c>
      <c r="F500" s="83">
        <v>11.5</v>
      </c>
      <c r="G500" s="56" t="s">
        <v>11</v>
      </c>
      <c r="H500" s="74">
        <v>10</v>
      </c>
      <c r="K500" s="56" t="s">
        <v>25</v>
      </c>
    </row>
    <row r="501" spans="1:12" x14ac:dyDescent="0.3">
      <c r="H501" s="74">
        <v>10</v>
      </c>
      <c r="K501" s="55" t="s">
        <v>84</v>
      </c>
    </row>
    <row r="502" spans="1:12" x14ac:dyDescent="0.3">
      <c r="H502" s="74">
        <v>130</v>
      </c>
      <c r="K502" s="55" t="s">
        <v>96</v>
      </c>
    </row>
    <row r="503" spans="1:12" x14ac:dyDescent="0.3">
      <c r="H503" s="74">
        <v>20</v>
      </c>
      <c r="K503" s="55" t="s">
        <v>102</v>
      </c>
    </row>
    <row r="504" spans="1:12" x14ac:dyDescent="0.3">
      <c r="H504" s="74">
        <v>30</v>
      </c>
      <c r="K504" s="55" t="s">
        <v>32</v>
      </c>
      <c r="L504" s="60" t="s">
        <v>404</v>
      </c>
    </row>
    <row r="505" spans="1:12" x14ac:dyDescent="0.3">
      <c r="H505" s="74">
        <v>10</v>
      </c>
      <c r="K505" s="55" t="s">
        <v>34</v>
      </c>
      <c r="L505" s="60" t="s">
        <v>149</v>
      </c>
    </row>
    <row r="506" spans="1:12" x14ac:dyDescent="0.3">
      <c r="H506" s="74">
        <v>30</v>
      </c>
      <c r="K506" s="55" t="s">
        <v>33</v>
      </c>
      <c r="L506" s="60" t="s">
        <v>403</v>
      </c>
    </row>
    <row r="507" spans="1:12" x14ac:dyDescent="0.3">
      <c r="H507" s="74">
        <v>50</v>
      </c>
      <c r="K507" s="55" t="s">
        <v>55</v>
      </c>
      <c r="L507" s="60" t="s">
        <v>356</v>
      </c>
    </row>
    <row r="508" spans="1:12" x14ac:dyDescent="0.3">
      <c r="H508" s="74">
        <v>20</v>
      </c>
      <c r="K508" s="55" t="s">
        <v>30</v>
      </c>
      <c r="L508" s="60" t="s">
        <v>148</v>
      </c>
    </row>
    <row r="509" spans="1:12" x14ac:dyDescent="0.3">
      <c r="A509" s="86" t="s">
        <v>400</v>
      </c>
      <c r="B509" s="55" t="s">
        <v>12</v>
      </c>
      <c r="C509" s="70" t="s">
        <v>367</v>
      </c>
      <c r="D509" s="55" t="s">
        <v>50</v>
      </c>
      <c r="E509" s="84">
        <v>355.96</v>
      </c>
      <c r="F509" s="84">
        <v>12.5</v>
      </c>
      <c r="G509" s="56" t="s">
        <v>11</v>
      </c>
      <c r="H509" s="74">
        <v>10</v>
      </c>
      <c r="K509" s="56" t="s">
        <v>25</v>
      </c>
    </row>
    <row r="510" spans="1:12" x14ac:dyDescent="0.3">
      <c r="H510" s="74">
        <v>10</v>
      </c>
      <c r="K510" s="55" t="s">
        <v>84</v>
      </c>
    </row>
    <row r="511" spans="1:12" x14ac:dyDescent="0.3">
      <c r="H511" s="74">
        <v>120</v>
      </c>
      <c r="K511" s="55" t="s">
        <v>96</v>
      </c>
    </row>
    <row r="512" spans="1:12" x14ac:dyDescent="0.3">
      <c r="H512" s="74">
        <v>60</v>
      </c>
      <c r="K512" s="55" t="s">
        <v>32</v>
      </c>
      <c r="L512" s="60" t="s">
        <v>314</v>
      </c>
    </row>
    <row r="513" spans="1:13" x14ac:dyDescent="0.3">
      <c r="H513" s="74">
        <v>10</v>
      </c>
      <c r="K513" s="55" t="s">
        <v>34</v>
      </c>
      <c r="L513" s="60" t="s">
        <v>149</v>
      </c>
    </row>
    <row r="514" spans="1:13" x14ac:dyDescent="0.3">
      <c r="H514" s="74">
        <v>20</v>
      </c>
      <c r="K514" s="55" t="s">
        <v>55</v>
      </c>
      <c r="L514" s="60" t="s">
        <v>356</v>
      </c>
    </row>
    <row r="515" spans="1:13" x14ac:dyDescent="0.3">
      <c r="H515" s="74">
        <v>20</v>
      </c>
      <c r="K515" s="55" t="s">
        <v>34</v>
      </c>
    </row>
    <row r="516" spans="1:13" x14ac:dyDescent="0.3">
      <c r="H516" s="74">
        <v>20</v>
      </c>
      <c r="K516" s="55" t="s">
        <v>102</v>
      </c>
    </row>
    <row r="517" spans="1:13" x14ac:dyDescent="0.3">
      <c r="H517" s="74">
        <v>30</v>
      </c>
      <c r="K517" s="55" t="s">
        <v>30</v>
      </c>
      <c r="L517" s="60" t="s">
        <v>389</v>
      </c>
    </row>
    <row r="518" spans="1:13" x14ac:dyDescent="0.3">
      <c r="A518" s="72" t="s">
        <v>405</v>
      </c>
      <c r="B518" s="55" t="s">
        <v>0</v>
      </c>
      <c r="C518" s="67" t="s">
        <v>296</v>
      </c>
      <c r="D518" s="55" t="s">
        <v>51</v>
      </c>
      <c r="E518" s="19">
        <v>139.93</v>
      </c>
      <c r="F518" s="19">
        <v>6.5</v>
      </c>
      <c r="G518" s="55" t="s">
        <v>11</v>
      </c>
      <c r="H518" s="74">
        <v>10</v>
      </c>
      <c r="K518" s="55" t="s">
        <v>25</v>
      </c>
    </row>
    <row r="519" spans="1:13" x14ac:dyDescent="0.3">
      <c r="H519" s="74">
        <v>10</v>
      </c>
      <c r="K519" s="55" t="s">
        <v>84</v>
      </c>
    </row>
    <row r="520" spans="1:13" x14ac:dyDescent="0.3">
      <c r="H520" s="74">
        <v>70</v>
      </c>
      <c r="K520" s="55" t="s">
        <v>96</v>
      </c>
    </row>
    <row r="521" spans="1:13" x14ac:dyDescent="0.3">
      <c r="H521" s="74">
        <v>70</v>
      </c>
      <c r="K521" s="55" t="s">
        <v>32</v>
      </c>
      <c r="L521" s="60" t="s">
        <v>406</v>
      </c>
      <c r="M521" s="1" t="s">
        <v>407</v>
      </c>
    </row>
    <row r="522" spans="1:13" x14ac:dyDescent="0.3">
      <c r="H522" s="74">
        <v>10</v>
      </c>
      <c r="K522" s="55" t="s">
        <v>32</v>
      </c>
      <c r="L522" s="60" t="s">
        <v>133</v>
      </c>
    </row>
    <row r="523" spans="1:13" x14ac:dyDescent="0.3">
      <c r="H523" s="74">
        <v>30</v>
      </c>
      <c r="K523" s="55" t="s">
        <v>30</v>
      </c>
      <c r="L523" s="60" t="s">
        <v>300</v>
      </c>
    </row>
    <row r="524" spans="1:13" x14ac:dyDescent="0.3">
      <c r="H524" s="74">
        <v>120</v>
      </c>
      <c r="K524" s="55" t="s">
        <v>33</v>
      </c>
      <c r="L524" s="60" t="s">
        <v>408</v>
      </c>
      <c r="M524" s="1" t="s">
        <v>409</v>
      </c>
    </row>
    <row r="525" spans="1:13" x14ac:dyDescent="0.3">
      <c r="H525" s="74">
        <v>10</v>
      </c>
      <c r="K525" s="55" t="s">
        <v>34</v>
      </c>
      <c r="L525" s="60" t="s">
        <v>253</v>
      </c>
    </row>
    <row r="526" spans="1:13" x14ac:dyDescent="0.3">
      <c r="A526" s="72" t="s">
        <v>405</v>
      </c>
      <c r="B526" s="55" t="s">
        <v>10</v>
      </c>
      <c r="C526" s="67" t="s">
        <v>49</v>
      </c>
      <c r="D526" s="55" t="s">
        <v>52</v>
      </c>
      <c r="E526" s="19">
        <v>280.95</v>
      </c>
      <c r="F526" s="19">
        <v>7.5</v>
      </c>
      <c r="G526" s="55" t="s">
        <v>11</v>
      </c>
      <c r="H526" s="74">
        <v>10</v>
      </c>
      <c r="K526" s="55" t="s">
        <v>25</v>
      </c>
    </row>
    <row r="527" spans="1:13" x14ac:dyDescent="0.3">
      <c r="H527" s="74">
        <v>10</v>
      </c>
      <c r="K527" s="55" t="s">
        <v>84</v>
      </c>
    </row>
    <row r="528" spans="1:13" x14ac:dyDescent="0.3">
      <c r="H528" s="74">
        <v>40</v>
      </c>
      <c r="K528" s="55" t="s">
        <v>55</v>
      </c>
      <c r="L528" s="60" t="s">
        <v>140</v>
      </c>
    </row>
    <row r="529" spans="1:12" x14ac:dyDescent="0.3">
      <c r="H529" s="74">
        <v>35</v>
      </c>
      <c r="K529" s="55" t="s">
        <v>55</v>
      </c>
      <c r="L529" s="60" t="s">
        <v>410</v>
      </c>
    </row>
    <row r="530" spans="1:12" x14ac:dyDescent="0.3">
      <c r="H530" s="74">
        <v>32</v>
      </c>
      <c r="K530" s="55" t="s">
        <v>33</v>
      </c>
      <c r="L530" s="60" t="s">
        <v>411</v>
      </c>
    </row>
    <row r="531" spans="1:12" x14ac:dyDescent="0.3">
      <c r="H531" s="74">
        <v>70</v>
      </c>
      <c r="K531" s="55" t="s">
        <v>96</v>
      </c>
    </row>
    <row r="532" spans="1:12" x14ac:dyDescent="0.3">
      <c r="H532" s="74">
        <v>25</v>
      </c>
      <c r="K532" s="55" t="s">
        <v>102</v>
      </c>
    </row>
    <row r="533" spans="1:12" x14ac:dyDescent="0.3">
      <c r="H533" s="74">
        <v>60</v>
      </c>
      <c r="K533" s="55" t="s">
        <v>32</v>
      </c>
      <c r="L533" s="60" t="s">
        <v>137</v>
      </c>
    </row>
    <row r="534" spans="1:12" x14ac:dyDescent="0.3">
      <c r="H534" s="74">
        <v>30</v>
      </c>
      <c r="K534" s="55" t="s">
        <v>30</v>
      </c>
      <c r="L534" s="60" t="s">
        <v>233</v>
      </c>
    </row>
    <row r="535" spans="1:12" x14ac:dyDescent="0.3">
      <c r="H535" s="74">
        <v>10</v>
      </c>
      <c r="K535" s="55" t="s">
        <v>32</v>
      </c>
      <c r="L535" s="60" t="s">
        <v>412</v>
      </c>
    </row>
    <row r="536" spans="1:12" x14ac:dyDescent="0.3">
      <c r="A536" s="72" t="s">
        <v>405</v>
      </c>
      <c r="B536" s="55" t="s">
        <v>12</v>
      </c>
      <c r="C536" s="70" t="s">
        <v>367</v>
      </c>
      <c r="D536" s="55" t="s">
        <v>50</v>
      </c>
      <c r="E536" s="19">
        <v>207.86</v>
      </c>
      <c r="F536" s="19">
        <v>6</v>
      </c>
      <c r="G536" s="55" t="s">
        <v>11</v>
      </c>
      <c r="H536" s="74">
        <v>10</v>
      </c>
      <c r="K536" s="56" t="s">
        <v>25</v>
      </c>
      <c r="L536" s="60" t="s">
        <v>413</v>
      </c>
    </row>
    <row r="537" spans="1:12" x14ac:dyDescent="0.3">
      <c r="H537" s="74">
        <v>10</v>
      </c>
      <c r="K537" s="55" t="s">
        <v>84</v>
      </c>
    </row>
    <row r="538" spans="1:12" x14ac:dyDescent="0.3">
      <c r="H538" s="74">
        <v>30</v>
      </c>
      <c r="K538" s="55" t="s">
        <v>32</v>
      </c>
      <c r="L538" s="60" t="s">
        <v>415</v>
      </c>
    </row>
    <row r="539" spans="1:12" x14ac:dyDescent="0.3">
      <c r="H539" s="74">
        <v>70</v>
      </c>
      <c r="K539" s="55" t="s">
        <v>96</v>
      </c>
    </row>
    <row r="540" spans="1:12" x14ac:dyDescent="0.3">
      <c r="H540" s="74">
        <v>100</v>
      </c>
      <c r="K540" s="55" t="s">
        <v>32</v>
      </c>
      <c r="L540" s="60" t="s">
        <v>416</v>
      </c>
    </row>
    <row r="541" spans="1:12" x14ac:dyDescent="0.3">
      <c r="H541" s="74">
        <v>40</v>
      </c>
      <c r="K541" s="55" t="s">
        <v>33</v>
      </c>
      <c r="L541" s="60" t="s">
        <v>411</v>
      </c>
    </row>
    <row r="542" spans="1:12" x14ac:dyDescent="0.3">
      <c r="H542" s="74">
        <v>20</v>
      </c>
      <c r="K542" s="55" t="s">
        <v>34</v>
      </c>
      <c r="L542" s="60" t="s">
        <v>149</v>
      </c>
    </row>
    <row r="543" spans="1:12" x14ac:dyDescent="0.3">
      <c r="H543" s="74">
        <v>20</v>
      </c>
      <c r="K543" s="55" t="s">
        <v>34</v>
      </c>
      <c r="L543" s="60" t="s">
        <v>417</v>
      </c>
    </row>
    <row r="544" spans="1:12" x14ac:dyDescent="0.3">
      <c r="H544" s="74">
        <v>40</v>
      </c>
      <c r="K544" s="55" t="s">
        <v>34</v>
      </c>
      <c r="L544" s="60" t="s">
        <v>331</v>
      </c>
    </row>
    <row r="545" spans="1:13" x14ac:dyDescent="0.3">
      <c r="H545" s="74">
        <v>20</v>
      </c>
      <c r="K545" s="55" t="s">
        <v>102</v>
      </c>
    </row>
    <row r="546" spans="1:13" x14ac:dyDescent="0.3">
      <c r="H546" s="74">
        <v>40</v>
      </c>
      <c r="K546" s="55" t="s">
        <v>30</v>
      </c>
      <c r="L546" s="60" t="s">
        <v>414</v>
      </c>
    </row>
    <row r="547" spans="1:13" x14ac:dyDescent="0.3">
      <c r="A547" s="72" t="s">
        <v>423</v>
      </c>
      <c r="B547" s="55" t="s">
        <v>0</v>
      </c>
      <c r="C547" s="67" t="s">
        <v>188</v>
      </c>
      <c r="D547" s="55" t="s">
        <v>51</v>
      </c>
      <c r="E547" s="19">
        <v>163.84</v>
      </c>
      <c r="F547" s="19">
        <v>5</v>
      </c>
      <c r="G547" s="55" t="s">
        <v>11</v>
      </c>
      <c r="H547" s="74">
        <v>10</v>
      </c>
      <c r="K547" s="55" t="s">
        <v>25</v>
      </c>
    </row>
    <row r="548" spans="1:13" x14ac:dyDescent="0.3">
      <c r="H548" s="74">
        <v>10</v>
      </c>
      <c r="K548" s="55" t="s">
        <v>84</v>
      </c>
    </row>
    <row r="549" spans="1:13" x14ac:dyDescent="0.3">
      <c r="H549" s="74">
        <v>60</v>
      </c>
      <c r="K549" s="55" t="s">
        <v>96</v>
      </c>
    </row>
    <row r="550" spans="1:13" x14ac:dyDescent="0.3">
      <c r="H550" s="74">
        <v>30</v>
      </c>
      <c r="K550" s="55" t="s">
        <v>32</v>
      </c>
      <c r="L550" s="60" t="s">
        <v>418</v>
      </c>
    </row>
    <row r="551" spans="1:13" x14ac:dyDescent="0.3">
      <c r="H551" s="74">
        <v>20</v>
      </c>
      <c r="K551" s="55" t="s">
        <v>32</v>
      </c>
      <c r="L551" s="60" t="s">
        <v>419</v>
      </c>
      <c r="M551" s="1" t="s">
        <v>420</v>
      </c>
    </row>
    <row r="552" spans="1:13" x14ac:dyDescent="0.3">
      <c r="H552" s="74">
        <v>30</v>
      </c>
      <c r="K552" s="55" t="s">
        <v>30</v>
      </c>
      <c r="L552" s="60" t="s">
        <v>300</v>
      </c>
    </row>
    <row r="553" spans="1:13" x14ac:dyDescent="0.3">
      <c r="H553" s="74">
        <v>150</v>
      </c>
      <c r="K553" s="55" t="s">
        <v>33</v>
      </c>
      <c r="L553" s="60" t="s">
        <v>421</v>
      </c>
    </row>
    <row r="554" spans="1:13" x14ac:dyDescent="0.3">
      <c r="H554" s="74">
        <v>30</v>
      </c>
      <c r="K554" s="55" t="s">
        <v>34</v>
      </c>
      <c r="L554" s="60" t="s">
        <v>268</v>
      </c>
    </row>
    <row r="555" spans="1:13" x14ac:dyDescent="0.3">
      <c r="H555" s="74">
        <v>20</v>
      </c>
      <c r="K555" s="55" t="s">
        <v>102</v>
      </c>
    </row>
    <row r="556" spans="1:13" x14ac:dyDescent="0.3">
      <c r="H556" s="74">
        <v>10</v>
      </c>
      <c r="K556" s="55" t="s">
        <v>33</v>
      </c>
      <c r="L556" s="60" t="s">
        <v>422</v>
      </c>
    </row>
    <row r="557" spans="1:13" x14ac:dyDescent="0.3">
      <c r="H557" s="74">
        <v>15</v>
      </c>
      <c r="K557" s="55" t="s">
        <v>55</v>
      </c>
      <c r="L557" s="60" t="s">
        <v>131</v>
      </c>
    </row>
    <row r="558" spans="1:13" x14ac:dyDescent="0.3">
      <c r="A558" s="72" t="s">
        <v>423</v>
      </c>
      <c r="B558" s="55" t="s">
        <v>10</v>
      </c>
      <c r="C558" s="67" t="s">
        <v>49</v>
      </c>
      <c r="D558" s="55" t="s">
        <v>52</v>
      </c>
      <c r="E558" s="19">
        <v>192.77</v>
      </c>
      <c r="F558" s="19">
        <v>6</v>
      </c>
      <c r="G558" s="55" t="s">
        <v>11</v>
      </c>
      <c r="H558" s="74">
        <v>10</v>
      </c>
      <c r="K558" s="55" t="s">
        <v>25</v>
      </c>
    </row>
    <row r="559" spans="1:13" x14ac:dyDescent="0.3">
      <c r="H559" s="74">
        <v>10</v>
      </c>
      <c r="K559" s="55" t="s">
        <v>84</v>
      </c>
    </row>
    <row r="560" spans="1:13" x14ac:dyDescent="0.3">
      <c r="H560" s="74">
        <v>80</v>
      </c>
      <c r="K560" s="55" t="s">
        <v>96</v>
      </c>
    </row>
    <row r="561" spans="1:12" x14ac:dyDescent="0.3">
      <c r="H561" s="74">
        <v>60</v>
      </c>
      <c r="K561" s="55" t="s">
        <v>32</v>
      </c>
      <c r="L561" s="60" t="s">
        <v>424</v>
      </c>
    </row>
    <row r="562" spans="1:12" x14ac:dyDescent="0.3">
      <c r="H562" s="74">
        <v>150</v>
      </c>
      <c r="K562" s="55" t="s">
        <v>33</v>
      </c>
      <c r="L562" s="60" t="s">
        <v>421</v>
      </c>
    </row>
    <row r="563" spans="1:12" x14ac:dyDescent="0.3">
      <c r="H563" s="74">
        <v>20</v>
      </c>
      <c r="K563" s="55" t="s">
        <v>34</v>
      </c>
      <c r="L563" s="60" t="s">
        <v>268</v>
      </c>
    </row>
    <row r="564" spans="1:12" x14ac:dyDescent="0.3">
      <c r="H564" s="74">
        <v>20</v>
      </c>
      <c r="K564" s="55" t="s">
        <v>55</v>
      </c>
      <c r="L564" s="60" t="s">
        <v>356</v>
      </c>
    </row>
    <row r="565" spans="1:12" x14ac:dyDescent="0.3">
      <c r="H565" s="74">
        <v>30</v>
      </c>
      <c r="K565" s="55" t="s">
        <v>30</v>
      </c>
      <c r="L565" s="60" t="s">
        <v>300</v>
      </c>
    </row>
    <row r="566" spans="1:12" x14ac:dyDescent="0.3">
      <c r="H566" s="74">
        <v>25</v>
      </c>
      <c r="K566" s="55" t="s">
        <v>33</v>
      </c>
      <c r="L566" s="60" t="s">
        <v>425</v>
      </c>
    </row>
    <row r="567" spans="1:12" x14ac:dyDescent="0.3">
      <c r="A567" s="72" t="s">
        <v>423</v>
      </c>
      <c r="B567" s="55" t="s">
        <v>12</v>
      </c>
      <c r="C567" s="70" t="s">
        <v>367</v>
      </c>
      <c r="D567" s="55" t="s">
        <v>50</v>
      </c>
      <c r="E567" s="19">
        <v>165.29</v>
      </c>
      <c r="F567" s="19">
        <v>6</v>
      </c>
      <c r="G567" s="55" t="s">
        <v>11</v>
      </c>
      <c r="H567" s="74">
        <v>10</v>
      </c>
      <c r="K567" s="55" t="s">
        <v>25</v>
      </c>
    </row>
    <row r="568" spans="1:12" x14ac:dyDescent="0.3">
      <c r="H568" s="74">
        <v>10</v>
      </c>
      <c r="K568" s="55" t="s">
        <v>84</v>
      </c>
    </row>
    <row r="569" spans="1:12" x14ac:dyDescent="0.3">
      <c r="H569" s="74">
        <v>60</v>
      </c>
      <c r="K569" s="55" t="s">
        <v>96</v>
      </c>
    </row>
    <row r="570" spans="1:12" x14ac:dyDescent="0.3">
      <c r="H570" s="74">
        <v>140</v>
      </c>
      <c r="K570" s="55" t="s">
        <v>32</v>
      </c>
      <c r="L570" s="60" t="s">
        <v>427</v>
      </c>
    </row>
    <row r="571" spans="1:12" x14ac:dyDescent="0.3">
      <c r="H571" s="74">
        <v>40</v>
      </c>
      <c r="K571" s="55" t="s">
        <v>30</v>
      </c>
      <c r="L571" s="60" t="s">
        <v>300</v>
      </c>
    </row>
    <row r="572" spans="1:12" x14ac:dyDescent="0.3">
      <c r="H572" s="74">
        <v>90</v>
      </c>
      <c r="K572" s="55" t="s">
        <v>33</v>
      </c>
      <c r="L572" s="60" t="s">
        <v>426</v>
      </c>
    </row>
    <row r="573" spans="1:12" x14ac:dyDescent="0.3">
      <c r="H573" s="74">
        <v>30</v>
      </c>
      <c r="K573" s="55" t="s">
        <v>34</v>
      </c>
      <c r="L573" s="60" t="s">
        <v>268</v>
      </c>
    </row>
    <row r="574" spans="1:12" x14ac:dyDescent="0.3">
      <c r="H574" s="74">
        <v>20</v>
      </c>
      <c r="K574" s="55" t="s">
        <v>102</v>
      </c>
    </row>
    <row r="575" spans="1:12" x14ac:dyDescent="0.3">
      <c r="A575" s="72" t="s">
        <v>428</v>
      </c>
      <c r="B575" s="55" t="s">
        <v>0</v>
      </c>
      <c r="C575" s="67" t="s">
        <v>188</v>
      </c>
      <c r="D575" s="55" t="s">
        <v>52</v>
      </c>
      <c r="E575" s="19">
        <v>297.38</v>
      </c>
      <c r="F575" s="19">
        <v>9</v>
      </c>
      <c r="G575" s="55" t="s">
        <v>11</v>
      </c>
      <c r="H575" s="74">
        <v>10</v>
      </c>
      <c r="K575" s="55" t="s">
        <v>25</v>
      </c>
    </row>
    <row r="576" spans="1:12" x14ac:dyDescent="0.3">
      <c r="H576" s="74">
        <v>10</v>
      </c>
      <c r="K576" s="55" t="s">
        <v>84</v>
      </c>
    </row>
    <row r="577" spans="1:12" x14ac:dyDescent="0.3">
      <c r="H577" s="74">
        <v>100</v>
      </c>
      <c r="K577" s="55" t="s">
        <v>96</v>
      </c>
    </row>
    <row r="578" spans="1:12" x14ac:dyDescent="0.3">
      <c r="H578" s="74">
        <v>30</v>
      </c>
      <c r="K578" s="55" t="s">
        <v>32</v>
      </c>
      <c r="L578" s="60" t="s">
        <v>429</v>
      </c>
    </row>
    <row r="579" spans="1:12" x14ac:dyDescent="0.3">
      <c r="H579" s="74">
        <v>50</v>
      </c>
      <c r="K579" s="55" t="s">
        <v>32</v>
      </c>
      <c r="L579" s="60" t="s">
        <v>430</v>
      </c>
    </row>
    <row r="580" spans="1:12" x14ac:dyDescent="0.3">
      <c r="H580" s="74">
        <v>20</v>
      </c>
      <c r="K580" s="55" t="s">
        <v>102</v>
      </c>
    </row>
    <row r="581" spans="1:12" x14ac:dyDescent="0.3">
      <c r="H581" s="74">
        <v>40</v>
      </c>
      <c r="K581" s="55" t="s">
        <v>55</v>
      </c>
      <c r="L581" s="60" t="s">
        <v>431</v>
      </c>
    </row>
    <row r="582" spans="1:12" x14ac:dyDescent="0.3">
      <c r="H582" s="74">
        <v>20</v>
      </c>
      <c r="K582" s="55" t="s">
        <v>32</v>
      </c>
      <c r="L582" s="60" t="s">
        <v>432</v>
      </c>
    </row>
    <row r="583" spans="1:12" x14ac:dyDescent="0.3">
      <c r="H583" s="74">
        <v>60</v>
      </c>
      <c r="K583" s="55" t="s">
        <v>55</v>
      </c>
      <c r="L583" s="60" t="s">
        <v>356</v>
      </c>
    </row>
    <row r="584" spans="1:12" x14ac:dyDescent="0.3">
      <c r="H584" s="74">
        <v>20</v>
      </c>
      <c r="K584" s="55" t="s">
        <v>34</v>
      </c>
      <c r="L584" s="60" t="s">
        <v>268</v>
      </c>
    </row>
    <row r="585" spans="1:12" x14ac:dyDescent="0.3">
      <c r="H585" s="74">
        <v>20</v>
      </c>
      <c r="K585" s="55" t="s">
        <v>30</v>
      </c>
      <c r="L585" s="60" t="s">
        <v>433</v>
      </c>
    </row>
    <row r="586" spans="1:12" x14ac:dyDescent="0.3">
      <c r="A586" s="72" t="s">
        <v>428</v>
      </c>
      <c r="B586" s="55" t="s">
        <v>10</v>
      </c>
      <c r="C586" s="67" t="s">
        <v>49</v>
      </c>
      <c r="D586" s="55" t="s">
        <v>50</v>
      </c>
      <c r="E586" s="19">
        <v>169.37</v>
      </c>
      <c r="F586" s="19">
        <v>7</v>
      </c>
      <c r="G586" s="55" t="s">
        <v>11</v>
      </c>
      <c r="H586" s="74">
        <v>10</v>
      </c>
      <c r="I586" s="50"/>
      <c r="J586" s="50"/>
      <c r="K586" s="55" t="s">
        <v>25</v>
      </c>
    </row>
    <row r="587" spans="1:12" x14ac:dyDescent="0.3">
      <c r="H587" s="74">
        <v>10</v>
      </c>
      <c r="I587" s="50"/>
      <c r="J587" s="50"/>
      <c r="K587" s="55" t="s">
        <v>84</v>
      </c>
    </row>
    <row r="588" spans="1:12" x14ac:dyDescent="0.3">
      <c r="H588" s="74">
        <v>70</v>
      </c>
      <c r="I588" s="50"/>
      <c r="J588" s="50"/>
      <c r="K588" s="55" t="s">
        <v>96</v>
      </c>
    </row>
    <row r="589" spans="1:12" x14ac:dyDescent="0.3">
      <c r="H589" s="74">
        <v>90</v>
      </c>
      <c r="I589" s="50"/>
      <c r="J589" s="50"/>
      <c r="K589" s="55" t="s">
        <v>55</v>
      </c>
      <c r="L589" s="60" t="s">
        <v>434</v>
      </c>
    </row>
    <row r="590" spans="1:12" x14ac:dyDescent="0.3">
      <c r="H590" s="74">
        <v>30</v>
      </c>
      <c r="I590" s="50"/>
      <c r="J590" s="50"/>
      <c r="K590" s="55" t="s">
        <v>33</v>
      </c>
      <c r="L590" s="60" t="s">
        <v>435</v>
      </c>
    </row>
    <row r="591" spans="1:12" x14ac:dyDescent="0.3">
      <c r="H591" s="74">
        <v>20</v>
      </c>
      <c r="I591" s="50"/>
      <c r="J591" s="50"/>
      <c r="K591" s="55" t="s">
        <v>33</v>
      </c>
      <c r="L591" s="60" t="s">
        <v>437</v>
      </c>
    </row>
    <row r="592" spans="1:12" x14ac:dyDescent="0.3">
      <c r="H592" s="74">
        <v>20</v>
      </c>
      <c r="I592" s="50"/>
      <c r="J592" s="50"/>
      <c r="K592" s="55" t="s">
        <v>102</v>
      </c>
    </row>
    <row r="593" spans="1:12" x14ac:dyDescent="0.3">
      <c r="H593" s="74">
        <v>150</v>
      </c>
      <c r="I593" s="50"/>
      <c r="J593" s="50"/>
      <c r="K593" s="55" t="s">
        <v>55</v>
      </c>
      <c r="L593" s="60" t="s">
        <v>436</v>
      </c>
    </row>
    <row r="594" spans="1:12" x14ac:dyDescent="0.3">
      <c r="A594" s="72" t="s">
        <v>428</v>
      </c>
      <c r="B594" s="55" t="s">
        <v>12</v>
      </c>
      <c r="C594" s="70" t="s">
        <v>367</v>
      </c>
      <c r="D594" s="55" t="s">
        <v>51</v>
      </c>
      <c r="E594" s="19">
        <v>330.45</v>
      </c>
      <c r="F594" s="19">
        <v>13</v>
      </c>
      <c r="G594" s="55" t="s">
        <v>11</v>
      </c>
      <c r="H594" s="74">
        <v>10</v>
      </c>
      <c r="I594" s="50"/>
      <c r="J594" s="50"/>
      <c r="K594" s="55" t="s">
        <v>25</v>
      </c>
    </row>
    <row r="595" spans="1:12" x14ac:dyDescent="0.3">
      <c r="H595" s="74">
        <v>10</v>
      </c>
      <c r="I595" s="50"/>
      <c r="J595" s="50"/>
      <c r="K595" s="55" t="s">
        <v>84</v>
      </c>
    </row>
    <row r="596" spans="1:12" x14ac:dyDescent="0.3">
      <c r="H596" s="74">
        <v>50</v>
      </c>
      <c r="I596" s="50"/>
      <c r="J596" s="50"/>
      <c r="K596" s="55" t="s">
        <v>32</v>
      </c>
      <c r="L596" s="60" t="s">
        <v>439</v>
      </c>
    </row>
    <row r="597" spans="1:12" x14ac:dyDescent="0.3">
      <c r="H597" s="74">
        <v>130</v>
      </c>
      <c r="I597" s="50"/>
      <c r="J597" s="50"/>
      <c r="K597" s="55" t="s">
        <v>96</v>
      </c>
    </row>
    <row r="598" spans="1:12" x14ac:dyDescent="0.3">
      <c r="H598" s="74">
        <v>20</v>
      </c>
      <c r="I598" s="50"/>
      <c r="J598" s="50"/>
      <c r="K598" s="55" t="s">
        <v>102</v>
      </c>
    </row>
    <row r="599" spans="1:12" x14ac:dyDescent="0.3">
      <c r="H599" s="74">
        <v>30</v>
      </c>
      <c r="I599" s="50"/>
      <c r="J599" s="50"/>
      <c r="K599" s="55" t="s">
        <v>30</v>
      </c>
    </row>
    <row r="600" spans="1:12" x14ac:dyDescent="0.3">
      <c r="H600" s="74">
        <v>30</v>
      </c>
      <c r="I600" s="50"/>
      <c r="J600" s="50"/>
      <c r="K600" s="55" t="s">
        <v>34</v>
      </c>
      <c r="L600" s="60" t="s">
        <v>438</v>
      </c>
    </row>
    <row r="601" spans="1:12" x14ac:dyDescent="0.3">
      <c r="H601" s="74">
        <v>20</v>
      </c>
      <c r="I601" s="50"/>
      <c r="J601" s="50"/>
      <c r="K601" s="55" t="s">
        <v>34</v>
      </c>
      <c r="L601" s="60" t="s">
        <v>149</v>
      </c>
    </row>
    <row r="602" spans="1:12" x14ac:dyDescent="0.3">
      <c r="A602" s="72" t="s">
        <v>440</v>
      </c>
      <c r="B602" s="55" t="s">
        <v>0</v>
      </c>
      <c r="C602" s="67" t="s">
        <v>49</v>
      </c>
      <c r="D602" s="55" t="s">
        <v>52</v>
      </c>
      <c r="E602" s="19">
        <v>242.97</v>
      </c>
      <c r="F602" s="19">
        <v>9</v>
      </c>
      <c r="G602" s="55" t="s">
        <v>11</v>
      </c>
      <c r="H602" s="74">
        <v>10</v>
      </c>
      <c r="I602" s="50"/>
      <c r="J602" s="50"/>
      <c r="K602" s="55" t="s">
        <v>25</v>
      </c>
    </row>
    <row r="603" spans="1:12" x14ac:dyDescent="0.3">
      <c r="H603" s="74">
        <v>10</v>
      </c>
      <c r="I603" s="50"/>
      <c r="J603" s="50"/>
      <c r="K603" s="55" t="s">
        <v>84</v>
      </c>
    </row>
    <row r="604" spans="1:12" x14ac:dyDescent="0.3">
      <c r="H604" s="74">
        <v>90</v>
      </c>
      <c r="I604" s="50"/>
      <c r="J604" s="50"/>
      <c r="K604" s="55" t="s">
        <v>96</v>
      </c>
    </row>
    <row r="605" spans="1:12" x14ac:dyDescent="0.3">
      <c r="H605" s="74">
        <v>40</v>
      </c>
      <c r="I605" s="50"/>
      <c r="J605" s="50"/>
      <c r="K605" s="55" t="s">
        <v>32</v>
      </c>
      <c r="L605" s="60" t="s">
        <v>444</v>
      </c>
    </row>
    <row r="606" spans="1:12" x14ac:dyDescent="0.3">
      <c r="H606" s="74">
        <v>20</v>
      </c>
      <c r="I606" s="50"/>
      <c r="J606" s="50"/>
      <c r="K606" s="55" t="s">
        <v>102</v>
      </c>
    </row>
    <row r="607" spans="1:12" x14ac:dyDescent="0.3">
      <c r="H607" s="74">
        <v>105</v>
      </c>
      <c r="I607" s="51">
        <v>0.39583333333333331</v>
      </c>
      <c r="J607" s="51">
        <v>0.48958333333333331</v>
      </c>
      <c r="K607" s="55" t="s">
        <v>33</v>
      </c>
      <c r="L607" s="64" t="s">
        <v>441</v>
      </c>
    </row>
    <row r="608" spans="1:12" x14ac:dyDescent="0.3">
      <c r="H608" s="74">
        <v>20</v>
      </c>
      <c r="I608" s="51"/>
      <c r="J608" s="51"/>
      <c r="K608" s="55" t="s">
        <v>30</v>
      </c>
      <c r="L608" s="60" t="s">
        <v>433</v>
      </c>
    </row>
    <row r="609" spans="1:12" x14ac:dyDescent="0.3">
      <c r="H609" s="74">
        <v>30</v>
      </c>
      <c r="I609" s="51">
        <v>6.25E-2</v>
      </c>
      <c r="J609" s="51">
        <v>8.3333333333333329E-2</v>
      </c>
      <c r="K609" s="55" t="s">
        <v>33</v>
      </c>
      <c r="L609" s="64" t="s">
        <v>441</v>
      </c>
    </row>
    <row r="610" spans="1:12" x14ac:dyDescent="0.3">
      <c r="A610" s="72" t="s">
        <v>440</v>
      </c>
      <c r="B610" s="55" t="s">
        <v>10</v>
      </c>
      <c r="C610" s="67" t="s">
        <v>46</v>
      </c>
      <c r="D610" s="55" t="s">
        <v>50</v>
      </c>
      <c r="E610" s="19">
        <v>118.71</v>
      </c>
      <c r="F610" s="19" t="s">
        <v>447</v>
      </c>
      <c r="G610" s="55" t="s">
        <v>11</v>
      </c>
      <c r="H610" s="74">
        <v>10</v>
      </c>
      <c r="I610" s="51"/>
      <c r="J610" s="51"/>
      <c r="K610" s="55" t="s">
        <v>25</v>
      </c>
    </row>
    <row r="611" spans="1:12" x14ac:dyDescent="0.3">
      <c r="H611" s="74">
        <v>10</v>
      </c>
      <c r="I611" s="51"/>
      <c r="J611" s="51"/>
      <c r="K611" s="55" t="s">
        <v>84</v>
      </c>
    </row>
    <row r="612" spans="1:12" x14ac:dyDescent="0.3">
      <c r="H612" s="74">
        <v>70</v>
      </c>
      <c r="I612" s="50"/>
      <c r="J612" s="50"/>
      <c r="K612" s="55" t="s">
        <v>96</v>
      </c>
    </row>
    <row r="613" spans="1:12" x14ac:dyDescent="0.3">
      <c r="H613" s="74">
        <v>60</v>
      </c>
      <c r="I613" s="50"/>
      <c r="J613" s="50"/>
      <c r="K613" s="55" t="s">
        <v>55</v>
      </c>
      <c r="L613" s="60" t="s">
        <v>446</v>
      </c>
    </row>
    <row r="614" spans="1:12" x14ac:dyDescent="0.3">
      <c r="H614" s="74">
        <v>150</v>
      </c>
      <c r="I614" s="50"/>
      <c r="J614" s="50"/>
      <c r="K614" s="55" t="s">
        <v>55</v>
      </c>
      <c r="L614" s="60" t="s">
        <v>135</v>
      </c>
    </row>
    <row r="615" spans="1:12" x14ac:dyDescent="0.3">
      <c r="H615" s="74">
        <v>30</v>
      </c>
      <c r="I615" s="50"/>
      <c r="J615" s="50"/>
      <c r="K615" s="55" t="s">
        <v>32</v>
      </c>
      <c r="L615" s="60" t="s">
        <v>417</v>
      </c>
    </row>
    <row r="616" spans="1:12" x14ac:dyDescent="0.3">
      <c r="H616" s="74">
        <v>30</v>
      </c>
      <c r="I616" s="50"/>
      <c r="J616" s="50"/>
      <c r="K616" s="55" t="s">
        <v>32</v>
      </c>
      <c r="L616" s="60" t="s">
        <v>445</v>
      </c>
    </row>
    <row r="617" spans="1:12" x14ac:dyDescent="0.3">
      <c r="H617" s="74">
        <v>20</v>
      </c>
      <c r="I617" s="50"/>
      <c r="J617" s="50"/>
      <c r="K617" s="55" t="s">
        <v>102</v>
      </c>
    </row>
    <row r="618" spans="1:12" x14ac:dyDescent="0.3">
      <c r="H618" s="74">
        <v>30</v>
      </c>
      <c r="I618" s="50"/>
      <c r="J618" s="50"/>
      <c r="K618" s="55" t="s">
        <v>30</v>
      </c>
    </row>
    <row r="619" spans="1:12" x14ac:dyDescent="0.3">
      <c r="A619" s="72" t="s">
        <v>440</v>
      </c>
      <c r="B619" s="55" t="s">
        <v>12</v>
      </c>
      <c r="C619" s="67" t="s">
        <v>188</v>
      </c>
      <c r="D619" s="55" t="s">
        <v>51</v>
      </c>
      <c r="E619" s="19">
        <v>188.85</v>
      </c>
      <c r="F619" s="19" t="s">
        <v>448</v>
      </c>
      <c r="G619" s="55" t="s">
        <v>11</v>
      </c>
      <c r="H619" s="74">
        <v>10</v>
      </c>
      <c r="I619" s="51"/>
      <c r="J619" s="51"/>
      <c r="K619" s="55" t="s">
        <v>25</v>
      </c>
    </row>
    <row r="620" spans="1:12" x14ac:dyDescent="0.3">
      <c r="H620" s="74">
        <v>10</v>
      </c>
      <c r="I620" s="51"/>
      <c r="J620" s="51"/>
      <c r="K620" s="55" t="s">
        <v>84</v>
      </c>
    </row>
    <row r="621" spans="1:12" x14ac:dyDescent="0.3">
      <c r="H621" s="74">
        <v>70</v>
      </c>
      <c r="I621" s="50"/>
      <c r="J621" s="50"/>
      <c r="K621" s="55" t="s">
        <v>96</v>
      </c>
    </row>
    <row r="622" spans="1:12" x14ac:dyDescent="0.3">
      <c r="H622" s="74">
        <v>160</v>
      </c>
      <c r="I622" s="50"/>
      <c r="J622" s="50"/>
      <c r="K622" s="55" t="s">
        <v>34</v>
      </c>
      <c r="L622" s="60" t="s">
        <v>135</v>
      </c>
    </row>
    <row r="623" spans="1:12" x14ac:dyDescent="0.3">
      <c r="H623" s="74">
        <v>30</v>
      </c>
      <c r="I623" s="50"/>
      <c r="J623" s="50"/>
      <c r="K623" s="55" t="s">
        <v>32</v>
      </c>
      <c r="L623" s="60" t="s">
        <v>449</v>
      </c>
    </row>
    <row r="624" spans="1:12" x14ac:dyDescent="0.3">
      <c r="H624" s="74">
        <v>20</v>
      </c>
      <c r="I624" s="50"/>
      <c r="J624" s="50"/>
      <c r="K624" s="55" t="s">
        <v>102</v>
      </c>
    </row>
    <row r="625" spans="1:12" x14ac:dyDescent="0.3">
      <c r="H625" s="74">
        <v>20</v>
      </c>
      <c r="I625" s="50">
        <v>0.15972222222222224</v>
      </c>
      <c r="J625" s="50" t="s">
        <v>458</v>
      </c>
      <c r="K625" s="55" t="s">
        <v>55</v>
      </c>
      <c r="L625" s="60" t="s">
        <v>451</v>
      </c>
    </row>
    <row r="626" spans="1:12" x14ac:dyDescent="0.3">
      <c r="H626" s="74">
        <v>20</v>
      </c>
      <c r="I626" s="50"/>
      <c r="J626" s="50"/>
      <c r="K626" s="55" t="s">
        <v>30</v>
      </c>
      <c r="L626" s="60" t="s">
        <v>136</v>
      </c>
    </row>
    <row r="627" spans="1:12" x14ac:dyDescent="0.3">
      <c r="H627" s="74">
        <v>15</v>
      </c>
      <c r="I627" s="50"/>
      <c r="J627" s="50"/>
      <c r="K627" s="55" t="s">
        <v>55</v>
      </c>
      <c r="L627" s="60" t="s">
        <v>450</v>
      </c>
    </row>
    <row r="628" spans="1:12" x14ac:dyDescent="0.3">
      <c r="A628" s="72" t="s">
        <v>452</v>
      </c>
      <c r="B628" s="55" t="s">
        <v>0</v>
      </c>
      <c r="C628" s="67" t="s">
        <v>46</v>
      </c>
      <c r="D628" s="55" t="s">
        <v>52</v>
      </c>
      <c r="E628" s="19">
        <v>393.21</v>
      </c>
      <c r="F628" s="19">
        <v>12</v>
      </c>
      <c r="G628" s="55" t="s">
        <v>11</v>
      </c>
      <c r="H628" s="74">
        <v>10</v>
      </c>
      <c r="I628" s="50"/>
      <c r="J628" s="50"/>
      <c r="K628" s="55" t="s">
        <v>25</v>
      </c>
    </row>
    <row r="629" spans="1:12" x14ac:dyDescent="0.3">
      <c r="H629" s="74">
        <v>10</v>
      </c>
      <c r="I629" s="50"/>
      <c r="J629" s="50"/>
      <c r="K629" s="55" t="s">
        <v>84</v>
      </c>
    </row>
    <row r="630" spans="1:12" x14ac:dyDescent="0.3">
      <c r="H630" s="74">
        <v>130</v>
      </c>
      <c r="I630" s="50"/>
      <c r="J630" s="50"/>
      <c r="K630" s="55" t="s">
        <v>96</v>
      </c>
    </row>
    <row r="631" spans="1:12" x14ac:dyDescent="0.3">
      <c r="H631" s="74">
        <v>50</v>
      </c>
      <c r="I631" s="50"/>
      <c r="J631" s="50"/>
      <c r="K631" s="55" t="s">
        <v>32</v>
      </c>
      <c r="L631" s="60" t="s">
        <v>455</v>
      </c>
    </row>
    <row r="632" spans="1:12" x14ac:dyDescent="0.3">
      <c r="H632" s="74">
        <v>20</v>
      </c>
      <c r="I632" s="50"/>
      <c r="J632" s="50"/>
      <c r="K632" s="55" t="s">
        <v>102</v>
      </c>
    </row>
    <row r="633" spans="1:12" x14ac:dyDescent="0.3">
      <c r="H633" s="74">
        <v>30</v>
      </c>
      <c r="I633" s="51"/>
      <c r="J633" s="51"/>
      <c r="K633" s="55" t="s">
        <v>32</v>
      </c>
      <c r="L633" s="60" t="s">
        <v>453</v>
      </c>
    </row>
    <row r="634" spans="1:12" x14ac:dyDescent="0.3">
      <c r="H634" s="74">
        <v>20</v>
      </c>
      <c r="I634" s="51"/>
      <c r="J634" s="51"/>
      <c r="K634" s="55" t="s">
        <v>30</v>
      </c>
      <c r="L634" s="60" t="s">
        <v>433</v>
      </c>
    </row>
    <row r="635" spans="1:12" x14ac:dyDescent="0.3">
      <c r="H635" s="74">
        <v>20</v>
      </c>
      <c r="I635" s="50"/>
      <c r="J635" s="50"/>
      <c r="K635" s="55" t="s">
        <v>33</v>
      </c>
      <c r="L635" s="60" t="s">
        <v>454</v>
      </c>
    </row>
    <row r="636" spans="1:12" x14ac:dyDescent="0.3">
      <c r="H636" s="74">
        <v>15</v>
      </c>
      <c r="I636" s="50"/>
      <c r="J636" s="50"/>
      <c r="K636" s="55" t="s">
        <v>34</v>
      </c>
      <c r="L636" s="60" t="s">
        <v>149</v>
      </c>
    </row>
    <row r="637" spans="1:12" x14ac:dyDescent="0.3">
      <c r="H637" s="74">
        <v>15</v>
      </c>
      <c r="I637" s="50"/>
      <c r="J637" s="50"/>
      <c r="K637" s="55" t="s">
        <v>55</v>
      </c>
      <c r="L637" s="60" t="s">
        <v>456</v>
      </c>
    </row>
    <row r="638" spans="1:12" x14ac:dyDescent="0.3">
      <c r="A638" s="72" t="s">
        <v>452</v>
      </c>
      <c r="B638" s="55" t="s">
        <v>10</v>
      </c>
      <c r="C638" s="67" t="s">
        <v>49</v>
      </c>
      <c r="D638" s="55" t="s">
        <v>50</v>
      </c>
      <c r="E638" s="19">
        <v>353.42</v>
      </c>
      <c r="F638" s="19">
        <v>11</v>
      </c>
      <c r="G638" s="55" t="s">
        <v>11</v>
      </c>
      <c r="H638" s="74">
        <v>10</v>
      </c>
      <c r="I638" s="51"/>
      <c r="J638" s="51"/>
      <c r="K638" s="55" t="s">
        <v>25</v>
      </c>
    </row>
    <row r="639" spans="1:12" x14ac:dyDescent="0.3">
      <c r="H639" s="74">
        <v>10</v>
      </c>
      <c r="I639" s="51"/>
      <c r="J639" s="51"/>
      <c r="K639" s="55" t="s">
        <v>84</v>
      </c>
    </row>
    <row r="640" spans="1:12" x14ac:dyDescent="0.3">
      <c r="H640" s="74">
        <v>120</v>
      </c>
      <c r="I640" s="50"/>
      <c r="J640" s="50"/>
      <c r="K640" s="55" t="s">
        <v>96</v>
      </c>
    </row>
    <row r="641" spans="1:12" x14ac:dyDescent="0.3">
      <c r="H641" s="74">
        <v>60</v>
      </c>
      <c r="I641" s="50"/>
      <c r="J641" s="50"/>
      <c r="K641" s="55" t="s">
        <v>32</v>
      </c>
      <c r="L641" s="60" t="s">
        <v>457</v>
      </c>
    </row>
    <row r="642" spans="1:12" x14ac:dyDescent="0.3">
      <c r="H642" s="74">
        <v>20</v>
      </c>
      <c r="I642" s="50"/>
      <c r="J642" s="50"/>
      <c r="K642" s="55" t="s">
        <v>102</v>
      </c>
    </row>
    <row r="643" spans="1:12" x14ac:dyDescent="0.3">
      <c r="H643" s="74">
        <v>20</v>
      </c>
      <c r="I643" s="50"/>
      <c r="J643" s="50"/>
      <c r="K643" s="55" t="s">
        <v>55</v>
      </c>
      <c r="L643" s="60" t="s">
        <v>459</v>
      </c>
    </row>
    <row r="644" spans="1:12" x14ac:dyDescent="0.3">
      <c r="H644" s="74">
        <v>10</v>
      </c>
      <c r="I644" s="50"/>
      <c r="J644" s="50"/>
      <c r="K644" s="55" t="s">
        <v>34</v>
      </c>
    </row>
    <row r="645" spans="1:12" x14ac:dyDescent="0.3">
      <c r="H645" s="74">
        <v>30</v>
      </c>
      <c r="I645" s="50"/>
      <c r="J645" s="50"/>
      <c r="K645" s="55" t="s">
        <v>30</v>
      </c>
    </row>
    <row r="646" spans="1:12" x14ac:dyDescent="0.3">
      <c r="A646" s="72" t="s">
        <v>452</v>
      </c>
      <c r="B646" s="55" t="s">
        <v>12</v>
      </c>
      <c r="C646" s="67" t="s">
        <v>188</v>
      </c>
      <c r="D646" s="55" t="s">
        <v>51</v>
      </c>
      <c r="E646" s="19">
        <v>242.42</v>
      </c>
      <c r="F646" s="19">
        <v>10</v>
      </c>
      <c r="G646" s="55" t="s">
        <v>11</v>
      </c>
      <c r="H646" s="74">
        <v>10</v>
      </c>
      <c r="I646" s="51"/>
      <c r="J646" s="51"/>
      <c r="K646" s="55" t="s">
        <v>25</v>
      </c>
    </row>
    <row r="647" spans="1:12" x14ac:dyDescent="0.3">
      <c r="H647" s="74">
        <v>10</v>
      </c>
      <c r="I647" s="51"/>
      <c r="J647" s="51"/>
      <c r="K647" s="55" t="s">
        <v>84</v>
      </c>
    </row>
    <row r="648" spans="1:12" x14ac:dyDescent="0.3">
      <c r="H648" s="74">
        <v>100</v>
      </c>
      <c r="I648" s="50"/>
      <c r="J648" s="50"/>
      <c r="K648" s="55" t="s">
        <v>96</v>
      </c>
    </row>
    <row r="649" spans="1:12" x14ac:dyDescent="0.3">
      <c r="H649" s="74">
        <v>20</v>
      </c>
      <c r="I649" s="50"/>
      <c r="J649" s="50"/>
      <c r="K649" s="55" t="s">
        <v>102</v>
      </c>
    </row>
    <row r="650" spans="1:12" x14ac:dyDescent="0.3">
      <c r="H650" s="74">
        <v>30</v>
      </c>
      <c r="I650" s="50"/>
      <c r="J650" s="50"/>
      <c r="K650" s="55" t="s">
        <v>32</v>
      </c>
      <c r="L650" s="60" t="s">
        <v>460</v>
      </c>
    </row>
    <row r="651" spans="1:12" x14ac:dyDescent="0.3">
      <c r="H651" s="74">
        <v>20</v>
      </c>
      <c r="I651" s="50"/>
      <c r="J651" s="50"/>
      <c r="K651" s="55" t="s">
        <v>55</v>
      </c>
      <c r="L651" s="60" t="s">
        <v>461</v>
      </c>
    </row>
    <row r="652" spans="1:12" x14ac:dyDescent="0.3">
      <c r="H652" s="74">
        <v>20</v>
      </c>
      <c r="I652" s="50"/>
      <c r="J652" s="50"/>
      <c r="K652" s="55" t="s">
        <v>34</v>
      </c>
      <c r="L652" s="60" t="s">
        <v>149</v>
      </c>
    </row>
    <row r="653" spans="1:12" x14ac:dyDescent="0.3">
      <c r="H653" s="74">
        <v>15</v>
      </c>
      <c r="I653" s="50"/>
      <c r="J653" s="50"/>
      <c r="K653" s="55" t="s">
        <v>55</v>
      </c>
      <c r="L653" s="60" t="s">
        <v>147</v>
      </c>
    </row>
    <row r="654" spans="1:12" x14ac:dyDescent="0.3">
      <c r="H654" s="74">
        <v>20</v>
      </c>
      <c r="I654" s="50"/>
      <c r="J654" s="50"/>
      <c r="K654" s="55" t="s">
        <v>32</v>
      </c>
      <c r="L654" s="60" t="s">
        <v>294</v>
      </c>
    </row>
    <row r="655" spans="1:12" x14ac:dyDescent="0.3">
      <c r="H655" s="74">
        <v>25</v>
      </c>
      <c r="I655" s="50"/>
      <c r="J655" s="50"/>
      <c r="K655" s="55" t="s">
        <v>30</v>
      </c>
      <c r="L655" s="60" t="s">
        <v>136</v>
      </c>
    </row>
    <row r="656" spans="1:12" x14ac:dyDescent="0.3">
      <c r="H656" s="74">
        <v>20</v>
      </c>
      <c r="I656" s="50"/>
      <c r="J656" s="50"/>
      <c r="K656" s="55" t="s">
        <v>55</v>
      </c>
      <c r="L656" s="60" t="s">
        <v>462</v>
      </c>
    </row>
    <row r="657" spans="1:12" x14ac:dyDescent="0.3">
      <c r="H657" s="74">
        <v>10</v>
      </c>
      <c r="I657" s="50"/>
      <c r="J657" s="50"/>
      <c r="K657" s="55" t="s">
        <v>34</v>
      </c>
      <c r="L657" s="60" t="s">
        <v>463</v>
      </c>
    </row>
    <row r="658" spans="1:12" x14ac:dyDescent="0.3">
      <c r="A658" s="72" t="s">
        <v>464</v>
      </c>
      <c r="B658" s="55" t="s">
        <v>0</v>
      </c>
      <c r="C658" s="67" t="s">
        <v>46</v>
      </c>
      <c r="D658" s="55" t="s">
        <v>52</v>
      </c>
      <c r="E658" s="19">
        <v>264.7</v>
      </c>
      <c r="F658" s="19">
        <v>10</v>
      </c>
      <c r="G658" s="55" t="s">
        <v>11</v>
      </c>
      <c r="H658" s="74">
        <v>10</v>
      </c>
      <c r="I658" s="50"/>
      <c r="J658" s="50"/>
      <c r="K658" s="55" t="s">
        <v>25</v>
      </c>
    </row>
    <row r="659" spans="1:12" x14ac:dyDescent="0.3">
      <c r="H659" s="74">
        <v>10</v>
      </c>
      <c r="I659" s="50"/>
      <c r="J659" s="50"/>
      <c r="K659" s="55" t="s">
        <v>84</v>
      </c>
    </row>
    <row r="660" spans="1:12" x14ac:dyDescent="0.3">
      <c r="H660" s="74">
        <v>100</v>
      </c>
      <c r="I660" s="50"/>
      <c r="J660" s="50"/>
      <c r="K660" s="55" t="s">
        <v>96</v>
      </c>
    </row>
    <row r="661" spans="1:12" x14ac:dyDescent="0.3">
      <c r="H661" s="74">
        <v>60</v>
      </c>
      <c r="I661" s="50"/>
      <c r="J661" s="50"/>
      <c r="K661" s="55" t="s">
        <v>32</v>
      </c>
      <c r="L661" s="60" t="s">
        <v>465</v>
      </c>
    </row>
    <row r="662" spans="1:12" x14ac:dyDescent="0.3">
      <c r="H662" s="74">
        <v>20</v>
      </c>
      <c r="I662" s="50"/>
      <c r="J662" s="50"/>
      <c r="K662" s="55" t="s">
        <v>102</v>
      </c>
    </row>
    <row r="663" spans="1:12" x14ac:dyDescent="0.3">
      <c r="H663" s="74">
        <v>30</v>
      </c>
      <c r="I663" s="51"/>
      <c r="J663" s="51"/>
      <c r="K663" s="55" t="s">
        <v>32</v>
      </c>
      <c r="L663" s="60" t="s">
        <v>453</v>
      </c>
    </row>
    <row r="664" spans="1:12" x14ac:dyDescent="0.3">
      <c r="H664" s="74">
        <v>20</v>
      </c>
      <c r="I664" s="51"/>
      <c r="J664" s="51"/>
      <c r="K664" s="55" t="s">
        <v>30</v>
      </c>
      <c r="L664" s="60" t="s">
        <v>433</v>
      </c>
    </row>
    <row r="665" spans="1:12" x14ac:dyDescent="0.3">
      <c r="H665" s="74">
        <v>30</v>
      </c>
      <c r="I665" s="50"/>
      <c r="J665" s="50"/>
      <c r="K665" s="55" t="s">
        <v>34</v>
      </c>
      <c r="L665" s="60" t="s">
        <v>149</v>
      </c>
    </row>
    <row r="666" spans="1:12" x14ac:dyDescent="0.3">
      <c r="H666" s="74">
        <v>20</v>
      </c>
      <c r="I666" s="50"/>
      <c r="J666" s="50"/>
      <c r="K666" s="55" t="s">
        <v>30</v>
      </c>
      <c r="L666" s="60" t="s">
        <v>466</v>
      </c>
    </row>
    <row r="667" spans="1:12" x14ac:dyDescent="0.3">
      <c r="H667" s="74">
        <v>20</v>
      </c>
      <c r="I667" s="50"/>
      <c r="J667" s="50"/>
      <c r="K667" s="55" t="s">
        <v>55</v>
      </c>
      <c r="L667" s="60" t="s">
        <v>462</v>
      </c>
    </row>
    <row r="668" spans="1:12" x14ac:dyDescent="0.3">
      <c r="A668" s="72" t="s">
        <v>464</v>
      </c>
      <c r="B668" s="55" t="s">
        <v>10</v>
      </c>
      <c r="C668" s="67" t="s">
        <v>49</v>
      </c>
      <c r="D668" s="55" t="s">
        <v>50</v>
      </c>
      <c r="E668" s="19">
        <v>204.32</v>
      </c>
      <c r="F668" s="19">
        <v>9</v>
      </c>
      <c r="G668" s="55" t="s">
        <v>11</v>
      </c>
      <c r="H668" s="74">
        <v>10</v>
      </c>
      <c r="I668" s="51"/>
      <c r="J668" s="51"/>
      <c r="K668" s="55" t="s">
        <v>25</v>
      </c>
    </row>
    <row r="669" spans="1:12" x14ac:dyDescent="0.3">
      <c r="H669" s="74">
        <v>10</v>
      </c>
      <c r="I669" s="51"/>
      <c r="J669" s="51"/>
      <c r="K669" s="55" t="s">
        <v>84</v>
      </c>
    </row>
    <row r="670" spans="1:12" x14ac:dyDescent="0.3">
      <c r="H670" s="74">
        <v>100</v>
      </c>
      <c r="I670" s="50"/>
      <c r="J670" s="50"/>
      <c r="K670" s="55" t="s">
        <v>96</v>
      </c>
    </row>
    <row r="671" spans="1:12" x14ac:dyDescent="0.3">
      <c r="H671" s="74">
        <v>40</v>
      </c>
      <c r="I671" s="50"/>
      <c r="J671" s="50"/>
      <c r="K671" s="55" t="s">
        <v>32</v>
      </c>
      <c r="L671" s="60" t="s">
        <v>294</v>
      </c>
    </row>
    <row r="672" spans="1:12" x14ac:dyDescent="0.3">
      <c r="H672" s="74">
        <v>30</v>
      </c>
      <c r="I672" s="50"/>
      <c r="J672" s="50"/>
      <c r="K672" s="55" t="s">
        <v>32</v>
      </c>
      <c r="L672" s="60" t="s">
        <v>460</v>
      </c>
    </row>
    <row r="673" spans="1:12" x14ac:dyDescent="0.3">
      <c r="H673" s="74">
        <v>20</v>
      </c>
      <c r="I673" s="50"/>
      <c r="J673" s="50"/>
      <c r="K673" s="55" t="s">
        <v>102</v>
      </c>
    </row>
    <row r="674" spans="1:12" x14ac:dyDescent="0.3">
      <c r="H674" s="74">
        <v>50</v>
      </c>
      <c r="I674" s="50"/>
      <c r="J674" s="50"/>
      <c r="K674" s="55" t="s">
        <v>55</v>
      </c>
      <c r="L674" s="60" t="s">
        <v>467</v>
      </c>
    </row>
    <row r="675" spans="1:12" x14ac:dyDescent="0.3">
      <c r="H675" s="74">
        <v>20</v>
      </c>
      <c r="I675" s="50"/>
      <c r="J675" s="50"/>
      <c r="K675" s="55" t="s">
        <v>34</v>
      </c>
    </row>
    <row r="676" spans="1:12" x14ac:dyDescent="0.3">
      <c r="H676" s="74">
        <v>30</v>
      </c>
      <c r="I676" s="50"/>
      <c r="J676" s="50"/>
      <c r="K676" s="55" t="s">
        <v>30</v>
      </c>
    </row>
    <row r="677" spans="1:12" x14ac:dyDescent="0.3">
      <c r="A677" s="72" t="s">
        <v>464</v>
      </c>
      <c r="B677" s="55" t="s">
        <v>12</v>
      </c>
      <c r="C677" s="67" t="s">
        <v>188</v>
      </c>
      <c r="D677" s="55" t="s">
        <v>51</v>
      </c>
      <c r="E677" s="19">
        <v>237.43</v>
      </c>
      <c r="F677" s="19">
        <v>10</v>
      </c>
      <c r="G677" s="55" t="s">
        <v>11</v>
      </c>
      <c r="H677" s="74">
        <v>10</v>
      </c>
      <c r="I677" s="50"/>
      <c r="J677" s="50"/>
      <c r="K677" s="55" t="s">
        <v>25</v>
      </c>
    </row>
    <row r="678" spans="1:12" x14ac:dyDescent="0.3">
      <c r="H678" s="74">
        <v>10</v>
      </c>
      <c r="I678" s="50"/>
      <c r="J678" s="50"/>
      <c r="K678" s="55" t="s">
        <v>84</v>
      </c>
    </row>
    <row r="679" spans="1:12" x14ac:dyDescent="0.3">
      <c r="H679" s="74">
        <v>100</v>
      </c>
      <c r="I679" s="50"/>
      <c r="J679" s="50"/>
      <c r="K679" s="55" t="s">
        <v>96</v>
      </c>
    </row>
    <row r="680" spans="1:12" x14ac:dyDescent="0.3">
      <c r="H680" s="74">
        <v>60</v>
      </c>
      <c r="I680" s="50"/>
      <c r="J680" s="50"/>
      <c r="K680" s="55" t="s">
        <v>32</v>
      </c>
      <c r="L680" s="60" t="s">
        <v>468</v>
      </c>
    </row>
    <row r="681" spans="1:12" x14ac:dyDescent="0.3">
      <c r="H681" s="74">
        <v>30</v>
      </c>
      <c r="I681" s="50"/>
      <c r="J681" s="50"/>
      <c r="K681" s="55" t="s">
        <v>30</v>
      </c>
    </row>
    <row r="682" spans="1:12" x14ac:dyDescent="0.3">
      <c r="H682" s="74">
        <v>50</v>
      </c>
      <c r="I682" s="50"/>
      <c r="J682" s="50"/>
      <c r="K682" s="55" t="s">
        <v>33</v>
      </c>
      <c r="L682" s="60" t="s">
        <v>469</v>
      </c>
    </row>
    <row r="683" spans="1:12" x14ac:dyDescent="0.3">
      <c r="H683" s="74">
        <v>25</v>
      </c>
      <c r="I683" s="50"/>
      <c r="J683" s="50"/>
      <c r="K683" s="55" t="s">
        <v>34</v>
      </c>
    </row>
    <row r="684" spans="1:12" x14ac:dyDescent="0.3">
      <c r="H684" s="74">
        <v>20</v>
      </c>
      <c r="I684" s="50"/>
      <c r="J684" s="50"/>
      <c r="K684" s="55" t="s">
        <v>102</v>
      </c>
    </row>
    <row r="685" spans="1:12" x14ac:dyDescent="0.3">
      <c r="A685" s="72" t="s">
        <v>471</v>
      </c>
      <c r="B685" s="55" t="s">
        <v>0</v>
      </c>
      <c r="C685" s="67" t="s">
        <v>46</v>
      </c>
      <c r="D685" s="55" t="s">
        <v>52</v>
      </c>
      <c r="E685" s="19">
        <v>311.2</v>
      </c>
      <c r="F685" s="19">
        <v>12</v>
      </c>
      <c r="G685" s="55" t="s">
        <v>11</v>
      </c>
      <c r="H685" s="74">
        <v>10</v>
      </c>
      <c r="I685" s="50"/>
      <c r="J685" s="50"/>
      <c r="K685" s="55" t="s">
        <v>25</v>
      </c>
    </row>
    <row r="686" spans="1:12" x14ac:dyDescent="0.3">
      <c r="H686" s="74">
        <v>10</v>
      </c>
      <c r="I686" s="50"/>
      <c r="J686" s="50"/>
      <c r="K686" s="55" t="s">
        <v>84</v>
      </c>
    </row>
    <row r="687" spans="1:12" x14ac:dyDescent="0.3">
      <c r="H687" s="74">
        <v>130</v>
      </c>
      <c r="I687" s="50"/>
      <c r="J687" s="50"/>
      <c r="K687" s="55" t="s">
        <v>96</v>
      </c>
    </row>
    <row r="688" spans="1:12" x14ac:dyDescent="0.3">
      <c r="H688" s="74">
        <v>30</v>
      </c>
      <c r="I688" s="50"/>
      <c r="J688" s="50"/>
      <c r="K688" s="55" t="s">
        <v>32</v>
      </c>
      <c r="L688" s="60" t="s">
        <v>472</v>
      </c>
    </row>
    <row r="689" spans="1:13" x14ac:dyDescent="0.3">
      <c r="H689" s="74">
        <v>20</v>
      </c>
      <c r="I689" s="50"/>
      <c r="J689" s="50"/>
      <c r="K689" s="55" t="s">
        <v>102</v>
      </c>
    </row>
    <row r="690" spans="1:13" x14ac:dyDescent="0.3">
      <c r="H690" s="74">
        <v>30</v>
      </c>
      <c r="I690" s="51"/>
      <c r="J690" s="51"/>
      <c r="K690" s="55" t="s">
        <v>32</v>
      </c>
      <c r="L690" s="60" t="s">
        <v>473</v>
      </c>
    </row>
    <row r="691" spans="1:13" x14ac:dyDescent="0.3">
      <c r="H691" s="74">
        <v>20</v>
      </c>
      <c r="I691" s="51"/>
      <c r="J691" s="51"/>
      <c r="K691" s="55" t="s">
        <v>30</v>
      </c>
      <c r="L691" s="60" t="s">
        <v>433</v>
      </c>
    </row>
    <row r="692" spans="1:13" x14ac:dyDescent="0.3">
      <c r="H692" s="74">
        <v>20</v>
      </c>
      <c r="I692" s="50"/>
      <c r="J692" s="50"/>
      <c r="K692" s="55" t="s">
        <v>34</v>
      </c>
      <c r="L692" s="60" t="s">
        <v>149</v>
      </c>
    </row>
    <row r="693" spans="1:13" x14ac:dyDescent="0.3">
      <c r="H693" s="74">
        <v>20</v>
      </c>
      <c r="I693" s="50"/>
      <c r="J693" s="50"/>
      <c r="K693" s="55" t="s">
        <v>55</v>
      </c>
      <c r="L693" s="60" t="s">
        <v>462</v>
      </c>
    </row>
    <row r="694" spans="1:13" x14ac:dyDescent="0.3">
      <c r="H694" s="74">
        <v>20</v>
      </c>
      <c r="I694" s="50"/>
      <c r="J694" s="50"/>
      <c r="K694" s="55" t="s">
        <v>33</v>
      </c>
      <c r="L694" s="60" t="s">
        <v>454</v>
      </c>
    </row>
    <row r="695" spans="1:13" x14ac:dyDescent="0.3">
      <c r="H695" s="74">
        <v>20</v>
      </c>
      <c r="I695" s="50"/>
      <c r="J695" s="50"/>
      <c r="K695" s="55" t="s">
        <v>34</v>
      </c>
      <c r="L695" s="60" t="s">
        <v>343</v>
      </c>
    </row>
    <row r="696" spans="1:13" x14ac:dyDescent="0.3">
      <c r="A696" s="72" t="s">
        <v>471</v>
      </c>
      <c r="B696" s="55" t="s">
        <v>10</v>
      </c>
      <c r="C696" s="67" t="s">
        <v>47</v>
      </c>
      <c r="D696" s="55" t="s">
        <v>50</v>
      </c>
      <c r="E696" s="19">
        <v>268.39999999999998</v>
      </c>
      <c r="F696" s="19">
        <v>11</v>
      </c>
      <c r="G696" s="55" t="s">
        <v>11</v>
      </c>
      <c r="H696" s="74">
        <v>10</v>
      </c>
      <c r="I696" s="51"/>
      <c r="J696" s="51"/>
      <c r="K696" s="55" t="s">
        <v>25</v>
      </c>
    </row>
    <row r="697" spans="1:13" x14ac:dyDescent="0.3">
      <c r="H697" s="74">
        <v>10</v>
      </c>
      <c r="I697" s="51"/>
      <c r="J697" s="51"/>
      <c r="K697" s="55" t="s">
        <v>84</v>
      </c>
      <c r="M697" s="19"/>
    </row>
    <row r="698" spans="1:13" x14ac:dyDescent="0.3">
      <c r="H698" s="74">
        <v>120</v>
      </c>
      <c r="I698" s="50"/>
      <c r="J698" s="50"/>
      <c r="K698" s="55" t="s">
        <v>96</v>
      </c>
      <c r="M698" s="19"/>
    </row>
    <row r="699" spans="1:13" x14ac:dyDescent="0.3">
      <c r="H699" s="74">
        <v>90</v>
      </c>
      <c r="I699" s="50"/>
      <c r="J699" s="50"/>
      <c r="K699" s="55" t="s">
        <v>32</v>
      </c>
      <c r="L699" s="60" t="s">
        <v>474</v>
      </c>
      <c r="M699" s="19"/>
    </row>
    <row r="700" spans="1:13" x14ac:dyDescent="0.3">
      <c r="H700" s="74">
        <v>20</v>
      </c>
      <c r="I700" s="50"/>
      <c r="J700" s="50"/>
      <c r="K700" s="55" t="s">
        <v>32</v>
      </c>
      <c r="L700" s="60" t="s">
        <v>236</v>
      </c>
      <c r="M700" s="19"/>
    </row>
    <row r="701" spans="1:13" x14ac:dyDescent="0.3">
      <c r="H701" s="74">
        <v>20</v>
      </c>
      <c r="I701" s="50"/>
      <c r="J701" s="50"/>
      <c r="K701" s="55" t="s">
        <v>102</v>
      </c>
      <c r="M701" s="19"/>
    </row>
    <row r="702" spans="1:13" x14ac:dyDescent="0.3">
      <c r="H702" s="74">
        <v>10</v>
      </c>
      <c r="I702" s="50"/>
      <c r="J702" s="50"/>
      <c r="K702" s="55" t="s">
        <v>55</v>
      </c>
      <c r="L702" s="60" t="s">
        <v>475</v>
      </c>
      <c r="M702" s="19"/>
    </row>
    <row r="703" spans="1:13" x14ac:dyDescent="0.3">
      <c r="H703" s="74">
        <v>20</v>
      </c>
      <c r="I703" s="50"/>
      <c r="J703" s="50"/>
      <c r="K703" s="55" t="s">
        <v>34</v>
      </c>
      <c r="M703" s="19"/>
    </row>
    <row r="704" spans="1:13" x14ac:dyDescent="0.3">
      <c r="H704" s="74">
        <v>30</v>
      </c>
      <c r="I704" s="50"/>
      <c r="J704" s="50"/>
      <c r="K704" s="55" t="s">
        <v>30</v>
      </c>
    </row>
    <row r="705" spans="1:13" x14ac:dyDescent="0.3">
      <c r="A705" s="72" t="s">
        <v>471</v>
      </c>
      <c r="B705" s="55" t="s">
        <v>12</v>
      </c>
      <c r="C705" s="67" t="s">
        <v>188</v>
      </c>
      <c r="D705" s="55" t="s">
        <v>51</v>
      </c>
      <c r="E705" s="19">
        <v>275.94</v>
      </c>
      <c r="F705" s="19">
        <v>10</v>
      </c>
      <c r="G705" s="55" t="s">
        <v>11</v>
      </c>
      <c r="H705" s="74">
        <v>10</v>
      </c>
      <c r="I705" s="50"/>
      <c r="J705" s="50"/>
      <c r="K705" s="55" t="s">
        <v>25</v>
      </c>
    </row>
    <row r="706" spans="1:13" x14ac:dyDescent="0.3">
      <c r="H706" s="74">
        <v>10</v>
      </c>
      <c r="I706" s="50"/>
      <c r="J706" s="50"/>
      <c r="K706" s="55" t="s">
        <v>84</v>
      </c>
    </row>
    <row r="707" spans="1:13" x14ac:dyDescent="0.3">
      <c r="H707" s="74">
        <v>100</v>
      </c>
      <c r="I707" s="50"/>
      <c r="J707" s="50"/>
      <c r="K707" s="55" t="s">
        <v>96</v>
      </c>
    </row>
    <row r="708" spans="1:13" x14ac:dyDescent="0.3">
      <c r="H708" s="74">
        <v>60</v>
      </c>
      <c r="I708" s="50"/>
      <c r="J708" s="50"/>
      <c r="K708" s="55" t="s">
        <v>32</v>
      </c>
      <c r="L708" s="60" t="s">
        <v>480</v>
      </c>
    </row>
    <row r="709" spans="1:13" x14ac:dyDescent="0.3">
      <c r="H709" s="74">
        <v>40</v>
      </c>
      <c r="I709" s="50"/>
      <c r="J709" s="50"/>
      <c r="K709" s="55" t="s">
        <v>32</v>
      </c>
      <c r="L709" s="60" t="s">
        <v>481</v>
      </c>
    </row>
    <row r="710" spans="1:13" x14ac:dyDescent="0.3">
      <c r="H710" s="74">
        <v>30</v>
      </c>
      <c r="I710" s="50"/>
      <c r="J710" s="50"/>
      <c r="K710" s="55" t="s">
        <v>30</v>
      </c>
      <c r="L710" s="60" t="s">
        <v>300</v>
      </c>
    </row>
    <row r="711" spans="1:13" x14ac:dyDescent="0.3">
      <c r="H711" s="74">
        <v>20</v>
      </c>
      <c r="I711" s="50"/>
      <c r="J711" s="50"/>
      <c r="K711" s="55" t="s">
        <v>102</v>
      </c>
    </row>
    <row r="712" spans="1:13" x14ac:dyDescent="0.3">
      <c r="H712" s="74">
        <v>20</v>
      </c>
      <c r="I712" s="50"/>
      <c r="J712" s="50"/>
      <c r="K712" s="55" t="s">
        <v>34</v>
      </c>
      <c r="L712" s="60" t="s">
        <v>286</v>
      </c>
    </row>
    <row r="713" spans="1:13" x14ac:dyDescent="0.3">
      <c r="H713" s="74">
        <v>20</v>
      </c>
      <c r="I713" s="50"/>
      <c r="J713" s="50"/>
      <c r="K713" s="55" t="s">
        <v>33</v>
      </c>
      <c r="L713" s="60" t="s">
        <v>477</v>
      </c>
    </row>
    <row r="714" spans="1:13" x14ac:dyDescent="0.3">
      <c r="H714" s="74">
        <v>40</v>
      </c>
      <c r="I714" s="50"/>
      <c r="J714" s="50"/>
      <c r="K714" s="55" t="s">
        <v>32</v>
      </c>
      <c r="L714" s="60" t="s">
        <v>479</v>
      </c>
      <c r="M714" s="1" t="s">
        <v>478</v>
      </c>
    </row>
    <row r="715" spans="1:13" x14ac:dyDescent="0.3">
      <c r="H715" s="74">
        <v>10</v>
      </c>
      <c r="I715" s="50"/>
      <c r="J715" s="50"/>
      <c r="K715" s="55" t="s">
        <v>55</v>
      </c>
      <c r="L715" s="60" t="s">
        <v>475</v>
      </c>
    </row>
    <row r="716" spans="1:13" x14ac:dyDescent="0.3">
      <c r="A716" s="72" t="s">
        <v>476</v>
      </c>
      <c r="B716" s="55" t="s">
        <v>0</v>
      </c>
      <c r="C716" s="67" t="s">
        <v>46</v>
      </c>
      <c r="D716" s="55" t="s">
        <v>52</v>
      </c>
      <c r="E716" s="19">
        <v>224.07</v>
      </c>
      <c r="F716" s="19">
        <v>10</v>
      </c>
      <c r="G716" s="55" t="s">
        <v>11</v>
      </c>
      <c r="H716" s="74">
        <v>10</v>
      </c>
      <c r="I716" s="50"/>
      <c r="J716" s="50"/>
      <c r="K716" s="55" t="s">
        <v>25</v>
      </c>
    </row>
    <row r="717" spans="1:13" x14ac:dyDescent="0.3">
      <c r="H717" s="74">
        <v>10</v>
      </c>
      <c r="I717" s="50"/>
      <c r="J717" s="50"/>
      <c r="K717" s="55" t="s">
        <v>84</v>
      </c>
    </row>
    <row r="718" spans="1:13" x14ac:dyDescent="0.3">
      <c r="H718" s="74">
        <v>100</v>
      </c>
      <c r="I718" s="50"/>
      <c r="J718" s="50"/>
      <c r="K718" s="55" t="s">
        <v>96</v>
      </c>
    </row>
    <row r="719" spans="1:13" x14ac:dyDescent="0.3">
      <c r="H719" s="74">
        <v>30</v>
      </c>
      <c r="I719" s="50"/>
      <c r="J719" s="50"/>
      <c r="K719" s="55" t="s">
        <v>32</v>
      </c>
      <c r="L719" s="60" t="s">
        <v>445</v>
      </c>
    </row>
    <row r="720" spans="1:13" x14ac:dyDescent="0.3">
      <c r="H720" s="74">
        <v>40</v>
      </c>
      <c r="I720" s="50"/>
      <c r="J720" s="50"/>
      <c r="K720" s="55" t="s">
        <v>32</v>
      </c>
      <c r="L720" s="60" t="s">
        <v>481</v>
      </c>
    </row>
    <row r="721" spans="1:12" x14ac:dyDescent="0.3">
      <c r="H721" s="74">
        <v>20</v>
      </c>
      <c r="I721" s="50"/>
      <c r="J721" s="50"/>
      <c r="K721" s="55" t="s">
        <v>30</v>
      </c>
    </row>
    <row r="722" spans="1:12" x14ac:dyDescent="0.3">
      <c r="H722" s="74">
        <v>20</v>
      </c>
      <c r="I722" s="50"/>
      <c r="J722" s="50"/>
      <c r="K722" s="55" t="s">
        <v>102</v>
      </c>
    </row>
    <row r="723" spans="1:12" x14ac:dyDescent="0.3">
      <c r="H723" s="74">
        <v>20</v>
      </c>
      <c r="I723" s="50"/>
      <c r="J723" s="50"/>
      <c r="K723" s="55" t="s">
        <v>34</v>
      </c>
      <c r="L723" s="60" t="s">
        <v>482</v>
      </c>
    </row>
    <row r="724" spans="1:12" x14ac:dyDescent="0.3">
      <c r="H724" s="74">
        <v>40</v>
      </c>
      <c r="I724" s="50"/>
      <c r="J724" s="50"/>
      <c r="K724" s="55" t="s">
        <v>33</v>
      </c>
      <c r="L724" s="60" t="s">
        <v>477</v>
      </c>
    </row>
    <row r="725" spans="1:12" x14ac:dyDescent="0.3">
      <c r="H725" s="74">
        <v>20</v>
      </c>
      <c r="I725" s="50"/>
      <c r="J725" s="50"/>
      <c r="K725" s="55" t="s">
        <v>55</v>
      </c>
      <c r="L725" s="60" t="s">
        <v>483</v>
      </c>
    </row>
    <row r="726" spans="1:12" x14ac:dyDescent="0.3">
      <c r="H726" s="74">
        <v>10</v>
      </c>
      <c r="I726" s="50"/>
      <c r="J726" s="50"/>
      <c r="K726" s="55" t="s">
        <v>55</v>
      </c>
      <c r="L726" s="60" t="s">
        <v>475</v>
      </c>
    </row>
    <row r="727" spans="1:12" x14ac:dyDescent="0.3">
      <c r="A727" s="72" t="s">
        <v>476</v>
      </c>
      <c r="B727" s="55" t="s">
        <v>10</v>
      </c>
      <c r="C727" s="67" t="s">
        <v>47</v>
      </c>
      <c r="D727" s="55" t="s">
        <v>50</v>
      </c>
      <c r="E727" s="19">
        <v>172.61</v>
      </c>
      <c r="F727" s="19">
        <v>7</v>
      </c>
      <c r="G727" s="55" t="s">
        <v>11</v>
      </c>
      <c r="H727" s="74">
        <v>10</v>
      </c>
      <c r="I727" s="51"/>
      <c r="J727" s="51"/>
      <c r="K727" s="55" t="s">
        <v>25</v>
      </c>
    </row>
    <row r="728" spans="1:12" x14ac:dyDescent="0.3">
      <c r="H728" s="74">
        <v>10</v>
      </c>
      <c r="I728" s="51"/>
      <c r="J728" s="51"/>
      <c r="K728" s="55" t="s">
        <v>84</v>
      </c>
    </row>
    <row r="729" spans="1:12" x14ac:dyDescent="0.3">
      <c r="H729" s="74">
        <v>80</v>
      </c>
      <c r="I729" s="50"/>
      <c r="J729" s="50"/>
      <c r="K729" s="55" t="s">
        <v>96</v>
      </c>
    </row>
    <row r="730" spans="1:12" x14ac:dyDescent="0.3">
      <c r="H730" s="74">
        <v>60</v>
      </c>
      <c r="I730" s="50"/>
      <c r="J730" s="50"/>
      <c r="K730" s="55" t="s">
        <v>32</v>
      </c>
      <c r="L730" s="60" t="s">
        <v>393</v>
      </c>
    </row>
    <row r="731" spans="1:12" x14ac:dyDescent="0.3">
      <c r="H731" s="74">
        <v>20</v>
      </c>
      <c r="I731" s="50"/>
      <c r="J731" s="50"/>
      <c r="K731" s="55" t="s">
        <v>102</v>
      </c>
    </row>
    <row r="732" spans="1:12" x14ac:dyDescent="0.3">
      <c r="H732" s="74">
        <v>50</v>
      </c>
      <c r="I732" s="50"/>
      <c r="J732" s="50"/>
      <c r="K732" s="55" t="s">
        <v>55</v>
      </c>
      <c r="L732" s="60" t="s">
        <v>484</v>
      </c>
    </row>
    <row r="733" spans="1:12" x14ac:dyDescent="0.3">
      <c r="H733" s="74">
        <v>20</v>
      </c>
      <c r="I733" s="50"/>
      <c r="J733" s="50"/>
      <c r="K733" s="55" t="s">
        <v>34</v>
      </c>
      <c r="L733" s="60" t="s">
        <v>286</v>
      </c>
    </row>
    <row r="734" spans="1:12" x14ac:dyDescent="0.3">
      <c r="H734" s="74">
        <v>20</v>
      </c>
      <c r="I734" s="50"/>
      <c r="J734" s="50"/>
      <c r="K734" s="55" t="s">
        <v>30</v>
      </c>
      <c r="L734" s="60" t="s">
        <v>148</v>
      </c>
    </row>
    <row r="735" spans="1:12" x14ac:dyDescent="0.3">
      <c r="H735" s="74">
        <v>30</v>
      </c>
      <c r="I735" s="50"/>
      <c r="J735" s="50"/>
      <c r="K735" s="55" t="s">
        <v>55</v>
      </c>
      <c r="L735" s="60" t="s">
        <v>485</v>
      </c>
    </row>
    <row r="736" spans="1:12" x14ac:dyDescent="0.3">
      <c r="H736" s="74">
        <v>60</v>
      </c>
      <c r="I736" s="50"/>
      <c r="J736" s="50"/>
      <c r="K736" s="55" t="s">
        <v>33</v>
      </c>
      <c r="L736" s="60" t="s">
        <v>454</v>
      </c>
    </row>
    <row r="737" spans="1:12" x14ac:dyDescent="0.3">
      <c r="H737" s="74">
        <v>20</v>
      </c>
      <c r="I737" s="50"/>
      <c r="J737" s="50"/>
      <c r="K737" s="55" t="s">
        <v>55</v>
      </c>
      <c r="L737" s="60" t="s">
        <v>486</v>
      </c>
    </row>
    <row r="738" spans="1:12" x14ac:dyDescent="0.3">
      <c r="A738" s="72" t="s">
        <v>476</v>
      </c>
      <c r="B738" s="55" t="s">
        <v>12</v>
      </c>
      <c r="C738" s="67" t="s">
        <v>188</v>
      </c>
      <c r="D738" s="55" t="s">
        <v>51</v>
      </c>
      <c r="E738" s="19">
        <v>226.14</v>
      </c>
      <c r="F738" s="19">
        <v>10</v>
      </c>
      <c r="G738" s="55" t="s">
        <v>11</v>
      </c>
      <c r="H738" s="74">
        <v>10</v>
      </c>
      <c r="I738" s="50"/>
      <c r="J738" s="50"/>
      <c r="K738" s="55" t="s">
        <v>25</v>
      </c>
    </row>
    <row r="739" spans="1:12" x14ac:dyDescent="0.3">
      <c r="H739" s="74">
        <v>10</v>
      </c>
      <c r="I739" s="50"/>
      <c r="J739" s="50"/>
      <c r="K739" s="55" t="s">
        <v>84</v>
      </c>
    </row>
    <row r="740" spans="1:12" x14ac:dyDescent="0.3">
      <c r="H740" s="74">
        <v>100</v>
      </c>
      <c r="I740" s="50"/>
      <c r="J740" s="50"/>
      <c r="K740" s="55" t="s">
        <v>96</v>
      </c>
    </row>
    <row r="741" spans="1:12" x14ac:dyDescent="0.3">
      <c r="H741" s="74">
        <v>60</v>
      </c>
      <c r="I741" s="50"/>
      <c r="J741" s="50"/>
      <c r="K741" s="55" t="s">
        <v>32</v>
      </c>
      <c r="L741" s="60" t="s">
        <v>487</v>
      </c>
    </row>
    <row r="742" spans="1:12" x14ac:dyDescent="0.3">
      <c r="H742" s="74">
        <v>20</v>
      </c>
      <c r="I742" s="50"/>
      <c r="J742" s="50"/>
      <c r="K742" s="55" t="s">
        <v>30</v>
      </c>
      <c r="L742" s="60" t="s">
        <v>136</v>
      </c>
    </row>
    <row r="743" spans="1:12" x14ac:dyDescent="0.3">
      <c r="H743" s="74">
        <v>30</v>
      </c>
      <c r="I743" s="50"/>
      <c r="J743" s="50"/>
      <c r="K743" s="55" t="s">
        <v>33</v>
      </c>
      <c r="L743" s="60" t="s">
        <v>488</v>
      </c>
    </row>
    <row r="744" spans="1:12" x14ac:dyDescent="0.3">
      <c r="H744" s="74">
        <v>20</v>
      </c>
      <c r="I744" s="50"/>
      <c r="J744" s="50"/>
      <c r="K744" s="55" t="s">
        <v>34</v>
      </c>
      <c r="L744" s="60" t="s">
        <v>149</v>
      </c>
    </row>
    <row r="745" spans="1:12" x14ac:dyDescent="0.3">
      <c r="H745" s="74">
        <v>10</v>
      </c>
      <c r="I745" s="50"/>
      <c r="J745" s="50"/>
      <c r="K745" s="55" t="s">
        <v>55</v>
      </c>
      <c r="L745" s="60" t="s">
        <v>490</v>
      </c>
    </row>
    <row r="746" spans="1:12" x14ac:dyDescent="0.3">
      <c r="H746" s="74">
        <v>20</v>
      </c>
      <c r="I746" s="50"/>
      <c r="J746" s="50"/>
      <c r="K746" s="55" t="s">
        <v>102</v>
      </c>
    </row>
    <row r="747" spans="1:12" x14ac:dyDescent="0.3">
      <c r="H747" s="74">
        <v>20</v>
      </c>
      <c r="I747" s="50"/>
      <c r="J747" s="50"/>
      <c r="K747" s="55" t="s">
        <v>32</v>
      </c>
      <c r="L747" s="60" t="s">
        <v>489</v>
      </c>
    </row>
    <row r="748" spans="1:12" x14ac:dyDescent="0.3">
      <c r="A748" s="72" t="s">
        <v>491</v>
      </c>
      <c r="B748" s="55" t="s">
        <v>0</v>
      </c>
      <c r="C748" s="67" t="s">
        <v>46</v>
      </c>
      <c r="D748" s="55" t="s">
        <v>52</v>
      </c>
      <c r="E748" s="19">
        <v>218.4</v>
      </c>
      <c r="F748" s="19">
        <v>8</v>
      </c>
      <c r="G748" s="55" t="s">
        <v>11</v>
      </c>
      <c r="H748" s="74">
        <v>10</v>
      </c>
      <c r="I748" s="50"/>
      <c r="J748" s="50"/>
      <c r="K748" s="55" t="s">
        <v>25</v>
      </c>
    </row>
    <row r="749" spans="1:12" x14ac:dyDescent="0.3">
      <c r="H749" s="74">
        <v>10</v>
      </c>
      <c r="I749" s="50"/>
      <c r="J749" s="50"/>
      <c r="K749" s="55" t="s">
        <v>84</v>
      </c>
    </row>
    <row r="750" spans="1:12" x14ac:dyDescent="0.3">
      <c r="H750" s="74">
        <v>90</v>
      </c>
      <c r="I750" s="50"/>
      <c r="J750" s="50"/>
      <c r="K750" s="55" t="s">
        <v>96</v>
      </c>
    </row>
    <row r="751" spans="1:12" x14ac:dyDescent="0.3">
      <c r="H751" s="74">
        <v>30</v>
      </c>
      <c r="I751" s="50"/>
      <c r="J751" s="50"/>
      <c r="K751" s="55" t="s">
        <v>32</v>
      </c>
      <c r="L751" s="60" t="s">
        <v>445</v>
      </c>
    </row>
    <row r="752" spans="1:12" x14ac:dyDescent="0.3">
      <c r="H752" s="74">
        <v>50</v>
      </c>
      <c r="I752" s="50"/>
      <c r="J752" s="50"/>
      <c r="K752" s="55" t="s">
        <v>32</v>
      </c>
      <c r="L752" s="60" t="s">
        <v>481</v>
      </c>
    </row>
    <row r="753" spans="1:12" x14ac:dyDescent="0.3">
      <c r="H753" s="74">
        <v>20</v>
      </c>
      <c r="I753" s="50"/>
      <c r="J753" s="50"/>
      <c r="K753" s="55" t="s">
        <v>30</v>
      </c>
    </row>
    <row r="754" spans="1:12" x14ac:dyDescent="0.3">
      <c r="H754" s="74">
        <v>20</v>
      </c>
      <c r="I754" s="50"/>
      <c r="J754" s="50"/>
      <c r="K754" s="55" t="s">
        <v>102</v>
      </c>
    </row>
    <row r="755" spans="1:12" x14ac:dyDescent="0.3">
      <c r="H755" s="74">
        <v>20</v>
      </c>
      <c r="I755" s="50"/>
      <c r="J755" s="50"/>
      <c r="K755" s="55" t="s">
        <v>34</v>
      </c>
      <c r="L755" s="60" t="s">
        <v>482</v>
      </c>
    </row>
    <row r="756" spans="1:12" x14ac:dyDescent="0.3">
      <c r="H756" s="74">
        <v>50</v>
      </c>
      <c r="I756" s="50"/>
      <c r="J756" s="50"/>
      <c r="K756" s="55" t="s">
        <v>33</v>
      </c>
      <c r="L756" s="60" t="s">
        <v>492</v>
      </c>
    </row>
    <row r="757" spans="1:12" x14ac:dyDescent="0.3">
      <c r="H757" s="74">
        <v>60</v>
      </c>
      <c r="I757" s="50"/>
      <c r="J757" s="50"/>
      <c r="K757" s="55" t="s">
        <v>55</v>
      </c>
      <c r="L757" s="60" t="s">
        <v>470</v>
      </c>
    </row>
    <row r="758" spans="1:12" x14ac:dyDescent="0.3">
      <c r="A758" s="72" t="s">
        <v>491</v>
      </c>
      <c r="B758" s="55" t="s">
        <v>10</v>
      </c>
      <c r="C758" s="67" t="s">
        <v>296</v>
      </c>
      <c r="D758" s="55" t="s">
        <v>50</v>
      </c>
      <c r="E758" s="19">
        <v>244.11</v>
      </c>
      <c r="F758" s="19">
        <v>8</v>
      </c>
      <c r="G758" s="55" t="s">
        <v>11</v>
      </c>
      <c r="H758" s="74">
        <v>10</v>
      </c>
      <c r="I758" s="51"/>
      <c r="J758" s="51"/>
      <c r="K758" s="55" t="s">
        <v>25</v>
      </c>
    </row>
    <row r="759" spans="1:12" x14ac:dyDescent="0.3">
      <c r="H759" s="74">
        <v>10</v>
      </c>
      <c r="I759" s="51"/>
      <c r="J759" s="51"/>
      <c r="K759" s="55" t="s">
        <v>84</v>
      </c>
    </row>
    <row r="760" spans="1:12" x14ac:dyDescent="0.3">
      <c r="H760" s="74">
        <v>30</v>
      </c>
      <c r="I760" s="50"/>
      <c r="J760" s="50"/>
      <c r="K760" s="55" t="s">
        <v>55</v>
      </c>
      <c r="L760" s="60" t="s">
        <v>14</v>
      </c>
    </row>
    <row r="761" spans="1:12" x14ac:dyDescent="0.3">
      <c r="H761" s="74">
        <v>80</v>
      </c>
      <c r="I761" s="50"/>
      <c r="J761" s="50"/>
      <c r="K761" s="55" t="s">
        <v>96</v>
      </c>
    </row>
    <row r="762" spans="1:12" x14ac:dyDescent="0.3">
      <c r="H762" s="74">
        <v>50</v>
      </c>
      <c r="I762" s="50"/>
      <c r="J762" s="50"/>
      <c r="K762" s="55" t="s">
        <v>32</v>
      </c>
      <c r="L762" s="60" t="s">
        <v>493</v>
      </c>
    </row>
    <row r="763" spans="1:12" x14ac:dyDescent="0.3">
      <c r="H763" s="74">
        <v>20</v>
      </c>
      <c r="I763" s="50"/>
      <c r="J763" s="50"/>
      <c r="K763" s="55" t="s">
        <v>55</v>
      </c>
      <c r="L763" s="60" t="s">
        <v>131</v>
      </c>
    </row>
    <row r="764" spans="1:12" x14ac:dyDescent="0.3">
      <c r="H764" s="74">
        <v>60</v>
      </c>
      <c r="I764" s="50"/>
      <c r="J764" s="50"/>
      <c r="K764" s="55" t="s">
        <v>32</v>
      </c>
      <c r="L764" s="60" t="s">
        <v>457</v>
      </c>
    </row>
    <row r="765" spans="1:12" x14ac:dyDescent="0.3">
      <c r="H765" s="74">
        <v>30</v>
      </c>
      <c r="I765" s="50"/>
      <c r="J765" s="50"/>
      <c r="K765" s="55" t="s">
        <v>34</v>
      </c>
    </row>
    <row r="766" spans="1:12" x14ac:dyDescent="0.3">
      <c r="H766" s="74">
        <v>30</v>
      </c>
      <c r="I766" s="50"/>
      <c r="J766" s="50"/>
      <c r="K766" s="55" t="s">
        <v>30</v>
      </c>
    </row>
    <row r="767" spans="1:12" x14ac:dyDescent="0.3">
      <c r="A767" s="72" t="s">
        <v>491</v>
      </c>
      <c r="B767" s="55" t="s">
        <v>12</v>
      </c>
      <c r="C767" s="67" t="s">
        <v>47</v>
      </c>
      <c r="D767" s="55" t="s">
        <v>51</v>
      </c>
      <c r="E767" s="19">
        <v>240.75</v>
      </c>
      <c r="F767" s="19">
        <v>8</v>
      </c>
      <c r="G767" s="55" t="s">
        <v>11</v>
      </c>
      <c r="H767" s="74">
        <v>15</v>
      </c>
      <c r="I767" s="50"/>
      <c r="J767" s="50"/>
      <c r="K767" s="55" t="s">
        <v>25</v>
      </c>
    </row>
    <row r="768" spans="1:12" x14ac:dyDescent="0.3">
      <c r="H768" s="74">
        <v>10</v>
      </c>
      <c r="I768" s="50"/>
      <c r="J768" s="50"/>
      <c r="K768" s="55" t="s">
        <v>84</v>
      </c>
    </row>
    <row r="769" spans="1:12" x14ac:dyDescent="0.3">
      <c r="H769" s="74">
        <v>100</v>
      </c>
      <c r="I769" s="50"/>
      <c r="J769" s="50"/>
      <c r="K769" s="55" t="s">
        <v>96</v>
      </c>
    </row>
    <row r="770" spans="1:12" x14ac:dyDescent="0.3">
      <c r="H770" s="74">
        <v>60</v>
      </c>
      <c r="I770" s="50"/>
      <c r="J770" s="50"/>
      <c r="K770" s="55" t="s">
        <v>32</v>
      </c>
      <c r="L770" s="60" t="s">
        <v>494</v>
      </c>
    </row>
    <row r="771" spans="1:12" x14ac:dyDescent="0.3">
      <c r="H771" s="74">
        <v>40</v>
      </c>
      <c r="I771" s="50"/>
      <c r="J771" s="50"/>
      <c r="K771" s="55" t="s">
        <v>32</v>
      </c>
      <c r="L771" s="60" t="s">
        <v>495</v>
      </c>
    </row>
    <row r="772" spans="1:12" x14ac:dyDescent="0.3">
      <c r="H772" s="74">
        <v>45</v>
      </c>
      <c r="I772" s="50"/>
      <c r="J772" s="50"/>
      <c r="K772" s="55" t="s">
        <v>30</v>
      </c>
      <c r="L772" s="60" t="s">
        <v>348</v>
      </c>
    </row>
    <row r="773" spans="1:12" x14ac:dyDescent="0.3">
      <c r="H773" s="74">
        <v>45</v>
      </c>
      <c r="I773" s="50"/>
      <c r="J773" s="50"/>
      <c r="K773" s="55" t="s">
        <v>34</v>
      </c>
      <c r="L773" s="60" t="s">
        <v>268</v>
      </c>
    </row>
    <row r="774" spans="1:12" x14ac:dyDescent="0.3">
      <c r="H774" s="74">
        <v>20</v>
      </c>
      <c r="I774" s="50"/>
      <c r="J774" s="50"/>
      <c r="K774" s="55" t="s">
        <v>102</v>
      </c>
    </row>
    <row r="775" spans="1:12" x14ac:dyDescent="0.3">
      <c r="H775" s="74">
        <v>20</v>
      </c>
      <c r="I775" s="50"/>
      <c r="J775" s="50"/>
      <c r="K775" s="55" t="s">
        <v>55</v>
      </c>
      <c r="L775" s="60" t="s">
        <v>496</v>
      </c>
    </row>
    <row r="776" spans="1:12" x14ac:dyDescent="0.3">
      <c r="H776" s="74">
        <v>10</v>
      </c>
      <c r="I776" s="50"/>
      <c r="J776" s="50"/>
      <c r="K776" s="55" t="s">
        <v>55</v>
      </c>
      <c r="L776" s="60" t="s">
        <v>497</v>
      </c>
    </row>
    <row r="777" spans="1:12" x14ac:dyDescent="0.3">
      <c r="A777" s="72" t="s">
        <v>498</v>
      </c>
      <c r="B777" s="55" t="s">
        <v>0</v>
      </c>
      <c r="C777" s="67" t="s">
        <v>46</v>
      </c>
      <c r="D777" s="55" t="s">
        <v>50</v>
      </c>
      <c r="E777" s="19">
        <v>220.22</v>
      </c>
      <c r="F777" s="19">
        <v>7</v>
      </c>
      <c r="G777" s="55" t="s">
        <v>11</v>
      </c>
      <c r="H777" s="74">
        <v>10</v>
      </c>
      <c r="I777" s="51"/>
      <c r="J777" s="51"/>
      <c r="K777" s="55" t="s">
        <v>25</v>
      </c>
    </row>
    <row r="778" spans="1:12" x14ac:dyDescent="0.3">
      <c r="H778" s="74">
        <v>10</v>
      </c>
      <c r="I778" s="51"/>
      <c r="J778" s="51"/>
      <c r="K778" s="55" t="s">
        <v>84</v>
      </c>
    </row>
    <row r="779" spans="1:12" x14ac:dyDescent="0.3">
      <c r="H779" s="74">
        <v>80</v>
      </c>
      <c r="I779" s="50"/>
      <c r="J779" s="50"/>
      <c r="K779" s="55" t="s">
        <v>96</v>
      </c>
    </row>
    <row r="780" spans="1:12" x14ac:dyDescent="0.3">
      <c r="H780" s="74">
        <v>80</v>
      </c>
      <c r="I780" s="50"/>
      <c r="J780" s="50"/>
      <c r="K780" s="55" t="s">
        <v>32</v>
      </c>
      <c r="L780" s="60" t="s">
        <v>499</v>
      </c>
    </row>
    <row r="781" spans="1:12" x14ac:dyDescent="0.3">
      <c r="H781" s="74">
        <v>20</v>
      </c>
      <c r="I781" s="50"/>
      <c r="J781" s="50"/>
      <c r="K781" s="55" t="s">
        <v>55</v>
      </c>
      <c r="L781" s="60" t="s">
        <v>131</v>
      </c>
    </row>
    <row r="782" spans="1:12" x14ac:dyDescent="0.3">
      <c r="H782" s="74">
        <v>30</v>
      </c>
      <c r="I782" s="50"/>
      <c r="J782" s="50"/>
      <c r="K782" s="55" t="s">
        <v>55</v>
      </c>
      <c r="L782" s="60" t="s">
        <v>500</v>
      </c>
    </row>
    <row r="783" spans="1:12" x14ac:dyDescent="0.3">
      <c r="H783" s="74">
        <v>60</v>
      </c>
      <c r="I783" s="50"/>
      <c r="J783" s="50"/>
      <c r="K783" s="55" t="s">
        <v>32</v>
      </c>
      <c r="L783" s="60" t="s">
        <v>457</v>
      </c>
    </row>
    <row r="784" spans="1:12" x14ac:dyDescent="0.3">
      <c r="H784" s="74">
        <v>30</v>
      </c>
      <c r="I784" s="50"/>
      <c r="J784" s="50"/>
      <c r="K784" s="55" t="s">
        <v>34</v>
      </c>
    </row>
    <row r="785" spans="1:12" x14ac:dyDescent="0.3">
      <c r="H785" s="74">
        <v>30</v>
      </c>
      <c r="I785" s="50"/>
      <c r="J785" s="50"/>
      <c r="K785" s="55" t="s">
        <v>30</v>
      </c>
    </row>
    <row r="786" spans="1:12" x14ac:dyDescent="0.3">
      <c r="A786" s="72" t="s">
        <v>498</v>
      </c>
      <c r="B786" s="55" t="s">
        <v>10</v>
      </c>
      <c r="C786" s="67" t="s">
        <v>188</v>
      </c>
      <c r="D786" s="55" t="s">
        <v>51</v>
      </c>
      <c r="E786" s="19">
        <v>237.66</v>
      </c>
      <c r="F786" s="19">
        <v>8</v>
      </c>
      <c r="G786" s="55" t="s">
        <v>11</v>
      </c>
      <c r="H786" s="74">
        <v>10</v>
      </c>
      <c r="I786" s="51"/>
      <c r="J786" s="51"/>
      <c r="K786" s="55" t="s">
        <v>25</v>
      </c>
    </row>
    <row r="787" spans="1:12" x14ac:dyDescent="0.3">
      <c r="H787" s="74">
        <v>10</v>
      </c>
      <c r="I787" s="51"/>
      <c r="J787" s="51"/>
      <c r="K787" s="55" t="s">
        <v>84</v>
      </c>
    </row>
    <row r="788" spans="1:12" x14ac:dyDescent="0.3">
      <c r="H788" s="74">
        <v>80</v>
      </c>
      <c r="I788" s="50"/>
      <c r="J788" s="50"/>
      <c r="K788" s="55" t="s">
        <v>96</v>
      </c>
    </row>
    <row r="789" spans="1:12" x14ac:dyDescent="0.3">
      <c r="H789" s="74">
        <v>90</v>
      </c>
      <c r="K789" s="55" t="s">
        <v>32</v>
      </c>
      <c r="L789" s="60" t="s">
        <v>361</v>
      </c>
    </row>
    <row r="790" spans="1:12" x14ac:dyDescent="0.3">
      <c r="H790" s="74">
        <v>30</v>
      </c>
      <c r="K790" s="55" t="s">
        <v>34</v>
      </c>
      <c r="L790" s="60" t="s">
        <v>149</v>
      </c>
    </row>
    <row r="791" spans="1:12" x14ac:dyDescent="0.3">
      <c r="H791" s="74">
        <v>50</v>
      </c>
      <c r="I791" s="50"/>
      <c r="J791" s="50"/>
      <c r="K791" s="55" t="s">
        <v>32</v>
      </c>
      <c r="L791" s="60" t="s">
        <v>499</v>
      </c>
    </row>
    <row r="792" spans="1:12" x14ac:dyDescent="0.3">
      <c r="H792" s="74">
        <v>20</v>
      </c>
      <c r="K792" s="55" t="s">
        <v>55</v>
      </c>
      <c r="L792" s="60" t="s">
        <v>501</v>
      </c>
    </row>
    <row r="793" spans="1:12" x14ac:dyDescent="0.3">
      <c r="H793" s="74">
        <v>30</v>
      </c>
      <c r="K793" s="55" t="s">
        <v>30</v>
      </c>
      <c r="L793" s="60" t="s">
        <v>502</v>
      </c>
    </row>
    <row r="794" spans="1:12" x14ac:dyDescent="0.3">
      <c r="H794" s="74">
        <v>20</v>
      </c>
      <c r="K794" s="55" t="s">
        <v>102</v>
      </c>
    </row>
    <row r="795" spans="1:12" x14ac:dyDescent="0.3">
      <c r="H795" s="74">
        <v>20</v>
      </c>
      <c r="K795" s="55" t="s">
        <v>55</v>
      </c>
      <c r="L795" s="60" t="s">
        <v>13</v>
      </c>
    </row>
    <row r="796" spans="1:12" x14ac:dyDescent="0.3">
      <c r="A796" s="72" t="s">
        <v>498</v>
      </c>
      <c r="B796" s="55" t="s">
        <v>12</v>
      </c>
      <c r="C796" s="67" t="s">
        <v>47</v>
      </c>
      <c r="D796" s="55" t="s">
        <v>52</v>
      </c>
      <c r="E796" s="19">
        <v>179.54</v>
      </c>
      <c r="F796" s="19">
        <v>6</v>
      </c>
      <c r="G796" s="55" t="s">
        <v>11</v>
      </c>
      <c r="H796" s="74">
        <v>30</v>
      </c>
      <c r="I796" s="50"/>
      <c r="J796" s="50"/>
      <c r="K796" s="55" t="s">
        <v>25</v>
      </c>
      <c r="L796" s="60" t="s">
        <v>140</v>
      </c>
    </row>
    <row r="797" spans="1:12" x14ac:dyDescent="0.3">
      <c r="H797" s="74">
        <v>10</v>
      </c>
      <c r="I797" s="50"/>
      <c r="J797" s="50"/>
      <c r="K797" s="55" t="s">
        <v>84</v>
      </c>
    </row>
    <row r="798" spans="1:12" x14ac:dyDescent="0.3">
      <c r="H798" s="74">
        <v>70</v>
      </c>
      <c r="I798" s="50"/>
      <c r="J798" s="50"/>
      <c r="K798" s="55" t="s">
        <v>96</v>
      </c>
    </row>
    <row r="799" spans="1:12" x14ac:dyDescent="0.3">
      <c r="H799" s="74">
        <v>60</v>
      </c>
      <c r="I799" s="50"/>
      <c r="J799" s="50"/>
      <c r="K799" s="55" t="s">
        <v>32</v>
      </c>
      <c r="L799" s="60" t="s">
        <v>503</v>
      </c>
    </row>
    <row r="800" spans="1:12" x14ac:dyDescent="0.3">
      <c r="H800" s="74">
        <v>20</v>
      </c>
      <c r="I800" s="50"/>
      <c r="J800" s="50"/>
      <c r="K800" s="55" t="s">
        <v>32</v>
      </c>
      <c r="L800" s="60" t="s">
        <v>307</v>
      </c>
    </row>
    <row r="801" spans="1:12" x14ac:dyDescent="0.3">
      <c r="H801" s="74">
        <v>20</v>
      </c>
      <c r="I801" s="50"/>
      <c r="J801" s="50"/>
      <c r="K801" s="55" t="s">
        <v>102</v>
      </c>
    </row>
    <row r="802" spans="1:12" x14ac:dyDescent="0.3">
      <c r="H802" s="74">
        <v>20</v>
      </c>
      <c r="I802" s="50"/>
      <c r="J802" s="50"/>
      <c r="K802" s="55" t="s">
        <v>34</v>
      </c>
      <c r="L802" s="60" t="s">
        <v>482</v>
      </c>
    </row>
    <row r="803" spans="1:12" x14ac:dyDescent="0.3">
      <c r="H803" s="74">
        <v>60</v>
      </c>
      <c r="I803" s="50"/>
      <c r="J803" s="50"/>
      <c r="K803" s="55" t="s">
        <v>33</v>
      </c>
      <c r="L803" s="60" t="s">
        <v>504</v>
      </c>
    </row>
    <row r="804" spans="1:12" x14ac:dyDescent="0.3">
      <c r="H804" s="74">
        <v>30</v>
      </c>
      <c r="K804" s="55" t="s">
        <v>55</v>
      </c>
      <c r="L804" s="60" t="s">
        <v>501</v>
      </c>
    </row>
    <row r="805" spans="1:12" x14ac:dyDescent="0.3">
      <c r="H805" s="74">
        <v>30</v>
      </c>
      <c r="K805" s="55" t="s">
        <v>55</v>
      </c>
      <c r="L805" s="60" t="s">
        <v>451</v>
      </c>
    </row>
    <row r="806" spans="1:12" x14ac:dyDescent="0.3">
      <c r="H806" s="74">
        <v>30</v>
      </c>
      <c r="K806" s="55" t="s">
        <v>30</v>
      </c>
      <c r="L806" s="60" t="s">
        <v>502</v>
      </c>
    </row>
    <row r="807" spans="1:12" x14ac:dyDescent="0.3">
      <c r="H807" s="74">
        <v>30</v>
      </c>
      <c r="K807" s="55" t="s">
        <v>55</v>
      </c>
      <c r="L807" s="60" t="s">
        <v>14</v>
      </c>
    </row>
    <row r="808" spans="1:12" x14ac:dyDescent="0.3">
      <c r="A808" s="72" t="s">
        <v>505</v>
      </c>
      <c r="B808" s="55" t="s">
        <v>0</v>
      </c>
      <c r="C808" s="67" t="s">
        <v>296</v>
      </c>
      <c r="D808" s="55" t="s">
        <v>50</v>
      </c>
      <c r="E808" s="19">
        <v>221.07</v>
      </c>
      <c r="F808" s="19">
        <v>9</v>
      </c>
      <c r="G808" s="55" t="s">
        <v>11</v>
      </c>
      <c r="H808" s="74">
        <v>10</v>
      </c>
      <c r="I808" s="51"/>
      <c r="J808" s="51"/>
      <c r="K808" s="55" t="s">
        <v>25</v>
      </c>
    </row>
    <row r="809" spans="1:12" x14ac:dyDescent="0.3">
      <c r="H809" s="74">
        <v>10</v>
      </c>
      <c r="I809" s="51"/>
      <c r="J809" s="51"/>
      <c r="K809" s="55" t="s">
        <v>84</v>
      </c>
    </row>
    <row r="810" spans="1:12" x14ac:dyDescent="0.3">
      <c r="H810" s="74">
        <v>100</v>
      </c>
      <c r="I810" s="50"/>
      <c r="J810" s="50"/>
      <c r="K810" s="55" t="s">
        <v>96</v>
      </c>
    </row>
    <row r="811" spans="1:12" x14ac:dyDescent="0.3">
      <c r="H811" s="74">
        <v>80</v>
      </c>
      <c r="I811" s="50"/>
      <c r="J811" s="50"/>
      <c r="K811" s="55" t="s">
        <v>55</v>
      </c>
      <c r="L811" s="60" t="s">
        <v>434</v>
      </c>
    </row>
    <row r="812" spans="1:12" x14ac:dyDescent="0.3">
      <c r="H812" s="74">
        <v>20</v>
      </c>
      <c r="I812" s="50"/>
      <c r="J812" s="50"/>
      <c r="K812" s="55" t="s">
        <v>32</v>
      </c>
      <c r="L812" s="60" t="s">
        <v>133</v>
      </c>
    </row>
    <row r="813" spans="1:12" x14ac:dyDescent="0.3">
      <c r="H813" s="74">
        <v>30</v>
      </c>
      <c r="I813" s="50"/>
      <c r="J813" s="50"/>
      <c r="K813" s="55" t="s">
        <v>34</v>
      </c>
      <c r="L813" s="60" t="s">
        <v>506</v>
      </c>
    </row>
    <row r="814" spans="1:12" x14ac:dyDescent="0.3">
      <c r="H814" s="74">
        <v>20</v>
      </c>
      <c r="I814" s="50"/>
      <c r="J814" s="50"/>
      <c r="K814" s="55" t="s">
        <v>33</v>
      </c>
      <c r="L814" s="60" t="s">
        <v>507</v>
      </c>
    </row>
    <row r="815" spans="1:12" x14ac:dyDescent="0.3">
      <c r="H815" s="74">
        <v>10</v>
      </c>
      <c r="K815" s="55" t="s">
        <v>55</v>
      </c>
      <c r="L815" s="60" t="s">
        <v>13</v>
      </c>
    </row>
    <row r="816" spans="1:12" x14ac:dyDescent="0.3">
      <c r="H816" s="74">
        <v>30</v>
      </c>
      <c r="K816" s="55" t="s">
        <v>34</v>
      </c>
      <c r="L816" s="60" t="s">
        <v>149</v>
      </c>
    </row>
    <row r="817" spans="1:12" x14ac:dyDescent="0.3">
      <c r="H817" s="74">
        <v>30</v>
      </c>
      <c r="I817" s="50"/>
      <c r="J817" s="50"/>
      <c r="K817" s="55" t="s">
        <v>30</v>
      </c>
      <c r="L817" s="60" t="s">
        <v>389</v>
      </c>
    </row>
    <row r="818" spans="1:12" x14ac:dyDescent="0.3">
      <c r="A818" s="72" t="s">
        <v>505</v>
      </c>
      <c r="B818" s="55" t="s">
        <v>10</v>
      </c>
      <c r="C818" s="67" t="s">
        <v>188</v>
      </c>
      <c r="D818" s="55" t="s">
        <v>51</v>
      </c>
      <c r="E818" s="19">
        <v>264.86</v>
      </c>
      <c r="F818" s="19">
        <v>12</v>
      </c>
      <c r="G818" s="55" t="s">
        <v>11</v>
      </c>
      <c r="H818" s="74">
        <v>10</v>
      </c>
      <c r="I818" s="51"/>
      <c r="J818" s="51"/>
      <c r="K818" s="55" t="s">
        <v>25</v>
      </c>
    </row>
    <row r="819" spans="1:12" x14ac:dyDescent="0.3">
      <c r="H819" s="74">
        <v>10</v>
      </c>
      <c r="I819" s="51"/>
      <c r="J819" s="51"/>
      <c r="K819" s="55" t="s">
        <v>84</v>
      </c>
    </row>
    <row r="820" spans="1:12" x14ac:dyDescent="0.3">
      <c r="H820" s="74">
        <v>120</v>
      </c>
      <c r="K820" s="55" t="s">
        <v>96</v>
      </c>
    </row>
    <row r="821" spans="1:12" x14ac:dyDescent="0.3">
      <c r="H821" s="74">
        <v>60</v>
      </c>
      <c r="K821" s="55" t="s">
        <v>32</v>
      </c>
      <c r="L821" s="60" t="s">
        <v>137</v>
      </c>
    </row>
    <row r="822" spans="1:12" x14ac:dyDescent="0.3">
      <c r="H822" s="74">
        <v>10</v>
      </c>
      <c r="K822" s="55" t="s">
        <v>33</v>
      </c>
      <c r="L822" s="60" t="s">
        <v>508</v>
      </c>
    </row>
    <row r="823" spans="1:12" x14ac:dyDescent="0.3">
      <c r="H823" s="74">
        <v>30</v>
      </c>
      <c r="K823" s="55" t="s">
        <v>55</v>
      </c>
      <c r="L823" s="60" t="s">
        <v>509</v>
      </c>
    </row>
    <row r="824" spans="1:12" x14ac:dyDescent="0.3">
      <c r="H824" s="74">
        <v>30</v>
      </c>
      <c r="K824" s="55" t="s">
        <v>34</v>
      </c>
      <c r="L824" s="60" t="s">
        <v>149</v>
      </c>
    </row>
    <row r="825" spans="1:12" x14ac:dyDescent="0.3">
      <c r="H825" s="74">
        <v>20</v>
      </c>
      <c r="K825" s="55" t="s">
        <v>55</v>
      </c>
      <c r="L825" s="60" t="s">
        <v>13</v>
      </c>
    </row>
    <row r="826" spans="1:12" x14ac:dyDescent="0.3">
      <c r="H826" s="74">
        <v>20</v>
      </c>
      <c r="K826" s="55" t="s">
        <v>102</v>
      </c>
    </row>
    <row r="827" spans="1:12" x14ac:dyDescent="0.3">
      <c r="H827" s="74">
        <v>20</v>
      </c>
      <c r="K827" s="55" t="s">
        <v>30</v>
      </c>
    </row>
    <row r="828" spans="1:12" x14ac:dyDescent="0.3">
      <c r="A828" s="72" t="s">
        <v>505</v>
      </c>
      <c r="B828" s="55" t="s">
        <v>12</v>
      </c>
      <c r="C828" s="67" t="s">
        <v>47</v>
      </c>
      <c r="D828" s="55" t="s">
        <v>52</v>
      </c>
      <c r="E828" s="19">
        <v>157.22</v>
      </c>
      <c r="F828" s="19">
        <v>7</v>
      </c>
      <c r="G828" s="55" t="s">
        <v>11</v>
      </c>
      <c r="H828" s="74">
        <v>10</v>
      </c>
      <c r="I828" s="50"/>
      <c r="J828" s="50"/>
      <c r="K828" s="55" t="s">
        <v>25</v>
      </c>
    </row>
    <row r="829" spans="1:12" x14ac:dyDescent="0.3">
      <c r="H829" s="74">
        <v>10</v>
      </c>
      <c r="I829" s="50"/>
      <c r="J829" s="50"/>
      <c r="K829" s="55" t="s">
        <v>84</v>
      </c>
    </row>
    <row r="830" spans="1:12" x14ac:dyDescent="0.3">
      <c r="H830" s="74">
        <v>70</v>
      </c>
      <c r="I830" s="50"/>
      <c r="J830" s="50"/>
      <c r="K830" s="55" t="s">
        <v>96</v>
      </c>
    </row>
    <row r="831" spans="1:12" x14ac:dyDescent="0.3">
      <c r="H831" s="74">
        <v>20</v>
      </c>
      <c r="I831" s="50"/>
      <c r="J831" s="50"/>
      <c r="K831" s="55" t="s">
        <v>32</v>
      </c>
      <c r="L831" s="60" t="s">
        <v>307</v>
      </c>
    </row>
    <row r="832" spans="1:12" x14ac:dyDescent="0.3">
      <c r="H832" s="74">
        <v>20</v>
      </c>
      <c r="I832" s="50"/>
      <c r="J832" s="50"/>
      <c r="K832" s="55" t="s">
        <v>102</v>
      </c>
    </row>
    <row r="833" spans="1:12" x14ac:dyDescent="0.3">
      <c r="H833" s="74">
        <v>20</v>
      </c>
      <c r="I833" s="50"/>
      <c r="J833" s="50"/>
      <c r="K833" s="55" t="s">
        <v>34</v>
      </c>
      <c r="L833" s="60" t="s">
        <v>482</v>
      </c>
    </row>
    <row r="834" spans="1:12" x14ac:dyDescent="0.3">
      <c r="H834" s="74">
        <v>185</v>
      </c>
      <c r="I834" s="50"/>
      <c r="J834" s="50"/>
      <c r="K834" s="55" t="s">
        <v>33</v>
      </c>
      <c r="L834" s="60" t="s">
        <v>510</v>
      </c>
    </row>
    <row r="835" spans="1:12" x14ac:dyDescent="0.3">
      <c r="H835" s="74">
        <v>20</v>
      </c>
      <c r="K835" s="55" t="s">
        <v>30</v>
      </c>
      <c r="L835" s="60" t="s">
        <v>233</v>
      </c>
    </row>
    <row r="836" spans="1:12" x14ac:dyDescent="0.3">
      <c r="A836" s="72" t="s">
        <v>511</v>
      </c>
      <c r="B836" s="55" t="s">
        <v>0</v>
      </c>
      <c r="C836" s="67" t="s">
        <v>296</v>
      </c>
      <c r="D836" s="55" t="s">
        <v>50</v>
      </c>
      <c r="E836" s="19">
        <v>271.77</v>
      </c>
      <c r="F836" s="19">
        <v>11</v>
      </c>
      <c r="G836" s="55" t="s">
        <v>11</v>
      </c>
      <c r="H836" s="74">
        <v>10</v>
      </c>
      <c r="I836" s="51"/>
      <c r="J836" s="51"/>
      <c r="K836" s="55" t="s">
        <v>25</v>
      </c>
    </row>
    <row r="837" spans="1:12" x14ac:dyDescent="0.3">
      <c r="H837" s="74">
        <v>10</v>
      </c>
      <c r="I837" s="51"/>
      <c r="J837" s="51"/>
      <c r="K837" s="55" t="s">
        <v>84</v>
      </c>
    </row>
    <row r="838" spans="1:12" x14ac:dyDescent="0.3">
      <c r="H838" s="74">
        <v>110</v>
      </c>
      <c r="I838" s="50"/>
      <c r="J838" s="50"/>
      <c r="K838" s="55" t="s">
        <v>96</v>
      </c>
    </row>
    <row r="839" spans="1:12" x14ac:dyDescent="0.3">
      <c r="H839" s="74">
        <v>30</v>
      </c>
      <c r="I839" s="50"/>
      <c r="J839" s="50"/>
      <c r="K839" s="55" t="s">
        <v>32</v>
      </c>
      <c r="L839" s="60" t="s">
        <v>133</v>
      </c>
    </row>
    <row r="840" spans="1:12" x14ac:dyDescent="0.3">
      <c r="H840" s="74">
        <v>10</v>
      </c>
      <c r="K840" s="55" t="s">
        <v>55</v>
      </c>
      <c r="L840" s="60" t="s">
        <v>13</v>
      </c>
    </row>
    <row r="841" spans="1:12" x14ac:dyDescent="0.3">
      <c r="H841" s="74">
        <v>30</v>
      </c>
      <c r="K841" s="55" t="s">
        <v>32</v>
      </c>
      <c r="L841" s="60" t="s">
        <v>295</v>
      </c>
    </row>
    <row r="842" spans="1:12" x14ac:dyDescent="0.3">
      <c r="H842" s="74">
        <v>20</v>
      </c>
      <c r="K842" s="55" t="s">
        <v>34</v>
      </c>
    </row>
    <row r="843" spans="1:12" x14ac:dyDescent="0.3">
      <c r="H843" s="74">
        <v>30</v>
      </c>
      <c r="I843" s="50"/>
      <c r="J843" s="50"/>
      <c r="K843" s="55" t="s">
        <v>30</v>
      </c>
      <c r="L843" s="60" t="s">
        <v>389</v>
      </c>
    </row>
    <row r="844" spans="1:12" x14ac:dyDescent="0.3">
      <c r="H844" s="74">
        <v>80</v>
      </c>
      <c r="I844" s="52">
        <v>0.52777777777777779</v>
      </c>
      <c r="J844" s="52">
        <v>8.3333333333333329E-2</v>
      </c>
      <c r="K844" s="56" t="s">
        <v>33</v>
      </c>
      <c r="L844" s="61" t="s">
        <v>510</v>
      </c>
    </row>
    <row r="845" spans="1:12" x14ac:dyDescent="0.3">
      <c r="A845" s="72" t="s">
        <v>511</v>
      </c>
      <c r="B845" s="55" t="s">
        <v>10</v>
      </c>
      <c r="C845" s="67" t="s">
        <v>188</v>
      </c>
      <c r="D845" s="55" t="s">
        <v>51</v>
      </c>
      <c r="E845" s="19">
        <v>222.3</v>
      </c>
      <c r="F845" s="19">
        <v>8</v>
      </c>
      <c r="G845" s="55" t="s">
        <v>11</v>
      </c>
      <c r="H845" s="74">
        <v>10</v>
      </c>
      <c r="I845" s="51"/>
      <c r="J845" s="51"/>
      <c r="K845" s="55" t="s">
        <v>25</v>
      </c>
    </row>
    <row r="846" spans="1:12" x14ac:dyDescent="0.3">
      <c r="H846" s="74">
        <v>10</v>
      </c>
      <c r="I846" s="51"/>
      <c r="J846" s="51"/>
      <c r="K846" s="55" t="s">
        <v>84</v>
      </c>
    </row>
    <row r="847" spans="1:12" x14ac:dyDescent="0.3">
      <c r="H847" s="74">
        <v>141</v>
      </c>
      <c r="K847" s="55" t="s">
        <v>33</v>
      </c>
    </row>
    <row r="848" spans="1:12" x14ac:dyDescent="0.3">
      <c r="H848" s="74">
        <v>100</v>
      </c>
      <c r="K848" s="55" t="s">
        <v>96</v>
      </c>
      <c r="L848" s="60" t="s">
        <v>512</v>
      </c>
    </row>
    <row r="849" spans="1:12" x14ac:dyDescent="0.3">
      <c r="H849" s="74">
        <v>30</v>
      </c>
      <c r="K849" s="55" t="s">
        <v>34</v>
      </c>
      <c r="L849" s="60" t="s">
        <v>513</v>
      </c>
    </row>
    <row r="850" spans="1:12" x14ac:dyDescent="0.3">
      <c r="H850" s="74">
        <v>20</v>
      </c>
      <c r="K850" s="55" t="s">
        <v>34</v>
      </c>
    </row>
    <row r="851" spans="1:12" x14ac:dyDescent="0.3">
      <c r="H851" s="74">
        <v>25</v>
      </c>
      <c r="K851" s="55" t="s">
        <v>30</v>
      </c>
      <c r="L851" s="60" t="s">
        <v>136</v>
      </c>
    </row>
    <row r="852" spans="1:12" x14ac:dyDescent="0.3">
      <c r="A852" s="72" t="s">
        <v>511</v>
      </c>
      <c r="B852" s="55" t="s">
        <v>12</v>
      </c>
      <c r="C852" s="67" t="s">
        <v>46</v>
      </c>
      <c r="D852" s="55" t="s">
        <v>52</v>
      </c>
      <c r="E852" s="19">
        <v>222.56</v>
      </c>
      <c r="F852" s="19">
        <v>8</v>
      </c>
      <c r="G852" s="55" t="s">
        <v>11</v>
      </c>
      <c r="H852" s="74">
        <v>10</v>
      </c>
      <c r="I852" s="50"/>
      <c r="J852" s="50"/>
      <c r="K852" s="55" t="s">
        <v>25</v>
      </c>
    </row>
    <row r="853" spans="1:12" x14ac:dyDescent="0.3">
      <c r="H853" s="74">
        <v>10</v>
      </c>
      <c r="I853" s="50"/>
      <c r="J853" s="50"/>
      <c r="K853" s="55" t="s">
        <v>84</v>
      </c>
    </row>
    <row r="854" spans="1:12" x14ac:dyDescent="0.3">
      <c r="H854" s="74">
        <v>80</v>
      </c>
      <c r="I854" s="50"/>
      <c r="J854" s="50"/>
      <c r="K854" s="55" t="s">
        <v>96</v>
      </c>
    </row>
    <row r="855" spans="1:12" x14ac:dyDescent="0.3">
      <c r="H855" s="74">
        <v>60</v>
      </c>
      <c r="I855" s="50"/>
      <c r="J855" s="50"/>
      <c r="K855" s="55" t="s">
        <v>32</v>
      </c>
      <c r="L855" s="60" t="s">
        <v>514</v>
      </c>
    </row>
    <row r="856" spans="1:12" x14ac:dyDescent="0.3">
      <c r="H856" s="74">
        <v>20</v>
      </c>
      <c r="I856" s="50"/>
      <c r="J856" s="50"/>
      <c r="K856" s="55" t="s">
        <v>102</v>
      </c>
    </row>
    <row r="857" spans="1:12" x14ac:dyDescent="0.3">
      <c r="H857" s="74">
        <v>100</v>
      </c>
      <c r="K857" s="55" t="s">
        <v>96</v>
      </c>
      <c r="L857" s="60" t="s">
        <v>512</v>
      </c>
    </row>
    <row r="858" spans="1:12" x14ac:dyDescent="0.3">
      <c r="H858" s="74">
        <v>20</v>
      </c>
      <c r="K858" s="55" t="s">
        <v>30</v>
      </c>
      <c r="L858" s="60" t="s">
        <v>233</v>
      </c>
    </row>
    <row r="859" spans="1:12" x14ac:dyDescent="0.3">
      <c r="H859" s="74">
        <v>60</v>
      </c>
      <c r="K859" s="55" t="s">
        <v>55</v>
      </c>
      <c r="L859" s="60" t="s">
        <v>515</v>
      </c>
    </row>
    <row r="860" spans="1:12" x14ac:dyDescent="0.3">
      <c r="H860" s="74">
        <v>20</v>
      </c>
      <c r="K860" s="55" t="s">
        <v>33</v>
      </c>
      <c r="L860" s="60" t="s">
        <v>454</v>
      </c>
    </row>
    <row r="861" spans="1:12" x14ac:dyDescent="0.3">
      <c r="A861" s="72" t="s">
        <v>516</v>
      </c>
      <c r="B861" s="55" t="s">
        <v>0</v>
      </c>
      <c r="C861" s="67" t="s">
        <v>47</v>
      </c>
      <c r="D861" s="55" t="s">
        <v>50</v>
      </c>
      <c r="E861" s="19">
        <v>283.37</v>
      </c>
      <c r="F861" s="19">
        <v>10</v>
      </c>
      <c r="G861" s="55" t="s">
        <v>11</v>
      </c>
      <c r="H861" s="74">
        <v>10</v>
      </c>
      <c r="I861" s="50"/>
      <c r="J861" s="50"/>
      <c r="K861" s="55" t="s">
        <v>25</v>
      </c>
    </row>
    <row r="862" spans="1:12" x14ac:dyDescent="0.3">
      <c r="H862" s="74">
        <v>10</v>
      </c>
      <c r="I862" s="50"/>
      <c r="J862" s="50"/>
      <c r="K862" s="55" t="s">
        <v>84</v>
      </c>
    </row>
    <row r="863" spans="1:12" x14ac:dyDescent="0.3">
      <c r="H863" s="74">
        <v>140</v>
      </c>
      <c r="K863" s="55" t="s">
        <v>96</v>
      </c>
      <c r="L863" s="60" t="s">
        <v>512</v>
      </c>
    </row>
    <row r="864" spans="1:12" x14ac:dyDescent="0.3">
      <c r="H864" s="74">
        <v>40</v>
      </c>
      <c r="K864" s="55" t="s">
        <v>55</v>
      </c>
      <c r="L864" s="60" t="s">
        <v>517</v>
      </c>
    </row>
    <row r="865" spans="1:12" x14ac:dyDescent="0.3">
      <c r="H865" s="74">
        <v>20</v>
      </c>
      <c r="K865" s="55" t="s">
        <v>55</v>
      </c>
      <c r="L865" s="60" t="s">
        <v>13</v>
      </c>
    </row>
    <row r="866" spans="1:12" x14ac:dyDescent="0.3">
      <c r="H866" s="74">
        <v>20</v>
      </c>
      <c r="K866" s="55" t="s">
        <v>32</v>
      </c>
      <c r="L866" s="60" t="s">
        <v>236</v>
      </c>
    </row>
    <row r="867" spans="1:12" x14ac:dyDescent="0.3">
      <c r="H867" s="74">
        <v>30</v>
      </c>
      <c r="K867" s="55" t="s">
        <v>34</v>
      </c>
    </row>
    <row r="868" spans="1:12" x14ac:dyDescent="0.3">
      <c r="H868" s="74">
        <v>30</v>
      </c>
      <c r="K868" s="55" t="s">
        <v>30</v>
      </c>
      <c r="L868" s="60" t="s">
        <v>233</v>
      </c>
    </row>
    <row r="869" spans="1:12" x14ac:dyDescent="0.3">
      <c r="H869" s="74">
        <v>20</v>
      </c>
      <c r="K869" s="55" t="s">
        <v>102</v>
      </c>
    </row>
    <row r="870" spans="1:12" x14ac:dyDescent="0.3">
      <c r="A870" s="72" t="s">
        <v>516</v>
      </c>
      <c r="B870" s="55" t="s">
        <v>10</v>
      </c>
      <c r="C870" s="67" t="s">
        <v>188</v>
      </c>
      <c r="D870" s="55" t="s">
        <v>51</v>
      </c>
      <c r="E870" s="19">
        <v>198.55</v>
      </c>
      <c r="F870" s="19">
        <v>6</v>
      </c>
      <c r="G870" s="55" t="s">
        <v>11</v>
      </c>
      <c r="H870" s="74">
        <v>10</v>
      </c>
      <c r="I870" s="51"/>
      <c r="J870" s="51"/>
      <c r="K870" s="55" t="s">
        <v>25</v>
      </c>
    </row>
    <row r="871" spans="1:12" x14ac:dyDescent="0.3">
      <c r="H871" s="74">
        <v>10</v>
      </c>
      <c r="I871" s="51"/>
      <c r="J871" s="51"/>
      <c r="K871" s="55" t="s">
        <v>84</v>
      </c>
    </row>
    <row r="872" spans="1:12" x14ac:dyDescent="0.3">
      <c r="H872" s="74">
        <v>30</v>
      </c>
      <c r="I872" s="51"/>
      <c r="J872" s="51"/>
      <c r="K872" s="55" t="s">
        <v>55</v>
      </c>
      <c r="L872" s="60" t="s">
        <v>14</v>
      </c>
    </row>
    <row r="873" spans="1:12" x14ac:dyDescent="0.3">
      <c r="H873" s="74">
        <v>80</v>
      </c>
      <c r="K873" s="55" t="s">
        <v>96</v>
      </c>
      <c r="L873" s="60" t="s">
        <v>512</v>
      </c>
    </row>
    <row r="874" spans="1:12" x14ac:dyDescent="0.3">
      <c r="H874" s="74">
        <v>90</v>
      </c>
      <c r="K874" s="55" t="s">
        <v>32</v>
      </c>
      <c r="L874" s="60" t="s">
        <v>518</v>
      </c>
    </row>
    <row r="875" spans="1:12" x14ac:dyDescent="0.3">
      <c r="H875" s="74">
        <v>30</v>
      </c>
      <c r="K875" s="55" t="s">
        <v>34</v>
      </c>
      <c r="L875" s="60" t="s">
        <v>519</v>
      </c>
    </row>
    <row r="876" spans="1:12" x14ac:dyDescent="0.3">
      <c r="H876" s="74">
        <v>20</v>
      </c>
      <c r="K876" s="55" t="s">
        <v>34</v>
      </c>
      <c r="L876" s="60" t="s">
        <v>521</v>
      </c>
    </row>
    <row r="877" spans="1:12" x14ac:dyDescent="0.3">
      <c r="H877" s="74">
        <v>50</v>
      </c>
      <c r="K877" s="55" t="s">
        <v>32</v>
      </c>
      <c r="L877" s="60" t="s">
        <v>520</v>
      </c>
    </row>
    <row r="878" spans="1:12" x14ac:dyDescent="0.3">
      <c r="H878" s="74">
        <v>30</v>
      </c>
      <c r="K878" s="55" t="s">
        <v>55</v>
      </c>
      <c r="L878" s="60" t="s">
        <v>459</v>
      </c>
    </row>
    <row r="879" spans="1:12" x14ac:dyDescent="0.3">
      <c r="H879" s="74">
        <v>20</v>
      </c>
      <c r="K879" s="55" t="s">
        <v>34</v>
      </c>
      <c r="L879" s="60" t="s">
        <v>134</v>
      </c>
    </row>
    <row r="880" spans="1:12" x14ac:dyDescent="0.3">
      <c r="H880" s="74">
        <v>30</v>
      </c>
      <c r="K880" s="55" t="s">
        <v>30</v>
      </c>
    </row>
    <row r="881" spans="1:12" x14ac:dyDescent="0.3">
      <c r="A881" s="72" t="s">
        <v>516</v>
      </c>
      <c r="B881" s="55" t="s">
        <v>12</v>
      </c>
      <c r="C881" s="67" t="s">
        <v>46</v>
      </c>
      <c r="D881" s="55" t="s">
        <v>52</v>
      </c>
      <c r="E881" s="19">
        <v>308.77</v>
      </c>
      <c r="F881" s="19">
        <v>10</v>
      </c>
      <c r="G881" s="55" t="s">
        <v>11</v>
      </c>
      <c r="H881" s="74">
        <v>10</v>
      </c>
      <c r="I881" s="50"/>
      <c r="J881" s="50"/>
      <c r="K881" s="55" t="s">
        <v>25</v>
      </c>
    </row>
    <row r="882" spans="1:12" x14ac:dyDescent="0.3">
      <c r="H882" s="74">
        <v>10</v>
      </c>
      <c r="I882" s="50"/>
      <c r="J882" s="50"/>
      <c r="K882" s="55" t="s">
        <v>84</v>
      </c>
    </row>
    <row r="883" spans="1:12" x14ac:dyDescent="0.3">
      <c r="H883" s="74">
        <v>100</v>
      </c>
      <c r="I883" s="50"/>
      <c r="J883" s="50"/>
      <c r="K883" s="55" t="s">
        <v>96</v>
      </c>
    </row>
    <row r="884" spans="1:12" x14ac:dyDescent="0.3">
      <c r="H884" s="74">
        <v>60</v>
      </c>
      <c r="I884" s="50"/>
      <c r="J884" s="50"/>
      <c r="K884" s="55" t="s">
        <v>32</v>
      </c>
      <c r="L884" s="60" t="s">
        <v>514</v>
      </c>
    </row>
    <row r="885" spans="1:12" x14ac:dyDescent="0.3">
      <c r="H885" s="74">
        <v>20</v>
      </c>
      <c r="I885" s="50"/>
      <c r="J885" s="50"/>
      <c r="K885" s="55" t="s">
        <v>102</v>
      </c>
    </row>
    <row r="886" spans="1:12" x14ac:dyDescent="0.3">
      <c r="H886" s="74">
        <v>60</v>
      </c>
      <c r="K886" s="55" t="s">
        <v>96</v>
      </c>
      <c r="L886" s="60" t="s">
        <v>512</v>
      </c>
    </row>
    <row r="887" spans="1:12" x14ac:dyDescent="0.3">
      <c r="H887" s="74">
        <v>20</v>
      </c>
      <c r="K887" s="55" t="s">
        <v>30</v>
      </c>
      <c r="L887" s="60" t="s">
        <v>233</v>
      </c>
    </row>
    <row r="888" spans="1:12" x14ac:dyDescent="0.3">
      <c r="H888" s="74">
        <v>40</v>
      </c>
      <c r="K888" s="55" t="s">
        <v>55</v>
      </c>
      <c r="L888" s="60" t="s">
        <v>522</v>
      </c>
    </row>
    <row r="889" spans="1:12" x14ac:dyDescent="0.3">
      <c r="H889" s="74">
        <v>40</v>
      </c>
      <c r="K889" s="55" t="s">
        <v>33</v>
      </c>
      <c r="L889" s="60" t="s">
        <v>523</v>
      </c>
    </row>
    <row r="890" spans="1:12" x14ac:dyDescent="0.3">
      <c r="H890" s="74">
        <v>20</v>
      </c>
      <c r="K890" s="55" t="s">
        <v>32</v>
      </c>
      <c r="L890" s="60" t="s">
        <v>524</v>
      </c>
    </row>
    <row r="891" spans="1:12" x14ac:dyDescent="0.3">
      <c r="A891" s="72" t="s">
        <v>525</v>
      </c>
      <c r="B891" s="55" t="s">
        <v>0</v>
      </c>
      <c r="C891" s="67" t="s">
        <v>47</v>
      </c>
      <c r="D891" s="55" t="s">
        <v>50</v>
      </c>
      <c r="E891" s="19">
        <v>314.88</v>
      </c>
      <c r="F891" s="19">
        <v>12</v>
      </c>
      <c r="G891" s="55" t="s">
        <v>11</v>
      </c>
      <c r="H891" s="74">
        <v>10</v>
      </c>
      <c r="K891" s="55" t="s">
        <v>25</v>
      </c>
    </row>
    <row r="892" spans="1:12" x14ac:dyDescent="0.3">
      <c r="H892" s="74">
        <v>10</v>
      </c>
      <c r="K892" s="55" t="s">
        <v>84</v>
      </c>
    </row>
    <row r="893" spans="1:12" x14ac:dyDescent="0.3">
      <c r="H893" s="74">
        <v>160</v>
      </c>
      <c r="K893" s="55" t="s">
        <v>96</v>
      </c>
      <c r="L893" s="60" t="s">
        <v>512</v>
      </c>
    </row>
    <row r="894" spans="1:12" x14ac:dyDescent="0.3">
      <c r="H894" s="74">
        <v>60</v>
      </c>
      <c r="K894" s="55" t="s">
        <v>32</v>
      </c>
      <c r="L894" s="60" t="s">
        <v>528</v>
      </c>
    </row>
    <row r="895" spans="1:12" x14ac:dyDescent="0.3">
      <c r="H895" s="74">
        <v>20</v>
      </c>
      <c r="K895" s="55" t="s">
        <v>102</v>
      </c>
    </row>
    <row r="896" spans="1:12" x14ac:dyDescent="0.3">
      <c r="H896" s="74">
        <v>40</v>
      </c>
      <c r="K896" s="55" t="s">
        <v>55</v>
      </c>
      <c r="L896" s="60" t="s">
        <v>526</v>
      </c>
    </row>
    <row r="897" spans="1:12" x14ac:dyDescent="0.3">
      <c r="H897" s="74">
        <v>40</v>
      </c>
      <c r="K897" s="55" t="s">
        <v>33</v>
      </c>
      <c r="L897" s="60" t="s">
        <v>527</v>
      </c>
    </row>
    <row r="898" spans="1:12" x14ac:dyDescent="0.3">
      <c r="H898" s="74">
        <v>30</v>
      </c>
      <c r="K898" s="55" t="s">
        <v>30</v>
      </c>
      <c r="L898" s="60" t="s">
        <v>233</v>
      </c>
    </row>
    <row r="899" spans="1:12" x14ac:dyDescent="0.3">
      <c r="A899" s="72" t="s">
        <v>525</v>
      </c>
      <c r="B899" s="55" t="s">
        <v>10</v>
      </c>
      <c r="C899" s="67" t="s">
        <v>188</v>
      </c>
      <c r="D899" s="55" t="s">
        <v>51</v>
      </c>
      <c r="E899" s="19">
        <v>289.39</v>
      </c>
      <c r="F899" s="19">
        <v>11</v>
      </c>
      <c r="G899" s="55" t="s">
        <v>11</v>
      </c>
      <c r="H899" s="74">
        <v>10</v>
      </c>
      <c r="K899" s="55" t="s">
        <v>25</v>
      </c>
    </row>
    <row r="900" spans="1:12" x14ac:dyDescent="0.3">
      <c r="H900" s="74">
        <v>10</v>
      </c>
      <c r="K900" s="55" t="s">
        <v>84</v>
      </c>
    </row>
    <row r="901" spans="1:12" x14ac:dyDescent="0.3">
      <c r="H901" s="74">
        <v>150</v>
      </c>
      <c r="K901" s="55" t="s">
        <v>96</v>
      </c>
      <c r="L901" s="60" t="s">
        <v>512</v>
      </c>
    </row>
    <row r="902" spans="1:12" x14ac:dyDescent="0.3">
      <c r="H902" s="74">
        <v>30</v>
      </c>
      <c r="K902" s="55" t="s">
        <v>32</v>
      </c>
      <c r="L902" s="60" t="s">
        <v>529</v>
      </c>
    </row>
    <row r="903" spans="1:12" x14ac:dyDescent="0.3">
      <c r="H903" s="74">
        <v>30</v>
      </c>
      <c r="K903" s="55" t="s">
        <v>32</v>
      </c>
      <c r="L903" s="60" t="s">
        <v>531</v>
      </c>
    </row>
    <row r="904" spans="1:12" x14ac:dyDescent="0.3">
      <c r="H904" s="74">
        <v>30</v>
      </c>
      <c r="K904" s="55" t="s">
        <v>30</v>
      </c>
      <c r="L904" s="60" t="s">
        <v>530</v>
      </c>
    </row>
    <row r="905" spans="1:12" x14ac:dyDescent="0.3">
      <c r="H905" s="74">
        <v>20</v>
      </c>
      <c r="K905" s="55" t="s">
        <v>102</v>
      </c>
    </row>
    <row r="906" spans="1:12" x14ac:dyDescent="0.3">
      <c r="H906" s="74">
        <v>20</v>
      </c>
      <c r="K906" s="55" t="s">
        <v>34</v>
      </c>
      <c r="L906" s="60" t="s">
        <v>253</v>
      </c>
    </row>
    <row r="907" spans="1:12" x14ac:dyDescent="0.3">
      <c r="H907" s="74">
        <v>20</v>
      </c>
      <c r="K907" s="55" t="s">
        <v>55</v>
      </c>
      <c r="L907" s="60" t="s">
        <v>532</v>
      </c>
    </row>
    <row r="908" spans="1:12" x14ac:dyDescent="0.3">
      <c r="H908" s="74">
        <v>30</v>
      </c>
      <c r="K908" s="55" t="s">
        <v>33</v>
      </c>
      <c r="L908" s="60" t="s">
        <v>533</v>
      </c>
    </row>
    <row r="909" spans="1:12" x14ac:dyDescent="0.3">
      <c r="A909" s="72" t="s">
        <v>525</v>
      </c>
      <c r="B909" s="55" t="s">
        <v>12</v>
      </c>
      <c r="C909" s="67" t="s">
        <v>46</v>
      </c>
      <c r="D909" s="55" t="s">
        <v>52</v>
      </c>
      <c r="E909" s="19">
        <v>201.41</v>
      </c>
      <c r="F909" s="19">
        <v>8</v>
      </c>
      <c r="G909" s="55" t="s">
        <v>11</v>
      </c>
      <c r="H909" s="74">
        <v>10</v>
      </c>
      <c r="I909" s="50"/>
      <c r="J909" s="50"/>
      <c r="K909" s="55" t="s">
        <v>25</v>
      </c>
    </row>
    <row r="910" spans="1:12" x14ac:dyDescent="0.3">
      <c r="H910" s="74">
        <v>10</v>
      </c>
      <c r="I910" s="50"/>
      <c r="J910" s="50"/>
      <c r="K910" s="55" t="s">
        <v>84</v>
      </c>
    </row>
    <row r="911" spans="1:12" x14ac:dyDescent="0.3">
      <c r="H911" s="74">
        <v>80</v>
      </c>
      <c r="I911" s="50"/>
      <c r="J911" s="50"/>
      <c r="K911" s="55" t="s">
        <v>96</v>
      </c>
    </row>
    <row r="912" spans="1:12" x14ac:dyDescent="0.3">
      <c r="H912" s="74">
        <v>80</v>
      </c>
      <c r="I912" s="50"/>
      <c r="J912" s="50"/>
      <c r="K912" s="55" t="s">
        <v>32</v>
      </c>
      <c r="L912" s="60" t="s">
        <v>534</v>
      </c>
    </row>
    <row r="913" spans="1:12" x14ac:dyDescent="0.3">
      <c r="H913" s="74">
        <v>20</v>
      </c>
      <c r="I913" s="50"/>
      <c r="J913" s="50"/>
      <c r="K913" s="55" t="s">
        <v>102</v>
      </c>
    </row>
    <row r="914" spans="1:12" x14ac:dyDescent="0.3">
      <c r="H914" s="74">
        <v>50</v>
      </c>
      <c r="K914" s="55" t="s">
        <v>96</v>
      </c>
      <c r="L914" s="60" t="s">
        <v>512</v>
      </c>
    </row>
    <row r="915" spans="1:12" x14ac:dyDescent="0.3">
      <c r="H915" s="74">
        <v>20</v>
      </c>
      <c r="K915" s="55" t="s">
        <v>30</v>
      </c>
      <c r="L915" s="60" t="s">
        <v>233</v>
      </c>
    </row>
    <row r="916" spans="1:12" x14ac:dyDescent="0.3">
      <c r="H916" s="74">
        <v>20</v>
      </c>
      <c r="K916" s="55" t="s">
        <v>55</v>
      </c>
      <c r="L916" s="60" t="s">
        <v>395</v>
      </c>
    </row>
    <row r="917" spans="1:12" x14ac:dyDescent="0.3">
      <c r="H917" s="74">
        <v>20</v>
      </c>
      <c r="K917" s="55" t="s">
        <v>34</v>
      </c>
      <c r="L917" s="60" t="s">
        <v>149</v>
      </c>
    </row>
    <row r="918" spans="1:12" x14ac:dyDescent="0.3">
      <c r="H918" s="74">
        <v>30</v>
      </c>
      <c r="K918" s="55" t="s">
        <v>33</v>
      </c>
      <c r="L918" s="60" t="s">
        <v>535</v>
      </c>
    </row>
    <row r="919" spans="1:12" x14ac:dyDescent="0.3">
      <c r="H919" s="74">
        <v>50</v>
      </c>
      <c r="K919" s="55" t="s">
        <v>55</v>
      </c>
      <c r="L919" s="60" t="s">
        <v>536</v>
      </c>
    </row>
    <row r="921" spans="1:12" x14ac:dyDescent="0.3">
      <c r="A921" s="72" t="s">
        <v>537</v>
      </c>
      <c r="B921" s="55" t="s">
        <v>12</v>
      </c>
      <c r="C921" s="67" t="s">
        <v>46</v>
      </c>
      <c r="D921" s="55" t="s">
        <v>52</v>
      </c>
      <c r="E921" s="19">
        <v>206.75</v>
      </c>
      <c r="F921" s="19">
        <v>7</v>
      </c>
      <c r="G921" s="55" t="s">
        <v>11</v>
      </c>
      <c r="H921" s="74">
        <v>10</v>
      </c>
      <c r="I921" s="50"/>
      <c r="J921" s="50"/>
      <c r="K921" s="55" t="s">
        <v>25</v>
      </c>
    </row>
    <row r="922" spans="1:12" x14ac:dyDescent="0.3">
      <c r="H922" s="74">
        <v>10</v>
      </c>
      <c r="I922" s="50"/>
      <c r="J922" s="50"/>
      <c r="K922" s="55" t="s">
        <v>84</v>
      </c>
    </row>
    <row r="923" spans="1:12" x14ac:dyDescent="0.3">
      <c r="H923" s="74">
        <v>80</v>
      </c>
      <c r="K923" s="55" t="s">
        <v>33</v>
      </c>
      <c r="L923" s="60" t="s">
        <v>538</v>
      </c>
    </row>
    <row r="924" spans="1:12" x14ac:dyDescent="0.3">
      <c r="H924" s="74">
        <v>60</v>
      </c>
      <c r="K924" s="55" t="s">
        <v>32</v>
      </c>
      <c r="L924" s="60" t="s">
        <v>540</v>
      </c>
    </row>
    <row r="925" spans="1:12" x14ac:dyDescent="0.3">
      <c r="H925" s="74">
        <v>40</v>
      </c>
      <c r="K925" s="55" t="s">
        <v>33</v>
      </c>
      <c r="L925" s="60" t="s">
        <v>539</v>
      </c>
    </row>
    <row r="926" spans="1:12" x14ac:dyDescent="0.3">
      <c r="H926" s="74">
        <v>70</v>
      </c>
      <c r="K926" s="55" t="s">
        <v>96</v>
      </c>
    </row>
    <row r="927" spans="1:12" x14ac:dyDescent="0.3">
      <c r="H927" s="74">
        <v>30</v>
      </c>
      <c r="K927" s="55" t="s">
        <v>32</v>
      </c>
      <c r="L927" s="60" t="s">
        <v>14</v>
      </c>
    </row>
    <row r="928" spans="1:12" x14ac:dyDescent="0.3">
      <c r="H928" s="74">
        <v>20</v>
      </c>
      <c r="K928" s="55" t="s">
        <v>33</v>
      </c>
      <c r="L928" s="60" t="s">
        <v>454</v>
      </c>
    </row>
    <row r="929" spans="1:12" x14ac:dyDescent="0.3">
      <c r="H929" s="74">
        <v>20</v>
      </c>
      <c r="K929" s="55" t="s">
        <v>102</v>
      </c>
    </row>
    <row r="930" spans="1:12" x14ac:dyDescent="0.3">
      <c r="H930" s="74">
        <v>15</v>
      </c>
      <c r="K930" s="55" t="s">
        <v>32</v>
      </c>
      <c r="L930" s="60" t="s">
        <v>419</v>
      </c>
    </row>
    <row r="931" spans="1:12" x14ac:dyDescent="0.3">
      <c r="H931" s="74">
        <v>20</v>
      </c>
      <c r="K931" s="55" t="s">
        <v>30</v>
      </c>
      <c r="L931" s="60" t="s">
        <v>233</v>
      </c>
    </row>
    <row r="932" spans="1:12" x14ac:dyDescent="0.3">
      <c r="A932" s="72" t="s">
        <v>541</v>
      </c>
      <c r="B932" s="55" t="s">
        <v>0</v>
      </c>
      <c r="C932" s="67" t="s">
        <v>47</v>
      </c>
      <c r="D932" s="55" t="s">
        <v>50</v>
      </c>
      <c r="E932" s="19">
        <v>197.57</v>
      </c>
      <c r="F932" s="19">
        <v>8</v>
      </c>
      <c r="G932" s="55" t="s">
        <v>11</v>
      </c>
      <c r="H932" s="74">
        <v>10</v>
      </c>
      <c r="K932" s="55" t="s">
        <v>25</v>
      </c>
    </row>
    <row r="933" spans="1:12" x14ac:dyDescent="0.3">
      <c r="H933" s="74">
        <v>10</v>
      </c>
      <c r="K933" s="55" t="s">
        <v>84</v>
      </c>
    </row>
    <row r="934" spans="1:12" x14ac:dyDescent="0.3">
      <c r="H934" s="74">
        <v>80</v>
      </c>
      <c r="K934" s="55" t="s">
        <v>96</v>
      </c>
    </row>
    <row r="935" spans="1:12" x14ac:dyDescent="0.3">
      <c r="H935" s="74">
        <v>60</v>
      </c>
      <c r="K935" s="55" t="s">
        <v>32</v>
      </c>
      <c r="L935" s="60" t="s">
        <v>543</v>
      </c>
    </row>
    <row r="936" spans="1:12" x14ac:dyDescent="0.3">
      <c r="H936" s="74">
        <v>20</v>
      </c>
      <c r="K936" s="55" t="s">
        <v>102</v>
      </c>
    </row>
    <row r="937" spans="1:12" x14ac:dyDescent="0.3">
      <c r="H937" s="74">
        <v>10</v>
      </c>
      <c r="K937" s="55" t="s">
        <v>55</v>
      </c>
      <c r="L937" s="60" t="s">
        <v>544</v>
      </c>
    </row>
    <row r="938" spans="1:12" x14ac:dyDescent="0.3">
      <c r="H938" s="74">
        <v>40</v>
      </c>
      <c r="K938" s="55" t="s">
        <v>30</v>
      </c>
      <c r="L938" s="60" t="s">
        <v>545</v>
      </c>
    </row>
    <row r="939" spans="1:12" x14ac:dyDescent="0.3">
      <c r="H939" s="74">
        <v>40</v>
      </c>
      <c r="K939" s="55" t="s">
        <v>34</v>
      </c>
      <c r="L939" s="60" t="s">
        <v>542</v>
      </c>
    </row>
    <row r="940" spans="1:12" x14ac:dyDescent="0.3">
      <c r="H940" s="74">
        <v>30</v>
      </c>
      <c r="K940" s="55" t="s">
        <v>34</v>
      </c>
      <c r="L940" s="60" t="s">
        <v>149</v>
      </c>
    </row>
    <row r="941" spans="1:12" x14ac:dyDescent="0.3">
      <c r="H941" s="74">
        <v>20</v>
      </c>
      <c r="K941" s="55" t="s">
        <v>34</v>
      </c>
      <c r="L941" s="60" t="s">
        <v>546</v>
      </c>
    </row>
    <row r="942" spans="1:12" x14ac:dyDescent="0.3">
      <c r="H942" s="74">
        <v>35</v>
      </c>
      <c r="K942" s="55" t="s">
        <v>33</v>
      </c>
      <c r="L942" s="60" t="s">
        <v>547</v>
      </c>
    </row>
    <row r="943" spans="1:12" ht="23.25" customHeight="1" x14ac:dyDescent="0.3">
      <c r="H943" s="74">
        <v>30</v>
      </c>
      <c r="K943" s="55" t="s">
        <v>55</v>
      </c>
      <c r="L943" s="65" t="s">
        <v>548</v>
      </c>
    </row>
    <row r="944" spans="1:12" x14ac:dyDescent="0.3">
      <c r="A944" s="72" t="s">
        <v>541</v>
      </c>
      <c r="B944" s="55" t="s">
        <v>10</v>
      </c>
      <c r="C944" s="67" t="s">
        <v>48</v>
      </c>
      <c r="D944" s="55" t="s">
        <v>51</v>
      </c>
      <c r="E944" s="19">
        <v>154.05000000000001</v>
      </c>
      <c r="F944" s="19">
        <v>6</v>
      </c>
      <c r="G944" s="55" t="s">
        <v>11</v>
      </c>
      <c r="H944" s="74">
        <v>10</v>
      </c>
      <c r="K944" s="55" t="s">
        <v>25</v>
      </c>
    </row>
    <row r="945" spans="1:13" x14ac:dyDescent="0.3">
      <c r="H945" s="74">
        <v>10</v>
      </c>
      <c r="K945" s="55" t="s">
        <v>84</v>
      </c>
    </row>
    <row r="946" spans="1:13" x14ac:dyDescent="0.3">
      <c r="H946" s="74">
        <v>60</v>
      </c>
      <c r="K946" s="55" t="s">
        <v>96</v>
      </c>
    </row>
    <row r="947" spans="1:13" x14ac:dyDescent="0.3">
      <c r="H947" s="74">
        <v>60</v>
      </c>
      <c r="K947" s="55" t="s">
        <v>32</v>
      </c>
      <c r="L947" s="60" t="s">
        <v>549</v>
      </c>
    </row>
    <row r="948" spans="1:13" x14ac:dyDescent="0.3">
      <c r="H948" s="74">
        <v>90</v>
      </c>
      <c r="K948" s="55" t="s">
        <v>32</v>
      </c>
      <c r="L948" s="60" t="s">
        <v>552</v>
      </c>
    </row>
    <row r="949" spans="1:13" x14ac:dyDescent="0.3">
      <c r="H949" s="74">
        <v>40</v>
      </c>
      <c r="K949" s="55" t="s">
        <v>30</v>
      </c>
      <c r="L949" s="60" t="s">
        <v>348</v>
      </c>
    </row>
    <row r="950" spans="1:13" x14ac:dyDescent="0.3">
      <c r="H950" s="74">
        <v>40</v>
      </c>
      <c r="K950" s="55" t="s">
        <v>34</v>
      </c>
      <c r="L950" s="60" t="s">
        <v>268</v>
      </c>
    </row>
    <row r="951" spans="1:13" x14ac:dyDescent="0.3">
      <c r="H951" s="74">
        <v>20</v>
      </c>
      <c r="K951" s="55" t="s">
        <v>102</v>
      </c>
    </row>
    <row r="952" spans="1:13" x14ac:dyDescent="0.3">
      <c r="H952" s="74">
        <v>30</v>
      </c>
      <c r="K952" s="55" t="s">
        <v>34</v>
      </c>
      <c r="L952" s="60" t="s">
        <v>550</v>
      </c>
    </row>
    <row r="953" spans="1:13" x14ac:dyDescent="0.3">
      <c r="H953" s="74">
        <v>30</v>
      </c>
      <c r="K953" s="55" t="s">
        <v>32</v>
      </c>
      <c r="L953" s="60" t="s">
        <v>553</v>
      </c>
      <c r="M953" s="1" t="s">
        <v>551</v>
      </c>
    </row>
    <row r="954" spans="1:13" x14ac:dyDescent="0.3">
      <c r="H954" s="74">
        <v>30</v>
      </c>
      <c r="K954" s="55" t="s">
        <v>33</v>
      </c>
      <c r="L954" s="60" t="s">
        <v>554</v>
      </c>
    </row>
    <row r="955" spans="1:13" x14ac:dyDescent="0.3">
      <c r="A955" s="72" t="s">
        <v>541</v>
      </c>
      <c r="B955" s="55" t="s">
        <v>12</v>
      </c>
      <c r="C955" s="67" t="s">
        <v>46</v>
      </c>
      <c r="D955" s="55" t="s">
        <v>52</v>
      </c>
      <c r="E955" s="19">
        <v>206.77</v>
      </c>
      <c r="F955" s="19">
        <v>7</v>
      </c>
      <c r="G955" s="55" t="s">
        <v>11</v>
      </c>
      <c r="H955" s="74">
        <v>10</v>
      </c>
      <c r="I955" s="50"/>
      <c r="J955" s="50"/>
      <c r="K955" s="55" t="s">
        <v>25</v>
      </c>
    </row>
    <row r="956" spans="1:13" x14ac:dyDescent="0.3">
      <c r="H956" s="74">
        <v>10</v>
      </c>
      <c r="I956" s="50"/>
      <c r="J956" s="50"/>
      <c r="K956" s="55" t="s">
        <v>84</v>
      </c>
    </row>
    <row r="957" spans="1:13" x14ac:dyDescent="0.3">
      <c r="H957" s="74">
        <v>45</v>
      </c>
      <c r="K957" s="55" t="s">
        <v>33</v>
      </c>
      <c r="L957" s="60" t="s">
        <v>555</v>
      </c>
    </row>
    <row r="958" spans="1:13" x14ac:dyDescent="0.3">
      <c r="H958" s="74">
        <v>80</v>
      </c>
      <c r="K958" s="55" t="s">
        <v>96</v>
      </c>
    </row>
    <row r="959" spans="1:13" x14ac:dyDescent="0.3">
      <c r="H959" s="74">
        <v>60</v>
      </c>
      <c r="K959" s="55" t="s">
        <v>32</v>
      </c>
      <c r="L959" s="60" t="s">
        <v>556</v>
      </c>
    </row>
    <row r="960" spans="1:13" x14ac:dyDescent="0.3">
      <c r="H960" s="74">
        <v>30</v>
      </c>
      <c r="K960" s="55" t="s">
        <v>32</v>
      </c>
      <c r="L960" s="60" t="s">
        <v>558</v>
      </c>
    </row>
    <row r="961" spans="1:12" x14ac:dyDescent="0.3">
      <c r="H961" s="74">
        <v>50</v>
      </c>
      <c r="K961" s="55" t="s">
        <v>30</v>
      </c>
      <c r="L961" s="60" t="s">
        <v>348</v>
      </c>
    </row>
    <row r="962" spans="1:12" x14ac:dyDescent="0.3">
      <c r="H962" s="74">
        <v>30</v>
      </c>
      <c r="K962" s="55" t="s">
        <v>33</v>
      </c>
      <c r="L962" s="60" t="s">
        <v>557</v>
      </c>
    </row>
    <row r="963" spans="1:12" x14ac:dyDescent="0.3">
      <c r="H963" s="74">
        <v>40</v>
      </c>
      <c r="K963" s="55" t="s">
        <v>34</v>
      </c>
      <c r="L963" s="60" t="s">
        <v>268</v>
      </c>
    </row>
    <row r="964" spans="1:12" x14ac:dyDescent="0.3">
      <c r="H964" s="74">
        <v>15</v>
      </c>
      <c r="K964" s="55" t="s">
        <v>33</v>
      </c>
      <c r="L964" s="60" t="s">
        <v>38</v>
      </c>
    </row>
    <row r="965" spans="1:12" x14ac:dyDescent="0.3">
      <c r="A965" s="72" t="s">
        <v>559</v>
      </c>
      <c r="B965" s="55" t="s">
        <v>0</v>
      </c>
      <c r="C965" s="67" t="s">
        <v>188</v>
      </c>
      <c r="D965" s="55" t="s">
        <v>51</v>
      </c>
      <c r="E965" s="19">
        <v>209.24</v>
      </c>
      <c r="F965" s="19">
        <v>8</v>
      </c>
      <c r="G965" s="55" t="s">
        <v>11</v>
      </c>
      <c r="H965" s="74">
        <v>10</v>
      </c>
      <c r="I965" s="50"/>
      <c r="J965" s="50"/>
      <c r="K965" s="55" t="s">
        <v>25</v>
      </c>
    </row>
    <row r="966" spans="1:12" x14ac:dyDescent="0.3">
      <c r="H966" s="74">
        <v>10</v>
      </c>
      <c r="I966" s="50"/>
      <c r="J966" s="50"/>
      <c r="K966" s="55" t="s">
        <v>84</v>
      </c>
    </row>
    <row r="967" spans="1:12" x14ac:dyDescent="0.3">
      <c r="H967" s="74">
        <v>80</v>
      </c>
      <c r="K967" s="55" t="s">
        <v>96</v>
      </c>
    </row>
    <row r="968" spans="1:12" x14ac:dyDescent="0.3">
      <c r="H968" s="74">
        <v>90</v>
      </c>
      <c r="K968" s="55" t="s">
        <v>32</v>
      </c>
      <c r="L968" s="60" t="s">
        <v>560</v>
      </c>
    </row>
    <row r="969" spans="1:12" x14ac:dyDescent="0.3">
      <c r="H969" s="74">
        <v>15</v>
      </c>
      <c r="K969" s="55" t="s">
        <v>32</v>
      </c>
      <c r="L969" s="60" t="s">
        <v>419</v>
      </c>
    </row>
    <row r="970" spans="1:12" x14ac:dyDescent="0.3">
      <c r="H970" s="74">
        <v>50</v>
      </c>
      <c r="K970" s="55" t="s">
        <v>30</v>
      </c>
      <c r="L970" s="60" t="s">
        <v>339</v>
      </c>
    </row>
    <row r="971" spans="1:12" x14ac:dyDescent="0.3">
      <c r="H971" s="74">
        <v>30</v>
      </c>
      <c r="K971" s="55" t="s">
        <v>34</v>
      </c>
      <c r="L971" s="60" t="s">
        <v>149</v>
      </c>
    </row>
    <row r="972" spans="1:12" x14ac:dyDescent="0.3">
      <c r="H972" s="74">
        <v>30</v>
      </c>
      <c r="K972" s="55" t="s">
        <v>34</v>
      </c>
      <c r="L972" s="60" t="s">
        <v>561</v>
      </c>
    </row>
    <row r="973" spans="1:12" x14ac:dyDescent="0.3">
      <c r="H973" s="74">
        <v>15</v>
      </c>
      <c r="K973" s="55" t="s">
        <v>55</v>
      </c>
      <c r="L973" s="60" t="s">
        <v>562</v>
      </c>
    </row>
    <row r="974" spans="1:12" x14ac:dyDescent="0.3">
      <c r="A974" s="72" t="s">
        <v>559</v>
      </c>
      <c r="B974" s="55" t="s">
        <v>10</v>
      </c>
      <c r="C974" s="67" t="s">
        <v>48</v>
      </c>
      <c r="D974" s="55" t="s">
        <v>52</v>
      </c>
      <c r="E974" s="19">
        <v>238.61</v>
      </c>
      <c r="F974" s="19">
        <v>7</v>
      </c>
      <c r="G974" s="55" t="s">
        <v>11</v>
      </c>
      <c r="H974" s="74">
        <v>10</v>
      </c>
      <c r="I974" s="50"/>
      <c r="J974" s="50"/>
      <c r="K974" s="55" t="s">
        <v>25</v>
      </c>
    </row>
    <row r="975" spans="1:12" x14ac:dyDescent="0.3">
      <c r="H975" s="74">
        <v>10</v>
      </c>
      <c r="I975" s="50"/>
      <c r="J975" s="50"/>
      <c r="K975" s="55" t="s">
        <v>84</v>
      </c>
    </row>
    <row r="976" spans="1:12" x14ac:dyDescent="0.3">
      <c r="H976" s="74">
        <v>60</v>
      </c>
      <c r="K976" s="55" t="s">
        <v>32</v>
      </c>
      <c r="L976" s="60" t="s">
        <v>556</v>
      </c>
    </row>
    <row r="977" spans="1:12" x14ac:dyDescent="0.3">
      <c r="H977" s="74">
        <v>50</v>
      </c>
      <c r="I977" s="50"/>
      <c r="J977" s="50"/>
      <c r="K977" s="55" t="s">
        <v>32</v>
      </c>
      <c r="L977" s="60" t="s">
        <v>563</v>
      </c>
    </row>
    <row r="978" spans="1:12" x14ac:dyDescent="0.3">
      <c r="H978" s="74">
        <v>80</v>
      </c>
      <c r="K978" s="55" t="s">
        <v>96</v>
      </c>
    </row>
    <row r="979" spans="1:12" x14ac:dyDescent="0.3">
      <c r="H979" s="74">
        <v>30</v>
      </c>
      <c r="K979" s="55" t="s">
        <v>34</v>
      </c>
      <c r="L979" s="60" t="s">
        <v>149</v>
      </c>
    </row>
    <row r="980" spans="1:12" x14ac:dyDescent="0.3">
      <c r="H980" s="74">
        <v>20</v>
      </c>
      <c r="K980" s="55" t="s">
        <v>34</v>
      </c>
      <c r="L980" s="60" t="s">
        <v>561</v>
      </c>
    </row>
    <row r="981" spans="1:12" x14ac:dyDescent="0.3">
      <c r="H981" s="74">
        <v>50</v>
      </c>
      <c r="K981" s="55" t="s">
        <v>30</v>
      </c>
      <c r="L981" s="60" t="s">
        <v>339</v>
      </c>
    </row>
    <row r="982" spans="1:12" x14ac:dyDescent="0.3">
      <c r="H982" s="74">
        <v>20</v>
      </c>
      <c r="K982" s="55" t="s">
        <v>102</v>
      </c>
    </row>
    <row r="983" spans="1:12" x14ac:dyDescent="0.3">
      <c r="H983" s="74">
        <v>30</v>
      </c>
      <c r="K983" s="55" t="s">
        <v>33</v>
      </c>
      <c r="L983" s="60" t="s">
        <v>564</v>
      </c>
    </row>
    <row r="984" spans="1:12" x14ac:dyDescent="0.3">
      <c r="H984" s="74">
        <v>15</v>
      </c>
      <c r="K984" s="55" t="s">
        <v>32</v>
      </c>
      <c r="L984" s="60" t="s">
        <v>415</v>
      </c>
    </row>
    <row r="985" spans="1:12" x14ac:dyDescent="0.3">
      <c r="A985" s="72" t="s">
        <v>559</v>
      </c>
      <c r="B985" s="55" t="s">
        <v>12</v>
      </c>
      <c r="C985" s="67" t="s">
        <v>46</v>
      </c>
      <c r="D985" s="55" t="s">
        <v>50</v>
      </c>
      <c r="E985" s="19">
        <v>278.19</v>
      </c>
      <c r="F985" s="19">
        <v>8</v>
      </c>
      <c r="G985" s="55" t="s">
        <v>11</v>
      </c>
      <c r="H985" s="74">
        <v>10</v>
      </c>
      <c r="K985" s="55" t="s">
        <v>25</v>
      </c>
    </row>
    <row r="986" spans="1:12" x14ac:dyDescent="0.3">
      <c r="H986" s="74">
        <v>10</v>
      </c>
      <c r="K986" s="55" t="s">
        <v>84</v>
      </c>
    </row>
    <row r="987" spans="1:12" x14ac:dyDescent="0.3">
      <c r="H987" s="74">
        <v>80</v>
      </c>
      <c r="K987" s="55" t="s">
        <v>32</v>
      </c>
      <c r="L987" s="60" t="s">
        <v>556</v>
      </c>
    </row>
    <row r="988" spans="1:12" x14ac:dyDescent="0.3">
      <c r="H988" s="74">
        <v>50</v>
      </c>
      <c r="K988" s="55" t="s">
        <v>32</v>
      </c>
      <c r="L988" s="60" t="s">
        <v>565</v>
      </c>
    </row>
    <row r="989" spans="1:12" x14ac:dyDescent="0.3">
      <c r="H989" s="74">
        <v>80</v>
      </c>
      <c r="K989" s="55" t="s">
        <v>96</v>
      </c>
    </row>
    <row r="990" spans="1:12" x14ac:dyDescent="0.3">
      <c r="H990" s="74">
        <v>30</v>
      </c>
      <c r="K990" s="55" t="s">
        <v>34</v>
      </c>
      <c r="L990" s="60" t="s">
        <v>149</v>
      </c>
    </row>
    <row r="991" spans="1:12" x14ac:dyDescent="0.3">
      <c r="H991" s="74">
        <v>40</v>
      </c>
      <c r="K991" s="55" t="s">
        <v>34</v>
      </c>
      <c r="L991" s="60" t="s">
        <v>561</v>
      </c>
    </row>
    <row r="992" spans="1:12" x14ac:dyDescent="0.3">
      <c r="H992" s="74">
        <v>50</v>
      </c>
      <c r="K992" s="55" t="s">
        <v>30</v>
      </c>
    </row>
    <row r="993" spans="1:12" x14ac:dyDescent="0.3">
      <c r="H993" s="74">
        <v>30</v>
      </c>
      <c r="K993" s="55" t="s">
        <v>102</v>
      </c>
    </row>
    <row r="994" spans="1:12" x14ac:dyDescent="0.3">
      <c r="K994" s="55" t="s">
        <v>25</v>
      </c>
    </row>
    <row r="995" spans="1:12" x14ac:dyDescent="0.3">
      <c r="A995" s="72" t="s">
        <v>566</v>
      </c>
      <c r="B995" s="55" t="s">
        <v>0</v>
      </c>
      <c r="C995" s="67" t="s">
        <v>188</v>
      </c>
      <c r="D995" s="55" t="s">
        <v>51</v>
      </c>
      <c r="E995" s="19">
        <v>219.81</v>
      </c>
      <c r="F995" s="19">
        <v>6</v>
      </c>
      <c r="G995" s="55" t="s">
        <v>11</v>
      </c>
      <c r="H995" s="74">
        <v>10</v>
      </c>
      <c r="K995" s="55" t="s">
        <v>25</v>
      </c>
    </row>
    <row r="996" spans="1:12" x14ac:dyDescent="0.3">
      <c r="H996" s="74">
        <v>10</v>
      </c>
      <c r="K996" s="55" t="s">
        <v>84</v>
      </c>
    </row>
    <row r="997" spans="1:12" x14ac:dyDescent="0.3">
      <c r="H997" s="74">
        <v>70</v>
      </c>
      <c r="K997" s="55" t="s">
        <v>96</v>
      </c>
    </row>
    <row r="998" spans="1:12" x14ac:dyDescent="0.3">
      <c r="H998" s="74">
        <v>60</v>
      </c>
      <c r="K998" s="55" t="s">
        <v>32</v>
      </c>
      <c r="L998" s="60" t="s">
        <v>556</v>
      </c>
    </row>
    <row r="999" spans="1:12" x14ac:dyDescent="0.3">
      <c r="H999" s="74">
        <v>30</v>
      </c>
      <c r="K999" s="55" t="s">
        <v>32</v>
      </c>
      <c r="L999" s="60" t="s">
        <v>567</v>
      </c>
    </row>
    <row r="1000" spans="1:12" x14ac:dyDescent="0.3">
      <c r="H1000" s="74">
        <v>40</v>
      </c>
      <c r="K1000" s="55" t="s">
        <v>30</v>
      </c>
      <c r="L1000" s="60" t="s">
        <v>250</v>
      </c>
    </row>
    <row r="1001" spans="1:12" x14ac:dyDescent="0.3">
      <c r="H1001" s="74">
        <v>20</v>
      </c>
      <c r="K1001" s="55" t="s">
        <v>55</v>
      </c>
      <c r="L1001" s="60" t="s">
        <v>568</v>
      </c>
    </row>
    <row r="1002" spans="1:12" x14ac:dyDescent="0.3">
      <c r="H1002" s="74">
        <v>40</v>
      </c>
      <c r="K1002" s="55" t="s">
        <v>34</v>
      </c>
      <c r="L1002" s="60" t="s">
        <v>268</v>
      </c>
    </row>
    <row r="1003" spans="1:12" x14ac:dyDescent="0.3">
      <c r="H1003" s="74">
        <v>20</v>
      </c>
      <c r="K1003" s="55" t="s">
        <v>102</v>
      </c>
    </row>
    <row r="1004" spans="1:12" x14ac:dyDescent="0.3">
      <c r="H1004" s="74">
        <v>40</v>
      </c>
      <c r="K1004" s="55" t="s">
        <v>34</v>
      </c>
      <c r="L1004" s="60" t="s">
        <v>569</v>
      </c>
    </row>
    <row r="1005" spans="1:12" x14ac:dyDescent="0.3">
      <c r="H1005" s="74">
        <v>60</v>
      </c>
      <c r="K1005" s="55" t="s">
        <v>55</v>
      </c>
      <c r="L1005" s="60" t="s">
        <v>570</v>
      </c>
    </row>
    <row r="1006" spans="1:12" x14ac:dyDescent="0.3">
      <c r="A1006" s="72" t="s">
        <v>566</v>
      </c>
      <c r="B1006" s="55" t="s">
        <v>10</v>
      </c>
      <c r="C1006" s="67" t="s">
        <v>48</v>
      </c>
      <c r="D1006" s="55" t="s">
        <v>52</v>
      </c>
      <c r="E1006" s="19">
        <v>283.39</v>
      </c>
      <c r="F1006" s="19">
        <v>8</v>
      </c>
      <c r="G1006" s="55" t="s">
        <v>11</v>
      </c>
      <c r="H1006" s="74">
        <v>10</v>
      </c>
      <c r="K1006" s="55" t="s">
        <v>25</v>
      </c>
    </row>
    <row r="1007" spans="1:12" x14ac:dyDescent="0.3">
      <c r="H1007" s="74">
        <v>10</v>
      </c>
      <c r="K1007" s="55" t="s">
        <v>84</v>
      </c>
    </row>
    <row r="1008" spans="1:12" x14ac:dyDescent="0.3">
      <c r="H1008" s="74">
        <v>90</v>
      </c>
      <c r="K1008" s="55" t="s">
        <v>96</v>
      </c>
    </row>
    <row r="1009" spans="1:13" x14ac:dyDescent="0.3">
      <c r="H1009" s="74">
        <v>70</v>
      </c>
      <c r="K1009" s="55" t="s">
        <v>32</v>
      </c>
      <c r="L1009" s="60" t="s">
        <v>572</v>
      </c>
    </row>
    <row r="1010" spans="1:13" x14ac:dyDescent="0.3">
      <c r="H1010" s="74">
        <v>30</v>
      </c>
      <c r="K1010" s="55" t="s">
        <v>32</v>
      </c>
      <c r="L1010" s="60" t="s">
        <v>567</v>
      </c>
      <c r="M1010" s="1" t="s">
        <v>420</v>
      </c>
    </row>
    <row r="1011" spans="1:13" x14ac:dyDescent="0.3">
      <c r="H1011" s="74">
        <v>40</v>
      </c>
      <c r="K1011" s="55" t="s">
        <v>30</v>
      </c>
      <c r="L1011" s="60" t="s">
        <v>250</v>
      </c>
    </row>
    <row r="1012" spans="1:13" x14ac:dyDescent="0.3">
      <c r="H1012" s="74">
        <v>40</v>
      </c>
      <c r="K1012" s="55" t="s">
        <v>34</v>
      </c>
      <c r="L1012" s="60" t="s">
        <v>268</v>
      </c>
    </row>
    <row r="1013" spans="1:13" x14ac:dyDescent="0.3">
      <c r="H1013" s="74">
        <v>30</v>
      </c>
      <c r="K1013" s="55" t="s">
        <v>55</v>
      </c>
      <c r="L1013" s="60" t="s">
        <v>356</v>
      </c>
    </row>
    <row r="1014" spans="1:13" x14ac:dyDescent="0.3">
      <c r="H1014" s="74">
        <v>40</v>
      </c>
      <c r="K1014" s="55" t="s">
        <v>32</v>
      </c>
      <c r="L1014" s="60" t="s">
        <v>571</v>
      </c>
    </row>
    <row r="1015" spans="1:13" x14ac:dyDescent="0.3">
      <c r="H1015" s="74">
        <v>20</v>
      </c>
      <c r="K1015" s="55" t="s">
        <v>55</v>
      </c>
      <c r="L1015" s="60" t="s">
        <v>573</v>
      </c>
    </row>
    <row r="1016" spans="1:13" x14ac:dyDescent="0.3">
      <c r="A1016" s="72" t="s">
        <v>566</v>
      </c>
      <c r="B1016" s="55" t="s">
        <v>12</v>
      </c>
      <c r="C1016" s="67" t="s">
        <v>47</v>
      </c>
      <c r="D1016" s="55" t="s">
        <v>50</v>
      </c>
      <c r="E1016" s="19">
        <v>382.34</v>
      </c>
      <c r="F1016" s="19">
        <v>10</v>
      </c>
      <c r="G1016" s="55" t="s">
        <v>11</v>
      </c>
      <c r="H1016" s="74">
        <v>10</v>
      </c>
      <c r="K1016" s="55" t="s">
        <v>25</v>
      </c>
    </row>
    <row r="1017" spans="1:13" x14ac:dyDescent="0.3">
      <c r="H1017" s="74">
        <v>10</v>
      </c>
      <c r="K1017" s="55" t="s">
        <v>84</v>
      </c>
    </row>
    <row r="1018" spans="1:13" x14ac:dyDescent="0.3">
      <c r="H1018" s="74">
        <v>110</v>
      </c>
      <c r="K1018" s="55" t="s">
        <v>96</v>
      </c>
    </row>
    <row r="1019" spans="1:13" x14ac:dyDescent="0.3">
      <c r="H1019" s="74">
        <v>30</v>
      </c>
      <c r="K1019" s="55" t="s">
        <v>32</v>
      </c>
      <c r="L1019" s="60" t="s">
        <v>574</v>
      </c>
    </row>
    <row r="1020" spans="1:13" x14ac:dyDescent="0.3">
      <c r="H1020" s="74">
        <v>20</v>
      </c>
      <c r="K1020" s="55" t="s">
        <v>55</v>
      </c>
      <c r="L1020" s="60" t="s">
        <v>544</v>
      </c>
    </row>
    <row r="1021" spans="1:13" x14ac:dyDescent="0.3">
      <c r="H1021" s="74">
        <v>30</v>
      </c>
      <c r="K1021" s="55" t="s">
        <v>34</v>
      </c>
      <c r="L1021" s="60" t="s">
        <v>141</v>
      </c>
    </row>
    <row r="1022" spans="1:13" x14ac:dyDescent="0.3">
      <c r="H1022" s="74">
        <v>30</v>
      </c>
      <c r="K1022" s="55" t="s">
        <v>34</v>
      </c>
      <c r="L1022" s="60" t="s">
        <v>253</v>
      </c>
    </row>
    <row r="1023" spans="1:13" x14ac:dyDescent="0.3">
      <c r="H1023" s="74">
        <v>40</v>
      </c>
      <c r="K1023" s="55" t="s">
        <v>30</v>
      </c>
      <c r="L1023" s="60" t="s">
        <v>576</v>
      </c>
    </row>
    <row r="1024" spans="1:13" x14ac:dyDescent="0.3">
      <c r="H1024" s="74">
        <v>20</v>
      </c>
      <c r="K1024" s="55" t="s">
        <v>102</v>
      </c>
    </row>
    <row r="1025" spans="1:12" x14ac:dyDescent="0.3">
      <c r="H1025" s="74">
        <v>20</v>
      </c>
      <c r="K1025" s="55" t="s">
        <v>55</v>
      </c>
      <c r="L1025" s="60" t="s">
        <v>575</v>
      </c>
    </row>
    <row r="1026" spans="1:12" x14ac:dyDescent="0.3">
      <c r="A1026" s="72" t="s">
        <v>577</v>
      </c>
      <c r="B1026" s="55" t="s">
        <v>0</v>
      </c>
      <c r="C1026" s="67" t="s">
        <v>188</v>
      </c>
      <c r="D1026" s="55" t="s">
        <v>51</v>
      </c>
      <c r="E1026" s="19">
        <v>210.69</v>
      </c>
      <c r="F1026" s="19">
        <v>6</v>
      </c>
      <c r="G1026" s="55" t="s">
        <v>11</v>
      </c>
      <c r="H1026" s="74">
        <v>10</v>
      </c>
      <c r="K1026" s="55" t="s">
        <v>25</v>
      </c>
    </row>
    <row r="1027" spans="1:12" x14ac:dyDescent="0.3">
      <c r="H1027" s="74">
        <v>10</v>
      </c>
      <c r="K1027" s="55" t="s">
        <v>84</v>
      </c>
    </row>
    <row r="1028" spans="1:12" x14ac:dyDescent="0.3">
      <c r="H1028" s="74">
        <v>60</v>
      </c>
      <c r="K1028" s="55" t="s">
        <v>96</v>
      </c>
    </row>
    <row r="1029" spans="1:12" x14ac:dyDescent="0.3">
      <c r="H1029" s="74">
        <v>90</v>
      </c>
      <c r="K1029" s="55" t="s">
        <v>32</v>
      </c>
      <c r="L1029" s="60" t="s">
        <v>578</v>
      </c>
    </row>
    <row r="1030" spans="1:12" x14ac:dyDescent="0.3">
      <c r="H1030" s="74">
        <v>30</v>
      </c>
      <c r="K1030" s="55" t="s">
        <v>32</v>
      </c>
      <c r="L1030" s="60" t="s">
        <v>579</v>
      </c>
    </row>
    <row r="1031" spans="1:12" x14ac:dyDescent="0.3">
      <c r="H1031" s="74">
        <v>30</v>
      </c>
      <c r="K1031" s="55" t="s">
        <v>34</v>
      </c>
      <c r="L1031" s="60" t="s">
        <v>149</v>
      </c>
    </row>
    <row r="1032" spans="1:12" x14ac:dyDescent="0.3">
      <c r="H1032" s="74">
        <v>50</v>
      </c>
      <c r="K1032" s="55" t="s">
        <v>34</v>
      </c>
      <c r="L1032" s="60" t="s">
        <v>323</v>
      </c>
    </row>
    <row r="1033" spans="1:12" x14ac:dyDescent="0.3">
      <c r="H1033" s="74">
        <v>20</v>
      </c>
      <c r="K1033" s="55" t="s">
        <v>102</v>
      </c>
    </row>
    <row r="1034" spans="1:12" x14ac:dyDescent="0.3">
      <c r="H1034" s="74">
        <v>40</v>
      </c>
      <c r="K1034" s="55" t="s">
        <v>30</v>
      </c>
      <c r="L1034" s="60" t="s">
        <v>339</v>
      </c>
    </row>
    <row r="1035" spans="1:12" x14ac:dyDescent="0.3">
      <c r="H1035" s="74">
        <v>20</v>
      </c>
      <c r="K1035" s="55" t="s">
        <v>55</v>
      </c>
      <c r="L1035" s="60" t="s">
        <v>580</v>
      </c>
    </row>
    <row r="1036" spans="1:12" x14ac:dyDescent="0.3">
      <c r="H1036" s="74">
        <v>30</v>
      </c>
      <c r="K1036" s="55" t="s">
        <v>55</v>
      </c>
      <c r="L1036" s="60" t="s">
        <v>581</v>
      </c>
    </row>
    <row r="1037" spans="1:12" x14ac:dyDescent="0.3">
      <c r="A1037" s="72" t="s">
        <v>577</v>
      </c>
      <c r="B1037" s="55" t="s">
        <v>10</v>
      </c>
      <c r="C1037" s="67" t="s">
        <v>49</v>
      </c>
      <c r="D1037" s="55" t="s">
        <v>52</v>
      </c>
      <c r="E1037" s="19">
        <v>248.11</v>
      </c>
      <c r="F1037" s="19">
        <v>7</v>
      </c>
      <c r="G1037" s="55" t="s">
        <v>11</v>
      </c>
      <c r="H1037" s="74">
        <v>10</v>
      </c>
      <c r="K1037" s="55" t="s">
        <v>25</v>
      </c>
    </row>
    <row r="1038" spans="1:12" x14ac:dyDescent="0.3">
      <c r="H1038" s="74">
        <v>10</v>
      </c>
      <c r="K1038" s="55" t="s">
        <v>84</v>
      </c>
    </row>
    <row r="1039" spans="1:12" x14ac:dyDescent="0.3">
      <c r="H1039" s="74">
        <v>90</v>
      </c>
      <c r="K1039" s="55" t="s">
        <v>96</v>
      </c>
    </row>
    <row r="1040" spans="1:12" x14ac:dyDescent="0.3">
      <c r="H1040" s="74">
        <v>100</v>
      </c>
      <c r="K1040" s="55" t="s">
        <v>32</v>
      </c>
      <c r="L1040" s="60" t="s">
        <v>572</v>
      </c>
    </row>
    <row r="1041" spans="1:12" x14ac:dyDescent="0.3">
      <c r="H1041" s="74">
        <v>50</v>
      </c>
      <c r="K1041" s="55" t="s">
        <v>30</v>
      </c>
      <c r="L1041" s="60" t="s">
        <v>339</v>
      </c>
    </row>
    <row r="1042" spans="1:12" x14ac:dyDescent="0.3">
      <c r="H1042" s="74">
        <v>45</v>
      </c>
      <c r="K1042" s="55" t="s">
        <v>34</v>
      </c>
      <c r="L1042" s="60" t="s">
        <v>268</v>
      </c>
    </row>
    <row r="1043" spans="1:12" x14ac:dyDescent="0.3">
      <c r="H1043" s="74">
        <v>20</v>
      </c>
      <c r="K1043" s="55" t="s">
        <v>102</v>
      </c>
    </row>
    <row r="1044" spans="1:12" x14ac:dyDescent="0.3">
      <c r="H1044" s="74">
        <v>40</v>
      </c>
      <c r="I1044" s="50"/>
      <c r="J1044" s="50"/>
      <c r="K1044" s="55" t="s">
        <v>32</v>
      </c>
      <c r="L1044" s="60" t="s">
        <v>563</v>
      </c>
    </row>
    <row r="1045" spans="1:12" x14ac:dyDescent="0.3">
      <c r="A1045" s="72" t="s">
        <v>577</v>
      </c>
      <c r="B1045" s="55" t="s">
        <v>12</v>
      </c>
      <c r="C1045" s="67" t="s">
        <v>47</v>
      </c>
      <c r="D1045" s="55" t="s">
        <v>50</v>
      </c>
      <c r="E1045" s="19">
        <v>153.22</v>
      </c>
      <c r="F1045" s="19">
        <v>7</v>
      </c>
      <c r="G1045" s="55" t="s">
        <v>11</v>
      </c>
      <c r="H1045" s="74">
        <v>10</v>
      </c>
      <c r="K1045" s="55" t="s">
        <v>25</v>
      </c>
    </row>
    <row r="1046" spans="1:12" x14ac:dyDescent="0.3">
      <c r="H1046" s="74">
        <v>10</v>
      </c>
      <c r="K1046" s="55" t="s">
        <v>84</v>
      </c>
    </row>
    <row r="1047" spans="1:12" x14ac:dyDescent="0.3">
      <c r="H1047" s="74">
        <v>90</v>
      </c>
      <c r="K1047" s="55" t="s">
        <v>55</v>
      </c>
      <c r="L1047" s="60" t="s">
        <v>582</v>
      </c>
    </row>
    <row r="1048" spans="1:12" x14ac:dyDescent="0.3">
      <c r="H1048" s="74">
        <v>90</v>
      </c>
      <c r="K1048" s="55" t="s">
        <v>55</v>
      </c>
      <c r="L1048" s="60" t="s">
        <v>583</v>
      </c>
    </row>
    <row r="1049" spans="1:12" x14ac:dyDescent="0.3">
      <c r="H1049" s="74">
        <v>70</v>
      </c>
      <c r="K1049" s="55" t="s">
        <v>96</v>
      </c>
    </row>
    <row r="1050" spans="1:12" x14ac:dyDescent="0.3">
      <c r="H1050" s="74">
        <v>20</v>
      </c>
      <c r="K1050" s="55" t="s">
        <v>102</v>
      </c>
    </row>
    <row r="1051" spans="1:12" x14ac:dyDescent="0.3">
      <c r="H1051" s="74">
        <v>40</v>
      </c>
      <c r="K1051" s="55" t="s">
        <v>32</v>
      </c>
      <c r="L1051" s="60" t="s">
        <v>493</v>
      </c>
    </row>
    <row r="1052" spans="1:12" x14ac:dyDescent="0.3">
      <c r="H1052" s="74">
        <v>10</v>
      </c>
      <c r="K1052" s="55" t="s">
        <v>34</v>
      </c>
      <c r="L1052" s="60" t="s">
        <v>253</v>
      </c>
    </row>
    <row r="1053" spans="1:12" x14ac:dyDescent="0.3">
      <c r="H1053" s="74">
        <v>30</v>
      </c>
      <c r="K1053" s="55" t="s">
        <v>30</v>
      </c>
    </row>
    <row r="1054" spans="1:12" x14ac:dyDescent="0.3">
      <c r="A1054" s="72" t="s">
        <v>586</v>
      </c>
      <c r="B1054" s="55" t="s">
        <v>0</v>
      </c>
      <c r="C1054" s="67" t="s">
        <v>188</v>
      </c>
      <c r="D1054" s="55" t="s">
        <v>51</v>
      </c>
      <c r="E1054" s="19">
        <v>213.93</v>
      </c>
      <c r="F1054" s="19">
        <v>9</v>
      </c>
      <c r="G1054" s="55" t="s">
        <v>11</v>
      </c>
      <c r="H1054" s="74">
        <v>10</v>
      </c>
      <c r="K1054" s="55" t="s">
        <v>25</v>
      </c>
    </row>
    <row r="1055" spans="1:12" x14ac:dyDescent="0.3">
      <c r="H1055" s="74">
        <v>10</v>
      </c>
      <c r="K1055" s="55" t="s">
        <v>84</v>
      </c>
    </row>
    <row r="1056" spans="1:12" x14ac:dyDescent="0.3">
      <c r="H1056" s="74">
        <v>90</v>
      </c>
      <c r="K1056" s="55" t="s">
        <v>96</v>
      </c>
    </row>
    <row r="1057" spans="1:12" x14ac:dyDescent="0.3">
      <c r="H1057" s="74">
        <v>90</v>
      </c>
      <c r="K1057" s="55" t="s">
        <v>32</v>
      </c>
      <c r="L1057" s="60" t="s">
        <v>584</v>
      </c>
    </row>
    <row r="1058" spans="1:12" x14ac:dyDescent="0.3">
      <c r="H1058" s="74">
        <v>30</v>
      </c>
      <c r="K1058" s="55" t="s">
        <v>32</v>
      </c>
      <c r="L1058" s="60" t="s">
        <v>585</v>
      </c>
    </row>
    <row r="1059" spans="1:12" x14ac:dyDescent="0.3">
      <c r="H1059" s="74">
        <v>25</v>
      </c>
      <c r="K1059" s="55" t="s">
        <v>30</v>
      </c>
      <c r="L1059" s="60" t="s">
        <v>300</v>
      </c>
    </row>
    <row r="1060" spans="1:12" x14ac:dyDescent="0.3">
      <c r="H1060" s="74">
        <v>15</v>
      </c>
      <c r="K1060" s="55" t="s">
        <v>55</v>
      </c>
      <c r="L1060" s="60" t="s">
        <v>131</v>
      </c>
    </row>
    <row r="1061" spans="1:12" x14ac:dyDescent="0.3">
      <c r="H1061" s="74">
        <v>20</v>
      </c>
      <c r="K1061" s="55" t="s">
        <v>102</v>
      </c>
    </row>
    <row r="1062" spans="1:12" x14ac:dyDescent="0.3">
      <c r="H1062" s="74">
        <v>20</v>
      </c>
      <c r="K1062" s="55" t="s">
        <v>34</v>
      </c>
    </row>
    <row r="1063" spans="1:12" x14ac:dyDescent="0.3">
      <c r="A1063" s="72" t="s">
        <v>586</v>
      </c>
      <c r="B1063" s="55" t="s">
        <v>0</v>
      </c>
      <c r="C1063" s="67" t="s">
        <v>48</v>
      </c>
      <c r="D1063" s="55" t="s">
        <v>52</v>
      </c>
      <c r="E1063" s="19">
        <v>142.22999999999999</v>
      </c>
      <c r="F1063" s="19" t="s">
        <v>589</v>
      </c>
      <c r="G1063" s="55" t="s">
        <v>11</v>
      </c>
      <c r="H1063" s="74">
        <v>10</v>
      </c>
      <c r="K1063" s="55" t="s">
        <v>25</v>
      </c>
    </row>
    <row r="1064" spans="1:12" x14ac:dyDescent="0.3">
      <c r="H1064" s="74">
        <v>10</v>
      </c>
      <c r="K1064" s="55" t="s">
        <v>84</v>
      </c>
    </row>
    <row r="1065" spans="1:12" x14ac:dyDescent="0.3">
      <c r="H1065" s="74">
        <v>240</v>
      </c>
      <c r="K1065" s="55" t="s">
        <v>34</v>
      </c>
      <c r="L1065" s="60" t="s">
        <v>183</v>
      </c>
    </row>
    <row r="1066" spans="1:12" x14ac:dyDescent="0.3">
      <c r="H1066" s="74">
        <v>30</v>
      </c>
      <c r="K1066" s="55" t="s">
        <v>55</v>
      </c>
      <c r="L1066" s="60" t="s">
        <v>587</v>
      </c>
    </row>
    <row r="1067" spans="1:12" x14ac:dyDescent="0.3">
      <c r="H1067" s="74">
        <v>40</v>
      </c>
      <c r="K1067" s="55" t="s">
        <v>96</v>
      </c>
    </row>
    <row r="1068" spans="1:12" x14ac:dyDescent="0.3">
      <c r="H1068" s="74">
        <v>60</v>
      </c>
      <c r="K1068" s="55" t="s">
        <v>33</v>
      </c>
      <c r="L1068" s="60" t="s">
        <v>588</v>
      </c>
    </row>
    <row r="1069" spans="1:12" x14ac:dyDescent="0.3">
      <c r="H1069" s="74">
        <v>25</v>
      </c>
      <c r="K1069" s="55" t="s">
        <v>30</v>
      </c>
      <c r="L1069" s="60" t="s">
        <v>300</v>
      </c>
    </row>
    <row r="1070" spans="1:12" x14ac:dyDescent="0.3">
      <c r="A1070" s="72" t="s">
        <v>586</v>
      </c>
      <c r="B1070" s="55" t="s">
        <v>12</v>
      </c>
      <c r="C1070" s="67" t="s">
        <v>47</v>
      </c>
      <c r="D1070" s="55" t="s">
        <v>50</v>
      </c>
      <c r="E1070" s="19">
        <v>344.28</v>
      </c>
      <c r="F1070" s="19">
        <v>9</v>
      </c>
      <c r="G1070" s="55" t="s">
        <v>11</v>
      </c>
      <c r="H1070" s="74">
        <v>10</v>
      </c>
      <c r="K1070" s="55" t="s">
        <v>25</v>
      </c>
    </row>
    <row r="1071" spans="1:12" x14ac:dyDescent="0.3">
      <c r="H1071" s="74">
        <v>10</v>
      </c>
      <c r="K1071" s="55" t="s">
        <v>84</v>
      </c>
    </row>
    <row r="1072" spans="1:12" x14ac:dyDescent="0.3">
      <c r="H1072" s="74">
        <v>110</v>
      </c>
      <c r="K1072" s="55" t="s">
        <v>96</v>
      </c>
    </row>
    <row r="1073" spans="1:12" x14ac:dyDescent="0.3">
      <c r="H1073" s="74">
        <v>20</v>
      </c>
      <c r="K1073" s="55" t="s">
        <v>102</v>
      </c>
    </row>
    <row r="1074" spans="1:12" x14ac:dyDescent="0.3">
      <c r="H1074" s="74">
        <v>60</v>
      </c>
      <c r="K1074" s="55" t="s">
        <v>32</v>
      </c>
      <c r="L1074" s="60" t="s">
        <v>591</v>
      </c>
    </row>
    <row r="1075" spans="1:12" x14ac:dyDescent="0.3">
      <c r="H1075" s="74">
        <v>20</v>
      </c>
      <c r="K1075" s="55" t="s">
        <v>34</v>
      </c>
      <c r="L1075" s="60" t="s">
        <v>253</v>
      </c>
    </row>
    <row r="1076" spans="1:12" x14ac:dyDescent="0.3">
      <c r="H1076" s="74">
        <v>20</v>
      </c>
      <c r="K1076" s="55" t="s">
        <v>34</v>
      </c>
      <c r="L1076" s="60" t="s">
        <v>343</v>
      </c>
    </row>
    <row r="1077" spans="1:12" x14ac:dyDescent="0.3">
      <c r="H1077" s="74">
        <v>30</v>
      </c>
      <c r="K1077" s="55" t="s">
        <v>55</v>
      </c>
      <c r="L1077" s="60" t="s">
        <v>356</v>
      </c>
    </row>
    <row r="1078" spans="1:12" x14ac:dyDescent="0.3">
      <c r="H1078" s="74">
        <v>30</v>
      </c>
      <c r="K1078" s="55" t="s">
        <v>30</v>
      </c>
      <c r="L1078" s="60" t="s">
        <v>590</v>
      </c>
    </row>
    <row r="1079" spans="1:12" x14ac:dyDescent="0.3">
      <c r="A1079" s="72" t="s">
        <v>592</v>
      </c>
      <c r="B1079" s="55" t="s">
        <v>0</v>
      </c>
      <c r="C1079" s="67" t="s">
        <v>188</v>
      </c>
      <c r="D1079" s="55" t="s">
        <v>51</v>
      </c>
      <c r="E1079" s="19">
        <v>110.33</v>
      </c>
      <c r="F1079" s="19">
        <v>3</v>
      </c>
      <c r="G1079" s="55" t="s">
        <v>11</v>
      </c>
      <c r="H1079" s="74">
        <v>10</v>
      </c>
      <c r="K1079" s="55" t="s">
        <v>25</v>
      </c>
    </row>
    <row r="1080" spans="1:12" x14ac:dyDescent="0.3">
      <c r="H1080" s="74">
        <v>10</v>
      </c>
      <c r="K1080" s="55" t="s">
        <v>84</v>
      </c>
    </row>
    <row r="1081" spans="1:12" x14ac:dyDescent="0.3">
      <c r="H1081" s="74">
        <v>40</v>
      </c>
      <c r="K1081" s="55" t="s">
        <v>96</v>
      </c>
    </row>
    <row r="1082" spans="1:12" x14ac:dyDescent="0.3">
      <c r="H1082" s="74">
        <v>60</v>
      </c>
      <c r="K1082" s="55" t="s">
        <v>32</v>
      </c>
      <c r="L1082" s="60" t="s">
        <v>593</v>
      </c>
    </row>
    <row r="1083" spans="1:12" x14ac:dyDescent="0.3">
      <c r="H1083" s="74">
        <v>20</v>
      </c>
      <c r="K1083" s="55" t="s">
        <v>32</v>
      </c>
      <c r="L1083" s="60" t="s">
        <v>236</v>
      </c>
    </row>
    <row r="1084" spans="1:12" x14ac:dyDescent="0.3">
      <c r="H1084" s="74">
        <v>30</v>
      </c>
      <c r="K1084" s="55" t="s">
        <v>30</v>
      </c>
      <c r="L1084" s="60" t="s">
        <v>250</v>
      </c>
    </row>
    <row r="1085" spans="1:12" x14ac:dyDescent="0.3">
      <c r="H1085" s="74">
        <v>20</v>
      </c>
      <c r="K1085" s="55" t="s">
        <v>34</v>
      </c>
      <c r="L1085" s="60" t="s">
        <v>268</v>
      </c>
    </row>
    <row r="1086" spans="1:12" x14ac:dyDescent="0.3">
      <c r="H1086" s="74">
        <v>20</v>
      </c>
      <c r="K1086" s="55" t="s">
        <v>102</v>
      </c>
    </row>
    <row r="1087" spans="1:12" x14ac:dyDescent="0.3">
      <c r="H1087" s="74">
        <v>10</v>
      </c>
      <c r="K1087" s="55" t="s">
        <v>55</v>
      </c>
      <c r="L1087" s="60" t="s">
        <v>13</v>
      </c>
    </row>
    <row r="1088" spans="1:12" x14ac:dyDescent="0.3">
      <c r="H1088" s="74">
        <v>200</v>
      </c>
      <c r="K1088" s="55" t="s">
        <v>55</v>
      </c>
      <c r="L1088" s="60" t="s">
        <v>594</v>
      </c>
    </row>
    <row r="1089" spans="1:12" x14ac:dyDescent="0.3">
      <c r="A1089" s="72" t="s">
        <v>592</v>
      </c>
      <c r="B1089" s="55" t="s">
        <v>10</v>
      </c>
      <c r="C1089" s="67" t="s">
        <v>46</v>
      </c>
      <c r="D1089" s="55" t="s">
        <v>52</v>
      </c>
      <c r="E1089" s="19">
        <v>0</v>
      </c>
      <c r="F1089" s="19" t="s">
        <v>596</v>
      </c>
      <c r="G1089" s="55" t="s">
        <v>11</v>
      </c>
      <c r="H1089" s="74">
        <v>10</v>
      </c>
      <c r="K1089" s="55" t="s">
        <v>25</v>
      </c>
    </row>
    <row r="1090" spans="1:12" x14ac:dyDescent="0.3">
      <c r="H1090" s="74">
        <v>10</v>
      </c>
      <c r="K1090" s="55" t="s">
        <v>84</v>
      </c>
    </row>
    <row r="1091" spans="1:12" x14ac:dyDescent="0.3">
      <c r="H1091" s="74">
        <v>80</v>
      </c>
      <c r="K1091" s="55" t="s">
        <v>34</v>
      </c>
      <c r="L1091" s="60" t="s">
        <v>183</v>
      </c>
    </row>
    <row r="1092" spans="1:12" x14ac:dyDescent="0.3">
      <c r="H1092" s="74">
        <v>40</v>
      </c>
      <c r="K1092" s="55" t="s">
        <v>96</v>
      </c>
    </row>
    <row r="1093" spans="1:12" x14ac:dyDescent="0.3">
      <c r="H1093" s="74">
        <v>20</v>
      </c>
      <c r="K1093" s="55" t="s">
        <v>30</v>
      </c>
      <c r="L1093" s="60" t="s">
        <v>300</v>
      </c>
    </row>
    <row r="1094" spans="1:12" x14ac:dyDescent="0.3">
      <c r="H1094" s="74">
        <v>180</v>
      </c>
      <c r="K1094" s="55" t="s">
        <v>30</v>
      </c>
      <c r="L1094" s="60" t="s">
        <v>595</v>
      </c>
    </row>
    <row r="1095" spans="1:12" x14ac:dyDescent="0.3">
      <c r="A1095" s="72" t="s">
        <v>592</v>
      </c>
      <c r="B1095" s="55" t="s">
        <v>12</v>
      </c>
      <c r="C1095" s="67" t="s">
        <v>47</v>
      </c>
      <c r="D1095" s="55" t="s">
        <v>50</v>
      </c>
      <c r="E1095" s="19">
        <v>189.41</v>
      </c>
      <c r="F1095" s="19" t="s">
        <v>598</v>
      </c>
      <c r="G1095" s="55" t="s">
        <v>11</v>
      </c>
      <c r="H1095" s="74">
        <v>10</v>
      </c>
      <c r="K1095" s="55" t="s">
        <v>25</v>
      </c>
    </row>
    <row r="1096" spans="1:12" x14ac:dyDescent="0.3">
      <c r="H1096" s="74">
        <v>10</v>
      </c>
      <c r="K1096" s="55" t="s">
        <v>84</v>
      </c>
    </row>
    <row r="1097" spans="1:12" x14ac:dyDescent="0.3">
      <c r="H1097" s="74">
        <v>150</v>
      </c>
      <c r="K1097" s="55" t="s">
        <v>34</v>
      </c>
      <c r="L1097" s="60" t="s">
        <v>183</v>
      </c>
    </row>
    <row r="1098" spans="1:12" x14ac:dyDescent="0.3">
      <c r="H1098" s="74">
        <v>30</v>
      </c>
      <c r="K1098" s="55" t="s">
        <v>55</v>
      </c>
      <c r="L1098" s="60" t="s">
        <v>597</v>
      </c>
    </row>
    <row r="1099" spans="1:12" x14ac:dyDescent="0.3">
      <c r="H1099" s="74">
        <v>50</v>
      </c>
      <c r="K1099" s="55" t="s">
        <v>96</v>
      </c>
    </row>
    <row r="1100" spans="1:12" x14ac:dyDescent="0.3">
      <c r="H1100" s="74">
        <v>30</v>
      </c>
      <c r="K1100" s="55" t="s">
        <v>32</v>
      </c>
      <c r="L1100" s="60" t="s">
        <v>520</v>
      </c>
    </row>
    <row r="1101" spans="1:12" x14ac:dyDescent="0.3">
      <c r="H1101" s="74">
        <v>30</v>
      </c>
      <c r="K1101" s="55" t="s">
        <v>55</v>
      </c>
      <c r="L1101" s="60" t="s">
        <v>599</v>
      </c>
    </row>
    <row r="1102" spans="1:12" x14ac:dyDescent="0.3">
      <c r="H1102" s="74">
        <v>20</v>
      </c>
      <c r="K1102" s="55" t="s">
        <v>34</v>
      </c>
      <c r="L1102" s="60" t="s">
        <v>149</v>
      </c>
    </row>
    <row r="1103" spans="1:12" x14ac:dyDescent="0.3">
      <c r="H1103" s="74">
        <v>30</v>
      </c>
      <c r="K1103" s="55" t="s">
        <v>34</v>
      </c>
      <c r="L1103" s="60" t="s">
        <v>561</v>
      </c>
    </row>
    <row r="1104" spans="1:12" x14ac:dyDescent="0.3">
      <c r="H1104" s="74">
        <v>30</v>
      </c>
      <c r="K1104" s="55" t="s">
        <v>30</v>
      </c>
      <c r="L1104" s="60" t="s">
        <v>300</v>
      </c>
    </row>
    <row r="1105" spans="1:12" x14ac:dyDescent="0.3">
      <c r="A1105" s="72" t="s">
        <v>600</v>
      </c>
      <c r="B1105" s="55" t="s">
        <v>0</v>
      </c>
      <c r="C1105" s="67" t="s">
        <v>48</v>
      </c>
      <c r="D1105" s="55" t="s">
        <v>51</v>
      </c>
      <c r="E1105" s="19">
        <v>267.14999999999998</v>
      </c>
      <c r="F1105" s="19">
        <v>7</v>
      </c>
      <c r="G1105" s="55" t="s">
        <v>11</v>
      </c>
      <c r="H1105" s="74">
        <v>10</v>
      </c>
      <c r="K1105" s="55" t="s">
        <v>25</v>
      </c>
    </row>
    <row r="1106" spans="1:12" x14ac:dyDescent="0.3">
      <c r="H1106" s="74">
        <v>10</v>
      </c>
      <c r="K1106" s="55" t="s">
        <v>84</v>
      </c>
    </row>
    <row r="1107" spans="1:12" x14ac:dyDescent="0.3">
      <c r="H1107" s="74">
        <v>90</v>
      </c>
      <c r="K1107" s="55" t="s">
        <v>96</v>
      </c>
    </row>
    <row r="1108" spans="1:12" x14ac:dyDescent="0.3">
      <c r="H1108" s="74">
        <v>40</v>
      </c>
      <c r="K1108" s="55" t="s">
        <v>32</v>
      </c>
      <c r="L1108" s="60" t="s">
        <v>601</v>
      </c>
    </row>
    <row r="1109" spans="1:12" x14ac:dyDescent="0.3">
      <c r="H1109" s="74">
        <v>30</v>
      </c>
      <c r="K1109" s="55" t="s">
        <v>32</v>
      </c>
      <c r="L1109" s="60" t="s">
        <v>558</v>
      </c>
    </row>
    <row r="1110" spans="1:12" x14ac:dyDescent="0.3">
      <c r="H1110" s="74">
        <v>45</v>
      </c>
      <c r="K1110" s="55" t="s">
        <v>30</v>
      </c>
      <c r="L1110" s="60" t="s">
        <v>348</v>
      </c>
    </row>
    <row r="1111" spans="1:12" x14ac:dyDescent="0.3">
      <c r="H1111" s="74">
        <v>30</v>
      </c>
      <c r="K1111" s="55" t="s">
        <v>33</v>
      </c>
      <c r="L1111" s="60" t="s">
        <v>602</v>
      </c>
    </row>
    <row r="1112" spans="1:12" x14ac:dyDescent="0.3">
      <c r="H1112" s="74">
        <v>20</v>
      </c>
      <c r="K1112" s="55" t="s">
        <v>102</v>
      </c>
    </row>
    <row r="1113" spans="1:12" x14ac:dyDescent="0.3">
      <c r="H1113" s="74">
        <v>40</v>
      </c>
      <c r="K1113" s="55" t="s">
        <v>34</v>
      </c>
      <c r="L1113" s="60" t="s">
        <v>268</v>
      </c>
    </row>
    <row r="1114" spans="1:12" x14ac:dyDescent="0.3">
      <c r="H1114" s="74">
        <v>20</v>
      </c>
      <c r="K1114" s="55" t="s">
        <v>32</v>
      </c>
      <c r="L1114" s="60" t="s">
        <v>603</v>
      </c>
    </row>
    <row r="1115" spans="1:12" x14ac:dyDescent="0.3">
      <c r="H1115" s="74">
        <v>30</v>
      </c>
      <c r="K1115" s="55" t="s">
        <v>55</v>
      </c>
      <c r="L1115" s="60" t="s">
        <v>604</v>
      </c>
    </row>
    <row r="1116" spans="1:12" x14ac:dyDescent="0.3">
      <c r="A1116" s="72" t="s">
        <v>600</v>
      </c>
      <c r="B1116" s="55" t="s">
        <v>10</v>
      </c>
      <c r="C1116" s="67" t="s">
        <v>46</v>
      </c>
      <c r="D1116" s="55" t="s">
        <v>52</v>
      </c>
      <c r="E1116" s="19">
        <v>131.94999999999999</v>
      </c>
      <c r="F1116" s="19">
        <v>4</v>
      </c>
      <c r="G1116" s="55" t="s">
        <v>11</v>
      </c>
      <c r="H1116" s="74">
        <v>10</v>
      </c>
      <c r="K1116" s="55" t="s">
        <v>25</v>
      </c>
    </row>
    <row r="1117" spans="1:12" x14ac:dyDescent="0.3">
      <c r="H1117" s="74">
        <v>10</v>
      </c>
      <c r="K1117" s="55" t="s">
        <v>84</v>
      </c>
    </row>
    <row r="1118" spans="1:12" x14ac:dyDescent="0.3">
      <c r="H1118" s="74">
        <v>50</v>
      </c>
      <c r="K1118" s="55" t="s">
        <v>96</v>
      </c>
    </row>
    <row r="1119" spans="1:12" x14ac:dyDescent="0.3">
      <c r="H1119" s="74">
        <v>70</v>
      </c>
      <c r="K1119" s="55" t="s">
        <v>32</v>
      </c>
    </row>
    <row r="1120" spans="1:12" x14ac:dyDescent="0.3">
      <c r="H1120" s="74">
        <v>40</v>
      </c>
      <c r="K1120" s="55" t="s">
        <v>55</v>
      </c>
      <c r="L1120" s="60" t="s">
        <v>461</v>
      </c>
    </row>
    <row r="1121" spans="1:12" x14ac:dyDescent="0.3">
      <c r="H1121" s="74">
        <v>50</v>
      </c>
      <c r="K1121" s="55" t="s">
        <v>32</v>
      </c>
      <c r="L1121" s="60" t="s">
        <v>605</v>
      </c>
    </row>
    <row r="1122" spans="1:12" x14ac:dyDescent="0.3">
      <c r="H1122" s="74">
        <v>70</v>
      </c>
      <c r="K1122" s="55" t="s">
        <v>55</v>
      </c>
      <c r="L1122" s="60" t="s">
        <v>606</v>
      </c>
    </row>
    <row r="1123" spans="1:12" x14ac:dyDescent="0.3">
      <c r="H1123" s="74">
        <v>40</v>
      </c>
      <c r="K1123" s="55" t="s">
        <v>32</v>
      </c>
      <c r="L1123" s="60" t="s">
        <v>608</v>
      </c>
    </row>
    <row r="1124" spans="1:12" x14ac:dyDescent="0.3">
      <c r="H1124" s="74">
        <v>20</v>
      </c>
      <c r="K1124" s="55" t="s">
        <v>102</v>
      </c>
    </row>
    <row r="1125" spans="1:12" x14ac:dyDescent="0.3">
      <c r="H1125" s="74">
        <v>10</v>
      </c>
      <c r="K1125" s="55" t="s">
        <v>32</v>
      </c>
      <c r="L1125" s="60" t="s">
        <v>607</v>
      </c>
    </row>
    <row r="1126" spans="1:12" x14ac:dyDescent="0.3">
      <c r="A1126" s="72" t="s">
        <v>600</v>
      </c>
      <c r="B1126" s="55" t="s">
        <v>12</v>
      </c>
      <c r="C1126" s="67" t="s">
        <v>47</v>
      </c>
      <c r="D1126" s="55" t="s">
        <v>50</v>
      </c>
      <c r="E1126" s="19">
        <v>199.22</v>
      </c>
      <c r="F1126" s="19">
        <v>6</v>
      </c>
      <c r="G1126" s="55" t="s">
        <v>11</v>
      </c>
      <c r="H1126" s="74">
        <v>10</v>
      </c>
      <c r="K1126" s="55" t="s">
        <v>25</v>
      </c>
    </row>
    <row r="1127" spans="1:12" x14ac:dyDescent="0.3">
      <c r="H1127" s="74">
        <v>10</v>
      </c>
      <c r="K1127" s="55" t="s">
        <v>84</v>
      </c>
    </row>
    <row r="1128" spans="1:12" x14ac:dyDescent="0.3">
      <c r="H1128" s="74">
        <v>150</v>
      </c>
      <c r="I1128" s="53">
        <v>0.41666666666666669</v>
      </c>
      <c r="K1128" s="55" t="s">
        <v>33</v>
      </c>
      <c r="L1128" s="60" t="s">
        <v>606</v>
      </c>
    </row>
    <row r="1129" spans="1:12" x14ac:dyDescent="0.3">
      <c r="H1129" s="74">
        <v>60</v>
      </c>
      <c r="I1129" s="53"/>
      <c r="K1129" s="55" t="s">
        <v>55</v>
      </c>
      <c r="L1129" s="60" t="s">
        <v>609</v>
      </c>
    </row>
    <row r="1130" spans="1:12" x14ac:dyDescent="0.3">
      <c r="H1130" s="74">
        <v>60</v>
      </c>
      <c r="K1130" s="55" t="s">
        <v>96</v>
      </c>
    </row>
    <row r="1131" spans="1:12" x14ac:dyDescent="0.3">
      <c r="H1131" s="74">
        <v>30</v>
      </c>
      <c r="K1131" s="55" t="s">
        <v>32</v>
      </c>
      <c r="L1131" s="60" t="s">
        <v>601</v>
      </c>
    </row>
    <row r="1132" spans="1:12" x14ac:dyDescent="0.3">
      <c r="H1132" s="74">
        <v>25</v>
      </c>
      <c r="K1132" s="55" t="s">
        <v>34</v>
      </c>
      <c r="L1132" s="60" t="s">
        <v>273</v>
      </c>
    </row>
    <row r="1133" spans="1:12" x14ac:dyDescent="0.3">
      <c r="H1133" s="74">
        <v>25</v>
      </c>
      <c r="K1133" s="55" t="s">
        <v>34</v>
      </c>
      <c r="L1133" s="60" t="s">
        <v>134</v>
      </c>
    </row>
    <row r="1134" spans="1:12" x14ac:dyDescent="0.3">
      <c r="H1134" s="74">
        <v>30</v>
      </c>
      <c r="K1134" s="55" t="s">
        <v>30</v>
      </c>
      <c r="L1134" s="60" t="s">
        <v>300</v>
      </c>
    </row>
    <row r="1135" spans="1:12" x14ac:dyDescent="0.3">
      <c r="A1135" s="72" t="s">
        <v>610</v>
      </c>
      <c r="B1135" s="55" t="s">
        <v>0</v>
      </c>
      <c r="C1135" s="67" t="s">
        <v>48</v>
      </c>
      <c r="D1135" s="55" t="s">
        <v>51</v>
      </c>
      <c r="E1135" s="19">
        <v>185.19</v>
      </c>
      <c r="F1135" s="19">
        <v>7</v>
      </c>
      <c r="G1135" s="55" t="s">
        <v>11</v>
      </c>
      <c r="H1135" s="74">
        <v>10</v>
      </c>
      <c r="K1135" s="55" t="s">
        <v>25</v>
      </c>
    </row>
    <row r="1136" spans="1:12" x14ac:dyDescent="0.3">
      <c r="H1136" s="74">
        <v>10</v>
      </c>
      <c r="K1136" s="55" t="s">
        <v>84</v>
      </c>
    </row>
    <row r="1137" spans="1:12" x14ac:dyDescent="0.3">
      <c r="H1137" s="74">
        <v>70</v>
      </c>
      <c r="K1137" s="55" t="s">
        <v>96</v>
      </c>
    </row>
    <row r="1138" spans="1:12" x14ac:dyDescent="0.3">
      <c r="H1138" s="74">
        <v>60</v>
      </c>
      <c r="K1138" s="55" t="s">
        <v>32</v>
      </c>
      <c r="L1138" s="60" t="s">
        <v>611</v>
      </c>
    </row>
    <row r="1139" spans="1:12" x14ac:dyDescent="0.3">
      <c r="H1139" s="74">
        <v>110</v>
      </c>
      <c r="K1139" s="55" t="s">
        <v>55</v>
      </c>
      <c r="L1139" s="60" t="s">
        <v>612</v>
      </c>
    </row>
    <row r="1140" spans="1:12" x14ac:dyDescent="0.3">
      <c r="H1140" s="74">
        <v>20</v>
      </c>
      <c r="K1140" s="55" t="s">
        <v>102</v>
      </c>
    </row>
    <row r="1141" spans="1:12" x14ac:dyDescent="0.3">
      <c r="H1141" s="74">
        <v>30</v>
      </c>
      <c r="K1141" s="55" t="s">
        <v>32</v>
      </c>
      <c r="L1141" s="60" t="s">
        <v>460</v>
      </c>
    </row>
    <row r="1142" spans="1:12" x14ac:dyDescent="0.3">
      <c r="H1142" s="74">
        <v>20</v>
      </c>
      <c r="K1142" s="55" t="s">
        <v>30</v>
      </c>
      <c r="L1142" s="60" t="s">
        <v>136</v>
      </c>
    </row>
    <row r="1143" spans="1:12" x14ac:dyDescent="0.3">
      <c r="A1143" s="72" t="s">
        <v>610</v>
      </c>
      <c r="B1143" s="55" t="s">
        <v>10</v>
      </c>
      <c r="C1143" s="67" t="s">
        <v>46</v>
      </c>
      <c r="D1143" s="55" t="s">
        <v>52</v>
      </c>
      <c r="E1143" s="19">
        <v>131.12</v>
      </c>
      <c r="F1143" s="19">
        <v>6</v>
      </c>
      <c r="G1143" s="55" t="s">
        <v>11</v>
      </c>
      <c r="H1143" s="74">
        <v>10</v>
      </c>
      <c r="K1143" s="55" t="s">
        <v>25</v>
      </c>
    </row>
    <row r="1144" spans="1:12" x14ac:dyDescent="0.3">
      <c r="H1144" s="74">
        <v>10</v>
      </c>
      <c r="K1144" s="55" t="s">
        <v>84</v>
      </c>
    </row>
    <row r="1145" spans="1:12" x14ac:dyDescent="0.3">
      <c r="H1145" s="74">
        <v>80</v>
      </c>
      <c r="K1145" s="55" t="s">
        <v>96</v>
      </c>
    </row>
    <row r="1146" spans="1:12" x14ac:dyDescent="0.3">
      <c r="H1146" s="74">
        <v>70</v>
      </c>
      <c r="K1146" s="55" t="s">
        <v>32</v>
      </c>
    </row>
    <row r="1147" spans="1:12" x14ac:dyDescent="0.3">
      <c r="H1147" s="74">
        <v>100</v>
      </c>
      <c r="K1147" s="55" t="s">
        <v>33</v>
      </c>
      <c r="L1147" s="60" t="s">
        <v>613</v>
      </c>
    </row>
    <row r="1148" spans="1:12" x14ac:dyDescent="0.3">
      <c r="H1148" s="74">
        <v>20</v>
      </c>
      <c r="K1148" s="55" t="s">
        <v>33</v>
      </c>
      <c r="L1148" s="60" t="s">
        <v>614</v>
      </c>
    </row>
    <row r="1149" spans="1:12" x14ac:dyDescent="0.3">
      <c r="H1149" s="74">
        <v>30</v>
      </c>
      <c r="K1149" s="55" t="s">
        <v>102</v>
      </c>
    </row>
    <row r="1150" spans="1:12" x14ac:dyDescent="0.3">
      <c r="H1150" s="74">
        <v>30</v>
      </c>
      <c r="K1150" s="55" t="s">
        <v>30</v>
      </c>
      <c r="L1150" s="60" t="s">
        <v>136</v>
      </c>
    </row>
    <row r="1151" spans="1:12" x14ac:dyDescent="0.3">
      <c r="H1151" s="74">
        <v>30</v>
      </c>
      <c r="K1151" s="55" t="s">
        <v>32</v>
      </c>
      <c r="L1151" s="60" t="s">
        <v>601</v>
      </c>
    </row>
    <row r="1152" spans="1:12" x14ac:dyDescent="0.3">
      <c r="H1152" s="74">
        <v>30</v>
      </c>
      <c r="K1152" s="55" t="s">
        <v>32</v>
      </c>
      <c r="L1152" s="60" t="s">
        <v>615</v>
      </c>
    </row>
    <row r="1153" spans="1:13" x14ac:dyDescent="0.3">
      <c r="A1153" s="72" t="s">
        <v>610</v>
      </c>
      <c r="B1153" s="55" t="s">
        <v>12</v>
      </c>
      <c r="C1153" s="67" t="s">
        <v>47</v>
      </c>
      <c r="D1153" s="55" t="s">
        <v>50</v>
      </c>
      <c r="E1153" s="19">
        <v>109.98</v>
      </c>
      <c r="F1153" s="19">
        <v>5</v>
      </c>
      <c r="G1153" s="55" t="s">
        <v>11</v>
      </c>
      <c r="H1153" s="74">
        <v>10</v>
      </c>
      <c r="K1153" s="55" t="s">
        <v>25</v>
      </c>
    </row>
    <row r="1154" spans="1:13" x14ac:dyDescent="0.3">
      <c r="H1154" s="74">
        <v>10</v>
      </c>
      <c r="K1154" s="55" t="s">
        <v>84</v>
      </c>
    </row>
    <row r="1155" spans="1:13" x14ac:dyDescent="0.3">
      <c r="H1155" s="74">
        <v>30</v>
      </c>
      <c r="K1155" s="55" t="s">
        <v>32</v>
      </c>
      <c r="L1155" s="60" t="s">
        <v>419</v>
      </c>
    </row>
    <row r="1156" spans="1:13" x14ac:dyDescent="0.3">
      <c r="H1156" s="74">
        <v>120</v>
      </c>
      <c r="K1156" s="55" t="s">
        <v>96</v>
      </c>
      <c r="L1156" s="60" t="s">
        <v>619</v>
      </c>
      <c r="M1156" s="1" t="s">
        <v>620</v>
      </c>
    </row>
    <row r="1157" spans="1:13" x14ac:dyDescent="0.3">
      <c r="H1157" s="74">
        <v>25</v>
      </c>
      <c r="I1157" s="53"/>
      <c r="K1157" s="55" t="s">
        <v>30</v>
      </c>
      <c r="L1157" s="60" t="s">
        <v>616</v>
      </c>
      <c r="M1157" s="1" t="s">
        <v>617</v>
      </c>
    </row>
    <row r="1158" spans="1:13" x14ac:dyDescent="0.3">
      <c r="H1158" s="74">
        <v>45</v>
      </c>
      <c r="K1158" s="55" t="s">
        <v>33</v>
      </c>
      <c r="L1158" s="60" t="s">
        <v>614</v>
      </c>
    </row>
    <row r="1159" spans="1:13" x14ac:dyDescent="0.3">
      <c r="H1159" s="74">
        <v>40</v>
      </c>
      <c r="K1159" s="55" t="s">
        <v>32</v>
      </c>
      <c r="L1159" s="60" t="s">
        <v>601</v>
      </c>
    </row>
    <row r="1160" spans="1:13" x14ac:dyDescent="0.3">
      <c r="H1160" s="74">
        <v>60</v>
      </c>
      <c r="K1160" s="55" t="s">
        <v>33</v>
      </c>
      <c r="L1160" s="60" t="s">
        <v>618</v>
      </c>
    </row>
    <row r="1161" spans="1:13" x14ac:dyDescent="0.3">
      <c r="H1161" s="74">
        <v>20</v>
      </c>
      <c r="K1161" s="55" t="s">
        <v>55</v>
      </c>
      <c r="L1161" s="60" t="s">
        <v>13</v>
      </c>
    </row>
    <row r="1162" spans="1:13" x14ac:dyDescent="0.3">
      <c r="H1162" s="74">
        <v>20</v>
      </c>
      <c r="K1162" s="55" t="s">
        <v>30</v>
      </c>
      <c r="L1162" s="60" t="s">
        <v>136</v>
      </c>
    </row>
    <row r="1163" spans="1:13" x14ac:dyDescent="0.3">
      <c r="A1163" s="72" t="s">
        <v>621</v>
      </c>
      <c r="B1163" s="55" t="s">
        <v>0</v>
      </c>
      <c r="C1163" s="67" t="s">
        <v>48</v>
      </c>
      <c r="D1163" s="55" t="s">
        <v>52</v>
      </c>
      <c r="E1163" s="19">
        <v>160.16</v>
      </c>
      <c r="F1163" s="19">
        <v>6</v>
      </c>
      <c r="G1163" s="55" t="s">
        <v>11</v>
      </c>
      <c r="H1163" s="74">
        <v>10</v>
      </c>
      <c r="K1163" s="55" t="s">
        <v>25</v>
      </c>
    </row>
    <row r="1164" spans="1:13" x14ac:dyDescent="0.3">
      <c r="H1164" s="74">
        <v>10</v>
      </c>
      <c r="K1164" s="55" t="s">
        <v>84</v>
      </c>
    </row>
    <row r="1165" spans="1:13" x14ac:dyDescent="0.3">
      <c r="H1165" s="74">
        <v>70</v>
      </c>
      <c r="K1165" s="55" t="s">
        <v>96</v>
      </c>
    </row>
    <row r="1166" spans="1:13" x14ac:dyDescent="0.3">
      <c r="H1166" s="74">
        <v>30</v>
      </c>
      <c r="K1166" s="55" t="s">
        <v>32</v>
      </c>
      <c r="L1166" s="60" t="s">
        <v>601</v>
      </c>
    </row>
    <row r="1167" spans="1:13" x14ac:dyDescent="0.3">
      <c r="H1167" s="74">
        <v>265</v>
      </c>
      <c r="K1167" s="55" t="s">
        <v>33</v>
      </c>
      <c r="L1167" s="60" t="s">
        <v>622</v>
      </c>
    </row>
    <row r="1168" spans="1:13" x14ac:dyDescent="0.3">
      <c r="H1168" s="74">
        <v>20</v>
      </c>
      <c r="K1168" s="55" t="s">
        <v>55</v>
      </c>
      <c r="L1168" s="60" t="s">
        <v>13</v>
      </c>
    </row>
    <row r="1169" spans="1:12" x14ac:dyDescent="0.3">
      <c r="A1169" s="72" t="s">
        <v>621</v>
      </c>
      <c r="B1169" s="55" t="s">
        <v>10</v>
      </c>
      <c r="C1169" s="67" t="s">
        <v>46</v>
      </c>
      <c r="D1169" s="55" t="s">
        <v>50</v>
      </c>
      <c r="E1169" s="19">
        <v>231.86500000000001</v>
      </c>
      <c r="F1169" s="19">
        <v>8.5</v>
      </c>
      <c r="G1169" s="55" t="s">
        <v>11</v>
      </c>
      <c r="H1169" s="74">
        <v>10</v>
      </c>
      <c r="K1169" s="55" t="s">
        <v>25</v>
      </c>
    </row>
    <row r="1170" spans="1:12" x14ac:dyDescent="0.3">
      <c r="H1170" s="74">
        <v>50</v>
      </c>
      <c r="K1170" s="55" t="s">
        <v>84</v>
      </c>
      <c r="L1170" s="60" t="s">
        <v>625</v>
      </c>
    </row>
    <row r="1171" spans="1:12" x14ac:dyDescent="0.3">
      <c r="H1171" s="74">
        <v>90</v>
      </c>
      <c r="K1171" s="55" t="s">
        <v>96</v>
      </c>
    </row>
    <row r="1172" spans="1:12" x14ac:dyDescent="0.3">
      <c r="H1172" s="74">
        <v>60</v>
      </c>
      <c r="I1172" s="53"/>
      <c r="K1172" s="55" t="s">
        <v>32</v>
      </c>
      <c r="L1172" s="60" t="s">
        <v>391</v>
      </c>
    </row>
    <row r="1173" spans="1:12" x14ac:dyDescent="0.3">
      <c r="H1173" s="74">
        <v>20</v>
      </c>
      <c r="K1173" s="55" t="s">
        <v>102</v>
      </c>
    </row>
    <row r="1174" spans="1:12" x14ac:dyDescent="0.3">
      <c r="H1174" s="74">
        <v>50</v>
      </c>
      <c r="K1174" s="55" t="s">
        <v>55</v>
      </c>
      <c r="L1174" s="60" t="s">
        <v>623</v>
      </c>
    </row>
    <row r="1175" spans="1:12" x14ac:dyDescent="0.3">
      <c r="H1175" s="74">
        <v>20</v>
      </c>
      <c r="K1175" s="55" t="s">
        <v>33</v>
      </c>
      <c r="L1175" s="60" t="s">
        <v>624</v>
      </c>
    </row>
    <row r="1176" spans="1:12" x14ac:dyDescent="0.3">
      <c r="H1176" s="74">
        <v>30</v>
      </c>
      <c r="K1176" s="55" t="s">
        <v>55</v>
      </c>
      <c r="L1176" s="60" t="s">
        <v>13</v>
      </c>
    </row>
    <row r="1177" spans="1:12" x14ac:dyDescent="0.3">
      <c r="H1177" s="74">
        <v>30</v>
      </c>
      <c r="K1177" s="55" t="s">
        <v>30</v>
      </c>
    </row>
    <row r="1178" spans="1:12" x14ac:dyDescent="0.3">
      <c r="A1178" s="72" t="s">
        <v>621</v>
      </c>
      <c r="B1178" s="55" t="s">
        <v>12</v>
      </c>
      <c r="C1178" s="67" t="s">
        <v>188</v>
      </c>
      <c r="D1178" s="55" t="s">
        <v>51</v>
      </c>
      <c r="E1178" s="19">
        <v>281.89</v>
      </c>
      <c r="F1178" s="19">
        <v>7.5</v>
      </c>
      <c r="G1178" s="55" t="s">
        <v>11</v>
      </c>
      <c r="H1178" s="74">
        <v>10</v>
      </c>
      <c r="K1178" s="55" t="s">
        <v>25</v>
      </c>
    </row>
    <row r="1179" spans="1:12" x14ac:dyDescent="0.3">
      <c r="H1179" s="74">
        <v>10</v>
      </c>
      <c r="K1179" s="55" t="s">
        <v>84</v>
      </c>
    </row>
    <row r="1180" spans="1:12" x14ac:dyDescent="0.3">
      <c r="H1180" s="74">
        <v>30</v>
      </c>
      <c r="K1180" s="55" t="s">
        <v>32</v>
      </c>
      <c r="L1180" s="60" t="s">
        <v>627</v>
      </c>
    </row>
    <row r="1181" spans="1:12" ht="32.25" x14ac:dyDescent="0.3">
      <c r="H1181" s="74">
        <v>40</v>
      </c>
      <c r="K1181" s="55" t="s">
        <v>55</v>
      </c>
      <c r="L1181" s="65" t="s">
        <v>626</v>
      </c>
    </row>
    <row r="1182" spans="1:12" x14ac:dyDescent="0.3">
      <c r="H1182" s="74">
        <v>70</v>
      </c>
      <c r="K1182" s="55" t="s">
        <v>96</v>
      </c>
    </row>
    <row r="1183" spans="1:12" x14ac:dyDescent="0.3">
      <c r="H1183" s="74">
        <v>50</v>
      </c>
      <c r="K1183" s="55" t="s">
        <v>34</v>
      </c>
      <c r="L1183" s="60" t="s">
        <v>561</v>
      </c>
    </row>
    <row r="1184" spans="1:12" x14ac:dyDescent="0.3">
      <c r="H1184" s="74">
        <v>40</v>
      </c>
      <c r="K1184" s="55" t="s">
        <v>30</v>
      </c>
      <c r="L1184" s="60" t="s">
        <v>502</v>
      </c>
    </row>
    <row r="1185" spans="1:12" x14ac:dyDescent="0.3">
      <c r="H1185" s="74">
        <v>30</v>
      </c>
      <c r="K1185" s="55" t="s">
        <v>34</v>
      </c>
      <c r="L1185" s="60" t="s">
        <v>149</v>
      </c>
    </row>
    <row r="1186" spans="1:12" x14ac:dyDescent="0.3">
      <c r="H1186" s="74">
        <v>60</v>
      </c>
      <c r="K1186" s="55" t="s">
        <v>55</v>
      </c>
      <c r="L1186" s="60" t="s">
        <v>628</v>
      </c>
    </row>
    <row r="1187" spans="1:12" x14ac:dyDescent="0.3">
      <c r="H1187" s="74">
        <v>20</v>
      </c>
      <c r="K1187" s="55" t="s">
        <v>102</v>
      </c>
    </row>
    <row r="1188" spans="1:12" x14ac:dyDescent="0.3">
      <c r="H1188" s="74">
        <v>15</v>
      </c>
      <c r="K1188" s="55" t="s">
        <v>32</v>
      </c>
      <c r="L1188" s="60" t="s">
        <v>303</v>
      </c>
    </row>
    <row r="1189" spans="1:12" x14ac:dyDescent="0.3">
      <c r="A1189" s="72" t="s">
        <v>638</v>
      </c>
      <c r="B1189" s="55" t="s">
        <v>0</v>
      </c>
      <c r="C1189" s="67" t="s">
        <v>48</v>
      </c>
      <c r="D1189" s="55" t="s">
        <v>52</v>
      </c>
      <c r="E1189" s="19">
        <v>303.43</v>
      </c>
      <c r="F1189" s="19">
        <v>8</v>
      </c>
      <c r="G1189" s="55" t="s">
        <v>11</v>
      </c>
      <c r="H1189" s="74">
        <v>10</v>
      </c>
      <c r="K1189" s="55" t="s">
        <v>25</v>
      </c>
    </row>
    <row r="1190" spans="1:12" x14ac:dyDescent="0.3">
      <c r="H1190" s="74">
        <v>10</v>
      </c>
      <c r="K1190" s="55" t="s">
        <v>84</v>
      </c>
    </row>
    <row r="1191" spans="1:12" x14ac:dyDescent="0.3">
      <c r="H1191" s="74">
        <v>90</v>
      </c>
      <c r="K1191" s="55" t="s">
        <v>96</v>
      </c>
    </row>
    <row r="1192" spans="1:12" x14ac:dyDescent="0.3">
      <c r="H1192" s="74">
        <v>60</v>
      </c>
      <c r="K1192" s="55" t="s">
        <v>32</v>
      </c>
      <c r="L1192" s="60" t="s">
        <v>629</v>
      </c>
    </row>
    <row r="1193" spans="1:12" x14ac:dyDescent="0.3">
      <c r="H1193" s="74">
        <v>20</v>
      </c>
      <c r="K1193" s="55" t="s">
        <v>34</v>
      </c>
    </row>
    <row r="1194" spans="1:12" x14ac:dyDescent="0.3">
      <c r="H1194" s="74">
        <v>55</v>
      </c>
      <c r="K1194" s="55" t="s">
        <v>33</v>
      </c>
      <c r="L1194" s="60" t="s">
        <v>454</v>
      </c>
    </row>
    <row r="1195" spans="1:12" x14ac:dyDescent="0.3">
      <c r="H1195" s="74">
        <v>20</v>
      </c>
      <c r="K1195" s="55" t="s">
        <v>55</v>
      </c>
      <c r="L1195" s="60" t="s">
        <v>13</v>
      </c>
    </row>
    <row r="1196" spans="1:12" x14ac:dyDescent="0.3">
      <c r="A1196" s="72" t="s">
        <v>621</v>
      </c>
      <c r="B1196" s="55" t="s">
        <v>10</v>
      </c>
      <c r="C1196" s="67" t="s">
        <v>47</v>
      </c>
      <c r="D1196" s="55" t="s">
        <v>50</v>
      </c>
      <c r="E1196" s="19">
        <v>276.93</v>
      </c>
      <c r="F1196" s="19">
        <v>8</v>
      </c>
      <c r="G1196" s="55" t="s">
        <v>11</v>
      </c>
      <c r="H1196" s="74">
        <v>10</v>
      </c>
      <c r="K1196" s="55" t="s">
        <v>25</v>
      </c>
    </row>
    <row r="1197" spans="1:12" x14ac:dyDescent="0.3">
      <c r="H1197" s="74">
        <v>10</v>
      </c>
      <c r="K1197" s="55" t="s">
        <v>84</v>
      </c>
    </row>
    <row r="1198" spans="1:12" x14ac:dyDescent="0.3">
      <c r="H1198" s="74">
        <v>80</v>
      </c>
      <c r="K1198" s="55" t="s">
        <v>96</v>
      </c>
    </row>
    <row r="1199" spans="1:12" x14ac:dyDescent="0.3">
      <c r="H1199" s="74">
        <v>45</v>
      </c>
      <c r="K1199" s="55" t="s">
        <v>32</v>
      </c>
      <c r="L1199" s="60" t="s">
        <v>457</v>
      </c>
    </row>
    <row r="1200" spans="1:12" x14ac:dyDescent="0.3">
      <c r="H1200" s="74">
        <v>40</v>
      </c>
      <c r="I1200" s="53"/>
      <c r="K1200" s="55" t="s">
        <v>32</v>
      </c>
      <c r="L1200" s="60" t="s">
        <v>630</v>
      </c>
    </row>
    <row r="1201" spans="1:12" x14ac:dyDescent="0.3">
      <c r="H1201" s="74">
        <v>30</v>
      </c>
      <c r="I1201" s="53"/>
      <c r="K1201" s="55" t="s">
        <v>33</v>
      </c>
      <c r="L1201" s="60" t="s">
        <v>631</v>
      </c>
    </row>
    <row r="1202" spans="1:12" x14ac:dyDescent="0.3">
      <c r="H1202" s="74">
        <v>20</v>
      </c>
      <c r="I1202" s="53"/>
      <c r="K1202" s="55" t="s">
        <v>34</v>
      </c>
      <c r="L1202" s="60" t="s">
        <v>633</v>
      </c>
    </row>
    <row r="1203" spans="1:12" x14ac:dyDescent="0.3">
      <c r="H1203" s="74">
        <v>20</v>
      </c>
      <c r="I1203" s="53"/>
      <c r="K1203" s="55" t="s">
        <v>55</v>
      </c>
      <c r="L1203" s="60" t="s">
        <v>632</v>
      </c>
    </row>
    <row r="1204" spans="1:12" x14ac:dyDescent="0.3">
      <c r="H1204" s="74">
        <v>15</v>
      </c>
      <c r="I1204" s="53"/>
      <c r="K1204" s="55" t="s">
        <v>55</v>
      </c>
      <c r="L1204" s="60" t="s">
        <v>131</v>
      </c>
    </row>
    <row r="1205" spans="1:12" x14ac:dyDescent="0.3">
      <c r="H1205" s="74">
        <v>30</v>
      </c>
      <c r="I1205" s="53"/>
      <c r="K1205" s="55" t="s">
        <v>34</v>
      </c>
      <c r="L1205" s="60" t="s">
        <v>519</v>
      </c>
    </row>
    <row r="1206" spans="1:12" x14ac:dyDescent="0.3">
      <c r="H1206" s="74">
        <v>20</v>
      </c>
      <c r="K1206" s="55" t="s">
        <v>102</v>
      </c>
    </row>
    <row r="1207" spans="1:12" x14ac:dyDescent="0.3">
      <c r="H1207" s="74">
        <v>30</v>
      </c>
      <c r="K1207" s="55" t="s">
        <v>30</v>
      </c>
    </row>
    <row r="1209" spans="1:12" x14ac:dyDescent="0.3">
      <c r="A1209" s="72" t="s">
        <v>621</v>
      </c>
      <c r="B1209" s="55" t="s">
        <v>12</v>
      </c>
      <c r="C1209" s="67" t="s">
        <v>188</v>
      </c>
      <c r="D1209" s="55" t="s">
        <v>51</v>
      </c>
      <c r="E1209" s="19">
        <v>205.43</v>
      </c>
      <c r="F1209" s="19">
        <v>6</v>
      </c>
      <c r="G1209" s="55" t="s">
        <v>11</v>
      </c>
      <c r="H1209" s="74">
        <v>10</v>
      </c>
      <c r="K1209" s="55" t="s">
        <v>25</v>
      </c>
    </row>
    <row r="1210" spans="1:12" x14ac:dyDescent="0.3">
      <c r="H1210" s="74">
        <v>10</v>
      </c>
      <c r="K1210" s="55" t="s">
        <v>84</v>
      </c>
    </row>
    <row r="1211" spans="1:12" x14ac:dyDescent="0.3">
      <c r="H1211" s="74">
        <v>60</v>
      </c>
      <c r="K1211" s="55" t="s">
        <v>32</v>
      </c>
      <c r="L1211" s="60" t="s">
        <v>137</v>
      </c>
    </row>
    <row r="1212" spans="1:12" x14ac:dyDescent="0.3">
      <c r="H1212" s="74">
        <v>60</v>
      </c>
      <c r="K1212" s="55" t="s">
        <v>96</v>
      </c>
    </row>
    <row r="1213" spans="1:12" x14ac:dyDescent="0.3">
      <c r="H1213" s="74">
        <v>45</v>
      </c>
      <c r="K1213" s="55" t="s">
        <v>33</v>
      </c>
      <c r="L1213" s="60" t="s">
        <v>411</v>
      </c>
    </row>
    <row r="1214" spans="1:12" x14ac:dyDescent="0.3">
      <c r="H1214" s="74">
        <v>30</v>
      </c>
      <c r="K1214" s="55" t="s">
        <v>34</v>
      </c>
      <c r="L1214" s="60" t="s">
        <v>149</v>
      </c>
    </row>
    <row r="1215" spans="1:12" x14ac:dyDescent="0.3">
      <c r="H1215" s="74">
        <v>35</v>
      </c>
      <c r="K1215" s="55" t="s">
        <v>34</v>
      </c>
      <c r="L1215" s="60" t="s">
        <v>634</v>
      </c>
    </row>
    <row r="1216" spans="1:12" x14ac:dyDescent="0.3">
      <c r="H1216" s="74">
        <v>25</v>
      </c>
      <c r="K1216" s="55" t="s">
        <v>30</v>
      </c>
      <c r="L1216" s="60" t="s">
        <v>502</v>
      </c>
    </row>
    <row r="1217" spans="1:12" x14ac:dyDescent="0.3">
      <c r="H1217" s="74">
        <v>50</v>
      </c>
      <c r="K1217" s="55" t="s">
        <v>32</v>
      </c>
      <c r="L1217" s="60" t="s">
        <v>635</v>
      </c>
    </row>
    <row r="1218" spans="1:12" x14ac:dyDescent="0.3">
      <c r="H1218" s="74">
        <v>10</v>
      </c>
      <c r="K1218" s="55" t="s">
        <v>55</v>
      </c>
      <c r="L1218" s="60" t="s">
        <v>636</v>
      </c>
    </row>
    <row r="1220" spans="1:12" x14ac:dyDescent="0.3">
      <c r="A1220" s="72" t="s">
        <v>637</v>
      </c>
      <c r="B1220" s="55" t="s">
        <v>0</v>
      </c>
      <c r="C1220" s="67" t="s">
        <v>46</v>
      </c>
      <c r="D1220" s="55" t="s">
        <v>52</v>
      </c>
      <c r="E1220" s="19">
        <v>296.76</v>
      </c>
      <c r="F1220" s="19">
        <v>8</v>
      </c>
      <c r="G1220" s="55" t="s">
        <v>11</v>
      </c>
      <c r="H1220" s="74">
        <v>10</v>
      </c>
      <c r="K1220" s="55" t="s">
        <v>25</v>
      </c>
    </row>
    <row r="1221" spans="1:12" x14ac:dyDescent="0.3">
      <c r="H1221" s="74">
        <v>10</v>
      </c>
      <c r="K1221" s="55" t="s">
        <v>84</v>
      </c>
    </row>
    <row r="1222" spans="1:12" x14ac:dyDescent="0.3">
      <c r="H1222" s="74">
        <v>90</v>
      </c>
      <c r="K1222" s="55" t="s">
        <v>96</v>
      </c>
    </row>
    <row r="1223" spans="1:12" x14ac:dyDescent="0.3">
      <c r="H1223" s="74">
        <v>30</v>
      </c>
      <c r="K1223" s="55" t="s">
        <v>32</v>
      </c>
      <c r="L1223" s="60" t="s">
        <v>639</v>
      </c>
    </row>
    <row r="1224" spans="1:12" x14ac:dyDescent="0.3">
      <c r="H1224" s="74">
        <v>50</v>
      </c>
      <c r="K1224" s="55" t="s">
        <v>32</v>
      </c>
      <c r="L1224" s="60" t="s">
        <v>640</v>
      </c>
    </row>
    <row r="1225" spans="1:12" x14ac:dyDescent="0.3">
      <c r="H1225" s="74">
        <v>20</v>
      </c>
      <c r="K1225" s="55" t="s">
        <v>15</v>
      </c>
      <c r="L1225" s="60" t="s">
        <v>641</v>
      </c>
    </row>
    <row r="1226" spans="1:12" x14ac:dyDescent="0.3">
      <c r="H1226" s="74">
        <v>30</v>
      </c>
      <c r="K1226" s="55" t="s">
        <v>34</v>
      </c>
      <c r="L1226" s="60" t="s">
        <v>331</v>
      </c>
    </row>
    <row r="1227" spans="1:12" x14ac:dyDescent="0.3">
      <c r="H1227" s="74">
        <v>20</v>
      </c>
      <c r="K1227" s="55" t="s">
        <v>34</v>
      </c>
      <c r="L1227" s="60" t="s">
        <v>149</v>
      </c>
    </row>
    <row r="1228" spans="1:12" x14ac:dyDescent="0.3">
      <c r="H1228" s="74">
        <v>20</v>
      </c>
      <c r="K1228" s="55" t="s">
        <v>55</v>
      </c>
      <c r="L1228" s="60" t="s">
        <v>13</v>
      </c>
    </row>
    <row r="1229" spans="1:12" x14ac:dyDescent="0.3">
      <c r="H1229" s="74">
        <v>20</v>
      </c>
      <c r="K1229" s="55" t="s">
        <v>102</v>
      </c>
    </row>
    <row r="1230" spans="1:12" x14ac:dyDescent="0.3">
      <c r="A1230" s="72" t="s">
        <v>637</v>
      </c>
      <c r="B1230" s="55" t="s">
        <v>10</v>
      </c>
      <c r="C1230" s="67" t="s">
        <v>47</v>
      </c>
      <c r="D1230" s="55" t="s">
        <v>50</v>
      </c>
      <c r="E1230" s="19">
        <v>303.82</v>
      </c>
      <c r="F1230" s="19">
        <v>9</v>
      </c>
      <c r="G1230" s="55" t="s">
        <v>11</v>
      </c>
      <c r="H1230" s="74">
        <v>10</v>
      </c>
      <c r="K1230" s="55" t="s">
        <v>25</v>
      </c>
    </row>
    <row r="1231" spans="1:12" x14ac:dyDescent="0.3">
      <c r="H1231" s="74">
        <v>10</v>
      </c>
      <c r="K1231" s="55" t="s">
        <v>84</v>
      </c>
    </row>
    <row r="1232" spans="1:12" x14ac:dyDescent="0.3">
      <c r="H1232" s="74">
        <v>90</v>
      </c>
      <c r="K1232" s="55" t="s">
        <v>96</v>
      </c>
    </row>
    <row r="1233" spans="1:12" x14ac:dyDescent="0.3">
      <c r="H1233" s="74">
        <v>80</v>
      </c>
      <c r="K1233" s="55" t="s">
        <v>32</v>
      </c>
      <c r="L1233" s="60" t="s">
        <v>642</v>
      </c>
    </row>
    <row r="1234" spans="1:12" x14ac:dyDescent="0.3">
      <c r="H1234" s="74">
        <v>20</v>
      </c>
      <c r="K1234" s="55" t="s">
        <v>32</v>
      </c>
      <c r="L1234" s="60" t="s">
        <v>146</v>
      </c>
    </row>
    <row r="1235" spans="1:12" x14ac:dyDescent="0.3">
      <c r="H1235" s="74">
        <v>30</v>
      </c>
      <c r="K1235" s="55" t="s">
        <v>34</v>
      </c>
      <c r="L1235" s="60" t="s">
        <v>331</v>
      </c>
    </row>
    <row r="1236" spans="1:12" x14ac:dyDescent="0.3">
      <c r="H1236" s="74">
        <v>20</v>
      </c>
      <c r="K1236" s="55" t="s">
        <v>34</v>
      </c>
      <c r="L1236" s="60" t="s">
        <v>149</v>
      </c>
    </row>
    <row r="1237" spans="1:12" x14ac:dyDescent="0.3">
      <c r="H1237" s="74">
        <v>20</v>
      </c>
      <c r="K1237" s="55" t="s">
        <v>55</v>
      </c>
      <c r="L1237" s="60" t="s">
        <v>13</v>
      </c>
    </row>
    <row r="1238" spans="1:12" x14ac:dyDescent="0.3">
      <c r="H1238" s="74">
        <v>20</v>
      </c>
      <c r="K1238" s="55" t="s">
        <v>102</v>
      </c>
    </row>
    <row r="1239" spans="1:12" x14ac:dyDescent="0.3">
      <c r="H1239" s="74">
        <v>30</v>
      </c>
      <c r="K1239" s="55" t="s">
        <v>30</v>
      </c>
      <c r="L1239" s="60" t="s">
        <v>136</v>
      </c>
    </row>
    <row r="1240" spans="1:12" x14ac:dyDescent="0.3">
      <c r="A1240" s="72" t="s">
        <v>637</v>
      </c>
      <c r="B1240" s="55" t="s">
        <v>0</v>
      </c>
      <c r="C1240" s="67" t="s">
        <v>188</v>
      </c>
      <c r="D1240" s="55" t="s">
        <v>51</v>
      </c>
      <c r="E1240" s="19">
        <v>307.81</v>
      </c>
      <c r="F1240" s="19">
        <v>9</v>
      </c>
      <c r="G1240" s="55" t="s">
        <v>11</v>
      </c>
      <c r="H1240" s="74">
        <v>10</v>
      </c>
      <c r="K1240" s="55" t="s">
        <v>25</v>
      </c>
    </row>
    <row r="1241" spans="1:12" x14ac:dyDescent="0.3">
      <c r="H1241" s="74">
        <v>10</v>
      </c>
      <c r="K1241" s="55" t="s">
        <v>84</v>
      </c>
    </row>
    <row r="1242" spans="1:12" x14ac:dyDescent="0.3">
      <c r="H1242" s="74">
        <v>100</v>
      </c>
      <c r="K1242" s="55" t="s">
        <v>96</v>
      </c>
    </row>
    <row r="1243" spans="1:12" x14ac:dyDescent="0.3">
      <c r="H1243" s="74">
        <v>100</v>
      </c>
      <c r="K1243" s="55" t="s">
        <v>32</v>
      </c>
      <c r="L1243" s="60" t="s">
        <v>643</v>
      </c>
    </row>
    <row r="1244" spans="1:12" x14ac:dyDescent="0.3">
      <c r="H1244" s="74">
        <v>30</v>
      </c>
      <c r="K1244" s="55" t="s">
        <v>32</v>
      </c>
      <c r="L1244" s="60" t="s">
        <v>644</v>
      </c>
    </row>
    <row r="1245" spans="1:12" x14ac:dyDescent="0.3">
      <c r="H1245" s="74">
        <v>40</v>
      </c>
      <c r="K1245" s="55" t="s">
        <v>30</v>
      </c>
      <c r="L1245" s="60" t="s">
        <v>300</v>
      </c>
    </row>
    <row r="1246" spans="1:12" x14ac:dyDescent="0.3">
      <c r="H1246" s="74">
        <v>20</v>
      </c>
      <c r="K1246" s="55" t="s">
        <v>55</v>
      </c>
      <c r="L1246" s="60" t="s">
        <v>131</v>
      </c>
    </row>
    <row r="1247" spans="1:12" x14ac:dyDescent="0.3">
      <c r="H1247" s="74">
        <v>40</v>
      </c>
      <c r="K1247" s="55" t="s">
        <v>34</v>
      </c>
      <c r="L1247" s="60" t="s">
        <v>286</v>
      </c>
    </row>
    <row r="1248" spans="1:12" x14ac:dyDescent="0.3">
      <c r="H1248" s="74">
        <v>20</v>
      </c>
      <c r="K1248" s="55" t="s">
        <v>102</v>
      </c>
    </row>
    <row r="1249" spans="1:12" ht="23.25" x14ac:dyDescent="0.35">
      <c r="A1249" s="72" t="s">
        <v>647</v>
      </c>
      <c r="B1249" s="39" t="s">
        <v>0</v>
      </c>
      <c r="C1249" s="67" t="s">
        <v>46</v>
      </c>
      <c r="D1249" s="39" t="s">
        <v>52</v>
      </c>
      <c r="E1249" s="19">
        <v>248.62</v>
      </c>
      <c r="F1249" s="19">
        <v>8</v>
      </c>
      <c r="G1249" s="39" t="s">
        <v>11</v>
      </c>
      <c r="H1249" s="74">
        <v>10</v>
      </c>
      <c r="K1249" s="55" t="s">
        <v>25</v>
      </c>
    </row>
    <row r="1250" spans="1:12" x14ac:dyDescent="0.3">
      <c r="H1250" s="74">
        <v>10</v>
      </c>
      <c r="K1250" s="55" t="s">
        <v>84</v>
      </c>
    </row>
    <row r="1251" spans="1:12" x14ac:dyDescent="0.3">
      <c r="H1251" s="74">
        <v>90</v>
      </c>
      <c r="K1251" s="55" t="s">
        <v>96</v>
      </c>
    </row>
    <row r="1252" spans="1:12" x14ac:dyDescent="0.3">
      <c r="H1252" s="74">
        <v>50</v>
      </c>
      <c r="K1252" s="55" t="s">
        <v>33</v>
      </c>
      <c r="L1252" s="60" t="s">
        <v>645</v>
      </c>
    </row>
    <row r="1253" spans="1:12" x14ac:dyDescent="0.3">
      <c r="H1253" s="74">
        <v>80</v>
      </c>
      <c r="K1253" s="55" t="s">
        <v>55</v>
      </c>
      <c r="L1253" s="60" t="s">
        <v>648</v>
      </c>
    </row>
    <row r="1254" spans="1:12" x14ac:dyDescent="0.3">
      <c r="H1254" s="74">
        <v>30</v>
      </c>
      <c r="K1254" s="55" t="s">
        <v>34</v>
      </c>
      <c r="L1254" s="60" t="s">
        <v>331</v>
      </c>
    </row>
    <row r="1255" spans="1:12" x14ac:dyDescent="0.3">
      <c r="H1255" s="74">
        <v>20</v>
      </c>
      <c r="K1255" s="55" t="s">
        <v>34</v>
      </c>
      <c r="L1255" s="60" t="s">
        <v>646</v>
      </c>
    </row>
    <row r="1256" spans="1:12" x14ac:dyDescent="0.3">
      <c r="H1256" s="74">
        <v>20</v>
      </c>
      <c r="K1256" s="55" t="s">
        <v>34</v>
      </c>
      <c r="L1256" s="60" t="s">
        <v>149</v>
      </c>
    </row>
    <row r="1257" spans="1:12" x14ac:dyDescent="0.3">
      <c r="H1257" s="74">
        <v>20</v>
      </c>
      <c r="K1257" s="55" t="s">
        <v>55</v>
      </c>
      <c r="L1257" s="60" t="s">
        <v>13</v>
      </c>
    </row>
    <row r="1258" spans="1:12" x14ac:dyDescent="0.3">
      <c r="H1258" s="74">
        <v>20</v>
      </c>
      <c r="K1258" s="55" t="s">
        <v>102</v>
      </c>
    </row>
    <row r="1259" spans="1:12" ht="23.25" x14ac:dyDescent="0.35">
      <c r="A1259" s="72" t="s">
        <v>647</v>
      </c>
      <c r="B1259" s="55" t="s">
        <v>10</v>
      </c>
      <c r="C1259" s="67" t="s">
        <v>47</v>
      </c>
      <c r="D1259" s="39" t="s">
        <v>50</v>
      </c>
      <c r="E1259" s="19">
        <v>266.64</v>
      </c>
      <c r="F1259" s="19">
        <v>7</v>
      </c>
      <c r="G1259" s="39" t="s">
        <v>11</v>
      </c>
      <c r="H1259" s="74">
        <v>10</v>
      </c>
      <c r="K1259" s="55" t="s">
        <v>25</v>
      </c>
    </row>
    <row r="1260" spans="1:12" x14ac:dyDescent="0.3">
      <c r="H1260" s="74">
        <v>50</v>
      </c>
      <c r="K1260" s="55" t="s">
        <v>84</v>
      </c>
      <c r="L1260" s="60" t="s">
        <v>649</v>
      </c>
    </row>
    <row r="1261" spans="1:12" x14ac:dyDescent="0.3">
      <c r="H1261" s="74">
        <v>70</v>
      </c>
      <c r="K1261" s="55" t="s">
        <v>96</v>
      </c>
    </row>
    <row r="1262" spans="1:12" x14ac:dyDescent="0.3">
      <c r="H1262" s="74">
        <v>80</v>
      </c>
      <c r="K1262" s="55" t="s">
        <v>32</v>
      </c>
      <c r="L1262" s="60" t="s">
        <v>137</v>
      </c>
    </row>
    <row r="1263" spans="1:12" x14ac:dyDescent="0.3">
      <c r="H1263" s="74">
        <v>50</v>
      </c>
      <c r="K1263" s="55" t="s">
        <v>33</v>
      </c>
      <c r="L1263" s="60" t="s">
        <v>650</v>
      </c>
    </row>
    <row r="1264" spans="1:12" x14ac:dyDescent="0.3">
      <c r="H1264" s="74">
        <v>40</v>
      </c>
      <c r="K1264" s="55" t="s">
        <v>55</v>
      </c>
      <c r="L1264" s="60" t="s">
        <v>651</v>
      </c>
    </row>
    <row r="1265" spans="1:12" x14ac:dyDescent="0.3">
      <c r="H1265" s="74">
        <v>40</v>
      </c>
      <c r="K1265" s="55" t="s">
        <v>34</v>
      </c>
      <c r="L1265" s="60" t="s">
        <v>323</v>
      </c>
    </row>
    <row r="1266" spans="1:12" x14ac:dyDescent="0.3">
      <c r="H1266" s="74">
        <v>20</v>
      </c>
      <c r="K1266" s="55" t="s">
        <v>55</v>
      </c>
      <c r="L1266" s="60" t="s">
        <v>13</v>
      </c>
    </row>
    <row r="1267" spans="1:12" x14ac:dyDescent="0.3">
      <c r="H1267" s="74">
        <v>20</v>
      </c>
      <c r="K1267" s="55" t="s">
        <v>102</v>
      </c>
    </row>
    <row r="1268" spans="1:12" x14ac:dyDescent="0.3">
      <c r="A1268" s="72" t="s">
        <v>647</v>
      </c>
      <c r="B1268" s="55" t="s">
        <v>12</v>
      </c>
      <c r="C1268" s="67" t="s">
        <v>188</v>
      </c>
      <c r="D1268" s="55" t="s">
        <v>51</v>
      </c>
      <c r="E1268" s="19">
        <v>274.72000000000003</v>
      </c>
      <c r="F1268" s="19">
        <v>8</v>
      </c>
      <c r="G1268" s="55" t="s">
        <v>11</v>
      </c>
      <c r="H1268" s="74">
        <v>10</v>
      </c>
      <c r="K1268" s="55" t="s">
        <v>25</v>
      </c>
    </row>
    <row r="1269" spans="1:12" x14ac:dyDescent="0.3">
      <c r="H1269" s="74">
        <v>10</v>
      </c>
      <c r="K1269" s="55" t="s">
        <v>84</v>
      </c>
    </row>
    <row r="1270" spans="1:12" x14ac:dyDescent="0.3">
      <c r="H1270" s="74">
        <v>80</v>
      </c>
      <c r="K1270" s="55" t="s">
        <v>96</v>
      </c>
    </row>
    <row r="1271" spans="1:12" x14ac:dyDescent="0.3">
      <c r="H1271" s="74">
        <v>60</v>
      </c>
      <c r="K1271" s="55" t="s">
        <v>32</v>
      </c>
      <c r="L1271" s="60" t="s">
        <v>556</v>
      </c>
    </row>
    <row r="1272" spans="1:12" x14ac:dyDescent="0.3">
      <c r="H1272" s="74">
        <v>30</v>
      </c>
      <c r="K1272" s="55" t="s">
        <v>32</v>
      </c>
      <c r="L1272" s="60" t="s">
        <v>558</v>
      </c>
    </row>
    <row r="1273" spans="1:12" x14ac:dyDescent="0.3">
      <c r="H1273" s="74">
        <v>60</v>
      </c>
      <c r="K1273" s="55" t="s">
        <v>30</v>
      </c>
      <c r="L1273" s="60" t="s">
        <v>652</v>
      </c>
    </row>
    <row r="1274" spans="1:12" x14ac:dyDescent="0.3">
      <c r="H1274" s="74">
        <v>60</v>
      </c>
      <c r="K1274" s="55" t="s">
        <v>34</v>
      </c>
      <c r="L1274" s="60" t="s">
        <v>268</v>
      </c>
    </row>
    <row r="1275" spans="1:12" x14ac:dyDescent="0.3">
      <c r="H1275" s="74">
        <v>15</v>
      </c>
      <c r="K1275" s="55" t="s">
        <v>55</v>
      </c>
      <c r="L1275" s="60" t="s">
        <v>131</v>
      </c>
    </row>
    <row r="1276" spans="1:12" x14ac:dyDescent="0.3">
      <c r="H1276" s="74">
        <v>20</v>
      </c>
      <c r="K1276" s="55" t="s">
        <v>102</v>
      </c>
    </row>
    <row r="1277" spans="1:12" x14ac:dyDescent="0.3">
      <c r="H1277" s="74">
        <v>15</v>
      </c>
      <c r="K1277" s="55" t="s">
        <v>33</v>
      </c>
      <c r="L1277" s="60" t="s">
        <v>653</v>
      </c>
    </row>
    <row r="1278" spans="1:12" ht="23.25" x14ac:dyDescent="0.35">
      <c r="A1278" s="72" t="s">
        <v>654</v>
      </c>
      <c r="B1278" s="39" t="s">
        <v>0</v>
      </c>
      <c r="C1278" s="67" t="s">
        <v>46</v>
      </c>
      <c r="D1278" s="39" t="s">
        <v>52</v>
      </c>
      <c r="E1278" s="19">
        <v>210.81</v>
      </c>
      <c r="F1278" s="19">
        <v>6</v>
      </c>
      <c r="G1278" s="39" t="s">
        <v>11</v>
      </c>
      <c r="H1278" s="74">
        <v>10</v>
      </c>
      <c r="K1278" s="55" t="s">
        <v>25</v>
      </c>
    </row>
    <row r="1279" spans="1:12" x14ac:dyDescent="0.3">
      <c r="H1279" s="74">
        <v>10</v>
      </c>
      <c r="K1279" s="55" t="s">
        <v>84</v>
      </c>
    </row>
    <row r="1280" spans="1:12" x14ac:dyDescent="0.3">
      <c r="H1280" s="74">
        <v>60</v>
      </c>
      <c r="K1280" s="55" t="s">
        <v>96</v>
      </c>
    </row>
    <row r="1281" spans="1:12" x14ac:dyDescent="0.3">
      <c r="H1281" s="74">
        <v>30</v>
      </c>
      <c r="K1281" s="55" t="s">
        <v>33</v>
      </c>
      <c r="L1281" s="60" t="s">
        <v>656</v>
      </c>
    </row>
    <row r="1282" spans="1:12" x14ac:dyDescent="0.3">
      <c r="H1282" s="74">
        <v>35</v>
      </c>
      <c r="K1282" s="55" t="s">
        <v>33</v>
      </c>
      <c r="L1282" s="60" t="s">
        <v>657</v>
      </c>
    </row>
    <row r="1283" spans="1:12" x14ac:dyDescent="0.3">
      <c r="H1283" s="74">
        <v>60</v>
      </c>
      <c r="K1283" s="55" t="s">
        <v>32</v>
      </c>
      <c r="L1283" s="60" t="s">
        <v>655</v>
      </c>
    </row>
    <row r="1284" spans="1:12" x14ac:dyDescent="0.3">
      <c r="H1284" s="74">
        <v>20</v>
      </c>
      <c r="K1284" s="55" t="s">
        <v>34</v>
      </c>
      <c r="L1284" s="60" t="s">
        <v>331</v>
      </c>
    </row>
    <row r="1285" spans="1:12" x14ac:dyDescent="0.3">
      <c r="H1285" s="74">
        <v>20</v>
      </c>
      <c r="K1285" s="55" t="s">
        <v>34</v>
      </c>
      <c r="L1285" s="60" t="s">
        <v>646</v>
      </c>
    </row>
    <row r="1286" spans="1:12" x14ac:dyDescent="0.3">
      <c r="H1286" s="74">
        <v>30</v>
      </c>
      <c r="K1286" s="55" t="s">
        <v>34</v>
      </c>
      <c r="L1286" s="60" t="s">
        <v>149</v>
      </c>
    </row>
    <row r="1287" spans="1:12" x14ac:dyDescent="0.3">
      <c r="H1287" s="74">
        <v>20</v>
      </c>
      <c r="K1287" s="55" t="s">
        <v>55</v>
      </c>
      <c r="L1287" s="60" t="s">
        <v>13</v>
      </c>
    </row>
    <row r="1288" spans="1:12" x14ac:dyDescent="0.3">
      <c r="H1288" s="74">
        <v>20</v>
      </c>
      <c r="K1288" s="55" t="s">
        <v>102</v>
      </c>
    </row>
    <row r="1289" spans="1:12" x14ac:dyDescent="0.3">
      <c r="H1289" s="74">
        <v>60</v>
      </c>
      <c r="K1289" s="55" t="s">
        <v>32</v>
      </c>
      <c r="L1289" s="60" t="s">
        <v>658</v>
      </c>
    </row>
    <row r="1290" spans="1:12" ht="23.25" x14ac:dyDescent="0.35">
      <c r="A1290" s="72" t="s">
        <v>654</v>
      </c>
      <c r="B1290" s="55" t="s">
        <v>10</v>
      </c>
      <c r="C1290" s="67" t="s">
        <v>47</v>
      </c>
      <c r="D1290" s="55" t="s">
        <v>50</v>
      </c>
      <c r="E1290" s="19">
        <v>283.11</v>
      </c>
      <c r="F1290" s="19">
        <v>8</v>
      </c>
      <c r="G1290" s="39" t="s">
        <v>11</v>
      </c>
      <c r="H1290" s="74">
        <v>10</v>
      </c>
      <c r="K1290" s="55" t="s">
        <v>25</v>
      </c>
    </row>
    <row r="1291" spans="1:12" x14ac:dyDescent="0.3">
      <c r="H1291" s="74">
        <v>10</v>
      </c>
      <c r="K1291" s="55" t="s">
        <v>84</v>
      </c>
    </row>
    <row r="1292" spans="1:12" x14ac:dyDescent="0.3">
      <c r="H1292" s="74">
        <v>80</v>
      </c>
      <c r="K1292" s="55" t="s">
        <v>96</v>
      </c>
    </row>
    <row r="1293" spans="1:12" x14ac:dyDescent="0.3">
      <c r="H1293" s="74">
        <v>90</v>
      </c>
      <c r="K1293" s="55" t="s">
        <v>32</v>
      </c>
      <c r="L1293" s="60" t="s">
        <v>361</v>
      </c>
    </row>
    <row r="1294" spans="1:12" x14ac:dyDescent="0.3">
      <c r="H1294" s="74">
        <v>20</v>
      </c>
      <c r="K1294" s="55" t="s">
        <v>32</v>
      </c>
      <c r="L1294" s="60" t="s">
        <v>659</v>
      </c>
    </row>
    <row r="1295" spans="1:12" x14ac:dyDescent="0.3">
      <c r="H1295" s="74">
        <v>30</v>
      </c>
      <c r="K1295" s="55" t="s">
        <v>30</v>
      </c>
      <c r="L1295" s="60" t="s">
        <v>136</v>
      </c>
    </row>
    <row r="1296" spans="1:12" x14ac:dyDescent="0.3">
      <c r="H1296" s="74">
        <v>30</v>
      </c>
      <c r="K1296" s="55" t="s">
        <v>102</v>
      </c>
    </row>
    <row r="1297" spans="1:13" x14ac:dyDescent="0.3">
      <c r="H1297" s="74">
        <v>10</v>
      </c>
      <c r="K1297" s="55" t="s">
        <v>55</v>
      </c>
      <c r="L1297" s="60" t="s">
        <v>13</v>
      </c>
    </row>
    <row r="1298" spans="1:13" x14ac:dyDescent="0.3">
      <c r="H1298" s="74">
        <v>20</v>
      </c>
      <c r="K1298" s="55" t="s">
        <v>34</v>
      </c>
      <c r="L1298" s="60" t="s">
        <v>331</v>
      </c>
    </row>
    <row r="1299" spans="1:13" x14ac:dyDescent="0.3">
      <c r="H1299" s="74">
        <v>30</v>
      </c>
      <c r="K1299" s="55" t="s">
        <v>55</v>
      </c>
      <c r="L1299" s="60" t="s">
        <v>587</v>
      </c>
    </row>
    <row r="1300" spans="1:13" x14ac:dyDescent="0.3">
      <c r="H1300" s="74">
        <v>50</v>
      </c>
      <c r="K1300" s="55" t="s">
        <v>55</v>
      </c>
      <c r="L1300" s="60" t="s">
        <v>660</v>
      </c>
    </row>
    <row r="1301" spans="1:13" x14ac:dyDescent="0.3">
      <c r="A1301" s="72" t="s">
        <v>654</v>
      </c>
      <c r="B1301" s="55" t="s">
        <v>12</v>
      </c>
      <c r="C1301" s="67" t="s">
        <v>188</v>
      </c>
      <c r="D1301" s="55" t="s">
        <v>51</v>
      </c>
      <c r="E1301" s="19">
        <v>172.69</v>
      </c>
      <c r="F1301" s="19">
        <v>5</v>
      </c>
      <c r="G1301" s="55" t="s">
        <v>11</v>
      </c>
      <c r="H1301" s="74">
        <v>10</v>
      </c>
      <c r="K1301" s="55" t="s">
        <v>25</v>
      </c>
    </row>
    <row r="1302" spans="1:13" x14ac:dyDescent="0.3">
      <c r="H1302" s="74">
        <v>10</v>
      </c>
      <c r="K1302" s="55" t="s">
        <v>84</v>
      </c>
    </row>
    <row r="1303" spans="1:13" x14ac:dyDescent="0.3">
      <c r="H1303" s="74">
        <v>50</v>
      </c>
      <c r="K1303" s="55" t="s">
        <v>96</v>
      </c>
    </row>
    <row r="1304" spans="1:13" x14ac:dyDescent="0.3">
      <c r="H1304" s="74">
        <v>40</v>
      </c>
      <c r="K1304" s="55" t="s">
        <v>32</v>
      </c>
      <c r="L1304" s="60" t="s">
        <v>664</v>
      </c>
    </row>
    <row r="1305" spans="1:13" x14ac:dyDescent="0.3">
      <c r="H1305" s="74">
        <v>60</v>
      </c>
      <c r="K1305" s="55" t="s">
        <v>32</v>
      </c>
      <c r="L1305" s="60" t="s">
        <v>373</v>
      </c>
      <c r="M1305" s="1" t="s">
        <v>662</v>
      </c>
    </row>
    <row r="1306" spans="1:13" x14ac:dyDescent="0.3">
      <c r="H1306" s="74">
        <v>30</v>
      </c>
      <c r="K1306" s="55" t="s">
        <v>30</v>
      </c>
      <c r="L1306" s="60" t="s">
        <v>300</v>
      </c>
    </row>
    <row r="1307" spans="1:13" x14ac:dyDescent="0.3">
      <c r="H1307" s="74">
        <v>60</v>
      </c>
      <c r="K1307" s="55" t="s">
        <v>33</v>
      </c>
      <c r="L1307" s="60" t="s">
        <v>661</v>
      </c>
      <c r="M1307" s="1" t="s">
        <v>301</v>
      </c>
    </row>
    <row r="1308" spans="1:13" x14ac:dyDescent="0.3">
      <c r="H1308" s="74">
        <v>20</v>
      </c>
      <c r="K1308" s="55" t="s">
        <v>34</v>
      </c>
      <c r="L1308" s="60" t="s">
        <v>268</v>
      </c>
    </row>
    <row r="1309" spans="1:13" x14ac:dyDescent="0.3">
      <c r="H1309" s="74">
        <v>20</v>
      </c>
      <c r="K1309" s="55" t="s">
        <v>32</v>
      </c>
      <c r="L1309" s="60" t="s">
        <v>663</v>
      </c>
    </row>
    <row r="1310" spans="1:13" x14ac:dyDescent="0.3">
      <c r="H1310" s="74">
        <v>20</v>
      </c>
      <c r="K1310" s="55" t="s">
        <v>55</v>
      </c>
      <c r="L1310" s="60" t="s">
        <v>660</v>
      </c>
    </row>
    <row r="1311" spans="1:13" x14ac:dyDescent="0.3">
      <c r="H1311" s="74">
        <v>100</v>
      </c>
      <c r="K1311" s="55" t="s">
        <v>33</v>
      </c>
      <c r="L1311" s="60" t="s">
        <v>665</v>
      </c>
    </row>
    <row r="1312" spans="1:13" ht="23.25" x14ac:dyDescent="0.35">
      <c r="A1312" s="72" t="s">
        <v>666</v>
      </c>
      <c r="B1312" s="39" t="s">
        <v>0</v>
      </c>
      <c r="C1312" s="67" t="s">
        <v>46</v>
      </c>
      <c r="D1312" s="39" t="s">
        <v>52</v>
      </c>
      <c r="E1312" s="19">
        <v>176.69</v>
      </c>
      <c r="F1312" s="19">
        <v>7</v>
      </c>
      <c r="G1312" s="39" t="s">
        <v>11</v>
      </c>
      <c r="H1312" s="74">
        <v>10</v>
      </c>
      <c r="K1312" s="55" t="s">
        <v>25</v>
      </c>
    </row>
    <row r="1313" spans="1:12" x14ac:dyDescent="0.3">
      <c r="H1313" s="74">
        <v>10</v>
      </c>
      <c r="K1313" s="55" t="s">
        <v>84</v>
      </c>
    </row>
    <row r="1314" spans="1:12" x14ac:dyDescent="0.3">
      <c r="H1314" s="74">
        <v>80</v>
      </c>
      <c r="K1314" s="55" t="s">
        <v>96</v>
      </c>
    </row>
    <row r="1315" spans="1:12" x14ac:dyDescent="0.3">
      <c r="H1315" s="74">
        <v>42</v>
      </c>
      <c r="K1315" s="55" t="s">
        <v>33</v>
      </c>
      <c r="L1315" s="60" t="s">
        <v>667</v>
      </c>
    </row>
    <row r="1316" spans="1:12" x14ac:dyDescent="0.3">
      <c r="H1316" s="74">
        <v>60</v>
      </c>
      <c r="K1316" s="55" t="s">
        <v>32</v>
      </c>
      <c r="L1316" s="60" t="s">
        <v>655</v>
      </c>
    </row>
    <row r="1317" spans="1:12" x14ac:dyDescent="0.3">
      <c r="H1317" s="74">
        <v>60</v>
      </c>
      <c r="K1317" s="55" t="s">
        <v>32</v>
      </c>
      <c r="L1317" s="60" t="s">
        <v>668</v>
      </c>
    </row>
    <row r="1318" spans="1:12" x14ac:dyDescent="0.3">
      <c r="H1318" s="74">
        <v>30</v>
      </c>
      <c r="K1318" s="55" t="s">
        <v>34</v>
      </c>
      <c r="L1318" s="60" t="s">
        <v>149</v>
      </c>
    </row>
    <row r="1319" spans="1:12" x14ac:dyDescent="0.3">
      <c r="H1319" s="74">
        <v>20</v>
      </c>
      <c r="K1319" s="55" t="s">
        <v>55</v>
      </c>
      <c r="L1319" s="60" t="s">
        <v>13</v>
      </c>
    </row>
    <row r="1320" spans="1:12" x14ac:dyDescent="0.3">
      <c r="H1320" s="74">
        <v>20</v>
      </c>
      <c r="K1320" s="55" t="s">
        <v>102</v>
      </c>
    </row>
    <row r="1321" spans="1:12" x14ac:dyDescent="0.3">
      <c r="H1321" s="74">
        <v>20</v>
      </c>
      <c r="K1321" s="55" t="s">
        <v>33</v>
      </c>
      <c r="L1321" s="60" t="s">
        <v>454</v>
      </c>
    </row>
    <row r="1322" spans="1:12" ht="23.25" x14ac:dyDescent="0.35">
      <c r="A1322" s="72" t="s">
        <v>666</v>
      </c>
      <c r="B1322" s="55" t="s">
        <v>10</v>
      </c>
      <c r="C1322" s="67" t="s">
        <v>47</v>
      </c>
      <c r="D1322" s="55" t="s">
        <v>50</v>
      </c>
      <c r="E1322" s="19">
        <v>287.12</v>
      </c>
      <c r="F1322" s="19">
        <v>13</v>
      </c>
      <c r="G1322" s="39" t="s">
        <v>11</v>
      </c>
      <c r="H1322" s="74">
        <v>10</v>
      </c>
      <c r="K1322" s="55" t="s">
        <v>25</v>
      </c>
    </row>
    <row r="1323" spans="1:12" x14ac:dyDescent="0.3">
      <c r="H1323" s="74">
        <v>10</v>
      </c>
      <c r="K1323" s="55" t="s">
        <v>84</v>
      </c>
    </row>
    <row r="1324" spans="1:12" x14ac:dyDescent="0.3">
      <c r="H1324" s="74">
        <v>140</v>
      </c>
      <c r="K1324" s="55" t="s">
        <v>96</v>
      </c>
    </row>
    <row r="1325" spans="1:12" x14ac:dyDescent="0.3">
      <c r="H1325" s="74">
        <v>40</v>
      </c>
      <c r="K1325" s="55" t="s">
        <v>32</v>
      </c>
      <c r="L1325" s="60" t="s">
        <v>294</v>
      </c>
    </row>
    <row r="1326" spans="1:12" x14ac:dyDescent="0.3">
      <c r="H1326" s="74">
        <v>30</v>
      </c>
      <c r="K1326" s="55" t="s">
        <v>32</v>
      </c>
      <c r="L1326" s="60" t="s">
        <v>460</v>
      </c>
    </row>
    <row r="1327" spans="1:12" x14ac:dyDescent="0.3">
      <c r="H1327" s="74">
        <v>20</v>
      </c>
      <c r="K1327" s="55" t="s">
        <v>55</v>
      </c>
      <c r="L1327" s="60" t="s">
        <v>13</v>
      </c>
    </row>
    <row r="1328" spans="1:12" x14ac:dyDescent="0.3">
      <c r="H1328" s="74">
        <v>20</v>
      </c>
      <c r="K1328" s="55" t="s">
        <v>34</v>
      </c>
    </row>
    <row r="1329" spans="1:12" x14ac:dyDescent="0.3">
      <c r="H1329" s="74">
        <v>20</v>
      </c>
      <c r="K1329" s="55" t="s">
        <v>102</v>
      </c>
    </row>
    <row r="1330" spans="1:12" x14ac:dyDescent="0.3">
      <c r="H1330" s="74">
        <v>30</v>
      </c>
      <c r="K1330" s="55" t="s">
        <v>30</v>
      </c>
    </row>
    <row r="1331" spans="1:12" ht="23.25" x14ac:dyDescent="0.35">
      <c r="A1331" s="72" t="s">
        <v>666</v>
      </c>
      <c r="B1331" s="55" t="s">
        <v>12</v>
      </c>
      <c r="C1331" s="67" t="s">
        <v>188</v>
      </c>
      <c r="D1331" s="55" t="s">
        <v>51</v>
      </c>
      <c r="E1331" s="19">
        <v>300.58999999999997</v>
      </c>
      <c r="F1331" s="19">
        <v>12</v>
      </c>
      <c r="G1331" s="39" t="s">
        <v>11</v>
      </c>
      <c r="H1331" s="74">
        <v>10</v>
      </c>
      <c r="K1331" s="55" t="s">
        <v>25</v>
      </c>
    </row>
    <row r="1332" spans="1:12" x14ac:dyDescent="0.3">
      <c r="H1332" s="74">
        <v>10</v>
      </c>
      <c r="K1332" s="55" t="s">
        <v>84</v>
      </c>
    </row>
    <row r="1333" spans="1:12" x14ac:dyDescent="0.3">
      <c r="H1333" s="74">
        <v>120</v>
      </c>
      <c r="K1333" s="55" t="s">
        <v>96</v>
      </c>
    </row>
    <row r="1334" spans="1:12" x14ac:dyDescent="0.3">
      <c r="H1334" s="74">
        <v>30</v>
      </c>
      <c r="K1334" s="55" t="s">
        <v>32</v>
      </c>
      <c r="L1334" s="60" t="s">
        <v>670</v>
      </c>
    </row>
    <row r="1335" spans="1:12" x14ac:dyDescent="0.3">
      <c r="H1335" s="74">
        <v>20</v>
      </c>
      <c r="K1335" s="55" t="s">
        <v>102</v>
      </c>
    </row>
    <row r="1336" spans="1:12" x14ac:dyDescent="0.3">
      <c r="H1336" s="74">
        <v>20</v>
      </c>
      <c r="K1336" s="55" t="s">
        <v>34</v>
      </c>
      <c r="L1336" s="60" t="s">
        <v>149</v>
      </c>
    </row>
    <row r="1337" spans="1:12" x14ac:dyDescent="0.3">
      <c r="H1337" s="74">
        <v>30</v>
      </c>
      <c r="K1337" s="55" t="s">
        <v>30</v>
      </c>
      <c r="L1337" s="60" t="s">
        <v>136</v>
      </c>
    </row>
    <row r="1338" spans="1:12" x14ac:dyDescent="0.3">
      <c r="H1338" s="74">
        <v>15</v>
      </c>
      <c r="K1338" s="55" t="s">
        <v>55</v>
      </c>
      <c r="L1338" s="60" t="s">
        <v>13</v>
      </c>
    </row>
    <row r="1339" spans="1:12" x14ac:dyDescent="0.3">
      <c r="H1339" s="74">
        <v>30</v>
      </c>
      <c r="K1339" s="55" t="s">
        <v>32</v>
      </c>
      <c r="L1339" s="60" t="s">
        <v>669</v>
      </c>
    </row>
    <row r="1340" spans="1:12" x14ac:dyDescent="0.3">
      <c r="H1340" s="74">
        <v>30</v>
      </c>
      <c r="K1340" s="55" t="s">
        <v>32</v>
      </c>
      <c r="L1340" s="60" t="s">
        <v>671</v>
      </c>
    </row>
    <row r="1341" spans="1:12" ht="23.25" x14ac:dyDescent="0.35">
      <c r="A1341" s="72" t="s">
        <v>672</v>
      </c>
      <c r="B1341" s="39" t="s">
        <v>0</v>
      </c>
      <c r="C1341" s="67" t="s">
        <v>46</v>
      </c>
      <c r="D1341" s="39" t="s">
        <v>52</v>
      </c>
      <c r="E1341" s="19">
        <v>260.89</v>
      </c>
      <c r="F1341" s="19">
        <v>10</v>
      </c>
      <c r="G1341" s="39" t="s">
        <v>11</v>
      </c>
      <c r="H1341" s="74">
        <v>10</v>
      </c>
      <c r="K1341" s="55" t="s">
        <v>25</v>
      </c>
    </row>
    <row r="1342" spans="1:12" x14ac:dyDescent="0.3">
      <c r="H1342" s="74">
        <v>10</v>
      </c>
      <c r="K1342" s="55" t="s">
        <v>84</v>
      </c>
    </row>
    <row r="1343" spans="1:12" x14ac:dyDescent="0.3">
      <c r="H1343" s="74">
        <v>100</v>
      </c>
      <c r="K1343" s="55" t="s">
        <v>96</v>
      </c>
    </row>
    <row r="1344" spans="1:12" x14ac:dyDescent="0.3">
      <c r="H1344" s="74">
        <v>20</v>
      </c>
      <c r="K1344" s="55" t="s">
        <v>33</v>
      </c>
      <c r="L1344" s="60" t="s">
        <v>673</v>
      </c>
    </row>
    <row r="1345" spans="1:12" x14ac:dyDescent="0.3">
      <c r="H1345" s="74">
        <v>60</v>
      </c>
      <c r="K1345" s="55" t="s">
        <v>32</v>
      </c>
      <c r="L1345" s="60" t="s">
        <v>655</v>
      </c>
    </row>
    <row r="1346" spans="1:12" x14ac:dyDescent="0.3">
      <c r="H1346" s="74">
        <v>20</v>
      </c>
      <c r="K1346" s="55" t="s">
        <v>32</v>
      </c>
      <c r="L1346" s="60" t="s">
        <v>674</v>
      </c>
    </row>
    <row r="1347" spans="1:12" x14ac:dyDescent="0.3">
      <c r="H1347" s="74">
        <v>30</v>
      </c>
      <c r="K1347" s="55" t="s">
        <v>34</v>
      </c>
      <c r="L1347" s="60" t="s">
        <v>149</v>
      </c>
    </row>
    <row r="1348" spans="1:12" x14ac:dyDescent="0.3">
      <c r="H1348" s="74">
        <v>20</v>
      </c>
      <c r="K1348" s="55" t="s">
        <v>102</v>
      </c>
    </row>
    <row r="1349" spans="1:12" x14ac:dyDescent="0.3">
      <c r="H1349" s="74">
        <v>30</v>
      </c>
      <c r="K1349" s="55" t="s">
        <v>32</v>
      </c>
      <c r="L1349" s="60" t="s">
        <v>675</v>
      </c>
    </row>
    <row r="1350" spans="1:12" x14ac:dyDescent="0.3">
      <c r="H1350" s="74">
        <v>40</v>
      </c>
      <c r="K1350" s="55" t="s">
        <v>15</v>
      </c>
      <c r="L1350" s="60" t="s">
        <v>676</v>
      </c>
    </row>
    <row r="1351" spans="1:12" x14ac:dyDescent="0.3">
      <c r="K1351" s="55" t="s">
        <v>33</v>
      </c>
      <c r="L1351" s="60" t="s">
        <v>677</v>
      </c>
    </row>
    <row r="1352" spans="1:12" ht="23.25" x14ac:dyDescent="0.35">
      <c r="A1352" s="72" t="s">
        <v>672</v>
      </c>
      <c r="B1352" s="55" t="s">
        <v>10</v>
      </c>
      <c r="C1352" s="67" t="s">
        <v>47</v>
      </c>
      <c r="D1352" s="55" t="s">
        <v>50</v>
      </c>
      <c r="E1352" s="19">
        <v>191.6</v>
      </c>
      <c r="F1352" s="19">
        <v>7</v>
      </c>
      <c r="G1352" s="39" t="s">
        <v>11</v>
      </c>
      <c r="H1352" s="74">
        <v>10</v>
      </c>
      <c r="K1352" s="55" t="s">
        <v>25</v>
      </c>
    </row>
    <row r="1353" spans="1:12" x14ac:dyDescent="0.3">
      <c r="H1353" s="74">
        <v>10</v>
      </c>
      <c r="K1353" s="55" t="s">
        <v>84</v>
      </c>
    </row>
    <row r="1354" spans="1:12" x14ac:dyDescent="0.3">
      <c r="H1354" s="74">
        <v>70</v>
      </c>
      <c r="K1354" s="55" t="s">
        <v>96</v>
      </c>
    </row>
    <row r="1355" spans="1:12" x14ac:dyDescent="0.3">
      <c r="H1355" s="74">
        <v>40</v>
      </c>
      <c r="K1355" s="55" t="s">
        <v>32</v>
      </c>
      <c r="L1355" s="60" t="s">
        <v>460</v>
      </c>
    </row>
    <row r="1356" spans="1:12" x14ac:dyDescent="0.3">
      <c r="H1356" s="74">
        <v>30</v>
      </c>
      <c r="K1356" s="55" t="s">
        <v>32</v>
      </c>
      <c r="L1356" s="60" t="s">
        <v>419</v>
      </c>
    </row>
    <row r="1357" spans="1:12" x14ac:dyDescent="0.3">
      <c r="H1357" s="74">
        <v>30</v>
      </c>
      <c r="K1357" s="55" t="s">
        <v>102</v>
      </c>
    </row>
    <row r="1358" spans="1:12" x14ac:dyDescent="0.3">
      <c r="H1358" s="74">
        <v>150</v>
      </c>
      <c r="K1358" s="55" t="s">
        <v>55</v>
      </c>
      <c r="L1358" s="60" t="s">
        <v>678</v>
      </c>
    </row>
    <row r="1359" spans="1:12" ht="23.25" x14ac:dyDescent="0.35">
      <c r="A1359" s="72" t="s">
        <v>679</v>
      </c>
      <c r="B1359" s="55" t="s">
        <v>12</v>
      </c>
      <c r="C1359" s="67" t="s">
        <v>48</v>
      </c>
      <c r="D1359" s="55" t="s">
        <v>51</v>
      </c>
      <c r="E1359" s="19">
        <v>291.95</v>
      </c>
      <c r="F1359" s="19">
        <v>10</v>
      </c>
      <c r="G1359" s="39" t="s">
        <v>11</v>
      </c>
      <c r="H1359" s="74">
        <v>10</v>
      </c>
      <c r="K1359" s="55" t="s">
        <v>25</v>
      </c>
    </row>
    <row r="1360" spans="1:12" x14ac:dyDescent="0.3">
      <c r="H1360" s="74">
        <v>70</v>
      </c>
      <c r="K1360" s="55" t="s">
        <v>33</v>
      </c>
      <c r="L1360" s="60" t="s">
        <v>680</v>
      </c>
    </row>
    <row r="1361" spans="1:12" x14ac:dyDescent="0.3">
      <c r="H1361" s="74">
        <v>100</v>
      </c>
      <c r="K1361" s="55" t="s">
        <v>96</v>
      </c>
    </row>
    <row r="1362" spans="1:12" x14ac:dyDescent="0.3">
      <c r="H1362" s="74">
        <v>40</v>
      </c>
      <c r="K1362" s="55" t="s">
        <v>32</v>
      </c>
      <c r="L1362" s="60" t="s">
        <v>460</v>
      </c>
    </row>
    <row r="1363" spans="1:12" x14ac:dyDescent="0.3">
      <c r="H1363" s="74">
        <v>10</v>
      </c>
      <c r="K1363" s="55" t="s">
        <v>33</v>
      </c>
      <c r="L1363" s="60" t="s">
        <v>681</v>
      </c>
    </row>
    <row r="1364" spans="1:12" x14ac:dyDescent="0.3">
      <c r="H1364" s="74">
        <v>15</v>
      </c>
      <c r="K1364" s="55" t="s">
        <v>55</v>
      </c>
      <c r="L1364" s="60" t="s">
        <v>13</v>
      </c>
    </row>
    <row r="1365" spans="1:12" x14ac:dyDescent="0.3">
      <c r="H1365" s="74">
        <v>20</v>
      </c>
      <c r="K1365" s="55" t="s">
        <v>32</v>
      </c>
      <c r="L1365" s="60" t="s">
        <v>669</v>
      </c>
    </row>
    <row r="1366" spans="1:12" x14ac:dyDescent="0.3">
      <c r="H1366" s="74">
        <v>20</v>
      </c>
      <c r="K1366" s="55" t="s">
        <v>34</v>
      </c>
      <c r="L1366" s="60" t="s">
        <v>149</v>
      </c>
    </row>
    <row r="1367" spans="1:12" x14ac:dyDescent="0.3">
      <c r="H1367" s="74">
        <v>15</v>
      </c>
      <c r="K1367" s="55" t="s">
        <v>34</v>
      </c>
      <c r="L1367" s="60" t="s">
        <v>682</v>
      </c>
    </row>
    <row r="1368" spans="1:12" x14ac:dyDescent="0.3">
      <c r="H1368" s="74">
        <v>25</v>
      </c>
      <c r="K1368" s="55" t="s">
        <v>30</v>
      </c>
      <c r="L1368" s="60" t="s">
        <v>136</v>
      </c>
    </row>
    <row r="1369" spans="1:12" ht="23.25" x14ac:dyDescent="0.35">
      <c r="A1369" s="72" t="s">
        <v>679</v>
      </c>
      <c r="B1369" s="55" t="s">
        <v>0</v>
      </c>
      <c r="C1369" s="67" t="s">
        <v>46</v>
      </c>
      <c r="D1369" s="55" t="s">
        <v>50</v>
      </c>
      <c r="E1369" s="19">
        <v>462.94</v>
      </c>
      <c r="F1369" s="19">
        <v>15</v>
      </c>
      <c r="G1369" s="39" t="s">
        <v>11</v>
      </c>
      <c r="H1369" s="74">
        <v>10</v>
      </c>
      <c r="K1369" s="55" t="s">
        <v>25</v>
      </c>
    </row>
    <row r="1370" spans="1:12" ht="23.25" x14ac:dyDescent="0.35">
      <c r="G1370" s="39"/>
      <c r="H1370" s="74">
        <v>10</v>
      </c>
      <c r="K1370" s="55" t="s">
        <v>84</v>
      </c>
    </row>
    <row r="1371" spans="1:12" x14ac:dyDescent="0.3">
      <c r="H1371" s="74">
        <v>20</v>
      </c>
      <c r="K1371" s="55" t="s">
        <v>102</v>
      </c>
    </row>
    <row r="1372" spans="1:12" x14ac:dyDescent="0.3">
      <c r="H1372" s="74">
        <v>160</v>
      </c>
      <c r="K1372" s="55" t="s">
        <v>96</v>
      </c>
    </row>
    <row r="1373" spans="1:12" x14ac:dyDescent="0.3">
      <c r="H1373" s="74">
        <v>60</v>
      </c>
      <c r="K1373" s="55" t="s">
        <v>32</v>
      </c>
      <c r="L1373" s="60" t="s">
        <v>683</v>
      </c>
    </row>
    <row r="1374" spans="1:12" x14ac:dyDescent="0.3">
      <c r="H1374" s="74">
        <v>20</v>
      </c>
      <c r="K1374" s="55" t="s">
        <v>34</v>
      </c>
    </row>
    <row r="1375" spans="1:12" x14ac:dyDescent="0.3">
      <c r="H1375" s="74">
        <v>20</v>
      </c>
      <c r="K1375" s="55" t="s">
        <v>55</v>
      </c>
      <c r="L1375" s="60" t="s">
        <v>131</v>
      </c>
    </row>
    <row r="1376" spans="1:12" x14ac:dyDescent="0.3">
      <c r="H1376" s="74">
        <v>30</v>
      </c>
      <c r="K1376" s="55" t="s">
        <v>30</v>
      </c>
      <c r="L1376" s="60" t="s">
        <v>136</v>
      </c>
    </row>
    <row r="1377" spans="1:12" ht="23.25" x14ac:dyDescent="0.35">
      <c r="A1377" s="72" t="s">
        <v>679</v>
      </c>
      <c r="B1377" s="55" t="s">
        <v>10</v>
      </c>
      <c r="C1377" s="67" t="s">
        <v>188</v>
      </c>
      <c r="D1377" s="55" t="s">
        <v>51</v>
      </c>
      <c r="E1377" s="19">
        <v>226.59</v>
      </c>
      <c r="F1377" s="19">
        <v>7</v>
      </c>
      <c r="G1377" s="39" t="s">
        <v>11</v>
      </c>
      <c r="H1377" s="74">
        <v>10</v>
      </c>
      <c r="K1377" s="55" t="s">
        <v>25</v>
      </c>
    </row>
    <row r="1378" spans="1:12" x14ac:dyDescent="0.3">
      <c r="H1378" s="74">
        <v>40</v>
      </c>
      <c r="K1378" s="55" t="s">
        <v>84</v>
      </c>
    </row>
    <row r="1379" spans="1:12" x14ac:dyDescent="0.3">
      <c r="H1379" s="74">
        <v>50</v>
      </c>
      <c r="K1379" s="55" t="s">
        <v>32</v>
      </c>
      <c r="L1379" s="60" t="s">
        <v>684</v>
      </c>
    </row>
    <row r="1380" spans="1:12" x14ac:dyDescent="0.3">
      <c r="H1380" s="74">
        <v>70</v>
      </c>
      <c r="K1380" s="55" t="s">
        <v>96</v>
      </c>
    </row>
    <row r="1381" spans="1:12" x14ac:dyDescent="0.3">
      <c r="H1381" s="74">
        <v>30</v>
      </c>
      <c r="K1381" s="55" t="s">
        <v>34</v>
      </c>
      <c r="L1381" s="60" t="s">
        <v>149</v>
      </c>
    </row>
    <row r="1382" spans="1:12" x14ac:dyDescent="0.3">
      <c r="H1382" s="74">
        <v>60</v>
      </c>
      <c r="K1382" s="55" t="s">
        <v>34</v>
      </c>
      <c r="L1382" s="60" t="s">
        <v>323</v>
      </c>
    </row>
    <row r="1383" spans="1:12" x14ac:dyDescent="0.3">
      <c r="H1383" s="74">
        <v>25</v>
      </c>
      <c r="K1383" s="55" t="s">
        <v>102</v>
      </c>
    </row>
    <row r="1384" spans="1:12" x14ac:dyDescent="0.3">
      <c r="H1384" s="74">
        <v>40</v>
      </c>
      <c r="K1384" s="55" t="s">
        <v>30</v>
      </c>
      <c r="L1384" s="60" t="s">
        <v>685</v>
      </c>
    </row>
    <row r="1385" spans="1:12" x14ac:dyDescent="0.3">
      <c r="H1385" s="74">
        <v>30</v>
      </c>
      <c r="K1385" s="55" t="s">
        <v>32</v>
      </c>
      <c r="L1385" s="60" t="s">
        <v>686</v>
      </c>
    </row>
    <row r="1386" spans="1:12" x14ac:dyDescent="0.3">
      <c r="H1386" s="74">
        <v>50</v>
      </c>
      <c r="K1386" s="55" t="s">
        <v>32</v>
      </c>
      <c r="L1386" s="60" t="s">
        <v>687</v>
      </c>
    </row>
    <row r="1387" spans="1:12" ht="23.25" x14ac:dyDescent="0.35">
      <c r="A1387" s="72" t="s">
        <v>679</v>
      </c>
      <c r="B1387" s="39" t="s">
        <v>12</v>
      </c>
      <c r="C1387" s="67" t="s">
        <v>48</v>
      </c>
      <c r="D1387" s="39" t="s">
        <v>52</v>
      </c>
      <c r="E1387" s="19">
        <v>362.85</v>
      </c>
      <c r="F1387" s="19">
        <v>10</v>
      </c>
      <c r="G1387" s="39" t="s">
        <v>11</v>
      </c>
      <c r="H1387" s="74">
        <v>10</v>
      </c>
      <c r="K1387" s="55" t="s">
        <v>25</v>
      </c>
    </row>
    <row r="1388" spans="1:12" x14ac:dyDescent="0.3">
      <c r="H1388" s="74">
        <v>10</v>
      </c>
      <c r="K1388" s="55" t="s">
        <v>84</v>
      </c>
    </row>
    <row r="1389" spans="1:12" x14ac:dyDescent="0.3">
      <c r="H1389" s="74">
        <v>140</v>
      </c>
      <c r="K1389" s="55" t="s">
        <v>96</v>
      </c>
    </row>
    <row r="1390" spans="1:12" x14ac:dyDescent="0.3">
      <c r="H1390" s="74">
        <v>30</v>
      </c>
      <c r="K1390" s="55" t="s">
        <v>32</v>
      </c>
      <c r="L1390" s="60" t="s">
        <v>688</v>
      </c>
    </row>
    <row r="1391" spans="1:12" x14ac:dyDescent="0.3">
      <c r="H1391" s="74">
        <v>30</v>
      </c>
      <c r="K1391" s="55" t="s">
        <v>32</v>
      </c>
      <c r="L1391" s="60" t="s">
        <v>686</v>
      </c>
    </row>
    <row r="1392" spans="1:12" x14ac:dyDescent="0.3">
      <c r="H1392" s="74">
        <v>25</v>
      </c>
      <c r="K1392" s="55" t="s">
        <v>102</v>
      </c>
    </row>
    <row r="1393" spans="1:13" x14ac:dyDescent="0.3">
      <c r="H1393" s="74">
        <v>45</v>
      </c>
      <c r="K1393" s="55" t="s">
        <v>30</v>
      </c>
      <c r="L1393" s="60" t="s">
        <v>685</v>
      </c>
    </row>
    <row r="1394" spans="1:13" x14ac:dyDescent="0.3">
      <c r="H1394" s="74">
        <v>30</v>
      </c>
      <c r="K1394" s="55" t="s">
        <v>34</v>
      </c>
      <c r="L1394" s="60" t="s">
        <v>149</v>
      </c>
    </row>
    <row r="1395" spans="1:13" x14ac:dyDescent="0.3">
      <c r="H1395" s="74">
        <v>30</v>
      </c>
      <c r="K1395" s="55" t="s">
        <v>34</v>
      </c>
      <c r="L1395" s="60" t="s">
        <v>323</v>
      </c>
    </row>
    <row r="1396" spans="1:13" ht="23.25" x14ac:dyDescent="0.35">
      <c r="A1396" s="72" t="s">
        <v>689</v>
      </c>
      <c r="B1396" s="39" t="s">
        <v>0</v>
      </c>
      <c r="C1396" s="67" t="s">
        <v>47</v>
      </c>
      <c r="D1396" s="39" t="s">
        <v>50</v>
      </c>
      <c r="E1396" s="19">
        <v>319.97000000000003</v>
      </c>
      <c r="F1396" s="19">
        <v>9</v>
      </c>
      <c r="G1396" s="39" t="s">
        <v>11</v>
      </c>
      <c r="H1396" s="74">
        <v>10</v>
      </c>
      <c r="K1396" s="55" t="s">
        <v>25</v>
      </c>
    </row>
    <row r="1397" spans="1:13" ht="23.25" x14ac:dyDescent="0.35">
      <c r="G1397" s="39"/>
      <c r="H1397" s="74">
        <v>10</v>
      </c>
      <c r="K1397" s="55" t="s">
        <v>84</v>
      </c>
    </row>
    <row r="1398" spans="1:13" x14ac:dyDescent="0.3">
      <c r="H1398" s="74">
        <v>20</v>
      </c>
      <c r="K1398" s="55" t="s">
        <v>102</v>
      </c>
    </row>
    <row r="1399" spans="1:13" x14ac:dyDescent="0.3">
      <c r="H1399" s="74">
        <v>100</v>
      </c>
      <c r="K1399" s="55" t="s">
        <v>96</v>
      </c>
    </row>
    <row r="1400" spans="1:13" x14ac:dyDescent="0.3">
      <c r="H1400" s="74">
        <v>90</v>
      </c>
      <c r="K1400" s="55" t="s">
        <v>32</v>
      </c>
      <c r="L1400" s="60" t="s">
        <v>690</v>
      </c>
    </row>
    <row r="1401" spans="1:13" x14ac:dyDescent="0.3">
      <c r="H1401" s="74">
        <v>40</v>
      </c>
      <c r="K1401" s="55" t="s">
        <v>34</v>
      </c>
      <c r="L1401" s="60" t="s">
        <v>323</v>
      </c>
    </row>
    <row r="1402" spans="1:13" x14ac:dyDescent="0.3">
      <c r="H1402" s="74">
        <v>20</v>
      </c>
      <c r="K1402" s="55" t="s">
        <v>55</v>
      </c>
      <c r="L1402" s="60" t="s">
        <v>131</v>
      </c>
    </row>
    <row r="1403" spans="1:13" x14ac:dyDescent="0.3">
      <c r="H1403" s="74">
        <v>30</v>
      </c>
      <c r="K1403" s="55" t="s">
        <v>30</v>
      </c>
      <c r="L1403" s="60" t="s">
        <v>324</v>
      </c>
      <c r="M1403" s="1" t="s">
        <v>691</v>
      </c>
    </row>
    <row r="1404" spans="1:13" x14ac:dyDescent="0.3">
      <c r="H1404" s="74">
        <v>20</v>
      </c>
      <c r="K1404" s="55" t="s">
        <v>32</v>
      </c>
      <c r="L1404" s="60" t="s">
        <v>688</v>
      </c>
    </row>
    <row r="1405" spans="1:13" x14ac:dyDescent="0.3">
      <c r="H1405" s="74">
        <v>20</v>
      </c>
      <c r="K1405" s="55" t="s">
        <v>34</v>
      </c>
      <c r="L1405" s="60" t="s">
        <v>149</v>
      </c>
    </row>
    <row r="1406" spans="1:13" x14ac:dyDescent="0.3">
      <c r="A1406" s="72" t="s">
        <v>689</v>
      </c>
      <c r="B1406" s="55" t="s">
        <v>10</v>
      </c>
      <c r="C1406" s="67" t="s">
        <v>188</v>
      </c>
      <c r="D1406" s="55" t="s">
        <v>51</v>
      </c>
      <c r="E1406" s="19">
        <v>274.83999999999997</v>
      </c>
      <c r="F1406" s="19">
        <v>10</v>
      </c>
      <c r="G1406" s="55" t="s">
        <v>11</v>
      </c>
      <c r="H1406" s="74">
        <v>10</v>
      </c>
      <c r="K1406" s="55" t="s">
        <v>25</v>
      </c>
    </row>
    <row r="1407" spans="1:13" x14ac:dyDescent="0.3">
      <c r="H1407" s="74">
        <v>10</v>
      </c>
      <c r="K1407" s="55" t="s">
        <v>84</v>
      </c>
    </row>
    <row r="1408" spans="1:13" x14ac:dyDescent="0.3">
      <c r="H1408" s="74">
        <v>120</v>
      </c>
      <c r="K1408" s="55" t="s">
        <v>96</v>
      </c>
    </row>
    <row r="1409" spans="1:12" x14ac:dyDescent="0.3">
      <c r="H1409" s="74">
        <v>60</v>
      </c>
      <c r="K1409" s="55" t="s">
        <v>32</v>
      </c>
      <c r="L1409" s="60" t="s">
        <v>494</v>
      </c>
    </row>
    <row r="1410" spans="1:12" x14ac:dyDescent="0.3">
      <c r="H1410" s="74">
        <v>30</v>
      </c>
      <c r="K1410" s="55" t="s">
        <v>32</v>
      </c>
      <c r="L1410" s="60" t="s">
        <v>245</v>
      </c>
    </row>
    <row r="1411" spans="1:12" x14ac:dyDescent="0.3">
      <c r="H1411" s="74">
        <v>40</v>
      </c>
      <c r="K1411" s="55" t="s">
        <v>30</v>
      </c>
      <c r="L1411" s="60" t="s">
        <v>250</v>
      </c>
    </row>
    <row r="1412" spans="1:12" x14ac:dyDescent="0.3">
      <c r="H1412" s="74">
        <v>60</v>
      </c>
      <c r="K1412" s="55" t="s">
        <v>34</v>
      </c>
      <c r="L1412" s="60" t="s">
        <v>268</v>
      </c>
    </row>
    <row r="1413" spans="1:12" x14ac:dyDescent="0.3">
      <c r="H1413" s="74">
        <v>20</v>
      </c>
      <c r="K1413" s="55" t="s">
        <v>102</v>
      </c>
    </row>
    <row r="1414" spans="1:12" x14ac:dyDescent="0.3">
      <c r="H1414" s="74">
        <v>20</v>
      </c>
      <c r="K1414" s="55" t="s">
        <v>55</v>
      </c>
      <c r="L1414" s="60" t="s">
        <v>131</v>
      </c>
    </row>
    <row r="1415" spans="1:12" x14ac:dyDescent="0.3">
      <c r="A1415" s="72" t="s">
        <v>689</v>
      </c>
      <c r="B1415" s="55" t="s">
        <v>12</v>
      </c>
      <c r="C1415" s="67" t="s">
        <v>48</v>
      </c>
      <c r="D1415" s="55" t="s">
        <v>52</v>
      </c>
      <c r="E1415" s="19">
        <v>300.11</v>
      </c>
      <c r="F1415" s="19">
        <v>11</v>
      </c>
      <c r="G1415" s="55" t="s">
        <v>11</v>
      </c>
      <c r="H1415" s="74">
        <v>10</v>
      </c>
      <c r="K1415" s="55" t="s">
        <v>25</v>
      </c>
    </row>
    <row r="1416" spans="1:12" x14ac:dyDescent="0.3">
      <c r="H1416" s="74">
        <v>10</v>
      </c>
      <c r="K1416" s="55" t="s">
        <v>84</v>
      </c>
    </row>
    <row r="1417" spans="1:12" x14ac:dyDescent="0.3">
      <c r="H1417" s="74">
        <v>120</v>
      </c>
      <c r="K1417" s="55" t="s">
        <v>96</v>
      </c>
    </row>
    <row r="1418" spans="1:12" x14ac:dyDescent="0.3">
      <c r="H1418" s="74">
        <v>60</v>
      </c>
      <c r="K1418" s="55" t="s">
        <v>32</v>
      </c>
      <c r="L1418" s="60" t="s">
        <v>494</v>
      </c>
    </row>
    <row r="1419" spans="1:12" x14ac:dyDescent="0.3">
      <c r="H1419" s="74">
        <v>20</v>
      </c>
      <c r="K1419" s="55" t="s">
        <v>55</v>
      </c>
      <c r="L1419" s="60" t="s">
        <v>131</v>
      </c>
    </row>
    <row r="1420" spans="1:12" x14ac:dyDescent="0.3">
      <c r="H1420" s="74">
        <v>50</v>
      </c>
      <c r="K1420" s="55" t="s">
        <v>30</v>
      </c>
      <c r="L1420" s="60" t="s">
        <v>692</v>
      </c>
    </row>
    <row r="1421" spans="1:12" x14ac:dyDescent="0.3">
      <c r="H1421" s="74">
        <v>40</v>
      </c>
      <c r="K1421" s="55" t="s">
        <v>34</v>
      </c>
      <c r="L1421" s="60" t="s">
        <v>268</v>
      </c>
    </row>
    <row r="1422" spans="1:12" x14ac:dyDescent="0.3">
      <c r="H1422" s="74">
        <v>20</v>
      </c>
      <c r="K1422" s="55" t="s">
        <v>102</v>
      </c>
    </row>
    <row r="1423" spans="1:12" x14ac:dyDescent="0.3">
      <c r="A1423" s="72" t="s">
        <v>694</v>
      </c>
      <c r="B1423" s="55" t="s">
        <v>0</v>
      </c>
      <c r="C1423" s="67" t="s">
        <v>47</v>
      </c>
      <c r="D1423" s="55" t="s">
        <v>50</v>
      </c>
      <c r="E1423" s="19">
        <v>329.58</v>
      </c>
      <c r="F1423" s="19">
        <v>9</v>
      </c>
      <c r="G1423" s="55" t="s">
        <v>11</v>
      </c>
      <c r="H1423" s="74">
        <v>10</v>
      </c>
      <c r="K1423" s="55" t="s">
        <v>25</v>
      </c>
    </row>
    <row r="1424" spans="1:12" x14ac:dyDescent="0.3">
      <c r="H1424" s="74">
        <v>10</v>
      </c>
      <c r="K1424" s="55" t="s">
        <v>84</v>
      </c>
    </row>
    <row r="1425" spans="1:12" x14ac:dyDescent="0.3">
      <c r="H1425" s="74">
        <v>90</v>
      </c>
      <c r="K1425" s="55" t="s">
        <v>96</v>
      </c>
    </row>
    <row r="1426" spans="1:12" x14ac:dyDescent="0.3">
      <c r="H1426" s="74">
        <v>60</v>
      </c>
      <c r="K1426" s="55" t="s">
        <v>32</v>
      </c>
      <c r="L1426" s="60" t="s">
        <v>137</v>
      </c>
    </row>
    <row r="1427" spans="1:12" x14ac:dyDescent="0.3">
      <c r="H1427" s="74">
        <v>20</v>
      </c>
      <c r="K1427" s="55" t="s">
        <v>32</v>
      </c>
      <c r="L1427" s="60" t="s">
        <v>419</v>
      </c>
    </row>
    <row r="1428" spans="1:12" x14ac:dyDescent="0.3">
      <c r="H1428" s="74">
        <v>20</v>
      </c>
      <c r="K1428" s="55" t="s">
        <v>55</v>
      </c>
    </row>
    <row r="1429" spans="1:12" x14ac:dyDescent="0.3">
      <c r="H1429" s="74">
        <v>30</v>
      </c>
      <c r="K1429" s="55" t="s">
        <v>30</v>
      </c>
    </row>
    <row r="1430" spans="1:12" x14ac:dyDescent="0.3">
      <c r="H1430" s="74">
        <v>40</v>
      </c>
      <c r="K1430" s="55" t="s">
        <v>34</v>
      </c>
    </row>
    <row r="1431" spans="1:12" x14ac:dyDescent="0.3">
      <c r="H1431" s="74">
        <v>30</v>
      </c>
      <c r="K1431" s="55" t="s">
        <v>102</v>
      </c>
    </row>
    <row r="1432" spans="1:12" x14ac:dyDescent="0.3">
      <c r="H1432" s="74">
        <v>30</v>
      </c>
      <c r="K1432" s="55" t="s">
        <v>33</v>
      </c>
      <c r="L1432" s="60" t="s">
        <v>693</v>
      </c>
    </row>
    <row r="1433" spans="1:12" x14ac:dyDescent="0.3">
      <c r="A1433" s="72" t="s">
        <v>694</v>
      </c>
      <c r="B1433" s="55" t="s">
        <v>10</v>
      </c>
      <c r="C1433" s="67" t="s">
        <v>188</v>
      </c>
      <c r="D1433" s="55" t="s">
        <v>51</v>
      </c>
      <c r="E1433" s="19">
        <v>219.72</v>
      </c>
      <c r="F1433" s="19">
        <v>7</v>
      </c>
      <c r="G1433" s="55" t="s">
        <v>11</v>
      </c>
      <c r="H1433" s="74">
        <v>10</v>
      </c>
      <c r="K1433" s="55" t="s">
        <v>25</v>
      </c>
    </row>
    <row r="1434" spans="1:12" x14ac:dyDescent="0.3">
      <c r="H1434" s="74">
        <v>10</v>
      </c>
      <c r="K1434" s="55" t="s">
        <v>84</v>
      </c>
    </row>
    <row r="1435" spans="1:12" x14ac:dyDescent="0.3">
      <c r="H1435" s="74">
        <v>70</v>
      </c>
      <c r="K1435" s="55" t="s">
        <v>96</v>
      </c>
    </row>
    <row r="1436" spans="1:12" x14ac:dyDescent="0.3">
      <c r="H1436" s="74">
        <v>40</v>
      </c>
      <c r="K1436" s="55" t="s">
        <v>32</v>
      </c>
      <c r="L1436" s="60" t="s">
        <v>695</v>
      </c>
    </row>
    <row r="1437" spans="1:12" x14ac:dyDescent="0.3">
      <c r="H1437" s="74">
        <v>90</v>
      </c>
      <c r="K1437" s="55" t="s">
        <v>32</v>
      </c>
      <c r="L1437" s="60" t="s">
        <v>701</v>
      </c>
    </row>
    <row r="1438" spans="1:12" x14ac:dyDescent="0.3">
      <c r="H1438" s="74">
        <v>40</v>
      </c>
      <c r="K1438" s="55" t="s">
        <v>30</v>
      </c>
      <c r="L1438" s="60" t="s">
        <v>250</v>
      </c>
    </row>
    <row r="1439" spans="1:12" x14ac:dyDescent="0.3">
      <c r="H1439" s="74">
        <v>30</v>
      </c>
      <c r="K1439" s="55" t="s">
        <v>33</v>
      </c>
      <c r="L1439" s="60" t="s">
        <v>696</v>
      </c>
    </row>
    <row r="1440" spans="1:12" x14ac:dyDescent="0.3">
      <c r="H1440" s="74">
        <v>60</v>
      </c>
      <c r="K1440" s="55" t="s">
        <v>34</v>
      </c>
      <c r="L1440" s="60" t="s">
        <v>698</v>
      </c>
    </row>
    <row r="1441" spans="1:13" x14ac:dyDescent="0.3">
      <c r="H1441" s="74">
        <v>20</v>
      </c>
      <c r="K1441" s="55" t="s">
        <v>102</v>
      </c>
    </row>
    <row r="1442" spans="1:13" x14ac:dyDescent="0.3">
      <c r="H1442" s="74">
        <v>10</v>
      </c>
      <c r="K1442" s="55" t="s">
        <v>33</v>
      </c>
      <c r="L1442" s="60" t="s">
        <v>697</v>
      </c>
    </row>
    <row r="1443" spans="1:13" x14ac:dyDescent="0.3">
      <c r="H1443" s="74">
        <v>10</v>
      </c>
      <c r="K1443" s="55" t="s">
        <v>55</v>
      </c>
      <c r="L1443" s="60" t="s">
        <v>699</v>
      </c>
      <c r="M1443" s="1" t="s">
        <v>700</v>
      </c>
    </row>
    <row r="1444" spans="1:13" x14ac:dyDescent="0.3">
      <c r="A1444" s="72" t="s">
        <v>694</v>
      </c>
      <c r="B1444" s="55" t="s">
        <v>12</v>
      </c>
      <c r="C1444" s="67" t="s">
        <v>46</v>
      </c>
      <c r="D1444" s="55" t="s">
        <v>52</v>
      </c>
      <c r="E1444" s="19">
        <v>279.22000000000003</v>
      </c>
      <c r="F1444" s="19">
        <v>9</v>
      </c>
      <c r="G1444" s="55" t="s">
        <v>11</v>
      </c>
      <c r="H1444" s="74">
        <v>10</v>
      </c>
      <c r="K1444" s="55" t="s">
        <v>25</v>
      </c>
    </row>
    <row r="1445" spans="1:13" x14ac:dyDescent="0.3">
      <c r="H1445" s="74">
        <v>10</v>
      </c>
      <c r="K1445" s="55" t="s">
        <v>84</v>
      </c>
    </row>
    <row r="1446" spans="1:13" x14ac:dyDescent="0.3">
      <c r="H1446" s="74">
        <v>90</v>
      </c>
      <c r="K1446" s="55" t="s">
        <v>96</v>
      </c>
    </row>
    <row r="1447" spans="1:13" x14ac:dyDescent="0.3">
      <c r="H1447" s="74">
        <v>60</v>
      </c>
      <c r="K1447" s="55" t="s">
        <v>32</v>
      </c>
      <c r="L1447" s="60" t="s">
        <v>494</v>
      </c>
    </row>
    <row r="1448" spans="1:13" x14ac:dyDescent="0.3">
      <c r="H1448" s="74">
        <v>20</v>
      </c>
      <c r="K1448" s="55" t="s">
        <v>55</v>
      </c>
      <c r="L1448" s="60" t="s">
        <v>131</v>
      </c>
    </row>
    <row r="1449" spans="1:13" x14ac:dyDescent="0.3">
      <c r="H1449" s="74">
        <v>20</v>
      </c>
      <c r="K1449" s="55" t="s">
        <v>30</v>
      </c>
      <c r="L1449" s="60" t="s">
        <v>692</v>
      </c>
    </row>
    <row r="1450" spans="1:13" x14ac:dyDescent="0.3">
      <c r="H1450" s="74">
        <v>20</v>
      </c>
      <c r="K1450" s="55" t="s">
        <v>34</v>
      </c>
      <c r="L1450" s="60" t="s">
        <v>268</v>
      </c>
    </row>
    <row r="1451" spans="1:13" x14ac:dyDescent="0.3">
      <c r="H1451" s="74">
        <v>20</v>
      </c>
      <c r="K1451" s="55" t="s">
        <v>102</v>
      </c>
    </row>
    <row r="1452" spans="1:13" x14ac:dyDescent="0.3">
      <c r="H1452" s="74">
        <v>30</v>
      </c>
      <c r="K1452" s="55" t="s">
        <v>33</v>
      </c>
      <c r="L1452" s="60" t="s">
        <v>702</v>
      </c>
    </row>
    <row r="1453" spans="1:13" x14ac:dyDescent="0.3">
      <c r="H1453" s="74">
        <v>20</v>
      </c>
      <c r="K1453" s="55" t="s">
        <v>55</v>
      </c>
      <c r="L1453" s="60" t="s">
        <v>703</v>
      </c>
    </row>
    <row r="1454" spans="1:13" x14ac:dyDescent="0.3">
      <c r="H1454" s="74">
        <v>30</v>
      </c>
      <c r="K1454" s="55" t="s">
        <v>32</v>
      </c>
      <c r="L1454" s="60" t="s">
        <v>704</v>
      </c>
    </row>
    <row r="1455" spans="1:13" x14ac:dyDescent="0.3">
      <c r="A1455" s="72" t="s">
        <v>705</v>
      </c>
      <c r="B1455" s="55" t="s">
        <v>0</v>
      </c>
      <c r="C1455" s="67" t="s">
        <v>47</v>
      </c>
      <c r="D1455" s="55" t="s">
        <v>50</v>
      </c>
      <c r="E1455" s="19">
        <v>293.72000000000003</v>
      </c>
      <c r="F1455" s="19">
        <v>9</v>
      </c>
      <c r="G1455" s="55" t="s">
        <v>11</v>
      </c>
      <c r="H1455" s="74">
        <v>10</v>
      </c>
      <c r="K1455" s="55" t="s">
        <v>25</v>
      </c>
    </row>
    <row r="1456" spans="1:13" x14ac:dyDescent="0.3">
      <c r="H1456" s="74">
        <v>10</v>
      </c>
      <c r="K1456" s="55" t="s">
        <v>84</v>
      </c>
    </row>
    <row r="1457" spans="1:12" x14ac:dyDescent="0.3">
      <c r="H1457" s="74">
        <v>90</v>
      </c>
      <c r="K1457" s="55" t="s">
        <v>96</v>
      </c>
    </row>
    <row r="1458" spans="1:12" x14ac:dyDescent="0.3">
      <c r="H1458" s="74">
        <v>90</v>
      </c>
      <c r="K1458" s="55" t="s">
        <v>32</v>
      </c>
      <c r="L1458" s="60" t="s">
        <v>706</v>
      </c>
    </row>
    <row r="1459" spans="1:12" x14ac:dyDescent="0.3">
      <c r="H1459" s="74">
        <v>30</v>
      </c>
      <c r="K1459" s="55" t="s">
        <v>34</v>
      </c>
      <c r="L1459" s="60" t="s">
        <v>149</v>
      </c>
    </row>
    <row r="1460" spans="1:12" x14ac:dyDescent="0.3">
      <c r="H1460" s="74">
        <v>50</v>
      </c>
      <c r="K1460" s="55" t="s">
        <v>34</v>
      </c>
      <c r="L1460" s="60" t="s">
        <v>561</v>
      </c>
    </row>
    <row r="1461" spans="1:12" x14ac:dyDescent="0.3">
      <c r="H1461" s="74">
        <v>30</v>
      </c>
      <c r="K1461" s="55" t="s">
        <v>30</v>
      </c>
      <c r="L1461" s="60" t="s">
        <v>136</v>
      </c>
    </row>
    <row r="1462" spans="1:12" x14ac:dyDescent="0.3">
      <c r="H1462" s="74">
        <v>25</v>
      </c>
      <c r="K1462" s="55" t="s">
        <v>55</v>
      </c>
      <c r="L1462" s="60" t="s">
        <v>606</v>
      </c>
    </row>
    <row r="1463" spans="1:12" x14ac:dyDescent="0.3">
      <c r="A1463" s="72" t="s">
        <v>705</v>
      </c>
      <c r="B1463" s="55" t="s">
        <v>10</v>
      </c>
      <c r="C1463" s="67" t="s">
        <v>47</v>
      </c>
      <c r="D1463" s="55" t="s">
        <v>51</v>
      </c>
      <c r="E1463" s="19">
        <v>249.4</v>
      </c>
      <c r="F1463" s="19">
        <v>7.5</v>
      </c>
      <c r="G1463" s="55" t="s">
        <v>11</v>
      </c>
      <c r="H1463" s="74">
        <v>10</v>
      </c>
      <c r="K1463" s="55" t="s">
        <v>25</v>
      </c>
    </row>
    <row r="1464" spans="1:12" x14ac:dyDescent="0.3">
      <c r="H1464" s="74">
        <v>10</v>
      </c>
      <c r="K1464" s="55" t="s">
        <v>84</v>
      </c>
    </row>
    <row r="1465" spans="1:12" x14ac:dyDescent="0.3">
      <c r="H1465" s="74">
        <v>80</v>
      </c>
      <c r="K1465" s="55" t="s">
        <v>96</v>
      </c>
    </row>
    <row r="1466" spans="1:12" x14ac:dyDescent="0.3">
      <c r="H1466" s="74">
        <v>90</v>
      </c>
      <c r="K1466" s="55" t="s">
        <v>32</v>
      </c>
      <c r="L1466" s="60" t="s">
        <v>706</v>
      </c>
    </row>
    <row r="1467" spans="1:12" x14ac:dyDescent="0.3">
      <c r="H1467" s="74">
        <v>30</v>
      </c>
      <c r="K1467" s="55" t="s">
        <v>34</v>
      </c>
      <c r="L1467" s="60" t="s">
        <v>149</v>
      </c>
    </row>
    <row r="1468" spans="1:12" x14ac:dyDescent="0.3">
      <c r="H1468" s="74">
        <v>50</v>
      </c>
      <c r="K1468" s="55" t="s">
        <v>34</v>
      </c>
      <c r="L1468" s="60" t="s">
        <v>561</v>
      </c>
    </row>
    <row r="1469" spans="1:12" x14ac:dyDescent="0.3">
      <c r="H1469" s="74">
        <v>30</v>
      </c>
      <c r="K1469" s="55" t="s">
        <v>30</v>
      </c>
      <c r="L1469" s="60" t="s">
        <v>136</v>
      </c>
    </row>
    <row r="1470" spans="1:12" x14ac:dyDescent="0.3">
      <c r="H1470" s="74">
        <v>20</v>
      </c>
      <c r="K1470" s="55" t="s">
        <v>55</v>
      </c>
      <c r="L1470" s="60" t="s">
        <v>475</v>
      </c>
    </row>
    <row r="1471" spans="1:12" x14ac:dyDescent="0.3">
      <c r="H1471" s="74">
        <v>40</v>
      </c>
      <c r="K1471" s="55" t="s">
        <v>55</v>
      </c>
      <c r="L1471" s="60" t="s">
        <v>707</v>
      </c>
    </row>
    <row r="1472" spans="1:12" ht="23.25" x14ac:dyDescent="0.35">
      <c r="A1472" s="72" t="s">
        <v>705</v>
      </c>
      <c r="B1472" s="39" t="s">
        <v>12</v>
      </c>
      <c r="C1472" s="67" t="s">
        <v>46</v>
      </c>
      <c r="D1472" s="55" t="s">
        <v>52</v>
      </c>
      <c r="E1472" s="19">
        <v>178.81</v>
      </c>
      <c r="F1472" s="19">
        <v>5.5</v>
      </c>
      <c r="G1472" s="55" t="s">
        <v>11</v>
      </c>
      <c r="H1472" s="74">
        <v>10</v>
      </c>
      <c r="K1472" s="55" t="s">
        <v>25</v>
      </c>
    </row>
    <row r="1473" spans="1:13" x14ac:dyDescent="0.3">
      <c r="H1473" s="74">
        <v>10</v>
      </c>
      <c r="K1473" s="55" t="s">
        <v>84</v>
      </c>
    </row>
    <row r="1474" spans="1:13" x14ac:dyDescent="0.3">
      <c r="H1474" s="74">
        <v>50</v>
      </c>
      <c r="K1474" s="55" t="s">
        <v>96</v>
      </c>
    </row>
    <row r="1475" spans="1:13" x14ac:dyDescent="0.3">
      <c r="H1475" s="74">
        <v>60</v>
      </c>
      <c r="K1475" s="55" t="s">
        <v>32</v>
      </c>
      <c r="L1475" s="60" t="s">
        <v>494</v>
      </c>
    </row>
    <row r="1476" spans="1:13" x14ac:dyDescent="0.3">
      <c r="H1476" s="74">
        <v>50</v>
      </c>
      <c r="K1476" s="55" t="s">
        <v>32</v>
      </c>
      <c r="L1476" s="60" t="s">
        <v>711</v>
      </c>
    </row>
    <row r="1477" spans="1:13" x14ac:dyDescent="0.3">
      <c r="H1477" s="74">
        <v>20</v>
      </c>
      <c r="K1477" s="55" t="s">
        <v>32</v>
      </c>
      <c r="L1477" s="60" t="s">
        <v>236</v>
      </c>
    </row>
    <row r="1478" spans="1:13" x14ac:dyDescent="0.3">
      <c r="H1478" s="74">
        <v>30</v>
      </c>
      <c r="K1478" s="55" t="s">
        <v>32</v>
      </c>
      <c r="L1478" s="60" t="s">
        <v>708</v>
      </c>
    </row>
    <row r="1479" spans="1:13" x14ac:dyDescent="0.3">
      <c r="H1479" s="74">
        <v>54</v>
      </c>
      <c r="K1479" s="55" t="s">
        <v>33</v>
      </c>
      <c r="L1479" s="60" t="s">
        <v>709</v>
      </c>
    </row>
    <row r="1480" spans="1:13" x14ac:dyDescent="0.3">
      <c r="H1480" s="74">
        <v>30</v>
      </c>
      <c r="K1480" s="55" t="s">
        <v>34</v>
      </c>
      <c r="L1480" s="60" t="s">
        <v>149</v>
      </c>
    </row>
    <row r="1481" spans="1:13" x14ac:dyDescent="0.3">
      <c r="H1481" s="74">
        <v>30</v>
      </c>
      <c r="K1481" s="55" t="s">
        <v>34</v>
      </c>
      <c r="L1481" s="60" t="s">
        <v>331</v>
      </c>
      <c r="M1481" s="1" t="s">
        <v>710</v>
      </c>
    </row>
    <row r="1482" spans="1:13" x14ac:dyDescent="0.3">
      <c r="H1482" s="74">
        <v>20</v>
      </c>
      <c r="K1482" s="55" t="s">
        <v>102</v>
      </c>
    </row>
    <row r="1483" spans="1:13" x14ac:dyDescent="0.3">
      <c r="H1483" s="74">
        <v>20</v>
      </c>
      <c r="K1483" s="55" t="s">
        <v>30</v>
      </c>
      <c r="L1483" s="60" t="s">
        <v>692</v>
      </c>
    </row>
    <row r="1484" spans="1:13" x14ac:dyDescent="0.3">
      <c r="H1484" s="74">
        <v>20</v>
      </c>
      <c r="K1484" s="55" t="s">
        <v>55</v>
      </c>
      <c r="L1484" s="60" t="s">
        <v>131</v>
      </c>
    </row>
    <row r="1485" spans="1:13" ht="21" x14ac:dyDescent="0.35">
      <c r="A1485" s="72" t="s">
        <v>712</v>
      </c>
      <c r="B1485" s="76" t="s">
        <v>0</v>
      </c>
      <c r="C1485" s="67" t="s">
        <v>47</v>
      </c>
      <c r="D1485" s="76" t="s">
        <v>50</v>
      </c>
      <c r="E1485" s="19">
        <v>78.819999999999993</v>
      </c>
      <c r="F1485" s="19">
        <v>2.5</v>
      </c>
      <c r="G1485" s="76" t="s">
        <v>11</v>
      </c>
      <c r="H1485" s="74">
        <v>10</v>
      </c>
      <c r="I1485" s="77"/>
      <c r="J1485" s="77"/>
      <c r="K1485" s="76" t="s">
        <v>25</v>
      </c>
    </row>
    <row r="1486" spans="1:13" ht="21" x14ac:dyDescent="0.35">
      <c r="G1486" s="76"/>
      <c r="H1486" s="74">
        <v>10</v>
      </c>
      <c r="I1486" s="77"/>
      <c r="J1486" s="77"/>
      <c r="K1486" s="76" t="s">
        <v>84</v>
      </c>
    </row>
    <row r="1487" spans="1:13" ht="21" x14ac:dyDescent="0.35">
      <c r="G1487" s="76"/>
      <c r="I1487" s="77"/>
      <c r="J1487" s="77"/>
      <c r="K1487" s="76" t="s">
        <v>96</v>
      </c>
    </row>
    <row r="1488" spans="1:13" ht="21" x14ac:dyDescent="0.35">
      <c r="G1488" s="76"/>
      <c r="H1488" s="74">
        <v>30</v>
      </c>
      <c r="I1488" s="77"/>
      <c r="J1488" s="77"/>
      <c r="K1488" s="76" t="s">
        <v>32</v>
      </c>
      <c r="L1488" s="75" t="s">
        <v>717</v>
      </c>
    </row>
    <row r="1489" spans="1:12" ht="21" x14ac:dyDescent="0.35">
      <c r="G1489" s="76"/>
      <c r="H1489" s="74">
        <v>30</v>
      </c>
      <c r="I1489" s="77"/>
      <c r="J1489" s="77"/>
      <c r="K1489" s="76" t="s">
        <v>32</v>
      </c>
      <c r="L1489" s="75" t="s">
        <v>295</v>
      </c>
    </row>
    <row r="1490" spans="1:12" ht="21" x14ac:dyDescent="0.35">
      <c r="G1490" s="76"/>
      <c r="H1490" s="74">
        <v>30</v>
      </c>
      <c r="I1490" s="77"/>
      <c r="J1490" s="77"/>
      <c r="K1490" s="76" t="s">
        <v>32</v>
      </c>
      <c r="L1490" s="75" t="s">
        <v>716</v>
      </c>
    </row>
    <row r="1491" spans="1:12" ht="21" x14ac:dyDescent="0.35">
      <c r="G1491" s="76"/>
      <c r="H1491" s="74">
        <v>20</v>
      </c>
      <c r="I1491" s="77"/>
      <c r="J1491" s="77"/>
      <c r="K1491" s="76" t="s">
        <v>55</v>
      </c>
      <c r="L1491" s="75" t="s">
        <v>713</v>
      </c>
    </row>
    <row r="1492" spans="1:12" ht="21" x14ac:dyDescent="0.35">
      <c r="G1492" s="76"/>
      <c r="H1492" s="74">
        <v>60</v>
      </c>
      <c r="I1492" s="77"/>
      <c r="J1492" s="77"/>
      <c r="K1492" s="76" t="s">
        <v>55</v>
      </c>
      <c r="L1492" s="75" t="s">
        <v>582</v>
      </c>
    </row>
    <row r="1493" spans="1:12" ht="21" x14ac:dyDescent="0.35">
      <c r="G1493" s="76"/>
      <c r="H1493" s="74">
        <v>90</v>
      </c>
      <c r="I1493" s="77"/>
      <c r="J1493" s="77"/>
      <c r="K1493" s="76" t="s">
        <v>33</v>
      </c>
      <c r="L1493" s="75" t="s">
        <v>714</v>
      </c>
    </row>
    <row r="1494" spans="1:12" ht="21" x14ac:dyDescent="0.35">
      <c r="G1494" s="76"/>
      <c r="H1494" s="74">
        <v>60</v>
      </c>
      <c r="I1494" s="77"/>
      <c r="J1494" s="77"/>
      <c r="K1494" s="76" t="s">
        <v>33</v>
      </c>
      <c r="L1494" s="75" t="s">
        <v>715</v>
      </c>
    </row>
    <row r="1495" spans="1:12" ht="21" x14ac:dyDescent="0.35">
      <c r="G1495" s="76"/>
      <c r="H1495" s="74">
        <v>30</v>
      </c>
      <c r="I1495" s="77"/>
      <c r="J1495" s="77"/>
      <c r="K1495" s="76" t="s">
        <v>55</v>
      </c>
      <c r="L1495" s="75" t="s">
        <v>248</v>
      </c>
    </row>
    <row r="1496" spans="1:12" x14ac:dyDescent="0.3">
      <c r="A1496" s="72" t="s">
        <v>712</v>
      </c>
      <c r="B1496" s="55" t="s">
        <v>10</v>
      </c>
      <c r="C1496" s="67" t="s">
        <v>48</v>
      </c>
      <c r="D1496" s="55" t="s">
        <v>51</v>
      </c>
      <c r="E1496" s="19">
        <v>283.81</v>
      </c>
      <c r="F1496" s="19">
        <v>9.5</v>
      </c>
      <c r="G1496" s="55" t="s">
        <v>11</v>
      </c>
      <c r="H1496" s="74">
        <v>15</v>
      </c>
      <c r="I1496" s="53"/>
      <c r="J1496" s="53"/>
      <c r="K1496" s="55" t="s">
        <v>25</v>
      </c>
      <c r="L1496" s="75"/>
    </row>
    <row r="1497" spans="1:12" x14ac:dyDescent="0.3">
      <c r="H1497" s="74">
        <v>10</v>
      </c>
      <c r="K1497" s="55" t="s">
        <v>84</v>
      </c>
    </row>
    <row r="1498" spans="1:12" x14ac:dyDescent="0.3">
      <c r="H1498" s="74">
        <v>120</v>
      </c>
      <c r="K1498" s="55" t="s">
        <v>96</v>
      </c>
    </row>
    <row r="1499" spans="1:12" x14ac:dyDescent="0.3">
      <c r="H1499" s="74">
        <v>55</v>
      </c>
      <c r="K1499" s="55" t="s">
        <v>32</v>
      </c>
      <c r="L1499" s="60" t="s">
        <v>719</v>
      </c>
    </row>
    <row r="1500" spans="1:12" x14ac:dyDescent="0.3">
      <c r="H1500" s="74">
        <v>20</v>
      </c>
      <c r="K1500" s="55" t="s">
        <v>32</v>
      </c>
      <c r="L1500" s="60" t="s">
        <v>718</v>
      </c>
    </row>
    <row r="1501" spans="1:12" x14ac:dyDescent="0.3">
      <c r="H1501" s="74">
        <v>30</v>
      </c>
      <c r="K1501" s="55" t="s">
        <v>30</v>
      </c>
      <c r="L1501" s="60" t="s">
        <v>300</v>
      </c>
    </row>
    <row r="1502" spans="1:12" x14ac:dyDescent="0.3">
      <c r="H1502" s="74">
        <v>20</v>
      </c>
      <c r="K1502" s="55" t="s">
        <v>55</v>
      </c>
      <c r="L1502" s="60" t="s">
        <v>131</v>
      </c>
    </row>
    <row r="1503" spans="1:12" x14ac:dyDescent="0.3">
      <c r="H1503" s="74">
        <v>30</v>
      </c>
      <c r="K1503" s="55" t="s">
        <v>34</v>
      </c>
      <c r="L1503" s="60" t="s">
        <v>268</v>
      </c>
    </row>
    <row r="1504" spans="1:12" x14ac:dyDescent="0.3">
      <c r="H1504" s="74">
        <v>20</v>
      </c>
      <c r="K1504" s="55" t="s">
        <v>102</v>
      </c>
    </row>
    <row r="1505" spans="1:12" x14ac:dyDescent="0.3">
      <c r="H1505" s="74">
        <v>30</v>
      </c>
      <c r="K1505" s="55" t="s">
        <v>32</v>
      </c>
      <c r="L1505" s="60" t="s">
        <v>309</v>
      </c>
    </row>
    <row r="1506" spans="1:12" ht="23.25" x14ac:dyDescent="0.35">
      <c r="A1506" s="72" t="s">
        <v>712</v>
      </c>
      <c r="B1506" s="39" t="s">
        <v>12</v>
      </c>
      <c r="C1506" s="67" t="s">
        <v>46</v>
      </c>
      <c r="D1506" s="55" t="s">
        <v>52</v>
      </c>
      <c r="E1506" s="19">
        <v>363.69</v>
      </c>
      <c r="F1506" s="19">
        <v>12</v>
      </c>
      <c r="G1506" s="55" t="s">
        <v>11</v>
      </c>
      <c r="H1506" s="74">
        <v>10</v>
      </c>
      <c r="K1506" s="55" t="s">
        <v>25</v>
      </c>
    </row>
    <row r="1507" spans="1:12" x14ac:dyDescent="0.3">
      <c r="H1507" s="74">
        <v>10</v>
      </c>
      <c r="K1507" s="55" t="s">
        <v>84</v>
      </c>
    </row>
    <row r="1508" spans="1:12" x14ac:dyDescent="0.3">
      <c r="H1508" s="74">
        <v>60</v>
      </c>
      <c r="K1508" s="55" t="s">
        <v>32</v>
      </c>
      <c r="L1508" s="60" t="s">
        <v>494</v>
      </c>
    </row>
    <row r="1509" spans="1:12" x14ac:dyDescent="0.3">
      <c r="H1509" s="74">
        <v>40</v>
      </c>
      <c r="K1509" s="55" t="s">
        <v>32</v>
      </c>
      <c r="L1509" s="60" t="s">
        <v>608</v>
      </c>
    </row>
    <row r="1510" spans="1:12" x14ac:dyDescent="0.3">
      <c r="H1510" s="74">
        <v>20</v>
      </c>
      <c r="K1510" s="55" t="s">
        <v>55</v>
      </c>
      <c r="L1510" s="60" t="s">
        <v>720</v>
      </c>
    </row>
    <row r="1511" spans="1:12" x14ac:dyDescent="0.3">
      <c r="H1511" s="74">
        <v>20</v>
      </c>
      <c r="K1511" s="55" t="s">
        <v>34</v>
      </c>
      <c r="L1511" s="60" t="s">
        <v>149</v>
      </c>
    </row>
    <row r="1512" spans="1:12" x14ac:dyDescent="0.3">
      <c r="H1512" s="74">
        <v>20</v>
      </c>
      <c r="K1512" s="55" t="s">
        <v>102</v>
      </c>
    </row>
    <row r="1513" spans="1:12" x14ac:dyDescent="0.3">
      <c r="H1513" s="74">
        <v>20</v>
      </c>
      <c r="K1513" s="55" t="s">
        <v>55</v>
      </c>
      <c r="L1513" s="60" t="s">
        <v>131</v>
      </c>
    </row>
    <row r="1514" spans="1:12" ht="21" x14ac:dyDescent="0.35">
      <c r="A1514" s="72" t="s">
        <v>721</v>
      </c>
      <c r="B1514" s="76" t="s">
        <v>0</v>
      </c>
      <c r="C1514" s="67" t="s">
        <v>47</v>
      </c>
      <c r="D1514" s="76" t="s">
        <v>50</v>
      </c>
      <c r="E1514" s="19">
        <v>107.12</v>
      </c>
      <c r="F1514" s="19">
        <v>3</v>
      </c>
      <c r="G1514" s="55" t="s">
        <v>11</v>
      </c>
      <c r="H1514" s="74">
        <v>10</v>
      </c>
      <c r="K1514" s="55" t="s">
        <v>25</v>
      </c>
    </row>
    <row r="1515" spans="1:12" x14ac:dyDescent="0.3">
      <c r="H1515" s="74">
        <v>10</v>
      </c>
      <c r="K1515" s="55" t="s">
        <v>84</v>
      </c>
    </row>
    <row r="1516" spans="1:12" x14ac:dyDescent="0.3">
      <c r="H1516" s="74">
        <v>30</v>
      </c>
      <c r="K1516" s="55" t="s">
        <v>32</v>
      </c>
      <c r="L1516" s="75" t="s">
        <v>309</v>
      </c>
    </row>
    <row r="1517" spans="1:12" x14ac:dyDescent="0.3">
      <c r="H1517" s="74">
        <v>10</v>
      </c>
      <c r="K1517" s="55" t="s">
        <v>34</v>
      </c>
      <c r="L1517" s="75" t="s">
        <v>722</v>
      </c>
    </row>
    <row r="1518" spans="1:12" x14ac:dyDescent="0.3">
      <c r="H1518" s="74">
        <v>30</v>
      </c>
      <c r="K1518" s="55" t="s">
        <v>96</v>
      </c>
      <c r="L1518" s="75"/>
    </row>
    <row r="1519" spans="1:12" x14ac:dyDescent="0.3">
      <c r="H1519" s="74">
        <v>10</v>
      </c>
      <c r="K1519" s="55" t="s">
        <v>34</v>
      </c>
      <c r="L1519" s="75" t="s">
        <v>149</v>
      </c>
    </row>
    <row r="1520" spans="1:12" x14ac:dyDescent="0.3">
      <c r="H1520" s="74">
        <v>270</v>
      </c>
      <c r="I1520" s="53">
        <v>0.35416666666666669</v>
      </c>
      <c r="J1520" s="53">
        <v>4.1666666666666664E-2</v>
      </c>
      <c r="K1520" s="55" t="s">
        <v>33</v>
      </c>
      <c r="L1520" s="75" t="s">
        <v>723</v>
      </c>
    </row>
    <row r="1521" spans="1:12" x14ac:dyDescent="0.3">
      <c r="H1521" s="74">
        <v>20</v>
      </c>
      <c r="K1521" s="55" t="s">
        <v>102</v>
      </c>
    </row>
    <row r="1522" spans="1:12" x14ac:dyDescent="0.3">
      <c r="H1522" s="74">
        <v>30</v>
      </c>
      <c r="K1522" s="55" t="s">
        <v>30</v>
      </c>
    </row>
    <row r="1523" spans="1:12" x14ac:dyDescent="0.3">
      <c r="H1523" s="74">
        <v>20</v>
      </c>
      <c r="K1523" s="55" t="s">
        <v>55</v>
      </c>
      <c r="L1523" s="75" t="s">
        <v>356</v>
      </c>
    </row>
    <row r="1524" spans="1:12" x14ac:dyDescent="0.3">
      <c r="A1524" s="72" t="s">
        <v>721</v>
      </c>
      <c r="B1524" s="55" t="s">
        <v>10</v>
      </c>
      <c r="C1524" s="67" t="s">
        <v>48</v>
      </c>
      <c r="D1524" s="55" t="s">
        <v>51</v>
      </c>
      <c r="E1524" s="19">
        <v>132.02000000000001</v>
      </c>
      <c r="F1524" s="19">
        <v>4</v>
      </c>
      <c r="G1524" s="55" t="s">
        <v>11</v>
      </c>
      <c r="H1524" s="74">
        <v>10</v>
      </c>
      <c r="K1524" s="55" t="s">
        <v>25</v>
      </c>
    </row>
    <row r="1525" spans="1:12" x14ac:dyDescent="0.3">
      <c r="H1525" s="74">
        <v>10</v>
      </c>
      <c r="K1525" s="55" t="s">
        <v>84</v>
      </c>
    </row>
    <row r="1526" spans="1:12" x14ac:dyDescent="0.3">
      <c r="H1526" s="74">
        <v>40</v>
      </c>
      <c r="K1526" s="55" t="s">
        <v>96</v>
      </c>
    </row>
    <row r="1527" spans="1:12" x14ac:dyDescent="0.3">
      <c r="H1527" s="74">
        <v>30</v>
      </c>
      <c r="K1527" s="55" t="s">
        <v>32</v>
      </c>
      <c r="L1527" s="60" t="s">
        <v>726</v>
      </c>
    </row>
    <row r="1528" spans="1:12" x14ac:dyDescent="0.3">
      <c r="H1528" s="74">
        <v>80</v>
      </c>
      <c r="K1528" s="55" t="s">
        <v>55</v>
      </c>
      <c r="L1528" s="60" t="s">
        <v>727</v>
      </c>
    </row>
    <row r="1529" spans="1:12" x14ac:dyDescent="0.3">
      <c r="H1529" s="74">
        <v>20</v>
      </c>
      <c r="K1529" s="55" t="s">
        <v>30</v>
      </c>
    </row>
    <row r="1530" spans="1:12" x14ac:dyDescent="0.3">
      <c r="H1530" s="74">
        <v>180</v>
      </c>
      <c r="K1530" s="55" t="s">
        <v>33</v>
      </c>
      <c r="L1530" s="75" t="s">
        <v>725</v>
      </c>
    </row>
    <row r="1531" spans="1:12" x14ac:dyDescent="0.3">
      <c r="H1531" s="74">
        <v>40</v>
      </c>
      <c r="K1531" s="55" t="s">
        <v>55</v>
      </c>
      <c r="L1531" s="60" t="s">
        <v>724</v>
      </c>
    </row>
    <row r="1532" spans="1:12" x14ac:dyDescent="0.3">
      <c r="H1532" s="74">
        <v>20</v>
      </c>
      <c r="K1532" s="55" t="s">
        <v>102</v>
      </c>
    </row>
    <row r="1533" spans="1:12" ht="21" x14ac:dyDescent="0.35">
      <c r="A1533" s="73" t="s">
        <v>721</v>
      </c>
      <c r="B1533" s="76" t="s">
        <v>12</v>
      </c>
      <c r="C1533" s="67" t="s">
        <v>46</v>
      </c>
      <c r="D1533" s="55" t="s">
        <v>52</v>
      </c>
      <c r="E1533" s="19">
        <v>333.99</v>
      </c>
      <c r="F1533" s="19">
        <v>9</v>
      </c>
      <c r="G1533" s="55" t="s">
        <v>11</v>
      </c>
      <c r="H1533" s="74">
        <v>10</v>
      </c>
      <c r="K1533" s="55" t="s">
        <v>25</v>
      </c>
    </row>
    <row r="1534" spans="1:12" x14ac:dyDescent="0.3">
      <c r="H1534" s="74">
        <v>10</v>
      </c>
      <c r="K1534" s="55" t="s">
        <v>84</v>
      </c>
    </row>
    <row r="1535" spans="1:12" x14ac:dyDescent="0.3">
      <c r="H1535" s="74">
        <v>30</v>
      </c>
      <c r="K1535" s="55" t="s">
        <v>32</v>
      </c>
      <c r="L1535" s="60" t="s">
        <v>729</v>
      </c>
    </row>
    <row r="1536" spans="1:12" x14ac:dyDescent="0.3">
      <c r="H1536" s="74">
        <v>40</v>
      </c>
      <c r="K1536" s="55" t="s">
        <v>32</v>
      </c>
      <c r="L1536" s="60" t="s">
        <v>522</v>
      </c>
    </row>
    <row r="1537" spans="1:12" x14ac:dyDescent="0.3">
      <c r="H1537" s="74">
        <v>20</v>
      </c>
      <c r="K1537" s="55" t="s">
        <v>102</v>
      </c>
    </row>
    <row r="1538" spans="1:12" x14ac:dyDescent="0.3">
      <c r="H1538" s="74">
        <v>120</v>
      </c>
      <c r="K1538" s="55" t="s">
        <v>33</v>
      </c>
      <c r="L1538" s="60" t="s">
        <v>728</v>
      </c>
    </row>
    <row r="1539" spans="1:12" x14ac:dyDescent="0.3">
      <c r="H1539" s="74">
        <v>100</v>
      </c>
      <c r="K1539" s="55" t="s">
        <v>96</v>
      </c>
    </row>
    <row r="1540" spans="1:12" x14ac:dyDescent="0.3">
      <c r="H1540" s="74">
        <v>20</v>
      </c>
      <c r="K1540" s="55" t="s">
        <v>32</v>
      </c>
      <c r="L1540" s="60" t="s">
        <v>730</v>
      </c>
    </row>
    <row r="1541" spans="1:12" x14ac:dyDescent="0.3">
      <c r="A1541" s="72" t="s">
        <v>731</v>
      </c>
      <c r="B1541" s="55" t="s">
        <v>0</v>
      </c>
      <c r="C1541" s="67" t="s">
        <v>47</v>
      </c>
      <c r="D1541" s="55" t="s">
        <v>50</v>
      </c>
      <c r="E1541" s="19">
        <v>186.26</v>
      </c>
      <c r="F1541" s="19">
        <v>5</v>
      </c>
      <c r="G1541" s="55" t="s">
        <v>11</v>
      </c>
      <c r="H1541" s="74">
        <v>10</v>
      </c>
      <c r="K1541" s="55" t="s">
        <v>25</v>
      </c>
    </row>
    <row r="1542" spans="1:12" x14ac:dyDescent="0.3">
      <c r="H1542" s="74">
        <v>10</v>
      </c>
      <c r="K1542" s="55" t="s">
        <v>84</v>
      </c>
    </row>
    <row r="1543" spans="1:12" x14ac:dyDescent="0.3">
      <c r="H1543" s="74">
        <v>50</v>
      </c>
      <c r="K1543" s="55" t="s">
        <v>96</v>
      </c>
    </row>
    <row r="1544" spans="1:12" x14ac:dyDescent="0.3">
      <c r="H1544" s="74">
        <v>20</v>
      </c>
      <c r="K1544" s="55" t="s">
        <v>102</v>
      </c>
    </row>
    <row r="1545" spans="1:12" x14ac:dyDescent="0.3">
      <c r="H1545" s="74">
        <v>45</v>
      </c>
      <c r="I1545" s="53">
        <v>0.3611111111111111</v>
      </c>
      <c r="J1545" s="53">
        <v>0.3923611111111111</v>
      </c>
      <c r="K1545" s="55" t="s">
        <v>33</v>
      </c>
      <c r="L1545" s="60" t="s">
        <v>732</v>
      </c>
    </row>
    <row r="1546" spans="1:12" x14ac:dyDescent="0.3">
      <c r="H1546" s="74">
        <v>20</v>
      </c>
      <c r="K1546" s="55" t="s">
        <v>32</v>
      </c>
      <c r="L1546" s="60" t="s">
        <v>729</v>
      </c>
    </row>
    <row r="1547" spans="1:12" x14ac:dyDescent="0.3">
      <c r="H1547" s="74">
        <v>220</v>
      </c>
      <c r="I1547" s="53">
        <v>0.43055555555555558</v>
      </c>
      <c r="J1547" s="53">
        <v>8.3333333333333329E-2</v>
      </c>
      <c r="K1547" s="55" t="s">
        <v>33</v>
      </c>
      <c r="L1547" s="60" t="s">
        <v>728</v>
      </c>
    </row>
    <row r="1548" spans="1:12" x14ac:dyDescent="0.3">
      <c r="H1548" s="74">
        <v>25</v>
      </c>
      <c r="K1548" s="55" t="s">
        <v>55</v>
      </c>
      <c r="L1548" s="60" t="s">
        <v>356</v>
      </c>
    </row>
    <row r="1549" spans="1:12" x14ac:dyDescent="0.3">
      <c r="H1549" s="74">
        <v>30</v>
      </c>
      <c r="K1549" s="55" t="s">
        <v>55</v>
      </c>
      <c r="L1549" s="60" t="s">
        <v>587</v>
      </c>
    </row>
    <row r="1550" spans="1:12" x14ac:dyDescent="0.3">
      <c r="A1550" s="72" t="s">
        <v>731</v>
      </c>
      <c r="B1550" s="55" t="s">
        <v>10</v>
      </c>
      <c r="C1550" s="67" t="s">
        <v>48</v>
      </c>
      <c r="D1550" s="55" t="s">
        <v>51</v>
      </c>
      <c r="E1550" s="19">
        <v>205.62</v>
      </c>
      <c r="F1550" s="19">
        <v>5.5</v>
      </c>
      <c r="G1550" s="55" t="s">
        <v>11</v>
      </c>
      <c r="H1550" s="74">
        <v>10</v>
      </c>
      <c r="K1550" s="55" t="s">
        <v>25</v>
      </c>
    </row>
    <row r="1551" spans="1:12" x14ac:dyDescent="0.3">
      <c r="H1551" s="74">
        <v>10</v>
      </c>
      <c r="K1551" s="55" t="s">
        <v>84</v>
      </c>
    </row>
    <row r="1552" spans="1:12" x14ac:dyDescent="0.3">
      <c r="H1552" s="74">
        <v>60</v>
      </c>
      <c r="K1552" s="55" t="s">
        <v>96</v>
      </c>
    </row>
    <row r="1553" spans="1:13" x14ac:dyDescent="0.3">
      <c r="H1553" s="74">
        <v>30</v>
      </c>
      <c r="K1553" s="55" t="s">
        <v>32</v>
      </c>
      <c r="L1553" s="60" t="s">
        <v>735</v>
      </c>
    </row>
    <row r="1554" spans="1:13" x14ac:dyDescent="0.3">
      <c r="H1554" s="74">
        <v>20</v>
      </c>
      <c r="K1554" s="55" t="s">
        <v>30</v>
      </c>
    </row>
    <row r="1555" spans="1:13" x14ac:dyDescent="0.3">
      <c r="H1555" s="74">
        <v>180</v>
      </c>
      <c r="K1555" s="55" t="s">
        <v>33</v>
      </c>
      <c r="L1555" s="60" t="s">
        <v>733</v>
      </c>
      <c r="M1555" s="60" t="s">
        <v>734</v>
      </c>
    </row>
    <row r="1556" spans="1:13" x14ac:dyDescent="0.3">
      <c r="H1556" s="74">
        <v>20</v>
      </c>
      <c r="K1556" s="55" t="s">
        <v>102</v>
      </c>
    </row>
    <row r="1557" spans="1:13" x14ac:dyDescent="0.3">
      <c r="H1557" s="74">
        <v>30</v>
      </c>
      <c r="K1557" s="55" t="s">
        <v>55</v>
      </c>
      <c r="L1557" s="60" t="s">
        <v>736</v>
      </c>
    </row>
    <row r="1558" spans="1:13" x14ac:dyDescent="0.3">
      <c r="H1558" s="74">
        <v>40</v>
      </c>
      <c r="K1558" s="55" t="s">
        <v>55</v>
      </c>
      <c r="L1558" s="60" t="s">
        <v>737</v>
      </c>
    </row>
    <row r="1559" spans="1:13" ht="21" x14ac:dyDescent="0.35">
      <c r="A1559" s="73" t="s">
        <v>731</v>
      </c>
      <c r="B1559" s="76" t="s">
        <v>12</v>
      </c>
      <c r="C1559" s="67" t="s">
        <v>46</v>
      </c>
      <c r="D1559" s="55" t="s">
        <v>52</v>
      </c>
      <c r="E1559" s="19">
        <v>207.32</v>
      </c>
      <c r="F1559" s="19">
        <v>5.5</v>
      </c>
      <c r="G1559" s="55" t="s">
        <v>11</v>
      </c>
      <c r="H1559" s="74">
        <v>10</v>
      </c>
      <c r="K1559" s="55" t="s">
        <v>25</v>
      </c>
    </row>
    <row r="1560" spans="1:13" x14ac:dyDescent="0.3">
      <c r="H1560" s="74">
        <v>10</v>
      </c>
      <c r="K1560" s="55" t="s">
        <v>84</v>
      </c>
    </row>
    <row r="1561" spans="1:13" x14ac:dyDescent="0.3">
      <c r="H1561" s="74">
        <v>30</v>
      </c>
      <c r="K1561" s="55" t="s">
        <v>32</v>
      </c>
      <c r="L1561" s="60" t="s">
        <v>729</v>
      </c>
    </row>
    <row r="1562" spans="1:13" x14ac:dyDescent="0.3">
      <c r="H1562" s="74">
        <v>200</v>
      </c>
      <c r="K1562" s="55" t="s">
        <v>33</v>
      </c>
      <c r="L1562" s="60" t="s">
        <v>733</v>
      </c>
    </row>
    <row r="1563" spans="1:13" x14ac:dyDescent="0.3">
      <c r="H1563" s="74">
        <v>60</v>
      </c>
      <c r="K1563" s="55" t="s">
        <v>96</v>
      </c>
    </row>
    <row r="1564" spans="1:13" x14ac:dyDescent="0.3">
      <c r="H1564" s="74">
        <v>40</v>
      </c>
      <c r="K1564" s="55" t="s">
        <v>55</v>
      </c>
      <c r="L1564" s="60" t="s">
        <v>737</v>
      </c>
    </row>
    <row r="1565" spans="1:13" x14ac:dyDescent="0.3">
      <c r="H1565" s="74">
        <v>20</v>
      </c>
      <c r="K1565" s="55" t="s">
        <v>102</v>
      </c>
    </row>
    <row r="1566" spans="1:13" x14ac:dyDescent="0.3">
      <c r="A1566" s="72" t="s">
        <v>738</v>
      </c>
      <c r="B1566" s="55" t="s">
        <v>0</v>
      </c>
      <c r="C1566" s="67" t="s">
        <v>48</v>
      </c>
      <c r="D1566" s="55" t="s">
        <v>51</v>
      </c>
      <c r="E1566" s="19">
        <v>175.16</v>
      </c>
      <c r="F1566" s="19">
        <v>8</v>
      </c>
      <c r="G1566" s="55" t="s">
        <v>11</v>
      </c>
      <c r="H1566" s="74">
        <v>10</v>
      </c>
      <c r="K1566" s="55" t="s">
        <v>25</v>
      </c>
    </row>
    <row r="1567" spans="1:13" x14ac:dyDescent="0.3">
      <c r="H1567" s="74">
        <v>10</v>
      </c>
      <c r="K1567" s="55" t="s">
        <v>84</v>
      </c>
    </row>
    <row r="1568" spans="1:13" x14ac:dyDescent="0.3">
      <c r="H1568" s="74">
        <v>90</v>
      </c>
      <c r="K1568" s="55" t="s">
        <v>96</v>
      </c>
    </row>
    <row r="1569" spans="1:12" x14ac:dyDescent="0.3">
      <c r="H1569" s="74">
        <v>80</v>
      </c>
      <c r="K1569" s="55" t="s">
        <v>32</v>
      </c>
      <c r="L1569" s="60" t="s">
        <v>739</v>
      </c>
    </row>
    <row r="1570" spans="1:12" x14ac:dyDescent="0.3">
      <c r="H1570" s="74">
        <v>20</v>
      </c>
      <c r="K1570" s="55" t="s">
        <v>30</v>
      </c>
    </row>
    <row r="1571" spans="1:12" x14ac:dyDescent="0.3">
      <c r="H1571" s="74">
        <v>80</v>
      </c>
      <c r="K1571" s="55" t="s">
        <v>33</v>
      </c>
      <c r="L1571" s="60" t="s">
        <v>740</v>
      </c>
    </row>
    <row r="1572" spans="1:12" x14ac:dyDescent="0.3">
      <c r="H1572" s="74">
        <v>20</v>
      </c>
      <c r="K1572" s="55" t="s">
        <v>102</v>
      </c>
    </row>
    <row r="1573" spans="1:12" ht="21" x14ac:dyDescent="0.35">
      <c r="A1573" s="73" t="s">
        <v>738</v>
      </c>
      <c r="B1573" s="76" t="s">
        <v>10</v>
      </c>
      <c r="C1573" s="67" t="s">
        <v>49</v>
      </c>
      <c r="D1573" s="55" t="s">
        <v>52</v>
      </c>
      <c r="E1573" s="19">
        <v>224.16</v>
      </c>
      <c r="F1573" s="19">
        <v>10</v>
      </c>
      <c r="G1573" s="55" t="s">
        <v>11</v>
      </c>
      <c r="H1573" s="74">
        <v>10</v>
      </c>
      <c r="K1573" s="55" t="s">
        <v>25</v>
      </c>
    </row>
    <row r="1574" spans="1:12" x14ac:dyDescent="0.3">
      <c r="H1574" s="74">
        <v>10</v>
      </c>
      <c r="K1574" s="55" t="s">
        <v>84</v>
      </c>
    </row>
    <row r="1575" spans="1:12" x14ac:dyDescent="0.3">
      <c r="H1575" s="74">
        <v>30</v>
      </c>
      <c r="K1575" s="55" t="s">
        <v>32</v>
      </c>
      <c r="L1575" s="60" t="s">
        <v>741</v>
      </c>
    </row>
    <row r="1576" spans="1:12" x14ac:dyDescent="0.3">
      <c r="H1576" s="74">
        <v>60</v>
      </c>
      <c r="K1576" s="55" t="s">
        <v>32</v>
      </c>
      <c r="L1576" s="60" t="s">
        <v>742</v>
      </c>
    </row>
    <row r="1577" spans="1:12" x14ac:dyDescent="0.3">
      <c r="H1577" s="74">
        <v>120</v>
      </c>
      <c r="K1577" s="55" t="s">
        <v>96</v>
      </c>
    </row>
    <row r="1578" spans="1:12" x14ac:dyDescent="0.3">
      <c r="H1578" s="74">
        <v>20</v>
      </c>
      <c r="K1578" s="55" t="s">
        <v>102</v>
      </c>
    </row>
    <row r="1579" spans="1:12" x14ac:dyDescent="0.3">
      <c r="H1579" s="74">
        <v>20</v>
      </c>
      <c r="K1579" s="55" t="s">
        <v>102</v>
      </c>
    </row>
    <row r="1580" spans="1:12" x14ac:dyDescent="0.3">
      <c r="H1580" s="74">
        <v>20</v>
      </c>
      <c r="K1580" s="55" t="s">
        <v>30</v>
      </c>
    </row>
    <row r="1581" spans="1:12" x14ac:dyDescent="0.3">
      <c r="H1581" s="74">
        <v>10</v>
      </c>
      <c r="K1581" s="55" t="s">
        <v>34</v>
      </c>
      <c r="L1581" s="60" t="s">
        <v>149</v>
      </c>
    </row>
    <row r="1582" spans="1:12" x14ac:dyDescent="0.3">
      <c r="H1582" s="74">
        <v>10</v>
      </c>
      <c r="K1582" s="55" t="s">
        <v>55</v>
      </c>
      <c r="L1582" s="60" t="s">
        <v>13</v>
      </c>
    </row>
    <row r="1583" spans="1:12" ht="21" x14ac:dyDescent="0.35">
      <c r="A1583" s="73" t="s">
        <v>738</v>
      </c>
      <c r="B1583" s="55" t="s">
        <v>12</v>
      </c>
      <c r="C1583" s="67" t="s">
        <v>46</v>
      </c>
      <c r="D1583" s="55" t="s">
        <v>50</v>
      </c>
      <c r="E1583" s="19">
        <v>201.18</v>
      </c>
      <c r="F1583" s="19">
        <v>9</v>
      </c>
      <c r="G1583" s="55" t="s">
        <v>11</v>
      </c>
      <c r="H1583" s="76">
        <v>10</v>
      </c>
      <c r="K1583" s="55" t="s">
        <v>25</v>
      </c>
    </row>
    <row r="1584" spans="1:12" ht="21" x14ac:dyDescent="0.35">
      <c r="H1584" s="76">
        <v>10</v>
      </c>
      <c r="K1584" s="55" t="s">
        <v>84</v>
      </c>
    </row>
    <row r="1585" spans="1:12" ht="21" x14ac:dyDescent="0.35">
      <c r="H1585" s="76">
        <v>40</v>
      </c>
      <c r="K1585" s="55" t="s">
        <v>32</v>
      </c>
      <c r="L1585" s="60" t="s">
        <v>744</v>
      </c>
    </row>
    <row r="1586" spans="1:12" ht="21" x14ac:dyDescent="0.35">
      <c r="H1586" s="76">
        <v>100</v>
      </c>
      <c r="K1586" s="55" t="s">
        <v>96</v>
      </c>
    </row>
    <row r="1587" spans="1:12" ht="21" x14ac:dyDescent="0.35">
      <c r="H1587" s="76">
        <v>20</v>
      </c>
      <c r="K1587" s="55" t="s">
        <v>102</v>
      </c>
    </row>
    <row r="1588" spans="1:12" ht="21" x14ac:dyDescent="0.35">
      <c r="H1588" s="76">
        <v>10</v>
      </c>
      <c r="K1588" s="55" t="s">
        <v>55</v>
      </c>
      <c r="L1588" s="60" t="s">
        <v>13</v>
      </c>
    </row>
    <row r="1589" spans="1:12" ht="21" x14ac:dyDescent="0.35">
      <c r="H1589" s="76">
        <v>30</v>
      </c>
      <c r="K1589" s="55" t="s">
        <v>32</v>
      </c>
      <c r="L1589" s="60" t="s">
        <v>236</v>
      </c>
    </row>
    <row r="1590" spans="1:12" ht="21" x14ac:dyDescent="0.35">
      <c r="H1590" s="76">
        <v>30</v>
      </c>
      <c r="K1590" s="55" t="s">
        <v>55</v>
      </c>
      <c r="L1590" s="60" t="s">
        <v>650</v>
      </c>
    </row>
    <row r="1591" spans="1:12" ht="21" x14ac:dyDescent="0.35">
      <c r="H1591" s="76">
        <v>40</v>
      </c>
      <c r="K1591" s="55" t="s">
        <v>32</v>
      </c>
      <c r="L1591" s="60" t="s">
        <v>743</v>
      </c>
    </row>
    <row r="1592" spans="1:12" ht="21" x14ac:dyDescent="0.35">
      <c r="H1592" s="76">
        <v>20</v>
      </c>
      <c r="K1592" s="55" t="s">
        <v>34</v>
      </c>
    </row>
    <row r="1593" spans="1:12" ht="21" x14ac:dyDescent="0.35">
      <c r="H1593" s="76">
        <v>30</v>
      </c>
      <c r="K1593" s="55" t="s">
        <v>30</v>
      </c>
      <c r="L1593" s="60" t="s">
        <v>300</v>
      </c>
    </row>
    <row r="1595" spans="1:12" x14ac:dyDescent="0.3">
      <c r="A1595" s="72" t="s">
        <v>747</v>
      </c>
      <c r="B1595" s="55" t="s">
        <v>0</v>
      </c>
      <c r="C1595" s="67" t="s">
        <v>48</v>
      </c>
      <c r="D1595" s="55" t="s">
        <v>51</v>
      </c>
      <c r="E1595" s="19">
        <v>246.75</v>
      </c>
      <c r="F1595" s="19">
        <v>11</v>
      </c>
      <c r="G1595" s="55" t="s">
        <v>11</v>
      </c>
      <c r="H1595" s="55">
        <v>10</v>
      </c>
      <c r="K1595" s="55" t="s">
        <v>25</v>
      </c>
    </row>
    <row r="1596" spans="1:12" x14ac:dyDescent="0.3">
      <c r="H1596" s="55">
        <v>10</v>
      </c>
      <c r="K1596" s="55" t="s">
        <v>84</v>
      </c>
    </row>
    <row r="1597" spans="1:12" x14ac:dyDescent="0.3">
      <c r="H1597" s="55">
        <v>130</v>
      </c>
      <c r="K1597" s="55" t="s">
        <v>96</v>
      </c>
    </row>
    <row r="1598" spans="1:12" x14ac:dyDescent="0.3">
      <c r="H1598" s="55">
        <v>60</v>
      </c>
      <c r="K1598" s="55" t="s">
        <v>32</v>
      </c>
      <c r="L1598" s="60" t="s">
        <v>745</v>
      </c>
    </row>
    <row r="1599" spans="1:12" x14ac:dyDescent="0.3">
      <c r="H1599" s="55">
        <v>40</v>
      </c>
      <c r="K1599" s="55" t="s">
        <v>32</v>
      </c>
      <c r="L1599" s="60" t="s">
        <v>746</v>
      </c>
    </row>
    <row r="1600" spans="1:12" x14ac:dyDescent="0.3">
      <c r="H1600" s="55">
        <v>20</v>
      </c>
      <c r="K1600" s="55" t="s">
        <v>102</v>
      </c>
    </row>
    <row r="1601" spans="1:12" x14ac:dyDescent="0.3">
      <c r="H1601" s="55">
        <v>10</v>
      </c>
      <c r="K1601" s="55" t="s">
        <v>34</v>
      </c>
      <c r="L1601" s="60" t="s">
        <v>149</v>
      </c>
    </row>
    <row r="1602" spans="1:12" ht="21" x14ac:dyDescent="0.35">
      <c r="A1602" s="73"/>
      <c r="B1602" s="76"/>
      <c r="H1602" s="76">
        <v>30</v>
      </c>
      <c r="K1602" s="55" t="s">
        <v>30</v>
      </c>
      <c r="L1602" s="60" t="s">
        <v>300</v>
      </c>
    </row>
    <row r="1603" spans="1:12" x14ac:dyDescent="0.3">
      <c r="H1603" s="55"/>
    </row>
    <row r="1604" spans="1:12" x14ac:dyDescent="0.3">
      <c r="A1604" s="72" t="s">
        <v>747</v>
      </c>
      <c r="B1604" s="55" t="s">
        <v>10</v>
      </c>
      <c r="C1604" s="67" t="s">
        <v>49</v>
      </c>
      <c r="D1604" s="55" t="s">
        <v>52</v>
      </c>
      <c r="E1604" s="19">
        <v>300.20999999999998</v>
      </c>
      <c r="F1604" s="19">
        <v>11</v>
      </c>
      <c r="G1604" s="55" t="s">
        <v>11</v>
      </c>
      <c r="H1604" s="55">
        <v>10</v>
      </c>
      <c r="K1604" s="55" t="s">
        <v>25</v>
      </c>
    </row>
    <row r="1605" spans="1:12" x14ac:dyDescent="0.3">
      <c r="H1605" s="55">
        <v>10</v>
      </c>
      <c r="K1605" s="55" t="s">
        <v>84</v>
      </c>
    </row>
    <row r="1606" spans="1:12" x14ac:dyDescent="0.3">
      <c r="H1606" s="74">
        <v>110</v>
      </c>
      <c r="K1606" s="55" t="s">
        <v>96</v>
      </c>
    </row>
    <row r="1607" spans="1:12" x14ac:dyDescent="0.3">
      <c r="H1607" s="74">
        <v>25</v>
      </c>
      <c r="K1607" s="55" t="s">
        <v>55</v>
      </c>
      <c r="L1607" s="60" t="s">
        <v>748</v>
      </c>
    </row>
    <row r="1608" spans="1:12" x14ac:dyDescent="0.3">
      <c r="H1608" s="74">
        <v>20</v>
      </c>
      <c r="K1608" s="55" t="s">
        <v>32</v>
      </c>
      <c r="L1608" s="60" t="s">
        <v>236</v>
      </c>
    </row>
    <row r="1609" spans="1:12" x14ac:dyDescent="0.3">
      <c r="H1609" s="74">
        <v>60</v>
      </c>
      <c r="K1609" s="55" t="s">
        <v>32</v>
      </c>
      <c r="L1609" s="60" t="s">
        <v>749</v>
      </c>
    </row>
    <row r="1610" spans="1:12" x14ac:dyDescent="0.3">
      <c r="H1610" s="74">
        <v>20</v>
      </c>
      <c r="K1610" s="55" t="s">
        <v>32</v>
      </c>
      <c r="L1610" s="60" t="s">
        <v>419</v>
      </c>
    </row>
    <row r="1611" spans="1:12" x14ac:dyDescent="0.3">
      <c r="H1611" s="74">
        <v>20</v>
      </c>
      <c r="K1611" s="55" t="s">
        <v>102</v>
      </c>
    </row>
    <row r="1612" spans="1:12" x14ac:dyDescent="0.3">
      <c r="H1612" s="74">
        <v>30</v>
      </c>
      <c r="K1612" s="55" t="s">
        <v>34</v>
      </c>
      <c r="L1612" s="60" t="s">
        <v>149</v>
      </c>
    </row>
    <row r="1613" spans="1:12" x14ac:dyDescent="0.3">
      <c r="H1613" s="74">
        <v>20</v>
      </c>
      <c r="K1613" s="55" t="s">
        <v>30</v>
      </c>
      <c r="L1613" s="60" t="s">
        <v>324</v>
      </c>
    </row>
    <row r="1614" spans="1:12" x14ac:dyDescent="0.3">
      <c r="A1614" s="72" t="s">
        <v>747</v>
      </c>
      <c r="B1614" s="55" t="s">
        <v>12</v>
      </c>
      <c r="C1614" s="67" t="s">
        <v>47</v>
      </c>
      <c r="D1614" s="55" t="s">
        <v>50</v>
      </c>
      <c r="E1614" s="19">
        <v>364.89</v>
      </c>
      <c r="F1614" s="19">
        <v>12</v>
      </c>
      <c r="G1614" s="55" t="s">
        <v>11</v>
      </c>
      <c r="H1614" s="74">
        <v>10</v>
      </c>
      <c r="K1614" s="55" t="s">
        <v>25</v>
      </c>
    </row>
    <row r="1615" spans="1:12" x14ac:dyDescent="0.3">
      <c r="H1615" s="74">
        <v>10</v>
      </c>
      <c r="K1615" s="55" t="s">
        <v>84</v>
      </c>
    </row>
    <row r="1616" spans="1:12" x14ac:dyDescent="0.3">
      <c r="H1616" s="74">
        <v>120</v>
      </c>
      <c r="K1616" s="55" t="s">
        <v>96</v>
      </c>
    </row>
    <row r="1617" spans="1:12" x14ac:dyDescent="0.3">
      <c r="H1617" s="74">
        <v>20</v>
      </c>
      <c r="K1617" s="55" t="s">
        <v>102</v>
      </c>
    </row>
    <row r="1618" spans="1:12" x14ac:dyDescent="0.3">
      <c r="H1618" s="74">
        <v>50</v>
      </c>
      <c r="K1618" s="55" t="s">
        <v>32</v>
      </c>
      <c r="L1618" s="75" t="s">
        <v>294</v>
      </c>
    </row>
    <row r="1619" spans="1:12" x14ac:dyDescent="0.3">
      <c r="H1619" s="74">
        <v>40</v>
      </c>
      <c r="K1619" s="55" t="s">
        <v>32</v>
      </c>
      <c r="L1619" s="75" t="s">
        <v>743</v>
      </c>
    </row>
    <row r="1620" spans="1:12" x14ac:dyDescent="0.3">
      <c r="H1620" s="74">
        <v>30</v>
      </c>
      <c r="K1620" s="55" t="s">
        <v>55</v>
      </c>
      <c r="L1620" s="75" t="s">
        <v>750</v>
      </c>
    </row>
    <row r="1621" spans="1:12" x14ac:dyDescent="0.3">
      <c r="H1621" s="74">
        <v>10</v>
      </c>
      <c r="K1621" s="55" t="s">
        <v>55</v>
      </c>
      <c r="L1621" s="75" t="s">
        <v>13</v>
      </c>
    </row>
    <row r="1622" spans="1:12" x14ac:dyDescent="0.3">
      <c r="H1622" s="74">
        <v>20</v>
      </c>
      <c r="K1622" s="55" t="s">
        <v>34</v>
      </c>
      <c r="L1622" s="75"/>
    </row>
    <row r="1623" spans="1:12" x14ac:dyDescent="0.3">
      <c r="H1623" s="74">
        <v>30</v>
      </c>
      <c r="K1623" s="55" t="s">
        <v>30</v>
      </c>
      <c r="L1623" s="75" t="s">
        <v>300</v>
      </c>
    </row>
    <row r="1625" spans="1:12" x14ac:dyDescent="0.3">
      <c r="A1625" s="72" t="s">
        <v>751</v>
      </c>
      <c r="B1625" s="55" t="s">
        <v>0</v>
      </c>
      <c r="C1625" s="67" t="s">
        <v>49</v>
      </c>
      <c r="D1625" s="55" t="s">
        <v>51</v>
      </c>
      <c r="E1625" s="19">
        <v>168.39</v>
      </c>
      <c r="F1625" s="19">
        <v>5</v>
      </c>
      <c r="G1625" s="55" t="s">
        <v>11</v>
      </c>
      <c r="H1625" s="55">
        <v>10</v>
      </c>
      <c r="K1625" s="55" t="s">
        <v>25</v>
      </c>
    </row>
    <row r="1626" spans="1:12" x14ac:dyDescent="0.3">
      <c r="H1626" s="55">
        <v>10</v>
      </c>
      <c r="K1626" s="55" t="s">
        <v>84</v>
      </c>
    </row>
    <row r="1627" spans="1:12" x14ac:dyDescent="0.3">
      <c r="H1627" s="74">
        <v>70</v>
      </c>
      <c r="K1627" s="55" t="s">
        <v>96</v>
      </c>
    </row>
    <row r="1628" spans="1:12" x14ac:dyDescent="0.3">
      <c r="H1628" s="74">
        <v>100</v>
      </c>
      <c r="K1628" s="55" t="s">
        <v>55</v>
      </c>
      <c r="L1628" s="60" t="s">
        <v>752</v>
      </c>
    </row>
    <row r="1629" spans="1:12" x14ac:dyDescent="0.3">
      <c r="H1629" s="74">
        <v>30</v>
      </c>
      <c r="K1629" s="55" t="s">
        <v>55</v>
      </c>
      <c r="L1629" s="60" t="s">
        <v>356</v>
      </c>
    </row>
    <row r="1630" spans="1:12" x14ac:dyDescent="0.3">
      <c r="H1630" s="74">
        <v>35</v>
      </c>
      <c r="K1630" s="55" t="s">
        <v>33</v>
      </c>
      <c r="L1630" s="60" t="s">
        <v>753</v>
      </c>
    </row>
    <row r="1631" spans="1:12" x14ac:dyDescent="0.3">
      <c r="H1631" s="74">
        <v>10</v>
      </c>
      <c r="K1631" s="55" t="s">
        <v>33</v>
      </c>
      <c r="L1631" s="60" t="s">
        <v>754</v>
      </c>
    </row>
    <row r="1632" spans="1:12" x14ac:dyDescent="0.3">
      <c r="H1632" s="74">
        <v>20</v>
      </c>
      <c r="K1632" s="55" t="s">
        <v>102</v>
      </c>
    </row>
    <row r="1633" spans="1:12" x14ac:dyDescent="0.3">
      <c r="H1633" s="74">
        <v>30</v>
      </c>
      <c r="K1633" s="55" t="s">
        <v>34</v>
      </c>
      <c r="L1633" s="60" t="s">
        <v>149</v>
      </c>
    </row>
    <row r="1634" spans="1:12" x14ac:dyDescent="0.3">
      <c r="H1634" s="74">
        <v>20</v>
      </c>
      <c r="K1634" s="55" t="s">
        <v>30</v>
      </c>
      <c r="L1634" s="60" t="s">
        <v>324</v>
      </c>
    </row>
    <row r="1635" spans="1:12" x14ac:dyDescent="0.3">
      <c r="H1635" s="74">
        <v>40</v>
      </c>
      <c r="K1635" s="55" t="s">
        <v>55</v>
      </c>
      <c r="L1635" s="60" t="s">
        <v>587</v>
      </c>
    </row>
    <row r="1637" spans="1:12" x14ac:dyDescent="0.3">
      <c r="A1637" s="72" t="s">
        <v>751</v>
      </c>
      <c r="B1637" s="55" t="s">
        <v>10</v>
      </c>
      <c r="C1637" s="67" t="s">
        <v>296</v>
      </c>
      <c r="D1637" s="55" t="s">
        <v>52</v>
      </c>
      <c r="E1637" s="19">
        <v>228.15</v>
      </c>
      <c r="F1637" s="19">
        <v>7</v>
      </c>
      <c r="G1637" s="55" t="s">
        <v>11</v>
      </c>
      <c r="H1637" s="55">
        <v>10</v>
      </c>
      <c r="K1637" s="55" t="s">
        <v>25</v>
      </c>
    </row>
    <row r="1638" spans="1:12" x14ac:dyDescent="0.3">
      <c r="H1638" s="55">
        <v>10</v>
      </c>
      <c r="K1638" s="55" t="s">
        <v>84</v>
      </c>
    </row>
    <row r="1639" spans="1:12" x14ac:dyDescent="0.3">
      <c r="H1639" s="74">
        <v>70</v>
      </c>
      <c r="K1639" s="55" t="s">
        <v>96</v>
      </c>
    </row>
    <row r="1640" spans="1:12" x14ac:dyDescent="0.3">
      <c r="H1640" s="74">
        <v>60</v>
      </c>
      <c r="K1640" s="55" t="s">
        <v>32</v>
      </c>
      <c r="L1640" s="60" t="s">
        <v>137</v>
      </c>
    </row>
    <row r="1641" spans="1:12" x14ac:dyDescent="0.3">
      <c r="H1641" s="74">
        <v>50</v>
      </c>
      <c r="K1641" s="55" t="s">
        <v>32</v>
      </c>
      <c r="L1641" s="60" t="s">
        <v>755</v>
      </c>
    </row>
    <row r="1642" spans="1:12" x14ac:dyDescent="0.3">
      <c r="H1642" s="74">
        <v>30</v>
      </c>
      <c r="K1642" s="55" t="s">
        <v>33</v>
      </c>
      <c r="L1642" s="60" t="s">
        <v>756</v>
      </c>
    </row>
    <row r="1643" spans="1:12" x14ac:dyDescent="0.3">
      <c r="H1643" s="74">
        <v>20</v>
      </c>
      <c r="K1643" s="55" t="s">
        <v>33</v>
      </c>
      <c r="L1643" s="60" t="s">
        <v>757</v>
      </c>
    </row>
    <row r="1644" spans="1:12" x14ac:dyDescent="0.3">
      <c r="H1644" s="74">
        <v>30</v>
      </c>
      <c r="K1644" s="55" t="s">
        <v>34</v>
      </c>
      <c r="L1644" s="60" t="s">
        <v>149</v>
      </c>
    </row>
    <row r="1645" spans="1:12" x14ac:dyDescent="0.3">
      <c r="H1645" s="74">
        <v>30</v>
      </c>
      <c r="K1645" s="55" t="s">
        <v>34</v>
      </c>
      <c r="L1645" s="60" t="s">
        <v>561</v>
      </c>
    </row>
    <row r="1646" spans="1:12" x14ac:dyDescent="0.3">
      <c r="H1646" s="74">
        <v>20</v>
      </c>
      <c r="K1646" s="55" t="s">
        <v>102</v>
      </c>
    </row>
    <row r="1647" spans="1:12" x14ac:dyDescent="0.3">
      <c r="H1647" s="74">
        <v>20</v>
      </c>
      <c r="K1647" s="55" t="s">
        <v>30</v>
      </c>
      <c r="L1647" s="60" t="s">
        <v>502</v>
      </c>
    </row>
    <row r="1648" spans="1:12" x14ac:dyDescent="0.3">
      <c r="A1648" s="72" t="s">
        <v>751</v>
      </c>
      <c r="B1648" s="55" t="s">
        <v>12</v>
      </c>
      <c r="C1648" s="67" t="s">
        <v>47</v>
      </c>
      <c r="D1648" s="55" t="s">
        <v>50</v>
      </c>
      <c r="E1648" s="19">
        <v>233.32</v>
      </c>
      <c r="F1648" s="19">
        <v>9</v>
      </c>
      <c r="G1648" s="55" t="s">
        <v>11</v>
      </c>
      <c r="H1648" s="74">
        <v>10</v>
      </c>
      <c r="K1648" s="55" t="s">
        <v>25</v>
      </c>
    </row>
    <row r="1649" spans="1:12" x14ac:dyDescent="0.3">
      <c r="H1649" s="74">
        <v>10</v>
      </c>
      <c r="K1649" s="55" t="s">
        <v>84</v>
      </c>
    </row>
    <row r="1650" spans="1:12" x14ac:dyDescent="0.3">
      <c r="H1650" s="74">
        <v>30</v>
      </c>
      <c r="K1650" s="55" t="s">
        <v>33</v>
      </c>
      <c r="L1650" s="75" t="s">
        <v>759</v>
      </c>
    </row>
    <row r="1651" spans="1:12" x14ac:dyDescent="0.3">
      <c r="H1651" s="74">
        <v>100</v>
      </c>
      <c r="K1651" s="55" t="s">
        <v>96</v>
      </c>
      <c r="L1651" s="75"/>
    </row>
    <row r="1652" spans="1:12" x14ac:dyDescent="0.3">
      <c r="H1652" s="74">
        <v>20</v>
      </c>
      <c r="K1652" s="55" t="s">
        <v>102</v>
      </c>
      <c r="L1652" s="75"/>
    </row>
    <row r="1653" spans="1:12" x14ac:dyDescent="0.3">
      <c r="H1653" s="74">
        <v>60</v>
      </c>
      <c r="K1653" s="55" t="s">
        <v>32</v>
      </c>
      <c r="L1653" s="75" t="s">
        <v>758</v>
      </c>
    </row>
    <row r="1654" spans="1:12" x14ac:dyDescent="0.3">
      <c r="H1654" s="74">
        <v>10</v>
      </c>
      <c r="K1654" s="55" t="s">
        <v>55</v>
      </c>
      <c r="L1654" s="75" t="s">
        <v>13</v>
      </c>
    </row>
    <row r="1655" spans="1:12" x14ac:dyDescent="0.3">
      <c r="H1655" s="74">
        <v>20</v>
      </c>
      <c r="K1655" s="55" t="s">
        <v>55</v>
      </c>
      <c r="L1655" s="75" t="s">
        <v>760</v>
      </c>
    </row>
    <row r="1656" spans="1:12" x14ac:dyDescent="0.3">
      <c r="H1656" s="74">
        <v>30</v>
      </c>
      <c r="K1656" s="55" t="s">
        <v>34</v>
      </c>
      <c r="L1656" s="75" t="s">
        <v>561</v>
      </c>
    </row>
    <row r="1657" spans="1:12" x14ac:dyDescent="0.3">
      <c r="H1657" s="74">
        <v>20</v>
      </c>
      <c r="K1657" s="55" t="s">
        <v>34</v>
      </c>
      <c r="L1657" s="75" t="s">
        <v>149</v>
      </c>
    </row>
    <row r="1658" spans="1:12" x14ac:dyDescent="0.3">
      <c r="H1658" s="74">
        <v>30</v>
      </c>
      <c r="K1658" s="55" t="s">
        <v>30</v>
      </c>
      <c r="L1658" s="75" t="s">
        <v>300</v>
      </c>
    </row>
    <row r="1660" spans="1:12" x14ac:dyDescent="0.3">
      <c r="A1660" s="72" t="s">
        <v>751</v>
      </c>
      <c r="B1660" s="55" t="s">
        <v>0</v>
      </c>
      <c r="C1660" s="67" t="s">
        <v>48</v>
      </c>
      <c r="D1660" s="55" t="s">
        <v>51</v>
      </c>
      <c r="E1660" s="19">
        <v>128.21</v>
      </c>
      <c r="F1660" s="19">
        <v>4</v>
      </c>
      <c r="G1660" s="55" t="s">
        <v>11</v>
      </c>
      <c r="H1660" s="74">
        <v>10</v>
      </c>
      <c r="K1660" s="55" t="s">
        <v>25</v>
      </c>
    </row>
    <row r="1661" spans="1:12" x14ac:dyDescent="0.3">
      <c r="H1661" s="74">
        <v>10</v>
      </c>
      <c r="K1661" s="55" t="s">
        <v>84</v>
      </c>
    </row>
    <row r="1662" spans="1:12" x14ac:dyDescent="0.3">
      <c r="H1662" s="74">
        <v>60</v>
      </c>
      <c r="K1662" s="55" t="s">
        <v>96</v>
      </c>
    </row>
    <row r="1663" spans="1:12" x14ac:dyDescent="0.3">
      <c r="H1663" s="74">
        <v>60</v>
      </c>
      <c r="K1663" s="55" t="s">
        <v>32</v>
      </c>
      <c r="L1663" s="60" t="s">
        <v>137</v>
      </c>
    </row>
    <row r="1664" spans="1:12" x14ac:dyDescent="0.3">
      <c r="H1664" s="74">
        <v>30</v>
      </c>
      <c r="K1664" s="55" t="s">
        <v>33</v>
      </c>
      <c r="L1664" s="60" t="s">
        <v>762</v>
      </c>
    </row>
    <row r="1665" spans="1:13" x14ac:dyDescent="0.3">
      <c r="H1665" s="74">
        <v>30</v>
      </c>
      <c r="K1665" s="55" t="s">
        <v>34</v>
      </c>
    </row>
    <row r="1666" spans="1:13" x14ac:dyDescent="0.3">
      <c r="H1666" s="74">
        <v>50</v>
      </c>
      <c r="K1666" s="55" t="s">
        <v>34</v>
      </c>
      <c r="L1666" s="60" t="s">
        <v>763</v>
      </c>
    </row>
    <row r="1667" spans="1:13" x14ac:dyDescent="0.3">
      <c r="H1667" s="74">
        <v>20</v>
      </c>
      <c r="K1667" s="55" t="s">
        <v>102</v>
      </c>
    </row>
    <row r="1668" spans="1:13" x14ac:dyDescent="0.3">
      <c r="H1668" s="74">
        <v>100</v>
      </c>
      <c r="K1668" s="55" t="s">
        <v>32</v>
      </c>
      <c r="L1668" s="60" t="s">
        <v>761</v>
      </c>
    </row>
    <row r="1670" spans="1:13" x14ac:dyDescent="0.3">
      <c r="A1670" s="72" t="s">
        <v>765</v>
      </c>
      <c r="B1670" s="55" t="s">
        <v>10</v>
      </c>
      <c r="C1670" s="67" t="s">
        <v>46</v>
      </c>
      <c r="D1670" s="55" t="s">
        <v>52</v>
      </c>
      <c r="E1670" s="19">
        <v>222.94</v>
      </c>
      <c r="F1670" s="19">
        <v>7</v>
      </c>
      <c r="G1670" s="55" t="s">
        <v>11</v>
      </c>
      <c r="H1670" s="74">
        <v>10</v>
      </c>
      <c r="K1670" s="55" t="s">
        <v>25</v>
      </c>
    </row>
    <row r="1671" spans="1:13" x14ac:dyDescent="0.3">
      <c r="H1671" s="74">
        <v>10</v>
      </c>
      <c r="K1671" s="55" t="s">
        <v>84</v>
      </c>
    </row>
    <row r="1672" spans="1:13" x14ac:dyDescent="0.3">
      <c r="H1672" s="74">
        <v>90</v>
      </c>
      <c r="K1672" s="55" t="s">
        <v>96</v>
      </c>
    </row>
    <row r="1673" spans="1:13" x14ac:dyDescent="0.3">
      <c r="H1673" s="74">
        <v>30</v>
      </c>
      <c r="K1673" s="55" t="s">
        <v>32</v>
      </c>
      <c r="L1673" s="60" t="s">
        <v>764</v>
      </c>
    </row>
    <row r="1674" spans="1:13" x14ac:dyDescent="0.3">
      <c r="H1674" s="74">
        <v>30</v>
      </c>
      <c r="K1674" s="55" t="s">
        <v>34</v>
      </c>
      <c r="L1674" s="75" t="s">
        <v>561</v>
      </c>
    </row>
    <row r="1675" spans="1:13" x14ac:dyDescent="0.3">
      <c r="H1675" s="74">
        <v>20</v>
      </c>
      <c r="K1675" s="55" t="s">
        <v>34</v>
      </c>
      <c r="L1675" s="75" t="s">
        <v>149</v>
      </c>
    </row>
    <row r="1676" spans="1:13" x14ac:dyDescent="0.3">
      <c r="H1676" s="74">
        <v>20</v>
      </c>
      <c r="K1676" s="55" t="s">
        <v>102</v>
      </c>
    </row>
    <row r="1677" spans="1:13" x14ac:dyDescent="0.3">
      <c r="H1677" s="74">
        <v>80</v>
      </c>
      <c r="K1677" s="55" t="s">
        <v>32</v>
      </c>
      <c r="L1677" s="60" t="s">
        <v>766</v>
      </c>
    </row>
    <row r="1678" spans="1:13" x14ac:dyDescent="0.3">
      <c r="A1678" s="87" t="s">
        <v>765</v>
      </c>
      <c r="B1678" s="55" t="s">
        <v>12</v>
      </c>
      <c r="C1678" s="67" t="s">
        <v>47</v>
      </c>
      <c r="D1678" s="55" t="s">
        <v>50</v>
      </c>
      <c r="E1678" s="19">
        <v>229.56</v>
      </c>
      <c r="F1678" s="19">
        <v>7</v>
      </c>
      <c r="G1678" s="55" t="s">
        <v>11</v>
      </c>
      <c r="H1678" s="74">
        <v>10</v>
      </c>
      <c r="K1678" s="55" t="s">
        <v>25</v>
      </c>
    </row>
    <row r="1679" spans="1:13" x14ac:dyDescent="0.3">
      <c r="H1679" s="74">
        <v>10</v>
      </c>
      <c r="K1679" s="55" t="s">
        <v>84</v>
      </c>
      <c r="M1679" s="60"/>
    </row>
    <row r="1680" spans="1:13" x14ac:dyDescent="0.3">
      <c r="H1680" s="74">
        <v>80</v>
      </c>
      <c r="K1680" s="55" t="s">
        <v>96</v>
      </c>
      <c r="L1680" s="75"/>
      <c r="M1680" s="75"/>
    </row>
    <row r="1681" spans="1:13" x14ac:dyDescent="0.3">
      <c r="H1681" s="74">
        <v>20</v>
      </c>
      <c r="K1681" s="55" t="s">
        <v>102</v>
      </c>
      <c r="L1681" s="75"/>
      <c r="M1681" s="75"/>
    </row>
    <row r="1682" spans="1:13" x14ac:dyDescent="0.3">
      <c r="H1682" s="74">
        <v>20</v>
      </c>
      <c r="K1682" s="55" t="s">
        <v>33</v>
      </c>
      <c r="L1682" s="75" t="s">
        <v>767</v>
      </c>
      <c r="M1682" s="75"/>
    </row>
    <row r="1683" spans="1:13" x14ac:dyDescent="0.3">
      <c r="H1683" s="74">
        <v>100</v>
      </c>
      <c r="K1683" s="55" t="s">
        <v>32</v>
      </c>
      <c r="L1683" s="75" t="s">
        <v>768</v>
      </c>
      <c r="M1683" s="75"/>
    </row>
    <row r="1684" spans="1:13" x14ac:dyDescent="0.3">
      <c r="H1684" s="74">
        <v>10</v>
      </c>
      <c r="K1684" s="55" t="s">
        <v>55</v>
      </c>
      <c r="L1684" s="75" t="s">
        <v>13</v>
      </c>
      <c r="M1684" s="75"/>
    </row>
    <row r="1685" spans="1:13" x14ac:dyDescent="0.3">
      <c r="H1685" s="74">
        <v>30</v>
      </c>
      <c r="K1685" s="55" t="s">
        <v>34</v>
      </c>
      <c r="L1685" s="75" t="s">
        <v>561</v>
      </c>
      <c r="M1685" s="75"/>
    </row>
    <row r="1686" spans="1:13" x14ac:dyDescent="0.3">
      <c r="H1686" s="74">
        <v>30</v>
      </c>
      <c r="K1686" s="55" t="s">
        <v>55</v>
      </c>
      <c r="L1686" s="75" t="s">
        <v>769</v>
      </c>
      <c r="M1686" s="75"/>
    </row>
    <row r="1687" spans="1:13" x14ac:dyDescent="0.3">
      <c r="H1687" s="74">
        <v>20</v>
      </c>
      <c r="K1687" s="55" t="s">
        <v>34</v>
      </c>
      <c r="L1687" s="75" t="s">
        <v>149</v>
      </c>
      <c r="M1687" s="75"/>
    </row>
    <row r="1688" spans="1:13" x14ac:dyDescent="0.3">
      <c r="H1688" s="74">
        <v>30</v>
      </c>
      <c r="K1688" s="55" t="s">
        <v>30</v>
      </c>
      <c r="L1688" s="75" t="s">
        <v>300</v>
      </c>
      <c r="M1688" s="75"/>
    </row>
    <row r="1689" spans="1:13" x14ac:dyDescent="0.3">
      <c r="H1689" s="55"/>
      <c r="I1689" s="74">
        <v>30</v>
      </c>
      <c r="K1689" s="47"/>
      <c r="L1689" s="55"/>
      <c r="M1689" s="75"/>
    </row>
    <row r="1690" spans="1:13" x14ac:dyDescent="0.3">
      <c r="A1690" s="72" t="s">
        <v>770</v>
      </c>
      <c r="B1690" s="55" t="s">
        <v>0</v>
      </c>
      <c r="D1690" s="55" t="s">
        <v>51</v>
      </c>
      <c r="E1690" s="19">
        <v>206.31</v>
      </c>
      <c r="F1690" s="19">
        <v>7</v>
      </c>
      <c r="G1690" s="55" t="s">
        <v>11</v>
      </c>
      <c r="H1690" s="74">
        <v>10</v>
      </c>
      <c r="K1690" s="55" t="s">
        <v>25</v>
      </c>
    </row>
    <row r="1691" spans="1:13" x14ac:dyDescent="0.3">
      <c r="H1691" s="74">
        <v>10</v>
      </c>
      <c r="K1691" s="55" t="s">
        <v>84</v>
      </c>
    </row>
    <row r="1692" spans="1:13" x14ac:dyDescent="0.3">
      <c r="H1692" s="74">
        <v>80</v>
      </c>
      <c r="K1692" s="55" t="s">
        <v>96</v>
      </c>
    </row>
    <row r="1693" spans="1:13" x14ac:dyDescent="0.3">
      <c r="H1693" s="74">
        <v>45</v>
      </c>
      <c r="K1693" s="55" t="s">
        <v>32</v>
      </c>
      <c r="L1693" s="60" t="s">
        <v>377</v>
      </c>
    </row>
    <row r="1694" spans="1:13" x14ac:dyDescent="0.3">
      <c r="H1694" s="74">
        <v>30</v>
      </c>
      <c r="K1694" s="55" t="s">
        <v>32</v>
      </c>
      <c r="L1694" s="60" t="s">
        <v>771</v>
      </c>
    </row>
    <row r="1695" spans="1:13" x14ac:dyDescent="0.3">
      <c r="H1695" s="74">
        <v>60</v>
      </c>
      <c r="K1695" s="55" t="s">
        <v>33</v>
      </c>
      <c r="L1695" s="60" t="s">
        <v>774</v>
      </c>
    </row>
    <row r="1696" spans="1:13" x14ac:dyDescent="0.3">
      <c r="H1696" s="74">
        <v>30</v>
      </c>
      <c r="K1696" s="55" t="s">
        <v>55</v>
      </c>
      <c r="L1696" s="60" t="s">
        <v>772</v>
      </c>
      <c r="M1696" s="1" t="s">
        <v>773</v>
      </c>
    </row>
    <row r="1697" spans="1:13" x14ac:dyDescent="0.3">
      <c r="H1697" s="74">
        <v>50</v>
      </c>
      <c r="K1697" s="55" t="s">
        <v>32</v>
      </c>
      <c r="L1697" s="60" t="s">
        <v>373</v>
      </c>
    </row>
    <row r="1698" spans="1:13" x14ac:dyDescent="0.3">
      <c r="H1698" s="74">
        <v>30</v>
      </c>
      <c r="K1698" s="55" t="s">
        <v>55</v>
      </c>
      <c r="L1698" s="60" t="s">
        <v>737</v>
      </c>
    </row>
    <row r="1699" spans="1:13" x14ac:dyDescent="0.3">
      <c r="H1699" s="74">
        <v>25</v>
      </c>
      <c r="K1699" s="55" t="s">
        <v>33</v>
      </c>
      <c r="L1699" s="60" t="s">
        <v>775</v>
      </c>
      <c r="M1699" s="1" t="s">
        <v>783</v>
      </c>
    </row>
    <row r="1700" spans="1:13" x14ac:dyDescent="0.3">
      <c r="A1700" s="72" t="s">
        <v>770</v>
      </c>
      <c r="B1700" s="55" t="s">
        <v>10</v>
      </c>
      <c r="C1700" s="67" t="s">
        <v>46</v>
      </c>
      <c r="D1700" s="55" t="s">
        <v>52</v>
      </c>
      <c r="E1700" s="19">
        <v>223.08</v>
      </c>
      <c r="F1700" s="19">
        <v>9</v>
      </c>
      <c r="G1700" s="55" t="s">
        <v>11</v>
      </c>
      <c r="H1700" s="74">
        <v>10</v>
      </c>
      <c r="K1700" s="55" t="s">
        <v>25</v>
      </c>
    </row>
    <row r="1701" spans="1:13" x14ac:dyDescent="0.3">
      <c r="H1701" s="74">
        <v>10</v>
      </c>
      <c r="K1701" s="55" t="s">
        <v>84</v>
      </c>
    </row>
    <row r="1702" spans="1:13" x14ac:dyDescent="0.3">
      <c r="H1702" s="74">
        <v>100</v>
      </c>
      <c r="K1702" s="55" t="s">
        <v>96</v>
      </c>
    </row>
    <row r="1703" spans="1:13" x14ac:dyDescent="0.3">
      <c r="H1703" s="74">
        <v>40</v>
      </c>
      <c r="K1703" s="55" t="s">
        <v>32</v>
      </c>
      <c r="L1703" s="60" t="s">
        <v>776</v>
      </c>
    </row>
    <row r="1704" spans="1:13" x14ac:dyDescent="0.3">
      <c r="H1704" s="74">
        <v>40</v>
      </c>
      <c r="K1704" s="55" t="s">
        <v>32</v>
      </c>
      <c r="L1704" s="60" t="s">
        <v>771</v>
      </c>
    </row>
    <row r="1705" spans="1:13" x14ac:dyDescent="0.3">
      <c r="H1705" s="74">
        <v>20</v>
      </c>
      <c r="K1705" s="55" t="s">
        <v>55</v>
      </c>
      <c r="L1705" s="60" t="s">
        <v>13</v>
      </c>
    </row>
    <row r="1706" spans="1:13" x14ac:dyDescent="0.3">
      <c r="H1706" s="74">
        <v>42</v>
      </c>
      <c r="K1706" s="55" t="s">
        <v>33</v>
      </c>
      <c r="L1706" s="60" t="s">
        <v>778</v>
      </c>
    </row>
    <row r="1707" spans="1:13" x14ac:dyDescent="0.3">
      <c r="H1707" s="74">
        <v>20</v>
      </c>
      <c r="K1707" s="55" t="s">
        <v>102</v>
      </c>
    </row>
    <row r="1708" spans="1:13" x14ac:dyDescent="0.3">
      <c r="H1708" s="74">
        <v>30</v>
      </c>
      <c r="K1708" s="55" t="s">
        <v>34</v>
      </c>
      <c r="L1708" s="60" t="s">
        <v>777</v>
      </c>
    </row>
    <row r="1709" spans="1:13" x14ac:dyDescent="0.3">
      <c r="H1709" s="74">
        <v>20</v>
      </c>
      <c r="K1709" s="55" t="s">
        <v>33</v>
      </c>
      <c r="L1709" s="60" t="s">
        <v>454</v>
      </c>
    </row>
    <row r="1710" spans="1:13" x14ac:dyDescent="0.3">
      <c r="A1710" s="72" t="s">
        <v>770</v>
      </c>
      <c r="B1710" s="55" t="s">
        <v>12</v>
      </c>
      <c r="C1710" s="67" t="s">
        <v>47</v>
      </c>
      <c r="D1710" s="55" t="s">
        <v>50</v>
      </c>
      <c r="E1710" s="19">
        <v>215.3</v>
      </c>
      <c r="F1710" s="19">
        <v>8</v>
      </c>
      <c r="G1710" s="55" t="s">
        <v>11</v>
      </c>
      <c r="H1710" s="74">
        <v>10</v>
      </c>
      <c r="K1710" s="55" t="s">
        <v>25</v>
      </c>
    </row>
    <row r="1711" spans="1:13" x14ac:dyDescent="0.3">
      <c r="H1711" s="74">
        <v>10</v>
      </c>
      <c r="K1711" s="55" t="s">
        <v>84</v>
      </c>
    </row>
    <row r="1712" spans="1:13" x14ac:dyDescent="0.3">
      <c r="H1712" s="74">
        <v>80</v>
      </c>
      <c r="K1712" s="55" t="s">
        <v>96</v>
      </c>
    </row>
    <row r="1713" spans="1:13" x14ac:dyDescent="0.3">
      <c r="H1713" s="74">
        <v>10</v>
      </c>
      <c r="K1713" s="55" t="s">
        <v>55</v>
      </c>
      <c r="L1713" s="60" t="s">
        <v>131</v>
      </c>
    </row>
    <row r="1714" spans="1:13" x14ac:dyDescent="0.3">
      <c r="H1714" s="74">
        <v>40</v>
      </c>
      <c r="K1714" s="55" t="s">
        <v>32</v>
      </c>
      <c r="L1714" s="60" t="s">
        <v>780</v>
      </c>
    </row>
    <row r="1715" spans="1:13" x14ac:dyDescent="0.3">
      <c r="H1715" s="74">
        <v>30</v>
      </c>
      <c r="K1715" s="55" t="s">
        <v>102</v>
      </c>
    </row>
    <row r="1716" spans="1:13" x14ac:dyDescent="0.3">
      <c r="H1716" s="74">
        <v>20</v>
      </c>
      <c r="K1716" s="55" t="s">
        <v>34</v>
      </c>
      <c r="L1716" s="60" t="s">
        <v>253</v>
      </c>
    </row>
    <row r="1717" spans="1:13" x14ac:dyDescent="0.3">
      <c r="H1717" s="74">
        <v>40</v>
      </c>
      <c r="K1717" s="55" t="s">
        <v>34</v>
      </c>
      <c r="L1717" s="60" t="s">
        <v>519</v>
      </c>
    </row>
    <row r="1718" spans="1:13" x14ac:dyDescent="0.3">
      <c r="H1718" s="74">
        <v>50</v>
      </c>
      <c r="K1718" s="55" t="s">
        <v>30</v>
      </c>
      <c r="L1718" s="60" t="s">
        <v>779</v>
      </c>
    </row>
    <row r="1719" spans="1:13" x14ac:dyDescent="0.3">
      <c r="H1719" s="74">
        <v>50</v>
      </c>
      <c r="K1719" s="55" t="s">
        <v>32</v>
      </c>
      <c r="L1719" s="60" t="s">
        <v>781</v>
      </c>
    </row>
    <row r="1720" spans="1:13" x14ac:dyDescent="0.3">
      <c r="A1720" s="72" t="s">
        <v>782</v>
      </c>
      <c r="B1720" s="55" t="s">
        <v>0</v>
      </c>
      <c r="C1720" s="67" t="s">
        <v>48</v>
      </c>
      <c r="D1720" s="55" t="s">
        <v>51</v>
      </c>
      <c r="E1720" s="19">
        <v>240.78</v>
      </c>
      <c r="F1720" s="19">
        <v>10</v>
      </c>
      <c r="G1720" s="55" t="s">
        <v>11</v>
      </c>
      <c r="H1720" s="74">
        <v>10</v>
      </c>
      <c r="K1720" s="55" t="s">
        <v>25</v>
      </c>
    </row>
    <row r="1721" spans="1:13" x14ac:dyDescent="0.3">
      <c r="A1721" s="88"/>
      <c r="C1721" s="90"/>
      <c r="D1721" s="89"/>
      <c r="E1721" s="91"/>
      <c r="F1721" s="91"/>
      <c r="G1721" s="89"/>
      <c r="H1721" s="92">
        <v>10</v>
      </c>
      <c r="I1721" s="93"/>
      <c r="J1721" s="93"/>
      <c r="K1721" s="89" t="s">
        <v>84</v>
      </c>
      <c r="L1721" s="94"/>
      <c r="M1721" s="95"/>
    </row>
    <row r="1722" spans="1:13" s="1" customFormat="1" x14ac:dyDescent="0.3">
      <c r="A1722" s="72"/>
      <c r="B1722" s="55"/>
      <c r="C1722" s="19"/>
      <c r="D1722" s="55"/>
      <c r="E1722" s="19"/>
      <c r="F1722" s="19"/>
      <c r="G1722" s="55"/>
      <c r="H1722" s="74">
        <v>100</v>
      </c>
      <c r="I1722" s="47"/>
      <c r="J1722" s="47"/>
      <c r="K1722" s="55" t="s">
        <v>96</v>
      </c>
      <c r="L1722" s="60"/>
    </row>
    <row r="1723" spans="1:13" x14ac:dyDescent="0.3">
      <c r="H1723" s="74">
        <v>40</v>
      </c>
      <c r="K1723" s="55" t="s">
        <v>32</v>
      </c>
      <c r="L1723" s="60" t="s">
        <v>784</v>
      </c>
    </row>
    <row r="1724" spans="1:13" x14ac:dyDescent="0.3">
      <c r="H1724" s="74">
        <v>30</v>
      </c>
      <c r="K1724" s="55" t="s">
        <v>30</v>
      </c>
      <c r="L1724" s="60" t="s">
        <v>300</v>
      </c>
    </row>
    <row r="1725" spans="1:13" x14ac:dyDescent="0.3">
      <c r="H1725" s="74">
        <v>45</v>
      </c>
      <c r="K1725" s="55" t="s">
        <v>32</v>
      </c>
      <c r="L1725" s="60" t="s">
        <v>788</v>
      </c>
    </row>
    <row r="1726" spans="1:13" x14ac:dyDescent="0.3">
      <c r="H1726" s="74">
        <v>20</v>
      </c>
      <c r="K1726" s="55" t="s">
        <v>102</v>
      </c>
    </row>
    <row r="1727" spans="1:13" x14ac:dyDescent="0.3">
      <c r="H1727" s="74">
        <v>20</v>
      </c>
      <c r="K1727" s="55" t="s">
        <v>55</v>
      </c>
      <c r="L1727" s="60" t="s">
        <v>785</v>
      </c>
    </row>
    <row r="1728" spans="1:13" x14ac:dyDescent="0.3">
      <c r="H1728" s="74">
        <v>40</v>
      </c>
      <c r="K1728" s="55" t="s">
        <v>34</v>
      </c>
      <c r="L1728" s="60" t="s">
        <v>787</v>
      </c>
    </row>
    <row r="1729" spans="1:12" x14ac:dyDescent="0.3">
      <c r="H1729" s="74">
        <v>25</v>
      </c>
      <c r="K1729" s="55" t="s">
        <v>33</v>
      </c>
      <c r="L1729" s="60" t="s">
        <v>786</v>
      </c>
    </row>
    <row r="1730" spans="1:12" ht="21" x14ac:dyDescent="0.35">
      <c r="A1730" s="73" t="s">
        <v>782</v>
      </c>
      <c r="B1730" s="55" t="s">
        <v>10</v>
      </c>
      <c r="C1730" s="67" t="s">
        <v>47</v>
      </c>
      <c r="D1730" s="55" t="s">
        <v>52</v>
      </c>
      <c r="E1730" s="19">
        <v>300.56</v>
      </c>
      <c r="F1730" s="19">
        <v>12</v>
      </c>
      <c r="G1730" s="55" t="s">
        <v>11</v>
      </c>
      <c r="H1730" s="74">
        <v>10</v>
      </c>
      <c r="K1730" s="55" t="s">
        <v>25</v>
      </c>
    </row>
    <row r="1731" spans="1:12" x14ac:dyDescent="0.3">
      <c r="H1731" s="74">
        <v>10</v>
      </c>
      <c r="K1731" s="55" t="s">
        <v>84</v>
      </c>
    </row>
    <row r="1732" spans="1:12" x14ac:dyDescent="0.3">
      <c r="H1732" s="74">
        <v>130</v>
      </c>
      <c r="K1732" s="55" t="s">
        <v>96</v>
      </c>
    </row>
    <row r="1733" spans="1:12" x14ac:dyDescent="0.3">
      <c r="H1733" s="74">
        <v>50</v>
      </c>
      <c r="K1733" s="55" t="s">
        <v>32</v>
      </c>
      <c r="L1733" s="60" t="s">
        <v>789</v>
      </c>
    </row>
    <row r="1734" spans="1:12" x14ac:dyDescent="0.3">
      <c r="H1734" s="74">
        <v>40</v>
      </c>
      <c r="K1734" s="55" t="s">
        <v>32</v>
      </c>
      <c r="L1734" s="60" t="s">
        <v>771</v>
      </c>
    </row>
    <row r="1735" spans="1:12" x14ac:dyDescent="0.3">
      <c r="H1735" s="74">
        <v>20</v>
      </c>
      <c r="K1735" s="55" t="s">
        <v>55</v>
      </c>
      <c r="L1735" s="60" t="s">
        <v>13</v>
      </c>
    </row>
    <row r="1736" spans="1:12" x14ac:dyDescent="0.3">
      <c r="H1736" s="74">
        <v>20</v>
      </c>
      <c r="K1736" s="55" t="s">
        <v>102</v>
      </c>
    </row>
    <row r="1737" spans="1:12" x14ac:dyDescent="0.3">
      <c r="H1737" s="74">
        <v>30</v>
      </c>
      <c r="K1737" s="55" t="s">
        <v>30</v>
      </c>
      <c r="L1737" s="60" t="s">
        <v>300</v>
      </c>
    </row>
    <row r="1738" spans="1:12" x14ac:dyDescent="0.3">
      <c r="A1738" s="72" t="s">
        <v>782</v>
      </c>
      <c r="B1738" s="55" t="s">
        <v>12</v>
      </c>
      <c r="C1738" s="67" t="s">
        <v>46</v>
      </c>
      <c r="D1738" s="55" t="s">
        <v>50</v>
      </c>
      <c r="E1738" s="19">
        <v>288.25</v>
      </c>
      <c r="F1738" s="19">
        <v>11</v>
      </c>
      <c r="G1738" s="55" t="s">
        <v>11</v>
      </c>
      <c r="H1738" s="74">
        <v>10</v>
      </c>
      <c r="K1738" s="55" t="s">
        <v>25</v>
      </c>
    </row>
    <row r="1739" spans="1:12" x14ac:dyDescent="0.3">
      <c r="H1739" s="74">
        <v>10</v>
      </c>
      <c r="K1739" s="55" t="s">
        <v>84</v>
      </c>
    </row>
    <row r="1740" spans="1:12" x14ac:dyDescent="0.3">
      <c r="H1740" s="74">
        <v>120</v>
      </c>
      <c r="K1740" s="55" t="s">
        <v>96</v>
      </c>
    </row>
    <row r="1741" spans="1:12" x14ac:dyDescent="0.3">
      <c r="H1741" s="74">
        <v>50</v>
      </c>
      <c r="K1741" s="55" t="s">
        <v>32</v>
      </c>
      <c r="L1741" s="60" t="s">
        <v>391</v>
      </c>
    </row>
    <row r="1742" spans="1:12" x14ac:dyDescent="0.3">
      <c r="H1742" s="74">
        <v>40</v>
      </c>
      <c r="K1742" s="55" t="s">
        <v>32</v>
      </c>
      <c r="L1742" s="60" t="s">
        <v>771</v>
      </c>
    </row>
    <row r="1743" spans="1:12" x14ac:dyDescent="0.3">
      <c r="H1743" s="74">
        <v>20</v>
      </c>
      <c r="K1743" s="55" t="s">
        <v>55</v>
      </c>
      <c r="L1743" s="60" t="s">
        <v>13</v>
      </c>
    </row>
    <row r="1744" spans="1:12" x14ac:dyDescent="0.3">
      <c r="H1744" s="74">
        <v>20</v>
      </c>
      <c r="K1744" s="55" t="s">
        <v>102</v>
      </c>
    </row>
    <row r="1745" spans="1:12" x14ac:dyDescent="0.3">
      <c r="H1745" s="74">
        <v>30</v>
      </c>
      <c r="K1745" s="55" t="s">
        <v>30</v>
      </c>
    </row>
    <row r="1746" spans="1:12" x14ac:dyDescent="0.3">
      <c r="A1746" s="72" t="s">
        <v>790</v>
      </c>
      <c r="B1746" s="55" t="s">
        <v>0</v>
      </c>
      <c r="C1746" s="67" t="s">
        <v>49</v>
      </c>
      <c r="D1746" s="55" t="s">
        <v>51</v>
      </c>
      <c r="E1746" s="19">
        <v>306.7</v>
      </c>
      <c r="F1746" s="19">
        <v>11</v>
      </c>
      <c r="G1746" s="55" t="s">
        <v>11</v>
      </c>
      <c r="H1746" s="74">
        <v>10</v>
      </c>
      <c r="K1746" s="55" t="s">
        <v>25</v>
      </c>
    </row>
    <row r="1747" spans="1:12" x14ac:dyDescent="0.3">
      <c r="H1747" s="74">
        <v>10</v>
      </c>
      <c r="K1747" s="55" t="s">
        <v>84</v>
      </c>
    </row>
    <row r="1748" spans="1:12" x14ac:dyDescent="0.3">
      <c r="H1748" s="74">
        <v>110</v>
      </c>
      <c r="K1748" s="55" t="s">
        <v>96</v>
      </c>
    </row>
    <row r="1749" spans="1:12" x14ac:dyDescent="0.3">
      <c r="H1749" s="74">
        <v>20</v>
      </c>
      <c r="K1749" s="55" t="s">
        <v>102</v>
      </c>
    </row>
    <row r="1750" spans="1:12" x14ac:dyDescent="0.3">
      <c r="H1750" s="74">
        <v>120</v>
      </c>
      <c r="K1750" s="55" t="s">
        <v>32</v>
      </c>
    </row>
    <row r="1751" spans="1:12" x14ac:dyDescent="0.3">
      <c r="H1751" s="74">
        <v>30</v>
      </c>
      <c r="K1751" s="55" t="s">
        <v>34</v>
      </c>
    </row>
    <row r="1752" spans="1:12" x14ac:dyDescent="0.3">
      <c r="H1752" s="74">
        <v>30</v>
      </c>
      <c r="K1752" s="55" t="s">
        <v>34</v>
      </c>
    </row>
    <row r="1753" spans="1:12" x14ac:dyDescent="0.3">
      <c r="H1753" s="74">
        <v>25</v>
      </c>
      <c r="K1753" s="55" t="s">
        <v>55</v>
      </c>
      <c r="L1753" s="60" t="s">
        <v>791</v>
      </c>
    </row>
    <row r="1754" spans="1:12" x14ac:dyDescent="0.3">
      <c r="H1754" s="74">
        <v>20</v>
      </c>
      <c r="K1754" s="55" t="s">
        <v>30</v>
      </c>
    </row>
    <row r="1755" spans="1:12" ht="21" x14ac:dyDescent="0.35">
      <c r="A1755" s="73" t="s">
        <v>790</v>
      </c>
      <c r="B1755" s="55" t="s">
        <v>10</v>
      </c>
      <c r="C1755" s="67" t="s">
        <v>46</v>
      </c>
      <c r="D1755" s="55" t="s">
        <v>52</v>
      </c>
      <c r="E1755" s="19">
        <v>313.38</v>
      </c>
      <c r="F1755" s="19">
        <v>10</v>
      </c>
      <c r="G1755" s="55" t="s">
        <v>11</v>
      </c>
      <c r="H1755" s="74">
        <v>10</v>
      </c>
      <c r="K1755" s="55" t="s">
        <v>25</v>
      </c>
    </row>
    <row r="1756" spans="1:12" x14ac:dyDescent="0.3">
      <c r="H1756" s="74">
        <v>10</v>
      </c>
      <c r="K1756" s="55" t="s">
        <v>84</v>
      </c>
    </row>
    <row r="1757" spans="1:12" x14ac:dyDescent="0.3">
      <c r="H1757" s="74">
        <v>110</v>
      </c>
      <c r="K1757" s="55" t="s">
        <v>96</v>
      </c>
    </row>
    <row r="1758" spans="1:12" x14ac:dyDescent="0.3">
      <c r="H1758" s="74">
        <v>40</v>
      </c>
      <c r="K1758" s="55" t="s">
        <v>32</v>
      </c>
      <c r="L1758" s="60" t="s">
        <v>792</v>
      </c>
    </row>
    <row r="1759" spans="1:12" x14ac:dyDescent="0.3">
      <c r="H1759" s="74">
        <v>40</v>
      </c>
      <c r="K1759" s="55" t="s">
        <v>32</v>
      </c>
      <c r="L1759" s="60" t="s">
        <v>771</v>
      </c>
    </row>
    <row r="1760" spans="1:12" x14ac:dyDescent="0.3">
      <c r="H1760" s="74">
        <v>20</v>
      </c>
      <c r="K1760" s="55" t="s">
        <v>55</v>
      </c>
      <c r="L1760" s="60" t="s">
        <v>13</v>
      </c>
    </row>
    <row r="1761" spans="1:12" x14ac:dyDescent="0.3">
      <c r="H1761" s="74">
        <v>20</v>
      </c>
      <c r="K1761" s="55" t="s">
        <v>102</v>
      </c>
    </row>
    <row r="1762" spans="1:12" x14ac:dyDescent="0.3">
      <c r="H1762" s="74">
        <v>30</v>
      </c>
      <c r="K1762" s="55" t="s">
        <v>30</v>
      </c>
      <c r="L1762" s="60" t="s">
        <v>793</v>
      </c>
    </row>
    <row r="1763" spans="1:12" x14ac:dyDescent="0.3">
      <c r="H1763" s="74">
        <v>20</v>
      </c>
      <c r="K1763" s="55" t="s">
        <v>34</v>
      </c>
      <c r="L1763" s="60" t="s">
        <v>149</v>
      </c>
    </row>
    <row r="1764" spans="1:12" x14ac:dyDescent="0.3">
      <c r="H1764" s="74">
        <v>20</v>
      </c>
      <c r="K1764" s="55" t="s">
        <v>34</v>
      </c>
      <c r="L1764" s="60" t="s">
        <v>794</v>
      </c>
    </row>
    <row r="1765" spans="1:12" x14ac:dyDescent="0.3">
      <c r="H1765" s="74">
        <v>30</v>
      </c>
      <c r="K1765" s="55" t="s">
        <v>34</v>
      </c>
      <c r="L1765" s="60" t="s">
        <v>522</v>
      </c>
    </row>
    <row r="1766" spans="1:12" ht="21" x14ac:dyDescent="0.35">
      <c r="A1766" s="73" t="s">
        <v>790</v>
      </c>
      <c r="B1766" s="55" t="s">
        <v>12</v>
      </c>
      <c r="C1766" s="67" t="s">
        <v>48</v>
      </c>
      <c r="D1766" s="55" t="s">
        <v>50</v>
      </c>
      <c r="E1766" s="19">
        <v>163.69</v>
      </c>
      <c r="F1766" s="19">
        <v>5</v>
      </c>
      <c r="G1766" s="55" t="s">
        <v>11</v>
      </c>
      <c r="H1766" s="74">
        <v>10</v>
      </c>
      <c r="K1766" s="55" t="s">
        <v>25</v>
      </c>
    </row>
    <row r="1767" spans="1:12" x14ac:dyDescent="0.3">
      <c r="H1767" s="74">
        <v>10</v>
      </c>
      <c r="K1767" s="55" t="s">
        <v>84</v>
      </c>
    </row>
    <row r="1768" spans="1:12" x14ac:dyDescent="0.3">
      <c r="H1768" s="74">
        <v>50</v>
      </c>
      <c r="K1768" s="55" t="s">
        <v>32</v>
      </c>
      <c r="L1768" s="60" t="s">
        <v>743</v>
      </c>
    </row>
    <row r="1769" spans="1:12" x14ac:dyDescent="0.3">
      <c r="H1769" s="74">
        <v>50</v>
      </c>
      <c r="K1769" s="55" t="s">
        <v>96</v>
      </c>
    </row>
    <row r="1770" spans="1:12" x14ac:dyDescent="0.3">
      <c r="H1770" s="74">
        <v>60</v>
      </c>
      <c r="K1770" s="55" t="s">
        <v>32</v>
      </c>
      <c r="L1770" s="60" t="s">
        <v>795</v>
      </c>
    </row>
    <row r="1771" spans="1:12" x14ac:dyDescent="0.3">
      <c r="H1771" s="74">
        <v>70</v>
      </c>
      <c r="K1771" s="55" t="s">
        <v>32</v>
      </c>
      <c r="L1771" s="60" t="s">
        <v>796</v>
      </c>
    </row>
    <row r="1772" spans="1:12" x14ac:dyDescent="0.3">
      <c r="H1772" s="74">
        <v>10</v>
      </c>
      <c r="K1772" s="55" t="s">
        <v>55</v>
      </c>
      <c r="L1772" s="60" t="s">
        <v>13</v>
      </c>
    </row>
    <row r="1773" spans="1:12" x14ac:dyDescent="0.3">
      <c r="H1773" s="74">
        <v>20</v>
      </c>
      <c r="K1773" s="55" t="s">
        <v>102</v>
      </c>
    </row>
    <row r="1774" spans="1:12" x14ac:dyDescent="0.3">
      <c r="H1774" s="74">
        <v>30</v>
      </c>
      <c r="K1774" s="55" t="s">
        <v>34</v>
      </c>
      <c r="L1774" s="60" t="s">
        <v>149</v>
      </c>
    </row>
    <row r="1775" spans="1:12" x14ac:dyDescent="0.3">
      <c r="H1775" s="74">
        <v>50</v>
      </c>
      <c r="K1775" s="55" t="s">
        <v>34</v>
      </c>
      <c r="L1775" s="60" t="s">
        <v>794</v>
      </c>
    </row>
    <row r="1776" spans="1:12" x14ac:dyDescent="0.3">
      <c r="H1776" s="74">
        <v>40</v>
      </c>
      <c r="K1776" s="55" t="s">
        <v>30</v>
      </c>
      <c r="L1776" s="60" t="s">
        <v>793</v>
      </c>
    </row>
    <row r="1779" spans="1:12" ht="21" x14ac:dyDescent="0.35">
      <c r="A1779" s="73" t="s">
        <v>797</v>
      </c>
      <c r="B1779" s="55" t="s">
        <v>0</v>
      </c>
      <c r="C1779" s="67" t="s">
        <v>49</v>
      </c>
      <c r="D1779" s="55" t="s">
        <v>52</v>
      </c>
      <c r="E1779" s="19">
        <v>248.08</v>
      </c>
      <c r="F1779" s="19">
        <v>8</v>
      </c>
      <c r="G1779" s="55" t="s">
        <v>11</v>
      </c>
      <c r="H1779" s="74">
        <v>10</v>
      </c>
      <c r="K1779" s="55" t="s">
        <v>25</v>
      </c>
    </row>
    <row r="1780" spans="1:12" x14ac:dyDescent="0.3">
      <c r="H1780" s="74">
        <v>10</v>
      </c>
      <c r="K1780" s="55" t="s">
        <v>84</v>
      </c>
    </row>
    <row r="1781" spans="1:12" x14ac:dyDescent="0.3">
      <c r="H1781" s="74">
        <v>90</v>
      </c>
      <c r="K1781" s="55" t="s">
        <v>96</v>
      </c>
    </row>
    <row r="1782" spans="1:12" x14ac:dyDescent="0.3">
      <c r="H1782" s="74">
        <v>50</v>
      </c>
      <c r="K1782" s="55" t="s">
        <v>32</v>
      </c>
      <c r="L1782" s="60" t="s">
        <v>798</v>
      </c>
    </row>
    <row r="1783" spans="1:12" x14ac:dyDescent="0.3">
      <c r="H1783" s="74">
        <v>40</v>
      </c>
      <c r="K1783" s="55" t="s">
        <v>32</v>
      </c>
      <c r="L1783" s="60" t="s">
        <v>771</v>
      </c>
    </row>
    <row r="1784" spans="1:12" x14ac:dyDescent="0.3">
      <c r="H1784" s="74">
        <v>30</v>
      </c>
      <c r="K1784" s="55" t="s">
        <v>34</v>
      </c>
      <c r="L1784" s="60" t="s">
        <v>149</v>
      </c>
    </row>
    <row r="1785" spans="1:12" x14ac:dyDescent="0.3">
      <c r="H1785" s="74">
        <v>20</v>
      </c>
      <c r="K1785" s="55" t="s">
        <v>34</v>
      </c>
      <c r="L1785" s="60" t="s">
        <v>794</v>
      </c>
    </row>
    <row r="1786" spans="1:12" x14ac:dyDescent="0.3">
      <c r="H1786" s="74">
        <v>50</v>
      </c>
      <c r="K1786" s="55" t="s">
        <v>30</v>
      </c>
      <c r="L1786" s="60" t="s">
        <v>793</v>
      </c>
    </row>
    <row r="1787" spans="1:12" x14ac:dyDescent="0.3">
      <c r="H1787" s="74">
        <v>30</v>
      </c>
      <c r="K1787" s="55" t="s">
        <v>33</v>
      </c>
      <c r="L1787" s="60" t="s">
        <v>799</v>
      </c>
    </row>
    <row r="1788" spans="1:12" x14ac:dyDescent="0.3">
      <c r="H1788" s="74">
        <v>45</v>
      </c>
      <c r="K1788" s="55" t="s">
        <v>33</v>
      </c>
      <c r="L1788" s="60" t="s">
        <v>800</v>
      </c>
    </row>
    <row r="1789" spans="1:12" ht="21" x14ac:dyDescent="0.35">
      <c r="A1789" s="73" t="s">
        <v>797</v>
      </c>
      <c r="B1789" s="55" t="s">
        <v>10</v>
      </c>
      <c r="C1789" s="67" t="s">
        <v>46</v>
      </c>
      <c r="D1789" s="55" t="s">
        <v>50</v>
      </c>
      <c r="E1789" s="19">
        <v>301.82</v>
      </c>
      <c r="F1789" s="19">
        <v>10</v>
      </c>
      <c r="G1789" s="55" t="s">
        <v>11</v>
      </c>
      <c r="H1789" s="74">
        <v>10</v>
      </c>
      <c r="K1789" s="55" t="s">
        <v>25</v>
      </c>
    </row>
    <row r="1790" spans="1:12" x14ac:dyDescent="0.3">
      <c r="H1790" s="74">
        <v>10</v>
      </c>
      <c r="K1790" s="55" t="s">
        <v>84</v>
      </c>
    </row>
    <row r="1791" spans="1:12" x14ac:dyDescent="0.3">
      <c r="H1791" s="74">
        <v>100</v>
      </c>
      <c r="K1791" s="55" t="s">
        <v>96</v>
      </c>
    </row>
    <row r="1792" spans="1:12" x14ac:dyDescent="0.3">
      <c r="H1792" s="74">
        <v>60</v>
      </c>
      <c r="K1792" s="55" t="s">
        <v>32</v>
      </c>
      <c r="L1792" s="60" t="s">
        <v>802</v>
      </c>
    </row>
    <row r="1793" spans="1:12" x14ac:dyDescent="0.3">
      <c r="H1793" s="74">
        <v>10</v>
      </c>
      <c r="K1793" s="55" t="s">
        <v>55</v>
      </c>
      <c r="L1793" s="60" t="s">
        <v>13</v>
      </c>
    </row>
    <row r="1794" spans="1:12" x14ac:dyDescent="0.3">
      <c r="H1794" s="74">
        <v>20</v>
      </c>
      <c r="K1794" s="55" t="s">
        <v>102</v>
      </c>
    </row>
    <row r="1795" spans="1:12" x14ac:dyDescent="0.3">
      <c r="H1795" s="74">
        <v>20</v>
      </c>
      <c r="K1795" s="55" t="s">
        <v>32</v>
      </c>
      <c r="L1795" s="60" t="s">
        <v>236</v>
      </c>
    </row>
    <row r="1796" spans="1:12" x14ac:dyDescent="0.3">
      <c r="H1796" s="74">
        <v>20</v>
      </c>
      <c r="K1796" s="55" t="s">
        <v>34</v>
      </c>
      <c r="L1796" s="60" t="s">
        <v>149</v>
      </c>
    </row>
    <row r="1797" spans="1:12" x14ac:dyDescent="0.3">
      <c r="H1797" s="74">
        <v>40</v>
      </c>
      <c r="K1797" s="55" t="s">
        <v>34</v>
      </c>
      <c r="L1797" s="60" t="s">
        <v>794</v>
      </c>
    </row>
    <row r="1798" spans="1:12" x14ac:dyDescent="0.3">
      <c r="H1798" s="74">
        <v>50</v>
      </c>
      <c r="K1798" s="55" t="s">
        <v>30</v>
      </c>
      <c r="L1798" s="60" t="s">
        <v>801</v>
      </c>
    </row>
    <row r="1800" spans="1:12" x14ac:dyDescent="0.3">
      <c r="A1800" s="72" t="s">
        <v>797</v>
      </c>
      <c r="B1800" s="55" t="s">
        <v>12</v>
      </c>
      <c r="C1800" s="67" t="s">
        <v>48</v>
      </c>
      <c r="D1800" s="55" t="s">
        <v>51</v>
      </c>
      <c r="E1800" s="19">
        <v>264.36</v>
      </c>
      <c r="F1800" s="19">
        <v>8</v>
      </c>
      <c r="G1800" s="55" t="s">
        <v>11</v>
      </c>
      <c r="H1800" s="74">
        <v>10</v>
      </c>
      <c r="K1800" s="55" t="s">
        <v>25</v>
      </c>
    </row>
    <row r="1801" spans="1:12" x14ac:dyDescent="0.3">
      <c r="H1801" s="74">
        <v>10</v>
      </c>
      <c r="K1801" s="55" t="s">
        <v>84</v>
      </c>
    </row>
    <row r="1802" spans="1:12" x14ac:dyDescent="0.3">
      <c r="H1802" s="74">
        <v>80</v>
      </c>
      <c r="K1802" s="55" t="s">
        <v>96</v>
      </c>
    </row>
    <row r="1803" spans="1:12" x14ac:dyDescent="0.3">
      <c r="H1803" s="74">
        <v>60</v>
      </c>
      <c r="K1803" s="55" t="s">
        <v>32</v>
      </c>
      <c r="L1803" s="60" t="s">
        <v>802</v>
      </c>
    </row>
    <row r="1804" spans="1:12" x14ac:dyDescent="0.3">
      <c r="H1804" s="74">
        <v>20</v>
      </c>
      <c r="K1804" s="55" t="s">
        <v>102</v>
      </c>
    </row>
    <row r="1805" spans="1:12" x14ac:dyDescent="0.3">
      <c r="H1805" s="74">
        <v>30</v>
      </c>
      <c r="K1805" s="55" t="s">
        <v>34</v>
      </c>
      <c r="L1805" s="60" t="s">
        <v>149</v>
      </c>
    </row>
    <row r="1806" spans="1:12" x14ac:dyDescent="0.3">
      <c r="H1806" s="74">
        <v>50</v>
      </c>
      <c r="K1806" s="55" t="s">
        <v>34</v>
      </c>
      <c r="L1806" s="60" t="s">
        <v>323</v>
      </c>
    </row>
    <row r="1807" spans="1:12" x14ac:dyDescent="0.3">
      <c r="H1807" s="74">
        <v>20</v>
      </c>
      <c r="K1807" s="55" t="s">
        <v>32</v>
      </c>
      <c r="L1807" s="60" t="s">
        <v>803</v>
      </c>
    </row>
    <row r="1808" spans="1:12" x14ac:dyDescent="0.3">
      <c r="H1808" s="74">
        <v>25</v>
      </c>
      <c r="K1808" s="55" t="s">
        <v>30</v>
      </c>
      <c r="L1808" s="60" t="s">
        <v>324</v>
      </c>
    </row>
    <row r="1809" spans="1:12" x14ac:dyDescent="0.3">
      <c r="H1809" s="74">
        <v>15</v>
      </c>
      <c r="K1809" s="55" t="s">
        <v>55</v>
      </c>
      <c r="L1809" s="60" t="s">
        <v>13</v>
      </c>
    </row>
    <row r="1811" spans="1:12" x14ac:dyDescent="0.3">
      <c r="A1811" s="72" t="s">
        <v>804</v>
      </c>
      <c r="B1811" s="55" t="s">
        <v>10</v>
      </c>
      <c r="C1811" s="67" t="s">
        <v>47</v>
      </c>
      <c r="D1811" s="55" t="s">
        <v>50</v>
      </c>
      <c r="E1811" s="19">
        <v>266.76</v>
      </c>
      <c r="F1811" s="19">
        <v>9</v>
      </c>
      <c r="G1811" s="55" t="s">
        <v>11</v>
      </c>
      <c r="H1811" s="74">
        <v>10</v>
      </c>
      <c r="K1811" s="55" t="s">
        <v>25</v>
      </c>
    </row>
    <row r="1812" spans="1:12" x14ac:dyDescent="0.3">
      <c r="H1812" s="74">
        <v>10</v>
      </c>
      <c r="K1812" s="55" t="s">
        <v>84</v>
      </c>
    </row>
    <row r="1813" spans="1:12" x14ac:dyDescent="0.3">
      <c r="H1813" s="74">
        <v>90</v>
      </c>
      <c r="K1813" s="55" t="s">
        <v>96</v>
      </c>
    </row>
    <row r="1814" spans="1:12" x14ac:dyDescent="0.3">
      <c r="H1814" s="74">
        <v>50</v>
      </c>
      <c r="K1814" s="55" t="s">
        <v>32</v>
      </c>
      <c r="L1814" s="60" t="s">
        <v>659</v>
      </c>
    </row>
    <row r="1815" spans="1:12" x14ac:dyDescent="0.3">
      <c r="H1815" s="74">
        <v>90</v>
      </c>
      <c r="K1815" s="55" t="s">
        <v>32</v>
      </c>
      <c r="L1815" s="60" t="s">
        <v>361</v>
      </c>
    </row>
    <row r="1816" spans="1:12" x14ac:dyDescent="0.3">
      <c r="H1816" s="74">
        <v>20</v>
      </c>
      <c r="K1816" s="55" t="s">
        <v>34</v>
      </c>
      <c r="L1816" s="60" t="s">
        <v>149</v>
      </c>
    </row>
    <row r="1817" spans="1:12" x14ac:dyDescent="0.3">
      <c r="H1817" s="74">
        <v>20</v>
      </c>
      <c r="K1817" s="55" t="s">
        <v>34</v>
      </c>
      <c r="L1817" s="60" t="s">
        <v>794</v>
      </c>
    </row>
    <row r="1818" spans="1:12" x14ac:dyDescent="0.3">
      <c r="H1818" s="74">
        <v>30</v>
      </c>
      <c r="K1818" s="55" t="s">
        <v>30</v>
      </c>
      <c r="L1818" s="60" t="s">
        <v>793</v>
      </c>
    </row>
    <row r="1819" spans="1:12" x14ac:dyDescent="0.3">
      <c r="H1819" s="74">
        <v>60</v>
      </c>
      <c r="K1819" s="55" t="s">
        <v>33</v>
      </c>
      <c r="L1819" s="60" t="s">
        <v>805</v>
      </c>
    </row>
    <row r="1821" spans="1:12" x14ac:dyDescent="0.3">
      <c r="A1821" s="72" t="s">
        <v>804</v>
      </c>
      <c r="B1821" s="55" t="s">
        <v>12</v>
      </c>
      <c r="C1821" s="67" t="s">
        <v>46</v>
      </c>
      <c r="D1821" s="55" t="s">
        <v>51</v>
      </c>
      <c r="E1821" s="19">
        <v>154.91999999999999</v>
      </c>
      <c r="F1821" s="19">
        <v>5</v>
      </c>
      <c r="G1821" s="55" t="s">
        <v>11</v>
      </c>
      <c r="H1821" s="74">
        <v>10</v>
      </c>
      <c r="K1821" s="55" t="s">
        <v>25</v>
      </c>
    </row>
    <row r="1822" spans="1:12" x14ac:dyDescent="0.3">
      <c r="H1822" s="74">
        <v>10</v>
      </c>
      <c r="K1822" s="55" t="s">
        <v>84</v>
      </c>
    </row>
    <row r="1823" spans="1:12" x14ac:dyDescent="0.3">
      <c r="H1823" s="74">
        <v>70</v>
      </c>
      <c r="K1823" s="55" t="s">
        <v>96</v>
      </c>
    </row>
    <row r="1824" spans="1:12" x14ac:dyDescent="0.3">
      <c r="H1824" s="74">
        <v>40</v>
      </c>
      <c r="K1824" s="55" t="s">
        <v>32</v>
      </c>
      <c r="L1824" s="60" t="s">
        <v>808</v>
      </c>
    </row>
    <row r="1825" spans="1:12" x14ac:dyDescent="0.3">
      <c r="H1825" s="74">
        <v>20</v>
      </c>
      <c r="K1825" s="55" t="s">
        <v>34</v>
      </c>
    </row>
    <row r="1826" spans="1:12" x14ac:dyDescent="0.3">
      <c r="H1826" s="81">
        <v>158</v>
      </c>
      <c r="I1826" s="49"/>
      <c r="J1826" s="49"/>
      <c r="K1826" s="58" t="s">
        <v>33</v>
      </c>
      <c r="L1826" s="62" t="s">
        <v>806</v>
      </c>
    </row>
    <row r="1827" spans="1:12" x14ac:dyDescent="0.3">
      <c r="H1827" s="74">
        <v>15</v>
      </c>
      <c r="K1827" s="55" t="s">
        <v>32</v>
      </c>
      <c r="L1827" s="60" t="s">
        <v>807</v>
      </c>
    </row>
    <row r="1828" spans="1:12" x14ac:dyDescent="0.3">
      <c r="H1828" s="74">
        <v>20</v>
      </c>
      <c r="K1828" s="55" t="s">
        <v>32</v>
      </c>
      <c r="L1828" s="60" t="s">
        <v>809</v>
      </c>
    </row>
    <row r="1829" spans="1:12" x14ac:dyDescent="0.3">
      <c r="H1829" s="74">
        <v>20</v>
      </c>
      <c r="K1829" s="55" t="s">
        <v>102</v>
      </c>
    </row>
    <row r="1831" spans="1:12" ht="21" x14ac:dyDescent="0.35">
      <c r="A1831" s="73" t="s">
        <v>810</v>
      </c>
      <c r="B1831" s="55" t="s">
        <v>0</v>
      </c>
      <c r="C1831" s="67" t="s">
        <v>49</v>
      </c>
      <c r="D1831" s="55" t="s">
        <v>52</v>
      </c>
      <c r="E1831" s="19">
        <v>231.05</v>
      </c>
      <c r="F1831" s="19">
        <v>7</v>
      </c>
      <c r="G1831" s="55" t="s">
        <v>11</v>
      </c>
      <c r="H1831" s="74">
        <v>10</v>
      </c>
      <c r="K1831" s="55" t="s">
        <v>25</v>
      </c>
    </row>
    <row r="1832" spans="1:12" x14ac:dyDescent="0.3">
      <c r="H1832" s="74">
        <v>10</v>
      </c>
      <c r="K1832" s="55" t="s">
        <v>84</v>
      </c>
    </row>
    <row r="1833" spans="1:12" x14ac:dyDescent="0.3">
      <c r="H1833" s="74">
        <v>70</v>
      </c>
      <c r="K1833" s="55" t="s">
        <v>96</v>
      </c>
    </row>
    <row r="1834" spans="1:12" x14ac:dyDescent="0.3">
      <c r="H1834" s="74">
        <v>30</v>
      </c>
      <c r="K1834" s="55" t="s">
        <v>32</v>
      </c>
      <c r="L1834" s="60" t="s">
        <v>814</v>
      </c>
    </row>
    <row r="1835" spans="1:12" x14ac:dyDescent="0.3">
      <c r="H1835" s="74">
        <v>70</v>
      </c>
      <c r="K1835" s="55" t="s">
        <v>32</v>
      </c>
      <c r="L1835" s="60" t="s">
        <v>811</v>
      </c>
    </row>
    <row r="1836" spans="1:12" x14ac:dyDescent="0.3">
      <c r="H1836" s="74">
        <v>30</v>
      </c>
      <c r="K1836" s="55" t="s">
        <v>34</v>
      </c>
      <c r="L1836" s="60" t="s">
        <v>149</v>
      </c>
    </row>
    <row r="1837" spans="1:12" x14ac:dyDescent="0.3">
      <c r="H1837" s="74">
        <v>20</v>
      </c>
      <c r="K1837" s="55" t="s">
        <v>34</v>
      </c>
      <c r="L1837" s="60" t="s">
        <v>794</v>
      </c>
    </row>
    <row r="1838" spans="1:12" x14ac:dyDescent="0.3">
      <c r="H1838" s="74">
        <v>20</v>
      </c>
      <c r="K1838" s="55" t="s">
        <v>30</v>
      </c>
      <c r="L1838" s="60" t="s">
        <v>148</v>
      </c>
    </row>
    <row r="1839" spans="1:12" x14ac:dyDescent="0.3">
      <c r="H1839" s="74">
        <v>50</v>
      </c>
      <c r="K1839" s="55" t="s">
        <v>55</v>
      </c>
      <c r="L1839" s="60" t="s">
        <v>812</v>
      </c>
    </row>
    <row r="1840" spans="1:12" x14ac:dyDescent="0.3">
      <c r="H1840" s="74">
        <v>20</v>
      </c>
      <c r="K1840" s="55" t="s">
        <v>102</v>
      </c>
    </row>
    <row r="1841" spans="1:12" x14ac:dyDescent="0.3">
      <c r="H1841" s="74">
        <v>40</v>
      </c>
      <c r="K1841" s="55" t="s">
        <v>55</v>
      </c>
      <c r="L1841" s="60" t="s">
        <v>813</v>
      </c>
    </row>
    <row r="1842" spans="1:12" x14ac:dyDescent="0.3">
      <c r="H1842" s="74">
        <v>20</v>
      </c>
      <c r="K1842" s="55" t="s">
        <v>33</v>
      </c>
      <c r="L1842" s="60" t="s">
        <v>454</v>
      </c>
    </row>
    <row r="1844" spans="1:12" x14ac:dyDescent="0.3">
      <c r="A1844" s="72" t="s">
        <v>810</v>
      </c>
      <c r="B1844" s="55" t="s">
        <v>10</v>
      </c>
      <c r="C1844" s="67" t="s">
        <v>47</v>
      </c>
      <c r="D1844" s="55" t="s">
        <v>50</v>
      </c>
      <c r="E1844" s="19">
        <v>196.25</v>
      </c>
      <c r="F1844" s="19">
        <v>9</v>
      </c>
      <c r="G1844" s="55" t="s">
        <v>11</v>
      </c>
      <c r="H1844" s="74">
        <v>10</v>
      </c>
      <c r="K1844" s="55" t="s">
        <v>25</v>
      </c>
    </row>
    <row r="1845" spans="1:12" x14ac:dyDescent="0.3">
      <c r="H1845" s="74">
        <v>10</v>
      </c>
      <c r="K1845" s="55" t="s">
        <v>84</v>
      </c>
    </row>
    <row r="1846" spans="1:12" x14ac:dyDescent="0.3">
      <c r="H1846" s="74">
        <v>90</v>
      </c>
      <c r="K1846" s="55" t="s">
        <v>96</v>
      </c>
    </row>
    <row r="1847" spans="1:12" x14ac:dyDescent="0.3">
      <c r="H1847" s="74">
        <v>40</v>
      </c>
      <c r="K1847" s="55" t="s">
        <v>32</v>
      </c>
      <c r="L1847" s="60" t="s">
        <v>815</v>
      </c>
    </row>
    <row r="1848" spans="1:12" x14ac:dyDescent="0.3">
      <c r="H1848" s="74">
        <v>30</v>
      </c>
      <c r="K1848" s="55" t="s">
        <v>32</v>
      </c>
      <c r="L1848" s="60" t="s">
        <v>236</v>
      </c>
    </row>
    <row r="1849" spans="1:12" x14ac:dyDescent="0.3">
      <c r="H1849" s="74">
        <v>65</v>
      </c>
      <c r="K1849" s="55" t="s">
        <v>33</v>
      </c>
      <c r="L1849" s="60" t="s">
        <v>816</v>
      </c>
    </row>
    <row r="1850" spans="1:12" x14ac:dyDescent="0.3">
      <c r="H1850" s="74">
        <v>20</v>
      </c>
      <c r="K1850" s="55" t="s">
        <v>102</v>
      </c>
    </row>
    <row r="1851" spans="1:12" x14ac:dyDescent="0.3">
      <c r="H1851" s="74">
        <v>20</v>
      </c>
      <c r="K1851" s="55" t="s">
        <v>55</v>
      </c>
      <c r="L1851" s="60" t="s">
        <v>475</v>
      </c>
    </row>
    <row r="1853" spans="1:12" x14ac:dyDescent="0.3">
      <c r="A1853" s="72" t="s">
        <v>810</v>
      </c>
      <c r="B1853" s="55" t="s">
        <v>12</v>
      </c>
      <c r="C1853" s="67" t="s">
        <v>48</v>
      </c>
      <c r="D1853" s="55" t="s">
        <v>51</v>
      </c>
      <c r="E1853" s="19">
        <v>268.05</v>
      </c>
      <c r="F1853" s="19">
        <v>12</v>
      </c>
      <c r="G1853" s="55" t="s">
        <v>11</v>
      </c>
      <c r="H1853" s="74">
        <v>10</v>
      </c>
      <c r="K1853" s="55" t="s">
        <v>25</v>
      </c>
    </row>
    <row r="1854" spans="1:12" x14ac:dyDescent="0.3">
      <c r="H1854" s="74">
        <v>10</v>
      </c>
      <c r="K1854" s="55" t="s">
        <v>84</v>
      </c>
    </row>
    <row r="1855" spans="1:12" x14ac:dyDescent="0.3">
      <c r="H1855" s="74">
        <v>120</v>
      </c>
      <c r="K1855" s="55" t="s">
        <v>96</v>
      </c>
    </row>
    <row r="1856" spans="1:12" x14ac:dyDescent="0.3">
      <c r="H1856" s="74">
        <v>70</v>
      </c>
      <c r="K1856" s="55" t="s">
        <v>32</v>
      </c>
      <c r="L1856" s="60" t="s">
        <v>817</v>
      </c>
    </row>
    <row r="1857" spans="1:12" x14ac:dyDescent="0.3">
      <c r="H1857" s="74">
        <v>20</v>
      </c>
      <c r="K1857" s="55" t="s">
        <v>102</v>
      </c>
    </row>
    <row r="1858" spans="1:12" x14ac:dyDescent="0.3">
      <c r="H1858" s="74">
        <v>30</v>
      </c>
      <c r="K1858" s="55" t="s">
        <v>55</v>
      </c>
      <c r="L1858" s="60" t="s">
        <v>475</v>
      </c>
    </row>
    <row r="1859" spans="1:12" x14ac:dyDescent="0.3">
      <c r="H1859" s="74">
        <v>20</v>
      </c>
      <c r="K1859" s="55" t="s">
        <v>34</v>
      </c>
      <c r="L1859" s="60" t="s">
        <v>149</v>
      </c>
    </row>
    <row r="1861" spans="1:12" ht="21" x14ac:dyDescent="0.35">
      <c r="A1861" s="73" t="s">
        <v>818</v>
      </c>
      <c r="B1861" s="55" t="s">
        <v>0</v>
      </c>
      <c r="C1861" s="67" t="s">
        <v>46</v>
      </c>
      <c r="D1861" s="55" t="s">
        <v>52</v>
      </c>
      <c r="E1861" s="19">
        <v>255.96</v>
      </c>
      <c r="F1861" s="19">
        <v>12</v>
      </c>
      <c r="G1861" s="55" t="s">
        <v>11</v>
      </c>
      <c r="H1861" s="74">
        <v>10</v>
      </c>
      <c r="K1861" s="55" t="s">
        <v>25</v>
      </c>
    </row>
    <row r="1862" spans="1:12" x14ac:dyDescent="0.3">
      <c r="H1862" s="74">
        <v>10</v>
      </c>
      <c r="K1862" s="55" t="s">
        <v>84</v>
      </c>
    </row>
    <row r="1863" spans="1:12" x14ac:dyDescent="0.3">
      <c r="H1863" s="74">
        <v>140</v>
      </c>
      <c r="K1863" s="55" t="s">
        <v>96</v>
      </c>
    </row>
    <row r="1864" spans="1:12" x14ac:dyDescent="0.3">
      <c r="H1864" s="74">
        <v>30</v>
      </c>
      <c r="K1864" s="55" t="s">
        <v>32</v>
      </c>
      <c r="L1864" s="60" t="s">
        <v>819</v>
      </c>
    </row>
    <row r="1865" spans="1:12" x14ac:dyDescent="0.3">
      <c r="H1865" s="74">
        <v>70</v>
      </c>
      <c r="K1865" s="55" t="s">
        <v>32</v>
      </c>
      <c r="L1865" s="60" t="s">
        <v>811</v>
      </c>
    </row>
    <row r="1866" spans="1:12" x14ac:dyDescent="0.3">
      <c r="H1866" s="74">
        <v>10</v>
      </c>
      <c r="K1866" s="55" t="s">
        <v>34</v>
      </c>
      <c r="L1866" s="60" t="s">
        <v>149</v>
      </c>
    </row>
    <row r="1867" spans="1:12" x14ac:dyDescent="0.3">
      <c r="H1867" s="74">
        <v>20</v>
      </c>
      <c r="K1867" s="55" t="s">
        <v>30</v>
      </c>
      <c r="L1867" s="55" t="s">
        <v>30</v>
      </c>
    </row>
    <row r="1868" spans="1:12" x14ac:dyDescent="0.3">
      <c r="H1868" s="74">
        <v>20</v>
      </c>
      <c r="K1868" s="55" t="s">
        <v>102</v>
      </c>
    </row>
    <row r="1870" spans="1:12" x14ac:dyDescent="0.3">
      <c r="A1870" s="72" t="s">
        <v>818</v>
      </c>
      <c r="B1870" s="55" t="s">
        <v>10</v>
      </c>
      <c r="C1870" s="67" t="s">
        <v>47</v>
      </c>
      <c r="D1870" s="55" t="s">
        <v>50</v>
      </c>
      <c r="E1870" s="19">
        <v>220.48</v>
      </c>
      <c r="F1870" s="19">
        <v>9</v>
      </c>
      <c r="G1870" s="55" t="s">
        <v>11</v>
      </c>
      <c r="H1870" s="74">
        <v>10</v>
      </c>
      <c r="K1870" s="55" t="s">
        <v>25</v>
      </c>
    </row>
    <row r="1871" spans="1:12" x14ac:dyDescent="0.3">
      <c r="H1871" s="74">
        <v>10</v>
      </c>
      <c r="K1871" s="55" t="s">
        <v>84</v>
      </c>
    </row>
    <row r="1872" spans="1:12" x14ac:dyDescent="0.3">
      <c r="H1872" s="74">
        <v>120</v>
      </c>
      <c r="K1872" s="55" t="s">
        <v>96</v>
      </c>
    </row>
    <row r="1873" spans="1:12" x14ac:dyDescent="0.3">
      <c r="H1873" s="74">
        <v>80</v>
      </c>
      <c r="K1873" s="55" t="s">
        <v>32</v>
      </c>
      <c r="L1873" s="60" t="s">
        <v>565</v>
      </c>
    </row>
    <row r="1874" spans="1:12" x14ac:dyDescent="0.3">
      <c r="H1874" s="74">
        <v>40</v>
      </c>
      <c r="K1874" s="55" t="s">
        <v>32</v>
      </c>
      <c r="L1874" s="60" t="s">
        <v>460</v>
      </c>
    </row>
    <row r="1875" spans="1:12" x14ac:dyDescent="0.3">
      <c r="H1875" s="74">
        <v>10</v>
      </c>
      <c r="K1875" s="55" t="s">
        <v>34</v>
      </c>
      <c r="L1875" s="60" t="s">
        <v>149</v>
      </c>
    </row>
    <row r="1876" spans="1:12" x14ac:dyDescent="0.3">
      <c r="H1876" s="74">
        <v>20</v>
      </c>
      <c r="K1876" s="55" t="s">
        <v>30</v>
      </c>
      <c r="L1876" s="60" t="s">
        <v>136</v>
      </c>
    </row>
    <row r="1877" spans="1:12" x14ac:dyDescent="0.3">
      <c r="H1877" s="74">
        <v>20</v>
      </c>
      <c r="K1877" s="55" t="s">
        <v>102</v>
      </c>
    </row>
    <row r="1878" spans="1:12" x14ac:dyDescent="0.3">
      <c r="H1878" s="74">
        <v>30</v>
      </c>
      <c r="K1878" s="55" t="s">
        <v>55</v>
      </c>
      <c r="L1878" s="60" t="s">
        <v>820</v>
      </c>
    </row>
    <row r="1879" spans="1:12" x14ac:dyDescent="0.3">
      <c r="H1879" s="74">
        <v>20</v>
      </c>
      <c r="K1879" s="55" t="s">
        <v>32</v>
      </c>
      <c r="L1879" s="60" t="s">
        <v>821</v>
      </c>
    </row>
    <row r="1881" spans="1:12" x14ac:dyDescent="0.3">
      <c r="A1881" s="72" t="s">
        <v>818</v>
      </c>
      <c r="B1881" s="55" t="s">
        <v>12</v>
      </c>
      <c r="C1881" s="67" t="s">
        <v>48</v>
      </c>
      <c r="D1881" s="55" t="s">
        <v>51</v>
      </c>
      <c r="E1881" s="19">
        <v>292.68</v>
      </c>
      <c r="F1881" s="19">
        <v>9</v>
      </c>
      <c r="G1881" s="55" t="s">
        <v>11</v>
      </c>
      <c r="H1881" s="74">
        <v>10</v>
      </c>
      <c r="K1881" s="55" t="s">
        <v>25</v>
      </c>
    </row>
    <row r="1882" spans="1:12" x14ac:dyDescent="0.3">
      <c r="H1882" s="74">
        <v>10</v>
      </c>
      <c r="K1882" s="55" t="s">
        <v>84</v>
      </c>
    </row>
    <row r="1883" spans="1:12" x14ac:dyDescent="0.3">
      <c r="H1883" s="74">
        <v>100</v>
      </c>
      <c r="K1883" s="55" t="s">
        <v>96</v>
      </c>
    </row>
    <row r="1884" spans="1:12" x14ac:dyDescent="0.3">
      <c r="H1884" s="74">
        <v>50</v>
      </c>
      <c r="K1884" s="55" t="s">
        <v>32</v>
      </c>
      <c r="L1884" s="60" t="s">
        <v>659</v>
      </c>
    </row>
    <row r="1885" spans="1:12" x14ac:dyDescent="0.3">
      <c r="H1885" s="74">
        <v>40</v>
      </c>
      <c r="K1885" s="55" t="s">
        <v>32</v>
      </c>
      <c r="L1885" s="60" t="s">
        <v>460</v>
      </c>
    </row>
    <row r="1886" spans="1:12" x14ac:dyDescent="0.3">
      <c r="H1886" s="74">
        <v>20</v>
      </c>
      <c r="K1886" s="55" t="s">
        <v>34</v>
      </c>
      <c r="L1886" s="60" t="s">
        <v>149</v>
      </c>
    </row>
    <row r="1887" spans="1:12" x14ac:dyDescent="0.3">
      <c r="H1887" s="74">
        <v>20</v>
      </c>
      <c r="K1887" s="55" t="s">
        <v>102</v>
      </c>
    </row>
    <row r="1888" spans="1:12" x14ac:dyDescent="0.3">
      <c r="H1888" s="74">
        <v>20</v>
      </c>
      <c r="K1888" s="55" t="s">
        <v>32</v>
      </c>
      <c r="L1888" s="60" t="s">
        <v>236</v>
      </c>
    </row>
    <row r="1889" spans="1:12" x14ac:dyDescent="0.3">
      <c r="H1889" s="74">
        <v>30</v>
      </c>
      <c r="K1889" s="55" t="s">
        <v>55</v>
      </c>
      <c r="L1889" s="60" t="s">
        <v>822</v>
      </c>
    </row>
    <row r="1890" spans="1:12" x14ac:dyDescent="0.3">
      <c r="H1890" s="74">
        <v>10</v>
      </c>
      <c r="K1890" s="55" t="s">
        <v>32</v>
      </c>
      <c r="L1890" s="60" t="s">
        <v>823</v>
      </c>
    </row>
    <row r="1891" spans="1:12" x14ac:dyDescent="0.3">
      <c r="H1891" s="74">
        <v>15</v>
      </c>
      <c r="K1891" s="55" t="s">
        <v>55</v>
      </c>
      <c r="L1891" s="60" t="s">
        <v>824</v>
      </c>
    </row>
    <row r="1892" spans="1:12" x14ac:dyDescent="0.3">
      <c r="E1892" s="19" t="s">
        <v>470</v>
      </c>
    </row>
    <row r="1893" spans="1:12" x14ac:dyDescent="0.3">
      <c r="A1893" s="72" t="s">
        <v>825</v>
      </c>
      <c r="B1893" s="55" t="s">
        <v>10</v>
      </c>
      <c r="C1893" s="67" t="s">
        <v>47</v>
      </c>
      <c r="D1893" s="55" t="s">
        <v>50</v>
      </c>
      <c r="E1893" s="19">
        <v>268.68</v>
      </c>
      <c r="F1893" s="19">
        <v>7</v>
      </c>
      <c r="G1893" s="55" t="s">
        <v>11</v>
      </c>
      <c r="H1893" s="74">
        <v>10</v>
      </c>
      <c r="K1893" s="55" t="s">
        <v>25</v>
      </c>
    </row>
    <row r="1894" spans="1:12" x14ac:dyDescent="0.3">
      <c r="H1894" s="74">
        <v>10</v>
      </c>
      <c r="K1894" s="55" t="s">
        <v>84</v>
      </c>
    </row>
    <row r="1895" spans="1:12" x14ac:dyDescent="0.3">
      <c r="H1895" s="74">
        <v>70</v>
      </c>
      <c r="K1895" s="55" t="s">
        <v>96</v>
      </c>
    </row>
    <row r="1896" spans="1:12" x14ac:dyDescent="0.3">
      <c r="H1896" s="74">
        <v>30</v>
      </c>
      <c r="K1896" s="55" t="s">
        <v>32</v>
      </c>
      <c r="L1896" s="60" t="s">
        <v>391</v>
      </c>
    </row>
    <row r="1897" spans="1:12" x14ac:dyDescent="0.3">
      <c r="H1897" s="74">
        <v>20</v>
      </c>
      <c r="K1897" s="55" t="s">
        <v>30</v>
      </c>
      <c r="L1897" s="60" t="s">
        <v>300</v>
      </c>
    </row>
    <row r="1898" spans="1:12" x14ac:dyDescent="0.3">
      <c r="H1898" s="74">
        <v>10</v>
      </c>
      <c r="K1898" s="55" t="s">
        <v>34</v>
      </c>
    </row>
    <row r="1899" spans="1:12" x14ac:dyDescent="0.3">
      <c r="H1899" s="74">
        <v>240</v>
      </c>
      <c r="K1899" s="55" t="s">
        <v>33</v>
      </c>
      <c r="L1899" s="60" t="s">
        <v>826</v>
      </c>
    </row>
    <row r="1901" spans="1:12" x14ac:dyDescent="0.3">
      <c r="A1901" s="72" t="s">
        <v>825</v>
      </c>
      <c r="B1901" s="55" t="s">
        <v>12</v>
      </c>
      <c r="C1901" s="67" t="s">
        <v>48</v>
      </c>
      <c r="D1901" s="55" t="s">
        <v>51</v>
      </c>
      <c r="E1901" s="19">
        <v>362.92</v>
      </c>
      <c r="F1901" s="19">
        <v>10</v>
      </c>
      <c r="G1901" s="55" t="s">
        <v>11</v>
      </c>
      <c r="H1901" s="74">
        <v>10</v>
      </c>
      <c r="K1901" s="55" t="s">
        <v>25</v>
      </c>
    </row>
    <row r="1902" spans="1:12" x14ac:dyDescent="0.3">
      <c r="H1902" s="74">
        <v>10</v>
      </c>
      <c r="K1902" s="55" t="s">
        <v>84</v>
      </c>
    </row>
    <row r="1903" spans="1:12" x14ac:dyDescent="0.3">
      <c r="H1903" s="74">
        <v>100</v>
      </c>
      <c r="K1903" s="55" t="s">
        <v>96</v>
      </c>
    </row>
    <row r="1904" spans="1:12" x14ac:dyDescent="0.3">
      <c r="H1904" s="74">
        <v>20</v>
      </c>
      <c r="K1904" s="55" t="s">
        <v>32</v>
      </c>
      <c r="L1904" s="60" t="s">
        <v>294</v>
      </c>
    </row>
    <row r="1905" spans="1:13" x14ac:dyDescent="0.3">
      <c r="H1905" s="74">
        <v>30</v>
      </c>
      <c r="K1905" s="55" t="s">
        <v>30</v>
      </c>
      <c r="L1905" s="60" t="s">
        <v>827</v>
      </c>
    </row>
    <row r="1906" spans="1:13" x14ac:dyDescent="0.3">
      <c r="H1906" s="74">
        <v>20</v>
      </c>
      <c r="K1906" s="55" t="s">
        <v>34</v>
      </c>
      <c r="L1906" s="60" t="s">
        <v>763</v>
      </c>
    </row>
    <row r="1907" spans="1:13" x14ac:dyDescent="0.3">
      <c r="H1907" s="74">
        <v>20</v>
      </c>
      <c r="K1907" s="55" t="s">
        <v>33</v>
      </c>
    </row>
    <row r="1908" spans="1:13" x14ac:dyDescent="0.3">
      <c r="H1908" s="74">
        <v>40</v>
      </c>
      <c r="K1908" s="55" t="s">
        <v>32</v>
      </c>
      <c r="L1908" s="60" t="s">
        <v>248</v>
      </c>
    </row>
    <row r="1909" spans="1:13" x14ac:dyDescent="0.3">
      <c r="H1909" s="74">
        <v>30</v>
      </c>
      <c r="K1909" s="55" t="s">
        <v>55</v>
      </c>
      <c r="L1909" s="60" t="s">
        <v>828</v>
      </c>
    </row>
    <row r="1910" spans="1:13" x14ac:dyDescent="0.3">
      <c r="H1910" s="74">
        <v>60</v>
      </c>
      <c r="K1910" s="55" t="s">
        <v>55</v>
      </c>
      <c r="L1910" s="60" t="s">
        <v>829</v>
      </c>
      <c r="M1910" s="1" t="s">
        <v>830</v>
      </c>
    </row>
    <row r="1912" spans="1:13" ht="21" x14ac:dyDescent="0.35">
      <c r="A1912" s="73" t="s">
        <v>834</v>
      </c>
      <c r="B1912" s="55" t="s">
        <v>0</v>
      </c>
      <c r="C1912" s="67" t="s">
        <v>46</v>
      </c>
      <c r="D1912" s="55" t="s">
        <v>52</v>
      </c>
      <c r="E1912" s="19">
        <v>198.13</v>
      </c>
      <c r="F1912" s="19">
        <v>6</v>
      </c>
      <c r="G1912" s="55" t="s">
        <v>11</v>
      </c>
      <c r="H1912" s="74">
        <v>10</v>
      </c>
      <c r="K1912" s="55" t="s">
        <v>25</v>
      </c>
    </row>
    <row r="1913" spans="1:13" x14ac:dyDescent="0.3">
      <c r="H1913" s="74">
        <v>10</v>
      </c>
      <c r="K1913" s="55" t="s">
        <v>84</v>
      </c>
    </row>
    <row r="1914" spans="1:13" x14ac:dyDescent="0.3">
      <c r="H1914" s="74">
        <v>70</v>
      </c>
      <c r="K1914" s="55" t="s">
        <v>96</v>
      </c>
    </row>
    <row r="1915" spans="1:13" x14ac:dyDescent="0.3">
      <c r="H1915" s="74">
        <v>100</v>
      </c>
      <c r="K1915" s="55" t="s">
        <v>32</v>
      </c>
      <c r="L1915" s="60" t="s">
        <v>831</v>
      </c>
    </row>
    <row r="1916" spans="1:13" x14ac:dyDescent="0.3">
      <c r="H1916" s="74">
        <v>70</v>
      </c>
      <c r="K1916" s="55" t="s">
        <v>32</v>
      </c>
      <c r="L1916" s="60" t="s">
        <v>444</v>
      </c>
    </row>
    <row r="1917" spans="1:13" x14ac:dyDescent="0.3">
      <c r="H1917" s="74">
        <v>20</v>
      </c>
      <c r="K1917" s="55" t="s">
        <v>34</v>
      </c>
      <c r="L1917" s="60" t="s">
        <v>149</v>
      </c>
    </row>
    <row r="1918" spans="1:13" x14ac:dyDescent="0.3">
      <c r="H1918" s="74">
        <v>20</v>
      </c>
      <c r="K1918" s="55" t="s">
        <v>30</v>
      </c>
      <c r="L1918" s="60" t="s">
        <v>832</v>
      </c>
    </row>
    <row r="1919" spans="1:13" x14ac:dyDescent="0.3">
      <c r="H1919" s="74">
        <v>20</v>
      </c>
      <c r="K1919" s="55" t="s">
        <v>102</v>
      </c>
    </row>
    <row r="1920" spans="1:13" x14ac:dyDescent="0.3">
      <c r="H1920" s="74">
        <v>20</v>
      </c>
      <c r="K1920" s="55" t="s">
        <v>34</v>
      </c>
      <c r="L1920" s="60" t="s">
        <v>833</v>
      </c>
    </row>
    <row r="1921" spans="1:13" x14ac:dyDescent="0.3">
      <c r="H1921" s="74">
        <v>30</v>
      </c>
      <c r="K1921" s="55" t="s">
        <v>34</v>
      </c>
    </row>
    <row r="1922" spans="1:13" x14ac:dyDescent="0.3">
      <c r="A1922" s="72" t="s">
        <v>834</v>
      </c>
      <c r="B1922" s="55" t="s">
        <v>10</v>
      </c>
      <c r="C1922" s="67" t="s">
        <v>47</v>
      </c>
      <c r="D1922" s="55" t="s">
        <v>50</v>
      </c>
      <c r="E1922" s="19">
        <v>213.96</v>
      </c>
      <c r="F1922" s="19">
        <v>7</v>
      </c>
      <c r="G1922" s="55" t="s">
        <v>11</v>
      </c>
      <c r="H1922" s="74">
        <v>10</v>
      </c>
      <c r="K1922" s="55" t="s">
        <v>25</v>
      </c>
    </row>
    <row r="1923" spans="1:13" x14ac:dyDescent="0.3">
      <c r="H1923" s="74">
        <v>10</v>
      </c>
      <c r="K1923" s="55" t="s">
        <v>84</v>
      </c>
    </row>
    <row r="1924" spans="1:13" x14ac:dyDescent="0.3">
      <c r="H1924" s="74">
        <v>80</v>
      </c>
      <c r="K1924" s="55" t="s">
        <v>96</v>
      </c>
    </row>
    <row r="1925" spans="1:13" x14ac:dyDescent="0.3">
      <c r="H1925" s="74">
        <v>60</v>
      </c>
      <c r="K1925" s="55" t="s">
        <v>32</v>
      </c>
      <c r="L1925" s="60" t="s">
        <v>659</v>
      </c>
    </row>
    <row r="1926" spans="1:13" x14ac:dyDescent="0.3">
      <c r="H1926" s="74">
        <v>80</v>
      </c>
      <c r="K1926" s="55" t="s">
        <v>32</v>
      </c>
      <c r="L1926" s="60" t="s">
        <v>137</v>
      </c>
    </row>
    <row r="1927" spans="1:13" x14ac:dyDescent="0.3">
      <c r="H1927" s="74">
        <v>20</v>
      </c>
      <c r="K1927" s="55" t="s">
        <v>34</v>
      </c>
      <c r="L1927" s="60" t="s">
        <v>149</v>
      </c>
    </row>
    <row r="1928" spans="1:13" x14ac:dyDescent="0.3">
      <c r="H1928" s="74">
        <v>60</v>
      </c>
      <c r="K1928" s="55" t="s">
        <v>34</v>
      </c>
      <c r="L1928" s="60" t="s">
        <v>794</v>
      </c>
    </row>
    <row r="1929" spans="1:13" x14ac:dyDescent="0.3">
      <c r="H1929" s="74">
        <v>30</v>
      </c>
      <c r="K1929" s="55" t="s">
        <v>30</v>
      </c>
      <c r="L1929" s="60" t="s">
        <v>801</v>
      </c>
    </row>
    <row r="1930" spans="1:13" x14ac:dyDescent="0.3">
      <c r="H1930" s="74">
        <v>20</v>
      </c>
      <c r="K1930" s="55" t="s">
        <v>55</v>
      </c>
      <c r="L1930" s="60" t="s">
        <v>835</v>
      </c>
    </row>
    <row r="1931" spans="1:13" x14ac:dyDescent="0.3">
      <c r="H1931" s="74">
        <v>30</v>
      </c>
      <c r="K1931" s="55" t="s">
        <v>34</v>
      </c>
      <c r="L1931" s="60" t="s">
        <v>147</v>
      </c>
      <c r="M1931" s="1" t="s">
        <v>836</v>
      </c>
    </row>
    <row r="1933" spans="1:13" x14ac:dyDescent="0.3">
      <c r="A1933" s="72" t="s">
        <v>834</v>
      </c>
      <c r="B1933" s="55" t="s">
        <v>12</v>
      </c>
      <c r="C1933" s="67" t="s">
        <v>48</v>
      </c>
      <c r="D1933" s="55" t="s">
        <v>51</v>
      </c>
      <c r="E1933" s="19">
        <v>192.22</v>
      </c>
      <c r="F1933" s="19">
        <v>6</v>
      </c>
      <c r="G1933" s="55" t="s">
        <v>11</v>
      </c>
      <c r="H1933" s="74">
        <v>10</v>
      </c>
      <c r="K1933" s="55" t="s">
        <v>25</v>
      </c>
    </row>
    <row r="1934" spans="1:13" x14ac:dyDescent="0.3">
      <c r="H1934" s="74">
        <v>10</v>
      </c>
      <c r="K1934" s="55" t="s">
        <v>84</v>
      </c>
    </row>
    <row r="1935" spans="1:13" x14ac:dyDescent="0.3">
      <c r="H1935" s="74">
        <v>60</v>
      </c>
      <c r="K1935" s="55" t="s">
        <v>96</v>
      </c>
    </row>
    <row r="1936" spans="1:13" x14ac:dyDescent="0.3">
      <c r="H1936" s="74">
        <v>40</v>
      </c>
      <c r="K1936" s="55" t="s">
        <v>32</v>
      </c>
      <c r="L1936" s="60" t="s">
        <v>837</v>
      </c>
    </row>
    <row r="1937" spans="1:13" x14ac:dyDescent="0.3">
      <c r="H1937" s="74">
        <v>45</v>
      </c>
      <c r="K1937" s="55" t="s">
        <v>32</v>
      </c>
      <c r="L1937" s="60" t="s">
        <v>663</v>
      </c>
      <c r="M1937" s="1" t="s">
        <v>838</v>
      </c>
    </row>
    <row r="1938" spans="1:13" x14ac:dyDescent="0.3">
      <c r="H1938" s="74">
        <v>30</v>
      </c>
      <c r="K1938" s="55" t="s">
        <v>34</v>
      </c>
      <c r="L1938" s="60" t="s">
        <v>149</v>
      </c>
    </row>
    <row r="1939" spans="1:13" x14ac:dyDescent="0.3">
      <c r="H1939" s="74">
        <v>45</v>
      </c>
      <c r="K1939" s="55" t="s">
        <v>34</v>
      </c>
      <c r="L1939" s="60" t="s">
        <v>839</v>
      </c>
    </row>
    <row r="1940" spans="1:13" x14ac:dyDescent="0.3">
      <c r="H1940" s="74">
        <v>45</v>
      </c>
      <c r="K1940" s="55" t="s">
        <v>30</v>
      </c>
      <c r="L1940" s="60" t="s">
        <v>348</v>
      </c>
    </row>
    <row r="1941" spans="1:13" x14ac:dyDescent="0.3">
      <c r="H1941" s="74">
        <v>20</v>
      </c>
      <c r="K1941" s="55" t="s">
        <v>102</v>
      </c>
    </row>
    <row r="1942" spans="1:13" x14ac:dyDescent="0.3">
      <c r="H1942" s="74">
        <v>50</v>
      </c>
      <c r="K1942" s="55" t="s">
        <v>33</v>
      </c>
      <c r="L1942" s="60" t="s">
        <v>840</v>
      </c>
    </row>
    <row r="1943" spans="1:13" x14ac:dyDescent="0.3">
      <c r="H1943" s="74">
        <v>40</v>
      </c>
      <c r="K1943" s="55" t="s">
        <v>33</v>
      </c>
      <c r="L1943" s="60" t="s">
        <v>841</v>
      </c>
    </row>
    <row r="1946" spans="1:13" ht="21" x14ac:dyDescent="0.35">
      <c r="A1946" s="73" t="s">
        <v>842</v>
      </c>
      <c r="B1946" s="55" t="s">
        <v>0</v>
      </c>
      <c r="C1946" s="67" t="s">
        <v>46</v>
      </c>
      <c r="D1946" s="55" t="s">
        <v>52</v>
      </c>
      <c r="E1946" s="19">
        <v>317.38</v>
      </c>
      <c r="F1946" s="19">
        <v>9</v>
      </c>
      <c r="G1946" s="55" t="s">
        <v>11</v>
      </c>
      <c r="H1946" s="74">
        <v>10</v>
      </c>
      <c r="K1946" s="55" t="s">
        <v>25</v>
      </c>
    </row>
    <row r="1947" spans="1:13" x14ac:dyDescent="0.3">
      <c r="H1947" s="74">
        <v>10</v>
      </c>
      <c r="K1947" s="55" t="s">
        <v>84</v>
      </c>
    </row>
    <row r="1948" spans="1:13" x14ac:dyDescent="0.3">
      <c r="H1948" s="74">
        <v>120</v>
      </c>
      <c r="K1948" s="55" t="s">
        <v>96</v>
      </c>
    </row>
    <row r="1949" spans="1:13" x14ac:dyDescent="0.3">
      <c r="H1949" s="74">
        <v>40</v>
      </c>
      <c r="K1949" s="55" t="s">
        <v>32</v>
      </c>
      <c r="L1949" s="60" t="s">
        <v>837</v>
      </c>
    </row>
    <row r="1950" spans="1:13" x14ac:dyDescent="0.3">
      <c r="H1950" s="74">
        <v>30</v>
      </c>
      <c r="K1950" s="55" t="s">
        <v>34</v>
      </c>
      <c r="L1950" s="60" t="s">
        <v>149</v>
      </c>
    </row>
    <row r="1951" spans="1:13" x14ac:dyDescent="0.3">
      <c r="H1951" s="74">
        <v>30</v>
      </c>
      <c r="K1951" s="55" t="s">
        <v>34</v>
      </c>
      <c r="L1951" s="60" t="s">
        <v>519</v>
      </c>
    </row>
    <row r="1952" spans="1:13" x14ac:dyDescent="0.3">
      <c r="H1952" s="74">
        <v>45</v>
      </c>
      <c r="K1952" s="55" t="s">
        <v>32</v>
      </c>
      <c r="L1952" s="60" t="s">
        <v>663</v>
      </c>
    </row>
    <row r="1953" spans="1:12" x14ac:dyDescent="0.3">
      <c r="H1953" s="74">
        <v>30</v>
      </c>
      <c r="K1953" s="55" t="s">
        <v>102</v>
      </c>
    </row>
    <row r="1954" spans="1:12" ht="21" x14ac:dyDescent="0.35">
      <c r="A1954" s="73" t="s">
        <v>842</v>
      </c>
      <c r="B1954" s="55" t="s">
        <v>10</v>
      </c>
      <c r="C1954" s="67" t="s">
        <v>47</v>
      </c>
      <c r="D1954" s="55" t="s">
        <v>50</v>
      </c>
      <c r="E1954" s="19">
        <v>458</v>
      </c>
      <c r="F1954" s="19">
        <v>12</v>
      </c>
      <c r="G1954" s="55" t="s">
        <v>11</v>
      </c>
      <c r="H1954" s="74">
        <v>10</v>
      </c>
      <c r="K1954" s="55" t="s">
        <v>25</v>
      </c>
    </row>
    <row r="1955" spans="1:12" x14ac:dyDescent="0.3">
      <c r="H1955" s="74">
        <v>10</v>
      </c>
      <c r="K1955" s="55" t="s">
        <v>84</v>
      </c>
    </row>
    <row r="1956" spans="1:12" x14ac:dyDescent="0.3">
      <c r="H1956" s="74">
        <v>120</v>
      </c>
      <c r="K1956" s="55" t="s">
        <v>96</v>
      </c>
    </row>
    <row r="1957" spans="1:12" x14ac:dyDescent="0.3">
      <c r="H1957" s="74">
        <v>30</v>
      </c>
      <c r="K1957" s="55" t="s">
        <v>32</v>
      </c>
      <c r="L1957" s="60" t="s">
        <v>236</v>
      </c>
    </row>
    <row r="1958" spans="1:12" x14ac:dyDescent="0.3">
      <c r="H1958" s="74">
        <v>30</v>
      </c>
      <c r="K1958" s="55" t="s">
        <v>34</v>
      </c>
      <c r="L1958" s="60" t="s">
        <v>149</v>
      </c>
    </row>
    <row r="1959" spans="1:12" x14ac:dyDescent="0.3">
      <c r="H1959" s="74">
        <v>50</v>
      </c>
      <c r="K1959" s="55" t="s">
        <v>34</v>
      </c>
      <c r="L1959" s="60" t="s">
        <v>794</v>
      </c>
    </row>
    <row r="1960" spans="1:12" x14ac:dyDescent="0.3">
      <c r="H1960" s="74">
        <v>40</v>
      </c>
      <c r="K1960" s="55" t="s">
        <v>30</v>
      </c>
      <c r="L1960" s="60" t="s">
        <v>801</v>
      </c>
    </row>
    <row r="1961" spans="1:12" x14ac:dyDescent="0.3">
      <c r="H1961" s="74">
        <v>20</v>
      </c>
      <c r="K1961" s="55" t="s">
        <v>55</v>
      </c>
      <c r="L1961" s="60" t="s">
        <v>835</v>
      </c>
    </row>
    <row r="1962" spans="1:12" x14ac:dyDescent="0.3">
      <c r="H1962" s="74">
        <v>20</v>
      </c>
      <c r="K1962" s="55" t="s">
        <v>102</v>
      </c>
    </row>
    <row r="1964" spans="1:12" ht="21" x14ac:dyDescent="0.35">
      <c r="A1964" s="73" t="s">
        <v>842</v>
      </c>
      <c r="B1964" s="55" t="s">
        <v>12</v>
      </c>
      <c r="C1964" s="67" t="s">
        <v>48</v>
      </c>
      <c r="D1964" s="55" t="s">
        <v>51</v>
      </c>
      <c r="E1964" s="19">
        <f>38.02+33.05</f>
        <v>71.069999999999993</v>
      </c>
      <c r="F1964" s="19">
        <v>2</v>
      </c>
      <c r="G1964" s="55" t="s">
        <v>11</v>
      </c>
      <c r="H1964" s="74">
        <v>10</v>
      </c>
      <c r="K1964" s="55" t="s">
        <v>25</v>
      </c>
    </row>
    <row r="1965" spans="1:12" x14ac:dyDescent="0.3">
      <c r="H1965" s="74">
        <v>10</v>
      </c>
      <c r="K1965" s="55" t="s">
        <v>84</v>
      </c>
    </row>
    <row r="1966" spans="1:12" x14ac:dyDescent="0.3">
      <c r="H1966" s="74">
        <v>30</v>
      </c>
      <c r="K1966" s="55" t="s">
        <v>96</v>
      </c>
    </row>
    <row r="1967" spans="1:12" x14ac:dyDescent="0.3">
      <c r="H1967" s="81">
        <v>115</v>
      </c>
      <c r="I1967" s="49"/>
      <c r="J1967" s="49"/>
      <c r="K1967" s="58" t="s">
        <v>33</v>
      </c>
      <c r="L1967" s="62" t="s">
        <v>843</v>
      </c>
    </row>
    <row r="1968" spans="1:12" x14ac:dyDescent="0.3">
      <c r="H1968" s="74">
        <v>30</v>
      </c>
      <c r="K1968" s="55" t="s">
        <v>32</v>
      </c>
      <c r="L1968" s="60" t="s">
        <v>844</v>
      </c>
    </row>
    <row r="1969" spans="1:12" x14ac:dyDescent="0.3">
      <c r="H1969" s="81">
        <v>105</v>
      </c>
      <c r="K1969" s="58" t="s">
        <v>33</v>
      </c>
      <c r="L1969" s="62" t="s">
        <v>845</v>
      </c>
    </row>
    <row r="1970" spans="1:12" x14ac:dyDescent="0.3">
      <c r="H1970" s="74">
        <v>20</v>
      </c>
      <c r="K1970" s="55" t="s">
        <v>34</v>
      </c>
      <c r="L1970" s="60" t="s">
        <v>268</v>
      </c>
    </row>
    <row r="1971" spans="1:12" x14ac:dyDescent="0.3">
      <c r="H1971" s="74">
        <v>30</v>
      </c>
      <c r="K1971" s="55" t="s">
        <v>30</v>
      </c>
    </row>
    <row r="1972" spans="1:12" x14ac:dyDescent="0.3">
      <c r="H1972" s="81">
        <v>30</v>
      </c>
      <c r="K1972" s="58" t="s">
        <v>33</v>
      </c>
      <c r="L1972" s="62" t="s">
        <v>759</v>
      </c>
    </row>
    <row r="1973" spans="1:12" x14ac:dyDescent="0.3">
      <c r="H1973" s="74">
        <v>30</v>
      </c>
      <c r="K1973" s="55" t="s">
        <v>32</v>
      </c>
      <c r="L1973" s="60" t="s">
        <v>245</v>
      </c>
    </row>
    <row r="1974" spans="1:12" x14ac:dyDescent="0.3">
      <c r="A1974" s="72" t="s">
        <v>846</v>
      </c>
      <c r="B1974" s="55" t="s">
        <v>0</v>
      </c>
      <c r="C1974" s="67" t="s">
        <v>46</v>
      </c>
      <c r="D1974" s="55" t="s">
        <v>50</v>
      </c>
      <c r="E1974" s="19">
        <v>0</v>
      </c>
      <c r="F1974" s="19">
        <v>0</v>
      </c>
      <c r="G1974" s="55" t="s">
        <v>11</v>
      </c>
      <c r="H1974" s="74">
        <v>480</v>
      </c>
      <c r="K1974" s="58" t="s">
        <v>33</v>
      </c>
      <c r="L1974" s="60" t="s">
        <v>847</v>
      </c>
    </row>
    <row r="1975" spans="1:12" x14ac:dyDescent="0.3">
      <c r="A1975" s="72" t="s">
        <v>846</v>
      </c>
      <c r="B1975" s="55" t="s">
        <v>10</v>
      </c>
      <c r="C1975" s="67" t="s">
        <v>188</v>
      </c>
      <c r="D1975" s="55" t="s">
        <v>51</v>
      </c>
      <c r="E1975" s="19">
        <v>76.06</v>
      </c>
      <c r="F1975" s="19">
        <v>2</v>
      </c>
      <c r="G1975" s="55" t="s">
        <v>11</v>
      </c>
      <c r="H1975" s="74">
        <v>391</v>
      </c>
      <c r="K1975" s="58" t="s">
        <v>33</v>
      </c>
      <c r="L1975" s="60" t="s">
        <v>848</v>
      </c>
    </row>
    <row r="1976" spans="1:12" x14ac:dyDescent="0.3">
      <c r="H1976" s="74">
        <v>20</v>
      </c>
      <c r="K1976" s="55" t="s">
        <v>96</v>
      </c>
    </row>
    <row r="1977" spans="1:12" x14ac:dyDescent="0.3">
      <c r="H1977" s="74">
        <v>20</v>
      </c>
      <c r="K1977" s="55" t="s">
        <v>34</v>
      </c>
      <c r="L1977" s="60" t="s">
        <v>149</v>
      </c>
    </row>
    <row r="1978" spans="1:12" x14ac:dyDescent="0.3">
      <c r="H1978" s="74">
        <v>20</v>
      </c>
      <c r="K1978" s="55" t="s">
        <v>30</v>
      </c>
      <c r="L1978" s="60" t="s">
        <v>849</v>
      </c>
    </row>
    <row r="1979" spans="1:12" x14ac:dyDescent="0.3">
      <c r="H1979" s="74">
        <v>10</v>
      </c>
      <c r="K1979" s="55" t="s">
        <v>55</v>
      </c>
      <c r="L1979" s="60" t="s">
        <v>850</v>
      </c>
    </row>
    <row r="1983" spans="1:12" ht="21" x14ac:dyDescent="0.35">
      <c r="A1983" s="73" t="s">
        <v>846</v>
      </c>
      <c r="B1983" s="55" t="s">
        <v>12</v>
      </c>
      <c r="C1983" s="67" t="s">
        <v>48</v>
      </c>
      <c r="D1983" s="55" t="s">
        <v>52</v>
      </c>
      <c r="E1983" s="19">
        <v>186.3</v>
      </c>
      <c r="F1983" s="19">
        <v>6</v>
      </c>
      <c r="G1983" s="55" t="s">
        <v>11</v>
      </c>
      <c r="H1983" s="74">
        <v>10</v>
      </c>
      <c r="K1983" s="55" t="s">
        <v>25</v>
      </c>
    </row>
    <row r="1984" spans="1:12" x14ac:dyDescent="0.3">
      <c r="H1984" s="74">
        <v>10</v>
      </c>
      <c r="K1984" s="55" t="s">
        <v>84</v>
      </c>
    </row>
    <row r="1985" spans="1:16384" x14ac:dyDescent="0.3">
      <c r="H1985" s="74">
        <v>80</v>
      </c>
      <c r="K1985" s="55" t="s">
        <v>96</v>
      </c>
    </row>
    <row r="1986" spans="1:16384" x14ac:dyDescent="0.3">
      <c r="H1986" s="74">
        <v>40</v>
      </c>
      <c r="K1986" s="55" t="s">
        <v>32</v>
      </c>
      <c r="L1986" s="60" t="s">
        <v>837</v>
      </c>
    </row>
    <row r="1987" spans="1:16384" x14ac:dyDescent="0.3">
      <c r="H1987" s="74">
        <v>30</v>
      </c>
      <c r="K1987" s="55" t="s">
        <v>34</v>
      </c>
      <c r="L1987" s="60" t="s">
        <v>149</v>
      </c>
    </row>
    <row r="1988" spans="1:16384" x14ac:dyDescent="0.3">
      <c r="H1988" s="74">
        <v>30</v>
      </c>
      <c r="K1988" s="55" t="s">
        <v>34</v>
      </c>
      <c r="L1988" s="60" t="s">
        <v>519</v>
      </c>
    </row>
    <row r="1989" spans="1:16384" x14ac:dyDescent="0.3">
      <c r="H1989" s="74">
        <v>45</v>
      </c>
      <c r="K1989" s="55" t="s">
        <v>32</v>
      </c>
      <c r="L1989" s="60" t="s">
        <v>851</v>
      </c>
    </row>
    <row r="1990" spans="1:16384" x14ac:dyDescent="0.3">
      <c r="H1990" s="74">
        <v>15</v>
      </c>
      <c r="K1990" s="55" t="s">
        <v>33</v>
      </c>
      <c r="L1990" s="60" t="s">
        <v>840</v>
      </c>
    </row>
    <row r="1991" spans="1:16384" x14ac:dyDescent="0.3">
      <c r="H1991" s="74">
        <v>40</v>
      </c>
      <c r="K1991" s="55" t="s">
        <v>33</v>
      </c>
      <c r="L1991" s="60" t="s">
        <v>852</v>
      </c>
    </row>
    <row r="1992" spans="1:16384" x14ac:dyDescent="0.3">
      <c r="H1992" s="74">
        <v>20</v>
      </c>
      <c r="K1992" s="55" t="s">
        <v>102</v>
      </c>
    </row>
    <row r="1993" spans="1:16384" x14ac:dyDescent="0.3">
      <c r="H1993" s="74">
        <v>60</v>
      </c>
      <c r="K1993" s="58" t="s">
        <v>33</v>
      </c>
      <c r="L1993" s="60" t="s">
        <v>848</v>
      </c>
    </row>
    <row r="1995" spans="1:16384" x14ac:dyDescent="0.3">
      <c r="A1995" s="72" t="s">
        <v>846</v>
      </c>
      <c r="B1995" s="55" t="s">
        <v>0</v>
      </c>
      <c r="C1995" s="67" t="s">
        <v>296</v>
      </c>
      <c r="D1995" s="55" t="s">
        <v>50</v>
      </c>
      <c r="E1995" s="19">
        <v>329.55</v>
      </c>
      <c r="F1995" s="19">
        <v>9</v>
      </c>
      <c r="G1995" s="55" t="s">
        <v>11</v>
      </c>
      <c r="H1995" s="74">
        <v>10</v>
      </c>
      <c r="K1995" s="55" t="s">
        <v>25</v>
      </c>
    </row>
    <row r="1996" spans="1:16384" x14ac:dyDescent="0.3">
      <c r="H1996" s="74">
        <v>10</v>
      </c>
      <c r="K1996" s="55" t="s">
        <v>84</v>
      </c>
      <c r="M1996" s="1">
        <v>90</v>
      </c>
    </row>
    <row r="1997" spans="1:16384" x14ac:dyDescent="0.3">
      <c r="A1997" s="87"/>
      <c r="C1997" s="55"/>
      <c r="E1997" s="55"/>
      <c r="F1997" s="55"/>
      <c r="H1997" s="55">
        <v>90</v>
      </c>
      <c r="I1997" s="55"/>
      <c r="J1997" s="55"/>
      <c r="K1997" s="55" t="s">
        <v>96</v>
      </c>
      <c r="L1997" s="55"/>
      <c r="M1997" s="55"/>
      <c r="N1997" s="55"/>
      <c r="O1997" s="55"/>
      <c r="P1997" s="55"/>
      <c r="Q1997" s="55"/>
      <c r="R1997" s="55"/>
      <c r="S1997" s="55"/>
      <c r="T1997" s="55"/>
      <c r="U1997" s="55"/>
      <c r="V1997" s="55"/>
      <c r="W1997" s="55"/>
      <c r="X1997" s="55"/>
      <c r="Y1997" s="55"/>
      <c r="Z1997" s="55"/>
      <c r="AA1997" s="55"/>
      <c r="AB1997" s="55"/>
      <c r="AC1997" s="55"/>
      <c r="AD1997" s="55"/>
      <c r="AE1997" s="55"/>
      <c r="AF1997" s="55"/>
      <c r="AG1997" s="55"/>
      <c r="AH1997" s="55"/>
      <c r="AI1997" s="55"/>
      <c r="AJ1997" s="55"/>
      <c r="AK1997" s="55"/>
      <c r="AL1997" s="55"/>
      <c r="AM1997" s="55"/>
      <c r="AN1997" s="55"/>
      <c r="AO1997" s="55"/>
      <c r="AP1997" s="55"/>
      <c r="AQ1997" s="55"/>
      <c r="AR1997" s="55"/>
      <c r="AS1997" s="55"/>
      <c r="AT1997" s="55"/>
      <c r="AU1997" s="55"/>
      <c r="AV1997" s="55"/>
      <c r="AW1997" s="55"/>
      <c r="AX1997" s="55"/>
      <c r="AY1997" s="55"/>
      <c r="AZ1997" s="55"/>
      <c r="BA1997" s="55"/>
      <c r="BB1997" s="55"/>
      <c r="BC1997" s="55"/>
      <c r="BD1997" s="55"/>
      <c r="BE1997" s="55"/>
      <c r="BF1997" s="55"/>
      <c r="BG1997" s="55"/>
      <c r="BH1997" s="55"/>
      <c r="BI1997" s="55"/>
      <c r="BJ1997" s="55"/>
      <c r="BK1997" s="55"/>
      <c r="BL1997" s="55"/>
      <c r="BM1997" s="55"/>
      <c r="BN1997" s="55"/>
      <c r="BO1997" s="55"/>
      <c r="BP1997" s="55"/>
      <c r="BQ1997" s="55"/>
      <c r="BR1997" s="55"/>
      <c r="BS1997" s="55"/>
      <c r="BT1997" s="55"/>
      <c r="BU1997" s="55"/>
      <c r="BV1997" s="55"/>
      <c r="BW1997" s="55"/>
      <c r="BX1997" s="55"/>
      <c r="BY1997" s="55"/>
      <c r="BZ1997" s="55"/>
      <c r="CA1997" s="55"/>
      <c r="CB1997" s="55"/>
      <c r="CC1997" s="55"/>
      <c r="CD1997" s="55"/>
      <c r="CE1997" s="55"/>
      <c r="CF1997" s="55"/>
      <c r="CG1997" s="55"/>
      <c r="CH1997" s="55"/>
      <c r="CI1997" s="55"/>
      <c r="CJ1997" s="55"/>
      <c r="CK1997" s="55"/>
      <c r="CL1997" s="55"/>
      <c r="CM1997" s="55"/>
      <c r="CN1997" s="55"/>
      <c r="CO1997" s="55"/>
      <c r="CP1997" s="55"/>
      <c r="CQ1997" s="55"/>
      <c r="CR1997" s="55"/>
      <c r="CS1997" s="55"/>
      <c r="CT1997" s="55"/>
      <c r="CU1997" s="55"/>
      <c r="CV1997" s="55"/>
      <c r="CW1997" s="55"/>
      <c r="CX1997" s="55"/>
      <c r="CY1997" s="55"/>
      <c r="CZ1997" s="55"/>
      <c r="DA1997" s="55"/>
      <c r="DB1997" s="55"/>
      <c r="DC1997" s="55"/>
      <c r="DD1997" s="55"/>
      <c r="DE1997" s="55"/>
      <c r="DF1997" s="55"/>
      <c r="DG1997" s="55"/>
      <c r="DH1997" s="55"/>
      <c r="DI1997" s="55"/>
      <c r="DJ1997" s="55"/>
      <c r="DK1997" s="55"/>
      <c r="DL1997" s="55"/>
      <c r="DM1997" s="55"/>
      <c r="DN1997" s="55"/>
      <c r="DO1997" s="55"/>
      <c r="DP1997" s="55"/>
      <c r="DQ1997" s="55"/>
      <c r="DR1997" s="55"/>
      <c r="DS1997" s="55"/>
      <c r="DT1997" s="55"/>
      <c r="DU1997" s="55"/>
      <c r="DV1997" s="55"/>
      <c r="DW1997" s="55"/>
      <c r="DX1997" s="55"/>
      <c r="DY1997" s="55"/>
      <c r="DZ1997" s="55"/>
      <c r="EA1997" s="55"/>
      <c r="EB1997" s="55"/>
      <c r="EC1997" s="55"/>
      <c r="ED1997" s="55"/>
      <c r="EE1997" s="55"/>
      <c r="EF1997" s="55"/>
      <c r="EG1997" s="55"/>
      <c r="EH1997" s="55"/>
      <c r="EI1997" s="55"/>
      <c r="EJ1997" s="55"/>
      <c r="EK1997" s="55"/>
      <c r="EL1997" s="55"/>
      <c r="EM1997" s="55"/>
      <c r="EN1997" s="55"/>
      <c r="EO1997" s="55"/>
      <c r="EP1997" s="55"/>
      <c r="EQ1997" s="55"/>
      <c r="ER1997" s="55"/>
      <c r="ES1997" s="55"/>
      <c r="ET1997" s="55"/>
      <c r="EU1997" s="55"/>
      <c r="EV1997" s="55"/>
      <c r="EW1997" s="55"/>
      <c r="EX1997" s="55"/>
      <c r="EY1997" s="55"/>
      <c r="EZ1997" s="55"/>
      <c r="FA1997" s="55"/>
      <c r="FB1997" s="55"/>
      <c r="FC1997" s="55"/>
      <c r="FD1997" s="55"/>
      <c r="FE1997" s="55"/>
      <c r="FF1997" s="55"/>
      <c r="FG1997" s="55"/>
      <c r="FH1997" s="55"/>
      <c r="FI1997" s="55"/>
      <c r="FJ1997" s="55"/>
      <c r="FK1997" s="55"/>
      <c r="FL1997" s="55"/>
      <c r="FM1997" s="55"/>
      <c r="FN1997" s="55"/>
      <c r="FO1997" s="55"/>
      <c r="FP1997" s="55"/>
      <c r="FQ1997" s="55"/>
      <c r="FR1997" s="55"/>
      <c r="FS1997" s="55"/>
      <c r="FT1997" s="55"/>
      <c r="FU1997" s="55"/>
      <c r="FV1997" s="55"/>
      <c r="FW1997" s="55"/>
      <c r="FX1997" s="55"/>
      <c r="FY1997" s="55"/>
      <c r="FZ1997" s="55"/>
      <c r="GA1997" s="55"/>
      <c r="GB1997" s="55"/>
      <c r="GC1997" s="55"/>
      <c r="GD1997" s="55"/>
      <c r="GE1997" s="55"/>
      <c r="GF1997" s="55"/>
      <c r="GG1997" s="55"/>
      <c r="GH1997" s="55"/>
      <c r="GI1997" s="55"/>
      <c r="GJ1997" s="55"/>
      <c r="GK1997" s="55"/>
      <c r="GL1997" s="55"/>
      <c r="GM1997" s="55"/>
      <c r="GN1997" s="55"/>
      <c r="GO1997" s="55"/>
      <c r="GP1997" s="55"/>
      <c r="GQ1997" s="55"/>
      <c r="GR1997" s="55"/>
      <c r="GS1997" s="55"/>
      <c r="GT1997" s="55"/>
      <c r="GU1997" s="55"/>
      <c r="GV1997" s="55"/>
      <c r="GW1997" s="55"/>
      <c r="GX1997" s="55"/>
      <c r="GY1997" s="55"/>
      <c r="GZ1997" s="55"/>
      <c r="HA1997" s="55"/>
      <c r="HB1997" s="55"/>
      <c r="HC1997" s="55"/>
      <c r="HD1997" s="55"/>
      <c r="HE1997" s="55"/>
      <c r="HF1997" s="55"/>
      <c r="HG1997" s="55"/>
      <c r="HH1997" s="55"/>
      <c r="HI1997" s="55"/>
      <c r="HJ1997" s="55"/>
      <c r="HK1997" s="55"/>
      <c r="HL1997" s="55"/>
      <c r="HM1997" s="55"/>
      <c r="HN1997" s="55"/>
      <c r="HO1997" s="55"/>
      <c r="HP1997" s="55"/>
      <c r="HQ1997" s="55"/>
      <c r="HR1997" s="55"/>
      <c r="HS1997" s="55"/>
      <c r="HT1997" s="55"/>
      <c r="HU1997" s="55"/>
      <c r="HV1997" s="55"/>
      <c r="HW1997" s="55"/>
      <c r="HX1997" s="55"/>
      <c r="HY1997" s="55"/>
      <c r="HZ1997" s="55"/>
      <c r="IA1997" s="55"/>
      <c r="IB1997" s="55"/>
      <c r="IC1997" s="55"/>
      <c r="ID1997" s="55"/>
      <c r="IE1997" s="55"/>
      <c r="IF1997" s="55"/>
      <c r="IG1997" s="55"/>
      <c r="IH1997" s="55"/>
      <c r="II1997" s="55"/>
      <c r="IJ1997" s="55"/>
      <c r="IK1997" s="55"/>
      <c r="IL1997" s="55"/>
      <c r="IM1997" s="55"/>
      <c r="IN1997" s="55"/>
      <c r="IO1997" s="55"/>
      <c r="IP1997" s="55"/>
      <c r="IQ1997" s="55"/>
      <c r="IR1997" s="55"/>
      <c r="IS1997" s="55"/>
      <c r="IT1997" s="55"/>
      <c r="IU1997" s="55"/>
      <c r="IV1997" s="55"/>
      <c r="IW1997" s="55"/>
      <c r="IX1997" s="55"/>
      <c r="IY1997" s="55"/>
      <c r="IZ1997" s="55"/>
      <c r="JA1997" s="55"/>
      <c r="JB1997" s="55"/>
      <c r="JC1997" s="55"/>
      <c r="JD1997" s="55"/>
      <c r="JE1997" s="55"/>
      <c r="JF1997" s="55"/>
      <c r="JG1997" s="55"/>
      <c r="JH1997" s="55"/>
      <c r="JI1997" s="55"/>
      <c r="JJ1997" s="55"/>
      <c r="JK1997" s="55"/>
      <c r="JL1997" s="55"/>
      <c r="JM1997" s="55"/>
      <c r="JN1997" s="55"/>
      <c r="JO1997" s="55"/>
      <c r="JP1997" s="55"/>
      <c r="JQ1997" s="55"/>
      <c r="JR1997" s="55"/>
      <c r="JS1997" s="55"/>
      <c r="JT1997" s="55"/>
      <c r="JU1997" s="55"/>
      <c r="JV1997" s="55"/>
      <c r="JW1997" s="55"/>
      <c r="JX1997" s="55"/>
      <c r="JY1997" s="55"/>
      <c r="JZ1997" s="55"/>
      <c r="KA1997" s="55"/>
      <c r="KB1997" s="55"/>
      <c r="KC1997" s="55"/>
      <c r="KD1997" s="55"/>
      <c r="KE1997" s="55"/>
      <c r="KF1997" s="55"/>
      <c r="KG1997" s="55"/>
      <c r="KH1997" s="55"/>
      <c r="KI1997" s="55"/>
      <c r="KJ1997" s="55"/>
      <c r="KK1997" s="55"/>
      <c r="KL1997" s="55"/>
      <c r="KM1997" s="55"/>
      <c r="KN1997" s="55"/>
      <c r="KO1997" s="55"/>
      <c r="KP1997" s="55"/>
      <c r="KQ1997" s="55"/>
      <c r="KR1997" s="55"/>
      <c r="KS1997" s="55"/>
      <c r="KT1997" s="55"/>
      <c r="KU1997" s="55"/>
      <c r="KV1997" s="55"/>
      <c r="KW1997" s="55"/>
      <c r="KX1997" s="55"/>
      <c r="KY1997" s="55"/>
      <c r="KZ1997" s="55"/>
      <c r="LA1997" s="55"/>
      <c r="LB1997" s="55"/>
      <c r="LC1997" s="55"/>
      <c r="LD1997" s="55"/>
      <c r="LE1997" s="55"/>
      <c r="LF1997" s="55"/>
      <c r="LG1997" s="55"/>
      <c r="LH1997" s="55"/>
      <c r="LI1997" s="55"/>
      <c r="LJ1997" s="55"/>
      <c r="LK1997" s="55"/>
      <c r="LL1997" s="55"/>
      <c r="LM1997" s="55"/>
      <c r="LN1997" s="55"/>
      <c r="LO1997" s="55"/>
      <c r="LP1997" s="55"/>
      <c r="LQ1997" s="55"/>
      <c r="LR1997" s="55"/>
      <c r="LS1997" s="55"/>
      <c r="LT1997" s="55"/>
      <c r="LU1997" s="55"/>
      <c r="LV1997" s="55"/>
      <c r="LW1997" s="55"/>
      <c r="LX1997" s="55"/>
      <c r="LY1997" s="55"/>
      <c r="LZ1997" s="55"/>
      <c r="MA1997" s="55"/>
      <c r="MB1997" s="55"/>
      <c r="MC1997" s="55"/>
      <c r="MD1997" s="55"/>
      <c r="ME1997" s="55"/>
      <c r="MF1997" s="55"/>
      <c r="MG1997" s="55"/>
      <c r="MH1997" s="55"/>
      <c r="MI1997" s="55"/>
      <c r="MJ1997" s="55"/>
      <c r="MK1997" s="55"/>
      <c r="ML1997" s="55"/>
      <c r="MM1997" s="55"/>
      <c r="MN1997" s="55"/>
      <c r="MO1997" s="55"/>
      <c r="MP1997" s="55"/>
      <c r="MQ1997" s="55"/>
      <c r="MR1997" s="55"/>
      <c r="MS1997" s="55"/>
      <c r="MT1997" s="55"/>
      <c r="MU1997" s="55"/>
      <c r="MV1997" s="55"/>
      <c r="MW1997" s="55"/>
      <c r="MX1997" s="55"/>
      <c r="MY1997" s="55"/>
      <c r="MZ1997" s="55"/>
      <c r="NA1997" s="55"/>
      <c r="NB1997" s="55"/>
      <c r="NC1997" s="55"/>
      <c r="ND1997" s="55"/>
      <c r="NE1997" s="55"/>
      <c r="NF1997" s="55"/>
      <c r="NG1997" s="55"/>
      <c r="NH1997" s="55"/>
      <c r="NI1997" s="55"/>
      <c r="NJ1997" s="55"/>
      <c r="NK1997" s="55"/>
      <c r="NL1997" s="55"/>
      <c r="NM1997" s="55"/>
      <c r="NN1997" s="55"/>
      <c r="NO1997" s="55"/>
      <c r="NP1997" s="55"/>
      <c r="NQ1997" s="55"/>
      <c r="NR1997" s="55"/>
      <c r="NS1997" s="55"/>
      <c r="NT1997" s="55"/>
      <c r="NU1997" s="55"/>
      <c r="NV1997" s="55"/>
      <c r="NW1997" s="55"/>
      <c r="NX1997" s="55"/>
      <c r="NY1997" s="55"/>
      <c r="NZ1997" s="55"/>
      <c r="OA1997" s="55"/>
      <c r="OB1997" s="55"/>
      <c r="OC1997" s="55"/>
      <c r="OD1997" s="55"/>
      <c r="OE1997" s="55"/>
      <c r="OF1997" s="55"/>
      <c r="OG1997" s="55"/>
      <c r="OH1997" s="55"/>
      <c r="OI1997" s="55"/>
      <c r="OJ1997" s="55"/>
      <c r="OK1997" s="55"/>
      <c r="OL1997" s="55"/>
      <c r="OM1997" s="55"/>
      <c r="ON1997" s="55"/>
      <c r="OO1997" s="55"/>
      <c r="OP1997" s="55"/>
      <c r="OQ1997" s="55"/>
      <c r="OR1997" s="55"/>
      <c r="OS1997" s="55"/>
      <c r="OT1997" s="55"/>
      <c r="OU1997" s="55"/>
      <c r="OV1997" s="55"/>
      <c r="OW1997" s="55"/>
      <c r="OX1997" s="55"/>
      <c r="OY1997" s="55"/>
      <c r="OZ1997" s="55"/>
      <c r="PA1997" s="55"/>
      <c r="PB1997" s="55"/>
      <c r="PC1997" s="55"/>
      <c r="PD1997" s="55"/>
      <c r="PE1997" s="55"/>
      <c r="PF1997" s="55"/>
      <c r="PG1997" s="55"/>
      <c r="PH1997" s="55"/>
      <c r="PI1997" s="55"/>
      <c r="PJ1997" s="55"/>
      <c r="PK1997" s="55"/>
      <c r="PL1997" s="55"/>
      <c r="PM1997" s="55"/>
      <c r="PN1997" s="55"/>
      <c r="PO1997" s="55"/>
      <c r="PP1997" s="55"/>
      <c r="PQ1997" s="55"/>
      <c r="PR1997" s="55"/>
      <c r="PS1997" s="55"/>
      <c r="PT1997" s="55"/>
      <c r="PU1997" s="55"/>
      <c r="PV1997" s="55"/>
      <c r="PW1997" s="55"/>
      <c r="PX1997" s="55"/>
      <c r="PY1997" s="55"/>
      <c r="PZ1997" s="55"/>
      <c r="QA1997" s="55"/>
      <c r="QB1997" s="55"/>
      <c r="QC1997" s="55"/>
      <c r="QD1997" s="55"/>
      <c r="QE1997" s="55"/>
      <c r="QF1997" s="55"/>
      <c r="QG1997" s="55"/>
      <c r="QH1997" s="55"/>
      <c r="QI1997" s="55"/>
      <c r="QJ1997" s="55"/>
      <c r="QK1997" s="55"/>
      <c r="QL1997" s="55"/>
      <c r="QM1997" s="55"/>
      <c r="QN1997" s="55"/>
      <c r="QO1997" s="55"/>
      <c r="QP1997" s="55"/>
      <c r="QQ1997" s="55"/>
      <c r="QR1997" s="55"/>
      <c r="QS1997" s="55"/>
      <c r="QT1997" s="55"/>
      <c r="QU1997" s="55"/>
      <c r="QV1997" s="55"/>
      <c r="QW1997" s="55"/>
      <c r="QX1997" s="55"/>
      <c r="QY1997" s="55"/>
      <c r="QZ1997" s="55"/>
      <c r="RA1997" s="55"/>
      <c r="RB1997" s="55"/>
      <c r="RC1997" s="55"/>
      <c r="RD1997" s="55"/>
      <c r="RE1997" s="55"/>
      <c r="RF1997" s="55"/>
      <c r="RG1997" s="55"/>
      <c r="RH1997" s="55"/>
      <c r="RI1997" s="55"/>
      <c r="RJ1997" s="55"/>
      <c r="RK1997" s="55"/>
      <c r="RL1997" s="55"/>
      <c r="RM1997" s="55"/>
      <c r="RN1997" s="55"/>
      <c r="RO1997" s="55"/>
      <c r="RP1997" s="55"/>
      <c r="RQ1997" s="55"/>
      <c r="RR1997" s="55"/>
      <c r="RS1997" s="55"/>
      <c r="RT1997" s="55"/>
      <c r="RU1997" s="55"/>
      <c r="RV1997" s="55"/>
      <c r="RW1997" s="55"/>
      <c r="RX1997" s="55"/>
      <c r="RY1997" s="55"/>
      <c r="RZ1997" s="55"/>
      <c r="SA1997" s="55"/>
      <c r="SB1997" s="55"/>
      <c r="SC1997" s="55"/>
      <c r="SD1997" s="55"/>
      <c r="SE1997" s="55"/>
      <c r="SF1997" s="55"/>
      <c r="SG1997" s="55"/>
      <c r="SH1997" s="55"/>
      <c r="SI1997" s="55"/>
      <c r="SJ1997" s="55"/>
      <c r="SK1997" s="55"/>
      <c r="SL1997" s="55"/>
      <c r="SM1997" s="55"/>
      <c r="SN1997" s="55"/>
      <c r="SO1997" s="55"/>
      <c r="SP1997" s="55"/>
      <c r="SQ1997" s="55"/>
      <c r="SR1997" s="55"/>
      <c r="SS1997" s="55"/>
      <c r="ST1997" s="55"/>
      <c r="SU1997" s="55"/>
      <c r="SV1997" s="55"/>
      <c r="SW1997" s="55"/>
      <c r="SX1997" s="55"/>
      <c r="SY1997" s="55"/>
      <c r="SZ1997" s="55"/>
      <c r="TA1997" s="55"/>
      <c r="TB1997" s="55"/>
      <c r="TC1997" s="55"/>
      <c r="TD1997" s="55"/>
      <c r="TE1997" s="55"/>
      <c r="TF1997" s="55"/>
      <c r="TG1997" s="55"/>
      <c r="TH1997" s="55"/>
      <c r="TI1997" s="55"/>
      <c r="TJ1997" s="55"/>
      <c r="TK1997" s="55"/>
      <c r="TL1997" s="55"/>
      <c r="TM1997" s="55"/>
      <c r="TN1997" s="55"/>
      <c r="TO1997" s="55"/>
      <c r="TP1997" s="55"/>
      <c r="TQ1997" s="55"/>
      <c r="TR1997" s="55"/>
      <c r="TS1997" s="55"/>
      <c r="TT1997" s="55"/>
      <c r="TU1997" s="55"/>
      <c r="TV1997" s="55"/>
      <c r="TW1997" s="55"/>
      <c r="TX1997" s="55"/>
      <c r="TY1997" s="55"/>
      <c r="TZ1997" s="55"/>
      <c r="UA1997" s="55"/>
      <c r="UB1997" s="55"/>
      <c r="UC1997" s="55"/>
      <c r="UD1997" s="55"/>
      <c r="UE1997" s="55"/>
      <c r="UF1997" s="55"/>
      <c r="UG1997" s="55"/>
      <c r="UH1997" s="55"/>
      <c r="UI1997" s="55"/>
      <c r="UJ1997" s="55"/>
      <c r="UK1997" s="55"/>
      <c r="UL1997" s="55"/>
      <c r="UM1997" s="55"/>
      <c r="UN1997" s="55"/>
      <c r="UO1997" s="55"/>
      <c r="UP1997" s="55"/>
      <c r="UQ1997" s="55"/>
      <c r="UR1997" s="55"/>
      <c r="US1997" s="55"/>
      <c r="UT1997" s="55"/>
      <c r="UU1997" s="55"/>
      <c r="UV1997" s="55"/>
      <c r="UW1997" s="55"/>
      <c r="UX1997" s="55"/>
      <c r="UY1997" s="55"/>
      <c r="UZ1997" s="55"/>
      <c r="VA1997" s="55"/>
      <c r="VB1997" s="55"/>
      <c r="VC1997" s="55"/>
      <c r="VD1997" s="55"/>
      <c r="VE1997" s="55"/>
      <c r="VF1997" s="55"/>
      <c r="VG1997" s="55"/>
      <c r="VH1997" s="55"/>
      <c r="VI1997" s="55"/>
      <c r="VJ1997" s="55"/>
      <c r="VK1997" s="55"/>
      <c r="VL1997" s="55"/>
      <c r="VM1997" s="55"/>
      <c r="VN1997" s="55"/>
      <c r="VO1997" s="55"/>
      <c r="VP1997" s="55"/>
      <c r="VQ1997" s="55"/>
      <c r="VR1997" s="55"/>
      <c r="VS1997" s="55"/>
      <c r="VT1997" s="55"/>
      <c r="VU1997" s="55"/>
      <c r="VV1997" s="55"/>
      <c r="VW1997" s="55"/>
      <c r="VX1997" s="55"/>
      <c r="VY1997" s="55"/>
      <c r="VZ1997" s="55"/>
      <c r="WA1997" s="55"/>
      <c r="WB1997" s="55"/>
      <c r="WC1997" s="55"/>
      <c r="WD1997" s="55"/>
      <c r="WE1997" s="55"/>
      <c r="WF1997" s="55"/>
      <c r="WG1997" s="55"/>
      <c r="WH1997" s="55"/>
      <c r="WI1997" s="55"/>
      <c r="WJ1997" s="55"/>
      <c r="WK1997" s="55"/>
      <c r="WL1997" s="55"/>
      <c r="WM1997" s="55"/>
      <c r="WN1997" s="55"/>
      <c r="WO1997" s="55"/>
      <c r="WP1997" s="55"/>
      <c r="WQ1997" s="55"/>
      <c r="WR1997" s="55"/>
      <c r="WS1997" s="55"/>
      <c r="WT1997" s="55"/>
      <c r="WU1997" s="55"/>
      <c r="WV1997" s="55"/>
      <c r="WW1997" s="55"/>
      <c r="WX1997" s="55"/>
      <c r="WY1997" s="55"/>
      <c r="WZ1997" s="55"/>
      <c r="XA1997" s="55"/>
      <c r="XB1997" s="55"/>
      <c r="XC1997" s="55"/>
      <c r="XD1997" s="55"/>
      <c r="XE1997" s="55"/>
      <c r="XF1997" s="55"/>
      <c r="XG1997" s="55"/>
      <c r="XH1997" s="55"/>
      <c r="XI1997" s="55"/>
      <c r="XJ1997" s="55"/>
      <c r="XK1997" s="55"/>
      <c r="XL1997" s="55"/>
      <c r="XM1997" s="55"/>
      <c r="XN1997" s="55"/>
      <c r="XO1997" s="55"/>
      <c r="XP1997" s="55"/>
      <c r="XQ1997" s="55"/>
      <c r="XR1997" s="55"/>
      <c r="XS1997" s="55"/>
      <c r="XT1997" s="55"/>
      <c r="XU1997" s="55"/>
      <c r="XV1997" s="55"/>
      <c r="XW1997" s="55"/>
      <c r="XX1997" s="55"/>
      <c r="XY1997" s="55"/>
      <c r="XZ1997" s="55"/>
      <c r="YA1997" s="55"/>
      <c r="YB1997" s="55"/>
      <c r="YC1997" s="55"/>
      <c r="YD1997" s="55"/>
      <c r="YE1997" s="55"/>
      <c r="YF1997" s="55"/>
      <c r="YG1997" s="55"/>
      <c r="YH1997" s="55"/>
      <c r="YI1997" s="55"/>
      <c r="YJ1997" s="55"/>
      <c r="YK1997" s="55"/>
      <c r="YL1997" s="55"/>
      <c r="YM1997" s="55"/>
      <c r="YN1997" s="55"/>
      <c r="YO1997" s="55"/>
      <c r="YP1997" s="55"/>
      <c r="YQ1997" s="55"/>
      <c r="YR1997" s="55"/>
      <c r="YS1997" s="55"/>
      <c r="YT1997" s="55"/>
      <c r="YU1997" s="55"/>
      <c r="YV1997" s="55"/>
      <c r="YW1997" s="55"/>
      <c r="YX1997" s="55"/>
      <c r="YY1997" s="55"/>
      <c r="YZ1997" s="55"/>
      <c r="ZA1997" s="55"/>
      <c r="ZB1997" s="55"/>
      <c r="ZC1997" s="55"/>
      <c r="ZD1997" s="55"/>
      <c r="ZE1997" s="55"/>
      <c r="ZF1997" s="55"/>
      <c r="ZG1997" s="55"/>
      <c r="ZH1997" s="55"/>
      <c r="ZI1997" s="55"/>
      <c r="ZJ1997" s="55"/>
      <c r="ZK1997" s="55"/>
      <c r="ZL1997" s="55"/>
      <c r="ZM1997" s="55"/>
      <c r="ZN1997" s="55"/>
      <c r="ZO1997" s="55"/>
      <c r="ZP1997" s="55"/>
      <c r="ZQ1997" s="55"/>
      <c r="ZR1997" s="55"/>
      <c r="ZS1997" s="55"/>
      <c r="ZT1997" s="55"/>
      <c r="ZU1997" s="55"/>
      <c r="ZV1997" s="55"/>
      <c r="ZW1997" s="55"/>
      <c r="ZX1997" s="55"/>
      <c r="ZY1997" s="55"/>
      <c r="ZZ1997" s="55"/>
      <c r="AAA1997" s="55"/>
      <c r="AAB1997" s="55"/>
      <c r="AAC1997" s="55"/>
      <c r="AAD1997" s="55"/>
      <c r="AAE1997" s="55"/>
      <c r="AAF1997" s="55"/>
      <c r="AAG1997" s="55"/>
      <c r="AAH1997" s="55"/>
      <c r="AAI1997" s="55"/>
      <c r="AAJ1997" s="55"/>
      <c r="AAK1997" s="55"/>
      <c r="AAL1997" s="55"/>
      <c r="AAM1997" s="55"/>
      <c r="AAN1997" s="55"/>
      <c r="AAO1997" s="55"/>
      <c r="AAP1997" s="55"/>
      <c r="AAQ1997" s="55"/>
      <c r="AAR1997" s="55"/>
      <c r="AAS1997" s="55"/>
      <c r="AAT1997" s="55"/>
      <c r="AAU1997" s="55"/>
      <c r="AAV1997" s="55"/>
      <c r="AAW1997" s="55"/>
      <c r="AAX1997" s="55"/>
      <c r="AAY1997" s="55"/>
      <c r="AAZ1997" s="55"/>
      <c r="ABA1997" s="55"/>
      <c r="ABB1997" s="55"/>
      <c r="ABC1997" s="55"/>
      <c r="ABD1997" s="55"/>
      <c r="ABE1997" s="55"/>
      <c r="ABF1997" s="55"/>
      <c r="ABG1997" s="55"/>
      <c r="ABH1997" s="55"/>
      <c r="ABI1997" s="55"/>
      <c r="ABJ1997" s="55"/>
      <c r="ABK1997" s="55"/>
      <c r="ABL1997" s="55"/>
      <c r="ABM1997" s="55"/>
      <c r="ABN1997" s="55"/>
      <c r="ABO1997" s="55"/>
      <c r="ABP1997" s="55"/>
      <c r="ABQ1997" s="55"/>
      <c r="ABR1997" s="55"/>
      <c r="ABS1997" s="55"/>
      <c r="ABT1997" s="55"/>
      <c r="ABU1997" s="55"/>
      <c r="ABV1997" s="55"/>
      <c r="ABW1997" s="55"/>
      <c r="ABX1997" s="55"/>
      <c r="ABY1997" s="55"/>
      <c r="ABZ1997" s="55"/>
      <c r="ACA1997" s="55"/>
      <c r="ACB1997" s="55"/>
      <c r="ACC1997" s="55"/>
      <c r="ACD1997" s="55"/>
      <c r="ACE1997" s="55"/>
      <c r="ACF1997" s="55"/>
      <c r="ACG1997" s="55"/>
      <c r="ACH1997" s="55"/>
      <c r="ACI1997" s="55"/>
      <c r="ACJ1997" s="55"/>
      <c r="ACK1997" s="55"/>
      <c r="ACL1997" s="55"/>
      <c r="ACM1997" s="55"/>
      <c r="ACN1997" s="55"/>
      <c r="ACO1997" s="55"/>
      <c r="ACP1997" s="55"/>
      <c r="ACQ1997" s="55"/>
      <c r="ACR1997" s="55"/>
      <c r="ACS1997" s="55"/>
      <c r="ACT1997" s="55"/>
      <c r="ACU1997" s="55"/>
      <c r="ACV1997" s="55"/>
      <c r="ACW1997" s="55"/>
      <c r="ACX1997" s="55"/>
      <c r="ACY1997" s="55"/>
      <c r="ACZ1997" s="55"/>
      <c r="ADA1997" s="55"/>
      <c r="ADB1997" s="55"/>
      <c r="ADC1997" s="55"/>
      <c r="ADD1997" s="55"/>
      <c r="ADE1997" s="55"/>
      <c r="ADF1997" s="55"/>
      <c r="ADG1997" s="55"/>
      <c r="ADH1997" s="55"/>
      <c r="ADI1997" s="55"/>
      <c r="ADJ1997" s="55"/>
      <c r="ADK1997" s="55"/>
      <c r="ADL1997" s="55"/>
      <c r="ADM1997" s="55"/>
      <c r="ADN1997" s="55"/>
      <c r="ADO1997" s="55"/>
      <c r="ADP1997" s="55"/>
      <c r="ADQ1997" s="55"/>
      <c r="ADR1997" s="55"/>
      <c r="ADS1997" s="55"/>
      <c r="ADT1997" s="55"/>
      <c r="ADU1997" s="55"/>
      <c r="ADV1997" s="55"/>
      <c r="ADW1997" s="55"/>
      <c r="ADX1997" s="55"/>
      <c r="ADY1997" s="55"/>
      <c r="ADZ1997" s="55"/>
      <c r="AEA1997" s="55"/>
      <c r="AEB1997" s="55"/>
      <c r="AEC1997" s="55"/>
      <c r="AED1997" s="55"/>
      <c r="AEE1997" s="55"/>
      <c r="AEF1997" s="55"/>
      <c r="AEG1997" s="55"/>
      <c r="AEH1997" s="55"/>
      <c r="AEI1997" s="55"/>
      <c r="AEJ1997" s="55"/>
      <c r="AEK1997" s="55"/>
      <c r="AEL1997" s="55"/>
      <c r="AEM1997" s="55"/>
      <c r="AEN1997" s="55"/>
      <c r="AEO1997" s="55"/>
      <c r="AEP1997" s="55"/>
      <c r="AEQ1997" s="55"/>
      <c r="AER1997" s="55"/>
      <c r="AES1997" s="55"/>
      <c r="AET1997" s="55"/>
      <c r="AEU1997" s="55"/>
      <c r="AEV1997" s="55"/>
      <c r="AEW1997" s="55"/>
      <c r="AEX1997" s="55"/>
      <c r="AEY1997" s="55"/>
      <c r="AEZ1997" s="55"/>
      <c r="AFA1997" s="55"/>
      <c r="AFB1997" s="55"/>
      <c r="AFC1997" s="55"/>
      <c r="AFD1997" s="55"/>
      <c r="AFE1997" s="55"/>
      <c r="AFF1997" s="55"/>
      <c r="AFG1997" s="55"/>
      <c r="AFH1997" s="55"/>
      <c r="AFI1997" s="55"/>
      <c r="AFJ1997" s="55"/>
      <c r="AFK1997" s="55"/>
      <c r="AFL1997" s="55"/>
      <c r="AFM1997" s="55"/>
      <c r="AFN1997" s="55"/>
      <c r="AFO1997" s="55"/>
      <c r="AFP1997" s="55"/>
      <c r="AFQ1997" s="55"/>
      <c r="AFR1997" s="55"/>
      <c r="AFS1997" s="55"/>
      <c r="AFT1997" s="55"/>
      <c r="AFU1997" s="55"/>
      <c r="AFV1997" s="55"/>
      <c r="AFW1997" s="55"/>
      <c r="AFX1997" s="55"/>
      <c r="AFY1997" s="55"/>
      <c r="AFZ1997" s="55"/>
      <c r="AGA1997" s="55"/>
      <c r="AGB1997" s="55"/>
      <c r="AGC1997" s="55"/>
      <c r="AGD1997" s="55"/>
      <c r="AGE1997" s="55"/>
      <c r="AGF1997" s="55"/>
      <c r="AGG1997" s="55"/>
      <c r="AGH1997" s="55"/>
      <c r="AGI1997" s="55"/>
      <c r="AGJ1997" s="55"/>
      <c r="AGK1997" s="55"/>
      <c r="AGL1997" s="55"/>
      <c r="AGM1997" s="55"/>
      <c r="AGN1997" s="55"/>
      <c r="AGO1997" s="55"/>
      <c r="AGP1997" s="55"/>
      <c r="AGQ1997" s="55"/>
      <c r="AGR1997" s="55"/>
      <c r="AGS1997" s="55"/>
      <c r="AGT1997" s="55"/>
      <c r="AGU1997" s="55"/>
      <c r="AGV1997" s="55"/>
      <c r="AGW1997" s="55"/>
      <c r="AGX1997" s="55"/>
      <c r="AGY1997" s="55"/>
      <c r="AGZ1997" s="55"/>
      <c r="AHA1997" s="55"/>
      <c r="AHB1997" s="55"/>
      <c r="AHC1997" s="55"/>
      <c r="AHD1997" s="55"/>
      <c r="AHE1997" s="55"/>
      <c r="AHF1997" s="55"/>
      <c r="AHG1997" s="55"/>
      <c r="AHH1997" s="55"/>
      <c r="AHI1997" s="55"/>
      <c r="AHJ1997" s="55"/>
      <c r="AHK1997" s="55"/>
      <c r="AHL1997" s="55"/>
      <c r="AHM1997" s="55"/>
      <c r="AHN1997" s="55"/>
      <c r="AHO1997" s="55"/>
      <c r="AHP1997" s="55"/>
      <c r="AHQ1997" s="55"/>
      <c r="AHR1997" s="55"/>
      <c r="AHS1997" s="55"/>
      <c r="AHT1997" s="55"/>
      <c r="AHU1997" s="55"/>
      <c r="AHV1997" s="55"/>
      <c r="AHW1997" s="55"/>
      <c r="AHX1997" s="55"/>
      <c r="AHY1997" s="55"/>
      <c r="AHZ1997" s="55"/>
      <c r="AIA1997" s="55"/>
      <c r="AIB1997" s="55"/>
      <c r="AIC1997" s="55"/>
      <c r="AID1997" s="55"/>
      <c r="AIE1997" s="55"/>
      <c r="AIF1997" s="55"/>
      <c r="AIG1997" s="55"/>
      <c r="AIH1997" s="55"/>
      <c r="AII1997" s="55"/>
      <c r="AIJ1997" s="55"/>
      <c r="AIK1997" s="55"/>
      <c r="AIL1997" s="55"/>
      <c r="AIM1997" s="55"/>
      <c r="AIN1997" s="55"/>
      <c r="AIO1997" s="55"/>
      <c r="AIP1997" s="55"/>
      <c r="AIQ1997" s="55"/>
      <c r="AIR1997" s="55"/>
      <c r="AIS1997" s="55"/>
      <c r="AIT1997" s="55"/>
      <c r="AIU1997" s="55"/>
      <c r="AIV1997" s="55"/>
      <c r="AIW1997" s="55"/>
      <c r="AIX1997" s="55"/>
      <c r="AIY1997" s="55"/>
      <c r="AIZ1997" s="55"/>
      <c r="AJA1997" s="55"/>
      <c r="AJB1997" s="55"/>
      <c r="AJC1997" s="55"/>
      <c r="AJD1997" s="55"/>
      <c r="AJE1997" s="55"/>
      <c r="AJF1997" s="55"/>
      <c r="AJG1997" s="55"/>
      <c r="AJH1997" s="55"/>
      <c r="AJI1997" s="55"/>
      <c r="AJJ1997" s="55"/>
      <c r="AJK1997" s="55"/>
      <c r="AJL1997" s="55"/>
      <c r="AJM1997" s="55"/>
      <c r="AJN1997" s="55"/>
      <c r="AJO1997" s="55"/>
      <c r="AJP1997" s="55"/>
      <c r="AJQ1997" s="55"/>
      <c r="AJR1997" s="55"/>
      <c r="AJS1997" s="55"/>
      <c r="AJT1997" s="55"/>
      <c r="AJU1997" s="55"/>
      <c r="AJV1997" s="55"/>
      <c r="AJW1997" s="55"/>
      <c r="AJX1997" s="55"/>
      <c r="AJY1997" s="55"/>
      <c r="AJZ1997" s="55"/>
      <c r="AKA1997" s="55"/>
      <c r="AKB1997" s="55"/>
      <c r="AKC1997" s="55"/>
      <c r="AKD1997" s="55"/>
      <c r="AKE1997" s="55"/>
      <c r="AKF1997" s="55"/>
      <c r="AKG1997" s="55"/>
      <c r="AKH1997" s="55"/>
      <c r="AKI1997" s="55"/>
      <c r="AKJ1997" s="55"/>
      <c r="AKK1997" s="55"/>
      <c r="AKL1997" s="55"/>
      <c r="AKM1997" s="55"/>
      <c r="AKN1997" s="55"/>
      <c r="AKO1997" s="55"/>
      <c r="AKP1997" s="55"/>
      <c r="AKQ1997" s="55"/>
      <c r="AKR1997" s="55"/>
      <c r="AKS1997" s="55"/>
      <c r="AKT1997" s="55"/>
      <c r="AKU1997" s="55"/>
      <c r="AKV1997" s="55"/>
      <c r="AKW1997" s="55"/>
      <c r="AKX1997" s="55"/>
      <c r="AKY1997" s="55"/>
      <c r="AKZ1997" s="55"/>
      <c r="ALA1997" s="55"/>
      <c r="ALB1997" s="55"/>
      <c r="ALC1997" s="55"/>
      <c r="ALD1997" s="55"/>
      <c r="ALE1997" s="55"/>
      <c r="ALF1997" s="55"/>
      <c r="ALG1997" s="55"/>
      <c r="ALH1997" s="55"/>
      <c r="ALI1997" s="55"/>
      <c r="ALJ1997" s="55"/>
      <c r="ALK1997" s="55"/>
      <c r="ALL1997" s="55"/>
      <c r="ALM1997" s="55"/>
      <c r="ALN1997" s="55"/>
      <c r="ALO1997" s="55"/>
      <c r="ALP1997" s="55"/>
      <c r="ALQ1997" s="55"/>
      <c r="ALR1997" s="55"/>
      <c r="ALS1997" s="55"/>
      <c r="ALT1997" s="55"/>
      <c r="ALU1997" s="55"/>
      <c r="ALV1997" s="55"/>
      <c r="ALW1997" s="55"/>
      <c r="ALX1997" s="55"/>
      <c r="ALY1997" s="55"/>
      <c r="ALZ1997" s="55"/>
      <c r="AMA1997" s="55"/>
      <c r="AMB1997" s="55"/>
      <c r="AMC1997" s="55"/>
      <c r="AMD1997" s="55"/>
      <c r="AME1997" s="55"/>
      <c r="AMF1997" s="55"/>
      <c r="AMG1997" s="55"/>
      <c r="AMH1997" s="55"/>
      <c r="AMI1997" s="55"/>
      <c r="AMJ1997" s="55"/>
      <c r="AMK1997" s="55"/>
      <c r="AML1997" s="55"/>
      <c r="AMM1997" s="55"/>
      <c r="AMN1997" s="55"/>
      <c r="AMO1997" s="55"/>
      <c r="AMP1997" s="55"/>
      <c r="AMQ1997" s="55"/>
      <c r="AMR1997" s="55"/>
      <c r="AMS1997" s="55"/>
      <c r="AMT1997" s="55"/>
      <c r="AMU1997" s="55"/>
      <c r="AMV1997" s="55"/>
      <c r="AMW1997" s="55"/>
      <c r="AMX1997" s="55"/>
      <c r="AMY1997" s="55"/>
      <c r="AMZ1997" s="55"/>
      <c r="ANA1997" s="55"/>
      <c r="ANB1997" s="55"/>
      <c r="ANC1997" s="55"/>
      <c r="AND1997" s="55"/>
      <c r="ANE1997" s="55"/>
      <c r="ANF1997" s="55"/>
      <c r="ANG1997" s="55"/>
      <c r="ANH1997" s="55"/>
      <c r="ANI1997" s="55"/>
      <c r="ANJ1997" s="55"/>
      <c r="ANK1997" s="55"/>
      <c r="ANL1997" s="55"/>
      <c r="ANM1997" s="55"/>
      <c r="ANN1997" s="55"/>
      <c r="ANO1997" s="55"/>
      <c r="ANP1997" s="55"/>
      <c r="ANQ1997" s="55"/>
      <c r="ANR1997" s="55"/>
      <c r="ANS1997" s="55"/>
      <c r="ANT1997" s="55"/>
      <c r="ANU1997" s="55"/>
      <c r="ANV1997" s="55"/>
      <c r="ANW1997" s="55"/>
      <c r="ANX1997" s="55"/>
      <c r="ANY1997" s="55"/>
      <c r="ANZ1997" s="55"/>
      <c r="AOA1997" s="55"/>
      <c r="AOB1997" s="55"/>
      <c r="AOC1997" s="55"/>
      <c r="AOD1997" s="55"/>
      <c r="AOE1997" s="55"/>
      <c r="AOF1997" s="55"/>
      <c r="AOG1997" s="55"/>
      <c r="AOH1997" s="55"/>
      <c r="AOI1997" s="55"/>
      <c r="AOJ1997" s="55"/>
      <c r="AOK1997" s="55"/>
      <c r="AOL1997" s="55"/>
      <c r="AOM1997" s="55"/>
      <c r="AON1997" s="55"/>
      <c r="AOO1997" s="55"/>
      <c r="AOP1997" s="55"/>
      <c r="AOQ1997" s="55"/>
      <c r="AOR1997" s="55"/>
      <c r="AOS1997" s="55"/>
      <c r="AOT1997" s="55"/>
      <c r="AOU1997" s="55"/>
      <c r="AOV1997" s="55"/>
      <c r="AOW1997" s="55"/>
      <c r="AOX1997" s="55"/>
      <c r="AOY1997" s="55"/>
      <c r="AOZ1997" s="55"/>
      <c r="APA1997" s="55"/>
      <c r="APB1997" s="55"/>
      <c r="APC1997" s="55"/>
      <c r="APD1997" s="55"/>
      <c r="APE1997" s="55"/>
      <c r="APF1997" s="55"/>
      <c r="APG1997" s="55"/>
      <c r="APH1997" s="55"/>
      <c r="API1997" s="55"/>
      <c r="APJ1997" s="55"/>
      <c r="APK1997" s="55"/>
      <c r="APL1997" s="55"/>
      <c r="APM1997" s="55"/>
      <c r="APN1997" s="55"/>
      <c r="APO1997" s="55"/>
      <c r="APP1997" s="55"/>
      <c r="APQ1997" s="55"/>
      <c r="APR1997" s="55"/>
      <c r="APS1997" s="55"/>
      <c r="APT1997" s="55"/>
      <c r="APU1997" s="55"/>
      <c r="APV1997" s="55"/>
      <c r="APW1997" s="55"/>
      <c r="APX1997" s="55"/>
      <c r="APY1997" s="55"/>
      <c r="APZ1997" s="55"/>
      <c r="AQA1997" s="55"/>
      <c r="AQB1997" s="55"/>
      <c r="AQC1997" s="55"/>
      <c r="AQD1997" s="55"/>
      <c r="AQE1997" s="55"/>
      <c r="AQF1997" s="55"/>
      <c r="AQG1997" s="55"/>
      <c r="AQH1997" s="55"/>
      <c r="AQI1997" s="55"/>
      <c r="AQJ1997" s="55"/>
      <c r="AQK1997" s="55"/>
      <c r="AQL1997" s="55"/>
      <c r="AQM1997" s="55"/>
      <c r="AQN1997" s="55"/>
      <c r="AQO1997" s="55"/>
      <c r="AQP1997" s="55"/>
      <c r="AQQ1997" s="55"/>
      <c r="AQR1997" s="55"/>
      <c r="AQS1997" s="55"/>
      <c r="AQT1997" s="55"/>
      <c r="AQU1997" s="55"/>
      <c r="AQV1997" s="55"/>
      <c r="AQW1997" s="55"/>
      <c r="AQX1997" s="55"/>
      <c r="AQY1997" s="55"/>
      <c r="AQZ1997" s="55"/>
      <c r="ARA1997" s="55"/>
      <c r="ARB1997" s="55"/>
      <c r="ARC1997" s="55"/>
      <c r="ARD1997" s="55"/>
      <c r="ARE1997" s="55"/>
      <c r="ARF1997" s="55"/>
      <c r="ARG1997" s="55"/>
      <c r="ARH1997" s="55"/>
      <c r="ARI1997" s="55"/>
      <c r="ARJ1997" s="55"/>
      <c r="ARK1997" s="55"/>
      <c r="ARL1997" s="55"/>
      <c r="ARM1997" s="55"/>
      <c r="ARN1997" s="55"/>
      <c r="ARO1997" s="55"/>
      <c r="ARP1997" s="55"/>
      <c r="ARQ1997" s="55"/>
      <c r="ARR1997" s="55"/>
      <c r="ARS1997" s="55"/>
      <c r="ART1997" s="55"/>
      <c r="ARU1997" s="55"/>
      <c r="ARV1997" s="55"/>
      <c r="ARW1997" s="55"/>
      <c r="ARX1997" s="55"/>
      <c r="ARY1997" s="55"/>
      <c r="ARZ1997" s="55"/>
      <c r="ASA1997" s="55"/>
      <c r="ASB1997" s="55"/>
      <c r="ASC1997" s="55"/>
      <c r="ASD1997" s="55"/>
      <c r="ASE1997" s="55"/>
      <c r="ASF1997" s="55"/>
      <c r="ASG1997" s="55"/>
      <c r="ASH1997" s="55"/>
      <c r="ASI1997" s="55"/>
      <c r="ASJ1997" s="55"/>
      <c r="ASK1997" s="55"/>
      <c r="ASL1997" s="55"/>
      <c r="ASM1997" s="55"/>
      <c r="ASN1997" s="55"/>
      <c r="ASO1997" s="55"/>
      <c r="ASP1997" s="55"/>
      <c r="ASQ1997" s="55"/>
      <c r="ASR1997" s="55"/>
      <c r="ASS1997" s="55"/>
      <c r="AST1997" s="55"/>
      <c r="ASU1997" s="55"/>
      <c r="ASV1997" s="55"/>
      <c r="ASW1997" s="55"/>
      <c r="ASX1997" s="55"/>
      <c r="ASY1997" s="55"/>
      <c r="ASZ1997" s="55"/>
      <c r="ATA1997" s="55"/>
      <c r="ATB1997" s="55"/>
      <c r="ATC1997" s="55"/>
      <c r="ATD1997" s="55"/>
      <c r="ATE1997" s="55"/>
      <c r="ATF1997" s="55"/>
      <c r="ATG1997" s="55"/>
      <c r="ATH1997" s="55"/>
      <c r="ATI1997" s="55"/>
      <c r="ATJ1997" s="55"/>
      <c r="ATK1997" s="55"/>
      <c r="ATL1997" s="55"/>
      <c r="ATM1997" s="55"/>
      <c r="ATN1997" s="55"/>
      <c r="ATO1997" s="55"/>
      <c r="ATP1997" s="55"/>
      <c r="ATQ1997" s="55"/>
      <c r="ATR1997" s="55"/>
      <c r="ATS1997" s="55"/>
      <c r="ATT1997" s="55"/>
      <c r="ATU1997" s="55"/>
      <c r="ATV1997" s="55"/>
      <c r="ATW1997" s="55"/>
      <c r="ATX1997" s="55"/>
      <c r="ATY1997" s="55"/>
      <c r="ATZ1997" s="55"/>
      <c r="AUA1997" s="55"/>
      <c r="AUB1997" s="55"/>
      <c r="AUC1997" s="55"/>
      <c r="AUD1997" s="55"/>
      <c r="AUE1997" s="55"/>
      <c r="AUF1997" s="55"/>
      <c r="AUG1997" s="55"/>
      <c r="AUH1997" s="55"/>
      <c r="AUI1997" s="55"/>
      <c r="AUJ1997" s="55"/>
      <c r="AUK1997" s="55"/>
      <c r="AUL1997" s="55"/>
      <c r="AUM1997" s="55"/>
      <c r="AUN1997" s="55"/>
      <c r="AUO1997" s="55"/>
      <c r="AUP1997" s="55"/>
      <c r="AUQ1997" s="55"/>
      <c r="AUR1997" s="55"/>
      <c r="AUS1997" s="55"/>
      <c r="AUT1997" s="55"/>
      <c r="AUU1997" s="55"/>
      <c r="AUV1997" s="55"/>
      <c r="AUW1997" s="55"/>
      <c r="AUX1997" s="55"/>
      <c r="AUY1997" s="55"/>
      <c r="AUZ1997" s="55"/>
      <c r="AVA1997" s="55"/>
      <c r="AVB1997" s="55"/>
      <c r="AVC1997" s="55"/>
      <c r="AVD1997" s="55"/>
      <c r="AVE1997" s="55"/>
      <c r="AVF1997" s="55"/>
      <c r="AVG1997" s="55"/>
      <c r="AVH1997" s="55"/>
      <c r="AVI1997" s="55"/>
      <c r="AVJ1997" s="55"/>
      <c r="AVK1997" s="55"/>
      <c r="AVL1997" s="55"/>
      <c r="AVM1997" s="55"/>
      <c r="AVN1997" s="55"/>
      <c r="AVO1997" s="55"/>
      <c r="AVP1997" s="55"/>
      <c r="AVQ1997" s="55"/>
      <c r="AVR1997" s="55"/>
      <c r="AVS1997" s="55"/>
      <c r="AVT1997" s="55"/>
      <c r="AVU1997" s="55"/>
      <c r="AVV1997" s="55"/>
      <c r="AVW1997" s="55"/>
      <c r="AVX1997" s="55"/>
      <c r="AVY1997" s="55"/>
      <c r="AVZ1997" s="55"/>
      <c r="AWA1997" s="55"/>
      <c r="AWB1997" s="55"/>
      <c r="AWC1997" s="55"/>
      <c r="AWD1997" s="55"/>
      <c r="AWE1997" s="55"/>
      <c r="AWF1997" s="55"/>
      <c r="AWG1997" s="55"/>
      <c r="AWH1997" s="55"/>
      <c r="AWI1997" s="55"/>
      <c r="AWJ1997" s="55"/>
      <c r="AWK1997" s="55"/>
      <c r="AWL1997" s="55"/>
      <c r="AWM1997" s="55"/>
      <c r="AWN1997" s="55"/>
      <c r="AWO1997" s="55"/>
      <c r="AWP1997" s="55"/>
      <c r="AWQ1997" s="55"/>
      <c r="AWR1997" s="55"/>
      <c r="AWS1997" s="55"/>
      <c r="AWT1997" s="55"/>
      <c r="AWU1997" s="55"/>
      <c r="AWV1997" s="55"/>
      <c r="AWW1997" s="55"/>
      <c r="AWX1997" s="55"/>
      <c r="AWY1997" s="55"/>
      <c r="AWZ1997" s="55"/>
      <c r="AXA1997" s="55"/>
      <c r="AXB1997" s="55"/>
      <c r="AXC1997" s="55"/>
      <c r="AXD1997" s="55"/>
      <c r="AXE1997" s="55"/>
      <c r="AXF1997" s="55"/>
      <c r="AXG1997" s="55"/>
      <c r="AXH1997" s="55"/>
      <c r="AXI1997" s="55"/>
      <c r="AXJ1997" s="55"/>
      <c r="AXK1997" s="55"/>
      <c r="AXL1997" s="55"/>
      <c r="AXM1997" s="55"/>
      <c r="AXN1997" s="55"/>
      <c r="AXO1997" s="55"/>
      <c r="AXP1997" s="55"/>
      <c r="AXQ1997" s="55"/>
      <c r="AXR1997" s="55"/>
      <c r="AXS1997" s="55"/>
      <c r="AXT1997" s="55"/>
      <c r="AXU1997" s="55"/>
      <c r="AXV1997" s="55"/>
      <c r="AXW1997" s="55"/>
      <c r="AXX1997" s="55"/>
      <c r="AXY1997" s="55"/>
      <c r="AXZ1997" s="55"/>
      <c r="AYA1997" s="55"/>
      <c r="AYB1997" s="55"/>
      <c r="AYC1997" s="55"/>
      <c r="AYD1997" s="55"/>
      <c r="AYE1997" s="55"/>
      <c r="AYF1997" s="55"/>
      <c r="AYG1997" s="55"/>
      <c r="AYH1997" s="55"/>
      <c r="AYI1997" s="55"/>
      <c r="AYJ1997" s="55"/>
      <c r="AYK1997" s="55"/>
      <c r="AYL1997" s="55"/>
      <c r="AYM1997" s="55"/>
      <c r="AYN1997" s="55"/>
      <c r="AYO1997" s="55"/>
      <c r="AYP1997" s="55"/>
      <c r="AYQ1997" s="55"/>
      <c r="AYR1997" s="55"/>
      <c r="AYS1997" s="55"/>
      <c r="AYT1997" s="55"/>
      <c r="AYU1997" s="55"/>
      <c r="AYV1997" s="55"/>
      <c r="AYW1997" s="55"/>
      <c r="AYX1997" s="55"/>
      <c r="AYY1997" s="55"/>
      <c r="AYZ1997" s="55"/>
      <c r="AZA1997" s="55"/>
      <c r="AZB1997" s="55"/>
      <c r="AZC1997" s="55"/>
      <c r="AZD1997" s="55"/>
      <c r="AZE1997" s="55"/>
      <c r="AZF1997" s="55"/>
      <c r="AZG1997" s="55"/>
      <c r="AZH1997" s="55"/>
      <c r="AZI1997" s="55"/>
      <c r="AZJ1997" s="55"/>
      <c r="AZK1997" s="55"/>
      <c r="AZL1997" s="55"/>
      <c r="AZM1997" s="55"/>
      <c r="AZN1997" s="55"/>
      <c r="AZO1997" s="55"/>
      <c r="AZP1997" s="55"/>
      <c r="AZQ1997" s="55"/>
      <c r="AZR1997" s="55"/>
      <c r="AZS1997" s="55"/>
      <c r="AZT1997" s="55"/>
      <c r="AZU1997" s="55"/>
      <c r="AZV1997" s="55"/>
      <c r="AZW1997" s="55"/>
      <c r="AZX1997" s="55"/>
      <c r="AZY1997" s="55"/>
      <c r="AZZ1997" s="55"/>
      <c r="BAA1997" s="55"/>
      <c r="BAB1997" s="55"/>
      <c r="BAC1997" s="55"/>
      <c r="BAD1997" s="55"/>
      <c r="BAE1997" s="55"/>
      <c r="BAF1997" s="55"/>
      <c r="BAG1997" s="55"/>
      <c r="BAH1997" s="55"/>
      <c r="BAI1997" s="55"/>
      <c r="BAJ1997" s="55"/>
      <c r="BAK1997" s="55"/>
      <c r="BAL1997" s="55"/>
      <c r="BAM1997" s="55"/>
      <c r="BAN1997" s="55"/>
      <c r="BAO1997" s="55"/>
      <c r="BAP1997" s="55"/>
      <c r="BAQ1997" s="55"/>
      <c r="BAR1997" s="55"/>
      <c r="BAS1997" s="55"/>
      <c r="BAT1997" s="55"/>
      <c r="BAU1997" s="55"/>
      <c r="BAV1997" s="55"/>
      <c r="BAW1997" s="55"/>
      <c r="BAX1997" s="55"/>
      <c r="BAY1997" s="55"/>
      <c r="BAZ1997" s="55"/>
      <c r="BBA1997" s="55"/>
      <c r="BBB1997" s="55"/>
      <c r="BBC1997" s="55"/>
      <c r="BBD1997" s="55"/>
      <c r="BBE1997" s="55"/>
      <c r="BBF1997" s="55"/>
      <c r="BBG1997" s="55"/>
      <c r="BBH1997" s="55"/>
      <c r="BBI1997" s="55"/>
      <c r="BBJ1997" s="55"/>
      <c r="BBK1997" s="55"/>
      <c r="BBL1997" s="55"/>
      <c r="BBM1997" s="55"/>
      <c r="BBN1997" s="55"/>
      <c r="BBO1997" s="55"/>
      <c r="BBP1997" s="55"/>
      <c r="BBQ1997" s="55"/>
      <c r="BBR1997" s="55"/>
      <c r="BBS1997" s="55"/>
      <c r="BBT1997" s="55"/>
      <c r="BBU1997" s="55"/>
      <c r="BBV1997" s="55"/>
      <c r="BBW1997" s="55"/>
      <c r="BBX1997" s="55"/>
      <c r="BBY1997" s="55"/>
      <c r="BBZ1997" s="55"/>
      <c r="BCA1997" s="55"/>
      <c r="BCB1997" s="55"/>
      <c r="BCC1997" s="55"/>
      <c r="BCD1997" s="55"/>
      <c r="BCE1997" s="55"/>
      <c r="BCF1997" s="55"/>
      <c r="BCG1997" s="55"/>
      <c r="BCH1997" s="55"/>
      <c r="BCI1997" s="55"/>
      <c r="BCJ1997" s="55"/>
      <c r="BCK1997" s="55"/>
      <c r="BCL1997" s="55"/>
      <c r="BCM1997" s="55"/>
      <c r="BCN1997" s="55"/>
      <c r="BCO1997" s="55"/>
      <c r="BCP1997" s="55"/>
      <c r="BCQ1997" s="55"/>
      <c r="BCR1997" s="55"/>
      <c r="BCS1997" s="55"/>
      <c r="BCT1997" s="55"/>
      <c r="BCU1997" s="55"/>
      <c r="BCV1997" s="55"/>
      <c r="BCW1997" s="55"/>
      <c r="BCX1997" s="55"/>
      <c r="BCY1997" s="55"/>
      <c r="BCZ1997" s="55"/>
      <c r="BDA1997" s="55"/>
      <c r="BDB1997" s="55"/>
      <c r="BDC1997" s="55"/>
      <c r="BDD1997" s="55"/>
      <c r="BDE1997" s="55"/>
      <c r="BDF1997" s="55"/>
      <c r="BDG1997" s="55"/>
      <c r="BDH1997" s="55"/>
      <c r="BDI1997" s="55"/>
      <c r="BDJ1997" s="55"/>
      <c r="BDK1997" s="55"/>
      <c r="BDL1997" s="55"/>
      <c r="BDM1997" s="55"/>
      <c r="BDN1997" s="55"/>
      <c r="BDO1997" s="55"/>
      <c r="BDP1997" s="55"/>
      <c r="BDQ1997" s="55"/>
      <c r="BDR1997" s="55"/>
      <c r="BDS1997" s="55"/>
      <c r="BDT1997" s="55"/>
      <c r="BDU1997" s="55"/>
      <c r="BDV1997" s="55"/>
      <c r="BDW1997" s="55"/>
      <c r="BDX1997" s="55"/>
      <c r="BDY1997" s="55"/>
      <c r="BDZ1997" s="55"/>
      <c r="BEA1997" s="55"/>
      <c r="BEB1997" s="55"/>
      <c r="BEC1997" s="55"/>
      <c r="BED1997" s="55"/>
      <c r="BEE1997" s="55"/>
      <c r="BEF1997" s="55"/>
      <c r="BEG1997" s="55"/>
      <c r="BEH1997" s="55"/>
      <c r="BEI1997" s="55"/>
      <c r="BEJ1997" s="55"/>
      <c r="BEK1997" s="55"/>
      <c r="BEL1997" s="55"/>
      <c r="BEM1997" s="55"/>
      <c r="BEN1997" s="55"/>
      <c r="BEO1997" s="55"/>
      <c r="BEP1997" s="55"/>
      <c r="BEQ1997" s="55"/>
      <c r="BER1997" s="55"/>
      <c r="BES1997" s="55"/>
      <c r="BET1997" s="55"/>
      <c r="BEU1997" s="55"/>
      <c r="BEV1997" s="55"/>
      <c r="BEW1997" s="55"/>
      <c r="BEX1997" s="55"/>
      <c r="BEY1997" s="55"/>
      <c r="BEZ1997" s="55"/>
      <c r="BFA1997" s="55"/>
      <c r="BFB1997" s="55"/>
      <c r="BFC1997" s="55"/>
      <c r="BFD1997" s="55"/>
      <c r="BFE1997" s="55"/>
      <c r="BFF1997" s="55"/>
      <c r="BFG1997" s="55"/>
      <c r="BFH1997" s="55"/>
      <c r="BFI1997" s="55"/>
      <c r="BFJ1997" s="55"/>
      <c r="BFK1997" s="55"/>
      <c r="BFL1997" s="55"/>
      <c r="BFM1997" s="55"/>
      <c r="BFN1997" s="55"/>
      <c r="BFO1997" s="55"/>
      <c r="BFP1997" s="55"/>
      <c r="BFQ1997" s="55"/>
      <c r="BFR1997" s="55"/>
      <c r="BFS1997" s="55"/>
      <c r="BFT1997" s="55"/>
      <c r="BFU1997" s="55"/>
      <c r="BFV1997" s="55"/>
      <c r="BFW1997" s="55"/>
      <c r="BFX1997" s="55"/>
      <c r="BFY1997" s="55"/>
      <c r="BFZ1997" s="55"/>
      <c r="BGA1997" s="55"/>
      <c r="BGB1997" s="55"/>
      <c r="BGC1997" s="55"/>
      <c r="BGD1997" s="55"/>
      <c r="BGE1997" s="55"/>
      <c r="BGF1997" s="55"/>
      <c r="BGG1997" s="55"/>
      <c r="BGH1997" s="55"/>
      <c r="BGI1997" s="55"/>
      <c r="BGJ1997" s="55"/>
      <c r="BGK1997" s="55"/>
      <c r="BGL1997" s="55"/>
      <c r="BGM1997" s="55"/>
      <c r="BGN1997" s="55"/>
      <c r="BGO1997" s="55"/>
      <c r="BGP1997" s="55"/>
      <c r="BGQ1997" s="55"/>
      <c r="BGR1997" s="55"/>
      <c r="BGS1997" s="55"/>
      <c r="BGT1997" s="55"/>
      <c r="BGU1997" s="55"/>
      <c r="BGV1997" s="55"/>
      <c r="BGW1997" s="55"/>
      <c r="BGX1997" s="55"/>
      <c r="BGY1997" s="55"/>
      <c r="BGZ1997" s="55"/>
      <c r="BHA1997" s="55"/>
      <c r="BHB1997" s="55"/>
      <c r="BHC1997" s="55"/>
      <c r="BHD1997" s="55"/>
      <c r="BHE1997" s="55"/>
      <c r="BHF1997" s="55"/>
      <c r="BHG1997" s="55"/>
      <c r="BHH1997" s="55"/>
      <c r="BHI1997" s="55"/>
      <c r="BHJ1997" s="55"/>
      <c r="BHK1997" s="55"/>
      <c r="BHL1997" s="55"/>
      <c r="BHM1997" s="55"/>
      <c r="BHN1997" s="55"/>
      <c r="BHO1997" s="55"/>
      <c r="BHP1997" s="55"/>
      <c r="BHQ1997" s="55"/>
      <c r="BHR1997" s="55"/>
      <c r="BHS1997" s="55"/>
      <c r="BHT1997" s="55"/>
      <c r="BHU1997" s="55"/>
      <c r="BHV1997" s="55"/>
      <c r="BHW1997" s="55"/>
      <c r="BHX1997" s="55"/>
      <c r="BHY1997" s="55"/>
      <c r="BHZ1997" s="55"/>
      <c r="BIA1997" s="55"/>
      <c r="BIB1997" s="55"/>
      <c r="BIC1997" s="55"/>
      <c r="BID1997" s="55"/>
      <c r="BIE1997" s="55"/>
      <c r="BIF1997" s="55"/>
      <c r="BIG1997" s="55"/>
      <c r="BIH1997" s="55"/>
      <c r="BII1997" s="55"/>
      <c r="BIJ1997" s="55"/>
      <c r="BIK1997" s="55"/>
      <c r="BIL1997" s="55"/>
      <c r="BIM1997" s="55"/>
      <c r="BIN1997" s="55"/>
      <c r="BIO1997" s="55"/>
      <c r="BIP1997" s="55"/>
      <c r="BIQ1997" s="55"/>
      <c r="BIR1997" s="55"/>
      <c r="BIS1997" s="55"/>
      <c r="BIT1997" s="55"/>
      <c r="BIU1997" s="55"/>
      <c r="BIV1997" s="55"/>
      <c r="BIW1997" s="55"/>
      <c r="BIX1997" s="55"/>
      <c r="BIY1997" s="55"/>
      <c r="BIZ1997" s="55"/>
      <c r="BJA1997" s="55"/>
      <c r="BJB1997" s="55"/>
      <c r="BJC1997" s="55"/>
      <c r="BJD1997" s="55"/>
      <c r="BJE1997" s="55"/>
      <c r="BJF1997" s="55"/>
      <c r="BJG1997" s="55"/>
      <c r="BJH1997" s="55"/>
      <c r="BJI1997" s="55"/>
      <c r="BJJ1997" s="55"/>
      <c r="BJK1997" s="55"/>
      <c r="BJL1997" s="55"/>
      <c r="BJM1997" s="55"/>
      <c r="BJN1997" s="55"/>
      <c r="BJO1997" s="55"/>
      <c r="BJP1997" s="55"/>
      <c r="BJQ1997" s="55"/>
      <c r="BJR1997" s="55"/>
      <c r="BJS1997" s="55"/>
      <c r="BJT1997" s="55"/>
      <c r="BJU1997" s="55"/>
      <c r="BJV1997" s="55"/>
      <c r="BJW1997" s="55"/>
      <c r="BJX1997" s="55"/>
      <c r="BJY1997" s="55"/>
      <c r="BJZ1997" s="55"/>
      <c r="BKA1997" s="55"/>
      <c r="BKB1997" s="55"/>
      <c r="BKC1997" s="55"/>
      <c r="BKD1997" s="55"/>
      <c r="BKE1997" s="55"/>
      <c r="BKF1997" s="55"/>
      <c r="BKG1997" s="55"/>
      <c r="BKH1997" s="55"/>
      <c r="BKI1997" s="55"/>
      <c r="BKJ1997" s="55"/>
      <c r="BKK1997" s="55"/>
      <c r="BKL1997" s="55"/>
      <c r="BKM1997" s="55"/>
      <c r="BKN1997" s="55"/>
      <c r="BKO1997" s="55"/>
      <c r="BKP1997" s="55"/>
      <c r="BKQ1997" s="55"/>
      <c r="BKR1997" s="55"/>
      <c r="BKS1997" s="55"/>
      <c r="BKT1997" s="55"/>
      <c r="BKU1997" s="55"/>
      <c r="BKV1997" s="55"/>
      <c r="BKW1997" s="55"/>
      <c r="BKX1997" s="55"/>
      <c r="BKY1997" s="55"/>
      <c r="BKZ1997" s="55"/>
      <c r="BLA1997" s="55"/>
      <c r="BLB1997" s="55"/>
      <c r="BLC1997" s="55"/>
      <c r="BLD1997" s="55"/>
      <c r="BLE1997" s="55"/>
      <c r="BLF1997" s="55"/>
      <c r="BLG1997" s="55"/>
      <c r="BLH1997" s="55"/>
      <c r="BLI1997" s="55"/>
      <c r="BLJ1997" s="55"/>
      <c r="BLK1997" s="55"/>
      <c r="BLL1997" s="55"/>
      <c r="BLM1997" s="55"/>
      <c r="BLN1997" s="55"/>
      <c r="BLO1997" s="55"/>
      <c r="BLP1997" s="55"/>
      <c r="BLQ1997" s="55"/>
      <c r="BLR1997" s="55"/>
      <c r="BLS1997" s="55"/>
      <c r="BLT1997" s="55"/>
      <c r="BLU1997" s="55"/>
      <c r="BLV1997" s="55"/>
      <c r="BLW1997" s="55"/>
      <c r="BLX1997" s="55"/>
      <c r="BLY1997" s="55"/>
      <c r="BLZ1997" s="55"/>
      <c r="BMA1997" s="55"/>
      <c r="BMB1997" s="55"/>
      <c r="BMC1997" s="55"/>
      <c r="BMD1997" s="55"/>
      <c r="BME1997" s="55"/>
      <c r="BMF1997" s="55"/>
      <c r="BMG1997" s="55"/>
      <c r="BMH1997" s="55"/>
      <c r="BMI1997" s="55"/>
      <c r="BMJ1997" s="55"/>
      <c r="BMK1997" s="55"/>
      <c r="BML1997" s="55"/>
      <c r="BMM1997" s="55"/>
      <c r="BMN1997" s="55"/>
      <c r="BMO1997" s="55"/>
      <c r="BMP1997" s="55"/>
      <c r="BMQ1997" s="55"/>
      <c r="BMR1997" s="55"/>
      <c r="BMS1997" s="55"/>
      <c r="BMT1997" s="55"/>
      <c r="BMU1997" s="55"/>
      <c r="BMV1997" s="55"/>
      <c r="BMW1997" s="55"/>
      <c r="BMX1997" s="55"/>
      <c r="BMY1997" s="55"/>
      <c r="BMZ1997" s="55"/>
      <c r="BNA1997" s="55"/>
      <c r="BNB1997" s="55"/>
      <c r="BNC1997" s="55"/>
      <c r="BND1997" s="55"/>
      <c r="BNE1997" s="55"/>
      <c r="BNF1997" s="55"/>
      <c r="BNG1997" s="55"/>
      <c r="BNH1997" s="55"/>
      <c r="BNI1997" s="55"/>
      <c r="BNJ1997" s="55"/>
      <c r="BNK1997" s="55"/>
      <c r="BNL1997" s="55"/>
      <c r="BNM1997" s="55"/>
      <c r="BNN1997" s="55"/>
      <c r="BNO1997" s="55"/>
      <c r="BNP1997" s="55"/>
      <c r="BNQ1997" s="55"/>
      <c r="BNR1997" s="55"/>
      <c r="BNS1997" s="55"/>
      <c r="BNT1997" s="55"/>
      <c r="BNU1997" s="55"/>
      <c r="BNV1997" s="55"/>
      <c r="BNW1997" s="55"/>
      <c r="BNX1997" s="55"/>
      <c r="BNY1997" s="55"/>
      <c r="BNZ1997" s="55"/>
      <c r="BOA1997" s="55"/>
      <c r="BOB1997" s="55"/>
      <c r="BOC1997" s="55"/>
      <c r="BOD1997" s="55"/>
      <c r="BOE1997" s="55"/>
      <c r="BOF1997" s="55"/>
      <c r="BOG1997" s="55"/>
      <c r="BOH1997" s="55"/>
      <c r="BOI1997" s="55"/>
      <c r="BOJ1997" s="55"/>
      <c r="BOK1997" s="55"/>
      <c r="BOL1997" s="55"/>
      <c r="BOM1997" s="55"/>
      <c r="BON1997" s="55"/>
      <c r="BOO1997" s="55"/>
      <c r="BOP1997" s="55"/>
      <c r="BOQ1997" s="55"/>
      <c r="BOR1997" s="55"/>
      <c r="BOS1997" s="55"/>
      <c r="BOT1997" s="55"/>
      <c r="BOU1997" s="55"/>
      <c r="BOV1997" s="55"/>
      <c r="BOW1997" s="55"/>
      <c r="BOX1997" s="55"/>
      <c r="BOY1997" s="55"/>
      <c r="BOZ1997" s="55"/>
      <c r="BPA1997" s="55"/>
      <c r="BPB1997" s="55"/>
      <c r="BPC1997" s="55"/>
      <c r="BPD1997" s="55"/>
      <c r="BPE1997" s="55"/>
      <c r="BPF1997" s="55"/>
      <c r="BPG1997" s="55"/>
      <c r="BPH1997" s="55"/>
      <c r="BPI1997" s="55"/>
      <c r="BPJ1997" s="55"/>
      <c r="BPK1997" s="55"/>
      <c r="BPL1997" s="55"/>
      <c r="BPM1997" s="55"/>
      <c r="BPN1997" s="55"/>
      <c r="BPO1997" s="55"/>
      <c r="BPP1997" s="55"/>
      <c r="BPQ1997" s="55"/>
      <c r="BPR1997" s="55"/>
      <c r="BPS1997" s="55"/>
      <c r="BPT1997" s="55"/>
      <c r="BPU1997" s="55"/>
      <c r="BPV1997" s="55"/>
      <c r="BPW1997" s="55"/>
      <c r="BPX1997" s="55"/>
      <c r="BPY1997" s="55"/>
      <c r="BPZ1997" s="55"/>
      <c r="BQA1997" s="55"/>
      <c r="BQB1997" s="55"/>
      <c r="BQC1997" s="55"/>
      <c r="BQD1997" s="55"/>
      <c r="BQE1997" s="55"/>
      <c r="BQF1997" s="55"/>
      <c r="BQG1997" s="55"/>
      <c r="BQH1997" s="55"/>
      <c r="BQI1997" s="55"/>
      <c r="BQJ1997" s="55"/>
      <c r="BQK1997" s="55"/>
      <c r="BQL1997" s="55"/>
      <c r="BQM1997" s="55"/>
      <c r="BQN1997" s="55"/>
      <c r="BQO1997" s="55"/>
      <c r="BQP1997" s="55"/>
      <c r="BQQ1997" s="55"/>
      <c r="BQR1997" s="55"/>
      <c r="BQS1997" s="55"/>
      <c r="BQT1997" s="55"/>
      <c r="BQU1997" s="55"/>
      <c r="BQV1997" s="55"/>
      <c r="BQW1997" s="55"/>
      <c r="BQX1997" s="55"/>
      <c r="BQY1997" s="55"/>
      <c r="BQZ1997" s="55"/>
      <c r="BRA1997" s="55"/>
      <c r="BRB1997" s="55"/>
      <c r="BRC1997" s="55"/>
      <c r="BRD1997" s="55"/>
      <c r="BRE1997" s="55"/>
      <c r="BRF1997" s="55"/>
      <c r="BRG1997" s="55"/>
      <c r="BRH1997" s="55"/>
      <c r="BRI1997" s="55"/>
      <c r="BRJ1997" s="55"/>
      <c r="BRK1997" s="55"/>
      <c r="BRL1997" s="55"/>
      <c r="BRM1997" s="55"/>
      <c r="BRN1997" s="55"/>
      <c r="BRO1997" s="55"/>
      <c r="BRP1997" s="55"/>
      <c r="BRQ1997" s="55"/>
      <c r="BRR1997" s="55"/>
      <c r="BRS1997" s="55"/>
      <c r="BRT1997" s="55"/>
      <c r="BRU1997" s="55"/>
      <c r="BRV1997" s="55"/>
      <c r="BRW1997" s="55"/>
      <c r="BRX1997" s="55"/>
      <c r="BRY1997" s="55"/>
      <c r="BRZ1997" s="55"/>
      <c r="BSA1997" s="55"/>
      <c r="BSB1997" s="55"/>
      <c r="BSC1997" s="55"/>
      <c r="BSD1997" s="55"/>
      <c r="BSE1997" s="55"/>
      <c r="BSF1997" s="55"/>
      <c r="BSG1997" s="55"/>
      <c r="BSH1997" s="55"/>
      <c r="BSI1997" s="55"/>
      <c r="BSJ1997" s="55"/>
      <c r="BSK1997" s="55"/>
      <c r="BSL1997" s="55"/>
      <c r="BSM1997" s="55"/>
      <c r="BSN1997" s="55"/>
      <c r="BSO1997" s="55"/>
      <c r="BSP1997" s="55"/>
      <c r="BSQ1997" s="55"/>
      <c r="BSR1997" s="55"/>
      <c r="BSS1997" s="55"/>
      <c r="BST1997" s="55"/>
      <c r="BSU1997" s="55"/>
      <c r="BSV1997" s="55"/>
      <c r="BSW1997" s="55"/>
      <c r="BSX1997" s="55"/>
      <c r="BSY1997" s="55"/>
      <c r="BSZ1997" s="55"/>
      <c r="BTA1997" s="55"/>
      <c r="BTB1997" s="55"/>
      <c r="BTC1997" s="55"/>
      <c r="BTD1997" s="55"/>
      <c r="BTE1997" s="55"/>
      <c r="BTF1997" s="55"/>
      <c r="BTG1997" s="55"/>
      <c r="BTH1997" s="55"/>
      <c r="BTI1997" s="55"/>
      <c r="BTJ1997" s="55"/>
      <c r="BTK1997" s="55"/>
      <c r="BTL1997" s="55"/>
      <c r="BTM1997" s="55"/>
      <c r="BTN1997" s="55"/>
      <c r="BTO1997" s="55"/>
      <c r="BTP1997" s="55"/>
      <c r="BTQ1997" s="55"/>
      <c r="BTR1997" s="55"/>
      <c r="BTS1997" s="55"/>
      <c r="BTT1997" s="55"/>
      <c r="BTU1997" s="55"/>
      <c r="BTV1997" s="55"/>
      <c r="BTW1997" s="55"/>
      <c r="BTX1997" s="55"/>
      <c r="BTY1997" s="55"/>
      <c r="BTZ1997" s="55"/>
      <c r="BUA1997" s="55"/>
      <c r="BUB1997" s="55"/>
      <c r="BUC1997" s="55"/>
      <c r="BUD1997" s="55"/>
      <c r="BUE1997" s="55"/>
      <c r="BUF1997" s="55"/>
      <c r="BUG1997" s="55"/>
      <c r="BUH1997" s="55"/>
      <c r="BUI1997" s="55"/>
      <c r="BUJ1997" s="55"/>
      <c r="BUK1997" s="55"/>
      <c r="BUL1997" s="55"/>
      <c r="BUM1997" s="55"/>
      <c r="BUN1997" s="55"/>
      <c r="BUO1997" s="55"/>
      <c r="BUP1997" s="55"/>
      <c r="BUQ1997" s="55"/>
      <c r="BUR1997" s="55"/>
      <c r="BUS1997" s="55"/>
      <c r="BUT1997" s="55"/>
      <c r="BUU1997" s="55"/>
      <c r="BUV1997" s="55"/>
      <c r="BUW1997" s="55"/>
      <c r="BUX1997" s="55"/>
      <c r="BUY1997" s="55"/>
      <c r="BUZ1997" s="55"/>
      <c r="BVA1997" s="55"/>
      <c r="BVB1997" s="55"/>
      <c r="BVC1997" s="55"/>
      <c r="BVD1997" s="55"/>
      <c r="BVE1997" s="55"/>
      <c r="BVF1997" s="55"/>
      <c r="BVG1997" s="55"/>
      <c r="BVH1997" s="55"/>
      <c r="BVI1997" s="55"/>
      <c r="BVJ1997" s="55"/>
      <c r="BVK1997" s="55"/>
      <c r="BVL1997" s="55"/>
      <c r="BVM1997" s="55"/>
      <c r="BVN1997" s="55"/>
      <c r="BVO1997" s="55"/>
      <c r="BVP1997" s="55"/>
      <c r="BVQ1997" s="55"/>
      <c r="BVR1997" s="55"/>
      <c r="BVS1997" s="55"/>
      <c r="BVT1997" s="55"/>
      <c r="BVU1997" s="55"/>
      <c r="BVV1997" s="55"/>
      <c r="BVW1997" s="55"/>
      <c r="BVX1997" s="55"/>
      <c r="BVY1997" s="55"/>
      <c r="BVZ1997" s="55"/>
      <c r="BWA1997" s="55"/>
      <c r="BWB1997" s="55"/>
      <c r="BWC1997" s="55"/>
      <c r="BWD1997" s="55"/>
      <c r="BWE1997" s="55"/>
      <c r="BWF1997" s="55"/>
      <c r="BWG1997" s="55"/>
      <c r="BWH1997" s="55"/>
      <c r="BWI1997" s="55"/>
      <c r="BWJ1997" s="55"/>
      <c r="BWK1997" s="55"/>
      <c r="BWL1997" s="55"/>
      <c r="BWM1997" s="55"/>
      <c r="BWN1997" s="55"/>
      <c r="BWO1997" s="55"/>
      <c r="BWP1997" s="55"/>
      <c r="BWQ1997" s="55"/>
      <c r="BWR1997" s="55"/>
      <c r="BWS1997" s="55"/>
      <c r="BWT1997" s="55"/>
      <c r="BWU1997" s="55"/>
      <c r="BWV1997" s="55"/>
      <c r="BWW1997" s="55"/>
      <c r="BWX1997" s="55"/>
      <c r="BWY1997" s="55"/>
      <c r="BWZ1997" s="55"/>
      <c r="BXA1997" s="55"/>
      <c r="BXB1997" s="55"/>
      <c r="BXC1997" s="55"/>
      <c r="BXD1997" s="55"/>
      <c r="BXE1997" s="55"/>
      <c r="BXF1997" s="55"/>
      <c r="BXG1997" s="55"/>
      <c r="BXH1997" s="55"/>
      <c r="BXI1997" s="55"/>
      <c r="BXJ1997" s="55"/>
      <c r="BXK1997" s="55"/>
      <c r="BXL1997" s="55"/>
      <c r="BXM1997" s="55"/>
      <c r="BXN1997" s="55"/>
      <c r="BXO1997" s="55"/>
      <c r="BXP1997" s="55"/>
      <c r="BXQ1997" s="55"/>
      <c r="BXR1997" s="55"/>
      <c r="BXS1997" s="55"/>
      <c r="BXT1997" s="55"/>
      <c r="BXU1997" s="55"/>
      <c r="BXV1997" s="55"/>
      <c r="BXW1997" s="55"/>
      <c r="BXX1997" s="55"/>
      <c r="BXY1997" s="55"/>
      <c r="BXZ1997" s="55"/>
      <c r="BYA1997" s="55"/>
      <c r="BYB1997" s="55"/>
      <c r="BYC1997" s="55"/>
      <c r="BYD1997" s="55"/>
      <c r="BYE1997" s="55"/>
      <c r="BYF1997" s="55"/>
      <c r="BYG1997" s="55"/>
      <c r="BYH1997" s="55"/>
      <c r="BYI1997" s="55"/>
      <c r="BYJ1997" s="55"/>
      <c r="BYK1997" s="55"/>
      <c r="BYL1997" s="55"/>
      <c r="BYM1997" s="55"/>
      <c r="BYN1997" s="55"/>
      <c r="BYO1997" s="55"/>
      <c r="BYP1997" s="55"/>
      <c r="BYQ1997" s="55"/>
      <c r="BYR1997" s="55"/>
      <c r="BYS1997" s="55"/>
      <c r="BYT1997" s="55"/>
      <c r="BYU1997" s="55"/>
      <c r="BYV1997" s="55"/>
      <c r="BYW1997" s="55"/>
      <c r="BYX1997" s="55"/>
      <c r="BYY1997" s="55"/>
      <c r="BYZ1997" s="55"/>
      <c r="BZA1997" s="55"/>
      <c r="BZB1997" s="55"/>
      <c r="BZC1997" s="55"/>
      <c r="BZD1997" s="55"/>
      <c r="BZE1997" s="55"/>
      <c r="BZF1997" s="55"/>
      <c r="BZG1997" s="55"/>
      <c r="BZH1997" s="55"/>
      <c r="BZI1997" s="55"/>
      <c r="BZJ1997" s="55"/>
      <c r="BZK1997" s="55"/>
      <c r="BZL1997" s="55"/>
      <c r="BZM1997" s="55"/>
      <c r="BZN1997" s="55"/>
      <c r="BZO1997" s="55"/>
      <c r="BZP1997" s="55"/>
      <c r="BZQ1997" s="55"/>
      <c r="BZR1997" s="55"/>
      <c r="BZS1997" s="55"/>
      <c r="BZT1997" s="55"/>
      <c r="BZU1997" s="55"/>
      <c r="BZV1997" s="55"/>
      <c r="BZW1997" s="55"/>
      <c r="BZX1997" s="55"/>
      <c r="BZY1997" s="55"/>
      <c r="BZZ1997" s="55"/>
      <c r="CAA1997" s="55"/>
      <c r="CAB1997" s="55"/>
      <c r="CAC1997" s="55"/>
      <c r="CAD1997" s="55"/>
      <c r="CAE1997" s="55"/>
      <c r="CAF1997" s="55"/>
      <c r="CAG1997" s="55"/>
      <c r="CAH1997" s="55"/>
      <c r="CAI1997" s="55"/>
      <c r="CAJ1997" s="55"/>
      <c r="CAK1997" s="55"/>
      <c r="CAL1997" s="55"/>
      <c r="CAM1997" s="55"/>
      <c r="CAN1997" s="55"/>
      <c r="CAO1997" s="55"/>
      <c r="CAP1997" s="55"/>
      <c r="CAQ1997" s="55"/>
      <c r="CAR1997" s="55"/>
      <c r="CAS1997" s="55"/>
      <c r="CAT1997" s="55"/>
      <c r="CAU1997" s="55"/>
      <c r="CAV1997" s="55"/>
      <c r="CAW1997" s="55"/>
      <c r="CAX1997" s="55"/>
      <c r="CAY1997" s="55"/>
      <c r="CAZ1997" s="55"/>
      <c r="CBA1997" s="55"/>
      <c r="CBB1997" s="55"/>
      <c r="CBC1997" s="55"/>
      <c r="CBD1997" s="55"/>
      <c r="CBE1997" s="55"/>
      <c r="CBF1997" s="55"/>
      <c r="CBG1997" s="55"/>
      <c r="CBH1997" s="55"/>
      <c r="CBI1997" s="55"/>
      <c r="CBJ1997" s="55"/>
      <c r="CBK1997" s="55"/>
      <c r="CBL1997" s="55"/>
      <c r="CBM1997" s="55"/>
      <c r="CBN1997" s="55"/>
      <c r="CBO1997" s="55"/>
      <c r="CBP1997" s="55"/>
      <c r="CBQ1997" s="55"/>
      <c r="CBR1997" s="55"/>
      <c r="CBS1997" s="55"/>
      <c r="CBT1997" s="55"/>
      <c r="CBU1997" s="55"/>
      <c r="CBV1997" s="55"/>
      <c r="CBW1997" s="55"/>
      <c r="CBX1997" s="55"/>
      <c r="CBY1997" s="55"/>
      <c r="CBZ1997" s="55"/>
      <c r="CCA1997" s="55"/>
      <c r="CCB1997" s="55"/>
      <c r="CCC1997" s="55"/>
      <c r="CCD1997" s="55"/>
      <c r="CCE1997" s="55"/>
      <c r="CCF1997" s="55"/>
      <c r="CCG1997" s="55"/>
      <c r="CCH1997" s="55"/>
      <c r="CCI1997" s="55"/>
      <c r="CCJ1997" s="55"/>
      <c r="CCK1997" s="55"/>
      <c r="CCL1997" s="55"/>
      <c r="CCM1997" s="55"/>
      <c r="CCN1997" s="55"/>
      <c r="CCO1997" s="55"/>
      <c r="CCP1997" s="55"/>
      <c r="CCQ1997" s="55"/>
      <c r="CCR1997" s="55"/>
      <c r="CCS1997" s="55"/>
      <c r="CCT1997" s="55"/>
      <c r="CCU1997" s="55"/>
      <c r="CCV1997" s="55"/>
      <c r="CCW1997" s="55"/>
      <c r="CCX1997" s="55"/>
      <c r="CCY1997" s="55"/>
      <c r="CCZ1997" s="55"/>
      <c r="CDA1997" s="55"/>
      <c r="CDB1997" s="55"/>
      <c r="CDC1997" s="55"/>
      <c r="CDD1997" s="55"/>
      <c r="CDE1997" s="55"/>
      <c r="CDF1997" s="55"/>
      <c r="CDG1997" s="55"/>
      <c r="CDH1997" s="55"/>
      <c r="CDI1997" s="55"/>
      <c r="CDJ1997" s="55"/>
      <c r="CDK1997" s="55"/>
      <c r="CDL1997" s="55"/>
      <c r="CDM1997" s="55"/>
      <c r="CDN1997" s="55"/>
      <c r="CDO1997" s="55"/>
      <c r="CDP1997" s="55"/>
      <c r="CDQ1997" s="55"/>
      <c r="CDR1997" s="55"/>
      <c r="CDS1997" s="55"/>
      <c r="CDT1997" s="55"/>
      <c r="CDU1997" s="55"/>
      <c r="CDV1997" s="55"/>
      <c r="CDW1997" s="55"/>
      <c r="CDX1997" s="55"/>
      <c r="CDY1997" s="55"/>
      <c r="CDZ1997" s="55"/>
      <c r="CEA1997" s="55"/>
      <c r="CEB1997" s="55"/>
      <c r="CEC1997" s="55"/>
      <c r="CED1997" s="55"/>
      <c r="CEE1997" s="55"/>
      <c r="CEF1997" s="55"/>
      <c r="CEG1997" s="55"/>
      <c r="CEH1997" s="55"/>
      <c r="CEI1997" s="55"/>
      <c r="CEJ1997" s="55"/>
      <c r="CEK1997" s="55"/>
      <c r="CEL1997" s="55"/>
      <c r="CEM1997" s="55"/>
      <c r="CEN1997" s="55"/>
      <c r="CEO1997" s="55"/>
      <c r="CEP1997" s="55"/>
      <c r="CEQ1997" s="55"/>
      <c r="CER1997" s="55"/>
      <c r="CES1997" s="55"/>
      <c r="CET1997" s="55"/>
      <c r="CEU1997" s="55"/>
      <c r="CEV1997" s="55"/>
      <c r="CEW1997" s="55"/>
      <c r="CEX1997" s="55"/>
      <c r="CEY1997" s="55"/>
      <c r="CEZ1997" s="55"/>
      <c r="CFA1997" s="55"/>
      <c r="CFB1997" s="55"/>
      <c r="CFC1997" s="55"/>
      <c r="CFD1997" s="55"/>
      <c r="CFE1997" s="55"/>
      <c r="CFF1997" s="55"/>
      <c r="CFG1997" s="55"/>
      <c r="CFH1997" s="55"/>
      <c r="CFI1997" s="55"/>
      <c r="CFJ1997" s="55"/>
      <c r="CFK1997" s="55"/>
      <c r="CFL1997" s="55"/>
      <c r="CFM1997" s="55"/>
      <c r="CFN1997" s="55"/>
      <c r="CFO1997" s="55"/>
      <c r="CFP1997" s="55"/>
      <c r="CFQ1997" s="55"/>
      <c r="CFR1997" s="55"/>
      <c r="CFS1997" s="55"/>
      <c r="CFT1997" s="55"/>
      <c r="CFU1997" s="55"/>
      <c r="CFV1997" s="55"/>
      <c r="CFW1997" s="55"/>
      <c r="CFX1997" s="55"/>
      <c r="CFY1997" s="55"/>
      <c r="CFZ1997" s="55"/>
      <c r="CGA1997" s="55"/>
      <c r="CGB1997" s="55"/>
      <c r="CGC1997" s="55"/>
      <c r="CGD1997" s="55"/>
      <c r="CGE1997" s="55"/>
      <c r="CGF1997" s="55"/>
      <c r="CGG1997" s="55"/>
      <c r="CGH1997" s="55"/>
      <c r="CGI1997" s="55"/>
      <c r="CGJ1997" s="55"/>
      <c r="CGK1997" s="55"/>
      <c r="CGL1997" s="55"/>
      <c r="CGM1997" s="55"/>
      <c r="CGN1997" s="55"/>
      <c r="CGO1997" s="55"/>
      <c r="CGP1997" s="55"/>
      <c r="CGQ1997" s="55"/>
      <c r="CGR1997" s="55"/>
      <c r="CGS1997" s="55"/>
      <c r="CGT1997" s="55"/>
      <c r="CGU1997" s="55"/>
      <c r="CGV1997" s="55"/>
      <c r="CGW1997" s="55"/>
      <c r="CGX1997" s="55"/>
      <c r="CGY1997" s="55"/>
      <c r="CGZ1997" s="55"/>
      <c r="CHA1997" s="55"/>
      <c r="CHB1997" s="55"/>
      <c r="CHC1997" s="55"/>
      <c r="CHD1997" s="55"/>
      <c r="CHE1997" s="55"/>
      <c r="CHF1997" s="55"/>
      <c r="CHG1997" s="55"/>
      <c r="CHH1997" s="55"/>
      <c r="CHI1997" s="55"/>
      <c r="CHJ1997" s="55"/>
      <c r="CHK1997" s="55"/>
      <c r="CHL1997" s="55"/>
      <c r="CHM1997" s="55"/>
      <c r="CHN1997" s="55"/>
      <c r="CHO1997" s="55"/>
      <c r="CHP1997" s="55"/>
      <c r="CHQ1997" s="55"/>
      <c r="CHR1997" s="55"/>
      <c r="CHS1997" s="55"/>
      <c r="CHT1997" s="55"/>
      <c r="CHU1997" s="55"/>
      <c r="CHV1997" s="55"/>
      <c r="CHW1997" s="55"/>
      <c r="CHX1997" s="55"/>
      <c r="CHY1997" s="55"/>
      <c r="CHZ1997" s="55"/>
      <c r="CIA1997" s="55"/>
      <c r="CIB1997" s="55"/>
      <c r="CIC1997" s="55"/>
      <c r="CID1997" s="55"/>
      <c r="CIE1997" s="55"/>
      <c r="CIF1997" s="55"/>
      <c r="CIG1997" s="55"/>
      <c r="CIH1997" s="55"/>
      <c r="CII1997" s="55"/>
      <c r="CIJ1997" s="55"/>
      <c r="CIK1997" s="55"/>
      <c r="CIL1997" s="55"/>
      <c r="CIM1997" s="55"/>
      <c r="CIN1997" s="55"/>
      <c r="CIO1997" s="55"/>
      <c r="CIP1997" s="55"/>
      <c r="CIQ1997" s="55"/>
      <c r="CIR1997" s="55"/>
      <c r="CIS1997" s="55"/>
      <c r="CIT1997" s="55"/>
      <c r="CIU1997" s="55"/>
      <c r="CIV1997" s="55"/>
      <c r="CIW1997" s="55"/>
      <c r="CIX1997" s="55"/>
      <c r="CIY1997" s="55"/>
      <c r="CIZ1997" s="55"/>
      <c r="CJA1997" s="55"/>
      <c r="CJB1997" s="55"/>
      <c r="CJC1997" s="55"/>
      <c r="CJD1997" s="55"/>
      <c r="CJE1997" s="55"/>
      <c r="CJF1997" s="55"/>
      <c r="CJG1997" s="55"/>
      <c r="CJH1997" s="55"/>
      <c r="CJI1997" s="55"/>
      <c r="CJJ1997" s="55"/>
      <c r="CJK1997" s="55"/>
      <c r="CJL1997" s="55"/>
      <c r="CJM1997" s="55"/>
      <c r="CJN1997" s="55"/>
      <c r="CJO1997" s="55"/>
      <c r="CJP1997" s="55"/>
      <c r="CJQ1997" s="55"/>
      <c r="CJR1997" s="55"/>
      <c r="CJS1997" s="55"/>
      <c r="CJT1997" s="55"/>
      <c r="CJU1997" s="55"/>
      <c r="CJV1997" s="55"/>
      <c r="CJW1997" s="55"/>
      <c r="CJX1997" s="55"/>
      <c r="CJY1997" s="55"/>
      <c r="CJZ1997" s="55"/>
      <c r="CKA1997" s="55"/>
      <c r="CKB1997" s="55"/>
      <c r="CKC1997" s="55"/>
      <c r="CKD1997" s="55"/>
      <c r="CKE1997" s="55"/>
      <c r="CKF1997" s="55"/>
      <c r="CKG1997" s="55"/>
      <c r="CKH1997" s="55"/>
      <c r="CKI1997" s="55"/>
      <c r="CKJ1997" s="55"/>
      <c r="CKK1997" s="55"/>
      <c r="CKL1997" s="55"/>
      <c r="CKM1997" s="55"/>
      <c r="CKN1997" s="55"/>
      <c r="CKO1997" s="55"/>
      <c r="CKP1997" s="55"/>
      <c r="CKQ1997" s="55"/>
      <c r="CKR1997" s="55"/>
      <c r="CKS1997" s="55"/>
      <c r="CKT1997" s="55"/>
      <c r="CKU1997" s="55"/>
      <c r="CKV1997" s="55"/>
      <c r="CKW1997" s="55"/>
      <c r="CKX1997" s="55"/>
      <c r="CKY1997" s="55"/>
      <c r="CKZ1997" s="55"/>
      <c r="CLA1997" s="55"/>
      <c r="CLB1997" s="55"/>
      <c r="CLC1997" s="55"/>
      <c r="CLD1997" s="55"/>
      <c r="CLE1997" s="55"/>
      <c r="CLF1997" s="55"/>
      <c r="CLG1997" s="55"/>
      <c r="CLH1997" s="55"/>
      <c r="CLI1997" s="55"/>
      <c r="CLJ1997" s="55"/>
      <c r="CLK1997" s="55"/>
      <c r="CLL1997" s="55"/>
      <c r="CLM1997" s="55"/>
      <c r="CLN1997" s="55"/>
      <c r="CLO1997" s="55"/>
      <c r="CLP1997" s="55"/>
      <c r="CLQ1997" s="55"/>
      <c r="CLR1997" s="55"/>
      <c r="CLS1997" s="55"/>
      <c r="CLT1997" s="55"/>
      <c r="CLU1997" s="55"/>
      <c r="CLV1997" s="55"/>
      <c r="CLW1997" s="55"/>
      <c r="CLX1997" s="55"/>
      <c r="CLY1997" s="55"/>
      <c r="CLZ1997" s="55"/>
      <c r="CMA1997" s="55"/>
      <c r="CMB1997" s="55"/>
      <c r="CMC1997" s="55"/>
      <c r="CMD1997" s="55"/>
      <c r="CME1997" s="55"/>
      <c r="CMF1997" s="55"/>
      <c r="CMG1997" s="55"/>
      <c r="CMH1997" s="55"/>
      <c r="CMI1997" s="55"/>
      <c r="CMJ1997" s="55"/>
      <c r="CMK1997" s="55"/>
      <c r="CML1997" s="55"/>
      <c r="CMM1997" s="55"/>
      <c r="CMN1997" s="55"/>
      <c r="CMO1997" s="55"/>
      <c r="CMP1997" s="55"/>
      <c r="CMQ1997" s="55"/>
      <c r="CMR1997" s="55"/>
      <c r="CMS1997" s="55"/>
      <c r="CMT1997" s="55"/>
      <c r="CMU1997" s="55"/>
      <c r="CMV1997" s="55"/>
      <c r="CMW1997" s="55"/>
      <c r="CMX1997" s="55"/>
      <c r="CMY1997" s="55"/>
      <c r="CMZ1997" s="55"/>
      <c r="CNA1997" s="55"/>
      <c r="CNB1997" s="55"/>
      <c r="CNC1997" s="55"/>
      <c r="CND1997" s="55"/>
      <c r="CNE1997" s="55"/>
      <c r="CNF1997" s="55"/>
      <c r="CNG1997" s="55"/>
      <c r="CNH1997" s="55"/>
      <c r="CNI1997" s="55"/>
      <c r="CNJ1997" s="55"/>
      <c r="CNK1997" s="55"/>
      <c r="CNL1997" s="55"/>
      <c r="CNM1997" s="55"/>
      <c r="CNN1997" s="55"/>
      <c r="CNO1997" s="55"/>
      <c r="CNP1997" s="55"/>
      <c r="CNQ1997" s="55"/>
      <c r="CNR1997" s="55"/>
      <c r="CNS1997" s="55"/>
      <c r="CNT1997" s="55"/>
      <c r="CNU1997" s="55"/>
      <c r="CNV1997" s="55"/>
      <c r="CNW1997" s="55"/>
      <c r="CNX1997" s="55"/>
      <c r="CNY1997" s="55"/>
      <c r="CNZ1997" s="55"/>
      <c r="COA1997" s="55"/>
      <c r="COB1997" s="55"/>
      <c r="COC1997" s="55"/>
      <c r="COD1997" s="55"/>
      <c r="COE1997" s="55"/>
      <c r="COF1997" s="55"/>
      <c r="COG1997" s="55"/>
      <c r="COH1997" s="55"/>
      <c r="COI1997" s="55"/>
      <c r="COJ1997" s="55"/>
      <c r="COK1997" s="55"/>
      <c r="COL1997" s="55"/>
      <c r="COM1997" s="55"/>
      <c r="CON1997" s="55"/>
      <c r="COO1997" s="55"/>
      <c r="COP1997" s="55"/>
      <c r="COQ1997" s="55"/>
      <c r="COR1997" s="55"/>
      <c r="COS1997" s="55"/>
      <c r="COT1997" s="55"/>
      <c r="COU1997" s="55"/>
      <c r="COV1997" s="55"/>
      <c r="COW1997" s="55"/>
      <c r="COX1997" s="55"/>
      <c r="COY1997" s="55"/>
      <c r="COZ1997" s="55"/>
      <c r="CPA1997" s="55"/>
      <c r="CPB1997" s="55"/>
      <c r="CPC1997" s="55"/>
      <c r="CPD1997" s="55"/>
      <c r="CPE1997" s="55"/>
      <c r="CPF1997" s="55"/>
      <c r="CPG1997" s="55"/>
      <c r="CPH1997" s="55"/>
      <c r="CPI1997" s="55"/>
      <c r="CPJ1997" s="55"/>
      <c r="CPK1997" s="55"/>
      <c r="CPL1997" s="55"/>
      <c r="CPM1997" s="55"/>
      <c r="CPN1997" s="55"/>
      <c r="CPO1997" s="55"/>
      <c r="CPP1997" s="55"/>
      <c r="CPQ1997" s="55"/>
      <c r="CPR1997" s="55"/>
      <c r="CPS1997" s="55"/>
      <c r="CPT1997" s="55"/>
      <c r="CPU1997" s="55"/>
      <c r="CPV1997" s="55"/>
      <c r="CPW1997" s="55"/>
      <c r="CPX1997" s="55"/>
      <c r="CPY1997" s="55"/>
      <c r="CPZ1997" s="55"/>
      <c r="CQA1997" s="55"/>
      <c r="CQB1997" s="55"/>
      <c r="CQC1997" s="55"/>
      <c r="CQD1997" s="55"/>
      <c r="CQE1997" s="55"/>
      <c r="CQF1997" s="55"/>
      <c r="CQG1997" s="55"/>
      <c r="CQH1997" s="55"/>
      <c r="CQI1997" s="55"/>
      <c r="CQJ1997" s="55"/>
      <c r="CQK1997" s="55"/>
      <c r="CQL1997" s="55"/>
      <c r="CQM1997" s="55"/>
      <c r="CQN1997" s="55"/>
      <c r="CQO1997" s="55"/>
      <c r="CQP1997" s="55"/>
      <c r="CQQ1997" s="55"/>
      <c r="CQR1997" s="55"/>
      <c r="CQS1997" s="55"/>
      <c r="CQT1997" s="55"/>
      <c r="CQU1997" s="55"/>
      <c r="CQV1997" s="55"/>
      <c r="CQW1997" s="55"/>
      <c r="CQX1997" s="55"/>
      <c r="CQY1997" s="55"/>
      <c r="CQZ1997" s="55"/>
      <c r="CRA1997" s="55"/>
      <c r="CRB1997" s="55"/>
      <c r="CRC1997" s="55"/>
      <c r="CRD1997" s="55"/>
      <c r="CRE1997" s="55"/>
      <c r="CRF1997" s="55"/>
      <c r="CRG1997" s="55"/>
      <c r="CRH1997" s="55"/>
      <c r="CRI1997" s="55"/>
      <c r="CRJ1997" s="55"/>
      <c r="CRK1997" s="55"/>
      <c r="CRL1997" s="55"/>
      <c r="CRM1997" s="55"/>
      <c r="CRN1997" s="55"/>
      <c r="CRO1997" s="55"/>
      <c r="CRP1997" s="55"/>
      <c r="CRQ1997" s="55"/>
      <c r="CRR1997" s="55"/>
      <c r="CRS1997" s="55"/>
      <c r="CRT1997" s="55"/>
      <c r="CRU1997" s="55"/>
      <c r="CRV1997" s="55"/>
      <c r="CRW1997" s="55"/>
      <c r="CRX1997" s="55"/>
      <c r="CRY1997" s="55"/>
      <c r="CRZ1997" s="55"/>
      <c r="CSA1997" s="55"/>
      <c r="CSB1997" s="55"/>
      <c r="CSC1997" s="55"/>
      <c r="CSD1997" s="55"/>
      <c r="CSE1997" s="55"/>
      <c r="CSF1997" s="55"/>
      <c r="CSG1997" s="55"/>
      <c r="CSH1997" s="55"/>
      <c r="CSI1997" s="55"/>
      <c r="CSJ1997" s="55"/>
      <c r="CSK1997" s="55"/>
      <c r="CSL1997" s="55"/>
      <c r="CSM1997" s="55"/>
      <c r="CSN1997" s="55"/>
      <c r="CSO1997" s="55"/>
      <c r="CSP1997" s="55"/>
      <c r="CSQ1997" s="55"/>
      <c r="CSR1997" s="55"/>
      <c r="CSS1997" s="55"/>
      <c r="CST1997" s="55"/>
      <c r="CSU1997" s="55"/>
      <c r="CSV1997" s="55"/>
      <c r="CSW1997" s="55"/>
      <c r="CSX1997" s="55"/>
      <c r="CSY1997" s="55"/>
      <c r="CSZ1997" s="55"/>
      <c r="CTA1997" s="55"/>
      <c r="CTB1997" s="55"/>
      <c r="CTC1997" s="55"/>
      <c r="CTD1997" s="55"/>
      <c r="CTE1997" s="55"/>
      <c r="CTF1997" s="55"/>
      <c r="CTG1997" s="55"/>
      <c r="CTH1997" s="55"/>
      <c r="CTI1997" s="55"/>
      <c r="CTJ1997" s="55"/>
      <c r="CTK1997" s="55"/>
      <c r="CTL1997" s="55"/>
      <c r="CTM1997" s="55"/>
      <c r="CTN1997" s="55"/>
      <c r="CTO1997" s="55"/>
      <c r="CTP1997" s="55"/>
      <c r="CTQ1997" s="55"/>
      <c r="CTR1997" s="55"/>
      <c r="CTS1997" s="55"/>
      <c r="CTT1997" s="55"/>
      <c r="CTU1997" s="55"/>
      <c r="CTV1997" s="55"/>
      <c r="CTW1997" s="55"/>
      <c r="CTX1997" s="55"/>
      <c r="CTY1997" s="55"/>
      <c r="CTZ1997" s="55"/>
      <c r="CUA1997" s="55"/>
      <c r="CUB1997" s="55"/>
      <c r="CUC1997" s="55"/>
      <c r="CUD1997" s="55"/>
      <c r="CUE1997" s="55"/>
      <c r="CUF1997" s="55"/>
      <c r="CUG1997" s="55"/>
      <c r="CUH1997" s="55"/>
      <c r="CUI1997" s="55"/>
      <c r="CUJ1997" s="55"/>
      <c r="CUK1997" s="55"/>
      <c r="CUL1997" s="55"/>
      <c r="CUM1997" s="55"/>
      <c r="CUN1997" s="55"/>
      <c r="CUO1997" s="55"/>
      <c r="CUP1997" s="55"/>
      <c r="CUQ1997" s="55"/>
      <c r="CUR1997" s="55"/>
      <c r="CUS1997" s="55"/>
      <c r="CUT1997" s="55"/>
      <c r="CUU1997" s="55"/>
      <c r="CUV1997" s="55"/>
      <c r="CUW1997" s="55"/>
      <c r="CUX1997" s="55"/>
      <c r="CUY1997" s="55"/>
      <c r="CUZ1997" s="55"/>
      <c r="CVA1997" s="55"/>
      <c r="CVB1997" s="55"/>
      <c r="CVC1997" s="55"/>
      <c r="CVD1997" s="55"/>
      <c r="CVE1997" s="55"/>
      <c r="CVF1997" s="55"/>
      <c r="CVG1997" s="55"/>
      <c r="CVH1997" s="55"/>
      <c r="CVI1997" s="55"/>
      <c r="CVJ1997" s="55"/>
      <c r="CVK1997" s="55"/>
      <c r="CVL1997" s="55"/>
      <c r="CVM1997" s="55"/>
      <c r="CVN1997" s="55"/>
      <c r="CVO1997" s="55"/>
      <c r="CVP1997" s="55"/>
      <c r="CVQ1997" s="55"/>
      <c r="CVR1997" s="55"/>
      <c r="CVS1997" s="55"/>
      <c r="CVT1997" s="55"/>
      <c r="CVU1997" s="55"/>
      <c r="CVV1997" s="55"/>
      <c r="CVW1997" s="55"/>
      <c r="CVX1997" s="55"/>
      <c r="CVY1997" s="55"/>
      <c r="CVZ1997" s="55"/>
      <c r="CWA1997" s="55"/>
      <c r="CWB1997" s="55"/>
      <c r="CWC1997" s="55"/>
      <c r="CWD1997" s="55"/>
      <c r="CWE1997" s="55"/>
      <c r="CWF1997" s="55"/>
      <c r="CWG1997" s="55"/>
      <c r="CWH1997" s="55"/>
      <c r="CWI1997" s="55"/>
      <c r="CWJ1997" s="55"/>
      <c r="CWK1997" s="55"/>
      <c r="CWL1997" s="55"/>
      <c r="CWM1997" s="55"/>
      <c r="CWN1997" s="55"/>
      <c r="CWO1997" s="55"/>
      <c r="CWP1997" s="55"/>
      <c r="CWQ1997" s="55"/>
      <c r="CWR1997" s="55"/>
      <c r="CWS1997" s="55"/>
      <c r="CWT1997" s="55"/>
      <c r="CWU1997" s="55"/>
      <c r="CWV1997" s="55"/>
      <c r="CWW1997" s="55"/>
      <c r="CWX1997" s="55"/>
      <c r="CWY1997" s="55"/>
      <c r="CWZ1997" s="55"/>
      <c r="CXA1997" s="55"/>
      <c r="CXB1997" s="55"/>
      <c r="CXC1997" s="55"/>
      <c r="CXD1997" s="55"/>
      <c r="CXE1997" s="55"/>
      <c r="CXF1997" s="55"/>
      <c r="CXG1997" s="55"/>
      <c r="CXH1997" s="55"/>
      <c r="CXI1997" s="55"/>
      <c r="CXJ1997" s="55"/>
      <c r="CXK1997" s="55"/>
      <c r="CXL1997" s="55"/>
      <c r="CXM1997" s="55"/>
      <c r="CXN1997" s="55"/>
      <c r="CXO1997" s="55"/>
      <c r="CXP1997" s="55"/>
      <c r="CXQ1997" s="55"/>
      <c r="CXR1997" s="55"/>
      <c r="CXS1997" s="55"/>
      <c r="CXT1997" s="55"/>
      <c r="CXU1997" s="55"/>
      <c r="CXV1997" s="55"/>
      <c r="CXW1997" s="55"/>
      <c r="CXX1997" s="55"/>
      <c r="CXY1997" s="55"/>
      <c r="CXZ1997" s="55"/>
      <c r="CYA1997" s="55"/>
      <c r="CYB1997" s="55"/>
      <c r="CYC1997" s="55"/>
      <c r="CYD1997" s="55"/>
      <c r="CYE1997" s="55"/>
      <c r="CYF1997" s="55"/>
      <c r="CYG1997" s="55"/>
      <c r="CYH1997" s="55"/>
      <c r="CYI1997" s="55"/>
      <c r="CYJ1997" s="55"/>
      <c r="CYK1997" s="55"/>
      <c r="CYL1997" s="55"/>
      <c r="CYM1997" s="55"/>
      <c r="CYN1997" s="55"/>
      <c r="CYO1997" s="55"/>
      <c r="CYP1997" s="55"/>
      <c r="CYQ1997" s="55"/>
      <c r="CYR1997" s="55"/>
      <c r="CYS1997" s="55"/>
      <c r="CYT1997" s="55"/>
      <c r="CYU1997" s="55"/>
      <c r="CYV1997" s="55"/>
      <c r="CYW1997" s="55"/>
      <c r="CYX1997" s="55"/>
      <c r="CYY1997" s="55"/>
      <c r="CYZ1997" s="55"/>
      <c r="CZA1997" s="55"/>
      <c r="CZB1997" s="55"/>
      <c r="CZC1997" s="55"/>
      <c r="CZD1997" s="55"/>
      <c r="CZE1997" s="55"/>
      <c r="CZF1997" s="55"/>
      <c r="CZG1997" s="55"/>
      <c r="CZH1997" s="55"/>
      <c r="CZI1997" s="55"/>
      <c r="CZJ1997" s="55"/>
      <c r="CZK1997" s="55"/>
      <c r="CZL1997" s="55"/>
      <c r="CZM1997" s="55"/>
      <c r="CZN1997" s="55"/>
      <c r="CZO1997" s="55"/>
      <c r="CZP1997" s="55"/>
      <c r="CZQ1997" s="55"/>
      <c r="CZR1997" s="55"/>
      <c r="CZS1997" s="55"/>
      <c r="CZT1997" s="55"/>
      <c r="CZU1997" s="55"/>
      <c r="CZV1997" s="55"/>
      <c r="CZW1997" s="55"/>
      <c r="CZX1997" s="55"/>
      <c r="CZY1997" s="55"/>
      <c r="CZZ1997" s="55"/>
      <c r="DAA1997" s="55"/>
      <c r="DAB1997" s="55"/>
      <c r="DAC1997" s="55"/>
      <c r="DAD1997" s="55"/>
      <c r="DAE1997" s="55"/>
      <c r="DAF1997" s="55"/>
      <c r="DAG1997" s="55"/>
      <c r="DAH1997" s="55"/>
      <c r="DAI1997" s="55"/>
      <c r="DAJ1997" s="55"/>
      <c r="DAK1997" s="55"/>
      <c r="DAL1997" s="55"/>
      <c r="DAM1997" s="55"/>
      <c r="DAN1997" s="55"/>
      <c r="DAO1997" s="55"/>
      <c r="DAP1997" s="55"/>
      <c r="DAQ1997" s="55"/>
      <c r="DAR1997" s="55"/>
      <c r="DAS1997" s="55"/>
      <c r="DAT1997" s="55"/>
      <c r="DAU1997" s="55"/>
      <c r="DAV1997" s="55"/>
      <c r="DAW1997" s="55"/>
      <c r="DAX1997" s="55"/>
      <c r="DAY1997" s="55"/>
      <c r="DAZ1997" s="55"/>
      <c r="DBA1997" s="55"/>
      <c r="DBB1997" s="55"/>
      <c r="DBC1997" s="55"/>
      <c r="DBD1997" s="55"/>
      <c r="DBE1997" s="55"/>
      <c r="DBF1997" s="55"/>
      <c r="DBG1997" s="55"/>
      <c r="DBH1997" s="55"/>
      <c r="DBI1997" s="55"/>
      <c r="DBJ1997" s="55"/>
      <c r="DBK1997" s="55"/>
      <c r="DBL1997" s="55"/>
      <c r="DBM1997" s="55"/>
      <c r="DBN1997" s="55"/>
      <c r="DBO1997" s="55"/>
      <c r="DBP1997" s="55"/>
      <c r="DBQ1997" s="55"/>
      <c r="DBR1997" s="55"/>
      <c r="DBS1997" s="55"/>
      <c r="DBT1997" s="55"/>
      <c r="DBU1997" s="55"/>
      <c r="DBV1997" s="55"/>
      <c r="DBW1997" s="55"/>
      <c r="DBX1997" s="55"/>
      <c r="DBY1997" s="55"/>
      <c r="DBZ1997" s="55"/>
      <c r="DCA1997" s="55"/>
      <c r="DCB1997" s="55"/>
      <c r="DCC1997" s="55"/>
      <c r="DCD1997" s="55"/>
      <c r="DCE1997" s="55"/>
      <c r="DCF1997" s="55"/>
      <c r="DCG1997" s="55"/>
      <c r="DCH1997" s="55"/>
      <c r="DCI1997" s="55"/>
      <c r="DCJ1997" s="55"/>
      <c r="DCK1997" s="55"/>
      <c r="DCL1997" s="55"/>
      <c r="DCM1997" s="55"/>
      <c r="DCN1997" s="55"/>
      <c r="DCO1997" s="55"/>
      <c r="DCP1997" s="55"/>
      <c r="DCQ1997" s="55"/>
      <c r="DCR1997" s="55"/>
      <c r="DCS1997" s="55"/>
      <c r="DCT1997" s="55"/>
      <c r="DCU1997" s="55"/>
      <c r="DCV1997" s="55"/>
      <c r="DCW1997" s="55"/>
      <c r="DCX1997" s="55"/>
      <c r="DCY1997" s="55"/>
      <c r="DCZ1997" s="55"/>
      <c r="DDA1997" s="55"/>
      <c r="DDB1997" s="55"/>
      <c r="DDC1997" s="55"/>
      <c r="DDD1997" s="55"/>
      <c r="DDE1997" s="55"/>
      <c r="DDF1997" s="55"/>
      <c r="DDG1997" s="55"/>
      <c r="DDH1997" s="55"/>
      <c r="DDI1997" s="55"/>
      <c r="DDJ1997" s="55"/>
      <c r="DDK1997" s="55"/>
      <c r="DDL1997" s="55"/>
      <c r="DDM1997" s="55"/>
      <c r="DDN1997" s="55"/>
      <c r="DDO1997" s="55"/>
      <c r="DDP1997" s="55"/>
      <c r="DDQ1997" s="55"/>
      <c r="DDR1997" s="55"/>
      <c r="DDS1997" s="55"/>
      <c r="DDT1997" s="55"/>
      <c r="DDU1997" s="55"/>
      <c r="DDV1997" s="55"/>
      <c r="DDW1997" s="55"/>
      <c r="DDX1997" s="55"/>
      <c r="DDY1997" s="55"/>
      <c r="DDZ1997" s="55"/>
      <c r="DEA1997" s="55"/>
      <c r="DEB1997" s="55"/>
      <c r="DEC1997" s="55"/>
      <c r="DED1997" s="55"/>
      <c r="DEE1997" s="55"/>
      <c r="DEF1997" s="55"/>
      <c r="DEG1997" s="55"/>
      <c r="DEH1997" s="55"/>
      <c r="DEI1997" s="55"/>
      <c r="DEJ1997" s="55"/>
      <c r="DEK1997" s="55"/>
      <c r="DEL1997" s="55"/>
      <c r="DEM1997" s="55"/>
      <c r="DEN1997" s="55"/>
      <c r="DEO1997" s="55"/>
      <c r="DEP1997" s="55"/>
      <c r="DEQ1997" s="55"/>
      <c r="DER1997" s="55"/>
      <c r="DES1997" s="55"/>
      <c r="DET1997" s="55"/>
      <c r="DEU1997" s="55"/>
      <c r="DEV1997" s="55"/>
      <c r="DEW1997" s="55"/>
      <c r="DEX1997" s="55"/>
      <c r="DEY1997" s="55"/>
      <c r="DEZ1997" s="55"/>
      <c r="DFA1997" s="55"/>
      <c r="DFB1997" s="55"/>
      <c r="DFC1997" s="55"/>
      <c r="DFD1997" s="55"/>
      <c r="DFE1997" s="55"/>
      <c r="DFF1997" s="55"/>
      <c r="DFG1997" s="55"/>
      <c r="DFH1997" s="55"/>
      <c r="DFI1997" s="55"/>
      <c r="DFJ1997" s="55"/>
      <c r="DFK1997" s="55"/>
      <c r="DFL1997" s="55"/>
      <c r="DFM1997" s="55"/>
      <c r="DFN1997" s="55"/>
      <c r="DFO1997" s="55"/>
      <c r="DFP1997" s="55"/>
      <c r="DFQ1997" s="55"/>
      <c r="DFR1997" s="55"/>
      <c r="DFS1997" s="55"/>
      <c r="DFT1997" s="55"/>
      <c r="DFU1997" s="55"/>
      <c r="DFV1997" s="55"/>
      <c r="DFW1997" s="55"/>
      <c r="DFX1997" s="55"/>
      <c r="DFY1997" s="55"/>
      <c r="DFZ1997" s="55"/>
      <c r="DGA1997" s="55"/>
      <c r="DGB1997" s="55"/>
      <c r="DGC1997" s="55"/>
      <c r="DGD1997" s="55"/>
      <c r="DGE1997" s="55"/>
      <c r="DGF1997" s="55"/>
      <c r="DGG1997" s="55"/>
      <c r="DGH1997" s="55"/>
      <c r="DGI1997" s="55"/>
      <c r="DGJ1997" s="55"/>
      <c r="DGK1997" s="55"/>
      <c r="DGL1997" s="55"/>
      <c r="DGM1997" s="55"/>
      <c r="DGN1997" s="55"/>
      <c r="DGO1997" s="55"/>
      <c r="DGP1997" s="55"/>
      <c r="DGQ1997" s="55"/>
      <c r="DGR1997" s="55"/>
      <c r="DGS1997" s="55"/>
      <c r="DGT1997" s="55"/>
      <c r="DGU1997" s="55"/>
      <c r="DGV1997" s="55"/>
      <c r="DGW1997" s="55"/>
      <c r="DGX1997" s="55"/>
      <c r="DGY1997" s="55"/>
      <c r="DGZ1997" s="55"/>
      <c r="DHA1997" s="55"/>
      <c r="DHB1997" s="55"/>
      <c r="DHC1997" s="55"/>
      <c r="DHD1997" s="55"/>
      <c r="DHE1997" s="55"/>
      <c r="DHF1997" s="55"/>
      <c r="DHG1997" s="55"/>
      <c r="DHH1997" s="55"/>
      <c r="DHI1997" s="55"/>
      <c r="DHJ1997" s="55"/>
      <c r="DHK1997" s="55"/>
      <c r="DHL1997" s="55"/>
      <c r="DHM1997" s="55"/>
      <c r="DHN1997" s="55"/>
      <c r="DHO1997" s="55"/>
      <c r="DHP1997" s="55"/>
      <c r="DHQ1997" s="55"/>
      <c r="DHR1997" s="55"/>
      <c r="DHS1997" s="55"/>
      <c r="DHT1997" s="55"/>
      <c r="DHU1997" s="55"/>
      <c r="DHV1997" s="55"/>
      <c r="DHW1997" s="55"/>
      <c r="DHX1997" s="55"/>
      <c r="DHY1997" s="55"/>
      <c r="DHZ1997" s="55"/>
      <c r="DIA1997" s="55"/>
      <c r="DIB1997" s="55"/>
      <c r="DIC1997" s="55"/>
      <c r="DID1997" s="55"/>
      <c r="DIE1997" s="55"/>
      <c r="DIF1997" s="55"/>
      <c r="DIG1997" s="55"/>
      <c r="DIH1997" s="55"/>
      <c r="DII1997" s="55"/>
      <c r="DIJ1997" s="55"/>
      <c r="DIK1997" s="55"/>
      <c r="DIL1997" s="55"/>
      <c r="DIM1997" s="55"/>
      <c r="DIN1997" s="55"/>
      <c r="DIO1997" s="55"/>
      <c r="DIP1997" s="55"/>
      <c r="DIQ1997" s="55"/>
      <c r="DIR1997" s="55"/>
      <c r="DIS1997" s="55"/>
      <c r="DIT1997" s="55"/>
      <c r="DIU1997" s="55"/>
      <c r="DIV1997" s="55"/>
      <c r="DIW1997" s="55"/>
      <c r="DIX1997" s="55"/>
      <c r="DIY1997" s="55"/>
      <c r="DIZ1997" s="55"/>
      <c r="DJA1997" s="55"/>
      <c r="DJB1997" s="55"/>
      <c r="DJC1997" s="55"/>
      <c r="DJD1997" s="55"/>
      <c r="DJE1997" s="55"/>
      <c r="DJF1997" s="55"/>
      <c r="DJG1997" s="55"/>
      <c r="DJH1997" s="55"/>
      <c r="DJI1997" s="55"/>
      <c r="DJJ1997" s="55"/>
      <c r="DJK1997" s="55"/>
      <c r="DJL1997" s="55"/>
      <c r="DJM1997" s="55"/>
      <c r="DJN1997" s="55"/>
      <c r="DJO1997" s="55"/>
      <c r="DJP1997" s="55"/>
      <c r="DJQ1997" s="55"/>
      <c r="DJR1997" s="55"/>
      <c r="DJS1997" s="55"/>
      <c r="DJT1997" s="55"/>
      <c r="DJU1997" s="55"/>
      <c r="DJV1997" s="55"/>
      <c r="DJW1997" s="55"/>
      <c r="DJX1997" s="55"/>
      <c r="DJY1997" s="55"/>
      <c r="DJZ1997" s="55"/>
      <c r="DKA1997" s="55"/>
      <c r="DKB1997" s="55"/>
      <c r="DKC1997" s="55"/>
      <c r="DKD1997" s="55"/>
      <c r="DKE1997" s="55"/>
      <c r="DKF1997" s="55"/>
      <c r="DKG1997" s="55"/>
      <c r="DKH1997" s="55"/>
      <c r="DKI1997" s="55"/>
      <c r="DKJ1997" s="55"/>
      <c r="DKK1997" s="55"/>
      <c r="DKL1997" s="55"/>
      <c r="DKM1997" s="55"/>
      <c r="DKN1997" s="55"/>
      <c r="DKO1997" s="55"/>
      <c r="DKP1997" s="55"/>
      <c r="DKQ1997" s="55"/>
      <c r="DKR1997" s="55"/>
      <c r="DKS1997" s="55"/>
      <c r="DKT1997" s="55"/>
      <c r="DKU1997" s="55"/>
      <c r="DKV1997" s="55"/>
      <c r="DKW1997" s="55"/>
      <c r="DKX1997" s="55"/>
      <c r="DKY1997" s="55"/>
      <c r="DKZ1997" s="55"/>
      <c r="DLA1997" s="55"/>
      <c r="DLB1997" s="55"/>
      <c r="DLC1997" s="55"/>
      <c r="DLD1997" s="55"/>
      <c r="DLE1997" s="55"/>
      <c r="DLF1997" s="55"/>
      <c r="DLG1997" s="55"/>
      <c r="DLH1997" s="55"/>
      <c r="DLI1997" s="55"/>
      <c r="DLJ1997" s="55"/>
      <c r="DLK1997" s="55"/>
      <c r="DLL1997" s="55"/>
      <c r="DLM1997" s="55"/>
      <c r="DLN1997" s="55"/>
      <c r="DLO1997" s="55"/>
      <c r="DLP1997" s="55"/>
      <c r="DLQ1997" s="55"/>
      <c r="DLR1997" s="55"/>
      <c r="DLS1997" s="55"/>
      <c r="DLT1997" s="55"/>
      <c r="DLU1997" s="55"/>
      <c r="DLV1997" s="55"/>
      <c r="DLW1997" s="55"/>
      <c r="DLX1997" s="55"/>
      <c r="DLY1997" s="55"/>
      <c r="DLZ1997" s="55"/>
      <c r="DMA1997" s="55"/>
      <c r="DMB1997" s="55"/>
      <c r="DMC1997" s="55"/>
      <c r="DMD1997" s="55"/>
      <c r="DME1997" s="55"/>
      <c r="DMF1997" s="55"/>
      <c r="DMG1997" s="55"/>
      <c r="DMH1997" s="55"/>
      <c r="DMI1997" s="55"/>
      <c r="DMJ1997" s="55"/>
      <c r="DMK1997" s="55"/>
      <c r="DML1997" s="55"/>
      <c r="DMM1997" s="55"/>
      <c r="DMN1997" s="55"/>
      <c r="DMO1997" s="55"/>
      <c r="DMP1997" s="55"/>
      <c r="DMQ1997" s="55"/>
      <c r="DMR1997" s="55"/>
      <c r="DMS1997" s="55"/>
      <c r="DMT1997" s="55"/>
      <c r="DMU1997" s="55"/>
      <c r="DMV1997" s="55"/>
      <c r="DMW1997" s="55"/>
      <c r="DMX1997" s="55"/>
      <c r="DMY1997" s="55"/>
      <c r="DMZ1997" s="55"/>
      <c r="DNA1997" s="55"/>
      <c r="DNB1997" s="55"/>
      <c r="DNC1997" s="55"/>
      <c r="DND1997" s="55"/>
      <c r="DNE1997" s="55"/>
      <c r="DNF1997" s="55"/>
      <c r="DNG1997" s="55"/>
      <c r="DNH1997" s="55"/>
      <c r="DNI1997" s="55"/>
      <c r="DNJ1997" s="55"/>
      <c r="DNK1997" s="55"/>
      <c r="DNL1997" s="55"/>
      <c r="DNM1997" s="55"/>
      <c r="DNN1997" s="55"/>
      <c r="DNO1997" s="55"/>
      <c r="DNP1997" s="55"/>
      <c r="DNQ1997" s="55"/>
      <c r="DNR1997" s="55"/>
      <c r="DNS1997" s="55"/>
      <c r="DNT1997" s="55"/>
      <c r="DNU1997" s="55"/>
      <c r="DNV1997" s="55"/>
      <c r="DNW1997" s="55"/>
      <c r="DNX1997" s="55"/>
      <c r="DNY1997" s="55"/>
      <c r="DNZ1997" s="55"/>
      <c r="DOA1997" s="55"/>
      <c r="DOB1997" s="55"/>
      <c r="DOC1997" s="55"/>
      <c r="DOD1997" s="55"/>
      <c r="DOE1997" s="55"/>
      <c r="DOF1997" s="55"/>
      <c r="DOG1997" s="55"/>
      <c r="DOH1997" s="55"/>
      <c r="DOI1997" s="55"/>
      <c r="DOJ1997" s="55"/>
      <c r="DOK1997" s="55"/>
      <c r="DOL1997" s="55"/>
      <c r="DOM1997" s="55"/>
      <c r="DON1997" s="55"/>
      <c r="DOO1997" s="55"/>
      <c r="DOP1997" s="55"/>
      <c r="DOQ1997" s="55"/>
      <c r="DOR1997" s="55"/>
      <c r="DOS1997" s="55"/>
      <c r="DOT1997" s="55"/>
      <c r="DOU1997" s="55"/>
      <c r="DOV1997" s="55"/>
      <c r="DOW1997" s="55"/>
      <c r="DOX1997" s="55"/>
      <c r="DOY1997" s="55"/>
      <c r="DOZ1997" s="55"/>
      <c r="DPA1997" s="55"/>
      <c r="DPB1997" s="55"/>
      <c r="DPC1997" s="55"/>
      <c r="DPD1997" s="55"/>
      <c r="DPE1997" s="55"/>
      <c r="DPF1997" s="55"/>
      <c r="DPG1997" s="55"/>
      <c r="DPH1997" s="55"/>
      <c r="DPI1997" s="55"/>
      <c r="DPJ1997" s="55"/>
      <c r="DPK1997" s="55"/>
      <c r="DPL1997" s="55"/>
      <c r="DPM1997" s="55"/>
      <c r="DPN1997" s="55"/>
      <c r="DPO1997" s="55"/>
      <c r="DPP1997" s="55"/>
      <c r="DPQ1997" s="55"/>
      <c r="DPR1997" s="55"/>
      <c r="DPS1997" s="55"/>
      <c r="DPT1997" s="55"/>
      <c r="DPU1997" s="55"/>
      <c r="DPV1997" s="55"/>
      <c r="DPW1997" s="55"/>
      <c r="DPX1997" s="55"/>
      <c r="DPY1997" s="55"/>
      <c r="DPZ1997" s="55"/>
      <c r="DQA1997" s="55"/>
      <c r="DQB1997" s="55"/>
      <c r="DQC1997" s="55"/>
      <c r="DQD1997" s="55"/>
      <c r="DQE1997" s="55"/>
      <c r="DQF1997" s="55"/>
      <c r="DQG1997" s="55"/>
      <c r="DQH1997" s="55"/>
      <c r="DQI1997" s="55"/>
      <c r="DQJ1997" s="55"/>
      <c r="DQK1997" s="55"/>
      <c r="DQL1997" s="55"/>
      <c r="DQM1997" s="55"/>
      <c r="DQN1997" s="55"/>
      <c r="DQO1997" s="55"/>
      <c r="DQP1997" s="55"/>
      <c r="DQQ1997" s="55"/>
      <c r="DQR1997" s="55"/>
      <c r="DQS1997" s="55"/>
      <c r="DQT1997" s="55"/>
      <c r="DQU1997" s="55"/>
      <c r="DQV1997" s="55"/>
      <c r="DQW1997" s="55"/>
      <c r="DQX1997" s="55"/>
      <c r="DQY1997" s="55"/>
      <c r="DQZ1997" s="55"/>
      <c r="DRA1997" s="55"/>
      <c r="DRB1997" s="55"/>
      <c r="DRC1997" s="55"/>
      <c r="DRD1997" s="55"/>
      <c r="DRE1997" s="55"/>
      <c r="DRF1997" s="55"/>
      <c r="DRG1997" s="55"/>
      <c r="DRH1997" s="55"/>
      <c r="DRI1997" s="55"/>
      <c r="DRJ1997" s="55"/>
      <c r="DRK1997" s="55"/>
      <c r="DRL1997" s="55"/>
      <c r="DRM1997" s="55"/>
      <c r="DRN1997" s="55"/>
      <c r="DRO1997" s="55"/>
      <c r="DRP1997" s="55"/>
      <c r="DRQ1997" s="55"/>
      <c r="DRR1997" s="55"/>
      <c r="DRS1997" s="55"/>
      <c r="DRT1997" s="55"/>
      <c r="DRU1997" s="55"/>
      <c r="DRV1997" s="55"/>
      <c r="DRW1997" s="55"/>
      <c r="DRX1997" s="55"/>
      <c r="DRY1997" s="55"/>
      <c r="DRZ1997" s="55"/>
      <c r="DSA1997" s="55"/>
      <c r="DSB1997" s="55"/>
      <c r="DSC1997" s="55"/>
      <c r="DSD1997" s="55"/>
      <c r="DSE1997" s="55"/>
      <c r="DSF1997" s="55"/>
      <c r="DSG1997" s="55"/>
      <c r="DSH1997" s="55"/>
      <c r="DSI1997" s="55"/>
      <c r="DSJ1997" s="55"/>
      <c r="DSK1997" s="55"/>
      <c r="DSL1997" s="55"/>
      <c r="DSM1997" s="55"/>
      <c r="DSN1997" s="55"/>
      <c r="DSO1997" s="55"/>
      <c r="DSP1997" s="55"/>
      <c r="DSQ1997" s="55"/>
      <c r="DSR1997" s="55"/>
      <c r="DSS1997" s="55"/>
      <c r="DST1997" s="55"/>
      <c r="DSU1997" s="55"/>
      <c r="DSV1997" s="55"/>
      <c r="DSW1997" s="55"/>
      <c r="DSX1997" s="55"/>
      <c r="DSY1997" s="55"/>
      <c r="DSZ1997" s="55"/>
      <c r="DTA1997" s="55"/>
      <c r="DTB1997" s="55"/>
      <c r="DTC1997" s="55"/>
      <c r="DTD1997" s="55"/>
      <c r="DTE1997" s="55"/>
      <c r="DTF1997" s="55"/>
      <c r="DTG1997" s="55"/>
      <c r="DTH1997" s="55"/>
      <c r="DTI1997" s="55"/>
      <c r="DTJ1997" s="55"/>
      <c r="DTK1997" s="55"/>
      <c r="DTL1997" s="55"/>
      <c r="DTM1997" s="55"/>
      <c r="DTN1997" s="55"/>
      <c r="DTO1997" s="55"/>
      <c r="DTP1997" s="55"/>
      <c r="DTQ1997" s="55"/>
      <c r="DTR1997" s="55"/>
      <c r="DTS1997" s="55"/>
      <c r="DTT1997" s="55"/>
      <c r="DTU1997" s="55"/>
      <c r="DTV1997" s="55"/>
      <c r="DTW1997" s="55"/>
      <c r="DTX1997" s="55"/>
      <c r="DTY1997" s="55"/>
      <c r="DTZ1997" s="55"/>
      <c r="DUA1997" s="55"/>
      <c r="DUB1997" s="55"/>
      <c r="DUC1997" s="55"/>
      <c r="DUD1997" s="55"/>
      <c r="DUE1997" s="55"/>
      <c r="DUF1997" s="55"/>
      <c r="DUG1997" s="55"/>
      <c r="DUH1997" s="55"/>
      <c r="DUI1997" s="55"/>
      <c r="DUJ1997" s="55"/>
      <c r="DUK1997" s="55"/>
      <c r="DUL1997" s="55"/>
      <c r="DUM1997" s="55"/>
      <c r="DUN1997" s="55"/>
      <c r="DUO1997" s="55"/>
      <c r="DUP1997" s="55"/>
      <c r="DUQ1997" s="55"/>
      <c r="DUR1997" s="55"/>
      <c r="DUS1997" s="55"/>
      <c r="DUT1997" s="55"/>
      <c r="DUU1997" s="55"/>
      <c r="DUV1997" s="55"/>
      <c r="DUW1997" s="55"/>
      <c r="DUX1997" s="55"/>
      <c r="DUY1997" s="55"/>
      <c r="DUZ1997" s="55"/>
      <c r="DVA1997" s="55"/>
      <c r="DVB1997" s="55"/>
      <c r="DVC1997" s="55"/>
      <c r="DVD1997" s="55"/>
      <c r="DVE1997" s="55"/>
      <c r="DVF1997" s="55"/>
      <c r="DVG1997" s="55"/>
      <c r="DVH1997" s="55"/>
      <c r="DVI1997" s="55"/>
      <c r="DVJ1997" s="55"/>
      <c r="DVK1997" s="55"/>
      <c r="DVL1997" s="55"/>
      <c r="DVM1997" s="55"/>
      <c r="DVN1997" s="55"/>
      <c r="DVO1997" s="55"/>
      <c r="DVP1997" s="55"/>
      <c r="DVQ1997" s="55"/>
      <c r="DVR1997" s="55"/>
      <c r="DVS1997" s="55"/>
      <c r="DVT1997" s="55"/>
      <c r="DVU1997" s="55"/>
      <c r="DVV1997" s="55"/>
      <c r="DVW1997" s="55"/>
      <c r="DVX1997" s="55"/>
      <c r="DVY1997" s="55"/>
      <c r="DVZ1997" s="55"/>
      <c r="DWA1997" s="55"/>
      <c r="DWB1997" s="55"/>
      <c r="DWC1997" s="55"/>
      <c r="DWD1997" s="55"/>
      <c r="DWE1997" s="55"/>
      <c r="DWF1997" s="55"/>
      <c r="DWG1997" s="55"/>
      <c r="DWH1997" s="55"/>
      <c r="DWI1997" s="55"/>
      <c r="DWJ1997" s="55"/>
      <c r="DWK1997" s="55"/>
      <c r="DWL1997" s="55"/>
      <c r="DWM1997" s="55"/>
      <c r="DWN1997" s="55"/>
      <c r="DWO1997" s="55"/>
      <c r="DWP1997" s="55"/>
      <c r="DWQ1997" s="55"/>
      <c r="DWR1997" s="55"/>
      <c r="DWS1997" s="55"/>
      <c r="DWT1997" s="55"/>
      <c r="DWU1997" s="55"/>
      <c r="DWV1997" s="55"/>
      <c r="DWW1997" s="55"/>
      <c r="DWX1997" s="55"/>
      <c r="DWY1997" s="55"/>
      <c r="DWZ1997" s="55"/>
      <c r="DXA1997" s="55"/>
      <c r="DXB1997" s="55"/>
      <c r="DXC1997" s="55"/>
      <c r="DXD1997" s="55"/>
      <c r="DXE1997" s="55"/>
      <c r="DXF1997" s="55"/>
      <c r="DXG1997" s="55"/>
      <c r="DXH1997" s="55"/>
      <c r="DXI1997" s="55"/>
      <c r="DXJ1997" s="55"/>
      <c r="DXK1997" s="55"/>
      <c r="DXL1997" s="55"/>
      <c r="DXM1997" s="55"/>
      <c r="DXN1997" s="55"/>
      <c r="DXO1997" s="55"/>
      <c r="DXP1997" s="55"/>
      <c r="DXQ1997" s="55"/>
      <c r="DXR1997" s="55"/>
      <c r="DXS1997" s="55"/>
      <c r="DXT1997" s="55"/>
      <c r="DXU1997" s="55"/>
      <c r="DXV1997" s="55"/>
      <c r="DXW1997" s="55"/>
      <c r="DXX1997" s="55"/>
      <c r="DXY1997" s="55"/>
      <c r="DXZ1997" s="55"/>
      <c r="DYA1997" s="55"/>
      <c r="DYB1997" s="55"/>
      <c r="DYC1997" s="55"/>
      <c r="DYD1997" s="55"/>
      <c r="DYE1997" s="55"/>
      <c r="DYF1997" s="55"/>
      <c r="DYG1997" s="55"/>
      <c r="DYH1997" s="55"/>
      <c r="DYI1997" s="55"/>
      <c r="DYJ1997" s="55"/>
      <c r="DYK1997" s="55"/>
      <c r="DYL1997" s="55"/>
      <c r="DYM1997" s="55"/>
      <c r="DYN1997" s="55"/>
      <c r="DYO1997" s="55"/>
      <c r="DYP1997" s="55"/>
      <c r="DYQ1997" s="55"/>
      <c r="DYR1997" s="55"/>
      <c r="DYS1997" s="55"/>
      <c r="DYT1997" s="55"/>
      <c r="DYU1997" s="55"/>
      <c r="DYV1997" s="55"/>
      <c r="DYW1997" s="55"/>
      <c r="DYX1997" s="55"/>
      <c r="DYY1997" s="55"/>
      <c r="DYZ1997" s="55"/>
      <c r="DZA1997" s="55"/>
      <c r="DZB1997" s="55"/>
      <c r="DZC1997" s="55"/>
      <c r="DZD1997" s="55"/>
      <c r="DZE1997" s="55"/>
      <c r="DZF1997" s="55"/>
      <c r="DZG1997" s="55"/>
      <c r="DZH1997" s="55"/>
      <c r="DZI1997" s="55"/>
      <c r="DZJ1997" s="55"/>
      <c r="DZK1997" s="55"/>
      <c r="DZL1997" s="55"/>
      <c r="DZM1997" s="55"/>
      <c r="DZN1997" s="55"/>
      <c r="DZO1997" s="55"/>
      <c r="DZP1997" s="55"/>
      <c r="DZQ1997" s="55"/>
      <c r="DZR1997" s="55"/>
      <c r="DZS1997" s="55"/>
      <c r="DZT1997" s="55"/>
      <c r="DZU1997" s="55"/>
      <c r="DZV1997" s="55"/>
      <c r="DZW1997" s="55"/>
      <c r="DZX1997" s="55"/>
      <c r="DZY1997" s="55"/>
      <c r="DZZ1997" s="55"/>
      <c r="EAA1997" s="55"/>
      <c r="EAB1997" s="55"/>
      <c r="EAC1997" s="55"/>
      <c r="EAD1997" s="55"/>
      <c r="EAE1997" s="55"/>
      <c r="EAF1997" s="55"/>
      <c r="EAG1997" s="55"/>
      <c r="EAH1997" s="55"/>
      <c r="EAI1997" s="55"/>
      <c r="EAJ1997" s="55"/>
      <c r="EAK1997" s="55"/>
      <c r="EAL1997" s="55"/>
      <c r="EAM1997" s="55"/>
      <c r="EAN1997" s="55"/>
      <c r="EAO1997" s="55"/>
      <c r="EAP1997" s="55"/>
      <c r="EAQ1997" s="55"/>
      <c r="EAR1997" s="55"/>
      <c r="EAS1997" s="55"/>
      <c r="EAT1997" s="55"/>
      <c r="EAU1997" s="55"/>
      <c r="EAV1997" s="55"/>
      <c r="EAW1997" s="55"/>
      <c r="EAX1997" s="55"/>
      <c r="EAY1997" s="55"/>
      <c r="EAZ1997" s="55"/>
      <c r="EBA1997" s="55"/>
      <c r="EBB1997" s="55"/>
      <c r="EBC1997" s="55"/>
      <c r="EBD1997" s="55"/>
      <c r="EBE1997" s="55"/>
      <c r="EBF1997" s="55"/>
      <c r="EBG1997" s="55"/>
      <c r="EBH1997" s="55"/>
      <c r="EBI1997" s="55"/>
      <c r="EBJ1997" s="55"/>
      <c r="EBK1997" s="55"/>
      <c r="EBL1997" s="55"/>
      <c r="EBM1997" s="55"/>
      <c r="EBN1997" s="55"/>
      <c r="EBO1997" s="55"/>
      <c r="EBP1997" s="55"/>
      <c r="EBQ1997" s="55"/>
      <c r="EBR1997" s="55"/>
      <c r="EBS1997" s="55"/>
      <c r="EBT1997" s="55"/>
      <c r="EBU1997" s="55"/>
      <c r="EBV1997" s="55"/>
      <c r="EBW1997" s="55"/>
      <c r="EBX1997" s="55"/>
      <c r="EBY1997" s="55"/>
      <c r="EBZ1997" s="55"/>
      <c r="ECA1997" s="55"/>
      <c r="ECB1997" s="55"/>
      <c r="ECC1997" s="55"/>
      <c r="ECD1997" s="55"/>
      <c r="ECE1997" s="55"/>
      <c r="ECF1997" s="55"/>
      <c r="ECG1997" s="55"/>
      <c r="ECH1997" s="55"/>
      <c r="ECI1997" s="55"/>
      <c r="ECJ1997" s="55"/>
      <c r="ECK1997" s="55"/>
      <c r="ECL1997" s="55"/>
      <c r="ECM1997" s="55"/>
      <c r="ECN1997" s="55"/>
      <c r="ECO1997" s="55"/>
      <c r="ECP1997" s="55"/>
      <c r="ECQ1997" s="55"/>
      <c r="ECR1997" s="55"/>
      <c r="ECS1997" s="55"/>
      <c r="ECT1997" s="55"/>
      <c r="ECU1997" s="55"/>
      <c r="ECV1997" s="55"/>
      <c r="ECW1997" s="55"/>
      <c r="ECX1997" s="55"/>
      <c r="ECY1997" s="55"/>
      <c r="ECZ1997" s="55"/>
      <c r="EDA1997" s="55"/>
      <c r="EDB1997" s="55"/>
      <c r="EDC1997" s="55"/>
      <c r="EDD1997" s="55"/>
      <c r="EDE1997" s="55"/>
      <c r="EDF1997" s="55"/>
      <c r="EDG1997" s="55"/>
      <c r="EDH1997" s="55"/>
      <c r="EDI1997" s="55"/>
      <c r="EDJ1997" s="55"/>
      <c r="EDK1997" s="55"/>
      <c r="EDL1997" s="55"/>
      <c r="EDM1997" s="55"/>
      <c r="EDN1997" s="55"/>
      <c r="EDO1997" s="55"/>
      <c r="EDP1997" s="55"/>
      <c r="EDQ1997" s="55"/>
      <c r="EDR1997" s="55"/>
      <c r="EDS1997" s="55"/>
      <c r="EDT1997" s="55"/>
      <c r="EDU1997" s="55"/>
      <c r="EDV1997" s="55"/>
      <c r="EDW1997" s="55"/>
      <c r="EDX1997" s="55"/>
      <c r="EDY1997" s="55"/>
      <c r="EDZ1997" s="55"/>
      <c r="EEA1997" s="55"/>
      <c r="EEB1997" s="55"/>
      <c r="EEC1997" s="55"/>
      <c r="EED1997" s="55"/>
      <c r="EEE1997" s="55"/>
      <c r="EEF1997" s="55"/>
      <c r="EEG1997" s="55"/>
      <c r="EEH1997" s="55"/>
      <c r="EEI1997" s="55"/>
      <c r="EEJ1997" s="55"/>
      <c r="EEK1997" s="55"/>
      <c r="EEL1997" s="55"/>
      <c r="EEM1997" s="55"/>
      <c r="EEN1997" s="55"/>
      <c r="EEO1997" s="55"/>
      <c r="EEP1997" s="55"/>
      <c r="EEQ1997" s="55"/>
      <c r="EER1997" s="55"/>
      <c r="EES1997" s="55"/>
      <c r="EET1997" s="55"/>
      <c r="EEU1997" s="55"/>
      <c r="EEV1997" s="55"/>
      <c r="EEW1997" s="55"/>
      <c r="EEX1997" s="55"/>
      <c r="EEY1997" s="55"/>
      <c r="EEZ1997" s="55"/>
      <c r="EFA1997" s="55"/>
      <c r="EFB1997" s="55"/>
      <c r="EFC1997" s="55"/>
      <c r="EFD1997" s="55"/>
      <c r="EFE1997" s="55"/>
      <c r="EFF1997" s="55"/>
      <c r="EFG1997" s="55"/>
      <c r="EFH1997" s="55"/>
      <c r="EFI1997" s="55"/>
      <c r="EFJ1997" s="55"/>
      <c r="EFK1997" s="55"/>
      <c r="EFL1997" s="55"/>
      <c r="EFM1997" s="55"/>
      <c r="EFN1997" s="55"/>
      <c r="EFO1997" s="55"/>
      <c r="EFP1997" s="55"/>
      <c r="EFQ1997" s="55"/>
      <c r="EFR1997" s="55"/>
      <c r="EFS1997" s="55"/>
      <c r="EFT1997" s="55"/>
      <c r="EFU1997" s="55"/>
      <c r="EFV1997" s="55"/>
      <c r="EFW1997" s="55"/>
      <c r="EFX1997" s="55"/>
      <c r="EFY1997" s="55"/>
      <c r="EFZ1997" s="55"/>
      <c r="EGA1997" s="55"/>
      <c r="EGB1997" s="55"/>
      <c r="EGC1997" s="55"/>
      <c r="EGD1997" s="55"/>
      <c r="EGE1997" s="55"/>
      <c r="EGF1997" s="55"/>
      <c r="EGG1997" s="55"/>
      <c r="EGH1997" s="55"/>
      <c r="EGI1997" s="55"/>
      <c r="EGJ1997" s="55"/>
      <c r="EGK1997" s="55"/>
      <c r="EGL1997" s="55"/>
      <c r="EGM1997" s="55"/>
      <c r="EGN1997" s="55"/>
      <c r="EGO1997" s="55"/>
      <c r="EGP1997" s="55"/>
      <c r="EGQ1997" s="55"/>
      <c r="EGR1997" s="55"/>
      <c r="EGS1997" s="55"/>
      <c r="EGT1997" s="55"/>
      <c r="EGU1997" s="55"/>
      <c r="EGV1997" s="55"/>
      <c r="EGW1997" s="55"/>
      <c r="EGX1997" s="55"/>
      <c r="EGY1997" s="55"/>
      <c r="EGZ1997" s="55"/>
      <c r="EHA1997" s="55"/>
      <c r="EHB1997" s="55"/>
      <c r="EHC1997" s="55"/>
      <c r="EHD1997" s="55"/>
      <c r="EHE1997" s="55"/>
      <c r="EHF1997" s="55"/>
      <c r="EHG1997" s="55"/>
      <c r="EHH1997" s="55"/>
      <c r="EHI1997" s="55"/>
      <c r="EHJ1997" s="55"/>
      <c r="EHK1997" s="55"/>
      <c r="EHL1997" s="55"/>
      <c r="EHM1997" s="55"/>
      <c r="EHN1997" s="55"/>
      <c r="EHO1997" s="55"/>
      <c r="EHP1997" s="55"/>
      <c r="EHQ1997" s="55"/>
      <c r="EHR1997" s="55"/>
      <c r="EHS1997" s="55"/>
      <c r="EHT1997" s="55"/>
      <c r="EHU1997" s="55"/>
      <c r="EHV1997" s="55"/>
      <c r="EHW1997" s="55"/>
      <c r="EHX1997" s="55"/>
      <c r="EHY1997" s="55"/>
      <c r="EHZ1997" s="55"/>
      <c r="EIA1997" s="55"/>
      <c r="EIB1997" s="55"/>
      <c r="EIC1997" s="55"/>
      <c r="EID1997" s="55"/>
      <c r="EIE1997" s="55"/>
      <c r="EIF1997" s="55"/>
      <c r="EIG1997" s="55"/>
      <c r="EIH1997" s="55"/>
      <c r="EII1997" s="55"/>
      <c r="EIJ1997" s="55"/>
      <c r="EIK1997" s="55"/>
      <c r="EIL1997" s="55"/>
      <c r="EIM1997" s="55"/>
      <c r="EIN1997" s="55"/>
      <c r="EIO1997" s="55"/>
      <c r="EIP1997" s="55"/>
      <c r="EIQ1997" s="55"/>
      <c r="EIR1997" s="55"/>
      <c r="EIS1997" s="55"/>
      <c r="EIT1997" s="55"/>
      <c r="EIU1997" s="55"/>
      <c r="EIV1997" s="55"/>
      <c r="EIW1997" s="55"/>
      <c r="EIX1997" s="55"/>
      <c r="EIY1997" s="55"/>
      <c r="EIZ1997" s="55"/>
      <c r="EJA1997" s="55"/>
      <c r="EJB1997" s="55"/>
      <c r="EJC1997" s="55"/>
      <c r="EJD1997" s="55"/>
      <c r="EJE1997" s="55"/>
      <c r="EJF1997" s="55"/>
      <c r="EJG1997" s="55"/>
      <c r="EJH1997" s="55"/>
      <c r="EJI1997" s="55"/>
      <c r="EJJ1997" s="55"/>
      <c r="EJK1997" s="55"/>
      <c r="EJL1997" s="55"/>
      <c r="EJM1997" s="55"/>
      <c r="EJN1997" s="55"/>
      <c r="EJO1997" s="55"/>
      <c r="EJP1997" s="55"/>
      <c r="EJQ1997" s="55"/>
      <c r="EJR1997" s="55"/>
      <c r="EJS1997" s="55"/>
      <c r="EJT1997" s="55"/>
      <c r="EJU1997" s="55"/>
      <c r="EJV1997" s="55"/>
      <c r="EJW1997" s="55"/>
      <c r="EJX1997" s="55"/>
      <c r="EJY1997" s="55"/>
      <c r="EJZ1997" s="55"/>
      <c r="EKA1997" s="55"/>
      <c r="EKB1997" s="55"/>
      <c r="EKC1997" s="55"/>
      <c r="EKD1997" s="55"/>
      <c r="EKE1997" s="55"/>
      <c r="EKF1997" s="55"/>
      <c r="EKG1997" s="55"/>
      <c r="EKH1997" s="55"/>
      <c r="EKI1997" s="55"/>
      <c r="EKJ1997" s="55"/>
      <c r="EKK1997" s="55"/>
      <c r="EKL1997" s="55"/>
      <c r="EKM1997" s="55"/>
      <c r="EKN1997" s="55"/>
      <c r="EKO1997" s="55"/>
      <c r="EKP1997" s="55"/>
      <c r="EKQ1997" s="55"/>
      <c r="EKR1997" s="55"/>
      <c r="EKS1997" s="55"/>
      <c r="EKT1997" s="55"/>
      <c r="EKU1997" s="55"/>
      <c r="EKV1997" s="55"/>
      <c r="EKW1997" s="55"/>
      <c r="EKX1997" s="55"/>
      <c r="EKY1997" s="55"/>
      <c r="EKZ1997" s="55"/>
      <c r="ELA1997" s="55"/>
      <c r="ELB1997" s="55"/>
      <c r="ELC1997" s="55"/>
      <c r="ELD1997" s="55"/>
      <c r="ELE1997" s="55"/>
      <c r="ELF1997" s="55"/>
      <c r="ELG1997" s="55"/>
      <c r="ELH1997" s="55"/>
      <c r="ELI1997" s="55"/>
      <c r="ELJ1997" s="55"/>
      <c r="ELK1997" s="55"/>
      <c r="ELL1997" s="55"/>
      <c r="ELM1997" s="55"/>
      <c r="ELN1997" s="55"/>
      <c r="ELO1997" s="55"/>
      <c r="ELP1997" s="55"/>
      <c r="ELQ1997" s="55"/>
      <c r="ELR1997" s="55"/>
      <c r="ELS1997" s="55"/>
      <c r="ELT1997" s="55"/>
      <c r="ELU1997" s="55"/>
      <c r="ELV1997" s="55"/>
      <c r="ELW1997" s="55"/>
      <c r="ELX1997" s="55"/>
      <c r="ELY1997" s="55"/>
      <c r="ELZ1997" s="55"/>
      <c r="EMA1997" s="55"/>
      <c r="EMB1997" s="55"/>
      <c r="EMC1997" s="55"/>
      <c r="EMD1997" s="55"/>
      <c r="EME1997" s="55"/>
      <c r="EMF1997" s="55"/>
      <c r="EMG1997" s="55"/>
      <c r="EMH1997" s="55"/>
      <c r="EMI1997" s="55"/>
      <c r="EMJ1997" s="55"/>
      <c r="EMK1997" s="55"/>
      <c r="EML1997" s="55"/>
      <c r="EMM1997" s="55"/>
      <c r="EMN1997" s="55"/>
      <c r="EMO1997" s="55"/>
      <c r="EMP1997" s="55"/>
      <c r="EMQ1997" s="55"/>
      <c r="EMR1997" s="55"/>
      <c r="EMS1997" s="55"/>
      <c r="EMT1997" s="55"/>
      <c r="EMU1997" s="55"/>
      <c r="EMV1997" s="55"/>
      <c r="EMW1997" s="55"/>
      <c r="EMX1997" s="55"/>
      <c r="EMY1997" s="55"/>
      <c r="EMZ1997" s="55"/>
      <c r="ENA1997" s="55"/>
      <c r="ENB1997" s="55"/>
      <c r="ENC1997" s="55"/>
      <c r="END1997" s="55"/>
      <c r="ENE1997" s="55"/>
      <c r="ENF1997" s="55"/>
      <c r="ENG1997" s="55"/>
      <c r="ENH1997" s="55"/>
      <c r="ENI1997" s="55"/>
      <c r="ENJ1997" s="55"/>
      <c r="ENK1997" s="55"/>
      <c r="ENL1997" s="55"/>
      <c r="ENM1997" s="55"/>
      <c r="ENN1997" s="55"/>
      <c r="ENO1997" s="55"/>
      <c r="ENP1997" s="55"/>
      <c r="ENQ1997" s="55"/>
      <c r="ENR1997" s="55"/>
      <c r="ENS1997" s="55"/>
      <c r="ENT1997" s="55"/>
      <c r="ENU1997" s="55"/>
      <c r="ENV1997" s="55"/>
      <c r="ENW1997" s="55"/>
      <c r="ENX1997" s="55"/>
      <c r="ENY1997" s="55"/>
      <c r="ENZ1997" s="55"/>
      <c r="EOA1997" s="55"/>
      <c r="EOB1997" s="55"/>
      <c r="EOC1997" s="55"/>
      <c r="EOD1997" s="55"/>
      <c r="EOE1997" s="55"/>
      <c r="EOF1997" s="55"/>
      <c r="EOG1997" s="55"/>
      <c r="EOH1997" s="55"/>
      <c r="EOI1997" s="55"/>
      <c r="EOJ1997" s="55"/>
      <c r="EOK1997" s="55"/>
      <c r="EOL1997" s="55"/>
      <c r="EOM1997" s="55"/>
      <c r="EON1997" s="55"/>
      <c r="EOO1997" s="55"/>
      <c r="EOP1997" s="55"/>
      <c r="EOQ1997" s="55"/>
      <c r="EOR1997" s="55"/>
      <c r="EOS1997" s="55"/>
      <c r="EOT1997" s="55"/>
      <c r="EOU1997" s="55"/>
      <c r="EOV1997" s="55"/>
      <c r="EOW1997" s="55"/>
      <c r="EOX1997" s="55"/>
      <c r="EOY1997" s="55"/>
      <c r="EOZ1997" s="55"/>
      <c r="EPA1997" s="55"/>
      <c r="EPB1997" s="55"/>
      <c r="EPC1997" s="55"/>
      <c r="EPD1997" s="55"/>
      <c r="EPE1997" s="55"/>
      <c r="EPF1997" s="55"/>
      <c r="EPG1997" s="55"/>
      <c r="EPH1997" s="55"/>
      <c r="EPI1997" s="55"/>
      <c r="EPJ1997" s="55"/>
      <c r="EPK1997" s="55"/>
      <c r="EPL1997" s="55"/>
      <c r="EPM1997" s="55"/>
      <c r="EPN1997" s="55"/>
      <c r="EPO1997" s="55"/>
      <c r="EPP1997" s="55"/>
      <c r="EPQ1997" s="55"/>
      <c r="EPR1997" s="55"/>
      <c r="EPS1997" s="55"/>
      <c r="EPT1997" s="55"/>
      <c r="EPU1997" s="55"/>
      <c r="EPV1997" s="55"/>
      <c r="EPW1997" s="55"/>
      <c r="EPX1997" s="55"/>
      <c r="EPY1997" s="55"/>
      <c r="EPZ1997" s="55"/>
      <c r="EQA1997" s="55"/>
      <c r="EQB1997" s="55"/>
      <c r="EQC1997" s="55"/>
      <c r="EQD1997" s="55"/>
      <c r="EQE1997" s="55"/>
      <c r="EQF1997" s="55"/>
      <c r="EQG1997" s="55"/>
      <c r="EQH1997" s="55"/>
      <c r="EQI1997" s="55"/>
      <c r="EQJ1997" s="55"/>
      <c r="EQK1997" s="55"/>
      <c r="EQL1997" s="55"/>
      <c r="EQM1997" s="55"/>
      <c r="EQN1997" s="55"/>
      <c r="EQO1997" s="55"/>
      <c r="EQP1997" s="55"/>
      <c r="EQQ1997" s="55"/>
      <c r="EQR1997" s="55"/>
      <c r="EQS1997" s="55"/>
      <c r="EQT1997" s="55"/>
      <c r="EQU1997" s="55"/>
      <c r="EQV1997" s="55"/>
      <c r="EQW1997" s="55"/>
      <c r="EQX1997" s="55"/>
      <c r="EQY1997" s="55"/>
      <c r="EQZ1997" s="55"/>
      <c r="ERA1997" s="55"/>
      <c r="ERB1997" s="55"/>
      <c r="ERC1997" s="55"/>
      <c r="ERD1997" s="55"/>
      <c r="ERE1997" s="55"/>
      <c r="ERF1997" s="55"/>
      <c r="ERG1997" s="55"/>
      <c r="ERH1997" s="55"/>
      <c r="ERI1997" s="55"/>
      <c r="ERJ1997" s="55"/>
      <c r="ERK1997" s="55"/>
      <c r="ERL1997" s="55"/>
      <c r="ERM1997" s="55"/>
      <c r="ERN1997" s="55"/>
      <c r="ERO1997" s="55"/>
      <c r="ERP1997" s="55"/>
      <c r="ERQ1997" s="55"/>
      <c r="ERR1997" s="55"/>
      <c r="ERS1997" s="55"/>
      <c r="ERT1997" s="55"/>
      <c r="ERU1997" s="55"/>
      <c r="ERV1997" s="55"/>
      <c r="ERW1997" s="55"/>
      <c r="ERX1997" s="55"/>
      <c r="ERY1997" s="55"/>
      <c r="ERZ1997" s="55"/>
      <c r="ESA1997" s="55"/>
      <c r="ESB1997" s="55"/>
      <c r="ESC1997" s="55"/>
      <c r="ESD1997" s="55"/>
      <c r="ESE1997" s="55"/>
      <c r="ESF1997" s="55"/>
      <c r="ESG1997" s="55"/>
      <c r="ESH1997" s="55"/>
      <c r="ESI1997" s="55"/>
      <c r="ESJ1997" s="55"/>
      <c r="ESK1997" s="55"/>
      <c r="ESL1997" s="55"/>
      <c r="ESM1997" s="55"/>
      <c r="ESN1997" s="55"/>
      <c r="ESO1997" s="55"/>
      <c r="ESP1997" s="55"/>
      <c r="ESQ1997" s="55"/>
      <c r="ESR1997" s="55"/>
      <c r="ESS1997" s="55"/>
      <c r="EST1997" s="55"/>
      <c r="ESU1997" s="55"/>
      <c r="ESV1997" s="55"/>
      <c r="ESW1997" s="55"/>
      <c r="ESX1997" s="55"/>
      <c r="ESY1997" s="55"/>
      <c r="ESZ1997" s="55"/>
      <c r="ETA1997" s="55"/>
      <c r="ETB1997" s="55"/>
      <c r="ETC1997" s="55"/>
      <c r="ETD1997" s="55"/>
      <c r="ETE1997" s="55"/>
      <c r="ETF1997" s="55"/>
      <c r="ETG1997" s="55"/>
      <c r="ETH1997" s="55"/>
      <c r="ETI1997" s="55"/>
      <c r="ETJ1997" s="55"/>
      <c r="ETK1997" s="55"/>
      <c r="ETL1997" s="55"/>
      <c r="ETM1997" s="55"/>
      <c r="ETN1997" s="55"/>
      <c r="ETO1997" s="55"/>
      <c r="ETP1997" s="55"/>
      <c r="ETQ1997" s="55"/>
      <c r="ETR1997" s="55"/>
      <c r="ETS1997" s="55"/>
      <c r="ETT1997" s="55"/>
      <c r="ETU1997" s="55"/>
      <c r="ETV1997" s="55"/>
      <c r="ETW1997" s="55"/>
      <c r="ETX1997" s="55"/>
      <c r="ETY1997" s="55"/>
      <c r="ETZ1997" s="55"/>
      <c r="EUA1997" s="55"/>
      <c r="EUB1997" s="55"/>
      <c r="EUC1997" s="55"/>
      <c r="EUD1997" s="55"/>
      <c r="EUE1997" s="55"/>
      <c r="EUF1997" s="55"/>
      <c r="EUG1997" s="55"/>
      <c r="EUH1997" s="55"/>
      <c r="EUI1997" s="55"/>
      <c r="EUJ1997" s="55"/>
      <c r="EUK1997" s="55"/>
      <c r="EUL1997" s="55"/>
      <c r="EUM1997" s="55"/>
      <c r="EUN1997" s="55"/>
      <c r="EUO1997" s="55"/>
      <c r="EUP1997" s="55"/>
      <c r="EUQ1997" s="55"/>
      <c r="EUR1997" s="55"/>
      <c r="EUS1997" s="55"/>
      <c r="EUT1997" s="55"/>
      <c r="EUU1997" s="55"/>
      <c r="EUV1997" s="55"/>
      <c r="EUW1997" s="55"/>
      <c r="EUX1997" s="55"/>
      <c r="EUY1997" s="55"/>
      <c r="EUZ1997" s="55"/>
      <c r="EVA1997" s="55"/>
      <c r="EVB1997" s="55"/>
      <c r="EVC1997" s="55"/>
      <c r="EVD1997" s="55"/>
      <c r="EVE1997" s="55"/>
      <c r="EVF1997" s="55"/>
      <c r="EVG1997" s="55"/>
      <c r="EVH1997" s="55"/>
      <c r="EVI1997" s="55"/>
      <c r="EVJ1997" s="55"/>
      <c r="EVK1997" s="55"/>
      <c r="EVL1997" s="55"/>
      <c r="EVM1997" s="55"/>
      <c r="EVN1997" s="55"/>
      <c r="EVO1997" s="55"/>
      <c r="EVP1997" s="55"/>
      <c r="EVQ1997" s="55"/>
      <c r="EVR1997" s="55"/>
      <c r="EVS1997" s="55"/>
      <c r="EVT1997" s="55"/>
      <c r="EVU1997" s="55"/>
      <c r="EVV1997" s="55"/>
      <c r="EVW1997" s="55"/>
      <c r="EVX1997" s="55"/>
      <c r="EVY1997" s="55"/>
      <c r="EVZ1997" s="55"/>
      <c r="EWA1997" s="55"/>
      <c r="EWB1997" s="55"/>
      <c r="EWC1997" s="55"/>
      <c r="EWD1997" s="55"/>
      <c r="EWE1997" s="55"/>
      <c r="EWF1997" s="55"/>
      <c r="EWG1997" s="55"/>
      <c r="EWH1997" s="55"/>
      <c r="EWI1997" s="55"/>
      <c r="EWJ1997" s="55"/>
      <c r="EWK1997" s="55"/>
      <c r="EWL1997" s="55"/>
      <c r="EWM1997" s="55"/>
      <c r="EWN1997" s="55"/>
      <c r="EWO1997" s="55"/>
      <c r="EWP1997" s="55"/>
      <c r="EWQ1997" s="55"/>
      <c r="EWR1997" s="55"/>
      <c r="EWS1997" s="55"/>
      <c r="EWT1997" s="55"/>
      <c r="EWU1997" s="55"/>
      <c r="EWV1997" s="55"/>
      <c r="EWW1997" s="55"/>
      <c r="EWX1997" s="55"/>
      <c r="EWY1997" s="55"/>
      <c r="EWZ1997" s="55"/>
      <c r="EXA1997" s="55"/>
      <c r="EXB1997" s="55"/>
      <c r="EXC1997" s="55"/>
      <c r="EXD1997" s="55"/>
      <c r="EXE1997" s="55"/>
      <c r="EXF1997" s="55"/>
      <c r="EXG1997" s="55"/>
      <c r="EXH1997" s="55"/>
      <c r="EXI1997" s="55"/>
      <c r="EXJ1997" s="55"/>
      <c r="EXK1997" s="55"/>
      <c r="EXL1997" s="55"/>
      <c r="EXM1997" s="55"/>
      <c r="EXN1997" s="55"/>
      <c r="EXO1997" s="55"/>
      <c r="EXP1997" s="55"/>
      <c r="EXQ1997" s="55"/>
      <c r="EXR1997" s="55"/>
      <c r="EXS1997" s="55"/>
      <c r="EXT1997" s="55"/>
      <c r="EXU1997" s="55"/>
      <c r="EXV1997" s="55"/>
      <c r="EXW1997" s="55"/>
      <c r="EXX1997" s="55"/>
      <c r="EXY1997" s="55"/>
      <c r="EXZ1997" s="55"/>
      <c r="EYA1997" s="55"/>
      <c r="EYB1997" s="55"/>
      <c r="EYC1997" s="55"/>
      <c r="EYD1997" s="55"/>
      <c r="EYE1997" s="55"/>
      <c r="EYF1997" s="55"/>
      <c r="EYG1997" s="55"/>
      <c r="EYH1997" s="55"/>
      <c r="EYI1997" s="55"/>
      <c r="EYJ1997" s="55"/>
      <c r="EYK1997" s="55"/>
      <c r="EYL1997" s="55"/>
      <c r="EYM1997" s="55"/>
      <c r="EYN1997" s="55"/>
      <c r="EYO1997" s="55"/>
      <c r="EYP1997" s="55"/>
      <c r="EYQ1997" s="55"/>
      <c r="EYR1997" s="55"/>
      <c r="EYS1997" s="55"/>
      <c r="EYT1997" s="55"/>
      <c r="EYU1997" s="55"/>
      <c r="EYV1997" s="55"/>
      <c r="EYW1997" s="55"/>
      <c r="EYX1997" s="55"/>
      <c r="EYY1997" s="55"/>
      <c r="EYZ1997" s="55"/>
      <c r="EZA1997" s="55"/>
      <c r="EZB1997" s="55"/>
      <c r="EZC1997" s="55"/>
      <c r="EZD1997" s="55"/>
      <c r="EZE1997" s="55"/>
      <c r="EZF1997" s="55"/>
      <c r="EZG1997" s="55"/>
      <c r="EZH1997" s="55"/>
      <c r="EZI1997" s="55"/>
      <c r="EZJ1997" s="55"/>
      <c r="EZK1997" s="55"/>
      <c r="EZL1997" s="55"/>
      <c r="EZM1997" s="55"/>
      <c r="EZN1997" s="55"/>
      <c r="EZO1997" s="55"/>
      <c r="EZP1997" s="55"/>
      <c r="EZQ1997" s="55"/>
      <c r="EZR1997" s="55"/>
      <c r="EZS1997" s="55"/>
      <c r="EZT1997" s="55"/>
      <c r="EZU1997" s="55"/>
      <c r="EZV1997" s="55"/>
      <c r="EZW1997" s="55"/>
      <c r="EZX1997" s="55"/>
      <c r="EZY1997" s="55"/>
      <c r="EZZ1997" s="55"/>
      <c r="FAA1997" s="55"/>
      <c r="FAB1997" s="55"/>
      <c r="FAC1997" s="55"/>
      <c r="FAD1997" s="55"/>
      <c r="FAE1997" s="55"/>
      <c r="FAF1997" s="55"/>
      <c r="FAG1997" s="55"/>
      <c r="FAH1997" s="55"/>
      <c r="FAI1997" s="55"/>
      <c r="FAJ1997" s="55"/>
      <c r="FAK1997" s="55"/>
      <c r="FAL1997" s="55"/>
      <c r="FAM1997" s="55"/>
      <c r="FAN1997" s="55"/>
      <c r="FAO1997" s="55"/>
      <c r="FAP1997" s="55"/>
      <c r="FAQ1997" s="55"/>
      <c r="FAR1997" s="55"/>
      <c r="FAS1997" s="55"/>
      <c r="FAT1997" s="55"/>
      <c r="FAU1997" s="55"/>
      <c r="FAV1997" s="55"/>
      <c r="FAW1997" s="55"/>
      <c r="FAX1997" s="55"/>
      <c r="FAY1997" s="55"/>
      <c r="FAZ1997" s="55"/>
      <c r="FBA1997" s="55"/>
      <c r="FBB1997" s="55"/>
      <c r="FBC1997" s="55"/>
      <c r="FBD1997" s="55"/>
      <c r="FBE1997" s="55"/>
      <c r="FBF1997" s="55"/>
      <c r="FBG1997" s="55"/>
      <c r="FBH1997" s="55"/>
      <c r="FBI1997" s="55"/>
      <c r="FBJ1997" s="55"/>
      <c r="FBK1997" s="55"/>
      <c r="FBL1997" s="55"/>
      <c r="FBM1997" s="55"/>
      <c r="FBN1997" s="55"/>
      <c r="FBO1997" s="55"/>
      <c r="FBP1997" s="55"/>
      <c r="FBQ1997" s="55"/>
      <c r="FBR1997" s="55"/>
      <c r="FBS1997" s="55"/>
      <c r="FBT1997" s="55"/>
      <c r="FBU1997" s="55"/>
      <c r="FBV1997" s="55"/>
      <c r="FBW1997" s="55"/>
      <c r="FBX1997" s="55"/>
      <c r="FBY1997" s="55"/>
      <c r="FBZ1997" s="55"/>
      <c r="FCA1997" s="55"/>
      <c r="FCB1997" s="55"/>
      <c r="FCC1997" s="55"/>
      <c r="FCD1997" s="55"/>
      <c r="FCE1997" s="55"/>
      <c r="FCF1997" s="55"/>
      <c r="FCG1997" s="55"/>
      <c r="FCH1997" s="55"/>
      <c r="FCI1997" s="55"/>
      <c r="FCJ1997" s="55"/>
      <c r="FCK1997" s="55"/>
      <c r="FCL1997" s="55"/>
      <c r="FCM1997" s="55"/>
      <c r="FCN1997" s="55"/>
      <c r="FCO1997" s="55"/>
      <c r="FCP1997" s="55"/>
      <c r="FCQ1997" s="55"/>
      <c r="FCR1997" s="55"/>
      <c r="FCS1997" s="55"/>
      <c r="FCT1997" s="55"/>
      <c r="FCU1997" s="55"/>
      <c r="FCV1997" s="55"/>
      <c r="FCW1997" s="55"/>
      <c r="FCX1997" s="55"/>
      <c r="FCY1997" s="55"/>
      <c r="FCZ1997" s="55"/>
      <c r="FDA1997" s="55"/>
      <c r="FDB1997" s="55"/>
      <c r="FDC1997" s="55"/>
      <c r="FDD1997" s="55"/>
      <c r="FDE1997" s="55"/>
      <c r="FDF1997" s="55"/>
      <c r="FDG1997" s="55"/>
      <c r="FDH1997" s="55"/>
      <c r="FDI1997" s="55"/>
      <c r="FDJ1997" s="55"/>
      <c r="FDK1997" s="55"/>
      <c r="FDL1997" s="55"/>
      <c r="FDM1997" s="55"/>
      <c r="FDN1997" s="55"/>
      <c r="FDO1997" s="55"/>
      <c r="FDP1997" s="55"/>
      <c r="FDQ1997" s="55"/>
      <c r="FDR1997" s="55"/>
      <c r="FDS1997" s="55"/>
      <c r="FDT1997" s="55"/>
      <c r="FDU1997" s="55"/>
      <c r="FDV1997" s="55"/>
      <c r="FDW1997" s="55"/>
      <c r="FDX1997" s="55"/>
      <c r="FDY1997" s="55"/>
      <c r="FDZ1997" s="55"/>
      <c r="FEA1997" s="55"/>
      <c r="FEB1997" s="55"/>
      <c r="FEC1997" s="55"/>
      <c r="FED1997" s="55"/>
      <c r="FEE1997" s="55"/>
      <c r="FEF1997" s="55"/>
      <c r="FEG1997" s="55"/>
      <c r="FEH1997" s="55"/>
      <c r="FEI1997" s="55"/>
      <c r="FEJ1997" s="55"/>
      <c r="FEK1997" s="55"/>
      <c r="FEL1997" s="55"/>
      <c r="FEM1997" s="55"/>
      <c r="FEN1997" s="55"/>
      <c r="FEO1997" s="55"/>
      <c r="FEP1997" s="55"/>
      <c r="FEQ1997" s="55"/>
      <c r="FER1997" s="55"/>
      <c r="FES1997" s="55"/>
      <c r="FET1997" s="55"/>
      <c r="FEU1997" s="55"/>
      <c r="FEV1997" s="55"/>
      <c r="FEW1997" s="55"/>
      <c r="FEX1997" s="55"/>
      <c r="FEY1997" s="55"/>
      <c r="FEZ1997" s="55"/>
      <c r="FFA1997" s="55"/>
      <c r="FFB1997" s="55"/>
      <c r="FFC1997" s="55"/>
      <c r="FFD1997" s="55"/>
      <c r="FFE1997" s="55"/>
      <c r="FFF1997" s="55"/>
      <c r="FFG1997" s="55"/>
      <c r="FFH1997" s="55"/>
      <c r="FFI1997" s="55"/>
      <c r="FFJ1997" s="55"/>
      <c r="FFK1997" s="55"/>
      <c r="FFL1997" s="55"/>
      <c r="FFM1997" s="55"/>
      <c r="FFN1997" s="55"/>
      <c r="FFO1997" s="55"/>
      <c r="FFP1997" s="55"/>
      <c r="FFQ1997" s="55"/>
      <c r="FFR1997" s="55"/>
      <c r="FFS1997" s="55"/>
      <c r="FFT1997" s="55"/>
      <c r="FFU1997" s="55"/>
      <c r="FFV1997" s="55"/>
      <c r="FFW1997" s="55"/>
      <c r="FFX1997" s="55"/>
      <c r="FFY1997" s="55"/>
      <c r="FFZ1997" s="55"/>
      <c r="FGA1997" s="55"/>
      <c r="FGB1997" s="55"/>
      <c r="FGC1997" s="55"/>
      <c r="FGD1997" s="55"/>
      <c r="FGE1997" s="55"/>
      <c r="FGF1997" s="55"/>
      <c r="FGG1997" s="55"/>
      <c r="FGH1997" s="55"/>
      <c r="FGI1997" s="55"/>
      <c r="FGJ1997" s="55"/>
      <c r="FGK1997" s="55"/>
      <c r="FGL1997" s="55"/>
      <c r="FGM1997" s="55"/>
      <c r="FGN1997" s="55"/>
      <c r="FGO1997" s="55"/>
      <c r="FGP1997" s="55"/>
      <c r="FGQ1997" s="55"/>
      <c r="FGR1997" s="55"/>
      <c r="FGS1997" s="55"/>
      <c r="FGT1997" s="55"/>
      <c r="FGU1997" s="55"/>
      <c r="FGV1997" s="55"/>
      <c r="FGW1997" s="55"/>
      <c r="FGX1997" s="55"/>
      <c r="FGY1997" s="55"/>
      <c r="FGZ1997" s="55"/>
      <c r="FHA1997" s="55"/>
      <c r="FHB1997" s="55"/>
      <c r="FHC1997" s="55"/>
      <c r="FHD1997" s="55"/>
      <c r="FHE1997" s="55"/>
      <c r="FHF1997" s="55"/>
      <c r="FHG1997" s="55"/>
      <c r="FHH1997" s="55"/>
      <c r="FHI1997" s="55"/>
      <c r="FHJ1997" s="55"/>
      <c r="FHK1997" s="55"/>
      <c r="FHL1997" s="55"/>
      <c r="FHM1997" s="55"/>
      <c r="FHN1997" s="55"/>
      <c r="FHO1997" s="55"/>
      <c r="FHP1997" s="55"/>
      <c r="FHQ1997" s="55"/>
      <c r="FHR1997" s="55"/>
      <c r="FHS1997" s="55"/>
      <c r="FHT1997" s="55"/>
      <c r="FHU1997" s="55"/>
      <c r="FHV1997" s="55"/>
      <c r="FHW1997" s="55"/>
      <c r="FHX1997" s="55"/>
      <c r="FHY1997" s="55"/>
      <c r="FHZ1997" s="55"/>
      <c r="FIA1997" s="55"/>
      <c r="FIB1997" s="55"/>
      <c r="FIC1997" s="55"/>
      <c r="FID1997" s="55"/>
      <c r="FIE1997" s="55"/>
      <c r="FIF1997" s="55"/>
      <c r="FIG1997" s="55"/>
      <c r="FIH1997" s="55"/>
      <c r="FII1997" s="55"/>
      <c r="FIJ1997" s="55"/>
      <c r="FIK1997" s="55"/>
      <c r="FIL1997" s="55"/>
      <c r="FIM1997" s="55"/>
      <c r="FIN1997" s="55"/>
      <c r="FIO1997" s="55"/>
      <c r="FIP1997" s="55"/>
      <c r="FIQ1997" s="55"/>
      <c r="FIR1997" s="55"/>
      <c r="FIS1997" s="55"/>
      <c r="FIT1997" s="55"/>
      <c r="FIU1997" s="55"/>
      <c r="FIV1997" s="55"/>
      <c r="FIW1997" s="55"/>
      <c r="FIX1997" s="55"/>
      <c r="FIY1997" s="55"/>
      <c r="FIZ1997" s="55"/>
      <c r="FJA1997" s="55"/>
      <c r="FJB1997" s="55"/>
      <c r="FJC1997" s="55"/>
      <c r="FJD1997" s="55"/>
      <c r="FJE1997" s="55"/>
      <c r="FJF1997" s="55"/>
      <c r="FJG1997" s="55"/>
      <c r="FJH1997" s="55"/>
      <c r="FJI1997" s="55"/>
      <c r="FJJ1997" s="55"/>
      <c r="FJK1997" s="55"/>
      <c r="FJL1997" s="55"/>
      <c r="FJM1997" s="55"/>
      <c r="FJN1997" s="55"/>
      <c r="FJO1997" s="55"/>
      <c r="FJP1997" s="55"/>
      <c r="FJQ1997" s="55"/>
      <c r="FJR1997" s="55"/>
      <c r="FJS1997" s="55"/>
      <c r="FJT1997" s="55"/>
      <c r="FJU1997" s="55"/>
      <c r="FJV1997" s="55"/>
      <c r="FJW1997" s="55"/>
      <c r="FJX1997" s="55"/>
      <c r="FJY1997" s="55"/>
      <c r="FJZ1997" s="55"/>
      <c r="FKA1997" s="55"/>
      <c r="FKB1997" s="55"/>
      <c r="FKC1997" s="55"/>
      <c r="FKD1997" s="55"/>
      <c r="FKE1997" s="55"/>
      <c r="FKF1997" s="55"/>
      <c r="FKG1997" s="55"/>
      <c r="FKH1997" s="55"/>
      <c r="FKI1997" s="55"/>
      <c r="FKJ1997" s="55"/>
      <c r="FKK1997" s="55"/>
      <c r="FKL1997" s="55"/>
      <c r="FKM1997" s="55"/>
      <c r="FKN1997" s="55"/>
      <c r="FKO1997" s="55"/>
      <c r="FKP1997" s="55"/>
      <c r="FKQ1997" s="55"/>
      <c r="FKR1997" s="55"/>
      <c r="FKS1997" s="55"/>
      <c r="FKT1997" s="55"/>
      <c r="FKU1997" s="55"/>
      <c r="FKV1997" s="55"/>
      <c r="FKW1997" s="55"/>
      <c r="FKX1997" s="55"/>
      <c r="FKY1997" s="55"/>
      <c r="FKZ1997" s="55"/>
      <c r="FLA1997" s="55"/>
      <c r="FLB1997" s="55"/>
      <c r="FLC1997" s="55"/>
      <c r="FLD1997" s="55"/>
      <c r="FLE1997" s="55"/>
      <c r="FLF1997" s="55"/>
      <c r="FLG1997" s="55"/>
      <c r="FLH1997" s="55"/>
      <c r="FLI1997" s="55"/>
      <c r="FLJ1997" s="55"/>
      <c r="FLK1997" s="55"/>
      <c r="FLL1997" s="55"/>
      <c r="FLM1997" s="55"/>
      <c r="FLN1997" s="55"/>
      <c r="FLO1997" s="55"/>
      <c r="FLP1997" s="55"/>
      <c r="FLQ1997" s="55"/>
      <c r="FLR1997" s="55"/>
      <c r="FLS1997" s="55"/>
      <c r="FLT1997" s="55"/>
      <c r="FLU1997" s="55"/>
      <c r="FLV1997" s="55"/>
      <c r="FLW1997" s="55"/>
      <c r="FLX1997" s="55"/>
      <c r="FLY1997" s="55"/>
      <c r="FLZ1997" s="55"/>
      <c r="FMA1997" s="55"/>
      <c r="FMB1997" s="55"/>
      <c r="FMC1997" s="55"/>
      <c r="FMD1997" s="55"/>
      <c r="FME1997" s="55"/>
      <c r="FMF1997" s="55"/>
      <c r="FMG1997" s="55"/>
      <c r="FMH1997" s="55"/>
      <c r="FMI1997" s="55"/>
      <c r="FMJ1997" s="55"/>
      <c r="FMK1997" s="55"/>
      <c r="FML1997" s="55"/>
      <c r="FMM1997" s="55"/>
      <c r="FMN1997" s="55"/>
      <c r="FMO1997" s="55"/>
      <c r="FMP1997" s="55"/>
      <c r="FMQ1997" s="55"/>
      <c r="FMR1997" s="55"/>
      <c r="FMS1997" s="55"/>
      <c r="FMT1997" s="55"/>
      <c r="FMU1997" s="55"/>
      <c r="FMV1997" s="55"/>
      <c r="FMW1997" s="55"/>
      <c r="FMX1997" s="55"/>
      <c r="FMY1997" s="55"/>
      <c r="FMZ1997" s="55"/>
      <c r="FNA1997" s="55"/>
      <c r="FNB1997" s="55"/>
      <c r="FNC1997" s="55"/>
      <c r="FND1997" s="55"/>
      <c r="FNE1997" s="55"/>
      <c r="FNF1997" s="55"/>
      <c r="FNG1997" s="55"/>
      <c r="FNH1997" s="55"/>
      <c r="FNI1997" s="55"/>
      <c r="FNJ1997" s="55"/>
      <c r="FNK1997" s="55"/>
      <c r="FNL1997" s="55"/>
      <c r="FNM1997" s="55"/>
      <c r="FNN1997" s="55"/>
      <c r="FNO1997" s="55"/>
      <c r="FNP1997" s="55"/>
      <c r="FNQ1997" s="55"/>
      <c r="FNR1997" s="55"/>
      <c r="FNS1997" s="55"/>
      <c r="FNT1997" s="55"/>
      <c r="FNU1997" s="55"/>
      <c r="FNV1997" s="55"/>
      <c r="FNW1997" s="55"/>
      <c r="FNX1997" s="55"/>
      <c r="FNY1997" s="55"/>
      <c r="FNZ1997" s="55"/>
      <c r="FOA1997" s="55"/>
      <c r="FOB1997" s="55"/>
      <c r="FOC1997" s="55"/>
      <c r="FOD1997" s="55"/>
      <c r="FOE1997" s="55"/>
      <c r="FOF1997" s="55"/>
      <c r="FOG1997" s="55"/>
      <c r="FOH1997" s="55"/>
      <c r="FOI1997" s="55"/>
      <c r="FOJ1997" s="55"/>
      <c r="FOK1997" s="55"/>
      <c r="FOL1997" s="55"/>
      <c r="FOM1997" s="55"/>
      <c r="FON1997" s="55"/>
      <c r="FOO1997" s="55"/>
      <c r="FOP1997" s="55"/>
      <c r="FOQ1997" s="55"/>
      <c r="FOR1997" s="55"/>
      <c r="FOS1997" s="55"/>
      <c r="FOT1997" s="55"/>
      <c r="FOU1997" s="55"/>
      <c r="FOV1997" s="55"/>
      <c r="FOW1997" s="55"/>
      <c r="FOX1997" s="55"/>
      <c r="FOY1997" s="55"/>
      <c r="FOZ1997" s="55"/>
      <c r="FPA1997" s="55"/>
      <c r="FPB1997" s="55"/>
      <c r="FPC1997" s="55"/>
      <c r="FPD1997" s="55"/>
      <c r="FPE1997" s="55"/>
      <c r="FPF1997" s="55"/>
      <c r="FPG1997" s="55"/>
      <c r="FPH1997" s="55"/>
      <c r="FPI1997" s="55"/>
      <c r="FPJ1997" s="55"/>
      <c r="FPK1997" s="55"/>
      <c r="FPL1997" s="55"/>
      <c r="FPM1997" s="55"/>
      <c r="FPN1997" s="55"/>
      <c r="FPO1997" s="55"/>
      <c r="FPP1997" s="55"/>
      <c r="FPQ1997" s="55"/>
      <c r="FPR1997" s="55"/>
      <c r="FPS1997" s="55"/>
      <c r="FPT1997" s="55"/>
      <c r="FPU1997" s="55"/>
      <c r="FPV1997" s="55"/>
      <c r="FPW1997" s="55"/>
      <c r="FPX1997" s="55"/>
      <c r="FPY1997" s="55"/>
      <c r="FPZ1997" s="55"/>
      <c r="FQA1997" s="55"/>
      <c r="FQB1997" s="55"/>
      <c r="FQC1997" s="55"/>
      <c r="FQD1997" s="55"/>
      <c r="FQE1997" s="55"/>
      <c r="FQF1997" s="55"/>
      <c r="FQG1997" s="55"/>
      <c r="FQH1997" s="55"/>
      <c r="FQI1997" s="55"/>
      <c r="FQJ1997" s="55"/>
      <c r="FQK1997" s="55"/>
      <c r="FQL1997" s="55"/>
      <c r="FQM1997" s="55"/>
      <c r="FQN1997" s="55"/>
      <c r="FQO1997" s="55"/>
      <c r="FQP1997" s="55"/>
      <c r="FQQ1997" s="55"/>
      <c r="FQR1997" s="55"/>
      <c r="FQS1997" s="55"/>
      <c r="FQT1997" s="55"/>
      <c r="FQU1997" s="55"/>
      <c r="FQV1997" s="55"/>
      <c r="FQW1997" s="55"/>
      <c r="FQX1997" s="55"/>
      <c r="FQY1997" s="55"/>
      <c r="FQZ1997" s="55"/>
      <c r="FRA1997" s="55"/>
      <c r="FRB1997" s="55"/>
      <c r="FRC1997" s="55"/>
      <c r="FRD1997" s="55"/>
      <c r="FRE1997" s="55"/>
      <c r="FRF1997" s="55"/>
      <c r="FRG1997" s="55"/>
      <c r="FRH1997" s="55"/>
      <c r="FRI1997" s="55"/>
      <c r="FRJ1997" s="55"/>
      <c r="FRK1997" s="55"/>
      <c r="FRL1997" s="55"/>
      <c r="FRM1997" s="55"/>
      <c r="FRN1997" s="55"/>
      <c r="FRO1997" s="55"/>
      <c r="FRP1997" s="55"/>
      <c r="FRQ1997" s="55"/>
      <c r="FRR1997" s="55"/>
      <c r="FRS1997" s="55"/>
      <c r="FRT1997" s="55"/>
      <c r="FRU1997" s="55"/>
      <c r="FRV1997" s="55"/>
      <c r="FRW1997" s="55"/>
      <c r="FRX1997" s="55"/>
      <c r="FRY1997" s="55"/>
      <c r="FRZ1997" s="55"/>
      <c r="FSA1997" s="55"/>
      <c r="FSB1997" s="55"/>
      <c r="FSC1997" s="55"/>
      <c r="FSD1997" s="55"/>
      <c r="FSE1997" s="55"/>
      <c r="FSF1997" s="55"/>
      <c r="FSG1997" s="55"/>
      <c r="FSH1997" s="55"/>
      <c r="FSI1997" s="55"/>
      <c r="FSJ1997" s="55"/>
      <c r="FSK1997" s="55"/>
      <c r="FSL1997" s="55"/>
      <c r="FSM1997" s="55"/>
      <c r="FSN1997" s="55"/>
      <c r="FSO1997" s="55"/>
      <c r="FSP1997" s="55"/>
      <c r="FSQ1997" s="55"/>
      <c r="FSR1997" s="55"/>
      <c r="FSS1997" s="55"/>
      <c r="FST1997" s="55"/>
      <c r="FSU1997" s="55"/>
      <c r="FSV1997" s="55"/>
      <c r="FSW1997" s="55"/>
      <c r="FSX1997" s="55"/>
      <c r="FSY1997" s="55"/>
      <c r="FSZ1997" s="55"/>
      <c r="FTA1997" s="55"/>
      <c r="FTB1997" s="55"/>
      <c r="FTC1997" s="55"/>
      <c r="FTD1997" s="55"/>
      <c r="FTE1997" s="55"/>
      <c r="FTF1997" s="55"/>
      <c r="FTG1997" s="55"/>
      <c r="FTH1997" s="55"/>
      <c r="FTI1997" s="55"/>
      <c r="FTJ1997" s="55"/>
      <c r="FTK1997" s="55"/>
      <c r="FTL1997" s="55"/>
      <c r="FTM1997" s="55"/>
      <c r="FTN1997" s="55"/>
      <c r="FTO1997" s="55"/>
      <c r="FTP1997" s="55"/>
      <c r="FTQ1997" s="55"/>
      <c r="FTR1997" s="55"/>
      <c r="FTS1997" s="55"/>
      <c r="FTT1997" s="55"/>
      <c r="FTU1997" s="55"/>
      <c r="FTV1997" s="55"/>
      <c r="FTW1997" s="55"/>
      <c r="FTX1997" s="55"/>
      <c r="FTY1997" s="55"/>
      <c r="FTZ1997" s="55"/>
      <c r="FUA1997" s="55"/>
      <c r="FUB1997" s="55"/>
      <c r="FUC1997" s="55"/>
      <c r="FUD1997" s="55"/>
      <c r="FUE1997" s="55"/>
      <c r="FUF1997" s="55"/>
      <c r="FUG1997" s="55"/>
      <c r="FUH1997" s="55"/>
      <c r="FUI1997" s="55"/>
      <c r="FUJ1997" s="55"/>
      <c r="FUK1997" s="55"/>
      <c r="FUL1997" s="55"/>
      <c r="FUM1997" s="55"/>
      <c r="FUN1997" s="55"/>
      <c r="FUO1997" s="55"/>
      <c r="FUP1997" s="55"/>
      <c r="FUQ1997" s="55"/>
      <c r="FUR1997" s="55"/>
      <c r="FUS1997" s="55"/>
      <c r="FUT1997" s="55"/>
      <c r="FUU1997" s="55"/>
      <c r="FUV1997" s="55"/>
      <c r="FUW1997" s="55"/>
      <c r="FUX1997" s="55"/>
      <c r="FUY1997" s="55"/>
      <c r="FUZ1997" s="55"/>
      <c r="FVA1997" s="55"/>
      <c r="FVB1997" s="55"/>
      <c r="FVC1997" s="55"/>
      <c r="FVD1997" s="55"/>
      <c r="FVE1997" s="55"/>
      <c r="FVF1997" s="55"/>
      <c r="FVG1997" s="55"/>
      <c r="FVH1997" s="55"/>
      <c r="FVI1997" s="55"/>
      <c r="FVJ1997" s="55"/>
      <c r="FVK1997" s="55"/>
      <c r="FVL1997" s="55"/>
      <c r="FVM1997" s="55"/>
      <c r="FVN1997" s="55"/>
      <c r="FVO1997" s="55"/>
      <c r="FVP1997" s="55"/>
      <c r="FVQ1997" s="55"/>
      <c r="FVR1997" s="55"/>
      <c r="FVS1997" s="55"/>
      <c r="FVT1997" s="55"/>
      <c r="FVU1997" s="55"/>
      <c r="FVV1997" s="55"/>
      <c r="FVW1997" s="55"/>
      <c r="FVX1997" s="55"/>
      <c r="FVY1997" s="55"/>
      <c r="FVZ1997" s="55"/>
      <c r="FWA1997" s="55"/>
      <c r="FWB1997" s="55"/>
      <c r="FWC1997" s="55"/>
      <c r="FWD1997" s="55"/>
      <c r="FWE1997" s="55"/>
      <c r="FWF1997" s="55"/>
      <c r="FWG1997" s="55"/>
      <c r="FWH1997" s="55"/>
      <c r="FWI1997" s="55"/>
      <c r="FWJ1997" s="55"/>
      <c r="FWK1997" s="55"/>
      <c r="FWL1997" s="55"/>
      <c r="FWM1997" s="55"/>
      <c r="FWN1997" s="55"/>
      <c r="FWO1997" s="55"/>
      <c r="FWP1997" s="55"/>
      <c r="FWQ1997" s="55"/>
      <c r="FWR1997" s="55"/>
      <c r="FWS1997" s="55"/>
      <c r="FWT1997" s="55"/>
      <c r="FWU1997" s="55"/>
      <c r="FWV1997" s="55"/>
      <c r="FWW1997" s="55"/>
      <c r="FWX1997" s="55"/>
      <c r="FWY1997" s="55"/>
      <c r="FWZ1997" s="55"/>
      <c r="FXA1997" s="55"/>
      <c r="FXB1997" s="55"/>
      <c r="FXC1997" s="55"/>
      <c r="FXD1997" s="55"/>
      <c r="FXE1997" s="55"/>
      <c r="FXF1997" s="55"/>
      <c r="FXG1997" s="55"/>
      <c r="FXH1997" s="55"/>
      <c r="FXI1997" s="55"/>
      <c r="FXJ1997" s="55"/>
      <c r="FXK1997" s="55"/>
      <c r="FXL1997" s="55"/>
      <c r="FXM1997" s="55"/>
      <c r="FXN1997" s="55"/>
      <c r="FXO1997" s="55"/>
      <c r="FXP1997" s="55"/>
      <c r="FXQ1997" s="55"/>
      <c r="FXR1997" s="55"/>
      <c r="FXS1997" s="55"/>
      <c r="FXT1997" s="55"/>
      <c r="FXU1997" s="55"/>
      <c r="FXV1997" s="55"/>
      <c r="FXW1997" s="55"/>
      <c r="FXX1997" s="55"/>
      <c r="FXY1997" s="55"/>
      <c r="FXZ1997" s="55"/>
      <c r="FYA1997" s="55"/>
      <c r="FYB1997" s="55"/>
      <c r="FYC1997" s="55"/>
      <c r="FYD1997" s="55"/>
      <c r="FYE1997" s="55"/>
      <c r="FYF1997" s="55"/>
      <c r="FYG1997" s="55"/>
      <c r="FYH1997" s="55"/>
      <c r="FYI1997" s="55"/>
      <c r="FYJ1997" s="55"/>
      <c r="FYK1997" s="55"/>
      <c r="FYL1997" s="55"/>
      <c r="FYM1997" s="55"/>
      <c r="FYN1997" s="55"/>
      <c r="FYO1997" s="55"/>
      <c r="FYP1997" s="55"/>
      <c r="FYQ1997" s="55"/>
      <c r="FYR1997" s="55"/>
      <c r="FYS1997" s="55"/>
      <c r="FYT1997" s="55"/>
      <c r="FYU1997" s="55"/>
      <c r="FYV1997" s="55"/>
      <c r="FYW1997" s="55"/>
      <c r="FYX1997" s="55"/>
      <c r="FYY1997" s="55"/>
      <c r="FYZ1997" s="55"/>
      <c r="FZA1997" s="55"/>
      <c r="FZB1997" s="55"/>
      <c r="FZC1997" s="55"/>
      <c r="FZD1997" s="55"/>
      <c r="FZE1997" s="55"/>
      <c r="FZF1997" s="55"/>
      <c r="FZG1997" s="55"/>
      <c r="FZH1997" s="55"/>
      <c r="FZI1997" s="55"/>
      <c r="FZJ1997" s="55"/>
      <c r="FZK1997" s="55"/>
      <c r="FZL1997" s="55"/>
      <c r="FZM1997" s="55"/>
      <c r="FZN1997" s="55"/>
      <c r="FZO1997" s="55"/>
      <c r="FZP1997" s="55"/>
      <c r="FZQ1997" s="55"/>
      <c r="FZR1997" s="55"/>
      <c r="FZS1997" s="55"/>
      <c r="FZT1997" s="55"/>
      <c r="FZU1997" s="55"/>
      <c r="FZV1997" s="55"/>
      <c r="FZW1997" s="55"/>
      <c r="FZX1997" s="55"/>
      <c r="FZY1997" s="55"/>
      <c r="FZZ1997" s="55"/>
      <c r="GAA1997" s="55"/>
      <c r="GAB1997" s="55"/>
      <c r="GAC1997" s="55"/>
      <c r="GAD1997" s="55"/>
      <c r="GAE1997" s="55"/>
      <c r="GAF1997" s="55"/>
      <c r="GAG1997" s="55"/>
      <c r="GAH1997" s="55"/>
      <c r="GAI1997" s="55"/>
      <c r="GAJ1997" s="55"/>
      <c r="GAK1997" s="55"/>
      <c r="GAL1997" s="55"/>
      <c r="GAM1997" s="55"/>
      <c r="GAN1997" s="55"/>
      <c r="GAO1997" s="55"/>
      <c r="GAP1997" s="55"/>
      <c r="GAQ1997" s="55"/>
      <c r="GAR1997" s="55"/>
      <c r="GAS1997" s="55"/>
      <c r="GAT1997" s="55"/>
      <c r="GAU1997" s="55"/>
      <c r="GAV1997" s="55"/>
      <c r="GAW1997" s="55"/>
      <c r="GAX1997" s="55"/>
      <c r="GAY1997" s="55"/>
      <c r="GAZ1997" s="55"/>
      <c r="GBA1997" s="55"/>
      <c r="GBB1997" s="55"/>
      <c r="GBC1997" s="55"/>
      <c r="GBD1997" s="55"/>
      <c r="GBE1997" s="55"/>
      <c r="GBF1997" s="55"/>
      <c r="GBG1997" s="55"/>
      <c r="GBH1997" s="55"/>
      <c r="GBI1997" s="55"/>
      <c r="GBJ1997" s="55"/>
      <c r="GBK1997" s="55"/>
      <c r="GBL1997" s="55"/>
      <c r="GBM1997" s="55"/>
      <c r="GBN1997" s="55"/>
      <c r="GBO1997" s="55"/>
      <c r="GBP1997" s="55"/>
      <c r="GBQ1997" s="55"/>
      <c r="GBR1997" s="55"/>
      <c r="GBS1997" s="55"/>
      <c r="GBT1997" s="55"/>
      <c r="GBU1997" s="55"/>
      <c r="GBV1997" s="55"/>
      <c r="GBW1997" s="55"/>
      <c r="GBX1997" s="55"/>
      <c r="GBY1997" s="55"/>
      <c r="GBZ1997" s="55"/>
      <c r="GCA1997" s="55"/>
      <c r="GCB1997" s="55"/>
      <c r="GCC1997" s="55"/>
      <c r="GCD1997" s="55"/>
      <c r="GCE1997" s="55"/>
      <c r="GCF1997" s="55"/>
      <c r="GCG1997" s="55"/>
      <c r="GCH1997" s="55"/>
      <c r="GCI1997" s="55"/>
      <c r="GCJ1997" s="55"/>
      <c r="GCK1997" s="55"/>
      <c r="GCL1997" s="55"/>
      <c r="GCM1997" s="55"/>
      <c r="GCN1997" s="55"/>
      <c r="GCO1997" s="55"/>
      <c r="GCP1997" s="55"/>
      <c r="GCQ1997" s="55"/>
      <c r="GCR1997" s="55"/>
      <c r="GCS1997" s="55"/>
      <c r="GCT1997" s="55"/>
      <c r="GCU1997" s="55"/>
      <c r="GCV1997" s="55"/>
      <c r="GCW1997" s="55"/>
      <c r="GCX1997" s="55"/>
      <c r="GCY1997" s="55"/>
      <c r="GCZ1997" s="55"/>
      <c r="GDA1997" s="55"/>
      <c r="GDB1997" s="55"/>
      <c r="GDC1997" s="55"/>
      <c r="GDD1997" s="55"/>
      <c r="GDE1997" s="55"/>
      <c r="GDF1997" s="55"/>
      <c r="GDG1997" s="55"/>
      <c r="GDH1997" s="55"/>
      <c r="GDI1997" s="55"/>
      <c r="GDJ1997" s="55"/>
      <c r="GDK1997" s="55"/>
      <c r="GDL1997" s="55"/>
      <c r="GDM1997" s="55"/>
      <c r="GDN1997" s="55"/>
      <c r="GDO1997" s="55"/>
      <c r="GDP1997" s="55"/>
      <c r="GDQ1997" s="55"/>
      <c r="GDR1997" s="55"/>
      <c r="GDS1997" s="55"/>
      <c r="GDT1997" s="55"/>
      <c r="GDU1997" s="55"/>
      <c r="GDV1997" s="55"/>
      <c r="GDW1997" s="55"/>
      <c r="GDX1997" s="55"/>
      <c r="GDY1997" s="55"/>
      <c r="GDZ1997" s="55"/>
      <c r="GEA1997" s="55"/>
      <c r="GEB1997" s="55"/>
      <c r="GEC1997" s="55"/>
      <c r="GED1997" s="55"/>
      <c r="GEE1997" s="55"/>
      <c r="GEF1997" s="55"/>
      <c r="GEG1997" s="55"/>
      <c r="GEH1997" s="55"/>
      <c r="GEI1997" s="55"/>
      <c r="GEJ1997" s="55"/>
      <c r="GEK1997" s="55"/>
      <c r="GEL1997" s="55"/>
      <c r="GEM1997" s="55"/>
      <c r="GEN1997" s="55"/>
      <c r="GEO1997" s="55"/>
      <c r="GEP1997" s="55"/>
      <c r="GEQ1997" s="55"/>
      <c r="GER1997" s="55"/>
      <c r="GES1997" s="55"/>
      <c r="GET1997" s="55"/>
      <c r="GEU1997" s="55"/>
      <c r="GEV1997" s="55"/>
      <c r="GEW1997" s="55"/>
      <c r="GEX1997" s="55"/>
      <c r="GEY1997" s="55"/>
      <c r="GEZ1997" s="55"/>
      <c r="GFA1997" s="55"/>
      <c r="GFB1997" s="55"/>
      <c r="GFC1997" s="55"/>
      <c r="GFD1997" s="55"/>
      <c r="GFE1997" s="55"/>
      <c r="GFF1997" s="55"/>
      <c r="GFG1997" s="55"/>
      <c r="GFH1997" s="55"/>
      <c r="GFI1997" s="55"/>
      <c r="GFJ1997" s="55"/>
      <c r="GFK1997" s="55"/>
      <c r="GFL1997" s="55"/>
      <c r="GFM1997" s="55"/>
      <c r="GFN1997" s="55"/>
      <c r="GFO1997" s="55"/>
      <c r="GFP1997" s="55"/>
      <c r="GFQ1997" s="55"/>
      <c r="GFR1997" s="55"/>
      <c r="GFS1997" s="55"/>
      <c r="GFT1997" s="55"/>
      <c r="GFU1997" s="55"/>
      <c r="GFV1997" s="55"/>
      <c r="GFW1997" s="55"/>
      <c r="GFX1997" s="55"/>
      <c r="GFY1997" s="55"/>
      <c r="GFZ1997" s="55"/>
      <c r="GGA1997" s="55"/>
      <c r="GGB1997" s="55"/>
      <c r="GGC1997" s="55"/>
      <c r="GGD1997" s="55"/>
      <c r="GGE1997" s="55"/>
      <c r="GGF1997" s="55"/>
      <c r="GGG1997" s="55"/>
      <c r="GGH1997" s="55"/>
      <c r="GGI1997" s="55"/>
      <c r="GGJ1997" s="55"/>
      <c r="GGK1997" s="55"/>
      <c r="GGL1997" s="55"/>
      <c r="GGM1997" s="55"/>
      <c r="GGN1997" s="55"/>
      <c r="GGO1997" s="55"/>
      <c r="GGP1997" s="55"/>
      <c r="GGQ1997" s="55"/>
      <c r="GGR1997" s="55"/>
      <c r="GGS1997" s="55"/>
      <c r="GGT1997" s="55"/>
      <c r="GGU1997" s="55"/>
      <c r="GGV1997" s="55"/>
      <c r="GGW1997" s="55"/>
      <c r="GGX1997" s="55"/>
      <c r="GGY1997" s="55"/>
      <c r="GGZ1997" s="55"/>
      <c r="GHA1997" s="55"/>
      <c r="GHB1997" s="55"/>
      <c r="GHC1997" s="55"/>
      <c r="GHD1997" s="55"/>
      <c r="GHE1997" s="55"/>
      <c r="GHF1997" s="55"/>
      <c r="GHG1997" s="55"/>
      <c r="GHH1997" s="55"/>
      <c r="GHI1997" s="55"/>
      <c r="GHJ1997" s="55"/>
      <c r="GHK1997" s="55"/>
      <c r="GHL1997" s="55"/>
      <c r="GHM1997" s="55"/>
      <c r="GHN1997" s="55"/>
      <c r="GHO1997" s="55"/>
      <c r="GHP1997" s="55"/>
      <c r="GHQ1997" s="55"/>
      <c r="GHR1997" s="55"/>
      <c r="GHS1997" s="55"/>
      <c r="GHT1997" s="55"/>
      <c r="GHU1997" s="55"/>
      <c r="GHV1997" s="55"/>
      <c r="GHW1997" s="55"/>
      <c r="GHX1997" s="55"/>
      <c r="GHY1997" s="55"/>
      <c r="GHZ1997" s="55"/>
      <c r="GIA1997" s="55"/>
      <c r="GIB1997" s="55"/>
      <c r="GIC1997" s="55"/>
      <c r="GID1997" s="55"/>
      <c r="GIE1997" s="55"/>
      <c r="GIF1997" s="55"/>
      <c r="GIG1997" s="55"/>
      <c r="GIH1997" s="55"/>
      <c r="GII1997" s="55"/>
      <c r="GIJ1997" s="55"/>
      <c r="GIK1997" s="55"/>
      <c r="GIL1997" s="55"/>
      <c r="GIM1997" s="55"/>
      <c r="GIN1997" s="55"/>
      <c r="GIO1997" s="55"/>
      <c r="GIP1997" s="55"/>
      <c r="GIQ1997" s="55"/>
      <c r="GIR1997" s="55"/>
      <c r="GIS1997" s="55"/>
      <c r="GIT1997" s="55"/>
      <c r="GIU1997" s="55"/>
      <c r="GIV1997" s="55"/>
      <c r="GIW1997" s="55"/>
      <c r="GIX1997" s="55"/>
      <c r="GIY1997" s="55"/>
      <c r="GIZ1997" s="55"/>
      <c r="GJA1997" s="55"/>
      <c r="GJB1997" s="55"/>
      <c r="GJC1997" s="55"/>
      <c r="GJD1997" s="55"/>
      <c r="GJE1997" s="55"/>
      <c r="GJF1997" s="55"/>
      <c r="GJG1997" s="55"/>
      <c r="GJH1997" s="55"/>
      <c r="GJI1997" s="55"/>
      <c r="GJJ1997" s="55"/>
      <c r="GJK1997" s="55"/>
      <c r="GJL1997" s="55"/>
      <c r="GJM1997" s="55"/>
      <c r="GJN1997" s="55"/>
      <c r="GJO1997" s="55"/>
      <c r="GJP1997" s="55"/>
      <c r="GJQ1997" s="55"/>
      <c r="GJR1997" s="55"/>
      <c r="GJS1997" s="55"/>
      <c r="GJT1997" s="55"/>
      <c r="GJU1997" s="55"/>
      <c r="GJV1997" s="55"/>
      <c r="GJW1997" s="55"/>
      <c r="GJX1997" s="55"/>
      <c r="GJY1997" s="55"/>
      <c r="GJZ1997" s="55"/>
      <c r="GKA1997" s="55"/>
      <c r="GKB1997" s="55"/>
      <c r="GKC1997" s="55"/>
      <c r="GKD1997" s="55"/>
      <c r="GKE1997" s="55"/>
      <c r="GKF1997" s="55"/>
      <c r="GKG1997" s="55"/>
      <c r="GKH1997" s="55"/>
      <c r="GKI1997" s="55"/>
      <c r="GKJ1997" s="55"/>
      <c r="GKK1997" s="55"/>
      <c r="GKL1997" s="55"/>
      <c r="GKM1997" s="55"/>
      <c r="GKN1997" s="55"/>
      <c r="GKO1997" s="55"/>
      <c r="GKP1997" s="55"/>
      <c r="GKQ1997" s="55"/>
      <c r="GKR1997" s="55"/>
      <c r="GKS1997" s="55"/>
      <c r="GKT1997" s="55"/>
      <c r="GKU1997" s="55"/>
      <c r="GKV1997" s="55"/>
      <c r="GKW1997" s="55"/>
      <c r="GKX1997" s="55"/>
      <c r="GKY1997" s="55"/>
      <c r="GKZ1997" s="55"/>
      <c r="GLA1997" s="55"/>
      <c r="GLB1997" s="55"/>
      <c r="GLC1997" s="55"/>
      <c r="GLD1997" s="55"/>
      <c r="GLE1997" s="55"/>
      <c r="GLF1997" s="55"/>
      <c r="GLG1997" s="55"/>
      <c r="GLH1997" s="55"/>
      <c r="GLI1997" s="55"/>
      <c r="GLJ1997" s="55"/>
      <c r="GLK1997" s="55"/>
      <c r="GLL1997" s="55"/>
      <c r="GLM1997" s="55"/>
      <c r="GLN1997" s="55"/>
      <c r="GLO1997" s="55"/>
      <c r="GLP1997" s="55"/>
      <c r="GLQ1997" s="55"/>
      <c r="GLR1997" s="55"/>
      <c r="GLS1997" s="55"/>
      <c r="GLT1997" s="55"/>
      <c r="GLU1997" s="55"/>
      <c r="GLV1997" s="55"/>
      <c r="GLW1997" s="55"/>
      <c r="GLX1997" s="55"/>
      <c r="GLY1997" s="55"/>
      <c r="GLZ1997" s="55"/>
      <c r="GMA1997" s="55"/>
      <c r="GMB1997" s="55"/>
      <c r="GMC1997" s="55"/>
      <c r="GMD1997" s="55"/>
      <c r="GME1997" s="55"/>
      <c r="GMF1997" s="55"/>
      <c r="GMG1997" s="55"/>
      <c r="GMH1997" s="55"/>
      <c r="GMI1997" s="55"/>
      <c r="GMJ1997" s="55"/>
      <c r="GMK1997" s="55"/>
      <c r="GML1997" s="55"/>
      <c r="GMM1997" s="55"/>
      <c r="GMN1997" s="55"/>
      <c r="GMO1997" s="55"/>
      <c r="GMP1997" s="55"/>
      <c r="GMQ1997" s="55"/>
      <c r="GMR1997" s="55"/>
      <c r="GMS1997" s="55"/>
      <c r="GMT1997" s="55"/>
      <c r="GMU1997" s="55"/>
      <c r="GMV1997" s="55"/>
      <c r="GMW1997" s="55"/>
      <c r="GMX1997" s="55"/>
      <c r="GMY1997" s="55"/>
      <c r="GMZ1997" s="55"/>
      <c r="GNA1997" s="55"/>
      <c r="GNB1997" s="55"/>
      <c r="GNC1997" s="55"/>
      <c r="GND1997" s="55"/>
      <c r="GNE1997" s="55"/>
      <c r="GNF1997" s="55"/>
      <c r="GNG1997" s="55"/>
      <c r="GNH1997" s="55"/>
      <c r="GNI1997" s="55"/>
      <c r="GNJ1997" s="55"/>
      <c r="GNK1997" s="55"/>
      <c r="GNL1997" s="55"/>
      <c r="GNM1997" s="55"/>
      <c r="GNN1997" s="55"/>
      <c r="GNO1997" s="55"/>
      <c r="GNP1997" s="55"/>
      <c r="GNQ1997" s="55"/>
      <c r="GNR1997" s="55"/>
      <c r="GNS1997" s="55"/>
      <c r="GNT1997" s="55"/>
      <c r="GNU1997" s="55"/>
      <c r="GNV1997" s="55"/>
      <c r="GNW1997" s="55"/>
      <c r="GNX1997" s="55"/>
      <c r="GNY1997" s="55"/>
      <c r="GNZ1997" s="55"/>
      <c r="GOA1997" s="55"/>
      <c r="GOB1997" s="55"/>
      <c r="GOC1997" s="55"/>
      <c r="GOD1997" s="55"/>
      <c r="GOE1997" s="55"/>
      <c r="GOF1997" s="55"/>
      <c r="GOG1997" s="55"/>
      <c r="GOH1997" s="55"/>
      <c r="GOI1997" s="55"/>
      <c r="GOJ1997" s="55"/>
      <c r="GOK1997" s="55"/>
      <c r="GOL1997" s="55"/>
      <c r="GOM1997" s="55"/>
      <c r="GON1997" s="55"/>
      <c r="GOO1997" s="55"/>
      <c r="GOP1997" s="55"/>
      <c r="GOQ1997" s="55"/>
      <c r="GOR1997" s="55"/>
      <c r="GOS1997" s="55"/>
      <c r="GOT1997" s="55"/>
      <c r="GOU1997" s="55"/>
      <c r="GOV1997" s="55"/>
      <c r="GOW1997" s="55"/>
      <c r="GOX1997" s="55"/>
      <c r="GOY1997" s="55"/>
      <c r="GOZ1997" s="55"/>
      <c r="GPA1997" s="55"/>
      <c r="GPB1997" s="55"/>
      <c r="GPC1997" s="55"/>
      <c r="GPD1997" s="55"/>
      <c r="GPE1997" s="55"/>
      <c r="GPF1997" s="55"/>
      <c r="GPG1997" s="55"/>
      <c r="GPH1997" s="55"/>
      <c r="GPI1997" s="55"/>
      <c r="GPJ1997" s="55"/>
      <c r="GPK1997" s="55"/>
      <c r="GPL1997" s="55"/>
      <c r="GPM1997" s="55"/>
      <c r="GPN1997" s="55"/>
      <c r="GPO1997" s="55"/>
      <c r="GPP1997" s="55"/>
      <c r="GPQ1997" s="55"/>
      <c r="GPR1997" s="55"/>
      <c r="GPS1997" s="55"/>
      <c r="GPT1997" s="55"/>
      <c r="GPU1997" s="55"/>
      <c r="GPV1997" s="55"/>
      <c r="GPW1997" s="55"/>
      <c r="GPX1997" s="55"/>
      <c r="GPY1997" s="55"/>
      <c r="GPZ1997" s="55"/>
      <c r="GQA1997" s="55"/>
      <c r="GQB1997" s="55"/>
      <c r="GQC1997" s="55"/>
      <c r="GQD1997" s="55"/>
      <c r="GQE1997" s="55"/>
      <c r="GQF1997" s="55"/>
      <c r="GQG1997" s="55"/>
      <c r="GQH1997" s="55"/>
      <c r="GQI1997" s="55"/>
      <c r="GQJ1997" s="55"/>
      <c r="GQK1997" s="55"/>
      <c r="GQL1997" s="55"/>
      <c r="GQM1997" s="55"/>
      <c r="GQN1997" s="55"/>
      <c r="GQO1997" s="55"/>
      <c r="GQP1997" s="55"/>
      <c r="GQQ1997" s="55"/>
      <c r="GQR1997" s="55"/>
      <c r="GQS1997" s="55"/>
      <c r="GQT1997" s="55"/>
      <c r="GQU1997" s="55"/>
      <c r="GQV1997" s="55"/>
      <c r="GQW1997" s="55"/>
      <c r="GQX1997" s="55"/>
      <c r="GQY1997" s="55"/>
      <c r="GQZ1997" s="55"/>
      <c r="GRA1997" s="55"/>
      <c r="GRB1997" s="55"/>
      <c r="GRC1997" s="55"/>
      <c r="GRD1997" s="55"/>
      <c r="GRE1997" s="55"/>
      <c r="GRF1997" s="55"/>
      <c r="GRG1997" s="55"/>
      <c r="GRH1997" s="55"/>
      <c r="GRI1997" s="55"/>
      <c r="GRJ1997" s="55"/>
      <c r="GRK1997" s="55"/>
      <c r="GRL1997" s="55"/>
      <c r="GRM1997" s="55"/>
      <c r="GRN1997" s="55"/>
      <c r="GRO1997" s="55"/>
      <c r="GRP1997" s="55"/>
      <c r="GRQ1997" s="55"/>
      <c r="GRR1997" s="55"/>
      <c r="GRS1997" s="55"/>
      <c r="GRT1997" s="55"/>
      <c r="GRU1997" s="55"/>
      <c r="GRV1997" s="55"/>
      <c r="GRW1997" s="55"/>
      <c r="GRX1997" s="55"/>
      <c r="GRY1997" s="55"/>
      <c r="GRZ1997" s="55"/>
      <c r="GSA1997" s="55"/>
      <c r="GSB1997" s="55"/>
      <c r="GSC1997" s="55"/>
      <c r="GSD1997" s="55"/>
      <c r="GSE1997" s="55"/>
      <c r="GSF1997" s="55"/>
      <c r="GSG1997" s="55"/>
      <c r="GSH1997" s="55"/>
      <c r="GSI1997" s="55"/>
      <c r="GSJ1997" s="55"/>
      <c r="GSK1997" s="55"/>
      <c r="GSL1997" s="55"/>
      <c r="GSM1997" s="55"/>
      <c r="GSN1997" s="55"/>
      <c r="GSO1997" s="55"/>
      <c r="GSP1997" s="55"/>
      <c r="GSQ1997" s="55"/>
      <c r="GSR1997" s="55"/>
      <c r="GSS1997" s="55"/>
      <c r="GST1997" s="55"/>
      <c r="GSU1997" s="55"/>
      <c r="GSV1997" s="55"/>
      <c r="GSW1997" s="55"/>
      <c r="GSX1997" s="55"/>
      <c r="GSY1997" s="55"/>
      <c r="GSZ1997" s="55"/>
      <c r="GTA1997" s="55"/>
      <c r="GTB1997" s="55"/>
      <c r="GTC1997" s="55"/>
      <c r="GTD1997" s="55"/>
      <c r="GTE1997" s="55"/>
      <c r="GTF1997" s="55"/>
      <c r="GTG1997" s="55"/>
      <c r="GTH1997" s="55"/>
      <c r="GTI1997" s="55"/>
      <c r="GTJ1997" s="55"/>
      <c r="GTK1997" s="55"/>
      <c r="GTL1997" s="55"/>
      <c r="GTM1997" s="55"/>
      <c r="GTN1997" s="55"/>
      <c r="GTO1997" s="55"/>
      <c r="GTP1997" s="55"/>
      <c r="GTQ1997" s="55"/>
      <c r="GTR1997" s="55"/>
      <c r="GTS1997" s="55"/>
      <c r="GTT1997" s="55"/>
      <c r="GTU1997" s="55"/>
      <c r="GTV1997" s="55"/>
      <c r="GTW1997" s="55"/>
      <c r="GTX1997" s="55"/>
      <c r="GTY1997" s="55"/>
      <c r="GTZ1997" s="55"/>
      <c r="GUA1997" s="55"/>
      <c r="GUB1997" s="55"/>
      <c r="GUC1997" s="55"/>
      <c r="GUD1997" s="55"/>
      <c r="GUE1997" s="55"/>
      <c r="GUF1997" s="55"/>
      <c r="GUG1997" s="55"/>
      <c r="GUH1997" s="55"/>
      <c r="GUI1997" s="55"/>
      <c r="GUJ1997" s="55"/>
      <c r="GUK1997" s="55"/>
      <c r="GUL1997" s="55"/>
      <c r="GUM1997" s="55"/>
      <c r="GUN1997" s="55"/>
      <c r="GUO1997" s="55"/>
      <c r="GUP1997" s="55"/>
      <c r="GUQ1997" s="55"/>
      <c r="GUR1997" s="55"/>
      <c r="GUS1997" s="55"/>
      <c r="GUT1997" s="55"/>
      <c r="GUU1997" s="55"/>
      <c r="GUV1997" s="55"/>
      <c r="GUW1997" s="55"/>
      <c r="GUX1997" s="55"/>
      <c r="GUY1997" s="55"/>
      <c r="GUZ1997" s="55"/>
      <c r="GVA1997" s="55"/>
      <c r="GVB1997" s="55"/>
      <c r="GVC1997" s="55"/>
      <c r="GVD1997" s="55"/>
      <c r="GVE1997" s="55"/>
      <c r="GVF1997" s="55"/>
      <c r="GVG1997" s="55"/>
      <c r="GVH1997" s="55"/>
      <c r="GVI1997" s="55"/>
      <c r="GVJ1997" s="55"/>
      <c r="GVK1997" s="55"/>
      <c r="GVL1997" s="55"/>
      <c r="GVM1997" s="55"/>
      <c r="GVN1997" s="55"/>
      <c r="GVO1997" s="55"/>
      <c r="GVP1997" s="55"/>
      <c r="GVQ1997" s="55"/>
      <c r="GVR1997" s="55"/>
      <c r="GVS1997" s="55"/>
      <c r="GVT1997" s="55"/>
      <c r="GVU1997" s="55"/>
      <c r="GVV1997" s="55"/>
      <c r="GVW1997" s="55"/>
      <c r="GVX1997" s="55"/>
      <c r="GVY1997" s="55"/>
      <c r="GVZ1997" s="55"/>
      <c r="GWA1997" s="55"/>
      <c r="GWB1997" s="55"/>
      <c r="GWC1997" s="55"/>
      <c r="GWD1997" s="55"/>
      <c r="GWE1997" s="55"/>
      <c r="GWF1997" s="55"/>
      <c r="GWG1997" s="55"/>
      <c r="GWH1997" s="55"/>
      <c r="GWI1997" s="55"/>
      <c r="GWJ1997" s="55"/>
      <c r="GWK1997" s="55"/>
      <c r="GWL1997" s="55"/>
      <c r="GWM1997" s="55"/>
      <c r="GWN1997" s="55"/>
      <c r="GWO1997" s="55"/>
      <c r="GWP1997" s="55"/>
      <c r="GWQ1997" s="55"/>
      <c r="GWR1997" s="55"/>
      <c r="GWS1997" s="55"/>
      <c r="GWT1997" s="55"/>
      <c r="GWU1997" s="55"/>
      <c r="GWV1997" s="55"/>
      <c r="GWW1997" s="55"/>
      <c r="GWX1997" s="55"/>
      <c r="GWY1997" s="55"/>
      <c r="GWZ1997" s="55"/>
      <c r="GXA1997" s="55"/>
      <c r="GXB1997" s="55"/>
      <c r="GXC1997" s="55"/>
      <c r="GXD1997" s="55"/>
      <c r="GXE1997" s="55"/>
      <c r="GXF1997" s="55"/>
      <c r="GXG1997" s="55"/>
      <c r="GXH1997" s="55"/>
      <c r="GXI1997" s="55"/>
      <c r="GXJ1997" s="55"/>
      <c r="GXK1997" s="55"/>
      <c r="GXL1997" s="55"/>
      <c r="GXM1997" s="55"/>
      <c r="GXN1997" s="55"/>
      <c r="GXO1997" s="55"/>
      <c r="GXP1997" s="55"/>
      <c r="GXQ1997" s="55"/>
      <c r="GXR1997" s="55"/>
      <c r="GXS1997" s="55"/>
      <c r="GXT1997" s="55"/>
      <c r="GXU1997" s="55"/>
      <c r="GXV1997" s="55"/>
      <c r="GXW1997" s="55"/>
      <c r="GXX1997" s="55"/>
      <c r="GXY1997" s="55"/>
      <c r="GXZ1997" s="55"/>
      <c r="GYA1997" s="55"/>
      <c r="GYB1997" s="55"/>
      <c r="GYC1997" s="55"/>
      <c r="GYD1997" s="55"/>
      <c r="GYE1997" s="55"/>
      <c r="GYF1997" s="55"/>
      <c r="GYG1997" s="55"/>
      <c r="GYH1997" s="55"/>
      <c r="GYI1997" s="55"/>
      <c r="GYJ1997" s="55"/>
      <c r="GYK1997" s="55"/>
      <c r="GYL1997" s="55"/>
      <c r="GYM1997" s="55"/>
      <c r="GYN1997" s="55"/>
      <c r="GYO1997" s="55"/>
      <c r="GYP1997" s="55"/>
      <c r="GYQ1997" s="55"/>
      <c r="GYR1997" s="55"/>
      <c r="GYS1997" s="55"/>
      <c r="GYT1997" s="55"/>
      <c r="GYU1997" s="55"/>
      <c r="GYV1997" s="55"/>
      <c r="GYW1997" s="55"/>
      <c r="GYX1997" s="55"/>
      <c r="GYY1997" s="55"/>
      <c r="GYZ1997" s="55"/>
      <c r="GZA1997" s="55"/>
      <c r="GZB1997" s="55"/>
      <c r="GZC1997" s="55"/>
      <c r="GZD1997" s="55"/>
      <c r="GZE1997" s="55"/>
      <c r="GZF1997" s="55"/>
      <c r="GZG1997" s="55"/>
      <c r="GZH1997" s="55"/>
      <c r="GZI1997" s="55"/>
      <c r="GZJ1997" s="55"/>
      <c r="GZK1997" s="55"/>
      <c r="GZL1997" s="55"/>
      <c r="GZM1997" s="55"/>
      <c r="GZN1997" s="55"/>
      <c r="GZO1997" s="55"/>
      <c r="GZP1997" s="55"/>
      <c r="GZQ1997" s="55"/>
      <c r="GZR1997" s="55"/>
      <c r="GZS1997" s="55"/>
      <c r="GZT1997" s="55"/>
      <c r="GZU1997" s="55"/>
      <c r="GZV1997" s="55"/>
      <c r="GZW1997" s="55"/>
      <c r="GZX1997" s="55"/>
      <c r="GZY1997" s="55"/>
      <c r="GZZ1997" s="55"/>
      <c r="HAA1997" s="55"/>
      <c r="HAB1997" s="55"/>
      <c r="HAC1997" s="55"/>
      <c r="HAD1997" s="55"/>
      <c r="HAE1997" s="55"/>
      <c r="HAF1997" s="55"/>
      <c r="HAG1997" s="55"/>
      <c r="HAH1997" s="55"/>
      <c r="HAI1997" s="55"/>
      <c r="HAJ1997" s="55"/>
      <c r="HAK1997" s="55"/>
      <c r="HAL1997" s="55"/>
      <c r="HAM1997" s="55"/>
      <c r="HAN1997" s="55"/>
      <c r="HAO1997" s="55"/>
      <c r="HAP1997" s="55"/>
      <c r="HAQ1997" s="55"/>
      <c r="HAR1997" s="55"/>
      <c r="HAS1997" s="55"/>
      <c r="HAT1997" s="55"/>
      <c r="HAU1997" s="55"/>
      <c r="HAV1997" s="55"/>
      <c r="HAW1997" s="55"/>
      <c r="HAX1997" s="55"/>
      <c r="HAY1997" s="55"/>
      <c r="HAZ1997" s="55"/>
      <c r="HBA1997" s="55"/>
      <c r="HBB1997" s="55"/>
      <c r="HBC1997" s="55"/>
      <c r="HBD1997" s="55"/>
      <c r="HBE1997" s="55"/>
      <c r="HBF1997" s="55"/>
      <c r="HBG1997" s="55"/>
      <c r="HBH1997" s="55"/>
      <c r="HBI1997" s="55"/>
      <c r="HBJ1997" s="55"/>
      <c r="HBK1997" s="55"/>
      <c r="HBL1997" s="55"/>
      <c r="HBM1997" s="55"/>
      <c r="HBN1997" s="55"/>
      <c r="HBO1997" s="55"/>
      <c r="HBP1997" s="55"/>
      <c r="HBQ1997" s="55"/>
      <c r="HBR1997" s="55"/>
      <c r="HBS1997" s="55"/>
      <c r="HBT1997" s="55"/>
      <c r="HBU1997" s="55"/>
      <c r="HBV1997" s="55"/>
      <c r="HBW1997" s="55"/>
      <c r="HBX1997" s="55"/>
      <c r="HBY1997" s="55"/>
      <c r="HBZ1997" s="55"/>
      <c r="HCA1997" s="55"/>
      <c r="HCB1997" s="55"/>
      <c r="HCC1997" s="55"/>
      <c r="HCD1997" s="55"/>
      <c r="HCE1997" s="55"/>
      <c r="HCF1997" s="55"/>
      <c r="HCG1997" s="55"/>
      <c r="HCH1997" s="55"/>
      <c r="HCI1997" s="55"/>
      <c r="HCJ1997" s="55"/>
      <c r="HCK1997" s="55"/>
      <c r="HCL1997" s="55"/>
      <c r="HCM1997" s="55"/>
      <c r="HCN1997" s="55"/>
      <c r="HCO1997" s="55"/>
      <c r="HCP1997" s="55"/>
      <c r="HCQ1997" s="55"/>
      <c r="HCR1997" s="55"/>
      <c r="HCS1997" s="55"/>
      <c r="HCT1997" s="55"/>
      <c r="HCU1997" s="55"/>
      <c r="HCV1997" s="55"/>
      <c r="HCW1997" s="55"/>
      <c r="HCX1997" s="55"/>
      <c r="HCY1997" s="55"/>
      <c r="HCZ1997" s="55"/>
      <c r="HDA1997" s="55"/>
      <c r="HDB1997" s="55"/>
      <c r="HDC1997" s="55"/>
      <c r="HDD1997" s="55"/>
      <c r="HDE1997" s="55"/>
      <c r="HDF1997" s="55"/>
      <c r="HDG1997" s="55"/>
      <c r="HDH1997" s="55"/>
      <c r="HDI1997" s="55"/>
      <c r="HDJ1997" s="55"/>
      <c r="HDK1997" s="55"/>
      <c r="HDL1997" s="55"/>
      <c r="HDM1997" s="55"/>
      <c r="HDN1997" s="55"/>
      <c r="HDO1997" s="55"/>
      <c r="HDP1997" s="55"/>
      <c r="HDQ1997" s="55"/>
      <c r="HDR1997" s="55"/>
      <c r="HDS1997" s="55"/>
      <c r="HDT1997" s="55"/>
      <c r="HDU1997" s="55"/>
      <c r="HDV1997" s="55"/>
      <c r="HDW1997" s="55"/>
      <c r="HDX1997" s="55"/>
      <c r="HDY1997" s="55"/>
      <c r="HDZ1997" s="55"/>
      <c r="HEA1997" s="55"/>
      <c r="HEB1997" s="55"/>
      <c r="HEC1997" s="55"/>
      <c r="HED1997" s="55"/>
      <c r="HEE1997" s="55"/>
      <c r="HEF1997" s="55"/>
      <c r="HEG1997" s="55"/>
      <c r="HEH1997" s="55"/>
      <c r="HEI1997" s="55"/>
      <c r="HEJ1997" s="55"/>
      <c r="HEK1997" s="55"/>
      <c r="HEL1997" s="55"/>
      <c r="HEM1997" s="55"/>
      <c r="HEN1997" s="55"/>
      <c r="HEO1997" s="55"/>
      <c r="HEP1997" s="55"/>
      <c r="HEQ1997" s="55"/>
      <c r="HER1997" s="55"/>
      <c r="HES1997" s="55"/>
      <c r="HET1997" s="55"/>
      <c r="HEU1997" s="55"/>
      <c r="HEV1997" s="55"/>
      <c r="HEW1997" s="55"/>
      <c r="HEX1997" s="55"/>
      <c r="HEY1997" s="55"/>
      <c r="HEZ1997" s="55"/>
      <c r="HFA1997" s="55"/>
      <c r="HFB1997" s="55"/>
      <c r="HFC1997" s="55"/>
      <c r="HFD1997" s="55"/>
      <c r="HFE1997" s="55"/>
      <c r="HFF1997" s="55"/>
      <c r="HFG1997" s="55"/>
      <c r="HFH1997" s="55"/>
      <c r="HFI1997" s="55"/>
      <c r="HFJ1997" s="55"/>
      <c r="HFK1997" s="55"/>
      <c r="HFL1997" s="55"/>
      <c r="HFM1997" s="55"/>
      <c r="HFN1997" s="55"/>
      <c r="HFO1997" s="55"/>
      <c r="HFP1997" s="55"/>
      <c r="HFQ1997" s="55"/>
      <c r="HFR1997" s="55"/>
      <c r="HFS1997" s="55"/>
      <c r="HFT1997" s="55"/>
      <c r="HFU1997" s="55"/>
      <c r="HFV1997" s="55"/>
      <c r="HFW1997" s="55"/>
      <c r="HFX1997" s="55"/>
      <c r="HFY1997" s="55"/>
      <c r="HFZ1997" s="55"/>
      <c r="HGA1997" s="55"/>
      <c r="HGB1997" s="55"/>
      <c r="HGC1997" s="55"/>
      <c r="HGD1997" s="55"/>
      <c r="HGE1997" s="55"/>
      <c r="HGF1997" s="55"/>
      <c r="HGG1997" s="55"/>
      <c r="HGH1997" s="55"/>
      <c r="HGI1997" s="55"/>
      <c r="HGJ1997" s="55"/>
      <c r="HGK1997" s="55"/>
      <c r="HGL1997" s="55"/>
      <c r="HGM1997" s="55"/>
      <c r="HGN1997" s="55"/>
      <c r="HGO1997" s="55"/>
      <c r="HGP1997" s="55"/>
      <c r="HGQ1997" s="55"/>
      <c r="HGR1997" s="55"/>
      <c r="HGS1997" s="55"/>
      <c r="HGT1997" s="55"/>
      <c r="HGU1997" s="55"/>
      <c r="HGV1997" s="55"/>
      <c r="HGW1997" s="55"/>
      <c r="HGX1997" s="55"/>
      <c r="HGY1997" s="55"/>
      <c r="HGZ1997" s="55"/>
      <c r="HHA1997" s="55"/>
      <c r="HHB1997" s="55"/>
      <c r="HHC1997" s="55"/>
      <c r="HHD1997" s="55"/>
      <c r="HHE1997" s="55"/>
      <c r="HHF1997" s="55"/>
      <c r="HHG1997" s="55"/>
      <c r="HHH1997" s="55"/>
      <c r="HHI1997" s="55"/>
      <c r="HHJ1997" s="55"/>
      <c r="HHK1997" s="55"/>
      <c r="HHL1997" s="55"/>
      <c r="HHM1997" s="55"/>
      <c r="HHN1997" s="55"/>
      <c r="HHO1997" s="55"/>
      <c r="HHP1997" s="55"/>
      <c r="HHQ1997" s="55"/>
      <c r="HHR1997" s="55"/>
      <c r="HHS1997" s="55"/>
      <c r="HHT1997" s="55"/>
      <c r="HHU1997" s="55"/>
      <c r="HHV1997" s="55"/>
      <c r="HHW1997" s="55"/>
      <c r="HHX1997" s="55"/>
      <c r="HHY1997" s="55"/>
      <c r="HHZ1997" s="55"/>
      <c r="HIA1997" s="55"/>
      <c r="HIB1997" s="55"/>
      <c r="HIC1997" s="55"/>
      <c r="HID1997" s="55"/>
      <c r="HIE1997" s="55"/>
      <c r="HIF1997" s="55"/>
      <c r="HIG1997" s="55"/>
      <c r="HIH1997" s="55"/>
      <c r="HII1997" s="55"/>
      <c r="HIJ1997" s="55"/>
      <c r="HIK1997" s="55"/>
      <c r="HIL1997" s="55"/>
      <c r="HIM1997" s="55"/>
      <c r="HIN1997" s="55"/>
      <c r="HIO1997" s="55"/>
      <c r="HIP1997" s="55"/>
      <c r="HIQ1997" s="55"/>
      <c r="HIR1997" s="55"/>
      <c r="HIS1997" s="55"/>
      <c r="HIT1997" s="55"/>
      <c r="HIU1997" s="55"/>
      <c r="HIV1997" s="55"/>
      <c r="HIW1997" s="55"/>
      <c r="HIX1997" s="55"/>
      <c r="HIY1997" s="55"/>
      <c r="HIZ1997" s="55"/>
      <c r="HJA1997" s="55"/>
      <c r="HJB1997" s="55"/>
      <c r="HJC1997" s="55"/>
      <c r="HJD1997" s="55"/>
      <c r="HJE1997" s="55"/>
      <c r="HJF1997" s="55"/>
      <c r="HJG1997" s="55"/>
      <c r="HJH1997" s="55"/>
      <c r="HJI1997" s="55"/>
      <c r="HJJ1997" s="55"/>
      <c r="HJK1997" s="55"/>
      <c r="HJL1997" s="55"/>
      <c r="HJM1997" s="55"/>
      <c r="HJN1997" s="55"/>
      <c r="HJO1997" s="55"/>
      <c r="HJP1997" s="55"/>
      <c r="HJQ1997" s="55"/>
      <c r="HJR1997" s="55"/>
      <c r="HJS1997" s="55"/>
      <c r="HJT1997" s="55"/>
      <c r="HJU1997" s="55"/>
      <c r="HJV1997" s="55"/>
      <c r="HJW1997" s="55"/>
      <c r="HJX1997" s="55"/>
      <c r="HJY1997" s="55"/>
      <c r="HJZ1997" s="55"/>
      <c r="HKA1997" s="55"/>
      <c r="HKB1997" s="55"/>
      <c r="HKC1997" s="55"/>
      <c r="HKD1997" s="55"/>
      <c r="HKE1997" s="55"/>
      <c r="HKF1997" s="55"/>
      <c r="HKG1997" s="55"/>
      <c r="HKH1997" s="55"/>
      <c r="HKI1997" s="55"/>
      <c r="HKJ1997" s="55"/>
      <c r="HKK1997" s="55"/>
      <c r="HKL1997" s="55"/>
      <c r="HKM1997" s="55"/>
      <c r="HKN1997" s="55"/>
      <c r="HKO1997" s="55"/>
      <c r="HKP1997" s="55"/>
      <c r="HKQ1997" s="55"/>
      <c r="HKR1997" s="55"/>
      <c r="HKS1997" s="55"/>
      <c r="HKT1997" s="55"/>
      <c r="HKU1997" s="55"/>
      <c r="HKV1997" s="55"/>
      <c r="HKW1997" s="55"/>
      <c r="HKX1997" s="55"/>
      <c r="HKY1997" s="55"/>
      <c r="HKZ1997" s="55"/>
      <c r="HLA1997" s="55"/>
      <c r="HLB1997" s="55"/>
      <c r="HLC1997" s="55"/>
      <c r="HLD1997" s="55"/>
      <c r="HLE1997" s="55"/>
      <c r="HLF1997" s="55"/>
      <c r="HLG1997" s="55"/>
      <c r="HLH1997" s="55"/>
      <c r="HLI1997" s="55"/>
      <c r="HLJ1997" s="55"/>
      <c r="HLK1997" s="55"/>
      <c r="HLL1997" s="55"/>
      <c r="HLM1997" s="55"/>
      <c r="HLN1997" s="55"/>
      <c r="HLO1997" s="55"/>
      <c r="HLP1997" s="55"/>
      <c r="HLQ1997" s="55"/>
      <c r="HLR1997" s="55"/>
      <c r="HLS1997" s="55"/>
      <c r="HLT1997" s="55"/>
      <c r="HLU1997" s="55"/>
      <c r="HLV1997" s="55"/>
      <c r="HLW1997" s="55"/>
      <c r="HLX1997" s="55"/>
      <c r="HLY1997" s="55"/>
      <c r="HLZ1997" s="55"/>
      <c r="HMA1997" s="55"/>
      <c r="HMB1997" s="55"/>
      <c r="HMC1997" s="55"/>
      <c r="HMD1997" s="55"/>
      <c r="HME1997" s="55"/>
      <c r="HMF1997" s="55"/>
      <c r="HMG1997" s="55"/>
      <c r="HMH1997" s="55"/>
      <c r="HMI1997" s="55"/>
      <c r="HMJ1997" s="55"/>
      <c r="HMK1997" s="55"/>
      <c r="HML1997" s="55"/>
      <c r="HMM1997" s="55"/>
      <c r="HMN1997" s="55"/>
      <c r="HMO1997" s="55"/>
      <c r="HMP1997" s="55"/>
      <c r="HMQ1997" s="55"/>
      <c r="HMR1997" s="55"/>
      <c r="HMS1997" s="55"/>
      <c r="HMT1997" s="55"/>
      <c r="HMU1997" s="55"/>
      <c r="HMV1997" s="55"/>
      <c r="HMW1997" s="55"/>
      <c r="HMX1997" s="55"/>
      <c r="HMY1997" s="55"/>
      <c r="HMZ1997" s="55"/>
      <c r="HNA1997" s="55"/>
      <c r="HNB1997" s="55"/>
      <c r="HNC1997" s="55"/>
      <c r="HND1997" s="55"/>
      <c r="HNE1997" s="55"/>
      <c r="HNF1997" s="55"/>
      <c r="HNG1997" s="55"/>
      <c r="HNH1997" s="55"/>
      <c r="HNI1997" s="55"/>
      <c r="HNJ1997" s="55"/>
      <c r="HNK1997" s="55"/>
      <c r="HNL1997" s="55"/>
      <c r="HNM1997" s="55"/>
      <c r="HNN1997" s="55"/>
      <c r="HNO1997" s="55"/>
      <c r="HNP1997" s="55"/>
      <c r="HNQ1997" s="55"/>
      <c r="HNR1997" s="55"/>
      <c r="HNS1997" s="55"/>
      <c r="HNT1997" s="55"/>
      <c r="HNU1997" s="55"/>
      <c r="HNV1997" s="55"/>
      <c r="HNW1997" s="55"/>
      <c r="HNX1997" s="55"/>
      <c r="HNY1997" s="55"/>
      <c r="HNZ1997" s="55"/>
      <c r="HOA1997" s="55"/>
      <c r="HOB1997" s="55"/>
      <c r="HOC1997" s="55"/>
      <c r="HOD1997" s="55"/>
      <c r="HOE1997" s="55"/>
      <c r="HOF1997" s="55"/>
      <c r="HOG1997" s="55"/>
      <c r="HOH1997" s="55"/>
      <c r="HOI1997" s="55"/>
      <c r="HOJ1997" s="55"/>
      <c r="HOK1997" s="55"/>
      <c r="HOL1997" s="55"/>
      <c r="HOM1997" s="55"/>
      <c r="HON1997" s="55"/>
      <c r="HOO1997" s="55"/>
      <c r="HOP1997" s="55"/>
      <c r="HOQ1997" s="55"/>
      <c r="HOR1997" s="55"/>
      <c r="HOS1997" s="55"/>
      <c r="HOT1997" s="55"/>
      <c r="HOU1997" s="55"/>
      <c r="HOV1997" s="55"/>
      <c r="HOW1997" s="55"/>
      <c r="HOX1997" s="55"/>
      <c r="HOY1997" s="55"/>
      <c r="HOZ1997" s="55"/>
      <c r="HPA1997" s="55"/>
      <c r="HPB1997" s="55"/>
      <c r="HPC1997" s="55"/>
      <c r="HPD1997" s="55"/>
      <c r="HPE1997" s="55"/>
      <c r="HPF1997" s="55"/>
      <c r="HPG1997" s="55"/>
      <c r="HPH1997" s="55"/>
      <c r="HPI1997" s="55"/>
      <c r="HPJ1997" s="55"/>
      <c r="HPK1997" s="55"/>
      <c r="HPL1997" s="55"/>
      <c r="HPM1997" s="55"/>
      <c r="HPN1997" s="55"/>
      <c r="HPO1997" s="55"/>
      <c r="HPP1997" s="55"/>
      <c r="HPQ1997" s="55"/>
      <c r="HPR1997" s="55"/>
      <c r="HPS1997" s="55"/>
      <c r="HPT1997" s="55"/>
      <c r="HPU1997" s="55"/>
      <c r="HPV1997" s="55"/>
      <c r="HPW1997" s="55"/>
      <c r="HPX1997" s="55"/>
      <c r="HPY1997" s="55"/>
      <c r="HPZ1997" s="55"/>
      <c r="HQA1997" s="55"/>
      <c r="HQB1997" s="55"/>
      <c r="HQC1997" s="55"/>
      <c r="HQD1997" s="55"/>
      <c r="HQE1997" s="55"/>
      <c r="HQF1997" s="55"/>
      <c r="HQG1997" s="55"/>
      <c r="HQH1997" s="55"/>
      <c r="HQI1997" s="55"/>
      <c r="HQJ1997" s="55"/>
      <c r="HQK1997" s="55"/>
      <c r="HQL1997" s="55"/>
      <c r="HQM1997" s="55"/>
      <c r="HQN1997" s="55"/>
      <c r="HQO1997" s="55"/>
      <c r="HQP1997" s="55"/>
      <c r="HQQ1997" s="55"/>
      <c r="HQR1997" s="55"/>
      <c r="HQS1997" s="55"/>
      <c r="HQT1997" s="55"/>
      <c r="HQU1997" s="55"/>
      <c r="HQV1997" s="55"/>
      <c r="HQW1997" s="55"/>
      <c r="HQX1997" s="55"/>
      <c r="HQY1997" s="55"/>
      <c r="HQZ1997" s="55"/>
      <c r="HRA1997" s="55"/>
      <c r="HRB1997" s="55"/>
      <c r="HRC1997" s="55"/>
      <c r="HRD1997" s="55"/>
      <c r="HRE1997" s="55"/>
      <c r="HRF1997" s="55"/>
      <c r="HRG1997" s="55"/>
      <c r="HRH1997" s="55"/>
      <c r="HRI1997" s="55"/>
      <c r="HRJ1997" s="55"/>
      <c r="HRK1997" s="55"/>
      <c r="HRL1997" s="55"/>
      <c r="HRM1997" s="55"/>
      <c r="HRN1997" s="55"/>
      <c r="HRO1997" s="55"/>
      <c r="HRP1997" s="55"/>
      <c r="HRQ1997" s="55"/>
      <c r="HRR1997" s="55"/>
      <c r="HRS1997" s="55"/>
      <c r="HRT1997" s="55"/>
      <c r="HRU1997" s="55"/>
      <c r="HRV1997" s="55"/>
      <c r="HRW1997" s="55"/>
      <c r="HRX1997" s="55"/>
      <c r="HRY1997" s="55"/>
      <c r="HRZ1997" s="55"/>
      <c r="HSA1997" s="55"/>
      <c r="HSB1997" s="55"/>
      <c r="HSC1997" s="55"/>
      <c r="HSD1997" s="55"/>
      <c r="HSE1997" s="55"/>
      <c r="HSF1997" s="55"/>
      <c r="HSG1997" s="55"/>
      <c r="HSH1997" s="55"/>
      <c r="HSI1997" s="55"/>
      <c r="HSJ1997" s="55"/>
      <c r="HSK1997" s="55"/>
      <c r="HSL1997" s="55"/>
      <c r="HSM1997" s="55"/>
      <c r="HSN1997" s="55"/>
      <c r="HSO1997" s="55"/>
      <c r="HSP1997" s="55"/>
      <c r="HSQ1997" s="55"/>
      <c r="HSR1997" s="55"/>
      <c r="HSS1997" s="55"/>
      <c r="HST1997" s="55"/>
      <c r="HSU1997" s="55"/>
      <c r="HSV1997" s="55"/>
      <c r="HSW1997" s="55"/>
      <c r="HSX1997" s="55"/>
      <c r="HSY1997" s="55"/>
      <c r="HSZ1997" s="55"/>
      <c r="HTA1997" s="55"/>
      <c r="HTB1997" s="55"/>
      <c r="HTC1997" s="55"/>
      <c r="HTD1997" s="55"/>
      <c r="HTE1997" s="55"/>
      <c r="HTF1997" s="55"/>
      <c r="HTG1997" s="55"/>
      <c r="HTH1997" s="55"/>
      <c r="HTI1997" s="55"/>
      <c r="HTJ1997" s="55"/>
      <c r="HTK1997" s="55"/>
      <c r="HTL1997" s="55"/>
      <c r="HTM1997" s="55"/>
      <c r="HTN1997" s="55"/>
      <c r="HTO1997" s="55"/>
      <c r="HTP1997" s="55"/>
      <c r="HTQ1997" s="55"/>
      <c r="HTR1997" s="55"/>
      <c r="HTS1997" s="55"/>
      <c r="HTT1997" s="55"/>
      <c r="HTU1997" s="55"/>
      <c r="HTV1997" s="55"/>
      <c r="HTW1997" s="55"/>
      <c r="HTX1997" s="55"/>
      <c r="HTY1997" s="55"/>
      <c r="HTZ1997" s="55"/>
      <c r="HUA1997" s="55"/>
      <c r="HUB1997" s="55"/>
      <c r="HUC1997" s="55"/>
      <c r="HUD1997" s="55"/>
      <c r="HUE1997" s="55"/>
      <c r="HUF1997" s="55"/>
      <c r="HUG1997" s="55"/>
      <c r="HUH1997" s="55"/>
      <c r="HUI1997" s="55"/>
      <c r="HUJ1997" s="55"/>
      <c r="HUK1997" s="55"/>
      <c r="HUL1997" s="55"/>
      <c r="HUM1997" s="55"/>
      <c r="HUN1997" s="55"/>
      <c r="HUO1997" s="55"/>
      <c r="HUP1997" s="55"/>
      <c r="HUQ1997" s="55"/>
      <c r="HUR1997" s="55"/>
      <c r="HUS1997" s="55"/>
      <c r="HUT1997" s="55"/>
      <c r="HUU1997" s="55"/>
      <c r="HUV1997" s="55"/>
      <c r="HUW1997" s="55"/>
      <c r="HUX1997" s="55"/>
      <c r="HUY1997" s="55"/>
      <c r="HUZ1997" s="55"/>
      <c r="HVA1997" s="55"/>
      <c r="HVB1997" s="55"/>
      <c r="HVC1997" s="55"/>
      <c r="HVD1997" s="55"/>
      <c r="HVE1997" s="55"/>
      <c r="HVF1997" s="55"/>
      <c r="HVG1997" s="55"/>
      <c r="HVH1997" s="55"/>
      <c r="HVI1997" s="55"/>
      <c r="HVJ1997" s="55"/>
      <c r="HVK1997" s="55"/>
      <c r="HVL1997" s="55"/>
      <c r="HVM1997" s="55"/>
      <c r="HVN1997" s="55"/>
      <c r="HVO1997" s="55"/>
      <c r="HVP1997" s="55"/>
      <c r="HVQ1997" s="55"/>
      <c r="HVR1997" s="55"/>
      <c r="HVS1997" s="55"/>
      <c r="HVT1997" s="55"/>
      <c r="HVU1997" s="55"/>
      <c r="HVV1997" s="55"/>
      <c r="HVW1997" s="55"/>
      <c r="HVX1997" s="55"/>
      <c r="HVY1997" s="55"/>
      <c r="HVZ1997" s="55"/>
      <c r="HWA1997" s="55"/>
      <c r="HWB1997" s="55"/>
      <c r="HWC1997" s="55"/>
      <c r="HWD1997" s="55"/>
      <c r="HWE1997" s="55"/>
      <c r="HWF1997" s="55"/>
      <c r="HWG1997" s="55"/>
      <c r="HWH1997" s="55"/>
      <c r="HWI1997" s="55"/>
      <c r="HWJ1997" s="55"/>
      <c r="HWK1997" s="55"/>
      <c r="HWL1997" s="55"/>
      <c r="HWM1997" s="55"/>
      <c r="HWN1997" s="55"/>
      <c r="HWO1997" s="55"/>
      <c r="HWP1997" s="55"/>
      <c r="HWQ1997" s="55"/>
      <c r="HWR1997" s="55"/>
      <c r="HWS1997" s="55"/>
      <c r="HWT1997" s="55"/>
      <c r="HWU1997" s="55"/>
      <c r="HWV1997" s="55"/>
      <c r="HWW1997" s="55"/>
      <c r="HWX1997" s="55"/>
      <c r="HWY1997" s="55"/>
      <c r="HWZ1997" s="55"/>
      <c r="HXA1997" s="55"/>
      <c r="HXB1997" s="55"/>
      <c r="HXC1997" s="55"/>
      <c r="HXD1997" s="55"/>
      <c r="HXE1997" s="55"/>
      <c r="HXF1997" s="55"/>
      <c r="HXG1997" s="55"/>
      <c r="HXH1997" s="55"/>
      <c r="HXI1997" s="55"/>
      <c r="HXJ1997" s="55"/>
      <c r="HXK1997" s="55"/>
      <c r="HXL1997" s="55"/>
      <c r="HXM1997" s="55"/>
      <c r="HXN1997" s="55"/>
      <c r="HXO1997" s="55"/>
      <c r="HXP1997" s="55"/>
      <c r="HXQ1997" s="55"/>
      <c r="HXR1997" s="55"/>
      <c r="HXS1997" s="55"/>
      <c r="HXT1997" s="55"/>
      <c r="HXU1997" s="55"/>
      <c r="HXV1997" s="55"/>
      <c r="HXW1997" s="55"/>
      <c r="HXX1997" s="55"/>
      <c r="HXY1997" s="55"/>
      <c r="HXZ1997" s="55"/>
      <c r="HYA1997" s="55"/>
      <c r="HYB1997" s="55"/>
      <c r="HYC1997" s="55"/>
      <c r="HYD1997" s="55"/>
      <c r="HYE1997" s="55"/>
      <c r="HYF1997" s="55"/>
      <c r="HYG1997" s="55"/>
      <c r="HYH1997" s="55"/>
      <c r="HYI1997" s="55"/>
      <c r="HYJ1997" s="55"/>
      <c r="HYK1997" s="55"/>
      <c r="HYL1997" s="55"/>
      <c r="HYM1997" s="55"/>
      <c r="HYN1997" s="55"/>
      <c r="HYO1997" s="55"/>
      <c r="HYP1997" s="55"/>
      <c r="HYQ1997" s="55"/>
      <c r="HYR1997" s="55"/>
      <c r="HYS1997" s="55"/>
      <c r="HYT1997" s="55"/>
      <c r="HYU1997" s="55"/>
      <c r="HYV1997" s="55"/>
      <c r="HYW1997" s="55"/>
      <c r="HYX1997" s="55"/>
      <c r="HYY1997" s="55"/>
      <c r="HYZ1997" s="55"/>
      <c r="HZA1997" s="55"/>
      <c r="HZB1997" s="55"/>
      <c r="HZC1997" s="55"/>
      <c r="HZD1997" s="55"/>
      <c r="HZE1997" s="55"/>
      <c r="HZF1997" s="55"/>
      <c r="HZG1997" s="55"/>
      <c r="HZH1997" s="55"/>
      <c r="HZI1997" s="55"/>
      <c r="HZJ1997" s="55"/>
      <c r="HZK1997" s="55"/>
      <c r="HZL1997" s="55"/>
      <c r="HZM1997" s="55"/>
      <c r="HZN1997" s="55"/>
      <c r="HZO1997" s="55"/>
      <c r="HZP1997" s="55"/>
      <c r="HZQ1997" s="55"/>
      <c r="HZR1997" s="55"/>
      <c r="HZS1997" s="55"/>
      <c r="HZT1997" s="55"/>
      <c r="HZU1997" s="55"/>
      <c r="HZV1997" s="55"/>
      <c r="HZW1997" s="55"/>
      <c r="HZX1997" s="55"/>
      <c r="HZY1997" s="55"/>
      <c r="HZZ1997" s="55"/>
      <c r="IAA1997" s="55"/>
      <c r="IAB1997" s="55"/>
      <c r="IAC1997" s="55"/>
      <c r="IAD1997" s="55"/>
      <c r="IAE1997" s="55"/>
      <c r="IAF1997" s="55"/>
      <c r="IAG1997" s="55"/>
      <c r="IAH1997" s="55"/>
      <c r="IAI1997" s="55"/>
      <c r="IAJ1997" s="55"/>
      <c r="IAK1997" s="55"/>
      <c r="IAL1997" s="55"/>
      <c r="IAM1997" s="55"/>
      <c r="IAN1997" s="55"/>
      <c r="IAO1997" s="55"/>
      <c r="IAP1997" s="55"/>
      <c r="IAQ1997" s="55"/>
      <c r="IAR1997" s="55"/>
      <c r="IAS1997" s="55"/>
      <c r="IAT1997" s="55"/>
      <c r="IAU1997" s="55"/>
      <c r="IAV1997" s="55"/>
      <c r="IAW1997" s="55"/>
      <c r="IAX1997" s="55"/>
      <c r="IAY1997" s="55"/>
      <c r="IAZ1997" s="55"/>
      <c r="IBA1997" s="55"/>
      <c r="IBB1997" s="55"/>
      <c r="IBC1997" s="55"/>
      <c r="IBD1997" s="55"/>
      <c r="IBE1997" s="55"/>
      <c r="IBF1997" s="55"/>
      <c r="IBG1997" s="55"/>
      <c r="IBH1997" s="55"/>
      <c r="IBI1997" s="55"/>
      <c r="IBJ1997" s="55"/>
      <c r="IBK1997" s="55"/>
      <c r="IBL1997" s="55"/>
      <c r="IBM1997" s="55"/>
      <c r="IBN1997" s="55"/>
      <c r="IBO1997" s="55"/>
      <c r="IBP1997" s="55"/>
      <c r="IBQ1997" s="55"/>
      <c r="IBR1997" s="55"/>
      <c r="IBS1997" s="55"/>
      <c r="IBT1997" s="55"/>
      <c r="IBU1997" s="55"/>
      <c r="IBV1997" s="55"/>
      <c r="IBW1997" s="55"/>
      <c r="IBX1997" s="55"/>
      <c r="IBY1997" s="55"/>
      <c r="IBZ1997" s="55"/>
      <c r="ICA1997" s="55"/>
      <c r="ICB1997" s="55"/>
      <c r="ICC1997" s="55"/>
      <c r="ICD1997" s="55"/>
      <c r="ICE1997" s="55"/>
      <c r="ICF1997" s="55"/>
      <c r="ICG1997" s="55"/>
      <c r="ICH1997" s="55"/>
      <c r="ICI1997" s="55"/>
      <c r="ICJ1997" s="55"/>
      <c r="ICK1997" s="55"/>
      <c r="ICL1997" s="55"/>
      <c r="ICM1997" s="55"/>
      <c r="ICN1997" s="55"/>
      <c r="ICO1997" s="55"/>
      <c r="ICP1997" s="55"/>
      <c r="ICQ1997" s="55"/>
      <c r="ICR1997" s="55"/>
      <c r="ICS1997" s="55"/>
      <c r="ICT1997" s="55"/>
      <c r="ICU1997" s="55"/>
      <c r="ICV1997" s="55"/>
      <c r="ICW1997" s="55"/>
      <c r="ICX1997" s="55"/>
      <c r="ICY1997" s="55"/>
      <c r="ICZ1997" s="55"/>
      <c r="IDA1997" s="55"/>
      <c r="IDB1997" s="55"/>
      <c r="IDC1997" s="55"/>
      <c r="IDD1997" s="55"/>
      <c r="IDE1997" s="55"/>
      <c r="IDF1997" s="55"/>
      <c r="IDG1997" s="55"/>
      <c r="IDH1997" s="55"/>
      <c r="IDI1997" s="55"/>
      <c r="IDJ1997" s="55"/>
      <c r="IDK1997" s="55"/>
      <c r="IDL1997" s="55"/>
      <c r="IDM1997" s="55"/>
      <c r="IDN1997" s="55"/>
      <c r="IDO1997" s="55"/>
      <c r="IDP1997" s="55"/>
      <c r="IDQ1997" s="55"/>
      <c r="IDR1997" s="55"/>
      <c r="IDS1997" s="55"/>
      <c r="IDT1997" s="55"/>
      <c r="IDU1997" s="55"/>
      <c r="IDV1997" s="55"/>
      <c r="IDW1997" s="55"/>
      <c r="IDX1997" s="55"/>
      <c r="IDY1997" s="55"/>
      <c r="IDZ1997" s="55"/>
      <c r="IEA1997" s="55"/>
      <c r="IEB1997" s="55"/>
      <c r="IEC1997" s="55"/>
      <c r="IED1997" s="55"/>
      <c r="IEE1997" s="55"/>
      <c r="IEF1997" s="55"/>
      <c r="IEG1997" s="55"/>
      <c r="IEH1997" s="55"/>
      <c r="IEI1997" s="55"/>
      <c r="IEJ1997" s="55"/>
      <c r="IEK1997" s="55"/>
      <c r="IEL1997" s="55"/>
      <c r="IEM1997" s="55"/>
      <c r="IEN1997" s="55"/>
      <c r="IEO1997" s="55"/>
      <c r="IEP1997" s="55"/>
      <c r="IEQ1997" s="55"/>
      <c r="IER1997" s="55"/>
      <c r="IES1997" s="55"/>
      <c r="IET1997" s="55"/>
      <c r="IEU1997" s="55"/>
      <c r="IEV1997" s="55"/>
      <c r="IEW1997" s="55"/>
      <c r="IEX1997" s="55"/>
      <c r="IEY1997" s="55"/>
      <c r="IEZ1997" s="55"/>
      <c r="IFA1997" s="55"/>
      <c r="IFB1997" s="55"/>
      <c r="IFC1997" s="55"/>
      <c r="IFD1997" s="55"/>
      <c r="IFE1997" s="55"/>
      <c r="IFF1997" s="55"/>
      <c r="IFG1997" s="55"/>
      <c r="IFH1997" s="55"/>
      <c r="IFI1997" s="55"/>
      <c r="IFJ1997" s="55"/>
      <c r="IFK1997" s="55"/>
      <c r="IFL1997" s="55"/>
      <c r="IFM1997" s="55"/>
      <c r="IFN1997" s="55"/>
      <c r="IFO1997" s="55"/>
      <c r="IFP1997" s="55"/>
      <c r="IFQ1997" s="55"/>
      <c r="IFR1997" s="55"/>
      <c r="IFS1997" s="55"/>
      <c r="IFT1997" s="55"/>
      <c r="IFU1997" s="55"/>
      <c r="IFV1997" s="55"/>
      <c r="IFW1997" s="55"/>
      <c r="IFX1997" s="55"/>
      <c r="IFY1997" s="55"/>
      <c r="IFZ1997" s="55"/>
      <c r="IGA1997" s="55"/>
      <c r="IGB1997" s="55"/>
      <c r="IGC1997" s="55"/>
      <c r="IGD1997" s="55"/>
      <c r="IGE1997" s="55"/>
      <c r="IGF1997" s="55"/>
      <c r="IGG1997" s="55"/>
      <c r="IGH1997" s="55"/>
      <c r="IGI1997" s="55"/>
      <c r="IGJ1997" s="55"/>
      <c r="IGK1997" s="55"/>
      <c r="IGL1997" s="55"/>
      <c r="IGM1997" s="55"/>
      <c r="IGN1997" s="55"/>
      <c r="IGO1997" s="55"/>
      <c r="IGP1997" s="55"/>
      <c r="IGQ1997" s="55"/>
      <c r="IGR1997" s="55"/>
      <c r="IGS1997" s="55"/>
      <c r="IGT1997" s="55"/>
      <c r="IGU1997" s="55"/>
      <c r="IGV1997" s="55"/>
      <c r="IGW1997" s="55"/>
      <c r="IGX1997" s="55"/>
      <c r="IGY1997" s="55"/>
      <c r="IGZ1997" s="55"/>
      <c r="IHA1997" s="55"/>
      <c r="IHB1997" s="55"/>
      <c r="IHC1997" s="55"/>
      <c r="IHD1997" s="55"/>
      <c r="IHE1997" s="55"/>
      <c r="IHF1997" s="55"/>
      <c r="IHG1997" s="55"/>
      <c r="IHH1997" s="55"/>
      <c r="IHI1997" s="55"/>
      <c r="IHJ1997" s="55"/>
      <c r="IHK1997" s="55"/>
      <c r="IHL1997" s="55"/>
      <c r="IHM1997" s="55"/>
      <c r="IHN1997" s="55"/>
      <c r="IHO1997" s="55"/>
      <c r="IHP1997" s="55"/>
      <c r="IHQ1997" s="55"/>
      <c r="IHR1997" s="55"/>
      <c r="IHS1997" s="55"/>
      <c r="IHT1997" s="55"/>
      <c r="IHU1997" s="55"/>
      <c r="IHV1997" s="55"/>
      <c r="IHW1997" s="55"/>
      <c r="IHX1997" s="55"/>
      <c r="IHY1997" s="55"/>
      <c r="IHZ1997" s="55"/>
      <c r="IIA1997" s="55"/>
      <c r="IIB1997" s="55"/>
      <c r="IIC1997" s="55"/>
      <c r="IID1997" s="55"/>
      <c r="IIE1997" s="55"/>
      <c r="IIF1997" s="55"/>
      <c r="IIG1997" s="55"/>
      <c r="IIH1997" s="55"/>
      <c r="III1997" s="55"/>
      <c r="IIJ1997" s="55"/>
      <c r="IIK1997" s="55"/>
      <c r="IIL1997" s="55"/>
      <c r="IIM1997" s="55"/>
      <c r="IIN1997" s="55"/>
      <c r="IIO1997" s="55"/>
      <c r="IIP1997" s="55"/>
      <c r="IIQ1997" s="55"/>
      <c r="IIR1997" s="55"/>
      <c r="IIS1997" s="55"/>
      <c r="IIT1997" s="55"/>
      <c r="IIU1997" s="55"/>
      <c r="IIV1997" s="55"/>
      <c r="IIW1997" s="55"/>
      <c r="IIX1997" s="55"/>
      <c r="IIY1997" s="55"/>
      <c r="IIZ1997" s="55"/>
      <c r="IJA1997" s="55"/>
      <c r="IJB1997" s="55"/>
      <c r="IJC1997" s="55"/>
      <c r="IJD1997" s="55"/>
      <c r="IJE1997" s="55"/>
      <c r="IJF1997" s="55"/>
      <c r="IJG1997" s="55"/>
      <c r="IJH1997" s="55"/>
      <c r="IJI1997" s="55"/>
      <c r="IJJ1997" s="55"/>
      <c r="IJK1997" s="55"/>
      <c r="IJL1997" s="55"/>
      <c r="IJM1997" s="55"/>
      <c r="IJN1997" s="55"/>
      <c r="IJO1997" s="55"/>
      <c r="IJP1997" s="55"/>
      <c r="IJQ1997" s="55"/>
      <c r="IJR1997" s="55"/>
      <c r="IJS1997" s="55"/>
      <c r="IJT1997" s="55"/>
      <c r="IJU1997" s="55"/>
      <c r="IJV1997" s="55"/>
      <c r="IJW1997" s="55"/>
      <c r="IJX1997" s="55"/>
      <c r="IJY1997" s="55"/>
      <c r="IJZ1997" s="55"/>
      <c r="IKA1997" s="55"/>
      <c r="IKB1997" s="55"/>
      <c r="IKC1997" s="55"/>
      <c r="IKD1997" s="55"/>
      <c r="IKE1997" s="55"/>
      <c r="IKF1997" s="55"/>
      <c r="IKG1997" s="55"/>
      <c r="IKH1997" s="55"/>
      <c r="IKI1997" s="55"/>
      <c r="IKJ1997" s="55"/>
      <c r="IKK1997" s="55"/>
      <c r="IKL1997" s="55"/>
      <c r="IKM1997" s="55"/>
      <c r="IKN1997" s="55"/>
      <c r="IKO1997" s="55"/>
      <c r="IKP1997" s="55"/>
      <c r="IKQ1997" s="55"/>
      <c r="IKR1997" s="55"/>
      <c r="IKS1997" s="55"/>
      <c r="IKT1997" s="55"/>
      <c r="IKU1997" s="55"/>
      <c r="IKV1997" s="55"/>
      <c r="IKW1997" s="55"/>
      <c r="IKX1997" s="55"/>
      <c r="IKY1997" s="55"/>
      <c r="IKZ1997" s="55"/>
      <c r="ILA1997" s="55"/>
      <c r="ILB1997" s="55"/>
      <c r="ILC1997" s="55"/>
      <c r="ILD1997" s="55"/>
      <c r="ILE1997" s="55"/>
      <c r="ILF1997" s="55"/>
      <c r="ILG1997" s="55"/>
      <c r="ILH1997" s="55"/>
      <c r="ILI1997" s="55"/>
      <c r="ILJ1997" s="55"/>
      <c r="ILK1997" s="55"/>
      <c r="ILL1997" s="55"/>
      <c r="ILM1997" s="55"/>
      <c r="ILN1997" s="55"/>
      <c r="ILO1997" s="55"/>
      <c r="ILP1997" s="55"/>
      <c r="ILQ1997" s="55"/>
      <c r="ILR1997" s="55"/>
      <c r="ILS1997" s="55"/>
      <c r="ILT1997" s="55"/>
      <c r="ILU1997" s="55"/>
      <c r="ILV1997" s="55"/>
      <c r="ILW1997" s="55"/>
      <c r="ILX1997" s="55"/>
      <c r="ILY1997" s="55"/>
      <c r="ILZ1997" s="55"/>
      <c r="IMA1997" s="55"/>
      <c r="IMB1997" s="55"/>
      <c r="IMC1997" s="55"/>
      <c r="IMD1997" s="55"/>
      <c r="IME1997" s="55"/>
      <c r="IMF1997" s="55"/>
      <c r="IMG1997" s="55"/>
      <c r="IMH1997" s="55"/>
      <c r="IMI1997" s="55"/>
      <c r="IMJ1997" s="55"/>
      <c r="IMK1997" s="55"/>
      <c r="IML1997" s="55"/>
      <c r="IMM1997" s="55"/>
      <c r="IMN1997" s="55"/>
      <c r="IMO1997" s="55"/>
      <c r="IMP1997" s="55"/>
      <c r="IMQ1997" s="55"/>
      <c r="IMR1997" s="55"/>
      <c r="IMS1997" s="55"/>
      <c r="IMT1997" s="55"/>
      <c r="IMU1997" s="55"/>
      <c r="IMV1997" s="55"/>
      <c r="IMW1997" s="55"/>
      <c r="IMX1997" s="55"/>
      <c r="IMY1997" s="55"/>
      <c r="IMZ1997" s="55"/>
      <c r="INA1997" s="55"/>
      <c r="INB1997" s="55"/>
      <c r="INC1997" s="55"/>
      <c r="IND1997" s="55"/>
      <c r="INE1997" s="55"/>
      <c r="INF1997" s="55"/>
      <c r="ING1997" s="55"/>
      <c r="INH1997" s="55"/>
      <c r="INI1997" s="55"/>
      <c r="INJ1997" s="55"/>
      <c r="INK1997" s="55"/>
      <c r="INL1997" s="55"/>
      <c r="INM1997" s="55"/>
      <c r="INN1997" s="55"/>
      <c r="INO1997" s="55"/>
      <c r="INP1997" s="55"/>
      <c r="INQ1997" s="55"/>
      <c r="INR1997" s="55"/>
      <c r="INS1997" s="55"/>
      <c r="INT1997" s="55"/>
      <c r="INU1997" s="55"/>
      <c r="INV1997" s="55"/>
      <c r="INW1997" s="55"/>
      <c r="INX1997" s="55"/>
      <c r="INY1997" s="55"/>
      <c r="INZ1997" s="55"/>
      <c r="IOA1997" s="55"/>
      <c r="IOB1997" s="55"/>
      <c r="IOC1997" s="55"/>
      <c r="IOD1997" s="55"/>
      <c r="IOE1997" s="55"/>
      <c r="IOF1997" s="55"/>
      <c r="IOG1997" s="55"/>
      <c r="IOH1997" s="55"/>
      <c r="IOI1997" s="55"/>
      <c r="IOJ1997" s="55"/>
      <c r="IOK1997" s="55"/>
      <c r="IOL1997" s="55"/>
      <c r="IOM1997" s="55"/>
      <c r="ION1997" s="55"/>
      <c r="IOO1997" s="55"/>
      <c r="IOP1997" s="55"/>
      <c r="IOQ1997" s="55"/>
      <c r="IOR1997" s="55"/>
      <c r="IOS1997" s="55"/>
      <c r="IOT1997" s="55"/>
      <c r="IOU1997" s="55"/>
      <c r="IOV1997" s="55"/>
      <c r="IOW1997" s="55"/>
      <c r="IOX1997" s="55"/>
      <c r="IOY1997" s="55"/>
      <c r="IOZ1997" s="55"/>
      <c r="IPA1997" s="55"/>
      <c r="IPB1997" s="55"/>
      <c r="IPC1997" s="55"/>
      <c r="IPD1997" s="55"/>
      <c r="IPE1997" s="55"/>
      <c r="IPF1997" s="55"/>
      <c r="IPG1997" s="55"/>
      <c r="IPH1997" s="55"/>
      <c r="IPI1997" s="55"/>
      <c r="IPJ1997" s="55"/>
      <c r="IPK1997" s="55"/>
      <c r="IPL1997" s="55"/>
      <c r="IPM1997" s="55"/>
      <c r="IPN1997" s="55"/>
      <c r="IPO1997" s="55"/>
      <c r="IPP1997" s="55"/>
      <c r="IPQ1997" s="55"/>
      <c r="IPR1997" s="55"/>
      <c r="IPS1997" s="55"/>
      <c r="IPT1997" s="55"/>
      <c r="IPU1997" s="55"/>
      <c r="IPV1997" s="55"/>
      <c r="IPW1997" s="55"/>
      <c r="IPX1997" s="55"/>
      <c r="IPY1997" s="55"/>
      <c r="IPZ1997" s="55"/>
      <c r="IQA1997" s="55"/>
      <c r="IQB1997" s="55"/>
      <c r="IQC1997" s="55"/>
      <c r="IQD1997" s="55"/>
      <c r="IQE1997" s="55"/>
      <c r="IQF1997" s="55"/>
      <c r="IQG1997" s="55"/>
      <c r="IQH1997" s="55"/>
      <c r="IQI1997" s="55"/>
      <c r="IQJ1997" s="55"/>
      <c r="IQK1997" s="55"/>
      <c r="IQL1997" s="55"/>
      <c r="IQM1997" s="55"/>
      <c r="IQN1997" s="55"/>
      <c r="IQO1997" s="55"/>
      <c r="IQP1997" s="55"/>
      <c r="IQQ1997" s="55"/>
      <c r="IQR1997" s="55"/>
      <c r="IQS1997" s="55"/>
      <c r="IQT1997" s="55"/>
      <c r="IQU1997" s="55"/>
      <c r="IQV1997" s="55"/>
      <c r="IQW1997" s="55"/>
      <c r="IQX1997" s="55"/>
      <c r="IQY1997" s="55"/>
      <c r="IQZ1997" s="55"/>
      <c r="IRA1997" s="55"/>
      <c r="IRB1997" s="55"/>
      <c r="IRC1997" s="55"/>
      <c r="IRD1997" s="55"/>
      <c r="IRE1997" s="55"/>
      <c r="IRF1997" s="55"/>
      <c r="IRG1997" s="55"/>
      <c r="IRH1997" s="55"/>
      <c r="IRI1997" s="55"/>
      <c r="IRJ1997" s="55"/>
      <c r="IRK1997" s="55"/>
      <c r="IRL1997" s="55"/>
      <c r="IRM1997" s="55"/>
      <c r="IRN1997" s="55"/>
      <c r="IRO1997" s="55"/>
      <c r="IRP1997" s="55"/>
      <c r="IRQ1997" s="55"/>
      <c r="IRR1997" s="55"/>
      <c r="IRS1997" s="55"/>
      <c r="IRT1997" s="55"/>
      <c r="IRU1997" s="55"/>
      <c r="IRV1997" s="55"/>
      <c r="IRW1997" s="55"/>
      <c r="IRX1997" s="55"/>
      <c r="IRY1997" s="55"/>
      <c r="IRZ1997" s="55"/>
      <c r="ISA1997" s="55"/>
      <c r="ISB1997" s="55"/>
      <c r="ISC1997" s="55"/>
      <c r="ISD1997" s="55"/>
      <c r="ISE1997" s="55"/>
      <c r="ISF1997" s="55"/>
      <c r="ISG1997" s="55"/>
      <c r="ISH1997" s="55"/>
      <c r="ISI1997" s="55"/>
      <c r="ISJ1997" s="55"/>
      <c r="ISK1997" s="55"/>
      <c r="ISL1997" s="55"/>
      <c r="ISM1997" s="55"/>
      <c r="ISN1997" s="55"/>
      <c r="ISO1997" s="55"/>
      <c r="ISP1997" s="55"/>
      <c r="ISQ1997" s="55"/>
      <c r="ISR1997" s="55"/>
      <c r="ISS1997" s="55"/>
      <c r="IST1997" s="55"/>
      <c r="ISU1997" s="55"/>
      <c r="ISV1997" s="55"/>
      <c r="ISW1997" s="55"/>
      <c r="ISX1997" s="55"/>
      <c r="ISY1997" s="55"/>
      <c r="ISZ1997" s="55"/>
      <c r="ITA1997" s="55"/>
      <c r="ITB1997" s="55"/>
      <c r="ITC1997" s="55"/>
      <c r="ITD1997" s="55"/>
      <c r="ITE1997" s="55"/>
      <c r="ITF1997" s="55"/>
      <c r="ITG1997" s="55"/>
      <c r="ITH1997" s="55"/>
      <c r="ITI1997" s="55"/>
      <c r="ITJ1997" s="55"/>
      <c r="ITK1997" s="55"/>
      <c r="ITL1997" s="55"/>
      <c r="ITM1997" s="55"/>
      <c r="ITN1997" s="55"/>
      <c r="ITO1997" s="55"/>
      <c r="ITP1997" s="55"/>
      <c r="ITQ1997" s="55"/>
      <c r="ITR1997" s="55"/>
      <c r="ITS1997" s="55"/>
      <c r="ITT1997" s="55"/>
      <c r="ITU1997" s="55"/>
      <c r="ITV1997" s="55"/>
      <c r="ITW1997" s="55"/>
      <c r="ITX1997" s="55"/>
      <c r="ITY1997" s="55"/>
      <c r="ITZ1997" s="55"/>
      <c r="IUA1997" s="55"/>
      <c r="IUB1997" s="55"/>
      <c r="IUC1997" s="55"/>
      <c r="IUD1997" s="55"/>
      <c r="IUE1997" s="55"/>
      <c r="IUF1997" s="55"/>
      <c r="IUG1997" s="55"/>
      <c r="IUH1997" s="55"/>
      <c r="IUI1997" s="55"/>
      <c r="IUJ1997" s="55"/>
      <c r="IUK1997" s="55"/>
      <c r="IUL1997" s="55"/>
      <c r="IUM1997" s="55"/>
      <c r="IUN1997" s="55"/>
      <c r="IUO1997" s="55"/>
      <c r="IUP1997" s="55"/>
      <c r="IUQ1997" s="55"/>
      <c r="IUR1997" s="55"/>
      <c r="IUS1997" s="55"/>
      <c r="IUT1997" s="55"/>
      <c r="IUU1997" s="55"/>
      <c r="IUV1997" s="55"/>
      <c r="IUW1997" s="55"/>
      <c r="IUX1997" s="55"/>
      <c r="IUY1997" s="55"/>
      <c r="IUZ1997" s="55"/>
      <c r="IVA1997" s="55"/>
      <c r="IVB1997" s="55"/>
      <c r="IVC1997" s="55"/>
      <c r="IVD1997" s="55"/>
      <c r="IVE1997" s="55"/>
      <c r="IVF1997" s="55"/>
      <c r="IVG1997" s="55"/>
      <c r="IVH1997" s="55"/>
      <c r="IVI1997" s="55"/>
      <c r="IVJ1997" s="55"/>
      <c r="IVK1997" s="55"/>
      <c r="IVL1997" s="55"/>
      <c r="IVM1997" s="55"/>
      <c r="IVN1997" s="55"/>
      <c r="IVO1997" s="55"/>
      <c r="IVP1997" s="55"/>
      <c r="IVQ1997" s="55"/>
      <c r="IVR1997" s="55"/>
      <c r="IVS1997" s="55"/>
      <c r="IVT1997" s="55"/>
      <c r="IVU1997" s="55"/>
      <c r="IVV1997" s="55"/>
      <c r="IVW1997" s="55"/>
      <c r="IVX1997" s="55"/>
      <c r="IVY1997" s="55"/>
      <c r="IVZ1997" s="55"/>
      <c r="IWA1997" s="55"/>
      <c r="IWB1997" s="55"/>
      <c r="IWC1997" s="55"/>
      <c r="IWD1997" s="55"/>
      <c r="IWE1997" s="55"/>
      <c r="IWF1997" s="55"/>
      <c r="IWG1997" s="55"/>
      <c r="IWH1997" s="55"/>
      <c r="IWI1997" s="55"/>
      <c r="IWJ1997" s="55"/>
      <c r="IWK1997" s="55"/>
      <c r="IWL1997" s="55"/>
      <c r="IWM1997" s="55"/>
      <c r="IWN1997" s="55"/>
      <c r="IWO1997" s="55"/>
      <c r="IWP1997" s="55"/>
      <c r="IWQ1997" s="55"/>
      <c r="IWR1997" s="55"/>
      <c r="IWS1997" s="55"/>
      <c r="IWT1997" s="55"/>
      <c r="IWU1997" s="55"/>
      <c r="IWV1997" s="55"/>
      <c r="IWW1997" s="55"/>
      <c r="IWX1997" s="55"/>
      <c r="IWY1997" s="55"/>
      <c r="IWZ1997" s="55"/>
      <c r="IXA1997" s="55"/>
      <c r="IXB1997" s="55"/>
      <c r="IXC1997" s="55"/>
      <c r="IXD1997" s="55"/>
      <c r="IXE1997" s="55"/>
      <c r="IXF1997" s="55"/>
      <c r="IXG1997" s="55"/>
      <c r="IXH1997" s="55"/>
      <c r="IXI1997" s="55"/>
      <c r="IXJ1997" s="55"/>
      <c r="IXK1997" s="55"/>
      <c r="IXL1997" s="55"/>
      <c r="IXM1997" s="55"/>
      <c r="IXN1997" s="55"/>
      <c r="IXO1997" s="55"/>
      <c r="IXP1997" s="55"/>
      <c r="IXQ1997" s="55"/>
      <c r="IXR1997" s="55"/>
      <c r="IXS1997" s="55"/>
      <c r="IXT1997" s="55"/>
      <c r="IXU1997" s="55"/>
      <c r="IXV1997" s="55"/>
      <c r="IXW1997" s="55"/>
      <c r="IXX1997" s="55"/>
      <c r="IXY1997" s="55"/>
      <c r="IXZ1997" s="55"/>
      <c r="IYA1997" s="55"/>
      <c r="IYB1997" s="55"/>
      <c r="IYC1997" s="55"/>
      <c r="IYD1997" s="55"/>
      <c r="IYE1997" s="55"/>
      <c r="IYF1997" s="55"/>
      <c r="IYG1997" s="55"/>
      <c r="IYH1997" s="55"/>
      <c r="IYI1997" s="55"/>
      <c r="IYJ1997" s="55"/>
      <c r="IYK1997" s="55"/>
      <c r="IYL1997" s="55"/>
      <c r="IYM1997" s="55"/>
      <c r="IYN1997" s="55"/>
      <c r="IYO1997" s="55"/>
      <c r="IYP1997" s="55"/>
      <c r="IYQ1997" s="55"/>
      <c r="IYR1997" s="55"/>
      <c r="IYS1997" s="55"/>
      <c r="IYT1997" s="55"/>
      <c r="IYU1997" s="55"/>
      <c r="IYV1997" s="55"/>
      <c r="IYW1997" s="55"/>
      <c r="IYX1997" s="55"/>
      <c r="IYY1997" s="55"/>
      <c r="IYZ1997" s="55"/>
      <c r="IZA1997" s="55"/>
      <c r="IZB1997" s="55"/>
      <c r="IZC1997" s="55"/>
      <c r="IZD1997" s="55"/>
      <c r="IZE1997" s="55"/>
      <c r="IZF1997" s="55"/>
      <c r="IZG1997" s="55"/>
      <c r="IZH1997" s="55"/>
      <c r="IZI1997" s="55"/>
      <c r="IZJ1997" s="55"/>
      <c r="IZK1997" s="55"/>
      <c r="IZL1997" s="55"/>
      <c r="IZM1997" s="55"/>
      <c r="IZN1997" s="55"/>
      <c r="IZO1997" s="55"/>
      <c r="IZP1997" s="55"/>
      <c r="IZQ1997" s="55"/>
      <c r="IZR1997" s="55"/>
      <c r="IZS1997" s="55"/>
      <c r="IZT1997" s="55"/>
      <c r="IZU1997" s="55"/>
      <c r="IZV1997" s="55"/>
      <c r="IZW1997" s="55"/>
      <c r="IZX1997" s="55"/>
      <c r="IZY1997" s="55"/>
      <c r="IZZ1997" s="55"/>
      <c r="JAA1997" s="55"/>
      <c r="JAB1997" s="55"/>
      <c r="JAC1997" s="55"/>
      <c r="JAD1997" s="55"/>
      <c r="JAE1997" s="55"/>
      <c r="JAF1997" s="55"/>
      <c r="JAG1997" s="55"/>
      <c r="JAH1997" s="55"/>
      <c r="JAI1997" s="55"/>
      <c r="JAJ1997" s="55"/>
      <c r="JAK1997" s="55"/>
      <c r="JAL1997" s="55"/>
      <c r="JAM1997" s="55"/>
      <c r="JAN1997" s="55"/>
      <c r="JAO1997" s="55"/>
      <c r="JAP1997" s="55"/>
      <c r="JAQ1997" s="55"/>
      <c r="JAR1997" s="55"/>
      <c r="JAS1997" s="55"/>
      <c r="JAT1997" s="55"/>
      <c r="JAU1997" s="55"/>
      <c r="JAV1997" s="55"/>
      <c r="JAW1997" s="55"/>
      <c r="JAX1997" s="55"/>
      <c r="JAY1997" s="55"/>
      <c r="JAZ1997" s="55"/>
      <c r="JBA1997" s="55"/>
      <c r="JBB1997" s="55"/>
      <c r="JBC1997" s="55"/>
      <c r="JBD1997" s="55"/>
      <c r="JBE1997" s="55"/>
      <c r="JBF1997" s="55"/>
      <c r="JBG1997" s="55"/>
      <c r="JBH1997" s="55"/>
      <c r="JBI1997" s="55"/>
      <c r="JBJ1997" s="55"/>
      <c r="JBK1997" s="55"/>
      <c r="JBL1997" s="55"/>
      <c r="JBM1997" s="55"/>
      <c r="JBN1997" s="55"/>
      <c r="JBO1997" s="55"/>
      <c r="JBP1997" s="55"/>
      <c r="JBQ1997" s="55"/>
      <c r="JBR1997" s="55"/>
      <c r="JBS1997" s="55"/>
      <c r="JBT1997" s="55"/>
      <c r="JBU1997" s="55"/>
      <c r="JBV1997" s="55"/>
      <c r="JBW1997" s="55"/>
      <c r="JBX1997" s="55"/>
      <c r="JBY1997" s="55"/>
      <c r="JBZ1997" s="55"/>
      <c r="JCA1997" s="55"/>
      <c r="JCB1997" s="55"/>
      <c r="JCC1997" s="55"/>
      <c r="JCD1997" s="55"/>
      <c r="JCE1997" s="55"/>
      <c r="JCF1997" s="55"/>
      <c r="JCG1997" s="55"/>
      <c r="JCH1997" s="55"/>
      <c r="JCI1997" s="55"/>
      <c r="JCJ1997" s="55"/>
      <c r="JCK1997" s="55"/>
      <c r="JCL1997" s="55"/>
      <c r="JCM1997" s="55"/>
      <c r="JCN1997" s="55"/>
      <c r="JCO1997" s="55"/>
      <c r="JCP1997" s="55"/>
      <c r="JCQ1997" s="55"/>
      <c r="JCR1997" s="55"/>
      <c r="JCS1997" s="55"/>
      <c r="JCT1997" s="55"/>
      <c r="JCU1997" s="55"/>
      <c r="JCV1997" s="55"/>
      <c r="JCW1997" s="55"/>
      <c r="JCX1997" s="55"/>
      <c r="JCY1997" s="55"/>
      <c r="JCZ1997" s="55"/>
      <c r="JDA1997" s="55"/>
      <c r="JDB1997" s="55"/>
      <c r="JDC1997" s="55"/>
      <c r="JDD1997" s="55"/>
      <c r="JDE1997" s="55"/>
      <c r="JDF1997" s="55"/>
      <c r="JDG1997" s="55"/>
      <c r="JDH1997" s="55"/>
      <c r="JDI1997" s="55"/>
      <c r="JDJ1997" s="55"/>
      <c r="JDK1997" s="55"/>
      <c r="JDL1997" s="55"/>
      <c r="JDM1997" s="55"/>
      <c r="JDN1997" s="55"/>
      <c r="JDO1997" s="55"/>
      <c r="JDP1997" s="55"/>
      <c r="JDQ1997" s="55"/>
      <c r="JDR1997" s="55"/>
      <c r="JDS1997" s="55"/>
      <c r="JDT1997" s="55"/>
      <c r="JDU1997" s="55"/>
      <c r="JDV1997" s="55"/>
      <c r="JDW1997" s="55"/>
      <c r="JDX1997" s="55"/>
      <c r="JDY1997" s="55"/>
      <c r="JDZ1997" s="55"/>
      <c r="JEA1997" s="55"/>
      <c r="JEB1997" s="55"/>
      <c r="JEC1997" s="55"/>
      <c r="JED1997" s="55"/>
      <c r="JEE1997" s="55"/>
      <c r="JEF1997" s="55"/>
      <c r="JEG1997" s="55"/>
      <c r="JEH1997" s="55"/>
      <c r="JEI1997" s="55"/>
      <c r="JEJ1997" s="55"/>
      <c r="JEK1997" s="55"/>
      <c r="JEL1997" s="55"/>
      <c r="JEM1997" s="55"/>
      <c r="JEN1997" s="55"/>
      <c r="JEO1997" s="55"/>
      <c r="JEP1997" s="55"/>
      <c r="JEQ1997" s="55"/>
      <c r="JER1997" s="55"/>
      <c r="JES1997" s="55"/>
      <c r="JET1997" s="55"/>
      <c r="JEU1997" s="55"/>
      <c r="JEV1997" s="55"/>
      <c r="JEW1997" s="55"/>
      <c r="JEX1997" s="55"/>
      <c r="JEY1997" s="55"/>
      <c r="JEZ1997" s="55"/>
      <c r="JFA1997" s="55"/>
      <c r="JFB1997" s="55"/>
      <c r="JFC1997" s="55"/>
      <c r="JFD1997" s="55"/>
      <c r="JFE1997" s="55"/>
      <c r="JFF1997" s="55"/>
      <c r="JFG1997" s="55"/>
      <c r="JFH1997" s="55"/>
      <c r="JFI1997" s="55"/>
      <c r="JFJ1997" s="55"/>
      <c r="JFK1997" s="55"/>
      <c r="JFL1997" s="55"/>
      <c r="JFM1997" s="55"/>
      <c r="JFN1997" s="55"/>
      <c r="JFO1997" s="55"/>
      <c r="JFP1997" s="55"/>
      <c r="JFQ1997" s="55"/>
      <c r="JFR1997" s="55"/>
      <c r="JFS1997" s="55"/>
      <c r="JFT1997" s="55"/>
      <c r="JFU1997" s="55"/>
      <c r="JFV1997" s="55"/>
      <c r="JFW1997" s="55"/>
      <c r="JFX1997" s="55"/>
      <c r="JFY1997" s="55"/>
      <c r="JFZ1997" s="55"/>
      <c r="JGA1997" s="55"/>
      <c r="JGB1997" s="55"/>
      <c r="JGC1997" s="55"/>
      <c r="JGD1997" s="55"/>
      <c r="JGE1997" s="55"/>
      <c r="JGF1997" s="55"/>
      <c r="JGG1997" s="55"/>
      <c r="JGH1997" s="55"/>
      <c r="JGI1997" s="55"/>
      <c r="JGJ1997" s="55"/>
      <c r="JGK1997" s="55"/>
      <c r="JGL1997" s="55"/>
      <c r="JGM1997" s="55"/>
      <c r="JGN1997" s="55"/>
      <c r="JGO1997" s="55"/>
      <c r="JGP1997" s="55"/>
      <c r="JGQ1997" s="55"/>
      <c r="JGR1997" s="55"/>
      <c r="JGS1997" s="55"/>
      <c r="JGT1997" s="55"/>
      <c r="JGU1997" s="55"/>
      <c r="JGV1997" s="55"/>
      <c r="JGW1997" s="55"/>
      <c r="JGX1997" s="55"/>
      <c r="JGY1997" s="55"/>
      <c r="JGZ1997" s="55"/>
      <c r="JHA1997" s="55"/>
      <c r="JHB1997" s="55"/>
      <c r="JHC1997" s="55"/>
      <c r="JHD1997" s="55"/>
      <c r="JHE1997" s="55"/>
      <c r="JHF1997" s="55"/>
      <c r="JHG1997" s="55"/>
      <c r="JHH1997" s="55"/>
      <c r="JHI1997" s="55"/>
      <c r="JHJ1997" s="55"/>
      <c r="JHK1997" s="55"/>
      <c r="JHL1997" s="55"/>
      <c r="JHM1997" s="55"/>
      <c r="JHN1997" s="55"/>
      <c r="JHO1997" s="55"/>
      <c r="JHP1997" s="55"/>
      <c r="JHQ1997" s="55"/>
      <c r="JHR1997" s="55"/>
      <c r="JHS1997" s="55"/>
      <c r="JHT1997" s="55"/>
      <c r="JHU1997" s="55"/>
      <c r="JHV1997" s="55"/>
      <c r="JHW1997" s="55"/>
      <c r="JHX1997" s="55"/>
      <c r="JHY1997" s="55"/>
      <c r="JHZ1997" s="55"/>
      <c r="JIA1997" s="55"/>
      <c r="JIB1997" s="55"/>
      <c r="JIC1997" s="55"/>
      <c r="JID1997" s="55"/>
      <c r="JIE1997" s="55"/>
      <c r="JIF1997" s="55"/>
      <c r="JIG1997" s="55"/>
      <c r="JIH1997" s="55"/>
      <c r="JII1997" s="55"/>
      <c r="JIJ1997" s="55"/>
      <c r="JIK1997" s="55"/>
      <c r="JIL1997" s="55"/>
      <c r="JIM1997" s="55"/>
      <c r="JIN1997" s="55"/>
      <c r="JIO1997" s="55"/>
      <c r="JIP1997" s="55"/>
      <c r="JIQ1997" s="55"/>
      <c r="JIR1997" s="55"/>
      <c r="JIS1997" s="55"/>
      <c r="JIT1997" s="55"/>
      <c r="JIU1997" s="55"/>
      <c r="JIV1997" s="55"/>
      <c r="JIW1997" s="55"/>
      <c r="JIX1997" s="55"/>
      <c r="JIY1997" s="55"/>
      <c r="JIZ1997" s="55"/>
      <c r="JJA1997" s="55"/>
      <c r="JJB1997" s="55"/>
      <c r="JJC1997" s="55"/>
      <c r="JJD1997" s="55"/>
      <c r="JJE1997" s="55"/>
      <c r="JJF1997" s="55"/>
      <c r="JJG1997" s="55"/>
      <c r="JJH1997" s="55"/>
      <c r="JJI1997" s="55"/>
      <c r="JJJ1997" s="55"/>
      <c r="JJK1997" s="55"/>
      <c r="JJL1997" s="55"/>
      <c r="JJM1997" s="55"/>
      <c r="JJN1997" s="55"/>
      <c r="JJO1997" s="55"/>
      <c r="JJP1997" s="55"/>
      <c r="JJQ1997" s="55"/>
      <c r="JJR1997" s="55"/>
      <c r="JJS1997" s="55"/>
      <c r="JJT1997" s="55"/>
      <c r="JJU1997" s="55"/>
      <c r="JJV1997" s="55"/>
      <c r="JJW1997" s="55"/>
      <c r="JJX1997" s="55"/>
      <c r="JJY1997" s="55"/>
      <c r="JJZ1997" s="55"/>
      <c r="JKA1997" s="55"/>
      <c r="JKB1997" s="55"/>
      <c r="JKC1997" s="55"/>
      <c r="JKD1997" s="55"/>
      <c r="JKE1997" s="55"/>
      <c r="JKF1997" s="55"/>
      <c r="JKG1997" s="55"/>
      <c r="JKH1997" s="55"/>
      <c r="JKI1997" s="55"/>
      <c r="JKJ1997" s="55"/>
      <c r="JKK1997" s="55"/>
      <c r="JKL1997" s="55"/>
      <c r="JKM1997" s="55"/>
      <c r="JKN1997" s="55"/>
      <c r="JKO1997" s="55"/>
      <c r="JKP1997" s="55"/>
      <c r="JKQ1997" s="55"/>
      <c r="JKR1997" s="55"/>
      <c r="JKS1997" s="55"/>
      <c r="JKT1997" s="55"/>
      <c r="JKU1997" s="55"/>
      <c r="JKV1997" s="55"/>
      <c r="JKW1997" s="55"/>
      <c r="JKX1997" s="55"/>
      <c r="JKY1997" s="55"/>
      <c r="JKZ1997" s="55"/>
      <c r="JLA1997" s="55"/>
      <c r="JLB1997" s="55"/>
      <c r="JLC1997" s="55"/>
      <c r="JLD1997" s="55"/>
      <c r="JLE1997" s="55"/>
      <c r="JLF1997" s="55"/>
      <c r="JLG1997" s="55"/>
      <c r="JLH1997" s="55"/>
      <c r="JLI1997" s="55"/>
      <c r="JLJ1997" s="55"/>
      <c r="JLK1997" s="55"/>
      <c r="JLL1997" s="55"/>
      <c r="JLM1997" s="55"/>
      <c r="JLN1997" s="55"/>
      <c r="JLO1997" s="55"/>
      <c r="JLP1997" s="55"/>
      <c r="JLQ1997" s="55"/>
      <c r="JLR1997" s="55"/>
      <c r="JLS1997" s="55"/>
      <c r="JLT1997" s="55"/>
      <c r="JLU1997" s="55"/>
      <c r="JLV1997" s="55"/>
      <c r="JLW1997" s="55"/>
      <c r="JLX1997" s="55"/>
      <c r="JLY1997" s="55"/>
      <c r="JLZ1997" s="55"/>
      <c r="JMA1997" s="55"/>
      <c r="JMB1997" s="55"/>
      <c r="JMC1997" s="55"/>
      <c r="JMD1997" s="55"/>
      <c r="JME1997" s="55"/>
      <c r="JMF1997" s="55"/>
      <c r="JMG1997" s="55"/>
      <c r="JMH1997" s="55"/>
      <c r="JMI1997" s="55"/>
      <c r="JMJ1997" s="55"/>
      <c r="JMK1997" s="55"/>
      <c r="JML1997" s="55"/>
      <c r="JMM1997" s="55"/>
      <c r="JMN1997" s="55"/>
      <c r="JMO1997" s="55"/>
      <c r="JMP1997" s="55"/>
      <c r="JMQ1997" s="55"/>
      <c r="JMR1997" s="55"/>
      <c r="JMS1997" s="55"/>
      <c r="JMT1997" s="55"/>
      <c r="JMU1997" s="55"/>
      <c r="JMV1997" s="55"/>
      <c r="JMW1997" s="55"/>
      <c r="JMX1997" s="55"/>
      <c r="JMY1997" s="55"/>
      <c r="JMZ1997" s="55"/>
      <c r="JNA1997" s="55"/>
      <c r="JNB1997" s="55"/>
      <c r="JNC1997" s="55"/>
      <c r="JND1997" s="55"/>
      <c r="JNE1997" s="55"/>
      <c r="JNF1997" s="55"/>
      <c r="JNG1997" s="55"/>
      <c r="JNH1997" s="55"/>
      <c r="JNI1997" s="55"/>
      <c r="JNJ1997" s="55"/>
      <c r="JNK1997" s="55"/>
      <c r="JNL1997" s="55"/>
      <c r="JNM1997" s="55"/>
      <c r="JNN1997" s="55"/>
      <c r="JNO1997" s="55"/>
      <c r="JNP1997" s="55"/>
      <c r="JNQ1997" s="55"/>
      <c r="JNR1997" s="55"/>
      <c r="JNS1997" s="55"/>
      <c r="JNT1997" s="55"/>
      <c r="JNU1997" s="55"/>
      <c r="JNV1997" s="55"/>
      <c r="JNW1997" s="55"/>
      <c r="JNX1997" s="55"/>
      <c r="JNY1997" s="55"/>
      <c r="JNZ1997" s="55"/>
      <c r="JOA1997" s="55"/>
      <c r="JOB1997" s="55"/>
      <c r="JOC1997" s="55"/>
      <c r="JOD1997" s="55"/>
      <c r="JOE1997" s="55"/>
      <c r="JOF1997" s="55"/>
      <c r="JOG1997" s="55"/>
      <c r="JOH1997" s="55"/>
      <c r="JOI1997" s="55"/>
      <c r="JOJ1997" s="55"/>
      <c r="JOK1997" s="55"/>
      <c r="JOL1997" s="55"/>
      <c r="JOM1997" s="55"/>
      <c r="JON1997" s="55"/>
      <c r="JOO1997" s="55"/>
      <c r="JOP1997" s="55"/>
      <c r="JOQ1997" s="55"/>
      <c r="JOR1997" s="55"/>
      <c r="JOS1997" s="55"/>
      <c r="JOT1997" s="55"/>
      <c r="JOU1997" s="55"/>
      <c r="JOV1997" s="55"/>
      <c r="JOW1997" s="55"/>
      <c r="JOX1997" s="55"/>
      <c r="JOY1997" s="55"/>
      <c r="JOZ1997" s="55"/>
      <c r="JPA1997" s="55"/>
      <c r="JPB1997" s="55"/>
      <c r="JPC1997" s="55"/>
      <c r="JPD1997" s="55"/>
      <c r="JPE1997" s="55"/>
      <c r="JPF1997" s="55"/>
      <c r="JPG1997" s="55"/>
      <c r="JPH1997" s="55"/>
      <c r="JPI1997" s="55"/>
      <c r="JPJ1997" s="55"/>
      <c r="JPK1997" s="55"/>
      <c r="JPL1997" s="55"/>
      <c r="JPM1997" s="55"/>
      <c r="JPN1997" s="55"/>
      <c r="JPO1997" s="55"/>
      <c r="JPP1997" s="55"/>
      <c r="JPQ1997" s="55"/>
      <c r="JPR1997" s="55"/>
      <c r="JPS1997" s="55"/>
      <c r="JPT1997" s="55"/>
      <c r="JPU1997" s="55"/>
      <c r="JPV1997" s="55"/>
      <c r="JPW1997" s="55"/>
      <c r="JPX1997" s="55"/>
      <c r="JPY1997" s="55"/>
      <c r="JPZ1997" s="55"/>
      <c r="JQA1997" s="55"/>
      <c r="JQB1997" s="55"/>
      <c r="JQC1997" s="55"/>
      <c r="JQD1997" s="55"/>
      <c r="JQE1997" s="55"/>
      <c r="JQF1997" s="55"/>
      <c r="JQG1997" s="55"/>
      <c r="JQH1997" s="55"/>
      <c r="JQI1997" s="55"/>
      <c r="JQJ1997" s="55"/>
      <c r="JQK1997" s="55"/>
      <c r="JQL1997" s="55"/>
      <c r="JQM1997" s="55"/>
      <c r="JQN1997" s="55"/>
      <c r="JQO1997" s="55"/>
      <c r="JQP1997" s="55"/>
      <c r="JQQ1997" s="55"/>
      <c r="JQR1997" s="55"/>
      <c r="JQS1997" s="55"/>
      <c r="JQT1997" s="55"/>
      <c r="JQU1997" s="55"/>
      <c r="JQV1997" s="55"/>
      <c r="JQW1997" s="55"/>
      <c r="JQX1997" s="55"/>
      <c r="JQY1997" s="55"/>
      <c r="JQZ1997" s="55"/>
      <c r="JRA1997" s="55"/>
      <c r="JRB1997" s="55"/>
      <c r="JRC1997" s="55"/>
      <c r="JRD1997" s="55"/>
      <c r="JRE1997" s="55"/>
      <c r="JRF1997" s="55"/>
      <c r="JRG1997" s="55"/>
      <c r="JRH1997" s="55"/>
      <c r="JRI1997" s="55"/>
      <c r="JRJ1997" s="55"/>
      <c r="JRK1997" s="55"/>
      <c r="JRL1997" s="55"/>
      <c r="JRM1997" s="55"/>
      <c r="JRN1997" s="55"/>
      <c r="JRO1997" s="55"/>
      <c r="JRP1997" s="55"/>
      <c r="JRQ1997" s="55"/>
      <c r="JRR1997" s="55"/>
      <c r="JRS1997" s="55"/>
      <c r="JRT1997" s="55"/>
      <c r="JRU1997" s="55"/>
      <c r="JRV1997" s="55"/>
      <c r="JRW1997" s="55"/>
      <c r="JRX1997" s="55"/>
      <c r="JRY1997" s="55"/>
      <c r="JRZ1997" s="55"/>
      <c r="JSA1997" s="55"/>
      <c r="JSB1997" s="55"/>
      <c r="JSC1997" s="55"/>
      <c r="JSD1997" s="55"/>
      <c r="JSE1997" s="55"/>
      <c r="JSF1997" s="55"/>
      <c r="JSG1997" s="55"/>
      <c r="JSH1997" s="55"/>
      <c r="JSI1997" s="55"/>
      <c r="JSJ1997" s="55"/>
      <c r="JSK1997" s="55"/>
      <c r="JSL1997" s="55"/>
      <c r="JSM1997" s="55"/>
      <c r="JSN1997" s="55"/>
      <c r="JSO1997" s="55"/>
      <c r="JSP1997" s="55"/>
      <c r="JSQ1997" s="55"/>
      <c r="JSR1997" s="55"/>
      <c r="JSS1997" s="55"/>
      <c r="JST1997" s="55"/>
      <c r="JSU1997" s="55"/>
      <c r="JSV1997" s="55"/>
      <c r="JSW1997" s="55"/>
      <c r="JSX1997" s="55"/>
      <c r="JSY1997" s="55"/>
      <c r="JSZ1997" s="55"/>
      <c r="JTA1997" s="55"/>
      <c r="JTB1997" s="55"/>
      <c r="JTC1997" s="55"/>
      <c r="JTD1997" s="55"/>
      <c r="JTE1997" s="55"/>
      <c r="JTF1997" s="55"/>
      <c r="JTG1997" s="55"/>
      <c r="JTH1997" s="55"/>
      <c r="JTI1997" s="55"/>
      <c r="JTJ1997" s="55"/>
      <c r="JTK1997" s="55"/>
      <c r="JTL1997" s="55"/>
      <c r="JTM1997" s="55"/>
      <c r="JTN1997" s="55"/>
      <c r="JTO1997" s="55"/>
      <c r="JTP1997" s="55"/>
      <c r="JTQ1997" s="55"/>
      <c r="JTR1997" s="55"/>
      <c r="JTS1997" s="55"/>
      <c r="JTT1997" s="55"/>
      <c r="JTU1997" s="55"/>
      <c r="JTV1997" s="55"/>
      <c r="JTW1997" s="55"/>
      <c r="JTX1997" s="55"/>
      <c r="JTY1997" s="55"/>
      <c r="JTZ1997" s="55"/>
      <c r="JUA1997" s="55"/>
      <c r="JUB1997" s="55"/>
      <c r="JUC1997" s="55"/>
      <c r="JUD1997" s="55"/>
      <c r="JUE1997" s="55"/>
      <c r="JUF1997" s="55"/>
      <c r="JUG1997" s="55"/>
      <c r="JUH1997" s="55"/>
      <c r="JUI1997" s="55"/>
      <c r="JUJ1997" s="55"/>
      <c r="JUK1997" s="55"/>
      <c r="JUL1997" s="55"/>
      <c r="JUM1997" s="55"/>
      <c r="JUN1997" s="55"/>
      <c r="JUO1997" s="55"/>
      <c r="JUP1997" s="55"/>
      <c r="JUQ1997" s="55"/>
      <c r="JUR1997" s="55"/>
      <c r="JUS1997" s="55"/>
      <c r="JUT1997" s="55"/>
      <c r="JUU1997" s="55"/>
      <c r="JUV1997" s="55"/>
      <c r="JUW1997" s="55"/>
      <c r="JUX1997" s="55"/>
      <c r="JUY1997" s="55"/>
      <c r="JUZ1997" s="55"/>
      <c r="JVA1997" s="55"/>
      <c r="JVB1997" s="55"/>
      <c r="JVC1997" s="55"/>
      <c r="JVD1997" s="55"/>
      <c r="JVE1997" s="55"/>
      <c r="JVF1997" s="55"/>
      <c r="JVG1997" s="55"/>
      <c r="JVH1997" s="55"/>
      <c r="JVI1997" s="55"/>
      <c r="JVJ1997" s="55"/>
      <c r="JVK1997" s="55"/>
      <c r="JVL1997" s="55"/>
      <c r="JVM1997" s="55"/>
      <c r="JVN1997" s="55"/>
      <c r="JVO1997" s="55"/>
      <c r="JVP1997" s="55"/>
      <c r="JVQ1997" s="55"/>
      <c r="JVR1997" s="55"/>
      <c r="JVS1997" s="55"/>
      <c r="JVT1997" s="55"/>
      <c r="JVU1997" s="55"/>
      <c r="JVV1997" s="55"/>
      <c r="JVW1997" s="55"/>
      <c r="JVX1997" s="55"/>
      <c r="JVY1997" s="55"/>
      <c r="JVZ1997" s="55"/>
      <c r="JWA1997" s="55"/>
      <c r="JWB1997" s="55"/>
      <c r="JWC1997" s="55"/>
      <c r="JWD1997" s="55"/>
      <c r="JWE1997" s="55"/>
      <c r="JWF1997" s="55"/>
      <c r="JWG1997" s="55"/>
      <c r="JWH1997" s="55"/>
      <c r="JWI1997" s="55"/>
      <c r="JWJ1997" s="55"/>
      <c r="JWK1997" s="55"/>
      <c r="JWL1997" s="55"/>
      <c r="JWM1997" s="55"/>
      <c r="JWN1997" s="55"/>
      <c r="JWO1997" s="55"/>
      <c r="JWP1997" s="55"/>
      <c r="JWQ1997" s="55"/>
      <c r="JWR1997" s="55"/>
      <c r="JWS1997" s="55"/>
      <c r="JWT1997" s="55"/>
      <c r="JWU1997" s="55"/>
      <c r="JWV1997" s="55"/>
      <c r="JWW1997" s="55"/>
      <c r="JWX1997" s="55"/>
      <c r="JWY1997" s="55"/>
      <c r="JWZ1997" s="55"/>
      <c r="JXA1997" s="55"/>
      <c r="JXB1997" s="55"/>
      <c r="JXC1997" s="55"/>
      <c r="JXD1997" s="55"/>
      <c r="JXE1997" s="55"/>
      <c r="JXF1997" s="55"/>
      <c r="JXG1997" s="55"/>
      <c r="JXH1997" s="55"/>
      <c r="JXI1997" s="55"/>
      <c r="JXJ1997" s="55"/>
      <c r="JXK1997" s="55"/>
      <c r="JXL1997" s="55"/>
      <c r="JXM1997" s="55"/>
      <c r="JXN1997" s="55"/>
      <c r="JXO1997" s="55"/>
      <c r="JXP1997" s="55"/>
      <c r="JXQ1997" s="55"/>
      <c r="JXR1997" s="55"/>
      <c r="JXS1997" s="55"/>
      <c r="JXT1997" s="55"/>
      <c r="JXU1997" s="55"/>
      <c r="JXV1997" s="55"/>
      <c r="JXW1997" s="55"/>
      <c r="JXX1997" s="55"/>
      <c r="JXY1997" s="55"/>
      <c r="JXZ1997" s="55"/>
      <c r="JYA1997" s="55"/>
      <c r="JYB1997" s="55"/>
      <c r="JYC1997" s="55"/>
      <c r="JYD1997" s="55"/>
      <c r="JYE1997" s="55"/>
      <c r="JYF1997" s="55"/>
      <c r="JYG1997" s="55"/>
      <c r="JYH1997" s="55"/>
      <c r="JYI1997" s="55"/>
      <c r="JYJ1997" s="55"/>
      <c r="JYK1997" s="55"/>
      <c r="JYL1997" s="55"/>
      <c r="JYM1997" s="55"/>
      <c r="JYN1997" s="55"/>
      <c r="JYO1997" s="55"/>
      <c r="JYP1997" s="55"/>
      <c r="JYQ1997" s="55"/>
      <c r="JYR1997" s="55"/>
      <c r="JYS1997" s="55"/>
      <c r="JYT1997" s="55"/>
      <c r="JYU1997" s="55"/>
      <c r="JYV1997" s="55"/>
      <c r="JYW1997" s="55"/>
      <c r="JYX1997" s="55"/>
      <c r="JYY1997" s="55"/>
      <c r="JYZ1997" s="55"/>
      <c r="JZA1997" s="55"/>
      <c r="JZB1997" s="55"/>
      <c r="JZC1997" s="55"/>
      <c r="JZD1997" s="55"/>
      <c r="JZE1997" s="55"/>
      <c r="JZF1997" s="55"/>
      <c r="JZG1997" s="55"/>
      <c r="JZH1997" s="55"/>
      <c r="JZI1997" s="55"/>
      <c r="JZJ1997" s="55"/>
      <c r="JZK1997" s="55"/>
      <c r="JZL1997" s="55"/>
      <c r="JZM1997" s="55"/>
      <c r="JZN1997" s="55"/>
      <c r="JZO1997" s="55"/>
      <c r="JZP1997" s="55"/>
      <c r="JZQ1997" s="55"/>
      <c r="JZR1997" s="55"/>
      <c r="JZS1997" s="55"/>
      <c r="JZT1997" s="55"/>
      <c r="JZU1997" s="55"/>
      <c r="JZV1997" s="55"/>
      <c r="JZW1997" s="55"/>
      <c r="JZX1997" s="55"/>
      <c r="JZY1997" s="55"/>
      <c r="JZZ1997" s="55"/>
      <c r="KAA1997" s="55"/>
      <c r="KAB1997" s="55"/>
      <c r="KAC1997" s="55"/>
      <c r="KAD1997" s="55"/>
      <c r="KAE1997" s="55"/>
      <c r="KAF1997" s="55"/>
      <c r="KAG1997" s="55"/>
      <c r="KAH1997" s="55"/>
      <c r="KAI1997" s="55"/>
      <c r="KAJ1997" s="55"/>
      <c r="KAK1997" s="55"/>
      <c r="KAL1997" s="55"/>
      <c r="KAM1997" s="55"/>
      <c r="KAN1997" s="55"/>
      <c r="KAO1997" s="55"/>
      <c r="KAP1997" s="55"/>
      <c r="KAQ1997" s="55"/>
      <c r="KAR1997" s="55"/>
      <c r="KAS1997" s="55"/>
      <c r="KAT1997" s="55"/>
      <c r="KAU1997" s="55"/>
      <c r="KAV1997" s="55"/>
      <c r="KAW1997" s="55"/>
      <c r="KAX1997" s="55"/>
      <c r="KAY1997" s="55"/>
      <c r="KAZ1997" s="55"/>
      <c r="KBA1997" s="55"/>
      <c r="KBB1997" s="55"/>
      <c r="KBC1997" s="55"/>
      <c r="KBD1997" s="55"/>
      <c r="KBE1997" s="55"/>
      <c r="KBF1997" s="55"/>
      <c r="KBG1997" s="55"/>
      <c r="KBH1997" s="55"/>
      <c r="KBI1997" s="55"/>
      <c r="KBJ1997" s="55"/>
      <c r="KBK1997" s="55"/>
      <c r="KBL1997" s="55"/>
      <c r="KBM1997" s="55"/>
      <c r="KBN1997" s="55"/>
      <c r="KBO1997" s="55"/>
      <c r="KBP1997" s="55"/>
      <c r="KBQ1997" s="55"/>
      <c r="KBR1997" s="55"/>
      <c r="KBS1997" s="55"/>
      <c r="KBT1997" s="55"/>
      <c r="KBU1997" s="55"/>
      <c r="KBV1997" s="55"/>
      <c r="KBW1997" s="55"/>
      <c r="KBX1997" s="55"/>
      <c r="KBY1997" s="55"/>
      <c r="KBZ1997" s="55"/>
      <c r="KCA1997" s="55"/>
      <c r="KCB1997" s="55"/>
      <c r="KCC1997" s="55"/>
      <c r="KCD1997" s="55"/>
      <c r="KCE1997" s="55"/>
      <c r="KCF1997" s="55"/>
      <c r="KCG1997" s="55"/>
      <c r="KCH1997" s="55"/>
      <c r="KCI1997" s="55"/>
      <c r="KCJ1997" s="55"/>
      <c r="KCK1997" s="55"/>
      <c r="KCL1997" s="55"/>
      <c r="KCM1997" s="55"/>
      <c r="KCN1997" s="55"/>
      <c r="KCO1997" s="55"/>
      <c r="KCP1997" s="55"/>
      <c r="KCQ1997" s="55"/>
      <c r="KCR1997" s="55"/>
      <c r="KCS1997" s="55"/>
      <c r="KCT1997" s="55"/>
      <c r="KCU1997" s="55"/>
      <c r="KCV1997" s="55"/>
      <c r="KCW1997" s="55"/>
      <c r="KCX1997" s="55"/>
      <c r="KCY1997" s="55"/>
      <c r="KCZ1997" s="55"/>
      <c r="KDA1997" s="55"/>
      <c r="KDB1997" s="55"/>
      <c r="KDC1997" s="55"/>
      <c r="KDD1997" s="55"/>
      <c r="KDE1997" s="55"/>
      <c r="KDF1997" s="55"/>
      <c r="KDG1997" s="55"/>
      <c r="KDH1997" s="55"/>
      <c r="KDI1997" s="55"/>
      <c r="KDJ1997" s="55"/>
      <c r="KDK1997" s="55"/>
      <c r="KDL1997" s="55"/>
      <c r="KDM1997" s="55"/>
      <c r="KDN1997" s="55"/>
      <c r="KDO1997" s="55"/>
      <c r="KDP1997" s="55"/>
      <c r="KDQ1997" s="55"/>
      <c r="KDR1997" s="55"/>
      <c r="KDS1997" s="55"/>
      <c r="KDT1997" s="55"/>
      <c r="KDU1997" s="55"/>
      <c r="KDV1997" s="55"/>
      <c r="KDW1997" s="55"/>
      <c r="KDX1997" s="55"/>
      <c r="KDY1997" s="55"/>
      <c r="KDZ1997" s="55"/>
      <c r="KEA1997" s="55"/>
      <c r="KEB1997" s="55"/>
      <c r="KEC1997" s="55"/>
      <c r="KED1997" s="55"/>
      <c r="KEE1997" s="55"/>
      <c r="KEF1997" s="55"/>
      <c r="KEG1997" s="55"/>
      <c r="KEH1997" s="55"/>
      <c r="KEI1997" s="55"/>
      <c r="KEJ1997" s="55"/>
      <c r="KEK1997" s="55"/>
      <c r="KEL1997" s="55"/>
      <c r="KEM1997" s="55"/>
      <c r="KEN1997" s="55"/>
      <c r="KEO1997" s="55"/>
      <c r="KEP1997" s="55"/>
      <c r="KEQ1997" s="55"/>
      <c r="KER1997" s="55"/>
      <c r="KES1997" s="55"/>
      <c r="KET1997" s="55"/>
      <c r="KEU1997" s="55"/>
      <c r="KEV1997" s="55"/>
      <c r="KEW1997" s="55"/>
      <c r="KEX1997" s="55"/>
      <c r="KEY1997" s="55"/>
      <c r="KEZ1997" s="55"/>
      <c r="KFA1997" s="55"/>
      <c r="KFB1997" s="55"/>
      <c r="KFC1997" s="55"/>
      <c r="KFD1997" s="55"/>
      <c r="KFE1997" s="55"/>
      <c r="KFF1997" s="55"/>
      <c r="KFG1997" s="55"/>
      <c r="KFH1997" s="55"/>
      <c r="KFI1997" s="55"/>
      <c r="KFJ1997" s="55"/>
      <c r="KFK1997" s="55"/>
      <c r="KFL1997" s="55"/>
      <c r="KFM1997" s="55"/>
      <c r="KFN1997" s="55"/>
      <c r="KFO1997" s="55"/>
      <c r="KFP1997" s="55"/>
      <c r="KFQ1997" s="55"/>
      <c r="KFR1997" s="55"/>
      <c r="KFS1997" s="55"/>
      <c r="KFT1997" s="55"/>
      <c r="KFU1997" s="55"/>
      <c r="KFV1997" s="55"/>
      <c r="KFW1997" s="55"/>
      <c r="KFX1997" s="55"/>
      <c r="KFY1997" s="55"/>
      <c r="KFZ1997" s="55"/>
      <c r="KGA1997" s="55"/>
      <c r="KGB1997" s="55"/>
      <c r="KGC1997" s="55"/>
      <c r="KGD1997" s="55"/>
      <c r="KGE1997" s="55"/>
      <c r="KGF1997" s="55"/>
      <c r="KGG1997" s="55"/>
      <c r="KGH1997" s="55"/>
      <c r="KGI1997" s="55"/>
      <c r="KGJ1997" s="55"/>
      <c r="KGK1997" s="55"/>
      <c r="KGL1997" s="55"/>
      <c r="KGM1997" s="55"/>
      <c r="KGN1997" s="55"/>
      <c r="KGO1997" s="55"/>
      <c r="KGP1997" s="55"/>
      <c r="KGQ1997" s="55"/>
      <c r="KGR1997" s="55"/>
      <c r="KGS1997" s="55"/>
      <c r="KGT1997" s="55"/>
      <c r="KGU1997" s="55"/>
      <c r="KGV1997" s="55"/>
      <c r="KGW1997" s="55"/>
      <c r="KGX1997" s="55"/>
      <c r="KGY1997" s="55"/>
      <c r="KGZ1997" s="55"/>
      <c r="KHA1997" s="55"/>
      <c r="KHB1997" s="55"/>
      <c r="KHC1997" s="55"/>
      <c r="KHD1997" s="55"/>
      <c r="KHE1997" s="55"/>
      <c r="KHF1997" s="55"/>
      <c r="KHG1997" s="55"/>
      <c r="KHH1997" s="55"/>
      <c r="KHI1997" s="55"/>
      <c r="KHJ1997" s="55"/>
      <c r="KHK1997" s="55"/>
      <c r="KHL1997" s="55"/>
      <c r="KHM1997" s="55"/>
      <c r="KHN1997" s="55"/>
      <c r="KHO1997" s="55"/>
      <c r="KHP1997" s="55"/>
      <c r="KHQ1997" s="55"/>
      <c r="KHR1997" s="55"/>
      <c r="KHS1997" s="55"/>
      <c r="KHT1997" s="55"/>
      <c r="KHU1997" s="55"/>
      <c r="KHV1997" s="55"/>
      <c r="KHW1997" s="55"/>
      <c r="KHX1997" s="55"/>
      <c r="KHY1997" s="55"/>
      <c r="KHZ1997" s="55"/>
      <c r="KIA1997" s="55"/>
      <c r="KIB1997" s="55"/>
      <c r="KIC1997" s="55"/>
      <c r="KID1997" s="55"/>
      <c r="KIE1997" s="55"/>
      <c r="KIF1997" s="55"/>
      <c r="KIG1997" s="55"/>
      <c r="KIH1997" s="55"/>
      <c r="KII1997" s="55"/>
      <c r="KIJ1997" s="55"/>
      <c r="KIK1997" s="55"/>
      <c r="KIL1997" s="55"/>
      <c r="KIM1997" s="55"/>
      <c r="KIN1997" s="55"/>
      <c r="KIO1997" s="55"/>
      <c r="KIP1997" s="55"/>
      <c r="KIQ1997" s="55"/>
      <c r="KIR1997" s="55"/>
      <c r="KIS1997" s="55"/>
      <c r="KIT1997" s="55"/>
      <c r="KIU1997" s="55"/>
      <c r="KIV1997" s="55"/>
      <c r="KIW1997" s="55"/>
      <c r="KIX1997" s="55"/>
      <c r="KIY1997" s="55"/>
      <c r="KIZ1997" s="55"/>
      <c r="KJA1997" s="55"/>
      <c r="KJB1997" s="55"/>
      <c r="KJC1997" s="55"/>
      <c r="KJD1997" s="55"/>
      <c r="KJE1997" s="55"/>
      <c r="KJF1997" s="55"/>
      <c r="KJG1997" s="55"/>
      <c r="KJH1997" s="55"/>
      <c r="KJI1997" s="55"/>
      <c r="KJJ1997" s="55"/>
      <c r="KJK1997" s="55"/>
      <c r="KJL1997" s="55"/>
      <c r="KJM1997" s="55"/>
      <c r="KJN1997" s="55"/>
      <c r="KJO1997" s="55"/>
      <c r="KJP1997" s="55"/>
      <c r="KJQ1997" s="55"/>
      <c r="KJR1997" s="55"/>
      <c r="KJS1997" s="55"/>
      <c r="KJT1997" s="55"/>
      <c r="KJU1997" s="55"/>
      <c r="KJV1997" s="55"/>
      <c r="KJW1997" s="55"/>
      <c r="KJX1997" s="55"/>
      <c r="KJY1997" s="55"/>
      <c r="KJZ1997" s="55"/>
      <c r="KKA1997" s="55"/>
      <c r="KKB1997" s="55"/>
      <c r="KKC1997" s="55"/>
      <c r="KKD1997" s="55"/>
      <c r="KKE1997" s="55"/>
      <c r="KKF1997" s="55"/>
      <c r="KKG1997" s="55"/>
      <c r="KKH1997" s="55"/>
      <c r="KKI1997" s="55"/>
      <c r="KKJ1997" s="55"/>
      <c r="KKK1997" s="55"/>
      <c r="KKL1997" s="55"/>
      <c r="KKM1997" s="55"/>
      <c r="KKN1997" s="55"/>
      <c r="KKO1997" s="55"/>
      <c r="KKP1997" s="55"/>
      <c r="KKQ1997" s="55"/>
      <c r="KKR1997" s="55"/>
      <c r="KKS1997" s="55"/>
      <c r="KKT1997" s="55"/>
      <c r="KKU1997" s="55"/>
      <c r="KKV1997" s="55"/>
      <c r="KKW1997" s="55"/>
      <c r="KKX1997" s="55"/>
      <c r="KKY1997" s="55"/>
      <c r="KKZ1997" s="55"/>
      <c r="KLA1997" s="55"/>
      <c r="KLB1997" s="55"/>
      <c r="KLC1997" s="55"/>
      <c r="KLD1997" s="55"/>
      <c r="KLE1997" s="55"/>
      <c r="KLF1997" s="55"/>
      <c r="KLG1997" s="55"/>
      <c r="KLH1997" s="55"/>
      <c r="KLI1997" s="55"/>
      <c r="KLJ1997" s="55"/>
      <c r="KLK1997" s="55"/>
      <c r="KLL1997" s="55"/>
      <c r="KLM1997" s="55"/>
      <c r="KLN1997" s="55"/>
      <c r="KLO1997" s="55"/>
      <c r="KLP1997" s="55"/>
      <c r="KLQ1997" s="55"/>
      <c r="KLR1997" s="55"/>
      <c r="KLS1997" s="55"/>
      <c r="KLT1997" s="55"/>
      <c r="KLU1997" s="55"/>
      <c r="KLV1997" s="55"/>
      <c r="KLW1997" s="55"/>
      <c r="KLX1997" s="55"/>
      <c r="KLY1997" s="55"/>
      <c r="KLZ1997" s="55"/>
      <c r="KMA1997" s="55"/>
      <c r="KMB1997" s="55"/>
      <c r="KMC1997" s="55"/>
      <c r="KMD1997" s="55"/>
      <c r="KME1997" s="55"/>
      <c r="KMF1997" s="55"/>
      <c r="KMG1997" s="55"/>
      <c r="KMH1997" s="55"/>
      <c r="KMI1997" s="55"/>
      <c r="KMJ1997" s="55"/>
      <c r="KMK1997" s="55"/>
      <c r="KML1997" s="55"/>
      <c r="KMM1997" s="55"/>
      <c r="KMN1997" s="55"/>
      <c r="KMO1997" s="55"/>
      <c r="KMP1997" s="55"/>
      <c r="KMQ1997" s="55"/>
      <c r="KMR1997" s="55"/>
      <c r="KMS1997" s="55"/>
      <c r="KMT1997" s="55"/>
      <c r="KMU1997" s="55"/>
      <c r="KMV1997" s="55"/>
      <c r="KMW1997" s="55"/>
      <c r="KMX1997" s="55"/>
      <c r="KMY1997" s="55"/>
      <c r="KMZ1997" s="55"/>
      <c r="KNA1997" s="55"/>
      <c r="KNB1997" s="55"/>
      <c r="KNC1997" s="55"/>
      <c r="KND1997" s="55"/>
      <c r="KNE1997" s="55"/>
      <c r="KNF1997" s="55"/>
      <c r="KNG1997" s="55"/>
      <c r="KNH1997" s="55"/>
      <c r="KNI1997" s="55"/>
      <c r="KNJ1997" s="55"/>
      <c r="KNK1997" s="55"/>
      <c r="KNL1997" s="55"/>
      <c r="KNM1997" s="55"/>
      <c r="KNN1997" s="55"/>
      <c r="KNO1997" s="55"/>
      <c r="KNP1997" s="55"/>
      <c r="KNQ1997" s="55"/>
      <c r="KNR1997" s="55"/>
      <c r="KNS1997" s="55"/>
      <c r="KNT1997" s="55"/>
      <c r="KNU1997" s="55"/>
      <c r="KNV1997" s="55"/>
      <c r="KNW1997" s="55"/>
      <c r="KNX1997" s="55"/>
      <c r="KNY1997" s="55"/>
      <c r="KNZ1997" s="55"/>
      <c r="KOA1997" s="55"/>
      <c r="KOB1997" s="55"/>
      <c r="KOC1997" s="55"/>
      <c r="KOD1997" s="55"/>
      <c r="KOE1997" s="55"/>
      <c r="KOF1997" s="55"/>
      <c r="KOG1997" s="55"/>
      <c r="KOH1997" s="55"/>
      <c r="KOI1997" s="55"/>
      <c r="KOJ1997" s="55"/>
      <c r="KOK1997" s="55"/>
      <c r="KOL1997" s="55"/>
      <c r="KOM1997" s="55"/>
      <c r="KON1997" s="55"/>
      <c r="KOO1997" s="55"/>
      <c r="KOP1997" s="55"/>
      <c r="KOQ1997" s="55"/>
      <c r="KOR1997" s="55"/>
      <c r="KOS1997" s="55"/>
      <c r="KOT1997" s="55"/>
      <c r="KOU1997" s="55"/>
      <c r="KOV1997" s="55"/>
      <c r="KOW1997" s="55"/>
      <c r="KOX1997" s="55"/>
      <c r="KOY1997" s="55"/>
      <c r="KOZ1997" s="55"/>
      <c r="KPA1997" s="55"/>
      <c r="KPB1997" s="55"/>
      <c r="KPC1997" s="55"/>
      <c r="KPD1997" s="55"/>
      <c r="KPE1997" s="55"/>
      <c r="KPF1997" s="55"/>
      <c r="KPG1997" s="55"/>
      <c r="KPH1997" s="55"/>
      <c r="KPI1997" s="55"/>
      <c r="KPJ1997" s="55"/>
      <c r="KPK1997" s="55"/>
      <c r="KPL1997" s="55"/>
      <c r="KPM1997" s="55"/>
      <c r="KPN1997" s="55"/>
      <c r="KPO1997" s="55"/>
      <c r="KPP1997" s="55"/>
      <c r="KPQ1997" s="55"/>
      <c r="KPR1997" s="55"/>
      <c r="KPS1997" s="55"/>
      <c r="KPT1997" s="55"/>
      <c r="KPU1997" s="55"/>
      <c r="KPV1997" s="55"/>
      <c r="KPW1997" s="55"/>
      <c r="KPX1997" s="55"/>
      <c r="KPY1997" s="55"/>
      <c r="KPZ1997" s="55"/>
      <c r="KQA1997" s="55"/>
      <c r="KQB1997" s="55"/>
      <c r="KQC1997" s="55"/>
      <c r="KQD1997" s="55"/>
      <c r="KQE1997" s="55"/>
      <c r="KQF1997" s="55"/>
      <c r="KQG1997" s="55"/>
      <c r="KQH1997" s="55"/>
      <c r="KQI1997" s="55"/>
      <c r="KQJ1997" s="55"/>
      <c r="KQK1997" s="55"/>
      <c r="KQL1997" s="55"/>
      <c r="KQM1997" s="55"/>
      <c r="KQN1997" s="55"/>
      <c r="KQO1997" s="55"/>
      <c r="KQP1997" s="55"/>
      <c r="KQQ1997" s="55"/>
      <c r="KQR1997" s="55"/>
      <c r="KQS1997" s="55"/>
      <c r="KQT1997" s="55"/>
      <c r="KQU1997" s="55"/>
      <c r="KQV1997" s="55"/>
      <c r="KQW1997" s="55"/>
      <c r="KQX1997" s="55"/>
      <c r="KQY1997" s="55"/>
      <c r="KQZ1997" s="55"/>
      <c r="KRA1997" s="55"/>
      <c r="KRB1997" s="55"/>
      <c r="KRC1997" s="55"/>
      <c r="KRD1997" s="55"/>
      <c r="KRE1997" s="55"/>
      <c r="KRF1997" s="55"/>
      <c r="KRG1997" s="55"/>
      <c r="KRH1997" s="55"/>
      <c r="KRI1997" s="55"/>
      <c r="KRJ1997" s="55"/>
      <c r="KRK1997" s="55"/>
      <c r="KRL1997" s="55"/>
      <c r="KRM1997" s="55"/>
      <c r="KRN1997" s="55"/>
      <c r="KRO1997" s="55"/>
      <c r="KRP1997" s="55"/>
      <c r="KRQ1997" s="55"/>
      <c r="KRR1997" s="55"/>
      <c r="KRS1997" s="55"/>
      <c r="KRT1997" s="55"/>
      <c r="KRU1997" s="55"/>
      <c r="KRV1997" s="55"/>
      <c r="KRW1997" s="55"/>
      <c r="KRX1997" s="55"/>
      <c r="KRY1997" s="55"/>
      <c r="KRZ1997" s="55"/>
      <c r="KSA1997" s="55"/>
      <c r="KSB1997" s="55"/>
      <c r="KSC1997" s="55"/>
      <c r="KSD1997" s="55"/>
      <c r="KSE1997" s="55"/>
      <c r="KSF1997" s="55"/>
      <c r="KSG1997" s="55"/>
      <c r="KSH1997" s="55"/>
      <c r="KSI1997" s="55"/>
      <c r="KSJ1997" s="55"/>
      <c r="KSK1997" s="55"/>
      <c r="KSL1997" s="55"/>
      <c r="KSM1997" s="55"/>
      <c r="KSN1997" s="55"/>
      <c r="KSO1997" s="55"/>
      <c r="KSP1997" s="55"/>
      <c r="KSQ1997" s="55"/>
      <c r="KSR1997" s="55"/>
      <c r="KSS1997" s="55"/>
      <c r="KST1997" s="55"/>
      <c r="KSU1997" s="55"/>
      <c r="KSV1997" s="55"/>
      <c r="KSW1997" s="55"/>
      <c r="KSX1997" s="55"/>
      <c r="KSY1997" s="55"/>
      <c r="KSZ1997" s="55"/>
      <c r="KTA1997" s="55"/>
      <c r="KTB1997" s="55"/>
      <c r="KTC1997" s="55"/>
      <c r="KTD1997" s="55"/>
      <c r="KTE1997" s="55"/>
      <c r="KTF1997" s="55"/>
      <c r="KTG1997" s="55"/>
      <c r="KTH1997" s="55"/>
      <c r="KTI1997" s="55"/>
      <c r="KTJ1997" s="55"/>
      <c r="KTK1997" s="55"/>
      <c r="KTL1997" s="55"/>
      <c r="KTM1997" s="55"/>
      <c r="KTN1997" s="55"/>
      <c r="KTO1997" s="55"/>
      <c r="KTP1997" s="55"/>
      <c r="KTQ1997" s="55"/>
      <c r="KTR1997" s="55"/>
      <c r="KTS1997" s="55"/>
      <c r="KTT1997" s="55"/>
      <c r="KTU1997" s="55"/>
      <c r="KTV1997" s="55"/>
      <c r="KTW1997" s="55"/>
      <c r="KTX1997" s="55"/>
      <c r="KTY1997" s="55"/>
      <c r="KTZ1997" s="55"/>
      <c r="KUA1997" s="55"/>
      <c r="KUB1997" s="55"/>
      <c r="KUC1997" s="55"/>
      <c r="KUD1997" s="55"/>
      <c r="KUE1997" s="55"/>
      <c r="KUF1997" s="55"/>
      <c r="KUG1997" s="55"/>
      <c r="KUH1997" s="55"/>
      <c r="KUI1997" s="55"/>
      <c r="KUJ1997" s="55"/>
      <c r="KUK1997" s="55"/>
      <c r="KUL1997" s="55"/>
      <c r="KUM1997" s="55"/>
      <c r="KUN1997" s="55"/>
      <c r="KUO1997" s="55"/>
      <c r="KUP1997" s="55"/>
      <c r="KUQ1997" s="55"/>
      <c r="KUR1997" s="55"/>
      <c r="KUS1997" s="55"/>
      <c r="KUT1997" s="55"/>
      <c r="KUU1997" s="55"/>
      <c r="KUV1997" s="55"/>
      <c r="KUW1997" s="55"/>
      <c r="KUX1997" s="55"/>
      <c r="KUY1997" s="55"/>
      <c r="KUZ1997" s="55"/>
      <c r="KVA1997" s="55"/>
      <c r="KVB1997" s="55"/>
      <c r="KVC1997" s="55"/>
      <c r="KVD1997" s="55"/>
      <c r="KVE1997" s="55"/>
      <c r="KVF1997" s="55"/>
      <c r="KVG1997" s="55"/>
      <c r="KVH1997" s="55"/>
      <c r="KVI1997" s="55"/>
      <c r="KVJ1997" s="55"/>
      <c r="KVK1997" s="55"/>
      <c r="KVL1997" s="55"/>
      <c r="KVM1997" s="55"/>
      <c r="KVN1997" s="55"/>
      <c r="KVO1997" s="55"/>
      <c r="KVP1997" s="55"/>
      <c r="KVQ1997" s="55"/>
      <c r="KVR1997" s="55"/>
      <c r="KVS1997" s="55"/>
      <c r="KVT1997" s="55"/>
      <c r="KVU1997" s="55"/>
      <c r="KVV1997" s="55"/>
      <c r="KVW1997" s="55"/>
      <c r="KVX1997" s="55"/>
      <c r="KVY1997" s="55"/>
      <c r="KVZ1997" s="55"/>
      <c r="KWA1997" s="55"/>
      <c r="KWB1997" s="55"/>
      <c r="KWC1997" s="55"/>
      <c r="KWD1997" s="55"/>
      <c r="KWE1997" s="55"/>
      <c r="KWF1997" s="55"/>
      <c r="KWG1997" s="55"/>
      <c r="KWH1997" s="55"/>
      <c r="KWI1997" s="55"/>
      <c r="KWJ1997" s="55"/>
      <c r="KWK1997" s="55"/>
      <c r="KWL1997" s="55"/>
      <c r="KWM1997" s="55"/>
      <c r="KWN1997" s="55"/>
      <c r="KWO1997" s="55"/>
      <c r="KWP1997" s="55"/>
      <c r="KWQ1997" s="55"/>
      <c r="KWR1997" s="55"/>
      <c r="KWS1997" s="55"/>
      <c r="KWT1997" s="55"/>
      <c r="KWU1997" s="55"/>
      <c r="KWV1997" s="55"/>
      <c r="KWW1997" s="55"/>
      <c r="KWX1997" s="55"/>
      <c r="KWY1997" s="55"/>
      <c r="KWZ1997" s="55"/>
      <c r="KXA1997" s="55"/>
      <c r="KXB1997" s="55"/>
      <c r="KXC1997" s="55"/>
      <c r="KXD1997" s="55"/>
      <c r="KXE1997" s="55"/>
      <c r="KXF1997" s="55"/>
      <c r="KXG1997" s="55"/>
      <c r="KXH1997" s="55"/>
      <c r="KXI1997" s="55"/>
      <c r="KXJ1997" s="55"/>
      <c r="KXK1997" s="55"/>
      <c r="KXL1997" s="55"/>
      <c r="KXM1997" s="55"/>
      <c r="KXN1997" s="55"/>
      <c r="KXO1997" s="55"/>
      <c r="KXP1997" s="55"/>
      <c r="KXQ1997" s="55"/>
      <c r="KXR1997" s="55"/>
      <c r="KXS1997" s="55"/>
      <c r="KXT1997" s="55"/>
      <c r="KXU1997" s="55"/>
      <c r="KXV1997" s="55"/>
      <c r="KXW1997" s="55"/>
      <c r="KXX1997" s="55"/>
      <c r="KXY1997" s="55"/>
      <c r="KXZ1997" s="55"/>
      <c r="KYA1997" s="55"/>
      <c r="KYB1997" s="55"/>
      <c r="KYC1997" s="55"/>
      <c r="KYD1997" s="55"/>
      <c r="KYE1997" s="55"/>
      <c r="KYF1997" s="55"/>
      <c r="KYG1997" s="55"/>
      <c r="KYH1997" s="55"/>
      <c r="KYI1997" s="55"/>
      <c r="KYJ1997" s="55"/>
      <c r="KYK1997" s="55"/>
      <c r="KYL1997" s="55"/>
      <c r="KYM1997" s="55"/>
      <c r="KYN1997" s="55"/>
      <c r="KYO1997" s="55"/>
      <c r="KYP1997" s="55"/>
      <c r="KYQ1997" s="55"/>
      <c r="KYR1997" s="55"/>
      <c r="KYS1997" s="55"/>
      <c r="KYT1997" s="55"/>
      <c r="KYU1997" s="55"/>
      <c r="KYV1997" s="55"/>
      <c r="KYW1997" s="55"/>
      <c r="KYX1997" s="55"/>
      <c r="KYY1997" s="55"/>
      <c r="KYZ1997" s="55"/>
      <c r="KZA1997" s="55"/>
      <c r="KZB1997" s="55"/>
      <c r="KZC1997" s="55"/>
      <c r="KZD1997" s="55"/>
      <c r="KZE1997" s="55"/>
      <c r="KZF1997" s="55"/>
      <c r="KZG1997" s="55"/>
      <c r="KZH1997" s="55"/>
      <c r="KZI1997" s="55"/>
      <c r="KZJ1997" s="55"/>
      <c r="KZK1997" s="55"/>
      <c r="KZL1997" s="55"/>
      <c r="KZM1997" s="55"/>
      <c r="KZN1997" s="55"/>
      <c r="KZO1997" s="55"/>
      <c r="KZP1997" s="55"/>
      <c r="KZQ1997" s="55"/>
      <c r="KZR1997" s="55"/>
      <c r="KZS1997" s="55"/>
      <c r="KZT1997" s="55"/>
      <c r="KZU1997" s="55"/>
      <c r="KZV1997" s="55"/>
      <c r="KZW1997" s="55"/>
      <c r="KZX1997" s="55"/>
      <c r="KZY1997" s="55"/>
      <c r="KZZ1997" s="55"/>
      <c r="LAA1997" s="55"/>
      <c r="LAB1997" s="55"/>
      <c r="LAC1997" s="55"/>
      <c r="LAD1997" s="55"/>
      <c r="LAE1997" s="55"/>
      <c r="LAF1997" s="55"/>
      <c r="LAG1997" s="55"/>
      <c r="LAH1997" s="55"/>
      <c r="LAI1997" s="55"/>
      <c r="LAJ1997" s="55"/>
      <c r="LAK1997" s="55"/>
      <c r="LAL1997" s="55"/>
      <c r="LAM1997" s="55"/>
      <c r="LAN1997" s="55"/>
      <c r="LAO1997" s="55"/>
      <c r="LAP1997" s="55"/>
      <c r="LAQ1997" s="55"/>
      <c r="LAR1997" s="55"/>
      <c r="LAS1997" s="55"/>
      <c r="LAT1997" s="55"/>
      <c r="LAU1997" s="55"/>
      <c r="LAV1997" s="55"/>
      <c r="LAW1997" s="55"/>
      <c r="LAX1997" s="55"/>
      <c r="LAY1997" s="55"/>
      <c r="LAZ1997" s="55"/>
      <c r="LBA1997" s="55"/>
      <c r="LBB1997" s="55"/>
      <c r="LBC1997" s="55"/>
      <c r="LBD1997" s="55"/>
      <c r="LBE1997" s="55"/>
      <c r="LBF1997" s="55"/>
      <c r="LBG1997" s="55"/>
      <c r="LBH1997" s="55"/>
      <c r="LBI1997" s="55"/>
      <c r="LBJ1997" s="55"/>
      <c r="LBK1997" s="55"/>
      <c r="LBL1997" s="55"/>
      <c r="LBM1997" s="55"/>
      <c r="LBN1997" s="55"/>
      <c r="LBO1997" s="55"/>
      <c r="LBP1997" s="55"/>
      <c r="LBQ1997" s="55"/>
      <c r="LBR1997" s="55"/>
      <c r="LBS1997" s="55"/>
      <c r="LBT1997" s="55"/>
      <c r="LBU1997" s="55"/>
      <c r="LBV1997" s="55"/>
      <c r="LBW1997" s="55"/>
      <c r="LBX1997" s="55"/>
      <c r="LBY1997" s="55"/>
      <c r="LBZ1997" s="55"/>
      <c r="LCA1997" s="55"/>
      <c r="LCB1997" s="55"/>
      <c r="LCC1997" s="55"/>
      <c r="LCD1997" s="55"/>
      <c r="LCE1997" s="55"/>
      <c r="LCF1997" s="55"/>
      <c r="LCG1997" s="55"/>
      <c r="LCH1997" s="55"/>
      <c r="LCI1997" s="55"/>
      <c r="LCJ1997" s="55"/>
      <c r="LCK1997" s="55"/>
      <c r="LCL1997" s="55"/>
      <c r="LCM1997" s="55"/>
      <c r="LCN1997" s="55"/>
      <c r="LCO1997" s="55"/>
      <c r="LCP1997" s="55"/>
      <c r="LCQ1997" s="55"/>
      <c r="LCR1997" s="55"/>
      <c r="LCS1997" s="55"/>
      <c r="LCT1997" s="55"/>
      <c r="LCU1997" s="55"/>
      <c r="LCV1997" s="55"/>
      <c r="LCW1997" s="55"/>
      <c r="LCX1997" s="55"/>
      <c r="LCY1997" s="55"/>
      <c r="LCZ1997" s="55"/>
      <c r="LDA1997" s="55"/>
      <c r="LDB1997" s="55"/>
      <c r="LDC1997" s="55"/>
      <c r="LDD1997" s="55"/>
      <c r="LDE1997" s="55"/>
      <c r="LDF1997" s="55"/>
      <c r="LDG1997" s="55"/>
      <c r="LDH1997" s="55"/>
      <c r="LDI1997" s="55"/>
      <c r="LDJ1997" s="55"/>
      <c r="LDK1997" s="55"/>
      <c r="LDL1997" s="55"/>
      <c r="LDM1997" s="55"/>
      <c r="LDN1997" s="55"/>
      <c r="LDO1997" s="55"/>
      <c r="LDP1997" s="55"/>
      <c r="LDQ1997" s="55"/>
      <c r="LDR1997" s="55"/>
      <c r="LDS1997" s="55"/>
      <c r="LDT1997" s="55"/>
      <c r="LDU1997" s="55"/>
      <c r="LDV1997" s="55"/>
      <c r="LDW1997" s="55"/>
      <c r="LDX1997" s="55"/>
      <c r="LDY1997" s="55"/>
      <c r="LDZ1997" s="55"/>
      <c r="LEA1997" s="55"/>
      <c r="LEB1997" s="55"/>
      <c r="LEC1997" s="55"/>
      <c r="LED1997" s="55"/>
      <c r="LEE1997" s="55"/>
      <c r="LEF1997" s="55"/>
      <c r="LEG1997" s="55"/>
      <c r="LEH1997" s="55"/>
      <c r="LEI1997" s="55"/>
      <c r="LEJ1997" s="55"/>
      <c r="LEK1997" s="55"/>
      <c r="LEL1997" s="55"/>
      <c r="LEM1997" s="55"/>
      <c r="LEN1997" s="55"/>
      <c r="LEO1997" s="55"/>
      <c r="LEP1997" s="55"/>
      <c r="LEQ1997" s="55"/>
      <c r="LER1997" s="55"/>
      <c r="LES1997" s="55"/>
      <c r="LET1997" s="55"/>
      <c r="LEU1997" s="55"/>
      <c r="LEV1997" s="55"/>
      <c r="LEW1997" s="55"/>
      <c r="LEX1997" s="55"/>
      <c r="LEY1997" s="55"/>
      <c r="LEZ1997" s="55"/>
      <c r="LFA1997" s="55"/>
      <c r="LFB1997" s="55"/>
      <c r="LFC1997" s="55"/>
      <c r="LFD1997" s="55"/>
      <c r="LFE1997" s="55"/>
      <c r="LFF1997" s="55"/>
      <c r="LFG1997" s="55"/>
      <c r="LFH1997" s="55"/>
      <c r="LFI1997" s="55"/>
      <c r="LFJ1997" s="55"/>
      <c r="LFK1997" s="55"/>
      <c r="LFL1997" s="55"/>
      <c r="LFM1997" s="55"/>
      <c r="LFN1997" s="55"/>
      <c r="LFO1997" s="55"/>
      <c r="LFP1997" s="55"/>
      <c r="LFQ1997" s="55"/>
      <c r="LFR1997" s="55"/>
      <c r="LFS1997" s="55"/>
      <c r="LFT1997" s="55"/>
      <c r="LFU1997" s="55"/>
      <c r="LFV1997" s="55"/>
      <c r="LFW1997" s="55"/>
      <c r="LFX1997" s="55"/>
      <c r="LFY1997" s="55"/>
      <c r="LFZ1997" s="55"/>
      <c r="LGA1997" s="55"/>
      <c r="LGB1997" s="55"/>
      <c r="LGC1997" s="55"/>
      <c r="LGD1997" s="55"/>
      <c r="LGE1997" s="55"/>
      <c r="LGF1997" s="55"/>
      <c r="LGG1997" s="55"/>
      <c r="LGH1997" s="55"/>
      <c r="LGI1997" s="55"/>
      <c r="LGJ1997" s="55"/>
      <c r="LGK1997" s="55"/>
      <c r="LGL1997" s="55"/>
      <c r="LGM1997" s="55"/>
      <c r="LGN1997" s="55"/>
      <c r="LGO1997" s="55"/>
      <c r="LGP1997" s="55"/>
      <c r="LGQ1997" s="55"/>
      <c r="LGR1997" s="55"/>
      <c r="LGS1997" s="55"/>
      <c r="LGT1997" s="55"/>
      <c r="LGU1997" s="55"/>
      <c r="LGV1997" s="55"/>
      <c r="LGW1997" s="55"/>
      <c r="LGX1997" s="55"/>
      <c r="LGY1997" s="55"/>
      <c r="LGZ1997" s="55"/>
      <c r="LHA1997" s="55"/>
      <c r="LHB1997" s="55"/>
      <c r="LHC1997" s="55"/>
      <c r="LHD1997" s="55"/>
      <c r="LHE1997" s="55"/>
      <c r="LHF1997" s="55"/>
      <c r="LHG1997" s="55"/>
      <c r="LHH1997" s="55"/>
      <c r="LHI1997" s="55"/>
      <c r="LHJ1997" s="55"/>
      <c r="LHK1997" s="55"/>
      <c r="LHL1997" s="55"/>
      <c r="LHM1997" s="55"/>
      <c r="LHN1997" s="55"/>
      <c r="LHO1997" s="55"/>
      <c r="LHP1997" s="55"/>
      <c r="LHQ1997" s="55"/>
      <c r="LHR1997" s="55"/>
      <c r="LHS1997" s="55"/>
      <c r="LHT1997" s="55"/>
      <c r="LHU1997" s="55"/>
      <c r="LHV1997" s="55"/>
      <c r="LHW1997" s="55"/>
      <c r="LHX1997" s="55"/>
      <c r="LHY1997" s="55"/>
      <c r="LHZ1997" s="55"/>
      <c r="LIA1997" s="55"/>
      <c r="LIB1997" s="55"/>
      <c r="LIC1997" s="55"/>
      <c r="LID1997" s="55"/>
      <c r="LIE1997" s="55"/>
      <c r="LIF1997" s="55"/>
      <c r="LIG1997" s="55"/>
      <c r="LIH1997" s="55"/>
      <c r="LII1997" s="55"/>
      <c r="LIJ1997" s="55"/>
      <c r="LIK1997" s="55"/>
      <c r="LIL1997" s="55"/>
      <c r="LIM1997" s="55"/>
      <c r="LIN1997" s="55"/>
      <c r="LIO1997" s="55"/>
      <c r="LIP1997" s="55"/>
      <c r="LIQ1997" s="55"/>
      <c r="LIR1997" s="55"/>
      <c r="LIS1997" s="55"/>
      <c r="LIT1997" s="55"/>
      <c r="LIU1997" s="55"/>
      <c r="LIV1997" s="55"/>
      <c r="LIW1997" s="55"/>
      <c r="LIX1997" s="55"/>
      <c r="LIY1997" s="55"/>
      <c r="LIZ1997" s="55"/>
      <c r="LJA1997" s="55"/>
      <c r="LJB1997" s="55"/>
      <c r="LJC1997" s="55"/>
      <c r="LJD1997" s="55"/>
      <c r="LJE1997" s="55"/>
      <c r="LJF1997" s="55"/>
      <c r="LJG1997" s="55"/>
      <c r="LJH1997" s="55"/>
      <c r="LJI1997" s="55"/>
      <c r="LJJ1997" s="55"/>
      <c r="LJK1997" s="55"/>
      <c r="LJL1997" s="55"/>
      <c r="LJM1997" s="55"/>
      <c r="LJN1997" s="55"/>
      <c r="LJO1997" s="55"/>
      <c r="LJP1997" s="55"/>
      <c r="LJQ1997" s="55"/>
      <c r="LJR1997" s="55"/>
      <c r="LJS1997" s="55"/>
      <c r="LJT1997" s="55"/>
      <c r="LJU1997" s="55"/>
      <c r="LJV1997" s="55"/>
      <c r="LJW1997" s="55"/>
      <c r="LJX1997" s="55"/>
      <c r="LJY1997" s="55"/>
      <c r="LJZ1997" s="55"/>
      <c r="LKA1997" s="55"/>
      <c r="LKB1997" s="55"/>
      <c r="LKC1997" s="55"/>
      <c r="LKD1997" s="55"/>
      <c r="LKE1997" s="55"/>
      <c r="LKF1997" s="55"/>
      <c r="LKG1997" s="55"/>
      <c r="LKH1997" s="55"/>
      <c r="LKI1997" s="55"/>
      <c r="LKJ1997" s="55"/>
      <c r="LKK1997" s="55"/>
      <c r="LKL1997" s="55"/>
      <c r="LKM1997" s="55"/>
      <c r="LKN1997" s="55"/>
      <c r="LKO1997" s="55"/>
      <c r="LKP1997" s="55"/>
      <c r="LKQ1997" s="55"/>
      <c r="LKR1997" s="55"/>
      <c r="LKS1997" s="55"/>
      <c r="LKT1997" s="55"/>
      <c r="LKU1997" s="55"/>
      <c r="LKV1997" s="55"/>
      <c r="LKW1997" s="55"/>
      <c r="LKX1997" s="55"/>
      <c r="LKY1997" s="55"/>
      <c r="LKZ1997" s="55"/>
      <c r="LLA1997" s="55"/>
      <c r="LLB1997" s="55"/>
      <c r="LLC1997" s="55"/>
      <c r="LLD1997" s="55"/>
      <c r="LLE1997" s="55"/>
      <c r="LLF1997" s="55"/>
      <c r="LLG1997" s="55"/>
      <c r="LLH1997" s="55"/>
      <c r="LLI1997" s="55"/>
      <c r="LLJ1997" s="55"/>
      <c r="LLK1997" s="55"/>
      <c r="LLL1997" s="55"/>
      <c r="LLM1997" s="55"/>
      <c r="LLN1997" s="55"/>
      <c r="LLO1997" s="55"/>
      <c r="LLP1997" s="55"/>
      <c r="LLQ1997" s="55"/>
      <c r="LLR1997" s="55"/>
      <c r="LLS1997" s="55"/>
      <c r="LLT1997" s="55"/>
      <c r="LLU1997" s="55"/>
      <c r="LLV1997" s="55"/>
      <c r="LLW1997" s="55"/>
      <c r="LLX1997" s="55"/>
      <c r="LLY1997" s="55"/>
      <c r="LLZ1997" s="55"/>
      <c r="LMA1997" s="55"/>
      <c r="LMB1997" s="55"/>
      <c r="LMC1997" s="55"/>
      <c r="LMD1997" s="55"/>
      <c r="LME1997" s="55"/>
      <c r="LMF1997" s="55"/>
      <c r="LMG1997" s="55"/>
      <c r="LMH1997" s="55"/>
      <c r="LMI1997" s="55"/>
      <c r="LMJ1997" s="55"/>
      <c r="LMK1997" s="55"/>
      <c r="LML1997" s="55"/>
      <c r="LMM1997" s="55"/>
      <c r="LMN1997" s="55"/>
      <c r="LMO1997" s="55"/>
      <c r="LMP1997" s="55"/>
      <c r="LMQ1997" s="55"/>
      <c r="LMR1997" s="55"/>
      <c r="LMS1997" s="55"/>
      <c r="LMT1997" s="55"/>
      <c r="LMU1997" s="55"/>
      <c r="LMV1997" s="55"/>
      <c r="LMW1997" s="55"/>
      <c r="LMX1997" s="55"/>
      <c r="LMY1997" s="55"/>
      <c r="LMZ1997" s="55"/>
      <c r="LNA1997" s="55"/>
      <c r="LNB1997" s="55"/>
      <c r="LNC1997" s="55"/>
      <c r="LND1997" s="55"/>
      <c r="LNE1997" s="55"/>
      <c r="LNF1997" s="55"/>
      <c r="LNG1997" s="55"/>
      <c r="LNH1997" s="55"/>
      <c r="LNI1997" s="55"/>
      <c r="LNJ1997" s="55"/>
      <c r="LNK1997" s="55"/>
      <c r="LNL1997" s="55"/>
      <c r="LNM1997" s="55"/>
      <c r="LNN1997" s="55"/>
      <c r="LNO1997" s="55"/>
      <c r="LNP1997" s="55"/>
      <c r="LNQ1997" s="55"/>
      <c r="LNR1997" s="55"/>
      <c r="LNS1997" s="55"/>
      <c r="LNT1997" s="55"/>
      <c r="LNU1997" s="55"/>
      <c r="LNV1997" s="55"/>
      <c r="LNW1997" s="55"/>
      <c r="LNX1997" s="55"/>
      <c r="LNY1997" s="55"/>
      <c r="LNZ1997" s="55"/>
      <c r="LOA1997" s="55"/>
      <c r="LOB1997" s="55"/>
      <c r="LOC1997" s="55"/>
      <c r="LOD1997" s="55"/>
      <c r="LOE1997" s="55"/>
      <c r="LOF1997" s="55"/>
      <c r="LOG1997" s="55"/>
      <c r="LOH1997" s="55"/>
      <c r="LOI1997" s="55"/>
      <c r="LOJ1997" s="55"/>
      <c r="LOK1997" s="55"/>
      <c r="LOL1997" s="55"/>
      <c r="LOM1997" s="55"/>
      <c r="LON1997" s="55"/>
      <c r="LOO1997" s="55"/>
      <c r="LOP1997" s="55"/>
      <c r="LOQ1997" s="55"/>
      <c r="LOR1997" s="55"/>
      <c r="LOS1997" s="55"/>
      <c r="LOT1997" s="55"/>
      <c r="LOU1997" s="55"/>
      <c r="LOV1997" s="55"/>
      <c r="LOW1997" s="55"/>
      <c r="LOX1997" s="55"/>
      <c r="LOY1997" s="55"/>
      <c r="LOZ1997" s="55"/>
      <c r="LPA1997" s="55"/>
      <c r="LPB1997" s="55"/>
      <c r="LPC1997" s="55"/>
      <c r="LPD1997" s="55"/>
      <c r="LPE1997" s="55"/>
      <c r="LPF1997" s="55"/>
      <c r="LPG1997" s="55"/>
      <c r="LPH1997" s="55"/>
      <c r="LPI1997" s="55"/>
      <c r="LPJ1997" s="55"/>
      <c r="LPK1997" s="55"/>
      <c r="LPL1997" s="55"/>
      <c r="LPM1997" s="55"/>
      <c r="LPN1997" s="55"/>
      <c r="LPO1997" s="55"/>
      <c r="LPP1997" s="55"/>
      <c r="LPQ1997" s="55"/>
      <c r="LPR1997" s="55"/>
      <c r="LPS1997" s="55"/>
      <c r="LPT1997" s="55"/>
      <c r="LPU1997" s="55"/>
      <c r="LPV1997" s="55"/>
      <c r="LPW1997" s="55"/>
      <c r="LPX1997" s="55"/>
      <c r="LPY1997" s="55"/>
      <c r="LPZ1997" s="55"/>
      <c r="LQA1997" s="55"/>
      <c r="LQB1997" s="55"/>
      <c r="LQC1997" s="55"/>
      <c r="LQD1997" s="55"/>
      <c r="LQE1997" s="55"/>
      <c r="LQF1997" s="55"/>
      <c r="LQG1997" s="55"/>
      <c r="LQH1997" s="55"/>
      <c r="LQI1997" s="55"/>
      <c r="LQJ1997" s="55"/>
      <c r="LQK1997" s="55"/>
      <c r="LQL1997" s="55"/>
      <c r="LQM1997" s="55"/>
      <c r="LQN1997" s="55"/>
      <c r="LQO1997" s="55"/>
      <c r="LQP1997" s="55"/>
      <c r="LQQ1997" s="55"/>
      <c r="LQR1997" s="55"/>
      <c r="LQS1997" s="55"/>
      <c r="LQT1997" s="55"/>
      <c r="LQU1997" s="55"/>
      <c r="LQV1997" s="55"/>
      <c r="LQW1997" s="55"/>
      <c r="LQX1997" s="55"/>
      <c r="LQY1997" s="55"/>
      <c r="LQZ1997" s="55"/>
      <c r="LRA1997" s="55"/>
      <c r="LRB1997" s="55"/>
      <c r="LRC1997" s="55"/>
      <c r="LRD1997" s="55"/>
      <c r="LRE1997" s="55"/>
      <c r="LRF1997" s="55"/>
      <c r="LRG1997" s="55"/>
      <c r="LRH1997" s="55"/>
      <c r="LRI1997" s="55"/>
      <c r="LRJ1997" s="55"/>
      <c r="LRK1997" s="55"/>
      <c r="LRL1997" s="55"/>
      <c r="LRM1997" s="55"/>
      <c r="LRN1997" s="55"/>
      <c r="LRO1997" s="55"/>
      <c r="LRP1997" s="55"/>
      <c r="LRQ1997" s="55"/>
      <c r="LRR1997" s="55"/>
      <c r="LRS1997" s="55"/>
      <c r="LRT1997" s="55"/>
      <c r="LRU1997" s="55"/>
      <c r="LRV1997" s="55"/>
      <c r="LRW1997" s="55"/>
      <c r="LRX1997" s="55"/>
      <c r="LRY1997" s="55"/>
      <c r="LRZ1997" s="55"/>
      <c r="LSA1997" s="55"/>
      <c r="LSB1997" s="55"/>
      <c r="LSC1997" s="55"/>
      <c r="LSD1997" s="55"/>
      <c r="LSE1997" s="55"/>
      <c r="LSF1997" s="55"/>
      <c r="LSG1997" s="55"/>
      <c r="LSH1997" s="55"/>
      <c r="LSI1997" s="55"/>
      <c r="LSJ1997" s="55"/>
      <c r="LSK1997" s="55"/>
      <c r="LSL1997" s="55"/>
      <c r="LSM1997" s="55"/>
      <c r="LSN1997" s="55"/>
      <c r="LSO1997" s="55"/>
      <c r="LSP1997" s="55"/>
      <c r="LSQ1997" s="55"/>
      <c r="LSR1997" s="55"/>
      <c r="LSS1997" s="55"/>
      <c r="LST1997" s="55"/>
      <c r="LSU1997" s="55"/>
      <c r="LSV1997" s="55"/>
      <c r="LSW1997" s="55"/>
      <c r="LSX1997" s="55"/>
      <c r="LSY1997" s="55"/>
      <c r="LSZ1997" s="55"/>
      <c r="LTA1997" s="55"/>
      <c r="LTB1997" s="55"/>
      <c r="LTC1997" s="55"/>
      <c r="LTD1997" s="55"/>
      <c r="LTE1997" s="55"/>
      <c r="LTF1997" s="55"/>
      <c r="LTG1997" s="55"/>
      <c r="LTH1997" s="55"/>
      <c r="LTI1997" s="55"/>
      <c r="LTJ1997" s="55"/>
      <c r="LTK1997" s="55"/>
      <c r="LTL1997" s="55"/>
      <c r="LTM1997" s="55"/>
      <c r="LTN1997" s="55"/>
      <c r="LTO1997" s="55"/>
      <c r="LTP1997" s="55"/>
      <c r="LTQ1997" s="55"/>
      <c r="LTR1997" s="55"/>
      <c r="LTS1997" s="55"/>
      <c r="LTT1997" s="55"/>
      <c r="LTU1997" s="55"/>
      <c r="LTV1997" s="55"/>
      <c r="LTW1997" s="55"/>
      <c r="LTX1997" s="55"/>
      <c r="LTY1997" s="55"/>
      <c r="LTZ1997" s="55"/>
      <c r="LUA1997" s="55"/>
      <c r="LUB1997" s="55"/>
      <c r="LUC1997" s="55"/>
      <c r="LUD1997" s="55"/>
      <c r="LUE1997" s="55"/>
      <c r="LUF1997" s="55"/>
      <c r="LUG1997" s="55"/>
      <c r="LUH1997" s="55"/>
      <c r="LUI1997" s="55"/>
      <c r="LUJ1997" s="55"/>
      <c r="LUK1997" s="55"/>
      <c r="LUL1997" s="55"/>
      <c r="LUM1997" s="55"/>
      <c r="LUN1997" s="55"/>
      <c r="LUO1997" s="55"/>
      <c r="LUP1997" s="55"/>
      <c r="LUQ1997" s="55"/>
      <c r="LUR1997" s="55"/>
      <c r="LUS1997" s="55"/>
      <c r="LUT1997" s="55"/>
      <c r="LUU1997" s="55"/>
      <c r="LUV1997" s="55"/>
      <c r="LUW1997" s="55"/>
      <c r="LUX1997" s="55"/>
      <c r="LUY1997" s="55"/>
      <c r="LUZ1997" s="55"/>
      <c r="LVA1997" s="55"/>
      <c r="LVB1997" s="55"/>
      <c r="LVC1997" s="55"/>
      <c r="LVD1997" s="55"/>
      <c r="LVE1997" s="55"/>
      <c r="LVF1997" s="55"/>
      <c r="LVG1997" s="55"/>
      <c r="LVH1997" s="55"/>
      <c r="LVI1997" s="55"/>
      <c r="LVJ1997" s="55"/>
      <c r="LVK1997" s="55"/>
      <c r="LVL1997" s="55"/>
      <c r="LVM1997" s="55"/>
      <c r="LVN1997" s="55"/>
      <c r="LVO1997" s="55"/>
      <c r="LVP1997" s="55"/>
      <c r="LVQ1997" s="55"/>
      <c r="LVR1997" s="55"/>
      <c r="LVS1997" s="55"/>
      <c r="LVT1997" s="55"/>
      <c r="LVU1997" s="55"/>
      <c r="LVV1997" s="55"/>
      <c r="LVW1997" s="55"/>
      <c r="LVX1997" s="55"/>
      <c r="LVY1997" s="55"/>
      <c r="LVZ1997" s="55"/>
      <c r="LWA1997" s="55"/>
      <c r="LWB1997" s="55"/>
      <c r="LWC1997" s="55"/>
      <c r="LWD1997" s="55"/>
      <c r="LWE1997" s="55"/>
      <c r="LWF1997" s="55"/>
      <c r="LWG1997" s="55"/>
      <c r="LWH1997" s="55"/>
      <c r="LWI1997" s="55"/>
      <c r="LWJ1997" s="55"/>
      <c r="LWK1997" s="55"/>
      <c r="LWL1997" s="55"/>
      <c r="LWM1997" s="55"/>
      <c r="LWN1997" s="55"/>
      <c r="LWO1997" s="55"/>
      <c r="LWP1997" s="55"/>
      <c r="LWQ1997" s="55"/>
      <c r="LWR1997" s="55"/>
      <c r="LWS1997" s="55"/>
      <c r="LWT1997" s="55"/>
      <c r="LWU1997" s="55"/>
      <c r="LWV1997" s="55"/>
      <c r="LWW1997" s="55"/>
      <c r="LWX1997" s="55"/>
      <c r="LWY1997" s="55"/>
      <c r="LWZ1997" s="55"/>
      <c r="LXA1997" s="55"/>
      <c r="LXB1997" s="55"/>
      <c r="LXC1997" s="55"/>
      <c r="LXD1997" s="55"/>
      <c r="LXE1997" s="55"/>
      <c r="LXF1997" s="55"/>
      <c r="LXG1997" s="55"/>
      <c r="LXH1997" s="55"/>
      <c r="LXI1997" s="55"/>
      <c r="LXJ1997" s="55"/>
      <c r="LXK1997" s="55"/>
      <c r="LXL1997" s="55"/>
      <c r="LXM1997" s="55"/>
      <c r="LXN1997" s="55"/>
      <c r="LXO1997" s="55"/>
      <c r="LXP1997" s="55"/>
      <c r="LXQ1997" s="55"/>
      <c r="LXR1997" s="55"/>
      <c r="LXS1997" s="55"/>
      <c r="LXT1997" s="55"/>
      <c r="LXU1997" s="55"/>
      <c r="LXV1997" s="55"/>
      <c r="LXW1997" s="55"/>
      <c r="LXX1997" s="55"/>
      <c r="LXY1997" s="55"/>
      <c r="LXZ1997" s="55"/>
      <c r="LYA1997" s="55"/>
      <c r="LYB1997" s="55"/>
      <c r="LYC1997" s="55"/>
      <c r="LYD1997" s="55"/>
      <c r="LYE1997" s="55"/>
      <c r="LYF1997" s="55"/>
      <c r="LYG1997" s="55"/>
      <c r="LYH1997" s="55"/>
      <c r="LYI1997" s="55"/>
      <c r="LYJ1997" s="55"/>
      <c r="LYK1997" s="55"/>
      <c r="LYL1997" s="55"/>
      <c r="LYM1997" s="55"/>
      <c r="LYN1997" s="55"/>
      <c r="LYO1997" s="55"/>
      <c r="LYP1997" s="55"/>
      <c r="LYQ1997" s="55"/>
      <c r="LYR1997" s="55"/>
      <c r="LYS1997" s="55"/>
      <c r="LYT1997" s="55"/>
      <c r="LYU1997" s="55"/>
      <c r="LYV1997" s="55"/>
      <c r="LYW1997" s="55"/>
      <c r="LYX1997" s="55"/>
      <c r="LYY1997" s="55"/>
      <c r="LYZ1997" s="55"/>
      <c r="LZA1997" s="55"/>
      <c r="LZB1997" s="55"/>
      <c r="LZC1997" s="55"/>
      <c r="LZD1997" s="55"/>
      <c r="LZE1997" s="55"/>
      <c r="LZF1997" s="55"/>
      <c r="LZG1997" s="55"/>
      <c r="LZH1997" s="55"/>
      <c r="LZI1997" s="55"/>
      <c r="LZJ1997" s="55"/>
      <c r="LZK1997" s="55"/>
      <c r="LZL1997" s="55"/>
      <c r="LZM1997" s="55"/>
      <c r="LZN1997" s="55"/>
      <c r="LZO1997" s="55"/>
      <c r="LZP1997" s="55"/>
      <c r="LZQ1997" s="55"/>
      <c r="LZR1997" s="55"/>
      <c r="LZS1997" s="55"/>
      <c r="LZT1997" s="55"/>
      <c r="LZU1997" s="55"/>
      <c r="LZV1997" s="55"/>
      <c r="LZW1997" s="55"/>
      <c r="LZX1997" s="55"/>
      <c r="LZY1997" s="55"/>
      <c r="LZZ1997" s="55"/>
      <c r="MAA1997" s="55"/>
      <c r="MAB1997" s="55"/>
      <c r="MAC1997" s="55"/>
      <c r="MAD1997" s="55"/>
      <c r="MAE1997" s="55"/>
      <c r="MAF1997" s="55"/>
      <c r="MAG1997" s="55"/>
      <c r="MAH1997" s="55"/>
      <c r="MAI1997" s="55"/>
      <c r="MAJ1997" s="55"/>
      <c r="MAK1997" s="55"/>
      <c r="MAL1997" s="55"/>
      <c r="MAM1997" s="55"/>
      <c r="MAN1997" s="55"/>
      <c r="MAO1997" s="55"/>
      <c r="MAP1997" s="55"/>
      <c r="MAQ1997" s="55"/>
      <c r="MAR1997" s="55"/>
      <c r="MAS1997" s="55"/>
      <c r="MAT1997" s="55"/>
      <c r="MAU1997" s="55"/>
      <c r="MAV1997" s="55"/>
      <c r="MAW1997" s="55"/>
      <c r="MAX1997" s="55"/>
      <c r="MAY1997" s="55"/>
      <c r="MAZ1997" s="55"/>
      <c r="MBA1997" s="55"/>
      <c r="MBB1997" s="55"/>
      <c r="MBC1997" s="55"/>
      <c r="MBD1997" s="55"/>
      <c r="MBE1997" s="55"/>
      <c r="MBF1997" s="55"/>
      <c r="MBG1997" s="55"/>
      <c r="MBH1997" s="55"/>
      <c r="MBI1997" s="55"/>
      <c r="MBJ1997" s="55"/>
      <c r="MBK1997" s="55"/>
      <c r="MBL1997" s="55"/>
      <c r="MBM1997" s="55"/>
      <c r="MBN1997" s="55"/>
      <c r="MBO1997" s="55"/>
      <c r="MBP1997" s="55"/>
      <c r="MBQ1997" s="55"/>
      <c r="MBR1997" s="55"/>
      <c r="MBS1997" s="55"/>
      <c r="MBT1997" s="55"/>
      <c r="MBU1997" s="55"/>
      <c r="MBV1997" s="55"/>
      <c r="MBW1997" s="55"/>
      <c r="MBX1997" s="55"/>
      <c r="MBY1997" s="55"/>
      <c r="MBZ1997" s="55"/>
      <c r="MCA1997" s="55"/>
      <c r="MCB1997" s="55"/>
      <c r="MCC1997" s="55"/>
      <c r="MCD1997" s="55"/>
      <c r="MCE1997" s="55"/>
      <c r="MCF1997" s="55"/>
      <c r="MCG1997" s="55"/>
      <c r="MCH1997" s="55"/>
      <c r="MCI1997" s="55"/>
      <c r="MCJ1997" s="55"/>
      <c r="MCK1997" s="55"/>
      <c r="MCL1997" s="55"/>
      <c r="MCM1997" s="55"/>
      <c r="MCN1997" s="55"/>
      <c r="MCO1997" s="55"/>
      <c r="MCP1997" s="55"/>
      <c r="MCQ1997" s="55"/>
      <c r="MCR1997" s="55"/>
      <c r="MCS1997" s="55"/>
      <c r="MCT1997" s="55"/>
      <c r="MCU1997" s="55"/>
      <c r="MCV1997" s="55"/>
      <c r="MCW1997" s="55"/>
      <c r="MCX1997" s="55"/>
      <c r="MCY1997" s="55"/>
      <c r="MCZ1997" s="55"/>
      <c r="MDA1997" s="55"/>
      <c r="MDB1997" s="55"/>
      <c r="MDC1997" s="55"/>
      <c r="MDD1997" s="55"/>
      <c r="MDE1997" s="55"/>
      <c r="MDF1997" s="55"/>
      <c r="MDG1997" s="55"/>
      <c r="MDH1997" s="55"/>
      <c r="MDI1997" s="55"/>
      <c r="MDJ1997" s="55"/>
      <c r="MDK1997" s="55"/>
      <c r="MDL1997" s="55"/>
      <c r="MDM1997" s="55"/>
      <c r="MDN1997" s="55"/>
      <c r="MDO1997" s="55"/>
      <c r="MDP1997" s="55"/>
      <c r="MDQ1997" s="55"/>
      <c r="MDR1997" s="55"/>
      <c r="MDS1997" s="55"/>
      <c r="MDT1997" s="55"/>
      <c r="MDU1997" s="55"/>
      <c r="MDV1997" s="55"/>
      <c r="MDW1997" s="55"/>
      <c r="MDX1997" s="55"/>
      <c r="MDY1997" s="55"/>
      <c r="MDZ1997" s="55"/>
      <c r="MEA1997" s="55"/>
      <c r="MEB1997" s="55"/>
      <c r="MEC1997" s="55"/>
      <c r="MED1997" s="55"/>
      <c r="MEE1997" s="55"/>
      <c r="MEF1997" s="55"/>
      <c r="MEG1997" s="55"/>
      <c r="MEH1997" s="55"/>
      <c r="MEI1997" s="55"/>
      <c r="MEJ1997" s="55"/>
      <c r="MEK1997" s="55"/>
      <c r="MEL1997" s="55"/>
      <c r="MEM1997" s="55"/>
      <c r="MEN1997" s="55"/>
      <c r="MEO1997" s="55"/>
      <c r="MEP1997" s="55"/>
      <c r="MEQ1997" s="55"/>
      <c r="MER1997" s="55"/>
      <c r="MES1997" s="55"/>
      <c r="MET1997" s="55"/>
      <c r="MEU1997" s="55"/>
      <c r="MEV1997" s="55"/>
      <c r="MEW1997" s="55"/>
      <c r="MEX1997" s="55"/>
      <c r="MEY1997" s="55"/>
      <c r="MEZ1997" s="55"/>
      <c r="MFA1997" s="55"/>
      <c r="MFB1997" s="55"/>
      <c r="MFC1997" s="55"/>
      <c r="MFD1997" s="55"/>
      <c r="MFE1997" s="55"/>
      <c r="MFF1997" s="55"/>
      <c r="MFG1997" s="55"/>
      <c r="MFH1997" s="55"/>
      <c r="MFI1997" s="55"/>
      <c r="MFJ1997" s="55"/>
      <c r="MFK1997" s="55"/>
      <c r="MFL1997" s="55"/>
      <c r="MFM1997" s="55"/>
      <c r="MFN1997" s="55"/>
      <c r="MFO1997" s="55"/>
      <c r="MFP1997" s="55"/>
      <c r="MFQ1997" s="55"/>
      <c r="MFR1997" s="55"/>
      <c r="MFS1997" s="55"/>
      <c r="MFT1997" s="55"/>
      <c r="MFU1997" s="55"/>
      <c r="MFV1997" s="55"/>
      <c r="MFW1997" s="55"/>
      <c r="MFX1997" s="55"/>
      <c r="MFY1997" s="55"/>
      <c r="MFZ1997" s="55"/>
      <c r="MGA1997" s="55"/>
      <c r="MGB1997" s="55"/>
      <c r="MGC1997" s="55"/>
      <c r="MGD1997" s="55"/>
      <c r="MGE1997" s="55"/>
      <c r="MGF1997" s="55"/>
      <c r="MGG1997" s="55"/>
      <c r="MGH1997" s="55"/>
      <c r="MGI1997" s="55"/>
      <c r="MGJ1997" s="55"/>
      <c r="MGK1997" s="55"/>
      <c r="MGL1997" s="55"/>
      <c r="MGM1997" s="55"/>
      <c r="MGN1997" s="55"/>
      <c r="MGO1997" s="55"/>
      <c r="MGP1997" s="55"/>
      <c r="MGQ1997" s="55"/>
      <c r="MGR1997" s="55"/>
      <c r="MGS1997" s="55"/>
      <c r="MGT1997" s="55"/>
      <c r="MGU1997" s="55"/>
      <c r="MGV1997" s="55"/>
      <c r="MGW1997" s="55"/>
      <c r="MGX1997" s="55"/>
      <c r="MGY1997" s="55"/>
      <c r="MGZ1997" s="55"/>
      <c r="MHA1997" s="55"/>
      <c r="MHB1997" s="55"/>
      <c r="MHC1997" s="55"/>
      <c r="MHD1997" s="55"/>
      <c r="MHE1997" s="55"/>
      <c r="MHF1997" s="55"/>
      <c r="MHG1997" s="55"/>
      <c r="MHH1997" s="55"/>
      <c r="MHI1997" s="55"/>
      <c r="MHJ1997" s="55"/>
      <c r="MHK1997" s="55"/>
      <c r="MHL1997" s="55"/>
      <c r="MHM1997" s="55"/>
      <c r="MHN1997" s="55"/>
      <c r="MHO1997" s="55"/>
      <c r="MHP1997" s="55"/>
      <c r="MHQ1997" s="55"/>
      <c r="MHR1997" s="55"/>
      <c r="MHS1997" s="55"/>
      <c r="MHT1997" s="55"/>
      <c r="MHU1997" s="55"/>
      <c r="MHV1997" s="55"/>
      <c r="MHW1997" s="55"/>
      <c r="MHX1997" s="55"/>
      <c r="MHY1997" s="55"/>
      <c r="MHZ1997" s="55"/>
      <c r="MIA1997" s="55"/>
      <c r="MIB1997" s="55"/>
      <c r="MIC1997" s="55"/>
      <c r="MID1997" s="55"/>
      <c r="MIE1997" s="55"/>
      <c r="MIF1997" s="55"/>
      <c r="MIG1997" s="55"/>
      <c r="MIH1997" s="55"/>
      <c r="MII1997" s="55"/>
      <c r="MIJ1997" s="55"/>
      <c r="MIK1997" s="55"/>
      <c r="MIL1997" s="55"/>
      <c r="MIM1997" s="55"/>
      <c r="MIN1997" s="55"/>
      <c r="MIO1997" s="55"/>
      <c r="MIP1997" s="55"/>
      <c r="MIQ1997" s="55"/>
      <c r="MIR1997" s="55"/>
      <c r="MIS1997" s="55"/>
      <c r="MIT1997" s="55"/>
      <c r="MIU1997" s="55"/>
      <c r="MIV1997" s="55"/>
      <c r="MIW1997" s="55"/>
      <c r="MIX1997" s="55"/>
      <c r="MIY1997" s="55"/>
      <c r="MIZ1997" s="55"/>
      <c r="MJA1997" s="55"/>
      <c r="MJB1997" s="55"/>
      <c r="MJC1997" s="55"/>
      <c r="MJD1997" s="55"/>
      <c r="MJE1997" s="55"/>
      <c r="MJF1997" s="55"/>
      <c r="MJG1997" s="55"/>
      <c r="MJH1997" s="55"/>
      <c r="MJI1997" s="55"/>
      <c r="MJJ1997" s="55"/>
      <c r="MJK1997" s="55"/>
      <c r="MJL1997" s="55"/>
      <c r="MJM1997" s="55"/>
      <c r="MJN1997" s="55"/>
      <c r="MJO1997" s="55"/>
      <c r="MJP1997" s="55"/>
      <c r="MJQ1997" s="55"/>
      <c r="MJR1997" s="55"/>
      <c r="MJS1997" s="55"/>
      <c r="MJT1997" s="55"/>
      <c r="MJU1997" s="55"/>
      <c r="MJV1997" s="55"/>
      <c r="MJW1997" s="55"/>
      <c r="MJX1997" s="55"/>
      <c r="MJY1997" s="55"/>
      <c r="MJZ1997" s="55"/>
      <c r="MKA1997" s="55"/>
      <c r="MKB1997" s="55"/>
      <c r="MKC1997" s="55"/>
      <c r="MKD1997" s="55"/>
      <c r="MKE1997" s="55"/>
      <c r="MKF1997" s="55"/>
      <c r="MKG1997" s="55"/>
      <c r="MKH1997" s="55"/>
      <c r="MKI1997" s="55"/>
      <c r="MKJ1997" s="55"/>
      <c r="MKK1997" s="55"/>
      <c r="MKL1997" s="55"/>
      <c r="MKM1997" s="55"/>
      <c r="MKN1997" s="55"/>
      <c r="MKO1997" s="55"/>
      <c r="MKP1997" s="55"/>
      <c r="MKQ1997" s="55"/>
      <c r="MKR1997" s="55"/>
      <c r="MKS1997" s="55"/>
      <c r="MKT1997" s="55"/>
      <c r="MKU1997" s="55"/>
      <c r="MKV1997" s="55"/>
      <c r="MKW1997" s="55"/>
      <c r="MKX1997" s="55"/>
      <c r="MKY1997" s="55"/>
      <c r="MKZ1997" s="55"/>
      <c r="MLA1997" s="55"/>
      <c r="MLB1997" s="55"/>
      <c r="MLC1997" s="55"/>
      <c r="MLD1997" s="55"/>
      <c r="MLE1997" s="55"/>
      <c r="MLF1997" s="55"/>
      <c r="MLG1997" s="55"/>
      <c r="MLH1997" s="55"/>
      <c r="MLI1997" s="55"/>
      <c r="MLJ1997" s="55"/>
      <c r="MLK1997" s="55"/>
      <c r="MLL1997" s="55"/>
      <c r="MLM1997" s="55"/>
      <c r="MLN1997" s="55"/>
      <c r="MLO1997" s="55"/>
      <c r="MLP1997" s="55"/>
      <c r="MLQ1997" s="55"/>
      <c r="MLR1997" s="55"/>
      <c r="MLS1997" s="55"/>
      <c r="MLT1997" s="55"/>
      <c r="MLU1997" s="55"/>
      <c r="MLV1997" s="55"/>
      <c r="MLW1997" s="55"/>
      <c r="MLX1997" s="55"/>
      <c r="MLY1997" s="55"/>
      <c r="MLZ1997" s="55"/>
      <c r="MMA1997" s="55"/>
      <c r="MMB1997" s="55"/>
      <c r="MMC1997" s="55"/>
      <c r="MMD1997" s="55"/>
      <c r="MME1997" s="55"/>
      <c r="MMF1997" s="55"/>
      <c r="MMG1997" s="55"/>
      <c r="MMH1997" s="55"/>
      <c r="MMI1997" s="55"/>
      <c r="MMJ1997" s="55"/>
      <c r="MMK1997" s="55"/>
      <c r="MML1997" s="55"/>
      <c r="MMM1997" s="55"/>
      <c r="MMN1997" s="55"/>
      <c r="MMO1997" s="55"/>
      <c r="MMP1997" s="55"/>
      <c r="MMQ1997" s="55"/>
      <c r="MMR1997" s="55"/>
      <c r="MMS1997" s="55"/>
      <c r="MMT1997" s="55"/>
      <c r="MMU1997" s="55"/>
      <c r="MMV1997" s="55"/>
      <c r="MMW1997" s="55"/>
      <c r="MMX1997" s="55"/>
      <c r="MMY1997" s="55"/>
      <c r="MMZ1997" s="55"/>
      <c r="MNA1997" s="55"/>
      <c r="MNB1997" s="55"/>
      <c r="MNC1997" s="55"/>
      <c r="MND1997" s="55"/>
      <c r="MNE1997" s="55"/>
      <c r="MNF1997" s="55"/>
      <c r="MNG1997" s="55"/>
      <c r="MNH1997" s="55"/>
      <c r="MNI1997" s="55"/>
      <c r="MNJ1997" s="55"/>
      <c r="MNK1997" s="55"/>
      <c r="MNL1997" s="55"/>
      <c r="MNM1997" s="55"/>
      <c r="MNN1997" s="55"/>
      <c r="MNO1997" s="55"/>
      <c r="MNP1997" s="55"/>
      <c r="MNQ1997" s="55"/>
      <c r="MNR1997" s="55"/>
      <c r="MNS1997" s="55"/>
      <c r="MNT1997" s="55"/>
      <c r="MNU1997" s="55"/>
      <c r="MNV1997" s="55"/>
      <c r="MNW1997" s="55"/>
      <c r="MNX1997" s="55"/>
      <c r="MNY1997" s="55"/>
      <c r="MNZ1997" s="55"/>
      <c r="MOA1997" s="55"/>
      <c r="MOB1997" s="55"/>
      <c r="MOC1997" s="55"/>
      <c r="MOD1997" s="55"/>
      <c r="MOE1997" s="55"/>
      <c r="MOF1997" s="55"/>
      <c r="MOG1997" s="55"/>
      <c r="MOH1997" s="55"/>
      <c r="MOI1997" s="55"/>
      <c r="MOJ1997" s="55"/>
      <c r="MOK1997" s="55"/>
      <c r="MOL1997" s="55"/>
      <c r="MOM1997" s="55"/>
      <c r="MON1997" s="55"/>
      <c r="MOO1997" s="55"/>
      <c r="MOP1997" s="55"/>
      <c r="MOQ1997" s="55"/>
      <c r="MOR1997" s="55"/>
      <c r="MOS1997" s="55"/>
      <c r="MOT1997" s="55"/>
      <c r="MOU1997" s="55"/>
      <c r="MOV1997" s="55"/>
      <c r="MOW1997" s="55"/>
      <c r="MOX1997" s="55"/>
      <c r="MOY1997" s="55"/>
      <c r="MOZ1997" s="55"/>
      <c r="MPA1997" s="55"/>
      <c r="MPB1997" s="55"/>
      <c r="MPC1997" s="55"/>
      <c r="MPD1997" s="55"/>
      <c r="MPE1997" s="55"/>
      <c r="MPF1997" s="55"/>
      <c r="MPG1997" s="55"/>
      <c r="MPH1997" s="55"/>
      <c r="MPI1997" s="55"/>
      <c r="MPJ1997" s="55"/>
      <c r="MPK1997" s="55"/>
      <c r="MPL1997" s="55"/>
      <c r="MPM1997" s="55"/>
      <c r="MPN1997" s="55"/>
      <c r="MPO1997" s="55"/>
      <c r="MPP1997" s="55"/>
      <c r="MPQ1997" s="55"/>
      <c r="MPR1997" s="55"/>
      <c r="MPS1997" s="55"/>
      <c r="MPT1997" s="55"/>
      <c r="MPU1997" s="55"/>
      <c r="MPV1997" s="55"/>
      <c r="MPW1997" s="55"/>
      <c r="MPX1997" s="55"/>
      <c r="MPY1997" s="55"/>
      <c r="MPZ1997" s="55"/>
      <c r="MQA1997" s="55"/>
      <c r="MQB1997" s="55"/>
      <c r="MQC1997" s="55"/>
      <c r="MQD1997" s="55"/>
      <c r="MQE1997" s="55"/>
      <c r="MQF1997" s="55"/>
      <c r="MQG1997" s="55"/>
      <c r="MQH1997" s="55"/>
      <c r="MQI1997" s="55"/>
      <c r="MQJ1997" s="55"/>
      <c r="MQK1997" s="55"/>
      <c r="MQL1997" s="55"/>
      <c r="MQM1997" s="55"/>
      <c r="MQN1997" s="55"/>
      <c r="MQO1997" s="55"/>
      <c r="MQP1997" s="55"/>
      <c r="MQQ1997" s="55"/>
      <c r="MQR1997" s="55"/>
      <c r="MQS1997" s="55"/>
      <c r="MQT1997" s="55"/>
      <c r="MQU1997" s="55"/>
      <c r="MQV1997" s="55"/>
      <c r="MQW1997" s="55"/>
      <c r="MQX1997" s="55"/>
      <c r="MQY1997" s="55"/>
      <c r="MQZ1997" s="55"/>
      <c r="MRA1997" s="55"/>
      <c r="MRB1997" s="55"/>
      <c r="MRC1997" s="55"/>
      <c r="MRD1997" s="55"/>
      <c r="MRE1997" s="55"/>
      <c r="MRF1997" s="55"/>
      <c r="MRG1997" s="55"/>
      <c r="MRH1997" s="55"/>
      <c r="MRI1997" s="55"/>
      <c r="MRJ1997" s="55"/>
      <c r="MRK1997" s="55"/>
      <c r="MRL1997" s="55"/>
      <c r="MRM1997" s="55"/>
      <c r="MRN1997" s="55"/>
      <c r="MRO1997" s="55"/>
      <c r="MRP1997" s="55"/>
      <c r="MRQ1997" s="55"/>
      <c r="MRR1997" s="55"/>
      <c r="MRS1997" s="55"/>
      <c r="MRT1997" s="55"/>
      <c r="MRU1997" s="55"/>
      <c r="MRV1997" s="55"/>
      <c r="MRW1997" s="55"/>
      <c r="MRX1997" s="55"/>
      <c r="MRY1997" s="55"/>
      <c r="MRZ1997" s="55"/>
      <c r="MSA1997" s="55"/>
      <c r="MSB1997" s="55"/>
      <c r="MSC1997" s="55"/>
      <c r="MSD1997" s="55"/>
      <c r="MSE1997" s="55"/>
      <c r="MSF1997" s="55"/>
      <c r="MSG1997" s="55"/>
      <c r="MSH1997" s="55"/>
      <c r="MSI1997" s="55"/>
      <c r="MSJ1997" s="55"/>
      <c r="MSK1997" s="55"/>
      <c r="MSL1997" s="55"/>
      <c r="MSM1997" s="55"/>
      <c r="MSN1997" s="55"/>
      <c r="MSO1997" s="55"/>
      <c r="MSP1997" s="55"/>
      <c r="MSQ1997" s="55"/>
      <c r="MSR1997" s="55"/>
      <c r="MSS1997" s="55"/>
      <c r="MST1997" s="55"/>
      <c r="MSU1997" s="55"/>
      <c r="MSV1997" s="55"/>
      <c r="MSW1997" s="55"/>
      <c r="MSX1997" s="55"/>
      <c r="MSY1997" s="55"/>
      <c r="MSZ1997" s="55"/>
      <c r="MTA1997" s="55"/>
      <c r="MTB1997" s="55"/>
      <c r="MTC1997" s="55"/>
      <c r="MTD1997" s="55"/>
      <c r="MTE1997" s="55"/>
      <c r="MTF1997" s="55"/>
      <c r="MTG1997" s="55"/>
      <c r="MTH1997" s="55"/>
      <c r="MTI1997" s="55"/>
      <c r="MTJ1997" s="55"/>
      <c r="MTK1997" s="55"/>
      <c r="MTL1997" s="55"/>
      <c r="MTM1997" s="55"/>
      <c r="MTN1997" s="55"/>
      <c r="MTO1997" s="55"/>
      <c r="MTP1997" s="55"/>
      <c r="MTQ1997" s="55"/>
      <c r="MTR1997" s="55"/>
      <c r="MTS1997" s="55"/>
      <c r="MTT1997" s="55"/>
      <c r="MTU1997" s="55"/>
      <c r="MTV1997" s="55"/>
      <c r="MTW1997" s="55"/>
      <c r="MTX1997" s="55"/>
      <c r="MTY1997" s="55"/>
      <c r="MTZ1997" s="55"/>
      <c r="MUA1997" s="55"/>
      <c r="MUB1997" s="55"/>
      <c r="MUC1997" s="55"/>
      <c r="MUD1997" s="55"/>
      <c r="MUE1997" s="55"/>
      <c r="MUF1997" s="55"/>
      <c r="MUG1997" s="55"/>
      <c r="MUH1997" s="55"/>
      <c r="MUI1997" s="55"/>
      <c r="MUJ1997" s="55"/>
      <c r="MUK1997" s="55"/>
      <c r="MUL1997" s="55"/>
      <c r="MUM1997" s="55"/>
      <c r="MUN1997" s="55"/>
      <c r="MUO1997" s="55"/>
      <c r="MUP1997" s="55"/>
      <c r="MUQ1997" s="55"/>
      <c r="MUR1997" s="55"/>
      <c r="MUS1997" s="55"/>
      <c r="MUT1997" s="55"/>
      <c r="MUU1997" s="55"/>
      <c r="MUV1997" s="55"/>
      <c r="MUW1997" s="55"/>
      <c r="MUX1997" s="55"/>
      <c r="MUY1997" s="55"/>
      <c r="MUZ1997" s="55"/>
      <c r="MVA1997" s="55"/>
      <c r="MVB1997" s="55"/>
      <c r="MVC1997" s="55"/>
      <c r="MVD1997" s="55"/>
      <c r="MVE1997" s="55"/>
      <c r="MVF1997" s="55"/>
      <c r="MVG1997" s="55"/>
      <c r="MVH1997" s="55"/>
      <c r="MVI1997" s="55"/>
      <c r="MVJ1997" s="55"/>
      <c r="MVK1997" s="55"/>
      <c r="MVL1997" s="55"/>
      <c r="MVM1997" s="55"/>
      <c r="MVN1997" s="55"/>
      <c r="MVO1997" s="55"/>
      <c r="MVP1997" s="55"/>
      <c r="MVQ1997" s="55"/>
      <c r="MVR1997" s="55"/>
      <c r="MVS1997" s="55"/>
      <c r="MVT1997" s="55"/>
      <c r="MVU1997" s="55"/>
      <c r="MVV1997" s="55"/>
      <c r="MVW1997" s="55"/>
      <c r="MVX1997" s="55"/>
      <c r="MVY1997" s="55"/>
      <c r="MVZ1997" s="55"/>
      <c r="MWA1997" s="55"/>
      <c r="MWB1997" s="55"/>
      <c r="MWC1997" s="55"/>
      <c r="MWD1997" s="55"/>
      <c r="MWE1997" s="55"/>
      <c r="MWF1997" s="55"/>
      <c r="MWG1997" s="55"/>
      <c r="MWH1997" s="55"/>
      <c r="MWI1997" s="55"/>
      <c r="MWJ1997" s="55"/>
      <c r="MWK1997" s="55"/>
      <c r="MWL1997" s="55"/>
      <c r="MWM1997" s="55"/>
      <c r="MWN1997" s="55"/>
      <c r="MWO1997" s="55"/>
      <c r="MWP1997" s="55"/>
      <c r="MWQ1997" s="55"/>
      <c r="MWR1997" s="55"/>
      <c r="MWS1997" s="55"/>
      <c r="MWT1997" s="55"/>
      <c r="MWU1997" s="55"/>
      <c r="MWV1997" s="55"/>
      <c r="MWW1997" s="55"/>
      <c r="MWX1997" s="55"/>
      <c r="MWY1997" s="55"/>
      <c r="MWZ1997" s="55"/>
      <c r="MXA1997" s="55"/>
      <c r="MXB1997" s="55"/>
      <c r="MXC1997" s="55"/>
      <c r="MXD1997" s="55"/>
      <c r="MXE1997" s="55"/>
      <c r="MXF1997" s="55"/>
      <c r="MXG1997" s="55"/>
      <c r="MXH1997" s="55"/>
      <c r="MXI1997" s="55"/>
      <c r="MXJ1997" s="55"/>
      <c r="MXK1997" s="55"/>
      <c r="MXL1997" s="55"/>
      <c r="MXM1997" s="55"/>
      <c r="MXN1997" s="55"/>
      <c r="MXO1997" s="55"/>
      <c r="MXP1997" s="55"/>
      <c r="MXQ1997" s="55"/>
      <c r="MXR1997" s="55"/>
      <c r="MXS1997" s="55"/>
      <c r="MXT1997" s="55"/>
      <c r="MXU1997" s="55"/>
      <c r="MXV1997" s="55"/>
      <c r="MXW1997" s="55"/>
      <c r="MXX1997" s="55"/>
      <c r="MXY1997" s="55"/>
      <c r="MXZ1997" s="55"/>
      <c r="MYA1997" s="55"/>
      <c r="MYB1997" s="55"/>
      <c r="MYC1997" s="55"/>
      <c r="MYD1997" s="55"/>
      <c r="MYE1997" s="55"/>
      <c r="MYF1997" s="55"/>
      <c r="MYG1997" s="55"/>
      <c r="MYH1997" s="55"/>
      <c r="MYI1997" s="55"/>
      <c r="MYJ1997" s="55"/>
      <c r="MYK1997" s="55"/>
      <c r="MYL1997" s="55"/>
      <c r="MYM1997" s="55"/>
      <c r="MYN1997" s="55"/>
      <c r="MYO1997" s="55"/>
      <c r="MYP1997" s="55"/>
      <c r="MYQ1997" s="55"/>
      <c r="MYR1997" s="55"/>
      <c r="MYS1997" s="55"/>
      <c r="MYT1997" s="55"/>
      <c r="MYU1997" s="55"/>
      <c r="MYV1997" s="55"/>
      <c r="MYW1997" s="55"/>
      <c r="MYX1997" s="55"/>
      <c r="MYY1997" s="55"/>
      <c r="MYZ1997" s="55"/>
      <c r="MZA1997" s="55"/>
      <c r="MZB1997" s="55"/>
      <c r="MZC1997" s="55"/>
      <c r="MZD1997" s="55"/>
      <c r="MZE1997" s="55"/>
      <c r="MZF1997" s="55"/>
      <c r="MZG1997" s="55"/>
      <c r="MZH1997" s="55"/>
      <c r="MZI1997" s="55"/>
      <c r="MZJ1997" s="55"/>
      <c r="MZK1997" s="55"/>
      <c r="MZL1997" s="55"/>
      <c r="MZM1997" s="55"/>
      <c r="MZN1997" s="55"/>
      <c r="MZO1997" s="55"/>
      <c r="MZP1997" s="55"/>
      <c r="MZQ1997" s="55"/>
      <c r="MZR1997" s="55"/>
      <c r="MZS1997" s="55"/>
      <c r="MZT1997" s="55"/>
      <c r="MZU1997" s="55"/>
      <c r="MZV1997" s="55"/>
      <c r="MZW1997" s="55"/>
      <c r="MZX1997" s="55"/>
      <c r="MZY1997" s="55"/>
      <c r="MZZ1997" s="55"/>
      <c r="NAA1997" s="55"/>
      <c r="NAB1997" s="55"/>
      <c r="NAC1997" s="55"/>
      <c r="NAD1997" s="55"/>
      <c r="NAE1997" s="55"/>
      <c r="NAF1997" s="55"/>
      <c r="NAG1997" s="55"/>
      <c r="NAH1997" s="55"/>
      <c r="NAI1997" s="55"/>
      <c r="NAJ1997" s="55"/>
      <c r="NAK1997" s="55"/>
      <c r="NAL1997" s="55"/>
      <c r="NAM1997" s="55"/>
      <c r="NAN1997" s="55"/>
      <c r="NAO1997" s="55"/>
      <c r="NAP1997" s="55"/>
      <c r="NAQ1997" s="55"/>
      <c r="NAR1997" s="55"/>
      <c r="NAS1997" s="55"/>
      <c r="NAT1997" s="55"/>
      <c r="NAU1997" s="55"/>
      <c r="NAV1997" s="55"/>
      <c r="NAW1997" s="55"/>
      <c r="NAX1997" s="55"/>
      <c r="NAY1997" s="55"/>
      <c r="NAZ1997" s="55"/>
      <c r="NBA1997" s="55"/>
      <c r="NBB1997" s="55"/>
      <c r="NBC1997" s="55"/>
      <c r="NBD1997" s="55"/>
      <c r="NBE1997" s="55"/>
      <c r="NBF1997" s="55"/>
      <c r="NBG1997" s="55"/>
      <c r="NBH1997" s="55"/>
      <c r="NBI1997" s="55"/>
      <c r="NBJ1997" s="55"/>
      <c r="NBK1997" s="55"/>
      <c r="NBL1997" s="55"/>
      <c r="NBM1997" s="55"/>
      <c r="NBN1997" s="55"/>
      <c r="NBO1997" s="55"/>
      <c r="NBP1997" s="55"/>
      <c r="NBQ1997" s="55"/>
      <c r="NBR1997" s="55"/>
      <c r="NBS1997" s="55"/>
      <c r="NBT1997" s="55"/>
      <c r="NBU1997" s="55"/>
      <c r="NBV1997" s="55"/>
      <c r="NBW1997" s="55"/>
      <c r="NBX1997" s="55"/>
      <c r="NBY1997" s="55"/>
      <c r="NBZ1997" s="55"/>
      <c r="NCA1997" s="55"/>
      <c r="NCB1997" s="55"/>
      <c r="NCC1997" s="55"/>
      <c r="NCD1997" s="55"/>
      <c r="NCE1997" s="55"/>
      <c r="NCF1997" s="55"/>
      <c r="NCG1997" s="55"/>
      <c r="NCH1997" s="55"/>
      <c r="NCI1997" s="55"/>
      <c r="NCJ1997" s="55"/>
      <c r="NCK1997" s="55"/>
      <c r="NCL1997" s="55"/>
      <c r="NCM1997" s="55"/>
      <c r="NCN1997" s="55"/>
      <c r="NCO1997" s="55"/>
      <c r="NCP1997" s="55"/>
      <c r="NCQ1997" s="55"/>
      <c r="NCR1997" s="55"/>
      <c r="NCS1997" s="55"/>
      <c r="NCT1997" s="55"/>
      <c r="NCU1997" s="55"/>
      <c r="NCV1997" s="55"/>
      <c r="NCW1997" s="55"/>
      <c r="NCX1997" s="55"/>
      <c r="NCY1997" s="55"/>
      <c r="NCZ1997" s="55"/>
      <c r="NDA1997" s="55"/>
      <c r="NDB1997" s="55"/>
      <c r="NDC1997" s="55"/>
      <c r="NDD1997" s="55"/>
      <c r="NDE1997" s="55"/>
      <c r="NDF1997" s="55"/>
      <c r="NDG1997" s="55"/>
      <c r="NDH1997" s="55"/>
      <c r="NDI1997" s="55"/>
      <c r="NDJ1997" s="55"/>
      <c r="NDK1997" s="55"/>
      <c r="NDL1997" s="55"/>
      <c r="NDM1997" s="55"/>
      <c r="NDN1997" s="55"/>
      <c r="NDO1997" s="55"/>
      <c r="NDP1997" s="55"/>
      <c r="NDQ1997" s="55"/>
      <c r="NDR1997" s="55"/>
      <c r="NDS1997" s="55"/>
      <c r="NDT1997" s="55"/>
      <c r="NDU1997" s="55"/>
      <c r="NDV1997" s="55"/>
      <c r="NDW1997" s="55"/>
      <c r="NDX1997" s="55"/>
      <c r="NDY1997" s="55"/>
      <c r="NDZ1997" s="55"/>
      <c r="NEA1997" s="55"/>
      <c r="NEB1997" s="55"/>
      <c r="NEC1997" s="55"/>
      <c r="NED1997" s="55"/>
      <c r="NEE1997" s="55"/>
      <c r="NEF1997" s="55"/>
      <c r="NEG1997" s="55"/>
      <c r="NEH1997" s="55"/>
      <c r="NEI1997" s="55"/>
      <c r="NEJ1997" s="55"/>
      <c r="NEK1997" s="55"/>
      <c r="NEL1997" s="55"/>
      <c r="NEM1997" s="55"/>
      <c r="NEN1997" s="55"/>
      <c r="NEO1997" s="55"/>
      <c r="NEP1997" s="55"/>
      <c r="NEQ1997" s="55"/>
      <c r="NER1997" s="55"/>
      <c r="NES1997" s="55"/>
      <c r="NET1997" s="55"/>
      <c r="NEU1997" s="55"/>
      <c r="NEV1997" s="55"/>
      <c r="NEW1997" s="55"/>
      <c r="NEX1997" s="55"/>
      <c r="NEY1997" s="55"/>
      <c r="NEZ1997" s="55"/>
      <c r="NFA1997" s="55"/>
      <c r="NFB1997" s="55"/>
      <c r="NFC1997" s="55"/>
      <c r="NFD1997" s="55"/>
      <c r="NFE1997" s="55"/>
      <c r="NFF1997" s="55"/>
      <c r="NFG1997" s="55"/>
      <c r="NFH1997" s="55"/>
      <c r="NFI1997" s="55"/>
      <c r="NFJ1997" s="55"/>
      <c r="NFK1997" s="55"/>
      <c r="NFL1997" s="55"/>
      <c r="NFM1997" s="55"/>
      <c r="NFN1997" s="55"/>
      <c r="NFO1997" s="55"/>
      <c r="NFP1997" s="55"/>
      <c r="NFQ1997" s="55"/>
      <c r="NFR1997" s="55"/>
      <c r="NFS1997" s="55"/>
      <c r="NFT1997" s="55"/>
      <c r="NFU1997" s="55"/>
      <c r="NFV1997" s="55"/>
      <c r="NFW1997" s="55"/>
      <c r="NFX1997" s="55"/>
      <c r="NFY1997" s="55"/>
      <c r="NFZ1997" s="55"/>
      <c r="NGA1997" s="55"/>
      <c r="NGB1997" s="55"/>
      <c r="NGC1997" s="55"/>
      <c r="NGD1997" s="55"/>
      <c r="NGE1997" s="55"/>
      <c r="NGF1997" s="55"/>
      <c r="NGG1997" s="55"/>
      <c r="NGH1997" s="55"/>
      <c r="NGI1997" s="55"/>
      <c r="NGJ1997" s="55"/>
      <c r="NGK1997" s="55"/>
      <c r="NGL1997" s="55"/>
      <c r="NGM1997" s="55"/>
      <c r="NGN1997" s="55"/>
      <c r="NGO1997" s="55"/>
      <c r="NGP1997" s="55"/>
      <c r="NGQ1997" s="55"/>
      <c r="NGR1997" s="55"/>
      <c r="NGS1997" s="55"/>
      <c r="NGT1997" s="55"/>
      <c r="NGU1997" s="55"/>
      <c r="NGV1997" s="55"/>
      <c r="NGW1997" s="55"/>
      <c r="NGX1997" s="55"/>
      <c r="NGY1997" s="55"/>
      <c r="NGZ1997" s="55"/>
      <c r="NHA1997" s="55"/>
      <c r="NHB1997" s="55"/>
      <c r="NHC1997" s="55"/>
      <c r="NHD1997" s="55"/>
      <c r="NHE1997" s="55"/>
      <c r="NHF1997" s="55"/>
      <c r="NHG1997" s="55"/>
      <c r="NHH1997" s="55"/>
      <c r="NHI1997" s="55"/>
      <c r="NHJ1997" s="55"/>
      <c r="NHK1997" s="55"/>
      <c r="NHL1997" s="55"/>
      <c r="NHM1997" s="55"/>
      <c r="NHN1997" s="55"/>
      <c r="NHO1997" s="55"/>
      <c r="NHP1997" s="55"/>
      <c r="NHQ1997" s="55"/>
      <c r="NHR1997" s="55"/>
      <c r="NHS1997" s="55"/>
      <c r="NHT1997" s="55"/>
      <c r="NHU1997" s="55"/>
      <c r="NHV1997" s="55"/>
      <c r="NHW1997" s="55"/>
      <c r="NHX1997" s="55"/>
      <c r="NHY1997" s="55"/>
      <c r="NHZ1997" s="55"/>
      <c r="NIA1997" s="55"/>
      <c r="NIB1997" s="55"/>
      <c r="NIC1997" s="55"/>
      <c r="NID1997" s="55"/>
      <c r="NIE1997" s="55"/>
      <c r="NIF1997" s="55"/>
      <c r="NIG1997" s="55"/>
      <c r="NIH1997" s="55"/>
      <c r="NII1997" s="55"/>
      <c r="NIJ1997" s="55"/>
      <c r="NIK1997" s="55"/>
      <c r="NIL1997" s="55"/>
      <c r="NIM1997" s="55"/>
      <c r="NIN1997" s="55"/>
      <c r="NIO1997" s="55"/>
      <c r="NIP1997" s="55"/>
      <c r="NIQ1997" s="55"/>
      <c r="NIR1997" s="55"/>
      <c r="NIS1997" s="55"/>
      <c r="NIT1997" s="55"/>
      <c r="NIU1997" s="55"/>
      <c r="NIV1997" s="55"/>
      <c r="NIW1997" s="55"/>
      <c r="NIX1997" s="55"/>
      <c r="NIY1997" s="55"/>
      <c r="NIZ1997" s="55"/>
      <c r="NJA1997" s="55"/>
      <c r="NJB1997" s="55"/>
      <c r="NJC1997" s="55"/>
      <c r="NJD1997" s="55"/>
      <c r="NJE1997" s="55"/>
      <c r="NJF1997" s="55"/>
      <c r="NJG1997" s="55"/>
      <c r="NJH1997" s="55"/>
      <c r="NJI1997" s="55"/>
      <c r="NJJ1997" s="55"/>
      <c r="NJK1997" s="55"/>
      <c r="NJL1997" s="55"/>
      <c r="NJM1997" s="55"/>
      <c r="NJN1997" s="55"/>
      <c r="NJO1997" s="55"/>
      <c r="NJP1997" s="55"/>
      <c r="NJQ1997" s="55"/>
      <c r="NJR1997" s="55"/>
      <c r="NJS1997" s="55"/>
      <c r="NJT1997" s="55"/>
      <c r="NJU1997" s="55"/>
      <c r="NJV1997" s="55"/>
      <c r="NJW1997" s="55"/>
      <c r="NJX1997" s="55"/>
      <c r="NJY1997" s="55"/>
      <c r="NJZ1997" s="55"/>
      <c r="NKA1997" s="55"/>
      <c r="NKB1997" s="55"/>
      <c r="NKC1997" s="55"/>
      <c r="NKD1997" s="55"/>
      <c r="NKE1997" s="55"/>
      <c r="NKF1997" s="55"/>
      <c r="NKG1997" s="55"/>
      <c r="NKH1997" s="55"/>
      <c r="NKI1997" s="55"/>
      <c r="NKJ1997" s="55"/>
      <c r="NKK1997" s="55"/>
      <c r="NKL1997" s="55"/>
      <c r="NKM1997" s="55"/>
      <c r="NKN1997" s="55"/>
      <c r="NKO1997" s="55"/>
      <c r="NKP1997" s="55"/>
      <c r="NKQ1997" s="55"/>
      <c r="NKR1997" s="55"/>
      <c r="NKS1997" s="55"/>
      <c r="NKT1997" s="55"/>
      <c r="NKU1997" s="55"/>
      <c r="NKV1997" s="55"/>
      <c r="NKW1997" s="55"/>
      <c r="NKX1997" s="55"/>
      <c r="NKY1997" s="55"/>
      <c r="NKZ1997" s="55"/>
      <c r="NLA1997" s="55"/>
      <c r="NLB1997" s="55"/>
      <c r="NLC1997" s="55"/>
      <c r="NLD1997" s="55"/>
      <c r="NLE1997" s="55"/>
      <c r="NLF1997" s="55"/>
      <c r="NLG1997" s="55"/>
      <c r="NLH1997" s="55"/>
      <c r="NLI1997" s="55"/>
      <c r="NLJ1997" s="55"/>
      <c r="NLK1997" s="55"/>
      <c r="NLL1997" s="55"/>
      <c r="NLM1997" s="55"/>
      <c r="NLN1997" s="55"/>
      <c r="NLO1997" s="55"/>
      <c r="NLP1997" s="55"/>
      <c r="NLQ1997" s="55"/>
      <c r="NLR1997" s="55"/>
      <c r="NLS1997" s="55"/>
      <c r="NLT1997" s="55"/>
      <c r="NLU1997" s="55"/>
      <c r="NLV1997" s="55"/>
      <c r="NLW1997" s="55"/>
      <c r="NLX1997" s="55"/>
      <c r="NLY1997" s="55"/>
      <c r="NLZ1997" s="55"/>
      <c r="NMA1997" s="55"/>
      <c r="NMB1997" s="55"/>
      <c r="NMC1997" s="55"/>
      <c r="NMD1997" s="55"/>
      <c r="NME1997" s="55"/>
      <c r="NMF1997" s="55"/>
      <c r="NMG1997" s="55"/>
      <c r="NMH1997" s="55"/>
      <c r="NMI1997" s="55"/>
      <c r="NMJ1997" s="55"/>
      <c r="NMK1997" s="55"/>
      <c r="NML1997" s="55"/>
      <c r="NMM1997" s="55"/>
      <c r="NMN1997" s="55"/>
      <c r="NMO1997" s="55"/>
      <c r="NMP1997" s="55"/>
      <c r="NMQ1997" s="55"/>
      <c r="NMR1997" s="55"/>
      <c r="NMS1997" s="55"/>
      <c r="NMT1997" s="55"/>
      <c r="NMU1997" s="55"/>
      <c r="NMV1997" s="55"/>
      <c r="NMW1997" s="55"/>
      <c r="NMX1997" s="55"/>
      <c r="NMY1997" s="55"/>
      <c r="NMZ1997" s="55"/>
      <c r="NNA1997" s="55"/>
      <c r="NNB1997" s="55"/>
      <c r="NNC1997" s="55"/>
      <c r="NND1997" s="55"/>
      <c r="NNE1997" s="55"/>
      <c r="NNF1997" s="55"/>
      <c r="NNG1997" s="55"/>
      <c r="NNH1997" s="55"/>
      <c r="NNI1997" s="55"/>
      <c r="NNJ1997" s="55"/>
      <c r="NNK1997" s="55"/>
      <c r="NNL1997" s="55"/>
      <c r="NNM1997" s="55"/>
      <c r="NNN1997" s="55"/>
      <c r="NNO1997" s="55"/>
      <c r="NNP1997" s="55"/>
      <c r="NNQ1997" s="55"/>
      <c r="NNR1997" s="55"/>
      <c r="NNS1997" s="55"/>
      <c r="NNT1997" s="55"/>
      <c r="NNU1997" s="55"/>
      <c r="NNV1997" s="55"/>
      <c r="NNW1997" s="55"/>
      <c r="NNX1997" s="55"/>
      <c r="NNY1997" s="55"/>
      <c r="NNZ1997" s="55"/>
      <c r="NOA1997" s="55"/>
      <c r="NOB1997" s="55"/>
      <c r="NOC1997" s="55"/>
      <c r="NOD1997" s="55"/>
      <c r="NOE1997" s="55"/>
      <c r="NOF1997" s="55"/>
      <c r="NOG1997" s="55"/>
      <c r="NOH1997" s="55"/>
      <c r="NOI1997" s="55"/>
      <c r="NOJ1997" s="55"/>
      <c r="NOK1997" s="55"/>
      <c r="NOL1997" s="55"/>
      <c r="NOM1997" s="55"/>
      <c r="NON1997" s="55"/>
      <c r="NOO1997" s="55"/>
      <c r="NOP1997" s="55"/>
      <c r="NOQ1997" s="55"/>
      <c r="NOR1997" s="55"/>
      <c r="NOS1997" s="55"/>
      <c r="NOT1997" s="55"/>
      <c r="NOU1997" s="55"/>
      <c r="NOV1997" s="55"/>
      <c r="NOW1997" s="55"/>
      <c r="NOX1997" s="55"/>
      <c r="NOY1997" s="55"/>
      <c r="NOZ1997" s="55"/>
      <c r="NPA1997" s="55"/>
      <c r="NPB1997" s="55"/>
      <c r="NPC1997" s="55"/>
      <c r="NPD1997" s="55"/>
      <c r="NPE1997" s="55"/>
      <c r="NPF1997" s="55"/>
      <c r="NPG1997" s="55"/>
      <c r="NPH1997" s="55"/>
      <c r="NPI1997" s="55"/>
      <c r="NPJ1997" s="55"/>
      <c r="NPK1997" s="55"/>
      <c r="NPL1997" s="55"/>
      <c r="NPM1997" s="55"/>
      <c r="NPN1997" s="55"/>
      <c r="NPO1997" s="55"/>
      <c r="NPP1997" s="55"/>
      <c r="NPQ1997" s="55"/>
      <c r="NPR1997" s="55"/>
      <c r="NPS1997" s="55"/>
      <c r="NPT1997" s="55"/>
      <c r="NPU1997" s="55"/>
      <c r="NPV1997" s="55"/>
      <c r="NPW1997" s="55"/>
      <c r="NPX1997" s="55"/>
      <c r="NPY1997" s="55"/>
      <c r="NPZ1997" s="55"/>
      <c r="NQA1997" s="55"/>
      <c r="NQB1997" s="55"/>
      <c r="NQC1997" s="55"/>
      <c r="NQD1997" s="55"/>
      <c r="NQE1997" s="55"/>
      <c r="NQF1997" s="55"/>
      <c r="NQG1997" s="55"/>
      <c r="NQH1997" s="55"/>
      <c r="NQI1997" s="55"/>
      <c r="NQJ1997" s="55"/>
      <c r="NQK1997" s="55"/>
      <c r="NQL1997" s="55"/>
      <c r="NQM1997" s="55"/>
      <c r="NQN1997" s="55"/>
      <c r="NQO1997" s="55"/>
      <c r="NQP1997" s="55"/>
      <c r="NQQ1997" s="55"/>
      <c r="NQR1997" s="55"/>
      <c r="NQS1997" s="55"/>
      <c r="NQT1997" s="55"/>
      <c r="NQU1997" s="55"/>
      <c r="NQV1997" s="55"/>
      <c r="NQW1997" s="55"/>
      <c r="NQX1997" s="55"/>
      <c r="NQY1997" s="55"/>
      <c r="NQZ1997" s="55"/>
      <c r="NRA1997" s="55"/>
      <c r="NRB1997" s="55"/>
      <c r="NRC1997" s="55"/>
      <c r="NRD1997" s="55"/>
      <c r="NRE1997" s="55"/>
      <c r="NRF1997" s="55"/>
      <c r="NRG1997" s="55"/>
      <c r="NRH1997" s="55"/>
      <c r="NRI1997" s="55"/>
      <c r="NRJ1997" s="55"/>
      <c r="NRK1997" s="55"/>
      <c r="NRL1997" s="55"/>
      <c r="NRM1997" s="55"/>
      <c r="NRN1997" s="55"/>
      <c r="NRO1997" s="55"/>
      <c r="NRP1997" s="55"/>
      <c r="NRQ1997" s="55"/>
      <c r="NRR1997" s="55"/>
      <c r="NRS1997" s="55"/>
      <c r="NRT1997" s="55"/>
      <c r="NRU1997" s="55"/>
      <c r="NRV1997" s="55"/>
      <c r="NRW1997" s="55"/>
      <c r="NRX1997" s="55"/>
      <c r="NRY1997" s="55"/>
      <c r="NRZ1997" s="55"/>
      <c r="NSA1997" s="55"/>
      <c r="NSB1997" s="55"/>
      <c r="NSC1997" s="55"/>
      <c r="NSD1997" s="55"/>
      <c r="NSE1997" s="55"/>
      <c r="NSF1997" s="55"/>
      <c r="NSG1997" s="55"/>
      <c r="NSH1997" s="55"/>
      <c r="NSI1997" s="55"/>
      <c r="NSJ1997" s="55"/>
      <c r="NSK1997" s="55"/>
      <c r="NSL1997" s="55"/>
      <c r="NSM1997" s="55"/>
      <c r="NSN1997" s="55"/>
      <c r="NSO1997" s="55"/>
      <c r="NSP1997" s="55"/>
      <c r="NSQ1997" s="55"/>
      <c r="NSR1997" s="55"/>
      <c r="NSS1997" s="55"/>
      <c r="NST1997" s="55"/>
      <c r="NSU1997" s="55"/>
      <c r="NSV1997" s="55"/>
      <c r="NSW1997" s="55"/>
      <c r="NSX1997" s="55"/>
      <c r="NSY1997" s="55"/>
      <c r="NSZ1997" s="55"/>
      <c r="NTA1997" s="55"/>
      <c r="NTB1997" s="55"/>
      <c r="NTC1997" s="55"/>
      <c r="NTD1997" s="55"/>
      <c r="NTE1997" s="55"/>
      <c r="NTF1997" s="55"/>
      <c r="NTG1997" s="55"/>
      <c r="NTH1997" s="55"/>
      <c r="NTI1997" s="55"/>
      <c r="NTJ1997" s="55"/>
      <c r="NTK1997" s="55"/>
      <c r="NTL1997" s="55"/>
      <c r="NTM1997" s="55"/>
      <c r="NTN1997" s="55"/>
      <c r="NTO1997" s="55"/>
      <c r="NTP1997" s="55"/>
      <c r="NTQ1997" s="55"/>
      <c r="NTR1997" s="55"/>
      <c r="NTS1997" s="55"/>
      <c r="NTT1997" s="55"/>
      <c r="NTU1997" s="55"/>
      <c r="NTV1997" s="55"/>
      <c r="NTW1997" s="55"/>
      <c r="NTX1997" s="55"/>
      <c r="NTY1997" s="55"/>
      <c r="NTZ1997" s="55"/>
      <c r="NUA1997" s="55"/>
      <c r="NUB1997" s="55"/>
      <c r="NUC1997" s="55"/>
      <c r="NUD1997" s="55"/>
      <c r="NUE1997" s="55"/>
      <c r="NUF1997" s="55"/>
      <c r="NUG1997" s="55"/>
      <c r="NUH1997" s="55"/>
      <c r="NUI1997" s="55"/>
      <c r="NUJ1997" s="55"/>
      <c r="NUK1997" s="55"/>
      <c r="NUL1997" s="55"/>
      <c r="NUM1997" s="55"/>
      <c r="NUN1997" s="55"/>
      <c r="NUO1997" s="55"/>
      <c r="NUP1997" s="55"/>
      <c r="NUQ1997" s="55"/>
      <c r="NUR1997" s="55"/>
      <c r="NUS1997" s="55"/>
      <c r="NUT1997" s="55"/>
      <c r="NUU1997" s="55"/>
      <c r="NUV1997" s="55"/>
      <c r="NUW1997" s="55"/>
      <c r="NUX1997" s="55"/>
      <c r="NUY1997" s="55"/>
      <c r="NUZ1997" s="55"/>
      <c r="NVA1997" s="55"/>
      <c r="NVB1997" s="55"/>
      <c r="NVC1997" s="55"/>
      <c r="NVD1997" s="55"/>
      <c r="NVE1997" s="55"/>
      <c r="NVF1997" s="55"/>
      <c r="NVG1997" s="55"/>
      <c r="NVH1997" s="55"/>
      <c r="NVI1997" s="55"/>
      <c r="NVJ1997" s="55"/>
      <c r="NVK1997" s="55"/>
      <c r="NVL1997" s="55"/>
      <c r="NVM1997" s="55"/>
      <c r="NVN1997" s="55"/>
      <c r="NVO1997" s="55"/>
      <c r="NVP1997" s="55"/>
      <c r="NVQ1997" s="55"/>
      <c r="NVR1997" s="55"/>
      <c r="NVS1997" s="55"/>
      <c r="NVT1997" s="55"/>
      <c r="NVU1997" s="55"/>
      <c r="NVV1997" s="55"/>
      <c r="NVW1997" s="55"/>
      <c r="NVX1997" s="55"/>
      <c r="NVY1997" s="55"/>
      <c r="NVZ1997" s="55"/>
      <c r="NWA1997" s="55"/>
      <c r="NWB1997" s="55"/>
      <c r="NWC1997" s="55"/>
      <c r="NWD1997" s="55"/>
      <c r="NWE1997" s="55"/>
      <c r="NWF1997" s="55"/>
      <c r="NWG1997" s="55"/>
      <c r="NWH1997" s="55"/>
      <c r="NWI1997" s="55"/>
      <c r="NWJ1997" s="55"/>
      <c r="NWK1997" s="55"/>
      <c r="NWL1997" s="55"/>
      <c r="NWM1997" s="55"/>
      <c r="NWN1997" s="55"/>
      <c r="NWO1997" s="55"/>
      <c r="NWP1997" s="55"/>
      <c r="NWQ1997" s="55"/>
      <c r="NWR1997" s="55"/>
      <c r="NWS1997" s="55"/>
      <c r="NWT1997" s="55"/>
      <c r="NWU1997" s="55"/>
      <c r="NWV1997" s="55"/>
      <c r="NWW1997" s="55"/>
      <c r="NWX1997" s="55"/>
      <c r="NWY1997" s="55"/>
      <c r="NWZ1997" s="55"/>
      <c r="NXA1997" s="55"/>
      <c r="NXB1997" s="55"/>
      <c r="NXC1997" s="55"/>
      <c r="NXD1997" s="55"/>
      <c r="NXE1997" s="55"/>
      <c r="NXF1997" s="55"/>
      <c r="NXG1997" s="55"/>
      <c r="NXH1997" s="55"/>
      <c r="NXI1997" s="55"/>
      <c r="NXJ1997" s="55"/>
      <c r="NXK1997" s="55"/>
      <c r="NXL1997" s="55"/>
      <c r="NXM1997" s="55"/>
      <c r="NXN1997" s="55"/>
      <c r="NXO1997" s="55"/>
      <c r="NXP1997" s="55"/>
      <c r="NXQ1997" s="55"/>
      <c r="NXR1997" s="55"/>
      <c r="NXS1997" s="55"/>
      <c r="NXT1997" s="55"/>
      <c r="NXU1997" s="55"/>
      <c r="NXV1997" s="55"/>
      <c r="NXW1997" s="55"/>
      <c r="NXX1997" s="55"/>
      <c r="NXY1997" s="55"/>
      <c r="NXZ1997" s="55"/>
      <c r="NYA1997" s="55"/>
      <c r="NYB1997" s="55"/>
      <c r="NYC1997" s="55"/>
      <c r="NYD1997" s="55"/>
      <c r="NYE1997" s="55"/>
      <c r="NYF1997" s="55"/>
      <c r="NYG1997" s="55"/>
      <c r="NYH1997" s="55"/>
      <c r="NYI1997" s="55"/>
      <c r="NYJ1997" s="55"/>
      <c r="NYK1997" s="55"/>
      <c r="NYL1997" s="55"/>
      <c r="NYM1997" s="55"/>
      <c r="NYN1997" s="55"/>
      <c r="NYO1997" s="55"/>
      <c r="NYP1997" s="55"/>
      <c r="NYQ1997" s="55"/>
      <c r="NYR1997" s="55"/>
      <c r="NYS1997" s="55"/>
      <c r="NYT1997" s="55"/>
      <c r="NYU1997" s="55"/>
      <c r="NYV1997" s="55"/>
      <c r="NYW1997" s="55"/>
      <c r="NYX1997" s="55"/>
      <c r="NYY1997" s="55"/>
      <c r="NYZ1997" s="55"/>
      <c r="NZA1997" s="55"/>
      <c r="NZB1997" s="55"/>
      <c r="NZC1997" s="55"/>
      <c r="NZD1997" s="55"/>
      <c r="NZE1997" s="55"/>
      <c r="NZF1997" s="55"/>
      <c r="NZG1997" s="55"/>
      <c r="NZH1997" s="55"/>
      <c r="NZI1997" s="55"/>
      <c r="NZJ1997" s="55"/>
      <c r="NZK1997" s="55"/>
      <c r="NZL1997" s="55"/>
      <c r="NZM1997" s="55"/>
      <c r="NZN1997" s="55"/>
      <c r="NZO1997" s="55"/>
      <c r="NZP1997" s="55"/>
      <c r="NZQ1997" s="55"/>
      <c r="NZR1997" s="55"/>
      <c r="NZS1997" s="55"/>
      <c r="NZT1997" s="55"/>
      <c r="NZU1997" s="55"/>
      <c r="NZV1997" s="55"/>
      <c r="NZW1997" s="55"/>
      <c r="NZX1997" s="55"/>
      <c r="NZY1997" s="55"/>
      <c r="NZZ1997" s="55"/>
      <c r="OAA1997" s="55"/>
      <c r="OAB1997" s="55"/>
      <c r="OAC1997" s="55"/>
      <c r="OAD1997" s="55"/>
      <c r="OAE1997" s="55"/>
      <c r="OAF1997" s="55"/>
      <c r="OAG1997" s="55"/>
      <c r="OAH1997" s="55"/>
      <c r="OAI1997" s="55"/>
      <c r="OAJ1997" s="55"/>
      <c r="OAK1997" s="55"/>
      <c r="OAL1997" s="55"/>
      <c r="OAM1997" s="55"/>
      <c r="OAN1997" s="55"/>
      <c r="OAO1997" s="55"/>
      <c r="OAP1997" s="55"/>
      <c r="OAQ1997" s="55"/>
      <c r="OAR1997" s="55"/>
      <c r="OAS1997" s="55"/>
      <c r="OAT1997" s="55"/>
      <c r="OAU1997" s="55"/>
      <c r="OAV1997" s="55"/>
      <c r="OAW1997" s="55"/>
      <c r="OAX1997" s="55"/>
      <c r="OAY1997" s="55"/>
      <c r="OAZ1997" s="55"/>
      <c r="OBA1997" s="55"/>
      <c r="OBB1997" s="55"/>
      <c r="OBC1997" s="55"/>
      <c r="OBD1997" s="55"/>
      <c r="OBE1997" s="55"/>
      <c r="OBF1997" s="55"/>
      <c r="OBG1997" s="55"/>
      <c r="OBH1997" s="55"/>
      <c r="OBI1997" s="55"/>
      <c r="OBJ1997" s="55"/>
      <c r="OBK1997" s="55"/>
      <c r="OBL1997" s="55"/>
      <c r="OBM1997" s="55"/>
      <c r="OBN1997" s="55"/>
      <c r="OBO1997" s="55"/>
      <c r="OBP1997" s="55"/>
      <c r="OBQ1997" s="55"/>
      <c r="OBR1997" s="55"/>
      <c r="OBS1997" s="55"/>
      <c r="OBT1997" s="55"/>
      <c r="OBU1997" s="55"/>
      <c r="OBV1997" s="55"/>
      <c r="OBW1997" s="55"/>
      <c r="OBX1997" s="55"/>
      <c r="OBY1997" s="55"/>
      <c r="OBZ1997" s="55"/>
      <c r="OCA1997" s="55"/>
      <c r="OCB1997" s="55"/>
      <c r="OCC1997" s="55"/>
      <c r="OCD1997" s="55"/>
      <c r="OCE1997" s="55"/>
      <c r="OCF1997" s="55"/>
      <c r="OCG1997" s="55"/>
      <c r="OCH1997" s="55"/>
      <c r="OCI1997" s="55"/>
      <c r="OCJ1997" s="55"/>
      <c r="OCK1997" s="55"/>
      <c r="OCL1997" s="55"/>
      <c r="OCM1997" s="55"/>
      <c r="OCN1997" s="55"/>
      <c r="OCO1997" s="55"/>
      <c r="OCP1997" s="55"/>
      <c r="OCQ1997" s="55"/>
      <c r="OCR1997" s="55"/>
      <c r="OCS1997" s="55"/>
      <c r="OCT1997" s="55"/>
      <c r="OCU1997" s="55"/>
      <c r="OCV1997" s="55"/>
      <c r="OCW1997" s="55"/>
      <c r="OCX1997" s="55"/>
      <c r="OCY1997" s="55"/>
      <c r="OCZ1997" s="55"/>
      <c r="ODA1997" s="55"/>
      <c r="ODB1997" s="55"/>
      <c r="ODC1997" s="55"/>
      <c r="ODD1997" s="55"/>
      <c r="ODE1997" s="55"/>
      <c r="ODF1997" s="55"/>
      <c r="ODG1997" s="55"/>
      <c r="ODH1997" s="55"/>
      <c r="ODI1997" s="55"/>
      <c r="ODJ1997" s="55"/>
      <c r="ODK1997" s="55"/>
      <c r="ODL1997" s="55"/>
      <c r="ODM1997" s="55"/>
      <c r="ODN1997" s="55"/>
      <c r="ODO1997" s="55"/>
      <c r="ODP1997" s="55"/>
      <c r="ODQ1997" s="55"/>
      <c r="ODR1997" s="55"/>
      <c r="ODS1997" s="55"/>
      <c r="ODT1997" s="55"/>
      <c r="ODU1997" s="55"/>
      <c r="ODV1997" s="55"/>
      <c r="ODW1997" s="55"/>
      <c r="ODX1997" s="55"/>
      <c r="ODY1997" s="55"/>
      <c r="ODZ1997" s="55"/>
      <c r="OEA1997" s="55"/>
      <c r="OEB1997" s="55"/>
      <c r="OEC1997" s="55"/>
      <c r="OED1997" s="55"/>
      <c r="OEE1997" s="55"/>
      <c r="OEF1997" s="55"/>
      <c r="OEG1997" s="55"/>
      <c r="OEH1997" s="55"/>
      <c r="OEI1997" s="55"/>
      <c r="OEJ1997" s="55"/>
      <c r="OEK1997" s="55"/>
      <c r="OEL1997" s="55"/>
      <c r="OEM1997" s="55"/>
      <c r="OEN1997" s="55"/>
      <c r="OEO1997" s="55"/>
      <c r="OEP1997" s="55"/>
      <c r="OEQ1997" s="55"/>
      <c r="OER1997" s="55"/>
      <c r="OES1997" s="55"/>
      <c r="OET1997" s="55"/>
      <c r="OEU1997" s="55"/>
      <c r="OEV1997" s="55"/>
      <c r="OEW1997" s="55"/>
      <c r="OEX1997" s="55"/>
      <c r="OEY1997" s="55"/>
      <c r="OEZ1997" s="55"/>
      <c r="OFA1997" s="55"/>
      <c r="OFB1997" s="55"/>
      <c r="OFC1997" s="55"/>
      <c r="OFD1997" s="55"/>
      <c r="OFE1997" s="55"/>
      <c r="OFF1997" s="55"/>
      <c r="OFG1997" s="55"/>
      <c r="OFH1997" s="55"/>
      <c r="OFI1997" s="55"/>
      <c r="OFJ1997" s="55"/>
      <c r="OFK1997" s="55"/>
      <c r="OFL1997" s="55"/>
      <c r="OFM1997" s="55"/>
      <c r="OFN1997" s="55"/>
      <c r="OFO1997" s="55"/>
      <c r="OFP1997" s="55"/>
      <c r="OFQ1997" s="55"/>
      <c r="OFR1997" s="55"/>
      <c r="OFS1997" s="55"/>
      <c r="OFT1997" s="55"/>
      <c r="OFU1997" s="55"/>
      <c r="OFV1997" s="55"/>
      <c r="OFW1997" s="55"/>
      <c r="OFX1997" s="55"/>
      <c r="OFY1997" s="55"/>
      <c r="OFZ1997" s="55"/>
      <c r="OGA1997" s="55"/>
      <c r="OGB1997" s="55"/>
      <c r="OGC1997" s="55"/>
      <c r="OGD1997" s="55"/>
      <c r="OGE1997" s="55"/>
      <c r="OGF1997" s="55"/>
      <c r="OGG1997" s="55"/>
      <c r="OGH1997" s="55"/>
      <c r="OGI1997" s="55"/>
      <c r="OGJ1997" s="55"/>
      <c r="OGK1997" s="55"/>
      <c r="OGL1997" s="55"/>
      <c r="OGM1997" s="55"/>
      <c r="OGN1997" s="55"/>
      <c r="OGO1997" s="55"/>
      <c r="OGP1997" s="55"/>
      <c r="OGQ1997" s="55"/>
      <c r="OGR1997" s="55"/>
      <c r="OGS1997" s="55"/>
      <c r="OGT1997" s="55"/>
      <c r="OGU1997" s="55"/>
      <c r="OGV1997" s="55"/>
      <c r="OGW1997" s="55"/>
      <c r="OGX1997" s="55"/>
      <c r="OGY1997" s="55"/>
      <c r="OGZ1997" s="55"/>
      <c r="OHA1997" s="55"/>
      <c r="OHB1997" s="55"/>
      <c r="OHC1997" s="55"/>
      <c r="OHD1997" s="55"/>
      <c r="OHE1997" s="55"/>
      <c r="OHF1997" s="55"/>
      <c r="OHG1997" s="55"/>
      <c r="OHH1997" s="55"/>
      <c r="OHI1997" s="55"/>
      <c r="OHJ1997" s="55"/>
      <c r="OHK1997" s="55"/>
      <c r="OHL1997" s="55"/>
      <c r="OHM1997" s="55"/>
      <c r="OHN1997" s="55"/>
      <c r="OHO1997" s="55"/>
      <c r="OHP1997" s="55"/>
      <c r="OHQ1997" s="55"/>
      <c r="OHR1997" s="55"/>
      <c r="OHS1997" s="55"/>
      <c r="OHT1997" s="55"/>
      <c r="OHU1997" s="55"/>
      <c r="OHV1997" s="55"/>
      <c r="OHW1997" s="55"/>
      <c r="OHX1997" s="55"/>
      <c r="OHY1997" s="55"/>
      <c r="OHZ1997" s="55"/>
      <c r="OIA1997" s="55"/>
      <c r="OIB1997" s="55"/>
      <c r="OIC1997" s="55"/>
      <c r="OID1997" s="55"/>
      <c r="OIE1997" s="55"/>
      <c r="OIF1997" s="55"/>
      <c r="OIG1997" s="55"/>
      <c r="OIH1997" s="55"/>
      <c r="OII1997" s="55"/>
      <c r="OIJ1997" s="55"/>
      <c r="OIK1997" s="55"/>
      <c r="OIL1997" s="55"/>
      <c r="OIM1997" s="55"/>
      <c r="OIN1997" s="55"/>
      <c r="OIO1997" s="55"/>
      <c r="OIP1997" s="55"/>
      <c r="OIQ1997" s="55"/>
      <c r="OIR1997" s="55"/>
      <c r="OIS1997" s="55"/>
      <c r="OIT1997" s="55"/>
      <c r="OIU1997" s="55"/>
      <c r="OIV1997" s="55"/>
      <c r="OIW1997" s="55"/>
      <c r="OIX1997" s="55"/>
      <c r="OIY1997" s="55"/>
      <c r="OIZ1997" s="55"/>
      <c r="OJA1997" s="55"/>
      <c r="OJB1997" s="55"/>
      <c r="OJC1997" s="55"/>
      <c r="OJD1997" s="55"/>
      <c r="OJE1997" s="55"/>
      <c r="OJF1997" s="55"/>
      <c r="OJG1997" s="55"/>
      <c r="OJH1997" s="55"/>
      <c r="OJI1997" s="55"/>
      <c r="OJJ1997" s="55"/>
      <c r="OJK1997" s="55"/>
      <c r="OJL1997" s="55"/>
      <c r="OJM1997" s="55"/>
      <c r="OJN1997" s="55"/>
      <c r="OJO1997" s="55"/>
      <c r="OJP1997" s="55"/>
      <c r="OJQ1997" s="55"/>
      <c r="OJR1997" s="55"/>
      <c r="OJS1997" s="55"/>
      <c r="OJT1997" s="55"/>
      <c r="OJU1997" s="55"/>
      <c r="OJV1997" s="55"/>
      <c r="OJW1997" s="55"/>
      <c r="OJX1997" s="55"/>
      <c r="OJY1997" s="55"/>
      <c r="OJZ1997" s="55"/>
      <c r="OKA1997" s="55"/>
      <c r="OKB1997" s="55"/>
      <c r="OKC1997" s="55"/>
      <c r="OKD1997" s="55"/>
      <c r="OKE1997" s="55"/>
      <c r="OKF1997" s="55"/>
      <c r="OKG1997" s="55"/>
      <c r="OKH1997" s="55"/>
      <c r="OKI1997" s="55"/>
      <c r="OKJ1997" s="55"/>
      <c r="OKK1997" s="55"/>
      <c r="OKL1997" s="55"/>
      <c r="OKM1997" s="55"/>
      <c r="OKN1997" s="55"/>
      <c r="OKO1997" s="55"/>
      <c r="OKP1997" s="55"/>
      <c r="OKQ1997" s="55"/>
      <c r="OKR1997" s="55"/>
      <c r="OKS1997" s="55"/>
      <c r="OKT1997" s="55"/>
      <c r="OKU1997" s="55"/>
      <c r="OKV1997" s="55"/>
      <c r="OKW1997" s="55"/>
      <c r="OKX1997" s="55"/>
      <c r="OKY1997" s="55"/>
      <c r="OKZ1997" s="55"/>
      <c r="OLA1997" s="55"/>
      <c r="OLB1997" s="55"/>
      <c r="OLC1997" s="55"/>
      <c r="OLD1997" s="55"/>
      <c r="OLE1997" s="55"/>
      <c r="OLF1997" s="55"/>
      <c r="OLG1997" s="55"/>
      <c r="OLH1997" s="55"/>
      <c r="OLI1997" s="55"/>
      <c r="OLJ1997" s="55"/>
      <c r="OLK1997" s="55"/>
      <c r="OLL1997" s="55"/>
      <c r="OLM1997" s="55"/>
      <c r="OLN1997" s="55"/>
      <c r="OLO1997" s="55"/>
      <c r="OLP1997" s="55"/>
      <c r="OLQ1997" s="55"/>
      <c r="OLR1997" s="55"/>
      <c r="OLS1997" s="55"/>
      <c r="OLT1997" s="55"/>
      <c r="OLU1997" s="55"/>
      <c r="OLV1997" s="55"/>
      <c r="OLW1997" s="55"/>
      <c r="OLX1997" s="55"/>
      <c r="OLY1997" s="55"/>
      <c r="OLZ1997" s="55"/>
      <c r="OMA1997" s="55"/>
      <c r="OMB1997" s="55"/>
      <c r="OMC1997" s="55"/>
      <c r="OMD1997" s="55"/>
      <c r="OME1997" s="55"/>
      <c r="OMF1997" s="55"/>
      <c r="OMG1997" s="55"/>
      <c r="OMH1997" s="55"/>
      <c r="OMI1997" s="55"/>
      <c r="OMJ1997" s="55"/>
      <c r="OMK1997" s="55"/>
      <c r="OML1997" s="55"/>
      <c r="OMM1997" s="55"/>
      <c r="OMN1997" s="55"/>
      <c r="OMO1997" s="55"/>
      <c r="OMP1997" s="55"/>
      <c r="OMQ1997" s="55"/>
      <c r="OMR1997" s="55"/>
      <c r="OMS1997" s="55"/>
      <c r="OMT1997" s="55"/>
      <c r="OMU1997" s="55"/>
      <c r="OMV1997" s="55"/>
      <c r="OMW1997" s="55"/>
      <c r="OMX1997" s="55"/>
      <c r="OMY1997" s="55"/>
      <c r="OMZ1997" s="55"/>
      <c r="ONA1997" s="55"/>
      <c r="ONB1997" s="55"/>
      <c r="ONC1997" s="55"/>
      <c r="OND1997" s="55"/>
      <c r="ONE1997" s="55"/>
      <c r="ONF1997" s="55"/>
      <c r="ONG1997" s="55"/>
      <c r="ONH1997" s="55"/>
      <c r="ONI1997" s="55"/>
      <c r="ONJ1997" s="55"/>
      <c r="ONK1997" s="55"/>
      <c r="ONL1997" s="55"/>
      <c r="ONM1997" s="55"/>
      <c r="ONN1997" s="55"/>
      <c r="ONO1997" s="55"/>
      <c r="ONP1997" s="55"/>
      <c r="ONQ1997" s="55"/>
      <c r="ONR1997" s="55"/>
      <c r="ONS1997" s="55"/>
      <c r="ONT1997" s="55"/>
      <c r="ONU1997" s="55"/>
      <c r="ONV1997" s="55"/>
      <c r="ONW1997" s="55"/>
      <c r="ONX1997" s="55"/>
      <c r="ONY1997" s="55"/>
      <c r="ONZ1997" s="55"/>
      <c r="OOA1997" s="55"/>
      <c r="OOB1997" s="55"/>
      <c r="OOC1997" s="55"/>
      <c r="OOD1997" s="55"/>
      <c r="OOE1997" s="55"/>
      <c r="OOF1997" s="55"/>
      <c r="OOG1997" s="55"/>
      <c r="OOH1997" s="55"/>
      <c r="OOI1997" s="55"/>
      <c r="OOJ1997" s="55"/>
      <c r="OOK1997" s="55"/>
      <c r="OOL1997" s="55"/>
      <c r="OOM1997" s="55"/>
      <c r="OON1997" s="55"/>
      <c r="OOO1997" s="55"/>
      <c r="OOP1997" s="55"/>
      <c r="OOQ1997" s="55"/>
      <c r="OOR1997" s="55"/>
      <c r="OOS1997" s="55"/>
      <c r="OOT1997" s="55"/>
      <c r="OOU1997" s="55"/>
      <c r="OOV1997" s="55"/>
      <c r="OOW1997" s="55"/>
      <c r="OOX1997" s="55"/>
      <c r="OOY1997" s="55"/>
      <c r="OOZ1997" s="55"/>
      <c r="OPA1997" s="55"/>
      <c r="OPB1997" s="55"/>
      <c r="OPC1997" s="55"/>
      <c r="OPD1997" s="55"/>
      <c r="OPE1997" s="55"/>
      <c r="OPF1997" s="55"/>
      <c r="OPG1997" s="55"/>
      <c r="OPH1997" s="55"/>
      <c r="OPI1997" s="55"/>
      <c r="OPJ1997" s="55"/>
      <c r="OPK1997" s="55"/>
      <c r="OPL1997" s="55"/>
      <c r="OPM1997" s="55"/>
      <c r="OPN1997" s="55"/>
      <c r="OPO1997" s="55"/>
      <c r="OPP1997" s="55"/>
      <c r="OPQ1997" s="55"/>
      <c r="OPR1997" s="55"/>
      <c r="OPS1997" s="55"/>
      <c r="OPT1997" s="55"/>
      <c r="OPU1997" s="55"/>
      <c r="OPV1997" s="55"/>
      <c r="OPW1997" s="55"/>
      <c r="OPX1997" s="55"/>
      <c r="OPY1997" s="55"/>
      <c r="OPZ1997" s="55"/>
      <c r="OQA1997" s="55"/>
      <c r="OQB1997" s="55"/>
      <c r="OQC1997" s="55"/>
      <c r="OQD1997" s="55"/>
      <c r="OQE1997" s="55"/>
      <c r="OQF1997" s="55"/>
      <c r="OQG1997" s="55"/>
      <c r="OQH1997" s="55"/>
      <c r="OQI1997" s="55"/>
      <c r="OQJ1997" s="55"/>
      <c r="OQK1997" s="55"/>
      <c r="OQL1997" s="55"/>
      <c r="OQM1997" s="55"/>
      <c r="OQN1997" s="55"/>
      <c r="OQO1997" s="55"/>
      <c r="OQP1997" s="55"/>
      <c r="OQQ1997" s="55"/>
      <c r="OQR1997" s="55"/>
      <c r="OQS1997" s="55"/>
      <c r="OQT1997" s="55"/>
      <c r="OQU1997" s="55"/>
      <c r="OQV1997" s="55"/>
      <c r="OQW1997" s="55"/>
      <c r="OQX1997" s="55"/>
      <c r="OQY1997" s="55"/>
      <c r="OQZ1997" s="55"/>
      <c r="ORA1997" s="55"/>
      <c r="ORB1997" s="55"/>
      <c r="ORC1997" s="55"/>
      <c r="ORD1997" s="55"/>
      <c r="ORE1997" s="55"/>
      <c r="ORF1997" s="55"/>
      <c r="ORG1997" s="55"/>
      <c r="ORH1997" s="55"/>
      <c r="ORI1997" s="55"/>
      <c r="ORJ1997" s="55"/>
      <c r="ORK1997" s="55"/>
      <c r="ORL1997" s="55"/>
      <c r="ORM1997" s="55"/>
      <c r="ORN1997" s="55"/>
      <c r="ORO1997" s="55"/>
      <c r="ORP1997" s="55"/>
      <c r="ORQ1997" s="55"/>
      <c r="ORR1997" s="55"/>
      <c r="ORS1997" s="55"/>
      <c r="ORT1997" s="55"/>
      <c r="ORU1997" s="55"/>
      <c r="ORV1997" s="55"/>
      <c r="ORW1997" s="55"/>
      <c r="ORX1997" s="55"/>
      <c r="ORY1997" s="55"/>
      <c r="ORZ1997" s="55"/>
      <c r="OSA1997" s="55"/>
      <c r="OSB1997" s="55"/>
      <c r="OSC1997" s="55"/>
      <c r="OSD1997" s="55"/>
      <c r="OSE1997" s="55"/>
      <c r="OSF1997" s="55"/>
      <c r="OSG1997" s="55"/>
      <c r="OSH1997" s="55"/>
      <c r="OSI1997" s="55"/>
      <c r="OSJ1997" s="55"/>
      <c r="OSK1997" s="55"/>
      <c r="OSL1997" s="55"/>
      <c r="OSM1997" s="55"/>
      <c r="OSN1997" s="55"/>
      <c r="OSO1997" s="55"/>
      <c r="OSP1997" s="55"/>
      <c r="OSQ1997" s="55"/>
      <c r="OSR1997" s="55"/>
      <c r="OSS1997" s="55"/>
      <c r="OST1997" s="55"/>
      <c r="OSU1997" s="55"/>
      <c r="OSV1997" s="55"/>
      <c r="OSW1997" s="55"/>
      <c r="OSX1997" s="55"/>
      <c r="OSY1997" s="55"/>
      <c r="OSZ1997" s="55"/>
      <c r="OTA1997" s="55"/>
      <c r="OTB1997" s="55"/>
      <c r="OTC1997" s="55"/>
      <c r="OTD1997" s="55"/>
      <c r="OTE1997" s="55"/>
      <c r="OTF1997" s="55"/>
      <c r="OTG1997" s="55"/>
      <c r="OTH1997" s="55"/>
      <c r="OTI1997" s="55"/>
      <c r="OTJ1997" s="55"/>
      <c r="OTK1997" s="55"/>
      <c r="OTL1997" s="55"/>
      <c r="OTM1997" s="55"/>
      <c r="OTN1997" s="55"/>
      <c r="OTO1997" s="55"/>
      <c r="OTP1997" s="55"/>
      <c r="OTQ1997" s="55"/>
      <c r="OTR1997" s="55"/>
      <c r="OTS1997" s="55"/>
      <c r="OTT1997" s="55"/>
      <c r="OTU1997" s="55"/>
      <c r="OTV1997" s="55"/>
      <c r="OTW1997" s="55"/>
      <c r="OTX1997" s="55"/>
      <c r="OTY1997" s="55"/>
      <c r="OTZ1997" s="55"/>
      <c r="OUA1997" s="55"/>
      <c r="OUB1997" s="55"/>
      <c r="OUC1997" s="55"/>
      <c r="OUD1997" s="55"/>
      <c r="OUE1997" s="55"/>
      <c r="OUF1997" s="55"/>
      <c r="OUG1997" s="55"/>
      <c r="OUH1997" s="55"/>
      <c r="OUI1997" s="55"/>
      <c r="OUJ1997" s="55"/>
      <c r="OUK1997" s="55"/>
      <c r="OUL1997" s="55"/>
      <c r="OUM1997" s="55"/>
      <c r="OUN1997" s="55"/>
      <c r="OUO1997" s="55"/>
      <c r="OUP1997" s="55"/>
      <c r="OUQ1997" s="55"/>
      <c r="OUR1997" s="55"/>
      <c r="OUS1997" s="55"/>
      <c r="OUT1997" s="55"/>
      <c r="OUU1997" s="55"/>
      <c r="OUV1997" s="55"/>
      <c r="OUW1997" s="55"/>
      <c r="OUX1997" s="55"/>
      <c r="OUY1997" s="55"/>
      <c r="OUZ1997" s="55"/>
      <c r="OVA1997" s="55"/>
      <c r="OVB1997" s="55"/>
      <c r="OVC1997" s="55"/>
      <c r="OVD1997" s="55"/>
      <c r="OVE1997" s="55"/>
      <c r="OVF1997" s="55"/>
      <c r="OVG1997" s="55"/>
      <c r="OVH1997" s="55"/>
      <c r="OVI1997" s="55"/>
      <c r="OVJ1997" s="55"/>
      <c r="OVK1997" s="55"/>
      <c r="OVL1997" s="55"/>
      <c r="OVM1997" s="55"/>
      <c r="OVN1997" s="55"/>
      <c r="OVO1997" s="55"/>
      <c r="OVP1997" s="55"/>
      <c r="OVQ1997" s="55"/>
      <c r="OVR1997" s="55"/>
      <c r="OVS1997" s="55"/>
      <c r="OVT1997" s="55"/>
      <c r="OVU1997" s="55"/>
      <c r="OVV1997" s="55"/>
      <c r="OVW1997" s="55"/>
      <c r="OVX1997" s="55"/>
      <c r="OVY1997" s="55"/>
      <c r="OVZ1997" s="55"/>
      <c r="OWA1997" s="55"/>
      <c r="OWB1997" s="55"/>
      <c r="OWC1997" s="55"/>
      <c r="OWD1997" s="55"/>
      <c r="OWE1997" s="55"/>
      <c r="OWF1997" s="55"/>
      <c r="OWG1997" s="55"/>
      <c r="OWH1997" s="55"/>
      <c r="OWI1997" s="55"/>
      <c r="OWJ1997" s="55"/>
      <c r="OWK1997" s="55"/>
      <c r="OWL1997" s="55"/>
      <c r="OWM1997" s="55"/>
      <c r="OWN1997" s="55"/>
      <c r="OWO1997" s="55"/>
      <c r="OWP1997" s="55"/>
      <c r="OWQ1997" s="55"/>
      <c r="OWR1997" s="55"/>
      <c r="OWS1997" s="55"/>
      <c r="OWT1997" s="55"/>
      <c r="OWU1997" s="55"/>
      <c r="OWV1997" s="55"/>
      <c r="OWW1997" s="55"/>
      <c r="OWX1997" s="55"/>
      <c r="OWY1997" s="55"/>
      <c r="OWZ1997" s="55"/>
      <c r="OXA1997" s="55"/>
      <c r="OXB1997" s="55"/>
      <c r="OXC1997" s="55"/>
      <c r="OXD1997" s="55"/>
      <c r="OXE1997" s="55"/>
      <c r="OXF1997" s="55"/>
      <c r="OXG1997" s="55"/>
      <c r="OXH1997" s="55"/>
      <c r="OXI1997" s="55"/>
      <c r="OXJ1997" s="55"/>
      <c r="OXK1997" s="55"/>
      <c r="OXL1997" s="55"/>
      <c r="OXM1997" s="55"/>
      <c r="OXN1997" s="55"/>
      <c r="OXO1997" s="55"/>
      <c r="OXP1997" s="55"/>
      <c r="OXQ1997" s="55"/>
      <c r="OXR1997" s="55"/>
      <c r="OXS1997" s="55"/>
      <c r="OXT1997" s="55"/>
      <c r="OXU1997" s="55"/>
      <c r="OXV1997" s="55"/>
      <c r="OXW1997" s="55"/>
      <c r="OXX1997" s="55"/>
      <c r="OXY1997" s="55"/>
      <c r="OXZ1997" s="55"/>
      <c r="OYA1997" s="55"/>
      <c r="OYB1997" s="55"/>
      <c r="OYC1997" s="55"/>
      <c r="OYD1997" s="55"/>
      <c r="OYE1997" s="55"/>
      <c r="OYF1997" s="55"/>
      <c r="OYG1997" s="55"/>
      <c r="OYH1997" s="55"/>
      <c r="OYI1997" s="55"/>
      <c r="OYJ1997" s="55"/>
      <c r="OYK1997" s="55"/>
      <c r="OYL1997" s="55"/>
      <c r="OYM1997" s="55"/>
      <c r="OYN1997" s="55"/>
      <c r="OYO1997" s="55"/>
      <c r="OYP1997" s="55"/>
      <c r="OYQ1997" s="55"/>
      <c r="OYR1997" s="55"/>
      <c r="OYS1997" s="55"/>
      <c r="OYT1997" s="55"/>
      <c r="OYU1997" s="55"/>
      <c r="OYV1997" s="55"/>
      <c r="OYW1997" s="55"/>
      <c r="OYX1997" s="55"/>
      <c r="OYY1997" s="55"/>
      <c r="OYZ1997" s="55"/>
      <c r="OZA1997" s="55"/>
      <c r="OZB1997" s="55"/>
      <c r="OZC1997" s="55"/>
      <c r="OZD1997" s="55"/>
      <c r="OZE1997" s="55"/>
      <c r="OZF1997" s="55"/>
      <c r="OZG1997" s="55"/>
      <c r="OZH1997" s="55"/>
      <c r="OZI1997" s="55"/>
      <c r="OZJ1997" s="55"/>
      <c r="OZK1997" s="55"/>
      <c r="OZL1997" s="55"/>
      <c r="OZM1997" s="55"/>
      <c r="OZN1997" s="55"/>
      <c r="OZO1997" s="55"/>
      <c r="OZP1997" s="55"/>
      <c r="OZQ1997" s="55"/>
      <c r="OZR1997" s="55"/>
      <c r="OZS1997" s="55"/>
      <c r="OZT1997" s="55"/>
      <c r="OZU1997" s="55"/>
      <c r="OZV1997" s="55"/>
      <c r="OZW1997" s="55"/>
      <c r="OZX1997" s="55"/>
      <c r="OZY1997" s="55"/>
      <c r="OZZ1997" s="55"/>
      <c r="PAA1997" s="55"/>
      <c r="PAB1997" s="55"/>
      <c r="PAC1997" s="55"/>
      <c r="PAD1997" s="55"/>
      <c r="PAE1997" s="55"/>
      <c r="PAF1997" s="55"/>
      <c r="PAG1997" s="55"/>
      <c r="PAH1997" s="55"/>
      <c r="PAI1997" s="55"/>
      <c r="PAJ1997" s="55"/>
      <c r="PAK1997" s="55"/>
      <c r="PAL1997" s="55"/>
      <c r="PAM1997" s="55"/>
      <c r="PAN1997" s="55"/>
      <c r="PAO1997" s="55"/>
      <c r="PAP1997" s="55"/>
      <c r="PAQ1997" s="55"/>
      <c r="PAR1997" s="55"/>
      <c r="PAS1997" s="55"/>
      <c r="PAT1997" s="55"/>
      <c r="PAU1997" s="55"/>
      <c r="PAV1997" s="55"/>
      <c r="PAW1997" s="55"/>
      <c r="PAX1997" s="55"/>
      <c r="PAY1997" s="55"/>
      <c r="PAZ1997" s="55"/>
      <c r="PBA1997" s="55"/>
      <c r="PBB1997" s="55"/>
      <c r="PBC1997" s="55"/>
      <c r="PBD1997" s="55"/>
      <c r="PBE1997" s="55"/>
      <c r="PBF1997" s="55"/>
      <c r="PBG1997" s="55"/>
      <c r="PBH1997" s="55"/>
      <c r="PBI1997" s="55"/>
      <c r="PBJ1997" s="55"/>
      <c r="PBK1997" s="55"/>
      <c r="PBL1997" s="55"/>
      <c r="PBM1997" s="55"/>
      <c r="PBN1997" s="55"/>
      <c r="PBO1997" s="55"/>
      <c r="PBP1997" s="55"/>
      <c r="PBQ1997" s="55"/>
      <c r="PBR1997" s="55"/>
      <c r="PBS1997" s="55"/>
      <c r="PBT1997" s="55"/>
      <c r="PBU1997" s="55"/>
      <c r="PBV1997" s="55"/>
      <c r="PBW1997" s="55"/>
      <c r="PBX1997" s="55"/>
      <c r="PBY1997" s="55"/>
      <c r="PBZ1997" s="55"/>
      <c r="PCA1997" s="55"/>
      <c r="PCB1997" s="55"/>
      <c r="PCC1997" s="55"/>
      <c r="PCD1997" s="55"/>
      <c r="PCE1997" s="55"/>
      <c r="PCF1997" s="55"/>
      <c r="PCG1997" s="55"/>
      <c r="PCH1997" s="55"/>
      <c r="PCI1997" s="55"/>
      <c r="PCJ1997" s="55"/>
      <c r="PCK1997" s="55"/>
      <c r="PCL1997" s="55"/>
      <c r="PCM1997" s="55"/>
      <c r="PCN1997" s="55"/>
      <c r="PCO1997" s="55"/>
      <c r="PCP1997" s="55"/>
      <c r="PCQ1997" s="55"/>
      <c r="PCR1997" s="55"/>
      <c r="PCS1997" s="55"/>
      <c r="PCT1997" s="55"/>
      <c r="PCU1997" s="55"/>
      <c r="PCV1997" s="55"/>
      <c r="PCW1997" s="55"/>
      <c r="PCX1997" s="55"/>
      <c r="PCY1997" s="55"/>
      <c r="PCZ1997" s="55"/>
      <c r="PDA1997" s="55"/>
      <c r="PDB1997" s="55"/>
      <c r="PDC1997" s="55"/>
      <c r="PDD1997" s="55"/>
      <c r="PDE1997" s="55"/>
      <c r="PDF1997" s="55"/>
      <c r="PDG1997" s="55"/>
      <c r="PDH1997" s="55"/>
      <c r="PDI1997" s="55"/>
      <c r="PDJ1997" s="55"/>
      <c r="PDK1997" s="55"/>
      <c r="PDL1997" s="55"/>
      <c r="PDM1997" s="55"/>
      <c r="PDN1997" s="55"/>
      <c r="PDO1997" s="55"/>
      <c r="PDP1997" s="55"/>
      <c r="PDQ1997" s="55"/>
      <c r="PDR1997" s="55"/>
      <c r="PDS1997" s="55"/>
      <c r="PDT1997" s="55"/>
      <c r="PDU1997" s="55"/>
      <c r="PDV1997" s="55"/>
      <c r="PDW1997" s="55"/>
      <c r="PDX1997" s="55"/>
      <c r="PDY1997" s="55"/>
      <c r="PDZ1997" s="55"/>
      <c r="PEA1997" s="55"/>
      <c r="PEB1997" s="55"/>
      <c r="PEC1997" s="55"/>
      <c r="PED1997" s="55"/>
      <c r="PEE1997" s="55"/>
      <c r="PEF1997" s="55"/>
      <c r="PEG1997" s="55"/>
      <c r="PEH1997" s="55"/>
      <c r="PEI1997" s="55"/>
      <c r="PEJ1997" s="55"/>
      <c r="PEK1997" s="55"/>
      <c r="PEL1997" s="55"/>
      <c r="PEM1997" s="55"/>
      <c r="PEN1997" s="55"/>
      <c r="PEO1997" s="55"/>
      <c r="PEP1997" s="55"/>
      <c r="PEQ1997" s="55"/>
      <c r="PER1997" s="55"/>
      <c r="PES1997" s="55"/>
      <c r="PET1997" s="55"/>
      <c r="PEU1997" s="55"/>
      <c r="PEV1997" s="55"/>
      <c r="PEW1997" s="55"/>
      <c r="PEX1997" s="55"/>
      <c r="PEY1997" s="55"/>
      <c r="PEZ1997" s="55"/>
      <c r="PFA1997" s="55"/>
      <c r="PFB1997" s="55"/>
      <c r="PFC1997" s="55"/>
      <c r="PFD1997" s="55"/>
      <c r="PFE1997" s="55"/>
      <c r="PFF1997" s="55"/>
      <c r="PFG1997" s="55"/>
      <c r="PFH1997" s="55"/>
      <c r="PFI1997" s="55"/>
      <c r="PFJ1997" s="55"/>
      <c r="PFK1997" s="55"/>
      <c r="PFL1997" s="55"/>
      <c r="PFM1997" s="55"/>
      <c r="PFN1997" s="55"/>
      <c r="PFO1997" s="55"/>
      <c r="PFP1997" s="55"/>
      <c r="PFQ1997" s="55"/>
      <c r="PFR1997" s="55"/>
      <c r="PFS1997" s="55"/>
      <c r="PFT1997" s="55"/>
      <c r="PFU1997" s="55"/>
      <c r="PFV1997" s="55"/>
      <c r="PFW1997" s="55"/>
      <c r="PFX1997" s="55"/>
      <c r="PFY1997" s="55"/>
      <c r="PFZ1997" s="55"/>
      <c r="PGA1997" s="55"/>
      <c r="PGB1997" s="55"/>
      <c r="PGC1997" s="55"/>
      <c r="PGD1997" s="55"/>
      <c r="PGE1997" s="55"/>
      <c r="PGF1997" s="55"/>
      <c r="PGG1997" s="55"/>
      <c r="PGH1997" s="55"/>
      <c r="PGI1997" s="55"/>
      <c r="PGJ1997" s="55"/>
      <c r="PGK1997" s="55"/>
      <c r="PGL1997" s="55"/>
      <c r="PGM1997" s="55"/>
      <c r="PGN1997" s="55"/>
      <c r="PGO1997" s="55"/>
      <c r="PGP1997" s="55"/>
      <c r="PGQ1997" s="55"/>
      <c r="PGR1997" s="55"/>
      <c r="PGS1997" s="55"/>
      <c r="PGT1997" s="55"/>
      <c r="PGU1997" s="55"/>
      <c r="PGV1997" s="55"/>
      <c r="PGW1997" s="55"/>
      <c r="PGX1997" s="55"/>
      <c r="PGY1997" s="55"/>
      <c r="PGZ1997" s="55"/>
      <c r="PHA1997" s="55"/>
      <c r="PHB1997" s="55"/>
      <c r="PHC1997" s="55"/>
      <c r="PHD1997" s="55"/>
      <c r="PHE1997" s="55"/>
      <c r="PHF1997" s="55"/>
      <c r="PHG1997" s="55"/>
      <c r="PHH1997" s="55"/>
      <c r="PHI1997" s="55"/>
      <c r="PHJ1997" s="55"/>
      <c r="PHK1997" s="55"/>
      <c r="PHL1997" s="55"/>
      <c r="PHM1997" s="55"/>
      <c r="PHN1997" s="55"/>
      <c r="PHO1997" s="55"/>
      <c r="PHP1997" s="55"/>
      <c r="PHQ1997" s="55"/>
      <c r="PHR1997" s="55"/>
      <c r="PHS1997" s="55"/>
      <c r="PHT1997" s="55"/>
      <c r="PHU1997" s="55"/>
      <c r="PHV1997" s="55"/>
      <c r="PHW1997" s="55"/>
      <c r="PHX1997" s="55"/>
      <c r="PHY1997" s="55"/>
      <c r="PHZ1997" s="55"/>
      <c r="PIA1997" s="55"/>
      <c r="PIB1997" s="55"/>
      <c r="PIC1997" s="55"/>
      <c r="PID1997" s="55"/>
      <c r="PIE1997" s="55"/>
      <c r="PIF1997" s="55"/>
      <c r="PIG1997" s="55"/>
      <c r="PIH1997" s="55"/>
      <c r="PII1997" s="55"/>
      <c r="PIJ1997" s="55"/>
      <c r="PIK1997" s="55"/>
      <c r="PIL1997" s="55"/>
      <c r="PIM1997" s="55"/>
      <c r="PIN1997" s="55"/>
      <c r="PIO1997" s="55"/>
      <c r="PIP1997" s="55"/>
      <c r="PIQ1997" s="55"/>
      <c r="PIR1997" s="55"/>
      <c r="PIS1997" s="55"/>
      <c r="PIT1997" s="55"/>
      <c r="PIU1997" s="55"/>
      <c r="PIV1997" s="55"/>
      <c r="PIW1997" s="55"/>
      <c r="PIX1997" s="55"/>
      <c r="PIY1997" s="55"/>
      <c r="PIZ1997" s="55"/>
      <c r="PJA1997" s="55"/>
      <c r="PJB1997" s="55"/>
      <c r="PJC1997" s="55"/>
      <c r="PJD1997" s="55"/>
      <c r="PJE1997" s="55"/>
      <c r="PJF1997" s="55"/>
      <c r="PJG1997" s="55"/>
      <c r="PJH1997" s="55"/>
      <c r="PJI1997" s="55"/>
      <c r="PJJ1997" s="55"/>
      <c r="PJK1997" s="55"/>
      <c r="PJL1997" s="55"/>
      <c r="PJM1997" s="55"/>
      <c r="PJN1997" s="55"/>
      <c r="PJO1997" s="55"/>
      <c r="PJP1997" s="55"/>
      <c r="PJQ1997" s="55"/>
      <c r="PJR1997" s="55"/>
      <c r="PJS1997" s="55"/>
      <c r="PJT1997" s="55"/>
      <c r="PJU1997" s="55"/>
      <c r="PJV1997" s="55"/>
      <c r="PJW1997" s="55"/>
      <c r="PJX1997" s="55"/>
      <c r="PJY1997" s="55"/>
      <c r="PJZ1997" s="55"/>
      <c r="PKA1997" s="55"/>
      <c r="PKB1997" s="55"/>
      <c r="PKC1997" s="55"/>
      <c r="PKD1997" s="55"/>
      <c r="PKE1997" s="55"/>
      <c r="PKF1997" s="55"/>
      <c r="PKG1997" s="55"/>
      <c r="PKH1997" s="55"/>
      <c r="PKI1997" s="55"/>
      <c r="PKJ1997" s="55"/>
      <c r="PKK1997" s="55"/>
      <c r="PKL1997" s="55"/>
      <c r="PKM1997" s="55"/>
      <c r="PKN1997" s="55"/>
      <c r="PKO1997" s="55"/>
      <c r="PKP1997" s="55"/>
      <c r="PKQ1997" s="55"/>
      <c r="PKR1997" s="55"/>
      <c r="PKS1997" s="55"/>
      <c r="PKT1997" s="55"/>
      <c r="PKU1997" s="55"/>
      <c r="PKV1997" s="55"/>
      <c r="PKW1997" s="55"/>
      <c r="PKX1997" s="55"/>
      <c r="PKY1997" s="55"/>
      <c r="PKZ1997" s="55"/>
      <c r="PLA1997" s="55"/>
      <c r="PLB1997" s="55"/>
      <c r="PLC1997" s="55"/>
      <c r="PLD1997" s="55"/>
      <c r="PLE1997" s="55"/>
      <c r="PLF1997" s="55"/>
      <c r="PLG1997" s="55"/>
      <c r="PLH1997" s="55"/>
      <c r="PLI1997" s="55"/>
      <c r="PLJ1997" s="55"/>
      <c r="PLK1997" s="55"/>
      <c r="PLL1997" s="55"/>
      <c r="PLM1997" s="55"/>
      <c r="PLN1997" s="55"/>
      <c r="PLO1997" s="55"/>
      <c r="PLP1997" s="55"/>
      <c r="PLQ1997" s="55"/>
      <c r="PLR1997" s="55"/>
      <c r="PLS1997" s="55"/>
      <c r="PLT1997" s="55"/>
      <c r="PLU1997" s="55"/>
      <c r="PLV1997" s="55"/>
      <c r="PLW1997" s="55"/>
      <c r="PLX1997" s="55"/>
      <c r="PLY1997" s="55"/>
      <c r="PLZ1997" s="55"/>
      <c r="PMA1997" s="55"/>
      <c r="PMB1997" s="55"/>
      <c r="PMC1997" s="55"/>
      <c r="PMD1997" s="55"/>
      <c r="PME1997" s="55"/>
      <c r="PMF1997" s="55"/>
      <c r="PMG1997" s="55"/>
      <c r="PMH1997" s="55"/>
      <c r="PMI1997" s="55"/>
      <c r="PMJ1997" s="55"/>
      <c r="PMK1997" s="55"/>
      <c r="PML1997" s="55"/>
      <c r="PMM1997" s="55"/>
      <c r="PMN1997" s="55"/>
      <c r="PMO1997" s="55"/>
      <c r="PMP1997" s="55"/>
      <c r="PMQ1997" s="55"/>
      <c r="PMR1997" s="55"/>
      <c r="PMS1997" s="55"/>
      <c r="PMT1997" s="55"/>
      <c r="PMU1997" s="55"/>
      <c r="PMV1997" s="55"/>
      <c r="PMW1997" s="55"/>
      <c r="PMX1997" s="55"/>
      <c r="PMY1997" s="55"/>
      <c r="PMZ1997" s="55"/>
      <c r="PNA1997" s="55"/>
      <c r="PNB1997" s="55"/>
      <c r="PNC1997" s="55"/>
      <c r="PND1997" s="55"/>
      <c r="PNE1997" s="55"/>
      <c r="PNF1997" s="55"/>
      <c r="PNG1997" s="55"/>
      <c r="PNH1997" s="55"/>
      <c r="PNI1997" s="55"/>
      <c r="PNJ1997" s="55"/>
      <c r="PNK1997" s="55"/>
      <c r="PNL1997" s="55"/>
      <c r="PNM1997" s="55"/>
      <c r="PNN1997" s="55"/>
      <c r="PNO1997" s="55"/>
      <c r="PNP1997" s="55"/>
      <c r="PNQ1997" s="55"/>
      <c r="PNR1997" s="55"/>
      <c r="PNS1997" s="55"/>
      <c r="PNT1997" s="55"/>
      <c r="PNU1997" s="55"/>
      <c r="PNV1997" s="55"/>
      <c r="PNW1997" s="55"/>
      <c r="PNX1997" s="55"/>
      <c r="PNY1997" s="55"/>
      <c r="PNZ1997" s="55"/>
      <c r="POA1997" s="55"/>
      <c r="POB1997" s="55"/>
      <c r="POC1997" s="55"/>
      <c r="POD1997" s="55"/>
      <c r="POE1997" s="55"/>
      <c r="POF1997" s="55"/>
      <c r="POG1997" s="55"/>
      <c r="POH1997" s="55"/>
      <c r="POI1997" s="55"/>
      <c r="POJ1997" s="55"/>
      <c r="POK1997" s="55"/>
      <c r="POL1997" s="55"/>
      <c r="POM1997" s="55"/>
      <c r="PON1997" s="55"/>
      <c r="POO1997" s="55"/>
      <c r="POP1997" s="55"/>
      <c r="POQ1997" s="55"/>
      <c r="POR1997" s="55"/>
      <c r="POS1997" s="55"/>
      <c r="POT1997" s="55"/>
      <c r="POU1997" s="55"/>
      <c r="POV1997" s="55"/>
      <c r="POW1997" s="55"/>
      <c r="POX1997" s="55"/>
      <c r="POY1997" s="55"/>
      <c r="POZ1997" s="55"/>
      <c r="PPA1997" s="55"/>
      <c r="PPB1997" s="55"/>
      <c r="PPC1997" s="55"/>
      <c r="PPD1997" s="55"/>
      <c r="PPE1997" s="55"/>
      <c r="PPF1997" s="55"/>
      <c r="PPG1997" s="55"/>
      <c r="PPH1997" s="55"/>
      <c r="PPI1997" s="55"/>
      <c r="PPJ1997" s="55"/>
      <c r="PPK1997" s="55"/>
      <c r="PPL1997" s="55"/>
      <c r="PPM1997" s="55"/>
      <c r="PPN1997" s="55"/>
      <c r="PPO1997" s="55"/>
      <c r="PPP1997" s="55"/>
      <c r="PPQ1997" s="55"/>
      <c r="PPR1997" s="55"/>
      <c r="PPS1997" s="55"/>
      <c r="PPT1997" s="55"/>
      <c r="PPU1997" s="55"/>
      <c r="PPV1997" s="55"/>
      <c r="PPW1997" s="55"/>
      <c r="PPX1997" s="55"/>
      <c r="PPY1997" s="55"/>
      <c r="PPZ1997" s="55"/>
      <c r="PQA1997" s="55"/>
      <c r="PQB1997" s="55"/>
      <c r="PQC1997" s="55"/>
      <c r="PQD1997" s="55"/>
      <c r="PQE1997" s="55"/>
      <c r="PQF1997" s="55"/>
      <c r="PQG1997" s="55"/>
      <c r="PQH1997" s="55"/>
      <c r="PQI1997" s="55"/>
      <c r="PQJ1997" s="55"/>
      <c r="PQK1997" s="55"/>
      <c r="PQL1997" s="55"/>
      <c r="PQM1997" s="55"/>
      <c r="PQN1997" s="55"/>
      <c r="PQO1997" s="55"/>
      <c r="PQP1997" s="55"/>
      <c r="PQQ1997" s="55"/>
      <c r="PQR1997" s="55"/>
      <c r="PQS1997" s="55"/>
      <c r="PQT1997" s="55"/>
      <c r="PQU1997" s="55"/>
      <c r="PQV1997" s="55"/>
      <c r="PQW1997" s="55"/>
      <c r="PQX1997" s="55"/>
      <c r="PQY1997" s="55"/>
      <c r="PQZ1997" s="55"/>
      <c r="PRA1997" s="55"/>
      <c r="PRB1997" s="55"/>
      <c r="PRC1997" s="55"/>
      <c r="PRD1997" s="55"/>
      <c r="PRE1997" s="55"/>
      <c r="PRF1997" s="55"/>
      <c r="PRG1997" s="55"/>
      <c r="PRH1997" s="55"/>
      <c r="PRI1997" s="55"/>
      <c r="PRJ1997" s="55"/>
      <c r="PRK1997" s="55"/>
      <c r="PRL1997" s="55"/>
      <c r="PRM1997" s="55"/>
      <c r="PRN1997" s="55"/>
      <c r="PRO1997" s="55"/>
      <c r="PRP1997" s="55"/>
      <c r="PRQ1997" s="55"/>
      <c r="PRR1997" s="55"/>
      <c r="PRS1997" s="55"/>
      <c r="PRT1997" s="55"/>
      <c r="PRU1997" s="55"/>
      <c r="PRV1997" s="55"/>
      <c r="PRW1997" s="55"/>
      <c r="PRX1997" s="55"/>
      <c r="PRY1997" s="55"/>
      <c r="PRZ1997" s="55"/>
      <c r="PSA1997" s="55"/>
      <c r="PSB1997" s="55"/>
      <c r="PSC1997" s="55"/>
      <c r="PSD1997" s="55"/>
      <c r="PSE1997" s="55"/>
      <c r="PSF1997" s="55"/>
      <c r="PSG1997" s="55"/>
      <c r="PSH1997" s="55"/>
      <c r="PSI1997" s="55"/>
      <c r="PSJ1997" s="55"/>
      <c r="PSK1997" s="55"/>
      <c r="PSL1997" s="55"/>
      <c r="PSM1997" s="55"/>
      <c r="PSN1997" s="55"/>
      <c r="PSO1997" s="55"/>
      <c r="PSP1997" s="55"/>
      <c r="PSQ1997" s="55"/>
      <c r="PSR1997" s="55"/>
      <c r="PSS1997" s="55"/>
      <c r="PST1997" s="55"/>
      <c r="PSU1997" s="55"/>
      <c r="PSV1997" s="55"/>
      <c r="PSW1997" s="55"/>
      <c r="PSX1997" s="55"/>
      <c r="PSY1997" s="55"/>
      <c r="PSZ1997" s="55"/>
      <c r="PTA1997" s="55"/>
      <c r="PTB1997" s="55"/>
      <c r="PTC1997" s="55"/>
      <c r="PTD1997" s="55"/>
      <c r="PTE1997" s="55"/>
      <c r="PTF1997" s="55"/>
      <c r="PTG1997" s="55"/>
      <c r="PTH1997" s="55"/>
      <c r="PTI1997" s="55"/>
      <c r="PTJ1997" s="55"/>
      <c r="PTK1997" s="55"/>
      <c r="PTL1997" s="55"/>
      <c r="PTM1997" s="55"/>
      <c r="PTN1997" s="55"/>
      <c r="PTO1997" s="55"/>
      <c r="PTP1997" s="55"/>
      <c r="PTQ1997" s="55"/>
      <c r="PTR1997" s="55"/>
      <c r="PTS1997" s="55"/>
      <c r="PTT1997" s="55"/>
      <c r="PTU1997" s="55"/>
      <c r="PTV1997" s="55"/>
      <c r="PTW1997" s="55"/>
      <c r="PTX1997" s="55"/>
      <c r="PTY1997" s="55"/>
      <c r="PTZ1997" s="55"/>
      <c r="PUA1997" s="55"/>
      <c r="PUB1997" s="55"/>
      <c r="PUC1997" s="55"/>
      <c r="PUD1997" s="55"/>
      <c r="PUE1997" s="55"/>
      <c r="PUF1997" s="55"/>
      <c r="PUG1997" s="55"/>
      <c r="PUH1997" s="55"/>
      <c r="PUI1997" s="55"/>
      <c r="PUJ1997" s="55"/>
      <c r="PUK1997" s="55"/>
      <c r="PUL1997" s="55"/>
      <c r="PUM1997" s="55"/>
      <c r="PUN1997" s="55"/>
      <c r="PUO1997" s="55"/>
      <c r="PUP1997" s="55"/>
      <c r="PUQ1997" s="55"/>
      <c r="PUR1997" s="55"/>
      <c r="PUS1997" s="55"/>
      <c r="PUT1997" s="55"/>
      <c r="PUU1997" s="55"/>
      <c r="PUV1997" s="55"/>
      <c r="PUW1997" s="55"/>
      <c r="PUX1997" s="55"/>
      <c r="PUY1997" s="55"/>
      <c r="PUZ1997" s="55"/>
      <c r="PVA1997" s="55"/>
      <c r="PVB1997" s="55"/>
      <c r="PVC1997" s="55"/>
      <c r="PVD1997" s="55"/>
      <c r="PVE1997" s="55"/>
      <c r="PVF1997" s="55"/>
      <c r="PVG1997" s="55"/>
      <c r="PVH1997" s="55"/>
      <c r="PVI1997" s="55"/>
      <c r="PVJ1997" s="55"/>
      <c r="PVK1997" s="55"/>
      <c r="PVL1997" s="55"/>
      <c r="PVM1997" s="55"/>
      <c r="PVN1997" s="55"/>
      <c r="PVO1997" s="55"/>
      <c r="PVP1997" s="55"/>
      <c r="PVQ1997" s="55"/>
      <c r="PVR1997" s="55"/>
      <c r="PVS1997" s="55"/>
      <c r="PVT1997" s="55"/>
      <c r="PVU1997" s="55"/>
      <c r="PVV1997" s="55"/>
      <c r="PVW1997" s="55"/>
      <c r="PVX1997" s="55"/>
      <c r="PVY1997" s="55"/>
      <c r="PVZ1997" s="55"/>
      <c r="PWA1997" s="55"/>
      <c r="PWB1997" s="55"/>
      <c r="PWC1997" s="55"/>
      <c r="PWD1997" s="55"/>
      <c r="PWE1997" s="55"/>
      <c r="PWF1997" s="55"/>
      <c r="PWG1997" s="55"/>
      <c r="PWH1997" s="55"/>
      <c r="PWI1997" s="55"/>
      <c r="PWJ1997" s="55"/>
      <c r="PWK1997" s="55"/>
      <c r="PWL1997" s="55"/>
      <c r="PWM1997" s="55"/>
      <c r="PWN1997" s="55"/>
      <c r="PWO1997" s="55"/>
      <c r="PWP1997" s="55"/>
      <c r="PWQ1997" s="55"/>
      <c r="PWR1997" s="55"/>
      <c r="PWS1997" s="55"/>
      <c r="PWT1997" s="55"/>
      <c r="PWU1997" s="55"/>
      <c r="PWV1997" s="55"/>
      <c r="PWW1997" s="55"/>
      <c r="PWX1997" s="55"/>
      <c r="PWY1997" s="55"/>
      <c r="PWZ1997" s="55"/>
      <c r="PXA1997" s="55"/>
      <c r="PXB1997" s="55"/>
      <c r="PXC1997" s="55"/>
      <c r="PXD1997" s="55"/>
      <c r="PXE1997" s="55"/>
      <c r="PXF1997" s="55"/>
      <c r="PXG1997" s="55"/>
      <c r="PXH1997" s="55"/>
      <c r="PXI1997" s="55"/>
      <c r="PXJ1997" s="55"/>
      <c r="PXK1997" s="55"/>
      <c r="PXL1997" s="55"/>
      <c r="PXM1997" s="55"/>
      <c r="PXN1997" s="55"/>
      <c r="PXO1997" s="55"/>
      <c r="PXP1997" s="55"/>
      <c r="PXQ1997" s="55"/>
      <c r="PXR1997" s="55"/>
      <c r="PXS1997" s="55"/>
      <c r="PXT1997" s="55"/>
      <c r="PXU1997" s="55"/>
      <c r="PXV1997" s="55"/>
      <c r="PXW1997" s="55"/>
      <c r="PXX1997" s="55"/>
      <c r="PXY1997" s="55"/>
      <c r="PXZ1997" s="55"/>
      <c r="PYA1997" s="55"/>
      <c r="PYB1997" s="55"/>
      <c r="PYC1997" s="55"/>
      <c r="PYD1997" s="55"/>
      <c r="PYE1997" s="55"/>
      <c r="PYF1997" s="55"/>
      <c r="PYG1997" s="55"/>
      <c r="PYH1997" s="55"/>
      <c r="PYI1997" s="55"/>
      <c r="PYJ1997" s="55"/>
      <c r="PYK1997" s="55"/>
      <c r="PYL1997" s="55"/>
      <c r="PYM1997" s="55"/>
      <c r="PYN1997" s="55"/>
      <c r="PYO1997" s="55"/>
      <c r="PYP1997" s="55"/>
      <c r="PYQ1997" s="55"/>
      <c r="PYR1997" s="55"/>
      <c r="PYS1997" s="55"/>
      <c r="PYT1997" s="55"/>
      <c r="PYU1997" s="55"/>
      <c r="PYV1997" s="55"/>
      <c r="PYW1997" s="55"/>
      <c r="PYX1997" s="55"/>
      <c r="PYY1997" s="55"/>
      <c r="PYZ1997" s="55"/>
      <c r="PZA1997" s="55"/>
      <c r="PZB1997" s="55"/>
      <c r="PZC1997" s="55"/>
      <c r="PZD1997" s="55"/>
      <c r="PZE1997" s="55"/>
      <c r="PZF1997" s="55"/>
      <c r="PZG1997" s="55"/>
      <c r="PZH1997" s="55"/>
      <c r="PZI1997" s="55"/>
      <c r="PZJ1997" s="55"/>
      <c r="PZK1997" s="55"/>
      <c r="PZL1997" s="55"/>
      <c r="PZM1997" s="55"/>
      <c r="PZN1997" s="55"/>
      <c r="PZO1997" s="55"/>
      <c r="PZP1997" s="55"/>
      <c r="PZQ1997" s="55"/>
      <c r="PZR1997" s="55"/>
      <c r="PZS1997" s="55"/>
      <c r="PZT1997" s="55"/>
      <c r="PZU1997" s="55"/>
      <c r="PZV1997" s="55"/>
      <c r="PZW1997" s="55"/>
      <c r="PZX1997" s="55"/>
      <c r="PZY1997" s="55"/>
      <c r="PZZ1997" s="55"/>
      <c r="QAA1997" s="55"/>
      <c r="QAB1997" s="55"/>
      <c r="QAC1997" s="55"/>
      <c r="QAD1997" s="55"/>
      <c r="QAE1997" s="55"/>
      <c r="QAF1997" s="55"/>
      <c r="QAG1997" s="55"/>
      <c r="QAH1997" s="55"/>
      <c r="QAI1997" s="55"/>
      <c r="QAJ1997" s="55"/>
      <c r="QAK1997" s="55"/>
      <c r="QAL1997" s="55"/>
      <c r="QAM1997" s="55"/>
      <c r="QAN1997" s="55"/>
      <c r="QAO1997" s="55"/>
      <c r="QAP1997" s="55"/>
      <c r="QAQ1997" s="55"/>
      <c r="QAR1997" s="55"/>
      <c r="QAS1997" s="55"/>
      <c r="QAT1997" s="55"/>
      <c r="QAU1997" s="55"/>
      <c r="QAV1997" s="55"/>
      <c r="QAW1997" s="55"/>
      <c r="QAX1997" s="55"/>
      <c r="QAY1997" s="55"/>
      <c r="QAZ1997" s="55"/>
      <c r="QBA1997" s="55"/>
      <c r="QBB1997" s="55"/>
      <c r="QBC1997" s="55"/>
      <c r="QBD1997" s="55"/>
      <c r="QBE1997" s="55"/>
      <c r="QBF1997" s="55"/>
      <c r="QBG1997" s="55"/>
      <c r="QBH1997" s="55"/>
      <c r="QBI1997" s="55"/>
      <c r="QBJ1997" s="55"/>
      <c r="QBK1997" s="55"/>
      <c r="QBL1997" s="55"/>
      <c r="QBM1997" s="55"/>
      <c r="QBN1997" s="55"/>
      <c r="QBO1997" s="55"/>
      <c r="QBP1997" s="55"/>
      <c r="QBQ1997" s="55"/>
      <c r="QBR1997" s="55"/>
      <c r="QBS1997" s="55"/>
      <c r="QBT1997" s="55"/>
      <c r="QBU1997" s="55"/>
      <c r="QBV1997" s="55"/>
      <c r="QBW1997" s="55"/>
      <c r="QBX1997" s="55"/>
      <c r="QBY1997" s="55"/>
      <c r="QBZ1997" s="55"/>
      <c r="QCA1997" s="55"/>
      <c r="QCB1997" s="55"/>
      <c r="QCC1997" s="55"/>
      <c r="QCD1997" s="55"/>
      <c r="QCE1997" s="55"/>
      <c r="QCF1997" s="55"/>
      <c r="QCG1997" s="55"/>
      <c r="QCH1997" s="55"/>
      <c r="QCI1997" s="55"/>
      <c r="QCJ1997" s="55"/>
      <c r="QCK1997" s="55"/>
      <c r="QCL1997" s="55"/>
      <c r="QCM1997" s="55"/>
      <c r="QCN1997" s="55"/>
      <c r="QCO1997" s="55"/>
      <c r="QCP1997" s="55"/>
      <c r="QCQ1997" s="55"/>
      <c r="QCR1997" s="55"/>
      <c r="QCS1997" s="55"/>
      <c r="QCT1997" s="55"/>
      <c r="QCU1997" s="55"/>
      <c r="QCV1997" s="55"/>
      <c r="QCW1997" s="55"/>
      <c r="QCX1997" s="55"/>
      <c r="QCY1997" s="55"/>
      <c r="QCZ1997" s="55"/>
      <c r="QDA1997" s="55"/>
      <c r="QDB1997" s="55"/>
      <c r="QDC1997" s="55"/>
      <c r="QDD1997" s="55"/>
      <c r="QDE1997" s="55"/>
      <c r="QDF1997" s="55"/>
      <c r="QDG1997" s="55"/>
      <c r="QDH1997" s="55"/>
      <c r="QDI1997" s="55"/>
      <c r="QDJ1997" s="55"/>
      <c r="QDK1997" s="55"/>
      <c r="QDL1997" s="55"/>
      <c r="QDM1997" s="55"/>
      <c r="QDN1997" s="55"/>
      <c r="QDO1997" s="55"/>
      <c r="QDP1997" s="55"/>
      <c r="QDQ1997" s="55"/>
      <c r="QDR1997" s="55"/>
      <c r="QDS1997" s="55"/>
      <c r="QDT1997" s="55"/>
      <c r="QDU1997" s="55"/>
      <c r="QDV1997" s="55"/>
      <c r="QDW1997" s="55"/>
      <c r="QDX1997" s="55"/>
      <c r="QDY1997" s="55"/>
      <c r="QDZ1997" s="55"/>
      <c r="QEA1997" s="55"/>
      <c r="QEB1997" s="55"/>
      <c r="QEC1997" s="55"/>
      <c r="QED1997" s="55"/>
      <c r="QEE1997" s="55"/>
      <c r="QEF1997" s="55"/>
      <c r="QEG1997" s="55"/>
      <c r="QEH1997" s="55"/>
      <c r="QEI1997" s="55"/>
      <c r="QEJ1997" s="55"/>
      <c r="QEK1997" s="55"/>
      <c r="QEL1997" s="55"/>
      <c r="QEM1997" s="55"/>
      <c r="QEN1997" s="55"/>
      <c r="QEO1997" s="55"/>
      <c r="QEP1997" s="55"/>
      <c r="QEQ1997" s="55"/>
      <c r="QER1997" s="55"/>
      <c r="QES1997" s="55"/>
      <c r="QET1997" s="55"/>
      <c r="QEU1997" s="55"/>
      <c r="QEV1997" s="55"/>
      <c r="QEW1997" s="55"/>
      <c r="QEX1997" s="55"/>
      <c r="QEY1997" s="55"/>
      <c r="QEZ1997" s="55"/>
      <c r="QFA1997" s="55"/>
      <c r="QFB1997" s="55"/>
      <c r="QFC1997" s="55"/>
      <c r="QFD1997" s="55"/>
      <c r="QFE1997" s="55"/>
      <c r="QFF1997" s="55"/>
      <c r="QFG1997" s="55"/>
      <c r="QFH1997" s="55"/>
      <c r="QFI1997" s="55"/>
      <c r="QFJ1997" s="55"/>
      <c r="QFK1997" s="55"/>
      <c r="QFL1997" s="55"/>
      <c r="QFM1997" s="55"/>
      <c r="QFN1997" s="55"/>
      <c r="QFO1997" s="55"/>
      <c r="QFP1997" s="55"/>
      <c r="QFQ1997" s="55"/>
      <c r="QFR1997" s="55"/>
      <c r="QFS1997" s="55"/>
      <c r="QFT1997" s="55"/>
      <c r="QFU1997" s="55"/>
      <c r="QFV1997" s="55"/>
      <c r="QFW1997" s="55"/>
      <c r="QFX1997" s="55"/>
      <c r="QFY1997" s="55"/>
      <c r="QFZ1997" s="55"/>
      <c r="QGA1997" s="55"/>
      <c r="QGB1997" s="55"/>
      <c r="QGC1997" s="55"/>
      <c r="QGD1997" s="55"/>
      <c r="QGE1997" s="55"/>
      <c r="QGF1997" s="55"/>
      <c r="QGG1997" s="55"/>
      <c r="QGH1997" s="55"/>
      <c r="QGI1997" s="55"/>
      <c r="QGJ1997" s="55"/>
      <c r="QGK1997" s="55"/>
      <c r="QGL1997" s="55"/>
      <c r="QGM1997" s="55"/>
      <c r="QGN1997" s="55"/>
      <c r="QGO1997" s="55"/>
      <c r="QGP1997" s="55"/>
      <c r="QGQ1997" s="55"/>
      <c r="QGR1997" s="55"/>
      <c r="QGS1997" s="55"/>
      <c r="QGT1997" s="55"/>
      <c r="QGU1997" s="55"/>
      <c r="QGV1997" s="55"/>
      <c r="QGW1997" s="55"/>
      <c r="QGX1997" s="55"/>
      <c r="QGY1997" s="55"/>
      <c r="QGZ1997" s="55"/>
      <c r="QHA1997" s="55"/>
      <c r="QHB1997" s="55"/>
      <c r="QHC1997" s="55"/>
      <c r="QHD1997" s="55"/>
      <c r="QHE1997" s="55"/>
      <c r="QHF1997" s="55"/>
      <c r="QHG1997" s="55"/>
      <c r="QHH1997" s="55"/>
      <c r="QHI1997" s="55"/>
      <c r="QHJ1997" s="55"/>
      <c r="QHK1997" s="55"/>
      <c r="QHL1997" s="55"/>
      <c r="QHM1997" s="55"/>
      <c r="QHN1997" s="55"/>
      <c r="QHO1997" s="55"/>
      <c r="QHP1997" s="55"/>
      <c r="QHQ1997" s="55"/>
      <c r="QHR1997" s="55"/>
      <c r="QHS1997" s="55"/>
      <c r="QHT1997" s="55"/>
      <c r="QHU1997" s="55"/>
      <c r="QHV1997" s="55"/>
      <c r="QHW1997" s="55"/>
      <c r="QHX1997" s="55"/>
      <c r="QHY1997" s="55"/>
      <c r="QHZ1997" s="55"/>
      <c r="QIA1997" s="55"/>
      <c r="QIB1997" s="55"/>
      <c r="QIC1997" s="55"/>
      <c r="QID1997" s="55"/>
      <c r="QIE1997" s="55"/>
      <c r="QIF1997" s="55"/>
      <c r="QIG1997" s="55"/>
      <c r="QIH1997" s="55"/>
      <c r="QII1997" s="55"/>
      <c r="QIJ1997" s="55"/>
      <c r="QIK1997" s="55"/>
      <c r="QIL1997" s="55"/>
      <c r="QIM1997" s="55"/>
      <c r="QIN1997" s="55"/>
      <c r="QIO1997" s="55"/>
      <c r="QIP1997" s="55"/>
      <c r="QIQ1997" s="55"/>
      <c r="QIR1997" s="55"/>
      <c r="QIS1997" s="55"/>
      <c r="QIT1997" s="55"/>
      <c r="QIU1997" s="55"/>
      <c r="QIV1997" s="55"/>
      <c r="QIW1997" s="55"/>
      <c r="QIX1997" s="55"/>
      <c r="QIY1997" s="55"/>
      <c r="QIZ1997" s="55"/>
      <c r="QJA1997" s="55"/>
      <c r="QJB1997" s="55"/>
      <c r="QJC1997" s="55"/>
      <c r="QJD1997" s="55"/>
      <c r="QJE1997" s="55"/>
      <c r="QJF1997" s="55"/>
      <c r="QJG1997" s="55"/>
      <c r="QJH1997" s="55"/>
      <c r="QJI1997" s="55"/>
      <c r="QJJ1997" s="55"/>
      <c r="QJK1997" s="55"/>
      <c r="QJL1997" s="55"/>
      <c r="QJM1997" s="55"/>
      <c r="QJN1997" s="55"/>
      <c r="QJO1997" s="55"/>
      <c r="QJP1997" s="55"/>
      <c r="QJQ1997" s="55"/>
      <c r="QJR1997" s="55"/>
      <c r="QJS1997" s="55"/>
      <c r="QJT1997" s="55"/>
      <c r="QJU1997" s="55"/>
      <c r="QJV1997" s="55"/>
      <c r="QJW1997" s="55"/>
      <c r="QJX1997" s="55"/>
      <c r="QJY1997" s="55"/>
      <c r="QJZ1997" s="55"/>
      <c r="QKA1997" s="55"/>
      <c r="QKB1997" s="55"/>
      <c r="QKC1997" s="55"/>
      <c r="QKD1997" s="55"/>
      <c r="QKE1997" s="55"/>
      <c r="QKF1997" s="55"/>
      <c r="QKG1997" s="55"/>
      <c r="QKH1997" s="55"/>
      <c r="QKI1997" s="55"/>
      <c r="QKJ1997" s="55"/>
      <c r="QKK1997" s="55"/>
      <c r="QKL1997" s="55"/>
      <c r="QKM1997" s="55"/>
      <c r="QKN1997" s="55"/>
      <c r="QKO1997" s="55"/>
      <c r="QKP1997" s="55"/>
      <c r="QKQ1997" s="55"/>
      <c r="QKR1997" s="55"/>
      <c r="QKS1997" s="55"/>
      <c r="QKT1997" s="55"/>
      <c r="QKU1997" s="55"/>
      <c r="QKV1997" s="55"/>
      <c r="QKW1997" s="55"/>
      <c r="QKX1997" s="55"/>
      <c r="QKY1997" s="55"/>
      <c r="QKZ1997" s="55"/>
      <c r="QLA1997" s="55"/>
      <c r="QLB1997" s="55"/>
      <c r="QLC1997" s="55"/>
      <c r="QLD1997" s="55"/>
      <c r="QLE1997" s="55"/>
      <c r="QLF1997" s="55"/>
      <c r="QLG1997" s="55"/>
      <c r="QLH1997" s="55"/>
      <c r="QLI1997" s="55"/>
      <c r="QLJ1997" s="55"/>
      <c r="QLK1997" s="55"/>
      <c r="QLL1997" s="55"/>
      <c r="QLM1997" s="55"/>
      <c r="QLN1997" s="55"/>
      <c r="QLO1997" s="55"/>
      <c r="QLP1997" s="55"/>
      <c r="QLQ1997" s="55"/>
      <c r="QLR1997" s="55"/>
      <c r="QLS1997" s="55"/>
      <c r="QLT1997" s="55"/>
      <c r="QLU1997" s="55"/>
      <c r="QLV1997" s="55"/>
      <c r="QLW1997" s="55"/>
      <c r="QLX1997" s="55"/>
      <c r="QLY1997" s="55"/>
      <c r="QLZ1997" s="55"/>
      <c r="QMA1997" s="55"/>
      <c r="QMB1997" s="55"/>
      <c r="QMC1997" s="55"/>
      <c r="QMD1997" s="55"/>
      <c r="QME1997" s="55"/>
      <c r="QMF1997" s="55"/>
      <c r="QMG1997" s="55"/>
      <c r="QMH1997" s="55"/>
      <c r="QMI1997" s="55"/>
      <c r="QMJ1997" s="55"/>
      <c r="QMK1997" s="55"/>
      <c r="QML1997" s="55"/>
      <c r="QMM1997" s="55"/>
      <c r="QMN1997" s="55"/>
      <c r="QMO1997" s="55"/>
      <c r="QMP1997" s="55"/>
      <c r="QMQ1997" s="55"/>
      <c r="QMR1997" s="55"/>
      <c r="QMS1997" s="55"/>
      <c r="QMT1997" s="55"/>
      <c r="QMU1997" s="55"/>
      <c r="QMV1997" s="55"/>
      <c r="QMW1997" s="55"/>
      <c r="QMX1997" s="55"/>
      <c r="QMY1997" s="55"/>
      <c r="QMZ1997" s="55"/>
      <c r="QNA1997" s="55"/>
      <c r="QNB1997" s="55"/>
      <c r="QNC1997" s="55"/>
      <c r="QND1997" s="55"/>
      <c r="QNE1997" s="55"/>
      <c r="QNF1997" s="55"/>
      <c r="QNG1997" s="55"/>
      <c r="QNH1997" s="55"/>
      <c r="QNI1997" s="55"/>
      <c r="QNJ1997" s="55"/>
      <c r="QNK1997" s="55"/>
      <c r="QNL1997" s="55"/>
      <c r="QNM1997" s="55"/>
      <c r="QNN1997" s="55"/>
      <c r="QNO1997" s="55"/>
      <c r="QNP1997" s="55"/>
      <c r="QNQ1997" s="55"/>
      <c r="QNR1997" s="55"/>
      <c r="QNS1997" s="55"/>
      <c r="QNT1997" s="55"/>
      <c r="QNU1997" s="55"/>
      <c r="QNV1997" s="55"/>
      <c r="QNW1997" s="55"/>
      <c r="QNX1997" s="55"/>
      <c r="QNY1997" s="55"/>
      <c r="QNZ1997" s="55"/>
      <c r="QOA1997" s="55"/>
      <c r="QOB1997" s="55"/>
      <c r="QOC1997" s="55"/>
      <c r="QOD1997" s="55"/>
      <c r="QOE1997" s="55"/>
      <c r="QOF1997" s="55"/>
      <c r="QOG1997" s="55"/>
      <c r="QOH1997" s="55"/>
      <c r="QOI1997" s="55"/>
      <c r="QOJ1997" s="55"/>
      <c r="QOK1997" s="55"/>
      <c r="QOL1997" s="55"/>
      <c r="QOM1997" s="55"/>
      <c r="QON1997" s="55"/>
      <c r="QOO1997" s="55"/>
      <c r="QOP1997" s="55"/>
      <c r="QOQ1997" s="55"/>
      <c r="QOR1997" s="55"/>
      <c r="QOS1997" s="55"/>
      <c r="QOT1997" s="55"/>
      <c r="QOU1997" s="55"/>
      <c r="QOV1997" s="55"/>
      <c r="QOW1997" s="55"/>
      <c r="QOX1997" s="55"/>
      <c r="QOY1997" s="55"/>
      <c r="QOZ1997" s="55"/>
      <c r="QPA1997" s="55"/>
      <c r="QPB1997" s="55"/>
      <c r="QPC1997" s="55"/>
      <c r="QPD1997" s="55"/>
      <c r="QPE1997" s="55"/>
      <c r="QPF1997" s="55"/>
      <c r="QPG1997" s="55"/>
      <c r="QPH1997" s="55"/>
      <c r="QPI1997" s="55"/>
      <c r="QPJ1997" s="55"/>
      <c r="QPK1997" s="55"/>
      <c r="QPL1997" s="55"/>
      <c r="QPM1997" s="55"/>
      <c r="QPN1997" s="55"/>
      <c r="QPO1997" s="55"/>
      <c r="QPP1997" s="55"/>
      <c r="QPQ1997" s="55"/>
      <c r="QPR1997" s="55"/>
      <c r="QPS1997" s="55"/>
      <c r="QPT1997" s="55"/>
      <c r="QPU1997" s="55"/>
      <c r="QPV1997" s="55"/>
      <c r="QPW1997" s="55"/>
      <c r="QPX1997" s="55"/>
      <c r="QPY1997" s="55"/>
      <c r="QPZ1997" s="55"/>
      <c r="QQA1997" s="55"/>
      <c r="QQB1997" s="55"/>
      <c r="QQC1997" s="55"/>
      <c r="QQD1997" s="55"/>
      <c r="QQE1997" s="55"/>
      <c r="QQF1997" s="55"/>
      <c r="QQG1997" s="55"/>
      <c r="QQH1997" s="55"/>
      <c r="QQI1997" s="55"/>
      <c r="QQJ1997" s="55"/>
      <c r="QQK1997" s="55"/>
      <c r="QQL1997" s="55"/>
      <c r="QQM1997" s="55"/>
      <c r="QQN1997" s="55"/>
      <c r="QQO1997" s="55"/>
      <c r="QQP1997" s="55"/>
      <c r="QQQ1997" s="55"/>
      <c r="QQR1997" s="55"/>
      <c r="QQS1997" s="55"/>
      <c r="QQT1997" s="55"/>
      <c r="QQU1997" s="55"/>
      <c r="QQV1997" s="55"/>
      <c r="QQW1997" s="55"/>
      <c r="QQX1997" s="55"/>
      <c r="QQY1997" s="55"/>
      <c r="QQZ1997" s="55"/>
      <c r="QRA1997" s="55"/>
      <c r="QRB1997" s="55"/>
      <c r="QRC1997" s="55"/>
      <c r="QRD1997" s="55"/>
      <c r="QRE1997" s="55"/>
      <c r="QRF1997" s="55"/>
      <c r="QRG1997" s="55"/>
      <c r="QRH1997" s="55"/>
      <c r="QRI1997" s="55"/>
      <c r="QRJ1997" s="55"/>
      <c r="QRK1997" s="55"/>
      <c r="QRL1997" s="55"/>
      <c r="QRM1997" s="55"/>
      <c r="QRN1997" s="55"/>
      <c r="QRO1997" s="55"/>
      <c r="QRP1997" s="55"/>
      <c r="QRQ1997" s="55"/>
      <c r="QRR1997" s="55"/>
      <c r="QRS1997" s="55"/>
      <c r="QRT1997" s="55"/>
      <c r="QRU1997" s="55"/>
      <c r="QRV1997" s="55"/>
      <c r="QRW1997" s="55"/>
      <c r="QRX1997" s="55"/>
      <c r="QRY1997" s="55"/>
      <c r="QRZ1997" s="55"/>
      <c r="QSA1997" s="55"/>
      <c r="QSB1997" s="55"/>
      <c r="QSC1997" s="55"/>
      <c r="QSD1997" s="55"/>
      <c r="QSE1997" s="55"/>
      <c r="QSF1997" s="55"/>
      <c r="QSG1997" s="55"/>
      <c r="QSH1997" s="55"/>
      <c r="QSI1997" s="55"/>
      <c r="QSJ1997" s="55"/>
      <c r="QSK1997" s="55"/>
      <c r="QSL1997" s="55"/>
      <c r="QSM1997" s="55"/>
      <c r="QSN1997" s="55"/>
      <c r="QSO1997" s="55"/>
      <c r="QSP1997" s="55"/>
      <c r="QSQ1997" s="55"/>
      <c r="QSR1997" s="55"/>
      <c r="QSS1997" s="55"/>
      <c r="QST1997" s="55"/>
      <c r="QSU1997" s="55"/>
      <c r="QSV1997" s="55"/>
      <c r="QSW1997" s="55"/>
      <c r="QSX1997" s="55"/>
      <c r="QSY1997" s="55"/>
      <c r="QSZ1997" s="55"/>
      <c r="QTA1997" s="55"/>
      <c r="QTB1997" s="55"/>
      <c r="QTC1997" s="55"/>
      <c r="QTD1997" s="55"/>
      <c r="QTE1997" s="55"/>
      <c r="QTF1997" s="55"/>
      <c r="QTG1997" s="55"/>
      <c r="QTH1997" s="55"/>
      <c r="QTI1997" s="55"/>
      <c r="QTJ1997" s="55"/>
      <c r="QTK1997" s="55"/>
      <c r="QTL1997" s="55"/>
      <c r="QTM1997" s="55"/>
      <c r="QTN1997" s="55"/>
      <c r="QTO1997" s="55"/>
      <c r="QTP1997" s="55"/>
      <c r="QTQ1997" s="55"/>
      <c r="QTR1997" s="55"/>
      <c r="QTS1997" s="55"/>
      <c r="QTT1997" s="55"/>
      <c r="QTU1997" s="55"/>
      <c r="QTV1997" s="55"/>
      <c r="QTW1997" s="55"/>
      <c r="QTX1997" s="55"/>
      <c r="QTY1997" s="55"/>
      <c r="QTZ1997" s="55"/>
      <c r="QUA1997" s="55"/>
      <c r="QUB1997" s="55"/>
      <c r="QUC1997" s="55"/>
      <c r="QUD1997" s="55"/>
      <c r="QUE1997" s="55"/>
      <c r="QUF1997" s="55"/>
      <c r="QUG1997" s="55"/>
      <c r="QUH1997" s="55"/>
      <c r="QUI1997" s="55"/>
      <c r="QUJ1997" s="55"/>
      <c r="QUK1997" s="55"/>
      <c r="QUL1997" s="55"/>
      <c r="QUM1997" s="55"/>
      <c r="QUN1997" s="55"/>
      <c r="QUO1997" s="55"/>
      <c r="QUP1997" s="55"/>
      <c r="QUQ1997" s="55"/>
      <c r="QUR1997" s="55"/>
      <c r="QUS1997" s="55"/>
      <c r="QUT1997" s="55"/>
      <c r="QUU1997" s="55"/>
      <c r="QUV1997" s="55"/>
      <c r="QUW1997" s="55"/>
      <c r="QUX1997" s="55"/>
      <c r="QUY1997" s="55"/>
      <c r="QUZ1997" s="55"/>
      <c r="QVA1997" s="55"/>
      <c r="QVB1997" s="55"/>
      <c r="QVC1997" s="55"/>
      <c r="QVD1997" s="55"/>
      <c r="QVE1997" s="55"/>
      <c r="QVF1997" s="55"/>
      <c r="QVG1997" s="55"/>
      <c r="QVH1997" s="55"/>
      <c r="QVI1997" s="55"/>
      <c r="QVJ1997" s="55"/>
      <c r="QVK1997" s="55"/>
      <c r="QVL1997" s="55"/>
      <c r="QVM1997" s="55"/>
      <c r="QVN1997" s="55"/>
      <c r="QVO1997" s="55"/>
      <c r="QVP1997" s="55"/>
      <c r="QVQ1997" s="55"/>
      <c r="QVR1997" s="55"/>
      <c r="QVS1997" s="55"/>
      <c r="QVT1997" s="55"/>
      <c r="QVU1997" s="55"/>
      <c r="QVV1997" s="55"/>
      <c r="QVW1997" s="55"/>
      <c r="QVX1997" s="55"/>
      <c r="QVY1997" s="55"/>
      <c r="QVZ1997" s="55"/>
      <c r="QWA1997" s="55"/>
      <c r="QWB1997" s="55"/>
      <c r="QWC1997" s="55"/>
      <c r="QWD1997" s="55"/>
      <c r="QWE1997" s="55"/>
      <c r="QWF1997" s="55"/>
      <c r="QWG1997" s="55"/>
      <c r="QWH1997" s="55"/>
      <c r="QWI1997" s="55"/>
      <c r="QWJ1997" s="55"/>
      <c r="QWK1997" s="55"/>
      <c r="QWL1997" s="55"/>
      <c r="QWM1997" s="55"/>
      <c r="QWN1997" s="55"/>
      <c r="QWO1997" s="55"/>
      <c r="QWP1997" s="55"/>
      <c r="QWQ1997" s="55"/>
      <c r="QWR1997" s="55"/>
      <c r="QWS1997" s="55"/>
      <c r="QWT1997" s="55"/>
      <c r="QWU1997" s="55"/>
      <c r="QWV1997" s="55"/>
      <c r="QWW1997" s="55"/>
      <c r="QWX1997" s="55"/>
      <c r="QWY1997" s="55"/>
      <c r="QWZ1997" s="55"/>
      <c r="QXA1997" s="55"/>
      <c r="QXB1997" s="55"/>
      <c r="QXC1997" s="55"/>
      <c r="QXD1997" s="55"/>
      <c r="QXE1997" s="55"/>
      <c r="QXF1997" s="55"/>
      <c r="QXG1997" s="55"/>
      <c r="QXH1997" s="55"/>
      <c r="QXI1997" s="55"/>
      <c r="QXJ1997" s="55"/>
      <c r="QXK1997" s="55"/>
      <c r="QXL1997" s="55"/>
      <c r="QXM1997" s="55"/>
      <c r="QXN1997" s="55"/>
      <c r="QXO1997" s="55"/>
      <c r="QXP1997" s="55"/>
      <c r="QXQ1997" s="55"/>
      <c r="QXR1997" s="55"/>
      <c r="QXS1997" s="55"/>
      <c r="QXT1997" s="55"/>
      <c r="QXU1997" s="55"/>
      <c r="QXV1997" s="55"/>
      <c r="QXW1997" s="55"/>
      <c r="QXX1997" s="55"/>
      <c r="QXY1997" s="55"/>
      <c r="QXZ1997" s="55"/>
      <c r="QYA1997" s="55"/>
      <c r="QYB1997" s="55"/>
      <c r="QYC1997" s="55"/>
      <c r="QYD1997" s="55"/>
      <c r="QYE1997" s="55"/>
      <c r="QYF1997" s="55"/>
      <c r="QYG1997" s="55"/>
      <c r="QYH1997" s="55"/>
      <c r="QYI1997" s="55"/>
      <c r="QYJ1997" s="55"/>
      <c r="QYK1997" s="55"/>
      <c r="QYL1997" s="55"/>
      <c r="QYM1997" s="55"/>
      <c r="QYN1997" s="55"/>
      <c r="QYO1997" s="55"/>
      <c r="QYP1997" s="55"/>
      <c r="QYQ1997" s="55"/>
      <c r="QYR1997" s="55"/>
      <c r="QYS1997" s="55"/>
      <c r="QYT1997" s="55"/>
      <c r="QYU1997" s="55"/>
      <c r="QYV1997" s="55"/>
      <c r="QYW1997" s="55"/>
      <c r="QYX1997" s="55"/>
      <c r="QYY1997" s="55"/>
      <c r="QYZ1997" s="55"/>
      <c r="QZA1997" s="55"/>
      <c r="QZB1997" s="55"/>
      <c r="QZC1997" s="55"/>
      <c r="QZD1997" s="55"/>
      <c r="QZE1997" s="55"/>
      <c r="QZF1997" s="55"/>
      <c r="QZG1997" s="55"/>
      <c r="QZH1997" s="55"/>
      <c r="QZI1997" s="55"/>
      <c r="QZJ1997" s="55"/>
      <c r="QZK1997" s="55"/>
      <c r="QZL1997" s="55"/>
      <c r="QZM1997" s="55"/>
      <c r="QZN1997" s="55"/>
      <c r="QZO1997" s="55"/>
      <c r="QZP1997" s="55"/>
      <c r="QZQ1997" s="55"/>
      <c r="QZR1997" s="55"/>
      <c r="QZS1997" s="55"/>
      <c r="QZT1997" s="55"/>
      <c r="QZU1997" s="55"/>
      <c r="QZV1997" s="55"/>
      <c r="QZW1997" s="55"/>
      <c r="QZX1997" s="55"/>
      <c r="QZY1997" s="55"/>
      <c r="QZZ1997" s="55"/>
      <c r="RAA1997" s="55"/>
      <c r="RAB1997" s="55"/>
      <c r="RAC1997" s="55"/>
      <c r="RAD1997" s="55"/>
      <c r="RAE1997" s="55"/>
      <c r="RAF1997" s="55"/>
      <c r="RAG1997" s="55"/>
      <c r="RAH1997" s="55"/>
      <c r="RAI1997" s="55"/>
      <c r="RAJ1997" s="55"/>
      <c r="RAK1997" s="55"/>
      <c r="RAL1997" s="55"/>
      <c r="RAM1997" s="55"/>
      <c r="RAN1997" s="55"/>
      <c r="RAO1997" s="55"/>
      <c r="RAP1997" s="55"/>
      <c r="RAQ1997" s="55"/>
      <c r="RAR1997" s="55"/>
      <c r="RAS1997" s="55"/>
      <c r="RAT1997" s="55"/>
      <c r="RAU1997" s="55"/>
      <c r="RAV1997" s="55"/>
      <c r="RAW1997" s="55"/>
      <c r="RAX1997" s="55"/>
      <c r="RAY1997" s="55"/>
      <c r="RAZ1997" s="55"/>
      <c r="RBA1997" s="55"/>
      <c r="RBB1997" s="55"/>
      <c r="RBC1997" s="55"/>
      <c r="RBD1997" s="55"/>
      <c r="RBE1997" s="55"/>
      <c r="RBF1997" s="55"/>
      <c r="RBG1997" s="55"/>
      <c r="RBH1997" s="55"/>
      <c r="RBI1997" s="55"/>
      <c r="RBJ1997" s="55"/>
      <c r="RBK1997" s="55"/>
      <c r="RBL1997" s="55"/>
      <c r="RBM1997" s="55"/>
      <c r="RBN1997" s="55"/>
      <c r="RBO1997" s="55"/>
      <c r="RBP1997" s="55"/>
      <c r="RBQ1997" s="55"/>
      <c r="RBR1997" s="55"/>
      <c r="RBS1997" s="55"/>
      <c r="RBT1997" s="55"/>
      <c r="RBU1997" s="55"/>
      <c r="RBV1997" s="55"/>
      <c r="RBW1997" s="55"/>
      <c r="RBX1997" s="55"/>
      <c r="RBY1997" s="55"/>
      <c r="RBZ1997" s="55"/>
      <c r="RCA1997" s="55"/>
      <c r="RCB1997" s="55"/>
      <c r="RCC1997" s="55"/>
      <c r="RCD1997" s="55"/>
      <c r="RCE1997" s="55"/>
      <c r="RCF1997" s="55"/>
      <c r="RCG1997" s="55"/>
      <c r="RCH1997" s="55"/>
      <c r="RCI1997" s="55"/>
      <c r="RCJ1997" s="55"/>
      <c r="RCK1997" s="55"/>
      <c r="RCL1997" s="55"/>
      <c r="RCM1997" s="55"/>
      <c r="RCN1997" s="55"/>
      <c r="RCO1997" s="55"/>
      <c r="RCP1997" s="55"/>
      <c r="RCQ1997" s="55"/>
      <c r="RCR1997" s="55"/>
      <c r="RCS1997" s="55"/>
      <c r="RCT1997" s="55"/>
      <c r="RCU1997" s="55"/>
      <c r="RCV1997" s="55"/>
      <c r="RCW1997" s="55"/>
      <c r="RCX1997" s="55"/>
      <c r="RCY1997" s="55"/>
      <c r="RCZ1997" s="55"/>
      <c r="RDA1997" s="55"/>
      <c r="RDB1997" s="55"/>
      <c r="RDC1997" s="55"/>
      <c r="RDD1997" s="55"/>
      <c r="RDE1997" s="55"/>
      <c r="RDF1997" s="55"/>
      <c r="RDG1997" s="55"/>
      <c r="RDH1997" s="55"/>
      <c r="RDI1997" s="55"/>
      <c r="RDJ1997" s="55"/>
      <c r="RDK1997" s="55"/>
      <c r="RDL1997" s="55"/>
      <c r="RDM1997" s="55"/>
      <c r="RDN1997" s="55"/>
      <c r="RDO1997" s="55"/>
      <c r="RDP1997" s="55"/>
      <c r="RDQ1997" s="55"/>
      <c r="RDR1997" s="55"/>
      <c r="RDS1997" s="55"/>
      <c r="RDT1997" s="55"/>
      <c r="RDU1997" s="55"/>
      <c r="RDV1997" s="55"/>
      <c r="RDW1997" s="55"/>
      <c r="RDX1997" s="55"/>
      <c r="RDY1997" s="55"/>
      <c r="RDZ1997" s="55"/>
      <c r="REA1997" s="55"/>
      <c r="REB1997" s="55"/>
      <c r="REC1997" s="55"/>
      <c r="RED1997" s="55"/>
      <c r="REE1997" s="55"/>
      <c r="REF1997" s="55"/>
      <c r="REG1997" s="55"/>
      <c r="REH1997" s="55"/>
      <c r="REI1997" s="55"/>
      <c r="REJ1997" s="55"/>
      <c r="REK1997" s="55"/>
      <c r="REL1997" s="55"/>
      <c r="REM1997" s="55"/>
      <c r="REN1997" s="55"/>
      <c r="REO1997" s="55"/>
      <c r="REP1997" s="55"/>
      <c r="REQ1997" s="55"/>
      <c r="RER1997" s="55"/>
      <c r="RES1997" s="55"/>
      <c r="RET1997" s="55"/>
      <c r="REU1997" s="55"/>
      <c r="REV1997" s="55"/>
      <c r="REW1997" s="55"/>
      <c r="REX1997" s="55"/>
      <c r="REY1997" s="55"/>
      <c r="REZ1997" s="55"/>
      <c r="RFA1997" s="55"/>
      <c r="RFB1997" s="55"/>
      <c r="RFC1997" s="55"/>
      <c r="RFD1997" s="55"/>
      <c r="RFE1997" s="55"/>
      <c r="RFF1997" s="55"/>
      <c r="RFG1997" s="55"/>
      <c r="RFH1997" s="55"/>
      <c r="RFI1997" s="55"/>
      <c r="RFJ1997" s="55"/>
      <c r="RFK1997" s="55"/>
      <c r="RFL1997" s="55"/>
      <c r="RFM1997" s="55"/>
      <c r="RFN1997" s="55"/>
      <c r="RFO1997" s="55"/>
      <c r="RFP1997" s="55"/>
      <c r="RFQ1997" s="55"/>
      <c r="RFR1997" s="55"/>
      <c r="RFS1997" s="55"/>
      <c r="RFT1997" s="55"/>
      <c r="RFU1997" s="55"/>
      <c r="RFV1997" s="55"/>
      <c r="RFW1997" s="55"/>
      <c r="RFX1997" s="55"/>
      <c r="RFY1997" s="55"/>
      <c r="RFZ1997" s="55"/>
      <c r="RGA1997" s="55"/>
      <c r="RGB1997" s="55"/>
      <c r="RGC1997" s="55"/>
      <c r="RGD1997" s="55"/>
      <c r="RGE1997" s="55"/>
      <c r="RGF1997" s="55"/>
      <c r="RGG1997" s="55"/>
      <c r="RGH1997" s="55"/>
      <c r="RGI1997" s="55"/>
      <c r="RGJ1997" s="55"/>
      <c r="RGK1997" s="55"/>
      <c r="RGL1997" s="55"/>
      <c r="RGM1997" s="55"/>
      <c r="RGN1997" s="55"/>
      <c r="RGO1997" s="55"/>
      <c r="RGP1997" s="55"/>
      <c r="RGQ1997" s="55"/>
      <c r="RGR1997" s="55"/>
      <c r="RGS1997" s="55"/>
      <c r="RGT1997" s="55"/>
      <c r="RGU1997" s="55"/>
      <c r="RGV1997" s="55"/>
      <c r="RGW1997" s="55"/>
      <c r="RGX1997" s="55"/>
      <c r="RGY1997" s="55"/>
      <c r="RGZ1997" s="55"/>
      <c r="RHA1997" s="55"/>
      <c r="RHB1997" s="55"/>
      <c r="RHC1997" s="55"/>
      <c r="RHD1997" s="55"/>
      <c r="RHE1997" s="55"/>
      <c r="RHF1997" s="55"/>
      <c r="RHG1997" s="55"/>
      <c r="RHH1997" s="55"/>
      <c r="RHI1997" s="55"/>
      <c r="RHJ1997" s="55"/>
      <c r="RHK1997" s="55"/>
      <c r="RHL1997" s="55"/>
      <c r="RHM1997" s="55"/>
      <c r="RHN1997" s="55"/>
      <c r="RHO1997" s="55"/>
      <c r="RHP1997" s="55"/>
      <c r="RHQ1997" s="55"/>
      <c r="RHR1997" s="55"/>
      <c r="RHS1997" s="55"/>
      <c r="RHT1997" s="55"/>
      <c r="RHU1997" s="55"/>
      <c r="RHV1997" s="55"/>
      <c r="RHW1997" s="55"/>
      <c r="RHX1997" s="55"/>
      <c r="RHY1997" s="55"/>
      <c r="RHZ1997" s="55"/>
      <c r="RIA1997" s="55"/>
      <c r="RIB1997" s="55"/>
      <c r="RIC1997" s="55"/>
      <c r="RID1997" s="55"/>
      <c r="RIE1997" s="55"/>
      <c r="RIF1997" s="55"/>
      <c r="RIG1997" s="55"/>
      <c r="RIH1997" s="55"/>
      <c r="RII1997" s="55"/>
      <c r="RIJ1997" s="55"/>
      <c r="RIK1997" s="55"/>
      <c r="RIL1997" s="55"/>
      <c r="RIM1997" s="55"/>
      <c r="RIN1997" s="55"/>
      <c r="RIO1997" s="55"/>
      <c r="RIP1997" s="55"/>
      <c r="RIQ1997" s="55"/>
      <c r="RIR1997" s="55"/>
      <c r="RIS1997" s="55"/>
      <c r="RIT1997" s="55"/>
      <c r="RIU1997" s="55"/>
      <c r="RIV1997" s="55"/>
      <c r="RIW1997" s="55"/>
      <c r="RIX1997" s="55"/>
      <c r="RIY1997" s="55"/>
      <c r="RIZ1997" s="55"/>
      <c r="RJA1997" s="55"/>
      <c r="RJB1997" s="55"/>
      <c r="RJC1997" s="55"/>
      <c r="RJD1997" s="55"/>
      <c r="RJE1997" s="55"/>
      <c r="RJF1997" s="55"/>
      <c r="RJG1997" s="55"/>
      <c r="RJH1997" s="55"/>
      <c r="RJI1997" s="55"/>
      <c r="RJJ1997" s="55"/>
      <c r="RJK1997" s="55"/>
      <c r="RJL1997" s="55"/>
      <c r="RJM1997" s="55"/>
      <c r="RJN1997" s="55"/>
      <c r="RJO1997" s="55"/>
      <c r="RJP1997" s="55"/>
      <c r="RJQ1997" s="55"/>
      <c r="RJR1997" s="55"/>
      <c r="RJS1997" s="55"/>
      <c r="RJT1997" s="55"/>
      <c r="RJU1997" s="55"/>
      <c r="RJV1997" s="55"/>
      <c r="RJW1997" s="55"/>
      <c r="RJX1997" s="55"/>
      <c r="RJY1997" s="55"/>
      <c r="RJZ1997" s="55"/>
      <c r="RKA1997" s="55"/>
      <c r="RKB1997" s="55"/>
      <c r="RKC1997" s="55"/>
      <c r="RKD1997" s="55"/>
      <c r="RKE1997" s="55"/>
      <c r="RKF1997" s="55"/>
      <c r="RKG1997" s="55"/>
      <c r="RKH1997" s="55"/>
      <c r="RKI1997" s="55"/>
      <c r="RKJ1997" s="55"/>
      <c r="RKK1997" s="55"/>
      <c r="RKL1997" s="55"/>
      <c r="RKM1997" s="55"/>
      <c r="RKN1997" s="55"/>
      <c r="RKO1997" s="55"/>
      <c r="RKP1997" s="55"/>
      <c r="RKQ1997" s="55"/>
      <c r="RKR1997" s="55"/>
      <c r="RKS1997" s="55"/>
      <c r="RKT1997" s="55"/>
      <c r="RKU1997" s="55"/>
      <c r="RKV1997" s="55"/>
      <c r="RKW1997" s="55"/>
      <c r="RKX1997" s="55"/>
      <c r="RKY1997" s="55"/>
      <c r="RKZ1997" s="55"/>
      <c r="RLA1997" s="55"/>
      <c r="RLB1997" s="55"/>
      <c r="RLC1997" s="55"/>
      <c r="RLD1997" s="55"/>
      <c r="RLE1997" s="55"/>
      <c r="RLF1997" s="55"/>
      <c r="RLG1997" s="55"/>
      <c r="RLH1997" s="55"/>
      <c r="RLI1997" s="55"/>
      <c r="RLJ1997" s="55"/>
      <c r="RLK1997" s="55"/>
      <c r="RLL1997" s="55"/>
      <c r="RLM1997" s="55"/>
      <c r="RLN1997" s="55"/>
      <c r="RLO1997" s="55"/>
      <c r="RLP1997" s="55"/>
      <c r="RLQ1997" s="55"/>
      <c r="RLR1997" s="55"/>
      <c r="RLS1997" s="55"/>
      <c r="RLT1997" s="55"/>
      <c r="RLU1997" s="55"/>
      <c r="RLV1997" s="55"/>
      <c r="RLW1997" s="55"/>
      <c r="RLX1997" s="55"/>
      <c r="RLY1997" s="55"/>
      <c r="RLZ1997" s="55"/>
      <c r="RMA1997" s="55"/>
      <c r="RMB1997" s="55"/>
      <c r="RMC1997" s="55"/>
      <c r="RMD1997" s="55"/>
      <c r="RME1997" s="55"/>
      <c r="RMF1997" s="55"/>
      <c r="RMG1997" s="55"/>
      <c r="RMH1997" s="55"/>
      <c r="RMI1997" s="55"/>
      <c r="RMJ1997" s="55"/>
      <c r="RMK1997" s="55"/>
      <c r="RML1997" s="55"/>
      <c r="RMM1997" s="55"/>
      <c r="RMN1997" s="55"/>
      <c r="RMO1997" s="55"/>
      <c r="RMP1997" s="55"/>
      <c r="RMQ1997" s="55"/>
      <c r="RMR1997" s="55"/>
      <c r="RMS1997" s="55"/>
      <c r="RMT1997" s="55"/>
      <c r="RMU1997" s="55"/>
      <c r="RMV1997" s="55"/>
      <c r="RMW1997" s="55"/>
      <c r="RMX1997" s="55"/>
      <c r="RMY1997" s="55"/>
      <c r="RMZ1997" s="55"/>
      <c r="RNA1997" s="55"/>
      <c r="RNB1997" s="55"/>
      <c r="RNC1997" s="55"/>
      <c r="RND1997" s="55"/>
      <c r="RNE1997" s="55"/>
      <c r="RNF1997" s="55"/>
      <c r="RNG1997" s="55"/>
      <c r="RNH1997" s="55"/>
      <c r="RNI1997" s="55"/>
      <c r="RNJ1997" s="55"/>
      <c r="RNK1997" s="55"/>
      <c r="RNL1997" s="55"/>
      <c r="RNM1997" s="55"/>
      <c r="RNN1997" s="55"/>
      <c r="RNO1997" s="55"/>
      <c r="RNP1997" s="55"/>
      <c r="RNQ1997" s="55"/>
      <c r="RNR1997" s="55"/>
      <c r="RNS1997" s="55"/>
      <c r="RNT1997" s="55"/>
      <c r="RNU1997" s="55"/>
      <c r="RNV1997" s="55"/>
      <c r="RNW1997" s="55"/>
      <c r="RNX1997" s="55"/>
      <c r="RNY1997" s="55"/>
      <c r="RNZ1997" s="55"/>
      <c r="ROA1997" s="55"/>
      <c r="ROB1997" s="55"/>
      <c r="ROC1997" s="55"/>
      <c r="ROD1997" s="55"/>
      <c r="ROE1997" s="55"/>
      <c r="ROF1997" s="55"/>
      <c r="ROG1997" s="55"/>
      <c r="ROH1997" s="55"/>
      <c r="ROI1997" s="55"/>
      <c r="ROJ1997" s="55"/>
      <c r="ROK1997" s="55"/>
      <c r="ROL1997" s="55"/>
      <c r="ROM1997" s="55"/>
      <c r="RON1997" s="55"/>
      <c r="ROO1997" s="55"/>
      <c r="ROP1997" s="55"/>
      <c r="ROQ1997" s="55"/>
      <c r="ROR1997" s="55"/>
      <c r="ROS1997" s="55"/>
      <c r="ROT1997" s="55"/>
      <c r="ROU1997" s="55"/>
      <c r="ROV1997" s="55"/>
      <c r="ROW1997" s="55"/>
      <c r="ROX1997" s="55"/>
      <c r="ROY1997" s="55"/>
      <c r="ROZ1997" s="55"/>
      <c r="RPA1997" s="55"/>
      <c r="RPB1997" s="55"/>
      <c r="RPC1997" s="55"/>
      <c r="RPD1997" s="55"/>
      <c r="RPE1997" s="55"/>
      <c r="RPF1997" s="55"/>
      <c r="RPG1997" s="55"/>
      <c r="RPH1997" s="55"/>
      <c r="RPI1997" s="55"/>
      <c r="RPJ1997" s="55"/>
      <c r="RPK1997" s="55"/>
      <c r="RPL1997" s="55"/>
      <c r="RPM1997" s="55"/>
      <c r="RPN1997" s="55"/>
      <c r="RPO1997" s="55"/>
      <c r="RPP1997" s="55"/>
      <c r="RPQ1997" s="55"/>
      <c r="RPR1997" s="55"/>
      <c r="RPS1997" s="55"/>
      <c r="RPT1997" s="55"/>
      <c r="RPU1997" s="55"/>
      <c r="RPV1997" s="55"/>
      <c r="RPW1997" s="55"/>
      <c r="RPX1997" s="55"/>
      <c r="RPY1997" s="55"/>
      <c r="RPZ1997" s="55"/>
      <c r="RQA1997" s="55"/>
      <c r="RQB1997" s="55"/>
      <c r="RQC1997" s="55"/>
      <c r="RQD1997" s="55"/>
      <c r="RQE1997" s="55"/>
      <c r="RQF1997" s="55"/>
      <c r="RQG1997" s="55"/>
      <c r="RQH1997" s="55"/>
      <c r="RQI1997" s="55"/>
      <c r="RQJ1997" s="55"/>
      <c r="RQK1997" s="55"/>
      <c r="RQL1997" s="55"/>
      <c r="RQM1997" s="55"/>
      <c r="RQN1997" s="55"/>
      <c r="RQO1997" s="55"/>
      <c r="RQP1997" s="55"/>
      <c r="RQQ1997" s="55"/>
      <c r="RQR1997" s="55"/>
      <c r="RQS1997" s="55"/>
      <c r="RQT1997" s="55"/>
      <c r="RQU1997" s="55"/>
      <c r="RQV1997" s="55"/>
      <c r="RQW1997" s="55"/>
      <c r="RQX1997" s="55"/>
      <c r="RQY1997" s="55"/>
      <c r="RQZ1997" s="55"/>
      <c r="RRA1997" s="55"/>
      <c r="RRB1997" s="55"/>
      <c r="RRC1997" s="55"/>
      <c r="RRD1997" s="55"/>
      <c r="RRE1997" s="55"/>
      <c r="RRF1997" s="55"/>
      <c r="RRG1997" s="55"/>
      <c r="RRH1997" s="55"/>
      <c r="RRI1997" s="55"/>
      <c r="RRJ1997" s="55"/>
      <c r="RRK1997" s="55"/>
      <c r="RRL1997" s="55"/>
      <c r="RRM1997" s="55"/>
      <c r="RRN1997" s="55"/>
      <c r="RRO1997" s="55"/>
      <c r="RRP1997" s="55"/>
      <c r="RRQ1997" s="55"/>
      <c r="RRR1997" s="55"/>
      <c r="RRS1997" s="55"/>
      <c r="RRT1997" s="55"/>
      <c r="RRU1997" s="55"/>
      <c r="RRV1997" s="55"/>
      <c r="RRW1997" s="55"/>
      <c r="RRX1997" s="55"/>
      <c r="RRY1997" s="55"/>
      <c r="RRZ1997" s="55"/>
      <c r="RSA1997" s="55"/>
      <c r="RSB1997" s="55"/>
      <c r="RSC1997" s="55"/>
      <c r="RSD1997" s="55"/>
      <c r="RSE1997" s="55"/>
      <c r="RSF1997" s="55"/>
      <c r="RSG1997" s="55"/>
      <c r="RSH1997" s="55"/>
      <c r="RSI1997" s="55"/>
      <c r="RSJ1997" s="55"/>
      <c r="RSK1997" s="55"/>
      <c r="RSL1997" s="55"/>
      <c r="RSM1997" s="55"/>
      <c r="RSN1997" s="55"/>
      <c r="RSO1997" s="55"/>
      <c r="RSP1997" s="55"/>
      <c r="RSQ1997" s="55"/>
      <c r="RSR1997" s="55"/>
      <c r="RSS1997" s="55"/>
      <c r="RST1997" s="55"/>
      <c r="RSU1997" s="55"/>
      <c r="RSV1997" s="55"/>
      <c r="RSW1997" s="55"/>
      <c r="RSX1997" s="55"/>
      <c r="RSY1997" s="55"/>
      <c r="RSZ1997" s="55"/>
      <c r="RTA1997" s="55"/>
      <c r="RTB1997" s="55"/>
      <c r="RTC1997" s="55"/>
      <c r="RTD1997" s="55"/>
      <c r="RTE1997" s="55"/>
      <c r="RTF1997" s="55"/>
      <c r="RTG1997" s="55"/>
      <c r="RTH1997" s="55"/>
      <c r="RTI1997" s="55"/>
      <c r="RTJ1997" s="55"/>
      <c r="RTK1997" s="55"/>
      <c r="RTL1997" s="55"/>
      <c r="RTM1997" s="55"/>
      <c r="RTN1997" s="55"/>
      <c r="RTO1997" s="55"/>
      <c r="RTP1997" s="55"/>
      <c r="RTQ1997" s="55"/>
      <c r="RTR1997" s="55"/>
      <c r="RTS1997" s="55"/>
      <c r="RTT1997" s="55"/>
      <c r="RTU1997" s="55"/>
      <c r="RTV1997" s="55"/>
      <c r="RTW1997" s="55"/>
      <c r="RTX1997" s="55"/>
      <c r="RTY1997" s="55"/>
      <c r="RTZ1997" s="55"/>
      <c r="RUA1997" s="55"/>
      <c r="RUB1997" s="55"/>
      <c r="RUC1997" s="55"/>
      <c r="RUD1997" s="55"/>
      <c r="RUE1997" s="55"/>
      <c r="RUF1997" s="55"/>
      <c r="RUG1997" s="55"/>
      <c r="RUH1997" s="55"/>
      <c r="RUI1997" s="55"/>
      <c r="RUJ1997" s="55"/>
      <c r="RUK1997" s="55"/>
      <c r="RUL1997" s="55"/>
      <c r="RUM1997" s="55"/>
      <c r="RUN1997" s="55"/>
      <c r="RUO1997" s="55"/>
      <c r="RUP1997" s="55"/>
      <c r="RUQ1997" s="55"/>
      <c r="RUR1997" s="55"/>
      <c r="RUS1997" s="55"/>
      <c r="RUT1997" s="55"/>
      <c r="RUU1997" s="55"/>
      <c r="RUV1997" s="55"/>
      <c r="RUW1997" s="55"/>
      <c r="RUX1997" s="55"/>
      <c r="RUY1997" s="55"/>
      <c r="RUZ1997" s="55"/>
      <c r="RVA1997" s="55"/>
      <c r="RVB1997" s="55"/>
      <c r="RVC1997" s="55"/>
      <c r="RVD1997" s="55"/>
      <c r="RVE1997" s="55"/>
      <c r="RVF1997" s="55"/>
      <c r="RVG1997" s="55"/>
      <c r="RVH1997" s="55"/>
      <c r="RVI1997" s="55"/>
      <c r="RVJ1997" s="55"/>
      <c r="RVK1997" s="55"/>
      <c r="RVL1997" s="55"/>
      <c r="RVM1997" s="55"/>
      <c r="RVN1997" s="55"/>
      <c r="RVO1997" s="55"/>
      <c r="RVP1997" s="55"/>
      <c r="RVQ1997" s="55"/>
      <c r="RVR1997" s="55"/>
      <c r="RVS1997" s="55"/>
      <c r="RVT1997" s="55"/>
      <c r="RVU1997" s="55"/>
      <c r="RVV1997" s="55"/>
      <c r="RVW1997" s="55"/>
      <c r="RVX1997" s="55"/>
      <c r="RVY1997" s="55"/>
      <c r="RVZ1997" s="55"/>
      <c r="RWA1997" s="55"/>
      <c r="RWB1997" s="55"/>
      <c r="RWC1997" s="55"/>
      <c r="RWD1997" s="55"/>
      <c r="RWE1997" s="55"/>
      <c r="RWF1997" s="55"/>
      <c r="RWG1997" s="55"/>
      <c r="RWH1997" s="55"/>
      <c r="RWI1997" s="55"/>
      <c r="RWJ1997" s="55"/>
      <c r="RWK1997" s="55"/>
      <c r="RWL1997" s="55"/>
      <c r="RWM1997" s="55"/>
      <c r="RWN1997" s="55"/>
      <c r="RWO1997" s="55"/>
      <c r="RWP1997" s="55"/>
      <c r="RWQ1997" s="55"/>
      <c r="RWR1997" s="55"/>
      <c r="RWS1997" s="55"/>
      <c r="RWT1997" s="55"/>
      <c r="RWU1997" s="55"/>
      <c r="RWV1997" s="55"/>
      <c r="RWW1997" s="55"/>
      <c r="RWX1997" s="55"/>
      <c r="RWY1997" s="55"/>
      <c r="RWZ1997" s="55"/>
      <c r="RXA1997" s="55"/>
      <c r="RXB1997" s="55"/>
      <c r="RXC1997" s="55"/>
      <c r="RXD1997" s="55"/>
      <c r="RXE1997" s="55"/>
      <c r="RXF1997" s="55"/>
      <c r="RXG1997" s="55"/>
      <c r="RXH1997" s="55"/>
      <c r="RXI1997" s="55"/>
      <c r="RXJ1997" s="55"/>
      <c r="RXK1997" s="55"/>
      <c r="RXL1997" s="55"/>
      <c r="RXM1997" s="55"/>
      <c r="RXN1997" s="55"/>
      <c r="RXO1997" s="55"/>
      <c r="RXP1997" s="55"/>
      <c r="RXQ1997" s="55"/>
      <c r="RXR1997" s="55"/>
      <c r="RXS1997" s="55"/>
      <c r="RXT1997" s="55"/>
      <c r="RXU1997" s="55"/>
      <c r="RXV1997" s="55"/>
      <c r="RXW1997" s="55"/>
      <c r="RXX1997" s="55"/>
      <c r="RXY1997" s="55"/>
      <c r="RXZ1997" s="55"/>
      <c r="RYA1997" s="55"/>
      <c r="RYB1997" s="55"/>
      <c r="RYC1997" s="55"/>
      <c r="RYD1997" s="55"/>
      <c r="RYE1997" s="55"/>
      <c r="RYF1997" s="55"/>
      <c r="RYG1997" s="55"/>
      <c r="RYH1997" s="55"/>
      <c r="RYI1997" s="55"/>
      <c r="RYJ1997" s="55"/>
      <c r="RYK1997" s="55"/>
      <c r="RYL1997" s="55"/>
      <c r="RYM1997" s="55"/>
      <c r="RYN1997" s="55"/>
      <c r="RYO1997" s="55"/>
      <c r="RYP1997" s="55"/>
      <c r="RYQ1997" s="55"/>
      <c r="RYR1997" s="55"/>
      <c r="RYS1997" s="55"/>
      <c r="RYT1997" s="55"/>
      <c r="RYU1997" s="55"/>
      <c r="RYV1997" s="55"/>
      <c r="RYW1997" s="55"/>
      <c r="RYX1997" s="55"/>
      <c r="RYY1997" s="55"/>
      <c r="RYZ1997" s="55"/>
      <c r="RZA1997" s="55"/>
      <c r="RZB1997" s="55"/>
      <c r="RZC1997" s="55"/>
      <c r="RZD1997" s="55"/>
      <c r="RZE1997" s="55"/>
      <c r="RZF1997" s="55"/>
      <c r="RZG1997" s="55"/>
      <c r="RZH1997" s="55"/>
      <c r="RZI1997" s="55"/>
      <c r="RZJ1997" s="55"/>
      <c r="RZK1997" s="55"/>
      <c r="RZL1997" s="55"/>
      <c r="RZM1997" s="55"/>
      <c r="RZN1997" s="55"/>
      <c r="RZO1997" s="55"/>
      <c r="RZP1997" s="55"/>
      <c r="RZQ1997" s="55"/>
      <c r="RZR1997" s="55"/>
      <c r="RZS1997" s="55"/>
      <c r="RZT1997" s="55"/>
      <c r="RZU1997" s="55"/>
      <c r="RZV1997" s="55"/>
      <c r="RZW1997" s="55"/>
      <c r="RZX1997" s="55"/>
      <c r="RZY1997" s="55"/>
      <c r="RZZ1997" s="55"/>
      <c r="SAA1997" s="55"/>
      <c r="SAB1997" s="55"/>
      <c r="SAC1997" s="55"/>
      <c r="SAD1997" s="55"/>
      <c r="SAE1997" s="55"/>
      <c r="SAF1997" s="55"/>
      <c r="SAG1997" s="55"/>
      <c r="SAH1997" s="55"/>
      <c r="SAI1997" s="55"/>
      <c r="SAJ1997" s="55"/>
      <c r="SAK1997" s="55"/>
      <c r="SAL1997" s="55"/>
      <c r="SAM1997" s="55"/>
      <c r="SAN1997" s="55"/>
      <c r="SAO1997" s="55"/>
      <c r="SAP1997" s="55"/>
      <c r="SAQ1997" s="55"/>
      <c r="SAR1997" s="55"/>
      <c r="SAS1997" s="55"/>
      <c r="SAT1997" s="55"/>
      <c r="SAU1997" s="55"/>
      <c r="SAV1997" s="55"/>
      <c r="SAW1997" s="55"/>
      <c r="SAX1997" s="55"/>
      <c r="SAY1997" s="55"/>
      <c r="SAZ1997" s="55"/>
      <c r="SBA1997" s="55"/>
      <c r="SBB1997" s="55"/>
      <c r="SBC1997" s="55"/>
      <c r="SBD1997" s="55"/>
      <c r="SBE1997" s="55"/>
      <c r="SBF1997" s="55"/>
      <c r="SBG1997" s="55"/>
      <c r="SBH1997" s="55"/>
      <c r="SBI1997" s="55"/>
      <c r="SBJ1997" s="55"/>
      <c r="SBK1997" s="55"/>
      <c r="SBL1997" s="55"/>
      <c r="SBM1997" s="55"/>
      <c r="SBN1997" s="55"/>
      <c r="SBO1997" s="55"/>
      <c r="SBP1997" s="55"/>
      <c r="SBQ1997" s="55"/>
      <c r="SBR1997" s="55"/>
      <c r="SBS1997" s="55"/>
      <c r="SBT1997" s="55"/>
      <c r="SBU1997" s="55"/>
      <c r="SBV1997" s="55"/>
      <c r="SBW1997" s="55"/>
      <c r="SBX1997" s="55"/>
      <c r="SBY1997" s="55"/>
      <c r="SBZ1997" s="55"/>
      <c r="SCA1997" s="55"/>
      <c r="SCB1997" s="55"/>
      <c r="SCC1997" s="55"/>
      <c r="SCD1997" s="55"/>
      <c r="SCE1997" s="55"/>
      <c r="SCF1997" s="55"/>
      <c r="SCG1997" s="55"/>
      <c r="SCH1997" s="55"/>
      <c r="SCI1997" s="55"/>
      <c r="SCJ1997" s="55"/>
      <c r="SCK1997" s="55"/>
      <c r="SCL1997" s="55"/>
      <c r="SCM1997" s="55"/>
      <c r="SCN1997" s="55"/>
      <c r="SCO1997" s="55"/>
      <c r="SCP1997" s="55"/>
      <c r="SCQ1997" s="55"/>
      <c r="SCR1997" s="55"/>
      <c r="SCS1997" s="55"/>
      <c r="SCT1997" s="55"/>
      <c r="SCU1997" s="55"/>
      <c r="SCV1997" s="55"/>
      <c r="SCW1997" s="55"/>
      <c r="SCX1997" s="55"/>
      <c r="SCY1997" s="55"/>
      <c r="SCZ1997" s="55"/>
      <c r="SDA1997" s="55"/>
      <c r="SDB1997" s="55"/>
      <c r="SDC1997" s="55"/>
      <c r="SDD1997" s="55"/>
      <c r="SDE1997" s="55"/>
      <c r="SDF1997" s="55"/>
      <c r="SDG1997" s="55"/>
      <c r="SDH1997" s="55"/>
      <c r="SDI1997" s="55"/>
      <c r="SDJ1997" s="55"/>
      <c r="SDK1997" s="55"/>
      <c r="SDL1997" s="55"/>
      <c r="SDM1997" s="55"/>
      <c r="SDN1997" s="55"/>
      <c r="SDO1997" s="55"/>
      <c r="SDP1997" s="55"/>
      <c r="SDQ1997" s="55"/>
      <c r="SDR1997" s="55"/>
      <c r="SDS1997" s="55"/>
      <c r="SDT1997" s="55"/>
      <c r="SDU1997" s="55"/>
      <c r="SDV1997" s="55"/>
      <c r="SDW1997" s="55"/>
      <c r="SDX1997" s="55"/>
      <c r="SDY1997" s="55"/>
      <c r="SDZ1997" s="55"/>
      <c r="SEA1997" s="55"/>
      <c r="SEB1997" s="55"/>
      <c r="SEC1997" s="55"/>
      <c r="SED1997" s="55"/>
      <c r="SEE1997" s="55"/>
      <c r="SEF1997" s="55"/>
      <c r="SEG1997" s="55"/>
      <c r="SEH1997" s="55"/>
      <c r="SEI1997" s="55"/>
      <c r="SEJ1997" s="55"/>
      <c r="SEK1997" s="55"/>
      <c r="SEL1997" s="55"/>
      <c r="SEM1997" s="55"/>
      <c r="SEN1997" s="55"/>
      <c r="SEO1997" s="55"/>
      <c r="SEP1997" s="55"/>
      <c r="SEQ1997" s="55"/>
      <c r="SER1997" s="55"/>
      <c r="SES1997" s="55"/>
      <c r="SET1997" s="55"/>
      <c r="SEU1997" s="55"/>
      <c r="SEV1997" s="55"/>
      <c r="SEW1997" s="55"/>
      <c r="SEX1997" s="55"/>
      <c r="SEY1997" s="55"/>
      <c r="SEZ1997" s="55"/>
      <c r="SFA1997" s="55"/>
      <c r="SFB1997" s="55"/>
      <c r="SFC1997" s="55"/>
      <c r="SFD1997" s="55"/>
      <c r="SFE1997" s="55"/>
      <c r="SFF1997" s="55"/>
      <c r="SFG1997" s="55"/>
      <c r="SFH1997" s="55"/>
      <c r="SFI1997" s="55"/>
      <c r="SFJ1997" s="55"/>
      <c r="SFK1997" s="55"/>
      <c r="SFL1997" s="55"/>
      <c r="SFM1997" s="55"/>
      <c r="SFN1997" s="55"/>
      <c r="SFO1997" s="55"/>
      <c r="SFP1997" s="55"/>
      <c r="SFQ1997" s="55"/>
      <c r="SFR1997" s="55"/>
      <c r="SFS1997" s="55"/>
      <c r="SFT1997" s="55"/>
      <c r="SFU1997" s="55"/>
      <c r="SFV1997" s="55"/>
      <c r="SFW1997" s="55"/>
      <c r="SFX1997" s="55"/>
      <c r="SFY1997" s="55"/>
      <c r="SFZ1997" s="55"/>
      <c r="SGA1997" s="55"/>
      <c r="SGB1997" s="55"/>
      <c r="SGC1997" s="55"/>
      <c r="SGD1997" s="55"/>
      <c r="SGE1997" s="55"/>
      <c r="SGF1997" s="55"/>
      <c r="SGG1997" s="55"/>
      <c r="SGH1997" s="55"/>
      <c r="SGI1997" s="55"/>
      <c r="SGJ1997" s="55"/>
      <c r="SGK1997" s="55"/>
      <c r="SGL1997" s="55"/>
      <c r="SGM1997" s="55"/>
      <c r="SGN1997" s="55"/>
      <c r="SGO1997" s="55"/>
      <c r="SGP1997" s="55"/>
      <c r="SGQ1997" s="55"/>
      <c r="SGR1997" s="55"/>
      <c r="SGS1997" s="55"/>
      <c r="SGT1997" s="55"/>
      <c r="SGU1997" s="55"/>
      <c r="SGV1997" s="55"/>
      <c r="SGW1997" s="55"/>
      <c r="SGX1997" s="55"/>
      <c r="SGY1997" s="55"/>
      <c r="SGZ1997" s="55"/>
      <c r="SHA1997" s="55"/>
      <c r="SHB1997" s="55"/>
      <c r="SHC1997" s="55"/>
      <c r="SHD1997" s="55"/>
      <c r="SHE1997" s="55"/>
      <c r="SHF1997" s="55"/>
      <c r="SHG1997" s="55"/>
      <c r="SHH1997" s="55"/>
      <c r="SHI1997" s="55"/>
      <c r="SHJ1997" s="55"/>
      <c r="SHK1997" s="55"/>
      <c r="SHL1997" s="55"/>
      <c r="SHM1997" s="55"/>
      <c r="SHN1997" s="55"/>
      <c r="SHO1997" s="55"/>
      <c r="SHP1997" s="55"/>
      <c r="SHQ1997" s="55"/>
      <c r="SHR1997" s="55"/>
      <c r="SHS1997" s="55"/>
      <c r="SHT1997" s="55"/>
      <c r="SHU1997" s="55"/>
      <c r="SHV1997" s="55"/>
      <c r="SHW1997" s="55"/>
      <c r="SHX1997" s="55"/>
      <c r="SHY1997" s="55"/>
      <c r="SHZ1997" s="55"/>
      <c r="SIA1997" s="55"/>
      <c r="SIB1997" s="55"/>
      <c r="SIC1997" s="55"/>
      <c r="SID1997" s="55"/>
      <c r="SIE1997" s="55"/>
      <c r="SIF1997" s="55"/>
      <c r="SIG1997" s="55"/>
      <c r="SIH1997" s="55"/>
      <c r="SII1997" s="55"/>
      <c r="SIJ1997" s="55"/>
      <c r="SIK1997" s="55"/>
      <c r="SIL1997" s="55"/>
      <c r="SIM1997" s="55"/>
      <c r="SIN1997" s="55"/>
      <c r="SIO1997" s="55"/>
      <c r="SIP1997" s="55"/>
      <c r="SIQ1997" s="55"/>
      <c r="SIR1997" s="55"/>
      <c r="SIS1997" s="55"/>
      <c r="SIT1997" s="55"/>
      <c r="SIU1997" s="55"/>
      <c r="SIV1997" s="55"/>
      <c r="SIW1997" s="55"/>
      <c r="SIX1997" s="55"/>
      <c r="SIY1997" s="55"/>
      <c r="SIZ1997" s="55"/>
      <c r="SJA1997" s="55"/>
      <c r="SJB1997" s="55"/>
      <c r="SJC1997" s="55"/>
      <c r="SJD1997" s="55"/>
      <c r="SJE1997" s="55"/>
      <c r="SJF1997" s="55"/>
      <c r="SJG1997" s="55"/>
      <c r="SJH1997" s="55"/>
      <c r="SJI1997" s="55"/>
      <c r="SJJ1997" s="55"/>
      <c r="SJK1997" s="55"/>
      <c r="SJL1997" s="55"/>
      <c r="SJM1997" s="55"/>
      <c r="SJN1997" s="55"/>
      <c r="SJO1997" s="55"/>
      <c r="SJP1997" s="55"/>
      <c r="SJQ1997" s="55"/>
      <c r="SJR1997" s="55"/>
      <c r="SJS1997" s="55"/>
      <c r="SJT1997" s="55"/>
      <c r="SJU1997" s="55"/>
      <c r="SJV1997" s="55"/>
      <c r="SJW1997" s="55"/>
      <c r="SJX1997" s="55"/>
      <c r="SJY1997" s="55"/>
      <c r="SJZ1997" s="55"/>
      <c r="SKA1997" s="55"/>
      <c r="SKB1997" s="55"/>
      <c r="SKC1997" s="55"/>
      <c r="SKD1997" s="55"/>
      <c r="SKE1997" s="55"/>
      <c r="SKF1997" s="55"/>
      <c r="SKG1997" s="55"/>
      <c r="SKH1997" s="55"/>
      <c r="SKI1997" s="55"/>
      <c r="SKJ1997" s="55"/>
      <c r="SKK1997" s="55"/>
      <c r="SKL1997" s="55"/>
      <c r="SKM1997" s="55"/>
      <c r="SKN1997" s="55"/>
      <c r="SKO1997" s="55"/>
      <c r="SKP1997" s="55"/>
      <c r="SKQ1997" s="55"/>
      <c r="SKR1997" s="55"/>
      <c r="SKS1997" s="55"/>
      <c r="SKT1997" s="55"/>
      <c r="SKU1997" s="55"/>
      <c r="SKV1997" s="55"/>
      <c r="SKW1997" s="55"/>
      <c r="SKX1997" s="55"/>
      <c r="SKY1997" s="55"/>
      <c r="SKZ1997" s="55"/>
      <c r="SLA1997" s="55"/>
      <c r="SLB1997" s="55"/>
      <c r="SLC1997" s="55"/>
      <c r="SLD1997" s="55"/>
      <c r="SLE1997" s="55"/>
      <c r="SLF1997" s="55"/>
      <c r="SLG1997" s="55"/>
      <c r="SLH1997" s="55"/>
      <c r="SLI1997" s="55"/>
      <c r="SLJ1997" s="55"/>
      <c r="SLK1997" s="55"/>
      <c r="SLL1997" s="55"/>
      <c r="SLM1997" s="55"/>
      <c r="SLN1997" s="55"/>
      <c r="SLO1997" s="55"/>
      <c r="SLP1997" s="55"/>
      <c r="SLQ1997" s="55"/>
      <c r="SLR1997" s="55"/>
      <c r="SLS1997" s="55"/>
      <c r="SLT1997" s="55"/>
      <c r="SLU1997" s="55"/>
      <c r="SLV1997" s="55"/>
      <c r="SLW1997" s="55"/>
      <c r="SLX1997" s="55"/>
      <c r="SLY1997" s="55"/>
      <c r="SLZ1997" s="55"/>
      <c r="SMA1997" s="55"/>
      <c r="SMB1997" s="55"/>
      <c r="SMC1997" s="55"/>
      <c r="SMD1997" s="55"/>
      <c r="SME1997" s="55"/>
      <c r="SMF1997" s="55"/>
      <c r="SMG1997" s="55"/>
      <c r="SMH1997" s="55"/>
      <c r="SMI1997" s="55"/>
      <c r="SMJ1997" s="55"/>
      <c r="SMK1997" s="55"/>
      <c r="SML1997" s="55"/>
      <c r="SMM1997" s="55"/>
      <c r="SMN1997" s="55"/>
      <c r="SMO1997" s="55"/>
      <c r="SMP1997" s="55"/>
      <c r="SMQ1997" s="55"/>
      <c r="SMR1997" s="55"/>
      <c r="SMS1997" s="55"/>
      <c r="SMT1997" s="55"/>
      <c r="SMU1997" s="55"/>
      <c r="SMV1997" s="55"/>
      <c r="SMW1997" s="55"/>
      <c r="SMX1997" s="55"/>
      <c r="SMY1997" s="55"/>
      <c r="SMZ1997" s="55"/>
      <c r="SNA1997" s="55"/>
      <c r="SNB1997" s="55"/>
      <c r="SNC1997" s="55"/>
      <c r="SND1997" s="55"/>
      <c r="SNE1997" s="55"/>
      <c r="SNF1997" s="55"/>
      <c r="SNG1997" s="55"/>
      <c r="SNH1997" s="55"/>
      <c r="SNI1997" s="55"/>
      <c r="SNJ1997" s="55"/>
      <c r="SNK1997" s="55"/>
      <c r="SNL1997" s="55"/>
      <c r="SNM1997" s="55"/>
      <c r="SNN1997" s="55"/>
      <c r="SNO1997" s="55"/>
      <c r="SNP1997" s="55"/>
      <c r="SNQ1997" s="55"/>
      <c r="SNR1997" s="55"/>
      <c r="SNS1997" s="55"/>
      <c r="SNT1997" s="55"/>
      <c r="SNU1997" s="55"/>
      <c r="SNV1997" s="55"/>
      <c r="SNW1997" s="55"/>
      <c r="SNX1997" s="55"/>
      <c r="SNY1997" s="55"/>
      <c r="SNZ1997" s="55"/>
      <c r="SOA1997" s="55"/>
      <c r="SOB1997" s="55"/>
      <c r="SOC1997" s="55"/>
      <c r="SOD1997" s="55"/>
      <c r="SOE1997" s="55"/>
      <c r="SOF1997" s="55"/>
      <c r="SOG1997" s="55"/>
      <c r="SOH1997" s="55"/>
      <c r="SOI1997" s="55"/>
      <c r="SOJ1997" s="55"/>
      <c r="SOK1997" s="55"/>
      <c r="SOL1997" s="55"/>
      <c r="SOM1997" s="55"/>
      <c r="SON1997" s="55"/>
      <c r="SOO1997" s="55"/>
      <c r="SOP1997" s="55"/>
      <c r="SOQ1997" s="55"/>
      <c r="SOR1997" s="55"/>
      <c r="SOS1997" s="55"/>
      <c r="SOT1997" s="55"/>
      <c r="SOU1997" s="55"/>
      <c r="SOV1997" s="55"/>
      <c r="SOW1997" s="55"/>
      <c r="SOX1997" s="55"/>
      <c r="SOY1997" s="55"/>
      <c r="SOZ1997" s="55"/>
      <c r="SPA1997" s="55"/>
      <c r="SPB1997" s="55"/>
      <c r="SPC1997" s="55"/>
      <c r="SPD1997" s="55"/>
      <c r="SPE1997" s="55"/>
      <c r="SPF1997" s="55"/>
      <c r="SPG1997" s="55"/>
      <c r="SPH1997" s="55"/>
      <c r="SPI1997" s="55"/>
      <c r="SPJ1997" s="55"/>
      <c r="SPK1997" s="55"/>
      <c r="SPL1997" s="55"/>
      <c r="SPM1997" s="55"/>
      <c r="SPN1997" s="55"/>
      <c r="SPO1997" s="55"/>
      <c r="SPP1997" s="55"/>
      <c r="SPQ1997" s="55"/>
      <c r="SPR1997" s="55"/>
      <c r="SPS1997" s="55"/>
      <c r="SPT1997" s="55"/>
      <c r="SPU1997" s="55"/>
      <c r="SPV1997" s="55"/>
      <c r="SPW1997" s="55"/>
      <c r="SPX1997" s="55"/>
      <c r="SPY1997" s="55"/>
      <c r="SPZ1997" s="55"/>
      <c r="SQA1997" s="55"/>
      <c r="SQB1997" s="55"/>
      <c r="SQC1997" s="55"/>
      <c r="SQD1997" s="55"/>
      <c r="SQE1997" s="55"/>
      <c r="SQF1997" s="55"/>
      <c r="SQG1997" s="55"/>
      <c r="SQH1997" s="55"/>
      <c r="SQI1997" s="55"/>
      <c r="SQJ1997" s="55"/>
      <c r="SQK1997" s="55"/>
      <c r="SQL1997" s="55"/>
      <c r="SQM1997" s="55"/>
      <c r="SQN1997" s="55"/>
      <c r="SQO1997" s="55"/>
      <c r="SQP1997" s="55"/>
      <c r="SQQ1997" s="55"/>
      <c r="SQR1997" s="55"/>
      <c r="SQS1997" s="55"/>
      <c r="SQT1997" s="55"/>
      <c r="SQU1997" s="55"/>
      <c r="SQV1997" s="55"/>
      <c r="SQW1997" s="55"/>
      <c r="SQX1997" s="55"/>
      <c r="SQY1997" s="55"/>
      <c r="SQZ1997" s="55"/>
      <c r="SRA1997" s="55"/>
      <c r="SRB1997" s="55"/>
      <c r="SRC1997" s="55"/>
      <c r="SRD1997" s="55"/>
      <c r="SRE1997" s="55"/>
      <c r="SRF1997" s="55"/>
      <c r="SRG1997" s="55"/>
      <c r="SRH1997" s="55"/>
      <c r="SRI1997" s="55"/>
      <c r="SRJ1997" s="55"/>
      <c r="SRK1997" s="55"/>
      <c r="SRL1997" s="55"/>
      <c r="SRM1997" s="55"/>
      <c r="SRN1997" s="55"/>
      <c r="SRO1997" s="55"/>
      <c r="SRP1997" s="55"/>
      <c r="SRQ1997" s="55"/>
      <c r="SRR1997" s="55"/>
      <c r="SRS1997" s="55"/>
      <c r="SRT1997" s="55"/>
      <c r="SRU1997" s="55"/>
      <c r="SRV1997" s="55"/>
      <c r="SRW1997" s="55"/>
      <c r="SRX1997" s="55"/>
      <c r="SRY1997" s="55"/>
      <c r="SRZ1997" s="55"/>
      <c r="SSA1997" s="55"/>
      <c r="SSB1997" s="55"/>
      <c r="SSC1997" s="55"/>
      <c r="SSD1997" s="55"/>
      <c r="SSE1997" s="55"/>
      <c r="SSF1997" s="55"/>
      <c r="SSG1997" s="55"/>
      <c r="SSH1997" s="55"/>
      <c r="SSI1997" s="55"/>
      <c r="SSJ1997" s="55"/>
      <c r="SSK1997" s="55"/>
      <c r="SSL1997" s="55"/>
      <c r="SSM1997" s="55"/>
      <c r="SSN1997" s="55"/>
      <c r="SSO1997" s="55"/>
      <c r="SSP1997" s="55"/>
      <c r="SSQ1997" s="55"/>
      <c r="SSR1997" s="55"/>
      <c r="SSS1997" s="55"/>
      <c r="SST1997" s="55"/>
      <c r="SSU1997" s="55"/>
      <c r="SSV1997" s="55"/>
      <c r="SSW1997" s="55"/>
      <c r="SSX1997" s="55"/>
      <c r="SSY1997" s="55"/>
      <c r="SSZ1997" s="55"/>
      <c r="STA1997" s="55"/>
      <c r="STB1997" s="55"/>
      <c r="STC1997" s="55"/>
      <c r="STD1997" s="55"/>
      <c r="STE1997" s="55"/>
      <c r="STF1997" s="55"/>
      <c r="STG1997" s="55"/>
      <c r="STH1997" s="55"/>
      <c r="STI1997" s="55"/>
      <c r="STJ1997" s="55"/>
      <c r="STK1997" s="55"/>
      <c r="STL1997" s="55"/>
      <c r="STM1997" s="55"/>
      <c r="STN1997" s="55"/>
      <c r="STO1997" s="55"/>
      <c r="STP1997" s="55"/>
      <c r="STQ1997" s="55"/>
      <c r="STR1997" s="55"/>
      <c r="STS1997" s="55"/>
      <c r="STT1997" s="55"/>
      <c r="STU1997" s="55"/>
      <c r="STV1997" s="55"/>
      <c r="STW1997" s="55"/>
      <c r="STX1997" s="55"/>
      <c r="STY1997" s="55"/>
      <c r="STZ1997" s="55"/>
      <c r="SUA1997" s="55"/>
      <c r="SUB1997" s="55"/>
      <c r="SUC1997" s="55"/>
      <c r="SUD1997" s="55"/>
      <c r="SUE1997" s="55"/>
      <c r="SUF1997" s="55"/>
      <c r="SUG1997" s="55"/>
      <c r="SUH1997" s="55"/>
      <c r="SUI1997" s="55"/>
      <c r="SUJ1997" s="55"/>
      <c r="SUK1997" s="55"/>
      <c r="SUL1997" s="55"/>
      <c r="SUM1997" s="55"/>
      <c r="SUN1997" s="55"/>
      <c r="SUO1997" s="55"/>
      <c r="SUP1997" s="55"/>
      <c r="SUQ1997" s="55"/>
      <c r="SUR1997" s="55"/>
      <c r="SUS1997" s="55"/>
      <c r="SUT1997" s="55"/>
      <c r="SUU1997" s="55"/>
      <c r="SUV1997" s="55"/>
      <c r="SUW1997" s="55"/>
      <c r="SUX1997" s="55"/>
      <c r="SUY1997" s="55"/>
      <c r="SUZ1997" s="55"/>
      <c r="SVA1997" s="55"/>
      <c r="SVB1997" s="55"/>
      <c r="SVC1997" s="55"/>
      <c r="SVD1997" s="55"/>
      <c r="SVE1997" s="55"/>
      <c r="SVF1997" s="55"/>
      <c r="SVG1997" s="55"/>
      <c r="SVH1997" s="55"/>
      <c r="SVI1997" s="55"/>
      <c r="SVJ1997" s="55"/>
      <c r="SVK1997" s="55"/>
      <c r="SVL1997" s="55"/>
      <c r="SVM1997" s="55"/>
      <c r="SVN1997" s="55"/>
      <c r="SVO1997" s="55"/>
      <c r="SVP1997" s="55"/>
      <c r="SVQ1997" s="55"/>
      <c r="SVR1997" s="55"/>
      <c r="SVS1997" s="55"/>
      <c r="SVT1997" s="55"/>
      <c r="SVU1997" s="55"/>
      <c r="SVV1997" s="55"/>
      <c r="SVW1997" s="55"/>
      <c r="SVX1997" s="55"/>
      <c r="SVY1997" s="55"/>
      <c r="SVZ1997" s="55"/>
      <c r="SWA1997" s="55"/>
      <c r="SWB1997" s="55"/>
      <c r="SWC1997" s="55"/>
      <c r="SWD1997" s="55"/>
      <c r="SWE1997" s="55"/>
      <c r="SWF1997" s="55"/>
      <c r="SWG1997" s="55"/>
      <c r="SWH1997" s="55"/>
      <c r="SWI1997" s="55"/>
      <c r="SWJ1997" s="55"/>
      <c r="SWK1997" s="55"/>
      <c r="SWL1997" s="55"/>
      <c r="SWM1997" s="55"/>
      <c r="SWN1997" s="55"/>
      <c r="SWO1997" s="55"/>
      <c r="SWP1997" s="55"/>
      <c r="SWQ1997" s="55"/>
      <c r="SWR1997" s="55"/>
      <c r="SWS1997" s="55"/>
      <c r="SWT1997" s="55"/>
      <c r="SWU1997" s="55"/>
      <c r="SWV1997" s="55"/>
      <c r="SWW1997" s="55"/>
      <c r="SWX1997" s="55"/>
      <c r="SWY1997" s="55"/>
      <c r="SWZ1997" s="55"/>
      <c r="SXA1997" s="55"/>
      <c r="SXB1997" s="55"/>
      <c r="SXC1997" s="55"/>
      <c r="SXD1997" s="55"/>
      <c r="SXE1997" s="55"/>
      <c r="SXF1997" s="55"/>
      <c r="SXG1997" s="55"/>
      <c r="SXH1997" s="55"/>
      <c r="SXI1997" s="55"/>
      <c r="SXJ1997" s="55"/>
      <c r="SXK1997" s="55"/>
      <c r="SXL1997" s="55"/>
      <c r="SXM1997" s="55"/>
      <c r="SXN1997" s="55"/>
      <c r="SXO1997" s="55"/>
      <c r="SXP1997" s="55"/>
      <c r="SXQ1997" s="55"/>
      <c r="SXR1997" s="55"/>
      <c r="SXS1997" s="55"/>
      <c r="SXT1997" s="55"/>
      <c r="SXU1997" s="55"/>
      <c r="SXV1997" s="55"/>
      <c r="SXW1997" s="55"/>
      <c r="SXX1997" s="55"/>
      <c r="SXY1997" s="55"/>
      <c r="SXZ1997" s="55"/>
      <c r="SYA1997" s="55"/>
      <c r="SYB1997" s="55"/>
      <c r="SYC1997" s="55"/>
      <c r="SYD1997" s="55"/>
      <c r="SYE1997" s="55"/>
      <c r="SYF1997" s="55"/>
      <c r="SYG1997" s="55"/>
      <c r="SYH1997" s="55"/>
      <c r="SYI1997" s="55"/>
      <c r="SYJ1997" s="55"/>
      <c r="SYK1997" s="55"/>
      <c r="SYL1997" s="55"/>
      <c r="SYM1997" s="55"/>
      <c r="SYN1997" s="55"/>
      <c r="SYO1997" s="55"/>
      <c r="SYP1997" s="55"/>
      <c r="SYQ1997" s="55"/>
      <c r="SYR1997" s="55"/>
      <c r="SYS1997" s="55"/>
      <c r="SYT1997" s="55"/>
      <c r="SYU1997" s="55"/>
      <c r="SYV1997" s="55"/>
      <c r="SYW1997" s="55"/>
      <c r="SYX1997" s="55"/>
      <c r="SYY1997" s="55"/>
      <c r="SYZ1997" s="55"/>
      <c r="SZA1997" s="55"/>
      <c r="SZB1997" s="55"/>
      <c r="SZC1997" s="55"/>
      <c r="SZD1997" s="55"/>
      <c r="SZE1997" s="55"/>
      <c r="SZF1997" s="55"/>
      <c r="SZG1997" s="55"/>
      <c r="SZH1997" s="55"/>
      <c r="SZI1997" s="55"/>
      <c r="SZJ1997" s="55"/>
      <c r="SZK1997" s="55"/>
      <c r="SZL1997" s="55"/>
      <c r="SZM1997" s="55"/>
      <c r="SZN1997" s="55"/>
      <c r="SZO1997" s="55"/>
      <c r="SZP1997" s="55"/>
      <c r="SZQ1997" s="55"/>
      <c r="SZR1997" s="55"/>
      <c r="SZS1997" s="55"/>
      <c r="SZT1997" s="55"/>
      <c r="SZU1997" s="55"/>
      <c r="SZV1997" s="55"/>
      <c r="SZW1997" s="55"/>
      <c r="SZX1997" s="55"/>
      <c r="SZY1997" s="55"/>
      <c r="SZZ1997" s="55"/>
      <c r="TAA1997" s="55"/>
      <c r="TAB1997" s="55"/>
      <c r="TAC1997" s="55"/>
      <c r="TAD1997" s="55"/>
      <c r="TAE1997" s="55"/>
      <c r="TAF1997" s="55"/>
      <c r="TAG1997" s="55"/>
      <c r="TAH1997" s="55"/>
      <c r="TAI1997" s="55"/>
      <c r="TAJ1997" s="55"/>
      <c r="TAK1997" s="55"/>
      <c r="TAL1997" s="55"/>
      <c r="TAM1997" s="55"/>
      <c r="TAN1997" s="55"/>
      <c r="TAO1997" s="55"/>
      <c r="TAP1997" s="55"/>
      <c r="TAQ1997" s="55"/>
      <c r="TAR1997" s="55"/>
      <c r="TAS1997" s="55"/>
      <c r="TAT1997" s="55"/>
      <c r="TAU1997" s="55"/>
      <c r="TAV1997" s="55"/>
      <c r="TAW1997" s="55"/>
      <c r="TAX1997" s="55"/>
      <c r="TAY1997" s="55"/>
      <c r="TAZ1997" s="55"/>
      <c r="TBA1997" s="55"/>
      <c r="TBB1997" s="55"/>
      <c r="TBC1997" s="55"/>
      <c r="TBD1997" s="55"/>
      <c r="TBE1997" s="55"/>
      <c r="TBF1997" s="55"/>
      <c r="TBG1997" s="55"/>
      <c r="TBH1997" s="55"/>
      <c r="TBI1997" s="55"/>
      <c r="TBJ1997" s="55"/>
      <c r="TBK1997" s="55"/>
      <c r="TBL1997" s="55"/>
      <c r="TBM1997" s="55"/>
      <c r="TBN1997" s="55"/>
      <c r="TBO1997" s="55"/>
      <c r="TBP1997" s="55"/>
      <c r="TBQ1997" s="55"/>
      <c r="TBR1997" s="55"/>
      <c r="TBS1997" s="55"/>
      <c r="TBT1997" s="55"/>
      <c r="TBU1997" s="55"/>
      <c r="TBV1997" s="55"/>
      <c r="TBW1997" s="55"/>
      <c r="TBX1997" s="55"/>
      <c r="TBY1997" s="55"/>
      <c r="TBZ1997" s="55"/>
      <c r="TCA1997" s="55"/>
      <c r="TCB1997" s="55"/>
      <c r="TCC1997" s="55"/>
      <c r="TCD1997" s="55"/>
      <c r="TCE1997" s="55"/>
      <c r="TCF1997" s="55"/>
      <c r="TCG1997" s="55"/>
      <c r="TCH1997" s="55"/>
      <c r="TCI1997" s="55"/>
      <c r="TCJ1997" s="55"/>
      <c r="TCK1997" s="55"/>
      <c r="TCL1997" s="55"/>
      <c r="TCM1997" s="55"/>
      <c r="TCN1997" s="55"/>
      <c r="TCO1997" s="55"/>
      <c r="TCP1997" s="55"/>
      <c r="TCQ1997" s="55"/>
      <c r="TCR1997" s="55"/>
      <c r="TCS1997" s="55"/>
      <c r="TCT1997" s="55"/>
      <c r="TCU1997" s="55"/>
      <c r="TCV1997" s="55"/>
      <c r="TCW1997" s="55"/>
      <c r="TCX1997" s="55"/>
      <c r="TCY1997" s="55"/>
      <c r="TCZ1997" s="55"/>
      <c r="TDA1997" s="55"/>
      <c r="TDB1997" s="55"/>
      <c r="TDC1997" s="55"/>
      <c r="TDD1997" s="55"/>
      <c r="TDE1997" s="55"/>
      <c r="TDF1997" s="55"/>
      <c r="TDG1997" s="55"/>
      <c r="TDH1997" s="55"/>
      <c r="TDI1997" s="55"/>
      <c r="TDJ1997" s="55"/>
      <c r="TDK1997" s="55"/>
      <c r="TDL1997" s="55"/>
      <c r="TDM1997" s="55"/>
      <c r="TDN1997" s="55"/>
      <c r="TDO1997" s="55"/>
      <c r="TDP1997" s="55"/>
      <c r="TDQ1997" s="55"/>
      <c r="TDR1997" s="55"/>
      <c r="TDS1997" s="55"/>
      <c r="TDT1997" s="55"/>
      <c r="TDU1997" s="55"/>
      <c r="TDV1997" s="55"/>
      <c r="TDW1997" s="55"/>
      <c r="TDX1997" s="55"/>
      <c r="TDY1997" s="55"/>
      <c r="TDZ1997" s="55"/>
      <c r="TEA1997" s="55"/>
      <c r="TEB1997" s="55"/>
      <c r="TEC1997" s="55"/>
      <c r="TED1997" s="55"/>
      <c r="TEE1997" s="55"/>
      <c r="TEF1997" s="55"/>
      <c r="TEG1997" s="55"/>
      <c r="TEH1997" s="55"/>
      <c r="TEI1997" s="55"/>
      <c r="TEJ1997" s="55"/>
      <c r="TEK1997" s="55"/>
      <c r="TEL1997" s="55"/>
      <c r="TEM1997" s="55"/>
      <c r="TEN1997" s="55"/>
      <c r="TEO1997" s="55"/>
      <c r="TEP1997" s="55"/>
      <c r="TEQ1997" s="55"/>
      <c r="TER1997" s="55"/>
      <c r="TES1997" s="55"/>
      <c r="TET1997" s="55"/>
      <c r="TEU1997" s="55"/>
      <c r="TEV1997" s="55"/>
      <c r="TEW1997" s="55"/>
      <c r="TEX1997" s="55"/>
      <c r="TEY1997" s="55"/>
      <c r="TEZ1997" s="55"/>
      <c r="TFA1997" s="55"/>
      <c r="TFB1997" s="55"/>
      <c r="TFC1997" s="55"/>
      <c r="TFD1997" s="55"/>
      <c r="TFE1997" s="55"/>
      <c r="TFF1997" s="55"/>
      <c r="TFG1997" s="55"/>
      <c r="TFH1997" s="55"/>
      <c r="TFI1997" s="55"/>
      <c r="TFJ1997" s="55"/>
      <c r="TFK1997" s="55"/>
      <c r="TFL1997" s="55"/>
      <c r="TFM1997" s="55"/>
      <c r="TFN1997" s="55"/>
      <c r="TFO1997" s="55"/>
      <c r="TFP1997" s="55"/>
      <c r="TFQ1997" s="55"/>
      <c r="TFR1997" s="55"/>
      <c r="TFS1997" s="55"/>
      <c r="TFT1997" s="55"/>
      <c r="TFU1997" s="55"/>
      <c r="TFV1997" s="55"/>
      <c r="TFW1997" s="55"/>
      <c r="TFX1997" s="55"/>
      <c r="TFY1997" s="55"/>
      <c r="TFZ1997" s="55"/>
      <c r="TGA1997" s="55"/>
      <c r="TGB1997" s="55"/>
      <c r="TGC1997" s="55"/>
      <c r="TGD1997" s="55"/>
      <c r="TGE1997" s="55"/>
      <c r="TGF1997" s="55"/>
      <c r="TGG1997" s="55"/>
      <c r="TGH1997" s="55"/>
      <c r="TGI1997" s="55"/>
      <c r="TGJ1997" s="55"/>
      <c r="TGK1997" s="55"/>
      <c r="TGL1997" s="55"/>
      <c r="TGM1997" s="55"/>
      <c r="TGN1997" s="55"/>
      <c r="TGO1997" s="55"/>
      <c r="TGP1997" s="55"/>
      <c r="TGQ1997" s="55"/>
      <c r="TGR1997" s="55"/>
      <c r="TGS1997" s="55"/>
      <c r="TGT1997" s="55"/>
      <c r="TGU1997" s="55"/>
      <c r="TGV1997" s="55"/>
      <c r="TGW1997" s="55"/>
      <c r="TGX1997" s="55"/>
      <c r="TGY1997" s="55"/>
      <c r="TGZ1997" s="55"/>
      <c r="THA1997" s="55"/>
      <c r="THB1997" s="55"/>
      <c r="THC1997" s="55"/>
      <c r="THD1997" s="55"/>
      <c r="THE1997" s="55"/>
      <c r="THF1997" s="55"/>
      <c r="THG1997" s="55"/>
      <c r="THH1997" s="55"/>
      <c r="THI1997" s="55"/>
      <c r="THJ1997" s="55"/>
      <c r="THK1997" s="55"/>
      <c r="THL1997" s="55"/>
      <c r="THM1997" s="55"/>
      <c r="THN1997" s="55"/>
      <c r="THO1997" s="55"/>
      <c r="THP1997" s="55"/>
      <c r="THQ1997" s="55"/>
      <c r="THR1997" s="55"/>
      <c r="THS1997" s="55"/>
      <c r="THT1997" s="55"/>
      <c r="THU1997" s="55"/>
      <c r="THV1997" s="55"/>
      <c r="THW1997" s="55"/>
      <c r="THX1997" s="55"/>
      <c r="THY1997" s="55"/>
      <c r="THZ1997" s="55"/>
      <c r="TIA1997" s="55"/>
      <c r="TIB1997" s="55"/>
      <c r="TIC1997" s="55"/>
      <c r="TID1997" s="55"/>
      <c r="TIE1997" s="55"/>
      <c r="TIF1997" s="55"/>
      <c r="TIG1997" s="55"/>
      <c r="TIH1997" s="55"/>
      <c r="TII1997" s="55"/>
      <c r="TIJ1997" s="55"/>
      <c r="TIK1997" s="55"/>
      <c r="TIL1997" s="55"/>
      <c r="TIM1997" s="55"/>
      <c r="TIN1997" s="55"/>
      <c r="TIO1997" s="55"/>
      <c r="TIP1997" s="55"/>
      <c r="TIQ1997" s="55"/>
      <c r="TIR1997" s="55"/>
      <c r="TIS1997" s="55"/>
      <c r="TIT1997" s="55"/>
      <c r="TIU1997" s="55"/>
      <c r="TIV1997" s="55"/>
      <c r="TIW1997" s="55"/>
      <c r="TIX1997" s="55"/>
      <c r="TIY1997" s="55"/>
      <c r="TIZ1997" s="55"/>
      <c r="TJA1997" s="55"/>
      <c r="TJB1997" s="55"/>
      <c r="TJC1997" s="55"/>
      <c r="TJD1997" s="55"/>
      <c r="TJE1997" s="55"/>
      <c r="TJF1997" s="55"/>
      <c r="TJG1997" s="55"/>
      <c r="TJH1997" s="55"/>
      <c r="TJI1997" s="55"/>
      <c r="TJJ1997" s="55"/>
      <c r="TJK1997" s="55"/>
      <c r="TJL1997" s="55"/>
      <c r="TJM1997" s="55"/>
      <c r="TJN1997" s="55"/>
      <c r="TJO1997" s="55"/>
      <c r="TJP1997" s="55"/>
      <c r="TJQ1997" s="55"/>
      <c r="TJR1997" s="55"/>
      <c r="TJS1997" s="55"/>
      <c r="TJT1997" s="55"/>
      <c r="TJU1997" s="55"/>
      <c r="TJV1997" s="55"/>
      <c r="TJW1997" s="55"/>
      <c r="TJX1997" s="55"/>
      <c r="TJY1997" s="55"/>
      <c r="TJZ1997" s="55"/>
      <c r="TKA1997" s="55"/>
      <c r="TKB1997" s="55"/>
      <c r="TKC1997" s="55"/>
      <c r="TKD1997" s="55"/>
      <c r="TKE1997" s="55"/>
      <c r="TKF1997" s="55"/>
      <c r="TKG1997" s="55"/>
      <c r="TKH1997" s="55"/>
      <c r="TKI1997" s="55"/>
      <c r="TKJ1997" s="55"/>
      <c r="TKK1997" s="55"/>
      <c r="TKL1997" s="55"/>
      <c r="TKM1997" s="55"/>
      <c r="TKN1997" s="55"/>
      <c r="TKO1997" s="55"/>
      <c r="TKP1997" s="55"/>
      <c r="TKQ1997" s="55"/>
      <c r="TKR1997" s="55"/>
      <c r="TKS1997" s="55"/>
      <c r="TKT1997" s="55"/>
      <c r="TKU1997" s="55"/>
      <c r="TKV1997" s="55"/>
      <c r="TKW1997" s="55"/>
      <c r="TKX1997" s="55"/>
      <c r="TKY1997" s="55"/>
      <c r="TKZ1997" s="55"/>
      <c r="TLA1997" s="55"/>
      <c r="TLB1997" s="55"/>
      <c r="TLC1997" s="55"/>
      <c r="TLD1997" s="55"/>
      <c r="TLE1997" s="55"/>
      <c r="TLF1997" s="55"/>
      <c r="TLG1997" s="55"/>
      <c r="TLH1997" s="55"/>
      <c r="TLI1997" s="55"/>
      <c r="TLJ1997" s="55"/>
      <c r="TLK1997" s="55"/>
      <c r="TLL1997" s="55"/>
      <c r="TLM1997" s="55"/>
      <c r="TLN1997" s="55"/>
      <c r="TLO1997" s="55"/>
      <c r="TLP1997" s="55"/>
      <c r="TLQ1997" s="55"/>
      <c r="TLR1997" s="55"/>
      <c r="TLS1997" s="55"/>
      <c r="TLT1997" s="55"/>
      <c r="TLU1997" s="55"/>
      <c r="TLV1997" s="55"/>
      <c r="TLW1997" s="55"/>
      <c r="TLX1997" s="55"/>
      <c r="TLY1997" s="55"/>
      <c r="TLZ1997" s="55"/>
      <c r="TMA1997" s="55"/>
      <c r="TMB1997" s="55"/>
      <c r="TMC1997" s="55"/>
      <c r="TMD1997" s="55"/>
      <c r="TME1997" s="55"/>
      <c r="TMF1997" s="55"/>
      <c r="TMG1997" s="55"/>
      <c r="TMH1997" s="55"/>
      <c r="TMI1997" s="55"/>
      <c r="TMJ1997" s="55"/>
      <c r="TMK1997" s="55"/>
      <c r="TML1997" s="55"/>
      <c r="TMM1997" s="55"/>
      <c r="TMN1997" s="55"/>
      <c r="TMO1997" s="55"/>
      <c r="TMP1997" s="55"/>
      <c r="TMQ1997" s="55"/>
      <c r="TMR1997" s="55"/>
      <c r="TMS1997" s="55"/>
      <c r="TMT1997" s="55"/>
      <c r="TMU1997" s="55"/>
      <c r="TMV1997" s="55"/>
      <c r="TMW1997" s="55"/>
      <c r="TMX1997" s="55"/>
      <c r="TMY1997" s="55"/>
      <c r="TMZ1997" s="55"/>
      <c r="TNA1997" s="55"/>
      <c r="TNB1997" s="55"/>
      <c r="TNC1997" s="55"/>
      <c r="TND1997" s="55"/>
      <c r="TNE1997" s="55"/>
      <c r="TNF1997" s="55"/>
      <c r="TNG1997" s="55"/>
      <c r="TNH1997" s="55"/>
      <c r="TNI1997" s="55"/>
      <c r="TNJ1997" s="55"/>
      <c r="TNK1997" s="55"/>
      <c r="TNL1997" s="55"/>
      <c r="TNM1997" s="55"/>
      <c r="TNN1997" s="55"/>
      <c r="TNO1997" s="55"/>
      <c r="TNP1997" s="55"/>
      <c r="TNQ1997" s="55"/>
      <c r="TNR1997" s="55"/>
      <c r="TNS1997" s="55"/>
      <c r="TNT1997" s="55"/>
      <c r="TNU1997" s="55"/>
      <c r="TNV1997" s="55"/>
      <c r="TNW1997" s="55"/>
      <c r="TNX1997" s="55"/>
      <c r="TNY1997" s="55"/>
      <c r="TNZ1997" s="55"/>
      <c r="TOA1997" s="55"/>
      <c r="TOB1997" s="55"/>
      <c r="TOC1997" s="55"/>
      <c r="TOD1997" s="55"/>
      <c r="TOE1997" s="55"/>
      <c r="TOF1997" s="55"/>
      <c r="TOG1997" s="55"/>
      <c r="TOH1997" s="55"/>
      <c r="TOI1997" s="55"/>
      <c r="TOJ1997" s="55"/>
      <c r="TOK1997" s="55"/>
      <c r="TOL1997" s="55"/>
      <c r="TOM1997" s="55"/>
      <c r="TON1997" s="55"/>
      <c r="TOO1997" s="55"/>
      <c r="TOP1997" s="55"/>
      <c r="TOQ1997" s="55"/>
      <c r="TOR1997" s="55"/>
      <c r="TOS1997" s="55"/>
      <c r="TOT1997" s="55"/>
      <c r="TOU1997" s="55"/>
      <c r="TOV1997" s="55"/>
      <c r="TOW1997" s="55"/>
      <c r="TOX1997" s="55"/>
      <c r="TOY1997" s="55"/>
      <c r="TOZ1997" s="55"/>
      <c r="TPA1997" s="55"/>
      <c r="TPB1997" s="55"/>
      <c r="TPC1997" s="55"/>
      <c r="TPD1997" s="55"/>
      <c r="TPE1997" s="55"/>
      <c r="TPF1997" s="55"/>
      <c r="TPG1997" s="55"/>
      <c r="TPH1997" s="55"/>
      <c r="TPI1997" s="55"/>
      <c r="TPJ1997" s="55"/>
      <c r="TPK1997" s="55"/>
      <c r="TPL1997" s="55"/>
      <c r="TPM1997" s="55"/>
      <c r="TPN1997" s="55"/>
      <c r="TPO1997" s="55"/>
      <c r="TPP1997" s="55"/>
      <c r="TPQ1997" s="55"/>
      <c r="TPR1997" s="55"/>
      <c r="TPS1997" s="55"/>
      <c r="TPT1997" s="55"/>
      <c r="TPU1997" s="55"/>
      <c r="TPV1997" s="55"/>
      <c r="TPW1997" s="55"/>
      <c r="TPX1997" s="55"/>
      <c r="TPY1997" s="55"/>
      <c r="TPZ1997" s="55"/>
      <c r="TQA1997" s="55"/>
      <c r="TQB1997" s="55"/>
      <c r="TQC1997" s="55"/>
      <c r="TQD1997" s="55"/>
      <c r="TQE1997" s="55"/>
      <c r="TQF1997" s="55"/>
      <c r="TQG1997" s="55"/>
      <c r="TQH1997" s="55"/>
      <c r="TQI1997" s="55"/>
      <c r="TQJ1997" s="55"/>
      <c r="TQK1997" s="55"/>
      <c r="TQL1997" s="55"/>
      <c r="TQM1997" s="55"/>
      <c r="TQN1997" s="55"/>
      <c r="TQO1997" s="55"/>
      <c r="TQP1997" s="55"/>
      <c r="TQQ1997" s="55"/>
      <c r="TQR1997" s="55"/>
      <c r="TQS1997" s="55"/>
      <c r="TQT1997" s="55"/>
      <c r="TQU1997" s="55"/>
      <c r="TQV1997" s="55"/>
      <c r="TQW1997" s="55"/>
      <c r="TQX1997" s="55"/>
      <c r="TQY1997" s="55"/>
      <c r="TQZ1997" s="55"/>
      <c r="TRA1997" s="55"/>
      <c r="TRB1997" s="55"/>
      <c r="TRC1997" s="55"/>
      <c r="TRD1997" s="55"/>
      <c r="TRE1997" s="55"/>
      <c r="TRF1997" s="55"/>
      <c r="TRG1997" s="55"/>
      <c r="TRH1997" s="55"/>
      <c r="TRI1997" s="55"/>
      <c r="TRJ1997" s="55"/>
      <c r="TRK1997" s="55"/>
      <c r="TRL1997" s="55"/>
      <c r="TRM1997" s="55"/>
      <c r="TRN1997" s="55"/>
      <c r="TRO1997" s="55"/>
      <c r="TRP1997" s="55"/>
      <c r="TRQ1997" s="55"/>
      <c r="TRR1997" s="55"/>
      <c r="TRS1997" s="55"/>
      <c r="TRT1997" s="55"/>
      <c r="TRU1997" s="55"/>
      <c r="TRV1997" s="55"/>
      <c r="TRW1997" s="55"/>
      <c r="TRX1997" s="55"/>
      <c r="TRY1997" s="55"/>
      <c r="TRZ1997" s="55"/>
      <c r="TSA1997" s="55"/>
      <c r="TSB1997" s="55"/>
      <c r="TSC1997" s="55"/>
      <c r="TSD1997" s="55"/>
      <c r="TSE1997" s="55"/>
      <c r="TSF1997" s="55"/>
      <c r="TSG1997" s="55"/>
      <c r="TSH1997" s="55"/>
      <c r="TSI1997" s="55"/>
      <c r="TSJ1997" s="55"/>
      <c r="TSK1997" s="55"/>
      <c r="TSL1997" s="55"/>
      <c r="TSM1997" s="55"/>
      <c r="TSN1997" s="55"/>
      <c r="TSO1997" s="55"/>
      <c r="TSP1997" s="55"/>
      <c r="TSQ1997" s="55"/>
      <c r="TSR1997" s="55"/>
      <c r="TSS1997" s="55"/>
      <c r="TST1997" s="55"/>
      <c r="TSU1997" s="55"/>
      <c r="TSV1997" s="55"/>
      <c r="TSW1997" s="55"/>
      <c r="TSX1997" s="55"/>
      <c r="TSY1997" s="55"/>
      <c r="TSZ1997" s="55"/>
      <c r="TTA1997" s="55"/>
      <c r="TTB1997" s="55"/>
      <c r="TTC1997" s="55"/>
      <c r="TTD1997" s="55"/>
      <c r="TTE1997" s="55"/>
      <c r="TTF1997" s="55"/>
      <c r="TTG1997" s="55"/>
      <c r="TTH1997" s="55"/>
      <c r="TTI1997" s="55"/>
      <c r="TTJ1997" s="55"/>
      <c r="TTK1997" s="55"/>
      <c r="TTL1997" s="55"/>
      <c r="TTM1997" s="55"/>
      <c r="TTN1997" s="55"/>
      <c r="TTO1997" s="55"/>
      <c r="TTP1997" s="55"/>
      <c r="TTQ1997" s="55"/>
      <c r="TTR1997" s="55"/>
      <c r="TTS1997" s="55"/>
      <c r="TTT1997" s="55"/>
      <c r="TTU1997" s="55"/>
      <c r="TTV1997" s="55"/>
      <c r="TTW1997" s="55"/>
      <c r="TTX1997" s="55"/>
      <c r="TTY1997" s="55"/>
      <c r="TTZ1997" s="55"/>
      <c r="TUA1997" s="55"/>
      <c r="TUB1997" s="55"/>
      <c r="TUC1997" s="55"/>
      <c r="TUD1997" s="55"/>
      <c r="TUE1997" s="55"/>
      <c r="TUF1997" s="55"/>
      <c r="TUG1997" s="55"/>
      <c r="TUH1997" s="55"/>
      <c r="TUI1997" s="55"/>
      <c r="TUJ1997" s="55"/>
      <c r="TUK1997" s="55"/>
      <c r="TUL1997" s="55"/>
      <c r="TUM1997" s="55"/>
      <c r="TUN1997" s="55"/>
      <c r="TUO1997" s="55"/>
      <c r="TUP1997" s="55"/>
      <c r="TUQ1997" s="55"/>
      <c r="TUR1997" s="55"/>
      <c r="TUS1997" s="55"/>
      <c r="TUT1997" s="55"/>
      <c r="TUU1997" s="55"/>
      <c r="TUV1997" s="55"/>
      <c r="TUW1997" s="55"/>
      <c r="TUX1997" s="55"/>
      <c r="TUY1997" s="55"/>
      <c r="TUZ1997" s="55"/>
      <c r="TVA1997" s="55"/>
      <c r="TVB1997" s="55"/>
      <c r="TVC1997" s="55"/>
      <c r="TVD1997" s="55"/>
      <c r="TVE1997" s="55"/>
      <c r="TVF1997" s="55"/>
      <c r="TVG1997" s="55"/>
      <c r="TVH1997" s="55"/>
      <c r="TVI1997" s="55"/>
      <c r="TVJ1997" s="55"/>
      <c r="TVK1997" s="55"/>
      <c r="TVL1997" s="55"/>
      <c r="TVM1997" s="55"/>
      <c r="TVN1997" s="55"/>
      <c r="TVO1997" s="55"/>
      <c r="TVP1997" s="55"/>
      <c r="TVQ1997" s="55"/>
      <c r="TVR1997" s="55"/>
      <c r="TVS1997" s="55"/>
      <c r="TVT1997" s="55"/>
      <c r="TVU1997" s="55"/>
      <c r="TVV1997" s="55"/>
      <c r="TVW1997" s="55"/>
      <c r="TVX1997" s="55"/>
      <c r="TVY1997" s="55"/>
      <c r="TVZ1997" s="55"/>
      <c r="TWA1997" s="55"/>
      <c r="TWB1997" s="55"/>
      <c r="TWC1997" s="55"/>
      <c r="TWD1997" s="55"/>
      <c r="TWE1997" s="55"/>
      <c r="TWF1997" s="55"/>
      <c r="TWG1997" s="55"/>
      <c r="TWH1997" s="55"/>
      <c r="TWI1997" s="55"/>
      <c r="TWJ1997" s="55"/>
      <c r="TWK1997" s="55"/>
      <c r="TWL1997" s="55"/>
      <c r="TWM1997" s="55"/>
      <c r="TWN1997" s="55"/>
      <c r="TWO1997" s="55"/>
      <c r="TWP1997" s="55"/>
      <c r="TWQ1997" s="55"/>
      <c r="TWR1997" s="55"/>
      <c r="TWS1997" s="55"/>
      <c r="TWT1997" s="55"/>
      <c r="TWU1997" s="55"/>
      <c r="TWV1997" s="55"/>
      <c r="TWW1997" s="55"/>
      <c r="TWX1997" s="55"/>
      <c r="TWY1997" s="55"/>
      <c r="TWZ1997" s="55"/>
      <c r="TXA1997" s="55"/>
      <c r="TXB1997" s="55"/>
      <c r="TXC1997" s="55"/>
      <c r="TXD1997" s="55"/>
      <c r="TXE1997" s="55"/>
      <c r="TXF1997" s="55"/>
      <c r="TXG1997" s="55"/>
      <c r="TXH1997" s="55"/>
      <c r="TXI1997" s="55"/>
      <c r="TXJ1997" s="55"/>
      <c r="TXK1997" s="55"/>
      <c r="TXL1997" s="55"/>
      <c r="TXM1997" s="55"/>
      <c r="TXN1997" s="55"/>
      <c r="TXO1997" s="55"/>
      <c r="TXP1997" s="55"/>
      <c r="TXQ1997" s="55"/>
      <c r="TXR1997" s="55"/>
      <c r="TXS1997" s="55"/>
      <c r="TXT1997" s="55"/>
      <c r="TXU1997" s="55"/>
      <c r="TXV1997" s="55"/>
      <c r="TXW1997" s="55"/>
      <c r="TXX1997" s="55"/>
      <c r="TXY1997" s="55"/>
      <c r="TXZ1997" s="55"/>
      <c r="TYA1997" s="55"/>
      <c r="TYB1997" s="55"/>
      <c r="TYC1997" s="55"/>
      <c r="TYD1997" s="55"/>
      <c r="TYE1997" s="55"/>
      <c r="TYF1997" s="55"/>
      <c r="TYG1997" s="55"/>
      <c r="TYH1997" s="55"/>
      <c r="TYI1997" s="55"/>
      <c r="TYJ1997" s="55"/>
      <c r="TYK1997" s="55"/>
      <c r="TYL1997" s="55"/>
      <c r="TYM1997" s="55"/>
      <c r="TYN1997" s="55"/>
      <c r="TYO1997" s="55"/>
      <c r="TYP1997" s="55"/>
      <c r="TYQ1997" s="55"/>
      <c r="TYR1997" s="55"/>
      <c r="TYS1997" s="55"/>
      <c r="TYT1997" s="55"/>
      <c r="TYU1997" s="55"/>
      <c r="TYV1997" s="55"/>
      <c r="TYW1997" s="55"/>
      <c r="TYX1997" s="55"/>
      <c r="TYY1997" s="55"/>
      <c r="TYZ1997" s="55"/>
      <c r="TZA1997" s="55"/>
      <c r="TZB1997" s="55"/>
      <c r="TZC1997" s="55"/>
      <c r="TZD1997" s="55"/>
      <c r="TZE1997" s="55"/>
      <c r="TZF1997" s="55"/>
      <c r="TZG1997" s="55"/>
      <c r="TZH1997" s="55"/>
      <c r="TZI1997" s="55"/>
      <c r="TZJ1997" s="55"/>
      <c r="TZK1997" s="55"/>
      <c r="TZL1997" s="55"/>
      <c r="TZM1997" s="55"/>
      <c r="TZN1997" s="55"/>
      <c r="TZO1997" s="55"/>
      <c r="TZP1997" s="55"/>
      <c r="TZQ1997" s="55"/>
      <c r="TZR1997" s="55"/>
      <c r="TZS1997" s="55"/>
      <c r="TZT1997" s="55"/>
      <c r="TZU1997" s="55"/>
      <c r="TZV1997" s="55"/>
      <c r="TZW1997" s="55"/>
      <c r="TZX1997" s="55"/>
      <c r="TZY1997" s="55"/>
      <c r="TZZ1997" s="55"/>
      <c r="UAA1997" s="55"/>
      <c r="UAB1997" s="55"/>
      <c r="UAC1997" s="55"/>
      <c r="UAD1997" s="55"/>
      <c r="UAE1997" s="55"/>
      <c r="UAF1997" s="55"/>
      <c r="UAG1997" s="55"/>
      <c r="UAH1997" s="55"/>
      <c r="UAI1997" s="55"/>
      <c r="UAJ1997" s="55"/>
      <c r="UAK1997" s="55"/>
      <c r="UAL1997" s="55"/>
      <c r="UAM1997" s="55"/>
      <c r="UAN1997" s="55"/>
      <c r="UAO1997" s="55"/>
      <c r="UAP1997" s="55"/>
      <c r="UAQ1997" s="55"/>
      <c r="UAR1997" s="55"/>
      <c r="UAS1997" s="55"/>
      <c r="UAT1997" s="55"/>
      <c r="UAU1997" s="55"/>
      <c r="UAV1997" s="55"/>
      <c r="UAW1997" s="55"/>
      <c r="UAX1997" s="55"/>
      <c r="UAY1997" s="55"/>
      <c r="UAZ1997" s="55"/>
      <c r="UBA1997" s="55"/>
      <c r="UBB1997" s="55"/>
      <c r="UBC1997" s="55"/>
      <c r="UBD1997" s="55"/>
      <c r="UBE1997" s="55"/>
      <c r="UBF1997" s="55"/>
      <c r="UBG1997" s="55"/>
      <c r="UBH1997" s="55"/>
      <c r="UBI1997" s="55"/>
      <c r="UBJ1997" s="55"/>
      <c r="UBK1997" s="55"/>
      <c r="UBL1997" s="55"/>
      <c r="UBM1997" s="55"/>
      <c r="UBN1997" s="55"/>
      <c r="UBO1997" s="55"/>
      <c r="UBP1997" s="55"/>
      <c r="UBQ1997" s="55"/>
      <c r="UBR1997" s="55"/>
      <c r="UBS1997" s="55"/>
      <c r="UBT1997" s="55"/>
      <c r="UBU1997" s="55"/>
      <c r="UBV1997" s="55"/>
      <c r="UBW1997" s="55"/>
      <c r="UBX1997" s="55"/>
      <c r="UBY1997" s="55"/>
      <c r="UBZ1997" s="55"/>
      <c r="UCA1997" s="55"/>
      <c r="UCB1997" s="55"/>
      <c r="UCC1997" s="55"/>
      <c r="UCD1997" s="55"/>
      <c r="UCE1997" s="55"/>
      <c r="UCF1997" s="55"/>
      <c r="UCG1997" s="55"/>
      <c r="UCH1997" s="55"/>
      <c r="UCI1997" s="55"/>
      <c r="UCJ1997" s="55"/>
      <c r="UCK1997" s="55"/>
      <c r="UCL1997" s="55"/>
      <c r="UCM1997" s="55"/>
      <c r="UCN1997" s="55"/>
      <c r="UCO1997" s="55"/>
      <c r="UCP1997" s="55"/>
      <c r="UCQ1997" s="55"/>
      <c r="UCR1997" s="55"/>
      <c r="UCS1997" s="55"/>
      <c r="UCT1997" s="55"/>
      <c r="UCU1997" s="55"/>
      <c r="UCV1997" s="55"/>
      <c r="UCW1997" s="55"/>
      <c r="UCX1997" s="55"/>
      <c r="UCY1997" s="55"/>
      <c r="UCZ1997" s="55"/>
      <c r="UDA1997" s="55"/>
      <c r="UDB1997" s="55"/>
      <c r="UDC1997" s="55"/>
      <c r="UDD1997" s="55"/>
      <c r="UDE1997" s="55"/>
      <c r="UDF1997" s="55"/>
      <c r="UDG1997" s="55"/>
      <c r="UDH1997" s="55"/>
      <c r="UDI1997" s="55"/>
      <c r="UDJ1997" s="55"/>
      <c r="UDK1997" s="55"/>
      <c r="UDL1997" s="55"/>
      <c r="UDM1997" s="55"/>
      <c r="UDN1997" s="55"/>
      <c r="UDO1997" s="55"/>
      <c r="UDP1997" s="55"/>
      <c r="UDQ1997" s="55"/>
      <c r="UDR1997" s="55"/>
      <c r="UDS1997" s="55"/>
      <c r="UDT1997" s="55"/>
      <c r="UDU1997" s="55"/>
      <c r="UDV1997" s="55"/>
      <c r="UDW1997" s="55"/>
      <c r="UDX1997" s="55"/>
      <c r="UDY1997" s="55"/>
      <c r="UDZ1997" s="55"/>
      <c r="UEA1997" s="55"/>
      <c r="UEB1997" s="55"/>
      <c r="UEC1997" s="55"/>
      <c r="UED1997" s="55"/>
      <c r="UEE1997" s="55"/>
      <c r="UEF1997" s="55"/>
      <c r="UEG1997" s="55"/>
      <c r="UEH1997" s="55"/>
      <c r="UEI1997" s="55"/>
      <c r="UEJ1997" s="55"/>
      <c r="UEK1997" s="55"/>
      <c r="UEL1997" s="55"/>
      <c r="UEM1997" s="55"/>
      <c r="UEN1997" s="55"/>
      <c r="UEO1997" s="55"/>
      <c r="UEP1997" s="55"/>
      <c r="UEQ1997" s="55"/>
      <c r="UER1997" s="55"/>
      <c r="UES1997" s="55"/>
      <c r="UET1997" s="55"/>
      <c r="UEU1997" s="55"/>
      <c r="UEV1997" s="55"/>
      <c r="UEW1997" s="55"/>
      <c r="UEX1997" s="55"/>
      <c r="UEY1997" s="55"/>
      <c r="UEZ1997" s="55"/>
      <c r="UFA1997" s="55"/>
      <c r="UFB1997" s="55"/>
      <c r="UFC1997" s="55"/>
      <c r="UFD1997" s="55"/>
      <c r="UFE1997" s="55"/>
      <c r="UFF1997" s="55"/>
      <c r="UFG1997" s="55"/>
      <c r="UFH1997" s="55"/>
      <c r="UFI1997" s="55"/>
      <c r="UFJ1997" s="55"/>
      <c r="UFK1997" s="55"/>
      <c r="UFL1997" s="55"/>
      <c r="UFM1997" s="55"/>
      <c r="UFN1997" s="55"/>
      <c r="UFO1997" s="55"/>
      <c r="UFP1997" s="55"/>
      <c r="UFQ1997" s="55"/>
      <c r="UFR1997" s="55"/>
      <c r="UFS1997" s="55"/>
      <c r="UFT1997" s="55"/>
      <c r="UFU1997" s="55"/>
      <c r="UFV1997" s="55"/>
      <c r="UFW1997" s="55"/>
      <c r="UFX1997" s="55"/>
      <c r="UFY1997" s="55"/>
      <c r="UFZ1997" s="55"/>
      <c r="UGA1997" s="55"/>
      <c r="UGB1997" s="55"/>
      <c r="UGC1997" s="55"/>
      <c r="UGD1997" s="55"/>
      <c r="UGE1997" s="55"/>
      <c r="UGF1997" s="55"/>
      <c r="UGG1997" s="55"/>
      <c r="UGH1997" s="55"/>
      <c r="UGI1997" s="55"/>
      <c r="UGJ1997" s="55"/>
      <c r="UGK1997" s="55"/>
      <c r="UGL1997" s="55"/>
      <c r="UGM1997" s="55"/>
      <c r="UGN1997" s="55"/>
      <c r="UGO1997" s="55"/>
      <c r="UGP1997" s="55"/>
      <c r="UGQ1997" s="55"/>
      <c r="UGR1997" s="55"/>
      <c r="UGS1997" s="55"/>
      <c r="UGT1997" s="55"/>
      <c r="UGU1997" s="55"/>
      <c r="UGV1997" s="55"/>
      <c r="UGW1997" s="55"/>
      <c r="UGX1997" s="55"/>
      <c r="UGY1997" s="55"/>
      <c r="UGZ1997" s="55"/>
      <c r="UHA1997" s="55"/>
      <c r="UHB1997" s="55"/>
      <c r="UHC1997" s="55"/>
      <c r="UHD1997" s="55"/>
      <c r="UHE1997" s="55"/>
      <c r="UHF1997" s="55"/>
      <c r="UHG1997" s="55"/>
      <c r="UHH1997" s="55"/>
      <c r="UHI1997" s="55"/>
      <c r="UHJ1997" s="55"/>
      <c r="UHK1997" s="55"/>
      <c r="UHL1997" s="55"/>
      <c r="UHM1997" s="55"/>
      <c r="UHN1997" s="55"/>
      <c r="UHO1997" s="55"/>
      <c r="UHP1997" s="55"/>
      <c r="UHQ1997" s="55"/>
      <c r="UHR1997" s="55"/>
      <c r="UHS1997" s="55"/>
      <c r="UHT1997" s="55"/>
      <c r="UHU1997" s="55"/>
      <c r="UHV1997" s="55"/>
      <c r="UHW1997" s="55"/>
      <c r="UHX1997" s="55"/>
      <c r="UHY1997" s="55"/>
      <c r="UHZ1997" s="55"/>
      <c r="UIA1997" s="55"/>
      <c r="UIB1997" s="55"/>
      <c r="UIC1997" s="55"/>
      <c r="UID1997" s="55"/>
      <c r="UIE1997" s="55"/>
      <c r="UIF1997" s="55"/>
      <c r="UIG1997" s="55"/>
      <c r="UIH1997" s="55"/>
      <c r="UII1997" s="55"/>
      <c r="UIJ1997" s="55"/>
      <c r="UIK1997" s="55"/>
      <c r="UIL1997" s="55"/>
      <c r="UIM1997" s="55"/>
      <c r="UIN1997" s="55"/>
      <c r="UIO1997" s="55"/>
      <c r="UIP1997" s="55"/>
      <c r="UIQ1997" s="55"/>
      <c r="UIR1997" s="55"/>
      <c r="UIS1997" s="55"/>
      <c r="UIT1997" s="55"/>
      <c r="UIU1997" s="55"/>
      <c r="UIV1997" s="55"/>
      <c r="UIW1997" s="55"/>
      <c r="UIX1997" s="55"/>
      <c r="UIY1997" s="55"/>
      <c r="UIZ1997" s="55"/>
      <c r="UJA1997" s="55"/>
      <c r="UJB1997" s="55"/>
      <c r="UJC1997" s="55"/>
      <c r="UJD1997" s="55"/>
      <c r="UJE1997" s="55"/>
      <c r="UJF1997" s="55"/>
      <c r="UJG1997" s="55"/>
      <c r="UJH1997" s="55"/>
      <c r="UJI1997" s="55"/>
      <c r="UJJ1997" s="55"/>
      <c r="UJK1997" s="55"/>
      <c r="UJL1997" s="55"/>
      <c r="UJM1997" s="55"/>
      <c r="UJN1997" s="55"/>
      <c r="UJO1997" s="55"/>
      <c r="UJP1997" s="55"/>
      <c r="UJQ1997" s="55"/>
      <c r="UJR1997" s="55"/>
      <c r="UJS1997" s="55"/>
      <c r="UJT1997" s="55"/>
      <c r="UJU1997" s="55"/>
      <c r="UJV1997" s="55"/>
      <c r="UJW1997" s="55"/>
      <c r="UJX1997" s="55"/>
      <c r="UJY1997" s="55"/>
      <c r="UJZ1997" s="55"/>
      <c r="UKA1997" s="55"/>
      <c r="UKB1997" s="55"/>
      <c r="UKC1997" s="55"/>
      <c r="UKD1997" s="55"/>
      <c r="UKE1997" s="55"/>
      <c r="UKF1997" s="55"/>
      <c r="UKG1997" s="55"/>
      <c r="UKH1997" s="55"/>
      <c r="UKI1997" s="55"/>
      <c r="UKJ1997" s="55"/>
      <c r="UKK1997" s="55"/>
      <c r="UKL1997" s="55"/>
      <c r="UKM1997" s="55"/>
      <c r="UKN1997" s="55"/>
      <c r="UKO1997" s="55"/>
      <c r="UKP1997" s="55"/>
      <c r="UKQ1997" s="55"/>
      <c r="UKR1997" s="55"/>
      <c r="UKS1997" s="55"/>
      <c r="UKT1997" s="55"/>
      <c r="UKU1997" s="55"/>
      <c r="UKV1997" s="55"/>
      <c r="UKW1997" s="55"/>
      <c r="UKX1997" s="55"/>
      <c r="UKY1997" s="55"/>
      <c r="UKZ1997" s="55"/>
      <c r="ULA1997" s="55"/>
      <c r="ULB1997" s="55"/>
      <c r="ULC1997" s="55"/>
      <c r="ULD1997" s="55"/>
      <c r="ULE1997" s="55"/>
      <c r="ULF1997" s="55"/>
      <c r="ULG1997" s="55"/>
      <c r="ULH1997" s="55"/>
      <c r="ULI1997" s="55"/>
      <c r="ULJ1997" s="55"/>
      <c r="ULK1997" s="55"/>
      <c r="ULL1997" s="55"/>
      <c r="ULM1997" s="55"/>
      <c r="ULN1997" s="55"/>
      <c r="ULO1997" s="55"/>
      <c r="ULP1997" s="55"/>
      <c r="ULQ1997" s="55"/>
      <c r="ULR1997" s="55"/>
      <c r="ULS1997" s="55"/>
      <c r="ULT1997" s="55"/>
      <c r="ULU1997" s="55"/>
      <c r="ULV1997" s="55"/>
      <c r="ULW1997" s="55"/>
      <c r="ULX1997" s="55"/>
      <c r="ULY1997" s="55"/>
      <c r="ULZ1997" s="55"/>
      <c r="UMA1997" s="55"/>
      <c r="UMB1997" s="55"/>
      <c r="UMC1997" s="55"/>
      <c r="UMD1997" s="55"/>
      <c r="UME1997" s="55"/>
      <c r="UMF1997" s="55"/>
      <c r="UMG1997" s="55"/>
      <c r="UMH1997" s="55"/>
      <c r="UMI1997" s="55"/>
      <c r="UMJ1997" s="55"/>
      <c r="UMK1997" s="55"/>
      <c r="UML1997" s="55"/>
      <c r="UMM1997" s="55"/>
      <c r="UMN1997" s="55"/>
      <c r="UMO1997" s="55"/>
      <c r="UMP1997" s="55"/>
      <c r="UMQ1997" s="55"/>
      <c r="UMR1997" s="55"/>
      <c r="UMS1997" s="55"/>
      <c r="UMT1997" s="55"/>
      <c r="UMU1997" s="55"/>
      <c r="UMV1997" s="55"/>
      <c r="UMW1997" s="55"/>
      <c r="UMX1997" s="55"/>
      <c r="UMY1997" s="55"/>
      <c r="UMZ1997" s="55"/>
      <c r="UNA1997" s="55"/>
      <c r="UNB1997" s="55"/>
      <c r="UNC1997" s="55"/>
      <c r="UND1997" s="55"/>
      <c r="UNE1997" s="55"/>
      <c r="UNF1997" s="55"/>
      <c r="UNG1997" s="55"/>
      <c r="UNH1997" s="55"/>
      <c r="UNI1997" s="55"/>
      <c r="UNJ1997" s="55"/>
      <c r="UNK1997" s="55"/>
      <c r="UNL1997" s="55"/>
      <c r="UNM1997" s="55"/>
      <c r="UNN1997" s="55"/>
      <c r="UNO1997" s="55"/>
      <c r="UNP1997" s="55"/>
      <c r="UNQ1997" s="55"/>
      <c r="UNR1997" s="55"/>
      <c r="UNS1997" s="55"/>
      <c r="UNT1997" s="55"/>
      <c r="UNU1997" s="55"/>
      <c r="UNV1997" s="55"/>
      <c r="UNW1997" s="55"/>
      <c r="UNX1997" s="55"/>
      <c r="UNY1997" s="55"/>
      <c r="UNZ1997" s="55"/>
      <c r="UOA1997" s="55"/>
      <c r="UOB1997" s="55"/>
      <c r="UOC1997" s="55"/>
      <c r="UOD1997" s="55"/>
      <c r="UOE1997" s="55"/>
      <c r="UOF1997" s="55"/>
      <c r="UOG1997" s="55"/>
      <c r="UOH1997" s="55"/>
      <c r="UOI1997" s="55"/>
      <c r="UOJ1997" s="55"/>
      <c r="UOK1997" s="55"/>
      <c r="UOL1997" s="55"/>
      <c r="UOM1997" s="55"/>
      <c r="UON1997" s="55"/>
      <c r="UOO1997" s="55"/>
      <c r="UOP1997" s="55"/>
      <c r="UOQ1997" s="55"/>
      <c r="UOR1997" s="55"/>
      <c r="UOS1997" s="55"/>
      <c r="UOT1997" s="55"/>
      <c r="UOU1997" s="55"/>
      <c r="UOV1997" s="55"/>
      <c r="UOW1997" s="55"/>
      <c r="UOX1997" s="55"/>
      <c r="UOY1997" s="55"/>
      <c r="UOZ1997" s="55"/>
      <c r="UPA1997" s="55"/>
      <c r="UPB1997" s="55"/>
      <c r="UPC1997" s="55"/>
      <c r="UPD1997" s="55"/>
      <c r="UPE1997" s="55"/>
      <c r="UPF1997" s="55"/>
      <c r="UPG1997" s="55"/>
      <c r="UPH1997" s="55"/>
      <c r="UPI1997" s="55"/>
      <c r="UPJ1997" s="55"/>
      <c r="UPK1997" s="55"/>
      <c r="UPL1997" s="55"/>
      <c r="UPM1997" s="55"/>
      <c r="UPN1997" s="55"/>
      <c r="UPO1997" s="55"/>
      <c r="UPP1997" s="55"/>
      <c r="UPQ1997" s="55"/>
      <c r="UPR1997" s="55"/>
      <c r="UPS1997" s="55"/>
      <c r="UPT1997" s="55"/>
      <c r="UPU1997" s="55"/>
      <c r="UPV1997" s="55"/>
      <c r="UPW1997" s="55"/>
      <c r="UPX1997" s="55"/>
      <c r="UPY1997" s="55"/>
      <c r="UPZ1997" s="55"/>
      <c r="UQA1997" s="55"/>
      <c r="UQB1997" s="55"/>
      <c r="UQC1997" s="55"/>
      <c r="UQD1997" s="55"/>
      <c r="UQE1997" s="55"/>
      <c r="UQF1997" s="55"/>
      <c r="UQG1997" s="55"/>
      <c r="UQH1997" s="55"/>
      <c r="UQI1997" s="55"/>
      <c r="UQJ1997" s="55"/>
      <c r="UQK1997" s="55"/>
      <c r="UQL1997" s="55"/>
      <c r="UQM1997" s="55"/>
      <c r="UQN1997" s="55"/>
      <c r="UQO1997" s="55"/>
      <c r="UQP1997" s="55"/>
      <c r="UQQ1997" s="55"/>
      <c r="UQR1997" s="55"/>
      <c r="UQS1997" s="55"/>
      <c r="UQT1997" s="55"/>
      <c r="UQU1997" s="55"/>
      <c r="UQV1997" s="55"/>
      <c r="UQW1997" s="55"/>
      <c r="UQX1997" s="55"/>
      <c r="UQY1997" s="55"/>
      <c r="UQZ1997" s="55"/>
      <c r="URA1997" s="55"/>
      <c r="URB1997" s="55"/>
      <c r="URC1997" s="55"/>
      <c r="URD1997" s="55"/>
      <c r="URE1997" s="55"/>
      <c r="URF1997" s="55"/>
      <c r="URG1997" s="55"/>
      <c r="URH1997" s="55"/>
      <c r="URI1997" s="55"/>
      <c r="URJ1997" s="55"/>
      <c r="URK1997" s="55"/>
      <c r="URL1997" s="55"/>
      <c r="URM1997" s="55"/>
      <c r="URN1997" s="55"/>
      <c r="URO1997" s="55"/>
      <c r="URP1997" s="55"/>
      <c r="URQ1997" s="55"/>
      <c r="URR1997" s="55"/>
      <c r="URS1997" s="55"/>
      <c r="URT1997" s="55"/>
      <c r="URU1997" s="55"/>
      <c r="URV1997" s="55"/>
      <c r="URW1997" s="55"/>
      <c r="URX1997" s="55"/>
      <c r="URY1997" s="55"/>
      <c r="URZ1997" s="55"/>
      <c r="USA1997" s="55"/>
      <c r="USB1997" s="55"/>
      <c r="USC1997" s="55"/>
      <c r="USD1997" s="55"/>
      <c r="USE1997" s="55"/>
      <c r="USF1997" s="55"/>
      <c r="USG1997" s="55"/>
      <c r="USH1997" s="55"/>
      <c r="USI1997" s="55"/>
      <c r="USJ1997" s="55"/>
      <c r="USK1997" s="55"/>
      <c r="USL1997" s="55"/>
      <c r="USM1997" s="55"/>
      <c r="USN1997" s="55"/>
      <c r="USO1997" s="55"/>
      <c r="USP1997" s="55"/>
      <c r="USQ1997" s="55"/>
      <c r="USR1997" s="55"/>
      <c r="USS1997" s="55"/>
      <c r="UST1997" s="55"/>
      <c r="USU1997" s="55"/>
      <c r="USV1997" s="55"/>
      <c r="USW1997" s="55"/>
      <c r="USX1997" s="55"/>
      <c r="USY1997" s="55"/>
      <c r="USZ1997" s="55"/>
      <c r="UTA1997" s="55"/>
      <c r="UTB1997" s="55"/>
      <c r="UTC1997" s="55"/>
      <c r="UTD1997" s="55"/>
      <c r="UTE1997" s="55"/>
      <c r="UTF1997" s="55"/>
      <c r="UTG1997" s="55"/>
      <c r="UTH1997" s="55"/>
      <c r="UTI1997" s="55"/>
      <c r="UTJ1997" s="55"/>
      <c r="UTK1997" s="55"/>
      <c r="UTL1997" s="55"/>
      <c r="UTM1997" s="55"/>
      <c r="UTN1997" s="55"/>
      <c r="UTO1997" s="55"/>
      <c r="UTP1997" s="55"/>
      <c r="UTQ1997" s="55"/>
      <c r="UTR1997" s="55"/>
      <c r="UTS1997" s="55"/>
      <c r="UTT1997" s="55"/>
      <c r="UTU1997" s="55"/>
      <c r="UTV1997" s="55"/>
      <c r="UTW1997" s="55"/>
      <c r="UTX1997" s="55"/>
      <c r="UTY1997" s="55"/>
      <c r="UTZ1997" s="55"/>
      <c r="UUA1997" s="55"/>
      <c r="UUB1997" s="55"/>
      <c r="UUC1997" s="55"/>
      <c r="UUD1997" s="55"/>
      <c r="UUE1997" s="55"/>
      <c r="UUF1997" s="55"/>
      <c r="UUG1997" s="55"/>
      <c r="UUH1997" s="55"/>
      <c r="UUI1997" s="55"/>
      <c r="UUJ1997" s="55"/>
      <c r="UUK1997" s="55"/>
      <c r="UUL1997" s="55"/>
      <c r="UUM1997" s="55"/>
      <c r="UUN1997" s="55"/>
      <c r="UUO1997" s="55"/>
      <c r="UUP1997" s="55"/>
      <c r="UUQ1997" s="55"/>
      <c r="UUR1997" s="55"/>
      <c r="UUS1997" s="55"/>
      <c r="UUT1997" s="55"/>
      <c r="UUU1997" s="55"/>
      <c r="UUV1997" s="55"/>
      <c r="UUW1997" s="55"/>
      <c r="UUX1997" s="55"/>
      <c r="UUY1997" s="55"/>
      <c r="UUZ1997" s="55"/>
      <c r="UVA1997" s="55"/>
      <c r="UVB1997" s="55"/>
      <c r="UVC1997" s="55"/>
      <c r="UVD1997" s="55"/>
      <c r="UVE1997" s="55"/>
      <c r="UVF1997" s="55"/>
      <c r="UVG1997" s="55"/>
      <c r="UVH1997" s="55"/>
      <c r="UVI1997" s="55"/>
      <c r="UVJ1997" s="55"/>
      <c r="UVK1997" s="55"/>
      <c r="UVL1997" s="55"/>
      <c r="UVM1997" s="55"/>
      <c r="UVN1997" s="55"/>
      <c r="UVO1997" s="55"/>
      <c r="UVP1997" s="55"/>
      <c r="UVQ1997" s="55"/>
      <c r="UVR1997" s="55"/>
      <c r="UVS1997" s="55"/>
      <c r="UVT1997" s="55"/>
      <c r="UVU1997" s="55"/>
      <c r="UVV1997" s="55"/>
      <c r="UVW1997" s="55"/>
      <c r="UVX1997" s="55"/>
      <c r="UVY1997" s="55"/>
      <c r="UVZ1997" s="55"/>
      <c r="UWA1997" s="55"/>
      <c r="UWB1997" s="55"/>
      <c r="UWC1997" s="55"/>
      <c r="UWD1997" s="55"/>
      <c r="UWE1997" s="55"/>
      <c r="UWF1997" s="55"/>
      <c r="UWG1997" s="55"/>
      <c r="UWH1997" s="55"/>
      <c r="UWI1997" s="55"/>
      <c r="UWJ1997" s="55"/>
      <c r="UWK1997" s="55"/>
      <c r="UWL1997" s="55"/>
      <c r="UWM1997" s="55"/>
      <c r="UWN1997" s="55"/>
      <c r="UWO1997" s="55"/>
      <c r="UWP1997" s="55"/>
      <c r="UWQ1997" s="55"/>
      <c r="UWR1997" s="55"/>
      <c r="UWS1997" s="55"/>
      <c r="UWT1997" s="55"/>
      <c r="UWU1997" s="55"/>
      <c r="UWV1997" s="55"/>
      <c r="UWW1997" s="55"/>
      <c r="UWX1997" s="55"/>
      <c r="UWY1997" s="55"/>
      <c r="UWZ1997" s="55"/>
      <c r="UXA1997" s="55"/>
      <c r="UXB1997" s="55"/>
      <c r="UXC1997" s="55"/>
      <c r="UXD1997" s="55"/>
      <c r="UXE1997" s="55"/>
      <c r="UXF1997" s="55"/>
      <c r="UXG1997" s="55"/>
      <c r="UXH1997" s="55"/>
      <c r="UXI1997" s="55"/>
      <c r="UXJ1997" s="55"/>
      <c r="UXK1997" s="55"/>
      <c r="UXL1997" s="55"/>
      <c r="UXM1997" s="55"/>
      <c r="UXN1997" s="55"/>
      <c r="UXO1997" s="55"/>
      <c r="UXP1997" s="55"/>
      <c r="UXQ1997" s="55"/>
      <c r="UXR1997" s="55"/>
      <c r="UXS1997" s="55"/>
      <c r="UXT1997" s="55"/>
      <c r="UXU1997" s="55"/>
      <c r="UXV1997" s="55"/>
      <c r="UXW1997" s="55"/>
      <c r="UXX1997" s="55"/>
      <c r="UXY1997" s="55"/>
      <c r="UXZ1997" s="55"/>
      <c r="UYA1997" s="55"/>
      <c r="UYB1997" s="55"/>
      <c r="UYC1997" s="55"/>
      <c r="UYD1997" s="55"/>
      <c r="UYE1997" s="55"/>
      <c r="UYF1997" s="55"/>
      <c r="UYG1997" s="55"/>
      <c r="UYH1997" s="55"/>
      <c r="UYI1997" s="55"/>
      <c r="UYJ1997" s="55"/>
      <c r="UYK1997" s="55"/>
      <c r="UYL1997" s="55"/>
      <c r="UYM1997" s="55"/>
      <c r="UYN1997" s="55"/>
      <c r="UYO1997" s="55"/>
      <c r="UYP1997" s="55"/>
      <c r="UYQ1997" s="55"/>
      <c r="UYR1997" s="55"/>
      <c r="UYS1997" s="55"/>
      <c r="UYT1997" s="55"/>
      <c r="UYU1997" s="55"/>
      <c r="UYV1997" s="55"/>
      <c r="UYW1997" s="55"/>
      <c r="UYX1997" s="55"/>
      <c r="UYY1997" s="55"/>
      <c r="UYZ1997" s="55"/>
      <c r="UZA1997" s="55"/>
      <c r="UZB1997" s="55"/>
      <c r="UZC1997" s="55"/>
      <c r="UZD1997" s="55"/>
      <c r="UZE1997" s="55"/>
      <c r="UZF1997" s="55"/>
      <c r="UZG1997" s="55"/>
      <c r="UZH1997" s="55"/>
      <c r="UZI1997" s="55"/>
      <c r="UZJ1997" s="55"/>
      <c r="UZK1997" s="55"/>
      <c r="UZL1997" s="55"/>
      <c r="UZM1997" s="55"/>
      <c r="UZN1997" s="55"/>
      <c r="UZO1997" s="55"/>
      <c r="UZP1997" s="55"/>
      <c r="UZQ1997" s="55"/>
      <c r="UZR1997" s="55"/>
      <c r="UZS1997" s="55"/>
      <c r="UZT1997" s="55"/>
      <c r="UZU1997" s="55"/>
      <c r="UZV1997" s="55"/>
      <c r="UZW1997" s="55"/>
      <c r="UZX1997" s="55"/>
      <c r="UZY1997" s="55"/>
      <c r="UZZ1997" s="55"/>
      <c r="VAA1997" s="55"/>
      <c r="VAB1997" s="55"/>
      <c r="VAC1997" s="55"/>
      <c r="VAD1997" s="55"/>
      <c r="VAE1997" s="55"/>
      <c r="VAF1997" s="55"/>
      <c r="VAG1997" s="55"/>
      <c r="VAH1997" s="55"/>
      <c r="VAI1997" s="55"/>
      <c r="VAJ1997" s="55"/>
      <c r="VAK1997" s="55"/>
      <c r="VAL1997" s="55"/>
      <c r="VAM1997" s="55"/>
      <c r="VAN1997" s="55"/>
      <c r="VAO1997" s="55"/>
      <c r="VAP1997" s="55"/>
      <c r="VAQ1997" s="55"/>
      <c r="VAR1997" s="55"/>
      <c r="VAS1997" s="55"/>
      <c r="VAT1997" s="55"/>
      <c r="VAU1997" s="55"/>
      <c r="VAV1997" s="55"/>
      <c r="VAW1997" s="55"/>
      <c r="VAX1997" s="55"/>
      <c r="VAY1997" s="55"/>
      <c r="VAZ1997" s="55"/>
      <c r="VBA1997" s="55"/>
      <c r="VBB1997" s="55"/>
      <c r="VBC1997" s="55"/>
      <c r="VBD1997" s="55"/>
      <c r="VBE1997" s="55"/>
      <c r="VBF1997" s="55"/>
      <c r="VBG1997" s="55"/>
      <c r="VBH1997" s="55"/>
      <c r="VBI1997" s="55"/>
      <c r="VBJ1997" s="55"/>
      <c r="VBK1997" s="55"/>
      <c r="VBL1997" s="55"/>
      <c r="VBM1997" s="55"/>
      <c r="VBN1997" s="55"/>
      <c r="VBO1997" s="55"/>
      <c r="VBP1997" s="55"/>
      <c r="VBQ1997" s="55"/>
      <c r="VBR1997" s="55"/>
      <c r="VBS1997" s="55"/>
      <c r="VBT1997" s="55"/>
      <c r="VBU1997" s="55"/>
      <c r="VBV1997" s="55"/>
      <c r="VBW1997" s="55"/>
      <c r="VBX1997" s="55"/>
      <c r="VBY1997" s="55"/>
      <c r="VBZ1997" s="55"/>
      <c r="VCA1997" s="55"/>
      <c r="VCB1997" s="55"/>
      <c r="VCC1997" s="55"/>
      <c r="VCD1997" s="55"/>
      <c r="VCE1997" s="55"/>
      <c r="VCF1997" s="55"/>
      <c r="VCG1997" s="55"/>
      <c r="VCH1997" s="55"/>
      <c r="VCI1997" s="55"/>
      <c r="VCJ1997" s="55"/>
      <c r="VCK1997" s="55"/>
      <c r="VCL1997" s="55"/>
      <c r="VCM1997" s="55"/>
      <c r="VCN1997" s="55"/>
      <c r="VCO1997" s="55"/>
      <c r="VCP1997" s="55"/>
      <c r="VCQ1997" s="55"/>
      <c r="VCR1997" s="55"/>
      <c r="VCS1997" s="55"/>
      <c r="VCT1997" s="55"/>
      <c r="VCU1997" s="55"/>
      <c r="VCV1997" s="55"/>
      <c r="VCW1997" s="55"/>
      <c r="VCX1997" s="55"/>
      <c r="VCY1997" s="55"/>
      <c r="VCZ1997" s="55"/>
      <c r="VDA1997" s="55"/>
      <c r="VDB1997" s="55"/>
      <c r="VDC1997" s="55"/>
      <c r="VDD1997" s="55"/>
      <c r="VDE1997" s="55"/>
      <c r="VDF1997" s="55"/>
      <c r="VDG1997" s="55"/>
      <c r="VDH1997" s="55"/>
      <c r="VDI1997" s="55"/>
      <c r="VDJ1997" s="55"/>
      <c r="VDK1997" s="55"/>
      <c r="VDL1997" s="55"/>
      <c r="VDM1997" s="55"/>
      <c r="VDN1997" s="55"/>
      <c r="VDO1997" s="55"/>
      <c r="VDP1997" s="55"/>
      <c r="VDQ1997" s="55"/>
      <c r="VDR1997" s="55"/>
      <c r="VDS1997" s="55"/>
      <c r="VDT1997" s="55"/>
      <c r="VDU1997" s="55"/>
      <c r="VDV1997" s="55"/>
      <c r="VDW1997" s="55"/>
      <c r="VDX1997" s="55"/>
      <c r="VDY1997" s="55"/>
      <c r="VDZ1997" s="55"/>
      <c r="VEA1997" s="55"/>
      <c r="VEB1997" s="55"/>
      <c r="VEC1997" s="55"/>
      <c r="VED1997" s="55"/>
      <c r="VEE1997" s="55"/>
      <c r="VEF1997" s="55"/>
      <c r="VEG1997" s="55"/>
      <c r="VEH1997" s="55"/>
      <c r="VEI1997" s="55"/>
      <c r="VEJ1997" s="55"/>
      <c r="VEK1997" s="55"/>
      <c r="VEL1997" s="55"/>
      <c r="VEM1997" s="55"/>
      <c r="VEN1997" s="55"/>
      <c r="VEO1997" s="55"/>
      <c r="VEP1997" s="55"/>
      <c r="VEQ1997" s="55"/>
      <c r="VER1997" s="55"/>
      <c r="VES1997" s="55"/>
      <c r="VET1997" s="55"/>
      <c r="VEU1997" s="55"/>
      <c r="VEV1997" s="55"/>
      <c r="VEW1997" s="55"/>
      <c r="VEX1997" s="55"/>
      <c r="VEY1997" s="55"/>
      <c r="VEZ1997" s="55"/>
      <c r="VFA1997" s="55"/>
      <c r="VFB1997" s="55"/>
      <c r="VFC1997" s="55"/>
      <c r="VFD1997" s="55"/>
      <c r="VFE1997" s="55"/>
      <c r="VFF1997" s="55"/>
      <c r="VFG1997" s="55"/>
      <c r="VFH1997" s="55"/>
      <c r="VFI1997" s="55"/>
      <c r="VFJ1997" s="55"/>
      <c r="VFK1997" s="55"/>
      <c r="VFL1997" s="55"/>
      <c r="VFM1997" s="55"/>
      <c r="VFN1997" s="55"/>
      <c r="VFO1997" s="55"/>
      <c r="VFP1997" s="55"/>
      <c r="VFQ1997" s="55"/>
      <c r="VFR1997" s="55"/>
      <c r="VFS1997" s="55"/>
      <c r="VFT1997" s="55"/>
      <c r="VFU1997" s="55"/>
      <c r="VFV1997" s="55"/>
      <c r="VFW1997" s="55"/>
      <c r="VFX1997" s="55"/>
      <c r="VFY1997" s="55"/>
      <c r="VFZ1997" s="55"/>
      <c r="VGA1997" s="55"/>
      <c r="VGB1997" s="55"/>
      <c r="VGC1997" s="55"/>
      <c r="VGD1997" s="55"/>
      <c r="VGE1997" s="55"/>
      <c r="VGF1997" s="55"/>
      <c r="VGG1997" s="55"/>
      <c r="VGH1997" s="55"/>
      <c r="VGI1997" s="55"/>
      <c r="VGJ1997" s="55"/>
      <c r="VGK1997" s="55"/>
      <c r="VGL1997" s="55"/>
      <c r="VGM1997" s="55"/>
      <c r="VGN1997" s="55"/>
      <c r="VGO1997" s="55"/>
      <c r="VGP1997" s="55"/>
      <c r="VGQ1997" s="55"/>
      <c r="VGR1997" s="55"/>
      <c r="VGS1997" s="55"/>
      <c r="VGT1997" s="55"/>
      <c r="VGU1997" s="55"/>
      <c r="VGV1997" s="55"/>
      <c r="VGW1997" s="55"/>
      <c r="VGX1997" s="55"/>
      <c r="VGY1997" s="55"/>
      <c r="VGZ1997" s="55"/>
      <c r="VHA1997" s="55"/>
      <c r="VHB1997" s="55"/>
      <c r="VHC1997" s="55"/>
      <c r="VHD1997" s="55"/>
      <c r="VHE1997" s="55"/>
      <c r="VHF1997" s="55"/>
      <c r="VHG1997" s="55"/>
      <c r="VHH1997" s="55"/>
      <c r="VHI1997" s="55"/>
      <c r="VHJ1997" s="55"/>
      <c r="VHK1997" s="55"/>
      <c r="VHL1997" s="55"/>
      <c r="VHM1997" s="55"/>
      <c r="VHN1997" s="55"/>
      <c r="VHO1997" s="55"/>
      <c r="VHP1997" s="55"/>
      <c r="VHQ1997" s="55"/>
      <c r="VHR1997" s="55"/>
      <c r="VHS1997" s="55"/>
      <c r="VHT1997" s="55"/>
      <c r="VHU1997" s="55"/>
      <c r="VHV1997" s="55"/>
      <c r="VHW1997" s="55"/>
      <c r="VHX1997" s="55"/>
      <c r="VHY1997" s="55"/>
      <c r="VHZ1997" s="55"/>
      <c r="VIA1997" s="55"/>
      <c r="VIB1997" s="55"/>
      <c r="VIC1997" s="55"/>
      <c r="VID1997" s="55"/>
      <c r="VIE1997" s="55"/>
      <c r="VIF1997" s="55"/>
      <c r="VIG1997" s="55"/>
      <c r="VIH1997" s="55"/>
      <c r="VII1997" s="55"/>
      <c r="VIJ1997" s="55"/>
      <c r="VIK1997" s="55"/>
      <c r="VIL1997" s="55"/>
      <c r="VIM1997" s="55"/>
      <c r="VIN1997" s="55"/>
      <c r="VIO1997" s="55"/>
      <c r="VIP1997" s="55"/>
      <c r="VIQ1997" s="55"/>
      <c r="VIR1997" s="55"/>
      <c r="VIS1997" s="55"/>
      <c r="VIT1997" s="55"/>
      <c r="VIU1997" s="55"/>
      <c r="VIV1997" s="55"/>
      <c r="VIW1997" s="55"/>
      <c r="VIX1997" s="55"/>
      <c r="VIY1997" s="55"/>
      <c r="VIZ1997" s="55"/>
      <c r="VJA1997" s="55"/>
      <c r="VJB1997" s="55"/>
      <c r="VJC1997" s="55"/>
      <c r="VJD1997" s="55"/>
      <c r="VJE1997" s="55"/>
      <c r="VJF1997" s="55"/>
      <c r="VJG1997" s="55"/>
      <c r="VJH1997" s="55"/>
      <c r="VJI1997" s="55"/>
      <c r="VJJ1997" s="55"/>
      <c r="VJK1997" s="55"/>
      <c r="VJL1997" s="55"/>
      <c r="VJM1997" s="55"/>
      <c r="VJN1997" s="55"/>
      <c r="VJO1997" s="55"/>
      <c r="VJP1997" s="55"/>
      <c r="VJQ1997" s="55"/>
      <c r="VJR1997" s="55"/>
      <c r="VJS1997" s="55"/>
      <c r="VJT1997" s="55"/>
      <c r="VJU1997" s="55"/>
      <c r="VJV1997" s="55"/>
      <c r="VJW1997" s="55"/>
      <c r="VJX1997" s="55"/>
      <c r="VJY1997" s="55"/>
      <c r="VJZ1997" s="55"/>
      <c r="VKA1997" s="55"/>
      <c r="VKB1997" s="55"/>
      <c r="VKC1997" s="55"/>
      <c r="VKD1997" s="55"/>
      <c r="VKE1997" s="55"/>
      <c r="VKF1997" s="55"/>
      <c r="VKG1997" s="55"/>
      <c r="VKH1997" s="55"/>
      <c r="VKI1997" s="55"/>
      <c r="VKJ1997" s="55"/>
      <c r="VKK1997" s="55"/>
      <c r="VKL1997" s="55"/>
      <c r="VKM1997" s="55"/>
      <c r="VKN1997" s="55"/>
      <c r="VKO1997" s="55"/>
      <c r="VKP1997" s="55"/>
      <c r="VKQ1997" s="55"/>
      <c r="VKR1997" s="55"/>
      <c r="VKS1997" s="55"/>
      <c r="VKT1997" s="55"/>
      <c r="VKU1997" s="55"/>
      <c r="VKV1997" s="55"/>
      <c r="VKW1997" s="55"/>
      <c r="VKX1997" s="55"/>
      <c r="VKY1997" s="55"/>
      <c r="VKZ1997" s="55"/>
      <c r="VLA1997" s="55"/>
      <c r="VLB1997" s="55"/>
      <c r="VLC1997" s="55"/>
      <c r="VLD1997" s="55"/>
      <c r="VLE1997" s="55"/>
      <c r="VLF1997" s="55"/>
      <c r="VLG1997" s="55"/>
      <c r="VLH1997" s="55"/>
      <c r="VLI1997" s="55"/>
      <c r="VLJ1997" s="55"/>
      <c r="VLK1997" s="55"/>
      <c r="VLL1997" s="55"/>
      <c r="VLM1997" s="55"/>
      <c r="VLN1997" s="55"/>
      <c r="VLO1997" s="55"/>
      <c r="VLP1997" s="55"/>
      <c r="VLQ1997" s="55"/>
      <c r="VLR1997" s="55"/>
      <c r="VLS1997" s="55"/>
      <c r="VLT1997" s="55"/>
      <c r="VLU1997" s="55"/>
      <c r="VLV1997" s="55"/>
      <c r="VLW1997" s="55"/>
      <c r="VLX1997" s="55"/>
      <c r="VLY1997" s="55"/>
      <c r="VLZ1997" s="55"/>
      <c r="VMA1997" s="55"/>
      <c r="VMB1997" s="55"/>
      <c r="VMC1997" s="55"/>
      <c r="VMD1997" s="55"/>
      <c r="VME1997" s="55"/>
      <c r="VMF1997" s="55"/>
      <c r="VMG1997" s="55"/>
      <c r="VMH1997" s="55"/>
      <c r="VMI1997" s="55"/>
      <c r="VMJ1997" s="55"/>
      <c r="VMK1997" s="55"/>
      <c r="VML1997" s="55"/>
      <c r="VMM1997" s="55"/>
      <c r="VMN1997" s="55"/>
      <c r="VMO1997" s="55"/>
      <c r="VMP1997" s="55"/>
      <c r="VMQ1997" s="55"/>
      <c r="VMR1997" s="55"/>
      <c r="VMS1997" s="55"/>
      <c r="VMT1997" s="55"/>
      <c r="VMU1997" s="55"/>
      <c r="VMV1997" s="55"/>
      <c r="VMW1997" s="55"/>
      <c r="VMX1997" s="55"/>
      <c r="VMY1997" s="55"/>
      <c r="VMZ1997" s="55"/>
      <c r="VNA1997" s="55"/>
      <c r="VNB1997" s="55"/>
      <c r="VNC1997" s="55"/>
      <c r="VND1997" s="55"/>
      <c r="VNE1997" s="55"/>
      <c r="VNF1997" s="55"/>
      <c r="VNG1997" s="55"/>
      <c r="VNH1997" s="55"/>
      <c r="VNI1997" s="55"/>
      <c r="VNJ1997" s="55"/>
      <c r="VNK1997" s="55"/>
      <c r="VNL1997" s="55"/>
      <c r="VNM1997" s="55"/>
      <c r="VNN1997" s="55"/>
      <c r="VNO1997" s="55"/>
      <c r="VNP1997" s="55"/>
      <c r="VNQ1997" s="55"/>
      <c r="VNR1997" s="55"/>
      <c r="VNS1997" s="55"/>
      <c r="VNT1997" s="55"/>
      <c r="VNU1997" s="55"/>
      <c r="VNV1997" s="55"/>
      <c r="VNW1997" s="55"/>
      <c r="VNX1997" s="55"/>
      <c r="VNY1997" s="55"/>
      <c r="VNZ1997" s="55"/>
      <c r="VOA1997" s="55"/>
      <c r="VOB1997" s="55"/>
      <c r="VOC1997" s="55"/>
      <c r="VOD1997" s="55"/>
      <c r="VOE1997" s="55"/>
      <c r="VOF1997" s="55"/>
      <c r="VOG1997" s="55"/>
      <c r="VOH1997" s="55"/>
      <c r="VOI1997" s="55"/>
      <c r="VOJ1997" s="55"/>
      <c r="VOK1997" s="55"/>
      <c r="VOL1997" s="55"/>
      <c r="VOM1997" s="55"/>
      <c r="VON1997" s="55"/>
      <c r="VOO1997" s="55"/>
      <c r="VOP1997" s="55"/>
      <c r="VOQ1997" s="55"/>
      <c r="VOR1997" s="55"/>
      <c r="VOS1997" s="55"/>
      <c r="VOT1997" s="55"/>
      <c r="VOU1997" s="55"/>
      <c r="VOV1997" s="55"/>
      <c r="VOW1997" s="55"/>
      <c r="VOX1997" s="55"/>
      <c r="VOY1997" s="55"/>
      <c r="VOZ1997" s="55"/>
      <c r="VPA1997" s="55"/>
      <c r="VPB1997" s="55"/>
      <c r="VPC1997" s="55"/>
      <c r="VPD1997" s="55"/>
      <c r="VPE1997" s="55"/>
      <c r="VPF1997" s="55"/>
      <c r="VPG1997" s="55"/>
      <c r="VPH1997" s="55"/>
      <c r="VPI1997" s="55"/>
      <c r="VPJ1997" s="55"/>
      <c r="VPK1997" s="55"/>
      <c r="VPL1997" s="55"/>
      <c r="VPM1997" s="55"/>
      <c r="VPN1997" s="55"/>
      <c r="VPO1997" s="55"/>
      <c r="VPP1997" s="55"/>
      <c r="VPQ1997" s="55"/>
      <c r="VPR1997" s="55"/>
      <c r="VPS1997" s="55"/>
      <c r="VPT1997" s="55"/>
      <c r="VPU1997" s="55"/>
      <c r="VPV1997" s="55"/>
      <c r="VPW1997" s="55"/>
      <c r="VPX1997" s="55"/>
      <c r="VPY1997" s="55"/>
      <c r="VPZ1997" s="55"/>
      <c r="VQA1997" s="55"/>
      <c r="VQB1997" s="55"/>
      <c r="VQC1997" s="55"/>
      <c r="VQD1997" s="55"/>
      <c r="VQE1997" s="55"/>
      <c r="VQF1997" s="55"/>
      <c r="VQG1997" s="55"/>
      <c r="VQH1997" s="55"/>
      <c r="VQI1997" s="55"/>
      <c r="VQJ1997" s="55"/>
      <c r="VQK1997" s="55"/>
      <c r="VQL1997" s="55"/>
      <c r="VQM1997" s="55"/>
      <c r="VQN1997" s="55"/>
      <c r="VQO1997" s="55"/>
      <c r="VQP1997" s="55"/>
      <c r="VQQ1997" s="55"/>
      <c r="VQR1997" s="55"/>
      <c r="VQS1997" s="55"/>
      <c r="VQT1997" s="55"/>
      <c r="VQU1997" s="55"/>
      <c r="VQV1997" s="55"/>
      <c r="VQW1997" s="55"/>
      <c r="VQX1997" s="55"/>
      <c r="VQY1997" s="55"/>
      <c r="VQZ1997" s="55"/>
      <c r="VRA1997" s="55"/>
      <c r="VRB1997" s="55"/>
      <c r="VRC1997" s="55"/>
      <c r="VRD1997" s="55"/>
      <c r="VRE1997" s="55"/>
      <c r="VRF1997" s="55"/>
      <c r="VRG1997" s="55"/>
      <c r="VRH1997" s="55"/>
      <c r="VRI1997" s="55"/>
      <c r="VRJ1997" s="55"/>
      <c r="VRK1997" s="55"/>
      <c r="VRL1997" s="55"/>
      <c r="VRM1997" s="55"/>
      <c r="VRN1997" s="55"/>
      <c r="VRO1997" s="55"/>
      <c r="VRP1997" s="55"/>
      <c r="VRQ1997" s="55"/>
      <c r="VRR1997" s="55"/>
      <c r="VRS1997" s="55"/>
      <c r="VRT1997" s="55"/>
      <c r="VRU1997" s="55"/>
      <c r="VRV1997" s="55"/>
      <c r="VRW1997" s="55"/>
      <c r="VRX1997" s="55"/>
      <c r="VRY1997" s="55"/>
      <c r="VRZ1997" s="55"/>
      <c r="VSA1997" s="55"/>
      <c r="VSB1997" s="55"/>
      <c r="VSC1997" s="55"/>
      <c r="VSD1997" s="55"/>
      <c r="VSE1997" s="55"/>
      <c r="VSF1997" s="55"/>
      <c r="VSG1997" s="55"/>
      <c r="VSH1997" s="55"/>
      <c r="VSI1997" s="55"/>
      <c r="VSJ1997" s="55"/>
      <c r="VSK1997" s="55"/>
      <c r="VSL1997" s="55"/>
      <c r="VSM1997" s="55"/>
      <c r="VSN1997" s="55"/>
      <c r="VSO1997" s="55"/>
      <c r="VSP1997" s="55"/>
      <c r="VSQ1997" s="55"/>
      <c r="VSR1997" s="55"/>
      <c r="VSS1997" s="55"/>
      <c r="VST1997" s="55"/>
      <c r="VSU1997" s="55"/>
      <c r="VSV1997" s="55"/>
      <c r="VSW1997" s="55"/>
      <c r="VSX1997" s="55"/>
      <c r="VSY1997" s="55"/>
      <c r="VSZ1997" s="55"/>
      <c r="VTA1997" s="55"/>
      <c r="VTB1997" s="55"/>
      <c r="VTC1997" s="55"/>
      <c r="VTD1997" s="55"/>
      <c r="VTE1997" s="55"/>
      <c r="VTF1997" s="55"/>
      <c r="VTG1997" s="55"/>
      <c r="VTH1997" s="55"/>
      <c r="VTI1997" s="55"/>
      <c r="VTJ1997" s="55"/>
      <c r="VTK1997" s="55"/>
      <c r="VTL1997" s="55"/>
      <c r="VTM1997" s="55"/>
      <c r="VTN1997" s="55"/>
      <c r="VTO1997" s="55"/>
      <c r="VTP1997" s="55"/>
      <c r="VTQ1997" s="55"/>
      <c r="VTR1997" s="55"/>
      <c r="VTS1997" s="55"/>
      <c r="VTT1997" s="55"/>
      <c r="VTU1997" s="55"/>
      <c r="VTV1997" s="55"/>
      <c r="VTW1997" s="55"/>
      <c r="VTX1997" s="55"/>
      <c r="VTY1997" s="55"/>
      <c r="VTZ1997" s="55"/>
      <c r="VUA1997" s="55"/>
      <c r="VUB1997" s="55"/>
      <c r="VUC1997" s="55"/>
      <c r="VUD1997" s="55"/>
      <c r="VUE1997" s="55"/>
      <c r="VUF1997" s="55"/>
      <c r="VUG1997" s="55"/>
      <c r="VUH1997" s="55"/>
      <c r="VUI1997" s="55"/>
      <c r="VUJ1997" s="55"/>
      <c r="VUK1997" s="55"/>
      <c r="VUL1997" s="55"/>
      <c r="VUM1997" s="55"/>
      <c r="VUN1997" s="55"/>
      <c r="VUO1997" s="55"/>
      <c r="VUP1997" s="55"/>
      <c r="VUQ1997" s="55"/>
      <c r="VUR1997" s="55"/>
      <c r="VUS1997" s="55"/>
      <c r="VUT1997" s="55"/>
      <c r="VUU1997" s="55"/>
      <c r="VUV1997" s="55"/>
      <c r="VUW1997" s="55"/>
      <c r="VUX1997" s="55"/>
      <c r="VUY1997" s="55"/>
      <c r="VUZ1997" s="55"/>
      <c r="VVA1997" s="55"/>
      <c r="VVB1997" s="55"/>
      <c r="VVC1997" s="55"/>
      <c r="VVD1997" s="55"/>
      <c r="VVE1997" s="55"/>
      <c r="VVF1997" s="55"/>
      <c r="VVG1997" s="55"/>
      <c r="VVH1997" s="55"/>
      <c r="VVI1997" s="55"/>
      <c r="VVJ1997" s="55"/>
      <c r="VVK1997" s="55"/>
      <c r="VVL1997" s="55"/>
      <c r="VVM1997" s="55"/>
      <c r="VVN1997" s="55"/>
      <c r="VVO1997" s="55"/>
      <c r="VVP1997" s="55"/>
      <c r="VVQ1997" s="55"/>
      <c r="VVR1997" s="55"/>
      <c r="VVS1997" s="55"/>
      <c r="VVT1997" s="55"/>
      <c r="VVU1997" s="55"/>
      <c r="VVV1997" s="55"/>
      <c r="VVW1997" s="55"/>
      <c r="VVX1997" s="55"/>
      <c r="VVY1997" s="55"/>
      <c r="VVZ1997" s="55"/>
      <c r="VWA1997" s="55"/>
      <c r="VWB1997" s="55"/>
      <c r="VWC1997" s="55"/>
      <c r="VWD1997" s="55"/>
      <c r="VWE1997" s="55"/>
      <c r="VWF1997" s="55"/>
      <c r="VWG1997" s="55"/>
      <c r="VWH1997" s="55"/>
      <c r="VWI1997" s="55"/>
      <c r="VWJ1997" s="55"/>
      <c r="VWK1997" s="55"/>
      <c r="VWL1997" s="55"/>
      <c r="VWM1997" s="55"/>
      <c r="VWN1997" s="55"/>
      <c r="VWO1997" s="55"/>
      <c r="VWP1997" s="55"/>
      <c r="VWQ1997" s="55"/>
      <c r="VWR1997" s="55"/>
      <c r="VWS1997" s="55"/>
      <c r="VWT1997" s="55"/>
      <c r="VWU1997" s="55"/>
      <c r="VWV1997" s="55"/>
      <c r="VWW1997" s="55"/>
      <c r="VWX1997" s="55"/>
      <c r="VWY1997" s="55"/>
      <c r="VWZ1997" s="55"/>
      <c r="VXA1997" s="55"/>
      <c r="VXB1997" s="55"/>
      <c r="VXC1997" s="55"/>
      <c r="VXD1997" s="55"/>
      <c r="VXE1997" s="55"/>
      <c r="VXF1997" s="55"/>
      <c r="VXG1997" s="55"/>
      <c r="VXH1997" s="55"/>
      <c r="VXI1997" s="55"/>
      <c r="VXJ1997" s="55"/>
      <c r="VXK1997" s="55"/>
      <c r="VXL1997" s="55"/>
      <c r="VXM1997" s="55"/>
      <c r="VXN1997" s="55"/>
      <c r="VXO1997" s="55"/>
      <c r="VXP1997" s="55"/>
      <c r="VXQ1997" s="55"/>
      <c r="VXR1997" s="55"/>
      <c r="VXS1997" s="55"/>
      <c r="VXT1997" s="55"/>
      <c r="VXU1997" s="55"/>
      <c r="VXV1997" s="55"/>
      <c r="VXW1997" s="55"/>
      <c r="VXX1997" s="55"/>
      <c r="VXY1997" s="55"/>
      <c r="VXZ1997" s="55"/>
      <c r="VYA1997" s="55"/>
      <c r="VYB1997" s="55"/>
      <c r="VYC1997" s="55"/>
      <c r="VYD1997" s="55"/>
      <c r="VYE1997" s="55"/>
      <c r="VYF1997" s="55"/>
      <c r="VYG1997" s="55"/>
      <c r="VYH1997" s="55"/>
      <c r="VYI1997" s="55"/>
      <c r="VYJ1997" s="55"/>
      <c r="VYK1997" s="55"/>
      <c r="VYL1997" s="55"/>
      <c r="VYM1997" s="55"/>
      <c r="VYN1997" s="55"/>
      <c r="VYO1997" s="55"/>
      <c r="VYP1997" s="55"/>
      <c r="VYQ1997" s="55"/>
      <c r="VYR1997" s="55"/>
      <c r="VYS1997" s="55"/>
      <c r="VYT1997" s="55"/>
      <c r="VYU1997" s="55"/>
      <c r="VYV1997" s="55"/>
      <c r="VYW1997" s="55"/>
      <c r="VYX1997" s="55"/>
      <c r="VYY1997" s="55"/>
      <c r="VYZ1997" s="55"/>
      <c r="VZA1997" s="55"/>
      <c r="VZB1997" s="55"/>
      <c r="VZC1997" s="55"/>
      <c r="VZD1997" s="55"/>
      <c r="VZE1997" s="55"/>
      <c r="VZF1997" s="55"/>
      <c r="VZG1997" s="55"/>
      <c r="VZH1997" s="55"/>
      <c r="VZI1997" s="55"/>
      <c r="VZJ1997" s="55"/>
      <c r="VZK1997" s="55"/>
      <c r="VZL1997" s="55"/>
      <c r="VZM1997" s="55"/>
      <c r="VZN1997" s="55"/>
      <c r="VZO1997" s="55"/>
      <c r="VZP1997" s="55"/>
      <c r="VZQ1997" s="55"/>
      <c r="VZR1997" s="55"/>
      <c r="VZS1997" s="55"/>
      <c r="VZT1997" s="55"/>
      <c r="VZU1997" s="55"/>
      <c r="VZV1997" s="55"/>
      <c r="VZW1997" s="55"/>
      <c r="VZX1997" s="55"/>
      <c r="VZY1997" s="55"/>
      <c r="VZZ1997" s="55"/>
      <c r="WAA1997" s="55"/>
      <c r="WAB1997" s="55"/>
      <c r="WAC1997" s="55"/>
      <c r="WAD1997" s="55"/>
      <c r="WAE1997" s="55"/>
      <c r="WAF1997" s="55"/>
      <c r="WAG1997" s="55"/>
      <c r="WAH1997" s="55"/>
      <c r="WAI1997" s="55"/>
      <c r="WAJ1997" s="55"/>
      <c r="WAK1997" s="55"/>
      <c r="WAL1997" s="55"/>
      <c r="WAM1997" s="55"/>
      <c r="WAN1997" s="55"/>
      <c r="WAO1997" s="55"/>
      <c r="WAP1997" s="55"/>
      <c r="WAQ1997" s="55"/>
      <c r="WAR1997" s="55"/>
      <c r="WAS1997" s="55"/>
      <c r="WAT1997" s="55"/>
      <c r="WAU1997" s="55"/>
      <c r="WAV1997" s="55"/>
      <c r="WAW1997" s="55"/>
      <c r="WAX1997" s="55"/>
      <c r="WAY1997" s="55"/>
      <c r="WAZ1997" s="55"/>
      <c r="WBA1997" s="55"/>
      <c r="WBB1997" s="55"/>
      <c r="WBC1997" s="55"/>
      <c r="WBD1997" s="55"/>
      <c r="WBE1997" s="55"/>
      <c r="WBF1997" s="55"/>
      <c r="WBG1997" s="55"/>
      <c r="WBH1997" s="55"/>
      <c r="WBI1997" s="55"/>
      <c r="WBJ1997" s="55"/>
      <c r="WBK1997" s="55"/>
      <c r="WBL1997" s="55"/>
      <c r="WBM1997" s="55"/>
      <c r="WBN1997" s="55"/>
      <c r="WBO1997" s="55"/>
      <c r="WBP1997" s="55"/>
      <c r="WBQ1997" s="55"/>
      <c r="WBR1997" s="55"/>
      <c r="WBS1997" s="55"/>
      <c r="WBT1997" s="55"/>
      <c r="WBU1997" s="55"/>
      <c r="WBV1997" s="55"/>
      <c r="WBW1997" s="55"/>
      <c r="WBX1997" s="55"/>
      <c r="WBY1997" s="55"/>
      <c r="WBZ1997" s="55"/>
      <c r="WCA1997" s="55"/>
      <c r="WCB1997" s="55"/>
      <c r="WCC1997" s="55"/>
      <c r="WCD1997" s="55"/>
      <c r="WCE1997" s="55"/>
      <c r="WCF1997" s="55"/>
      <c r="WCG1997" s="55"/>
      <c r="WCH1997" s="55"/>
      <c r="WCI1997" s="55"/>
      <c r="WCJ1997" s="55"/>
      <c r="WCK1997" s="55"/>
      <c r="WCL1997" s="55"/>
      <c r="WCM1997" s="55"/>
      <c r="WCN1997" s="55"/>
      <c r="WCO1997" s="55"/>
      <c r="WCP1997" s="55"/>
      <c r="WCQ1997" s="55"/>
      <c r="WCR1997" s="55"/>
      <c r="WCS1997" s="55"/>
      <c r="WCT1997" s="55"/>
      <c r="WCU1997" s="55"/>
      <c r="WCV1997" s="55"/>
      <c r="WCW1997" s="55"/>
      <c r="WCX1997" s="55"/>
      <c r="WCY1997" s="55"/>
      <c r="WCZ1997" s="55"/>
      <c r="WDA1997" s="55"/>
      <c r="WDB1997" s="55"/>
      <c r="WDC1997" s="55"/>
      <c r="WDD1997" s="55"/>
      <c r="WDE1997" s="55"/>
      <c r="WDF1997" s="55"/>
      <c r="WDG1997" s="55"/>
      <c r="WDH1997" s="55"/>
      <c r="WDI1997" s="55"/>
      <c r="WDJ1997" s="55"/>
      <c r="WDK1997" s="55"/>
      <c r="WDL1997" s="55"/>
      <c r="WDM1997" s="55"/>
      <c r="WDN1997" s="55"/>
      <c r="WDO1997" s="55"/>
      <c r="WDP1997" s="55"/>
      <c r="WDQ1997" s="55"/>
      <c r="WDR1997" s="55"/>
      <c r="WDS1997" s="55"/>
      <c r="WDT1997" s="55"/>
      <c r="WDU1997" s="55"/>
      <c r="WDV1997" s="55"/>
      <c r="WDW1997" s="55"/>
      <c r="WDX1997" s="55"/>
      <c r="WDY1997" s="55"/>
      <c r="WDZ1997" s="55"/>
      <c r="WEA1997" s="55"/>
      <c r="WEB1997" s="55"/>
      <c r="WEC1997" s="55"/>
      <c r="WED1997" s="55"/>
      <c r="WEE1997" s="55"/>
      <c r="WEF1997" s="55"/>
      <c r="WEG1997" s="55"/>
      <c r="WEH1997" s="55"/>
      <c r="WEI1997" s="55"/>
      <c r="WEJ1997" s="55"/>
      <c r="WEK1997" s="55"/>
      <c r="WEL1997" s="55"/>
      <c r="WEM1997" s="55"/>
      <c r="WEN1997" s="55"/>
      <c r="WEO1997" s="55"/>
      <c r="WEP1997" s="55"/>
      <c r="WEQ1997" s="55"/>
      <c r="WER1997" s="55"/>
      <c r="WES1997" s="55"/>
      <c r="WET1997" s="55"/>
      <c r="WEU1997" s="55"/>
      <c r="WEV1997" s="55"/>
      <c r="WEW1997" s="55"/>
      <c r="WEX1997" s="55"/>
      <c r="WEY1997" s="55"/>
      <c r="WEZ1997" s="55"/>
      <c r="WFA1997" s="55"/>
      <c r="WFB1997" s="55"/>
      <c r="WFC1997" s="55"/>
      <c r="WFD1997" s="55"/>
      <c r="WFE1997" s="55"/>
      <c r="WFF1997" s="55"/>
      <c r="WFG1997" s="55"/>
      <c r="WFH1997" s="55"/>
      <c r="WFI1997" s="55"/>
      <c r="WFJ1997" s="55"/>
      <c r="WFK1997" s="55"/>
      <c r="WFL1997" s="55"/>
      <c r="WFM1997" s="55"/>
      <c r="WFN1997" s="55"/>
      <c r="WFO1997" s="55"/>
      <c r="WFP1997" s="55"/>
      <c r="WFQ1997" s="55"/>
      <c r="WFR1997" s="55"/>
      <c r="WFS1997" s="55"/>
      <c r="WFT1997" s="55"/>
      <c r="WFU1997" s="55"/>
      <c r="WFV1997" s="55"/>
      <c r="WFW1997" s="55"/>
      <c r="WFX1997" s="55"/>
      <c r="WFY1997" s="55"/>
      <c r="WFZ1997" s="55"/>
      <c r="WGA1997" s="55"/>
      <c r="WGB1997" s="55"/>
      <c r="WGC1997" s="55"/>
      <c r="WGD1997" s="55"/>
      <c r="WGE1997" s="55"/>
      <c r="WGF1997" s="55"/>
      <c r="WGG1997" s="55"/>
      <c r="WGH1997" s="55"/>
      <c r="WGI1997" s="55"/>
      <c r="WGJ1997" s="55"/>
      <c r="WGK1997" s="55"/>
      <c r="WGL1997" s="55"/>
      <c r="WGM1997" s="55"/>
      <c r="WGN1997" s="55"/>
      <c r="WGO1997" s="55"/>
      <c r="WGP1997" s="55"/>
      <c r="WGQ1997" s="55"/>
      <c r="WGR1997" s="55"/>
      <c r="WGS1997" s="55"/>
      <c r="WGT1997" s="55"/>
      <c r="WGU1997" s="55"/>
      <c r="WGV1997" s="55"/>
      <c r="WGW1997" s="55"/>
      <c r="WGX1997" s="55"/>
      <c r="WGY1997" s="55"/>
      <c r="WGZ1997" s="55"/>
      <c r="WHA1997" s="55"/>
      <c r="WHB1997" s="55"/>
      <c r="WHC1997" s="55"/>
      <c r="WHD1997" s="55"/>
      <c r="WHE1997" s="55"/>
      <c r="WHF1997" s="55"/>
      <c r="WHG1997" s="55"/>
      <c r="WHH1997" s="55"/>
      <c r="WHI1997" s="55"/>
      <c r="WHJ1997" s="55"/>
      <c r="WHK1997" s="55"/>
      <c r="WHL1997" s="55"/>
      <c r="WHM1997" s="55"/>
      <c r="WHN1997" s="55"/>
      <c r="WHO1997" s="55"/>
      <c r="WHP1997" s="55"/>
      <c r="WHQ1997" s="55"/>
      <c r="WHR1997" s="55"/>
      <c r="WHS1997" s="55"/>
      <c r="WHT1997" s="55"/>
      <c r="WHU1997" s="55"/>
      <c r="WHV1997" s="55"/>
      <c r="WHW1997" s="55"/>
      <c r="WHX1997" s="55"/>
      <c r="WHY1997" s="55"/>
      <c r="WHZ1997" s="55"/>
      <c r="WIA1997" s="55"/>
      <c r="WIB1997" s="55"/>
      <c r="WIC1997" s="55"/>
      <c r="WID1997" s="55"/>
      <c r="WIE1997" s="55"/>
      <c r="WIF1997" s="55"/>
      <c r="WIG1997" s="55"/>
      <c r="WIH1997" s="55"/>
      <c r="WII1997" s="55"/>
      <c r="WIJ1997" s="55"/>
      <c r="WIK1997" s="55"/>
      <c r="WIL1997" s="55"/>
      <c r="WIM1997" s="55"/>
      <c r="WIN1997" s="55"/>
      <c r="WIO1997" s="55"/>
      <c r="WIP1997" s="55"/>
      <c r="WIQ1997" s="55"/>
      <c r="WIR1997" s="55"/>
      <c r="WIS1997" s="55"/>
      <c r="WIT1997" s="55"/>
      <c r="WIU1997" s="55"/>
      <c r="WIV1997" s="55"/>
      <c r="WIW1997" s="55"/>
      <c r="WIX1997" s="55"/>
      <c r="WIY1997" s="55"/>
      <c r="WIZ1997" s="55"/>
      <c r="WJA1997" s="55"/>
      <c r="WJB1997" s="55"/>
      <c r="WJC1997" s="55"/>
      <c r="WJD1997" s="55"/>
      <c r="WJE1997" s="55"/>
      <c r="WJF1997" s="55"/>
      <c r="WJG1997" s="55"/>
      <c r="WJH1997" s="55"/>
      <c r="WJI1997" s="55"/>
      <c r="WJJ1997" s="55"/>
      <c r="WJK1997" s="55"/>
      <c r="WJL1997" s="55"/>
      <c r="WJM1997" s="55"/>
      <c r="WJN1997" s="55"/>
      <c r="WJO1997" s="55"/>
      <c r="WJP1997" s="55"/>
      <c r="WJQ1997" s="55"/>
      <c r="WJR1997" s="55"/>
      <c r="WJS1997" s="55"/>
      <c r="WJT1997" s="55"/>
      <c r="WJU1997" s="55"/>
      <c r="WJV1997" s="55"/>
      <c r="WJW1997" s="55"/>
      <c r="WJX1997" s="55"/>
      <c r="WJY1997" s="55"/>
      <c r="WJZ1997" s="55"/>
      <c r="WKA1997" s="55"/>
      <c r="WKB1997" s="55"/>
      <c r="WKC1997" s="55"/>
      <c r="WKD1997" s="55"/>
      <c r="WKE1997" s="55"/>
      <c r="WKF1997" s="55"/>
      <c r="WKG1997" s="55"/>
      <c r="WKH1997" s="55"/>
      <c r="WKI1997" s="55"/>
      <c r="WKJ1997" s="55"/>
      <c r="WKK1997" s="55"/>
      <c r="WKL1997" s="55"/>
      <c r="WKM1997" s="55"/>
      <c r="WKN1997" s="55"/>
      <c r="WKO1997" s="55"/>
      <c r="WKP1997" s="55"/>
      <c r="WKQ1997" s="55"/>
      <c r="WKR1997" s="55"/>
      <c r="WKS1997" s="55"/>
      <c r="WKT1997" s="55"/>
      <c r="WKU1997" s="55"/>
      <c r="WKV1997" s="55"/>
      <c r="WKW1997" s="55"/>
      <c r="WKX1997" s="55"/>
      <c r="WKY1997" s="55"/>
      <c r="WKZ1997" s="55"/>
      <c r="WLA1997" s="55"/>
      <c r="WLB1997" s="55"/>
      <c r="WLC1997" s="55"/>
      <c r="WLD1997" s="55"/>
      <c r="WLE1997" s="55"/>
      <c r="WLF1997" s="55"/>
      <c r="WLG1997" s="55"/>
      <c r="WLH1997" s="55"/>
      <c r="WLI1997" s="55"/>
      <c r="WLJ1997" s="55"/>
      <c r="WLK1997" s="55"/>
      <c r="WLL1997" s="55"/>
      <c r="WLM1997" s="55"/>
      <c r="WLN1997" s="55"/>
      <c r="WLO1997" s="55"/>
      <c r="WLP1997" s="55"/>
      <c r="WLQ1997" s="55"/>
      <c r="WLR1997" s="55"/>
      <c r="WLS1997" s="55"/>
      <c r="WLT1997" s="55"/>
      <c r="WLU1997" s="55"/>
      <c r="WLV1997" s="55"/>
      <c r="WLW1997" s="55"/>
      <c r="WLX1997" s="55"/>
      <c r="WLY1997" s="55"/>
      <c r="WLZ1997" s="55"/>
      <c r="WMA1997" s="55"/>
      <c r="WMB1997" s="55"/>
      <c r="WMC1997" s="55"/>
      <c r="WMD1997" s="55"/>
      <c r="WME1997" s="55"/>
      <c r="WMF1997" s="55"/>
      <c r="WMG1997" s="55"/>
      <c r="WMH1997" s="55"/>
      <c r="WMI1997" s="55"/>
      <c r="WMJ1997" s="55"/>
      <c r="WMK1997" s="55"/>
      <c r="WML1997" s="55"/>
      <c r="WMM1997" s="55"/>
      <c r="WMN1997" s="55"/>
      <c r="WMO1997" s="55"/>
      <c r="WMP1997" s="55"/>
      <c r="WMQ1997" s="55"/>
      <c r="WMR1997" s="55"/>
      <c r="WMS1997" s="55"/>
      <c r="WMT1997" s="55"/>
      <c r="WMU1997" s="55"/>
      <c r="WMV1997" s="55"/>
      <c r="WMW1997" s="55"/>
      <c r="WMX1997" s="55"/>
      <c r="WMY1997" s="55"/>
      <c r="WMZ1997" s="55"/>
      <c r="WNA1997" s="55"/>
      <c r="WNB1997" s="55"/>
      <c r="WNC1997" s="55"/>
      <c r="WND1997" s="55"/>
      <c r="WNE1997" s="55"/>
      <c r="WNF1997" s="55"/>
      <c r="WNG1997" s="55"/>
      <c r="WNH1997" s="55"/>
      <c r="WNI1997" s="55"/>
      <c r="WNJ1997" s="55"/>
      <c r="WNK1997" s="55"/>
      <c r="WNL1997" s="55"/>
      <c r="WNM1997" s="55"/>
      <c r="WNN1997" s="55"/>
      <c r="WNO1997" s="55"/>
      <c r="WNP1997" s="55"/>
      <c r="WNQ1997" s="55"/>
      <c r="WNR1997" s="55"/>
      <c r="WNS1997" s="55"/>
      <c r="WNT1997" s="55"/>
      <c r="WNU1997" s="55"/>
      <c r="WNV1997" s="55"/>
      <c r="WNW1997" s="55"/>
      <c r="WNX1997" s="55"/>
      <c r="WNY1997" s="55"/>
      <c r="WNZ1997" s="55"/>
      <c r="WOA1997" s="55"/>
      <c r="WOB1997" s="55"/>
      <c r="WOC1997" s="55"/>
      <c r="WOD1997" s="55"/>
      <c r="WOE1997" s="55"/>
      <c r="WOF1997" s="55"/>
      <c r="WOG1997" s="55"/>
      <c r="WOH1997" s="55"/>
      <c r="WOI1997" s="55"/>
      <c r="WOJ1997" s="55"/>
      <c r="WOK1997" s="55"/>
      <c r="WOL1997" s="55"/>
      <c r="WOM1997" s="55"/>
      <c r="WON1997" s="55"/>
      <c r="WOO1997" s="55"/>
      <c r="WOP1997" s="55"/>
      <c r="WOQ1997" s="55"/>
      <c r="WOR1997" s="55"/>
      <c r="WOS1997" s="55"/>
      <c r="WOT1997" s="55"/>
      <c r="WOU1997" s="55"/>
      <c r="WOV1997" s="55"/>
      <c r="WOW1997" s="55"/>
      <c r="WOX1997" s="55"/>
      <c r="WOY1997" s="55"/>
      <c r="WOZ1997" s="55"/>
      <c r="WPA1997" s="55"/>
      <c r="WPB1997" s="55"/>
      <c r="WPC1997" s="55"/>
      <c r="WPD1997" s="55"/>
      <c r="WPE1997" s="55"/>
      <c r="WPF1997" s="55"/>
      <c r="WPG1997" s="55"/>
      <c r="WPH1997" s="55"/>
      <c r="WPI1997" s="55"/>
      <c r="WPJ1997" s="55"/>
      <c r="WPK1997" s="55"/>
      <c r="WPL1997" s="55"/>
      <c r="WPM1997" s="55"/>
      <c r="WPN1997" s="55"/>
      <c r="WPO1997" s="55"/>
      <c r="WPP1997" s="55"/>
      <c r="WPQ1997" s="55"/>
      <c r="WPR1997" s="55"/>
      <c r="WPS1997" s="55"/>
      <c r="WPT1997" s="55"/>
      <c r="WPU1997" s="55"/>
      <c r="WPV1997" s="55"/>
      <c r="WPW1997" s="55"/>
      <c r="WPX1997" s="55"/>
      <c r="WPY1997" s="55"/>
      <c r="WPZ1997" s="55"/>
      <c r="WQA1997" s="55"/>
      <c r="WQB1997" s="55"/>
      <c r="WQC1997" s="55"/>
      <c r="WQD1997" s="55"/>
      <c r="WQE1997" s="55"/>
      <c r="WQF1997" s="55"/>
      <c r="WQG1997" s="55"/>
      <c r="WQH1997" s="55"/>
      <c r="WQI1997" s="55"/>
      <c r="WQJ1997" s="55"/>
      <c r="WQK1997" s="55"/>
      <c r="WQL1997" s="55"/>
      <c r="WQM1997" s="55"/>
      <c r="WQN1997" s="55"/>
      <c r="WQO1997" s="55"/>
      <c r="WQP1997" s="55"/>
      <c r="WQQ1997" s="55"/>
      <c r="WQR1997" s="55"/>
      <c r="WQS1997" s="55"/>
      <c r="WQT1997" s="55"/>
      <c r="WQU1997" s="55"/>
      <c r="WQV1997" s="55"/>
      <c r="WQW1997" s="55"/>
      <c r="WQX1997" s="55"/>
      <c r="WQY1997" s="55"/>
      <c r="WQZ1997" s="55"/>
      <c r="WRA1997" s="55"/>
      <c r="WRB1997" s="55"/>
      <c r="WRC1997" s="55"/>
      <c r="WRD1997" s="55"/>
      <c r="WRE1997" s="55"/>
      <c r="WRF1997" s="55"/>
      <c r="WRG1997" s="55"/>
      <c r="WRH1997" s="55"/>
      <c r="WRI1997" s="55"/>
      <c r="WRJ1997" s="55"/>
      <c r="WRK1997" s="55"/>
      <c r="WRL1997" s="55"/>
      <c r="WRM1997" s="55"/>
      <c r="WRN1997" s="55"/>
      <c r="WRO1997" s="55"/>
      <c r="WRP1997" s="55"/>
      <c r="WRQ1997" s="55"/>
      <c r="WRR1997" s="55"/>
      <c r="WRS1997" s="55"/>
      <c r="WRT1997" s="55"/>
      <c r="WRU1997" s="55"/>
      <c r="WRV1997" s="55"/>
      <c r="WRW1997" s="55"/>
      <c r="WRX1997" s="55"/>
      <c r="WRY1997" s="55"/>
      <c r="WRZ1997" s="55"/>
      <c r="WSA1997" s="55"/>
      <c r="WSB1997" s="55"/>
      <c r="WSC1997" s="55"/>
      <c r="WSD1997" s="55"/>
      <c r="WSE1997" s="55"/>
      <c r="WSF1997" s="55"/>
      <c r="WSG1997" s="55"/>
      <c r="WSH1997" s="55"/>
      <c r="WSI1997" s="55"/>
      <c r="WSJ1997" s="55"/>
      <c r="WSK1997" s="55"/>
      <c r="WSL1997" s="55"/>
      <c r="WSM1997" s="55"/>
      <c r="WSN1997" s="55"/>
      <c r="WSO1997" s="55"/>
      <c r="WSP1997" s="55"/>
      <c r="WSQ1997" s="55"/>
      <c r="WSR1997" s="55"/>
      <c r="WSS1997" s="55"/>
      <c r="WST1997" s="55"/>
      <c r="WSU1997" s="55"/>
      <c r="WSV1997" s="55"/>
      <c r="WSW1997" s="55"/>
      <c r="WSX1997" s="55"/>
      <c r="WSY1997" s="55"/>
      <c r="WSZ1997" s="55"/>
      <c r="WTA1997" s="55"/>
      <c r="WTB1997" s="55"/>
      <c r="WTC1997" s="55"/>
      <c r="WTD1997" s="55"/>
      <c r="WTE1997" s="55"/>
      <c r="WTF1997" s="55"/>
      <c r="WTG1997" s="55"/>
      <c r="WTH1997" s="55"/>
      <c r="WTI1997" s="55"/>
      <c r="WTJ1997" s="55"/>
      <c r="WTK1997" s="55"/>
      <c r="WTL1997" s="55"/>
      <c r="WTM1997" s="55"/>
      <c r="WTN1997" s="55"/>
      <c r="WTO1997" s="55"/>
      <c r="WTP1997" s="55"/>
      <c r="WTQ1997" s="55"/>
      <c r="WTR1997" s="55"/>
      <c r="WTS1997" s="55"/>
      <c r="WTT1997" s="55"/>
      <c r="WTU1997" s="55"/>
      <c r="WTV1997" s="55"/>
      <c r="WTW1997" s="55"/>
      <c r="WTX1997" s="55"/>
      <c r="WTY1997" s="55"/>
      <c r="WTZ1997" s="55"/>
      <c r="WUA1997" s="55"/>
      <c r="WUB1997" s="55"/>
      <c r="WUC1997" s="55"/>
      <c r="WUD1997" s="55"/>
      <c r="WUE1997" s="55"/>
      <c r="WUF1997" s="55"/>
      <c r="WUG1997" s="55"/>
      <c r="WUH1997" s="55"/>
      <c r="WUI1997" s="55"/>
      <c r="WUJ1997" s="55"/>
      <c r="WUK1997" s="55"/>
      <c r="WUL1997" s="55"/>
      <c r="WUM1997" s="55"/>
      <c r="WUN1997" s="55"/>
      <c r="WUO1997" s="55"/>
      <c r="WUP1997" s="55"/>
      <c r="WUQ1997" s="55"/>
      <c r="WUR1997" s="55"/>
      <c r="WUS1997" s="55"/>
      <c r="WUT1997" s="55"/>
      <c r="WUU1997" s="55"/>
      <c r="WUV1997" s="55"/>
      <c r="WUW1997" s="55"/>
      <c r="WUX1997" s="55"/>
      <c r="WUY1997" s="55"/>
      <c r="WUZ1997" s="55"/>
      <c r="WVA1997" s="55"/>
      <c r="WVB1997" s="55"/>
      <c r="WVC1997" s="55"/>
      <c r="WVD1997" s="55"/>
      <c r="WVE1997" s="55"/>
      <c r="WVF1997" s="55"/>
      <c r="WVG1997" s="55"/>
      <c r="WVH1997" s="55"/>
      <c r="WVI1997" s="55"/>
      <c r="WVJ1997" s="55"/>
      <c r="WVK1997" s="55"/>
      <c r="WVL1997" s="55"/>
      <c r="WVM1997" s="55"/>
      <c r="WVN1997" s="55"/>
      <c r="WVO1997" s="55"/>
      <c r="WVP1997" s="55"/>
      <c r="WVQ1997" s="55"/>
      <c r="WVR1997" s="55"/>
      <c r="WVS1997" s="55"/>
      <c r="WVT1997" s="55"/>
      <c r="WVU1997" s="55"/>
      <c r="WVV1997" s="55"/>
      <c r="WVW1997" s="55"/>
      <c r="WVX1997" s="55"/>
      <c r="WVY1997" s="55"/>
      <c r="WVZ1997" s="55"/>
      <c r="WWA1997" s="55"/>
      <c r="WWB1997" s="55"/>
      <c r="WWC1997" s="55"/>
      <c r="WWD1997" s="55"/>
      <c r="WWE1997" s="55"/>
      <c r="WWF1997" s="55"/>
      <c r="WWG1997" s="55"/>
      <c r="WWH1997" s="55"/>
      <c r="WWI1997" s="55"/>
      <c r="WWJ1997" s="55"/>
      <c r="WWK1997" s="55"/>
      <c r="WWL1997" s="55"/>
      <c r="WWM1997" s="55"/>
      <c r="WWN1997" s="55"/>
      <c r="WWO1997" s="55"/>
      <c r="WWP1997" s="55"/>
      <c r="WWQ1997" s="55"/>
      <c r="WWR1997" s="55"/>
      <c r="WWS1997" s="55"/>
      <c r="WWT1997" s="55"/>
      <c r="WWU1997" s="55"/>
      <c r="WWV1997" s="55"/>
      <c r="WWW1997" s="55"/>
      <c r="WWX1997" s="55"/>
      <c r="WWY1997" s="55"/>
      <c r="WWZ1997" s="55"/>
      <c r="WXA1997" s="55"/>
      <c r="WXB1997" s="55"/>
      <c r="WXC1997" s="55"/>
      <c r="WXD1997" s="55"/>
      <c r="WXE1997" s="55"/>
      <c r="WXF1997" s="55"/>
      <c r="WXG1997" s="55"/>
      <c r="WXH1997" s="55"/>
      <c r="WXI1997" s="55"/>
      <c r="WXJ1997" s="55"/>
      <c r="WXK1997" s="55"/>
      <c r="WXL1997" s="55"/>
      <c r="WXM1997" s="55"/>
      <c r="WXN1997" s="55"/>
      <c r="WXO1997" s="55"/>
      <c r="WXP1997" s="55"/>
      <c r="WXQ1997" s="55"/>
      <c r="WXR1997" s="55"/>
      <c r="WXS1997" s="55"/>
      <c r="WXT1997" s="55"/>
      <c r="WXU1997" s="55"/>
      <c r="WXV1997" s="55"/>
      <c r="WXW1997" s="55"/>
      <c r="WXX1997" s="55"/>
      <c r="WXY1997" s="55"/>
      <c r="WXZ1997" s="55"/>
      <c r="WYA1997" s="55"/>
      <c r="WYB1997" s="55"/>
      <c r="WYC1997" s="55"/>
      <c r="WYD1997" s="55"/>
      <c r="WYE1997" s="55"/>
      <c r="WYF1997" s="55"/>
      <c r="WYG1997" s="55"/>
      <c r="WYH1997" s="55"/>
      <c r="WYI1997" s="55"/>
      <c r="WYJ1997" s="55"/>
      <c r="WYK1997" s="55"/>
      <c r="WYL1997" s="55"/>
      <c r="WYM1997" s="55"/>
      <c r="WYN1997" s="55"/>
      <c r="WYO1997" s="55"/>
      <c r="WYP1997" s="55"/>
      <c r="WYQ1997" s="55"/>
      <c r="WYR1997" s="55"/>
      <c r="WYS1997" s="55"/>
      <c r="WYT1997" s="55"/>
      <c r="WYU1997" s="55"/>
      <c r="WYV1997" s="55"/>
      <c r="WYW1997" s="55"/>
      <c r="WYX1997" s="55"/>
      <c r="WYY1997" s="55"/>
      <c r="WYZ1997" s="55"/>
      <c r="WZA1997" s="55"/>
      <c r="WZB1997" s="55"/>
      <c r="WZC1997" s="55"/>
      <c r="WZD1997" s="55"/>
      <c r="WZE1997" s="55"/>
      <c r="WZF1997" s="55"/>
      <c r="WZG1997" s="55"/>
      <c r="WZH1997" s="55"/>
      <c r="WZI1997" s="55"/>
      <c r="WZJ1997" s="55"/>
      <c r="WZK1997" s="55"/>
      <c r="WZL1997" s="55"/>
      <c r="WZM1997" s="55"/>
      <c r="WZN1997" s="55"/>
      <c r="WZO1997" s="55"/>
      <c r="WZP1997" s="55"/>
      <c r="WZQ1997" s="55"/>
      <c r="WZR1997" s="55"/>
      <c r="WZS1997" s="55"/>
      <c r="WZT1997" s="55"/>
      <c r="WZU1997" s="55"/>
      <c r="WZV1997" s="55"/>
      <c r="WZW1997" s="55"/>
      <c r="WZX1997" s="55"/>
      <c r="WZY1997" s="55"/>
      <c r="WZZ1997" s="55"/>
      <c r="XAA1997" s="55"/>
      <c r="XAB1997" s="55"/>
      <c r="XAC1997" s="55"/>
      <c r="XAD1997" s="55"/>
      <c r="XAE1997" s="55"/>
      <c r="XAF1997" s="55"/>
      <c r="XAG1997" s="55"/>
      <c r="XAH1997" s="55"/>
      <c r="XAI1997" s="55"/>
      <c r="XAJ1997" s="55"/>
      <c r="XAK1997" s="55"/>
      <c r="XAL1997" s="55"/>
      <c r="XAM1997" s="55"/>
      <c r="XAN1997" s="55"/>
      <c r="XAO1997" s="55"/>
      <c r="XAP1997" s="55"/>
      <c r="XAQ1997" s="55"/>
      <c r="XAR1997" s="55"/>
      <c r="XAS1997" s="55"/>
      <c r="XAT1997" s="55"/>
      <c r="XAU1997" s="55"/>
      <c r="XAV1997" s="55"/>
      <c r="XAW1997" s="55"/>
      <c r="XAX1997" s="55"/>
      <c r="XAY1997" s="55"/>
      <c r="XAZ1997" s="55"/>
      <c r="XBA1997" s="55"/>
      <c r="XBB1997" s="55"/>
      <c r="XBC1997" s="55"/>
      <c r="XBD1997" s="55"/>
      <c r="XBE1997" s="55"/>
      <c r="XBF1997" s="55"/>
      <c r="XBG1997" s="55"/>
      <c r="XBH1997" s="55"/>
      <c r="XBI1997" s="55"/>
      <c r="XBJ1997" s="55"/>
      <c r="XBK1997" s="55"/>
      <c r="XBL1997" s="55"/>
      <c r="XBM1997" s="55"/>
      <c r="XBN1997" s="55"/>
      <c r="XBO1997" s="55"/>
      <c r="XBP1997" s="55"/>
      <c r="XBQ1997" s="55"/>
      <c r="XBR1997" s="55"/>
      <c r="XBS1997" s="55"/>
      <c r="XBT1997" s="55"/>
      <c r="XBU1997" s="55"/>
      <c r="XBV1997" s="55"/>
      <c r="XBW1997" s="55"/>
      <c r="XBX1997" s="55"/>
      <c r="XBY1997" s="55"/>
      <c r="XBZ1997" s="55"/>
      <c r="XCA1997" s="55"/>
      <c r="XCB1997" s="55"/>
      <c r="XCC1997" s="55"/>
      <c r="XCD1997" s="55"/>
      <c r="XCE1997" s="55"/>
      <c r="XCF1997" s="55"/>
      <c r="XCG1997" s="55"/>
      <c r="XCH1997" s="55"/>
      <c r="XCI1997" s="55"/>
      <c r="XCJ1997" s="55"/>
      <c r="XCK1997" s="55"/>
      <c r="XCL1997" s="55"/>
      <c r="XCM1997" s="55"/>
      <c r="XCN1997" s="55"/>
      <c r="XCO1997" s="55"/>
      <c r="XCP1997" s="55"/>
      <c r="XCQ1997" s="55"/>
      <c r="XCR1997" s="55"/>
      <c r="XCS1997" s="55"/>
      <c r="XCT1997" s="55"/>
      <c r="XCU1997" s="55"/>
      <c r="XCV1997" s="55"/>
      <c r="XCW1997" s="55"/>
      <c r="XCX1997" s="55"/>
      <c r="XCY1997" s="55"/>
      <c r="XCZ1997" s="55"/>
      <c r="XDA1997" s="55"/>
      <c r="XDB1997" s="55"/>
      <c r="XDC1997" s="55"/>
      <c r="XDD1997" s="55"/>
      <c r="XDE1997" s="55"/>
      <c r="XDF1997" s="55"/>
      <c r="XDG1997" s="55"/>
      <c r="XDH1997" s="55"/>
      <c r="XDI1997" s="55"/>
      <c r="XDJ1997" s="55"/>
      <c r="XDK1997" s="55"/>
      <c r="XDL1997" s="55"/>
      <c r="XDM1997" s="55"/>
      <c r="XDN1997" s="55"/>
      <c r="XDO1997" s="55"/>
      <c r="XDP1997" s="55"/>
      <c r="XDQ1997" s="55"/>
      <c r="XDR1997" s="55"/>
      <c r="XDS1997" s="55"/>
      <c r="XDT1997" s="55"/>
      <c r="XDU1997" s="55"/>
      <c r="XDV1997" s="55"/>
      <c r="XDW1997" s="55"/>
      <c r="XDX1997" s="55"/>
      <c r="XDY1997" s="55"/>
      <c r="XDZ1997" s="55"/>
      <c r="XEA1997" s="55"/>
      <c r="XEB1997" s="55"/>
      <c r="XEC1997" s="55"/>
      <c r="XED1997" s="55"/>
      <c r="XEE1997" s="55"/>
      <c r="XEF1997" s="55"/>
      <c r="XEG1997" s="55"/>
      <c r="XEH1997" s="55"/>
      <c r="XEI1997" s="55"/>
      <c r="XEJ1997" s="55"/>
      <c r="XEK1997" s="55"/>
      <c r="XEL1997" s="55"/>
      <c r="XEM1997" s="55"/>
      <c r="XEN1997" s="55"/>
      <c r="XEO1997" s="55"/>
      <c r="XEP1997" s="55"/>
      <c r="XEQ1997" s="55"/>
      <c r="XER1997" s="55"/>
      <c r="XES1997" s="55"/>
      <c r="XET1997" s="55"/>
      <c r="XEU1997" s="55"/>
      <c r="XEV1997" s="55"/>
      <c r="XEW1997" s="55"/>
      <c r="XEX1997" s="55"/>
      <c r="XEY1997" s="55"/>
      <c r="XEZ1997" s="55"/>
      <c r="XFA1997" s="55"/>
      <c r="XFB1997" s="55"/>
      <c r="XFC1997" s="55"/>
      <c r="XFD1997" s="55"/>
    </row>
    <row r="1998" spans="1:16384" x14ac:dyDescent="0.3">
      <c r="H1998" s="74">
        <v>80</v>
      </c>
      <c r="K1998" s="55" t="s">
        <v>32</v>
      </c>
      <c r="L1998" s="60" t="s">
        <v>137</v>
      </c>
    </row>
    <row r="1999" spans="1:16384" x14ac:dyDescent="0.3">
      <c r="H1999" s="74">
        <v>30</v>
      </c>
      <c r="K1999" s="55" t="s">
        <v>32</v>
      </c>
      <c r="L1999" s="60" t="s">
        <v>236</v>
      </c>
    </row>
    <row r="2000" spans="1:16384" x14ac:dyDescent="0.3">
      <c r="H2000" s="74">
        <v>30</v>
      </c>
      <c r="K2000" s="58" t="s">
        <v>33</v>
      </c>
      <c r="L2000" s="60" t="s">
        <v>693</v>
      </c>
    </row>
    <row r="2001" spans="1:12" x14ac:dyDescent="0.3">
      <c r="H2001" s="74">
        <v>30</v>
      </c>
      <c r="K2001" s="55" t="s">
        <v>34</v>
      </c>
      <c r="L2001" s="60" t="s">
        <v>794</v>
      </c>
    </row>
    <row r="2002" spans="1:12" x14ac:dyDescent="0.3">
      <c r="H2002" s="74">
        <v>30</v>
      </c>
      <c r="K2002" s="55" t="s">
        <v>30</v>
      </c>
      <c r="L2002" s="60" t="s">
        <v>136</v>
      </c>
    </row>
    <row r="2004" spans="1:12" x14ac:dyDescent="0.3">
      <c r="A2004" s="72" t="s">
        <v>846</v>
      </c>
      <c r="B2004" s="55" t="s">
        <v>10</v>
      </c>
      <c r="C2004" s="67" t="s">
        <v>188</v>
      </c>
      <c r="D2004" s="55" t="s">
        <v>51</v>
      </c>
      <c r="E2004" s="19">
        <v>247.72</v>
      </c>
      <c r="F2004" s="19">
        <v>8</v>
      </c>
      <c r="G2004" s="55" t="s">
        <v>11</v>
      </c>
      <c r="H2004" s="74">
        <v>10</v>
      </c>
      <c r="K2004" s="55" t="s">
        <v>25</v>
      </c>
    </row>
    <row r="2005" spans="1:12" x14ac:dyDescent="0.3">
      <c r="H2005" s="74">
        <v>10</v>
      </c>
      <c r="K2005" s="55" t="s">
        <v>84</v>
      </c>
    </row>
    <row r="2006" spans="1:12" x14ac:dyDescent="0.3">
      <c r="H2006" s="74">
        <v>80</v>
      </c>
      <c r="K2006" s="55" t="s">
        <v>96</v>
      </c>
    </row>
    <row r="2007" spans="1:12" x14ac:dyDescent="0.3">
      <c r="H2007" s="74">
        <v>30</v>
      </c>
      <c r="K2007" s="55" t="s">
        <v>32</v>
      </c>
      <c r="L2007" s="60" t="s">
        <v>853</v>
      </c>
    </row>
    <row r="2008" spans="1:12" x14ac:dyDescent="0.3">
      <c r="H2008" s="74">
        <v>30</v>
      </c>
      <c r="K2008" s="55" t="s">
        <v>34</v>
      </c>
    </row>
    <row r="2009" spans="1:12" x14ac:dyDescent="0.3">
      <c r="H2009" s="74">
        <v>50</v>
      </c>
      <c r="K2009" s="55" t="s">
        <v>34</v>
      </c>
      <c r="L2009" s="60" t="s">
        <v>634</v>
      </c>
    </row>
    <row r="2010" spans="1:12" x14ac:dyDescent="0.3">
      <c r="H2010" s="74">
        <v>30</v>
      </c>
      <c r="K2010" s="55" t="s">
        <v>30</v>
      </c>
    </row>
    <row r="2011" spans="1:12" x14ac:dyDescent="0.3">
      <c r="H2011" s="74">
        <v>40</v>
      </c>
      <c r="K2011" s="55" t="s">
        <v>32</v>
      </c>
      <c r="L2011" s="60" t="s">
        <v>854</v>
      </c>
    </row>
    <row r="2012" spans="1:12" x14ac:dyDescent="0.3">
      <c r="H2012" s="74">
        <v>40</v>
      </c>
      <c r="K2012" s="55" t="s">
        <v>55</v>
      </c>
      <c r="L2012" s="60" t="s">
        <v>855</v>
      </c>
    </row>
    <row r="2014" spans="1:12" ht="21" x14ac:dyDescent="0.35">
      <c r="A2014" s="73" t="s">
        <v>856</v>
      </c>
      <c r="B2014" s="55" t="s">
        <v>12</v>
      </c>
      <c r="C2014" s="67" t="s">
        <v>48</v>
      </c>
      <c r="D2014" s="55" t="s">
        <v>52</v>
      </c>
      <c r="E2014" s="19">
        <v>384.74</v>
      </c>
      <c r="F2014" s="19">
        <v>13</v>
      </c>
      <c r="G2014" s="55" t="s">
        <v>11</v>
      </c>
      <c r="H2014" s="74">
        <v>10</v>
      </c>
      <c r="K2014" s="55" t="s">
        <v>25</v>
      </c>
    </row>
    <row r="2015" spans="1:12" x14ac:dyDescent="0.3">
      <c r="H2015" s="74">
        <v>10</v>
      </c>
      <c r="K2015" s="55" t="s">
        <v>84</v>
      </c>
    </row>
    <row r="2016" spans="1:12" x14ac:dyDescent="0.3">
      <c r="H2016" s="74">
        <v>140</v>
      </c>
      <c r="K2016" s="55" t="s">
        <v>96</v>
      </c>
    </row>
    <row r="2017" spans="1:12" x14ac:dyDescent="0.3">
      <c r="H2017" s="74">
        <v>40</v>
      </c>
      <c r="K2017" s="55" t="s">
        <v>32</v>
      </c>
      <c r="L2017" s="60" t="s">
        <v>837</v>
      </c>
    </row>
    <row r="2018" spans="1:12" x14ac:dyDescent="0.3">
      <c r="H2018" s="74">
        <v>20</v>
      </c>
      <c r="K2018" s="55" t="s">
        <v>34</v>
      </c>
      <c r="L2018" s="60" t="s">
        <v>149</v>
      </c>
    </row>
    <row r="2019" spans="1:12" x14ac:dyDescent="0.3">
      <c r="H2019" s="74">
        <v>20</v>
      </c>
      <c r="K2019" s="55" t="s">
        <v>34</v>
      </c>
      <c r="L2019" s="60" t="s">
        <v>519</v>
      </c>
    </row>
    <row r="2020" spans="1:12" x14ac:dyDescent="0.3">
      <c r="H2020" s="74">
        <v>45</v>
      </c>
      <c r="K2020" s="55" t="s">
        <v>32</v>
      </c>
      <c r="L2020" s="60" t="s">
        <v>851</v>
      </c>
    </row>
    <row r="2021" spans="1:12" x14ac:dyDescent="0.3">
      <c r="H2021" s="74">
        <v>20</v>
      </c>
      <c r="K2021" s="55" t="s">
        <v>102</v>
      </c>
    </row>
    <row r="2022" spans="1:12" x14ac:dyDescent="0.3">
      <c r="H2022" s="74">
        <v>20</v>
      </c>
      <c r="K2022" s="55" t="s">
        <v>32</v>
      </c>
      <c r="L2022" s="60" t="s">
        <v>857</v>
      </c>
    </row>
    <row r="2023" spans="1:12" x14ac:dyDescent="0.3">
      <c r="H2023" s="74">
        <v>15</v>
      </c>
      <c r="K2023" s="55" t="s">
        <v>33</v>
      </c>
      <c r="L2023" s="60" t="s">
        <v>840</v>
      </c>
    </row>
    <row r="2025" spans="1:12" x14ac:dyDescent="0.3">
      <c r="A2025" s="87" t="s">
        <v>858</v>
      </c>
      <c r="B2025" s="55" t="s">
        <v>0</v>
      </c>
      <c r="C2025" s="67" t="s">
        <v>296</v>
      </c>
      <c r="D2025" s="55" t="s">
        <v>50</v>
      </c>
      <c r="E2025" s="19">
        <v>240.55</v>
      </c>
      <c r="F2025" s="19">
        <v>7</v>
      </c>
      <c r="G2025" s="55" t="s">
        <v>11</v>
      </c>
      <c r="H2025" s="74">
        <v>10</v>
      </c>
      <c r="K2025" s="55" t="s">
        <v>25</v>
      </c>
    </row>
    <row r="2026" spans="1:12" x14ac:dyDescent="0.3">
      <c r="H2026" s="74">
        <v>10</v>
      </c>
      <c r="K2026" s="55" t="s">
        <v>84</v>
      </c>
    </row>
    <row r="2027" spans="1:12" x14ac:dyDescent="0.3">
      <c r="H2027" s="74">
        <v>80</v>
      </c>
      <c r="K2027" s="55" t="s">
        <v>96</v>
      </c>
    </row>
    <row r="2028" spans="1:12" x14ac:dyDescent="0.3">
      <c r="H2028" s="74">
        <v>80</v>
      </c>
      <c r="K2028" s="55" t="s">
        <v>32</v>
      </c>
      <c r="L2028" s="60" t="s">
        <v>859</v>
      </c>
    </row>
    <row r="2029" spans="1:12" x14ac:dyDescent="0.3">
      <c r="H2029" s="74">
        <v>30</v>
      </c>
      <c r="K2029" s="55" t="s">
        <v>34</v>
      </c>
      <c r="L2029" s="60" t="s">
        <v>149</v>
      </c>
    </row>
    <row r="2030" spans="1:12" x14ac:dyDescent="0.3">
      <c r="H2030" s="74">
        <v>30</v>
      </c>
      <c r="K2030" s="55" t="s">
        <v>102</v>
      </c>
    </row>
    <row r="2031" spans="1:12" x14ac:dyDescent="0.3">
      <c r="H2031" s="74">
        <v>40</v>
      </c>
      <c r="K2031" s="55" t="s">
        <v>32</v>
      </c>
      <c r="L2031" s="60" t="s">
        <v>236</v>
      </c>
    </row>
    <row r="2032" spans="1:12" x14ac:dyDescent="0.3">
      <c r="H2032" s="74">
        <v>30</v>
      </c>
      <c r="K2032" s="55" t="s">
        <v>55</v>
      </c>
      <c r="L2032" s="60" t="s">
        <v>13</v>
      </c>
    </row>
    <row r="2033" spans="1:12" x14ac:dyDescent="0.3">
      <c r="H2033" s="74">
        <v>20</v>
      </c>
      <c r="K2033" s="55" t="s">
        <v>30</v>
      </c>
      <c r="L2033" s="60" t="s">
        <v>136</v>
      </c>
    </row>
    <row r="2035" spans="1:12" x14ac:dyDescent="0.3">
      <c r="A2035" s="87" t="s">
        <v>858</v>
      </c>
      <c r="B2035" s="55" t="s">
        <v>10</v>
      </c>
      <c r="C2035" s="67" t="s">
        <v>188</v>
      </c>
      <c r="D2035" s="55" t="s">
        <v>51</v>
      </c>
      <c r="E2035" s="19">
        <v>212.97</v>
      </c>
      <c r="F2035" s="19">
        <v>6</v>
      </c>
      <c r="G2035" s="55" t="s">
        <v>11</v>
      </c>
      <c r="H2035" s="74">
        <v>10</v>
      </c>
      <c r="K2035" s="55" t="s">
        <v>25</v>
      </c>
    </row>
    <row r="2036" spans="1:12" x14ac:dyDescent="0.3">
      <c r="H2036" s="74">
        <v>10</v>
      </c>
      <c r="K2036" s="55" t="s">
        <v>84</v>
      </c>
    </row>
    <row r="2037" spans="1:12" x14ac:dyDescent="0.3">
      <c r="H2037" s="74">
        <v>60</v>
      </c>
      <c r="K2037" s="55" t="s">
        <v>96</v>
      </c>
    </row>
    <row r="2038" spans="1:12" x14ac:dyDescent="0.3">
      <c r="H2038" s="74">
        <v>100</v>
      </c>
      <c r="K2038" s="55" t="s">
        <v>32</v>
      </c>
      <c r="L2038" s="60" t="s">
        <v>863</v>
      </c>
    </row>
    <row r="2039" spans="1:12" x14ac:dyDescent="0.3">
      <c r="H2039" s="74">
        <v>20</v>
      </c>
      <c r="K2039" s="55" t="s">
        <v>102</v>
      </c>
    </row>
    <row r="2040" spans="1:12" x14ac:dyDescent="0.3">
      <c r="H2040" s="74">
        <v>60</v>
      </c>
      <c r="K2040" s="55" t="s">
        <v>32</v>
      </c>
      <c r="L2040" s="60" t="s">
        <v>860</v>
      </c>
    </row>
    <row r="2041" spans="1:12" x14ac:dyDescent="0.3">
      <c r="H2041" s="74">
        <v>25</v>
      </c>
      <c r="K2041" s="55" t="s">
        <v>33</v>
      </c>
      <c r="L2041" s="60" t="s">
        <v>757</v>
      </c>
    </row>
    <row r="2042" spans="1:12" x14ac:dyDescent="0.3">
      <c r="H2042" s="74">
        <v>30</v>
      </c>
      <c r="K2042" s="55" t="s">
        <v>34</v>
      </c>
      <c r="L2042" s="60" t="s">
        <v>149</v>
      </c>
    </row>
    <row r="2043" spans="1:12" x14ac:dyDescent="0.3">
      <c r="H2043" s="74">
        <v>40</v>
      </c>
      <c r="K2043" s="55" t="s">
        <v>34</v>
      </c>
      <c r="L2043" s="60" t="s">
        <v>861</v>
      </c>
    </row>
    <row r="2044" spans="1:12" x14ac:dyDescent="0.3">
      <c r="H2044" s="74">
        <v>20</v>
      </c>
      <c r="K2044" s="55" t="s">
        <v>30</v>
      </c>
      <c r="L2044" s="60" t="s">
        <v>862</v>
      </c>
    </row>
    <row r="2045" spans="1:12" x14ac:dyDescent="0.3">
      <c r="H2045" s="74">
        <v>20</v>
      </c>
      <c r="K2045" s="55" t="s">
        <v>55</v>
      </c>
      <c r="L2045" s="60" t="s">
        <v>13</v>
      </c>
    </row>
    <row r="2047" spans="1:12" x14ac:dyDescent="0.3">
      <c r="A2047" s="87" t="s">
        <v>858</v>
      </c>
      <c r="B2047" s="55" t="s">
        <v>12</v>
      </c>
      <c r="C2047" s="67" t="s">
        <v>46</v>
      </c>
      <c r="D2047" s="55" t="s">
        <v>52</v>
      </c>
      <c r="E2047" s="19">
        <v>254.83</v>
      </c>
      <c r="F2047" s="19">
        <v>8</v>
      </c>
      <c r="G2047" s="55" t="s">
        <v>11</v>
      </c>
      <c r="H2047" s="74">
        <v>10</v>
      </c>
      <c r="K2047" s="55" t="s">
        <v>25</v>
      </c>
    </row>
    <row r="2048" spans="1:12" x14ac:dyDescent="0.3">
      <c r="H2048" s="74">
        <v>10</v>
      </c>
      <c r="K2048" s="55" t="s">
        <v>84</v>
      </c>
    </row>
    <row r="2049" spans="1:12" x14ac:dyDescent="0.3">
      <c r="H2049" s="74">
        <v>80</v>
      </c>
      <c r="K2049" s="55" t="s">
        <v>96</v>
      </c>
    </row>
    <row r="2050" spans="1:12" x14ac:dyDescent="0.3">
      <c r="H2050" s="74">
        <v>30</v>
      </c>
      <c r="K2050" s="55" t="s">
        <v>34</v>
      </c>
    </row>
    <row r="2051" spans="1:12" x14ac:dyDescent="0.3">
      <c r="H2051" s="74">
        <v>30</v>
      </c>
      <c r="K2051" s="55" t="s">
        <v>34</v>
      </c>
    </row>
    <row r="2052" spans="1:12" x14ac:dyDescent="0.3">
      <c r="H2052" s="74">
        <v>25</v>
      </c>
      <c r="K2052" s="55" t="s">
        <v>102</v>
      </c>
    </row>
    <row r="2053" spans="1:12" x14ac:dyDescent="0.3">
      <c r="H2053" s="74">
        <v>20</v>
      </c>
      <c r="K2053" s="55" t="s">
        <v>30</v>
      </c>
    </row>
    <row r="2054" spans="1:12" x14ac:dyDescent="0.3">
      <c r="H2054" s="74">
        <v>78</v>
      </c>
      <c r="K2054" s="55" t="s">
        <v>33</v>
      </c>
      <c r="L2054" s="60" t="s">
        <v>693</v>
      </c>
    </row>
    <row r="2055" spans="1:12" x14ac:dyDescent="0.3">
      <c r="H2055" s="74">
        <v>20</v>
      </c>
      <c r="K2055" s="55" t="s">
        <v>33</v>
      </c>
      <c r="L2055" s="60" t="s">
        <v>864</v>
      </c>
    </row>
    <row r="2056" spans="1:12" x14ac:dyDescent="0.3">
      <c r="H2056" s="74">
        <v>20</v>
      </c>
      <c r="K2056" s="55" t="s">
        <v>55</v>
      </c>
      <c r="L2056" s="60" t="s">
        <v>865</v>
      </c>
    </row>
    <row r="2058" spans="1:12" x14ac:dyDescent="0.3">
      <c r="A2058" s="72" t="s">
        <v>858</v>
      </c>
      <c r="B2058" s="55" t="s">
        <v>0</v>
      </c>
      <c r="C2058" s="67" t="s">
        <v>188</v>
      </c>
      <c r="D2058" s="55" t="s">
        <v>50</v>
      </c>
      <c r="E2058" s="19">
        <v>197.76</v>
      </c>
      <c r="F2058" s="19">
        <v>6</v>
      </c>
      <c r="G2058" s="55" t="s">
        <v>11</v>
      </c>
      <c r="H2058" s="74">
        <v>10</v>
      </c>
      <c r="K2058" s="55" t="s">
        <v>25</v>
      </c>
    </row>
    <row r="2059" spans="1:12" x14ac:dyDescent="0.3">
      <c r="H2059" s="74">
        <v>10</v>
      </c>
      <c r="K2059" s="55" t="s">
        <v>84</v>
      </c>
    </row>
    <row r="2060" spans="1:12" x14ac:dyDescent="0.3">
      <c r="H2060" s="74">
        <v>40</v>
      </c>
      <c r="K2060" s="55" t="s">
        <v>33</v>
      </c>
      <c r="L2060" s="60" t="s">
        <v>867</v>
      </c>
    </row>
    <row r="2061" spans="1:12" x14ac:dyDescent="0.3">
      <c r="H2061" s="74">
        <v>60</v>
      </c>
      <c r="K2061" s="55" t="s">
        <v>96</v>
      </c>
    </row>
    <row r="2062" spans="1:12" x14ac:dyDescent="0.3">
      <c r="H2062" s="74">
        <v>30</v>
      </c>
      <c r="K2062" s="55" t="s">
        <v>32</v>
      </c>
      <c r="L2062" s="60" t="s">
        <v>460</v>
      </c>
    </row>
    <row r="2063" spans="1:12" x14ac:dyDescent="0.3">
      <c r="H2063" s="74">
        <v>60</v>
      </c>
      <c r="K2063" s="55" t="s">
        <v>32</v>
      </c>
      <c r="L2063" s="60" t="s">
        <v>869</v>
      </c>
    </row>
    <row r="2064" spans="1:12" x14ac:dyDescent="0.3">
      <c r="H2064" s="74">
        <v>140</v>
      </c>
      <c r="K2064" s="55" t="s">
        <v>33</v>
      </c>
      <c r="L2064" s="60" t="s">
        <v>868</v>
      </c>
    </row>
    <row r="2065" spans="1:12" x14ac:dyDescent="0.3">
      <c r="H2065" s="74">
        <v>20</v>
      </c>
      <c r="K2065" s="55" t="s">
        <v>30</v>
      </c>
      <c r="L2065" s="60" t="s">
        <v>862</v>
      </c>
    </row>
    <row r="2066" spans="1:12" x14ac:dyDescent="0.3">
      <c r="H2066" s="74">
        <v>30</v>
      </c>
      <c r="K2066" s="55" t="s">
        <v>34</v>
      </c>
      <c r="L2066" s="60" t="s">
        <v>254</v>
      </c>
    </row>
    <row r="2068" spans="1:12" x14ac:dyDescent="0.3">
      <c r="A2068" s="72" t="s">
        <v>870</v>
      </c>
      <c r="B2068" s="55" t="s">
        <v>10</v>
      </c>
      <c r="C2068" s="67" t="s">
        <v>48</v>
      </c>
      <c r="D2068" s="55" t="s">
        <v>51</v>
      </c>
      <c r="E2068" s="19">
        <v>237.84</v>
      </c>
      <c r="F2068" s="19">
        <v>7.5</v>
      </c>
      <c r="G2068" s="55" t="s">
        <v>11</v>
      </c>
      <c r="H2068" s="74">
        <v>10</v>
      </c>
      <c r="K2068" s="55" t="s">
        <v>25</v>
      </c>
    </row>
    <row r="2069" spans="1:12" x14ac:dyDescent="0.3">
      <c r="H2069" s="74">
        <v>10</v>
      </c>
      <c r="K2069" s="55" t="s">
        <v>84</v>
      </c>
    </row>
    <row r="2070" spans="1:12" x14ac:dyDescent="0.3">
      <c r="H2070" s="74">
        <v>60</v>
      </c>
      <c r="K2070" s="55" t="s">
        <v>96</v>
      </c>
    </row>
    <row r="2071" spans="1:12" x14ac:dyDescent="0.3">
      <c r="H2071" s="74">
        <v>30</v>
      </c>
      <c r="K2071" s="55" t="s">
        <v>32</v>
      </c>
      <c r="L2071" s="60" t="s">
        <v>460</v>
      </c>
    </row>
    <row r="2072" spans="1:12" x14ac:dyDescent="0.3">
      <c r="H2072" s="74">
        <v>30</v>
      </c>
      <c r="K2072" s="55" t="s">
        <v>32</v>
      </c>
      <c r="L2072" s="60" t="s">
        <v>871</v>
      </c>
    </row>
    <row r="2073" spans="1:12" x14ac:dyDescent="0.3">
      <c r="H2073" s="74">
        <v>30</v>
      </c>
      <c r="K2073" s="55" t="s">
        <v>32</v>
      </c>
      <c r="L2073" s="60" t="s">
        <v>565</v>
      </c>
    </row>
    <row r="2074" spans="1:12" x14ac:dyDescent="0.3">
      <c r="H2074" s="74">
        <v>50</v>
      </c>
      <c r="K2074" s="55" t="s">
        <v>30</v>
      </c>
      <c r="L2074" s="60" t="s">
        <v>502</v>
      </c>
    </row>
    <row r="2075" spans="1:12" x14ac:dyDescent="0.3">
      <c r="H2075" s="74">
        <v>25</v>
      </c>
      <c r="K2075" s="55" t="s">
        <v>102</v>
      </c>
    </row>
    <row r="2076" spans="1:12" x14ac:dyDescent="0.3">
      <c r="H2076" s="74">
        <v>30</v>
      </c>
      <c r="K2076" s="55" t="s">
        <v>34</v>
      </c>
      <c r="L2076" s="60" t="s">
        <v>149</v>
      </c>
    </row>
    <row r="2077" spans="1:12" x14ac:dyDescent="0.3">
      <c r="H2077" s="74">
        <v>40</v>
      </c>
      <c r="K2077" s="55" t="s">
        <v>34</v>
      </c>
      <c r="L2077" s="60" t="s">
        <v>323</v>
      </c>
    </row>
    <row r="2078" spans="1:12" x14ac:dyDescent="0.3">
      <c r="H2078" s="74">
        <v>10</v>
      </c>
      <c r="K2078" s="55" t="s">
        <v>55</v>
      </c>
      <c r="L2078" s="60" t="s">
        <v>356</v>
      </c>
    </row>
    <row r="2080" spans="1:12" x14ac:dyDescent="0.3">
      <c r="A2080" s="87" t="s">
        <v>870</v>
      </c>
      <c r="B2080" s="55" t="s">
        <v>12</v>
      </c>
      <c r="C2080" s="67" t="s">
        <v>46</v>
      </c>
      <c r="D2080" s="55" t="s">
        <v>52</v>
      </c>
      <c r="E2080" s="19">
        <v>278.5</v>
      </c>
      <c r="F2080" s="19">
        <v>8.5</v>
      </c>
      <c r="G2080" s="55" t="s">
        <v>11</v>
      </c>
      <c r="H2080" s="74">
        <v>10</v>
      </c>
      <c r="K2080" s="55" t="s">
        <v>25</v>
      </c>
    </row>
    <row r="2081" spans="1:12" x14ac:dyDescent="0.3">
      <c r="H2081" s="74">
        <v>10</v>
      </c>
      <c r="K2081" s="55" t="s">
        <v>84</v>
      </c>
    </row>
    <row r="2082" spans="1:12" x14ac:dyDescent="0.3">
      <c r="H2082" s="74">
        <v>90</v>
      </c>
      <c r="K2082" s="55" t="s">
        <v>96</v>
      </c>
    </row>
    <row r="2083" spans="1:12" x14ac:dyDescent="0.3">
      <c r="H2083" s="74">
        <v>30</v>
      </c>
      <c r="K2083" s="55" t="s">
        <v>34</v>
      </c>
    </row>
    <row r="2084" spans="1:12" x14ac:dyDescent="0.3">
      <c r="H2084" s="74">
        <v>25</v>
      </c>
      <c r="K2084" s="55" t="s">
        <v>102</v>
      </c>
    </row>
    <row r="2085" spans="1:12" x14ac:dyDescent="0.3">
      <c r="H2085" s="74">
        <v>30</v>
      </c>
      <c r="K2085" s="55" t="s">
        <v>55</v>
      </c>
      <c r="L2085" s="60" t="s">
        <v>356</v>
      </c>
    </row>
    <row r="2086" spans="1:12" x14ac:dyDescent="0.3">
      <c r="H2086" s="74">
        <v>40</v>
      </c>
      <c r="K2086" s="55" t="s">
        <v>34</v>
      </c>
      <c r="L2086" s="60" t="s">
        <v>323</v>
      </c>
    </row>
    <row r="2087" spans="1:12" x14ac:dyDescent="0.3">
      <c r="H2087" s="74">
        <v>30</v>
      </c>
      <c r="K2087" s="55" t="s">
        <v>32</v>
      </c>
      <c r="L2087" s="60" t="s">
        <v>460</v>
      </c>
    </row>
    <row r="2088" spans="1:12" x14ac:dyDescent="0.3">
      <c r="H2088" s="74">
        <v>60</v>
      </c>
      <c r="K2088" s="55" t="s">
        <v>32</v>
      </c>
      <c r="L2088" s="60" t="s">
        <v>565</v>
      </c>
    </row>
    <row r="2089" spans="1:12" x14ac:dyDescent="0.3">
      <c r="H2089" s="74">
        <v>40</v>
      </c>
      <c r="K2089" s="55" t="s">
        <v>32</v>
      </c>
      <c r="L2089" s="60" t="s">
        <v>857</v>
      </c>
    </row>
    <row r="2091" spans="1:12" x14ac:dyDescent="0.3">
      <c r="A2091" s="72" t="s">
        <v>872</v>
      </c>
      <c r="B2091" s="55" t="s">
        <v>0</v>
      </c>
      <c r="C2091" s="67" t="s">
        <v>188</v>
      </c>
      <c r="D2091" s="55" t="s">
        <v>50</v>
      </c>
      <c r="E2091" s="19">
        <v>162.49</v>
      </c>
      <c r="F2091" s="19">
        <v>5</v>
      </c>
      <c r="G2091" s="55" t="s">
        <v>11</v>
      </c>
      <c r="H2091" s="74">
        <v>10</v>
      </c>
      <c r="K2091" s="55" t="s">
        <v>25</v>
      </c>
    </row>
    <row r="2092" spans="1:12" x14ac:dyDescent="0.3">
      <c r="H2092" s="74">
        <v>10</v>
      </c>
      <c r="K2092" s="55" t="s">
        <v>84</v>
      </c>
    </row>
    <row r="2093" spans="1:12" x14ac:dyDescent="0.3">
      <c r="H2093" s="74">
        <v>50</v>
      </c>
      <c r="K2093" s="55" t="s">
        <v>96</v>
      </c>
    </row>
    <row r="2094" spans="1:12" x14ac:dyDescent="0.3">
      <c r="H2094" s="74">
        <v>40</v>
      </c>
      <c r="K2094" s="55" t="s">
        <v>34</v>
      </c>
      <c r="L2094" s="60" t="s">
        <v>323</v>
      </c>
    </row>
    <row r="2095" spans="1:12" x14ac:dyDescent="0.3">
      <c r="H2095" s="74">
        <v>90</v>
      </c>
      <c r="K2095" s="55" t="s">
        <v>32</v>
      </c>
      <c r="L2095" s="60" t="s">
        <v>882</v>
      </c>
    </row>
    <row r="2096" spans="1:12" x14ac:dyDescent="0.3">
      <c r="H2096" s="74">
        <v>30</v>
      </c>
      <c r="K2096" s="55" t="s">
        <v>102</v>
      </c>
    </row>
    <row r="2097" spans="1:13" x14ac:dyDescent="0.3">
      <c r="H2097" s="74">
        <v>30</v>
      </c>
      <c r="K2097" s="55" t="s">
        <v>55</v>
      </c>
      <c r="L2097" s="60" t="s">
        <v>873</v>
      </c>
    </row>
    <row r="2098" spans="1:13" x14ac:dyDescent="0.3">
      <c r="H2098" s="74">
        <v>60</v>
      </c>
      <c r="K2098" s="55" t="s">
        <v>33</v>
      </c>
      <c r="L2098" s="60" t="s">
        <v>109</v>
      </c>
    </row>
    <row r="2099" spans="1:13" x14ac:dyDescent="0.3">
      <c r="H2099" s="74">
        <v>120</v>
      </c>
      <c r="K2099" s="55" t="s">
        <v>33</v>
      </c>
      <c r="L2099" s="60" t="s">
        <v>874</v>
      </c>
    </row>
    <row r="2101" spans="1:13" x14ac:dyDescent="0.3">
      <c r="A2101" s="72" t="s">
        <v>872</v>
      </c>
      <c r="B2101" s="55" t="s">
        <v>10</v>
      </c>
      <c r="C2101" s="67" t="s">
        <v>48</v>
      </c>
      <c r="D2101" s="55" t="s">
        <v>51</v>
      </c>
      <c r="E2101" s="19">
        <v>214.23</v>
      </c>
      <c r="F2101" s="19">
        <v>7</v>
      </c>
      <c r="G2101" s="55" t="s">
        <v>11</v>
      </c>
      <c r="H2101" s="74">
        <v>10</v>
      </c>
      <c r="K2101" s="55" t="s">
        <v>25</v>
      </c>
    </row>
    <row r="2102" spans="1:13" x14ac:dyDescent="0.3">
      <c r="H2102" s="74">
        <v>10</v>
      </c>
      <c r="K2102" s="55" t="s">
        <v>84</v>
      </c>
    </row>
    <row r="2103" spans="1:13" x14ac:dyDescent="0.3">
      <c r="H2103" s="74">
        <v>80</v>
      </c>
      <c r="K2103" s="55" t="s">
        <v>96</v>
      </c>
    </row>
    <row r="2104" spans="1:13" x14ac:dyDescent="0.3">
      <c r="H2104" s="74">
        <v>90</v>
      </c>
      <c r="K2104" s="55" t="s">
        <v>32</v>
      </c>
      <c r="L2104" s="60" t="s">
        <v>875</v>
      </c>
      <c r="M2104" s="1" t="s">
        <v>876</v>
      </c>
    </row>
    <row r="2105" spans="1:13" x14ac:dyDescent="0.3">
      <c r="H2105" s="74">
        <v>40</v>
      </c>
      <c r="K2105" s="55" t="s">
        <v>32</v>
      </c>
      <c r="L2105" s="60" t="s">
        <v>880</v>
      </c>
    </row>
    <row r="2106" spans="1:13" x14ac:dyDescent="0.3">
      <c r="H2106" s="74">
        <v>40</v>
      </c>
      <c r="K2106" s="55" t="s">
        <v>30</v>
      </c>
      <c r="L2106" s="60" t="s">
        <v>348</v>
      </c>
    </row>
    <row r="2107" spans="1:13" x14ac:dyDescent="0.3">
      <c r="H2107" s="74">
        <v>20</v>
      </c>
      <c r="K2107" s="55" t="s">
        <v>33</v>
      </c>
      <c r="L2107" s="60" t="s">
        <v>877</v>
      </c>
    </row>
    <row r="2108" spans="1:13" x14ac:dyDescent="0.3">
      <c r="H2108" s="74">
        <v>50</v>
      </c>
      <c r="K2108" s="55" t="s">
        <v>34</v>
      </c>
      <c r="L2108" s="60" t="s">
        <v>878</v>
      </c>
    </row>
    <row r="2109" spans="1:13" x14ac:dyDescent="0.3">
      <c r="H2109" s="74">
        <v>20</v>
      </c>
      <c r="K2109" s="55" t="s">
        <v>102</v>
      </c>
    </row>
    <row r="2110" spans="1:13" x14ac:dyDescent="0.3">
      <c r="H2110" s="74">
        <v>15</v>
      </c>
      <c r="K2110" s="55" t="s">
        <v>33</v>
      </c>
      <c r="L2110" s="60" t="s">
        <v>879</v>
      </c>
    </row>
    <row r="2112" spans="1:13" x14ac:dyDescent="0.3">
      <c r="A2112" s="87" t="s">
        <v>872</v>
      </c>
      <c r="B2112" s="55" t="s">
        <v>12</v>
      </c>
      <c r="C2112" s="67" t="s">
        <v>46</v>
      </c>
      <c r="D2112" s="55" t="s">
        <v>52</v>
      </c>
      <c r="E2112" s="19">
        <v>301.64999999999998</v>
      </c>
      <c r="F2112" s="19">
        <v>8</v>
      </c>
      <c r="G2112" s="55" t="s">
        <v>11</v>
      </c>
      <c r="H2112" s="74">
        <v>10</v>
      </c>
      <c r="K2112" s="55" t="s">
        <v>25</v>
      </c>
    </row>
    <row r="2113" spans="1:12" x14ac:dyDescent="0.3">
      <c r="H2113" s="74">
        <v>10</v>
      </c>
      <c r="K2113" s="55" t="s">
        <v>84</v>
      </c>
    </row>
    <row r="2114" spans="1:12" x14ac:dyDescent="0.3">
      <c r="H2114" s="74">
        <v>90</v>
      </c>
      <c r="K2114" s="55" t="s">
        <v>96</v>
      </c>
    </row>
    <row r="2115" spans="1:12" x14ac:dyDescent="0.3">
      <c r="H2115" s="74">
        <v>30</v>
      </c>
      <c r="K2115" s="55" t="s">
        <v>34</v>
      </c>
      <c r="L2115" s="60" t="s">
        <v>149</v>
      </c>
    </row>
    <row r="2116" spans="1:12" x14ac:dyDescent="0.3">
      <c r="H2116" s="74">
        <v>20</v>
      </c>
      <c r="K2116" s="55" t="s">
        <v>102</v>
      </c>
    </row>
    <row r="2117" spans="1:12" x14ac:dyDescent="0.3">
      <c r="H2117" s="74">
        <v>20</v>
      </c>
      <c r="K2117" s="55" t="s">
        <v>33</v>
      </c>
      <c r="L2117" s="60" t="s">
        <v>454</v>
      </c>
    </row>
    <row r="2118" spans="1:12" x14ac:dyDescent="0.3">
      <c r="H2118" s="74">
        <v>40</v>
      </c>
      <c r="K2118" s="55" t="s">
        <v>34</v>
      </c>
      <c r="L2118" s="60" t="s">
        <v>323</v>
      </c>
    </row>
    <row r="2119" spans="1:12" x14ac:dyDescent="0.3">
      <c r="H2119" s="74">
        <v>30</v>
      </c>
      <c r="K2119" s="55" t="s">
        <v>32</v>
      </c>
      <c r="L2119" s="60" t="s">
        <v>460</v>
      </c>
    </row>
    <row r="2120" spans="1:12" x14ac:dyDescent="0.3">
      <c r="H2120" s="74">
        <v>100</v>
      </c>
      <c r="K2120" s="55" t="s">
        <v>32</v>
      </c>
      <c r="L2120" s="60" t="s">
        <v>866</v>
      </c>
    </row>
    <row r="2121" spans="1:12" x14ac:dyDescent="0.3">
      <c r="H2121" s="74">
        <v>40</v>
      </c>
      <c r="K2121" s="55" t="s">
        <v>55</v>
      </c>
      <c r="L2121" s="60" t="s">
        <v>881</v>
      </c>
    </row>
    <row r="2122" spans="1:12" x14ac:dyDescent="0.3">
      <c r="H2122" s="74">
        <v>10</v>
      </c>
      <c r="K2122" s="55" t="s">
        <v>34</v>
      </c>
      <c r="L2122" s="60" t="s">
        <v>323</v>
      </c>
    </row>
    <row r="2124" spans="1:12" x14ac:dyDescent="0.3">
      <c r="A2124" s="72" t="s">
        <v>883</v>
      </c>
      <c r="B2124" s="55" t="s">
        <v>0</v>
      </c>
      <c r="C2124" s="67" t="s">
        <v>188</v>
      </c>
      <c r="D2124" s="55" t="s">
        <v>50</v>
      </c>
      <c r="E2124" s="19">
        <v>384.05</v>
      </c>
      <c r="F2124" s="19">
        <v>10</v>
      </c>
      <c r="G2124" s="55" t="s">
        <v>11</v>
      </c>
      <c r="H2124" s="74">
        <v>10</v>
      </c>
      <c r="K2124" s="55" t="s">
        <v>25</v>
      </c>
    </row>
    <row r="2125" spans="1:12" x14ac:dyDescent="0.3">
      <c r="H2125" s="74">
        <v>10</v>
      </c>
      <c r="K2125" s="55" t="s">
        <v>84</v>
      </c>
    </row>
    <row r="2126" spans="1:12" x14ac:dyDescent="0.3">
      <c r="H2126" s="74">
        <v>75</v>
      </c>
      <c r="K2126" s="55" t="s">
        <v>33</v>
      </c>
      <c r="L2126" s="60" t="s">
        <v>884</v>
      </c>
    </row>
    <row r="2127" spans="1:12" x14ac:dyDescent="0.3">
      <c r="H2127" s="74">
        <v>100</v>
      </c>
      <c r="K2127" s="55" t="s">
        <v>96</v>
      </c>
    </row>
    <row r="2128" spans="1:12" x14ac:dyDescent="0.3">
      <c r="H2128" s="74">
        <v>60</v>
      </c>
      <c r="K2128" s="55" t="s">
        <v>32</v>
      </c>
      <c r="L2128" s="60" t="s">
        <v>885</v>
      </c>
    </row>
    <row r="2129" spans="1:12" x14ac:dyDescent="0.3">
      <c r="H2129" s="74">
        <v>20</v>
      </c>
      <c r="K2129" s="55" t="s">
        <v>55</v>
      </c>
      <c r="L2129" s="60" t="s">
        <v>13</v>
      </c>
    </row>
    <row r="2130" spans="1:12" x14ac:dyDescent="0.3">
      <c r="H2130" s="74">
        <v>25</v>
      </c>
      <c r="K2130" s="55" t="s">
        <v>33</v>
      </c>
      <c r="L2130" s="60" t="s">
        <v>886</v>
      </c>
    </row>
    <row r="2131" spans="1:12" x14ac:dyDescent="0.3">
      <c r="H2131" s="74">
        <v>20</v>
      </c>
      <c r="K2131" s="55" t="s">
        <v>102</v>
      </c>
    </row>
    <row r="2132" spans="1:12" x14ac:dyDescent="0.3">
      <c r="H2132" s="74">
        <v>20</v>
      </c>
      <c r="K2132" s="55" t="s">
        <v>30</v>
      </c>
      <c r="L2132" s="60" t="s">
        <v>136</v>
      </c>
    </row>
    <row r="2134" spans="1:12" x14ac:dyDescent="0.3">
      <c r="A2134" s="72" t="s">
        <v>883</v>
      </c>
      <c r="B2134" s="55" t="s">
        <v>10</v>
      </c>
      <c r="C2134" s="67" t="s">
        <v>48</v>
      </c>
      <c r="D2134" s="55" t="s">
        <v>51</v>
      </c>
      <c r="E2134" s="19">
        <v>498.68</v>
      </c>
      <c r="F2134" s="19">
        <v>13</v>
      </c>
      <c r="G2134" s="55" t="s">
        <v>11</v>
      </c>
      <c r="H2134" s="74">
        <v>10</v>
      </c>
      <c r="K2134" s="55" t="s">
        <v>25</v>
      </c>
    </row>
    <row r="2135" spans="1:12" x14ac:dyDescent="0.3">
      <c r="H2135" s="74">
        <v>10</v>
      </c>
      <c r="K2135" s="55" t="s">
        <v>84</v>
      </c>
    </row>
    <row r="2136" spans="1:12" x14ac:dyDescent="0.3">
      <c r="H2136" s="74">
        <v>130</v>
      </c>
      <c r="K2136" s="55" t="s">
        <v>96</v>
      </c>
    </row>
    <row r="2137" spans="1:12" x14ac:dyDescent="0.3">
      <c r="H2137" s="74">
        <v>30</v>
      </c>
      <c r="K2137" s="55" t="s">
        <v>32</v>
      </c>
      <c r="L2137" s="60" t="s">
        <v>445</v>
      </c>
    </row>
    <row r="2138" spans="1:12" x14ac:dyDescent="0.3">
      <c r="H2138" s="74">
        <v>25</v>
      </c>
      <c r="K2138" s="55" t="s">
        <v>102</v>
      </c>
    </row>
    <row r="2139" spans="1:12" x14ac:dyDescent="0.3">
      <c r="H2139" s="74">
        <v>25</v>
      </c>
      <c r="K2139" s="55" t="s">
        <v>55</v>
      </c>
      <c r="L2139" s="60" t="s">
        <v>13</v>
      </c>
    </row>
    <row r="2140" spans="1:12" x14ac:dyDescent="0.3">
      <c r="H2140" s="74">
        <v>30</v>
      </c>
      <c r="K2140" s="55" t="s">
        <v>30</v>
      </c>
    </row>
    <row r="2141" spans="1:12" x14ac:dyDescent="0.3">
      <c r="H2141" s="74">
        <v>20</v>
      </c>
      <c r="K2141" s="55" t="s">
        <v>55</v>
      </c>
      <c r="L2141" s="60" t="s">
        <v>857</v>
      </c>
    </row>
    <row r="2143" spans="1:12" x14ac:dyDescent="0.3">
      <c r="A2143" s="87" t="s">
        <v>883</v>
      </c>
      <c r="B2143" s="55" t="s">
        <v>12</v>
      </c>
      <c r="C2143" s="67" t="s">
        <v>46</v>
      </c>
      <c r="D2143" s="55" t="s">
        <v>52</v>
      </c>
      <c r="E2143" s="19">
        <v>382.88</v>
      </c>
      <c r="F2143" s="19">
        <v>10</v>
      </c>
      <c r="G2143" s="55" t="s">
        <v>11</v>
      </c>
      <c r="H2143" s="74">
        <v>10</v>
      </c>
      <c r="K2143" s="55" t="s">
        <v>25</v>
      </c>
    </row>
    <row r="2144" spans="1:12" x14ac:dyDescent="0.3">
      <c r="H2144" s="74">
        <v>10</v>
      </c>
      <c r="K2144" s="55" t="s">
        <v>84</v>
      </c>
    </row>
    <row r="2145" spans="1:12" x14ac:dyDescent="0.3">
      <c r="H2145" s="74">
        <v>100</v>
      </c>
      <c r="K2145" s="55" t="s">
        <v>96</v>
      </c>
    </row>
    <row r="2146" spans="1:12" x14ac:dyDescent="0.3">
      <c r="H2146" s="74">
        <v>20</v>
      </c>
      <c r="K2146" s="55" t="s">
        <v>102</v>
      </c>
    </row>
    <row r="2147" spans="1:12" x14ac:dyDescent="0.3">
      <c r="H2147" s="74">
        <v>60</v>
      </c>
      <c r="K2147" s="55" t="s">
        <v>33</v>
      </c>
      <c r="L2147" s="60" t="s">
        <v>887</v>
      </c>
    </row>
    <row r="2148" spans="1:12" x14ac:dyDescent="0.3">
      <c r="H2148" s="74">
        <v>20</v>
      </c>
      <c r="K2148" s="55" t="s">
        <v>32</v>
      </c>
      <c r="L2148" s="60" t="s">
        <v>236</v>
      </c>
    </row>
    <row r="2149" spans="1:12" x14ac:dyDescent="0.3">
      <c r="H2149" s="74">
        <v>20</v>
      </c>
      <c r="K2149" s="55" t="s">
        <v>55</v>
      </c>
      <c r="L2149" s="60" t="s">
        <v>888</v>
      </c>
    </row>
    <row r="2150" spans="1:12" x14ac:dyDescent="0.3">
      <c r="H2150" s="74">
        <v>20</v>
      </c>
      <c r="K2150" s="55" t="s">
        <v>34</v>
      </c>
      <c r="L2150" s="60" t="s">
        <v>889</v>
      </c>
    </row>
    <row r="2151" spans="1:12" x14ac:dyDescent="0.3">
      <c r="H2151" s="74">
        <v>25</v>
      </c>
      <c r="K2151" s="55" t="s">
        <v>55</v>
      </c>
      <c r="L2151" s="60" t="s">
        <v>13</v>
      </c>
    </row>
    <row r="2152" spans="1:12" x14ac:dyDescent="0.3">
      <c r="H2152" s="74">
        <v>20</v>
      </c>
      <c r="K2152" s="55" t="s">
        <v>30</v>
      </c>
      <c r="L2152" s="60" t="s">
        <v>136</v>
      </c>
    </row>
    <row r="2153" spans="1:12" x14ac:dyDescent="0.3">
      <c r="A2153" s="72" t="s">
        <v>890</v>
      </c>
      <c r="B2153" s="55" t="s">
        <v>0</v>
      </c>
      <c r="C2153" s="67" t="s">
        <v>47</v>
      </c>
      <c r="D2153" s="55" t="s">
        <v>50</v>
      </c>
      <c r="E2153" s="19">
        <v>153.72999999999999</v>
      </c>
      <c r="F2153" s="19">
        <v>4</v>
      </c>
      <c r="G2153" s="55" t="s">
        <v>11</v>
      </c>
      <c r="H2153" s="74">
        <v>10</v>
      </c>
      <c r="K2153" s="55" t="s">
        <v>25</v>
      </c>
    </row>
    <row r="2154" spans="1:12" x14ac:dyDescent="0.3">
      <c r="H2154" s="74">
        <v>10</v>
      </c>
      <c r="K2154" s="55" t="s">
        <v>84</v>
      </c>
    </row>
    <row r="2155" spans="1:12" x14ac:dyDescent="0.3">
      <c r="H2155" s="74">
        <v>60</v>
      </c>
      <c r="K2155" s="55" t="s">
        <v>32</v>
      </c>
      <c r="L2155" s="60" t="s">
        <v>891</v>
      </c>
    </row>
    <row r="2156" spans="1:12" x14ac:dyDescent="0.3">
      <c r="H2156" s="74">
        <v>50</v>
      </c>
      <c r="K2156" s="55" t="s">
        <v>96</v>
      </c>
    </row>
    <row r="2157" spans="1:12" x14ac:dyDescent="0.3">
      <c r="H2157" s="74">
        <v>240</v>
      </c>
      <c r="K2157" s="55" t="s">
        <v>32</v>
      </c>
      <c r="L2157" s="60" t="s">
        <v>892</v>
      </c>
    </row>
    <row r="2158" spans="1:12" x14ac:dyDescent="0.3">
      <c r="H2158" s="74">
        <v>20</v>
      </c>
      <c r="K2158" s="55" t="s">
        <v>34</v>
      </c>
      <c r="L2158" s="60" t="s">
        <v>268</v>
      </c>
    </row>
    <row r="2159" spans="1:12" x14ac:dyDescent="0.3">
      <c r="H2159" s="74">
        <v>20</v>
      </c>
      <c r="K2159" s="55" t="s">
        <v>102</v>
      </c>
    </row>
    <row r="2161" spans="1:13" x14ac:dyDescent="0.3">
      <c r="A2161" s="72" t="s">
        <v>890</v>
      </c>
      <c r="B2161" s="55" t="s">
        <v>10</v>
      </c>
      <c r="C2161" s="67" t="s">
        <v>48</v>
      </c>
      <c r="D2161" s="55" t="s">
        <v>51</v>
      </c>
      <c r="E2161" s="19">
        <v>159.38</v>
      </c>
      <c r="F2161" s="19">
        <v>5</v>
      </c>
      <c r="G2161" s="55" t="s">
        <v>11</v>
      </c>
      <c r="H2161" s="74">
        <v>10</v>
      </c>
      <c r="K2161" s="55" t="s">
        <v>25</v>
      </c>
    </row>
    <row r="2162" spans="1:13" x14ac:dyDescent="0.3">
      <c r="H2162" s="74">
        <v>10</v>
      </c>
      <c r="K2162" s="55" t="s">
        <v>84</v>
      </c>
    </row>
    <row r="2163" spans="1:13" x14ac:dyDescent="0.3">
      <c r="H2163" s="74">
        <v>37</v>
      </c>
      <c r="K2163" s="55" t="s">
        <v>55</v>
      </c>
      <c r="L2163" s="60" t="s">
        <v>897</v>
      </c>
    </row>
    <row r="2164" spans="1:13" x14ac:dyDescent="0.3">
      <c r="H2164" s="74">
        <v>50</v>
      </c>
      <c r="K2164" s="55" t="s">
        <v>96</v>
      </c>
    </row>
    <row r="2165" spans="1:13" x14ac:dyDescent="0.3">
      <c r="H2165" s="74">
        <v>50</v>
      </c>
      <c r="K2165" s="55" t="s">
        <v>32</v>
      </c>
      <c r="L2165" s="60" t="s">
        <v>582</v>
      </c>
    </row>
    <row r="2166" spans="1:13" x14ac:dyDescent="0.3">
      <c r="H2166" s="74">
        <v>70</v>
      </c>
      <c r="K2166" s="55" t="s">
        <v>33</v>
      </c>
      <c r="L2166" s="60" t="s">
        <v>893</v>
      </c>
      <c r="M2166" s="1" t="s">
        <v>894</v>
      </c>
    </row>
    <row r="2167" spans="1:13" x14ac:dyDescent="0.3">
      <c r="H2167" s="74">
        <v>30</v>
      </c>
      <c r="K2167" s="55" t="s">
        <v>33</v>
      </c>
      <c r="L2167" s="60" t="s">
        <v>895</v>
      </c>
    </row>
    <row r="2168" spans="1:13" x14ac:dyDescent="0.3">
      <c r="H2168" s="74">
        <v>20</v>
      </c>
      <c r="K2168" s="55" t="s">
        <v>34</v>
      </c>
    </row>
    <row r="2169" spans="1:13" x14ac:dyDescent="0.3">
      <c r="H2169" s="74">
        <v>20</v>
      </c>
      <c r="K2169" s="55" t="s">
        <v>102</v>
      </c>
    </row>
    <row r="2170" spans="1:13" x14ac:dyDescent="0.3">
      <c r="H2170" s="74">
        <v>30</v>
      </c>
      <c r="K2170" s="55" t="s">
        <v>55</v>
      </c>
      <c r="L2170" s="60" t="s">
        <v>273</v>
      </c>
    </row>
    <row r="2171" spans="1:13" x14ac:dyDescent="0.3">
      <c r="H2171" s="74">
        <v>50</v>
      </c>
      <c r="K2171" s="55" t="s">
        <v>33</v>
      </c>
      <c r="L2171" s="60" t="s">
        <v>896</v>
      </c>
    </row>
    <row r="2174" spans="1:13" x14ac:dyDescent="0.3">
      <c r="A2174" s="87" t="s">
        <v>890</v>
      </c>
      <c r="B2174" s="55" t="s">
        <v>12</v>
      </c>
      <c r="C2174" s="67" t="s">
        <v>46</v>
      </c>
      <c r="D2174" s="55" t="s">
        <v>52</v>
      </c>
      <c r="E2174" s="19">
        <v>163.35</v>
      </c>
      <c r="F2174" s="19">
        <v>7</v>
      </c>
      <c r="G2174" s="55" t="s">
        <v>11</v>
      </c>
      <c r="H2174" s="74">
        <v>10</v>
      </c>
      <c r="K2174" s="55" t="s">
        <v>25</v>
      </c>
    </row>
    <row r="2175" spans="1:13" x14ac:dyDescent="0.3">
      <c r="H2175" s="74">
        <v>10</v>
      </c>
      <c r="K2175" s="55" t="s">
        <v>84</v>
      </c>
    </row>
    <row r="2176" spans="1:13" x14ac:dyDescent="0.3">
      <c r="H2176" s="74">
        <v>100</v>
      </c>
      <c r="K2176" s="55" t="s">
        <v>96</v>
      </c>
      <c r="L2176" s="60" t="s">
        <v>899</v>
      </c>
    </row>
    <row r="2177" spans="1:12" x14ac:dyDescent="0.3">
      <c r="H2177" s="74">
        <v>20</v>
      </c>
      <c r="K2177" s="55" t="s">
        <v>102</v>
      </c>
    </row>
    <row r="2178" spans="1:12" x14ac:dyDescent="0.3">
      <c r="H2178" s="74">
        <v>40</v>
      </c>
      <c r="K2178" s="55" t="s">
        <v>32</v>
      </c>
      <c r="L2178" s="60" t="s">
        <v>898</v>
      </c>
    </row>
    <row r="2179" spans="1:12" x14ac:dyDescent="0.3">
      <c r="H2179" s="74">
        <v>45</v>
      </c>
      <c r="K2179" s="55" t="s">
        <v>32</v>
      </c>
      <c r="L2179" s="60" t="s">
        <v>444</v>
      </c>
    </row>
    <row r="2180" spans="1:12" x14ac:dyDescent="0.3">
      <c r="H2180" s="74">
        <v>120</v>
      </c>
      <c r="K2180" s="55" t="s">
        <v>32</v>
      </c>
      <c r="L2180" s="60" t="s">
        <v>900</v>
      </c>
    </row>
    <row r="2181" spans="1:12" x14ac:dyDescent="0.3">
      <c r="H2181" s="74">
        <v>20</v>
      </c>
      <c r="K2181" s="55" t="s">
        <v>30</v>
      </c>
      <c r="L2181" s="60" t="s">
        <v>136</v>
      </c>
    </row>
    <row r="2183" spans="1:12" x14ac:dyDescent="0.3">
      <c r="A2183" s="72" t="s">
        <v>901</v>
      </c>
      <c r="B2183" s="55" t="s">
        <v>0</v>
      </c>
      <c r="C2183" s="67" t="s">
        <v>188</v>
      </c>
      <c r="D2183" s="55" t="s">
        <v>51</v>
      </c>
      <c r="E2183" s="19">
        <v>215.4</v>
      </c>
      <c r="F2183" s="19">
        <v>8</v>
      </c>
      <c r="G2183" s="55" t="s">
        <v>11</v>
      </c>
      <c r="H2183" s="74">
        <v>10</v>
      </c>
      <c r="K2183" s="55" t="s">
        <v>25</v>
      </c>
    </row>
    <row r="2184" spans="1:12" x14ac:dyDescent="0.3">
      <c r="H2184" s="74">
        <v>10</v>
      </c>
      <c r="K2184" s="55" t="s">
        <v>84</v>
      </c>
    </row>
    <row r="2185" spans="1:12" x14ac:dyDescent="0.3">
      <c r="H2185" s="74">
        <v>90</v>
      </c>
      <c r="K2185" s="55" t="s">
        <v>96</v>
      </c>
    </row>
    <row r="2186" spans="1:12" x14ac:dyDescent="0.3">
      <c r="H2186" s="74">
        <v>30</v>
      </c>
      <c r="K2186" s="55" t="s">
        <v>102</v>
      </c>
    </row>
    <row r="2187" spans="1:12" x14ac:dyDescent="0.3">
      <c r="H2187" s="74">
        <v>30</v>
      </c>
      <c r="K2187" s="55" t="s">
        <v>32</v>
      </c>
    </row>
    <row r="2188" spans="1:12" x14ac:dyDescent="0.3">
      <c r="H2188" s="74">
        <v>40</v>
      </c>
      <c r="K2188" s="55" t="s">
        <v>32</v>
      </c>
      <c r="L2188" s="60" t="s">
        <v>659</v>
      </c>
    </row>
    <row r="2189" spans="1:12" x14ac:dyDescent="0.3">
      <c r="H2189" s="74">
        <v>30</v>
      </c>
      <c r="K2189" s="55" t="s">
        <v>55</v>
      </c>
      <c r="L2189" s="60" t="s">
        <v>902</v>
      </c>
    </row>
    <row r="2190" spans="1:12" x14ac:dyDescent="0.3">
      <c r="H2190" s="74">
        <v>20</v>
      </c>
      <c r="K2190" s="55" t="s">
        <v>30</v>
      </c>
      <c r="L2190" s="60" t="s">
        <v>136</v>
      </c>
    </row>
    <row r="2191" spans="1:12" x14ac:dyDescent="0.3">
      <c r="H2191" s="74">
        <v>20</v>
      </c>
      <c r="K2191" s="55" t="s">
        <v>32</v>
      </c>
      <c r="L2191" s="60" t="s">
        <v>294</v>
      </c>
    </row>
    <row r="2193" spans="1:12" x14ac:dyDescent="0.3">
      <c r="A2193" s="87" t="s">
        <v>901</v>
      </c>
      <c r="B2193" s="55" t="s">
        <v>10</v>
      </c>
      <c r="C2193" s="67" t="s">
        <v>48</v>
      </c>
      <c r="D2193" s="55" t="s">
        <v>52</v>
      </c>
      <c r="E2193" s="19">
        <v>128.44</v>
      </c>
      <c r="F2193" s="19">
        <v>5</v>
      </c>
      <c r="G2193" s="55" t="s">
        <v>11</v>
      </c>
      <c r="H2193" s="74">
        <v>10</v>
      </c>
      <c r="K2193" s="55" t="s">
        <v>25</v>
      </c>
    </row>
    <row r="2194" spans="1:12" x14ac:dyDescent="0.3">
      <c r="H2194" s="74">
        <v>10</v>
      </c>
      <c r="K2194" s="55" t="s">
        <v>84</v>
      </c>
    </row>
    <row r="2195" spans="1:12" x14ac:dyDescent="0.3">
      <c r="H2195" s="74">
        <v>50</v>
      </c>
      <c r="K2195" s="55" t="s">
        <v>96</v>
      </c>
      <c r="L2195" s="60" t="s">
        <v>899</v>
      </c>
    </row>
    <row r="2196" spans="1:12" x14ac:dyDescent="0.3">
      <c r="H2196" s="74">
        <v>20</v>
      </c>
      <c r="K2196" s="55" t="s">
        <v>102</v>
      </c>
    </row>
    <row r="2197" spans="1:12" x14ac:dyDescent="0.3">
      <c r="H2197" s="74">
        <v>20</v>
      </c>
      <c r="K2197" s="55" t="s">
        <v>30</v>
      </c>
      <c r="L2197" s="60" t="s">
        <v>136</v>
      </c>
    </row>
    <row r="2198" spans="1:12" x14ac:dyDescent="0.3">
      <c r="H2198" s="74">
        <v>200</v>
      </c>
      <c r="K2198" s="55" t="s">
        <v>33</v>
      </c>
      <c r="L2198" s="60" t="s">
        <v>538</v>
      </c>
    </row>
    <row r="2199" spans="1:12" x14ac:dyDescent="0.3">
      <c r="H2199" s="74">
        <v>40</v>
      </c>
      <c r="K2199" s="55" t="s">
        <v>55</v>
      </c>
      <c r="L2199" s="60" t="s">
        <v>903</v>
      </c>
    </row>
    <row r="2200" spans="1:12" x14ac:dyDescent="0.3">
      <c r="H2200" s="74">
        <v>50</v>
      </c>
      <c r="K2200" s="55" t="s">
        <v>55</v>
      </c>
      <c r="L2200" s="60" t="s">
        <v>904</v>
      </c>
    </row>
    <row r="2202" spans="1:12" x14ac:dyDescent="0.3">
      <c r="A2202" s="72" t="s">
        <v>905</v>
      </c>
      <c r="B2202" s="55" t="s">
        <v>0</v>
      </c>
      <c r="C2202" s="67" t="s">
        <v>188</v>
      </c>
      <c r="D2202" s="55" t="s">
        <v>51</v>
      </c>
      <c r="E2202" s="19">
        <v>0</v>
      </c>
      <c r="G2202" s="55" t="s">
        <v>11</v>
      </c>
      <c r="H2202" s="74">
        <v>10</v>
      </c>
      <c r="K2202" s="55" t="s">
        <v>25</v>
      </c>
    </row>
    <row r="2203" spans="1:12" x14ac:dyDescent="0.3">
      <c r="H2203" s="74">
        <v>10</v>
      </c>
      <c r="K2203" s="55" t="s">
        <v>84</v>
      </c>
    </row>
    <row r="2204" spans="1:12" x14ac:dyDescent="0.3">
      <c r="H2204" s="74">
        <v>220</v>
      </c>
      <c r="K2204" s="55" t="s">
        <v>33</v>
      </c>
      <c r="L2204" s="60" t="s">
        <v>906</v>
      </c>
    </row>
    <row r="2205" spans="1:12" x14ac:dyDescent="0.3">
      <c r="H2205" s="74">
        <v>240</v>
      </c>
      <c r="K2205" s="55" t="s">
        <v>55</v>
      </c>
      <c r="L2205" s="60" t="s">
        <v>907</v>
      </c>
    </row>
    <row r="2207" spans="1:12" x14ac:dyDescent="0.3">
      <c r="A2207" s="87" t="s">
        <v>908</v>
      </c>
      <c r="B2207" s="55" t="s">
        <v>10</v>
      </c>
      <c r="C2207" s="67" t="s">
        <v>49</v>
      </c>
      <c r="D2207" s="55" t="s">
        <v>52</v>
      </c>
      <c r="E2207" s="19">
        <v>253.72</v>
      </c>
      <c r="F2207" s="19">
        <v>9</v>
      </c>
      <c r="G2207" s="55" t="s">
        <v>11</v>
      </c>
      <c r="H2207" s="74">
        <v>10</v>
      </c>
      <c r="K2207" s="55" t="s">
        <v>25</v>
      </c>
    </row>
    <row r="2208" spans="1:12" x14ac:dyDescent="0.3">
      <c r="H2208" s="74">
        <v>10</v>
      </c>
      <c r="K2208" s="55" t="s">
        <v>84</v>
      </c>
    </row>
    <row r="2209" spans="1:12" x14ac:dyDescent="0.3">
      <c r="H2209" s="74">
        <v>90</v>
      </c>
      <c r="K2209" s="55" t="s">
        <v>96</v>
      </c>
    </row>
    <row r="2210" spans="1:12" x14ac:dyDescent="0.3">
      <c r="H2210" s="74">
        <v>20</v>
      </c>
      <c r="K2210" s="55" t="s">
        <v>102</v>
      </c>
    </row>
    <row r="2211" spans="1:12" x14ac:dyDescent="0.3">
      <c r="H2211" s="74">
        <v>20</v>
      </c>
      <c r="K2211" s="55" t="s">
        <v>30</v>
      </c>
      <c r="L2211" s="60" t="s">
        <v>136</v>
      </c>
    </row>
    <row r="2212" spans="1:12" x14ac:dyDescent="0.3">
      <c r="H2212" s="74">
        <v>105</v>
      </c>
      <c r="K2212" s="55" t="s">
        <v>33</v>
      </c>
      <c r="L2212" s="60" t="s">
        <v>909</v>
      </c>
    </row>
    <row r="2213" spans="1:12" x14ac:dyDescent="0.3">
      <c r="H2213" s="74">
        <v>60</v>
      </c>
      <c r="K2213" s="55" t="s">
        <v>32</v>
      </c>
      <c r="L2213" s="60" t="s">
        <v>344</v>
      </c>
    </row>
    <row r="2214" spans="1:12" x14ac:dyDescent="0.3">
      <c r="H2214" s="74">
        <v>40</v>
      </c>
      <c r="K2214" s="55" t="s">
        <v>32</v>
      </c>
      <c r="L2214" s="60" t="s">
        <v>608</v>
      </c>
    </row>
    <row r="2215" spans="1:12" x14ac:dyDescent="0.3">
      <c r="H2215" s="74">
        <v>30</v>
      </c>
      <c r="K2215" s="55" t="s">
        <v>33</v>
      </c>
      <c r="L2215" s="60" t="s">
        <v>778</v>
      </c>
    </row>
    <row r="2217" spans="1:12" x14ac:dyDescent="0.3">
      <c r="A2217" s="72" t="s">
        <v>908</v>
      </c>
      <c r="B2217" s="55" t="s">
        <v>12</v>
      </c>
      <c r="C2217" s="67" t="s">
        <v>47</v>
      </c>
      <c r="D2217" s="55" t="s">
        <v>50</v>
      </c>
      <c r="E2217" s="19">
        <v>232.34</v>
      </c>
      <c r="F2217" s="19">
        <v>8</v>
      </c>
      <c r="G2217" s="55" t="s">
        <v>11</v>
      </c>
      <c r="H2217" s="74">
        <v>10</v>
      </c>
      <c r="K2217" s="55" t="s">
        <v>25</v>
      </c>
    </row>
    <row r="2218" spans="1:12" x14ac:dyDescent="0.3">
      <c r="H2218" s="74">
        <v>10</v>
      </c>
      <c r="K2218" s="55" t="s">
        <v>84</v>
      </c>
    </row>
    <row r="2219" spans="1:12" x14ac:dyDescent="0.3">
      <c r="H2219" s="74">
        <v>80</v>
      </c>
      <c r="K2219" s="55" t="s">
        <v>96</v>
      </c>
    </row>
    <row r="2220" spans="1:12" x14ac:dyDescent="0.3">
      <c r="H2220" s="74">
        <v>20</v>
      </c>
      <c r="K2220" s="55" t="s">
        <v>102</v>
      </c>
    </row>
    <row r="2221" spans="1:12" x14ac:dyDescent="0.3">
      <c r="H2221" s="74">
        <v>40</v>
      </c>
      <c r="K2221" s="55" t="s">
        <v>33</v>
      </c>
      <c r="L2221" s="60" t="s">
        <v>910</v>
      </c>
    </row>
    <row r="2222" spans="1:12" x14ac:dyDescent="0.3">
      <c r="H2222" s="74">
        <v>20</v>
      </c>
      <c r="K2222" s="55" t="s">
        <v>55</v>
      </c>
    </row>
    <row r="2223" spans="1:12" x14ac:dyDescent="0.3">
      <c r="H2223" s="74">
        <v>30</v>
      </c>
      <c r="K2223" s="55" t="s">
        <v>55</v>
      </c>
      <c r="L2223" s="60" t="s">
        <v>14</v>
      </c>
    </row>
    <row r="2224" spans="1:12" x14ac:dyDescent="0.3">
      <c r="H2224" s="74">
        <v>60</v>
      </c>
      <c r="K2224" s="55" t="s">
        <v>32</v>
      </c>
      <c r="L2224" s="60" t="s">
        <v>424</v>
      </c>
    </row>
    <row r="2225" spans="1:12" x14ac:dyDescent="0.3">
      <c r="H2225" s="74">
        <v>40</v>
      </c>
      <c r="K2225" s="55" t="s">
        <v>34</v>
      </c>
      <c r="L2225" s="60" t="s">
        <v>911</v>
      </c>
    </row>
    <row r="2226" spans="1:12" x14ac:dyDescent="0.3">
      <c r="H2226" s="74">
        <v>30</v>
      </c>
      <c r="K2226" s="55" t="s">
        <v>34</v>
      </c>
      <c r="L2226" s="60" t="s">
        <v>149</v>
      </c>
    </row>
    <row r="2227" spans="1:12" x14ac:dyDescent="0.3">
      <c r="H2227" s="74">
        <v>30</v>
      </c>
      <c r="K2227" s="55" t="s">
        <v>55</v>
      </c>
      <c r="L2227" s="60" t="s">
        <v>13</v>
      </c>
    </row>
    <row r="2228" spans="1:12" x14ac:dyDescent="0.3">
      <c r="H2228" s="74">
        <v>30</v>
      </c>
      <c r="K2228" s="55" t="s">
        <v>32</v>
      </c>
      <c r="L2228" s="60" t="s">
        <v>245</v>
      </c>
    </row>
    <row r="2230" spans="1:12" x14ac:dyDescent="0.3">
      <c r="A2230" s="72" t="s">
        <v>912</v>
      </c>
      <c r="B2230" s="55" t="s">
        <v>0</v>
      </c>
      <c r="C2230" s="67" t="s">
        <v>188</v>
      </c>
      <c r="D2230" s="55" t="s">
        <v>51</v>
      </c>
      <c r="E2230" s="19">
        <v>186.62</v>
      </c>
      <c r="F2230" s="19">
        <v>6</v>
      </c>
      <c r="G2230" s="55" t="s">
        <v>11</v>
      </c>
      <c r="H2230" s="74">
        <v>10</v>
      </c>
      <c r="K2230" s="55" t="s">
        <v>25</v>
      </c>
    </row>
    <row r="2231" spans="1:12" x14ac:dyDescent="0.3">
      <c r="H2231" s="74">
        <v>10</v>
      </c>
      <c r="K2231" s="55" t="s">
        <v>84</v>
      </c>
    </row>
    <row r="2232" spans="1:12" x14ac:dyDescent="0.3">
      <c r="H2232" s="74">
        <v>80</v>
      </c>
      <c r="K2232" s="55" t="s">
        <v>96</v>
      </c>
    </row>
    <row r="2233" spans="1:12" x14ac:dyDescent="0.3">
      <c r="H2233" s="74">
        <v>20</v>
      </c>
      <c r="K2233" s="55" t="s">
        <v>102</v>
      </c>
    </row>
    <row r="2234" spans="1:12" x14ac:dyDescent="0.3">
      <c r="H2234" s="74">
        <v>40</v>
      </c>
      <c r="K2234" s="55" t="s">
        <v>33</v>
      </c>
      <c r="L2234" s="60" t="s">
        <v>913</v>
      </c>
    </row>
    <row r="2235" spans="1:12" x14ac:dyDescent="0.3">
      <c r="H2235" s="74">
        <v>60</v>
      </c>
      <c r="K2235" s="55" t="s">
        <v>32</v>
      </c>
      <c r="L2235" s="60" t="s">
        <v>914</v>
      </c>
    </row>
    <row r="2236" spans="1:12" x14ac:dyDescent="0.3">
      <c r="H2236" s="74">
        <v>40</v>
      </c>
      <c r="K2236" s="55" t="s">
        <v>32</v>
      </c>
      <c r="L2236" s="60" t="s">
        <v>915</v>
      </c>
    </row>
    <row r="2237" spans="1:12" x14ac:dyDescent="0.3">
      <c r="H2237" s="74">
        <v>30</v>
      </c>
      <c r="K2237" s="55" t="s">
        <v>34</v>
      </c>
      <c r="L2237" s="60" t="s">
        <v>149</v>
      </c>
    </row>
    <row r="2238" spans="1:12" x14ac:dyDescent="0.3">
      <c r="H2238" s="74">
        <v>30</v>
      </c>
      <c r="K2238" s="55" t="s">
        <v>34</v>
      </c>
      <c r="L2238" s="60" t="s">
        <v>794</v>
      </c>
    </row>
    <row r="2239" spans="1:12" x14ac:dyDescent="0.3">
      <c r="H2239" s="74">
        <v>20</v>
      </c>
      <c r="K2239" s="55" t="s">
        <v>30</v>
      </c>
      <c r="L2239" s="60" t="s">
        <v>136</v>
      </c>
    </row>
    <row r="2241" spans="1:14" x14ac:dyDescent="0.3">
      <c r="A2241" s="87" t="s">
        <v>912</v>
      </c>
      <c r="B2241" s="55" t="s">
        <v>10</v>
      </c>
      <c r="C2241" s="67" t="s">
        <v>48</v>
      </c>
      <c r="D2241" s="55" t="s">
        <v>52</v>
      </c>
      <c r="E2241" s="19">
        <v>174.1</v>
      </c>
      <c r="F2241" s="19">
        <v>6</v>
      </c>
      <c r="G2241" s="55" t="s">
        <v>11</v>
      </c>
      <c r="H2241" s="74">
        <v>10</v>
      </c>
      <c r="K2241" s="55" t="s">
        <v>25</v>
      </c>
      <c r="M2241" s="47"/>
      <c r="N2241" s="55"/>
    </row>
    <row r="2242" spans="1:14" x14ac:dyDescent="0.3">
      <c r="H2242" s="74">
        <v>10</v>
      </c>
      <c r="K2242" s="55" t="s">
        <v>84</v>
      </c>
      <c r="M2242" s="47"/>
      <c r="N2242" s="55"/>
    </row>
    <row r="2243" spans="1:14" x14ac:dyDescent="0.3">
      <c r="H2243" s="74">
        <v>80</v>
      </c>
      <c r="K2243" s="55" t="s">
        <v>96</v>
      </c>
      <c r="M2243" s="47"/>
      <c r="N2243" s="55"/>
    </row>
    <row r="2244" spans="1:14" x14ac:dyDescent="0.3">
      <c r="H2244" s="74">
        <v>20</v>
      </c>
      <c r="K2244" s="55" t="s">
        <v>102</v>
      </c>
      <c r="M2244" s="47"/>
      <c r="N2244" s="55"/>
    </row>
    <row r="2245" spans="1:14" x14ac:dyDescent="0.3">
      <c r="H2245" s="74">
        <v>40</v>
      </c>
      <c r="K2245" s="55" t="s">
        <v>33</v>
      </c>
      <c r="L2245" s="60" t="s">
        <v>917</v>
      </c>
      <c r="M2245" s="47"/>
      <c r="N2245" s="55"/>
    </row>
    <row r="2246" spans="1:14" x14ac:dyDescent="0.3">
      <c r="H2246" s="74">
        <v>30</v>
      </c>
      <c r="K2246" s="55" t="s">
        <v>33</v>
      </c>
      <c r="L2246" s="60" t="s">
        <v>918</v>
      </c>
      <c r="M2246" s="47"/>
      <c r="N2246" s="55"/>
    </row>
    <row r="2247" spans="1:14" x14ac:dyDescent="0.3">
      <c r="H2247" s="74">
        <v>60</v>
      </c>
      <c r="K2247" s="55" t="s">
        <v>32</v>
      </c>
      <c r="L2247" s="60" t="s">
        <v>916</v>
      </c>
      <c r="M2247" s="47"/>
      <c r="N2247" s="55"/>
    </row>
    <row r="2248" spans="1:14" x14ac:dyDescent="0.3">
      <c r="H2248" s="74">
        <v>20</v>
      </c>
      <c r="K2248" s="55" t="s">
        <v>33</v>
      </c>
      <c r="L2248" s="60" t="s">
        <v>454</v>
      </c>
      <c r="M2248" s="47"/>
      <c r="N2248" s="55"/>
    </row>
    <row r="2249" spans="1:14" x14ac:dyDescent="0.3">
      <c r="H2249" s="74">
        <v>20</v>
      </c>
      <c r="K2249" s="55" t="s">
        <v>34</v>
      </c>
      <c r="L2249" s="60" t="s">
        <v>149</v>
      </c>
      <c r="M2249" s="47"/>
      <c r="N2249" s="55"/>
    </row>
    <row r="2250" spans="1:14" x14ac:dyDescent="0.3">
      <c r="H2250" s="74">
        <v>10</v>
      </c>
      <c r="K2250" s="55" t="s">
        <v>34</v>
      </c>
      <c r="L2250" s="60" t="s">
        <v>794</v>
      </c>
      <c r="M2250" s="47"/>
      <c r="N2250" s="55"/>
    </row>
    <row r="2251" spans="1:14" x14ac:dyDescent="0.3">
      <c r="H2251" s="74">
        <v>30</v>
      </c>
      <c r="K2251" s="55" t="s">
        <v>32</v>
      </c>
      <c r="L2251" s="60" t="s">
        <v>472</v>
      </c>
    </row>
    <row r="2252" spans="1:14" x14ac:dyDescent="0.3">
      <c r="H2252" s="74">
        <v>20</v>
      </c>
      <c r="K2252" s="55" t="s">
        <v>55</v>
      </c>
      <c r="L2252" s="60" t="s">
        <v>919</v>
      </c>
    </row>
    <row r="2254" spans="1:14" x14ac:dyDescent="0.3">
      <c r="A2254" s="72" t="s">
        <v>689</v>
      </c>
      <c r="B2254" s="55" t="s">
        <v>12</v>
      </c>
      <c r="C2254" s="67" t="s">
        <v>47</v>
      </c>
      <c r="D2254" s="55" t="s">
        <v>50</v>
      </c>
      <c r="E2254" s="19">
        <v>300.7</v>
      </c>
      <c r="F2254" s="19">
        <v>10</v>
      </c>
      <c r="G2254" s="55" t="s">
        <v>11</v>
      </c>
      <c r="H2254" s="74">
        <v>10</v>
      </c>
      <c r="K2254" s="55" t="s">
        <v>25</v>
      </c>
    </row>
    <row r="2255" spans="1:14" x14ac:dyDescent="0.3">
      <c r="H2255" s="74">
        <v>10</v>
      </c>
      <c r="K2255" s="55" t="s">
        <v>84</v>
      </c>
    </row>
    <row r="2256" spans="1:14" x14ac:dyDescent="0.3">
      <c r="H2256" s="74">
        <v>100</v>
      </c>
      <c r="K2256" s="55" t="s">
        <v>96</v>
      </c>
    </row>
    <row r="2257" spans="1:12" x14ac:dyDescent="0.3">
      <c r="H2257" s="74">
        <v>30</v>
      </c>
      <c r="K2257" s="55" t="s">
        <v>102</v>
      </c>
    </row>
    <row r="2258" spans="1:12" x14ac:dyDescent="0.3">
      <c r="H2258" s="74">
        <v>20</v>
      </c>
      <c r="K2258" s="55" t="s">
        <v>33</v>
      </c>
      <c r="L2258" s="60" t="s">
        <v>920</v>
      </c>
    </row>
    <row r="2259" spans="1:12" x14ac:dyDescent="0.3">
      <c r="H2259" s="74">
        <v>80</v>
      </c>
      <c r="K2259" s="55" t="s">
        <v>32</v>
      </c>
      <c r="L2259" s="60" t="s">
        <v>137</v>
      </c>
    </row>
    <row r="2260" spans="1:12" x14ac:dyDescent="0.3">
      <c r="H2260" s="74">
        <v>20</v>
      </c>
      <c r="K2260" s="55" t="s">
        <v>34</v>
      </c>
      <c r="L2260" s="60" t="s">
        <v>149</v>
      </c>
    </row>
    <row r="2261" spans="1:12" x14ac:dyDescent="0.3">
      <c r="H2261" s="74">
        <v>20</v>
      </c>
      <c r="K2261" s="55" t="s">
        <v>34</v>
      </c>
      <c r="L2261" s="60" t="s">
        <v>794</v>
      </c>
    </row>
    <row r="2262" spans="1:12" x14ac:dyDescent="0.3">
      <c r="H2262" s="74">
        <v>30</v>
      </c>
      <c r="K2262" s="55" t="s">
        <v>30</v>
      </c>
      <c r="L2262" s="60" t="s">
        <v>136</v>
      </c>
    </row>
    <row r="2263" spans="1:12" x14ac:dyDescent="0.3">
      <c r="H2263" s="74">
        <v>20</v>
      </c>
      <c r="K2263" s="55" t="s">
        <v>55</v>
      </c>
      <c r="L2263" s="60" t="s">
        <v>13</v>
      </c>
    </row>
    <row r="2265" spans="1:12" x14ac:dyDescent="0.3">
      <c r="A2265" s="72" t="s">
        <v>694</v>
      </c>
      <c r="B2265" s="55" t="s">
        <v>0</v>
      </c>
      <c r="C2265" s="67" t="s">
        <v>188</v>
      </c>
      <c r="D2265" s="55" t="s">
        <v>51</v>
      </c>
      <c r="E2265" s="19">
        <v>257.13</v>
      </c>
      <c r="F2265" s="19">
        <v>8</v>
      </c>
      <c r="G2265" s="55" t="s">
        <v>11</v>
      </c>
      <c r="H2265" s="74">
        <v>10</v>
      </c>
      <c r="K2265" s="55" t="s">
        <v>25</v>
      </c>
    </row>
    <row r="2266" spans="1:12" x14ac:dyDescent="0.3">
      <c r="H2266" s="74">
        <v>10</v>
      </c>
      <c r="K2266" s="55" t="s">
        <v>84</v>
      </c>
    </row>
    <row r="2267" spans="1:12" x14ac:dyDescent="0.3">
      <c r="H2267" s="74">
        <v>100</v>
      </c>
      <c r="K2267" s="55" t="s">
        <v>96</v>
      </c>
    </row>
    <row r="2268" spans="1:12" x14ac:dyDescent="0.3">
      <c r="H2268" s="74">
        <v>40</v>
      </c>
      <c r="K2268" s="55" t="s">
        <v>32</v>
      </c>
      <c r="L2268" s="60" t="s">
        <v>309</v>
      </c>
    </row>
    <row r="2269" spans="1:12" x14ac:dyDescent="0.3">
      <c r="H2269" s="74">
        <v>45</v>
      </c>
      <c r="K2269" s="55" t="s">
        <v>32</v>
      </c>
      <c r="L2269" s="60" t="s">
        <v>659</v>
      </c>
    </row>
    <row r="2270" spans="1:12" x14ac:dyDescent="0.3">
      <c r="H2270" s="74">
        <v>50</v>
      </c>
      <c r="K2270" s="55" t="s">
        <v>30</v>
      </c>
      <c r="L2270" s="60" t="s">
        <v>652</v>
      </c>
    </row>
    <row r="2271" spans="1:12" x14ac:dyDescent="0.3">
      <c r="H2271" s="74">
        <v>15</v>
      </c>
      <c r="K2271" s="55" t="s">
        <v>33</v>
      </c>
      <c r="L2271" s="60" t="s">
        <v>921</v>
      </c>
    </row>
    <row r="2272" spans="1:12" x14ac:dyDescent="0.3">
      <c r="H2272" s="74">
        <v>60</v>
      </c>
      <c r="K2272" s="55" t="s">
        <v>34</v>
      </c>
      <c r="L2272" s="60" t="s">
        <v>268</v>
      </c>
    </row>
    <row r="2273" spans="1:12" x14ac:dyDescent="0.3">
      <c r="H2273" s="74">
        <v>20</v>
      </c>
      <c r="K2273" s="55" t="s">
        <v>102</v>
      </c>
    </row>
    <row r="2274" spans="1:12" x14ac:dyDescent="0.3">
      <c r="H2274" s="74">
        <v>20</v>
      </c>
      <c r="K2274" s="55" t="s">
        <v>32</v>
      </c>
      <c r="L2274" s="60" t="s">
        <v>131</v>
      </c>
    </row>
    <row r="2276" spans="1:12" x14ac:dyDescent="0.3">
      <c r="A2276" s="87" t="s">
        <v>922</v>
      </c>
      <c r="B2276" s="55" t="s">
        <v>10</v>
      </c>
      <c r="C2276" s="67" t="s">
        <v>48</v>
      </c>
      <c r="D2276" s="55" t="s">
        <v>52</v>
      </c>
      <c r="E2276" s="19">
        <v>342.75</v>
      </c>
      <c r="F2276" s="19">
        <v>9</v>
      </c>
      <c r="G2276" s="55" t="s">
        <v>11</v>
      </c>
      <c r="H2276" s="74">
        <v>10</v>
      </c>
      <c r="K2276" s="55" t="s">
        <v>25</v>
      </c>
    </row>
    <row r="2277" spans="1:12" x14ac:dyDescent="0.3">
      <c r="H2277" s="74">
        <v>10</v>
      </c>
      <c r="K2277" s="55" t="s">
        <v>84</v>
      </c>
    </row>
    <row r="2278" spans="1:12" x14ac:dyDescent="0.3">
      <c r="H2278" s="74">
        <v>100</v>
      </c>
      <c r="K2278" s="55" t="s">
        <v>96</v>
      </c>
    </row>
    <row r="2279" spans="1:12" x14ac:dyDescent="0.3">
      <c r="H2279" s="74">
        <v>20</v>
      </c>
      <c r="K2279" s="55" t="s">
        <v>102</v>
      </c>
    </row>
    <row r="2280" spans="1:12" x14ac:dyDescent="0.3">
      <c r="H2280" s="74">
        <v>90</v>
      </c>
      <c r="K2280" s="55" t="s">
        <v>33</v>
      </c>
      <c r="L2280" s="60" t="s">
        <v>923</v>
      </c>
    </row>
    <row r="2281" spans="1:12" x14ac:dyDescent="0.3">
      <c r="H2281" s="74">
        <v>30</v>
      </c>
      <c r="K2281" s="55" t="s">
        <v>33</v>
      </c>
      <c r="L2281" s="60" t="s">
        <v>918</v>
      </c>
    </row>
    <row r="2282" spans="1:12" x14ac:dyDescent="0.3">
      <c r="H2282" s="74">
        <v>30</v>
      </c>
      <c r="K2282" s="55" t="s">
        <v>32</v>
      </c>
      <c r="L2282" s="60" t="s">
        <v>472</v>
      </c>
    </row>
    <row r="2283" spans="1:12" x14ac:dyDescent="0.3">
      <c r="H2283" s="74">
        <v>20</v>
      </c>
      <c r="K2283" s="55" t="s">
        <v>32</v>
      </c>
      <c r="L2283" s="60" t="s">
        <v>924</v>
      </c>
    </row>
    <row r="2284" spans="1:12" x14ac:dyDescent="0.3">
      <c r="H2284" s="74">
        <v>40</v>
      </c>
      <c r="K2284" s="55" t="s">
        <v>30</v>
      </c>
      <c r="L2284" s="60" t="s">
        <v>348</v>
      </c>
    </row>
    <row r="2285" spans="1:12" x14ac:dyDescent="0.3">
      <c r="H2285" s="74">
        <v>40</v>
      </c>
      <c r="K2285" s="55" t="s">
        <v>34</v>
      </c>
      <c r="L2285" s="60" t="s">
        <v>268</v>
      </c>
    </row>
    <row r="2286" spans="1:12" x14ac:dyDescent="0.3">
      <c r="H2286" s="74">
        <v>20</v>
      </c>
      <c r="K2286" s="55" t="s">
        <v>32</v>
      </c>
      <c r="L2286" s="60" t="s">
        <v>131</v>
      </c>
    </row>
    <row r="2288" spans="1:12" x14ac:dyDescent="0.3">
      <c r="A2288" s="72" t="s">
        <v>922</v>
      </c>
      <c r="B2288" s="55" t="s">
        <v>12</v>
      </c>
      <c r="C2288" s="67" t="s">
        <v>47</v>
      </c>
      <c r="D2288" s="55" t="s">
        <v>50</v>
      </c>
      <c r="E2288" s="19">
        <v>231.99</v>
      </c>
      <c r="F2288" s="19">
        <v>7</v>
      </c>
      <c r="G2288" s="55" t="s">
        <v>11</v>
      </c>
      <c r="H2288" s="74">
        <v>10</v>
      </c>
      <c r="K2288" s="55" t="s">
        <v>25</v>
      </c>
    </row>
    <row r="2289" spans="1:12" x14ac:dyDescent="0.3">
      <c r="H2289" s="74">
        <v>10</v>
      </c>
      <c r="K2289" s="55" t="s">
        <v>84</v>
      </c>
    </row>
    <row r="2290" spans="1:12" x14ac:dyDescent="0.3">
      <c r="H2290" s="74">
        <v>70</v>
      </c>
      <c r="K2290" s="55" t="s">
        <v>96</v>
      </c>
    </row>
    <row r="2291" spans="1:12" x14ac:dyDescent="0.3">
      <c r="H2291" s="74">
        <v>30</v>
      </c>
      <c r="K2291" s="55" t="s">
        <v>102</v>
      </c>
    </row>
    <row r="2292" spans="1:12" x14ac:dyDescent="0.3">
      <c r="H2292" s="74">
        <v>120</v>
      </c>
      <c r="K2292" s="55" t="s">
        <v>33</v>
      </c>
      <c r="L2292" s="60" t="s">
        <v>925</v>
      </c>
    </row>
    <row r="2293" spans="1:12" x14ac:dyDescent="0.3">
      <c r="H2293" s="74">
        <v>40</v>
      </c>
      <c r="K2293" s="55" t="s">
        <v>32</v>
      </c>
      <c r="L2293" s="60" t="s">
        <v>460</v>
      </c>
    </row>
    <row r="2294" spans="1:12" x14ac:dyDescent="0.3">
      <c r="H2294" s="74">
        <v>60</v>
      </c>
      <c r="K2294" s="55" t="s">
        <v>32</v>
      </c>
      <c r="L2294" s="60" t="s">
        <v>817</v>
      </c>
    </row>
    <row r="2295" spans="1:12" x14ac:dyDescent="0.3">
      <c r="H2295" s="74">
        <v>30</v>
      </c>
      <c r="K2295" s="55" t="s">
        <v>30</v>
      </c>
      <c r="L2295" s="60" t="s">
        <v>348</v>
      </c>
    </row>
    <row r="2296" spans="1:12" x14ac:dyDescent="0.3">
      <c r="H2296" s="74">
        <v>40</v>
      </c>
      <c r="K2296" s="55" t="s">
        <v>34</v>
      </c>
      <c r="L2296" s="60" t="s">
        <v>268</v>
      </c>
    </row>
    <row r="2297" spans="1:12" x14ac:dyDescent="0.3">
      <c r="H2297" s="74">
        <v>20</v>
      </c>
      <c r="K2297" s="55" t="s">
        <v>55</v>
      </c>
      <c r="L2297" s="60" t="s">
        <v>131</v>
      </c>
    </row>
    <row r="2299" spans="1:12" x14ac:dyDescent="0.3">
      <c r="A2299" s="72" t="s">
        <v>926</v>
      </c>
      <c r="B2299" s="55" t="s">
        <v>0</v>
      </c>
      <c r="C2299" s="67" t="s">
        <v>48</v>
      </c>
      <c r="D2299" s="55" t="s">
        <v>51</v>
      </c>
      <c r="E2299" s="19">
        <v>217.64</v>
      </c>
      <c r="F2299" s="19">
        <v>6</v>
      </c>
      <c r="G2299" s="55" t="s">
        <v>11</v>
      </c>
      <c r="H2299" s="74">
        <v>10</v>
      </c>
      <c r="K2299" s="55" t="s">
        <v>25</v>
      </c>
    </row>
    <row r="2300" spans="1:12" x14ac:dyDescent="0.3">
      <c r="H2300" s="74">
        <v>10</v>
      </c>
      <c r="K2300" s="55" t="s">
        <v>84</v>
      </c>
    </row>
    <row r="2301" spans="1:12" x14ac:dyDescent="0.3">
      <c r="H2301" s="74">
        <v>70</v>
      </c>
      <c r="K2301" s="55" t="s">
        <v>96</v>
      </c>
    </row>
    <row r="2302" spans="1:12" x14ac:dyDescent="0.3">
      <c r="H2302" s="74">
        <v>25</v>
      </c>
      <c r="K2302" s="55" t="s">
        <v>102</v>
      </c>
    </row>
    <row r="2303" spans="1:12" x14ac:dyDescent="0.3">
      <c r="H2303" s="74">
        <v>65</v>
      </c>
      <c r="K2303" s="55" t="s">
        <v>33</v>
      </c>
      <c r="L2303" s="60" t="s">
        <v>927</v>
      </c>
    </row>
    <row r="2304" spans="1:12" x14ac:dyDescent="0.3">
      <c r="H2304" s="74">
        <v>30</v>
      </c>
      <c r="K2304" s="55" t="s">
        <v>32</v>
      </c>
      <c r="L2304" s="60" t="s">
        <v>460</v>
      </c>
    </row>
    <row r="2305" spans="1:12" x14ac:dyDescent="0.3">
      <c r="H2305" s="74">
        <v>30</v>
      </c>
      <c r="K2305" s="55" t="s">
        <v>34</v>
      </c>
      <c r="L2305" s="60" t="s">
        <v>149</v>
      </c>
    </row>
    <row r="2306" spans="1:12" x14ac:dyDescent="0.3">
      <c r="H2306" s="74">
        <v>30</v>
      </c>
      <c r="K2306" s="55" t="s">
        <v>34</v>
      </c>
      <c r="L2306" s="60" t="s">
        <v>634</v>
      </c>
    </row>
    <row r="2307" spans="1:12" x14ac:dyDescent="0.3">
      <c r="H2307" s="74">
        <v>30</v>
      </c>
      <c r="K2307" s="55" t="s">
        <v>32</v>
      </c>
      <c r="L2307" s="60" t="s">
        <v>669</v>
      </c>
    </row>
    <row r="2308" spans="1:12" x14ac:dyDescent="0.3">
      <c r="H2308" s="74">
        <v>30</v>
      </c>
      <c r="K2308" s="55" t="s">
        <v>55</v>
      </c>
      <c r="L2308" s="60" t="s">
        <v>928</v>
      </c>
    </row>
    <row r="2310" spans="1:12" x14ac:dyDescent="0.3">
      <c r="A2310" s="72" t="s">
        <v>926</v>
      </c>
      <c r="B2310" s="55" t="s">
        <v>10</v>
      </c>
      <c r="C2310" s="67" t="s">
        <v>188</v>
      </c>
      <c r="D2310" s="55" t="s">
        <v>52</v>
      </c>
      <c r="E2310" s="19">
        <v>268.16000000000003</v>
      </c>
      <c r="F2310" s="19">
        <v>7</v>
      </c>
      <c r="G2310" s="55" t="s">
        <v>11</v>
      </c>
      <c r="H2310" s="74">
        <v>10</v>
      </c>
      <c r="K2310" s="55" t="s">
        <v>25</v>
      </c>
    </row>
    <row r="2311" spans="1:12" x14ac:dyDescent="0.3">
      <c r="B2311" s="19"/>
      <c r="H2311" s="74">
        <v>10</v>
      </c>
      <c r="K2311" s="55" t="s">
        <v>84</v>
      </c>
    </row>
    <row r="2312" spans="1:12" x14ac:dyDescent="0.3">
      <c r="B2312" s="19"/>
      <c r="H2312" s="74">
        <v>80</v>
      </c>
      <c r="K2312" s="55" t="s">
        <v>96</v>
      </c>
    </row>
    <row r="2313" spans="1:12" x14ac:dyDescent="0.3">
      <c r="B2313" s="19"/>
      <c r="H2313" s="74">
        <v>20</v>
      </c>
      <c r="K2313" s="55" t="s">
        <v>102</v>
      </c>
    </row>
    <row r="2314" spans="1:12" x14ac:dyDescent="0.3">
      <c r="B2314" s="19"/>
      <c r="H2314" s="74">
        <v>30</v>
      </c>
      <c r="K2314" s="55" t="s">
        <v>33</v>
      </c>
      <c r="L2314" s="60" t="s">
        <v>918</v>
      </c>
    </row>
    <row r="2315" spans="1:12" x14ac:dyDescent="0.3">
      <c r="B2315" s="19"/>
      <c r="H2315" s="74">
        <v>30</v>
      </c>
      <c r="K2315" s="55" t="s">
        <v>32</v>
      </c>
      <c r="L2315" s="60" t="s">
        <v>472</v>
      </c>
    </row>
    <row r="2316" spans="1:12" x14ac:dyDescent="0.3">
      <c r="B2316" s="19"/>
      <c r="H2316" s="74">
        <v>50</v>
      </c>
      <c r="K2316" s="55" t="s">
        <v>32</v>
      </c>
      <c r="L2316" s="60" t="s">
        <v>929</v>
      </c>
    </row>
    <row r="2317" spans="1:12" x14ac:dyDescent="0.3">
      <c r="B2317" s="19"/>
      <c r="H2317" s="74">
        <v>40</v>
      </c>
      <c r="K2317" s="55" t="s">
        <v>30</v>
      </c>
      <c r="L2317" s="60" t="s">
        <v>348</v>
      </c>
    </row>
    <row r="2318" spans="1:12" x14ac:dyDescent="0.3">
      <c r="B2318" s="19"/>
      <c r="H2318" s="74">
        <v>40</v>
      </c>
      <c r="K2318" s="55" t="s">
        <v>34</v>
      </c>
      <c r="L2318" s="60" t="s">
        <v>268</v>
      </c>
    </row>
    <row r="2319" spans="1:12" x14ac:dyDescent="0.3">
      <c r="B2319" s="19"/>
      <c r="H2319" s="74">
        <v>20</v>
      </c>
      <c r="K2319" s="55" t="s">
        <v>32</v>
      </c>
      <c r="L2319" s="60" t="s">
        <v>131</v>
      </c>
    </row>
    <row r="2321" spans="1:12" x14ac:dyDescent="0.3">
      <c r="A2321" s="72" t="s">
        <v>926</v>
      </c>
      <c r="B2321" s="55" t="s">
        <v>12</v>
      </c>
      <c r="C2321" s="67" t="s">
        <v>47</v>
      </c>
      <c r="D2321" s="55" t="s">
        <v>50</v>
      </c>
      <c r="E2321" s="19">
        <v>274.10000000000002</v>
      </c>
      <c r="F2321" s="19">
        <v>8</v>
      </c>
      <c r="G2321" s="55" t="s">
        <v>11</v>
      </c>
      <c r="H2321" s="74">
        <v>10</v>
      </c>
      <c r="K2321" s="55" t="s">
        <v>25</v>
      </c>
    </row>
    <row r="2322" spans="1:12" x14ac:dyDescent="0.3">
      <c r="H2322" s="74">
        <v>10</v>
      </c>
      <c r="K2322" s="55" t="s">
        <v>84</v>
      </c>
    </row>
    <row r="2323" spans="1:12" x14ac:dyDescent="0.3">
      <c r="H2323" s="74">
        <v>80</v>
      </c>
      <c r="K2323" s="55" t="s">
        <v>96</v>
      </c>
    </row>
    <row r="2324" spans="1:12" x14ac:dyDescent="0.3">
      <c r="H2324" s="74">
        <v>60</v>
      </c>
      <c r="K2324" s="55" t="s">
        <v>32</v>
      </c>
      <c r="L2324" s="60" t="s">
        <v>137</v>
      </c>
    </row>
    <row r="2325" spans="1:12" x14ac:dyDescent="0.3">
      <c r="H2325" s="74">
        <v>30</v>
      </c>
      <c r="K2325" s="55" t="s">
        <v>102</v>
      </c>
    </row>
    <row r="2326" spans="1:12" x14ac:dyDescent="0.3">
      <c r="H2326" s="74">
        <v>90</v>
      </c>
      <c r="K2326" s="55" t="s">
        <v>55</v>
      </c>
      <c r="L2326" s="60" t="s">
        <v>930</v>
      </c>
    </row>
    <row r="2327" spans="1:12" x14ac:dyDescent="0.3">
      <c r="H2327" s="74">
        <v>30</v>
      </c>
      <c r="K2327" s="55" t="s">
        <v>55</v>
      </c>
      <c r="L2327" s="60" t="s">
        <v>587</v>
      </c>
    </row>
    <row r="2328" spans="1:12" x14ac:dyDescent="0.3">
      <c r="H2328" s="74">
        <v>20</v>
      </c>
      <c r="K2328" s="55" t="s">
        <v>30</v>
      </c>
    </row>
    <row r="2329" spans="1:12" x14ac:dyDescent="0.3">
      <c r="H2329" s="74">
        <v>10</v>
      </c>
      <c r="K2329" s="55" t="s">
        <v>32</v>
      </c>
      <c r="L2329" s="60" t="s">
        <v>931</v>
      </c>
    </row>
    <row r="2330" spans="1:12" x14ac:dyDescent="0.3">
      <c r="H2330" s="74">
        <v>30</v>
      </c>
      <c r="K2330" s="55" t="s">
        <v>55</v>
      </c>
      <c r="L2330" s="60" t="s">
        <v>273</v>
      </c>
    </row>
    <row r="2332" spans="1:12" x14ac:dyDescent="0.3">
      <c r="A2332" s="72" t="s">
        <v>932</v>
      </c>
      <c r="B2332" s="55" t="s">
        <v>0</v>
      </c>
      <c r="C2332" s="67" t="s">
        <v>48</v>
      </c>
      <c r="D2332" s="55" t="s">
        <v>51</v>
      </c>
      <c r="E2332" s="19">
        <v>366.61</v>
      </c>
      <c r="F2332" s="19">
        <v>13</v>
      </c>
      <c r="G2332" s="55" t="s">
        <v>11</v>
      </c>
      <c r="H2332" s="74">
        <v>10</v>
      </c>
      <c r="K2332" s="55" t="s">
        <v>25</v>
      </c>
    </row>
    <row r="2333" spans="1:12" x14ac:dyDescent="0.3">
      <c r="H2333" s="74">
        <v>10</v>
      </c>
      <c r="K2333" s="55" t="s">
        <v>84</v>
      </c>
    </row>
    <row r="2334" spans="1:12" x14ac:dyDescent="0.3">
      <c r="H2334" s="74">
        <v>140</v>
      </c>
      <c r="K2334" s="55" t="s">
        <v>96</v>
      </c>
    </row>
    <row r="2335" spans="1:12" x14ac:dyDescent="0.3">
      <c r="H2335" s="74">
        <v>50</v>
      </c>
      <c r="K2335" s="55" t="s">
        <v>32</v>
      </c>
      <c r="L2335" s="60" t="s">
        <v>817</v>
      </c>
    </row>
    <row r="2336" spans="1:12" x14ac:dyDescent="0.3">
      <c r="H2336" s="74">
        <v>20</v>
      </c>
      <c r="K2336" s="55" t="s">
        <v>55</v>
      </c>
      <c r="L2336" s="60" t="s">
        <v>13</v>
      </c>
    </row>
    <row r="2337" spans="1:12" x14ac:dyDescent="0.3">
      <c r="H2337" s="74">
        <v>20</v>
      </c>
      <c r="K2337" s="55" t="s">
        <v>34</v>
      </c>
    </row>
    <row r="2338" spans="1:12" x14ac:dyDescent="0.3">
      <c r="H2338" s="74">
        <v>30</v>
      </c>
      <c r="K2338" s="55" t="s">
        <v>34</v>
      </c>
      <c r="L2338" s="60" t="s">
        <v>323</v>
      </c>
    </row>
    <row r="2339" spans="1:12" x14ac:dyDescent="0.3">
      <c r="H2339" s="74">
        <v>25</v>
      </c>
      <c r="K2339" s="55" t="s">
        <v>102</v>
      </c>
    </row>
    <row r="2340" spans="1:12" x14ac:dyDescent="0.3">
      <c r="H2340" s="74">
        <v>20</v>
      </c>
      <c r="K2340" s="55" t="s">
        <v>33</v>
      </c>
      <c r="L2340" s="60" t="s">
        <v>933</v>
      </c>
    </row>
    <row r="2343" spans="1:12" x14ac:dyDescent="0.3">
      <c r="A2343" s="72" t="s">
        <v>932</v>
      </c>
      <c r="B2343" s="55" t="s">
        <v>10</v>
      </c>
      <c r="C2343" s="67" t="s">
        <v>296</v>
      </c>
      <c r="D2343" s="55" t="s">
        <v>52</v>
      </c>
      <c r="E2343" s="19">
        <v>359.82</v>
      </c>
      <c r="F2343" s="19">
        <v>13</v>
      </c>
      <c r="G2343" s="55" t="s">
        <v>11</v>
      </c>
      <c r="H2343" s="74">
        <v>10</v>
      </c>
      <c r="K2343" s="55" t="s">
        <v>25</v>
      </c>
    </row>
    <row r="2344" spans="1:12" x14ac:dyDescent="0.3">
      <c r="B2344" s="19"/>
      <c r="H2344" s="74">
        <v>10</v>
      </c>
      <c r="K2344" s="55" t="s">
        <v>84</v>
      </c>
    </row>
    <row r="2345" spans="1:12" x14ac:dyDescent="0.3">
      <c r="B2345" s="19"/>
      <c r="H2345" s="74">
        <v>140</v>
      </c>
      <c r="K2345" s="55" t="s">
        <v>96</v>
      </c>
    </row>
    <row r="2346" spans="1:12" x14ac:dyDescent="0.3">
      <c r="B2346" s="19"/>
      <c r="H2346" s="74">
        <v>20</v>
      </c>
      <c r="K2346" s="55" t="s">
        <v>102</v>
      </c>
    </row>
    <row r="2347" spans="1:12" x14ac:dyDescent="0.3">
      <c r="H2347" s="74">
        <v>50</v>
      </c>
      <c r="K2347" s="55" t="s">
        <v>32</v>
      </c>
      <c r="L2347" s="60" t="s">
        <v>294</v>
      </c>
    </row>
    <row r="2348" spans="1:12" x14ac:dyDescent="0.3">
      <c r="H2348" s="74">
        <v>25</v>
      </c>
      <c r="K2348" s="55" t="s">
        <v>102</v>
      </c>
    </row>
    <row r="2349" spans="1:12" x14ac:dyDescent="0.3">
      <c r="H2349" s="74">
        <v>30</v>
      </c>
      <c r="K2349" s="55" t="s">
        <v>30</v>
      </c>
    </row>
    <row r="2350" spans="1:12" x14ac:dyDescent="0.3">
      <c r="H2350" s="74">
        <v>20</v>
      </c>
      <c r="K2350" s="55" t="s">
        <v>55</v>
      </c>
      <c r="L2350" s="60" t="s">
        <v>13</v>
      </c>
    </row>
    <row r="2352" spans="1:12" x14ac:dyDescent="0.3">
      <c r="A2352" s="72" t="s">
        <v>932</v>
      </c>
      <c r="B2352" s="55" t="s">
        <v>12</v>
      </c>
      <c r="C2352" s="67" t="s">
        <v>47</v>
      </c>
      <c r="D2352" s="55" t="s">
        <v>50</v>
      </c>
      <c r="E2352" s="19">
        <v>242.44</v>
      </c>
      <c r="F2352" s="19">
        <v>9</v>
      </c>
      <c r="G2352" s="55" t="s">
        <v>11</v>
      </c>
      <c r="H2352" s="74">
        <v>10</v>
      </c>
      <c r="K2352" s="55" t="s">
        <v>25</v>
      </c>
    </row>
    <row r="2353" spans="1:12" x14ac:dyDescent="0.3">
      <c r="H2353" s="74">
        <v>10</v>
      </c>
      <c r="K2353" s="55" t="s">
        <v>84</v>
      </c>
    </row>
    <row r="2354" spans="1:12" x14ac:dyDescent="0.3">
      <c r="H2354" s="74">
        <v>90</v>
      </c>
      <c r="K2354" s="55" t="s">
        <v>96</v>
      </c>
    </row>
    <row r="2355" spans="1:12" x14ac:dyDescent="0.3">
      <c r="H2355" s="74">
        <v>30</v>
      </c>
      <c r="K2355" s="55" t="s">
        <v>102</v>
      </c>
    </row>
    <row r="2356" spans="1:12" x14ac:dyDescent="0.3">
      <c r="H2356" s="74">
        <v>40</v>
      </c>
      <c r="K2356" s="55" t="s">
        <v>32</v>
      </c>
      <c r="L2356" s="60" t="s">
        <v>934</v>
      </c>
    </row>
    <row r="2357" spans="1:12" x14ac:dyDescent="0.3">
      <c r="H2357" s="74">
        <v>100</v>
      </c>
      <c r="K2357" s="55" t="s">
        <v>32</v>
      </c>
      <c r="L2357" s="60" t="s">
        <v>936</v>
      </c>
    </row>
    <row r="2358" spans="1:12" x14ac:dyDescent="0.3">
      <c r="H2358" s="74">
        <v>30</v>
      </c>
      <c r="K2358" s="55" t="s">
        <v>30</v>
      </c>
      <c r="L2358" s="60" t="s">
        <v>136</v>
      </c>
    </row>
    <row r="2359" spans="1:12" x14ac:dyDescent="0.3">
      <c r="H2359" s="74">
        <v>20</v>
      </c>
      <c r="K2359" s="55" t="s">
        <v>55</v>
      </c>
      <c r="L2359" s="60" t="s">
        <v>13</v>
      </c>
    </row>
    <row r="2360" spans="1:12" x14ac:dyDescent="0.3">
      <c r="H2360" s="74">
        <v>30</v>
      </c>
      <c r="K2360" s="55" t="s">
        <v>34</v>
      </c>
      <c r="L2360" s="60" t="s">
        <v>149</v>
      </c>
    </row>
    <row r="2361" spans="1:12" x14ac:dyDescent="0.3">
      <c r="H2361" s="74">
        <v>30</v>
      </c>
      <c r="K2361" s="55" t="s">
        <v>33</v>
      </c>
      <c r="L2361" s="60" t="s">
        <v>935</v>
      </c>
    </row>
    <row r="2363" spans="1:12" x14ac:dyDescent="0.3">
      <c r="A2363" s="72" t="s">
        <v>937</v>
      </c>
      <c r="B2363" s="55" t="s">
        <v>0</v>
      </c>
      <c r="C2363" s="67" t="s">
        <v>48</v>
      </c>
      <c r="D2363" s="55" t="s">
        <v>52</v>
      </c>
      <c r="E2363" s="19">
        <v>312.51</v>
      </c>
      <c r="F2363" s="19">
        <v>11</v>
      </c>
      <c r="G2363" s="55" t="s">
        <v>11</v>
      </c>
      <c r="H2363" s="74">
        <v>30</v>
      </c>
      <c r="K2363" s="55" t="s">
        <v>25</v>
      </c>
      <c r="L2363" s="60" t="s">
        <v>939</v>
      </c>
    </row>
    <row r="2364" spans="1:12" x14ac:dyDescent="0.3">
      <c r="B2364" s="19"/>
      <c r="H2364" s="74">
        <v>10</v>
      </c>
      <c r="K2364" s="55" t="s">
        <v>84</v>
      </c>
    </row>
    <row r="2365" spans="1:12" x14ac:dyDescent="0.3">
      <c r="B2365" s="19"/>
      <c r="H2365" s="74">
        <v>110</v>
      </c>
      <c r="K2365" s="55" t="s">
        <v>96</v>
      </c>
    </row>
    <row r="2366" spans="1:12" x14ac:dyDescent="0.3">
      <c r="B2366" s="19"/>
      <c r="H2366" s="74">
        <v>20</v>
      </c>
      <c r="K2366" s="55" t="s">
        <v>102</v>
      </c>
    </row>
    <row r="2367" spans="1:12" x14ac:dyDescent="0.3">
      <c r="B2367" s="19"/>
      <c r="H2367" s="74">
        <v>80</v>
      </c>
      <c r="K2367" s="55" t="s">
        <v>32</v>
      </c>
      <c r="L2367" s="60" t="s">
        <v>938</v>
      </c>
    </row>
    <row r="2368" spans="1:12" x14ac:dyDescent="0.3">
      <c r="H2368" s="74">
        <v>50</v>
      </c>
      <c r="K2368" s="55" t="s">
        <v>32</v>
      </c>
      <c r="L2368" s="60" t="s">
        <v>472</v>
      </c>
    </row>
    <row r="2369" spans="1:12" x14ac:dyDescent="0.3">
      <c r="H2369" s="74">
        <v>20</v>
      </c>
      <c r="K2369" s="55" t="s">
        <v>102</v>
      </c>
    </row>
    <row r="2370" spans="1:12" x14ac:dyDescent="0.3">
      <c r="H2370" s="74">
        <v>20</v>
      </c>
      <c r="K2370" s="55" t="s">
        <v>30</v>
      </c>
      <c r="L2370" s="60" t="s">
        <v>136</v>
      </c>
    </row>
    <row r="2371" spans="1:12" x14ac:dyDescent="0.3">
      <c r="H2371" s="74">
        <v>20</v>
      </c>
      <c r="K2371" s="55" t="s">
        <v>55</v>
      </c>
      <c r="L2371" s="60" t="s">
        <v>13</v>
      </c>
    </row>
    <row r="2372" spans="1:12" x14ac:dyDescent="0.3">
      <c r="A2372" s="72" t="s">
        <v>937</v>
      </c>
      <c r="B2372" s="55" t="s">
        <v>10</v>
      </c>
      <c r="C2372" s="67" t="s">
        <v>49</v>
      </c>
      <c r="D2372" s="55" t="s">
        <v>50</v>
      </c>
      <c r="E2372" s="19">
        <v>293.27</v>
      </c>
      <c r="F2372" s="19">
        <v>9</v>
      </c>
      <c r="G2372" s="55" t="s">
        <v>11</v>
      </c>
      <c r="H2372" s="74">
        <v>10</v>
      </c>
      <c r="K2372" s="55" t="s">
        <v>25</v>
      </c>
    </row>
    <row r="2373" spans="1:12" x14ac:dyDescent="0.3">
      <c r="H2373" s="74">
        <v>10</v>
      </c>
      <c r="K2373" s="55" t="s">
        <v>84</v>
      </c>
    </row>
    <row r="2374" spans="1:12" x14ac:dyDescent="0.3">
      <c r="H2374" s="74">
        <v>100</v>
      </c>
      <c r="K2374" s="55" t="s">
        <v>96</v>
      </c>
    </row>
    <row r="2375" spans="1:12" x14ac:dyDescent="0.3">
      <c r="H2375" s="74">
        <v>60</v>
      </c>
      <c r="K2375" s="55" t="s">
        <v>32</v>
      </c>
      <c r="L2375" s="60" t="s">
        <v>137</v>
      </c>
    </row>
    <row r="2376" spans="1:12" x14ac:dyDescent="0.3">
      <c r="H2376" s="74">
        <v>20</v>
      </c>
      <c r="K2376" s="55" t="s">
        <v>102</v>
      </c>
    </row>
    <row r="2377" spans="1:12" x14ac:dyDescent="0.3">
      <c r="H2377" s="74">
        <v>20</v>
      </c>
      <c r="K2377" s="55" t="s">
        <v>34</v>
      </c>
      <c r="L2377" s="60" t="s">
        <v>149</v>
      </c>
    </row>
    <row r="2378" spans="1:12" x14ac:dyDescent="0.3">
      <c r="H2378" s="74">
        <v>20</v>
      </c>
      <c r="K2378" s="55" t="s">
        <v>34</v>
      </c>
      <c r="L2378" s="60" t="s">
        <v>331</v>
      </c>
    </row>
    <row r="2379" spans="1:12" x14ac:dyDescent="0.3">
      <c r="H2379" s="74">
        <v>20</v>
      </c>
      <c r="K2379" s="55" t="s">
        <v>33</v>
      </c>
      <c r="L2379" s="60" t="s">
        <v>935</v>
      </c>
    </row>
    <row r="2380" spans="1:12" x14ac:dyDescent="0.3">
      <c r="H2380" s="74">
        <v>30</v>
      </c>
      <c r="K2380" s="55" t="s">
        <v>55</v>
      </c>
      <c r="L2380" s="60" t="s">
        <v>587</v>
      </c>
    </row>
    <row r="2381" spans="1:12" x14ac:dyDescent="0.3">
      <c r="H2381" s="74">
        <v>20</v>
      </c>
      <c r="K2381" s="55" t="s">
        <v>55</v>
      </c>
      <c r="L2381" s="60" t="s">
        <v>13</v>
      </c>
    </row>
    <row r="2382" spans="1:12" x14ac:dyDescent="0.3">
      <c r="H2382" s="74">
        <v>40</v>
      </c>
      <c r="K2382" s="55" t="s">
        <v>30</v>
      </c>
      <c r="L2382" s="60" t="s">
        <v>940</v>
      </c>
    </row>
    <row r="2383" spans="1:12" x14ac:dyDescent="0.3">
      <c r="H2383" s="74">
        <v>30</v>
      </c>
      <c r="K2383" s="55" t="s">
        <v>33</v>
      </c>
      <c r="L2383" s="60" t="s">
        <v>941</v>
      </c>
    </row>
    <row r="2385" spans="1:12" x14ac:dyDescent="0.3">
      <c r="A2385" s="72" t="s">
        <v>937</v>
      </c>
      <c r="B2385" s="55" t="s">
        <v>0</v>
      </c>
      <c r="C2385" s="67" t="s">
        <v>188</v>
      </c>
      <c r="D2385" s="55" t="s">
        <v>51</v>
      </c>
      <c r="E2385" s="19">
        <v>283.25</v>
      </c>
      <c r="F2385" s="19">
        <v>8</v>
      </c>
      <c r="G2385" s="55" t="s">
        <v>11</v>
      </c>
      <c r="H2385" s="74">
        <v>10</v>
      </c>
      <c r="K2385" s="55" t="s">
        <v>25</v>
      </c>
    </row>
    <row r="2386" spans="1:12" x14ac:dyDescent="0.3">
      <c r="H2386" s="74">
        <v>10</v>
      </c>
      <c r="K2386" s="55" t="s">
        <v>84</v>
      </c>
    </row>
    <row r="2387" spans="1:12" x14ac:dyDescent="0.3">
      <c r="H2387" s="74">
        <v>80</v>
      </c>
      <c r="K2387" s="55" t="s">
        <v>96</v>
      </c>
    </row>
    <row r="2388" spans="1:12" x14ac:dyDescent="0.3">
      <c r="H2388" s="74">
        <v>30</v>
      </c>
      <c r="K2388" s="55" t="s">
        <v>32</v>
      </c>
      <c r="L2388" s="60" t="s">
        <v>942</v>
      </c>
    </row>
    <row r="2389" spans="1:12" x14ac:dyDescent="0.3">
      <c r="H2389" s="74">
        <v>25</v>
      </c>
      <c r="K2389" s="55" t="s">
        <v>102</v>
      </c>
    </row>
    <row r="2390" spans="1:12" x14ac:dyDescent="0.3">
      <c r="H2390" s="74">
        <v>30</v>
      </c>
      <c r="K2390" s="55" t="s">
        <v>34</v>
      </c>
      <c r="L2390" s="60" t="s">
        <v>149</v>
      </c>
    </row>
    <row r="2391" spans="1:12" x14ac:dyDescent="0.3">
      <c r="H2391" s="74">
        <v>40</v>
      </c>
      <c r="K2391" s="55" t="s">
        <v>34</v>
      </c>
      <c r="L2391" s="60" t="s">
        <v>561</v>
      </c>
    </row>
    <row r="2392" spans="1:12" x14ac:dyDescent="0.3">
      <c r="H2392" s="74">
        <v>40</v>
      </c>
      <c r="K2392" s="55" t="s">
        <v>30</v>
      </c>
      <c r="L2392" s="60" t="s">
        <v>940</v>
      </c>
    </row>
    <row r="2393" spans="1:12" x14ac:dyDescent="0.3">
      <c r="H2393" s="74">
        <v>20</v>
      </c>
      <c r="K2393" s="55" t="s">
        <v>55</v>
      </c>
      <c r="L2393" s="60" t="s">
        <v>13</v>
      </c>
    </row>
    <row r="2394" spans="1:12" x14ac:dyDescent="0.3">
      <c r="H2394" s="74">
        <v>10</v>
      </c>
      <c r="K2394" s="55" t="s">
        <v>32</v>
      </c>
      <c r="L2394" s="60" t="s">
        <v>565</v>
      </c>
    </row>
    <row r="2395" spans="1:12" x14ac:dyDescent="0.3">
      <c r="H2395" s="74">
        <v>10</v>
      </c>
      <c r="K2395" s="55" t="s">
        <v>55</v>
      </c>
      <c r="L2395" s="60" t="s">
        <v>857</v>
      </c>
    </row>
    <row r="2397" spans="1:12" x14ac:dyDescent="0.3">
      <c r="A2397" s="72" t="s">
        <v>943</v>
      </c>
      <c r="B2397" s="55" t="s">
        <v>0</v>
      </c>
      <c r="C2397" s="67" t="s">
        <v>48</v>
      </c>
      <c r="D2397" s="55" t="s">
        <v>52</v>
      </c>
      <c r="E2397" s="19">
        <v>328.08</v>
      </c>
      <c r="F2397" s="19">
        <v>9</v>
      </c>
      <c r="G2397" s="55" t="s">
        <v>11</v>
      </c>
      <c r="H2397" s="74">
        <v>10</v>
      </c>
      <c r="K2397" s="55" t="s">
        <v>25</v>
      </c>
    </row>
    <row r="2398" spans="1:12" x14ac:dyDescent="0.3">
      <c r="B2398" s="19"/>
      <c r="H2398" s="74">
        <v>10</v>
      </c>
      <c r="K2398" s="55" t="s">
        <v>84</v>
      </c>
    </row>
    <row r="2399" spans="1:12" x14ac:dyDescent="0.3">
      <c r="B2399" s="19"/>
      <c r="H2399" s="74">
        <v>90</v>
      </c>
      <c r="K2399" s="55" t="s">
        <v>96</v>
      </c>
    </row>
    <row r="2400" spans="1:12" x14ac:dyDescent="0.3">
      <c r="B2400" s="19"/>
      <c r="H2400" s="74">
        <v>20</v>
      </c>
      <c r="K2400" s="55" t="s">
        <v>102</v>
      </c>
    </row>
    <row r="2401" spans="1:12" x14ac:dyDescent="0.3">
      <c r="B2401" s="19"/>
      <c r="H2401" s="74">
        <v>40</v>
      </c>
      <c r="K2401" s="55" t="s">
        <v>32</v>
      </c>
      <c r="L2401" s="60" t="s">
        <v>472</v>
      </c>
    </row>
    <row r="2402" spans="1:12" x14ac:dyDescent="0.3">
      <c r="H2402" s="74">
        <v>20</v>
      </c>
      <c r="K2402" s="55" t="s">
        <v>34</v>
      </c>
      <c r="L2402" s="60" t="s">
        <v>149</v>
      </c>
    </row>
    <row r="2403" spans="1:12" x14ac:dyDescent="0.3">
      <c r="H2403" s="74">
        <v>20</v>
      </c>
      <c r="K2403" s="55" t="s">
        <v>102</v>
      </c>
    </row>
    <row r="2404" spans="1:12" x14ac:dyDescent="0.3">
      <c r="H2404" s="74">
        <v>30</v>
      </c>
      <c r="K2404" s="55" t="s">
        <v>30</v>
      </c>
      <c r="L2404" s="60" t="s">
        <v>945</v>
      </c>
    </row>
    <row r="2405" spans="1:12" x14ac:dyDescent="0.3">
      <c r="H2405" s="74">
        <v>20</v>
      </c>
      <c r="K2405" s="55" t="s">
        <v>55</v>
      </c>
      <c r="L2405" s="60" t="s">
        <v>13</v>
      </c>
    </row>
    <row r="2406" spans="1:12" x14ac:dyDescent="0.3">
      <c r="H2406" s="74">
        <v>30</v>
      </c>
      <c r="K2406" s="55" t="s">
        <v>55</v>
      </c>
      <c r="L2406" s="60" t="s">
        <v>944</v>
      </c>
    </row>
    <row r="2407" spans="1:12" x14ac:dyDescent="0.3">
      <c r="H2407" s="74">
        <v>30</v>
      </c>
      <c r="K2407" s="55" t="s">
        <v>34</v>
      </c>
      <c r="L2407" s="60" t="s">
        <v>331</v>
      </c>
    </row>
    <row r="2408" spans="1:12" x14ac:dyDescent="0.3">
      <c r="H2408" s="74">
        <v>20</v>
      </c>
      <c r="K2408" s="55" t="s">
        <v>15</v>
      </c>
      <c r="L2408" s="60" t="s">
        <v>946</v>
      </c>
    </row>
    <row r="2409" spans="1:12" x14ac:dyDescent="0.3">
      <c r="A2409" s="72" t="s">
        <v>943</v>
      </c>
      <c r="B2409" s="55" t="s">
        <v>10</v>
      </c>
      <c r="C2409" s="67" t="s">
        <v>47</v>
      </c>
      <c r="D2409" s="55" t="s">
        <v>50</v>
      </c>
      <c r="E2409" s="19">
        <v>296.64999999999998</v>
      </c>
      <c r="F2409" s="19">
        <v>9</v>
      </c>
      <c r="G2409" s="55" t="s">
        <v>11</v>
      </c>
      <c r="H2409" s="74">
        <v>10</v>
      </c>
      <c r="K2409" s="55" t="s">
        <v>25</v>
      </c>
    </row>
    <row r="2410" spans="1:12" x14ac:dyDescent="0.3">
      <c r="H2410" s="74">
        <v>10</v>
      </c>
      <c r="K2410" s="55" t="s">
        <v>84</v>
      </c>
    </row>
    <row r="2411" spans="1:12" x14ac:dyDescent="0.3">
      <c r="H2411" s="74">
        <v>90</v>
      </c>
      <c r="K2411" s="55" t="s">
        <v>96</v>
      </c>
    </row>
    <row r="2412" spans="1:12" x14ac:dyDescent="0.3">
      <c r="H2412" s="74">
        <v>20</v>
      </c>
      <c r="K2412" s="55" t="s">
        <v>32</v>
      </c>
      <c r="L2412" s="60" t="s">
        <v>236</v>
      </c>
    </row>
    <row r="2413" spans="1:12" x14ac:dyDescent="0.3">
      <c r="H2413" s="74">
        <v>60</v>
      </c>
      <c r="K2413" s="55" t="s">
        <v>32</v>
      </c>
      <c r="L2413" s="60" t="s">
        <v>137</v>
      </c>
    </row>
    <row r="2414" spans="1:12" x14ac:dyDescent="0.3">
      <c r="H2414" s="74">
        <v>20</v>
      </c>
      <c r="K2414" s="55" t="s">
        <v>102</v>
      </c>
    </row>
    <row r="2415" spans="1:12" x14ac:dyDescent="0.3">
      <c r="H2415" s="74">
        <v>30</v>
      </c>
      <c r="K2415" s="55" t="s">
        <v>34</v>
      </c>
      <c r="L2415" s="60" t="s">
        <v>149</v>
      </c>
    </row>
    <row r="2416" spans="1:12" x14ac:dyDescent="0.3">
      <c r="H2416" s="74">
        <v>40</v>
      </c>
      <c r="K2416" s="55" t="s">
        <v>34</v>
      </c>
      <c r="L2416" s="60" t="s">
        <v>331</v>
      </c>
    </row>
    <row r="2417" spans="1:12" x14ac:dyDescent="0.3">
      <c r="H2417" s="74">
        <v>20</v>
      </c>
      <c r="K2417" s="55" t="s">
        <v>55</v>
      </c>
      <c r="L2417" s="60" t="s">
        <v>13</v>
      </c>
    </row>
    <row r="2418" spans="1:12" x14ac:dyDescent="0.3">
      <c r="H2418" s="74">
        <v>40</v>
      </c>
      <c r="K2418" s="55" t="s">
        <v>30</v>
      </c>
      <c r="L2418" s="60" t="s">
        <v>940</v>
      </c>
    </row>
    <row r="2420" spans="1:12" x14ac:dyDescent="0.3">
      <c r="A2420" s="72" t="s">
        <v>943</v>
      </c>
      <c r="B2420" s="55" t="s">
        <v>12</v>
      </c>
      <c r="C2420" s="67" t="s">
        <v>188</v>
      </c>
      <c r="D2420" s="55" t="s">
        <v>51</v>
      </c>
      <c r="E2420" s="19">
        <v>304.05</v>
      </c>
      <c r="F2420" s="19">
        <v>9</v>
      </c>
      <c r="G2420" s="55" t="s">
        <v>11</v>
      </c>
      <c r="H2420" s="74">
        <v>10</v>
      </c>
      <c r="K2420" s="55" t="s">
        <v>25</v>
      </c>
    </row>
    <row r="2421" spans="1:12" x14ac:dyDescent="0.3">
      <c r="H2421" s="74">
        <v>10</v>
      </c>
      <c r="K2421" s="55" t="s">
        <v>84</v>
      </c>
    </row>
    <row r="2422" spans="1:12" x14ac:dyDescent="0.3">
      <c r="H2422" s="74">
        <v>30</v>
      </c>
      <c r="K2422" s="55" t="s">
        <v>32</v>
      </c>
      <c r="L2422" s="60" t="s">
        <v>947</v>
      </c>
    </row>
    <row r="2423" spans="1:12" x14ac:dyDescent="0.3">
      <c r="H2423" s="74">
        <v>90</v>
      </c>
      <c r="K2423" s="55" t="s">
        <v>96</v>
      </c>
    </row>
    <row r="2424" spans="1:12" x14ac:dyDescent="0.3">
      <c r="H2424" s="74">
        <v>40</v>
      </c>
      <c r="K2424" s="55" t="s">
        <v>32</v>
      </c>
      <c r="L2424" s="60" t="s">
        <v>309</v>
      </c>
    </row>
    <row r="2425" spans="1:12" x14ac:dyDescent="0.3">
      <c r="H2425" s="74">
        <v>20</v>
      </c>
      <c r="K2425" s="55" t="s">
        <v>32</v>
      </c>
      <c r="L2425" s="60" t="s">
        <v>419</v>
      </c>
    </row>
    <row r="2426" spans="1:12" x14ac:dyDescent="0.3">
      <c r="H2426" s="74">
        <v>40</v>
      </c>
      <c r="K2426" s="55" t="s">
        <v>30</v>
      </c>
    </row>
    <row r="2427" spans="1:12" x14ac:dyDescent="0.3">
      <c r="H2427" s="74">
        <v>30</v>
      </c>
      <c r="K2427" s="55" t="s">
        <v>34</v>
      </c>
      <c r="L2427" s="60" t="s">
        <v>149</v>
      </c>
    </row>
    <row r="2428" spans="1:12" x14ac:dyDescent="0.3">
      <c r="H2428" s="74">
        <v>30</v>
      </c>
      <c r="K2428" s="55" t="s">
        <v>34</v>
      </c>
      <c r="L2428" s="60" t="s">
        <v>323</v>
      </c>
    </row>
    <row r="2429" spans="1:12" x14ac:dyDescent="0.3">
      <c r="H2429" s="74">
        <v>25</v>
      </c>
      <c r="K2429" s="55" t="s">
        <v>102</v>
      </c>
    </row>
    <row r="2430" spans="1:12" x14ac:dyDescent="0.3">
      <c r="H2430" s="74">
        <v>30</v>
      </c>
      <c r="K2430" s="55" t="s">
        <v>32</v>
      </c>
      <c r="L2430" s="60" t="s">
        <v>737</v>
      </c>
    </row>
    <row r="2431" spans="1:12" x14ac:dyDescent="0.3">
      <c r="H2431" s="74">
        <v>20</v>
      </c>
      <c r="K2431" s="55" t="s">
        <v>55</v>
      </c>
      <c r="L2431" s="60" t="s">
        <v>636</v>
      </c>
    </row>
    <row r="2433" spans="1:12" x14ac:dyDescent="0.3">
      <c r="A2433" s="72" t="s">
        <v>948</v>
      </c>
      <c r="B2433" s="55" t="s">
        <v>0</v>
      </c>
      <c r="C2433" s="67" t="s">
        <v>49</v>
      </c>
      <c r="D2433" s="55" t="s">
        <v>52</v>
      </c>
      <c r="E2433" s="19">
        <v>281.64999999999998</v>
      </c>
      <c r="F2433" s="19">
        <v>8</v>
      </c>
      <c r="G2433" s="55" t="s">
        <v>11</v>
      </c>
      <c r="H2433" s="74">
        <v>10</v>
      </c>
      <c r="K2433" s="55" t="s">
        <v>25</v>
      </c>
    </row>
    <row r="2434" spans="1:12" x14ac:dyDescent="0.3">
      <c r="H2434" s="74">
        <v>10</v>
      </c>
      <c r="K2434" s="55" t="s">
        <v>84</v>
      </c>
    </row>
    <row r="2435" spans="1:12" x14ac:dyDescent="0.3">
      <c r="H2435" s="74">
        <v>80</v>
      </c>
      <c r="K2435" s="55" t="s">
        <v>32</v>
      </c>
      <c r="L2435" s="60" t="s">
        <v>949</v>
      </c>
    </row>
    <row r="2436" spans="1:12" x14ac:dyDescent="0.3">
      <c r="H2436" s="74">
        <v>80</v>
      </c>
      <c r="K2436" s="55" t="s">
        <v>96</v>
      </c>
    </row>
    <row r="2437" spans="1:12" x14ac:dyDescent="0.3">
      <c r="H2437" s="74">
        <v>20</v>
      </c>
      <c r="K2437" s="55" t="s">
        <v>30</v>
      </c>
      <c r="L2437" s="60" t="s">
        <v>136</v>
      </c>
    </row>
    <row r="2438" spans="1:12" x14ac:dyDescent="0.3">
      <c r="H2438" s="74">
        <v>30</v>
      </c>
      <c r="K2438" s="55" t="s">
        <v>34</v>
      </c>
      <c r="L2438" s="60" t="s">
        <v>323</v>
      </c>
    </row>
    <row r="2439" spans="1:12" x14ac:dyDescent="0.3">
      <c r="H2439" s="74">
        <v>30</v>
      </c>
      <c r="K2439" s="55" t="s">
        <v>102</v>
      </c>
    </row>
    <row r="2440" spans="1:12" x14ac:dyDescent="0.3">
      <c r="H2440" s="74">
        <v>20</v>
      </c>
      <c r="K2440" s="55" t="s">
        <v>55</v>
      </c>
      <c r="L2440" s="60" t="s">
        <v>636</v>
      </c>
    </row>
    <row r="2441" spans="1:12" x14ac:dyDescent="0.3">
      <c r="H2441" s="74">
        <v>70</v>
      </c>
      <c r="K2441" s="55" t="s">
        <v>33</v>
      </c>
      <c r="L2441" s="60" t="s">
        <v>950</v>
      </c>
    </row>
    <row r="2442" spans="1:12" x14ac:dyDescent="0.3">
      <c r="H2442" s="74">
        <v>20</v>
      </c>
      <c r="K2442" s="55" t="s">
        <v>33</v>
      </c>
      <c r="L2442" s="60" t="s">
        <v>951</v>
      </c>
    </row>
    <row r="2444" spans="1:12" x14ac:dyDescent="0.3">
      <c r="A2444" s="72" t="s">
        <v>948</v>
      </c>
      <c r="B2444" s="55" t="s">
        <v>10</v>
      </c>
      <c r="C2444" s="67" t="s">
        <v>47</v>
      </c>
      <c r="D2444" s="55" t="s">
        <v>50</v>
      </c>
      <c r="E2444" s="19">
        <v>293</v>
      </c>
      <c r="F2444" s="19">
        <v>10</v>
      </c>
      <c r="G2444" s="55" t="s">
        <v>11</v>
      </c>
      <c r="H2444" s="74">
        <v>10</v>
      </c>
      <c r="K2444" s="55" t="s">
        <v>25</v>
      </c>
    </row>
    <row r="2445" spans="1:12" x14ac:dyDescent="0.3">
      <c r="H2445" s="74">
        <v>10</v>
      </c>
      <c r="K2445" s="55" t="s">
        <v>84</v>
      </c>
    </row>
    <row r="2446" spans="1:12" x14ac:dyDescent="0.3">
      <c r="H2446" s="74">
        <v>100</v>
      </c>
      <c r="K2446" s="55" t="s">
        <v>96</v>
      </c>
    </row>
    <row r="2447" spans="1:12" x14ac:dyDescent="0.3">
      <c r="H2447" s="74">
        <v>20</v>
      </c>
      <c r="K2447" s="55" t="s">
        <v>32</v>
      </c>
      <c r="L2447" s="60" t="s">
        <v>236</v>
      </c>
    </row>
    <row r="2448" spans="1:12" x14ac:dyDescent="0.3">
      <c r="H2448" s="74">
        <v>90</v>
      </c>
      <c r="K2448" s="55" t="s">
        <v>32</v>
      </c>
      <c r="L2448" s="60" t="s">
        <v>361</v>
      </c>
    </row>
    <row r="2449" spans="1:12" x14ac:dyDescent="0.3">
      <c r="H2449" s="74">
        <v>20</v>
      </c>
      <c r="K2449" s="55" t="s">
        <v>102</v>
      </c>
    </row>
    <row r="2450" spans="1:12" x14ac:dyDescent="0.3">
      <c r="H2450" s="74">
        <v>30</v>
      </c>
      <c r="K2450" s="55" t="s">
        <v>34</v>
      </c>
      <c r="L2450" s="60" t="s">
        <v>149</v>
      </c>
    </row>
    <row r="2451" spans="1:12" x14ac:dyDescent="0.3">
      <c r="H2451" s="74">
        <v>40</v>
      </c>
      <c r="K2451" s="55" t="s">
        <v>34</v>
      </c>
      <c r="L2451" s="60" t="s">
        <v>331</v>
      </c>
    </row>
    <row r="2452" spans="1:12" x14ac:dyDescent="0.3">
      <c r="H2452" s="74">
        <v>20</v>
      </c>
      <c r="K2452" s="55" t="s">
        <v>55</v>
      </c>
      <c r="L2452" s="60" t="s">
        <v>13</v>
      </c>
    </row>
    <row r="2453" spans="1:12" x14ac:dyDescent="0.3">
      <c r="H2453" s="74">
        <v>40</v>
      </c>
      <c r="K2453" s="55" t="s">
        <v>30</v>
      </c>
      <c r="L2453" s="60" t="s">
        <v>940</v>
      </c>
    </row>
    <row r="2455" spans="1:12" x14ac:dyDescent="0.3">
      <c r="A2455" s="72" t="s">
        <v>948</v>
      </c>
      <c r="B2455" s="55" t="s">
        <v>12</v>
      </c>
      <c r="C2455" s="67" t="s">
        <v>188</v>
      </c>
      <c r="D2455" s="55" t="s">
        <v>51</v>
      </c>
      <c r="E2455" s="19">
        <v>333.5</v>
      </c>
      <c r="F2455" s="19">
        <v>9</v>
      </c>
      <c r="G2455" s="55" t="s">
        <v>11</v>
      </c>
      <c r="H2455" s="74">
        <v>10</v>
      </c>
      <c r="K2455" s="55" t="s">
        <v>25</v>
      </c>
    </row>
    <row r="2456" spans="1:12" x14ac:dyDescent="0.3">
      <c r="H2456" s="74">
        <v>10</v>
      </c>
      <c r="K2456" s="55" t="s">
        <v>84</v>
      </c>
    </row>
    <row r="2457" spans="1:12" x14ac:dyDescent="0.3">
      <c r="H2457" s="74">
        <v>90</v>
      </c>
      <c r="K2457" s="55" t="s">
        <v>96</v>
      </c>
    </row>
    <row r="2458" spans="1:12" x14ac:dyDescent="0.3">
      <c r="H2458" s="74">
        <v>35</v>
      </c>
      <c r="K2458" s="55" t="s">
        <v>32</v>
      </c>
      <c r="L2458" s="60" t="s">
        <v>953</v>
      </c>
    </row>
    <row r="2459" spans="1:12" x14ac:dyDescent="0.3">
      <c r="H2459" s="74">
        <v>40</v>
      </c>
      <c r="K2459" s="55" t="s">
        <v>32</v>
      </c>
      <c r="L2459" s="60" t="s">
        <v>942</v>
      </c>
    </row>
    <row r="2460" spans="1:12" x14ac:dyDescent="0.3">
      <c r="H2460" s="74">
        <v>25</v>
      </c>
      <c r="K2460" s="55" t="s">
        <v>102</v>
      </c>
    </row>
    <row r="2461" spans="1:12" x14ac:dyDescent="0.3">
      <c r="H2461" s="74">
        <v>30</v>
      </c>
      <c r="K2461" s="55" t="s">
        <v>34</v>
      </c>
      <c r="L2461" s="60" t="s">
        <v>149</v>
      </c>
    </row>
    <row r="2462" spans="1:12" x14ac:dyDescent="0.3">
      <c r="H2462" s="74">
        <v>50</v>
      </c>
      <c r="K2462" s="55" t="s">
        <v>34</v>
      </c>
      <c r="L2462" s="60" t="s">
        <v>331</v>
      </c>
    </row>
    <row r="2463" spans="1:12" x14ac:dyDescent="0.3">
      <c r="H2463" s="74">
        <v>25</v>
      </c>
      <c r="K2463" s="55" t="s">
        <v>55</v>
      </c>
      <c r="L2463" s="60" t="s">
        <v>13</v>
      </c>
    </row>
    <row r="2464" spans="1:12" x14ac:dyDescent="0.3">
      <c r="H2464" s="74">
        <v>60</v>
      </c>
      <c r="K2464" s="55" t="s">
        <v>30</v>
      </c>
      <c r="L2464" s="60" t="s">
        <v>952</v>
      </c>
    </row>
    <row r="2466" spans="1:12" x14ac:dyDescent="0.3">
      <c r="A2466" s="72" t="s">
        <v>954</v>
      </c>
      <c r="B2466" s="55" t="s">
        <v>0</v>
      </c>
      <c r="C2466" s="67" t="s">
        <v>48</v>
      </c>
      <c r="D2466" s="55" t="s">
        <v>52</v>
      </c>
      <c r="E2466" s="19">
        <v>373.7</v>
      </c>
      <c r="F2466" s="19">
        <v>10</v>
      </c>
      <c r="G2466" s="55" t="s">
        <v>11</v>
      </c>
      <c r="H2466" s="74">
        <v>10</v>
      </c>
      <c r="K2466" s="55" t="s">
        <v>25</v>
      </c>
    </row>
    <row r="2467" spans="1:12" x14ac:dyDescent="0.3">
      <c r="H2467" s="74">
        <v>10</v>
      </c>
      <c r="K2467" s="55" t="s">
        <v>84</v>
      </c>
    </row>
    <row r="2468" spans="1:12" x14ac:dyDescent="0.3">
      <c r="H2468" s="74">
        <v>80</v>
      </c>
      <c r="K2468" s="55" t="s">
        <v>32</v>
      </c>
      <c r="L2468" s="60" t="s">
        <v>949</v>
      </c>
    </row>
    <row r="2469" spans="1:12" x14ac:dyDescent="0.3">
      <c r="H2469" s="74">
        <v>110</v>
      </c>
      <c r="K2469" s="55" t="s">
        <v>96</v>
      </c>
    </row>
    <row r="2470" spans="1:12" x14ac:dyDescent="0.3">
      <c r="H2470" s="74">
        <v>40</v>
      </c>
      <c r="K2470" s="55" t="s">
        <v>30</v>
      </c>
      <c r="L2470" s="60" t="s">
        <v>945</v>
      </c>
    </row>
    <row r="2471" spans="1:12" x14ac:dyDescent="0.3">
      <c r="H2471" s="74">
        <v>30</v>
      </c>
      <c r="K2471" s="55" t="s">
        <v>34</v>
      </c>
      <c r="L2471" s="60" t="s">
        <v>323</v>
      </c>
    </row>
    <row r="2472" spans="1:12" x14ac:dyDescent="0.3">
      <c r="H2472" s="74">
        <v>20</v>
      </c>
      <c r="K2472" s="55" t="s">
        <v>102</v>
      </c>
    </row>
    <row r="2473" spans="1:12" x14ac:dyDescent="0.3">
      <c r="H2473" s="74">
        <v>20</v>
      </c>
      <c r="K2473" s="55" t="s">
        <v>55</v>
      </c>
      <c r="L2473" s="60" t="s">
        <v>636</v>
      </c>
    </row>
    <row r="2474" spans="1:12" x14ac:dyDescent="0.3">
      <c r="H2474" s="74">
        <v>20</v>
      </c>
      <c r="K2474" s="55" t="s">
        <v>34</v>
      </c>
      <c r="L2474" s="60" t="s">
        <v>149</v>
      </c>
    </row>
    <row r="2475" spans="1:12" x14ac:dyDescent="0.3">
      <c r="A2475" s="72" t="s">
        <v>954</v>
      </c>
      <c r="B2475" s="55" t="s">
        <v>10</v>
      </c>
      <c r="C2475" s="67" t="s">
        <v>47</v>
      </c>
      <c r="D2475" s="55" t="s">
        <v>50</v>
      </c>
      <c r="E2475" s="19">
        <v>239.97</v>
      </c>
      <c r="F2475" s="19">
        <v>7</v>
      </c>
      <c r="G2475" s="55" t="s">
        <v>11</v>
      </c>
      <c r="H2475" s="74">
        <v>10</v>
      </c>
      <c r="K2475" s="55" t="s">
        <v>25</v>
      </c>
    </row>
    <row r="2476" spans="1:12" x14ac:dyDescent="0.3">
      <c r="H2476" s="74">
        <v>10</v>
      </c>
      <c r="K2476" s="55" t="s">
        <v>84</v>
      </c>
    </row>
    <row r="2477" spans="1:12" x14ac:dyDescent="0.3">
      <c r="H2477" s="74">
        <v>80</v>
      </c>
      <c r="K2477" s="55" t="s">
        <v>96</v>
      </c>
    </row>
    <row r="2478" spans="1:12" x14ac:dyDescent="0.3">
      <c r="H2478" s="74">
        <v>50</v>
      </c>
      <c r="K2478" s="55" t="s">
        <v>32</v>
      </c>
      <c r="L2478" s="60" t="s">
        <v>956</v>
      </c>
    </row>
    <row r="2479" spans="1:12" x14ac:dyDescent="0.3">
      <c r="H2479" s="74">
        <v>30</v>
      </c>
      <c r="K2479" s="55" t="s">
        <v>33</v>
      </c>
      <c r="L2479" s="60" t="s">
        <v>955</v>
      </c>
    </row>
    <row r="2480" spans="1:12" x14ac:dyDescent="0.3">
      <c r="H2480" s="74">
        <v>60</v>
      </c>
      <c r="K2480" s="55" t="s">
        <v>32</v>
      </c>
      <c r="L2480" s="60" t="s">
        <v>137</v>
      </c>
    </row>
    <row r="2481" spans="1:12" x14ac:dyDescent="0.3">
      <c r="H2481" s="74">
        <v>20</v>
      </c>
      <c r="K2481" s="55" t="s">
        <v>102</v>
      </c>
    </row>
    <row r="2482" spans="1:12" x14ac:dyDescent="0.3">
      <c r="H2482" s="74">
        <v>30</v>
      </c>
      <c r="K2482" s="55" t="s">
        <v>34</v>
      </c>
      <c r="L2482" s="60" t="s">
        <v>149</v>
      </c>
    </row>
    <row r="2483" spans="1:12" x14ac:dyDescent="0.3">
      <c r="H2483" s="74">
        <v>30</v>
      </c>
      <c r="K2483" s="55" t="s">
        <v>34</v>
      </c>
      <c r="L2483" s="60" t="s">
        <v>331</v>
      </c>
    </row>
    <row r="2484" spans="1:12" x14ac:dyDescent="0.3">
      <c r="H2484" s="74">
        <v>20</v>
      </c>
      <c r="K2484" s="55" t="s">
        <v>55</v>
      </c>
      <c r="L2484" s="60" t="s">
        <v>13</v>
      </c>
    </row>
    <row r="2485" spans="1:12" x14ac:dyDescent="0.3">
      <c r="H2485" s="74">
        <v>30</v>
      </c>
      <c r="K2485" s="55" t="s">
        <v>30</v>
      </c>
      <c r="L2485" s="60" t="s">
        <v>940</v>
      </c>
    </row>
    <row r="2486" spans="1:12" x14ac:dyDescent="0.3">
      <c r="A2486" s="72" t="s">
        <v>954</v>
      </c>
      <c r="B2486" s="55" t="s">
        <v>12</v>
      </c>
      <c r="C2486" s="67" t="s">
        <v>188</v>
      </c>
      <c r="D2486" s="55" t="s">
        <v>51</v>
      </c>
      <c r="E2486" s="19">
        <v>238.52</v>
      </c>
      <c r="F2486" s="19">
        <v>8</v>
      </c>
      <c r="G2486" s="55" t="s">
        <v>11</v>
      </c>
      <c r="H2486" s="74">
        <v>10</v>
      </c>
      <c r="K2486" s="55" t="s">
        <v>25</v>
      </c>
    </row>
    <row r="2487" spans="1:12" x14ac:dyDescent="0.3">
      <c r="H2487" s="74">
        <v>10</v>
      </c>
      <c r="K2487" s="55" t="s">
        <v>84</v>
      </c>
    </row>
    <row r="2488" spans="1:12" x14ac:dyDescent="0.3">
      <c r="H2488" s="74">
        <v>80</v>
      </c>
      <c r="K2488" s="55" t="s">
        <v>96</v>
      </c>
    </row>
    <row r="2489" spans="1:12" x14ac:dyDescent="0.3">
      <c r="H2489" s="74">
        <v>40</v>
      </c>
      <c r="K2489" s="55" t="s">
        <v>32</v>
      </c>
      <c r="L2489" s="60" t="s">
        <v>294</v>
      </c>
    </row>
    <row r="2490" spans="1:12" x14ac:dyDescent="0.3">
      <c r="H2490" s="74">
        <v>20</v>
      </c>
      <c r="K2490" s="55" t="s">
        <v>33</v>
      </c>
      <c r="L2490" s="60" t="s">
        <v>958</v>
      </c>
    </row>
    <row r="2491" spans="1:12" x14ac:dyDescent="0.3">
      <c r="H2491" s="74">
        <v>80</v>
      </c>
      <c r="K2491" s="55" t="s">
        <v>32</v>
      </c>
      <c r="L2491" s="60" t="s">
        <v>957</v>
      </c>
    </row>
    <row r="2492" spans="1:12" x14ac:dyDescent="0.3">
      <c r="H2492" s="74">
        <v>20</v>
      </c>
      <c r="K2492" s="55" t="s">
        <v>102</v>
      </c>
    </row>
    <row r="2493" spans="1:12" x14ac:dyDescent="0.3">
      <c r="H2493" s="74">
        <v>30</v>
      </c>
      <c r="K2493" s="55" t="s">
        <v>34</v>
      </c>
      <c r="L2493" s="60" t="s">
        <v>149</v>
      </c>
    </row>
    <row r="2494" spans="1:12" x14ac:dyDescent="0.3">
      <c r="H2494" s="74">
        <v>30</v>
      </c>
      <c r="K2494" s="55" t="s">
        <v>34</v>
      </c>
      <c r="L2494" s="60" t="s">
        <v>331</v>
      </c>
    </row>
    <row r="2495" spans="1:12" x14ac:dyDescent="0.3">
      <c r="H2495" s="74">
        <v>20</v>
      </c>
      <c r="K2495" s="55" t="s">
        <v>55</v>
      </c>
      <c r="L2495" s="60" t="s">
        <v>13</v>
      </c>
    </row>
    <row r="2496" spans="1:12" x14ac:dyDescent="0.3">
      <c r="H2496" s="74">
        <v>30</v>
      </c>
      <c r="K2496" s="55" t="s">
        <v>30</v>
      </c>
      <c r="L2496" s="60" t="s">
        <v>940</v>
      </c>
    </row>
    <row r="2498" spans="1:12" x14ac:dyDescent="0.3">
      <c r="A2498" s="72" t="s">
        <v>959</v>
      </c>
      <c r="B2498" s="55" t="s">
        <v>0</v>
      </c>
      <c r="C2498" s="67" t="s">
        <v>48</v>
      </c>
      <c r="D2498" s="55" t="s">
        <v>52</v>
      </c>
      <c r="E2498" s="19">
        <v>172.69</v>
      </c>
      <c r="F2498" s="19">
        <v>5</v>
      </c>
      <c r="G2498" s="55" t="s">
        <v>11</v>
      </c>
      <c r="H2498" s="74">
        <v>10</v>
      </c>
      <c r="K2498" s="55" t="s">
        <v>25</v>
      </c>
    </row>
    <row r="2499" spans="1:12" x14ac:dyDescent="0.3">
      <c r="H2499" s="74">
        <v>10</v>
      </c>
      <c r="K2499" s="55" t="s">
        <v>84</v>
      </c>
    </row>
    <row r="2500" spans="1:12" x14ac:dyDescent="0.3">
      <c r="H2500" s="74">
        <v>100</v>
      </c>
      <c r="K2500" s="55" t="s">
        <v>32</v>
      </c>
      <c r="L2500" s="60" t="s">
        <v>960</v>
      </c>
    </row>
    <row r="2501" spans="1:12" x14ac:dyDescent="0.3">
      <c r="H2501" s="74">
        <v>70</v>
      </c>
      <c r="K2501" s="55" t="s">
        <v>96</v>
      </c>
    </row>
    <row r="2502" spans="1:12" x14ac:dyDescent="0.3">
      <c r="H2502" s="74">
        <v>20</v>
      </c>
      <c r="K2502" s="55" t="s">
        <v>30</v>
      </c>
      <c r="L2502" s="60" t="s">
        <v>961</v>
      </c>
    </row>
    <row r="2503" spans="1:12" x14ac:dyDescent="0.3">
      <c r="H2503" s="74">
        <v>30</v>
      </c>
      <c r="K2503" s="55" t="s">
        <v>34</v>
      </c>
      <c r="L2503" s="60" t="s">
        <v>323</v>
      </c>
    </row>
    <row r="2504" spans="1:12" x14ac:dyDescent="0.3">
      <c r="H2504" s="74">
        <v>20</v>
      </c>
      <c r="K2504" s="55" t="s">
        <v>102</v>
      </c>
    </row>
    <row r="2505" spans="1:12" x14ac:dyDescent="0.3">
      <c r="H2505" s="74">
        <v>20</v>
      </c>
      <c r="K2505" s="55" t="s">
        <v>55</v>
      </c>
      <c r="L2505" s="60" t="s">
        <v>636</v>
      </c>
    </row>
    <row r="2506" spans="1:12" x14ac:dyDescent="0.3">
      <c r="H2506" s="74">
        <v>30</v>
      </c>
      <c r="K2506" s="55" t="s">
        <v>34</v>
      </c>
      <c r="L2506" s="60" t="s">
        <v>149</v>
      </c>
    </row>
    <row r="2507" spans="1:12" x14ac:dyDescent="0.3">
      <c r="H2507" s="74">
        <v>87</v>
      </c>
      <c r="K2507" s="55" t="s">
        <v>33</v>
      </c>
      <c r="L2507" s="60" t="s">
        <v>962</v>
      </c>
    </row>
    <row r="2508" spans="1:12" x14ac:dyDescent="0.3">
      <c r="H2508" s="74">
        <v>20</v>
      </c>
      <c r="K2508" s="55" t="s">
        <v>33</v>
      </c>
      <c r="L2508" s="60" t="s">
        <v>963</v>
      </c>
    </row>
    <row r="2510" spans="1:12" x14ac:dyDescent="0.3">
      <c r="A2510" s="72" t="s">
        <v>959</v>
      </c>
      <c r="B2510" s="55" t="s">
        <v>10</v>
      </c>
      <c r="C2510" s="67" t="s">
        <v>47</v>
      </c>
      <c r="D2510" s="55" t="s">
        <v>50</v>
      </c>
      <c r="E2510" s="19">
        <v>69.819999999999993</v>
      </c>
      <c r="F2510" s="19">
        <v>2</v>
      </c>
      <c r="G2510" s="55" t="s">
        <v>11</v>
      </c>
      <c r="H2510" s="74">
        <v>10</v>
      </c>
      <c r="K2510" s="55" t="s">
        <v>25</v>
      </c>
    </row>
    <row r="2511" spans="1:12" x14ac:dyDescent="0.3">
      <c r="H2511" s="74">
        <v>10</v>
      </c>
      <c r="K2511" s="55" t="s">
        <v>84</v>
      </c>
    </row>
    <row r="2512" spans="1:12" x14ac:dyDescent="0.3">
      <c r="H2512" s="74">
        <v>30</v>
      </c>
      <c r="K2512" s="55" t="s">
        <v>96</v>
      </c>
    </row>
    <row r="2513" spans="1:12" x14ac:dyDescent="0.3">
      <c r="H2513" s="74">
        <v>60</v>
      </c>
      <c r="K2513" s="55" t="s">
        <v>33</v>
      </c>
      <c r="L2513" s="60" t="s">
        <v>964</v>
      </c>
    </row>
    <row r="2514" spans="1:12" x14ac:dyDescent="0.3">
      <c r="H2514" s="74">
        <v>40</v>
      </c>
      <c r="K2514" s="55" t="s">
        <v>32</v>
      </c>
      <c r="L2514" s="60" t="s">
        <v>965</v>
      </c>
    </row>
    <row r="2515" spans="1:12" x14ac:dyDescent="0.3">
      <c r="H2515" s="74">
        <v>40</v>
      </c>
      <c r="K2515" s="55" t="s">
        <v>32</v>
      </c>
      <c r="L2515" s="60" t="s">
        <v>460</v>
      </c>
    </row>
    <row r="2516" spans="1:12" x14ac:dyDescent="0.3">
      <c r="H2516" s="74">
        <v>250</v>
      </c>
      <c r="K2516" s="55" t="s">
        <v>33</v>
      </c>
      <c r="L2516" s="60" t="s">
        <v>966</v>
      </c>
    </row>
    <row r="2518" spans="1:12" x14ac:dyDescent="0.3">
      <c r="A2518" s="72" t="s">
        <v>751</v>
      </c>
      <c r="B2518" s="55" t="s">
        <v>12</v>
      </c>
      <c r="C2518" s="67" t="s">
        <v>188</v>
      </c>
      <c r="D2518" s="55" t="s">
        <v>51</v>
      </c>
      <c r="E2518" s="19">
        <v>368.25</v>
      </c>
      <c r="F2518" s="19">
        <v>10</v>
      </c>
      <c r="G2518" s="55" t="s">
        <v>11</v>
      </c>
      <c r="H2518" s="74">
        <v>10</v>
      </c>
      <c r="K2518" s="55" t="s">
        <v>25</v>
      </c>
    </row>
    <row r="2519" spans="1:12" x14ac:dyDescent="0.3">
      <c r="H2519" s="74">
        <v>10</v>
      </c>
      <c r="K2519" s="55" t="s">
        <v>84</v>
      </c>
    </row>
    <row r="2520" spans="1:12" x14ac:dyDescent="0.3">
      <c r="H2520" s="74">
        <v>110</v>
      </c>
      <c r="K2520" s="55" t="s">
        <v>96</v>
      </c>
    </row>
    <row r="2521" spans="1:12" x14ac:dyDescent="0.3">
      <c r="H2521" s="74">
        <v>25</v>
      </c>
      <c r="K2521" s="55" t="s">
        <v>32</v>
      </c>
      <c r="L2521" s="60" t="s">
        <v>245</v>
      </c>
    </row>
    <row r="2522" spans="1:12" x14ac:dyDescent="0.3">
      <c r="H2522" s="74">
        <v>40</v>
      </c>
      <c r="K2522" s="55" t="s">
        <v>32</v>
      </c>
      <c r="L2522" s="60" t="s">
        <v>968</v>
      </c>
    </row>
    <row r="2523" spans="1:12" x14ac:dyDescent="0.3">
      <c r="H2523" s="74">
        <v>30</v>
      </c>
      <c r="K2523" s="55" t="s">
        <v>30</v>
      </c>
      <c r="L2523" s="60" t="s">
        <v>300</v>
      </c>
    </row>
    <row r="2524" spans="1:12" x14ac:dyDescent="0.3">
      <c r="H2524" s="74">
        <v>70</v>
      </c>
      <c r="K2524" s="55" t="s">
        <v>55</v>
      </c>
      <c r="L2524" s="60" t="s">
        <v>967</v>
      </c>
    </row>
    <row r="2525" spans="1:12" x14ac:dyDescent="0.3">
      <c r="H2525" s="74">
        <v>35</v>
      </c>
      <c r="K2525" s="55" t="s">
        <v>34</v>
      </c>
      <c r="L2525" s="60" t="s">
        <v>286</v>
      </c>
    </row>
    <row r="2526" spans="1:12" x14ac:dyDescent="0.3">
      <c r="H2526" s="74">
        <v>20</v>
      </c>
      <c r="K2526" s="55" t="s">
        <v>102</v>
      </c>
    </row>
    <row r="2527" spans="1:12" x14ac:dyDescent="0.3">
      <c r="H2527" s="74">
        <v>10</v>
      </c>
      <c r="K2527" s="55" t="s">
        <v>33</v>
      </c>
      <c r="L2527" s="60" t="s">
        <v>969</v>
      </c>
    </row>
    <row r="2528" spans="1:12" x14ac:dyDescent="0.3">
      <c r="H2528" s="74">
        <v>10</v>
      </c>
      <c r="K2528" s="55" t="s">
        <v>33</v>
      </c>
      <c r="L2528" s="60" t="s">
        <v>970</v>
      </c>
    </row>
    <row r="2530" spans="1:12" x14ac:dyDescent="0.3">
      <c r="A2530" s="72" t="s">
        <v>971</v>
      </c>
      <c r="B2530" s="55" t="s">
        <v>0</v>
      </c>
      <c r="C2530" s="67" t="s">
        <v>48</v>
      </c>
      <c r="D2530" s="55" t="s">
        <v>52</v>
      </c>
      <c r="E2530" s="19">
        <v>226.49</v>
      </c>
      <c r="F2530" s="19">
        <v>7</v>
      </c>
      <c r="G2530" s="55" t="s">
        <v>11</v>
      </c>
      <c r="H2530" s="74">
        <v>10</v>
      </c>
      <c r="K2530" s="55" t="s">
        <v>25</v>
      </c>
    </row>
    <row r="2531" spans="1:12" x14ac:dyDescent="0.3">
      <c r="H2531" s="74">
        <v>10</v>
      </c>
      <c r="K2531" s="55" t="s">
        <v>84</v>
      </c>
    </row>
    <row r="2532" spans="1:12" x14ac:dyDescent="0.3">
      <c r="H2532" s="74">
        <v>40</v>
      </c>
      <c r="K2532" s="55" t="s">
        <v>32</v>
      </c>
      <c r="L2532" s="60" t="s">
        <v>965</v>
      </c>
    </row>
    <row r="2533" spans="1:12" x14ac:dyDescent="0.3">
      <c r="H2533" s="74">
        <v>70</v>
      </c>
      <c r="K2533" s="55" t="s">
        <v>32</v>
      </c>
      <c r="L2533" s="60" t="s">
        <v>949</v>
      </c>
    </row>
    <row r="2534" spans="1:12" x14ac:dyDescent="0.3">
      <c r="H2534" s="74">
        <v>70</v>
      </c>
      <c r="K2534" s="55" t="s">
        <v>96</v>
      </c>
    </row>
    <row r="2535" spans="1:12" x14ac:dyDescent="0.3">
      <c r="H2535" s="74">
        <v>20</v>
      </c>
      <c r="K2535" s="55" t="s">
        <v>30</v>
      </c>
      <c r="L2535" s="60" t="s">
        <v>961</v>
      </c>
    </row>
    <row r="2536" spans="1:12" x14ac:dyDescent="0.3">
      <c r="H2536" s="74">
        <v>20</v>
      </c>
      <c r="K2536" s="55" t="s">
        <v>34</v>
      </c>
      <c r="L2536" s="60" t="s">
        <v>323</v>
      </c>
    </row>
    <row r="2537" spans="1:12" x14ac:dyDescent="0.3">
      <c r="H2537" s="74">
        <v>20</v>
      </c>
      <c r="K2537" s="55" t="s">
        <v>102</v>
      </c>
    </row>
    <row r="2538" spans="1:12" x14ac:dyDescent="0.3">
      <c r="H2538" s="74">
        <v>20</v>
      </c>
      <c r="K2538" s="55" t="s">
        <v>55</v>
      </c>
      <c r="L2538" s="60" t="s">
        <v>636</v>
      </c>
    </row>
    <row r="2539" spans="1:12" x14ac:dyDescent="0.3">
      <c r="H2539" s="74">
        <v>30</v>
      </c>
      <c r="K2539" s="55" t="s">
        <v>34</v>
      </c>
      <c r="L2539" s="60" t="s">
        <v>149</v>
      </c>
    </row>
    <row r="2540" spans="1:12" x14ac:dyDescent="0.3">
      <c r="H2540" s="74">
        <v>70</v>
      </c>
      <c r="K2540" s="55" t="s">
        <v>33</v>
      </c>
      <c r="L2540" s="60" t="s">
        <v>972</v>
      </c>
    </row>
    <row r="2542" spans="1:12" x14ac:dyDescent="0.3">
      <c r="A2542" s="72" t="s">
        <v>971</v>
      </c>
      <c r="B2542" s="55" t="s">
        <v>10</v>
      </c>
      <c r="C2542" s="67" t="s">
        <v>47</v>
      </c>
      <c r="D2542" s="55" t="s">
        <v>50</v>
      </c>
      <c r="E2542" s="19">
        <v>212.83</v>
      </c>
      <c r="F2542" s="19">
        <v>7</v>
      </c>
      <c r="G2542" s="55" t="s">
        <v>11</v>
      </c>
      <c r="H2542" s="74">
        <v>10</v>
      </c>
      <c r="K2542" s="55" t="s">
        <v>25</v>
      </c>
    </row>
    <row r="2543" spans="1:12" x14ac:dyDescent="0.3">
      <c r="H2543" s="74">
        <v>10</v>
      </c>
      <c r="K2543" s="55" t="s">
        <v>84</v>
      </c>
    </row>
    <row r="2544" spans="1:12" x14ac:dyDescent="0.3">
      <c r="H2544" s="74">
        <v>80</v>
      </c>
      <c r="K2544" s="55" t="s">
        <v>32</v>
      </c>
      <c r="L2544" s="60" t="s">
        <v>137</v>
      </c>
    </row>
    <row r="2545" spans="1:13" x14ac:dyDescent="0.3">
      <c r="H2545" s="74">
        <v>40</v>
      </c>
      <c r="K2545" s="55" t="s">
        <v>32</v>
      </c>
      <c r="L2545" s="60" t="s">
        <v>817</v>
      </c>
    </row>
    <row r="2546" spans="1:13" x14ac:dyDescent="0.3">
      <c r="H2546" s="74">
        <v>70</v>
      </c>
      <c r="K2546" s="55" t="s">
        <v>96</v>
      </c>
    </row>
    <row r="2547" spans="1:13" x14ac:dyDescent="0.3">
      <c r="H2547" s="74">
        <v>30</v>
      </c>
      <c r="K2547" s="55" t="s">
        <v>30</v>
      </c>
    </row>
    <row r="2548" spans="1:13" x14ac:dyDescent="0.3">
      <c r="H2548" s="74">
        <v>100</v>
      </c>
      <c r="K2548" s="55" t="s">
        <v>55</v>
      </c>
      <c r="L2548" s="60" t="s">
        <v>973</v>
      </c>
    </row>
    <row r="2549" spans="1:13" x14ac:dyDescent="0.3">
      <c r="H2549" s="74">
        <v>20</v>
      </c>
      <c r="K2549" s="55" t="s">
        <v>34</v>
      </c>
      <c r="L2549" s="60" t="s">
        <v>149</v>
      </c>
    </row>
    <row r="2550" spans="1:13" x14ac:dyDescent="0.3">
      <c r="H2550" s="74">
        <v>20</v>
      </c>
      <c r="K2550" s="55" t="s">
        <v>55</v>
      </c>
      <c r="L2550" s="60" t="s">
        <v>636</v>
      </c>
    </row>
    <row r="2551" spans="1:13" x14ac:dyDescent="0.3">
      <c r="H2551" s="74">
        <v>20</v>
      </c>
      <c r="K2551" s="55" t="s">
        <v>34</v>
      </c>
      <c r="L2551" s="60" t="s">
        <v>323</v>
      </c>
    </row>
    <row r="2553" spans="1:13" x14ac:dyDescent="0.3">
      <c r="A2553" s="72" t="s">
        <v>971</v>
      </c>
      <c r="B2553" s="55" t="s">
        <v>12</v>
      </c>
      <c r="C2553" s="67" t="s">
        <v>188</v>
      </c>
      <c r="D2553" s="55" t="s">
        <v>51</v>
      </c>
      <c r="E2553" s="19">
        <v>163</v>
      </c>
      <c r="F2553" s="19">
        <v>5</v>
      </c>
      <c r="G2553" s="55" t="s">
        <v>11</v>
      </c>
      <c r="H2553" s="74">
        <v>10</v>
      </c>
      <c r="K2553" s="55" t="s">
        <v>25</v>
      </c>
    </row>
    <row r="2554" spans="1:13" x14ac:dyDescent="0.3">
      <c r="H2554" s="74">
        <v>10</v>
      </c>
      <c r="K2554" s="55" t="s">
        <v>84</v>
      </c>
    </row>
    <row r="2555" spans="1:13" x14ac:dyDescent="0.3">
      <c r="H2555" s="74">
        <v>50</v>
      </c>
      <c r="K2555" s="55" t="s">
        <v>96</v>
      </c>
    </row>
    <row r="2556" spans="1:13" x14ac:dyDescent="0.3">
      <c r="H2556" s="74">
        <v>30</v>
      </c>
      <c r="K2556" s="55" t="s">
        <v>32</v>
      </c>
      <c r="L2556" s="60" t="s">
        <v>663</v>
      </c>
    </row>
    <row r="2557" spans="1:13" x14ac:dyDescent="0.3">
      <c r="H2557" s="74">
        <v>30</v>
      </c>
      <c r="K2557" s="55" t="s">
        <v>32</v>
      </c>
      <c r="L2557" s="60" t="s">
        <v>974</v>
      </c>
    </row>
    <row r="2558" spans="1:13" x14ac:dyDescent="0.3">
      <c r="H2558" s="74">
        <v>40</v>
      </c>
      <c r="K2558" s="55" t="s">
        <v>30</v>
      </c>
      <c r="L2558" s="60" t="s">
        <v>250</v>
      </c>
    </row>
    <row r="2559" spans="1:13" x14ac:dyDescent="0.3">
      <c r="H2559" s="74">
        <v>30</v>
      </c>
      <c r="K2559" s="55" t="s">
        <v>34</v>
      </c>
      <c r="L2559" s="60" t="s">
        <v>268</v>
      </c>
    </row>
    <row r="2560" spans="1:13" x14ac:dyDescent="0.3">
      <c r="H2560" s="74">
        <v>50</v>
      </c>
      <c r="K2560" s="55" t="s">
        <v>32</v>
      </c>
      <c r="L2560" s="60" t="s">
        <v>975</v>
      </c>
      <c r="M2560" s="1" t="s">
        <v>976</v>
      </c>
    </row>
    <row r="2561" spans="1:12" x14ac:dyDescent="0.3">
      <c r="H2561" s="74">
        <v>40</v>
      </c>
      <c r="K2561" s="55" t="s">
        <v>32</v>
      </c>
      <c r="L2561" s="60" t="s">
        <v>977</v>
      </c>
    </row>
    <row r="2562" spans="1:12" x14ac:dyDescent="0.3">
      <c r="H2562" s="74">
        <v>110</v>
      </c>
      <c r="K2562" s="55" t="s">
        <v>33</v>
      </c>
      <c r="L2562" s="60" t="s">
        <v>978</v>
      </c>
    </row>
    <row r="2564" spans="1:12" x14ac:dyDescent="0.3">
      <c r="A2564" s="72" t="s">
        <v>979</v>
      </c>
      <c r="B2564" s="55" t="s">
        <v>0</v>
      </c>
      <c r="C2564" s="67" t="s">
        <v>49</v>
      </c>
      <c r="D2564" s="55" t="s">
        <v>52</v>
      </c>
      <c r="E2564" s="19">
        <v>183.48</v>
      </c>
      <c r="F2564" s="19">
        <v>8</v>
      </c>
      <c r="G2564" s="55" t="s">
        <v>11</v>
      </c>
      <c r="H2564" s="74">
        <v>10</v>
      </c>
      <c r="K2564" s="55" t="s">
        <v>25</v>
      </c>
    </row>
    <row r="2565" spans="1:12" x14ac:dyDescent="0.3">
      <c r="H2565" s="74">
        <v>10</v>
      </c>
      <c r="K2565" s="55" t="s">
        <v>84</v>
      </c>
    </row>
    <row r="2566" spans="1:12" x14ac:dyDescent="0.3">
      <c r="H2566" s="74">
        <v>40</v>
      </c>
      <c r="K2566" s="55" t="s">
        <v>32</v>
      </c>
      <c r="L2566" s="60" t="s">
        <v>133</v>
      </c>
    </row>
    <row r="2567" spans="1:12" x14ac:dyDescent="0.3">
      <c r="H2567" s="74">
        <v>70</v>
      </c>
      <c r="K2567" s="55" t="s">
        <v>32</v>
      </c>
      <c r="L2567" s="60" t="s">
        <v>981</v>
      </c>
    </row>
    <row r="2568" spans="1:12" x14ac:dyDescent="0.3">
      <c r="H2568" s="74">
        <v>70</v>
      </c>
      <c r="K2568" s="55" t="s">
        <v>96</v>
      </c>
    </row>
    <row r="2569" spans="1:12" x14ac:dyDescent="0.3">
      <c r="H2569" s="74">
        <v>20</v>
      </c>
      <c r="K2569" s="55" t="s">
        <v>30</v>
      </c>
      <c r="L2569" s="60" t="s">
        <v>961</v>
      </c>
    </row>
    <row r="2570" spans="1:12" x14ac:dyDescent="0.3">
      <c r="H2570" s="74">
        <v>20</v>
      </c>
      <c r="K2570" s="55" t="s">
        <v>34</v>
      </c>
      <c r="L2570" s="60" t="s">
        <v>323</v>
      </c>
    </row>
    <row r="2571" spans="1:12" x14ac:dyDescent="0.3">
      <c r="H2571" s="74">
        <v>90</v>
      </c>
      <c r="K2571" s="55" t="s">
        <v>55</v>
      </c>
      <c r="L2571" s="60" t="s">
        <v>980</v>
      </c>
    </row>
    <row r="2572" spans="1:12" x14ac:dyDescent="0.3">
      <c r="H2572" s="74">
        <v>30</v>
      </c>
      <c r="K2572" s="55" t="s">
        <v>33</v>
      </c>
      <c r="L2572" s="60" t="s">
        <v>982</v>
      </c>
    </row>
    <row r="2574" spans="1:12" x14ac:dyDescent="0.3">
      <c r="A2574" s="72" t="s">
        <v>979</v>
      </c>
      <c r="B2574" s="55" t="s">
        <v>10</v>
      </c>
      <c r="C2574" s="67" t="s">
        <v>47</v>
      </c>
      <c r="D2574" s="55" t="s">
        <v>50</v>
      </c>
      <c r="E2574" s="19">
        <v>144.72</v>
      </c>
      <c r="F2574" s="19">
        <v>6</v>
      </c>
      <c r="G2574" s="55" t="s">
        <v>11</v>
      </c>
      <c r="H2574" s="74">
        <v>10</v>
      </c>
      <c r="K2574" s="55" t="s">
        <v>25</v>
      </c>
    </row>
    <row r="2575" spans="1:12" x14ac:dyDescent="0.3">
      <c r="H2575" s="74">
        <v>10</v>
      </c>
      <c r="K2575" s="55" t="s">
        <v>84</v>
      </c>
    </row>
    <row r="2576" spans="1:12" x14ac:dyDescent="0.3">
      <c r="H2576" s="74">
        <v>60</v>
      </c>
      <c r="K2576" s="55" t="s">
        <v>96</v>
      </c>
    </row>
    <row r="2577" spans="1:13" x14ac:dyDescent="0.3">
      <c r="H2577" s="74">
        <v>80</v>
      </c>
      <c r="K2577" s="55" t="s">
        <v>32</v>
      </c>
      <c r="L2577" s="60" t="s">
        <v>137</v>
      </c>
    </row>
    <row r="2578" spans="1:13" x14ac:dyDescent="0.3">
      <c r="H2578" s="74">
        <v>50</v>
      </c>
      <c r="K2578" s="55" t="s">
        <v>32</v>
      </c>
      <c r="L2578" s="60" t="s">
        <v>965</v>
      </c>
    </row>
    <row r="2579" spans="1:13" x14ac:dyDescent="0.3">
      <c r="H2579" s="74">
        <v>20</v>
      </c>
      <c r="K2579" s="55" t="s">
        <v>30</v>
      </c>
      <c r="L2579" s="60" t="s">
        <v>136</v>
      </c>
    </row>
    <row r="2580" spans="1:13" x14ac:dyDescent="0.3">
      <c r="H2580" s="74">
        <v>80</v>
      </c>
      <c r="K2580" s="55" t="s">
        <v>33</v>
      </c>
      <c r="L2580" s="60" t="s">
        <v>983</v>
      </c>
    </row>
    <row r="2581" spans="1:13" x14ac:dyDescent="0.3">
      <c r="H2581" s="74">
        <v>50</v>
      </c>
      <c r="K2581" s="55" t="s">
        <v>33</v>
      </c>
      <c r="L2581" s="60" t="s">
        <v>984</v>
      </c>
    </row>
    <row r="2583" spans="1:13" x14ac:dyDescent="0.3">
      <c r="A2583" s="72" t="s">
        <v>979</v>
      </c>
      <c r="B2583" s="55" t="s">
        <v>12</v>
      </c>
      <c r="C2583" s="67" t="s">
        <v>48</v>
      </c>
      <c r="D2583" s="55" t="s">
        <v>51</v>
      </c>
      <c r="E2583" s="19">
        <v>216.33</v>
      </c>
      <c r="F2583" s="19">
        <v>8</v>
      </c>
      <c r="G2583" s="55" t="s">
        <v>11</v>
      </c>
      <c r="H2583" s="74">
        <v>10</v>
      </c>
      <c r="K2583" s="55" t="s">
        <v>25</v>
      </c>
    </row>
    <row r="2584" spans="1:13" x14ac:dyDescent="0.3">
      <c r="H2584" s="74">
        <v>10</v>
      </c>
      <c r="K2584" s="55" t="s">
        <v>84</v>
      </c>
    </row>
    <row r="2585" spans="1:13" x14ac:dyDescent="0.3">
      <c r="H2585" s="74">
        <v>15</v>
      </c>
      <c r="K2585" s="55" t="s">
        <v>32</v>
      </c>
      <c r="L2585" s="60" t="s">
        <v>236</v>
      </c>
    </row>
    <row r="2586" spans="1:13" x14ac:dyDescent="0.3">
      <c r="H2586" s="74">
        <v>80</v>
      </c>
      <c r="K2586" s="55" t="s">
        <v>96</v>
      </c>
    </row>
    <row r="2587" spans="1:13" x14ac:dyDescent="0.3">
      <c r="H2587" s="74">
        <v>40</v>
      </c>
      <c r="K2587" s="55" t="s">
        <v>32</v>
      </c>
      <c r="L2587" s="60" t="s">
        <v>265</v>
      </c>
    </row>
    <row r="2588" spans="1:13" x14ac:dyDescent="0.3">
      <c r="H2588" s="74">
        <v>20</v>
      </c>
      <c r="K2588" s="55" t="s">
        <v>32</v>
      </c>
      <c r="L2588" s="60" t="s">
        <v>131</v>
      </c>
    </row>
    <row r="2589" spans="1:13" x14ac:dyDescent="0.3">
      <c r="H2589" s="81">
        <v>35</v>
      </c>
      <c r="I2589" s="49"/>
      <c r="J2589" s="49"/>
      <c r="K2589" s="58" t="s">
        <v>33</v>
      </c>
      <c r="L2589" s="62" t="s">
        <v>985</v>
      </c>
      <c r="M2589" s="1" t="s">
        <v>987</v>
      </c>
    </row>
    <row r="2590" spans="1:13" x14ac:dyDescent="0.3">
      <c r="H2590" s="81">
        <v>75</v>
      </c>
      <c r="I2590" s="49"/>
      <c r="J2590" s="49"/>
      <c r="K2590" s="58" t="s">
        <v>33</v>
      </c>
      <c r="L2590" s="62" t="s">
        <v>986</v>
      </c>
      <c r="M2590" s="1" t="s">
        <v>987</v>
      </c>
    </row>
    <row r="2591" spans="1:13" x14ac:dyDescent="0.3">
      <c r="H2591" s="74">
        <v>20</v>
      </c>
      <c r="K2591" s="55" t="s">
        <v>34</v>
      </c>
      <c r="L2591" s="60" t="s">
        <v>988</v>
      </c>
    </row>
    <row r="2592" spans="1:13" x14ac:dyDescent="0.3">
      <c r="H2592" s="74">
        <v>20</v>
      </c>
      <c r="K2592" s="55" t="s">
        <v>30</v>
      </c>
      <c r="L2592" s="60" t="s">
        <v>989</v>
      </c>
    </row>
    <row r="2593" spans="1:13" x14ac:dyDescent="0.3">
      <c r="A2593" s="72" t="s">
        <v>990</v>
      </c>
      <c r="B2593" s="55" t="s">
        <v>0</v>
      </c>
      <c r="C2593" s="67" t="s">
        <v>49</v>
      </c>
      <c r="D2593" s="55" t="s">
        <v>50</v>
      </c>
      <c r="E2593" s="19">
        <v>269.23</v>
      </c>
      <c r="F2593" s="19">
        <v>10</v>
      </c>
      <c r="G2593" s="55" t="s">
        <v>11</v>
      </c>
      <c r="H2593" s="74">
        <v>10</v>
      </c>
      <c r="K2593" s="55" t="s">
        <v>25</v>
      </c>
    </row>
    <row r="2594" spans="1:13" x14ac:dyDescent="0.3">
      <c r="H2594" s="74">
        <v>10</v>
      </c>
      <c r="K2594" s="55" t="s">
        <v>84</v>
      </c>
    </row>
    <row r="2595" spans="1:13" x14ac:dyDescent="0.3">
      <c r="H2595" s="74">
        <v>100</v>
      </c>
      <c r="K2595" s="55" t="s">
        <v>96</v>
      </c>
    </row>
    <row r="2596" spans="1:13" x14ac:dyDescent="0.3">
      <c r="H2596" s="74">
        <v>50</v>
      </c>
      <c r="K2596" s="55" t="s">
        <v>32</v>
      </c>
      <c r="L2596" s="60" t="s">
        <v>965</v>
      </c>
    </row>
    <row r="2597" spans="1:13" x14ac:dyDescent="0.3">
      <c r="H2597" s="74">
        <v>20</v>
      </c>
      <c r="K2597" s="55" t="s">
        <v>102</v>
      </c>
    </row>
    <row r="2598" spans="1:13" x14ac:dyDescent="0.3">
      <c r="H2598" s="74">
        <v>20</v>
      </c>
      <c r="K2598" s="55" t="s">
        <v>34</v>
      </c>
      <c r="L2598" s="60" t="s">
        <v>988</v>
      </c>
    </row>
    <row r="2599" spans="1:13" x14ac:dyDescent="0.3">
      <c r="H2599" s="74">
        <v>80</v>
      </c>
      <c r="K2599" s="55" t="s">
        <v>33</v>
      </c>
      <c r="L2599" s="60" t="s">
        <v>983</v>
      </c>
      <c r="M2599" s="1" t="s">
        <v>987</v>
      </c>
    </row>
    <row r="2600" spans="1:13" x14ac:dyDescent="0.3">
      <c r="H2600" s="74">
        <v>20</v>
      </c>
      <c r="K2600" s="55" t="s">
        <v>33</v>
      </c>
      <c r="L2600" s="60" t="s">
        <v>454</v>
      </c>
    </row>
    <row r="2601" spans="1:13" x14ac:dyDescent="0.3">
      <c r="H2601" s="74">
        <v>30</v>
      </c>
      <c r="K2601" s="55" t="s">
        <v>30</v>
      </c>
    </row>
    <row r="2602" spans="1:13" x14ac:dyDescent="0.3">
      <c r="A2602" s="72" t="s">
        <v>990</v>
      </c>
      <c r="B2602" s="55" t="s">
        <v>10</v>
      </c>
      <c r="C2602" s="67" t="s">
        <v>188</v>
      </c>
      <c r="D2602" s="55" t="s">
        <v>51</v>
      </c>
      <c r="E2602" s="19">
        <v>188.4</v>
      </c>
      <c r="F2602" s="19">
        <v>7</v>
      </c>
      <c r="G2602" s="55" t="s">
        <v>11</v>
      </c>
      <c r="H2602" s="74">
        <v>10</v>
      </c>
      <c r="K2602" s="55" t="s">
        <v>25</v>
      </c>
    </row>
    <row r="2603" spans="1:13" x14ac:dyDescent="0.3">
      <c r="H2603" s="74">
        <v>10</v>
      </c>
      <c r="K2603" s="55" t="s">
        <v>84</v>
      </c>
    </row>
    <row r="2604" spans="1:13" x14ac:dyDescent="0.3">
      <c r="H2604" s="74">
        <v>15</v>
      </c>
      <c r="K2604" s="55" t="s">
        <v>33</v>
      </c>
      <c r="L2604" s="60" t="s">
        <v>991</v>
      </c>
    </row>
    <row r="2605" spans="1:13" x14ac:dyDescent="0.3">
      <c r="H2605" s="74">
        <v>80</v>
      </c>
      <c r="K2605" s="55" t="s">
        <v>32</v>
      </c>
      <c r="L2605" s="60" t="s">
        <v>460</v>
      </c>
      <c r="M2605" s="1" t="s">
        <v>987</v>
      </c>
    </row>
    <row r="2606" spans="1:13" x14ac:dyDescent="0.3">
      <c r="H2606" s="74">
        <v>70</v>
      </c>
      <c r="K2606" s="55" t="s">
        <v>96</v>
      </c>
    </row>
    <row r="2607" spans="1:13" x14ac:dyDescent="0.3">
      <c r="H2607" s="74">
        <v>120</v>
      </c>
      <c r="K2607" s="55" t="s">
        <v>33</v>
      </c>
      <c r="L2607" s="60" t="s">
        <v>993</v>
      </c>
    </row>
    <row r="2608" spans="1:13" x14ac:dyDescent="0.3">
      <c r="H2608" s="74">
        <v>30</v>
      </c>
      <c r="K2608" s="55" t="s">
        <v>32</v>
      </c>
      <c r="L2608" s="60" t="s">
        <v>565</v>
      </c>
    </row>
    <row r="2609" spans="1:12" x14ac:dyDescent="0.3">
      <c r="H2609" s="74">
        <v>10</v>
      </c>
      <c r="K2609" s="55" t="s">
        <v>55</v>
      </c>
      <c r="L2609" s="60" t="s">
        <v>13</v>
      </c>
    </row>
    <row r="2610" spans="1:12" x14ac:dyDescent="0.3">
      <c r="H2610" s="74">
        <v>20</v>
      </c>
      <c r="K2610" s="55" t="s">
        <v>102</v>
      </c>
    </row>
    <row r="2611" spans="1:12" x14ac:dyDescent="0.3">
      <c r="H2611" s="74">
        <v>20</v>
      </c>
      <c r="K2611" s="55" t="s">
        <v>34</v>
      </c>
      <c r="L2611" s="60" t="s">
        <v>992</v>
      </c>
    </row>
    <row r="2612" spans="1:12" x14ac:dyDescent="0.3">
      <c r="A2612" s="72" t="s">
        <v>990</v>
      </c>
      <c r="B2612" s="55" t="s">
        <v>12</v>
      </c>
      <c r="C2612" s="67" t="s">
        <v>48</v>
      </c>
      <c r="D2612" s="55" t="s">
        <v>52</v>
      </c>
      <c r="E2612" s="19">
        <v>275.99</v>
      </c>
      <c r="F2612" s="19">
        <v>10</v>
      </c>
      <c r="G2612" s="55" t="s">
        <v>11</v>
      </c>
      <c r="H2612" s="74">
        <v>10</v>
      </c>
      <c r="K2612" s="55" t="s">
        <v>25</v>
      </c>
    </row>
    <row r="2613" spans="1:12" x14ac:dyDescent="0.3">
      <c r="H2613" s="74">
        <v>10</v>
      </c>
      <c r="K2613" s="55" t="s">
        <v>84</v>
      </c>
    </row>
    <row r="2614" spans="1:12" x14ac:dyDescent="0.3">
      <c r="H2614" s="74">
        <v>80</v>
      </c>
      <c r="K2614" s="55" t="s">
        <v>33</v>
      </c>
      <c r="L2614" s="60" t="s">
        <v>993</v>
      </c>
    </row>
    <row r="2615" spans="1:12" x14ac:dyDescent="0.3">
      <c r="H2615" s="74">
        <v>30</v>
      </c>
      <c r="K2615" s="55" t="s">
        <v>32</v>
      </c>
      <c r="L2615" s="60" t="s">
        <v>460</v>
      </c>
    </row>
    <row r="2616" spans="1:12" x14ac:dyDescent="0.3">
      <c r="H2616" s="74">
        <v>45</v>
      </c>
      <c r="K2616" s="55" t="s">
        <v>32</v>
      </c>
      <c r="L2616" s="60" t="s">
        <v>275</v>
      </c>
    </row>
    <row r="2617" spans="1:12" x14ac:dyDescent="0.3">
      <c r="H2617" s="74">
        <v>100</v>
      </c>
      <c r="K2617" s="55" t="s">
        <v>96</v>
      </c>
    </row>
    <row r="2618" spans="1:12" x14ac:dyDescent="0.3">
      <c r="H2618" s="74">
        <v>20</v>
      </c>
      <c r="K2618" s="55" t="s">
        <v>102</v>
      </c>
    </row>
    <row r="2619" spans="1:12" x14ac:dyDescent="0.3">
      <c r="H2619" s="74">
        <v>20</v>
      </c>
      <c r="K2619" s="55" t="s">
        <v>33</v>
      </c>
      <c r="L2619" s="60" t="s">
        <v>964</v>
      </c>
    </row>
    <row r="2620" spans="1:12" x14ac:dyDescent="0.3">
      <c r="H2620" s="74">
        <v>15</v>
      </c>
      <c r="K2620" s="55" t="s">
        <v>55</v>
      </c>
      <c r="L2620" s="60" t="s">
        <v>38</v>
      </c>
    </row>
    <row r="2621" spans="1:12" x14ac:dyDescent="0.3">
      <c r="H2621" s="74">
        <v>30</v>
      </c>
      <c r="K2621" s="55" t="s">
        <v>30</v>
      </c>
    </row>
    <row r="2622" spans="1:12" x14ac:dyDescent="0.3">
      <c r="A2622" s="72" t="s">
        <v>994</v>
      </c>
      <c r="B2622" s="55" t="s">
        <v>0</v>
      </c>
      <c r="D2622" s="55" t="s">
        <v>50</v>
      </c>
      <c r="E2622" s="19">
        <v>291.08</v>
      </c>
      <c r="F2622" s="19" t="s">
        <v>997</v>
      </c>
      <c r="G2622" s="55" t="s">
        <v>11</v>
      </c>
      <c r="H2622" s="74">
        <v>10</v>
      </c>
      <c r="K2622" s="55" t="s">
        <v>25</v>
      </c>
    </row>
    <row r="2623" spans="1:12" x14ac:dyDescent="0.3">
      <c r="H2623" s="74">
        <v>10</v>
      </c>
      <c r="K2623" s="55" t="s">
        <v>84</v>
      </c>
    </row>
    <row r="2624" spans="1:12" x14ac:dyDescent="0.3">
      <c r="H2624" s="74">
        <v>110</v>
      </c>
      <c r="K2624" s="55" t="s">
        <v>96</v>
      </c>
    </row>
    <row r="2625" spans="1:12" x14ac:dyDescent="0.3">
      <c r="H2625" s="74">
        <v>90</v>
      </c>
      <c r="K2625" s="55" t="s">
        <v>32</v>
      </c>
      <c r="L2625" s="60" t="s">
        <v>518</v>
      </c>
    </row>
    <row r="2626" spans="1:12" x14ac:dyDescent="0.3">
      <c r="H2626" s="74">
        <v>20</v>
      </c>
      <c r="K2626" s="55" t="s">
        <v>102</v>
      </c>
    </row>
    <row r="2627" spans="1:12" x14ac:dyDescent="0.3">
      <c r="H2627" s="74">
        <v>50</v>
      </c>
      <c r="K2627" s="55" t="s">
        <v>32</v>
      </c>
      <c r="L2627" s="60" t="s">
        <v>965</v>
      </c>
    </row>
    <row r="2628" spans="1:12" x14ac:dyDescent="0.3">
      <c r="H2628" s="74">
        <v>15</v>
      </c>
      <c r="K2628" s="55" t="s">
        <v>34</v>
      </c>
      <c r="L2628" s="60" t="s">
        <v>988</v>
      </c>
    </row>
    <row r="2629" spans="1:12" x14ac:dyDescent="0.3">
      <c r="H2629" s="74">
        <v>30</v>
      </c>
      <c r="K2629" s="55" t="s">
        <v>30</v>
      </c>
    </row>
    <row r="2630" spans="1:12" x14ac:dyDescent="0.3">
      <c r="H2630" s="74">
        <v>15</v>
      </c>
      <c r="K2630" s="55" t="s">
        <v>55</v>
      </c>
      <c r="L2630" s="60" t="s">
        <v>356</v>
      </c>
    </row>
    <row r="2631" spans="1:12" x14ac:dyDescent="0.3">
      <c r="H2631" s="74">
        <v>30</v>
      </c>
      <c r="K2631" s="55" t="s">
        <v>34</v>
      </c>
      <c r="L2631" s="60" t="s">
        <v>996</v>
      </c>
    </row>
    <row r="2633" spans="1:12" x14ac:dyDescent="0.3">
      <c r="A2633" s="72" t="s">
        <v>994</v>
      </c>
      <c r="B2633" s="55" t="s">
        <v>10</v>
      </c>
      <c r="C2633" s="67" t="s">
        <v>188</v>
      </c>
      <c r="D2633" s="55" t="s">
        <v>51</v>
      </c>
      <c r="E2633" s="19">
        <v>107.63</v>
      </c>
      <c r="F2633" s="19">
        <v>3</v>
      </c>
      <c r="G2633" s="55" t="s">
        <v>11</v>
      </c>
      <c r="H2633" s="74">
        <v>10</v>
      </c>
      <c r="K2633" s="55" t="s">
        <v>25</v>
      </c>
    </row>
    <row r="2634" spans="1:12" x14ac:dyDescent="0.3">
      <c r="H2634" s="74">
        <v>10</v>
      </c>
      <c r="K2634" s="55" t="s">
        <v>84</v>
      </c>
    </row>
    <row r="2635" spans="1:12" x14ac:dyDescent="0.3">
      <c r="H2635" s="74">
        <v>40</v>
      </c>
      <c r="K2635" s="55" t="s">
        <v>96</v>
      </c>
    </row>
    <row r="2636" spans="1:12" x14ac:dyDescent="0.3">
      <c r="H2636" s="74">
        <v>80</v>
      </c>
      <c r="K2636" s="55" t="s">
        <v>32</v>
      </c>
      <c r="L2636" s="60" t="s">
        <v>1000</v>
      </c>
    </row>
    <row r="2637" spans="1:12" x14ac:dyDescent="0.3">
      <c r="H2637" s="74">
        <v>60</v>
      </c>
      <c r="K2637" s="55" t="s">
        <v>33</v>
      </c>
      <c r="L2637" s="60" t="s">
        <v>998</v>
      </c>
    </row>
    <row r="2638" spans="1:12" x14ac:dyDescent="0.3">
      <c r="H2638" s="74">
        <v>120</v>
      </c>
      <c r="K2638" s="55" t="s">
        <v>33</v>
      </c>
      <c r="L2638" s="60" t="s">
        <v>999</v>
      </c>
    </row>
    <row r="2639" spans="1:12" x14ac:dyDescent="0.3">
      <c r="H2639" s="74">
        <v>30</v>
      </c>
      <c r="K2639" s="55" t="s">
        <v>34</v>
      </c>
      <c r="L2639" s="60" t="s">
        <v>149</v>
      </c>
    </row>
    <row r="2640" spans="1:12" x14ac:dyDescent="0.3">
      <c r="H2640" s="74">
        <v>20</v>
      </c>
      <c r="K2640" s="55" t="s">
        <v>34</v>
      </c>
      <c r="L2640" s="60" t="s">
        <v>561</v>
      </c>
    </row>
    <row r="2643" spans="1:12" x14ac:dyDescent="0.3">
      <c r="A2643" s="72" t="s">
        <v>994</v>
      </c>
      <c r="B2643" s="55" t="s">
        <v>12</v>
      </c>
      <c r="C2643" s="67" t="s">
        <v>48</v>
      </c>
      <c r="D2643" s="55" t="s">
        <v>52</v>
      </c>
      <c r="E2643" s="19">
        <v>78.39</v>
      </c>
      <c r="F2643" s="19">
        <v>3</v>
      </c>
      <c r="G2643" s="55" t="s">
        <v>11</v>
      </c>
      <c r="H2643" s="74">
        <v>10</v>
      </c>
      <c r="K2643" s="55" t="s">
        <v>25</v>
      </c>
    </row>
    <row r="2644" spans="1:12" x14ac:dyDescent="0.3">
      <c r="H2644" s="74">
        <v>10</v>
      </c>
      <c r="K2644" s="55" t="s">
        <v>84</v>
      </c>
    </row>
    <row r="2645" spans="1:12" x14ac:dyDescent="0.3">
      <c r="H2645" s="74">
        <v>60</v>
      </c>
      <c r="K2645" s="55" t="s">
        <v>32</v>
      </c>
      <c r="L2645" s="60" t="s">
        <v>995</v>
      </c>
    </row>
    <row r="2646" spans="1:12" x14ac:dyDescent="0.3">
      <c r="H2646" s="96">
        <v>130</v>
      </c>
      <c r="I2646" s="97"/>
      <c r="J2646" s="97"/>
      <c r="K2646" s="98" t="s">
        <v>33</v>
      </c>
      <c r="L2646" s="99" t="s">
        <v>612</v>
      </c>
    </row>
    <row r="2647" spans="1:12" x14ac:dyDescent="0.3">
      <c r="H2647" s="74">
        <v>40</v>
      </c>
      <c r="K2647" s="55" t="s">
        <v>96</v>
      </c>
    </row>
    <row r="2648" spans="1:12" x14ac:dyDescent="0.3">
      <c r="H2648" s="74">
        <v>100</v>
      </c>
      <c r="K2648" s="55" t="s">
        <v>32</v>
      </c>
      <c r="L2648" s="60" t="s">
        <v>1001</v>
      </c>
    </row>
    <row r="2649" spans="1:12" x14ac:dyDescent="0.3">
      <c r="H2649" s="74">
        <v>30</v>
      </c>
      <c r="K2649" s="55" t="s">
        <v>55</v>
      </c>
      <c r="L2649" s="60" t="s">
        <v>1002</v>
      </c>
    </row>
    <row r="2650" spans="1:12" x14ac:dyDescent="0.3">
      <c r="H2650" s="74">
        <v>20</v>
      </c>
      <c r="K2650" s="55" t="s">
        <v>34</v>
      </c>
      <c r="L2650" s="60" t="s">
        <v>988</v>
      </c>
    </row>
    <row r="2651" spans="1:12" x14ac:dyDescent="0.3">
      <c r="H2651" s="74">
        <v>30</v>
      </c>
      <c r="K2651" s="55" t="s">
        <v>30</v>
      </c>
    </row>
    <row r="2653" spans="1:12" x14ac:dyDescent="0.3">
      <c r="A2653" s="72" t="s">
        <v>1003</v>
      </c>
      <c r="B2653" s="55" t="s">
        <v>0</v>
      </c>
      <c r="C2653" s="67" t="s">
        <v>47</v>
      </c>
      <c r="D2653" s="55" t="s">
        <v>50</v>
      </c>
      <c r="E2653" s="19">
        <v>251.2</v>
      </c>
      <c r="F2653" s="19">
        <v>8</v>
      </c>
      <c r="G2653" s="55" t="s">
        <v>11</v>
      </c>
      <c r="H2653" s="74">
        <v>10</v>
      </c>
      <c r="K2653" s="55" t="s">
        <v>25</v>
      </c>
    </row>
    <row r="2654" spans="1:12" x14ac:dyDescent="0.3">
      <c r="H2654" s="74">
        <v>10</v>
      </c>
      <c r="K2654" s="55" t="s">
        <v>84</v>
      </c>
    </row>
    <row r="2655" spans="1:12" x14ac:dyDescent="0.3">
      <c r="H2655" s="74">
        <v>80</v>
      </c>
      <c r="K2655" s="55" t="s">
        <v>32</v>
      </c>
      <c r="L2655" s="60" t="s">
        <v>137</v>
      </c>
    </row>
    <row r="2656" spans="1:12" x14ac:dyDescent="0.3">
      <c r="H2656" s="74">
        <v>80</v>
      </c>
      <c r="K2656" s="55" t="s">
        <v>96</v>
      </c>
    </row>
    <row r="2657" spans="1:12" x14ac:dyDescent="0.3">
      <c r="H2657" s="74">
        <v>60</v>
      </c>
      <c r="K2657" s="55" t="s">
        <v>32</v>
      </c>
      <c r="L2657" s="60" t="s">
        <v>663</v>
      </c>
    </row>
    <row r="2658" spans="1:12" x14ac:dyDescent="0.3">
      <c r="H2658" s="74">
        <v>20</v>
      </c>
      <c r="K2658" s="55" t="s">
        <v>55</v>
      </c>
      <c r="L2658" s="60" t="s">
        <v>13</v>
      </c>
    </row>
    <row r="2659" spans="1:12" x14ac:dyDescent="0.3">
      <c r="H2659" s="74">
        <v>20</v>
      </c>
      <c r="K2659" s="55" t="s">
        <v>34</v>
      </c>
      <c r="L2659" s="60" t="s">
        <v>794</v>
      </c>
    </row>
    <row r="2660" spans="1:12" x14ac:dyDescent="0.3">
      <c r="H2660" s="74">
        <v>20</v>
      </c>
      <c r="K2660" s="55" t="s">
        <v>30</v>
      </c>
      <c r="L2660" s="60" t="s">
        <v>136</v>
      </c>
    </row>
    <row r="2662" spans="1:12" x14ac:dyDescent="0.3">
      <c r="A2662" s="72" t="s">
        <v>1003</v>
      </c>
      <c r="B2662" s="55" t="s">
        <v>10</v>
      </c>
      <c r="C2662" s="67" t="s">
        <v>49</v>
      </c>
      <c r="D2662" s="55" t="s">
        <v>51</v>
      </c>
      <c r="E2662" s="19">
        <v>184.84</v>
      </c>
      <c r="F2662" s="19">
        <v>6</v>
      </c>
      <c r="G2662" s="55" t="s">
        <v>11</v>
      </c>
      <c r="H2662" s="74">
        <v>10</v>
      </c>
      <c r="K2662" s="55" t="s">
        <v>25</v>
      </c>
    </row>
    <row r="2663" spans="1:12" x14ac:dyDescent="0.3">
      <c r="H2663" s="74">
        <v>10</v>
      </c>
      <c r="K2663" s="55" t="s">
        <v>84</v>
      </c>
    </row>
    <row r="2664" spans="1:12" x14ac:dyDescent="0.3">
      <c r="H2664" s="74">
        <v>50</v>
      </c>
      <c r="K2664" s="55" t="s">
        <v>32</v>
      </c>
      <c r="L2664" s="60" t="s">
        <v>1004</v>
      </c>
    </row>
    <row r="2665" spans="1:12" x14ac:dyDescent="0.3">
      <c r="H2665" s="74">
        <v>70</v>
      </c>
      <c r="K2665" s="55" t="s">
        <v>96</v>
      </c>
    </row>
    <row r="2666" spans="1:12" x14ac:dyDescent="0.3">
      <c r="H2666" s="74">
        <v>20</v>
      </c>
      <c r="K2666" s="55" t="s">
        <v>102</v>
      </c>
    </row>
    <row r="2667" spans="1:12" x14ac:dyDescent="0.3">
      <c r="H2667" s="74">
        <v>60</v>
      </c>
      <c r="K2667" s="55" t="s">
        <v>32</v>
      </c>
      <c r="L2667" s="60" t="s">
        <v>1005</v>
      </c>
    </row>
    <row r="2668" spans="1:12" x14ac:dyDescent="0.3">
      <c r="H2668" s="74">
        <v>30</v>
      </c>
      <c r="K2668" s="55" t="s">
        <v>34</v>
      </c>
      <c r="L2668" s="60" t="s">
        <v>149</v>
      </c>
    </row>
    <row r="2669" spans="1:12" x14ac:dyDescent="0.3">
      <c r="H2669" s="74">
        <v>38</v>
      </c>
      <c r="K2669" s="55" t="s">
        <v>33</v>
      </c>
      <c r="L2669" s="60" t="s">
        <v>757</v>
      </c>
    </row>
    <row r="2670" spans="1:12" x14ac:dyDescent="0.3">
      <c r="H2670" s="74">
        <v>30</v>
      </c>
      <c r="K2670" s="55" t="s">
        <v>34</v>
      </c>
      <c r="L2670" s="60" t="s">
        <v>323</v>
      </c>
    </row>
    <row r="2671" spans="1:12" x14ac:dyDescent="0.3">
      <c r="H2671" s="74">
        <v>30</v>
      </c>
      <c r="K2671" s="55" t="s">
        <v>55</v>
      </c>
      <c r="L2671" s="60" t="s">
        <v>1006</v>
      </c>
    </row>
    <row r="2672" spans="1:12" x14ac:dyDescent="0.3">
      <c r="H2672" s="74">
        <v>20</v>
      </c>
      <c r="K2672" s="55" t="s">
        <v>55</v>
      </c>
      <c r="L2672" s="60" t="s">
        <v>13</v>
      </c>
    </row>
    <row r="2674" spans="1:13" x14ac:dyDescent="0.3">
      <c r="A2674" s="72" t="s">
        <v>1003</v>
      </c>
      <c r="B2674" s="55" t="s">
        <v>12</v>
      </c>
      <c r="C2674" s="67" t="s">
        <v>188</v>
      </c>
      <c r="D2674" s="55" t="s">
        <v>52</v>
      </c>
      <c r="E2674" s="19">
        <v>136.47</v>
      </c>
      <c r="F2674" s="19">
        <v>5</v>
      </c>
      <c r="G2674" s="55" t="s">
        <v>11</v>
      </c>
      <c r="H2674" s="74">
        <v>10</v>
      </c>
      <c r="K2674" s="55" t="s">
        <v>25</v>
      </c>
    </row>
    <row r="2675" spans="1:13" x14ac:dyDescent="0.3">
      <c r="H2675" s="74">
        <v>10</v>
      </c>
      <c r="K2675" s="55" t="s">
        <v>84</v>
      </c>
    </row>
    <row r="2676" spans="1:13" x14ac:dyDescent="0.3">
      <c r="H2676" s="74">
        <v>30</v>
      </c>
      <c r="K2676" s="55" t="s">
        <v>32</v>
      </c>
      <c r="L2676" s="60" t="s">
        <v>1009</v>
      </c>
    </row>
    <row r="2677" spans="1:13" x14ac:dyDescent="0.3">
      <c r="H2677" s="96">
        <v>140</v>
      </c>
      <c r="I2677" s="97"/>
      <c r="J2677" s="97"/>
      <c r="K2677" s="98" t="s">
        <v>33</v>
      </c>
      <c r="L2677" s="99" t="s">
        <v>1008</v>
      </c>
      <c r="M2677" s="1" t="s">
        <v>1007</v>
      </c>
    </row>
    <row r="2678" spans="1:13" x14ac:dyDescent="0.3">
      <c r="H2678" s="74">
        <v>60</v>
      </c>
      <c r="K2678" s="55" t="s">
        <v>96</v>
      </c>
    </row>
    <row r="2679" spans="1:13" x14ac:dyDescent="0.3">
      <c r="H2679" s="74">
        <v>50</v>
      </c>
      <c r="K2679" s="55" t="s">
        <v>32</v>
      </c>
      <c r="L2679" s="60" t="s">
        <v>1010</v>
      </c>
    </row>
    <row r="2680" spans="1:13" x14ac:dyDescent="0.3">
      <c r="H2680" s="74">
        <v>20</v>
      </c>
      <c r="K2680" s="55" t="s">
        <v>34</v>
      </c>
      <c r="L2680" s="60" t="s">
        <v>343</v>
      </c>
    </row>
    <row r="2681" spans="1:13" x14ac:dyDescent="0.3">
      <c r="H2681" s="74">
        <v>20</v>
      </c>
      <c r="K2681" s="55" t="s">
        <v>34</v>
      </c>
      <c r="L2681" s="60" t="s">
        <v>988</v>
      </c>
    </row>
    <row r="2682" spans="1:13" x14ac:dyDescent="0.3">
      <c r="H2682" s="74">
        <v>30</v>
      </c>
      <c r="K2682" s="55" t="s">
        <v>30</v>
      </c>
    </row>
    <row r="2683" spans="1:13" x14ac:dyDescent="0.3">
      <c r="H2683" s="74">
        <v>20</v>
      </c>
      <c r="K2683" s="55" t="s">
        <v>55</v>
      </c>
      <c r="L2683" s="60" t="s">
        <v>1011</v>
      </c>
    </row>
    <row r="2685" spans="1:13" x14ac:dyDescent="0.3">
      <c r="A2685" s="72" t="s">
        <v>1013</v>
      </c>
      <c r="B2685" s="55" t="s">
        <v>0</v>
      </c>
      <c r="C2685" s="67" t="s">
        <v>47</v>
      </c>
      <c r="D2685" s="55" t="s">
        <v>50</v>
      </c>
      <c r="E2685" s="19">
        <v>154.82</v>
      </c>
      <c r="F2685" s="19">
        <v>5</v>
      </c>
      <c r="G2685" s="55" t="s">
        <v>11</v>
      </c>
      <c r="H2685" s="74">
        <v>10</v>
      </c>
      <c r="K2685" s="55" t="s">
        <v>25</v>
      </c>
    </row>
    <row r="2686" spans="1:13" x14ac:dyDescent="0.3">
      <c r="H2686" s="74">
        <v>10</v>
      </c>
      <c r="K2686" s="55" t="s">
        <v>84</v>
      </c>
    </row>
    <row r="2687" spans="1:13" x14ac:dyDescent="0.3">
      <c r="H2687" s="74">
        <v>60</v>
      </c>
      <c r="K2687" s="55" t="s">
        <v>32</v>
      </c>
      <c r="L2687" s="60" t="s">
        <v>137</v>
      </c>
    </row>
    <row r="2688" spans="1:13" x14ac:dyDescent="0.3">
      <c r="H2688" s="74">
        <v>60</v>
      </c>
      <c r="K2688" s="55" t="s">
        <v>96</v>
      </c>
    </row>
    <row r="2689" spans="1:12" x14ac:dyDescent="0.3">
      <c r="H2689" s="96">
        <v>170</v>
      </c>
      <c r="I2689" s="97"/>
      <c r="J2689" s="97"/>
      <c r="K2689" s="98" t="s">
        <v>33</v>
      </c>
      <c r="L2689" s="99" t="s">
        <v>1012</v>
      </c>
    </row>
    <row r="2690" spans="1:12" x14ac:dyDescent="0.3">
      <c r="H2690" s="74">
        <v>20</v>
      </c>
      <c r="K2690" s="55" t="s">
        <v>34</v>
      </c>
      <c r="L2690" s="60" t="s">
        <v>149</v>
      </c>
    </row>
    <row r="2691" spans="1:12" x14ac:dyDescent="0.3">
      <c r="H2691" s="74">
        <v>30</v>
      </c>
      <c r="K2691" s="55" t="s">
        <v>34</v>
      </c>
      <c r="L2691" s="60" t="s">
        <v>794</v>
      </c>
    </row>
    <row r="2692" spans="1:12" x14ac:dyDescent="0.3">
      <c r="H2692" s="74">
        <v>30</v>
      </c>
      <c r="K2692" s="55" t="s">
        <v>30</v>
      </c>
      <c r="L2692" s="60" t="s">
        <v>136</v>
      </c>
    </row>
    <row r="2694" spans="1:12" x14ac:dyDescent="0.3">
      <c r="A2694" s="72" t="s">
        <v>1013</v>
      </c>
      <c r="B2694" s="55" t="s">
        <v>10</v>
      </c>
      <c r="C2694" s="67" t="s">
        <v>188</v>
      </c>
      <c r="D2694" s="55" t="s">
        <v>51</v>
      </c>
      <c r="E2694" s="19">
        <v>228.14</v>
      </c>
      <c r="F2694" s="19">
        <v>7</v>
      </c>
      <c r="G2694" s="55" t="s">
        <v>11</v>
      </c>
      <c r="H2694" s="74">
        <v>10</v>
      </c>
      <c r="K2694" s="55" t="s">
        <v>25</v>
      </c>
    </row>
    <row r="2695" spans="1:12" x14ac:dyDescent="0.3">
      <c r="H2695" s="74">
        <v>50</v>
      </c>
      <c r="K2695" s="55" t="s">
        <v>84</v>
      </c>
      <c r="L2695" s="60" t="s">
        <v>1014</v>
      </c>
    </row>
    <row r="2696" spans="1:12" x14ac:dyDescent="0.3">
      <c r="H2696" s="74">
        <v>70</v>
      </c>
      <c r="K2696" s="55" t="s">
        <v>96</v>
      </c>
    </row>
    <row r="2697" spans="1:12" x14ac:dyDescent="0.3">
      <c r="H2697" s="74">
        <v>80</v>
      </c>
      <c r="K2697" s="55" t="s">
        <v>32</v>
      </c>
      <c r="L2697" s="60" t="s">
        <v>1015</v>
      </c>
    </row>
    <row r="2698" spans="1:12" x14ac:dyDescent="0.3">
      <c r="H2698" s="74">
        <v>50</v>
      </c>
      <c r="K2698" s="55" t="s">
        <v>32</v>
      </c>
      <c r="L2698" s="60" t="s">
        <v>1016</v>
      </c>
    </row>
    <row r="2699" spans="1:12" x14ac:dyDescent="0.3">
      <c r="H2699" s="74">
        <v>20</v>
      </c>
      <c r="K2699" s="55" t="s">
        <v>30</v>
      </c>
      <c r="L2699" s="60" t="s">
        <v>136</v>
      </c>
    </row>
    <row r="2700" spans="1:12" x14ac:dyDescent="0.3">
      <c r="H2700" s="74">
        <v>40</v>
      </c>
      <c r="K2700" s="55" t="s">
        <v>34</v>
      </c>
      <c r="L2700" s="60" t="s">
        <v>323</v>
      </c>
    </row>
    <row r="2701" spans="1:12" x14ac:dyDescent="0.3">
      <c r="H2701" s="74">
        <v>20</v>
      </c>
      <c r="K2701" s="55" t="s">
        <v>34</v>
      </c>
      <c r="L2701" s="60" t="s">
        <v>149</v>
      </c>
    </row>
    <row r="2703" spans="1:12" x14ac:dyDescent="0.3">
      <c r="A2703" s="72" t="s">
        <v>1013</v>
      </c>
      <c r="B2703" s="55" t="s">
        <v>12</v>
      </c>
      <c r="C2703" s="67" t="s">
        <v>46</v>
      </c>
      <c r="D2703" s="55" t="s">
        <v>52</v>
      </c>
      <c r="E2703" s="19">
        <v>244.59</v>
      </c>
      <c r="F2703" s="19">
        <v>7</v>
      </c>
      <c r="G2703" s="55" t="s">
        <v>11</v>
      </c>
      <c r="H2703" s="74">
        <v>10</v>
      </c>
      <c r="K2703" s="55" t="s">
        <v>25</v>
      </c>
    </row>
    <row r="2704" spans="1:12" x14ac:dyDescent="0.3">
      <c r="H2704" s="74">
        <v>10</v>
      </c>
      <c r="K2704" s="55" t="s">
        <v>84</v>
      </c>
    </row>
    <row r="2705" spans="1:12" x14ac:dyDescent="0.3">
      <c r="H2705" s="74">
        <v>30</v>
      </c>
      <c r="K2705" s="55" t="s">
        <v>32</v>
      </c>
      <c r="L2705" s="60" t="s">
        <v>1009</v>
      </c>
    </row>
    <row r="2706" spans="1:12" x14ac:dyDescent="0.3">
      <c r="H2706" s="96">
        <v>60</v>
      </c>
      <c r="I2706" s="97"/>
      <c r="J2706" s="97"/>
      <c r="K2706" s="98" t="s">
        <v>33</v>
      </c>
      <c r="L2706" s="99" t="s">
        <v>1017</v>
      </c>
    </row>
    <row r="2707" spans="1:12" x14ac:dyDescent="0.3">
      <c r="H2707" s="74">
        <v>80</v>
      </c>
      <c r="K2707" s="55" t="s">
        <v>96</v>
      </c>
    </row>
    <row r="2708" spans="1:12" x14ac:dyDescent="0.3">
      <c r="H2708" s="74">
        <v>50</v>
      </c>
      <c r="K2708" s="55" t="s">
        <v>32</v>
      </c>
      <c r="L2708" s="60" t="s">
        <v>565</v>
      </c>
    </row>
    <row r="2709" spans="1:12" x14ac:dyDescent="0.3">
      <c r="H2709" s="74">
        <v>20</v>
      </c>
      <c r="K2709" s="55" t="s">
        <v>34</v>
      </c>
      <c r="L2709" s="60" t="s">
        <v>343</v>
      </c>
    </row>
    <row r="2710" spans="1:12" x14ac:dyDescent="0.3">
      <c r="H2710" s="74">
        <v>20</v>
      </c>
      <c r="K2710" s="55" t="s">
        <v>34</v>
      </c>
      <c r="L2710" s="60" t="s">
        <v>988</v>
      </c>
    </row>
    <row r="2711" spans="1:12" x14ac:dyDescent="0.3">
      <c r="H2711" s="74">
        <v>30</v>
      </c>
      <c r="K2711" s="55" t="s">
        <v>30</v>
      </c>
      <c r="L2711" s="60" t="s">
        <v>1019</v>
      </c>
    </row>
    <row r="2712" spans="1:12" x14ac:dyDescent="0.3">
      <c r="H2712" s="74">
        <v>30</v>
      </c>
      <c r="K2712" s="55" t="s">
        <v>55</v>
      </c>
      <c r="L2712" s="60" t="s">
        <v>356</v>
      </c>
    </row>
    <row r="2713" spans="1:12" x14ac:dyDescent="0.3">
      <c r="H2713" s="74">
        <v>20</v>
      </c>
      <c r="K2713" s="55" t="s">
        <v>32</v>
      </c>
      <c r="L2713" s="60" t="s">
        <v>1018</v>
      </c>
    </row>
    <row r="2715" spans="1:12" x14ac:dyDescent="0.3">
      <c r="A2715" s="72" t="s">
        <v>1020</v>
      </c>
      <c r="B2715" s="55" t="s">
        <v>0</v>
      </c>
      <c r="C2715" s="67" t="s">
        <v>47</v>
      </c>
      <c r="D2715" s="55" t="s">
        <v>50</v>
      </c>
      <c r="E2715" s="19">
        <v>177.11</v>
      </c>
      <c r="F2715" s="19">
        <v>6</v>
      </c>
      <c r="G2715" s="55" t="s">
        <v>11</v>
      </c>
      <c r="H2715" s="74">
        <v>10</v>
      </c>
      <c r="K2715" s="55" t="s">
        <v>25</v>
      </c>
    </row>
    <row r="2716" spans="1:12" x14ac:dyDescent="0.3">
      <c r="H2716" s="74">
        <v>10</v>
      </c>
      <c r="K2716" s="55" t="s">
        <v>84</v>
      </c>
    </row>
    <row r="2717" spans="1:12" x14ac:dyDescent="0.3">
      <c r="H2717" s="74">
        <v>40</v>
      </c>
      <c r="K2717" s="55" t="s">
        <v>32</v>
      </c>
      <c r="L2717" s="60" t="s">
        <v>1009</v>
      </c>
    </row>
    <row r="2718" spans="1:12" x14ac:dyDescent="0.3">
      <c r="H2718" s="74">
        <v>60</v>
      </c>
      <c r="K2718" s="55" t="s">
        <v>96</v>
      </c>
    </row>
    <row r="2719" spans="1:12" x14ac:dyDescent="0.3">
      <c r="H2719" s="74">
        <v>90</v>
      </c>
      <c r="K2719" s="55" t="s">
        <v>55</v>
      </c>
      <c r="L2719" s="60" t="s">
        <v>866</v>
      </c>
    </row>
    <row r="2720" spans="1:12" x14ac:dyDescent="0.3">
      <c r="H2720" s="74">
        <v>30</v>
      </c>
      <c r="K2720" s="55" t="s">
        <v>33</v>
      </c>
      <c r="L2720" s="60" t="s">
        <v>1021</v>
      </c>
    </row>
    <row r="2721" spans="1:12" x14ac:dyDescent="0.3">
      <c r="H2721" s="74">
        <v>15</v>
      </c>
      <c r="K2721" s="55" t="s">
        <v>33</v>
      </c>
      <c r="L2721" s="60" t="s">
        <v>1022</v>
      </c>
    </row>
    <row r="2722" spans="1:12" x14ac:dyDescent="0.3">
      <c r="H2722" s="74">
        <v>15</v>
      </c>
      <c r="K2722" s="55" t="s">
        <v>33</v>
      </c>
      <c r="L2722" s="60" t="s">
        <v>1023</v>
      </c>
    </row>
    <row r="2723" spans="1:12" x14ac:dyDescent="0.3">
      <c r="H2723" s="74">
        <v>30</v>
      </c>
      <c r="K2723" s="55" t="s">
        <v>34</v>
      </c>
      <c r="L2723" s="60" t="s">
        <v>343</v>
      </c>
    </row>
    <row r="2724" spans="1:12" x14ac:dyDescent="0.3">
      <c r="H2724" s="74">
        <v>20</v>
      </c>
      <c r="K2724" s="55" t="s">
        <v>34</v>
      </c>
      <c r="L2724" s="60" t="s">
        <v>1024</v>
      </c>
    </row>
    <row r="2726" spans="1:12" x14ac:dyDescent="0.3">
      <c r="A2726" s="72" t="s">
        <v>1020</v>
      </c>
      <c r="B2726" s="55" t="s">
        <v>10</v>
      </c>
      <c r="C2726" s="67" t="s">
        <v>188</v>
      </c>
      <c r="D2726" s="55" t="s">
        <v>51</v>
      </c>
      <c r="E2726" s="19">
        <v>281.37</v>
      </c>
      <c r="F2726" s="19">
        <v>9</v>
      </c>
      <c r="G2726" s="55" t="s">
        <v>11</v>
      </c>
      <c r="H2726" s="74">
        <v>10</v>
      </c>
      <c r="K2726" s="55" t="s">
        <v>25</v>
      </c>
    </row>
    <row r="2727" spans="1:12" x14ac:dyDescent="0.3">
      <c r="H2727" s="74">
        <v>10</v>
      </c>
      <c r="K2727" s="55" t="s">
        <v>84</v>
      </c>
    </row>
    <row r="2728" spans="1:12" x14ac:dyDescent="0.3">
      <c r="H2728" s="74">
        <v>90</v>
      </c>
      <c r="K2728" s="55" t="s">
        <v>96</v>
      </c>
    </row>
    <row r="2729" spans="1:12" x14ac:dyDescent="0.3">
      <c r="H2729" s="74">
        <v>90</v>
      </c>
      <c r="K2729" s="55" t="s">
        <v>55</v>
      </c>
      <c r="L2729" s="60" t="s">
        <v>1025</v>
      </c>
    </row>
    <row r="2730" spans="1:12" x14ac:dyDescent="0.3">
      <c r="H2730" s="74">
        <v>20</v>
      </c>
      <c r="K2730" s="55" t="s">
        <v>32</v>
      </c>
      <c r="L2730" s="60" t="s">
        <v>1018</v>
      </c>
    </row>
    <row r="2731" spans="1:12" x14ac:dyDescent="0.3">
      <c r="H2731" s="74">
        <v>40</v>
      </c>
      <c r="K2731" s="55" t="s">
        <v>30</v>
      </c>
      <c r="L2731" s="60" t="s">
        <v>250</v>
      </c>
    </row>
    <row r="2732" spans="1:12" x14ac:dyDescent="0.3">
      <c r="H2732" s="74">
        <v>50</v>
      </c>
      <c r="K2732" s="55" t="s">
        <v>34</v>
      </c>
      <c r="L2732" s="60" t="s">
        <v>1026</v>
      </c>
    </row>
    <row r="2733" spans="1:12" x14ac:dyDescent="0.3">
      <c r="H2733" s="74">
        <v>45</v>
      </c>
      <c r="K2733" s="55" t="s">
        <v>55</v>
      </c>
      <c r="L2733" s="60" t="s">
        <v>737</v>
      </c>
    </row>
    <row r="2734" spans="1:12" x14ac:dyDescent="0.3">
      <c r="H2734" s="74">
        <v>15</v>
      </c>
      <c r="K2734" s="55" t="s">
        <v>55</v>
      </c>
      <c r="L2734" s="60" t="s">
        <v>131</v>
      </c>
    </row>
    <row r="2736" spans="1:12" x14ac:dyDescent="0.3">
      <c r="A2736" s="72" t="s">
        <v>1020</v>
      </c>
      <c r="B2736" s="55" t="s">
        <v>12</v>
      </c>
      <c r="C2736" s="67" t="s">
        <v>46</v>
      </c>
      <c r="D2736" s="55" t="s">
        <v>52</v>
      </c>
      <c r="E2736" s="19">
        <v>269.76</v>
      </c>
      <c r="F2736" s="19">
        <v>8</v>
      </c>
      <c r="G2736" s="55" t="s">
        <v>11</v>
      </c>
      <c r="H2736" s="74">
        <v>10</v>
      </c>
      <c r="K2736" s="55" t="s">
        <v>25</v>
      </c>
    </row>
    <row r="2737" spans="1:12" x14ac:dyDescent="0.3">
      <c r="H2737" s="74">
        <v>10</v>
      </c>
      <c r="K2737" s="55" t="s">
        <v>84</v>
      </c>
    </row>
    <row r="2738" spans="1:12" x14ac:dyDescent="0.3">
      <c r="H2738" s="74">
        <v>90</v>
      </c>
      <c r="K2738" s="55" t="s">
        <v>96</v>
      </c>
    </row>
    <row r="2739" spans="1:12" x14ac:dyDescent="0.3">
      <c r="H2739" s="74">
        <v>30</v>
      </c>
      <c r="K2739" s="55" t="s">
        <v>32</v>
      </c>
      <c r="L2739" s="60" t="s">
        <v>1009</v>
      </c>
    </row>
    <row r="2740" spans="1:12" x14ac:dyDescent="0.3">
      <c r="H2740" s="74">
        <v>20</v>
      </c>
      <c r="K2740" s="55" t="s">
        <v>34</v>
      </c>
      <c r="L2740" s="60" t="s">
        <v>343</v>
      </c>
    </row>
    <row r="2741" spans="1:12" x14ac:dyDescent="0.3">
      <c r="H2741" s="74">
        <v>10</v>
      </c>
      <c r="K2741" s="55" t="s">
        <v>34</v>
      </c>
      <c r="L2741" s="60" t="s">
        <v>988</v>
      </c>
    </row>
    <row r="2742" spans="1:12" x14ac:dyDescent="0.3">
      <c r="H2742" s="74">
        <v>20</v>
      </c>
      <c r="K2742" s="55" t="s">
        <v>30</v>
      </c>
      <c r="L2742" s="60" t="s">
        <v>1019</v>
      </c>
    </row>
    <row r="2743" spans="1:12" x14ac:dyDescent="0.3">
      <c r="H2743" s="74">
        <v>20</v>
      </c>
      <c r="K2743" s="55" t="s">
        <v>55</v>
      </c>
      <c r="L2743" s="60" t="s">
        <v>356</v>
      </c>
    </row>
    <row r="2744" spans="1:12" x14ac:dyDescent="0.3">
      <c r="H2744" s="74">
        <v>100</v>
      </c>
      <c r="K2744" s="55" t="s">
        <v>55</v>
      </c>
      <c r="L2744" s="60" t="s">
        <v>1027</v>
      </c>
    </row>
    <row r="2745" spans="1:12" x14ac:dyDescent="0.3">
      <c r="H2745" s="74">
        <v>15</v>
      </c>
      <c r="K2745" s="55" t="s">
        <v>55</v>
      </c>
      <c r="L2745" s="60" t="s">
        <v>131</v>
      </c>
    </row>
    <row r="2747" spans="1:12" x14ac:dyDescent="0.3">
      <c r="A2747" s="72" t="s">
        <v>1028</v>
      </c>
      <c r="B2747" s="55" t="s">
        <v>0</v>
      </c>
      <c r="C2747" s="67" t="s">
        <v>47</v>
      </c>
      <c r="D2747" s="55" t="s">
        <v>50</v>
      </c>
      <c r="E2747" s="19">
        <v>296.58</v>
      </c>
      <c r="F2747" s="19">
        <v>8</v>
      </c>
      <c r="G2747" s="55" t="s">
        <v>11</v>
      </c>
      <c r="H2747" s="74">
        <v>10</v>
      </c>
      <c r="K2747" s="55" t="s">
        <v>25</v>
      </c>
    </row>
    <row r="2748" spans="1:12" x14ac:dyDescent="0.3">
      <c r="H2748" s="74">
        <v>10</v>
      </c>
      <c r="K2748" s="55" t="s">
        <v>84</v>
      </c>
    </row>
    <row r="2749" spans="1:12" x14ac:dyDescent="0.3">
      <c r="H2749" s="74">
        <v>80</v>
      </c>
      <c r="K2749" s="55" t="s">
        <v>96</v>
      </c>
    </row>
    <row r="2750" spans="1:12" x14ac:dyDescent="0.3">
      <c r="H2750" s="74">
        <v>60</v>
      </c>
      <c r="K2750" s="55" t="s">
        <v>32</v>
      </c>
      <c r="L2750" s="60" t="s">
        <v>137</v>
      </c>
    </row>
    <row r="2751" spans="1:12" x14ac:dyDescent="0.3">
      <c r="H2751" s="74">
        <v>20</v>
      </c>
      <c r="K2751" s="55" t="s">
        <v>32</v>
      </c>
      <c r="L2751" s="60" t="s">
        <v>236</v>
      </c>
    </row>
    <row r="2752" spans="1:12" x14ac:dyDescent="0.3">
      <c r="H2752" s="74">
        <v>60</v>
      </c>
      <c r="K2752" s="55" t="s">
        <v>34</v>
      </c>
      <c r="L2752" s="60" t="s">
        <v>1030</v>
      </c>
    </row>
    <row r="2753" spans="1:12" x14ac:dyDescent="0.3">
      <c r="H2753" s="74">
        <v>20</v>
      </c>
      <c r="K2753" s="55" t="s">
        <v>34</v>
      </c>
      <c r="L2753" s="60" t="s">
        <v>149</v>
      </c>
    </row>
    <row r="2754" spans="1:12" x14ac:dyDescent="0.3">
      <c r="H2754" s="74">
        <v>20</v>
      </c>
      <c r="K2754" s="55" t="s">
        <v>55</v>
      </c>
      <c r="L2754" s="60" t="s">
        <v>131</v>
      </c>
    </row>
    <row r="2755" spans="1:12" x14ac:dyDescent="0.3">
      <c r="H2755" s="74">
        <v>35</v>
      </c>
      <c r="K2755" s="55" t="s">
        <v>55</v>
      </c>
      <c r="L2755" s="60" t="s">
        <v>1029</v>
      </c>
    </row>
    <row r="2756" spans="1:12" x14ac:dyDescent="0.3">
      <c r="H2756" s="74">
        <v>20</v>
      </c>
      <c r="K2756" s="55" t="s">
        <v>30</v>
      </c>
      <c r="L2756" s="60" t="s">
        <v>1019</v>
      </c>
    </row>
    <row r="2758" spans="1:12" x14ac:dyDescent="0.3">
      <c r="A2758" s="72" t="s">
        <v>1028</v>
      </c>
      <c r="B2758" s="55" t="s">
        <v>10</v>
      </c>
      <c r="C2758" s="67" t="s">
        <v>188</v>
      </c>
      <c r="D2758" s="55" t="s">
        <v>51</v>
      </c>
      <c r="E2758" s="19">
        <v>211.98</v>
      </c>
      <c r="F2758" s="19">
        <v>6</v>
      </c>
      <c r="G2758" s="55" t="s">
        <v>11</v>
      </c>
      <c r="H2758" s="74">
        <v>10</v>
      </c>
      <c r="K2758" s="55" t="s">
        <v>25</v>
      </c>
    </row>
    <row r="2759" spans="1:12" x14ac:dyDescent="0.3">
      <c r="H2759" s="74">
        <v>10</v>
      </c>
      <c r="K2759" s="55" t="s">
        <v>84</v>
      </c>
    </row>
    <row r="2760" spans="1:12" x14ac:dyDescent="0.3">
      <c r="H2760" s="74">
        <v>60</v>
      </c>
      <c r="K2760" s="55" t="s">
        <v>96</v>
      </c>
    </row>
    <row r="2761" spans="1:12" x14ac:dyDescent="0.3">
      <c r="H2761" s="74">
        <v>40</v>
      </c>
      <c r="K2761" s="55" t="s">
        <v>32</v>
      </c>
      <c r="L2761" s="60" t="s">
        <v>445</v>
      </c>
    </row>
    <row r="2762" spans="1:12" x14ac:dyDescent="0.3">
      <c r="H2762" s="74">
        <v>30</v>
      </c>
      <c r="K2762" s="55" t="s">
        <v>34</v>
      </c>
      <c r="L2762" s="60" t="s">
        <v>149</v>
      </c>
    </row>
    <row r="2763" spans="1:12" x14ac:dyDescent="0.3">
      <c r="H2763" s="74">
        <v>30</v>
      </c>
      <c r="K2763" s="55" t="s">
        <v>34</v>
      </c>
      <c r="L2763" s="60" t="s">
        <v>323</v>
      </c>
    </row>
    <row r="2764" spans="1:12" x14ac:dyDescent="0.3">
      <c r="H2764" s="74">
        <v>70</v>
      </c>
      <c r="K2764" s="55" t="s">
        <v>55</v>
      </c>
      <c r="L2764" s="60" t="s">
        <v>1032</v>
      </c>
    </row>
    <row r="2765" spans="1:12" x14ac:dyDescent="0.3">
      <c r="H2765" s="74">
        <v>25</v>
      </c>
      <c r="K2765" s="55" t="s">
        <v>102</v>
      </c>
    </row>
    <row r="2766" spans="1:12" x14ac:dyDescent="0.3">
      <c r="H2766" s="74">
        <v>20</v>
      </c>
      <c r="K2766" s="55" t="s">
        <v>55</v>
      </c>
      <c r="L2766" s="60" t="s">
        <v>1031</v>
      </c>
    </row>
    <row r="2767" spans="1:12" x14ac:dyDescent="0.3">
      <c r="H2767" s="74">
        <v>20</v>
      </c>
      <c r="K2767" s="55" t="s">
        <v>30</v>
      </c>
      <c r="L2767" s="60" t="s">
        <v>324</v>
      </c>
    </row>
    <row r="2769" spans="1:12" x14ac:dyDescent="0.3">
      <c r="A2769" s="72" t="s">
        <v>1028</v>
      </c>
      <c r="B2769" s="55" t="s">
        <v>12</v>
      </c>
      <c r="C2769" s="67" t="s">
        <v>46</v>
      </c>
      <c r="D2769" s="55" t="s">
        <v>52</v>
      </c>
      <c r="E2769" s="19">
        <v>37.979999999999997</v>
      </c>
      <c r="F2769" s="19" t="s">
        <v>1037</v>
      </c>
      <c r="G2769" s="55" t="s">
        <v>11</v>
      </c>
      <c r="H2769" s="74">
        <v>10</v>
      </c>
      <c r="K2769" s="55" t="s">
        <v>25</v>
      </c>
    </row>
    <row r="2770" spans="1:12" x14ac:dyDescent="0.3">
      <c r="H2770" s="74">
        <v>10</v>
      </c>
      <c r="K2770" s="55" t="s">
        <v>84</v>
      </c>
    </row>
    <row r="2771" spans="1:12" x14ac:dyDescent="0.3">
      <c r="H2771" s="74">
        <v>10</v>
      </c>
      <c r="K2771" s="55" t="s">
        <v>96</v>
      </c>
    </row>
    <row r="2772" spans="1:12" x14ac:dyDescent="0.3">
      <c r="H2772" s="74">
        <v>0</v>
      </c>
      <c r="K2772" s="55" t="s">
        <v>32</v>
      </c>
      <c r="L2772" s="60" t="s">
        <v>1039</v>
      </c>
    </row>
    <row r="2773" spans="1:12" x14ac:dyDescent="0.3">
      <c r="H2773" s="74">
        <v>80</v>
      </c>
      <c r="K2773" s="55" t="s">
        <v>32</v>
      </c>
      <c r="L2773" s="60" t="s">
        <v>1033</v>
      </c>
    </row>
    <row r="2774" spans="1:12" x14ac:dyDescent="0.3">
      <c r="H2774" s="74">
        <v>60</v>
      </c>
      <c r="K2774" s="55" t="s">
        <v>34</v>
      </c>
      <c r="L2774" s="60" t="s">
        <v>135</v>
      </c>
    </row>
    <row r="2775" spans="1:12" x14ac:dyDescent="0.3">
      <c r="H2775" s="74">
        <v>40</v>
      </c>
      <c r="K2775" s="55" t="s">
        <v>34</v>
      </c>
      <c r="L2775" s="60" t="s">
        <v>988</v>
      </c>
    </row>
    <row r="2776" spans="1:12" x14ac:dyDescent="0.3">
      <c r="H2776" s="74">
        <v>20</v>
      </c>
      <c r="K2776" s="55" t="s">
        <v>30</v>
      </c>
      <c r="L2776" s="60" t="s">
        <v>1019</v>
      </c>
    </row>
    <row r="2777" spans="1:12" x14ac:dyDescent="0.3">
      <c r="H2777" s="74">
        <v>20</v>
      </c>
      <c r="K2777" s="55" t="s">
        <v>55</v>
      </c>
      <c r="L2777" s="60" t="s">
        <v>1034</v>
      </c>
    </row>
    <row r="2778" spans="1:12" x14ac:dyDescent="0.3">
      <c r="H2778" s="74">
        <v>40</v>
      </c>
      <c r="K2778" s="55" t="s">
        <v>32</v>
      </c>
      <c r="L2778" s="60" t="s">
        <v>1035</v>
      </c>
    </row>
    <row r="2779" spans="1:12" x14ac:dyDescent="0.3">
      <c r="H2779" s="74">
        <v>20</v>
      </c>
      <c r="K2779" s="55" t="s">
        <v>33</v>
      </c>
      <c r="L2779" s="60" t="s">
        <v>454</v>
      </c>
    </row>
    <row r="2780" spans="1:12" x14ac:dyDescent="0.3">
      <c r="H2780" s="74">
        <v>30</v>
      </c>
      <c r="K2780" s="55" t="s">
        <v>55</v>
      </c>
      <c r="L2780" s="60" t="s">
        <v>1036</v>
      </c>
    </row>
    <row r="2781" spans="1:12" x14ac:dyDescent="0.3">
      <c r="H2781" s="74">
        <v>80</v>
      </c>
      <c r="K2781" s="55" t="s">
        <v>32</v>
      </c>
      <c r="L2781" s="60" t="s">
        <v>1038</v>
      </c>
    </row>
    <row r="2782" spans="1:12" x14ac:dyDescent="0.3">
      <c r="A2782" s="72" t="s">
        <v>1040</v>
      </c>
      <c r="B2782" s="55" t="s">
        <v>0</v>
      </c>
      <c r="C2782" s="67" t="s">
        <v>47</v>
      </c>
      <c r="D2782" s="55" t="s">
        <v>50</v>
      </c>
      <c r="E2782" s="19">
        <v>381.73</v>
      </c>
      <c r="F2782" s="19">
        <v>10</v>
      </c>
      <c r="G2782" s="55" t="s">
        <v>11</v>
      </c>
      <c r="H2782" s="74">
        <v>10</v>
      </c>
      <c r="K2782" s="55" t="s">
        <v>25</v>
      </c>
    </row>
    <row r="2783" spans="1:12" x14ac:dyDescent="0.3">
      <c r="H2783" s="74">
        <v>10</v>
      </c>
      <c r="K2783" s="55" t="s">
        <v>84</v>
      </c>
    </row>
    <row r="2784" spans="1:12" x14ac:dyDescent="0.3">
      <c r="H2784" s="74">
        <v>100</v>
      </c>
      <c r="K2784" s="55" t="s">
        <v>96</v>
      </c>
    </row>
    <row r="2785" spans="1:12" x14ac:dyDescent="0.3">
      <c r="H2785" s="74">
        <v>30</v>
      </c>
      <c r="K2785" s="55" t="s">
        <v>32</v>
      </c>
      <c r="L2785" s="60" t="s">
        <v>1041</v>
      </c>
    </row>
    <row r="2786" spans="1:12" x14ac:dyDescent="0.3">
      <c r="H2786" s="74">
        <v>30</v>
      </c>
      <c r="K2786" s="55" t="s">
        <v>32</v>
      </c>
      <c r="L2786" s="60" t="s">
        <v>294</v>
      </c>
    </row>
    <row r="2787" spans="1:12" x14ac:dyDescent="0.3">
      <c r="H2787" s="74">
        <v>15</v>
      </c>
      <c r="K2787" s="55" t="s">
        <v>34</v>
      </c>
      <c r="L2787" s="60" t="s">
        <v>149</v>
      </c>
    </row>
    <row r="2788" spans="1:12" x14ac:dyDescent="0.3">
      <c r="H2788" s="74">
        <v>20</v>
      </c>
      <c r="K2788" s="55" t="s">
        <v>55</v>
      </c>
      <c r="L2788" s="60" t="s">
        <v>131</v>
      </c>
    </row>
    <row r="2789" spans="1:12" x14ac:dyDescent="0.3">
      <c r="H2789" s="74">
        <v>20</v>
      </c>
      <c r="K2789" s="55" t="s">
        <v>30</v>
      </c>
      <c r="L2789" s="60" t="s">
        <v>1019</v>
      </c>
    </row>
    <row r="2790" spans="1:12" x14ac:dyDescent="0.3">
      <c r="H2790" s="74">
        <v>20</v>
      </c>
      <c r="K2790" s="55" t="s">
        <v>55</v>
      </c>
      <c r="L2790" s="60" t="s">
        <v>1042</v>
      </c>
    </row>
    <row r="2791" spans="1:12" x14ac:dyDescent="0.3">
      <c r="H2791" s="74">
        <v>30</v>
      </c>
      <c r="K2791" s="55" t="s">
        <v>55</v>
      </c>
      <c r="L2791" s="60" t="s">
        <v>1043</v>
      </c>
    </row>
    <row r="2792" spans="1:12" x14ac:dyDescent="0.3">
      <c r="H2792" s="74">
        <v>40</v>
      </c>
      <c r="K2792" s="55" t="s">
        <v>55</v>
      </c>
      <c r="L2792" s="60" t="s">
        <v>1044</v>
      </c>
    </row>
    <row r="2793" spans="1:12" x14ac:dyDescent="0.3">
      <c r="H2793" s="74">
        <v>60</v>
      </c>
      <c r="K2793" s="55" t="s">
        <v>55</v>
      </c>
      <c r="L2793" s="65" t="s">
        <v>1045</v>
      </c>
    </row>
    <row r="2795" spans="1:12" x14ac:dyDescent="0.3">
      <c r="A2795" s="72" t="s">
        <v>1040</v>
      </c>
      <c r="B2795" s="55" t="s">
        <v>10</v>
      </c>
      <c r="C2795" s="67" t="s">
        <v>49</v>
      </c>
      <c r="D2795" s="55" t="s">
        <v>51</v>
      </c>
      <c r="E2795" s="19">
        <v>277.17</v>
      </c>
      <c r="F2795" s="19">
        <v>9</v>
      </c>
      <c r="G2795" s="55" t="s">
        <v>11</v>
      </c>
      <c r="H2795" s="74">
        <v>10</v>
      </c>
      <c r="K2795" s="55" t="s">
        <v>25</v>
      </c>
    </row>
    <row r="2796" spans="1:12" x14ac:dyDescent="0.3">
      <c r="H2796" s="74">
        <v>10</v>
      </c>
      <c r="K2796" s="55" t="s">
        <v>84</v>
      </c>
    </row>
    <row r="2797" spans="1:12" x14ac:dyDescent="0.3">
      <c r="H2797" s="74">
        <v>90</v>
      </c>
      <c r="K2797" s="55" t="s">
        <v>96</v>
      </c>
    </row>
    <row r="2798" spans="1:12" x14ac:dyDescent="0.3">
      <c r="H2798" s="74">
        <v>40</v>
      </c>
      <c r="K2798" s="55" t="s">
        <v>32</v>
      </c>
      <c r="L2798" s="60" t="s">
        <v>1046</v>
      </c>
    </row>
    <row r="2799" spans="1:12" x14ac:dyDescent="0.3">
      <c r="H2799" s="74">
        <v>20</v>
      </c>
      <c r="K2799" s="55" t="s">
        <v>34</v>
      </c>
      <c r="L2799" s="60" t="s">
        <v>149</v>
      </c>
    </row>
    <row r="2800" spans="1:12" x14ac:dyDescent="0.3">
      <c r="H2800" s="74">
        <v>20</v>
      </c>
      <c r="K2800" s="55" t="s">
        <v>32</v>
      </c>
      <c r="L2800" s="60" t="s">
        <v>1048</v>
      </c>
    </row>
    <row r="2801" spans="1:12" x14ac:dyDescent="0.3">
      <c r="H2801" s="74">
        <v>40</v>
      </c>
      <c r="K2801" s="55" t="s">
        <v>32</v>
      </c>
      <c r="L2801" s="60" t="s">
        <v>1047</v>
      </c>
    </row>
    <row r="2802" spans="1:12" x14ac:dyDescent="0.3">
      <c r="H2802" s="74">
        <v>15</v>
      </c>
      <c r="K2802" s="55" t="s">
        <v>55</v>
      </c>
      <c r="L2802" s="60" t="s">
        <v>1049</v>
      </c>
    </row>
    <row r="2803" spans="1:12" x14ac:dyDescent="0.3">
      <c r="H2803" s="74">
        <v>55</v>
      </c>
      <c r="K2803" s="55" t="s">
        <v>33</v>
      </c>
      <c r="L2803" s="60" t="s">
        <v>1050</v>
      </c>
    </row>
    <row r="2804" spans="1:12" x14ac:dyDescent="0.3">
      <c r="H2804" s="74">
        <v>20</v>
      </c>
      <c r="K2804" s="55" t="s">
        <v>55</v>
      </c>
      <c r="L2804" s="60" t="s">
        <v>636</v>
      </c>
    </row>
    <row r="2807" spans="1:12" x14ac:dyDescent="0.3">
      <c r="A2807" s="72" t="s">
        <v>1040</v>
      </c>
      <c r="B2807" s="55" t="s">
        <v>12</v>
      </c>
      <c r="C2807" s="67" t="s">
        <v>46</v>
      </c>
      <c r="D2807" s="55" t="s">
        <v>52</v>
      </c>
      <c r="E2807" s="19">
        <v>266.29000000000002</v>
      </c>
      <c r="F2807" s="19">
        <v>10</v>
      </c>
      <c r="G2807" s="55" t="s">
        <v>11</v>
      </c>
      <c r="H2807" s="74">
        <v>10</v>
      </c>
      <c r="K2807" s="55" t="s">
        <v>25</v>
      </c>
    </row>
    <row r="2808" spans="1:12" x14ac:dyDescent="0.3">
      <c r="H2808" s="74">
        <v>10</v>
      </c>
      <c r="K2808" s="55" t="s">
        <v>84</v>
      </c>
    </row>
    <row r="2809" spans="1:12" x14ac:dyDescent="0.3">
      <c r="H2809" s="74">
        <v>110</v>
      </c>
      <c r="K2809" s="55" t="s">
        <v>96</v>
      </c>
    </row>
    <row r="2810" spans="1:12" x14ac:dyDescent="0.3">
      <c r="H2810" s="74">
        <v>45</v>
      </c>
      <c r="K2810" s="55" t="s">
        <v>33</v>
      </c>
      <c r="L2810" s="60" t="s">
        <v>1050</v>
      </c>
    </row>
    <row r="2811" spans="1:12" x14ac:dyDescent="0.3">
      <c r="H2811" s="74">
        <v>45</v>
      </c>
      <c r="K2811" s="55" t="s">
        <v>32</v>
      </c>
      <c r="L2811" s="60" t="s">
        <v>294</v>
      </c>
    </row>
    <row r="2812" spans="1:12" x14ac:dyDescent="0.3">
      <c r="H2812" s="74">
        <v>40</v>
      </c>
      <c r="K2812" s="55" t="s">
        <v>32</v>
      </c>
      <c r="L2812" s="60" t="s">
        <v>1035</v>
      </c>
    </row>
    <row r="2813" spans="1:12" x14ac:dyDescent="0.3">
      <c r="H2813" s="74">
        <v>40</v>
      </c>
      <c r="K2813" s="55" t="s">
        <v>32</v>
      </c>
      <c r="L2813" s="60" t="s">
        <v>445</v>
      </c>
    </row>
    <row r="2814" spans="1:12" x14ac:dyDescent="0.3">
      <c r="H2814" s="74">
        <v>25</v>
      </c>
      <c r="K2814" s="55" t="s">
        <v>102</v>
      </c>
    </row>
    <row r="2815" spans="1:12" x14ac:dyDescent="0.3">
      <c r="H2815" s="74">
        <v>30</v>
      </c>
      <c r="K2815" s="55" t="s">
        <v>30</v>
      </c>
      <c r="L2815" s="60" t="s">
        <v>1019</v>
      </c>
    </row>
    <row r="2817" spans="1:12" x14ac:dyDescent="0.3">
      <c r="A2817" s="72" t="s">
        <v>1051</v>
      </c>
      <c r="B2817" s="55" t="s">
        <v>0</v>
      </c>
      <c r="C2817" s="67" t="s">
        <v>188</v>
      </c>
      <c r="D2817" s="55" t="s">
        <v>51</v>
      </c>
      <c r="E2817" s="19">
        <v>350.08</v>
      </c>
      <c r="F2817" s="19">
        <v>12</v>
      </c>
      <c r="G2817" s="55" t="s">
        <v>11</v>
      </c>
      <c r="H2817" s="74">
        <v>10</v>
      </c>
      <c r="K2817" s="55" t="s">
        <v>25</v>
      </c>
    </row>
    <row r="2818" spans="1:12" x14ac:dyDescent="0.3">
      <c r="H2818" s="74">
        <v>10</v>
      </c>
      <c r="K2818" s="55" t="s">
        <v>84</v>
      </c>
    </row>
    <row r="2819" spans="1:12" x14ac:dyDescent="0.3">
      <c r="H2819" s="74">
        <v>90</v>
      </c>
      <c r="K2819" s="55" t="s">
        <v>32</v>
      </c>
      <c r="L2819" s="60" t="s">
        <v>1052</v>
      </c>
    </row>
    <row r="2820" spans="1:12" x14ac:dyDescent="0.3">
      <c r="H2820" s="74">
        <v>120</v>
      </c>
      <c r="K2820" s="55" t="s">
        <v>96</v>
      </c>
    </row>
    <row r="2821" spans="1:12" x14ac:dyDescent="0.3">
      <c r="H2821" s="74">
        <v>25</v>
      </c>
      <c r="K2821" s="55" t="s">
        <v>102</v>
      </c>
    </row>
    <row r="2822" spans="1:12" x14ac:dyDescent="0.3">
      <c r="H2822" s="74">
        <v>20</v>
      </c>
      <c r="K2822" s="55" t="s">
        <v>34</v>
      </c>
      <c r="L2822" s="60" t="s">
        <v>149</v>
      </c>
    </row>
    <row r="2823" spans="1:12" x14ac:dyDescent="0.3">
      <c r="H2823" s="74">
        <v>20</v>
      </c>
      <c r="K2823" s="55" t="s">
        <v>55</v>
      </c>
      <c r="L2823" s="60" t="s">
        <v>13</v>
      </c>
    </row>
    <row r="2824" spans="1:12" x14ac:dyDescent="0.3">
      <c r="H2824" s="74">
        <v>20</v>
      </c>
      <c r="K2824" s="55" t="s">
        <v>30</v>
      </c>
    </row>
    <row r="2825" spans="1:12" x14ac:dyDescent="0.3">
      <c r="H2825" s="74">
        <v>20</v>
      </c>
      <c r="K2825" s="55" t="s">
        <v>55</v>
      </c>
      <c r="L2825" s="60" t="s">
        <v>1053</v>
      </c>
    </row>
    <row r="2827" spans="1:12" x14ac:dyDescent="0.3">
      <c r="A2827" s="72" t="s">
        <v>1054</v>
      </c>
      <c r="B2827" s="55" t="s">
        <v>10</v>
      </c>
      <c r="C2827" s="67" t="s">
        <v>48</v>
      </c>
      <c r="D2827" s="55" t="s">
        <v>52</v>
      </c>
      <c r="E2827" s="19">
        <v>369.53</v>
      </c>
      <c r="F2827" s="19">
        <v>13</v>
      </c>
      <c r="G2827" s="55" t="s">
        <v>11</v>
      </c>
      <c r="H2827" s="74">
        <v>10</v>
      </c>
      <c r="K2827" s="55" t="s">
        <v>25</v>
      </c>
    </row>
    <row r="2828" spans="1:12" x14ac:dyDescent="0.3">
      <c r="H2828" s="74">
        <v>10</v>
      </c>
      <c r="K2828" s="55" t="s">
        <v>84</v>
      </c>
    </row>
    <row r="2829" spans="1:12" x14ac:dyDescent="0.3">
      <c r="H2829" s="74">
        <v>140</v>
      </c>
      <c r="K2829" s="55" t="s">
        <v>96</v>
      </c>
    </row>
    <row r="2830" spans="1:12" x14ac:dyDescent="0.3">
      <c r="H2830" s="74">
        <v>28</v>
      </c>
      <c r="K2830" s="55" t="s">
        <v>33</v>
      </c>
      <c r="L2830" s="60" t="s">
        <v>184</v>
      </c>
    </row>
    <row r="2831" spans="1:12" x14ac:dyDescent="0.3">
      <c r="H2831" s="74">
        <v>50</v>
      </c>
      <c r="K2831" s="55" t="s">
        <v>32</v>
      </c>
      <c r="L2831" s="60" t="s">
        <v>294</v>
      </c>
    </row>
    <row r="2832" spans="1:12" x14ac:dyDescent="0.3">
      <c r="H2832" s="74">
        <v>40</v>
      </c>
      <c r="K2832" s="55" t="s">
        <v>32</v>
      </c>
      <c r="L2832" s="60" t="s">
        <v>1035</v>
      </c>
    </row>
    <row r="2833" spans="1:12" x14ac:dyDescent="0.3">
      <c r="H2833" s="74">
        <v>15</v>
      </c>
      <c r="K2833" s="55" t="s">
        <v>55</v>
      </c>
      <c r="L2833" s="60" t="s">
        <v>38</v>
      </c>
    </row>
    <row r="2834" spans="1:12" x14ac:dyDescent="0.3">
      <c r="H2834" s="74">
        <v>25</v>
      </c>
      <c r="K2834" s="55" t="s">
        <v>102</v>
      </c>
    </row>
    <row r="2835" spans="1:12" x14ac:dyDescent="0.3">
      <c r="H2835" s="74">
        <v>20</v>
      </c>
      <c r="K2835" s="55" t="s">
        <v>30</v>
      </c>
      <c r="L2835" s="60" t="s">
        <v>1019</v>
      </c>
    </row>
    <row r="2837" spans="1:12" x14ac:dyDescent="0.3">
      <c r="A2837" s="72" t="s">
        <v>1054</v>
      </c>
      <c r="B2837" s="55" t="s">
        <v>12</v>
      </c>
      <c r="C2837" s="67" t="s">
        <v>46</v>
      </c>
      <c r="D2837" s="55" t="s">
        <v>50</v>
      </c>
      <c r="E2837" s="19">
        <v>340.85</v>
      </c>
      <c r="F2837" s="19">
        <v>12</v>
      </c>
      <c r="G2837" s="55" t="s">
        <v>11</v>
      </c>
      <c r="H2837" s="74">
        <v>10</v>
      </c>
      <c r="K2837" s="55" t="s">
        <v>25</v>
      </c>
    </row>
    <row r="2838" spans="1:12" x14ac:dyDescent="0.3">
      <c r="H2838" s="74">
        <v>10</v>
      </c>
      <c r="K2838" s="55" t="s">
        <v>84</v>
      </c>
    </row>
    <row r="2839" spans="1:12" x14ac:dyDescent="0.3">
      <c r="H2839" s="74">
        <v>120</v>
      </c>
      <c r="K2839" s="55" t="s">
        <v>96</v>
      </c>
    </row>
    <row r="2840" spans="1:12" x14ac:dyDescent="0.3">
      <c r="H2840" s="74">
        <v>50</v>
      </c>
      <c r="K2840" s="55" t="s">
        <v>32</v>
      </c>
      <c r="L2840" s="60" t="s">
        <v>294</v>
      </c>
    </row>
    <row r="2841" spans="1:12" x14ac:dyDescent="0.3">
      <c r="H2841" s="74">
        <v>30</v>
      </c>
      <c r="K2841" s="55" t="s">
        <v>55</v>
      </c>
      <c r="L2841" s="60" t="s">
        <v>1056</v>
      </c>
    </row>
    <row r="2842" spans="1:12" x14ac:dyDescent="0.3">
      <c r="H2842" s="74">
        <v>10</v>
      </c>
      <c r="K2842" s="55" t="s">
        <v>55</v>
      </c>
      <c r="L2842" s="60" t="s">
        <v>13</v>
      </c>
    </row>
    <row r="2843" spans="1:12" x14ac:dyDescent="0.3">
      <c r="H2843" s="74">
        <v>20</v>
      </c>
      <c r="K2843" s="55" t="s">
        <v>55</v>
      </c>
      <c r="L2843" s="60" t="s">
        <v>1057</v>
      </c>
    </row>
    <row r="2844" spans="1:12" x14ac:dyDescent="0.3">
      <c r="H2844" s="74">
        <v>20</v>
      </c>
      <c r="K2844" s="55" t="s">
        <v>55</v>
      </c>
      <c r="L2844" s="60" t="s">
        <v>454</v>
      </c>
    </row>
    <row r="2845" spans="1:12" x14ac:dyDescent="0.3">
      <c r="H2845" s="74">
        <v>20</v>
      </c>
      <c r="K2845" s="55" t="s">
        <v>34</v>
      </c>
    </row>
    <row r="2846" spans="1:12" x14ac:dyDescent="0.3">
      <c r="H2846" s="74">
        <v>20</v>
      </c>
      <c r="K2846" s="55" t="s">
        <v>102</v>
      </c>
    </row>
    <row r="2847" spans="1:12" x14ac:dyDescent="0.3">
      <c r="H2847" s="74">
        <v>30</v>
      </c>
      <c r="K2847" s="55" t="s">
        <v>30</v>
      </c>
      <c r="L2847" s="60" t="s">
        <v>1019</v>
      </c>
    </row>
    <row r="2848" spans="1:12" x14ac:dyDescent="0.3">
      <c r="H2848" s="74">
        <v>10</v>
      </c>
      <c r="K2848" s="55" t="s">
        <v>15</v>
      </c>
      <c r="L2848" s="60" t="s">
        <v>1055</v>
      </c>
    </row>
    <row r="2850" spans="1:12" x14ac:dyDescent="0.3">
      <c r="A2850" s="72" t="s">
        <v>1058</v>
      </c>
      <c r="B2850" s="55" t="s">
        <v>0</v>
      </c>
      <c r="C2850" s="67" t="s">
        <v>188</v>
      </c>
      <c r="D2850" s="55" t="s">
        <v>51</v>
      </c>
      <c r="E2850" s="19" t="s">
        <v>1062</v>
      </c>
      <c r="F2850" s="19">
        <v>7.5</v>
      </c>
      <c r="G2850" s="55" t="s">
        <v>11</v>
      </c>
      <c r="H2850" s="74">
        <v>10</v>
      </c>
      <c r="K2850" s="55" t="s">
        <v>25</v>
      </c>
    </row>
    <row r="2851" spans="1:12" x14ac:dyDescent="0.3">
      <c r="H2851" s="74">
        <v>10</v>
      </c>
      <c r="K2851" s="55" t="s">
        <v>84</v>
      </c>
    </row>
    <row r="2852" spans="1:12" x14ac:dyDescent="0.3">
      <c r="H2852" s="74">
        <v>90</v>
      </c>
      <c r="K2852" s="55" t="s">
        <v>96</v>
      </c>
    </row>
    <row r="2853" spans="1:12" x14ac:dyDescent="0.3">
      <c r="H2853" s="74">
        <v>40</v>
      </c>
      <c r="K2853" s="55" t="s">
        <v>32</v>
      </c>
      <c r="L2853" s="60" t="s">
        <v>1060</v>
      </c>
    </row>
    <row r="2854" spans="1:12" x14ac:dyDescent="0.3">
      <c r="H2854" s="74">
        <v>30</v>
      </c>
      <c r="K2854" s="55" t="s">
        <v>32</v>
      </c>
      <c r="L2854" s="60" t="s">
        <v>1059</v>
      </c>
    </row>
    <row r="2855" spans="1:12" x14ac:dyDescent="0.3">
      <c r="H2855" s="74">
        <v>30</v>
      </c>
      <c r="K2855" s="55" t="s">
        <v>30</v>
      </c>
      <c r="L2855" s="60" t="s">
        <v>300</v>
      </c>
    </row>
    <row r="2856" spans="1:12" x14ac:dyDescent="0.3">
      <c r="H2856" s="74">
        <v>15</v>
      </c>
      <c r="K2856" s="55" t="s">
        <v>33</v>
      </c>
    </row>
    <row r="2857" spans="1:12" x14ac:dyDescent="0.3">
      <c r="H2857" s="74">
        <v>30</v>
      </c>
      <c r="K2857" s="55" t="s">
        <v>34</v>
      </c>
    </row>
    <row r="2858" spans="1:12" x14ac:dyDescent="0.3">
      <c r="H2858" s="74">
        <v>120</v>
      </c>
      <c r="K2858" s="55" t="s">
        <v>55</v>
      </c>
      <c r="L2858" s="60" t="s">
        <v>1061</v>
      </c>
    </row>
    <row r="2859" spans="1:12" x14ac:dyDescent="0.3">
      <c r="H2859" s="74">
        <v>10</v>
      </c>
      <c r="K2859" s="55" t="s">
        <v>34</v>
      </c>
      <c r="L2859" s="60" t="s">
        <v>323</v>
      </c>
    </row>
    <row r="2861" spans="1:12" x14ac:dyDescent="0.3">
      <c r="A2861" s="72" t="s">
        <v>1058</v>
      </c>
      <c r="B2861" s="55" t="s">
        <v>10</v>
      </c>
      <c r="C2861" s="67" t="s">
        <v>48</v>
      </c>
      <c r="D2861" s="55" t="s">
        <v>52</v>
      </c>
      <c r="E2861" s="19">
        <v>112.965</v>
      </c>
      <c r="F2861" s="19">
        <v>4.5</v>
      </c>
      <c r="G2861" s="55" t="s">
        <v>11</v>
      </c>
      <c r="H2861" s="74">
        <v>10</v>
      </c>
      <c r="K2861" s="55" t="s">
        <v>25</v>
      </c>
    </row>
    <row r="2862" spans="1:12" x14ac:dyDescent="0.3">
      <c r="H2862" s="74">
        <v>10</v>
      </c>
      <c r="K2862" s="55" t="s">
        <v>84</v>
      </c>
    </row>
    <row r="2863" spans="1:12" x14ac:dyDescent="0.3">
      <c r="H2863" s="74">
        <v>40</v>
      </c>
      <c r="K2863" s="55" t="s">
        <v>96</v>
      </c>
    </row>
    <row r="2864" spans="1:12" x14ac:dyDescent="0.3">
      <c r="H2864" s="74">
        <v>200</v>
      </c>
      <c r="K2864" s="55" t="s">
        <v>33</v>
      </c>
      <c r="L2864" s="60" t="s">
        <v>1064</v>
      </c>
    </row>
    <row r="2865" spans="1:12" x14ac:dyDescent="0.3">
      <c r="H2865" s="74">
        <v>100</v>
      </c>
      <c r="K2865" s="55" t="s">
        <v>32</v>
      </c>
      <c r="L2865" s="60" t="s">
        <v>1063</v>
      </c>
    </row>
    <row r="2866" spans="1:12" x14ac:dyDescent="0.3">
      <c r="H2866" s="74">
        <v>30</v>
      </c>
      <c r="K2866" s="55" t="s">
        <v>33</v>
      </c>
      <c r="L2866" s="60" t="s">
        <v>963</v>
      </c>
    </row>
    <row r="2867" spans="1:12" x14ac:dyDescent="0.3">
      <c r="H2867" s="74">
        <v>20</v>
      </c>
      <c r="K2867" s="55" t="s">
        <v>102</v>
      </c>
    </row>
    <row r="2868" spans="1:12" x14ac:dyDescent="0.3">
      <c r="H2868" s="74">
        <v>20</v>
      </c>
      <c r="K2868" s="55" t="s">
        <v>30</v>
      </c>
      <c r="L2868" s="60" t="s">
        <v>1019</v>
      </c>
    </row>
    <row r="2870" spans="1:12" x14ac:dyDescent="0.3">
      <c r="A2870" s="72" t="s">
        <v>1058</v>
      </c>
      <c r="B2870" s="55" t="s">
        <v>12</v>
      </c>
      <c r="C2870" s="67" t="s">
        <v>47</v>
      </c>
      <c r="D2870" s="55" t="s">
        <v>50</v>
      </c>
      <c r="E2870" s="19">
        <v>325.82</v>
      </c>
      <c r="F2870" s="19">
        <v>11</v>
      </c>
      <c r="G2870" s="55" t="s">
        <v>11</v>
      </c>
      <c r="H2870" s="74">
        <v>10</v>
      </c>
      <c r="K2870" s="55" t="s">
        <v>25</v>
      </c>
    </row>
    <row r="2871" spans="1:12" x14ac:dyDescent="0.3">
      <c r="H2871" s="74">
        <v>10</v>
      </c>
      <c r="K2871" s="55" t="s">
        <v>84</v>
      </c>
    </row>
    <row r="2872" spans="1:12" x14ac:dyDescent="0.3">
      <c r="H2872" s="74">
        <v>110</v>
      </c>
      <c r="K2872" s="55" t="s">
        <v>96</v>
      </c>
    </row>
    <row r="2873" spans="1:12" x14ac:dyDescent="0.3">
      <c r="H2873" s="74">
        <v>70</v>
      </c>
      <c r="K2873" s="55" t="s">
        <v>33</v>
      </c>
      <c r="L2873" s="60" t="s">
        <v>1066</v>
      </c>
    </row>
    <row r="2874" spans="1:12" x14ac:dyDescent="0.3">
      <c r="H2874" s="74">
        <v>30</v>
      </c>
      <c r="K2874" s="55" t="s">
        <v>32</v>
      </c>
      <c r="L2874" s="60" t="s">
        <v>1067</v>
      </c>
    </row>
    <row r="2875" spans="1:12" x14ac:dyDescent="0.3">
      <c r="H2875" s="74">
        <v>20</v>
      </c>
      <c r="K2875" s="55" t="s">
        <v>32</v>
      </c>
      <c r="L2875" s="60" t="s">
        <v>1065</v>
      </c>
    </row>
    <row r="2876" spans="1:12" x14ac:dyDescent="0.3">
      <c r="H2876" s="74">
        <v>25</v>
      </c>
      <c r="K2876" s="55" t="s">
        <v>55</v>
      </c>
      <c r="L2876" s="60" t="s">
        <v>273</v>
      </c>
    </row>
    <row r="2877" spans="1:12" x14ac:dyDescent="0.3">
      <c r="H2877" s="74">
        <v>20</v>
      </c>
      <c r="K2877" s="55" t="s">
        <v>34</v>
      </c>
    </row>
    <row r="2878" spans="1:12" x14ac:dyDescent="0.3">
      <c r="H2878" s="74">
        <v>20</v>
      </c>
      <c r="K2878" s="55" t="s">
        <v>102</v>
      </c>
    </row>
    <row r="2879" spans="1:12" x14ac:dyDescent="0.3">
      <c r="H2879" s="74">
        <v>30</v>
      </c>
      <c r="K2879" s="55" t="s">
        <v>30</v>
      </c>
      <c r="L2879" s="60" t="s">
        <v>1019</v>
      </c>
    </row>
    <row r="2881" spans="1:13" x14ac:dyDescent="0.3">
      <c r="A2881" s="72" t="s">
        <v>1068</v>
      </c>
      <c r="B2881" s="55" t="s">
        <v>0</v>
      </c>
      <c r="C2881" s="67" t="s">
        <v>188</v>
      </c>
      <c r="D2881" s="55" t="s">
        <v>51</v>
      </c>
      <c r="E2881" s="19">
        <v>221.42</v>
      </c>
      <c r="F2881" s="19">
        <v>6</v>
      </c>
      <c r="G2881" s="55" t="s">
        <v>11</v>
      </c>
      <c r="H2881" s="74">
        <v>10</v>
      </c>
      <c r="K2881" s="55" t="s">
        <v>25</v>
      </c>
    </row>
    <row r="2882" spans="1:13" x14ac:dyDescent="0.3">
      <c r="H2882" s="74">
        <v>10</v>
      </c>
      <c r="K2882" s="55" t="s">
        <v>84</v>
      </c>
    </row>
    <row r="2883" spans="1:13" x14ac:dyDescent="0.3">
      <c r="H2883" s="74">
        <v>60</v>
      </c>
      <c r="K2883" s="55" t="s">
        <v>96</v>
      </c>
    </row>
    <row r="2884" spans="1:13" x14ac:dyDescent="0.3">
      <c r="H2884" s="74">
        <v>40</v>
      </c>
      <c r="K2884" s="55" t="s">
        <v>32</v>
      </c>
      <c r="L2884" s="60" t="s">
        <v>1075</v>
      </c>
    </row>
    <row r="2885" spans="1:13" x14ac:dyDescent="0.3">
      <c r="H2885" s="74">
        <v>50</v>
      </c>
      <c r="K2885" s="55" t="s">
        <v>30</v>
      </c>
      <c r="L2885" s="60" t="s">
        <v>652</v>
      </c>
    </row>
    <row r="2886" spans="1:13" x14ac:dyDescent="0.3">
      <c r="H2886" s="74">
        <v>20</v>
      </c>
      <c r="K2886" s="55" t="s">
        <v>33</v>
      </c>
      <c r="L2886" s="60" t="s">
        <v>1069</v>
      </c>
    </row>
    <row r="2887" spans="1:13" x14ac:dyDescent="0.3">
      <c r="H2887" s="74">
        <v>60</v>
      </c>
      <c r="K2887" s="55" t="s">
        <v>34</v>
      </c>
      <c r="L2887" s="60" t="s">
        <v>149</v>
      </c>
      <c r="M2887" s="1" t="s">
        <v>1074</v>
      </c>
    </row>
    <row r="2888" spans="1:13" x14ac:dyDescent="0.3">
      <c r="H2888" s="74">
        <v>60</v>
      </c>
      <c r="K2888" s="55" t="s">
        <v>34</v>
      </c>
      <c r="L2888" s="60" t="s">
        <v>302</v>
      </c>
      <c r="M2888" s="1" t="s">
        <v>1077</v>
      </c>
    </row>
    <row r="2889" spans="1:13" x14ac:dyDescent="0.3">
      <c r="H2889" s="74">
        <v>50</v>
      </c>
      <c r="K2889" s="55" t="s">
        <v>32</v>
      </c>
      <c r="L2889" s="60" t="s">
        <v>1070</v>
      </c>
    </row>
    <row r="2890" spans="1:13" x14ac:dyDescent="0.3">
      <c r="H2890" s="74">
        <v>10</v>
      </c>
      <c r="K2890" s="55" t="s">
        <v>33</v>
      </c>
      <c r="L2890" s="60" t="s">
        <v>1071</v>
      </c>
    </row>
    <row r="2891" spans="1:13" x14ac:dyDescent="0.3">
      <c r="H2891" s="74">
        <v>30</v>
      </c>
      <c r="K2891" s="55" t="s">
        <v>33</v>
      </c>
      <c r="L2891" s="60" t="s">
        <v>1072</v>
      </c>
      <c r="M2891" s="1" t="s">
        <v>1073</v>
      </c>
    </row>
    <row r="2892" spans="1:13" x14ac:dyDescent="0.3">
      <c r="H2892" s="74">
        <v>10</v>
      </c>
      <c r="K2892" s="55" t="s">
        <v>55</v>
      </c>
      <c r="L2892" s="60" t="s">
        <v>379</v>
      </c>
    </row>
    <row r="2893" spans="1:13" x14ac:dyDescent="0.3">
      <c r="H2893" s="74">
        <v>10</v>
      </c>
      <c r="K2893" s="55" t="s">
        <v>33</v>
      </c>
      <c r="L2893" s="60" t="s">
        <v>1076</v>
      </c>
    </row>
    <row r="2895" spans="1:13" x14ac:dyDescent="0.3">
      <c r="A2895" s="72" t="s">
        <v>1068</v>
      </c>
      <c r="B2895" s="55" t="s">
        <v>10</v>
      </c>
      <c r="C2895" s="67" t="s">
        <v>46</v>
      </c>
      <c r="D2895" s="55" t="s">
        <v>52</v>
      </c>
      <c r="E2895" s="19">
        <v>335.84</v>
      </c>
      <c r="F2895" s="19">
        <v>9</v>
      </c>
      <c r="G2895" s="55" t="s">
        <v>11</v>
      </c>
      <c r="H2895" s="74">
        <v>10</v>
      </c>
      <c r="K2895" s="55" t="s">
        <v>25</v>
      </c>
    </row>
    <row r="2896" spans="1:13" x14ac:dyDescent="0.3">
      <c r="H2896" s="74">
        <v>10</v>
      </c>
      <c r="K2896" s="55" t="s">
        <v>84</v>
      </c>
    </row>
    <row r="2897" spans="1:12" x14ac:dyDescent="0.3">
      <c r="H2897" s="74">
        <v>100</v>
      </c>
      <c r="K2897" s="55" t="s">
        <v>96</v>
      </c>
    </row>
    <row r="2898" spans="1:12" x14ac:dyDescent="0.3">
      <c r="H2898" s="74">
        <v>26</v>
      </c>
      <c r="K2898" s="55" t="s">
        <v>33</v>
      </c>
      <c r="L2898" s="60" t="s">
        <v>1078</v>
      </c>
    </row>
    <row r="2899" spans="1:12" x14ac:dyDescent="0.3">
      <c r="H2899" s="74">
        <v>40</v>
      </c>
      <c r="K2899" s="55" t="s">
        <v>32</v>
      </c>
      <c r="L2899" s="60" t="s">
        <v>1079</v>
      </c>
    </row>
    <row r="2900" spans="1:12" x14ac:dyDescent="0.3">
      <c r="H2900" s="74">
        <v>20</v>
      </c>
      <c r="K2900" s="55" t="s">
        <v>55</v>
      </c>
      <c r="L2900" s="60" t="s">
        <v>1080</v>
      </c>
    </row>
    <row r="2901" spans="1:12" x14ac:dyDescent="0.3">
      <c r="H2901" s="74">
        <v>20</v>
      </c>
      <c r="K2901" s="55" t="s">
        <v>102</v>
      </c>
    </row>
    <row r="2902" spans="1:12" x14ac:dyDescent="0.3">
      <c r="H2902" s="74">
        <v>20</v>
      </c>
      <c r="K2902" s="55" t="s">
        <v>30</v>
      </c>
      <c r="L2902" s="60" t="s">
        <v>1019</v>
      </c>
    </row>
    <row r="2903" spans="1:12" x14ac:dyDescent="0.3">
      <c r="H2903" s="74">
        <v>20</v>
      </c>
      <c r="K2903" s="55" t="s">
        <v>34</v>
      </c>
      <c r="L2903" s="60" t="s">
        <v>149</v>
      </c>
    </row>
    <row r="2904" spans="1:12" x14ac:dyDescent="0.3">
      <c r="H2904" s="74">
        <v>30</v>
      </c>
      <c r="K2904" s="55" t="s">
        <v>34</v>
      </c>
      <c r="L2904" s="60" t="s">
        <v>506</v>
      </c>
    </row>
    <row r="2905" spans="1:12" x14ac:dyDescent="0.3">
      <c r="H2905" s="74">
        <v>30</v>
      </c>
      <c r="K2905" s="55" t="s">
        <v>33</v>
      </c>
      <c r="L2905" s="60" t="s">
        <v>1081</v>
      </c>
    </row>
    <row r="2906" spans="1:12" x14ac:dyDescent="0.3">
      <c r="H2906" s="74">
        <v>15</v>
      </c>
      <c r="K2906" s="55" t="s">
        <v>55</v>
      </c>
      <c r="L2906" s="60" t="s">
        <v>13</v>
      </c>
    </row>
    <row r="2908" spans="1:12" x14ac:dyDescent="0.3">
      <c r="A2908" s="72" t="s">
        <v>1068</v>
      </c>
      <c r="B2908" s="55" t="s">
        <v>12</v>
      </c>
      <c r="C2908" s="67" t="s">
        <v>47</v>
      </c>
      <c r="D2908" s="55" t="s">
        <v>50</v>
      </c>
      <c r="E2908" s="19">
        <v>381.05</v>
      </c>
      <c r="F2908" s="19">
        <v>10</v>
      </c>
      <c r="G2908" s="55" t="s">
        <v>11</v>
      </c>
      <c r="H2908" s="74">
        <v>10</v>
      </c>
      <c r="K2908" s="55" t="s">
        <v>25</v>
      </c>
    </row>
    <row r="2909" spans="1:12" x14ac:dyDescent="0.3">
      <c r="H2909" s="74">
        <v>10</v>
      </c>
      <c r="K2909" s="55" t="s">
        <v>84</v>
      </c>
    </row>
    <row r="2910" spans="1:12" x14ac:dyDescent="0.3">
      <c r="H2910" s="74">
        <v>100</v>
      </c>
      <c r="K2910" s="55" t="s">
        <v>96</v>
      </c>
    </row>
    <row r="2911" spans="1:12" x14ac:dyDescent="0.3">
      <c r="H2911" s="74">
        <v>60</v>
      </c>
      <c r="K2911" s="55" t="s">
        <v>32</v>
      </c>
      <c r="L2911" s="60" t="s">
        <v>1082</v>
      </c>
    </row>
    <row r="2912" spans="1:12" x14ac:dyDescent="0.3">
      <c r="H2912" s="74">
        <v>20</v>
      </c>
      <c r="K2912" s="55" t="s">
        <v>102</v>
      </c>
    </row>
    <row r="2913" spans="1:12" x14ac:dyDescent="0.3">
      <c r="H2913" s="74">
        <v>30</v>
      </c>
      <c r="K2913" s="55" t="s">
        <v>34</v>
      </c>
      <c r="L2913" s="60" t="s">
        <v>149</v>
      </c>
    </row>
    <row r="2914" spans="1:12" x14ac:dyDescent="0.3">
      <c r="H2914" s="74">
        <v>50</v>
      </c>
      <c r="K2914" s="55" t="s">
        <v>34</v>
      </c>
      <c r="L2914" s="60" t="s">
        <v>506</v>
      </c>
    </row>
    <row r="2915" spans="1:12" x14ac:dyDescent="0.3">
      <c r="H2915" s="74">
        <v>50</v>
      </c>
      <c r="K2915" s="55" t="s">
        <v>30</v>
      </c>
      <c r="L2915" s="60" t="s">
        <v>1083</v>
      </c>
    </row>
    <row r="2916" spans="1:12" x14ac:dyDescent="0.3">
      <c r="H2916" s="74">
        <v>10</v>
      </c>
      <c r="K2916" s="55" t="s">
        <v>55</v>
      </c>
      <c r="L2916" s="60" t="s">
        <v>13</v>
      </c>
    </row>
    <row r="2918" spans="1:12" x14ac:dyDescent="0.3">
      <c r="A2918" s="72" t="s">
        <v>1084</v>
      </c>
      <c r="B2918" s="55" t="s">
        <v>0</v>
      </c>
      <c r="C2918" s="67" t="s">
        <v>188</v>
      </c>
      <c r="D2918" s="55" t="s">
        <v>51</v>
      </c>
      <c r="E2918" s="19">
        <v>153.43</v>
      </c>
      <c r="F2918" s="19">
        <v>5</v>
      </c>
      <c r="G2918" s="55" t="s">
        <v>11</v>
      </c>
      <c r="H2918" s="74">
        <v>10</v>
      </c>
      <c r="K2918" s="55" t="s">
        <v>25</v>
      </c>
    </row>
    <row r="2919" spans="1:12" x14ac:dyDescent="0.3">
      <c r="H2919" s="74">
        <v>10</v>
      </c>
      <c r="K2919" s="55" t="s">
        <v>84</v>
      </c>
    </row>
    <row r="2920" spans="1:12" x14ac:dyDescent="0.3">
      <c r="H2920" s="74">
        <v>50</v>
      </c>
      <c r="K2920" s="55" t="s">
        <v>96</v>
      </c>
    </row>
    <row r="2921" spans="1:12" x14ac:dyDescent="0.3">
      <c r="H2921" s="74">
        <v>30</v>
      </c>
      <c r="K2921" s="55" t="s">
        <v>32</v>
      </c>
      <c r="L2921" s="60" t="s">
        <v>1085</v>
      </c>
    </row>
    <row r="2922" spans="1:12" x14ac:dyDescent="0.3">
      <c r="H2922" s="74">
        <v>20</v>
      </c>
      <c r="K2922" s="55" t="s">
        <v>102</v>
      </c>
    </row>
    <row r="2923" spans="1:12" x14ac:dyDescent="0.3">
      <c r="H2923" s="74">
        <v>30</v>
      </c>
      <c r="K2923" s="55" t="s">
        <v>34</v>
      </c>
      <c r="L2923" s="60" t="s">
        <v>149</v>
      </c>
    </row>
    <row r="2924" spans="1:12" x14ac:dyDescent="0.3">
      <c r="H2924" s="74">
        <v>20</v>
      </c>
      <c r="K2924" s="55" t="s">
        <v>34</v>
      </c>
      <c r="L2924" s="60" t="s">
        <v>506</v>
      </c>
    </row>
    <row r="2925" spans="1:12" x14ac:dyDescent="0.3">
      <c r="H2925" s="74">
        <v>50</v>
      </c>
      <c r="K2925" s="55" t="s">
        <v>30</v>
      </c>
      <c r="L2925" s="60" t="s">
        <v>1086</v>
      </c>
    </row>
    <row r="2926" spans="1:12" x14ac:dyDescent="0.3">
      <c r="H2926" s="74">
        <v>170</v>
      </c>
      <c r="K2926" s="55" t="s">
        <v>33</v>
      </c>
      <c r="L2926" s="60" t="s">
        <v>1087</v>
      </c>
    </row>
    <row r="2928" spans="1:12" x14ac:dyDescent="0.3">
      <c r="A2928" s="72" t="s">
        <v>1084</v>
      </c>
      <c r="B2928" s="55" t="s">
        <v>10</v>
      </c>
      <c r="C2928" s="67" t="s">
        <v>46</v>
      </c>
      <c r="D2928" s="55" t="s">
        <v>52</v>
      </c>
      <c r="E2928" s="19">
        <v>340.94</v>
      </c>
      <c r="F2928" s="19">
        <v>11</v>
      </c>
      <c r="G2928" s="55" t="s">
        <v>11</v>
      </c>
      <c r="H2928" s="74">
        <v>10</v>
      </c>
      <c r="K2928" s="55" t="s">
        <v>25</v>
      </c>
    </row>
    <row r="2929" spans="1:12" x14ac:dyDescent="0.3">
      <c r="H2929" s="74">
        <v>10</v>
      </c>
      <c r="K2929" s="55" t="s">
        <v>84</v>
      </c>
    </row>
    <row r="2930" spans="1:12" x14ac:dyDescent="0.3">
      <c r="H2930" s="74">
        <v>110</v>
      </c>
      <c r="K2930" s="55" t="s">
        <v>96</v>
      </c>
    </row>
    <row r="2931" spans="1:12" x14ac:dyDescent="0.3">
      <c r="H2931" s="74">
        <v>30</v>
      </c>
      <c r="K2931" s="55" t="s">
        <v>32</v>
      </c>
      <c r="L2931" s="60" t="s">
        <v>1088</v>
      </c>
    </row>
    <row r="2932" spans="1:12" x14ac:dyDescent="0.3">
      <c r="H2932" s="74">
        <v>20</v>
      </c>
      <c r="K2932" s="55" t="s">
        <v>102</v>
      </c>
    </row>
    <row r="2933" spans="1:12" x14ac:dyDescent="0.3">
      <c r="H2933" s="74">
        <v>20</v>
      </c>
      <c r="K2933" s="55" t="s">
        <v>55</v>
      </c>
      <c r="L2933" s="60" t="s">
        <v>1089</v>
      </c>
    </row>
    <row r="2934" spans="1:12" x14ac:dyDescent="0.3">
      <c r="H2934" s="74">
        <v>40</v>
      </c>
      <c r="K2934" s="55" t="s">
        <v>34</v>
      </c>
      <c r="L2934" s="60" t="s">
        <v>149</v>
      </c>
    </row>
    <row r="2935" spans="1:12" x14ac:dyDescent="0.3">
      <c r="H2935" s="74">
        <v>50</v>
      </c>
      <c r="K2935" s="55" t="s">
        <v>34</v>
      </c>
      <c r="L2935" s="60" t="s">
        <v>506</v>
      </c>
    </row>
    <row r="2936" spans="1:12" x14ac:dyDescent="0.3">
      <c r="H2936" s="74">
        <v>50</v>
      </c>
      <c r="K2936" s="55" t="s">
        <v>30</v>
      </c>
      <c r="L2936" s="60" t="s">
        <v>1083</v>
      </c>
    </row>
    <row r="2937" spans="1:12" x14ac:dyDescent="0.3">
      <c r="H2937" s="74">
        <v>10</v>
      </c>
      <c r="K2937" s="55" t="s">
        <v>55</v>
      </c>
      <c r="L2937" s="60" t="s">
        <v>13</v>
      </c>
    </row>
    <row r="2939" spans="1:12" x14ac:dyDescent="0.3">
      <c r="A2939" s="72" t="s">
        <v>1084</v>
      </c>
      <c r="B2939" s="55" t="s">
        <v>12</v>
      </c>
      <c r="C2939" s="67" t="s">
        <v>47</v>
      </c>
      <c r="D2939" s="55" t="s">
        <v>50</v>
      </c>
      <c r="E2939" s="19">
        <v>245.87</v>
      </c>
      <c r="F2939" s="19">
        <v>7</v>
      </c>
      <c r="G2939" s="55" t="s">
        <v>11</v>
      </c>
      <c r="H2939" s="74">
        <v>10</v>
      </c>
      <c r="K2939" s="55" t="s">
        <v>25</v>
      </c>
    </row>
    <row r="2940" spans="1:12" x14ac:dyDescent="0.3">
      <c r="H2940" s="74">
        <v>10</v>
      </c>
      <c r="K2940" s="55" t="s">
        <v>84</v>
      </c>
    </row>
    <row r="2941" spans="1:12" x14ac:dyDescent="0.3">
      <c r="H2941" s="74">
        <v>80</v>
      </c>
      <c r="K2941" s="55" t="s">
        <v>96</v>
      </c>
    </row>
    <row r="2942" spans="1:12" x14ac:dyDescent="0.3">
      <c r="H2942" s="74">
        <v>60</v>
      </c>
      <c r="K2942" s="55" t="s">
        <v>32</v>
      </c>
      <c r="L2942" s="60" t="s">
        <v>1082</v>
      </c>
    </row>
    <row r="2943" spans="1:12" x14ac:dyDescent="0.3">
      <c r="H2943" s="74">
        <v>20</v>
      </c>
      <c r="K2943" s="55" t="s">
        <v>102</v>
      </c>
    </row>
    <row r="2944" spans="1:12" x14ac:dyDescent="0.3">
      <c r="H2944" s="74">
        <v>30</v>
      </c>
      <c r="K2944" s="55" t="s">
        <v>34</v>
      </c>
      <c r="L2944" s="60" t="s">
        <v>149</v>
      </c>
    </row>
    <row r="2945" spans="1:13" x14ac:dyDescent="0.3">
      <c r="H2945" s="74">
        <v>30</v>
      </c>
      <c r="K2945" s="55" t="s">
        <v>34</v>
      </c>
      <c r="L2945" s="60" t="s">
        <v>506</v>
      </c>
    </row>
    <row r="2946" spans="1:13" x14ac:dyDescent="0.3">
      <c r="H2946" s="74">
        <v>40</v>
      </c>
      <c r="K2946" s="55" t="s">
        <v>30</v>
      </c>
      <c r="L2946" s="60" t="s">
        <v>1083</v>
      </c>
    </row>
    <row r="2947" spans="1:13" x14ac:dyDescent="0.3">
      <c r="H2947" s="74">
        <v>10</v>
      </c>
      <c r="K2947" s="55" t="s">
        <v>55</v>
      </c>
      <c r="L2947" s="60" t="s">
        <v>13</v>
      </c>
    </row>
    <row r="2948" spans="1:13" x14ac:dyDescent="0.3">
      <c r="H2948" s="74">
        <v>40</v>
      </c>
      <c r="K2948" s="55" t="s">
        <v>32</v>
      </c>
      <c r="L2948" s="60" t="s">
        <v>1090</v>
      </c>
    </row>
    <row r="2949" spans="1:13" x14ac:dyDescent="0.3">
      <c r="H2949" s="74">
        <v>30</v>
      </c>
      <c r="K2949" s="55" t="s">
        <v>32</v>
      </c>
      <c r="L2949" s="60" t="s">
        <v>640</v>
      </c>
    </row>
    <row r="2950" spans="1:13" x14ac:dyDescent="0.3">
      <c r="H2950" s="74">
        <v>15</v>
      </c>
      <c r="K2950" s="55" t="s">
        <v>33</v>
      </c>
      <c r="L2950" s="60" t="s">
        <v>1093</v>
      </c>
    </row>
    <row r="2951" spans="1:13" x14ac:dyDescent="0.3">
      <c r="H2951" s="74">
        <v>15</v>
      </c>
      <c r="K2951" s="55" t="s">
        <v>33</v>
      </c>
      <c r="L2951" s="60" t="s">
        <v>1092</v>
      </c>
    </row>
    <row r="2952" spans="1:13" x14ac:dyDescent="0.3">
      <c r="H2952" s="74">
        <v>30</v>
      </c>
      <c r="K2952" s="55" t="s">
        <v>33</v>
      </c>
      <c r="L2952" s="60" t="s">
        <v>1091</v>
      </c>
    </row>
    <row r="2954" spans="1:13" x14ac:dyDescent="0.3">
      <c r="A2954" s="72" t="s">
        <v>1094</v>
      </c>
      <c r="B2954" s="55" t="s">
        <v>0</v>
      </c>
      <c r="C2954" s="67" t="s">
        <v>188</v>
      </c>
      <c r="D2954" s="55" t="s">
        <v>51</v>
      </c>
      <c r="E2954" s="19">
        <v>307.11</v>
      </c>
      <c r="F2954" s="19">
        <v>8.5</v>
      </c>
      <c r="G2954" s="55" t="s">
        <v>11</v>
      </c>
      <c r="H2954" s="74">
        <v>10</v>
      </c>
      <c r="K2954" s="55" t="s">
        <v>25</v>
      </c>
    </row>
    <row r="2955" spans="1:13" x14ac:dyDescent="0.3">
      <c r="H2955" s="74">
        <v>10</v>
      </c>
      <c r="K2955" s="55" t="s">
        <v>84</v>
      </c>
    </row>
    <row r="2956" spans="1:13" x14ac:dyDescent="0.3">
      <c r="H2956" s="74">
        <v>90</v>
      </c>
      <c r="K2956" s="55" t="s">
        <v>96</v>
      </c>
    </row>
    <row r="2957" spans="1:13" x14ac:dyDescent="0.3">
      <c r="H2957" s="74">
        <v>50</v>
      </c>
      <c r="K2957" s="55" t="s">
        <v>32</v>
      </c>
      <c r="L2957" s="60" t="s">
        <v>1096</v>
      </c>
      <c r="M2957" s="1" t="s">
        <v>1098</v>
      </c>
    </row>
    <row r="2958" spans="1:13" x14ac:dyDescent="0.3">
      <c r="H2958" s="74">
        <v>40</v>
      </c>
      <c r="K2958" s="55" t="s">
        <v>32</v>
      </c>
      <c r="L2958" s="60" t="s">
        <v>1097</v>
      </c>
    </row>
    <row r="2959" spans="1:13" x14ac:dyDescent="0.3">
      <c r="H2959" s="74">
        <v>40</v>
      </c>
      <c r="K2959" s="55" t="s">
        <v>30</v>
      </c>
      <c r="L2959" s="60" t="s">
        <v>652</v>
      </c>
    </row>
    <row r="2960" spans="1:13" x14ac:dyDescent="0.3">
      <c r="H2960" s="74">
        <v>15</v>
      </c>
      <c r="K2960" s="55" t="s">
        <v>33</v>
      </c>
      <c r="L2960" s="60" t="s">
        <v>1095</v>
      </c>
    </row>
    <row r="2961" spans="1:12" x14ac:dyDescent="0.3">
      <c r="H2961" s="74">
        <v>40</v>
      </c>
      <c r="K2961" s="55" t="s">
        <v>34</v>
      </c>
      <c r="L2961" s="60" t="s">
        <v>253</v>
      </c>
    </row>
    <row r="2962" spans="1:12" x14ac:dyDescent="0.3">
      <c r="H2962" s="74">
        <v>20</v>
      </c>
      <c r="K2962" s="55" t="s">
        <v>102</v>
      </c>
    </row>
    <row r="2963" spans="1:12" x14ac:dyDescent="0.3">
      <c r="H2963" s="74">
        <v>45</v>
      </c>
      <c r="K2963" s="55" t="s">
        <v>34</v>
      </c>
      <c r="L2963" s="60" t="s">
        <v>302</v>
      </c>
    </row>
    <row r="2964" spans="1:12" x14ac:dyDescent="0.3">
      <c r="H2964" s="74">
        <v>40</v>
      </c>
      <c r="K2964" s="55" t="s">
        <v>55</v>
      </c>
      <c r="L2964" s="60" t="s">
        <v>571</v>
      </c>
    </row>
    <row r="2966" spans="1:12" x14ac:dyDescent="0.3">
      <c r="A2966" s="72" t="s">
        <v>1094</v>
      </c>
      <c r="B2966" s="55" t="s">
        <v>10</v>
      </c>
      <c r="C2966" s="67" t="s">
        <v>48</v>
      </c>
      <c r="D2966" s="55" t="s">
        <v>52</v>
      </c>
      <c r="E2966" s="19">
        <v>210.04</v>
      </c>
      <c r="F2966" s="19" t="s">
        <v>1102</v>
      </c>
      <c r="G2966" s="55" t="s">
        <v>11</v>
      </c>
      <c r="H2966" s="74">
        <v>10</v>
      </c>
      <c r="K2966" s="55" t="s">
        <v>25</v>
      </c>
    </row>
    <row r="2967" spans="1:12" x14ac:dyDescent="0.3">
      <c r="H2967" s="74">
        <v>10</v>
      </c>
      <c r="K2967" s="55" t="s">
        <v>84</v>
      </c>
    </row>
    <row r="2968" spans="1:12" x14ac:dyDescent="0.3">
      <c r="H2968" s="74">
        <v>90</v>
      </c>
      <c r="K2968" s="55" t="s">
        <v>96</v>
      </c>
    </row>
    <row r="2969" spans="1:12" x14ac:dyDescent="0.3">
      <c r="H2969" s="74">
        <v>90</v>
      </c>
      <c r="K2969" s="55" t="s">
        <v>32</v>
      </c>
      <c r="L2969" s="60" t="s">
        <v>1103</v>
      </c>
    </row>
    <row r="2970" spans="1:12" x14ac:dyDescent="0.3">
      <c r="H2970" s="74">
        <v>20</v>
      </c>
      <c r="K2970" s="55" t="s">
        <v>102</v>
      </c>
    </row>
    <row r="2971" spans="1:12" x14ac:dyDescent="0.3">
      <c r="H2971" s="74">
        <v>40</v>
      </c>
      <c r="K2971" s="55" t="s">
        <v>55</v>
      </c>
      <c r="L2971" s="60" t="s">
        <v>812</v>
      </c>
    </row>
    <row r="2972" spans="1:12" x14ac:dyDescent="0.3">
      <c r="H2972" s="74">
        <v>30</v>
      </c>
      <c r="K2972" s="55" t="s">
        <v>55</v>
      </c>
      <c r="L2972" s="60" t="s">
        <v>1099</v>
      </c>
    </row>
    <row r="2973" spans="1:12" x14ac:dyDescent="0.3">
      <c r="H2973" s="74">
        <v>20</v>
      </c>
      <c r="K2973" s="55" t="s">
        <v>33</v>
      </c>
      <c r="L2973" s="60" t="s">
        <v>1100</v>
      </c>
    </row>
    <row r="2974" spans="1:12" x14ac:dyDescent="0.3">
      <c r="H2974" s="74">
        <v>20</v>
      </c>
      <c r="K2974" s="55" t="s">
        <v>30</v>
      </c>
      <c r="L2974" s="60" t="s">
        <v>1104</v>
      </c>
    </row>
    <row r="2975" spans="1:12" x14ac:dyDescent="0.3">
      <c r="H2975" s="74">
        <v>20</v>
      </c>
      <c r="K2975" s="55" t="s">
        <v>34</v>
      </c>
      <c r="L2975" s="60" t="s">
        <v>1101</v>
      </c>
    </row>
    <row r="2977" spans="1:12" x14ac:dyDescent="0.3">
      <c r="A2977" s="72" t="s">
        <v>1094</v>
      </c>
      <c r="B2977" s="55" t="s">
        <v>12</v>
      </c>
      <c r="C2977" s="67" t="s">
        <v>47</v>
      </c>
      <c r="D2977" s="55" t="s">
        <v>50</v>
      </c>
      <c r="E2977" s="19">
        <v>395.13</v>
      </c>
      <c r="F2977" s="19">
        <v>13</v>
      </c>
      <c r="G2977" s="55" t="s">
        <v>11</v>
      </c>
      <c r="H2977" s="74">
        <v>10</v>
      </c>
      <c r="K2977" s="55" t="s">
        <v>25</v>
      </c>
    </row>
    <row r="2978" spans="1:12" x14ac:dyDescent="0.3">
      <c r="H2978" s="74">
        <v>10</v>
      </c>
      <c r="K2978" s="55" t="s">
        <v>84</v>
      </c>
    </row>
    <row r="2979" spans="1:12" x14ac:dyDescent="0.3">
      <c r="H2979" s="74">
        <v>130</v>
      </c>
      <c r="K2979" s="55" t="s">
        <v>96</v>
      </c>
    </row>
    <row r="2980" spans="1:12" x14ac:dyDescent="0.3">
      <c r="H2980" s="74">
        <v>30</v>
      </c>
      <c r="K2980" s="55" t="s">
        <v>32</v>
      </c>
      <c r="L2980" s="60" t="s">
        <v>133</v>
      </c>
    </row>
    <row r="2981" spans="1:12" x14ac:dyDescent="0.3">
      <c r="H2981" s="74">
        <v>30</v>
      </c>
      <c r="K2981" s="55" t="s">
        <v>102</v>
      </c>
    </row>
    <row r="2982" spans="1:12" x14ac:dyDescent="0.3">
      <c r="H2982" s="74">
        <v>40</v>
      </c>
      <c r="K2982" s="55" t="s">
        <v>32</v>
      </c>
      <c r="L2982" s="60" t="s">
        <v>460</v>
      </c>
    </row>
    <row r="2983" spans="1:12" x14ac:dyDescent="0.3">
      <c r="H2983" s="74">
        <v>20</v>
      </c>
      <c r="K2983" s="55" t="s">
        <v>30</v>
      </c>
      <c r="L2983" s="60" t="s">
        <v>1104</v>
      </c>
    </row>
    <row r="2984" spans="1:12" x14ac:dyDescent="0.3">
      <c r="H2984" s="74">
        <v>20</v>
      </c>
      <c r="K2984" s="55" t="s">
        <v>33</v>
      </c>
      <c r="L2984" s="60" t="s">
        <v>1105</v>
      </c>
    </row>
    <row r="2985" spans="1:12" x14ac:dyDescent="0.3">
      <c r="H2985" s="74">
        <v>20</v>
      </c>
      <c r="K2985" s="55" t="s">
        <v>55</v>
      </c>
      <c r="L2985" s="60" t="s">
        <v>13</v>
      </c>
    </row>
    <row r="2987" spans="1:12" x14ac:dyDescent="0.3">
      <c r="A2987" s="72" t="s">
        <v>1106</v>
      </c>
      <c r="B2987" s="55" t="s">
        <v>0</v>
      </c>
      <c r="C2987" s="67" t="s">
        <v>188</v>
      </c>
      <c r="D2987" s="55" t="s">
        <v>51</v>
      </c>
      <c r="E2987" s="19">
        <v>481.59</v>
      </c>
      <c r="F2987" s="19">
        <v>13</v>
      </c>
      <c r="G2987" s="55" t="s">
        <v>11</v>
      </c>
      <c r="H2987" s="74">
        <v>10</v>
      </c>
      <c r="K2987" s="55" t="s">
        <v>25</v>
      </c>
    </row>
    <row r="2988" spans="1:12" x14ac:dyDescent="0.3">
      <c r="H2988" s="74">
        <v>10</v>
      </c>
      <c r="K2988" s="55" t="s">
        <v>84</v>
      </c>
    </row>
    <row r="2989" spans="1:12" x14ac:dyDescent="0.3">
      <c r="H2989" s="74">
        <v>130</v>
      </c>
      <c r="K2989" s="55" t="s">
        <v>96</v>
      </c>
    </row>
    <row r="2990" spans="1:12" x14ac:dyDescent="0.3">
      <c r="H2990" s="74">
        <v>20</v>
      </c>
      <c r="K2990" s="55" t="s">
        <v>32</v>
      </c>
      <c r="L2990" s="60" t="s">
        <v>236</v>
      </c>
    </row>
    <row r="2991" spans="1:12" x14ac:dyDescent="0.3">
      <c r="H2991" s="74">
        <v>15</v>
      </c>
      <c r="K2991" s="55" t="s">
        <v>33</v>
      </c>
      <c r="L2991" s="60" t="s">
        <v>1109</v>
      </c>
    </row>
    <row r="2992" spans="1:12" x14ac:dyDescent="0.3">
      <c r="H2992" s="74">
        <v>20</v>
      </c>
      <c r="K2992" s="55" t="s">
        <v>34</v>
      </c>
      <c r="L2992" s="60" t="s">
        <v>794</v>
      </c>
    </row>
    <row r="2993" spans="1:12" x14ac:dyDescent="0.3">
      <c r="H2993" s="74">
        <v>20</v>
      </c>
      <c r="K2993" s="55" t="s">
        <v>102</v>
      </c>
    </row>
    <row r="2994" spans="1:12" x14ac:dyDescent="0.3">
      <c r="H2994" s="74">
        <v>20</v>
      </c>
      <c r="K2994" s="55" t="s">
        <v>33</v>
      </c>
      <c r="L2994" s="60" t="s">
        <v>1107</v>
      </c>
    </row>
    <row r="2995" spans="1:12" x14ac:dyDescent="0.3">
      <c r="H2995" s="74">
        <v>20</v>
      </c>
      <c r="K2995" s="55" t="s">
        <v>55</v>
      </c>
      <c r="L2995" s="60" t="s">
        <v>1108</v>
      </c>
    </row>
    <row r="2996" spans="1:12" x14ac:dyDescent="0.3">
      <c r="H2996" s="74">
        <v>20</v>
      </c>
      <c r="K2996" s="55" t="s">
        <v>55</v>
      </c>
      <c r="L2996" s="60" t="s">
        <v>13</v>
      </c>
    </row>
    <row r="2997" spans="1:12" x14ac:dyDescent="0.3">
      <c r="H2997" s="74">
        <v>20</v>
      </c>
      <c r="K2997" s="55" t="s">
        <v>30</v>
      </c>
    </row>
    <row r="2999" spans="1:12" x14ac:dyDescent="0.3">
      <c r="A2999" s="72" t="s">
        <v>1106</v>
      </c>
      <c r="B2999" s="55" t="s">
        <v>10</v>
      </c>
      <c r="C2999" s="67" t="s">
        <v>46</v>
      </c>
      <c r="D2999" s="55" t="s">
        <v>52</v>
      </c>
      <c r="E2999" s="19">
        <v>459.46</v>
      </c>
      <c r="F2999" s="19">
        <v>13</v>
      </c>
      <c r="G2999" s="55" t="s">
        <v>11</v>
      </c>
      <c r="H2999" s="74">
        <v>10</v>
      </c>
      <c r="K2999" s="55" t="s">
        <v>25</v>
      </c>
    </row>
    <row r="3000" spans="1:12" x14ac:dyDescent="0.3">
      <c r="H3000" s="74">
        <v>10</v>
      </c>
      <c r="K3000" s="55" t="s">
        <v>84</v>
      </c>
    </row>
    <row r="3001" spans="1:12" x14ac:dyDescent="0.3">
      <c r="H3001" s="74">
        <v>130</v>
      </c>
      <c r="K3001" s="55" t="s">
        <v>96</v>
      </c>
    </row>
    <row r="3002" spans="1:12" x14ac:dyDescent="0.3">
      <c r="H3002" s="74">
        <v>30</v>
      </c>
      <c r="K3002" s="55" t="s">
        <v>32</v>
      </c>
      <c r="L3002" s="60" t="s">
        <v>1118</v>
      </c>
    </row>
    <row r="3003" spans="1:12" x14ac:dyDescent="0.3">
      <c r="H3003" s="74">
        <v>20</v>
      </c>
      <c r="K3003" s="55" t="s">
        <v>102</v>
      </c>
    </row>
    <row r="3004" spans="1:12" x14ac:dyDescent="0.3">
      <c r="H3004" s="74">
        <v>20</v>
      </c>
      <c r="K3004" s="55" t="s">
        <v>55</v>
      </c>
      <c r="L3004" s="60" t="s">
        <v>1111</v>
      </c>
    </row>
    <row r="3005" spans="1:12" x14ac:dyDescent="0.3">
      <c r="H3005" s="74">
        <v>20</v>
      </c>
      <c r="K3005" s="55" t="s">
        <v>55</v>
      </c>
      <c r="L3005" s="60" t="s">
        <v>1100</v>
      </c>
    </row>
    <row r="3006" spans="1:12" x14ac:dyDescent="0.3">
      <c r="H3006" s="74">
        <v>20</v>
      </c>
      <c r="K3006" s="55" t="s">
        <v>30</v>
      </c>
      <c r="L3006" s="60" t="s">
        <v>1104</v>
      </c>
    </row>
    <row r="3007" spans="1:12" x14ac:dyDescent="0.3">
      <c r="H3007" s="74">
        <v>20</v>
      </c>
      <c r="K3007" s="55" t="s">
        <v>34</v>
      </c>
      <c r="L3007" s="60" t="s">
        <v>149</v>
      </c>
    </row>
    <row r="3008" spans="1:12" x14ac:dyDescent="0.3">
      <c r="H3008" s="74">
        <v>20</v>
      </c>
      <c r="K3008" s="55" t="s">
        <v>55</v>
      </c>
      <c r="L3008" s="60" t="s">
        <v>13</v>
      </c>
    </row>
    <row r="3009" spans="1:12" x14ac:dyDescent="0.3">
      <c r="H3009" s="74">
        <v>20</v>
      </c>
      <c r="K3009" s="55" t="s">
        <v>34</v>
      </c>
      <c r="L3009" s="60" t="s">
        <v>794</v>
      </c>
    </row>
    <row r="3010" spans="1:12" x14ac:dyDescent="0.3">
      <c r="A3010" s="72" t="s">
        <v>1106</v>
      </c>
      <c r="B3010" s="55" t="s">
        <v>12</v>
      </c>
      <c r="C3010" s="67" t="s">
        <v>47</v>
      </c>
      <c r="D3010" s="55" t="s">
        <v>50</v>
      </c>
      <c r="E3010" s="19">
        <v>340.32</v>
      </c>
      <c r="F3010" s="19">
        <v>12</v>
      </c>
      <c r="G3010" s="55" t="s">
        <v>11</v>
      </c>
      <c r="H3010" s="74">
        <v>10</v>
      </c>
      <c r="K3010" s="55" t="s">
        <v>25</v>
      </c>
    </row>
    <row r="3011" spans="1:12" x14ac:dyDescent="0.3">
      <c r="H3011" s="74">
        <v>10</v>
      </c>
      <c r="K3011" s="55" t="s">
        <v>84</v>
      </c>
    </row>
    <row r="3012" spans="1:12" x14ac:dyDescent="0.3">
      <c r="H3012" s="74">
        <v>120</v>
      </c>
      <c r="K3012" s="55" t="s">
        <v>96</v>
      </c>
    </row>
    <row r="3013" spans="1:12" x14ac:dyDescent="0.3">
      <c r="H3013" s="74">
        <v>50</v>
      </c>
      <c r="K3013" s="55" t="s">
        <v>33</v>
      </c>
      <c r="L3013" s="60" t="s">
        <v>1113</v>
      </c>
    </row>
    <row r="3014" spans="1:12" x14ac:dyDescent="0.3">
      <c r="H3014" s="74">
        <v>30</v>
      </c>
      <c r="K3014" s="55" t="s">
        <v>102</v>
      </c>
    </row>
    <row r="3015" spans="1:12" x14ac:dyDescent="0.3">
      <c r="H3015" s="74">
        <v>40</v>
      </c>
      <c r="K3015" s="55" t="s">
        <v>32</v>
      </c>
      <c r="L3015" s="60" t="s">
        <v>1112</v>
      </c>
    </row>
    <row r="3016" spans="1:12" x14ac:dyDescent="0.3">
      <c r="H3016" s="74">
        <v>30</v>
      </c>
      <c r="K3016" s="55" t="s">
        <v>30</v>
      </c>
      <c r="L3016" s="60" t="s">
        <v>1104</v>
      </c>
    </row>
    <row r="3017" spans="1:12" x14ac:dyDescent="0.3">
      <c r="H3017" s="74">
        <v>20</v>
      </c>
      <c r="K3017" s="55" t="s">
        <v>55</v>
      </c>
      <c r="L3017" s="60" t="s">
        <v>13</v>
      </c>
    </row>
    <row r="3019" spans="1:12" x14ac:dyDescent="0.3">
      <c r="A3019" s="72" t="s">
        <v>1114</v>
      </c>
      <c r="B3019" s="55" t="s">
        <v>0</v>
      </c>
      <c r="C3019" s="67" t="s">
        <v>48</v>
      </c>
      <c r="D3019" s="55" t="s">
        <v>51</v>
      </c>
      <c r="E3019" s="19">
        <v>242.4</v>
      </c>
      <c r="F3019" s="19">
        <v>9</v>
      </c>
      <c r="G3019" s="55" t="s">
        <v>11</v>
      </c>
      <c r="H3019" s="74">
        <v>10</v>
      </c>
      <c r="K3019" s="55" t="s">
        <v>25</v>
      </c>
    </row>
    <row r="3020" spans="1:12" x14ac:dyDescent="0.3">
      <c r="H3020" s="74">
        <v>10</v>
      </c>
      <c r="K3020" s="55" t="s">
        <v>84</v>
      </c>
    </row>
    <row r="3021" spans="1:12" x14ac:dyDescent="0.3">
      <c r="H3021" s="74">
        <v>100</v>
      </c>
      <c r="K3021" s="55" t="s">
        <v>96</v>
      </c>
    </row>
    <row r="3022" spans="1:12" x14ac:dyDescent="0.3">
      <c r="H3022" s="74">
        <v>25</v>
      </c>
      <c r="K3022" s="55" t="s">
        <v>102</v>
      </c>
    </row>
    <row r="3023" spans="1:12" x14ac:dyDescent="0.3">
      <c r="H3023" s="74">
        <v>40</v>
      </c>
      <c r="K3023" s="55" t="s">
        <v>32</v>
      </c>
      <c r="L3023" s="60" t="s">
        <v>1115</v>
      </c>
    </row>
    <row r="3024" spans="1:12" x14ac:dyDescent="0.3">
      <c r="H3024" s="74">
        <v>50</v>
      </c>
      <c r="K3024" s="55" t="s">
        <v>55</v>
      </c>
      <c r="L3024" s="60" t="s">
        <v>1117</v>
      </c>
    </row>
    <row r="3025" spans="1:12" x14ac:dyDescent="0.3">
      <c r="H3025" s="74">
        <v>20</v>
      </c>
      <c r="K3025" s="55" t="s">
        <v>32</v>
      </c>
      <c r="L3025" s="60" t="s">
        <v>1116</v>
      </c>
    </row>
    <row r="3026" spans="1:12" x14ac:dyDescent="0.3">
      <c r="H3026" s="74">
        <v>20</v>
      </c>
      <c r="K3026" s="55" t="s">
        <v>55</v>
      </c>
      <c r="L3026" s="60" t="s">
        <v>13</v>
      </c>
    </row>
    <row r="3027" spans="1:12" x14ac:dyDescent="0.3">
      <c r="H3027" s="74">
        <v>25</v>
      </c>
      <c r="K3027" s="55" t="s">
        <v>30</v>
      </c>
      <c r="L3027" s="60" t="s">
        <v>1104</v>
      </c>
    </row>
    <row r="3029" spans="1:12" x14ac:dyDescent="0.3">
      <c r="A3029" s="72" t="s">
        <v>1114</v>
      </c>
      <c r="B3029" s="55" t="s">
        <v>10</v>
      </c>
      <c r="C3029" s="67" t="s">
        <v>47</v>
      </c>
      <c r="D3029" s="55" t="s">
        <v>52</v>
      </c>
      <c r="E3029" s="19">
        <v>226.65</v>
      </c>
      <c r="F3029" s="19">
        <v>9</v>
      </c>
      <c r="G3029" s="55" t="s">
        <v>11</v>
      </c>
      <c r="H3029" s="74">
        <v>10</v>
      </c>
      <c r="K3029" s="55" t="s">
        <v>25</v>
      </c>
    </row>
    <row r="3030" spans="1:12" x14ac:dyDescent="0.3">
      <c r="H3030" s="74">
        <v>10</v>
      </c>
      <c r="K3030" s="55" t="s">
        <v>84</v>
      </c>
    </row>
    <row r="3031" spans="1:12" x14ac:dyDescent="0.3">
      <c r="H3031" s="74">
        <v>90</v>
      </c>
      <c r="K3031" s="55" t="s">
        <v>96</v>
      </c>
    </row>
    <row r="3032" spans="1:12" x14ac:dyDescent="0.3">
      <c r="H3032" s="74">
        <v>100</v>
      </c>
      <c r="K3032" s="55" t="s">
        <v>32</v>
      </c>
      <c r="L3032" s="60" t="s">
        <v>1103</v>
      </c>
    </row>
    <row r="3033" spans="1:12" x14ac:dyDescent="0.3">
      <c r="H3033" s="74">
        <v>20</v>
      </c>
      <c r="K3033" s="55" t="s">
        <v>102</v>
      </c>
    </row>
    <row r="3034" spans="1:12" x14ac:dyDescent="0.3">
      <c r="H3034" s="74">
        <v>20</v>
      </c>
      <c r="K3034" s="55" t="s">
        <v>55</v>
      </c>
      <c r="L3034" s="60" t="s">
        <v>1111</v>
      </c>
    </row>
    <row r="3035" spans="1:12" x14ac:dyDescent="0.3">
      <c r="H3035" s="74">
        <v>20</v>
      </c>
      <c r="K3035" s="55" t="s">
        <v>33</v>
      </c>
      <c r="L3035" s="60" t="s">
        <v>1120</v>
      </c>
    </row>
    <row r="3036" spans="1:12" x14ac:dyDescent="0.3">
      <c r="H3036" s="74">
        <v>30</v>
      </c>
      <c r="K3036" s="55" t="s">
        <v>30</v>
      </c>
      <c r="L3036" s="60" t="s">
        <v>1121</v>
      </c>
    </row>
    <row r="3037" spans="1:12" x14ac:dyDescent="0.3">
      <c r="H3037" s="74">
        <v>30</v>
      </c>
      <c r="K3037" s="55" t="s">
        <v>34</v>
      </c>
      <c r="L3037" s="60" t="s">
        <v>149</v>
      </c>
    </row>
    <row r="3038" spans="1:12" x14ac:dyDescent="0.3">
      <c r="H3038" s="74">
        <v>20</v>
      </c>
      <c r="K3038" s="55" t="s">
        <v>55</v>
      </c>
      <c r="L3038" s="60" t="s">
        <v>13</v>
      </c>
    </row>
    <row r="3039" spans="1:12" x14ac:dyDescent="0.3">
      <c r="H3039" s="74">
        <v>20</v>
      </c>
      <c r="K3039" s="55" t="s">
        <v>34</v>
      </c>
      <c r="L3039" s="60" t="s">
        <v>794</v>
      </c>
    </row>
    <row r="3040" spans="1:12" x14ac:dyDescent="0.3">
      <c r="H3040" s="74">
        <v>40</v>
      </c>
      <c r="K3040" s="55" t="s">
        <v>33</v>
      </c>
      <c r="L3040" s="60" t="s">
        <v>1119</v>
      </c>
    </row>
    <row r="3042" spans="1:12" x14ac:dyDescent="0.3">
      <c r="A3042" s="72" t="s">
        <v>1114</v>
      </c>
      <c r="B3042" s="55" t="s">
        <v>12</v>
      </c>
      <c r="C3042" s="67" t="s">
        <v>46</v>
      </c>
      <c r="D3042" s="55" t="s">
        <v>50</v>
      </c>
      <c r="E3042" s="19">
        <v>129.68</v>
      </c>
      <c r="F3042" s="19">
        <v>5</v>
      </c>
      <c r="G3042" s="55" t="s">
        <v>11</v>
      </c>
      <c r="H3042" s="74">
        <v>10</v>
      </c>
      <c r="K3042" s="55" t="s">
        <v>25</v>
      </c>
    </row>
    <row r="3043" spans="1:12" x14ac:dyDescent="0.3">
      <c r="H3043" s="74">
        <v>10</v>
      </c>
      <c r="K3043" s="55" t="s">
        <v>84</v>
      </c>
    </row>
    <row r="3044" spans="1:12" x14ac:dyDescent="0.3">
      <c r="H3044" s="74">
        <v>60</v>
      </c>
      <c r="K3044" s="55" t="s">
        <v>96</v>
      </c>
    </row>
    <row r="3045" spans="1:12" x14ac:dyDescent="0.3">
      <c r="H3045" s="74">
        <v>40</v>
      </c>
      <c r="K3045" s="55" t="s">
        <v>32</v>
      </c>
      <c r="L3045" s="60" t="s">
        <v>460</v>
      </c>
    </row>
    <row r="3046" spans="1:12" x14ac:dyDescent="0.3">
      <c r="H3046" s="74">
        <v>20</v>
      </c>
      <c r="K3046" s="55" t="s">
        <v>33</v>
      </c>
      <c r="L3046" s="60" t="s">
        <v>1122</v>
      </c>
    </row>
    <row r="3047" spans="1:12" x14ac:dyDescent="0.3">
      <c r="H3047" s="74">
        <v>60</v>
      </c>
      <c r="K3047" s="55" t="s">
        <v>32</v>
      </c>
      <c r="L3047" s="60" t="s">
        <v>1124</v>
      </c>
    </row>
    <row r="3048" spans="1:12" x14ac:dyDescent="0.3">
      <c r="H3048" s="74">
        <v>50</v>
      </c>
      <c r="K3048" s="55" t="s">
        <v>32</v>
      </c>
      <c r="L3048" s="60" t="s">
        <v>1125</v>
      </c>
    </row>
    <row r="3049" spans="1:12" x14ac:dyDescent="0.3">
      <c r="H3049" s="74">
        <v>20</v>
      </c>
      <c r="K3049" s="55" t="s">
        <v>33</v>
      </c>
      <c r="L3049" s="60" t="s">
        <v>1123</v>
      </c>
    </row>
    <row r="3050" spans="1:12" x14ac:dyDescent="0.3">
      <c r="H3050" s="74">
        <v>30</v>
      </c>
      <c r="K3050" s="55" t="s">
        <v>30</v>
      </c>
      <c r="L3050" s="60" t="s">
        <v>136</v>
      </c>
    </row>
    <row r="3051" spans="1:12" x14ac:dyDescent="0.3">
      <c r="H3051" s="74">
        <v>40</v>
      </c>
      <c r="K3051" s="55" t="s">
        <v>34</v>
      </c>
      <c r="L3051" s="55" t="s">
        <v>34</v>
      </c>
    </row>
    <row r="3052" spans="1:12" x14ac:dyDescent="0.3">
      <c r="H3052" s="74">
        <v>20</v>
      </c>
      <c r="K3052" s="55" t="s">
        <v>34</v>
      </c>
      <c r="L3052" s="60" t="s">
        <v>149</v>
      </c>
    </row>
    <row r="3053" spans="1:12" x14ac:dyDescent="0.3">
      <c r="H3053" s="74">
        <v>20</v>
      </c>
      <c r="K3053" s="100" t="s">
        <v>55</v>
      </c>
      <c r="L3053" s="60" t="s">
        <v>13</v>
      </c>
    </row>
    <row r="3056" spans="1:12" x14ac:dyDescent="0.3">
      <c r="A3056" s="72" t="s">
        <v>1126</v>
      </c>
      <c r="B3056" s="55" t="s">
        <v>10</v>
      </c>
      <c r="C3056" s="67" t="s">
        <v>48</v>
      </c>
      <c r="D3056" s="55" t="s">
        <v>52</v>
      </c>
      <c r="E3056" s="19">
        <v>77.72</v>
      </c>
      <c r="F3056" s="19">
        <v>3</v>
      </c>
      <c r="G3056" s="55" t="s">
        <v>11</v>
      </c>
      <c r="H3056" s="74">
        <v>10</v>
      </c>
      <c r="K3056" s="55" t="s">
        <v>25</v>
      </c>
    </row>
    <row r="3057" spans="1:12" x14ac:dyDescent="0.3">
      <c r="H3057" s="74">
        <v>10</v>
      </c>
      <c r="K3057" s="55" t="s">
        <v>84</v>
      </c>
    </row>
    <row r="3058" spans="1:12" x14ac:dyDescent="0.3">
      <c r="H3058" s="74">
        <v>40</v>
      </c>
      <c r="K3058" s="55" t="s">
        <v>96</v>
      </c>
    </row>
    <row r="3059" spans="1:12" x14ac:dyDescent="0.3">
      <c r="H3059" s="74">
        <v>40</v>
      </c>
      <c r="K3059" s="55" t="s">
        <v>32</v>
      </c>
      <c r="L3059" s="60" t="s">
        <v>1129</v>
      </c>
    </row>
    <row r="3060" spans="1:12" x14ac:dyDescent="0.3">
      <c r="H3060" s="74">
        <v>20</v>
      </c>
      <c r="K3060" s="55" t="s">
        <v>102</v>
      </c>
    </row>
    <row r="3061" spans="1:12" x14ac:dyDescent="0.3">
      <c r="H3061" s="74">
        <v>240</v>
      </c>
      <c r="K3061" s="55" t="s">
        <v>33</v>
      </c>
      <c r="L3061" s="60" t="s">
        <v>1128</v>
      </c>
    </row>
    <row r="3062" spans="1:12" x14ac:dyDescent="0.3">
      <c r="H3062" s="74">
        <v>40</v>
      </c>
      <c r="K3062" s="55" t="s">
        <v>32</v>
      </c>
      <c r="L3062" s="60" t="s">
        <v>1127</v>
      </c>
    </row>
    <row r="3063" spans="1:12" x14ac:dyDescent="0.3">
      <c r="H3063" s="74">
        <v>20</v>
      </c>
      <c r="K3063" s="55" t="s">
        <v>34</v>
      </c>
      <c r="L3063" s="60" t="s">
        <v>794</v>
      </c>
    </row>
    <row r="3064" spans="1:12" x14ac:dyDescent="0.3">
      <c r="H3064" s="74">
        <v>10</v>
      </c>
      <c r="K3064" s="55" t="s">
        <v>34</v>
      </c>
      <c r="L3064" s="60" t="s">
        <v>149</v>
      </c>
    </row>
    <row r="3065" spans="1:12" x14ac:dyDescent="0.3">
      <c r="H3065" s="74">
        <v>20</v>
      </c>
      <c r="K3065" s="55" t="s">
        <v>30</v>
      </c>
      <c r="L3065" s="60" t="s">
        <v>136</v>
      </c>
    </row>
    <row r="3066" spans="1:12" x14ac:dyDescent="0.3">
      <c r="A3066" s="72" t="s">
        <v>1126</v>
      </c>
      <c r="B3066" s="55" t="s">
        <v>10</v>
      </c>
      <c r="C3066" s="67" t="s">
        <v>49</v>
      </c>
      <c r="D3066" s="55" t="s">
        <v>50</v>
      </c>
      <c r="E3066" s="19">
        <v>83.7</v>
      </c>
      <c r="F3066" s="19">
        <v>2.5</v>
      </c>
      <c r="G3066" s="55" t="s">
        <v>11</v>
      </c>
      <c r="H3066" s="74">
        <v>10</v>
      </c>
      <c r="K3066" s="55" t="s">
        <v>25</v>
      </c>
    </row>
    <row r="3067" spans="1:12" x14ac:dyDescent="0.3">
      <c r="H3067" s="74">
        <v>10</v>
      </c>
      <c r="K3067" s="55" t="s">
        <v>84</v>
      </c>
    </row>
    <row r="3068" spans="1:12" x14ac:dyDescent="0.3">
      <c r="H3068" s="74">
        <v>30</v>
      </c>
      <c r="K3068" s="55" t="s">
        <v>96</v>
      </c>
    </row>
    <row r="3069" spans="1:12" x14ac:dyDescent="0.3">
      <c r="H3069" s="74">
        <v>60</v>
      </c>
      <c r="K3069" s="55" t="s">
        <v>32</v>
      </c>
      <c r="L3069" s="60" t="s">
        <v>1130</v>
      </c>
    </row>
    <row r="3070" spans="1:12" x14ac:dyDescent="0.3">
      <c r="H3070" s="74">
        <v>20</v>
      </c>
      <c r="K3070" s="55" t="s">
        <v>102</v>
      </c>
    </row>
    <row r="3071" spans="1:12" x14ac:dyDescent="0.3">
      <c r="H3071" s="74">
        <v>20</v>
      </c>
      <c r="K3071" s="55" t="s">
        <v>34</v>
      </c>
      <c r="L3071" s="60" t="s">
        <v>417</v>
      </c>
    </row>
    <row r="3072" spans="1:12" x14ac:dyDescent="0.3">
      <c r="H3072" s="74">
        <v>20</v>
      </c>
      <c r="K3072" s="55" t="s">
        <v>34</v>
      </c>
      <c r="L3072" s="60" t="s">
        <v>149</v>
      </c>
    </row>
    <row r="3073" spans="1:13" x14ac:dyDescent="0.3">
      <c r="H3073" s="74">
        <v>180</v>
      </c>
      <c r="K3073" s="55" t="s">
        <v>33</v>
      </c>
      <c r="L3073" s="60" t="s">
        <v>1131</v>
      </c>
    </row>
    <row r="3074" spans="1:13" x14ac:dyDescent="0.3">
      <c r="H3074" s="74">
        <v>30</v>
      </c>
      <c r="K3074" s="55" t="s">
        <v>33</v>
      </c>
      <c r="L3074" s="60" t="s">
        <v>1132</v>
      </c>
    </row>
    <row r="3075" spans="1:13" x14ac:dyDescent="0.3">
      <c r="H3075" s="74">
        <v>30</v>
      </c>
      <c r="K3075" s="55" t="s">
        <v>30</v>
      </c>
      <c r="L3075" s="60" t="s">
        <v>136</v>
      </c>
    </row>
    <row r="3077" spans="1:13" x14ac:dyDescent="0.3">
      <c r="A3077" s="72" t="s">
        <v>1126</v>
      </c>
      <c r="B3077" s="55" t="s">
        <v>12</v>
      </c>
      <c r="C3077" s="67" t="s">
        <v>46</v>
      </c>
      <c r="D3077" s="55" t="s">
        <v>51</v>
      </c>
      <c r="E3077" s="19">
        <v>327.5</v>
      </c>
      <c r="F3077" s="19">
        <v>8.5</v>
      </c>
      <c r="G3077" s="55" t="s">
        <v>11</v>
      </c>
      <c r="H3077" s="74">
        <v>10</v>
      </c>
      <c r="K3077" s="55" t="s">
        <v>25</v>
      </c>
    </row>
    <row r="3078" spans="1:13" x14ac:dyDescent="0.3">
      <c r="H3078" s="74">
        <v>10</v>
      </c>
      <c r="K3078" s="55" t="s">
        <v>84</v>
      </c>
    </row>
    <row r="3079" spans="1:13" x14ac:dyDescent="0.3">
      <c r="H3079" s="74">
        <v>70</v>
      </c>
      <c r="K3079" s="55" t="s">
        <v>32</v>
      </c>
      <c r="L3079" s="60" t="s">
        <v>128</v>
      </c>
      <c r="M3079" s="1" t="s">
        <v>1135</v>
      </c>
    </row>
    <row r="3080" spans="1:13" x14ac:dyDescent="0.3">
      <c r="H3080" s="74">
        <v>20</v>
      </c>
      <c r="K3080" s="55" t="s">
        <v>33</v>
      </c>
      <c r="L3080" s="60" t="s">
        <v>1133</v>
      </c>
    </row>
    <row r="3081" spans="1:13" x14ac:dyDescent="0.3">
      <c r="H3081" s="74">
        <v>90</v>
      </c>
      <c r="K3081" s="55" t="s">
        <v>96</v>
      </c>
    </row>
    <row r="3082" spans="1:13" x14ac:dyDescent="0.3">
      <c r="H3082" s="74">
        <v>40</v>
      </c>
      <c r="K3082" s="55" t="s">
        <v>55</v>
      </c>
      <c r="L3082" s="60" t="s">
        <v>356</v>
      </c>
    </row>
    <row r="3083" spans="1:13" x14ac:dyDescent="0.3">
      <c r="H3083" s="74">
        <v>20</v>
      </c>
      <c r="K3083" s="55" t="s">
        <v>102</v>
      </c>
    </row>
    <row r="3084" spans="1:13" x14ac:dyDescent="0.3">
      <c r="H3084" s="74">
        <v>20</v>
      </c>
      <c r="K3084" s="55" t="s">
        <v>30</v>
      </c>
    </row>
    <row r="3085" spans="1:13" x14ac:dyDescent="0.3">
      <c r="H3085" s="74">
        <v>30</v>
      </c>
      <c r="K3085" s="55" t="s">
        <v>55</v>
      </c>
      <c r="L3085" s="60" t="s">
        <v>1134</v>
      </c>
    </row>
    <row r="3086" spans="1:13" x14ac:dyDescent="0.3">
      <c r="H3086" s="74">
        <v>20</v>
      </c>
      <c r="K3086" s="55" t="s">
        <v>34</v>
      </c>
      <c r="L3086" s="60" t="s">
        <v>149</v>
      </c>
    </row>
    <row r="3088" spans="1:13" x14ac:dyDescent="0.3">
      <c r="A3088" s="72" t="s">
        <v>1136</v>
      </c>
      <c r="B3088" s="55" t="s">
        <v>0</v>
      </c>
      <c r="C3088" s="67" t="s">
        <v>48</v>
      </c>
      <c r="D3088" s="55" t="s">
        <v>52</v>
      </c>
      <c r="E3088" s="19">
        <v>285.83</v>
      </c>
      <c r="F3088" s="19">
        <v>8</v>
      </c>
      <c r="G3088" s="55" t="s">
        <v>11</v>
      </c>
      <c r="H3088" s="74">
        <v>10</v>
      </c>
      <c r="K3088" s="55" t="s">
        <v>25</v>
      </c>
    </row>
    <row r="3089" spans="1:12" x14ac:dyDescent="0.3">
      <c r="H3089" s="74">
        <v>10</v>
      </c>
      <c r="K3089" s="55" t="s">
        <v>84</v>
      </c>
    </row>
    <row r="3090" spans="1:12" x14ac:dyDescent="0.3">
      <c r="H3090" s="74">
        <v>80</v>
      </c>
      <c r="K3090" s="55" t="s">
        <v>96</v>
      </c>
    </row>
    <row r="3091" spans="1:12" x14ac:dyDescent="0.3">
      <c r="H3091" s="74">
        <v>20</v>
      </c>
      <c r="K3091" s="55" t="s">
        <v>32</v>
      </c>
      <c r="L3091" s="60" t="s">
        <v>1137</v>
      </c>
    </row>
    <row r="3092" spans="1:12" x14ac:dyDescent="0.3">
      <c r="H3092" s="74">
        <v>20</v>
      </c>
      <c r="K3092" s="55" t="s">
        <v>102</v>
      </c>
    </row>
    <row r="3093" spans="1:12" x14ac:dyDescent="0.3">
      <c r="H3093" s="74">
        <v>90</v>
      </c>
      <c r="K3093" s="55" t="s">
        <v>33</v>
      </c>
      <c r="L3093" s="60" t="s">
        <v>1138</v>
      </c>
    </row>
    <row r="3094" spans="1:12" x14ac:dyDescent="0.3">
      <c r="H3094" s="74">
        <v>80</v>
      </c>
      <c r="K3094" s="55" t="s">
        <v>55</v>
      </c>
      <c r="L3094" s="60" t="s">
        <v>356</v>
      </c>
    </row>
    <row r="3095" spans="1:12" x14ac:dyDescent="0.3">
      <c r="H3095" s="74">
        <v>20</v>
      </c>
      <c r="K3095" s="55" t="s">
        <v>30</v>
      </c>
      <c r="L3095" s="60" t="s">
        <v>136</v>
      </c>
    </row>
    <row r="3097" spans="1:12" x14ac:dyDescent="0.3">
      <c r="A3097" s="72" t="s">
        <v>1136</v>
      </c>
      <c r="B3097" s="55" t="s">
        <v>10</v>
      </c>
      <c r="C3097" s="67" t="s">
        <v>296</v>
      </c>
      <c r="D3097" s="55" t="s">
        <v>50</v>
      </c>
      <c r="E3097" s="19">
        <v>223.94</v>
      </c>
      <c r="F3097" s="19">
        <v>8</v>
      </c>
      <c r="G3097" s="55" t="s">
        <v>11</v>
      </c>
      <c r="H3097" s="74">
        <v>10</v>
      </c>
      <c r="K3097" s="55" t="s">
        <v>25</v>
      </c>
    </row>
    <row r="3098" spans="1:12" x14ac:dyDescent="0.3">
      <c r="H3098" s="74">
        <v>10</v>
      </c>
      <c r="K3098" s="55" t="s">
        <v>84</v>
      </c>
    </row>
    <row r="3099" spans="1:12" x14ac:dyDescent="0.3">
      <c r="H3099" s="74">
        <v>90</v>
      </c>
      <c r="K3099" s="55" t="s">
        <v>33</v>
      </c>
      <c r="L3099" s="60" t="s">
        <v>1139</v>
      </c>
    </row>
    <row r="3100" spans="1:12" x14ac:dyDescent="0.3">
      <c r="H3100" s="74">
        <v>30</v>
      </c>
      <c r="K3100" s="55" t="s">
        <v>33</v>
      </c>
      <c r="L3100" s="60" t="s">
        <v>1140</v>
      </c>
    </row>
    <row r="3101" spans="1:12" x14ac:dyDescent="0.3">
      <c r="H3101" s="74">
        <v>80</v>
      </c>
      <c r="K3101" s="55" t="s">
        <v>96</v>
      </c>
    </row>
    <row r="3102" spans="1:12" x14ac:dyDescent="0.3">
      <c r="H3102" s="74">
        <v>40</v>
      </c>
      <c r="K3102" s="55" t="s">
        <v>32</v>
      </c>
      <c r="L3102" s="60" t="s">
        <v>460</v>
      </c>
    </row>
    <row r="3103" spans="1:12" x14ac:dyDescent="0.3">
      <c r="H3103" s="74">
        <v>40</v>
      </c>
      <c r="K3103" s="55" t="s">
        <v>32</v>
      </c>
      <c r="L3103" s="60" t="s">
        <v>294</v>
      </c>
    </row>
    <row r="3104" spans="1:12" x14ac:dyDescent="0.3">
      <c r="H3104" s="74">
        <v>20</v>
      </c>
      <c r="K3104" s="55" t="s">
        <v>30</v>
      </c>
      <c r="L3104" s="60" t="s">
        <v>1141</v>
      </c>
    </row>
    <row r="3105" spans="1:12" x14ac:dyDescent="0.3">
      <c r="H3105" s="74">
        <v>30</v>
      </c>
      <c r="K3105" s="55" t="s">
        <v>102</v>
      </c>
    </row>
    <row r="3107" spans="1:12" x14ac:dyDescent="0.3">
      <c r="A3107" s="72" t="s">
        <v>1136</v>
      </c>
      <c r="B3107" s="55" t="s">
        <v>12</v>
      </c>
      <c r="C3107" s="67" t="s">
        <v>49</v>
      </c>
      <c r="D3107" s="55" t="s">
        <v>51</v>
      </c>
      <c r="E3107" s="19">
        <v>220.47</v>
      </c>
      <c r="F3107" s="19">
        <v>7</v>
      </c>
      <c r="G3107" s="55" t="s">
        <v>11</v>
      </c>
      <c r="H3107" s="74">
        <v>10</v>
      </c>
      <c r="K3107" s="55" t="s">
        <v>25</v>
      </c>
    </row>
    <row r="3108" spans="1:12" x14ac:dyDescent="0.3">
      <c r="H3108" s="74">
        <v>10</v>
      </c>
      <c r="K3108" s="55" t="s">
        <v>84</v>
      </c>
    </row>
    <row r="3109" spans="1:12" x14ac:dyDescent="0.3">
      <c r="H3109" s="74">
        <v>70</v>
      </c>
      <c r="K3109" s="55" t="s">
        <v>96</v>
      </c>
    </row>
    <row r="3110" spans="1:12" x14ac:dyDescent="0.3">
      <c r="H3110" s="74">
        <v>40</v>
      </c>
      <c r="K3110" s="55" t="s">
        <v>32</v>
      </c>
      <c r="L3110" s="60" t="s">
        <v>445</v>
      </c>
    </row>
    <row r="3111" spans="1:12" x14ac:dyDescent="0.3">
      <c r="H3111" s="74">
        <v>75</v>
      </c>
      <c r="K3111" s="55" t="s">
        <v>33</v>
      </c>
    </row>
    <row r="3112" spans="1:12" x14ac:dyDescent="0.3">
      <c r="H3112" s="74">
        <v>20</v>
      </c>
      <c r="K3112" s="55" t="s">
        <v>33</v>
      </c>
      <c r="L3112" s="60" t="s">
        <v>1142</v>
      </c>
    </row>
    <row r="3113" spans="1:12" x14ac:dyDescent="0.3">
      <c r="H3113" s="74">
        <v>15</v>
      </c>
      <c r="K3113" s="55" t="s">
        <v>32</v>
      </c>
      <c r="L3113" s="60" t="s">
        <v>1143</v>
      </c>
    </row>
    <row r="3114" spans="1:12" x14ac:dyDescent="0.3">
      <c r="H3114" s="74">
        <v>30</v>
      </c>
      <c r="K3114" s="55" t="s">
        <v>34</v>
      </c>
      <c r="L3114" s="60" t="s">
        <v>149</v>
      </c>
    </row>
    <row r="3115" spans="1:12" x14ac:dyDescent="0.3">
      <c r="H3115" s="74">
        <v>20</v>
      </c>
      <c r="K3115" s="55" t="s">
        <v>34</v>
      </c>
      <c r="L3115" s="60" t="s">
        <v>323</v>
      </c>
    </row>
    <row r="3116" spans="1:12" x14ac:dyDescent="0.3">
      <c r="H3116" s="74">
        <v>25</v>
      </c>
      <c r="K3116" s="55" t="s">
        <v>30</v>
      </c>
      <c r="L3116" s="60" t="s">
        <v>827</v>
      </c>
    </row>
    <row r="3118" spans="1:12" x14ac:dyDescent="0.3">
      <c r="A3118" s="72" t="s">
        <v>1146</v>
      </c>
      <c r="B3118" s="55" t="s">
        <v>0</v>
      </c>
      <c r="C3118" s="67" t="s">
        <v>46</v>
      </c>
      <c r="D3118" s="55" t="s">
        <v>52</v>
      </c>
      <c r="E3118" s="19">
        <v>168.72</v>
      </c>
      <c r="F3118" s="19">
        <v>6</v>
      </c>
      <c r="G3118" s="55" t="s">
        <v>11</v>
      </c>
      <c r="H3118" s="74">
        <v>10</v>
      </c>
      <c r="K3118" s="55" t="s">
        <v>25</v>
      </c>
    </row>
    <row r="3119" spans="1:12" x14ac:dyDescent="0.3">
      <c r="H3119" s="74">
        <v>10</v>
      </c>
      <c r="K3119" s="55" t="s">
        <v>84</v>
      </c>
    </row>
    <row r="3120" spans="1:12" x14ac:dyDescent="0.3">
      <c r="H3120" s="74">
        <v>60</v>
      </c>
      <c r="K3120" s="55" t="s">
        <v>96</v>
      </c>
    </row>
    <row r="3121" spans="1:12" x14ac:dyDescent="0.3">
      <c r="H3121" s="74">
        <v>30</v>
      </c>
      <c r="K3121" s="55" t="s">
        <v>32</v>
      </c>
      <c r="L3121" s="60" t="s">
        <v>236</v>
      </c>
    </row>
    <row r="3122" spans="1:12" x14ac:dyDescent="0.3">
      <c r="H3122" s="74">
        <v>80</v>
      </c>
      <c r="K3122" s="55" t="s">
        <v>32</v>
      </c>
      <c r="L3122" s="60" t="s">
        <v>514</v>
      </c>
    </row>
    <row r="3123" spans="1:12" x14ac:dyDescent="0.3">
      <c r="H3123" s="74">
        <v>20</v>
      </c>
      <c r="K3123" s="55" t="s">
        <v>32</v>
      </c>
      <c r="L3123" s="60" t="s">
        <v>1145</v>
      </c>
    </row>
    <row r="3124" spans="1:12" x14ac:dyDescent="0.3">
      <c r="H3124" s="74">
        <v>25</v>
      </c>
      <c r="K3124" s="55" t="s">
        <v>55</v>
      </c>
      <c r="L3124" s="60" t="s">
        <v>1144</v>
      </c>
    </row>
    <row r="3125" spans="1:12" x14ac:dyDescent="0.3">
      <c r="H3125" s="74">
        <v>90</v>
      </c>
      <c r="K3125" s="55" t="s">
        <v>33</v>
      </c>
      <c r="L3125" s="60" t="s">
        <v>1147</v>
      </c>
    </row>
    <row r="3126" spans="1:12" x14ac:dyDescent="0.3">
      <c r="H3126" s="74">
        <v>30</v>
      </c>
      <c r="K3126" s="55" t="s">
        <v>34</v>
      </c>
      <c r="L3126" s="60" t="s">
        <v>149</v>
      </c>
    </row>
    <row r="3127" spans="1:12" x14ac:dyDescent="0.3">
      <c r="H3127" s="74">
        <v>20</v>
      </c>
      <c r="K3127" s="55" t="s">
        <v>34</v>
      </c>
      <c r="L3127" s="60" t="s">
        <v>794</v>
      </c>
    </row>
    <row r="3128" spans="1:12" x14ac:dyDescent="0.3">
      <c r="H3128" s="74">
        <v>15</v>
      </c>
      <c r="K3128" s="55" t="s">
        <v>30</v>
      </c>
      <c r="L3128" s="60" t="s">
        <v>827</v>
      </c>
    </row>
    <row r="3130" spans="1:12" x14ac:dyDescent="0.3">
      <c r="A3130" s="72" t="s">
        <v>1146</v>
      </c>
      <c r="B3130" s="55" t="s">
        <v>10</v>
      </c>
      <c r="C3130" s="67" t="s">
        <v>296</v>
      </c>
      <c r="D3130" s="55" t="s">
        <v>50</v>
      </c>
      <c r="E3130" s="19">
        <v>37.53</v>
      </c>
      <c r="F3130" s="19" t="s">
        <v>1149</v>
      </c>
      <c r="G3130" s="55" t="s">
        <v>11</v>
      </c>
      <c r="H3130" s="74">
        <v>10</v>
      </c>
      <c r="K3130" s="55" t="s">
        <v>25</v>
      </c>
    </row>
    <row r="3131" spans="1:12" x14ac:dyDescent="0.3">
      <c r="H3131" s="74">
        <v>10</v>
      </c>
      <c r="K3131" s="55" t="s">
        <v>84</v>
      </c>
    </row>
    <row r="3132" spans="1:12" x14ac:dyDescent="0.3">
      <c r="H3132" s="74">
        <v>60</v>
      </c>
      <c r="K3132" s="55" t="s">
        <v>96</v>
      </c>
    </row>
    <row r="3133" spans="1:12" x14ac:dyDescent="0.3">
      <c r="H3133" s="74">
        <v>300</v>
      </c>
      <c r="K3133" s="55" t="s">
        <v>33</v>
      </c>
      <c r="L3133" s="60" t="s">
        <v>1148</v>
      </c>
    </row>
    <row r="3134" spans="1:12" x14ac:dyDescent="0.3">
      <c r="H3134" s="74">
        <v>30</v>
      </c>
      <c r="K3134" s="55" t="s">
        <v>34</v>
      </c>
      <c r="L3134" s="60" t="s">
        <v>996</v>
      </c>
    </row>
    <row r="3136" spans="1:12" x14ac:dyDescent="0.3">
      <c r="A3136" s="72" t="s">
        <v>1146</v>
      </c>
      <c r="B3136" s="55" t="s">
        <v>12</v>
      </c>
      <c r="C3136" s="67" t="s">
        <v>49</v>
      </c>
      <c r="D3136" s="55" t="s">
        <v>51</v>
      </c>
      <c r="E3136" s="19">
        <v>0</v>
      </c>
      <c r="F3136" s="19" t="s">
        <v>1150</v>
      </c>
      <c r="G3136" s="55" t="s">
        <v>11</v>
      </c>
      <c r="H3136" s="74">
        <v>10</v>
      </c>
      <c r="K3136" s="55" t="s">
        <v>25</v>
      </c>
    </row>
    <row r="3137" spans="1:12" x14ac:dyDescent="0.3">
      <c r="H3137" s="74">
        <v>10</v>
      </c>
      <c r="K3137" s="55" t="s">
        <v>84</v>
      </c>
    </row>
    <row r="3138" spans="1:12" x14ac:dyDescent="0.3">
      <c r="H3138" s="74">
        <v>360</v>
      </c>
      <c r="K3138" s="55" t="s">
        <v>34</v>
      </c>
      <c r="L3138" s="60" t="s">
        <v>135</v>
      </c>
    </row>
    <row r="3139" spans="1:12" x14ac:dyDescent="0.3">
      <c r="H3139" s="74">
        <v>20</v>
      </c>
      <c r="K3139" s="55" t="s">
        <v>34</v>
      </c>
      <c r="L3139" s="60" t="s">
        <v>254</v>
      </c>
    </row>
    <row r="3140" spans="1:12" x14ac:dyDescent="0.3">
      <c r="H3140" s="74">
        <v>20</v>
      </c>
      <c r="K3140" s="55" t="s">
        <v>30</v>
      </c>
      <c r="L3140" s="60" t="s">
        <v>136</v>
      </c>
    </row>
    <row r="3142" spans="1:12" x14ac:dyDescent="0.3">
      <c r="A3142" s="72" t="s">
        <v>1153</v>
      </c>
      <c r="B3142" s="55" t="s">
        <v>0</v>
      </c>
      <c r="C3142" s="67" t="s">
        <v>46</v>
      </c>
      <c r="D3142" s="55" t="s">
        <v>52</v>
      </c>
      <c r="E3142" s="19">
        <v>182.3</v>
      </c>
      <c r="F3142" s="19">
        <v>7</v>
      </c>
      <c r="G3142" s="55" t="s">
        <v>11</v>
      </c>
      <c r="H3142" s="74">
        <v>10</v>
      </c>
      <c r="K3142" s="55" t="s">
        <v>25</v>
      </c>
    </row>
    <row r="3143" spans="1:12" x14ac:dyDescent="0.3">
      <c r="H3143" s="74">
        <v>10</v>
      </c>
      <c r="K3143" s="55" t="s">
        <v>84</v>
      </c>
    </row>
    <row r="3144" spans="1:12" x14ac:dyDescent="0.3">
      <c r="H3144" s="74">
        <v>70</v>
      </c>
      <c r="K3144" s="55" t="s">
        <v>96</v>
      </c>
    </row>
    <row r="3145" spans="1:12" x14ac:dyDescent="0.3">
      <c r="H3145" s="74">
        <v>30</v>
      </c>
      <c r="K3145" s="55" t="s">
        <v>32</v>
      </c>
      <c r="L3145" s="60" t="s">
        <v>236</v>
      </c>
    </row>
    <row r="3146" spans="1:12" x14ac:dyDescent="0.3">
      <c r="H3146" s="74">
        <v>40</v>
      </c>
      <c r="K3146" s="55" t="s">
        <v>32</v>
      </c>
      <c r="L3146" s="60" t="s">
        <v>1151</v>
      </c>
    </row>
    <row r="3147" spans="1:12" x14ac:dyDescent="0.3">
      <c r="H3147" s="74">
        <v>40</v>
      </c>
      <c r="K3147" s="55" t="s">
        <v>55</v>
      </c>
      <c r="L3147" s="60" t="s">
        <v>597</v>
      </c>
    </row>
    <row r="3148" spans="1:12" x14ac:dyDescent="0.3">
      <c r="H3148" s="74">
        <v>30</v>
      </c>
      <c r="K3148" s="55" t="s">
        <v>34</v>
      </c>
      <c r="L3148" s="60" t="s">
        <v>149</v>
      </c>
    </row>
    <row r="3149" spans="1:12" x14ac:dyDescent="0.3">
      <c r="H3149" s="74">
        <v>20</v>
      </c>
      <c r="K3149" s="55" t="s">
        <v>34</v>
      </c>
      <c r="L3149" s="60" t="s">
        <v>794</v>
      </c>
    </row>
    <row r="3150" spans="1:12" x14ac:dyDescent="0.3">
      <c r="H3150" s="74">
        <v>15</v>
      </c>
      <c r="K3150" s="55" t="s">
        <v>30</v>
      </c>
      <c r="L3150" s="60" t="s">
        <v>827</v>
      </c>
    </row>
    <row r="3151" spans="1:12" x14ac:dyDescent="0.3">
      <c r="H3151" s="74">
        <v>60</v>
      </c>
      <c r="K3151" s="55" t="s">
        <v>34</v>
      </c>
      <c r="L3151" s="60" t="s">
        <v>1152</v>
      </c>
    </row>
    <row r="3152" spans="1:12" x14ac:dyDescent="0.3">
      <c r="H3152" s="74">
        <v>30</v>
      </c>
      <c r="K3152" s="55" t="s">
        <v>55</v>
      </c>
      <c r="L3152" s="60" t="s">
        <v>1154</v>
      </c>
    </row>
    <row r="3154" spans="1:12" x14ac:dyDescent="0.3">
      <c r="A3154" s="72" t="s">
        <v>1153</v>
      </c>
      <c r="B3154" s="55" t="s">
        <v>10</v>
      </c>
      <c r="C3154" s="67" t="s">
        <v>48</v>
      </c>
      <c r="D3154" s="55" t="s">
        <v>50</v>
      </c>
      <c r="E3154" s="19">
        <v>276.63</v>
      </c>
      <c r="F3154" s="19">
        <v>9</v>
      </c>
      <c r="G3154" s="55" t="s">
        <v>11</v>
      </c>
      <c r="H3154" s="74">
        <v>10</v>
      </c>
      <c r="K3154" s="55" t="s">
        <v>25</v>
      </c>
    </row>
    <row r="3155" spans="1:12" x14ac:dyDescent="0.3">
      <c r="H3155" s="74">
        <v>10</v>
      </c>
      <c r="K3155" s="55" t="s">
        <v>84</v>
      </c>
    </row>
    <row r="3156" spans="1:12" x14ac:dyDescent="0.3">
      <c r="H3156" s="74">
        <v>100</v>
      </c>
      <c r="K3156" s="55" t="s">
        <v>96</v>
      </c>
    </row>
    <row r="3157" spans="1:12" x14ac:dyDescent="0.3">
      <c r="H3157" s="74">
        <v>70</v>
      </c>
      <c r="K3157" s="55" t="s">
        <v>32</v>
      </c>
      <c r="L3157" s="60" t="s">
        <v>1156</v>
      </c>
    </row>
    <row r="3158" spans="1:12" x14ac:dyDescent="0.3">
      <c r="H3158" s="74">
        <v>40</v>
      </c>
      <c r="K3158" s="55" t="s">
        <v>32</v>
      </c>
      <c r="L3158" s="60" t="s">
        <v>1157</v>
      </c>
    </row>
    <row r="3159" spans="1:12" x14ac:dyDescent="0.3">
      <c r="H3159" s="74">
        <v>50</v>
      </c>
      <c r="K3159" s="55" t="s">
        <v>30</v>
      </c>
      <c r="L3159" s="60" t="s">
        <v>348</v>
      </c>
    </row>
    <row r="3160" spans="1:12" x14ac:dyDescent="0.3">
      <c r="H3160" s="74">
        <v>40</v>
      </c>
      <c r="K3160" s="55" t="s">
        <v>34</v>
      </c>
      <c r="L3160" s="60" t="s">
        <v>302</v>
      </c>
    </row>
    <row r="3161" spans="1:12" x14ac:dyDescent="0.3">
      <c r="H3161" s="74">
        <v>25</v>
      </c>
      <c r="K3161" s="55" t="s">
        <v>34</v>
      </c>
      <c r="L3161" s="60" t="s">
        <v>253</v>
      </c>
    </row>
    <row r="3162" spans="1:12" x14ac:dyDescent="0.3">
      <c r="H3162" s="74">
        <v>20</v>
      </c>
      <c r="K3162" s="55" t="s">
        <v>102</v>
      </c>
    </row>
    <row r="3163" spans="1:12" x14ac:dyDescent="0.3">
      <c r="H3163" s="74">
        <v>20</v>
      </c>
      <c r="K3163" s="55" t="s">
        <v>55</v>
      </c>
      <c r="L3163" s="60" t="s">
        <v>1155</v>
      </c>
    </row>
    <row r="3165" spans="1:12" x14ac:dyDescent="0.3">
      <c r="A3165" s="72" t="s">
        <v>1153</v>
      </c>
      <c r="B3165" s="55" t="s">
        <v>12</v>
      </c>
      <c r="C3165" s="67" t="s">
        <v>47</v>
      </c>
      <c r="D3165" s="55" t="s">
        <v>50</v>
      </c>
      <c r="E3165" s="19">
        <v>226.41</v>
      </c>
      <c r="F3165" s="19">
        <v>6</v>
      </c>
      <c r="G3165" s="55" t="s">
        <v>11</v>
      </c>
      <c r="H3165" s="74">
        <v>10</v>
      </c>
      <c r="K3165" s="55" t="s">
        <v>25</v>
      </c>
    </row>
    <row r="3166" spans="1:12" x14ac:dyDescent="0.3">
      <c r="H3166" s="74">
        <v>10</v>
      </c>
      <c r="K3166" s="55" t="s">
        <v>84</v>
      </c>
    </row>
    <row r="3167" spans="1:12" x14ac:dyDescent="0.3">
      <c r="H3167" s="74">
        <v>90</v>
      </c>
      <c r="K3167" s="55" t="s">
        <v>32</v>
      </c>
      <c r="L3167" s="60" t="s">
        <v>1158</v>
      </c>
    </row>
    <row r="3168" spans="1:12" x14ac:dyDescent="0.3">
      <c r="H3168" s="74">
        <v>60</v>
      </c>
      <c r="K3168" s="55" t="s">
        <v>96</v>
      </c>
    </row>
    <row r="3169" spans="1:12" x14ac:dyDescent="0.3">
      <c r="H3169" s="74">
        <v>60</v>
      </c>
      <c r="K3169" s="55" t="s">
        <v>32</v>
      </c>
      <c r="L3169" s="60" t="s">
        <v>1161</v>
      </c>
    </row>
    <row r="3170" spans="1:12" x14ac:dyDescent="0.3">
      <c r="H3170" s="74">
        <v>20</v>
      </c>
      <c r="K3170" s="55" t="s">
        <v>33</v>
      </c>
      <c r="L3170" s="60" t="s">
        <v>1159</v>
      </c>
    </row>
    <row r="3171" spans="1:12" x14ac:dyDescent="0.3">
      <c r="H3171" s="74">
        <v>50</v>
      </c>
      <c r="K3171" s="55" t="s">
        <v>34</v>
      </c>
      <c r="L3171" s="60" t="s">
        <v>302</v>
      </c>
    </row>
    <row r="3172" spans="1:12" x14ac:dyDescent="0.3">
      <c r="H3172" s="74">
        <v>30</v>
      </c>
      <c r="K3172" s="55" t="s">
        <v>55</v>
      </c>
      <c r="L3172" s="60" t="s">
        <v>1160</v>
      </c>
    </row>
    <row r="3173" spans="1:12" x14ac:dyDescent="0.3">
      <c r="H3173" s="74">
        <v>30</v>
      </c>
      <c r="K3173" s="55" t="s">
        <v>34</v>
      </c>
      <c r="L3173" s="60" t="s">
        <v>1162</v>
      </c>
    </row>
    <row r="3175" spans="1:12" x14ac:dyDescent="0.3">
      <c r="A3175" s="72" t="s">
        <v>1165</v>
      </c>
      <c r="B3175" s="55" t="s">
        <v>0</v>
      </c>
      <c r="C3175" s="67" t="s">
        <v>46</v>
      </c>
      <c r="D3175" s="55" t="s">
        <v>52</v>
      </c>
      <c r="E3175" s="19">
        <v>344.7</v>
      </c>
      <c r="F3175" s="19">
        <v>10</v>
      </c>
      <c r="G3175" s="55" t="s">
        <v>11</v>
      </c>
      <c r="H3175" s="74">
        <v>10</v>
      </c>
      <c r="K3175" s="55" t="s">
        <v>25</v>
      </c>
    </row>
    <row r="3176" spans="1:12" x14ac:dyDescent="0.3">
      <c r="H3176" s="74">
        <v>10</v>
      </c>
      <c r="K3176" s="55" t="s">
        <v>84</v>
      </c>
    </row>
    <row r="3177" spans="1:12" x14ac:dyDescent="0.3">
      <c r="H3177" s="74">
        <v>110</v>
      </c>
      <c r="K3177" s="55" t="s">
        <v>96</v>
      </c>
    </row>
    <row r="3178" spans="1:12" x14ac:dyDescent="0.3">
      <c r="H3178" s="74">
        <v>20</v>
      </c>
      <c r="K3178" s="55" t="s">
        <v>32</v>
      </c>
      <c r="L3178" s="60" t="s">
        <v>333</v>
      </c>
    </row>
    <row r="3179" spans="1:12" x14ac:dyDescent="0.3">
      <c r="H3179" s="74">
        <v>80</v>
      </c>
      <c r="K3179" s="55" t="s">
        <v>32</v>
      </c>
      <c r="L3179" s="60" t="s">
        <v>1163</v>
      </c>
    </row>
    <row r="3180" spans="1:12" x14ac:dyDescent="0.3">
      <c r="H3180" s="74">
        <v>30</v>
      </c>
      <c r="K3180" s="55" t="s">
        <v>34</v>
      </c>
      <c r="L3180" s="60" t="s">
        <v>149</v>
      </c>
    </row>
    <row r="3181" spans="1:12" x14ac:dyDescent="0.3">
      <c r="H3181" s="74">
        <v>20</v>
      </c>
      <c r="K3181" s="55" t="s">
        <v>34</v>
      </c>
      <c r="L3181" s="60" t="s">
        <v>794</v>
      </c>
    </row>
    <row r="3182" spans="1:12" x14ac:dyDescent="0.3">
      <c r="H3182" s="74">
        <v>20</v>
      </c>
      <c r="K3182" s="55" t="s">
        <v>30</v>
      </c>
      <c r="L3182" s="60" t="s">
        <v>827</v>
      </c>
    </row>
    <row r="3183" spans="1:12" x14ac:dyDescent="0.3">
      <c r="H3183" s="74">
        <v>15</v>
      </c>
      <c r="K3183" s="55" t="s">
        <v>55</v>
      </c>
      <c r="L3183" s="60" t="s">
        <v>1164</v>
      </c>
    </row>
    <row r="3185" spans="1:12" x14ac:dyDescent="0.3">
      <c r="A3185" s="72" t="s">
        <v>1165</v>
      </c>
      <c r="B3185" s="55" t="s">
        <v>10</v>
      </c>
      <c r="C3185" s="67" t="s">
        <v>48</v>
      </c>
      <c r="D3185" s="55" t="s">
        <v>50</v>
      </c>
      <c r="E3185" s="19">
        <v>267.43</v>
      </c>
      <c r="F3185" s="19">
        <v>8</v>
      </c>
      <c r="G3185" s="55" t="s">
        <v>11</v>
      </c>
      <c r="H3185" s="74">
        <v>10</v>
      </c>
      <c r="K3185" s="55" t="s">
        <v>25</v>
      </c>
    </row>
    <row r="3186" spans="1:12" x14ac:dyDescent="0.3">
      <c r="H3186" s="74">
        <v>10</v>
      </c>
      <c r="K3186" s="55" t="s">
        <v>84</v>
      </c>
    </row>
    <row r="3187" spans="1:12" x14ac:dyDescent="0.3">
      <c r="H3187" s="74">
        <v>80</v>
      </c>
      <c r="K3187" s="55" t="s">
        <v>96</v>
      </c>
    </row>
    <row r="3188" spans="1:12" x14ac:dyDescent="0.3">
      <c r="H3188" s="74">
        <v>80</v>
      </c>
      <c r="K3188" s="55" t="s">
        <v>32</v>
      </c>
      <c r="L3188" s="60" t="s">
        <v>137</v>
      </c>
    </row>
    <row r="3189" spans="1:12" x14ac:dyDescent="0.3">
      <c r="H3189" s="74">
        <v>30</v>
      </c>
      <c r="K3189" s="55" t="s">
        <v>34</v>
      </c>
      <c r="L3189" s="60" t="s">
        <v>149</v>
      </c>
    </row>
    <row r="3190" spans="1:12" x14ac:dyDescent="0.3">
      <c r="H3190" s="74">
        <v>30</v>
      </c>
      <c r="K3190" s="55" t="s">
        <v>32</v>
      </c>
      <c r="L3190" s="60" t="s">
        <v>236</v>
      </c>
    </row>
    <row r="3191" spans="1:12" x14ac:dyDescent="0.3">
      <c r="H3191" s="74">
        <v>40</v>
      </c>
      <c r="K3191" s="55" t="s">
        <v>32</v>
      </c>
    </row>
    <row r="3192" spans="1:12" x14ac:dyDescent="0.3">
      <c r="H3192" s="74">
        <v>30</v>
      </c>
      <c r="K3192" s="55" t="s">
        <v>30</v>
      </c>
      <c r="L3192" s="60" t="s">
        <v>1166</v>
      </c>
    </row>
    <row r="3194" spans="1:12" x14ac:dyDescent="0.3">
      <c r="A3194" s="72" t="s">
        <v>1165</v>
      </c>
      <c r="B3194" s="55" t="s">
        <v>12</v>
      </c>
      <c r="C3194" s="67" t="s">
        <v>47</v>
      </c>
      <c r="D3194" s="55" t="s">
        <v>51</v>
      </c>
      <c r="E3194" s="19">
        <v>303.12</v>
      </c>
      <c r="F3194" s="19">
        <v>8</v>
      </c>
      <c r="G3194" s="55" t="s">
        <v>11</v>
      </c>
      <c r="H3194" s="74">
        <v>10</v>
      </c>
      <c r="K3194" s="55" t="s">
        <v>25</v>
      </c>
    </row>
    <row r="3195" spans="1:12" x14ac:dyDescent="0.3">
      <c r="H3195" s="74">
        <v>10</v>
      </c>
      <c r="K3195" s="55" t="s">
        <v>84</v>
      </c>
    </row>
    <row r="3196" spans="1:12" x14ac:dyDescent="0.3">
      <c r="H3196" s="74">
        <v>100</v>
      </c>
      <c r="K3196" s="55" t="s">
        <v>96</v>
      </c>
    </row>
    <row r="3197" spans="1:12" x14ac:dyDescent="0.3">
      <c r="H3197" s="74">
        <v>40</v>
      </c>
      <c r="K3197" s="55" t="s">
        <v>32</v>
      </c>
      <c r="L3197" s="60" t="s">
        <v>309</v>
      </c>
    </row>
    <row r="3198" spans="1:12" x14ac:dyDescent="0.3">
      <c r="H3198" s="74">
        <v>20</v>
      </c>
      <c r="K3198" s="55" t="s">
        <v>32</v>
      </c>
      <c r="L3198" s="60" t="s">
        <v>1170</v>
      </c>
    </row>
    <row r="3199" spans="1:12" x14ac:dyDescent="0.3">
      <c r="H3199" s="74">
        <v>40</v>
      </c>
      <c r="K3199" s="55" t="s">
        <v>30</v>
      </c>
      <c r="L3199" s="60" t="s">
        <v>339</v>
      </c>
    </row>
    <row r="3200" spans="1:12" x14ac:dyDescent="0.3">
      <c r="H3200" s="74">
        <v>40</v>
      </c>
      <c r="K3200" s="55" t="s">
        <v>34</v>
      </c>
      <c r="L3200" s="60" t="s">
        <v>1167</v>
      </c>
    </row>
    <row r="3201" spans="1:12" x14ac:dyDescent="0.3">
      <c r="H3201" s="74">
        <v>60</v>
      </c>
      <c r="K3201" s="55" t="s">
        <v>33</v>
      </c>
      <c r="L3201" s="60" t="s">
        <v>1168</v>
      </c>
    </row>
    <row r="3202" spans="1:12" x14ac:dyDescent="0.3">
      <c r="H3202" s="74">
        <v>20</v>
      </c>
      <c r="K3202" s="55" t="s">
        <v>102</v>
      </c>
    </row>
    <row r="3203" spans="1:12" x14ac:dyDescent="0.3">
      <c r="H3203" s="74">
        <v>10</v>
      </c>
      <c r="K3203" s="55" t="s">
        <v>33</v>
      </c>
      <c r="L3203" s="60" t="s">
        <v>1169</v>
      </c>
    </row>
    <row r="3204" spans="1:12" x14ac:dyDescent="0.3">
      <c r="H3204" s="74">
        <v>30</v>
      </c>
      <c r="K3204" s="55" t="s">
        <v>55</v>
      </c>
      <c r="L3204" s="60" t="s">
        <v>1160</v>
      </c>
    </row>
    <row r="3206" spans="1:12" x14ac:dyDescent="0.3">
      <c r="A3206" s="72" t="s">
        <v>1171</v>
      </c>
      <c r="B3206" s="55" t="s">
        <v>0</v>
      </c>
      <c r="C3206" s="67" t="s">
        <v>46</v>
      </c>
      <c r="D3206" s="55" t="s">
        <v>52</v>
      </c>
      <c r="E3206" s="19">
        <v>303.92</v>
      </c>
      <c r="F3206" s="19">
        <v>8</v>
      </c>
      <c r="G3206" s="55" t="s">
        <v>11</v>
      </c>
      <c r="H3206" s="74">
        <v>10</v>
      </c>
      <c r="K3206" s="55" t="s">
        <v>25</v>
      </c>
    </row>
    <row r="3207" spans="1:12" x14ac:dyDescent="0.3">
      <c r="H3207" s="74">
        <v>10</v>
      </c>
      <c r="K3207" s="55" t="s">
        <v>84</v>
      </c>
    </row>
    <row r="3208" spans="1:12" x14ac:dyDescent="0.3">
      <c r="H3208" s="74">
        <v>100</v>
      </c>
      <c r="K3208" s="55" t="s">
        <v>96</v>
      </c>
    </row>
    <row r="3209" spans="1:12" x14ac:dyDescent="0.3">
      <c r="H3209" s="74">
        <v>20</v>
      </c>
      <c r="K3209" s="55" t="s">
        <v>32</v>
      </c>
      <c r="L3209" s="60" t="s">
        <v>333</v>
      </c>
    </row>
    <row r="3210" spans="1:12" x14ac:dyDescent="0.3">
      <c r="H3210" s="74">
        <v>80</v>
      </c>
      <c r="K3210" s="55" t="s">
        <v>32</v>
      </c>
      <c r="L3210" s="60" t="s">
        <v>1163</v>
      </c>
    </row>
    <row r="3211" spans="1:12" x14ac:dyDescent="0.3">
      <c r="H3211" s="74">
        <v>30</v>
      </c>
      <c r="K3211" s="55" t="s">
        <v>34</v>
      </c>
      <c r="L3211" s="60" t="s">
        <v>149</v>
      </c>
    </row>
    <row r="3212" spans="1:12" x14ac:dyDescent="0.3">
      <c r="H3212" s="74">
        <v>20</v>
      </c>
      <c r="K3212" s="55" t="s">
        <v>34</v>
      </c>
      <c r="L3212" s="60" t="s">
        <v>794</v>
      </c>
    </row>
    <row r="3213" spans="1:12" x14ac:dyDescent="0.3">
      <c r="H3213" s="74">
        <v>20</v>
      </c>
      <c r="K3213" s="55" t="s">
        <v>30</v>
      </c>
      <c r="L3213" s="60" t="s">
        <v>827</v>
      </c>
    </row>
    <row r="3214" spans="1:12" x14ac:dyDescent="0.3">
      <c r="H3214" s="74">
        <v>15</v>
      </c>
      <c r="K3214" s="55" t="s">
        <v>55</v>
      </c>
      <c r="L3214" s="60" t="s">
        <v>1164</v>
      </c>
    </row>
    <row r="3215" spans="1:12" x14ac:dyDescent="0.3">
      <c r="H3215" s="74">
        <v>25</v>
      </c>
      <c r="K3215" s="55" t="s">
        <v>33</v>
      </c>
      <c r="L3215" s="60" t="s">
        <v>1169</v>
      </c>
    </row>
    <row r="3216" spans="1:12" x14ac:dyDescent="0.3">
      <c r="H3216" s="74">
        <v>30</v>
      </c>
      <c r="K3216" s="55" t="s">
        <v>55</v>
      </c>
      <c r="L3216" s="60" t="s">
        <v>1172</v>
      </c>
    </row>
    <row r="3217" spans="1:14" x14ac:dyDescent="0.3">
      <c r="A3217" s="72" t="s">
        <v>1171</v>
      </c>
      <c r="B3217" s="55" t="s">
        <v>10</v>
      </c>
      <c r="C3217" s="67" t="s">
        <v>48</v>
      </c>
      <c r="D3217" s="55" t="s">
        <v>50</v>
      </c>
      <c r="E3217" s="19">
        <v>305.75</v>
      </c>
      <c r="F3217" s="19">
        <v>9.5</v>
      </c>
      <c r="G3217" s="55" t="s">
        <v>11</v>
      </c>
      <c r="H3217" s="74">
        <v>10</v>
      </c>
      <c r="K3217" s="55" t="s">
        <v>25</v>
      </c>
      <c r="L3217" s="47"/>
      <c r="M3217" s="47"/>
      <c r="N3217" s="55" t="s">
        <v>25</v>
      </c>
    </row>
    <row r="3218" spans="1:14" x14ac:dyDescent="0.3">
      <c r="H3218" s="74">
        <v>10</v>
      </c>
      <c r="K3218" s="55" t="s">
        <v>84</v>
      </c>
      <c r="L3218" s="47"/>
      <c r="M3218" s="47"/>
      <c r="N3218" s="55" t="s">
        <v>84</v>
      </c>
    </row>
    <row r="3219" spans="1:14" x14ac:dyDescent="0.3">
      <c r="H3219" s="74">
        <v>100</v>
      </c>
      <c r="K3219" s="55" t="s">
        <v>96</v>
      </c>
      <c r="L3219" s="47"/>
      <c r="M3219" s="47"/>
      <c r="N3219" s="55" t="s">
        <v>96</v>
      </c>
    </row>
    <row r="3220" spans="1:14" x14ac:dyDescent="0.3">
      <c r="H3220" s="74">
        <v>20</v>
      </c>
      <c r="K3220" s="55" t="s">
        <v>32</v>
      </c>
      <c r="L3220" s="47" t="s">
        <v>236</v>
      </c>
      <c r="M3220" s="47"/>
      <c r="N3220" s="101"/>
    </row>
    <row r="3221" spans="1:14" x14ac:dyDescent="0.3">
      <c r="H3221" s="74">
        <v>30</v>
      </c>
      <c r="K3221" s="55" t="s">
        <v>32</v>
      </c>
      <c r="L3221" s="60" t="s">
        <v>1151</v>
      </c>
      <c r="M3221" s="47"/>
      <c r="N3221" s="101"/>
    </row>
    <row r="3222" spans="1:14" x14ac:dyDescent="0.3">
      <c r="H3222" s="74">
        <v>20</v>
      </c>
      <c r="K3222" s="55" t="s">
        <v>34</v>
      </c>
      <c r="L3222" s="60" t="s">
        <v>149</v>
      </c>
    </row>
    <row r="3223" spans="1:14" x14ac:dyDescent="0.3">
      <c r="H3223" s="74">
        <v>30</v>
      </c>
      <c r="K3223" s="55" t="s">
        <v>34</v>
      </c>
      <c r="L3223" s="60" t="s">
        <v>794</v>
      </c>
    </row>
    <row r="3224" spans="1:14" x14ac:dyDescent="0.3">
      <c r="H3224" s="74">
        <v>20</v>
      </c>
      <c r="K3224" s="55" t="s">
        <v>30</v>
      </c>
      <c r="L3224" s="60" t="s">
        <v>827</v>
      </c>
    </row>
    <row r="3225" spans="1:14" x14ac:dyDescent="0.3">
      <c r="H3225" s="74">
        <v>20</v>
      </c>
      <c r="K3225" s="55" t="s">
        <v>102</v>
      </c>
    </row>
    <row r="3226" spans="1:14" x14ac:dyDescent="0.3">
      <c r="H3226" s="74">
        <v>30</v>
      </c>
      <c r="K3226" s="55" t="s">
        <v>55</v>
      </c>
      <c r="L3226" s="60" t="s">
        <v>14</v>
      </c>
    </row>
    <row r="3227" spans="1:14" x14ac:dyDescent="0.3">
      <c r="H3227" s="74">
        <v>30</v>
      </c>
      <c r="K3227" s="55" t="s">
        <v>55</v>
      </c>
      <c r="L3227" s="60" t="s">
        <v>850</v>
      </c>
    </row>
    <row r="3228" spans="1:14" x14ac:dyDescent="0.3">
      <c r="H3228" s="74">
        <v>70</v>
      </c>
      <c r="K3228" s="55" t="s">
        <v>55</v>
      </c>
      <c r="L3228" s="60" t="s">
        <v>1173</v>
      </c>
    </row>
    <row r="3230" spans="1:14" x14ac:dyDescent="0.3">
      <c r="A3230" s="72" t="s">
        <v>1171</v>
      </c>
      <c r="B3230" s="55" t="s">
        <v>12</v>
      </c>
      <c r="C3230" s="67" t="s">
        <v>47</v>
      </c>
      <c r="D3230" s="55" t="s">
        <v>51</v>
      </c>
      <c r="E3230" s="19">
        <v>402.62</v>
      </c>
      <c r="F3230" s="19">
        <v>11.5</v>
      </c>
      <c r="G3230" s="55" t="s">
        <v>11</v>
      </c>
      <c r="H3230" s="74">
        <v>10</v>
      </c>
      <c r="K3230" s="55" t="s">
        <v>25</v>
      </c>
    </row>
    <row r="3231" spans="1:14" x14ac:dyDescent="0.3">
      <c r="H3231" s="74">
        <v>10</v>
      </c>
      <c r="K3231" s="55" t="s">
        <v>84</v>
      </c>
    </row>
    <row r="3232" spans="1:14" x14ac:dyDescent="0.3">
      <c r="H3232" s="74">
        <v>110</v>
      </c>
      <c r="K3232" s="55" t="s">
        <v>96</v>
      </c>
    </row>
    <row r="3233" spans="1:13" x14ac:dyDescent="0.3">
      <c r="H3233" s="74">
        <v>70</v>
      </c>
      <c r="K3233" s="55" t="s">
        <v>55</v>
      </c>
      <c r="L3233" s="60" t="s">
        <v>356</v>
      </c>
    </row>
    <row r="3234" spans="1:13" x14ac:dyDescent="0.3">
      <c r="H3234" s="74">
        <v>20</v>
      </c>
      <c r="K3234" s="55" t="s">
        <v>102</v>
      </c>
    </row>
    <row r="3235" spans="1:13" x14ac:dyDescent="0.3">
      <c r="H3235" s="74">
        <v>20</v>
      </c>
      <c r="K3235" s="55" t="s">
        <v>30</v>
      </c>
      <c r="L3235" s="60" t="s">
        <v>300</v>
      </c>
    </row>
    <row r="3236" spans="1:13" x14ac:dyDescent="0.3">
      <c r="H3236" s="74">
        <v>20</v>
      </c>
      <c r="K3236" s="55" t="s">
        <v>34</v>
      </c>
      <c r="L3236" s="60" t="s">
        <v>1174</v>
      </c>
      <c r="M3236" s="1" t="s">
        <v>1175</v>
      </c>
    </row>
    <row r="3238" spans="1:13" x14ac:dyDescent="0.3">
      <c r="A3238" s="72" t="s">
        <v>1176</v>
      </c>
      <c r="B3238" s="55" t="s">
        <v>0</v>
      </c>
      <c r="C3238" s="67" t="s">
        <v>46</v>
      </c>
      <c r="D3238" s="55" t="s">
        <v>52</v>
      </c>
      <c r="E3238" s="19">
        <v>279.88</v>
      </c>
      <c r="F3238" s="19">
        <v>8</v>
      </c>
      <c r="G3238" s="55" t="s">
        <v>11</v>
      </c>
      <c r="H3238" s="74">
        <v>10</v>
      </c>
      <c r="K3238" s="55" t="s">
        <v>25</v>
      </c>
    </row>
    <row r="3239" spans="1:13" x14ac:dyDescent="0.3">
      <c r="H3239" s="74">
        <v>10</v>
      </c>
      <c r="K3239" s="55" t="s">
        <v>84</v>
      </c>
    </row>
    <row r="3240" spans="1:13" x14ac:dyDescent="0.3">
      <c r="H3240" s="74">
        <v>100</v>
      </c>
      <c r="K3240" s="55" t="s">
        <v>96</v>
      </c>
    </row>
    <row r="3241" spans="1:13" x14ac:dyDescent="0.3">
      <c r="H3241" s="74">
        <v>30</v>
      </c>
      <c r="K3241" s="55" t="s">
        <v>55</v>
      </c>
      <c r="L3241" s="60" t="s">
        <v>14</v>
      </c>
    </row>
    <row r="3242" spans="1:13" x14ac:dyDescent="0.3">
      <c r="H3242" s="74">
        <v>80</v>
      </c>
      <c r="K3242" s="55" t="s">
        <v>32</v>
      </c>
      <c r="L3242" s="60" t="s">
        <v>1163</v>
      </c>
    </row>
    <row r="3243" spans="1:13" x14ac:dyDescent="0.3">
      <c r="H3243" s="74">
        <v>40</v>
      </c>
      <c r="K3243" s="55" t="s">
        <v>30</v>
      </c>
      <c r="L3243" s="60" t="s">
        <v>1177</v>
      </c>
    </row>
    <row r="3244" spans="1:13" x14ac:dyDescent="0.3">
      <c r="H3244" s="74">
        <v>30</v>
      </c>
      <c r="K3244" s="55" t="s">
        <v>32</v>
      </c>
      <c r="L3244" s="47" t="s">
        <v>236</v>
      </c>
    </row>
    <row r="3245" spans="1:13" x14ac:dyDescent="0.3">
      <c r="H3245" s="74">
        <v>30</v>
      </c>
      <c r="K3245" s="55" t="s">
        <v>34</v>
      </c>
      <c r="L3245" s="60" t="s">
        <v>149</v>
      </c>
    </row>
    <row r="3246" spans="1:13" x14ac:dyDescent="0.3">
      <c r="H3246" s="74">
        <v>20</v>
      </c>
      <c r="K3246" s="55" t="s">
        <v>34</v>
      </c>
      <c r="L3246" s="60" t="s">
        <v>794</v>
      </c>
    </row>
    <row r="3247" spans="1:13" x14ac:dyDescent="0.3">
      <c r="H3247" s="74">
        <v>20</v>
      </c>
      <c r="K3247" s="55" t="s">
        <v>102</v>
      </c>
    </row>
    <row r="3248" spans="1:13" x14ac:dyDescent="0.3">
      <c r="A3248" s="72" t="s">
        <v>1171</v>
      </c>
      <c r="B3248" s="55" t="s">
        <v>10</v>
      </c>
      <c r="C3248" s="67" t="s">
        <v>47</v>
      </c>
      <c r="D3248" s="55" t="s">
        <v>50</v>
      </c>
      <c r="E3248" s="19">
        <v>222.11</v>
      </c>
      <c r="F3248" s="19">
        <v>6</v>
      </c>
      <c r="G3248" s="55" t="s">
        <v>11</v>
      </c>
      <c r="H3248" s="74">
        <v>10</v>
      </c>
      <c r="K3248" s="55" t="s">
        <v>25</v>
      </c>
      <c r="L3248" s="47"/>
    </row>
    <row r="3249" spans="1:12" x14ac:dyDescent="0.3">
      <c r="H3249" s="74">
        <v>10</v>
      </c>
      <c r="K3249" s="55" t="s">
        <v>84</v>
      </c>
      <c r="L3249" s="47"/>
    </row>
    <row r="3250" spans="1:12" x14ac:dyDescent="0.3">
      <c r="H3250" s="74">
        <v>60</v>
      </c>
      <c r="K3250" s="55" t="s">
        <v>96</v>
      </c>
      <c r="L3250" s="47"/>
    </row>
    <row r="3251" spans="1:12" x14ac:dyDescent="0.3">
      <c r="H3251" s="74">
        <v>30</v>
      </c>
      <c r="K3251" s="55" t="s">
        <v>32</v>
      </c>
      <c r="L3251" s="60" t="s">
        <v>1151</v>
      </c>
    </row>
    <row r="3252" spans="1:12" x14ac:dyDescent="0.3">
      <c r="H3252" s="74">
        <v>20</v>
      </c>
      <c r="K3252" s="55" t="s">
        <v>34</v>
      </c>
      <c r="L3252" s="60" t="s">
        <v>149</v>
      </c>
    </row>
    <row r="3253" spans="1:12" x14ac:dyDescent="0.3">
      <c r="H3253" s="74">
        <v>30</v>
      </c>
      <c r="K3253" s="55" t="s">
        <v>34</v>
      </c>
      <c r="L3253" s="60" t="s">
        <v>794</v>
      </c>
    </row>
    <row r="3254" spans="1:12" x14ac:dyDescent="0.3">
      <c r="H3254" s="74">
        <v>20</v>
      </c>
      <c r="K3254" s="55" t="s">
        <v>102</v>
      </c>
    </row>
    <row r="3255" spans="1:12" x14ac:dyDescent="0.3">
      <c r="H3255" s="74">
        <v>190</v>
      </c>
      <c r="K3255" s="55" t="s">
        <v>33</v>
      </c>
      <c r="L3255" s="60" t="s">
        <v>1178</v>
      </c>
    </row>
    <row r="3256" spans="1:12" x14ac:dyDescent="0.3">
      <c r="H3256" s="74">
        <v>30</v>
      </c>
      <c r="K3256" s="55" t="s">
        <v>55</v>
      </c>
      <c r="L3256" s="60" t="s">
        <v>1160</v>
      </c>
    </row>
    <row r="3258" spans="1:12" x14ac:dyDescent="0.3">
      <c r="A3258" s="72" t="s">
        <v>1176</v>
      </c>
      <c r="B3258" s="55" t="s">
        <v>12</v>
      </c>
      <c r="C3258" s="67" t="s">
        <v>48</v>
      </c>
      <c r="D3258" s="55" t="s">
        <v>51</v>
      </c>
      <c r="E3258" s="19">
        <v>292.93</v>
      </c>
      <c r="F3258" s="19">
        <v>8</v>
      </c>
      <c r="G3258" s="55" t="s">
        <v>11</v>
      </c>
      <c r="H3258" s="74">
        <v>10</v>
      </c>
      <c r="K3258" s="55" t="s">
        <v>25</v>
      </c>
    </row>
    <row r="3259" spans="1:12" x14ac:dyDescent="0.3">
      <c r="H3259" s="74">
        <v>10</v>
      </c>
      <c r="K3259" s="55" t="s">
        <v>84</v>
      </c>
    </row>
    <row r="3260" spans="1:12" x14ac:dyDescent="0.3">
      <c r="H3260" s="74">
        <v>80</v>
      </c>
      <c r="K3260" s="55" t="s">
        <v>96</v>
      </c>
    </row>
    <row r="3261" spans="1:12" x14ac:dyDescent="0.3">
      <c r="H3261" s="74">
        <v>40</v>
      </c>
      <c r="K3261" s="55" t="s">
        <v>32</v>
      </c>
      <c r="L3261" s="60" t="s">
        <v>445</v>
      </c>
    </row>
    <row r="3262" spans="1:12" x14ac:dyDescent="0.3">
      <c r="H3262" s="74">
        <v>30</v>
      </c>
      <c r="K3262" s="55" t="s">
        <v>30</v>
      </c>
      <c r="L3262" s="60" t="s">
        <v>502</v>
      </c>
    </row>
    <row r="3263" spans="1:12" x14ac:dyDescent="0.3">
      <c r="H3263" s="74">
        <v>30</v>
      </c>
      <c r="K3263" s="55" t="s">
        <v>34</v>
      </c>
      <c r="L3263" s="60" t="s">
        <v>149</v>
      </c>
    </row>
    <row r="3264" spans="1:12" x14ac:dyDescent="0.3">
      <c r="H3264" s="74">
        <v>40</v>
      </c>
      <c r="K3264" s="55" t="s">
        <v>34</v>
      </c>
      <c r="L3264" s="60" t="s">
        <v>323</v>
      </c>
    </row>
    <row r="3265" spans="1:12" x14ac:dyDescent="0.3">
      <c r="H3265" s="74">
        <v>20</v>
      </c>
      <c r="K3265" s="55" t="s">
        <v>33</v>
      </c>
      <c r="L3265" s="60" t="s">
        <v>1179</v>
      </c>
    </row>
    <row r="3266" spans="1:12" x14ac:dyDescent="0.3">
      <c r="H3266" s="74">
        <v>25</v>
      </c>
      <c r="K3266" s="55" t="s">
        <v>102</v>
      </c>
    </row>
    <row r="3267" spans="1:12" x14ac:dyDescent="0.3">
      <c r="H3267" s="74">
        <v>20</v>
      </c>
      <c r="K3267" s="55" t="s">
        <v>32</v>
      </c>
      <c r="L3267" s="60" t="s">
        <v>1116</v>
      </c>
    </row>
    <row r="3268" spans="1:12" x14ac:dyDescent="0.3">
      <c r="A3268" s="72" t="s">
        <v>1180</v>
      </c>
      <c r="B3268" s="55" t="s">
        <v>0</v>
      </c>
      <c r="C3268" s="67" t="s">
        <v>49</v>
      </c>
      <c r="D3268" s="55" t="s">
        <v>50</v>
      </c>
      <c r="E3268" s="19">
        <v>296.18</v>
      </c>
      <c r="F3268" s="19">
        <v>9</v>
      </c>
      <c r="G3268" s="55" t="s">
        <v>11</v>
      </c>
      <c r="H3268" s="74">
        <v>10</v>
      </c>
      <c r="K3268" s="55" t="s">
        <v>25</v>
      </c>
      <c r="L3268" s="47"/>
    </row>
    <row r="3269" spans="1:12" x14ac:dyDescent="0.3">
      <c r="H3269" s="74">
        <v>10</v>
      </c>
      <c r="K3269" s="55" t="s">
        <v>84</v>
      </c>
      <c r="L3269" s="47"/>
    </row>
    <row r="3270" spans="1:12" x14ac:dyDescent="0.3">
      <c r="H3270" s="74">
        <v>90</v>
      </c>
      <c r="K3270" s="55" t="s">
        <v>96</v>
      </c>
      <c r="L3270" s="47"/>
    </row>
    <row r="3271" spans="1:12" x14ac:dyDescent="0.3">
      <c r="H3271" s="74">
        <v>30</v>
      </c>
      <c r="K3271" s="55" t="s">
        <v>32</v>
      </c>
      <c r="L3271" s="60" t="s">
        <v>1151</v>
      </c>
    </row>
    <row r="3272" spans="1:12" x14ac:dyDescent="0.3">
      <c r="H3272" s="74">
        <v>30</v>
      </c>
      <c r="K3272" s="55" t="s">
        <v>32</v>
      </c>
      <c r="L3272" s="60" t="s">
        <v>133</v>
      </c>
    </row>
    <row r="3273" spans="1:12" x14ac:dyDescent="0.3">
      <c r="H3273" s="74">
        <v>30</v>
      </c>
      <c r="K3273" s="55" t="s">
        <v>34</v>
      </c>
      <c r="L3273" s="60" t="s">
        <v>149</v>
      </c>
    </row>
    <row r="3274" spans="1:12" x14ac:dyDescent="0.3">
      <c r="H3274" s="74">
        <v>30</v>
      </c>
      <c r="K3274" s="55" t="s">
        <v>33</v>
      </c>
      <c r="L3274" s="60" t="s">
        <v>1179</v>
      </c>
    </row>
    <row r="3275" spans="1:12" x14ac:dyDescent="0.3">
      <c r="H3275" s="74">
        <v>50</v>
      </c>
      <c r="K3275" s="55" t="s">
        <v>34</v>
      </c>
      <c r="L3275" s="60" t="s">
        <v>794</v>
      </c>
    </row>
    <row r="3276" spans="1:12" x14ac:dyDescent="0.3">
      <c r="H3276" s="74">
        <v>20</v>
      </c>
      <c r="K3276" s="55" t="s">
        <v>102</v>
      </c>
    </row>
    <row r="3277" spans="1:12" x14ac:dyDescent="0.3">
      <c r="H3277" s="74">
        <v>40</v>
      </c>
      <c r="K3277" s="55" t="s">
        <v>30</v>
      </c>
      <c r="L3277" s="60" t="s">
        <v>502</v>
      </c>
    </row>
    <row r="3279" spans="1:12" x14ac:dyDescent="0.3">
      <c r="A3279" s="72" t="s">
        <v>1180</v>
      </c>
      <c r="B3279" s="55" t="s">
        <v>10</v>
      </c>
      <c r="C3279" s="67" t="s">
        <v>47</v>
      </c>
      <c r="D3279" s="55" t="s">
        <v>51</v>
      </c>
      <c r="E3279" s="19">
        <v>300.07</v>
      </c>
      <c r="F3279" s="19">
        <v>11</v>
      </c>
      <c r="G3279" s="55" t="s">
        <v>11</v>
      </c>
      <c r="H3279" s="74">
        <v>10</v>
      </c>
      <c r="K3279" s="55" t="s">
        <v>25</v>
      </c>
    </row>
    <row r="3280" spans="1:12" x14ac:dyDescent="0.3">
      <c r="H3280" s="74">
        <v>10</v>
      </c>
      <c r="K3280" s="55" t="s">
        <v>84</v>
      </c>
    </row>
    <row r="3281" spans="1:12" x14ac:dyDescent="0.3">
      <c r="H3281" s="74">
        <v>110</v>
      </c>
      <c r="K3281" s="55" t="s">
        <v>96</v>
      </c>
    </row>
    <row r="3282" spans="1:12" x14ac:dyDescent="0.3">
      <c r="H3282" s="74">
        <v>30</v>
      </c>
      <c r="K3282" s="55" t="s">
        <v>32</v>
      </c>
      <c r="L3282" s="60" t="s">
        <v>460</v>
      </c>
    </row>
    <row r="3283" spans="1:12" x14ac:dyDescent="0.3">
      <c r="H3283" s="74">
        <v>30</v>
      </c>
      <c r="K3283" s="55" t="s">
        <v>34</v>
      </c>
      <c r="L3283" s="60" t="s">
        <v>149</v>
      </c>
    </row>
    <row r="3284" spans="1:12" x14ac:dyDescent="0.3">
      <c r="H3284" s="74">
        <v>70</v>
      </c>
      <c r="K3284" s="55" t="s">
        <v>34</v>
      </c>
      <c r="L3284" s="60" t="s">
        <v>794</v>
      </c>
    </row>
    <row r="3285" spans="1:12" x14ac:dyDescent="0.3">
      <c r="H3285" s="74">
        <v>40</v>
      </c>
      <c r="K3285" s="55" t="s">
        <v>30</v>
      </c>
      <c r="L3285" s="60" t="s">
        <v>685</v>
      </c>
    </row>
    <row r="3286" spans="1:12" x14ac:dyDescent="0.3">
      <c r="H3286" s="74">
        <v>25</v>
      </c>
      <c r="K3286" s="55" t="s">
        <v>102</v>
      </c>
    </row>
    <row r="3287" spans="1:12" x14ac:dyDescent="0.3">
      <c r="H3287" s="74">
        <v>40</v>
      </c>
      <c r="K3287" s="55" t="s">
        <v>32</v>
      </c>
      <c r="L3287" s="60" t="s">
        <v>1181</v>
      </c>
    </row>
    <row r="3290" spans="1:12" x14ac:dyDescent="0.3">
      <c r="A3290" s="72" t="s">
        <v>1180</v>
      </c>
      <c r="B3290" s="55" t="s">
        <v>12</v>
      </c>
      <c r="C3290" s="67" t="s">
        <v>48</v>
      </c>
      <c r="D3290" s="55" t="s">
        <v>52</v>
      </c>
      <c r="E3290" s="19">
        <v>324.07</v>
      </c>
      <c r="F3290" s="19">
        <v>11</v>
      </c>
      <c r="G3290" s="55" t="s">
        <v>11</v>
      </c>
      <c r="H3290" s="74">
        <v>10</v>
      </c>
      <c r="K3290" s="55" t="s">
        <v>25</v>
      </c>
    </row>
    <row r="3291" spans="1:12" x14ac:dyDescent="0.3">
      <c r="H3291" s="74">
        <v>10</v>
      </c>
      <c r="K3291" s="55" t="s">
        <v>84</v>
      </c>
    </row>
    <row r="3292" spans="1:12" x14ac:dyDescent="0.3">
      <c r="H3292" s="74">
        <v>130</v>
      </c>
      <c r="K3292" s="55" t="s">
        <v>96</v>
      </c>
    </row>
    <row r="3293" spans="1:12" x14ac:dyDescent="0.3">
      <c r="H3293" s="74">
        <v>40</v>
      </c>
      <c r="K3293" s="55" t="s">
        <v>32</v>
      </c>
      <c r="L3293" s="60" t="s">
        <v>445</v>
      </c>
    </row>
    <row r="3294" spans="1:12" x14ac:dyDescent="0.3">
      <c r="H3294" s="74">
        <v>30</v>
      </c>
      <c r="K3294" s="55" t="s">
        <v>30</v>
      </c>
      <c r="L3294" s="60" t="s">
        <v>502</v>
      </c>
    </row>
    <row r="3295" spans="1:12" x14ac:dyDescent="0.3">
      <c r="H3295" s="74">
        <v>30</v>
      </c>
      <c r="K3295" s="55" t="s">
        <v>34</v>
      </c>
      <c r="L3295" s="60" t="s">
        <v>149</v>
      </c>
    </row>
    <row r="3296" spans="1:12" x14ac:dyDescent="0.3">
      <c r="H3296" s="74">
        <v>60</v>
      </c>
      <c r="K3296" s="55" t="s">
        <v>34</v>
      </c>
      <c r="L3296" s="60" t="s">
        <v>323</v>
      </c>
    </row>
    <row r="3297" spans="1:12" x14ac:dyDescent="0.3">
      <c r="H3297" s="74">
        <v>25</v>
      </c>
      <c r="K3297" s="55" t="s">
        <v>102</v>
      </c>
    </row>
    <row r="3298" spans="1:12" x14ac:dyDescent="0.3">
      <c r="H3298" s="74">
        <v>20</v>
      </c>
      <c r="K3298" s="55" t="s">
        <v>32</v>
      </c>
      <c r="L3298" s="60" t="s">
        <v>1182</v>
      </c>
    </row>
    <row r="3300" spans="1:12" x14ac:dyDescent="0.3">
      <c r="A3300" s="72" t="s">
        <v>1110</v>
      </c>
      <c r="B3300" s="55" t="s">
        <v>0</v>
      </c>
      <c r="C3300" s="67" t="s">
        <v>296</v>
      </c>
      <c r="D3300" s="55" t="s">
        <v>50</v>
      </c>
      <c r="E3300" s="19">
        <v>382.81</v>
      </c>
      <c r="F3300" s="19">
        <v>11</v>
      </c>
      <c r="G3300" s="55" t="s">
        <v>11</v>
      </c>
      <c r="H3300" s="74">
        <v>10</v>
      </c>
      <c r="K3300" s="55" t="s">
        <v>25</v>
      </c>
    </row>
    <row r="3301" spans="1:12" x14ac:dyDescent="0.3">
      <c r="H3301" s="74">
        <v>10</v>
      </c>
      <c r="K3301" s="55" t="s">
        <v>84</v>
      </c>
    </row>
    <row r="3302" spans="1:12" x14ac:dyDescent="0.3">
      <c r="H3302" s="74">
        <v>130</v>
      </c>
      <c r="K3302" s="55" t="s">
        <v>96</v>
      </c>
    </row>
    <row r="3303" spans="1:12" x14ac:dyDescent="0.3">
      <c r="H3303" s="74">
        <v>60</v>
      </c>
      <c r="K3303" s="55" t="s">
        <v>32</v>
      </c>
      <c r="L3303" s="60" t="s">
        <v>137</v>
      </c>
    </row>
    <row r="3304" spans="1:12" x14ac:dyDescent="0.3">
      <c r="H3304" s="74">
        <v>30</v>
      </c>
      <c r="K3304" s="55" t="s">
        <v>30</v>
      </c>
      <c r="L3304" s="60" t="s">
        <v>502</v>
      </c>
    </row>
    <row r="3305" spans="1:12" x14ac:dyDescent="0.3">
      <c r="H3305" s="74">
        <v>20</v>
      </c>
      <c r="K3305" s="55" t="s">
        <v>34</v>
      </c>
      <c r="L3305" s="60" t="s">
        <v>149</v>
      </c>
    </row>
    <row r="3306" spans="1:12" x14ac:dyDescent="0.3">
      <c r="H3306" s="74">
        <v>30</v>
      </c>
      <c r="K3306" s="55" t="s">
        <v>102</v>
      </c>
    </row>
    <row r="3307" spans="1:12" x14ac:dyDescent="0.3">
      <c r="H3307" s="74">
        <v>30</v>
      </c>
      <c r="K3307" s="55" t="s">
        <v>34</v>
      </c>
      <c r="L3307" s="60" t="s">
        <v>323</v>
      </c>
    </row>
    <row r="3309" spans="1:12" x14ac:dyDescent="0.3">
      <c r="A3309" s="72" t="s">
        <v>1110</v>
      </c>
      <c r="B3309" s="55" t="s">
        <v>10</v>
      </c>
      <c r="C3309" s="67" t="s">
        <v>188</v>
      </c>
      <c r="D3309" s="55" t="s">
        <v>51</v>
      </c>
      <c r="E3309" s="19">
        <v>297.18</v>
      </c>
      <c r="F3309" s="19">
        <v>8</v>
      </c>
      <c r="G3309" s="55" t="s">
        <v>11</v>
      </c>
      <c r="H3309" s="74">
        <v>10</v>
      </c>
      <c r="K3309" s="55" t="s">
        <v>25</v>
      </c>
    </row>
    <row r="3310" spans="1:12" x14ac:dyDescent="0.3">
      <c r="H3310" s="74">
        <v>10</v>
      </c>
      <c r="K3310" s="55" t="s">
        <v>84</v>
      </c>
    </row>
    <row r="3311" spans="1:12" x14ac:dyDescent="0.3">
      <c r="H3311" s="74">
        <v>80</v>
      </c>
      <c r="K3311" s="55" t="s">
        <v>96</v>
      </c>
      <c r="L3311" s="60" t="s">
        <v>470</v>
      </c>
    </row>
    <row r="3312" spans="1:12" x14ac:dyDescent="0.3">
      <c r="H3312" s="74">
        <v>90</v>
      </c>
      <c r="K3312" s="55" t="s">
        <v>32</v>
      </c>
      <c r="L3312" s="60" t="s">
        <v>701</v>
      </c>
    </row>
    <row r="3313" spans="1:12" x14ac:dyDescent="0.3">
      <c r="H3313" s="74">
        <v>45</v>
      </c>
      <c r="K3313" s="55" t="s">
        <v>32</v>
      </c>
      <c r="L3313" s="60" t="s">
        <v>549</v>
      </c>
    </row>
    <row r="3314" spans="1:12" x14ac:dyDescent="0.3">
      <c r="H3314" s="74">
        <v>40</v>
      </c>
      <c r="K3314" s="55" t="s">
        <v>30</v>
      </c>
      <c r="L3314" s="60" t="s">
        <v>348</v>
      </c>
    </row>
    <row r="3315" spans="1:12" x14ac:dyDescent="0.3">
      <c r="H3315" s="74">
        <v>35</v>
      </c>
      <c r="K3315" s="55" t="s">
        <v>34</v>
      </c>
      <c r="L3315" s="60" t="s">
        <v>268</v>
      </c>
    </row>
    <row r="3316" spans="1:12" x14ac:dyDescent="0.3">
      <c r="H3316" s="74">
        <v>20</v>
      </c>
      <c r="K3316" s="55" t="s">
        <v>102</v>
      </c>
    </row>
    <row r="3317" spans="1:12" x14ac:dyDescent="0.3">
      <c r="H3317" s="74">
        <v>15</v>
      </c>
      <c r="K3317" s="55" t="s">
        <v>55</v>
      </c>
      <c r="L3317" s="60" t="s">
        <v>379</v>
      </c>
    </row>
    <row r="3319" spans="1:12" x14ac:dyDescent="0.3">
      <c r="A3319" s="72" t="s">
        <v>1110</v>
      </c>
      <c r="B3319" s="55" t="s">
        <v>12</v>
      </c>
      <c r="C3319" s="67" t="s">
        <v>48</v>
      </c>
      <c r="D3319" s="55" t="s">
        <v>52</v>
      </c>
      <c r="E3319" s="19">
        <v>303.73</v>
      </c>
      <c r="F3319" s="19">
        <v>9</v>
      </c>
      <c r="G3319" s="55" t="s">
        <v>11</v>
      </c>
      <c r="H3319" s="74">
        <v>10</v>
      </c>
      <c r="K3319" s="55" t="s">
        <v>25</v>
      </c>
    </row>
    <row r="3320" spans="1:12" x14ac:dyDescent="0.3">
      <c r="H3320" s="74">
        <v>10</v>
      </c>
      <c r="K3320" s="55" t="s">
        <v>84</v>
      </c>
    </row>
    <row r="3321" spans="1:12" x14ac:dyDescent="0.3">
      <c r="H3321" s="74">
        <v>80</v>
      </c>
      <c r="K3321" s="55" t="s">
        <v>96</v>
      </c>
      <c r="L3321" s="60" t="s">
        <v>470</v>
      </c>
    </row>
    <row r="3322" spans="1:12" x14ac:dyDescent="0.3">
      <c r="H3322" s="74">
        <v>90</v>
      </c>
      <c r="K3322" s="55" t="s">
        <v>32</v>
      </c>
      <c r="L3322" s="60" t="s">
        <v>1183</v>
      </c>
    </row>
    <row r="3323" spans="1:12" x14ac:dyDescent="0.3">
      <c r="H3323" s="74">
        <v>30</v>
      </c>
      <c r="K3323" s="55" t="s">
        <v>15</v>
      </c>
    </row>
    <row r="3324" spans="1:12" x14ac:dyDescent="0.3">
      <c r="H3324" s="74">
        <v>40</v>
      </c>
      <c r="K3324" s="55" t="s">
        <v>34</v>
      </c>
    </row>
    <row r="3325" spans="1:12" x14ac:dyDescent="0.3">
      <c r="H3325" s="74">
        <v>15</v>
      </c>
      <c r="K3325" s="55" t="s">
        <v>55</v>
      </c>
      <c r="L3325" s="60" t="s">
        <v>379</v>
      </c>
    </row>
    <row r="3326" spans="1:12" x14ac:dyDescent="0.3">
      <c r="H3326" s="74">
        <v>40</v>
      </c>
      <c r="K3326" s="55" t="s">
        <v>30</v>
      </c>
      <c r="L3326" s="60" t="s">
        <v>339</v>
      </c>
    </row>
    <row r="3327" spans="1:12" x14ac:dyDescent="0.3">
      <c r="H3327" s="74">
        <v>25</v>
      </c>
      <c r="K3327" s="55" t="s">
        <v>102</v>
      </c>
    </row>
    <row r="3329" spans="1:12" x14ac:dyDescent="0.3">
      <c r="A3329" s="72" t="s">
        <v>1184</v>
      </c>
      <c r="B3329" s="55" t="s">
        <v>0</v>
      </c>
      <c r="C3329" s="67" t="s">
        <v>47</v>
      </c>
      <c r="D3329" s="55" t="s">
        <v>50</v>
      </c>
      <c r="E3329" s="19">
        <v>334.21</v>
      </c>
      <c r="F3329" s="19">
        <v>11</v>
      </c>
      <c r="G3329" s="55" t="s">
        <v>11</v>
      </c>
      <c r="H3329" s="74">
        <v>10</v>
      </c>
      <c r="K3329" s="55" t="s">
        <v>25</v>
      </c>
    </row>
    <row r="3330" spans="1:12" x14ac:dyDescent="0.3">
      <c r="H3330" s="74">
        <v>10</v>
      </c>
      <c r="K3330" s="55" t="s">
        <v>84</v>
      </c>
    </row>
    <row r="3331" spans="1:12" x14ac:dyDescent="0.3">
      <c r="H3331" s="74">
        <v>130</v>
      </c>
      <c r="K3331" s="55" t="s">
        <v>96</v>
      </c>
    </row>
    <row r="3332" spans="1:12" x14ac:dyDescent="0.3">
      <c r="H3332" s="74">
        <v>60</v>
      </c>
      <c r="K3332" s="55" t="s">
        <v>32</v>
      </c>
      <c r="L3332" s="60" t="s">
        <v>338</v>
      </c>
    </row>
    <row r="3333" spans="1:12" x14ac:dyDescent="0.3">
      <c r="H3333" s="74">
        <v>30</v>
      </c>
      <c r="K3333" s="55" t="s">
        <v>30</v>
      </c>
    </row>
    <row r="3334" spans="1:12" x14ac:dyDescent="0.3">
      <c r="H3334" s="74">
        <v>20</v>
      </c>
      <c r="K3334" s="55" t="s">
        <v>34</v>
      </c>
    </row>
    <row r="3335" spans="1:12" x14ac:dyDescent="0.3">
      <c r="H3335" s="74">
        <v>30</v>
      </c>
      <c r="K3335" s="55" t="s">
        <v>102</v>
      </c>
    </row>
    <row r="3336" spans="1:12" x14ac:dyDescent="0.3">
      <c r="H3336" s="74">
        <v>30</v>
      </c>
      <c r="K3336" s="55" t="s">
        <v>34</v>
      </c>
    </row>
    <row r="3337" spans="1:12" x14ac:dyDescent="0.3">
      <c r="H3337" s="74">
        <v>30</v>
      </c>
      <c r="K3337" s="55" t="s">
        <v>15</v>
      </c>
      <c r="L3337" s="60" t="s">
        <v>1185</v>
      </c>
    </row>
    <row r="3339" spans="1:12" x14ac:dyDescent="0.3">
      <c r="A3339" s="72" t="s">
        <v>1184</v>
      </c>
      <c r="B3339" s="55" t="s">
        <v>10</v>
      </c>
      <c r="C3339" s="67" t="s">
        <v>296</v>
      </c>
      <c r="D3339" s="55" t="s">
        <v>51</v>
      </c>
      <c r="E3339" s="19">
        <v>227.25</v>
      </c>
      <c r="F3339" s="19">
        <v>7</v>
      </c>
      <c r="G3339" s="55" t="s">
        <v>11</v>
      </c>
      <c r="H3339" s="74">
        <v>10</v>
      </c>
      <c r="K3339" s="55" t="s">
        <v>25</v>
      </c>
    </row>
    <row r="3340" spans="1:12" x14ac:dyDescent="0.3">
      <c r="H3340" s="74">
        <v>10</v>
      </c>
      <c r="K3340" s="55" t="s">
        <v>84</v>
      </c>
    </row>
    <row r="3341" spans="1:12" x14ac:dyDescent="0.3">
      <c r="H3341" s="74">
        <v>80</v>
      </c>
      <c r="K3341" s="55" t="s">
        <v>96</v>
      </c>
    </row>
    <row r="3342" spans="1:12" x14ac:dyDescent="0.3">
      <c r="H3342" s="74">
        <v>30</v>
      </c>
      <c r="K3342" s="55" t="s">
        <v>32</v>
      </c>
      <c r="L3342" s="60" t="s">
        <v>1189</v>
      </c>
    </row>
    <row r="3343" spans="1:12" x14ac:dyDescent="0.3">
      <c r="H3343" s="74">
        <v>20</v>
      </c>
      <c r="K3343" s="55" t="s">
        <v>32</v>
      </c>
      <c r="L3343" s="60" t="s">
        <v>567</v>
      </c>
    </row>
    <row r="3344" spans="1:12" x14ac:dyDescent="0.3">
      <c r="H3344" s="74">
        <v>30</v>
      </c>
      <c r="K3344" s="55" t="s">
        <v>30</v>
      </c>
      <c r="L3344" s="60" t="s">
        <v>339</v>
      </c>
    </row>
    <row r="3345" spans="1:12" x14ac:dyDescent="0.3">
      <c r="H3345" s="74">
        <v>10</v>
      </c>
      <c r="K3345" s="55" t="s">
        <v>33</v>
      </c>
      <c r="L3345" s="60" t="s">
        <v>1186</v>
      </c>
    </row>
    <row r="3346" spans="1:12" x14ac:dyDescent="0.3">
      <c r="H3346" s="74">
        <v>20</v>
      </c>
      <c r="K3346" s="55" t="s">
        <v>34</v>
      </c>
      <c r="L3346" s="60" t="s">
        <v>1167</v>
      </c>
    </row>
    <row r="3347" spans="1:12" x14ac:dyDescent="0.3">
      <c r="H3347" s="74">
        <v>20</v>
      </c>
      <c r="K3347" s="55" t="s">
        <v>102</v>
      </c>
    </row>
    <row r="3348" spans="1:12" x14ac:dyDescent="0.3">
      <c r="H3348" s="74">
        <v>130</v>
      </c>
      <c r="K3348" s="55" t="s">
        <v>33</v>
      </c>
      <c r="L3348" s="60" t="s">
        <v>1187</v>
      </c>
    </row>
    <row r="3349" spans="1:12" x14ac:dyDescent="0.3">
      <c r="H3349" s="74">
        <v>20</v>
      </c>
      <c r="K3349" s="55" t="s">
        <v>33</v>
      </c>
      <c r="L3349" s="60" t="s">
        <v>1188</v>
      </c>
    </row>
    <row r="3351" spans="1:12" x14ac:dyDescent="0.3">
      <c r="A3351" s="72" t="s">
        <v>1184</v>
      </c>
      <c r="B3351" s="55" t="s">
        <v>12</v>
      </c>
      <c r="C3351" s="67" t="s">
        <v>188</v>
      </c>
      <c r="D3351" s="55" t="s">
        <v>52</v>
      </c>
      <c r="E3351" s="19">
        <v>237.11</v>
      </c>
      <c r="F3351" s="19">
        <v>7</v>
      </c>
      <c r="G3351" s="55" t="s">
        <v>11</v>
      </c>
      <c r="H3351" s="74">
        <v>10</v>
      </c>
      <c r="K3351" s="55" t="s">
        <v>25</v>
      </c>
    </row>
    <row r="3352" spans="1:12" x14ac:dyDescent="0.3">
      <c r="H3352" s="74">
        <v>10</v>
      </c>
      <c r="K3352" s="55" t="s">
        <v>84</v>
      </c>
    </row>
    <row r="3353" spans="1:12" x14ac:dyDescent="0.3">
      <c r="H3353" s="74">
        <v>90</v>
      </c>
      <c r="K3353" s="55" t="s">
        <v>96</v>
      </c>
      <c r="L3353" s="60" t="s">
        <v>470</v>
      </c>
    </row>
    <row r="3354" spans="1:12" x14ac:dyDescent="0.3">
      <c r="H3354" s="74">
        <v>90</v>
      </c>
      <c r="K3354" s="55" t="s">
        <v>32</v>
      </c>
      <c r="L3354" s="60" t="s">
        <v>1183</v>
      </c>
    </row>
    <row r="3355" spans="1:12" x14ac:dyDescent="0.3">
      <c r="H3355" s="74">
        <v>40</v>
      </c>
      <c r="K3355" s="55" t="s">
        <v>32</v>
      </c>
      <c r="L3355" s="60" t="s">
        <v>1190</v>
      </c>
    </row>
    <row r="3356" spans="1:12" x14ac:dyDescent="0.3">
      <c r="H3356" s="74">
        <v>30</v>
      </c>
      <c r="K3356" s="55" t="s">
        <v>32</v>
      </c>
      <c r="L3356" s="60" t="s">
        <v>1191</v>
      </c>
    </row>
    <row r="3357" spans="1:12" x14ac:dyDescent="0.3">
      <c r="H3357" s="74">
        <v>40</v>
      </c>
      <c r="K3357" s="55" t="s">
        <v>30</v>
      </c>
      <c r="L3357" s="60" t="s">
        <v>348</v>
      </c>
    </row>
    <row r="3358" spans="1:12" x14ac:dyDescent="0.3">
      <c r="H3358" s="74">
        <v>35</v>
      </c>
      <c r="K3358" s="55" t="s">
        <v>34</v>
      </c>
      <c r="L3358" s="60" t="s">
        <v>268</v>
      </c>
    </row>
    <row r="3359" spans="1:12" x14ac:dyDescent="0.3">
      <c r="H3359" s="74">
        <v>20</v>
      </c>
      <c r="K3359" s="55" t="s">
        <v>102</v>
      </c>
    </row>
    <row r="3360" spans="1:12" x14ac:dyDescent="0.3">
      <c r="H3360" s="74">
        <v>20</v>
      </c>
      <c r="K3360" s="55" t="s">
        <v>33</v>
      </c>
      <c r="L3360" s="60" t="s">
        <v>1192</v>
      </c>
    </row>
    <row r="3362" spans="1:12" x14ac:dyDescent="0.3">
      <c r="A3362" s="72" t="s">
        <v>1193</v>
      </c>
      <c r="B3362" s="55" t="s">
        <v>0</v>
      </c>
      <c r="C3362" s="67" t="s">
        <v>47</v>
      </c>
      <c r="D3362" s="55" t="s">
        <v>50</v>
      </c>
      <c r="E3362" s="19">
        <v>256.52999999999997</v>
      </c>
      <c r="F3362" s="19">
        <v>8</v>
      </c>
      <c r="G3362" s="55" t="s">
        <v>11</v>
      </c>
      <c r="H3362" s="74">
        <v>10</v>
      </c>
      <c r="K3362" s="55" t="s">
        <v>25</v>
      </c>
    </row>
    <row r="3363" spans="1:12" x14ac:dyDescent="0.3">
      <c r="H3363" s="74">
        <v>10</v>
      </c>
      <c r="K3363" s="55" t="s">
        <v>84</v>
      </c>
    </row>
    <row r="3364" spans="1:12" x14ac:dyDescent="0.3">
      <c r="H3364" s="74">
        <v>80</v>
      </c>
      <c r="K3364" s="55" t="s">
        <v>96</v>
      </c>
    </row>
    <row r="3365" spans="1:12" x14ac:dyDescent="0.3">
      <c r="H3365" s="74">
        <v>150</v>
      </c>
      <c r="K3365" s="55" t="s">
        <v>32</v>
      </c>
      <c r="L3365" s="60" t="s">
        <v>1194</v>
      </c>
    </row>
    <row r="3366" spans="1:12" x14ac:dyDescent="0.3">
      <c r="H3366" s="74">
        <v>30</v>
      </c>
      <c r="K3366" s="55" t="s">
        <v>34</v>
      </c>
      <c r="L3366" s="60" t="s">
        <v>254</v>
      </c>
    </row>
    <row r="3367" spans="1:12" x14ac:dyDescent="0.3">
      <c r="H3367" s="74">
        <v>20</v>
      </c>
      <c r="K3367" s="55" t="s">
        <v>34</v>
      </c>
      <c r="L3367" s="60" t="s">
        <v>633</v>
      </c>
    </row>
    <row r="3368" spans="1:12" x14ac:dyDescent="0.3">
      <c r="H3368" s="74">
        <v>20</v>
      </c>
      <c r="K3368" s="55" t="s">
        <v>102</v>
      </c>
    </row>
    <row r="3369" spans="1:12" x14ac:dyDescent="0.3">
      <c r="H3369" s="74">
        <v>30</v>
      </c>
      <c r="K3369" s="55" t="s">
        <v>55</v>
      </c>
      <c r="L3369" s="60" t="s">
        <v>356</v>
      </c>
    </row>
    <row r="3370" spans="1:12" x14ac:dyDescent="0.3">
      <c r="H3370" s="74">
        <v>30</v>
      </c>
      <c r="K3370" s="55" t="s">
        <v>30</v>
      </c>
    </row>
    <row r="3372" spans="1:12" x14ac:dyDescent="0.3">
      <c r="A3372" s="72" t="s">
        <v>1193</v>
      </c>
      <c r="B3372" s="55" t="s">
        <v>10</v>
      </c>
      <c r="C3372" s="67" t="s">
        <v>296</v>
      </c>
      <c r="D3372" s="55" t="s">
        <v>51</v>
      </c>
      <c r="E3372" s="19">
        <v>253.82</v>
      </c>
      <c r="F3372" s="19">
        <v>8</v>
      </c>
      <c r="G3372" s="55" t="s">
        <v>11</v>
      </c>
      <c r="H3372" s="74">
        <v>10</v>
      </c>
      <c r="K3372" s="55" t="s">
        <v>25</v>
      </c>
    </row>
    <row r="3373" spans="1:12" x14ac:dyDescent="0.3">
      <c r="H3373" s="74">
        <v>10</v>
      </c>
      <c r="K3373" s="55" t="s">
        <v>84</v>
      </c>
    </row>
    <row r="3374" spans="1:12" x14ac:dyDescent="0.3">
      <c r="H3374" s="74">
        <v>80</v>
      </c>
      <c r="K3374" s="55" t="s">
        <v>96</v>
      </c>
    </row>
    <row r="3375" spans="1:12" x14ac:dyDescent="0.3">
      <c r="H3375" s="74">
        <v>80</v>
      </c>
      <c r="K3375" s="55" t="s">
        <v>32</v>
      </c>
      <c r="L3375" s="60" t="s">
        <v>137</v>
      </c>
    </row>
    <row r="3376" spans="1:12" x14ac:dyDescent="0.3">
      <c r="H3376" s="74">
        <v>20</v>
      </c>
      <c r="K3376" s="55" t="s">
        <v>32</v>
      </c>
      <c r="L3376" s="60" t="s">
        <v>1195</v>
      </c>
    </row>
    <row r="3377" spans="1:12" x14ac:dyDescent="0.3">
      <c r="H3377" s="74">
        <v>20</v>
      </c>
      <c r="K3377" s="55" t="s">
        <v>34</v>
      </c>
      <c r="L3377" s="60" t="s">
        <v>855</v>
      </c>
    </row>
    <row r="3378" spans="1:12" x14ac:dyDescent="0.3">
      <c r="H3378" s="74">
        <v>15</v>
      </c>
      <c r="K3378" s="55" t="s">
        <v>32</v>
      </c>
      <c r="L3378" s="60" t="s">
        <v>1048</v>
      </c>
    </row>
    <row r="3379" spans="1:12" x14ac:dyDescent="0.3">
      <c r="H3379" s="74">
        <v>20</v>
      </c>
      <c r="K3379" s="55" t="s">
        <v>102</v>
      </c>
    </row>
    <row r="3380" spans="1:12" x14ac:dyDescent="0.3">
      <c r="H3380" s="74">
        <v>30</v>
      </c>
      <c r="K3380" s="55" t="s">
        <v>55</v>
      </c>
      <c r="L3380" s="60" t="s">
        <v>356</v>
      </c>
    </row>
    <row r="3381" spans="1:12" x14ac:dyDescent="0.3">
      <c r="H3381" s="74">
        <v>25</v>
      </c>
      <c r="K3381" s="55" t="s">
        <v>30</v>
      </c>
    </row>
    <row r="3382" spans="1:12" x14ac:dyDescent="0.3">
      <c r="H3382" s="74">
        <v>15</v>
      </c>
      <c r="K3382" s="55" t="s">
        <v>34</v>
      </c>
      <c r="L3382" s="60" t="s">
        <v>1196</v>
      </c>
    </row>
    <row r="3383" spans="1:12" x14ac:dyDescent="0.3">
      <c r="A3383" s="72" t="s">
        <v>1193</v>
      </c>
      <c r="B3383" s="55" t="s">
        <v>12</v>
      </c>
      <c r="C3383" s="67" t="s">
        <v>188</v>
      </c>
      <c r="D3383" s="55" t="s">
        <v>52</v>
      </c>
      <c r="E3383" s="19">
        <v>208.82</v>
      </c>
      <c r="F3383" s="19">
        <v>8</v>
      </c>
      <c r="G3383" s="55" t="s">
        <v>11</v>
      </c>
      <c r="H3383" s="74">
        <v>10</v>
      </c>
      <c r="K3383" s="55" t="s">
        <v>25</v>
      </c>
    </row>
    <row r="3384" spans="1:12" x14ac:dyDescent="0.3">
      <c r="H3384" s="74">
        <v>10</v>
      </c>
      <c r="K3384" s="55" t="s">
        <v>84</v>
      </c>
    </row>
    <row r="3385" spans="1:12" x14ac:dyDescent="0.3">
      <c r="H3385" s="74">
        <v>90</v>
      </c>
      <c r="K3385" s="55" t="s">
        <v>96</v>
      </c>
      <c r="L3385" s="60" t="s">
        <v>470</v>
      </c>
    </row>
    <row r="3386" spans="1:12" x14ac:dyDescent="0.3">
      <c r="H3386" s="74">
        <v>100</v>
      </c>
      <c r="K3386" s="55" t="s">
        <v>32</v>
      </c>
      <c r="L3386" s="60" t="s">
        <v>1197</v>
      </c>
    </row>
    <row r="3387" spans="1:12" x14ac:dyDescent="0.3">
      <c r="H3387" s="74">
        <v>15</v>
      </c>
      <c r="K3387" s="55" t="s">
        <v>34</v>
      </c>
      <c r="L3387" s="60" t="s">
        <v>1196</v>
      </c>
    </row>
    <row r="3388" spans="1:12" x14ac:dyDescent="0.3">
      <c r="H3388" s="74">
        <v>45</v>
      </c>
      <c r="K3388" s="55" t="s">
        <v>30</v>
      </c>
      <c r="L3388" s="60" t="s">
        <v>348</v>
      </c>
    </row>
    <row r="3389" spans="1:12" x14ac:dyDescent="0.3">
      <c r="H3389" s="74">
        <v>35</v>
      </c>
      <c r="K3389" s="55" t="s">
        <v>34</v>
      </c>
      <c r="L3389" s="60" t="s">
        <v>268</v>
      </c>
    </row>
    <row r="3390" spans="1:12" x14ac:dyDescent="0.3">
      <c r="H3390" s="74">
        <v>20</v>
      </c>
      <c r="K3390" s="55" t="s">
        <v>102</v>
      </c>
    </row>
    <row r="3391" spans="1:12" x14ac:dyDescent="0.3">
      <c r="H3391" s="74">
        <v>30</v>
      </c>
      <c r="K3391" s="55" t="s">
        <v>32</v>
      </c>
      <c r="L3391" s="60" t="s">
        <v>1048</v>
      </c>
    </row>
    <row r="3392" spans="1:12" x14ac:dyDescent="0.3">
      <c r="A3392" s="72" t="s">
        <v>1198</v>
      </c>
      <c r="B3392" s="55" t="s">
        <v>0</v>
      </c>
      <c r="C3392" s="67" t="s">
        <v>47</v>
      </c>
      <c r="D3392" s="55" t="s">
        <v>50</v>
      </c>
      <c r="E3392" s="19">
        <v>52.96</v>
      </c>
      <c r="F3392" s="19">
        <v>2</v>
      </c>
      <c r="G3392" s="55" t="s">
        <v>11</v>
      </c>
      <c r="H3392" s="74">
        <v>10</v>
      </c>
      <c r="K3392" s="55" t="s">
        <v>25</v>
      </c>
    </row>
    <row r="3393" spans="1:13" x14ac:dyDescent="0.3">
      <c r="H3393" s="74">
        <v>10</v>
      </c>
      <c r="K3393" s="55" t="s">
        <v>84</v>
      </c>
    </row>
    <row r="3394" spans="1:13" x14ac:dyDescent="0.3">
      <c r="H3394" s="74">
        <v>380</v>
      </c>
      <c r="K3394" s="55" t="s">
        <v>33</v>
      </c>
      <c r="L3394" s="60" t="s">
        <v>1199</v>
      </c>
    </row>
    <row r="3395" spans="1:13" x14ac:dyDescent="0.3">
      <c r="H3395" s="74">
        <v>20</v>
      </c>
      <c r="K3395" s="55" t="s">
        <v>96</v>
      </c>
    </row>
    <row r="3396" spans="1:13" x14ac:dyDescent="0.3">
      <c r="H3396" s="74">
        <v>20</v>
      </c>
      <c r="K3396" s="55" t="s">
        <v>34</v>
      </c>
      <c r="L3396" s="60" t="s">
        <v>763</v>
      </c>
    </row>
    <row r="3398" spans="1:13" x14ac:dyDescent="0.3">
      <c r="A3398" s="72" t="s">
        <v>1198</v>
      </c>
      <c r="B3398" s="55" t="s">
        <v>10</v>
      </c>
      <c r="C3398" s="67" t="s">
        <v>188</v>
      </c>
      <c r="D3398" s="55" t="s">
        <v>51</v>
      </c>
      <c r="E3398" s="19">
        <v>40.1</v>
      </c>
      <c r="F3398" s="19">
        <v>2</v>
      </c>
      <c r="G3398" s="55" t="s">
        <v>11</v>
      </c>
      <c r="H3398" s="74">
        <v>10</v>
      </c>
      <c r="K3398" s="55" t="s">
        <v>25</v>
      </c>
    </row>
    <row r="3399" spans="1:13" x14ac:dyDescent="0.3">
      <c r="H3399" s="74">
        <v>10</v>
      </c>
      <c r="K3399" s="55" t="s">
        <v>84</v>
      </c>
    </row>
    <row r="3400" spans="1:13" x14ac:dyDescent="0.3">
      <c r="H3400" s="74">
        <v>30</v>
      </c>
      <c r="K3400" s="55" t="s">
        <v>96</v>
      </c>
    </row>
    <row r="3401" spans="1:13" x14ac:dyDescent="0.3">
      <c r="H3401" s="74">
        <v>80</v>
      </c>
      <c r="K3401" s="55" t="s">
        <v>32</v>
      </c>
      <c r="L3401" s="60" t="s">
        <v>1203</v>
      </c>
    </row>
    <row r="3402" spans="1:13" x14ac:dyDescent="0.3">
      <c r="H3402" s="74">
        <v>20</v>
      </c>
      <c r="K3402" s="55" t="s">
        <v>102</v>
      </c>
    </row>
    <row r="3403" spans="1:13" x14ac:dyDescent="0.3">
      <c r="H3403" s="74">
        <v>210</v>
      </c>
      <c r="K3403" s="55" t="s">
        <v>33</v>
      </c>
      <c r="L3403" s="60" t="s">
        <v>1200</v>
      </c>
      <c r="M3403" s="1" t="s">
        <v>1201</v>
      </c>
    </row>
    <row r="3404" spans="1:13" x14ac:dyDescent="0.3">
      <c r="H3404" s="74">
        <v>15</v>
      </c>
      <c r="K3404" s="55" t="s">
        <v>33</v>
      </c>
      <c r="L3404" s="60" t="s">
        <v>17</v>
      </c>
    </row>
    <row r="3405" spans="1:13" x14ac:dyDescent="0.3">
      <c r="H3405" s="74">
        <v>50</v>
      </c>
      <c r="K3405" s="55" t="s">
        <v>33</v>
      </c>
      <c r="L3405" s="60" t="s">
        <v>1202</v>
      </c>
    </row>
    <row r="3406" spans="1:13" x14ac:dyDescent="0.3">
      <c r="H3406" s="74">
        <v>15</v>
      </c>
      <c r="K3406" s="55" t="s">
        <v>32</v>
      </c>
      <c r="L3406" s="60" t="s">
        <v>245</v>
      </c>
    </row>
    <row r="3409" spans="1:12" x14ac:dyDescent="0.3">
      <c r="A3409" s="72" t="s">
        <v>1198</v>
      </c>
      <c r="B3409" s="55" t="s">
        <v>12</v>
      </c>
      <c r="C3409" s="67" t="s">
        <v>46</v>
      </c>
      <c r="D3409" s="55" t="s">
        <v>52</v>
      </c>
      <c r="E3409" s="19">
        <v>151.35</v>
      </c>
      <c r="F3409" s="19">
        <v>6.5</v>
      </c>
      <c r="G3409" s="55" t="s">
        <v>11</v>
      </c>
      <c r="H3409" s="74">
        <v>10</v>
      </c>
      <c r="K3409" s="55" t="s">
        <v>25</v>
      </c>
    </row>
    <row r="3410" spans="1:12" x14ac:dyDescent="0.3">
      <c r="H3410" s="74">
        <v>10</v>
      </c>
      <c r="K3410" s="55" t="s">
        <v>84</v>
      </c>
    </row>
    <row r="3411" spans="1:12" x14ac:dyDescent="0.3">
      <c r="H3411" s="74">
        <v>80</v>
      </c>
      <c r="K3411" s="55" t="s">
        <v>96</v>
      </c>
      <c r="L3411" s="60" t="s">
        <v>470</v>
      </c>
    </row>
    <row r="3412" spans="1:12" x14ac:dyDescent="0.3">
      <c r="H3412" s="74">
        <v>75</v>
      </c>
      <c r="K3412" s="55" t="s">
        <v>32</v>
      </c>
      <c r="L3412" s="60" t="s">
        <v>1204</v>
      </c>
    </row>
    <row r="3413" spans="1:12" x14ac:dyDescent="0.3">
      <c r="H3413" s="74">
        <v>100</v>
      </c>
      <c r="K3413" s="55" t="s">
        <v>33</v>
      </c>
      <c r="L3413" s="60" t="s">
        <v>1200</v>
      </c>
    </row>
    <row r="3414" spans="1:12" x14ac:dyDescent="0.3">
      <c r="H3414" s="74">
        <v>30</v>
      </c>
      <c r="K3414" s="55" t="s">
        <v>33</v>
      </c>
      <c r="L3414" s="60" t="s">
        <v>1205</v>
      </c>
    </row>
    <row r="3415" spans="1:12" x14ac:dyDescent="0.3">
      <c r="H3415" s="74">
        <v>40</v>
      </c>
      <c r="K3415" s="55" t="s">
        <v>32</v>
      </c>
      <c r="L3415" s="60" t="s">
        <v>1206</v>
      </c>
    </row>
    <row r="3416" spans="1:12" x14ac:dyDescent="0.3">
      <c r="H3416" s="74">
        <v>15</v>
      </c>
      <c r="K3416" s="55" t="s">
        <v>33</v>
      </c>
      <c r="L3416" s="60" t="s">
        <v>757</v>
      </c>
    </row>
    <row r="3417" spans="1:12" x14ac:dyDescent="0.3">
      <c r="H3417" s="74">
        <v>20</v>
      </c>
      <c r="K3417" s="55" t="s">
        <v>102</v>
      </c>
    </row>
    <row r="3418" spans="1:12" x14ac:dyDescent="0.3">
      <c r="H3418" s="74">
        <v>20</v>
      </c>
      <c r="K3418" s="55" t="s">
        <v>30</v>
      </c>
    </row>
    <row r="3419" spans="1:12" x14ac:dyDescent="0.3">
      <c r="A3419" s="72" t="s">
        <v>1207</v>
      </c>
      <c r="B3419" s="55" t="s">
        <v>0</v>
      </c>
      <c r="C3419" s="67" t="s">
        <v>47</v>
      </c>
      <c r="D3419" s="55" t="s">
        <v>50</v>
      </c>
      <c r="E3419" s="19">
        <v>109.99</v>
      </c>
      <c r="F3419" s="19">
        <v>4.5</v>
      </c>
      <c r="G3419" s="55" t="s">
        <v>11</v>
      </c>
      <c r="H3419" s="74">
        <v>10</v>
      </c>
      <c r="K3419" s="55" t="s">
        <v>25</v>
      </c>
    </row>
    <row r="3420" spans="1:12" x14ac:dyDescent="0.3">
      <c r="H3420" s="74">
        <v>10</v>
      </c>
      <c r="K3420" s="55" t="s">
        <v>84</v>
      </c>
    </row>
    <row r="3421" spans="1:12" x14ac:dyDescent="0.3">
      <c r="H3421" s="74">
        <v>70</v>
      </c>
      <c r="K3421" s="55" t="s">
        <v>33</v>
      </c>
      <c r="L3421" s="60" t="s">
        <v>1208</v>
      </c>
    </row>
    <row r="3422" spans="1:12" x14ac:dyDescent="0.3">
      <c r="H3422" s="74">
        <v>50</v>
      </c>
      <c r="K3422" s="55" t="s">
        <v>96</v>
      </c>
      <c r="L3422" s="60" t="s">
        <v>470</v>
      </c>
    </row>
    <row r="3423" spans="1:12" x14ac:dyDescent="0.3">
      <c r="H3423" s="74">
        <v>185</v>
      </c>
      <c r="K3423" s="55" t="s">
        <v>33</v>
      </c>
      <c r="L3423" s="60" t="s">
        <v>1200</v>
      </c>
    </row>
    <row r="3424" spans="1:12" x14ac:dyDescent="0.3">
      <c r="H3424" s="74">
        <v>20</v>
      </c>
      <c r="K3424" s="55" t="s">
        <v>102</v>
      </c>
    </row>
    <row r="3425" spans="1:13" x14ac:dyDescent="0.3">
      <c r="H3425" s="74">
        <v>10</v>
      </c>
      <c r="K3425" s="55" t="s">
        <v>34</v>
      </c>
      <c r="L3425" s="60" t="s">
        <v>134</v>
      </c>
    </row>
    <row r="3426" spans="1:13" x14ac:dyDescent="0.3">
      <c r="H3426" s="74">
        <v>30</v>
      </c>
      <c r="K3426" s="55" t="s">
        <v>30</v>
      </c>
      <c r="L3426" s="60" t="s">
        <v>355</v>
      </c>
    </row>
    <row r="3427" spans="1:13" x14ac:dyDescent="0.3">
      <c r="H3427" s="74">
        <v>20</v>
      </c>
      <c r="K3427" s="55" t="s">
        <v>32</v>
      </c>
      <c r="L3427" s="60" t="s">
        <v>236</v>
      </c>
    </row>
    <row r="3429" spans="1:13" x14ac:dyDescent="0.3">
      <c r="A3429" s="72" t="s">
        <v>1207</v>
      </c>
      <c r="B3429" s="55" t="s">
        <v>10</v>
      </c>
      <c r="C3429" s="67" t="s">
        <v>188</v>
      </c>
      <c r="D3429" s="55" t="s">
        <v>51</v>
      </c>
      <c r="E3429" s="19">
        <v>232.77</v>
      </c>
      <c r="F3429" s="19">
        <v>9</v>
      </c>
      <c r="G3429" s="55" t="s">
        <v>11</v>
      </c>
      <c r="H3429" s="74">
        <v>10</v>
      </c>
      <c r="K3429" s="55" t="s">
        <v>25</v>
      </c>
    </row>
    <row r="3430" spans="1:13" x14ac:dyDescent="0.3">
      <c r="H3430" s="74">
        <v>10</v>
      </c>
      <c r="K3430" s="55" t="s">
        <v>84</v>
      </c>
    </row>
    <row r="3431" spans="1:13" x14ac:dyDescent="0.3">
      <c r="H3431" s="74">
        <v>90</v>
      </c>
      <c r="K3431" s="55" t="s">
        <v>96</v>
      </c>
    </row>
    <row r="3432" spans="1:13" x14ac:dyDescent="0.3">
      <c r="H3432" s="74">
        <v>40</v>
      </c>
      <c r="K3432" s="55" t="s">
        <v>32</v>
      </c>
      <c r="L3432" s="60" t="s">
        <v>1209</v>
      </c>
      <c r="M3432" s="1" t="s">
        <v>1212</v>
      </c>
    </row>
    <row r="3433" spans="1:13" x14ac:dyDescent="0.3">
      <c r="H3433" s="74">
        <v>20</v>
      </c>
      <c r="K3433" s="55" t="s">
        <v>32</v>
      </c>
      <c r="L3433" s="60" t="s">
        <v>718</v>
      </c>
    </row>
    <row r="3434" spans="1:13" x14ac:dyDescent="0.3">
      <c r="H3434" s="74">
        <v>30</v>
      </c>
      <c r="K3434" s="55" t="s">
        <v>30</v>
      </c>
      <c r="L3434" s="60" t="s">
        <v>300</v>
      </c>
    </row>
    <row r="3435" spans="1:13" x14ac:dyDescent="0.3">
      <c r="H3435" s="74">
        <v>120</v>
      </c>
      <c r="K3435" s="55" t="s">
        <v>33</v>
      </c>
      <c r="L3435" s="60" t="s">
        <v>1210</v>
      </c>
    </row>
    <row r="3436" spans="1:13" x14ac:dyDescent="0.3">
      <c r="H3436" s="74">
        <v>20</v>
      </c>
      <c r="K3436" s="55" t="s">
        <v>102</v>
      </c>
    </row>
    <row r="3437" spans="1:13" x14ac:dyDescent="0.3">
      <c r="H3437" s="74">
        <v>15</v>
      </c>
      <c r="K3437" s="55" t="s">
        <v>33</v>
      </c>
      <c r="L3437" s="60" t="s">
        <v>1211</v>
      </c>
    </row>
    <row r="3439" spans="1:13" x14ac:dyDescent="0.3">
      <c r="A3439" s="72" t="s">
        <v>1207</v>
      </c>
      <c r="B3439" s="55" t="s">
        <v>12</v>
      </c>
      <c r="C3439" s="67" t="s">
        <v>46</v>
      </c>
      <c r="D3439" s="55" t="s">
        <v>52</v>
      </c>
      <c r="E3439" s="19">
        <v>217.03</v>
      </c>
      <c r="F3439" s="19">
        <v>8</v>
      </c>
      <c r="G3439" s="55" t="s">
        <v>11</v>
      </c>
      <c r="H3439" s="74">
        <v>10</v>
      </c>
      <c r="K3439" s="55" t="s">
        <v>25</v>
      </c>
    </row>
    <row r="3440" spans="1:13" x14ac:dyDescent="0.3">
      <c r="H3440" s="74">
        <v>10</v>
      </c>
      <c r="K3440" s="55" t="s">
        <v>84</v>
      </c>
    </row>
    <row r="3441" spans="1:13" x14ac:dyDescent="0.3">
      <c r="H3441" s="74">
        <v>90</v>
      </c>
      <c r="K3441" s="55" t="s">
        <v>96</v>
      </c>
      <c r="L3441" s="60" t="s">
        <v>470</v>
      </c>
    </row>
    <row r="3442" spans="1:13" x14ac:dyDescent="0.3">
      <c r="H3442" s="74">
        <v>80</v>
      </c>
      <c r="K3442" s="55" t="s">
        <v>32</v>
      </c>
      <c r="L3442" s="60" t="s">
        <v>1213</v>
      </c>
    </row>
    <row r="3443" spans="1:13" x14ac:dyDescent="0.3">
      <c r="H3443" s="74">
        <v>40</v>
      </c>
      <c r="K3443" s="55" t="s">
        <v>32</v>
      </c>
      <c r="L3443" s="60" t="s">
        <v>718</v>
      </c>
    </row>
    <row r="3444" spans="1:13" x14ac:dyDescent="0.3">
      <c r="H3444" s="74">
        <v>60</v>
      </c>
      <c r="K3444" s="55" t="s">
        <v>55</v>
      </c>
      <c r="L3444" s="60" t="s">
        <v>1214</v>
      </c>
    </row>
    <row r="3445" spans="1:13" x14ac:dyDescent="0.3">
      <c r="H3445" s="74">
        <v>20</v>
      </c>
      <c r="K3445" s="55" t="s">
        <v>102</v>
      </c>
    </row>
    <row r="3446" spans="1:13" x14ac:dyDescent="0.3">
      <c r="H3446" s="74">
        <v>20</v>
      </c>
      <c r="K3446" s="55" t="s">
        <v>30</v>
      </c>
      <c r="L3446" s="60" t="s">
        <v>355</v>
      </c>
    </row>
    <row r="3447" spans="1:13" x14ac:dyDescent="0.3">
      <c r="H3447" s="74">
        <v>10</v>
      </c>
      <c r="K3447" s="55" t="s">
        <v>15</v>
      </c>
      <c r="L3447" s="60" t="s">
        <v>1215</v>
      </c>
    </row>
    <row r="3448" spans="1:13" x14ac:dyDescent="0.3">
      <c r="H3448" s="74">
        <v>20</v>
      </c>
      <c r="K3448" s="55" t="s">
        <v>55</v>
      </c>
      <c r="L3448" s="60" t="s">
        <v>1216</v>
      </c>
    </row>
    <row r="3450" spans="1:13" x14ac:dyDescent="0.3">
      <c r="A3450" s="72" t="s">
        <v>1219</v>
      </c>
      <c r="B3450" s="55" t="s">
        <v>0</v>
      </c>
      <c r="C3450" s="67" t="s">
        <v>47</v>
      </c>
      <c r="D3450" s="55" t="s">
        <v>50</v>
      </c>
      <c r="E3450" s="19">
        <v>266.27</v>
      </c>
      <c r="F3450" s="19">
        <v>10</v>
      </c>
      <c r="G3450" s="55" t="s">
        <v>1218</v>
      </c>
      <c r="H3450" s="74">
        <v>10</v>
      </c>
      <c r="K3450" s="55" t="s">
        <v>25</v>
      </c>
    </row>
    <row r="3451" spans="1:13" x14ac:dyDescent="0.3">
      <c r="H3451" s="74">
        <v>10</v>
      </c>
      <c r="K3451" s="55" t="s">
        <v>84</v>
      </c>
    </row>
    <row r="3452" spans="1:13" x14ac:dyDescent="0.3">
      <c r="H3452" s="74">
        <v>100</v>
      </c>
      <c r="K3452" s="55" t="s">
        <v>96</v>
      </c>
    </row>
    <row r="3453" spans="1:13" x14ac:dyDescent="0.3">
      <c r="H3453" s="74">
        <v>60</v>
      </c>
      <c r="K3453" s="55" t="s">
        <v>32</v>
      </c>
      <c r="L3453" s="60" t="s">
        <v>1220</v>
      </c>
    </row>
    <row r="3454" spans="1:13" x14ac:dyDescent="0.3">
      <c r="H3454" s="74">
        <v>30</v>
      </c>
      <c r="K3454" s="55" t="s">
        <v>32</v>
      </c>
      <c r="L3454" s="60" t="s">
        <v>718</v>
      </c>
    </row>
    <row r="3455" spans="1:13" x14ac:dyDescent="0.3">
      <c r="H3455" s="74">
        <v>45</v>
      </c>
      <c r="K3455" s="55" t="s">
        <v>55</v>
      </c>
      <c r="L3455" s="60" t="s">
        <v>1221</v>
      </c>
      <c r="M3455" s="1" t="s">
        <v>1217</v>
      </c>
    </row>
    <row r="3456" spans="1:13" x14ac:dyDescent="0.3">
      <c r="H3456" s="74">
        <v>20</v>
      </c>
      <c r="K3456" s="55" t="s">
        <v>102</v>
      </c>
    </row>
    <row r="3457" spans="1:12" x14ac:dyDescent="0.3">
      <c r="H3457" s="74">
        <v>30</v>
      </c>
      <c r="K3457" s="55" t="s">
        <v>30</v>
      </c>
      <c r="L3457" s="60" t="s">
        <v>355</v>
      </c>
    </row>
    <row r="3458" spans="1:12" x14ac:dyDescent="0.3">
      <c r="H3458" s="74">
        <v>40</v>
      </c>
      <c r="K3458" s="55" t="s">
        <v>33</v>
      </c>
      <c r="L3458" s="60" t="s">
        <v>1211</v>
      </c>
    </row>
    <row r="3459" spans="1:12" x14ac:dyDescent="0.3">
      <c r="H3459" s="74">
        <v>10</v>
      </c>
      <c r="K3459" s="55" t="s">
        <v>55</v>
      </c>
      <c r="L3459" s="60" t="s">
        <v>1164</v>
      </c>
    </row>
    <row r="3460" spans="1:12" x14ac:dyDescent="0.3">
      <c r="H3460" s="74">
        <v>15</v>
      </c>
      <c r="K3460" s="55" t="s">
        <v>33</v>
      </c>
      <c r="L3460" s="60" t="s">
        <v>1222</v>
      </c>
    </row>
    <row r="3462" spans="1:12" x14ac:dyDescent="0.3">
      <c r="A3462" s="72" t="s">
        <v>1219</v>
      </c>
      <c r="B3462" s="55" t="s">
        <v>10</v>
      </c>
      <c r="C3462" s="67" t="s">
        <v>48</v>
      </c>
      <c r="D3462" s="55" t="s">
        <v>51</v>
      </c>
      <c r="E3462" s="19">
        <v>322.5</v>
      </c>
      <c r="F3462" s="19" t="s">
        <v>1223</v>
      </c>
      <c r="G3462" s="55" t="s">
        <v>1218</v>
      </c>
      <c r="H3462" s="74">
        <v>10</v>
      </c>
      <c r="K3462" s="55" t="s">
        <v>25</v>
      </c>
    </row>
    <row r="3463" spans="1:12" x14ac:dyDescent="0.3">
      <c r="H3463" s="74">
        <v>10</v>
      </c>
      <c r="K3463" s="55" t="s">
        <v>84</v>
      </c>
    </row>
    <row r="3464" spans="1:12" x14ac:dyDescent="0.3">
      <c r="H3464" s="74">
        <v>130</v>
      </c>
      <c r="K3464" s="55" t="s">
        <v>96</v>
      </c>
    </row>
    <row r="3465" spans="1:12" x14ac:dyDescent="0.3">
      <c r="H3465" s="74">
        <v>30</v>
      </c>
      <c r="K3465" s="55" t="s">
        <v>32</v>
      </c>
      <c r="L3465" s="60" t="s">
        <v>1224</v>
      </c>
    </row>
    <row r="3466" spans="1:12" x14ac:dyDescent="0.3">
      <c r="H3466" s="74">
        <v>25</v>
      </c>
      <c r="K3466" s="55" t="s">
        <v>33</v>
      </c>
      <c r="L3466" s="60" t="s">
        <v>1225</v>
      </c>
    </row>
    <row r="3467" spans="1:12" x14ac:dyDescent="0.3">
      <c r="H3467" s="74">
        <v>15</v>
      </c>
      <c r="K3467" s="55" t="s">
        <v>55</v>
      </c>
      <c r="L3467" s="60" t="s">
        <v>13</v>
      </c>
    </row>
    <row r="3468" spans="1:12" x14ac:dyDescent="0.3">
      <c r="H3468" s="74">
        <v>20</v>
      </c>
      <c r="K3468" s="55" t="s">
        <v>102</v>
      </c>
    </row>
    <row r="3469" spans="1:12" x14ac:dyDescent="0.3">
      <c r="H3469" s="74">
        <v>20</v>
      </c>
      <c r="K3469" s="55" t="s">
        <v>30</v>
      </c>
      <c r="L3469" s="60" t="s">
        <v>136</v>
      </c>
    </row>
    <row r="3470" spans="1:12" x14ac:dyDescent="0.3">
      <c r="H3470" s="74">
        <v>30</v>
      </c>
      <c r="K3470" s="55" t="s">
        <v>34</v>
      </c>
      <c r="L3470" s="60" t="s">
        <v>907</v>
      </c>
    </row>
    <row r="3471" spans="1:12" x14ac:dyDescent="0.3">
      <c r="H3471" s="74">
        <v>20</v>
      </c>
      <c r="K3471" s="55" t="s">
        <v>34</v>
      </c>
      <c r="L3471" s="60" t="s">
        <v>1226</v>
      </c>
    </row>
    <row r="3473" spans="1:12" x14ac:dyDescent="0.3">
      <c r="A3473" s="72" t="s">
        <v>1219</v>
      </c>
      <c r="B3473" s="55" t="s">
        <v>12</v>
      </c>
      <c r="C3473" s="67" t="s">
        <v>46</v>
      </c>
      <c r="D3473" s="55" t="s">
        <v>52</v>
      </c>
      <c r="E3473" s="19">
        <v>226.33</v>
      </c>
      <c r="F3473" s="19" t="s">
        <v>1232</v>
      </c>
      <c r="G3473" s="55" t="s">
        <v>11</v>
      </c>
      <c r="H3473" s="74">
        <v>10</v>
      </c>
      <c r="K3473" s="55" t="s">
        <v>25</v>
      </c>
    </row>
    <row r="3474" spans="1:12" x14ac:dyDescent="0.3">
      <c r="H3474" s="74">
        <v>10</v>
      </c>
      <c r="K3474" s="55" t="s">
        <v>84</v>
      </c>
    </row>
    <row r="3475" spans="1:12" x14ac:dyDescent="0.3">
      <c r="H3475" s="74">
        <v>90</v>
      </c>
      <c r="K3475" s="55" t="s">
        <v>96</v>
      </c>
      <c r="L3475" s="60" t="s">
        <v>470</v>
      </c>
    </row>
    <row r="3476" spans="1:12" x14ac:dyDescent="0.3">
      <c r="H3476" s="74">
        <v>50</v>
      </c>
      <c r="K3476" s="55" t="s">
        <v>32</v>
      </c>
      <c r="L3476" s="60" t="s">
        <v>1233</v>
      </c>
    </row>
    <row r="3477" spans="1:12" x14ac:dyDescent="0.3">
      <c r="H3477" s="74">
        <v>50</v>
      </c>
      <c r="K3477" s="55" t="s">
        <v>34</v>
      </c>
      <c r="L3477" s="60" t="s">
        <v>1228</v>
      </c>
    </row>
    <row r="3478" spans="1:12" x14ac:dyDescent="0.3">
      <c r="H3478" s="74">
        <v>25</v>
      </c>
      <c r="K3478" s="55" t="s">
        <v>33</v>
      </c>
      <c r="L3478" s="60" t="s">
        <v>1229</v>
      </c>
    </row>
    <row r="3479" spans="1:12" x14ac:dyDescent="0.3">
      <c r="H3479" s="74">
        <v>20</v>
      </c>
      <c r="K3479" s="55" t="s">
        <v>102</v>
      </c>
    </row>
    <row r="3480" spans="1:12" x14ac:dyDescent="0.3">
      <c r="H3480" s="74">
        <v>40</v>
      </c>
      <c r="K3480" s="55" t="s">
        <v>30</v>
      </c>
      <c r="L3480" s="60" t="s">
        <v>1227</v>
      </c>
    </row>
    <row r="3481" spans="1:12" x14ac:dyDescent="0.3">
      <c r="H3481" s="74">
        <v>20</v>
      </c>
      <c r="K3481" s="55" t="s">
        <v>34</v>
      </c>
      <c r="L3481" s="60" t="s">
        <v>1230</v>
      </c>
    </row>
    <row r="3482" spans="1:12" x14ac:dyDescent="0.3">
      <c r="H3482" s="74">
        <v>30</v>
      </c>
      <c r="K3482" s="55" t="s">
        <v>34</v>
      </c>
      <c r="L3482" s="60" t="s">
        <v>343</v>
      </c>
    </row>
    <row r="3483" spans="1:12" x14ac:dyDescent="0.3">
      <c r="H3483" s="74">
        <v>25</v>
      </c>
      <c r="K3483" s="55" t="s">
        <v>33</v>
      </c>
      <c r="L3483" s="60" t="s">
        <v>1231</v>
      </c>
    </row>
    <row r="3485" spans="1:12" x14ac:dyDescent="0.3">
      <c r="A3485" s="72" t="s">
        <v>1234</v>
      </c>
      <c r="B3485" s="55" t="s">
        <v>0</v>
      </c>
      <c r="C3485" s="67" t="s">
        <v>188</v>
      </c>
      <c r="D3485" s="55" t="s">
        <v>51</v>
      </c>
      <c r="E3485" s="19">
        <v>211.77</v>
      </c>
      <c r="F3485" s="19">
        <v>6</v>
      </c>
      <c r="G3485" s="55" t="s">
        <v>11</v>
      </c>
      <c r="H3485" s="74">
        <v>10</v>
      </c>
      <c r="K3485" s="55" t="s">
        <v>25</v>
      </c>
    </row>
    <row r="3486" spans="1:12" x14ac:dyDescent="0.3">
      <c r="H3486" s="74">
        <v>10</v>
      </c>
      <c r="K3486" s="55" t="s">
        <v>84</v>
      </c>
    </row>
    <row r="3487" spans="1:12" x14ac:dyDescent="0.3">
      <c r="H3487" s="74">
        <v>60</v>
      </c>
      <c r="K3487" s="55" t="s">
        <v>96</v>
      </c>
    </row>
    <row r="3488" spans="1:12" x14ac:dyDescent="0.3">
      <c r="H3488" s="74">
        <v>100</v>
      </c>
      <c r="K3488" s="55" t="s">
        <v>32</v>
      </c>
      <c r="L3488" s="60" t="s">
        <v>1237</v>
      </c>
    </row>
    <row r="3489" spans="1:12" x14ac:dyDescent="0.3">
      <c r="H3489" s="74">
        <v>15</v>
      </c>
      <c r="K3489" s="55" t="s">
        <v>34</v>
      </c>
      <c r="L3489" s="60" t="s">
        <v>1236</v>
      </c>
    </row>
    <row r="3490" spans="1:12" x14ac:dyDescent="0.3">
      <c r="H3490" s="74">
        <v>25</v>
      </c>
      <c r="K3490" s="55" t="s">
        <v>102</v>
      </c>
    </row>
    <row r="3491" spans="1:12" x14ac:dyDescent="0.3">
      <c r="H3491" s="74">
        <v>35</v>
      </c>
      <c r="K3491" s="55" t="s">
        <v>30</v>
      </c>
      <c r="L3491" s="60" t="s">
        <v>1227</v>
      </c>
    </row>
    <row r="3492" spans="1:12" x14ac:dyDescent="0.3">
      <c r="H3492" s="74">
        <v>30</v>
      </c>
      <c r="K3492" s="55" t="s">
        <v>34</v>
      </c>
      <c r="L3492" s="60" t="s">
        <v>1230</v>
      </c>
    </row>
    <row r="3493" spans="1:12" x14ac:dyDescent="0.3">
      <c r="H3493" s="74">
        <v>40</v>
      </c>
      <c r="K3493" s="55" t="s">
        <v>34</v>
      </c>
      <c r="L3493" s="60" t="s">
        <v>343</v>
      </c>
    </row>
    <row r="3494" spans="1:12" x14ac:dyDescent="0.3">
      <c r="H3494" s="74">
        <v>20</v>
      </c>
      <c r="K3494" s="55" t="s">
        <v>33</v>
      </c>
      <c r="L3494" s="60" t="s">
        <v>1231</v>
      </c>
    </row>
    <row r="3495" spans="1:12" x14ac:dyDescent="0.3">
      <c r="H3495" s="74">
        <v>30</v>
      </c>
      <c r="K3495" s="55" t="s">
        <v>55</v>
      </c>
      <c r="L3495" s="60" t="s">
        <v>1235</v>
      </c>
    </row>
    <row r="3496" spans="1:12" x14ac:dyDescent="0.3">
      <c r="H3496" s="74">
        <v>20</v>
      </c>
      <c r="K3496" s="55" t="s">
        <v>33</v>
      </c>
      <c r="L3496" s="60" t="s">
        <v>1238</v>
      </c>
    </row>
    <row r="3498" spans="1:12" x14ac:dyDescent="0.3">
      <c r="A3498" s="72" t="s">
        <v>1234</v>
      </c>
      <c r="B3498" s="55" t="s">
        <v>10</v>
      </c>
      <c r="C3498" s="67" t="s">
        <v>48</v>
      </c>
      <c r="D3498" s="55" t="s">
        <v>52</v>
      </c>
      <c r="E3498" s="19">
        <v>195.23</v>
      </c>
      <c r="F3498" s="19">
        <v>6</v>
      </c>
      <c r="G3498" s="55" t="s">
        <v>11</v>
      </c>
      <c r="H3498" s="74">
        <v>10</v>
      </c>
      <c r="K3498" s="55" t="s">
        <v>25</v>
      </c>
    </row>
    <row r="3499" spans="1:12" x14ac:dyDescent="0.3">
      <c r="H3499" s="74">
        <v>10</v>
      </c>
      <c r="K3499" s="55" t="s">
        <v>84</v>
      </c>
    </row>
    <row r="3500" spans="1:12" x14ac:dyDescent="0.3">
      <c r="H3500" s="74">
        <v>60</v>
      </c>
      <c r="K3500" s="55" t="s">
        <v>96</v>
      </c>
      <c r="L3500" s="60" t="s">
        <v>470</v>
      </c>
    </row>
    <row r="3501" spans="1:12" x14ac:dyDescent="0.3">
      <c r="H3501" s="74">
        <v>60</v>
      </c>
      <c r="K3501" s="55" t="s">
        <v>32</v>
      </c>
      <c r="L3501" s="60" t="s">
        <v>1239</v>
      </c>
    </row>
    <row r="3502" spans="1:12" x14ac:dyDescent="0.3">
      <c r="H3502" s="74">
        <v>20</v>
      </c>
      <c r="K3502" s="55" t="s">
        <v>55</v>
      </c>
      <c r="L3502" s="60" t="s">
        <v>1240</v>
      </c>
    </row>
    <row r="3503" spans="1:12" x14ac:dyDescent="0.3">
      <c r="H3503" s="74">
        <v>60</v>
      </c>
      <c r="K3503" s="55" t="s">
        <v>33</v>
      </c>
      <c r="L3503" s="60" t="s">
        <v>1241</v>
      </c>
    </row>
    <row r="3504" spans="1:12" x14ac:dyDescent="0.3">
      <c r="H3504" s="74">
        <v>20</v>
      </c>
      <c r="K3504" s="55" t="s">
        <v>102</v>
      </c>
    </row>
    <row r="3505" spans="1:12" x14ac:dyDescent="0.3">
      <c r="H3505" s="74">
        <v>40</v>
      </c>
      <c r="K3505" s="55" t="s">
        <v>30</v>
      </c>
      <c r="L3505" s="60" t="s">
        <v>1227</v>
      </c>
    </row>
    <row r="3506" spans="1:12" x14ac:dyDescent="0.3">
      <c r="H3506" s="74">
        <v>30</v>
      </c>
      <c r="K3506" s="55" t="s">
        <v>34</v>
      </c>
      <c r="L3506" s="60" t="s">
        <v>1230</v>
      </c>
    </row>
    <row r="3507" spans="1:12" x14ac:dyDescent="0.3">
      <c r="H3507" s="74">
        <v>30</v>
      </c>
      <c r="K3507" s="55" t="s">
        <v>34</v>
      </c>
      <c r="L3507" s="60" t="s">
        <v>343</v>
      </c>
    </row>
    <row r="3508" spans="1:12" x14ac:dyDescent="0.3">
      <c r="H3508" s="74">
        <v>30</v>
      </c>
      <c r="K3508" s="55" t="s">
        <v>32</v>
      </c>
      <c r="L3508" s="60" t="s">
        <v>640</v>
      </c>
    </row>
    <row r="3509" spans="1:12" x14ac:dyDescent="0.3">
      <c r="H3509" s="74">
        <v>20</v>
      </c>
      <c r="K3509" s="55" t="s">
        <v>55</v>
      </c>
      <c r="L3509" s="60" t="s">
        <v>1242</v>
      </c>
    </row>
    <row r="3511" spans="1:12" x14ac:dyDescent="0.3">
      <c r="A3511" s="72" t="s">
        <v>1234</v>
      </c>
      <c r="B3511" s="55" t="s">
        <v>12</v>
      </c>
      <c r="C3511" s="67" t="s">
        <v>46</v>
      </c>
      <c r="D3511" s="55" t="s">
        <v>50</v>
      </c>
      <c r="E3511" s="19">
        <v>254.44</v>
      </c>
      <c r="F3511" s="19">
        <v>8</v>
      </c>
      <c r="G3511" s="55" t="s">
        <v>11</v>
      </c>
      <c r="H3511" s="74">
        <v>10</v>
      </c>
      <c r="K3511" s="55" t="s">
        <v>25</v>
      </c>
    </row>
    <row r="3512" spans="1:12" x14ac:dyDescent="0.3">
      <c r="H3512" s="74">
        <v>10</v>
      </c>
      <c r="K3512" s="55" t="s">
        <v>84</v>
      </c>
    </row>
    <row r="3513" spans="1:12" x14ac:dyDescent="0.3">
      <c r="H3513" s="74">
        <v>80</v>
      </c>
      <c r="K3513" s="55" t="s">
        <v>96</v>
      </c>
      <c r="L3513" s="60" t="s">
        <v>470</v>
      </c>
    </row>
    <row r="3514" spans="1:12" x14ac:dyDescent="0.3">
      <c r="H3514" s="74">
        <v>100</v>
      </c>
      <c r="K3514" s="55" t="s">
        <v>32</v>
      </c>
      <c r="L3514" s="60" t="s">
        <v>1243</v>
      </c>
    </row>
    <row r="3515" spans="1:12" x14ac:dyDescent="0.3">
      <c r="H3515" s="74">
        <v>30</v>
      </c>
      <c r="K3515" s="55" t="s">
        <v>102</v>
      </c>
    </row>
    <row r="3516" spans="1:12" x14ac:dyDescent="0.3">
      <c r="H3516" s="74">
        <v>50</v>
      </c>
      <c r="K3516" s="55" t="s">
        <v>30</v>
      </c>
      <c r="L3516" s="60" t="s">
        <v>1227</v>
      </c>
    </row>
    <row r="3517" spans="1:12" x14ac:dyDescent="0.3">
      <c r="H3517" s="74">
        <v>30</v>
      </c>
      <c r="K3517" s="55" t="s">
        <v>34</v>
      </c>
      <c r="L3517" s="60" t="s">
        <v>1230</v>
      </c>
    </row>
    <row r="3518" spans="1:12" x14ac:dyDescent="0.3">
      <c r="H3518" s="74">
        <v>30</v>
      </c>
      <c r="K3518" s="55" t="s">
        <v>34</v>
      </c>
      <c r="L3518" s="60" t="s">
        <v>343</v>
      </c>
    </row>
    <row r="3519" spans="1:12" x14ac:dyDescent="0.3">
      <c r="H3519" s="74">
        <v>10</v>
      </c>
      <c r="K3519" s="55" t="s">
        <v>33</v>
      </c>
      <c r="L3519" s="60" t="s">
        <v>1244</v>
      </c>
    </row>
    <row r="3520" spans="1:12" x14ac:dyDescent="0.3">
      <c r="H3520" s="74">
        <v>10</v>
      </c>
      <c r="K3520" s="55" t="s">
        <v>55</v>
      </c>
      <c r="L3520" s="60" t="s">
        <v>13</v>
      </c>
    </row>
    <row r="3521" spans="1:12" x14ac:dyDescent="0.3">
      <c r="A3521" s="72" t="s">
        <v>1245</v>
      </c>
      <c r="B3521" s="55" t="s">
        <v>0</v>
      </c>
      <c r="C3521" s="67" t="s">
        <v>188</v>
      </c>
      <c r="D3521" s="55" t="s">
        <v>51</v>
      </c>
      <c r="E3521" s="19">
        <v>137.56</v>
      </c>
      <c r="F3521" s="19" t="s">
        <v>1248</v>
      </c>
      <c r="G3521" s="55" t="s">
        <v>11</v>
      </c>
      <c r="H3521" s="74">
        <v>10</v>
      </c>
      <c r="K3521" s="55" t="s">
        <v>25</v>
      </c>
    </row>
    <row r="3522" spans="1:12" x14ac:dyDescent="0.3">
      <c r="H3522" s="74">
        <v>10</v>
      </c>
      <c r="K3522" s="55" t="s">
        <v>84</v>
      </c>
    </row>
    <row r="3523" spans="1:12" x14ac:dyDescent="0.3">
      <c r="H3523" s="74">
        <v>50</v>
      </c>
      <c r="K3523" s="55" t="s">
        <v>96</v>
      </c>
    </row>
    <row r="3524" spans="1:12" x14ac:dyDescent="0.3">
      <c r="H3524" s="74">
        <v>100</v>
      </c>
      <c r="K3524" s="55" t="s">
        <v>32</v>
      </c>
      <c r="L3524" s="60" t="s">
        <v>701</v>
      </c>
    </row>
    <row r="3525" spans="1:12" x14ac:dyDescent="0.3">
      <c r="H3525" s="74">
        <v>20</v>
      </c>
      <c r="K3525" s="55" t="s">
        <v>30</v>
      </c>
      <c r="L3525" s="60" t="s">
        <v>1246</v>
      </c>
    </row>
    <row r="3526" spans="1:12" x14ac:dyDescent="0.3">
      <c r="H3526" s="74">
        <v>20</v>
      </c>
      <c r="K3526" s="55" t="s">
        <v>55</v>
      </c>
      <c r="L3526" s="60" t="s">
        <v>229</v>
      </c>
    </row>
    <row r="3527" spans="1:12" x14ac:dyDescent="0.3">
      <c r="H3527" s="74">
        <v>110</v>
      </c>
      <c r="K3527" s="55" t="s">
        <v>33</v>
      </c>
      <c r="L3527" s="60" t="s">
        <v>1247</v>
      </c>
    </row>
    <row r="3528" spans="1:12" x14ac:dyDescent="0.3">
      <c r="H3528" s="74">
        <v>45</v>
      </c>
      <c r="K3528" s="55" t="s">
        <v>32</v>
      </c>
      <c r="L3528" s="60" t="s">
        <v>373</v>
      </c>
    </row>
    <row r="3529" spans="1:12" x14ac:dyDescent="0.3">
      <c r="H3529" s="74">
        <v>40</v>
      </c>
      <c r="K3529" s="55" t="s">
        <v>55</v>
      </c>
      <c r="L3529" s="60" t="s">
        <v>377</v>
      </c>
    </row>
    <row r="3530" spans="1:12" x14ac:dyDescent="0.3">
      <c r="H3530" s="74">
        <v>25</v>
      </c>
      <c r="K3530" s="55" t="s">
        <v>33</v>
      </c>
      <c r="L3530" s="60" t="s">
        <v>249</v>
      </c>
    </row>
    <row r="3531" spans="1:12" x14ac:dyDescent="0.3">
      <c r="A3531" s="72" t="s">
        <v>1245</v>
      </c>
      <c r="B3531" s="55" t="s">
        <v>10</v>
      </c>
      <c r="C3531" s="67" t="s">
        <v>48</v>
      </c>
      <c r="D3531" s="55" t="s">
        <v>52</v>
      </c>
      <c r="E3531" s="19">
        <v>336.13</v>
      </c>
      <c r="F3531" s="19">
        <v>12</v>
      </c>
      <c r="G3531" s="55" t="s">
        <v>11</v>
      </c>
      <c r="H3531" s="74">
        <v>10</v>
      </c>
      <c r="K3531" s="55" t="s">
        <v>25</v>
      </c>
    </row>
    <row r="3532" spans="1:12" x14ac:dyDescent="0.3">
      <c r="H3532" s="74">
        <v>10</v>
      </c>
      <c r="K3532" s="55" t="s">
        <v>84</v>
      </c>
    </row>
    <row r="3533" spans="1:12" x14ac:dyDescent="0.3">
      <c r="H3533" s="74">
        <v>130</v>
      </c>
      <c r="K3533" s="55" t="s">
        <v>96</v>
      </c>
      <c r="L3533" s="60" t="s">
        <v>470</v>
      </c>
    </row>
    <row r="3534" spans="1:12" x14ac:dyDescent="0.3">
      <c r="H3534" s="74">
        <v>60</v>
      </c>
      <c r="K3534" s="55" t="s">
        <v>32</v>
      </c>
      <c r="L3534" s="60" t="s">
        <v>444</v>
      </c>
    </row>
    <row r="3535" spans="1:12" x14ac:dyDescent="0.3">
      <c r="H3535" s="74">
        <v>20</v>
      </c>
      <c r="K3535" s="55" t="s">
        <v>102</v>
      </c>
    </row>
    <row r="3536" spans="1:12" x14ac:dyDescent="0.3">
      <c r="H3536" s="74">
        <v>20</v>
      </c>
      <c r="K3536" s="55" t="s">
        <v>30</v>
      </c>
      <c r="L3536" s="60" t="s">
        <v>355</v>
      </c>
    </row>
    <row r="3537" spans="1:12" x14ac:dyDescent="0.3">
      <c r="H3537" s="74">
        <v>20</v>
      </c>
      <c r="K3537" s="55" t="s">
        <v>34</v>
      </c>
      <c r="L3537" s="60" t="s">
        <v>1230</v>
      </c>
    </row>
    <row r="3538" spans="1:12" x14ac:dyDescent="0.3">
      <c r="H3538" s="74">
        <v>30</v>
      </c>
      <c r="K3538" s="55" t="s">
        <v>34</v>
      </c>
      <c r="L3538" s="60" t="s">
        <v>343</v>
      </c>
    </row>
    <row r="3539" spans="1:12" x14ac:dyDescent="0.3">
      <c r="H3539" s="74">
        <v>10</v>
      </c>
      <c r="K3539" s="55" t="s">
        <v>55</v>
      </c>
      <c r="L3539" s="60" t="s">
        <v>13</v>
      </c>
    </row>
    <row r="3540" spans="1:12" x14ac:dyDescent="0.3">
      <c r="A3540" s="72" t="s">
        <v>1245</v>
      </c>
      <c r="B3540" s="55" t="s">
        <v>12</v>
      </c>
      <c r="C3540" s="67" t="s">
        <v>47</v>
      </c>
      <c r="D3540" s="55" t="s">
        <v>50</v>
      </c>
      <c r="E3540" s="19">
        <v>232.75</v>
      </c>
      <c r="F3540" s="19">
        <v>8</v>
      </c>
      <c r="G3540" s="55" t="s">
        <v>11</v>
      </c>
      <c r="H3540" s="74">
        <v>10</v>
      </c>
      <c r="K3540" s="55" t="s">
        <v>25</v>
      </c>
    </row>
    <row r="3541" spans="1:12" x14ac:dyDescent="0.3">
      <c r="H3541" s="74">
        <v>10</v>
      </c>
      <c r="K3541" s="55" t="s">
        <v>84</v>
      </c>
    </row>
    <row r="3542" spans="1:12" x14ac:dyDescent="0.3">
      <c r="H3542" s="74">
        <v>80</v>
      </c>
      <c r="K3542" s="55" t="s">
        <v>96</v>
      </c>
      <c r="L3542" s="60" t="s">
        <v>470</v>
      </c>
    </row>
    <row r="3543" spans="1:12" x14ac:dyDescent="0.3">
      <c r="H3543" s="74">
        <v>30</v>
      </c>
      <c r="K3543" s="55" t="s">
        <v>32</v>
      </c>
      <c r="L3543" s="60" t="s">
        <v>1249</v>
      </c>
    </row>
    <row r="3544" spans="1:12" x14ac:dyDescent="0.3">
      <c r="H3544" s="74">
        <v>30</v>
      </c>
      <c r="K3544" s="55" t="s">
        <v>102</v>
      </c>
    </row>
    <row r="3545" spans="1:12" x14ac:dyDescent="0.3">
      <c r="H3545" s="74">
        <v>30</v>
      </c>
      <c r="K3545" s="55" t="s">
        <v>34</v>
      </c>
      <c r="L3545" s="60" t="s">
        <v>343</v>
      </c>
    </row>
    <row r="3546" spans="1:12" x14ac:dyDescent="0.3">
      <c r="H3546" s="74">
        <v>40</v>
      </c>
      <c r="K3546" s="55" t="s">
        <v>32</v>
      </c>
      <c r="L3546" s="60" t="s">
        <v>391</v>
      </c>
    </row>
    <row r="3547" spans="1:12" x14ac:dyDescent="0.3">
      <c r="H3547" s="74">
        <v>50</v>
      </c>
      <c r="K3547" s="55" t="s">
        <v>33</v>
      </c>
      <c r="L3547" s="60" t="s">
        <v>1222</v>
      </c>
    </row>
    <row r="3548" spans="1:12" x14ac:dyDescent="0.3">
      <c r="H3548" s="74">
        <v>50</v>
      </c>
      <c r="K3548" s="55" t="s">
        <v>55</v>
      </c>
      <c r="L3548" s="60" t="s">
        <v>1251</v>
      </c>
    </row>
    <row r="3549" spans="1:12" x14ac:dyDescent="0.3">
      <c r="H3549" s="74">
        <v>30</v>
      </c>
      <c r="K3549" s="55" t="s">
        <v>30</v>
      </c>
      <c r="L3549" s="60" t="s">
        <v>1250</v>
      </c>
    </row>
    <row r="3550" spans="1:12" x14ac:dyDescent="0.3">
      <c r="H3550" s="74">
        <v>30</v>
      </c>
      <c r="K3550" s="55" t="s">
        <v>55</v>
      </c>
      <c r="L3550" s="60" t="s">
        <v>1252</v>
      </c>
    </row>
    <row r="3552" spans="1:12" x14ac:dyDescent="0.3">
      <c r="A3552" s="72" t="s">
        <v>1254</v>
      </c>
      <c r="B3552" s="55" t="s">
        <v>0</v>
      </c>
      <c r="C3552" s="67" t="s">
        <v>188</v>
      </c>
      <c r="D3552" s="55" t="s">
        <v>51</v>
      </c>
      <c r="E3552" s="19">
        <v>0</v>
      </c>
      <c r="F3552" s="19" t="s">
        <v>1256</v>
      </c>
      <c r="G3552" s="55" t="s">
        <v>11</v>
      </c>
      <c r="H3552" s="74">
        <v>10</v>
      </c>
      <c r="K3552" s="55" t="s">
        <v>25</v>
      </c>
    </row>
    <row r="3553" spans="1:13" x14ac:dyDescent="0.3">
      <c r="H3553" s="74">
        <v>10</v>
      </c>
      <c r="K3553" s="55" t="s">
        <v>84</v>
      </c>
    </row>
    <row r="3554" spans="1:13" x14ac:dyDescent="0.3">
      <c r="H3554" s="74">
        <v>430</v>
      </c>
      <c r="K3554" s="55" t="s">
        <v>34</v>
      </c>
      <c r="L3554" s="60" t="s">
        <v>996</v>
      </c>
    </row>
    <row r="3555" spans="1:13" x14ac:dyDescent="0.3">
      <c r="H3555" s="74">
        <v>30</v>
      </c>
      <c r="K3555" s="55" t="s">
        <v>32</v>
      </c>
      <c r="L3555" s="60" t="s">
        <v>1253</v>
      </c>
      <c r="M3555" s="1" t="s">
        <v>1255</v>
      </c>
    </row>
    <row r="3557" spans="1:13" x14ac:dyDescent="0.3">
      <c r="A3557" s="72" t="s">
        <v>1254</v>
      </c>
      <c r="B3557" s="55" t="s">
        <v>10</v>
      </c>
      <c r="C3557" s="67" t="s">
        <v>296</v>
      </c>
      <c r="D3557" s="55" t="s">
        <v>52</v>
      </c>
      <c r="E3557" s="19">
        <v>163.89</v>
      </c>
      <c r="F3557" s="19">
        <v>5</v>
      </c>
      <c r="G3557" s="55" t="s">
        <v>11</v>
      </c>
      <c r="H3557" s="74">
        <v>10</v>
      </c>
      <c r="K3557" s="55" t="s">
        <v>25</v>
      </c>
    </row>
    <row r="3558" spans="1:13" x14ac:dyDescent="0.3">
      <c r="H3558" s="74">
        <v>10</v>
      </c>
      <c r="K3558" s="55" t="s">
        <v>84</v>
      </c>
    </row>
    <row r="3559" spans="1:13" x14ac:dyDescent="0.3">
      <c r="H3559" s="74">
        <v>50</v>
      </c>
      <c r="K3559" s="55" t="s">
        <v>96</v>
      </c>
    </row>
    <row r="3560" spans="1:13" x14ac:dyDescent="0.3">
      <c r="H3560" s="74">
        <v>30</v>
      </c>
      <c r="K3560" s="55" t="s">
        <v>32</v>
      </c>
      <c r="L3560" s="60" t="s">
        <v>1249</v>
      </c>
    </row>
    <row r="3561" spans="1:13" x14ac:dyDescent="0.3">
      <c r="H3561" s="74">
        <v>10</v>
      </c>
      <c r="K3561" s="55" t="s">
        <v>34</v>
      </c>
      <c r="L3561" s="60" t="s">
        <v>149</v>
      </c>
    </row>
    <row r="3562" spans="1:13" x14ac:dyDescent="0.3">
      <c r="H3562" s="74">
        <v>20</v>
      </c>
      <c r="K3562" s="55" t="s">
        <v>34</v>
      </c>
      <c r="L3562" s="60" t="s">
        <v>343</v>
      </c>
    </row>
    <row r="3563" spans="1:13" x14ac:dyDescent="0.3">
      <c r="H3563" s="74">
        <v>190</v>
      </c>
      <c r="K3563" s="55" t="s">
        <v>33</v>
      </c>
      <c r="L3563" s="60" t="s">
        <v>1259</v>
      </c>
    </row>
    <row r="3564" spans="1:13" x14ac:dyDescent="0.3">
      <c r="H3564" s="74">
        <v>30</v>
      </c>
      <c r="K3564" s="55" t="s">
        <v>33</v>
      </c>
      <c r="L3564" s="60" t="s">
        <v>1257</v>
      </c>
    </row>
    <row r="3565" spans="1:13" x14ac:dyDescent="0.3">
      <c r="H3565" s="74">
        <v>20</v>
      </c>
      <c r="K3565" s="55" t="s">
        <v>55</v>
      </c>
      <c r="L3565" s="60" t="s">
        <v>1258</v>
      </c>
    </row>
    <row r="3566" spans="1:13" x14ac:dyDescent="0.3">
      <c r="H3566" s="74">
        <v>20</v>
      </c>
      <c r="K3566" s="55" t="s">
        <v>55</v>
      </c>
      <c r="L3566" s="60" t="s">
        <v>13</v>
      </c>
    </row>
    <row r="3567" spans="1:13" x14ac:dyDescent="0.3">
      <c r="H3567" s="74">
        <v>20</v>
      </c>
      <c r="K3567" s="55" t="s">
        <v>30</v>
      </c>
      <c r="L3567" s="60" t="s">
        <v>1250</v>
      </c>
    </row>
    <row r="3568" spans="1:13" x14ac:dyDescent="0.3">
      <c r="H3568" s="74">
        <v>0</v>
      </c>
      <c r="K3568" s="55" t="s">
        <v>55</v>
      </c>
      <c r="L3568" s="60" t="s">
        <v>1260</v>
      </c>
    </row>
    <row r="3569" spans="1:12" x14ac:dyDescent="0.3">
      <c r="A3569" s="72" t="s">
        <v>1254</v>
      </c>
      <c r="B3569" s="55" t="s">
        <v>12</v>
      </c>
      <c r="C3569" s="67" t="s">
        <v>47</v>
      </c>
      <c r="D3569" s="55" t="s">
        <v>50</v>
      </c>
      <c r="E3569" s="19">
        <v>159.53</v>
      </c>
      <c r="F3569" s="19">
        <v>5</v>
      </c>
      <c r="G3569" s="55" t="s">
        <v>11</v>
      </c>
      <c r="H3569" s="74">
        <v>10</v>
      </c>
      <c r="K3569" s="55" t="s">
        <v>25</v>
      </c>
    </row>
    <row r="3570" spans="1:12" x14ac:dyDescent="0.3">
      <c r="H3570" s="74">
        <v>10</v>
      </c>
      <c r="K3570" s="55" t="s">
        <v>84</v>
      </c>
    </row>
    <row r="3571" spans="1:12" x14ac:dyDescent="0.3">
      <c r="H3571" s="74">
        <v>50</v>
      </c>
      <c r="K3571" s="55" t="s">
        <v>96</v>
      </c>
    </row>
    <row r="3572" spans="1:12" x14ac:dyDescent="0.3">
      <c r="H3572" s="74">
        <v>90</v>
      </c>
      <c r="K3572" s="55" t="s">
        <v>32</v>
      </c>
      <c r="L3572" s="60" t="s">
        <v>1261</v>
      </c>
    </row>
    <row r="3573" spans="1:12" x14ac:dyDescent="0.3">
      <c r="H3573" s="74">
        <v>20</v>
      </c>
      <c r="K3573" s="55" t="s">
        <v>32</v>
      </c>
      <c r="L3573" s="60" t="s">
        <v>674</v>
      </c>
    </row>
    <row r="3574" spans="1:12" x14ac:dyDescent="0.3">
      <c r="H3574" s="74">
        <v>30</v>
      </c>
      <c r="K3574" s="55" t="s">
        <v>102</v>
      </c>
    </row>
    <row r="3575" spans="1:12" x14ac:dyDescent="0.3">
      <c r="H3575" s="74">
        <v>20</v>
      </c>
      <c r="K3575" s="55" t="s">
        <v>34</v>
      </c>
      <c r="L3575" s="60" t="s">
        <v>149</v>
      </c>
    </row>
    <row r="3576" spans="1:12" x14ac:dyDescent="0.3">
      <c r="H3576" s="74">
        <v>30</v>
      </c>
      <c r="K3576" s="55" t="s">
        <v>34</v>
      </c>
      <c r="L3576" s="60" t="s">
        <v>343</v>
      </c>
    </row>
    <row r="3577" spans="1:12" x14ac:dyDescent="0.3">
      <c r="H3577" s="74">
        <v>30</v>
      </c>
      <c r="K3577" s="55" t="s">
        <v>30</v>
      </c>
    </row>
    <row r="3578" spans="1:12" x14ac:dyDescent="0.3">
      <c r="H3578" s="74">
        <v>120</v>
      </c>
      <c r="K3578" s="55" t="s">
        <v>33</v>
      </c>
      <c r="L3578" s="60" t="s">
        <v>1262</v>
      </c>
    </row>
    <row r="3580" spans="1:12" x14ac:dyDescent="0.3">
      <c r="A3580" s="72" t="s">
        <v>1263</v>
      </c>
      <c r="B3580" s="55" t="s">
        <v>0</v>
      </c>
      <c r="C3580" s="67" t="s">
        <v>188</v>
      </c>
      <c r="D3580" s="55" t="s">
        <v>51</v>
      </c>
      <c r="E3580" s="19">
        <v>265.10000000000002</v>
      </c>
      <c r="F3580" s="19">
        <v>8</v>
      </c>
      <c r="G3580" s="55" t="s">
        <v>11</v>
      </c>
      <c r="H3580" s="74">
        <v>10</v>
      </c>
      <c r="K3580" s="55" t="s">
        <v>25</v>
      </c>
    </row>
    <row r="3581" spans="1:12" x14ac:dyDescent="0.3">
      <c r="H3581" s="74">
        <v>10</v>
      </c>
      <c r="K3581" s="55" t="s">
        <v>84</v>
      </c>
    </row>
    <row r="3582" spans="1:12" x14ac:dyDescent="0.3">
      <c r="H3582" s="74">
        <v>35</v>
      </c>
      <c r="K3582" s="55" t="s">
        <v>33</v>
      </c>
      <c r="L3582" s="60" t="s">
        <v>1264</v>
      </c>
    </row>
    <row r="3583" spans="1:12" x14ac:dyDescent="0.3">
      <c r="H3583" s="74">
        <v>80</v>
      </c>
      <c r="K3583" s="55" t="s">
        <v>96</v>
      </c>
    </row>
    <row r="3584" spans="1:12" x14ac:dyDescent="0.3">
      <c r="H3584" s="74">
        <v>80</v>
      </c>
      <c r="K3584" s="55" t="s">
        <v>32</v>
      </c>
      <c r="L3584" s="60" t="s">
        <v>1265</v>
      </c>
    </row>
    <row r="3585" spans="1:12" x14ac:dyDescent="0.3">
      <c r="H3585" s="74">
        <v>30</v>
      </c>
      <c r="K3585" s="55" t="s">
        <v>34</v>
      </c>
      <c r="L3585" s="60" t="s">
        <v>149</v>
      </c>
    </row>
    <row r="3586" spans="1:12" x14ac:dyDescent="0.3">
      <c r="H3586" s="74">
        <v>50</v>
      </c>
      <c r="K3586" s="55" t="s">
        <v>34</v>
      </c>
      <c r="L3586" s="60" t="s">
        <v>561</v>
      </c>
    </row>
    <row r="3587" spans="1:12" x14ac:dyDescent="0.3">
      <c r="H3587" s="74">
        <v>15</v>
      </c>
      <c r="K3587" s="55" t="s">
        <v>34</v>
      </c>
      <c r="L3587" s="60" t="s">
        <v>1236</v>
      </c>
    </row>
    <row r="3588" spans="1:12" x14ac:dyDescent="0.3">
      <c r="H3588" s="74">
        <v>20</v>
      </c>
      <c r="K3588" s="55" t="s">
        <v>33</v>
      </c>
      <c r="L3588" s="60" t="s">
        <v>757</v>
      </c>
    </row>
    <row r="3589" spans="1:12" x14ac:dyDescent="0.3">
      <c r="H3589" s="74">
        <v>30</v>
      </c>
      <c r="K3589" s="55" t="s">
        <v>30</v>
      </c>
      <c r="L3589" s="60" t="s">
        <v>502</v>
      </c>
    </row>
    <row r="3590" spans="1:12" x14ac:dyDescent="0.3">
      <c r="H3590" s="74">
        <v>30</v>
      </c>
      <c r="K3590" s="55" t="s">
        <v>55</v>
      </c>
      <c r="L3590" s="60" t="s">
        <v>303</v>
      </c>
    </row>
    <row r="3592" spans="1:12" x14ac:dyDescent="0.3">
      <c r="A3592" s="72" t="s">
        <v>1263</v>
      </c>
      <c r="B3592" s="55" t="s">
        <v>10</v>
      </c>
      <c r="C3592" s="67" t="s">
        <v>48</v>
      </c>
      <c r="D3592" s="55" t="s">
        <v>52</v>
      </c>
      <c r="E3592" s="19">
        <v>281.61</v>
      </c>
      <c r="F3592" s="19">
        <v>8</v>
      </c>
      <c r="G3592" s="55" t="s">
        <v>11</v>
      </c>
      <c r="H3592" s="74">
        <v>10</v>
      </c>
      <c r="K3592" s="55" t="s">
        <v>25</v>
      </c>
    </row>
    <row r="3593" spans="1:12" x14ac:dyDescent="0.3">
      <c r="H3593" s="74">
        <v>10</v>
      </c>
      <c r="K3593" s="55" t="s">
        <v>84</v>
      </c>
    </row>
    <row r="3594" spans="1:12" x14ac:dyDescent="0.3">
      <c r="H3594" s="74">
        <v>80</v>
      </c>
      <c r="K3594" s="55" t="s">
        <v>96</v>
      </c>
      <c r="L3594" s="60" t="s">
        <v>470</v>
      </c>
    </row>
    <row r="3595" spans="1:12" x14ac:dyDescent="0.3">
      <c r="H3595" s="74">
        <v>20</v>
      </c>
      <c r="K3595" s="55" t="s">
        <v>32</v>
      </c>
      <c r="L3595" s="60" t="s">
        <v>1266</v>
      </c>
    </row>
    <row r="3596" spans="1:12" x14ac:dyDescent="0.3">
      <c r="H3596" s="74">
        <v>20</v>
      </c>
      <c r="K3596" s="55" t="s">
        <v>102</v>
      </c>
    </row>
    <row r="3597" spans="1:12" x14ac:dyDescent="0.3">
      <c r="H3597" s="74">
        <v>30</v>
      </c>
      <c r="K3597" s="55" t="s">
        <v>30</v>
      </c>
      <c r="L3597" s="60" t="s">
        <v>1227</v>
      </c>
    </row>
    <row r="3598" spans="1:12" x14ac:dyDescent="0.3">
      <c r="H3598" s="74">
        <v>20</v>
      </c>
      <c r="K3598" s="55" t="s">
        <v>34</v>
      </c>
      <c r="L3598" s="60" t="s">
        <v>1230</v>
      </c>
    </row>
    <row r="3599" spans="1:12" x14ac:dyDescent="0.3">
      <c r="H3599" s="74">
        <v>40</v>
      </c>
      <c r="K3599" s="55" t="s">
        <v>34</v>
      </c>
      <c r="L3599" s="60" t="s">
        <v>343</v>
      </c>
    </row>
    <row r="3600" spans="1:12" x14ac:dyDescent="0.3">
      <c r="H3600" s="74">
        <v>20</v>
      </c>
      <c r="K3600" s="55" t="s">
        <v>55</v>
      </c>
      <c r="L3600" s="60" t="s">
        <v>13</v>
      </c>
    </row>
    <row r="3601" spans="1:12" x14ac:dyDescent="0.3">
      <c r="H3601" s="74">
        <v>15</v>
      </c>
      <c r="K3601" s="55" t="s">
        <v>34</v>
      </c>
      <c r="L3601" s="60" t="s">
        <v>1269</v>
      </c>
    </row>
    <row r="3602" spans="1:12" x14ac:dyDescent="0.3">
      <c r="H3602" s="74">
        <v>20</v>
      </c>
      <c r="K3602" s="55" t="s">
        <v>33</v>
      </c>
      <c r="L3602" s="60" t="s">
        <v>757</v>
      </c>
    </row>
    <row r="3603" spans="1:12" x14ac:dyDescent="0.3">
      <c r="H3603" s="74">
        <v>20</v>
      </c>
      <c r="K3603" s="55" t="s">
        <v>15</v>
      </c>
      <c r="L3603" s="60" t="s">
        <v>1267</v>
      </c>
    </row>
    <row r="3604" spans="1:12" x14ac:dyDescent="0.3">
      <c r="H3604" s="74">
        <v>40</v>
      </c>
      <c r="K3604" s="55" t="s">
        <v>55</v>
      </c>
      <c r="L3604" s="60" t="s">
        <v>1268</v>
      </c>
    </row>
    <row r="3605" spans="1:12" x14ac:dyDescent="0.3">
      <c r="A3605" s="72" t="s">
        <v>1263</v>
      </c>
      <c r="B3605" s="55" t="s">
        <v>12</v>
      </c>
      <c r="C3605" s="67" t="s">
        <v>47</v>
      </c>
      <c r="D3605" s="55" t="s">
        <v>50</v>
      </c>
      <c r="E3605" s="19">
        <v>208.06</v>
      </c>
      <c r="F3605" s="19">
        <v>8</v>
      </c>
      <c r="G3605" s="55" t="s">
        <v>11</v>
      </c>
      <c r="H3605" s="74">
        <v>10</v>
      </c>
      <c r="K3605" s="55" t="s">
        <v>25</v>
      </c>
    </row>
    <row r="3606" spans="1:12" x14ac:dyDescent="0.3">
      <c r="H3606" s="74">
        <v>10</v>
      </c>
      <c r="K3606" s="55" t="s">
        <v>84</v>
      </c>
    </row>
    <row r="3607" spans="1:12" x14ac:dyDescent="0.3">
      <c r="H3607" s="74">
        <v>80</v>
      </c>
      <c r="K3607" s="55" t="s">
        <v>96</v>
      </c>
    </row>
    <row r="3608" spans="1:12" x14ac:dyDescent="0.3">
      <c r="H3608" s="74">
        <v>60</v>
      </c>
      <c r="K3608" s="55" t="s">
        <v>32</v>
      </c>
      <c r="L3608" s="60" t="s">
        <v>1270</v>
      </c>
    </row>
    <row r="3609" spans="1:12" x14ac:dyDescent="0.3">
      <c r="H3609" s="74">
        <v>45</v>
      </c>
      <c r="K3609" s="55" t="s">
        <v>32</v>
      </c>
      <c r="L3609" s="60" t="s">
        <v>1271</v>
      </c>
    </row>
    <row r="3610" spans="1:12" ht="32.25" x14ac:dyDescent="0.3">
      <c r="H3610" s="74">
        <v>60</v>
      </c>
      <c r="K3610" s="55" t="s">
        <v>34</v>
      </c>
      <c r="L3610" s="65" t="s">
        <v>1272</v>
      </c>
    </row>
    <row r="3611" spans="1:12" x14ac:dyDescent="0.3">
      <c r="H3611" s="74">
        <v>35</v>
      </c>
      <c r="K3611" s="55" t="s">
        <v>33</v>
      </c>
      <c r="L3611" s="65" t="s">
        <v>1273</v>
      </c>
    </row>
    <row r="3612" spans="1:12" x14ac:dyDescent="0.3">
      <c r="H3612" s="74">
        <v>20</v>
      </c>
      <c r="K3612" s="55" t="s">
        <v>102</v>
      </c>
    </row>
    <row r="3613" spans="1:12" x14ac:dyDescent="0.3">
      <c r="H3613" s="74">
        <v>20</v>
      </c>
      <c r="K3613" s="55" t="s">
        <v>34</v>
      </c>
      <c r="L3613" s="60" t="s">
        <v>149</v>
      </c>
    </row>
    <row r="3614" spans="1:12" x14ac:dyDescent="0.3">
      <c r="H3614" s="74">
        <v>30</v>
      </c>
      <c r="K3614" s="55" t="s">
        <v>30</v>
      </c>
    </row>
    <row r="3616" spans="1:12" x14ac:dyDescent="0.3">
      <c r="A3616" s="72" t="s">
        <v>1274</v>
      </c>
      <c r="B3616" s="55" t="s">
        <v>0</v>
      </c>
      <c r="C3616" s="67" t="s">
        <v>188</v>
      </c>
      <c r="D3616" s="55" t="s">
        <v>51</v>
      </c>
      <c r="E3616" s="19">
        <v>192.05</v>
      </c>
      <c r="F3616" s="19">
        <v>7</v>
      </c>
      <c r="G3616" s="55" t="s">
        <v>11</v>
      </c>
      <c r="H3616" s="74">
        <v>10</v>
      </c>
      <c r="K3616" s="55" t="s">
        <v>25</v>
      </c>
    </row>
    <row r="3617" spans="1:13" x14ac:dyDescent="0.3">
      <c r="H3617" s="74">
        <v>10</v>
      </c>
      <c r="K3617" s="55" t="s">
        <v>84</v>
      </c>
    </row>
    <row r="3618" spans="1:13" x14ac:dyDescent="0.3">
      <c r="H3618" s="74">
        <v>80</v>
      </c>
      <c r="K3618" s="55" t="s">
        <v>96</v>
      </c>
    </row>
    <row r="3619" spans="1:13" x14ac:dyDescent="0.3">
      <c r="H3619" s="74">
        <v>60</v>
      </c>
      <c r="K3619" s="55" t="s">
        <v>32</v>
      </c>
      <c r="L3619" s="60" t="s">
        <v>1277</v>
      </c>
    </row>
    <row r="3620" spans="1:13" x14ac:dyDescent="0.3">
      <c r="H3620" s="74">
        <v>45</v>
      </c>
      <c r="K3620" s="55" t="s">
        <v>32</v>
      </c>
      <c r="L3620" s="60" t="s">
        <v>1278</v>
      </c>
    </row>
    <row r="3621" spans="1:13" x14ac:dyDescent="0.3">
      <c r="H3621" s="74">
        <v>10</v>
      </c>
      <c r="K3621" s="55" t="s">
        <v>33</v>
      </c>
      <c r="L3621" s="60" t="s">
        <v>1186</v>
      </c>
    </row>
    <row r="3622" spans="1:13" x14ac:dyDescent="0.3">
      <c r="H3622" s="74">
        <v>20</v>
      </c>
      <c r="K3622" s="55" t="s">
        <v>102</v>
      </c>
    </row>
    <row r="3623" spans="1:13" x14ac:dyDescent="0.3">
      <c r="H3623" s="74">
        <v>20</v>
      </c>
      <c r="K3623" s="55" t="s">
        <v>32</v>
      </c>
      <c r="L3623" s="60" t="s">
        <v>1275</v>
      </c>
      <c r="M3623" s="1" t="s">
        <v>1276</v>
      </c>
    </row>
    <row r="3624" spans="1:13" x14ac:dyDescent="0.3">
      <c r="H3624" s="74">
        <v>20</v>
      </c>
      <c r="K3624" s="55" t="s">
        <v>32</v>
      </c>
      <c r="L3624" s="60" t="s">
        <v>249</v>
      </c>
    </row>
    <row r="3625" spans="1:13" x14ac:dyDescent="0.3">
      <c r="H3625" s="74">
        <v>40</v>
      </c>
      <c r="K3625" s="55" t="s">
        <v>34</v>
      </c>
      <c r="L3625" s="60" t="s">
        <v>302</v>
      </c>
    </row>
    <row r="3626" spans="1:13" x14ac:dyDescent="0.3">
      <c r="H3626" s="74">
        <v>20</v>
      </c>
      <c r="K3626" s="55" t="s">
        <v>34</v>
      </c>
      <c r="L3626" s="60" t="s">
        <v>253</v>
      </c>
    </row>
    <row r="3627" spans="1:13" x14ac:dyDescent="0.3">
      <c r="H3627" s="74">
        <v>15</v>
      </c>
      <c r="K3627" s="55" t="s">
        <v>33</v>
      </c>
      <c r="L3627" s="60" t="s">
        <v>1279</v>
      </c>
    </row>
    <row r="3628" spans="1:13" x14ac:dyDescent="0.3">
      <c r="H3628" s="74">
        <v>30</v>
      </c>
      <c r="K3628" s="55" t="s">
        <v>30</v>
      </c>
      <c r="L3628" s="60" t="s">
        <v>250</v>
      </c>
    </row>
    <row r="3629" spans="1:13" x14ac:dyDescent="0.3">
      <c r="A3629" s="72" t="s">
        <v>1274</v>
      </c>
      <c r="B3629" s="55" t="s">
        <v>10</v>
      </c>
      <c r="C3629" s="67" t="s">
        <v>48</v>
      </c>
      <c r="D3629" s="55" t="s">
        <v>52</v>
      </c>
      <c r="E3629" s="19">
        <v>385.17</v>
      </c>
      <c r="F3629" s="19">
        <v>11</v>
      </c>
      <c r="G3629" s="55" t="s">
        <v>11</v>
      </c>
      <c r="H3629" s="74">
        <v>10</v>
      </c>
      <c r="K3629" s="55" t="s">
        <v>25</v>
      </c>
    </row>
    <row r="3630" spans="1:13" x14ac:dyDescent="0.3">
      <c r="H3630" s="74">
        <v>10</v>
      </c>
      <c r="K3630" s="55" t="s">
        <v>84</v>
      </c>
    </row>
    <row r="3631" spans="1:13" x14ac:dyDescent="0.3">
      <c r="H3631" s="74">
        <v>120</v>
      </c>
      <c r="K3631" s="55" t="s">
        <v>96</v>
      </c>
      <c r="L3631" s="60" t="s">
        <v>470</v>
      </c>
    </row>
    <row r="3632" spans="1:13" x14ac:dyDescent="0.3">
      <c r="H3632" s="74">
        <v>20</v>
      </c>
      <c r="K3632" s="55" t="s">
        <v>32</v>
      </c>
      <c r="L3632" s="60" t="s">
        <v>1280</v>
      </c>
    </row>
    <row r="3633" spans="1:12" x14ac:dyDescent="0.3">
      <c r="H3633" s="74">
        <v>20</v>
      </c>
      <c r="K3633" s="55" t="s">
        <v>102</v>
      </c>
    </row>
    <row r="3634" spans="1:12" x14ac:dyDescent="0.3">
      <c r="H3634" s="74">
        <v>30</v>
      </c>
      <c r="K3634" s="55" t="s">
        <v>30</v>
      </c>
      <c r="L3634" s="60" t="s">
        <v>1227</v>
      </c>
    </row>
    <row r="3635" spans="1:12" x14ac:dyDescent="0.3">
      <c r="H3635" s="74">
        <v>20</v>
      </c>
      <c r="K3635" s="55" t="s">
        <v>34</v>
      </c>
      <c r="L3635" s="60" t="s">
        <v>1230</v>
      </c>
    </row>
    <row r="3636" spans="1:12" x14ac:dyDescent="0.3">
      <c r="H3636" s="74">
        <v>50</v>
      </c>
      <c r="K3636" s="55" t="s">
        <v>34</v>
      </c>
      <c r="L3636" s="60" t="s">
        <v>343</v>
      </c>
    </row>
    <row r="3637" spans="1:12" x14ac:dyDescent="0.3">
      <c r="H3637" s="74">
        <v>20</v>
      </c>
      <c r="K3637" s="55" t="s">
        <v>55</v>
      </c>
      <c r="L3637" s="60" t="s">
        <v>13</v>
      </c>
    </row>
    <row r="3638" spans="1:12" x14ac:dyDescent="0.3">
      <c r="H3638" s="74">
        <v>20</v>
      </c>
      <c r="K3638" s="55" t="s">
        <v>33</v>
      </c>
      <c r="L3638" s="60" t="s">
        <v>1281</v>
      </c>
    </row>
    <row r="3639" spans="1:12" x14ac:dyDescent="0.3">
      <c r="H3639" s="74">
        <v>10</v>
      </c>
      <c r="K3639" s="55" t="s">
        <v>33</v>
      </c>
      <c r="L3639" s="60" t="s">
        <v>757</v>
      </c>
    </row>
    <row r="3640" spans="1:12" x14ac:dyDescent="0.3">
      <c r="H3640" s="74">
        <v>20</v>
      </c>
      <c r="K3640" s="55" t="s">
        <v>32</v>
      </c>
      <c r="L3640" s="60" t="s">
        <v>236</v>
      </c>
    </row>
    <row r="3641" spans="1:12" x14ac:dyDescent="0.3">
      <c r="H3641" s="74">
        <v>20</v>
      </c>
      <c r="K3641" s="55" t="s">
        <v>32</v>
      </c>
      <c r="L3641" s="60" t="s">
        <v>1282</v>
      </c>
    </row>
    <row r="3642" spans="1:12" x14ac:dyDescent="0.3">
      <c r="A3642" s="72" t="s">
        <v>1274</v>
      </c>
      <c r="B3642" s="55" t="s">
        <v>12</v>
      </c>
      <c r="C3642" s="67" t="s">
        <v>47</v>
      </c>
      <c r="D3642" s="55" t="s">
        <v>50</v>
      </c>
      <c r="E3642" s="19">
        <v>366.68</v>
      </c>
      <c r="F3642" s="19">
        <v>11</v>
      </c>
      <c r="G3642" s="55" t="s">
        <v>11</v>
      </c>
      <c r="H3642" s="74">
        <v>10</v>
      </c>
      <c r="K3642" s="55" t="s">
        <v>25</v>
      </c>
    </row>
    <row r="3643" spans="1:12" x14ac:dyDescent="0.3">
      <c r="H3643" s="74">
        <v>10</v>
      </c>
      <c r="K3643" s="55" t="s">
        <v>84</v>
      </c>
    </row>
    <row r="3644" spans="1:12" x14ac:dyDescent="0.3">
      <c r="H3644" s="74">
        <v>110</v>
      </c>
      <c r="K3644" s="55" t="s">
        <v>96</v>
      </c>
    </row>
    <row r="3645" spans="1:12" x14ac:dyDescent="0.3">
      <c r="H3645" s="74">
        <v>60</v>
      </c>
      <c r="K3645" s="55" t="s">
        <v>32</v>
      </c>
      <c r="L3645" s="60" t="s">
        <v>1270</v>
      </c>
    </row>
    <row r="3646" spans="1:12" x14ac:dyDescent="0.3">
      <c r="H3646" s="74">
        <v>20</v>
      </c>
      <c r="K3646" s="55" t="s">
        <v>102</v>
      </c>
    </row>
    <row r="3647" spans="1:12" x14ac:dyDescent="0.3">
      <c r="H3647" s="74">
        <v>30</v>
      </c>
      <c r="K3647" s="55" t="s">
        <v>34</v>
      </c>
      <c r="L3647" s="60" t="s">
        <v>149</v>
      </c>
    </row>
    <row r="3648" spans="1:12" x14ac:dyDescent="0.3">
      <c r="H3648" s="74">
        <v>30</v>
      </c>
      <c r="K3648" s="55" t="s">
        <v>34</v>
      </c>
      <c r="L3648" s="60" t="s">
        <v>343</v>
      </c>
    </row>
    <row r="3649" spans="1:12" x14ac:dyDescent="0.3">
      <c r="H3649" s="74">
        <v>40</v>
      </c>
      <c r="K3649" s="55" t="s">
        <v>30</v>
      </c>
      <c r="L3649" s="60" t="s">
        <v>250</v>
      </c>
    </row>
    <row r="3650" spans="1:12" x14ac:dyDescent="0.3">
      <c r="H3650" s="74">
        <v>10</v>
      </c>
      <c r="K3650" s="55" t="s">
        <v>55</v>
      </c>
      <c r="L3650" s="60" t="s">
        <v>13</v>
      </c>
    </row>
    <row r="3651" spans="1:12" x14ac:dyDescent="0.3">
      <c r="A3651" s="72" t="s">
        <v>1283</v>
      </c>
      <c r="B3651" s="55" t="s">
        <v>0</v>
      </c>
      <c r="C3651" s="67" t="s">
        <v>188</v>
      </c>
      <c r="D3651" s="55" t="s">
        <v>51</v>
      </c>
      <c r="E3651" s="19">
        <v>32.76</v>
      </c>
      <c r="F3651" s="19" t="s">
        <v>1286</v>
      </c>
      <c r="G3651" s="55" t="s">
        <v>11</v>
      </c>
      <c r="H3651" s="74">
        <v>10</v>
      </c>
      <c r="K3651" s="55" t="s">
        <v>25</v>
      </c>
    </row>
    <row r="3652" spans="1:12" x14ac:dyDescent="0.3">
      <c r="H3652" s="74">
        <v>10</v>
      </c>
      <c r="K3652" s="55" t="s">
        <v>84</v>
      </c>
    </row>
    <row r="3653" spans="1:12" x14ac:dyDescent="0.3">
      <c r="H3653" s="74">
        <v>40</v>
      </c>
      <c r="K3653" s="55" t="s">
        <v>32</v>
      </c>
      <c r="L3653" s="60" t="s">
        <v>1280</v>
      </c>
    </row>
    <row r="3654" spans="1:12" x14ac:dyDescent="0.3">
      <c r="H3654" s="74">
        <v>15</v>
      </c>
      <c r="K3654" s="55" t="s">
        <v>96</v>
      </c>
    </row>
    <row r="3655" spans="1:12" x14ac:dyDescent="0.3">
      <c r="H3655" s="74">
        <v>20</v>
      </c>
      <c r="K3655" s="55" t="s">
        <v>33</v>
      </c>
      <c r="L3655" s="60" t="s">
        <v>1285</v>
      </c>
    </row>
    <row r="3656" spans="1:12" x14ac:dyDescent="0.3">
      <c r="H3656" s="74">
        <v>60</v>
      </c>
      <c r="K3656" s="55" t="s">
        <v>33</v>
      </c>
      <c r="L3656" s="60" t="s">
        <v>1285</v>
      </c>
    </row>
    <row r="3657" spans="1:12" x14ac:dyDescent="0.3">
      <c r="H3657" s="74">
        <v>30</v>
      </c>
      <c r="K3657" s="55" t="s">
        <v>55</v>
      </c>
      <c r="L3657" s="60" t="s">
        <v>1284</v>
      </c>
    </row>
    <row r="3658" spans="1:12" x14ac:dyDescent="0.3">
      <c r="H3658" s="74">
        <v>15</v>
      </c>
      <c r="K3658" s="55" t="s">
        <v>55</v>
      </c>
    </row>
    <row r="3659" spans="1:12" x14ac:dyDescent="0.3">
      <c r="H3659" s="74">
        <v>210</v>
      </c>
      <c r="K3659" s="55" t="s">
        <v>34</v>
      </c>
      <c r="L3659" s="60" t="s">
        <v>996</v>
      </c>
    </row>
    <row r="3660" spans="1:12" x14ac:dyDescent="0.3">
      <c r="H3660" s="74">
        <v>20</v>
      </c>
      <c r="K3660" s="55" t="s">
        <v>34</v>
      </c>
      <c r="L3660" s="60" t="s">
        <v>149</v>
      </c>
    </row>
    <row r="3662" spans="1:12" x14ac:dyDescent="0.3">
      <c r="A3662" s="72" t="s">
        <v>1283</v>
      </c>
      <c r="B3662" s="55" t="s">
        <v>10</v>
      </c>
      <c r="C3662" s="67" t="s">
        <v>48</v>
      </c>
      <c r="D3662" s="55" t="s">
        <v>52</v>
      </c>
      <c r="E3662" s="19">
        <v>0</v>
      </c>
      <c r="F3662" s="19" t="s">
        <v>1289</v>
      </c>
      <c r="G3662" s="55" t="s">
        <v>11</v>
      </c>
      <c r="H3662" s="74">
        <v>10</v>
      </c>
      <c r="K3662" s="55" t="s">
        <v>25</v>
      </c>
    </row>
    <row r="3663" spans="1:12" x14ac:dyDescent="0.3">
      <c r="H3663" s="74">
        <v>10</v>
      </c>
      <c r="K3663" s="55" t="s">
        <v>84</v>
      </c>
    </row>
    <row r="3664" spans="1:12" x14ac:dyDescent="0.3">
      <c r="H3664" s="74">
        <v>30</v>
      </c>
      <c r="K3664" s="55" t="s">
        <v>32</v>
      </c>
      <c r="L3664" s="60" t="s">
        <v>1287</v>
      </c>
    </row>
    <row r="3665" spans="1:12" x14ac:dyDescent="0.3">
      <c r="H3665" s="74">
        <v>90</v>
      </c>
      <c r="K3665" s="55" t="s">
        <v>96</v>
      </c>
    </row>
    <row r="3666" spans="1:12" x14ac:dyDescent="0.3">
      <c r="H3666" s="74">
        <v>50</v>
      </c>
      <c r="K3666" s="55" t="s">
        <v>15</v>
      </c>
      <c r="L3666" s="60" t="s">
        <v>1288</v>
      </c>
    </row>
    <row r="3667" spans="1:12" x14ac:dyDescent="0.3">
      <c r="H3667" s="74">
        <v>200</v>
      </c>
      <c r="K3667" s="55" t="s">
        <v>34</v>
      </c>
      <c r="L3667" s="60" t="s">
        <v>996</v>
      </c>
    </row>
    <row r="3668" spans="1:12" x14ac:dyDescent="0.3">
      <c r="H3668" s="74">
        <v>20</v>
      </c>
      <c r="K3668" s="55" t="s">
        <v>34</v>
      </c>
      <c r="L3668" s="60" t="s">
        <v>149</v>
      </c>
    </row>
    <row r="3669" spans="1:12" x14ac:dyDescent="0.3">
      <c r="A3669" s="72" t="s">
        <v>1283</v>
      </c>
      <c r="B3669" s="55" t="s">
        <v>12</v>
      </c>
      <c r="C3669" s="67" t="s">
        <v>47</v>
      </c>
      <c r="D3669" s="55" t="s">
        <v>50</v>
      </c>
      <c r="E3669" s="19">
        <v>212.14</v>
      </c>
      <c r="F3669" s="19">
        <v>8</v>
      </c>
      <c r="G3669" s="55" t="s">
        <v>11</v>
      </c>
      <c r="H3669" s="74">
        <v>10</v>
      </c>
      <c r="K3669" s="55" t="s">
        <v>25</v>
      </c>
    </row>
    <row r="3670" spans="1:12" x14ac:dyDescent="0.3">
      <c r="H3670" s="74">
        <v>10</v>
      </c>
      <c r="K3670" s="55" t="s">
        <v>84</v>
      </c>
    </row>
    <row r="3671" spans="1:12" x14ac:dyDescent="0.3">
      <c r="H3671" s="74">
        <v>80</v>
      </c>
      <c r="K3671" s="55" t="s">
        <v>96</v>
      </c>
    </row>
    <row r="3672" spans="1:12" x14ac:dyDescent="0.3">
      <c r="H3672" s="74">
        <v>45</v>
      </c>
      <c r="K3672" s="55" t="s">
        <v>55</v>
      </c>
      <c r="L3672" s="60" t="s">
        <v>1290</v>
      </c>
    </row>
    <row r="3673" spans="1:12" x14ac:dyDescent="0.3">
      <c r="H3673" s="74">
        <v>100</v>
      </c>
      <c r="K3673" s="55" t="s">
        <v>32</v>
      </c>
      <c r="L3673" s="60" t="s">
        <v>1291</v>
      </c>
    </row>
    <row r="3674" spans="1:12" x14ac:dyDescent="0.3">
      <c r="H3674" s="74">
        <v>20</v>
      </c>
      <c r="K3674" s="55" t="s">
        <v>34</v>
      </c>
      <c r="L3674" s="60" t="s">
        <v>149</v>
      </c>
    </row>
    <row r="3675" spans="1:12" x14ac:dyDescent="0.3">
      <c r="H3675" s="74">
        <v>30</v>
      </c>
      <c r="K3675" s="55" t="s">
        <v>34</v>
      </c>
      <c r="L3675" s="60" t="s">
        <v>343</v>
      </c>
    </row>
    <row r="3676" spans="1:12" x14ac:dyDescent="0.3">
      <c r="H3676" s="74">
        <v>20</v>
      </c>
      <c r="K3676" s="55" t="s">
        <v>102</v>
      </c>
    </row>
    <row r="3677" spans="1:12" x14ac:dyDescent="0.3">
      <c r="H3677" s="74">
        <v>50</v>
      </c>
      <c r="K3677" s="55" t="s">
        <v>55</v>
      </c>
      <c r="L3677" s="60" t="s">
        <v>1292</v>
      </c>
    </row>
    <row r="3678" spans="1:12" x14ac:dyDescent="0.3">
      <c r="A3678" s="72" t="s">
        <v>1293</v>
      </c>
      <c r="B3678" s="55" t="s">
        <v>0</v>
      </c>
      <c r="C3678" s="67" t="s">
        <v>49</v>
      </c>
      <c r="D3678" s="55" t="s">
        <v>51</v>
      </c>
      <c r="E3678" s="19">
        <v>280.61</v>
      </c>
      <c r="F3678" s="19">
        <v>11</v>
      </c>
      <c r="G3678" s="55" t="s">
        <v>11</v>
      </c>
      <c r="H3678" s="74">
        <v>10</v>
      </c>
      <c r="K3678" s="55" t="s">
        <v>25</v>
      </c>
    </row>
    <row r="3679" spans="1:12" x14ac:dyDescent="0.3">
      <c r="H3679" s="74">
        <v>10</v>
      </c>
      <c r="K3679" s="55" t="s">
        <v>84</v>
      </c>
    </row>
    <row r="3680" spans="1:12" x14ac:dyDescent="0.3">
      <c r="H3680" s="74">
        <v>40</v>
      </c>
      <c r="K3680" s="55" t="s">
        <v>32</v>
      </c>
      <c r="L3680" s="60" t="s">
        <v>1280</v>
      </c>
    </row>
    <row r="3681" spans="1:12" x14ac:dyDescent="0.3">
      <c r="H3681" s="74">
        <v>110</v>
      </c>
      <c r="K3681" s="55" t="s">
        <v>96</v>
      </c>
    </row>
    <row r="3682" spans="1:12" x14ac:dyDescent="0.3">
      <c r="H3682" s="74">
        <v>20</v>
      </c>
      <c r="K3682" s="55" t="s">
        <v>55</v>
      </c>
      <c r="L3682" s="60" t="s">
        <v>13</v>
      </c>
    </row>
    <row r="3683" spans="1:12" x14ac:dyDescent="0.3">
      <c r="H3683" s="74">
        <v>30</v>
      </c>
      <c r="K3683" s="55" t="s">
        <v>32</v>
      </c>
      <c r="L3683" s="60" t="s">
        <v>1292</v>
      </c>
    </row>
    <row r="3684" spans="1:12" x14ac:dyDescent="0.3">
      <c r="H3684" s="74">
        <v>40</v>
      </c>
      <c r="K3684" s="55" t="s">
        <v>34</v>
      </c>
      <c r="L3684" s="60" t="s">
        <v>149</v>
      </c>
    </row>
    <row r="3685" spans="1:12" x14ac:dyDescent="0.3">
      <c r="H3685" s="74">
        <v>40</v>
      </c>
      <c r="K3685" s="55" t="s">
        <v>34</v>
      </c>
      <c r="L3685" s="60" t="s">
        <v>343</v>
      </c>
    </row>
    <row r="3686" spans="1:12" x14ac:dyDescent="0.3">
      <c r="H3686" s="74">
        <v>60</v>
      </c>
      <c r="K3686" s="55" t="s">
        <v>30</v>
      </c>
      <c r="L3686" s="60" t="s">
        <v>1294</v>
      </c>
    </row>
    <row r="3688" spans="1:12" x14ac:dyDescent="0.3">
      <c r="A3688" s="72" t="s">
        <v>1293</v>
      </c>
      <c r="B3688" s="55" t="s">
        <v>10</v>
      </c>
      <c r="C3688" s="67" t="s">
        <v>48</v>
      </c>
      <c r="D3688" s="55" t="s">
        <v>52</v>
      </c>
      <c r="E3688" s="19">
        <v>138.6</v>
      </c>
      <c r="F3688" s="19">
        <v>5</v>
      </c>
      <c r="G3688" s="55" t="s">
        <v>11</v>
      </c>
      <c r="H3688" s="74">
        <v>10</v>
      </c>
      <c r="K3688" s="55" t="s">
        <v>25</v>
      </c>
    </row>
    <row r="3689" spans="1:12" x14ac:dyDescent="0.3">
      <c r="H3689" s="74">
        <v>10</v>
      </c>
      <c r="K3689" s="55" t="s">
        <v>84</v>
      </c>
    </row>
    <row r="3690" spans="1:12" x14ac:dyDescent="0.3">
      <c r="H3690" s="74">
        <v>90</v>
      </c>
      <c r="K3690" s="55" t="s">
        <v>32</v>
      </c>
      <c r="L3690" s="60" t="s">
        <v>1295</v>
      </c>
    </row>
    <row r="3691" spans="1:12" x14ac:dyDescent="0.3">
      <c r="H3691" s="74">
        <v>60</v>
      </c>
      <c r="K3691" s="55" t="s">
        <v>96</v>
      </c>
    </row>
    <row r="3692" spans="1:12" x14ac:dyDescent="0.3">
      <c r="H3692" s="74">
        <v>20</v>
      </c>
      <c r="K3692" s="55" t="s">
        <v>34</v>
      </c>
      <c r="L3692" s="60" t="s">
        <v>149</v>
      </c>
    </row>
    <row r="3693" spans="1:12" x14ac:dyDescent="0.3">
      <c r="H3693" s="74">
        <v>20</v>
      </c>
      <c r="K3693" s="55" t="s">
        <v>34</v>
      </c>
      <c r="L3693" s="60" t="s">
        <v>343</v>
      </c>
    </row>
    <row r="3694" spans="1:12" x14ac:dyDescent="0.3">
      <c r="H3694" s="74">
        <v>50</v>
      </c>
      <c r="K3694" s="55" t="s">
        <v>32</v>
      </c>
      <c r="L3694" s="60" t="s">
        <v>373</v>
      </c>
    </row>
    <row r="3695" spans="1:12" x14ac:dyDescent="0.3">
      <c r="H3695" s="74">
        <v>40</v>
      </c>
      <c r="K3695" s="55" t="s">
        <v>55</v>
      </c>
      <c r="L3695" s="60" t="s">
        <v>377</v>
      </c>
    </row>
    <row r="3696" spans="1:12" x14ac:dyDescent="0.3">
      <c r="H3696" s="74">
        <v>60</v>
      </c>
      <c r="K3696" s="55" t="s">
        <v>33</v>
      </c>
      <c r="L3696" s="60" t="s">
        <v>1296</v>
      </c>
    </row>
    <row r="3697" spans="1:12" x14ac:dyDescent="0.3">
      <c r="H3697" s="74">
        <v>25</v>
      </c>
      <c r="K3697" s="55" t="s">
        <v>33</v>
      </c>
      <c r="L3697" s="60" t="s">
        <v>1297</v>
      </c>
    </row>
    <row r="3698" spans="1:12" x14ac:dyDescent="0.3">
      <c r="H3698" s="74">
        <v>20</v>
      </c>
      <c r="K3698" s="55" t="s">
        <v>30</v>
      </c>
      <c r="L3698" s="60" t="s">
        <v>355</v>
      </c>
    </row>
    <row r="3699" spans="1:12" x14ac:dyDescent="0.3">
      <c r="A3699" s="72" t="s">
        <v>1293</v>
      </c>
      <c r="B3699" s="55" t="s">
        <v>12</v>
      </c>
      <c r="C3699" s="67" t="s">
        <v>47</v>
      </c>
      <c r="D3699" s="55" t="s">
        <v>50</v>
      </c>
      <c r="E3699" s="19">
        <v>202.72</v>
      </c>
      <c r="F3699" s="19">
        <v>10</v>
      </c>
      <c r="G3699" s="55" t="s">
        <v>11</v>
      </c>
      <c r="H3699" s="74">
        <v>10</v>
      </c>
      <c r="K3699" s="55" t="s">
        <v>25</v>
      </c>
    </row>
    <row r="3700" spans="1:12" x14ac:dyDescent="0.3">
      <c r="H3700" s="74">
        <v>10</v>
      </c>
      <c r="K3700" s="55" t="s">
        <v>84</v>
      </c>
    </row>
    <row r="3701" spans="1:12" x14ac:dyDescent="0.3">
      <c r="H3701" s="74">
        <v>60</v>
      </c>
      <c r="K3701" s="55" t="s">
        <v>32</v>
      </c>
      <c r="L3701" s="60" t="s">
        <v>1299</v>
      </c>
    </row>
    <row r="3702" spans="1:12" x14ac:dyDescent="0.3">
      <c r="H3702" s="74">
        <v>30</v>
      </c>
      <c r="K3702" s="55" t="s">
        <v>32</v>
      </c>
      <c r="L3702" s="60" t="s">
        <v>236</v>
      </c>
    </row>
    <row r="3703" spans="1:12" x14ac:dyDescent="0.3">
      <c r="H3703" s="74">
        <v>100</v>
      </c>
      <c r="K3703" s="55" t="s">
        <v>96</v>
      </c>
    </row>
    <row r="3704" spans="1:12" x14ac:dyDescent="0.3">
      <c r="H3704" s="74">
        <v>30</v>
      </c>
      <c r="K3704" s="55" t="s">
        <v>34</v>
      </c>
      <c r="L3704" s="60" t="s">
        <v>149</v>
      </c>
    </row>
    <row r="3705" spans="1:12" x14ac:dyDescent="0.3">
      <c r="H3705" s="74">
        <v>20</v>
      </c>
      <c r="K3705" s="55" t="s">
        <v>102</v>
      </c>
    </row>
    <row r="3706" spans="1:12" x14ac:dyDescent="0.3">
      <c r="H3706" s="74">
        <v>30</v>
      </c>
      <c r="K3706" s="55" t="s">
        <v>30</v>
      </c>
      <c r="L3706" s="60" t="s">
        <v>355</v>
      </c>
    </row>
    <row r="3707" spans="1:12" x14ac:dyDescent="0.3">
      <c r="H3707" s="74">
        <v>10</v>
      </c>
      <c r="K3707" s="55" t="s">
        <v>55</v>
      </c>
      <c r="L3707" s="60" t="s">
        <v>13</v>
      </c>
    </row>
    <row r="3708" spans="1:12" x14ac:dyDescent="0.3">
      <c r="H3708" s="74">
        <v>50</v>
      </c>
      <c r="K3708" s="55" t="s">
        <v>34</v>
      </c>
      <c r="L3708" s="60" t="s">
        <v>1298</v>
      </c>
    </row>
    <row r="3710" spans="1:12" x14ac:dyDescent="0.3">
      <c r="A3710" s="72" t="s">
        <v>1300</v>
      </c>
      <c r="B3710" s="55" t="s">
        <v>0</v>
      </c>
      <c r="C3710" s="67" t="s">
        <v>48</v>
      </c>
      <c r="D3710" s="55" t="s">
        <v>52</v>
      </c>
      <c r="E3710" s="19">
        <v>211.34</v>
      </c>
      <c r="F3710" s="19">
        <v>7</v>
      </c>
      <c r="G3710" s="55" t="s">
        <v>11</v>
      </c>
      <c r="H3710" s="74">
        <v>10</v>
      </c>
      <c r="K3710" s="55" t="s">
        <v>25</v>
      </c>
    </row>
    <row r="3711" spans="1:12" x14ac:dyDescent="0.3">
      <c r="H3711" s="74">
        <v>10</v>
      </c>
      <c r="K3711" s="55" t="s">
        <v>84</v>
      </c>
    </row>
    <row r="3712" spans="1:12" x14ac:dyDescent="0.3">
      <c r="H3712" s="74">
        <v>60</v>
      </c>
      <c r="K3712" s="55" t="s">
        <v>32</v>
      </c>
      <c r="L3712" s="60" t="s">
        <v>1299</v>
      </c>
    </row>
    <row r="3713" spans="1:12" x14ac:dyDescent="0.3">
      <c r="H3713" s="74">
        <v>80</v>
      </c>
      <c r="K3713" s="55" t="s">
        <v>96</v>
      </c>
    </row>
    <row r="3714" spans="1:12" x14ac:dyDescent="0.3">
      <c r="H3714" s="74">
        <v>20</v>
      </c>
      <c r="K3714" s="55" t="s">
        <v>34</v>
      </c>
      <c r="L3714" s="60" t="s">
        <v>149</v>
      </c>
    </row>
    <row r="3715" spans="1:12" x14ac:dyDescent="0.3">
      <c r="H3715" s="74">
        <v>20</v>
      </c>
      <c r="K3715" s="55" t="s">
        <v>102</v>
      </c>
    </row>
    <row r="3716" spans="1:12" x14ac:dyDescent="0.3">
      <c r="H3716" s="74">
        <v>30</v>
      </c>
      <c r="K3716" s="55" t="s">
        <v>30</v>
      </c>
      <c r="L3716" s="60" t="s">
        <v>1303</v>
      </c>
    </row>
    <row r="3717" spans="1:12" x14ac:dyDescent="0.3">
      <c r="H3717" s="74">
        <v>10</v>
      </c>
      <c r="K3717" s="55" t="s">
        <v>55</v>
      </c>
      <c r="L3717" s="60" t="s">
        <v>13</v>
      </c>
    </row>
    <row r="3718" spans="1:12" x14ac:dyDescent="0.3">
      <c r="H3718" s="74">
        <v>40</v>
      </c>
      <c r="K3718" s="55" t="s">
        <v>34</v>
      </c>
      <c r="L3718" s="60" t="s">
        <v>343</v>
      </c>
    </row>
    <row r="3719" spans="1:12" x14ac:dyDescent="0.3">
      <c r="H3719" s="74">
        <v>40</v>
      </c>
      <c r="K3719" s="55" t="s">
        <v>55</v>
      </c>
      <c r="L3719" s="60" t="s">
        <v>1304</v>
      </c>
    </row>
    <row r="3720" spans="1:12" x14ac:dyDescent="0.3">
      <c r="H3720" s="74">
        <v>30</v>
      </c>
      <c r="K3720" s="55" t="s">
        <v>33</v>
      </c>
      <c r="L3720" s="60" t="s">
        <v>1301</v>
      </c>
    </row>
    <row r="3721" spans="1:12" x14ac:dyDescent="0.3">
      <c r="H3721" s="74">
        <v>20</v>
      </c>
      <c r="K3721" s="55" t="s">
        <v>55</v>
      </c>
      <c r="L3721" s="60" t="s">
        <v>1302</v>
      </c>
    </row>
    <row r="3723" spans="1:12" x14ac:dyDescent="0.3">
      <c r="A3723" s="72" t="s">
        <v>1300</v>
      </c>
      <c r="B3723" s="55" t="s">
        <v>10</v>
      </c>
      <c r="C3723" s="67" t="s">
        <v>46</v>
      </c>
      <c r="D3723" s="55" t="s">
        <v>50</v>
      </c>
      <c r="E3723" s="19">
        <v>375.51</v>
      </c>
      <c r="F3723" s="19">
        <v>11</v>
      </c>
      <c r="G3723" s="55" t="s">
        <v>11</v>
      </c>
      <c r="H3723" s="74">
        <v>10</v>
      </c>
      <c r="K3723" s="55" t="s">
        <v>25</v>
      </c>
    </row>
    <row r="3724" spans="1:12" x14ac:dyDescent="0.3">
      <c r="H3724" s="74">
        <v>10</v>
      </c>
      <c r="K3724" s="55" t="s">
        <v>84</v>
      </c>
    </row>
    <row r="3725" spans="1:12" x14ac:dyDescent="0.3">
      <c r="H3725" s="74">
        <v>60</v>
      </c>
      <c r="K3725" s="55" t="s">
        <v>32</v>
      </c>
      <c r="L3725" s="60" t="s">
        <v>1299</v>
      </c>
    </row>
    <row r="3726" spans="1:12" x14ac:dyDescent="0.3">
      <c r="H3726" s="74">
        <v>110</v>
      </c>
      <c r="K3726" s="55" t="s">
        <v>96</v>
      </c>
    </row>
    <row r="3727" spans="1:12" x14ac:dyDescent="0.3">
      <c r="H3727" s="74">
        <v>30</v>
      </c>
      <c r="K3727" s="55" t="s">
        <v>34</v>
      </c>
      <c r="L3727" s="60" t="s">
        <v>149</v>
      </c>
    </row>
    <row r="3728" spans="1:12" x14ac:dyDescent="0.3">
      <c r="H3728" s="74">
        <v>40</v>
      </c>
      <c r="K3728" s="55" t="s">
        <v>34</v>
      </c>
      <c r="L3728" s="60" t="s">
        <v>343</v>
      </c>
    </row>
    <row r="3729" spans="1:13" x14ac:dyDescent="0.3">
      <c r="H3729" s="74">
        <v>20</v>
      </c>
      <c r="K3729" s="55" t="s">
        <v>102</v>
      </c>
    </row>
    <row r="3730" spans="1:13" x14ac:dyDescent="0.3">
      <c r="H3730" s="74">
        <v>30</v>
      </c>
      <c r="K3730" s="55" t="s">
        <v>30</v>
      </c>
      <c r="L3730" s="60" t="s">
        <v>355</v>
      </c>
    </row>
    <row r="3731" spans="1:13" x14ac:dyDescent="0.3">
      <c r="H3731" s="74">
        <v>10</v>
      </c>
      <c r="K3731" s="55" t="s">
        <v>55</v>
      </c>
      <c r="L3731" s="60" t="s">
        <v>13</v>
      </c>
    </row>
    <row r="3732" spans="1:13" x14ac:dyDescent="0.3">
      <c r="G3732" s="55" t="s">
        <v>470</v>
      </c>
    </row>
    <row r="3733" spans="1:13" x14ac:dyDescent="0.3">
      <c r="A3733" s="72" t="s">
        <v>1300</v>
      </c>
      <c r="B3733" s="55" t="s">
        <v>12</v>
      </c>
      <c r="C3733" s="67" t="s">
        <v>188</v>
      </c>
      <c r="D3733" s="55" t="s">
        <v>51</v>
      </c>
      <c r="E3733" s="19">
        <v>301.79000000000002</v>
      </c>
      <c r="F3733" s="19">
        <v>8</v>
      </c>
      <c r="G3733" s="55" t="s">
        <v>11</v>
      </c>
      <c r="H3733" s="74">
        <v>10</v>
      </c>
      <c r="K3733" s="55" t="s">
        <v>25</v>
      </c>
    </row>
    <row r="3734" spans="1:13" x14ac:dyDescent="0.3">
      <c r="H3734" s="74">
        <v>10</v>
      </c>
      <c r="K3734" s="55" t="s">
        <v>84</v>
      </c>
    </row>
    <row r="3735" spans="1:13" x14ac:dyDescent="0.3">
      <c r="H3735" s="74">
        <v>80</v>
      </c>
      <c r="K3735" s="55" t="s">
        <v>96</v>
      </c>
    </row>
    <row r="3736" spans="1:13" x14ac:dyDescent="0.3">
      <c r="H3736" s="74">
        <v>35</v>
      </c>
      <c r="K3736" s="55" t="s">
        <v>32</v>
      </c>
      <c r="L3736" s="60" t="s">
        <v>309</v>
      </c>
    </row>
    <row r="3737" spans="1:13" x14ac:dyDescent="0.3">
      <c r="H3737" s="74">
        <v>15</v>
      </c>
      <c r="K3737" s="55" t="s">
        <v>33</v>
      </c>
      <c r="L3737" s="60" t="s">
        <v>1309</v>
      </c>
    </row>
    <row r="3738" spans="1:13" x14ac:dyDescent="0.3">
      <c r="H3738" s="74">
        <v>20</v>
      </c>
      <c r="K3738" s="55" t="s">
        <v>102</v>
      </c>
    </row>
    <row r="3739" spans="1:13" x14ac:dyDescent="0.3">
      <c r="H3739" s="74">
        <v>30</v>
      </c>
      <c r="K3739" s="55" t="s">
        <v>34</v>
      </c>
      <c r="L3739" s="60" t="s">
        <v>253</v>
      </c>
    </row>
    <row r="3740" spans="1:13" x14ac:dyDescent="0.3">
      <c r="H3740" s="74">
        <v>40</v>
      </c>
      <c r="K3740" s="55" t="s">
        <v>30</v>
      </c>
      <c r="L3740" s="60" t="s">
        <v>348</v>
      </c>
    </row>
    <row r="3741" spans="1:13" x14ac:dyDescent="0.3">
      <c r="H3741" s="74">
        <v>35</v>
      </c>
      <c r="K3741" s="55" t="s">
        <v>55</v>
      </c>
      <c r="L3741" s="60" t="s">
        <v>1307</v>
      </c>
      <c r="M3741" s="1" t="s">
        <v>1305</v>
      </c>
    </row>
    <row r="3742" spans="1:13" x14ac:dyDescent="0.3">
      <c r="H3742" s="74">
        <v>40</v>
      </c>
      <c r="K3742" s="55" t="s">
        <v>34</v>
      </c>
      <c r="L3742" s="60" t="s">
        <v>1306</v>
      </c>
    </row>
    <row r="3743" spans="1:13" x14ac:dyDescent="0.3">
      <c r="H3743" s="74">
        <v>25</v>
      </c>
      <c r="K3743" s="55" t="s">
        <v>55</v>
      </c>
      <c r="L3743" s="60" t="s">
        <v>1308</v>
      </c>
    </row>
    <row r="3745" spans="1:12" x14ac:dyDescent="0.3">
      <c r="A3745" s="72" t="s">
        <v>1310</v>
      </c>
      <c r="B3745" s="55" t="s">
        <v>0</v>
      </c>
      <c r="C3745" s="67" t="s">
        <v>48</v>
      </c>
      <c r="D3745" s="55" t="s">
        <v>52</v>
      </c>
      <c r="E3745" s="19">
        <v>226.33</v>
      </c>
      <c r="F3745" s="19">
        <v>6</v>
      </c>
      <c r="G3745" s="55" t="s">
        <v>11</v>
      </c>
      <c r="H3745" s="74">
        <v>10</v>
      </c>
      <c r="K3745" s="55" t="s">
        <v>25</v>
      </c>
    </row>
    <row r="3746" spans="1:12" x14ac:dyDescent="0.3">
      <c r="H3746" s="74">
        <v>10</v>
      </c>
      <c r="K3746" s="55" t="s">
        <v>84</v>
      </c>
    </row>
    <row r="3747" spans="1:12" x14ac:dyDescent="0.3">
      <c r="H3747" s="74">
        <v>60</v>
      </c>
      <c r="K3747" s="55" t="s">
        <v>32</v>
      </c>
      <c r="L3747" s="60" t="s">
        <v>1299</v>
      </c>
    </row>
    <row r="3748" spans="1:12" x14ac:dyDescent="0.3">
      <c r="H3748" s="74">
        <v>80</v>
      </c>
      <c r="K3748" s="55" t="s">
        <v>96</v>
      </c>
    </row>
    <row r="3749" spans="1:12" x14ac:dyDescent="0.3">
      <c r="H3749" s="74">
        <v>20</v>
      </c>
      <c r="K3749" s="55" t="s">
        <v>34</v>
      </c>
      <c r="L3749" s="60" t="s">
        <v>149</v>
      </c>
    </row>
    <row r="3750" spans="1:12" x14ac:dyDescent="0.3">
      <c r="H3750" s="74">
        <v>20</v>
      </c>
      <c r="K3750" s="55" t="s">
        <v>102</v>
      </c>
    </row>
    <row r="3751" spans="1:12" x14ac:dyDescent="0.3">
      <c r="H3751" s="74">
        <v>30</v>
      </c>
      <c r="K3751" s="55" t="s">
        <v>30</v>
      </c>
      <c r="L3751" s="60" t="s">
        <v>1303</v>
      </c>
    </row>
    <row r="3752" spans="1:12" x14ac:dyDescent="0.3">
      <c r="H3752" s="74">
        <v>10</v>
      </c>
      <c r="K3752" s="55" t="s">
        <v>55</v>
      </c>
      <c r="L3752" s="60" t="s">
        <v>13</v>
      </c>
    </row>
    <row r="3753" spans="1:12" x14ac:dyDescent="0.3">
      <c r="H3753" s="74">
        <v>40</v>
      </c>
      <c r="K3753" s="55" t="s">
        <v>34</v>
      </c>
      <c r="L3753" s="60" t="s">
        <v>343</v>
      </c>
    </row>
    <row r="3754" spans="1:12" x14ac:dyDescent="0.3">
      <c r="H3754" s="74">
        <v>40</v>
      </c>
      <c r="K3754" s="55" t="s">
        <v>32</v>
      </c>
      <c r="L3754" s="60" t="s">
        <v>711</v>
      </c>
    </row>
    <row r="3756" spans="1:12" x14ac:dyDescent="0.3">
      <c r="A3756" s="72" t="s">
        <v>1310</v>
      </c>
      <c r="B3756" s="55" t="s">
        <v>10</v>
      </c>
      <c r="C3756" s="67" t="s">
        <v>47</v>
      </c>
      <c r="D3756" s="55" t="s">
        <v>50</v>
      </c>
      <c r="E3756" s="19">
        <v>259.58</v>
      </c>
      <c r="F3756" s="19">
        <v>7</v>
      </c>
      <c r="G3756" s="55" t="s">
        <v>11</v>
      </c>
      <c r="H3756" s="74">
        <v>10</v>
      </c>
      <c r="K3756" s="55" t="s">
        <v>25</v>
      </c>
    </row>
    <row r="3757" spans="1:12" x14ac:dyDescent="0.3">
      <c r="H3757" s="74">
        <v>10</v>
      </c>
      <c r="K3757" s="55" t="s">
        <v>84</v>
      </c>
    </row>
    <row r="3758" spans="1:12" x14ac:dyDescent="0.3">
      <c r="H3758" s="74">
        <v>80</v>
      </c>
      <c r="K3758" s="55" t="s">
        <v>32</v>
      </c>
      <c r="L3758" s="60" t="s">
        <v>1311</v>
      </c>
    </row>
    <row r="3759" spans="1:12" x14ac:dyDescent="0.3">
      <c r="H3759" s="74">
        <v>70</v>
      </c>
      <c r="K3759" s="55" t="s">
        <v>96</v>
      </c>
    </row>
    <row r="3760" spans="1:12" x14ac:dyDescent="0.3">
      <c r="H3760" s="74">
        <v>30</v>
      </c>
      <c r="K3760" s="55" t="s">
        <v>34</v>
      </c>
      <c r="L3760" s="60" t="s">
        <v>149</v>
      </c>
    </row>
    <row r="3761" spans="1:13" x14ac:dyDescent="0.3">
      <c r="H3761" s="74">
        <v>50</v>
      </c>
      <c r="K3761" s="55" t="s">
        <v>32</v>
      </c>
      <c r="L3761" s="60" t="s">
        <v>1312</v>
      </c>
      <c r="M3761" s="1" t="s">
        <v>1313</v>
      </c>
    </row>
    <row r="3762" spans="1:13" x14ac:dyDescent="0.3">
      <c r="H3762" s="74">
        <v>40</v>
      </c>
      <c r="K3762" s="55" t="s">
        <v>34</v>
      </c>
      <c r="L3762" s="60" t="s">
        <v>343</v>
      </c>
    </row>
    <row r="3763" spans="1:13" x14ac:dyDescent="0.3">
      <c r="H3763" s="74">
        <v>20</v>
      </c>
      <c r="K3763" s="55" t="s">
        <v>102</v>
      </c>
    </row>
    <row r="3764" spans="1:13" x14ac:dyDescent="0.3">
      <c r="H3764" s="74">
        <v>30</v>
      </c>
      <c r="K3764" s="55" t="s">
        <v>30</v>
      </c>
      <c r="L3764" s="60" t="s">
        <v>355</v>
      </c>
    </row>
    <row r="3765" spans="1:13" x14ac:dyDescent="0.3">
      <c r="H3765" s="74">
        <v>10</v>
      </c>
      <c r="K3765" s="55" t="s">
        <v>55</v>
      </c>
      <c r="L3765" s="60" t="s">
        <v>13</v>
      </c>
    </row>
    <row r="3767" spans="1:13" x14ac:dyDescent="0.3">
      <c r="A3767" s="72" t="s">
        <v>1310</v>
      </c>
      <c r="B3767" s="55" t="s">
        <v>12</v>
      </c>
      <c r="C3767" s="67" t="s">
        <v>188</v>
      </c>
      <c r="D3767" s="55" t="s">
        <v>51</v>
      </c>
      <c r="E3767" s="19">
        <v>226.94</v>
      </c>
      <c r="F3767" s="19">
        <v>7</v>
      </c>
      <c r="G3767" s="55" t="s">
        <v>11</v>
      </c>
      <c r="H3767" s="74">
        <v>10</v>
      </c>
      <c r="K3767" s="55" t="s">
        <v>25</v>
      </c>
    </row>
    <row r="3768" spans="1:13" x14ac:dyDescent="0.3">
      <c r="H3768" s="74">
        <v>10</v>
      </c>
      <c r="K3768" s="55" t="s">
        <v>84</v>
      </c>
    </row>
    <row r="3769" spans="1:13" x14ac:dyDescent="0.3">
      <c r="H3769" s="74">
        <v>50</v>
      </c>
      <c r="K3769" s="55" t="s">
        <v>32</v>
      </c>
      <c r="L3769" s="60" t="s">
        <v>1314</v>
      </c>
    </row>
    <row r="3770" spans="1:13" x14ac:dyDescent="0.3">
      <c r="H3770" s="74">
        <v>70</v>
      </c>
      <c r="K3770" s="55" t="s">
        <v>96</v>
      </c>
    </row>
    <row r="3771" spans="1:13" x14ac:dyDescent="0.3">
      <c r="H3771" s="74">
        <v>30</v>
      </c>
      <c r="K3771" s="55" t="s">
        <v>34</v>
      </c>
      <c r="L3771" s="60" t="s">
        <v>149</v>
      </c>
    </row>
    <row r="3772" spans="1:13" x14ac:dyDescent="0.3">
      <c r="H3772" s="74">
        <v>50</v>
      </c>
      <c r="K3772" s="55" t="s">
        <v>34</v>
      </c>
      <c r="L3772" s="60" t="s">
        <v>1315</v>
      </c>
    </row>
    <row r="3773" spans="1:13" x14ac:dyDescent="0.3">
      <c r="H3773" s="74">
        <v>20</v>
      </c>
      <c r="K3773" s="55" t="s">
        <v>102</v>
      </c>
    </row>
    <row r="3774" spans="1:13" x14ac:dyDescent="0.3">
      <c r="H3774" s="74">
        <v>30</v>
      </c>
      <c r="K3774" s="55" t="s">
        <v>30</v>
      </c>
    </row>
    <row r="3775" spans="1:13" x14ac:dyDescent="0.3">
      <c r="H3775" s="74">
        <v>15</v>
      </c>
      <c r="K3775" s="55" t="s">
        <v>33</v>
      </c>
      <c r="L3775" s="60" t="s">
        <v>757</v>
      </c>
    </row>
    <row r="3776" spans="1:13" x14ac:dyDescent="0.3">
      <c r="H3776" s="74">
        <v>20</v>
      </c>
      <c r="K3776" s="55" t="s">
        <v>55</v>
      </c>
      <c r="L3776" s="60" t="s">
        <v>124</v>
      </c>
    </row>
    <row r="3777" spans="1:12" x14ac:dyDescent="0.3">
      <c r="H3777" s="74">
        <v>10</v>
      </c>
      <c r="K3777" s="55" t="s">
        <v>33</v>
      </c>
      <c r="L3777" s="60" t="s">
        <v>1316</v>
      </c>
    </row>
    <row r="3778" spans="1:12" x14ac:dyDescent="0.3">
      <c r="H3778" s="74">
        <v>70</v>
      </c>
      <c r="K3778" s="55" t="s">
        <v>55</v>
      </c>
      <c r="L3778" s="60" t="s">
        <v>124</v>
      </c>
    </row>
    <row r="3780" spans="1:12" x14ac:dyDescent="0.3">
      <c r="A3780" s="72" t="s">
        <v>1317</v>
      </c>
      <c r="B3780" s="55" t="s">
        <v>0</v>
      </c>
      <c r="C3780" s="67" t="s">
        <v>47</v>
      </c>
      <c r="D3780" s="55" t="s">
        <v>52</v>
      </c>
      <c r="E3780" s="19">
        <v>222.55</v>
      </c>
      <c r="F3780" s="19">
        <v>7</v>
      </c>
      <c r="G3780" s="55" t="s">
        <v>11</v>
      </c>
      <c r="H3780" s="74">
        <v>10</v>
      </c>
      <c r="K3780" s="55" t="s">
        <v>25</v>
      </c>
    </row>
    <row r="3781" spans="1:12" x14ac:dyDescent="0.3">
      <c r="H3781" s="74">
        <v>10</v>
      </c>
      <c r="K3781" s="55" t="s">
        <v>84</v>
      </c>
    </row>
    <row r="3782" spans="1:12" x14ac:dyDescent="0.3">
      <c r="H3782" s="74">
        <v>30</v>
      </c>
      <c r="K3782" s="55" t="s">
        <v>32</v>
      </c>
      <c r="L3782" s="60" t="s">
        <v>1318</v>
      </c>
    </row>
    <row r="3783" spans="1:12" x14ac:dyDescent="0.3">
      <c r="H3783" s="74">
        <v>80</v>
      </c>
      <c r="K3783" s="55" t="s">
        <v>96</v>
      </c>
    </row>
    <row r="3784" spans="1:12" x14ac:dyDescent="0.3">
      <c r="H3784" s="74">
        <v>20</v>
      </c>
      <c r="K3784" s="55" t="s">
        <v>34</v>
      </c>
      <c r="L3784" s="60" t="s">
        <v>149</v>
      </c>
    </row>
    <row r="3785" spans="1:12" x14ac:dyDescent="0.3">
      <c r="H3785" s="74">
        <v>20</v>
      </c>
      <c r="K3785" s="55" t="s">
        <v>102</v>
      </c>
    </row>
    <row r="3786" spans="1:12" x14ac:dyDescent="0.3">
      <c r="H3786" s="74">
        <v>30</v>
      </c>
      <c r="K3786" s="55" t="s">
        <v>30</v>
      </c>
      <c r="L3786" s="60" t="s">
        <v>1303</v>
      </c>
    </row>
    <row r="3787" spans="1:12" x14ac:dyDescent="0.3">
      <c r="H3787" s="74">
        <v>10</v>
      </c>
      <c r="K3787" s="55" t="s">
        <v>55</v>
      </c>
      <c r="L3787" s="60" t="s">
        <v>13</v>
      </c>
    </row>
    <row r="3788" spans="1:12" x14ac:dyDescent="0.3">
      <c r="H3788" s="74">
        <v>40</v>
      </c>
      <c r="K3788" s="55" t="s">
        <v>34</v>
      </c>
      <c r="L3788" s="60" t="s">
        <v>343</v>
      </c>
    </row>
    <row r="3789" spans="1:12" x14ac:dyDescent="0.3">
      <c r="H3789" s="74">
        <v>40</v>
      </c>
      <c r="K3789" s="55" t="s">
        <v>32</v>
      </c>
      <c r="L3789" s="60" t="s">
        <v>444</v>
      </c>
    </row>
    <row r="3790" spans="1:12" x14ac:dyDescent="0.3">
      <c r="H3790" s="74">
        <v>40</v>
      </c>
      <c r="K3790" s="55" t="s">
        <v>32</v>
      </c>
      <c r="L3790" s="60" t="s">
        <v>608</v>
      </c>
    </row>
    <row r="3791" spans="1:12" x14ac:dyDescent="0.3">
      <c r="H3791" s="74">
        <v>40</v>
      </c>
      <c r="K3791" s="55" t="s">
        <v>33</v>
      </c>
      <c r="L3791" s="60" t="s">
        <v>1319</v>
      </c>
    </row>
    <row r="3792" spans="1:12" x14ac:dyDescent="0.3">
      <c r="H3792" s="74">
        <v>20</v>
      </c>
      <c r="K3792" s="55" t="s">
        <v>33</v>
      </c>
      <c r="L3792" s="60" t="s">
        <v>1320</v>
      </c>
    </row>
    <row r="3794" spans="1:12" x14ac:dyDescent="0.3">
      <c r="A3794" s="72" t="s">
        <v>1317</v>
      </c>
      <c r="B3794" s="55" t="s">
        <v>10</v>
      </c>
      <c r="C3794" s="67" t="s">
        <v>46</v>
      </c>
      <c r="D3794" s="55" t="s">
        <v>50</v>
      </c>
      <c r="E3794" s="19">
        <v>208.99</v>
      </c>
      <c r="F3794" s="19">
        <v>7</v>
      </c>
      <c r="G3794" s="55" t="s">
        <v>11</v>
      </c>
      <c r="H3794" s="74">
        <v>10</v>
      </c>
      <c r="K3794" s="55" t="s">
        <v>25</v>
      </c>
    </row>
    <row r="3795" spans="1:12" x14ac:dyDescent="0.3">
      <c r="H3795" s="74">
        <v>10</v>
      </c>
      <c r="K3795" s="55" t="s">
        <v>84</v>
      </c>
    </row>
    <row r="3796" spans="1:12" x14ac:dyDescent="0.3">
      <c r="H3796" s="74">
        <v>100</v>
      </c>
      <c r="K3796" s="55" t="s">
        <v>32</v>
      </c>
      <c r="L3796" s="60" t="s">
        <v>1321</v>
      </c>
    </row>
    <row r="3797" spans="1:12" x14ac:dyDescent="0.3">
      <c r="H3797" s="74">
        <v>70</v>
      </c>
      <c r="K3797" s="55" t="s">
        <v>96</v>
      </c>
    </row>
    <row r="3798" spans="1:12" x14ac:dyDescent="0.3">
      <c r="H3798" s="74">
        <v>30</v>
      </c>
      <c r="K3798" s="55" t="s">
        <v>34</v>
      </c>
      <c r="L3798" s="60" t="s">
        <v>149</v>
      </c>
    </row>
    <row r="3799" spans="1:12" x14ac:dyDescent="0.3">
      <c r="H3799" s="74">
        <v>20</v>
      </c>
      <c r="K3799" s="55" t="s">
        <v>32</v>
      </c>
      <c r="L3799" s="60" t="s">
        <v>236</v>
      </c>
    </row>
    <row r="3800" spans="1:12" x14ac:dyDescent="0.3">
      <c r="H3800" s="74">
        <v>40</v>
      </c>
      <c r="K3800" s="55" t="s">
        <v>34</v>
      </c>
      <c r="L3800" s="60" t="s">
        <v>343</v>
      </c>
    </row>
    <row r="3801" spans="1:12" x14ac:dyDescent="0.3">
      <c r="H3801" s="74">
        <v>20</v>
      </c>
      <c r="K3801" s="55" t="s">
        <v>102</v>
      </c>
    </row>
    <row r="3802" spans="1:12" x14ac:dyDescent="0.3">
      <c r="H3802" s="74">
        <v>30</v>
      </c>
      <c r="K3802" s="55" t="s">
        <v>30</v>
      </c>
      <c r="L3802" s="60" t="s">
        <v>355</v>
      </c>
    </row>
    <row r="3803" spans="1:12" x14ac:dyDescent="0.3">
      <c r="H3803" s="74">
        <v>10</v>
      </c>
      <c r="K3803" s="55" t="s">
        <v>55</v>
      </c>
      <c r="L3803" s="60" t="s">
        <v>13</v>
      </c>
    </row>
    <row r="3805" spans="1:12" x14ac:dyDescent="0.3">
      <c r="A3805" s="72" t="s">
        <v>1317</v>
      </c>
      <c r="B3805" s="55" t="s">
        <v>12</v>
      </c>
      <c r="C3805" s="67" t="s">
        <v>188</v>
      </c>
      <c r="D3805" s="55" t="s">
        <v>51</v>
      </c>
      <c r="E3805" s="19">
        <v>192.53</v>
      </c>
      <c r="F3805" s="19">
        <v>7</v>
      </c>
      <c r="G3805" s="55" t="s">
        <v>11</v>
      </c>
      <c r="H3805" s="74">
        <v>10</v>
      </c>
      <c r="K3805" s="55" t="s">
        <v>25</v>
      </c>
    </row>
    <row r="3806" spans="1:12" x14ac:dyDescent="0.3">
      <c r="H3806" s="74">
        <v>10</v>
      </c>
      <c r="K3806" s="55" t="s">
        <v>84</v>
      </c>
    </row>
    <row r="3807" spans="1:12" x14ac:dyDescent="0.3">
      <c r="H3807" s="74">
        <v>40</v>
      </c>
      <c r="K3807" s="55" t="s">
        <v>32</v>
      </c>
      <c r="L3807" s="60" t="s">
        <v>460</v>
      </c>
    </row>
    <row r="3808" spans="1:12" x14ac:dyDescent="0.3">
      <c r="H3808" s="74">
        <v>70</v>
      </c>
      <c r="K3808" s="55" t="s">
        <v>96</v>
      </c>
    </row>
    <row r="3809" spans="1:12" x14ac:dyDescent="0.3">
      <c r="H3809" s="74">
        <v>30</v>
      </c>
      <c r="K3809" s="55" t="s">
        <v>34</v>
      </c>
      <c r="L3809" s="60" t="s">
        <v>149</v>
      </c>
    </row>
    <row r="3810" spans="1:12" x14ac:dyDescent="0.3">
      <c r="H3810" s="74">
        <v>50</v>
      </c>
      <c r="K3810" s="55" t="s">
        <v>34</v>
      </c>
      <c r="L3810" s="60" t="s">
        <v>323</v>
      </c>
    </row>
    <row r="3811" spans="1:12" x14ac:dyDescent="0.3">
      <c r="H3811" s="74">
        <v>20</v>
      </c>
      <c r="K3811" s="55" t="s">
        <v>102</v>
      </c>
    </row>
    <row r="3812" spans="1:12" x14ac:dyDescent="0.3">
      <c r="H3812" s="74">
        <v>40</v>
      </c>
      <c r="K3812" s="55" t="s">
        <v>32</v>
      </c>
      <c r="L3812" s="60" t="s">
        <v>1322</v>
      </c>
    </row>
    <row r="3813" spans="1:12" x14ac:dyDescent="0.3">
      <c r="H3813" s="74">
        <v>20</v>
      </c>
      <c r="K3813" s="55" t="s">
        <v>55</v>
      </c>
      <c r="L3813" s="60" t="s">
        <v>13</v>
      </c>
    </row>
    <row r="3814" spans="1:12" x14ac:dyDescent="0.3">
      <c r="H3814" s="74">
        <v>30</v>
      </c>
      <c r="K3814" s="55" t="s">
        <v>30</v>
      </c>
      <c r="L3814" s="60" t="s">
        <v>502</v>
      </c>
    </row>
    <row r="3815" spans="1:12" x14ac:dyDescent="0.3">
      <c r="H3815" s="74">
        <v>10</v>
      </c>
      <c r="K3815" s="55" t="s">
        <v>55</v>
      </c>
      <c r="L3815" s="60" t="s">
        <v>454</v>
      </c>
    </row>
    <row r="3817" spans="1:12" x14ac:dyDescent="0.3">
      <c r="A3817" s="72" t="s">
        <v>1323</v>
      </c>
      <c r="B3817" s="55" t="s">
        <v>0</v>
      </c>
      <c r="C3817" s="67" t="s">
        <v>47</v>
      </c>
      <c r="D3817" s="55" t="s">
        <v>52</v>
      </c>
      <c r="E3817" s="19">
        <v>316.85000000000002</v>
      </c>
      <c r="F3817" s="19">
        <v>9</v>
      </c>
      <c r="G3817" s="55" t="s">
        <v>11</v>
      </c>
      <c r="H3817" s="74">
        <v>10</v>
      </c>
      <c r="K3817" s="55" t="s">
        <v>25</v>
      </c>
    </row>
    <row r="3818" spans="1:12" x14ac:dyDescent="0.3">
      <c r="H3818" s="74">
        <v>10</v>
      </c>
      <c r="K3818" s="55" t="s">
        <v>84</v>
      </c>
    </row>
    <row r="3819" spans="1:12" x14ac:dyDescent="0.3">
      <c r="H3819" s="74">
        <v>60</v>
      </c>
      <c r="K3819" s="55" t="s">
        <v>32</v>
      </c>
      <c r="L3819" s="60" t="s">
        <v>1326</v>
      </c>
    </row>
    <row r="3820" spans="1:12" x14ac:dyDescent="0.3">
      <c r="H3820" s="74">
        <v>80</v>
      </c>
      <c r="K3820" s="55" t="s">
        <v>96</v>
      </c>
    </row>
    <row r="3821" spans="1:12" x14ac:dyDescent="0.3">
      <c r="H3821" s="74">
        <v>20</v>
      </c>
      <c r="K3821" s="55" t="s">
        <v>34</v>
      </c>
      <c r="L3821" s="60" t="s">
        <v>149</v>
      </c>
    </row>
    <row r="3822" spans="1:12" x14ac:dyDescent="0.3">
      <c r="H3822" s="74">
        <v>20</v>
      </c>
      <c r="K3822" s="55" t="s">
        <v>102</v>
      </c>
    </row>
    <row r="3823" spans="1:12" x14ac:dyDescent="0.3">
      <c r="H3823" s="74">
        <v>30</v>
      </c>
      <c r="K3823" s="55" t="s">
        <v>30</v>
      </c>
      <c r="L3823" s="60" t="s">
        <v>1303</v>
      </c>
    </row>
    <row r="3824" spans="1:12" x14ac:dyDescent="0.3">
      <c r="H3824" s="74">
        <v>10</v>
      </c>
      <c r="K3824" s="55" t="s">
        <v>55</v>
      </c>
      <c r="L3824" s="60" t="s">
        <v>13</v>
      </c>
    </row>
    <row r="3825" spans="1:12" x14ac:dyDescent="0.3">
      <c r="H3825" s="74">
        <v>40</v>
      </c>
      <c r="K3825" s="55" t="s">
        <v>34</v>
      </c>
      <c r="L3825" s="60" t="s">
        <v>343</v>
      </c>
    </row>
    <row r="3826" spans="1:12" x14ac:dyDescent="0.3">
      <c r="H3826" s="74">
        <v>20</v>
      </c>
      <c r="K3826" s="55" t="s">
        <v>32</v>
      </c>
      <c r="L3826" s="60" t="s">
        <v>307</v>
      </c>
    </row>
    <row r="3827" spans="1:12" x14ac:dyDescent="0.3">
      <c r="H3827" s="74">
        <v>20</v>
      </c>
      <c r="K3827" s="55" t="s">
        <v>32</v>
      </c>
      <c r="L3827" s="60" t="s">
        <v>396</v>
      </c>
    </row>
    <row r="3828" spans="1:12" x14ac:dyDescent="0.3">
      <c r="H3828" s="74">
        <v>20</v>
      </c>
      <c r="K3828" s="55" t="s">
        <v>33</v>
      </c>
      <c r="L3828" s="60" t="s">
        <v>1324</v>
      </c>
    </row>
    <row r="3829" spans="1:12" x14ac:dyDescent="0.3">
      <c r="H3829" s="74">
        <v>37</v>
      </c>
      <c r="K3829" s="55" t="s">
        <v>33</v>
      </c>
      <c r="L3829" s="60" t="s">
        <v>1325</v>
      </c>
    </row>
    <row r="3830" spans="1:12" x14ac:dyDescent="0.3">
      <c r="H3830" s="74">
        <v>30</v>
      </c>
      <c r="K3830" s="55" t="s">
        <v>55</v>
      </c>
      <c r="L3830" s="60" t="s">
        <v>1327</v>
      </c>
    </row>
    <row r="3831" spans="1:12" x14ac:dyDescent="0.3">
      <c r="A3831" s="72" t="s">
        <v>1323</v>
      </c>
      <c r="B3831" s="55" t="s">
        <v>10</v>
      </c>
      <c r="C3831" s="67" t="s">
        <v>46</v>
      </c>
      <c r="D3831" s="55" t="s">
        <v>50</v>
      </c>
      <c r="E3831" s="19">
        <v>279.85000000000002</v>
      </c>
      <c r="F3831" s="19">
        <v>9</v>
      </c>
      <c r="G3831" s="55" t="s">
        <v>11</v>
      </c>
      <c r="H3831" s="74">
        <v>10</v>
      </c>
      <c r="K3831" s="55" t="s">
        <v>25</v>
      </c>
    </row>
    <row r="3832" spans="1:12" x14ac:dyDescent="0.3">
      <c r="H3832" s="74">
        <v>10</v>
      </c>
      <c r="K3832" s="55" t="s">
        <v>84</v>
      </c>
    </row>
    <row r="3833" spans="1:12" x14ac:dyDescent="0.3">
      <c r="H3833" s="74">
        <v>60</v>
      </c>
      <c r="K3833" s="55" t="s">
        <v>32</v>
      </c>
      <c r="L3833" s="60" t="s">
        <v>1311</v>
      </c>
    </row>
    <row r="3834" spans="1:12" x14ac:dyDescent="0.3">
      <c r="H3834" s="74">
        <v>90</v>
      </c>
      <c r="K3834" s="55" t="s">
        <v>96</v>
      </c>
    </row>
    <row r="3835" spans="1:12" x14ac:dyDescent="0.3">
      <c r="H3835" s="74">
        <v>30</v>
      </c>
      <c r="K3835" s="55" t="s">
        <v>34</v>
      </c>
      <c r="L3835" s="60" t="s">
        <v>149</v>
      </c>
    </row>
    <row r="3836" spans="1:12" x14ac:dyDescent="0.3">
      <c r="H3836" s="74">
        <v>20</v>
      </c>
      <c r="K3836" s="55" t="s">
        <v>32</v>
      </c>
      <c r="L3836" s="60" t="s">
        <v>236</v>
      </c>
    </row>
    <row r="3837" spans="1:12" x14ac:dyDescent="0.3">
      <c r="H3837" s="74">
        <v>40</v>
      </c>
      <c r="K3837" s="55" t="s">
        <v>34</v>
      </c>
      <c r="L3837" s="60" t="s">
        <v>343</v>
      </c>
    </row>
    <row r="3838" spans="1:12" x14ac:dyDescent="0.3">
      <c r="H3838" s="74">
        <v>20</v>
      </c>
      <c r="K3838" s="55" t="s">
        <v>102</v>
      </c>
    </row>
    <row r="3839" spans="1:12" x14ac:dyDescent="0.3">
      <c r="H3839" s="74">
        <v>40</v>
      </c>
      <c r="K3839" s="55" t="s">
        <v>30</v>
      </c>
      <c r="L3839" s="60" t="s">
        <v>1328</v>
      </c>
    </row>
    <row r="3840" spans="1:12" x14ac:dyDescent="0.3">
      <c r="H3840" s="74">
        <v>30</v>
      </c>
      <c r="K3840" s="55" t="s">
        <v>55</v>
      </c>
      <c r="L3840" s="60" t="s">
        <v>1327</v>
      </c>
    </row>
    <row r="3842" spans="1:12" x14ac:dyDescent="0.3">
      <c r="A3842" s="72" t="s">
        <v>1323</v>
      </c>
      <c r="B3842" s="55" t="s">
        <v>12</v>
      </c>
      <c r="C3842" s="67" t="s">
        <v>188</v>
      </c>
      <c r="D3842" s="55" t="s">
        <v>51</v>
      </c>
      <c r="E3842" s="19">
        <v>200.78</v>
      </c>
      <c r="F3842" s="19">
        <v>7</v>
      </c>
      <c r="G3842" s="55" t="s">
        <v>11</v>
      </c>
      <c r="H3842" s="74">
        <v>10</v>
      </c>
      <c r="K3842" s="55" t="s">
        <v>25</v>
      </c>
    </row>
    <row r="3843" spans="1:12" x14ac:dyDescent="0.3">
      <c r="H3843" s="74">
        <v>10</v>
      </c>
      <c r="K3843" s="55" t="s">
        <v>84</v>
      </c>
    </row>
    <row r="3844" spans="1:12" x14ac:dyDescent="0.3">
      <c r="H3844" s="74">
        <v>70</v>
      </c>
      <c r="K3844" s="55" t="s">
        <v>96</v>
      </c>
    </row>
    <row r="3845" spans="1:12" x14ac:dyDescent="0.3">
      <c r="H3845" s="74">
        <v>100</v>
      </c>
      <c r="K3845" s="55" t="s">
        <v>32</v>
      </c>
      <c r="L3845" s="60" t="s">
        <v>1329</v>
      </c>
    </row>
    <row r="3846" spans="1:12" x14ac:dyDescent="0.3">
      <c r="H3846" s="74">
        <v>30</v>
      </c>
      <c r="K3846" s="55" t="s">
        <v>32</v>
      </c>
      <c r="L3846" s="60" t="s">
        <v>916</v>
      </c>
    </row>
    <row r="3847" spans="1:12" x14ac:dyDescent="0.3">
      <c r="H3847" s="74">
        <v>30</v>
      </c>
      <c r="K3847" s="55" t="s">
        <v>34</v>
      </c>
      <c r="L3847" s="60" t="s">
        <v>149</v>
      </c>
    </row>
    <row r="3848" spans="1:12" x14ac:dyDescent="0.3">
      <c r="H3848" s="74">
        <v>50</v>
      </c>
      <c r="K3848" s="55" t="s">
        <v>34</v>
      </c>
      <c r="L3848" s="60" t="s">
        <v>1330</v>
      </c>
    </row>
    <row r="3849" spans="1:12" x14ac:dyDescent="0.3">
      <c r="H3849" s="74">
        <v>20</v>
      </c>
      <c r="K3849" s="55" t="s">
        <v>102</v>
      </c>
    </row>
    <row r="3850" spans="1:12" x14ac:dyDescent="0.3">
      <c r="H3850" s="74">
        <v>20</v>
      </c>
      <c r="K3850" s="55" t="s">
        <v>55</v>
      </c>
      <c r="L3850" s="60" t="s">
        <v>303</v>
      </c>
    </row>
    <row r="3851" spans="1:12" x14ac:dyDescent="0.3">
      <c r="H3851" s="74">
        <v>20</v>
      </c>
      <c r="K3851" s="55" t="s">
        <v>30</v>
      </c>
      <c r="L3851" s="60" t="s">
        <v>136</v>
      </c>
    </row>
    <row r="3852" spans="1:12" x14ac:dyDescent="0.3">
      <c r="H3852" s="74">
        <v>25</v>
      </c>
      <c r="K3852" s="55" t="s">
        <v>55</v>
      </c>
      <c r="L3852" s="60" t="s">
        <v>1327</v>
      </c>
    </row>
    <row r="3853" spans="1:12" x14ac:dyDescent="0.3">
      <c r="H3853" s="74">
        <v>15</v>
      </c>
      <c r="K3853" s="55" t="s">
        <v>55</v>
      </c>
      <c r="L3853" s="60" t="s">
        <v>606</v>
      </c>
    </row>
    <row r="3855" spans="1:12" x14ac:dyDescent="0.3">
      <c r="A3855" s="72" t="s">
        <v>1331</v>
      </c>
      <c r="B3855" s="55" t="s">
        <v>0</v>
      </c>
      <c r="C3855" s="67" t="s">
        <v>48</v>
      </c>
      <c r="D3855" s="55" t="s">
        <v>52</v>
      </c>
      <c r="E3855" s="19">
        <v>289.26</v>
      </c>
      <c r="F3855" s="19">
        <v>8</v>
      </c>
      <c r="G3855" s="55" t="s">
        <v>11</v>
      </c>
      <c r="H3855" s="74">
        <v>10</v>
      </c>
      <c r="K3855" s="55" t="s">
        <v>25</v>
      </c>
    </row>
    <row r="3856" spans="1:12" x14ac:dyDescent="0.3">
      <c r="H3856" s="74">
        <v>10</v>
      </c>
      <c r="K3856" s="55" t="s">
        <v>84</v>
      </c>
    </row>
    <row r="3857" spans="1:12" x14ac:dyDescent="0.3">
      <c r="H3857" s="74">
        <v>30</v>
      </c>
      <c r="K3857" s="55" t="s">
        <v>32</v>
      </c>
      <c r="L3857" s="60" t="s">
        <v>1332</v>
      </c>
    </row>
    <row r="3858" spans="1:12" x14ac:dyDescent="0.3">
      <c r="H3858" s="74">
        <v>80</v>
      </c>
      <c r="K3858" s="55" t="s">
        <v>96</v>
      </c>
    </row>
    <row r="3859" spans="1:12" x14ac:dyDescent="0.3">
      <c r="H3859" s="74">
        <v>20</v>
      </c>
      <c r="K3859" s="55" t="s">
        <v>34</v>
      </c>
      <c r="L3859" s="60" t="s">
        <v>149</v>
      </c>
    </row>
    <row r="3860" spans="1:12" x14ac:dyDescent="0.3">
      <c r="H3860" s="74">
        <v>20</v>
      </c>
      <c r="K3860" s="55" t="s">
        <v>102</v>
      </c>
    </row>
    <row r="3861" spans="1:12" x14ac:dyDescent="0.3">
      <c r="H3861" s="74">
        <v>30</v>
      </c>
      <c r="K3861" s="55" t="s">
        <v>30</v>
      </c>
      <c r="L3861" s="60" t="s">
        <v>1303</v>
      </c>
    </row>
    <row r="3862" spans="1:12" x14ac:dyDescent="0.3">
      <c r="H3862" s="74">
        <v>10</v>
      </c>
      <c r="K3862" s="55" t="s">
        <v>55</v>
      </c>
      <c r="L3862" s="60" t="s">
        <v>13</v>
      </c>
    </row>
    <row r="3863" spans="1:12" x14ac:dyDescent="0.3">
      <c r="H3863" s="74">
        <v>40</v>
      </c>
      <c r="K3863" s="55" t="s">
        <v>34</v>
      </c>
      <c r="L3863" s="60" t="s">
        <v>343</v>
      </c>
    </row>
    <row r="3864" spans="1:12" x14ac:dyDescent="0.3">
      <c r="H3864" s="74">
        <v>40</v>
      </c>
      <c r="K3864" s="55" t="s">
        <v>32</v>
      </c>
      <c r="L3864" s="60" t="s">
        <v>1333</v>
      </c>
    </row>
    <row r="3865" spans="1:12" x14ac:dyDescent="0.3">
      <c r="H3865" s="74">
        <v>20</v>
      </c>
      <c r="K3865" s="55" t="s">
        <v>32</v>
      </c>
      <c r="L3865" s="60" t="s">
        <v>396</v>
      </c>
    </row>
    <row r="3866" spans="1:12" x14ac:dyDescent="0.3">
      <c r="H3866" s="74">
        <v>60</v>
      </c>
      <c r="K3866" s="55" t="s">
        <v>33</v>
      </c>
      <c r="L3866" s="60" t="s">
        <v>1334</v>
      </c>
    </row>
    <row r="3868" spans="1:12" x14ac:dyDescent="0.3">
      <c r="A3868" s="72" t="s">
        <v>1331</v>
      </c>
      <c r="B3868" s="55" t="s">
        <v>10</v>
      </c>
      <c r="C3868" s="67" t="s">
        <v>46</v>
      </c>
      <c r="D3868" s="55" t="s">
        <v>50</v>
      </c>
      <c r="E3868" s="19">
        <v>375.22</v>
      </c>
      <c r="F3868" s="19">
        <v>11</v>
      </c>
      <c r="G3868" s="55" t="s">
        <v>11</v>
      </c>
      <c r="H3868" s="74">
        <v>10</v>
      </c>
      <c r="K3868" s="55" t="s">
        <v>25</v>
      </c>
    </row>
    <row r="3869" spans="1:12" x14ac:dyDescent="0.3">
      <c r="H3869" s="74">
        <v>10</v>
      </c>
      <c r="K3869" s="55" t="s">
        <v>84</v>
      </c>
    </row>
    <row r="3870" spans="1:12" x14ac:dyDescent="0.3">
      <c r="H3870" s="74">
        <v>80</v>
      </c>
      <c r="K3870" s="55" t="s">
        <v>32</v>
      </c>
      <c r="L3870" s="60" t="s">
        <v>1335</v>
      </c>
    </row>
    <row r="3871" spans="1:12" x14ac:dyDescent="0.3">
      <c r="H3871" s="74">
        <v>110</v>
      </c>
      <c r="K3871" s="55" t="s">
        <v>96</v>
      </c>
    </row>
    <row r="3872" spans="1:12" x14ac:dyDescent="0.3">
      <c r="H3872" s="74">
        <v>20</v>
      </c>
      <c r="K3872" s="55" t="s">
        <v>34</v>
      </c>
      <c r="L3872" s="60" t="s">
        <v>149</v>
      </c>
    </row>
    <row r="3873" spans="1:12" x14ac:dyDescent="0.3">
      <c r="H3873" s="74">
        <v>30</v>
      </c>
      <c r="K3873" s="55" t="s">
        <v>30</v>
      </c>
      <c r="L3873" s="60" t="s">
        <v>1303</v>
      </c>
    </row>
    <row r="3874" spans="1:12" x14ac:dyDescent="0.3">
      <c r="H3874" s="74">
        <v>10</v>
      </c>
      <c r="K3874" s="55" t="s">
        <v>55</v>
      </c>
      <c r="L3874" s="60" t="s">
        <v>13</v>
      </c>
    </row>
    <row r="3875" spans="1:12" x14ac:dyDescent="0.3">
      <c r="H3875" s="74">
        <v>40</v>
      </c>
      <c r="K3875" s="55" t="s">
        <v>34</v>
      </c>
      <c r="L3875" s="60" t="s">
        <v>343</v>
      </c>
    </row>
    <row r="3877" spans="1:12" x14ac:dyDescent="0.3">
      <c r="A3877" s="72" t="s">
        <v>1331</v>
      </c>
      <c r="B3877" s="55" t="s">
        <v>12</v>
      </c>
      <c r="C3877" s="67" t="s">
        <v>188</v>
      </c>
      <c r="D3877" s="55" t="s">
        <v>51</v>
      </c>
      <c r="E3877" s="19">
        <v>198.81</v>
      </c>
      <c r="F3877" s="19">
        <v>6</v>
      </c>
      <c r="G3877" s="55" t="s">
        <v>11</v>
      </c>
      <c r="H3877" s="74">
        <v>20</v>
      </c>
      <c r="K3877" s="55" t="s">
        <v>25</v>
      </c>
      <c r="L3877" s="60" t="s">
        <v>1338</v>
      </c>
    </row>
    <row r="3878" spans="1:12" x14ac:dyDescent="0.3">
      <c r="H3878" s="74">
        <v>10</v>
      </c>
      <c r="K3878" s="55" t="s">
        <v>84</v>
      </c>
    </row>
    <row r="3879" spans="1:12" x14ac:dyDescent="0.3">
      <c r="H3879" s="74">
        <v>70</v>
      </c>
      <c r="K3879" s="55" t="s">
        <v>96</v>
      </c>
    </row>
    <row r="3880" spans="1:12" x14ac:dyDescent="0.3">
      <c r="H3880" s="74">
        <v>30</v>
      </c>
      <c r="K3880" s="55" t="s">
        <v>32</v>
      </c>
      <c r="L3880" s="60" t="s">
        <v>880</v>
      </c>
    </row>
    <row r="3881" spans="1:12" x14ac:dyDescent="0.3">
      <c r="H3881" s="74">
        <v>50</v>
      </c>
      <c r="K3881" s="55" t="s">
        <v>32</v>
      </c>
      <c r="L3881" s="60" t="s">
        <v>1337</v>
      </c>
    </row>
    <row r="3882" spans="1:12" x14ac:dyDescent="0.3">
      <c r="H3882" s="74">
        <v>100</v>
      </c>
      <c r="K3882" s="55" t="s">
        <v>33</v>
      </c>
      <c r="L3882" s="60" t="s">
        <v>1336</v>
      </c>
    </row>
    <row r="3883" spans="1:12" x14ac:dyDescent="0.3">
      <c r="H3883" s="74">
        <v>30</v>
      </c>
      <c r="K3883" s="55" t="s">
        <v>34</v>
      </c>
      <c r="L3883" s="60" t="s">
        <v>1306</v>
      </c>
    </row>
    <row r="3884" spans="1:12" x14ac:dyDescent="0.3">
      <c r="H3884" s="74">
        <v>20</v>
      </c>
      <c r="K3884" s="55" t="s">
        <v>34</v>
      </c>
      <c r="L3884" s="60" t="s">
        <v>253</v>
      </c>
    </row>
    <row r="3885" spans="1:12" x14ac:dyDescent="0.3">
      <c r="H3885" s="74">
        <v>20</v>
      </c>
      <c r="K3885" s="55" t="s">
        <v>102</v>
      </c>
    </row>
    <row r="3886" spans="1:12" x14ac:dyDescent="0.3">
      <c r="H3886" s="74">
        <v>25</v>
      </c>
      <c r="K3886" s="55" t="s">
        <v>32</v>
      </c>
      <c r="L3886" s="60" t="s">
        <v>1339</v>
      </c>
    </row>
    <row r="3887" spans="1:12" x14ac:dyDescent="0.3">
      <c r="H3887" s="74">
        <v>10</v>
      </c>
      <c r="K3887" s="55" t="s">
        <v>33</v>
      </c>
      <c r="L3887" s="60" t="s">
        <v>1211</v>
      </c>
    </row>
    <row r="3889" spans="1:12" x14ac:dyDescent="0.3">
      <c r="A3889" s="72" t="s">
        <v>1340</v>
      </c>
      <c r="B3889" s="55" t="s">
        <v>0</v>
      </c>
      <c r="C3889" s="67" t="s">
        <v>46</v>
      </c>
      <c r="D3889" s="55" t="s">
        <v>52</v>
      </c>
      <c r="E3889" s="19">
        <v>144.82</v>
      </c>
      <c r="F3889" s="19">
        <v>4.5</v>
      </c>
      <c r="G3889" s="55" t="s">
        <v>11</v>
      </c>
      <c r="H3889" s="74">
        <v>10</v>
      </c>
      <c r="K3889" s="55" t="s">
        <v>25</v>
      </c>
    </row>
    <row r="3890" spans="1:12" x14ac:dyDescent="0.3">
      <c r="H3890" s="74">
        <v>10</v>
      </c>
      <c r="K3890" s="55" t="s">
        <v>84</v>
      </c>
    </row>
    <row r="3891" spans="1:12" x14ac:dyDescent="0.3">
      <c r="H3891" s="74">
        <v>50</v>
      </c>
      <c r="K3891" s="55" t="s">
        <v>96</v>
      </c>
    </row>
    <row r="3892" spans="1:12" x14ac:dyDescent="0.3">
      <c r="H3892" s="74">
        <v>10</v>
      </c>
      <c r="K3892" s="55" t="s">
        <v>34</v>
      </c>
      <c r="L3892" s="60" t="s">
        <v>149</v>
      </c>
    </row>
    <row r="3893" spans="1:12" x14ac:dyDescent="0.3">
      <c r="H3893" s="74">
        <v>20</v>
      </c>
      <c r="K3893" s="55" t="s">
        <v>102</v>
      </c>
    </row>
    <row r="3894" spans="1:12" x14ac:dyDescent="0.3">
      <c r="H3894" s="74">
        <v>30</v>
      </c>
      <c r="K3894" s="55" t="s">
        <v>30</v>
      </c>
      <c r="L3894" s="60" t="s">
        <v>1303</v>
      </c>
    </row>
    <row r="3895" spans="1:12" x14ac:dyDescent="0.3">
      <c r="H3895" s="74">
        <v>10</v>
      </c>
      <c r="K3895" s="55" t="s">
        <v>55</v>
      </c>
      <c r="L3895" s="60" t="s">
        <v>13</v>
      </c>
    </row>
    <row r="3896" spans="1:12" x14ac:dyDescent="0.3">
      <c r="H3896" s="74">
        <v>20</v>
      </c>
      <c r="K3896" s="55" t="s">
        <v>34</v>
      </c>
      <c r="L3896" s="60" t="s">
        <v>343</v>
      </c>
    </row>
    <row r="3897" spans="1:12" x14ac:dyDescent="0.3">
      <c r="H3897" s="74">
        <v>40</v>
      </c>
      <c r="K3897" s="55" t="s">
        <v>32</v>
      </c>
      <c r="L3897" s="60" t="s">
        <v>1343</v>
      </c>
    </row>
    <row r="3898" spans="1:12" x14ac:dyDescent="0.3">
      <c r="H3898" s="74">
        <v>20</v>
      </c>
      <c r="K3898" s="55" t="s">
        <v>32</v>
      </c>
      <c r="L3898" s="60" t="s">
        <v>608</v>
      </c>
    </row>
    <row r="3899" spans="1:12" x14ac:dyDescent="0.3">
      <c r="H3899" s="74">
        <v>120</v>
      </c>
      <c r="K3899" s="55" t="s">
        <v>33</v>
      </c>
      <c r="L3899" s="60" t="s">
        <v>1342</v>
      </c>
    </row>
    <row r="3900" spans="1:12" x14ac:dyDescent="0.3">
      <c r="H3900" s="74">
        <v>20</v>
      </c>
      <c r="K3900" s="55" t="s">
        <v>33</v>
      </c>
      <c r="L3900" s="60" t="s">
        <v>1341</v>
      </c>
    </row>
    <row r="3901" spans="1:12" x14ac:dyDescent="0.3">
      <c r="H3901" s="74">
        <v>20</v>
      </c>
      <c r="K3901" s="55" t="s">
        <v>55</v>
      </c>
      <c r="L3901" s="60" t="s">
        <v>1344</v>
      </c>
    </row>
    <row r="3902" spans="1:12" x14ac:dyDescent="0.3">
      <c r="A3902" s="72" t="s">
        <v>1340</v>
      </c>
      <c r="B3902" s="55" t="s">
        <v>10</v>
      </c>
      <c r="C3902" s="67" t="s">
        <v>47</v>
      </c>
      <c r="D3902" s="55" t="s">
        <v>50</v>
      </c>
      <c r="E3902" s="19">
        <v>277.39</v>
      </c>
      <c r="F3902" s="19">
        <v>10.5</v>
      </c>
      <c r="G3902" s="55" t="s">
        <v>11</v>
      </c>
      <c r="H3902" s="74">
        <v>10</v>
      </c>
      <c r="K3902" s="55" t="s">
        <v>25</v>
      </c>
    </row>
    <row r="3903" spans="1:12" x14ac:dyDescent="0.3">
      <c r="H3903" s="74">
        <v>10</v>
      </c>
      <c r="K3903" s="55" t="s">
        <v>84</v>
      </c>
    </row>
    <row r="3904" spans="1:12" x14ac:dyDescent="0.3">
      <c r="H3904" s="74">
        <v>100</v>
      </c>
      <c r="K3904" s="55" t="s">
        <v>96</v>
      </c>
    </row>
    <row r="3905" spans="1:13" x14ac:dyDescent="0.3">
      <c r="H3905" s="74">
        <v>30</v>
      </c>
      <c r="K3905" s="55" t="s">
        <v>55</v>
      </c>
      <c r="L3905" s="60" t="s">
        <v>1346</v>
      </c>
    </row>
    <row r="3906" spans="1:13" x14ac:dyDescent="0.3">
      <c r="H3906" s="74">
        <v>20</v>
      </c>
      <c r="K3906" s="55" t="s">
        <v>33</v>
      </c>
      <c r="L3906" s="60" t="s">
        <v>1347</v>
      </c>
    </row>
    <row r="3907" spans="1:13" x14ac:dyDescent="0.3">
      <c r="H3907" s="74">
        <v>50</v>
      </c>
      <c r="K3907" s="55" t="s">
        <v>32</v>
      </c>
      <c r="L3907" s="60" t="s">
        <v>1345</v>
      </c>
      <c r="M3907" s="60" t="s">
        <v>1348</v>
      </c>
    </row>
    <row r="3908" spans="1:13" x14ac:dyDescent="0.3">
      <c r="H3908" s="74">
        <v>20</v>
      </c>
      <c r="K3908" s="55" t="s">
        <v>32</v>
      </c>
      <c r="L3908" s="60" t="s">
        <v>133</v>
      </c>
    </row>
    <row r="3909" spans="1:13" x14ac:dyDescent="0.3">
      <c r="H3909" s="74">
        <v>20</v>
      </c>
      <c r="K3909" s="55" t="s">
        <v>34</v>
      </c>
      <c r="L3909" s="60" t="s">
        <v>149</v>
      </c>
    </row>
    <row r="3910" spans="1:13" x14ac:dyDescent="0.3">
      <c r="H3910" s="74">
        <v>30</v>
      </c>
      <c r="K3910" s="55" t="s">
        <v>30</v>
      </c>
      <c r="L3910" s="60" t="s">
        <v>1303</v>
      </c>
    </row>
    <row r="3911" spans="1:13" x14ac:dyDescent="0.3">
      <c r="H3911" s="74">
        <v>20</v>
      </c>
      <c r="K3911" s="55" t="s">
        <v>102</v>
      </c>
    </row>
    <row r="3912" spans="1:13" x14ac:dyDescent="0.3">
      <c r="H3912" s="74">
        <v>20</v>
      </c>
      <c r="K3912" s="55" t="s">
        <v>34</v>
      </c>
      <c r="L3912" s="60" t="s">
        <v>343</v>
      </c>
    </row>
    <row r="3913" spans="1:13" x14ac:dyDescent="0.3">
      <c r="A3913" s="72" t="s">
        <v>1340</v>
      </c>
      <c r="B3913" s="55" t="s">
        <v>12</v>
      </c>
      <c r="C3913" s="67" t="s">
        <v>188</v>
      </c>
      <c r="D3913" s="55" t="s">
        <v>51</v>
      </c>
      <c r="E3913" s="19">
        <v>106.43</v>
      </c>
      <c r="F3913" s="19">
        <v>4</v>
      </c>
      <c r="G3913" s="55" t="s">
        <v>11</v>
      </c>
      <c r="H3913" s="74">
        <v>10</v>
      </c>
      <c r="K3913" s="55" t="s">
        <v>25</v>
      </c>
      <c r="L3913" s="60" t="s">
        <v>1338</v>
      </c>
    </row>
    <row r="3914" spans="1:13" x14ac:dyDescent="0.3">
      <c r="H3914" s="74">
        <v>10</v>
      </c>
      <c r="K3914" s="55" t="s">
        <v>84</v>
      </c>
    </row>
    <row r="3915" spans="1:13" x14ac:dyDescent="0.3">
      <c r="H3915" s="74">
        <v>90</v>
      </c>
      <c r="K3915" s="55" t="s">
        <v>33</v>
      </c>
      <c r="L3915" s="60" t="s">
        <v>1350</v>
      </c>
    </row>
    <row r="3916" spans="1:13" x14ac:dyDescent="0.3">
      <c r="H3916" s="74">
        <v>40</v>
      </c>
      <c r="K3916" s="55" t="s">
        <v>96</v>
      </c>
    </row>
    <row r="3917" spans="1:13" x14ac:dyDescent="0.3">
      <c r="H3917" s="74">
        <v>30</v>
      </c>
      <c r="K3917" s="55" t="s">
        <v>32</v>
      </c>
      <c r="L3917" s="60" t="s">
        <v>880</v>
      </c>
    </row>
    <row r="3918" spans="1:13" x14ac:dyDescent="0.3">
      <c r="H3918" s="74">
        <v>70</v>
      </c>
      <c r="K3918" s="55" t="s">
        <v>32</v>
      </c>
      <c r="L3918" s="60" t="s">
        <v>1351</v>
      </c>
    </row>
    <row r="3919" spans="1:13" x14ac:dyDescent="0.3">
      <c r="H3919" s="74">
        <v>30</v>
      </c>
      <c r="K3919" s="55" t="s">
        <v>34</v>
      </c>
      <c r="L3919" s="60" t="s">
        <v>343</v>
      </c>
    </row>
    <row r="3920" spans="1:13" x14ac:dyDescent="0.3">
      <c r="H3920" s="74">
        <v>30</v>
      </c>
      <c r="K3920" s="55" t="s">
        <v>34</v>
      </c>
      <c r="L3920" s="60" t="s">
        <v>149</v>
      </c>
    </row>
    <row r="3921" spans="1:12" x14ac:dyDescent="0.3">
      <c r="H3921" s="74">
        <v>20</v>
      </c>
      <c r="K3921" s="55" t="s">
        <v>55</v>
      </c>
      <c r="L3921" s="60" t="s">
        <v>785</v>
      </c>
    </row>
    <row r="3922" spans="1:12" x14ac:dyDescent="0.3">
      <c r="H3922" s="74">
        <v>20</v>
      </c>
      <c r="K3922" s="55" t="s">
        <v>102</v>
      </c>
    </row>
    <row r="3923" spans="1:12" x14ac:dyDescent="0.3">
      <c r="H3923" s="74">
        <v>30</v>
      </c>
      <c r="K3923" s="55" t="s">
        <v>33</v>
      </c>
      <c r="L3923" s="60" t="s">
        <v>1349</v>
      </c>
    </row>
    <row r="3924" spans="1:12" x14ac:dyDescent="0.3">
      <c r="H3924" s="74">
        <v>30</v>
      </c>
      <c r="K3924" s="55" t="s">
        <v>30</v>
      </c>
      <c r="L3924" s="60" t="s">
        <v>1303</v>
      </c>
    </row>
    <row r="3927" spans="1:12" x14ac:dyDescent="0.3">
      <c r="A3927" s="72" t="s">
        <v>1352</v>
      </c>
      <c r="B3927" s="55" t="s">
        <v>0</v>
      </c>
      <c r="C3927" s="67" t="s">
        <v>46</v>
      </c>
      <c r="D3927" s="55" t="s">
        <v>52</v>
      </c>
      <c r="E3927" s="19">
        <v>114.89</v>
      </c>
      <c r="F3927" s="19">
        <v>5</v>
      </c>
      <c r="G3927" s="55" t="s">
        <v>11</v>
      </c>
      <c r="H3927" s="74">
        <v>10</v>
      </c>
      <c r="K3927" s="55" t="s">
        <v>25</v>
      </c>
    </row>
    <row r="3928" spans="1:12" x14ac:dyDescent="0.3">
      <c r="H3928" s="74">
        <v>10</v>
      </c>
      <c r="K3928" s="55" t="s">
        <v>84</v>
      </c>
    </row>
    <row r="3929" spans="1:12" x14ac:dyDescent="0.3">
      <c r="H3929" s="74">
        <v>60</v>
      </c>
      <c r="K3929" s="55" t="s">
        <v>96</v>
      </c>
    </row>
    <row r="3930" spans="1:12" x14ac:dyDescent="0.3">
      <c r="H3930" s="74">
        <v>60</v>
      </c>
      <c r="K3930" s="55" t="s">
        <v>32</v>
      </c>
      <c r="L3930" s="60" t="s">
        <v>1353</v>
      </c>
    </row>
    <row r="3931" spans="1:12" x14ac:dyDescent="0.3">
      <c r="H3931" s="74">
        <v>100</v>
      </c>
      <c r="K3931" s="55" t="s">
        <v>55</v>
      </c>
      <c r="L3931" s="60" t="s">
        <v>1354</v>
      </c>
    </row>
    <row r="3932" spans="1:12" x14ac:dyDescent="0.3">
      <c r="H3932" s="74">
        <v>30</v>
      </c>
      <c r="K3932" s="55" t="s">
        <v>32</v>
      </c>
      <c r="L3932" s="60" t="s">
        <v>1357</v>
      </c>
    </row>
    <row r="3933" spans="1:12" x14ac:dyDescent="0.3">
      <c r="H3933" s="74">
        <v>20</v>
      </c>
      <c r="K3933" s="55" t="s">
        <v>102</v>
      </c>
    </row>
    <row r="3934" spans="1:12" x14ac:dyDescent="0.3">
      <c r="H3934" s="74">
        <v>30</v>
      </c>
      <c r="K3934" s="55" t="s">
        <v>30</v>
      </c>
    </row>
    <row r="3935" spans="1:12" x14ac:dyDescent="0.3">
      <c r="H3935" s="74">
        <v>20</v>
      </c>
      <c r="K3935" s="55" t="s">
        <v>55</v>
      </c>
      <c r="L3935" s="60" t="s">
        <v>1355</v>
      </c>
    </row>
    <row r="3936" spans="1:12" x14ac:dyDescent="0.3">
      <c r="H3936" s="74">
        <v>10</v>
      </c>
      <c r="K3936" s="55" t="s">
        <v>34</v>
      </c>
      <c r="L3936" s="60" t="s">
        <v>149</v>
      </c>
    </row>
    <row r="3937" spans="1:12" x14ac:dyDescent="0.3">
      <c r="H3937" s="74">
        <v>40</v>
      </c>
      <c r="K3937" s="55" t="s">
        <v>32</v>
      </c>
      <c r="L3937" s="60" t="s">
        <v>1356</v>
      </c>
    </row>
    <row r="3938" spans="1:12" x14ac:dyDescent="0.3">
      <c r="A3938" s="72" t="s">
        <v>1352</v>
      </c>
      <c r="B3938" s="55" t="s">
        <v>10</v>
      </c>
      <c r="C3938" s="67" t="s">
        <v>47</v>
      </c>
      <c r="D3938" s="55" t="s">
        <v>50</v>
      </c>
      <c r="E3938" s="19">
        <v>198.46</v>
      </c>
      <c r="F3938" s="19">
        <v>9</v>
      </c>
      <c r="G3938" s="55" t="s">
        <v>11</v>
      </c>
      <c r="H3938" s="74">
        <v>10</v>
      </c>
      <c r="K3938" s="55" t="s">
        <v>25</v>
      </c>
    </row>
    <row r="3939" spans="1:12" x14ac:dyDescent="0.3">
      <c r="H3939" s="74">
        <v>10</v>
      </c>
      <c r="K3939" s="55" t="s">
        <v>84</v>
      </c>
    </row>
    <row r="3940" spans="1:12" x14ac:dyDescent="0.3">
      <c r="H3940" s="74">
        <v>100</v>
      </c>
      <c r="K3940" s="55" t="s">
        <v>96</v>
      </c>
    </row>
    <row r="3941" spans="1:12" x14ac:dyDescent="0.3">
      <c r="H3941" s="74">
        <v>30</v>
      </c>
      <c r="K3941" s="55" t="s">
        <v>32</v>
      </c>
      <c r="L3941" s="60" t="s">
        <v>880</v>
      </c>
    </row>
    <row r="3942" spans="1:12" x14ac:dyDescent="0.3">
      <c r="H3942" s="74">
        <v>45</v>
      </c>
      <c r="K3942" s="55" t="s">
        <v>32</v>
      </c>
      <c r="L3942" s="60" t="s">
        <v>1359</v>
      </c>
    </row>
    <row r="3943" spans="1:12" x14ac:dyDescent="0.3">
      <c r="H3943" s="74">
        <v>30</v>
      </c>
      <c r="K3943" s="55" t="s">
        <v>34</v>
      </c>
      <c r="L3943" s="60" t="s">
        <v>149</v>
      </c>
    </row>
    <row r="3944" spans="1:12" x14ac:dyDescent="0.3">
      <c r="H3944" s="74">
        <v>30</v>
      </c>
      <c r="K3944" s="55" t="s">
        <v>30</v>
      </c>
      <c r="L3944" s="60" t="s">
        <v>1250</v>
      </c>
    </row>
    <row r="3945" spans="1:12" x14ac:dyDescent="0.3">
      <c r="H3945" s="74">
        <v>30</v>
      </c>
      <c r="K3945" s="55" t="s">
        <v>102</v>
      </c>
    </row>
    <row r="3946" spans="1:12" x14ac:dyDescent="0.3">
      <c r="H3946" s="74">
        <v>10</v>
      </c>
      <c r="K3946" s="55" t="s">
        <v>55</v>
      </c>
      <c r="L3946" s="60" t="s">
        <v>13</v>
      </c>
    </row>
    <row r="3947" spans="1:12" x14ac:dyDescent="0.3">
      <c r="H3947" s="74">
        <v>20</v>
      </c>
      <c r="K3947" s="55" t="s">
        <v>33</v>
      </c>
      <c r="L3947" s="60" t="s">
        <v>1358</v>
      </c>
    </row>
    <row r="3949" spans="1:12" x14ac:dyDescent="0.3">
      <c r="A3949" s="72" t="s">
        <v>1352</v>
      </c>
      <c r="B3949" s="55" t="s">
        <v>12</v>
      </c>
      <c r="C3949" s="67" t="s">
        <v>188</v>
      </c>
      <c r="D3949" s="55" t="s">
        <v>51</v>
      </c>
      <c r="E3949" s="19">
        <v>278.45999999999998</v>
      </c>
      <c r="F3949" s="19">
        <v>10</v>
      </c>
      <c r="G3949" s="55" t="s">
        <v>11</v>
      </c>
      <c r="H3949" s="74">
        <v>10</v>
      </c>
      <c r="K3949" s="55" t="s">
        <v>25</v>
      </c>
    </row>
    <row r="3950" spans="1:12" x14ac:dyDescent="0.3">
      <c r="H3950" s="74">
        <v>10</v>
      </c>
      <c r="K3950" s="55" t="s">
        <v>84</v>
      </c>
    </row>
    <row r="3951" spans="1:12" x14ac:dyDescent="0.3">
      <c r="H3951" s="74">
        <v>100</v>
      </c>
      <c r="K3951" s="55" t="s">
        <v>96</v>
      </c>
    </row>
    <row r="3952" spans="1:12" x14ac:dyDescent="0.3">
      <c r="H3952" s="74">
        <v>60</v>
      </c>
      <c r="K3952" s="55" t="s">
        <v>32</v>
      </c>
      <c r="L3952" s="60" t="s">
        <v>1361</v>
      </c>
    </row>
    <row r="3953" spans="1:12" x14ac:dyDescent="0.3">
      <c r="H3953" s="74">
        <v>30</v>
      </c>
      <c r="K3953" s="55" t="s">
        <v>34</v>
      </c>
      <c r="L3953" s="60" t="s">
        <v>149</v>
      </c>
    </row>
    <row r="3954" spans="1:12" x14ac:dyDescent="0.3">
      <c r="H3954" s="74">
        <v>25</v>
      </c>
      <c r="K3954" s="55" t="s">
        <v>32</v>
      </c>
      <c r="L3954" s="60" t="s">
        <v>1143</v>
      </c>
    </row>
    <row r="3955" spans="1:12" x14ac:dyDescent="0.3">
      <c r="H3955" s="74">
        <v>30</v>
      </c>
      <c r="K3955" s="55" t="s">
        <v>102</v>
      </c>
    </row>
    <row r="3956" spans="1:12" x14ac:dyDescent="0.3">
      <c r="H3956" s="74">
        <v>20</v>
      </c>
      <c r="K3956" s="55" t="s">
        <v>30</v>
      </c>
      <c r="L3956" s="60" t="s">
        <v>136</v>
      </c>
    </row>
    <row r="3957" spans="1:12" x14ac:dyDescent="0.3">
      <c r="H3957" s="74">
        <v>15</v>
      </c>
      <c r="K3957" s="55" t="s">
        <v>55</v>
      </c>
      <c r="L3957" s="60" t="s">
        <v>1360</v>
      </c>
    </row>
    <row r="3959" spans="1:12" x14ac:dyDescent="0.3">
      <c r="A3959" s="72" t="s">
        <v>1362</v>
      </c>
      <c r="B3959" s="55" t="s">
        <v>0</v>
      </c>
      <c r="C3959" s="67" t="s">
        <v>46</v>
      </c>
      <c r="D3959" s="55" t="s">
        <v>50</v>
      </c>
      <c r="E3959" s="19">
        <v>459.55</v>
      </c>
      <c r="F3959" s="19">
        <v>14</v>
      </c>
      <c r="G3959" s="55" t="s">
        <v>11</v>
      </c>
      <c r="H3959" s="74">
        <v>10</v>
      </c>
      <c r="K3959" s="55" t="s">
        <v>25</v>
      </c>
    </row>
    <row r="3960" spans="1:12" x14ac:dyDescent="0.3">
      <c r="H3960" s="74">
        <v>10</v>
      </c>
      <c r="K3960" s="55" t="s">
        <v>84</v>
      </c>
    </row>
    <row r="3961" spans="1:12" x14ac:dyDescent="0.3">
      <c r="H3961" s="74">
        <v>140</v>
      </c>
      <c r="K3961" s="55" t="s">
        <v>96</v>
      </c>
    </row>
    <row r="3962" spans="1:12" x14ac:dyDescent="0.3">
      <c r="H3962" s="74">
        <v>60</v>
      </c>
      <c r="K3962" s="55" t="s">
        <v>32</v>
      </c>
      <c r="L3962" s="60" t="s">
        <v>1353</v>
      </c>
    </row>
    <row r="3963" spans="1:12" x14ac:dyDescent="0.3">
      <c r="H3963" s="74">
        <v>30</v>
      </c>
      <c r="K3963" s="55" t="s">
        <v>34</v>
      </c>
      <c r="L3963" s="60" t="s">
        <v>149</v>
      </c>
    </row>
    <row r="3964" spans="1:12" x14ac:dyDescent="0.3">
      <c r="H3964" s="74">
        <v>30</v>
      </c>
      <c r="K3964" s="55" t="s">
        <v>30</v>
      </c>
      <c r="L3964" s="60" t="s">
        <v>1250</v>
      </c>
    </row>
    <row r="3965" spans="1:12" x14ac:dyDescent="0.3">
      <c r="H3965" s="74">
        <v>30</v>
      </c>
      <c r="K3965" s="55" t="s">
        <v>102</v>
      </c>
    </row>
    <row r="3966" spans="1:12" x14ac:dyDescent="0.3">
      <c r="H3966" s="74">
        <v>10</v>
      </c>
      <c r="K3966" s="55" t="s">
        <v>55</v>
      </c>
      <c r="L3966" s="60" t="s">
        <v>13</v>
      </c>
    </row>
    <row r="3968" spans="1:12" x14ac:dyDescent="0.3">
      <c r="A3968" s="72" t="s">
        <v>1362</v>
      </c>
      <c r="B3968" s="55" t="s">
        <v>10</v>
      </c>
      <c r="C3968" s="67" t="s">
        <v>49</v>
      </c>
      <c r="D3968" s="55" t="s">
        <v>51</v>
      </c>
      <c r="E3968" s="19">
        <v>365.07</v>
      </c>
      <c r="F3968" s="19">
        <v>13</v>
      </c>
      <c r="G3968" s="55" t="s">
        <v>11</v>
      </c>
      <c r="H3968" s="74">
        <v>10</v>
      </c>
      <c r="K3968" s="55" t="s">
        <v>25</v>
      </c>
    </row>
    <row r="3969" spans="1:12" x14ac:dyDescent="0.3">
      <c r="H3969" s="74">
        <v>10</v>
      </c>
      <c r="K3969" s="55" t="s">
        <v>84</v>
      </c>
    </row>
    <row r="3970" spans="1:12" x14ac:dyDescent="0.3">
      <c r="H3970" s="74">
        <v>130</v>
      </c>
      <c r="K3970" s="55" t="s">
        <v>96</v>
      </c>
    </row>
    <row r="3971" spans="1:12" x14ac:dyDescent="0.3">
      <c r="H3971" s="74">
        <v>40</v>
      </c>
      <c r="K3971" s="55" t="s">
        <v>32</v>
      </c>
      <c r="L3971" s="60" t="s">
        <v>1364</v>
      </c>
    </row>
    <row r="3972" spans="1:12" x14ac:dyDescent="0.3">
      <c r="H3972" s="74">
        <v>30</v>
      </c>
      <c r="K3972" s="55" t="s">
        <v>32</v>
      </c>
      <c r="L3972" s="60" t="s">
        <v>1363</v>
      </c>
    </row>
    <row r="3973" spans="1:12" x14ac:dyDescent="0.3">
      <c r="H3973" s="74">
        <v>30</v>
      </c>
      <c r="K3973" s="55" t="s">
        <v>34</v>
      </c>
      <c r="L3973" s="60" t="s">
        <v>149</v>
      </c>
    </row>
    <row r="3974" spans="1:12" x14ac:dyDescent="0.3">
      <c r="H3974" s="74">
        <v>30</v>
      </c>
      <c r="K3974" s="55" t="s">
        <v>30</v>
      </c>
      <c r="L3974" s="60" t="s">
        <v>1250</v>
      </c>
    </row>
    <row r="3975" spans="1:12" x14ac:dyDescent="0.3">
      <c r="H3975" s="74">
        <v>30</v>
      </c>
      <c r="K3975" s="55" t="s">
        <v>102</v>
      </c>
    </row>
    <row r="3976" spans="1:12" x14ac:dyDescent="0.3">
      <c r="H3976" s="74">
        <v>10</v>
      </c>
      <c r="K3976" s="55" t="s">
        <v>55</v>
      </c>
      <c r="L3976" s="60" t="s">
        <v>13</v>
      </c>
    </row>
    <row r="3977" spans="1:12" x14ac:dyDescent="0.3">
      <c r="H3977" s="74">
        <v>20</v>
      </c>
      <c r="K3977" s="55" t="s">
        <v>33</v>
      </c>
      <c r="L3977" s="60" t="s">
        <v>1365</v>
      </c>
    </row>
    <row r="3979" spans="1:12" x14ac:dyDescent="0.3">
      <c r="A3979" s="72" t="s">
        <v>1362</v>
      </c>
      <c r="B3979" s="55" t="s">
        <v>12</v>
      </c>
      <c r="D3979" s="55" t="s">
        <v>52</v>
      </c>
      <c r="E3979" s="19">
        <v>438.31</v>
      </c>
      <c r="F3979" s="19">
        <v>16</v>
      </c>
      <c r="G3979" s="55" t="s">
        <v>11</v>
      </c>
      <c r="H3979" s="74">
        <v>10</v>
      </c>
      <c r="K3979" s="55" t="s">
        <v>25</v>
      </c>
    </row>
    <row r="3980" spans="1:12" x14ac:dyDescent="0.3">
      <c r="H3980" s="74">
        <v>10</v>
      </c>
      <c r="K3980" s="55" t="s">
        <v>84</v>
      </c>
    </row>
    <row r="3981" spans="1:12" x14ac:dyDescent="0.3">
      <c r="H3981" s="74">
        <v>180</v>
      </c>
      <c r="K3981" s="55" t="s">
        <v>96</v>
      </c>
    </row>
    <row r="3982" spans="1:12" x14ac:dyDescent="0.3">
      <c r="H3982" s="74">
        <v>15</v>
      </c>
      <c r="K3982" s="55" t="s">
        <v>55</v>
      </c>
      <c r="L3982" s="60" t="s">
        <v>13</v>
      </c>
    </row>
    <row r="3983" spans="1:12" x14ac:dyDescent="0.3">
      <c r="H3983" s="74">
        <v>30</v>
      </c>
      <c r="K3983" s="55" t="s">
        <v>30</v>
      </c>
      <c r="L3983" s="60" t="s">
        <v>1250</v>
      </c>
    </row>
    <row r="3984" spans="1:12" x14ac:dyDescent="0.3">
      <c r="H3984" s="74">
        <v>30</v>
      </c>
      <c r="K3984" s="55" t="s">
        <v>32</v>
      </c>
      <c r="L3984" s="60" t="s">
        <v>236</v>
      </c>
    </row>
    <row r="3985" spans="1:12" x14ac:dyDescent="0.3">
      <c r="H3985" s="74">
        <v>20</v>
      </c>
      <c r="K3985" s="55" t="s">
        <v>102</v>
      </c>
    </row>
    <row r="3986" spans="1:12" x14ac:dyDescent="0.3">
      <c r="H3986" s="74">
        <v>20</v>
      </c>
      <c r="K3986" s="55" t="s">
        <v>55</v>
      </c>
      <c r="L3986" s="60" t="s">
        <v>1366</v>
      </c>
    </row>
    <row r="3988" spans="1:12" x14ac:dyDescent="0.3">
      <c r="A3988" s="72" t="s">
        <v>1367</v>
      </c>
      <c r="B3988" s="55" t="s">
        <v>0</v>
      </c>
      <c r="C3988" s="67" t="s">
        <v>47</v>
      </c>
      <c r="D3988" s="55" t="s">
        <v>50</v>
      </c>
      <c r="E3988" s="19">
        <v>204.41</v>
      </c>
      <c r="F3988" s="19">
        <v>7</v>
      </c>
      <c r="G3988" s="55" t="s">
        <v>11</v>
      </c>
      <c r="H3988" s="74">
        <v>10</v>
      </c>
      <c r="K3988" s="55" t="s">
        <v>25</v>
      </c>
    </row>
    <row r="3989" spans="1:12" x14ac:dyDescent="0.3">
      <c r="H3989" s="74">
        <v>10</v>
      </c>
      <c r="K3989" s="55" t="s">
        <v>84</v>
      </c>
    </row>
    <row r="3990" spans="1:12" x14ac:dyDescent="0.3">
      <c r="H3990" s="74">
        <v>70</v>
      </c>
      <c r="K3990" s="55" t="s">
        <v>96</v>
      </c>
    </row>
    <row r="3991" spans="1:12" x14ac:dyDescent="0.3">
      <c r="H3991" s="74">
        <v>160</v>
      </c>
      <c r="K3991" s="55" t="s">
        <v>32</v>
      </c>
      <c r="L3991" s="60" t="s">
        <v>1368</v>
      </c>
    </row>
    <row r="3992" spans="1:12" x14ac:dyDescent="0.3">
      <c r="H3992" s="74">
        <v>30</v>
      </c>
      <c r="K3992" s="55" t="s">
        <v>32</v>
      </c>
      <c r="L3992" s="60" t="s">
        <v>1369</v>
      </c>
    </row>
    <row r="3993" spans="1:12" x14ac:dyDescent="0.3">
      <c r="H3993" s="74">
        <v>20</v>
      </c>
      <c r="K3993" s="55" t="s">
        <v>102</v>
      </c>
    </row>
    <row r="3994" spans="1:12" x14ac:dyDescent="0.3">
      <c r="H3994" s="74">
        <v>30</v>
      </c>
      <c r="K3994" s="55" t="s">
        <v>30</v>
      </c>
      <c r="L3994" s="60" t="s">
        <v>136</v>
      </c>
    </row>
    <row r="3995" spans="1:12" x14ac:dyDescent="0.3">
      <c r="H3995" s="74">
        <v>40</v>
      </c>
      <c r="K3995" s="55" t="s">
        <v>33</v>
      </c>
      <c r="L3995" s="60" t="s">
        <v>1370</v>
      </c>
    </row>
    <row r="3997" spans="1:12" x14ac:dyDescent="0.3">
      <c r="A3997" s="72" t="s">
        <v>1367</v>
      </c>
      <c r="B3997" s="55" t="s">
        <v>10</v>
      </c>
      <c r="C3997" s="67" t="s">
        <v>188</v>
      </c>
      <c r="D3997" s="55" t="s">
        <v>51</v>
      </c>
      <c r="E3997" s="19">
        <v>231.63</v>
      </c>
      <c r="F3997" s="19">
        <v>8</v>
      </c>
      <c r="G3997" s="55" t="s">
        <v>11</v>
      </c>
      <c r="H3997" s="74">
        <v>10</v>
      </c>
      <c r="K3997" s="55" t="s">
        <v>25</v>
      </c>
    </row>
    <row r="3998" spans="1:12" x14ac:dyDescent="0.3">
      <c r="H3998" s="74">
        <v>10</v>
      </c>
      <c r="K3998" s="55" t="s">
        <v>84</v>
      </c>
    </row>
    <row r="3999" spans="1:12" x14ac:dyDescent="0.3">
      <c r="H3999" s="74">
        <v>80</v>
      </c>
      <c r="K3999" s="55" t="s">
        <v>96</v>
      </c>
    </row>
    <row r="4000" spans="1:12" x14ac:dyDescent="0.3">
      <c r="H4000" s="74">
        <v>80</v>
      </c>
      <c r="K4000" s="55" t="s">
        <v>32</v>
      </c>
      <c r="L4000" s="60" t="s">
        <v>1015</v>
      </c>
    </row>
    <row r="4001" spans="1:12" x14ac:dyDescent="0.3">
      <c r="H4001" s="74">
        <v>20</v>
      </c>
      <c r="K4001" s="55" t="s">
        <v>102</v>
      </c>
    </row>
    <row r="4002" spans="1:12" x14ac:dyDescent="0.3">
      <c r="H4002" s="74">
        <v>50</v>
      </c>
      <c r="K4002" s="55" t="s">
        <v>33</v>
      </c>
      <c r="L4002" s="60" t="s">
        <v>1371</v>
      </c>
    </row>
    <row r="4003" spans="1:12" x14ac:dyDescent="0.3">
      <c r="H4003" s="74">
        <v>30</v>
      </c>
      <c r="K4003" s="55" t="s">
        <v>55</v>
      </c>
      <c r="L4003" s="60" t="s">
        <v>1372</v>
      </c>
    </row>
    <row r="4004" spans="1:12" x14ac:dyDescent="0.3">
      <c r="H4004" s="74">
        <v>30</v>
      </c>
      <c r="K4004" s="55" t="s">
        <v>55</v>
      </c>
      <c r="L4004" s="60" t="s">
        <v>1373</v>
      </c>
    </row>
    <row r="4005" spans="1:12" x14ac:dyDescent="0.3">
      <c r="H4005" s="74">
        <v>30</v>
      </c>
      <c r="K4005" s="55" t="s">
        <v>34</v>
      </c>
      <c r="L4005" s="60" t="s">
        <v>149</v>
      </c>
    </row>
    <row r="4006" spans="1:12" x14ac:dyDescent="0.3">
      <c r="H4006" s="74">
        <v>50</v>
      </c>
      <c r="K4006" s="55" t="s">
        <v>34</v>
      </c>
      <c r="L4006" s="60" t="s">
        <v>323</v>
      </c>
    </row>
    <row r="4007" spans="1:12" x14ac:dyDescent="0.3">
      <c r="H4007" s="74">
        <v>30</v>
      </c>
      <c r="K4007" s="55" t="s">
        <v>30</v>
      </c>
      <c r="L4007" s="60" t="s">
        <v>502</v>
      </c>
    </row>
    <row r="4010" spans="1:12" x14ac:dyDescent="0.3">
      <c r="A4010" s="72" t="s">
        <v>1367</v>
      </c>
      <c r="B4010" s="55" t="s">
        <v>12</v>
      </c>
      <c r="C4010" s="67" t="s">
        <v>48</v>
      </c>
      <c r="D4010" s="55" t="s">
        <v>52</v>
      </c>
      <c r="E4010" s="19">
        <v>246.69</v>
      </c>
      <c r="F4010" s="19">
        <v>9</v>
      </c>
      <c r="G4010" s="55" t="s">
        <v>11</v>
      </c>
      <c r="H4010" s="74">
        <v>10</v>
      </c>
      <c r="K4010" s="55" t="s">
        <v>25</v>
      </c>
    </row>
    <row r="4011" spans="1:12" x14ac:dyDescent="0.3">
      <c r="H4011" s="74">
        <v>10</v>
      </c>
      <c r="K4011" s="55" t="s">
        <v>84</v>
      </c>
    </row>
    <row r="4012" spans="1:12" x14ac:dyDescent="0.3">
      <c r="H4012" s="74">
        <v>110</v>
      </c>
      <c r="K4012" s="55" t="s">
        <v>96</v>
      </c>
    </row>
    <row r="4013" spans="1:12" x14ac:dyDescent="0.3">
      <c r="H4013" s="74">
        <v>60</v>
      </c>
      <c r="K4013" s="55" t="s">
        <v>32</v>
      </c>
      <c r="L4013" s="60" t="s">
        <v>1353</v>
      </c>
    </row>
    <row r="4014" spans="1:12" x14ac:dyDescent="0.3">
      <c r="H4014" s="74">
        <v>45</v>
      </c>
      <c r="K4014" s="55" t="s">
        <v>32</v>
      </c>
      <c r="L4014" s="60" t="s">
        <v>1375</v>
      </c>
    </row>
    <row r="4015" spans="1:12" x14ac:dyDescent="0.3">
      <c r="H4015" s="74">
        <v>30</v>
      </c>
      <c r="K4015" s="55" t="s">
        <v>34</v>
      </c>
      <c r="L4015" s="60" t="s">
        <v>149</v>
      </c>
    </row>
    <row r="4016" spans="1:12" x14ac:dyDescent="0.3">
      <c r="H4016" s="74">
        <v>40</v>
      </c>
      <c r="K4016" s="55" t="s">
        <v>34</v>
      </c>
      <c r="L4016" s="60" t="s">
        <v>323</v>
      </c>
    </row>
    <row r="4017" spans="1:12" x14ac:dyDescent="0.3">
      <c r="H4017" s="74">
        <v>40</v>
      </c>
      <c r="K4017" s="55" t="s">
        <v>30</v>
      </c>
      <c r="L4017" s="60" t="s">
        <v>502</v>
      </c>
    </row>
    <row r="4018" spans="1:12" x14ac:dyDescent="0.3">
      <c r="H4018" s="74">
        <v>15</v>
      </c>
      <c r="K4018" s="55" t="s">
        <v>33</v>
      </c>
      <c r="L4018" s="60" t="s">
        <v>1374</v>
      </c>
    </row>
    <row r="4019" spans="1:12" x14ac:dyDescent="0.3">
      <c r="A4019" s="72" t="s">
        <v>1376</v>
      </c>
      <c r="B4019" s="55" t="s">
        <v>0</v>
      </c>
      <c r="C4019" s="67" t="s">
        <v>47</v>
      </c>
      <c r="D4019" s="55" t="s">
        <v>50</v>
      </c>
      <c r="E4019" s="19">
        <v>306.54000000000002</v>
      </c>
      <c r="F4019" s="19">
        <v>10</v>
      </c>
      <c r="G4019" s="55" t="s">
        <v>11</v>
      </c>
      <c r="H4019" s="74">
        <v>10</v>
      </c>
      <c r="K4019" s="55" t="s">
        <v>25</v>
      </c>
    </row>
    <row r="4020" spans="1:12" x14ac:dyDescent="0.3">
      <c r="H4020" s="74">
        <v>10</v>
      </c>
      <c r="K4020" s="55" t="s">
        <v>84</v>
      </c>
    </row>
    <row r="4021" spans="1:12" x14ac:dyDescent="0.3">
      <c r="H4021" s="74">
        <v>100</v>
      </c>
      <c r="K4021" s="55" t="s">
        <v>96</v>
      </c>
    </row>
    <row r="4022" spans="1:12" x14ac:dyDescent="0.3">
      <c r="H4022" s="74">
        <v>90</v>
      </c>
      <c r="K4022" s="55" t="s">
        <v>32</v>
      </c>
      <c r="L4022" s="60" t="s">
        <v>1378</v>
      </c>
    </row>
    <row r="4023" spans="1:12" x14ac:dyDescent="0.3">
      <c r="H4023" s="74">
        <v>45</v>
      </c>
      <c r="K4023" s="55" t="s">
        <v>32</v>
      </c>
      <c r="L4023" s="60" t="s">
        <v>1379</v>
      </c>
    </row>
    <row r="4024" spans="1:12" x14ac:dyDescent="0.3">
      <c r="H4024" s="74">
        <v>20</v>
      </c>
      <c r="K4024" s="55" t="s">
        <v>102</v>
      </c>
    </row>
    <row r="4025" spans="1:12" x14ac:dyDescent="0.3">
      <c r="H4025" s="74">
        <v>30</v>
      </c>
      <c r="K4025" s="55" t="s">
        <v>30</v>
      </c>
      <c r="L4025" s="60" t="s">
        <v>1377</v>
      </c>
    </row>
    <row r="4026" spans="1:12" x14ac:dyDescent="0.3">
      <c r="H4026" s="74">
        <v>30</v>
      </c>
      <c r="K4026" s="55" t="s">
        <v>34</v>
      </c>
      <c r="L4026" s="60" t="s">
        <v>149</v>
      </c>
    </row>
    <row r="4027" spans="1:12" x14ac:dyDescent="0.3">
      <c r="H4027" s="74">
        <v>30</v>
      </c>
      <c r="K4027" s="55" t="s">
        <v>34</v>
      </c>
      <c r="L4027" s="60" t="s">
        <v>323</v>
      </c>
    </row>
    <row r="4028" spans="1:12" x14ac:dyDescent="0.3">
      <c r="H4028" s="74">
        <v>10</v>
      </c>
      <c r="K4028" s="55" t="s">
        <v>34</v>
      </c>
      <c r="L4028" s="60" t="s">
        <v>141</v>
      </c>
    </row>
    <row r="4030" spans="1:12" x14ac:dyDescent="0.3">
      <c r="A4030" s="72" t="s">
        <v>1376</v>
      </c>
      <c r="B4030" s="55" t="s">
        <v>10</v>
      </c>
      <c r="C4030" s="67" t="s">
        <v>47</v>
      </c>
      <c r="D4030" s="55" t="s">
        <v>51</v>
      </c>
      <c r="E4030" s="19">
        <v>291.95</v>
      </c>
      <c r="F4030" s="19">
        <v>8</v>
      </c>
      <c r="G4030" s="55" t="s">
        <v>11</v>
      </c>
      <c r="H4030" s="74">
        <v>10</v>
      </c>
      <c r="K4030" s="55" t="s">
        <v>25</v>
      </c>
    </row>
    <row r="4031" spans="1:12" x14ac:dyDescent="0.3">
      <c r="H4031" s="74">
        <v>10</v>
      </c>
      <c r="K4031" s="55" t="s">
        <v>84</v>
      </c>
    </row>
    <row r="4032" spans="1:12" x14ac:dyDescent="0.3">
      <c r="H4032" s="74">
        <v>80</v>
      </c>
      <c r="K4032" s="55" t="s">
        <v>96</v>
      </c>
    </row>
    <row r="4033" spans="1:12" x14ac:dyDescent="0.3">
      <c r="H4033" s="74">
        <v>70</v>
      </c>
      <c r="K4033" s="55" t="s">
        <v>32</v>
      </c>
      <c r="L4033" s="60" t="s">
        <v>1382</v>
      </c>
    </row>
    <row r="4034" spans="1:12" x14ac:dyDescent="0.3">
      <c r="H4034" s="74">
        <v>10</v>
      </c>
      <c r="K4034" s="55" t="s">
        <v>33</v>
      </c>
      <c r="L4034" s="60" t="s">
        <v>1383</v>
      </c>
    </row>
    <row r="4035" spans="1:12" x14ac:dyDescent="0.3">
      <c r="H4035" s="74">
        <v>40</v>
      </c>
      <c r="K4035" s="55" t="s">
        <v>30</v>
      </c>
      <c r="L4035" s="60" t="s">
        <v>652</v>
      </c>
    </row>
    <row r="4036" spans="1:12" x14ac:dyDescent="0.3">
      <c r="H4036" s="74">
        <v>30</v>
      </c>
      <c r="K4036" s="55" t="s">
        <v>34</v>
      </c>
      <c r="L4036" s="60" t="s">
        <v>1380</v>
      </c>
    </row>
    <row r="4037" spans="1:12" x14ac:dyDescent="0.3">
      <c r="H4037" s="74">
        <v>50</v>
      </c>
      <c r="K4037" s="55" t="s">
        <v>34</v>
      </c>
      <c r="L4037" s="60" t="s">
        <v>1386</v>
      </c>
    </row>
    <row r="4038" spans="1:12" x14ac:dyDescent="0.3">
      <c r="H4038" s="74">
        <v>20</v>
      </c>
      <c r="K4038" s="55" t="s">
        <v>102</v>
      </c>
    </row>
    <row r="4039" spans="1:12" x14ac:dyDescent="0.3">
      <c r="H4039" s="74">
        <v>10</v>
      </c>
      <c r="K4039" s="55" t="s">
        <v>34</v>
      </c>
      <c r="L4039" s="60" t="s">
        <v>1381</v>
      </c>
    </row>
    <row r="4040" spans="1:12" x14ac:dyDescent="0.3">
      <c r="H4040" s="74">
        <v>30</v>
      </c>
      <c r="K4040" s="55" t="s">
        <v>33</v>
      </c>
      <c r="L4040" s="60" t="s">
        <v>1384</v>
      </c>
    </row>
    <row r="4041" spans="1:12" x14ac:dyDescent="0.3">
      <c r="H4041" s="74">
        <v>20</v>
      </c>
      <c r="K4041" s="55" t="s">
        <v>55</v>
      </c>
      <c r="L4041" s="60" t="s">
        <v>1385</v>
      </c>
    </row>
    <row r="4043" spans="1:12" x14ac:dyDescent="0.3">
      <c r="A4043" s="72" t="s">
        <v>1376</v>
      </c>
      <c r="B4043" s="55" t="s">
        <v>12</v>
      </c>
      <c r="C4043" s="67" t="s">
        <v>46</v>
      </c>
      <c r="D4043" s="55" t="s">
        <v>52</v>
      </c>
      <c r="E4043" s="19">
        <v>271.83</v>
      </c>
      <c r="F4043" s="19">
        <v>8</v>
      </c>
      <c r="G4043" s="55" t="s">
        <v>11</v>
      </c>
      <c r="H4043" s="74">
        <v>10</v>
      </c>
      <c r="K4043" s="55" t="s">
        <v>25</v>
      </c>
    </row>
    <row r="4044" spans="1:12" x14ac:dyDescent="0.3">
      <c r="H4044" s="74">
        <v>10</v>
      </c>
      <c r="K4044" s="55" t="s">
        <v>84</v>
      </c>
    </row>
    <row r="4045" spans="1:12" x14ac:dyDescent="0.3">
      <c r="H4045" s="74">
        <v>90</v>
      </c>
      <c r="K4045" s="55" t="s">
        <v>96</v>
      </c>
    </row>
    <row r="4046" spans="1:12" x14ac:dyDescent="0.3">
      <c r="H4046" s="74">
        <v>60</v>
      </c>
      <c r="K4046" s="55" t="s">
        <v>32</v>
      </c>
      <c r="L4046" s="60" t="s">
        <v>1353</v>
      </c>
    </row>
    <row r="4047" spans="1:12" x14ac:dyDescent="0.3">
      <c r="H4047" s="74">
        <v>20</v>
      </c>
      <c r="K4047" s="55" t="s">
        <v>102</v>
      </c>
    </row>
    <row r="4048" spans="1:12" x14ac:dyDescent="0.3">
      <c r="H4048" s="74">
        <v>30</v>
      </c>
      <c r="K4048" s="55" t="s">
        <v>34</v>
      </c>
      <c r="L4048" s="60" t="s">
        <v>149</v>
      </c>
    </row>
    <row r="4049" spans="1:12" x14ac:dyDescent="0.3">
      <c r="H4049" s="74">
        <v>40</v>
      </c>
      <c r="K4049" s="55" t="s">
        <v>34</v>
      </c>
      <c r="L4049" s="60" t="s">
        <v>323</v>
      </c>
    </row>
    <row r="4050" spans="1:12" x14ac:dyDescent="0.3">
      <c r="H4050" s="74">
        <v>40</v>
      </c>
      <c r="K4050" s="55" t="s">
        <v>30</v>
      </c>
      <c r="L4050" s="60" t="s">
        <v>502</v>
      </c>
    </row>
    <row r="4051" spans="1:12" x14ac:dyDescent="0.3">
      <c r="H4051" s="74">
        <v>30</v>
      </c>
      <c r="K4051" s="55" t="s">
        <v>33</v>
      </c>
      <c r="L4051" s="60" t="s">
        <v>1387</v>
      </c>
    </row>
    <row r="4053" spans="1:12" x14ac:dyDescent="0.3">
      <c r="A4053" s="72" t="s">
        <v>1388</v>
      </c>
      <c r="B4053" s="55" t="s">
        <v>0</v>
      </c>
      <c r="C4053" s="67" t="s">
        <v>47</v>
      </c>
      <c r="D4053" s="55" t="s">
        <v>50</v>
      </c>
      <c r="E4053" s="19">
        <v>126.03</v>
      </c>
      <c r="F4053" s="19">
        <v>4</v>
      </c>
      <c r="G4053" s="55" t="s">
        <v>11</v>
      </c>
      <c r="H4053" s="19">
        <v>10</v>
      </c>
      <c r="I4053" s="55"/>
      <c r="K4053" s="55" t="s">
        <v>25</v>
      </c>
    </row>
    <row r="4054" spans="1:12" x14ac:dyDescent="0.3">
      <c r="H4054" s="74">
        <v>10</v>
      </c>
      <c r="K4054" s="55" t="s">
        <v>84</v>
      </c>
    </row>
    <row r="4055" spans="1:12" x14ac:dyDescent="0.3">
      <c r="H4055" s="74">
        <v>40</v>
      </c>
      <c r="K4055" s="55" t="s">
        <v>96</v>
      </c>
    </row>
    <row r="4056" spans="1:12" x14ac:dyDescent="0.3">
      <c r="H4056" s="74">
        <v>30</v>
      </c>
      <c r="K4056" s="55" t="s">
        <v>32</v>
      </c>
      <c r="L4056" s="60" t="s">
        <v>460</v>
      </c>
    </row>
    <row r="4057" spans="1:12" x14ac:dyDescent="0.3">
      <c r="H4057" s="74">
        <v>20</v>
      </c>
      <c r="K4057" s="55" t="s">
        <v>102</v>
      </c>
    </row>
    <row r="4058" spans="1:12" x14ac:dyDescent="0.3">
      <c r="H4058" s="74">
        <v>290</v>
      </c>
      <c r="K4058" s="55" t="s">
        <v>33</v>
      </c>
      <c r="L4058" s="60" t="s">
        <v>538</v>
      </c>
    </row>
    <row r="4060" spans="1:12" x14ac:dyDescent="0.3">
      <c r="A4060" s="72" t="s">
        <v>1388</v>
      </c>
      <c r="B4060" s="55" t="s">
        <v>10</v>
      </c>
      <c r="C4060" s="67" t="s">
        <v>188</v>
      </c>
      <c r="D4060" s="55" t="s">
        <v>51</v>
      </c>
      <c r="E4060" s="19">
        <v>51.97</v>
      </c>
      <c r="F4060" s="19">
        <v>2</v>
      </c>
      <c r="G4060" s="55" t="s">
        <v>11</v>
      </c>
      <c r="H4060" s="74">
        <v>290</v>
      </c>
      <c r="K4060" s="55" t="s">
        <v>33</v>
      </c>
      <c r="L4060" s="60" t="s">
        <v>538</v>
      </c>
    </row>
    <row r="4061" spans="1:12" x14ac:dyDescent="0.3">
      <c r="H4061" s="74">
        <v>30</v>
      </c>
      <c r="K4061" s="55" t="s">
        <v>96</v>
      </c>
    </row>
    <row r="4062" spans="1:12" x14ac:dyDescent="0.3">
      <c r="H4062" s="74">
        <v>20</v>
      </c>
      <c r="K4062" s="55" t="s">
        <v>34</v>
      </c>
      <c r="L4062" s="60" t="s">
        <v>149</v>
      </c>
    </row>
    <row r="4063" spans="1:12" x14ac:dyDescent="0.3">
      <c r="H4063" s="74">
        <v>25</v>
      </c>
      <c r="K4063" s="55" t="s">
        <v>34</v>
      </c>
      <c r="L4063" s="60" t="s">
        <v>323</v>
      </c>
    </row>
    <row r="4064" spans="1:12" x14ac:dyDescent="0.3">
      <c r="H4064" s="74">
        <v>25</v>
      </c>
      <c r="K4064" s="55" t="s">
        <v>55</v>
      </c>
      <c r="L4064" s="60" t="s">
        <v>1389</v>
      </c>
    </row>
    <row r="4065" spans="1:12" x14ac:dyDescent="0.3">
      <c r="H4065" s="74">
        <v>40</v>
      </c>
      <c r="K4065" s="55" t="s">
        <v>55</v>
      </c>
      <c r="L4065" s="60" t="s">
        <v>1390</v>
      </c>
    </row>
    <row r="4067" spans="1:12" x14ac:dyDescent="0.3">
      <c r="A4067" s="72" t="s">
        <v>1388</v>
      </c>
      <c r="B4067" s="55" t="s">
        <v>12</v>
      </c>
      <c r="C4067" s="67" t="s">
        <v>46</v>
      </c>
      <c r="D4067" s="55" t="s">
        <v>52</v>
      </c>
      <c r="E4067" s="19">
        <v>347.6</v>
      </c>
      <c r="F4067" s="19">
        <v>11</v>
      </c>
      <c r="G4067" s="55" t="s">
        <v>11</v>
      </c>
      <c r="H4067" s="74">
        <v>10</v>
      </c>
      <c r="K4067" s="55" t="s">
        <v>25</v>
      </c>
    </row>
    <row r="4068" spans="1:12" x14ac:dyDescent="0.3">
      <c r="H4068" s="74">
        <v>10</v>
      </c>
      <c r="K4068" s="55" t="s">
        <v>84</v>
      </c>
    </row>
    <row r="4069" spans="1:12" x14ac:dyDescent="0.3">
      <c r="H4069" s="74">
        <v>110</v>
      </c>
      <c r="K4069" s="55" t="s">
        <v>96</v>
      </c>
    </row>
    <row r="4070" spans="1:12" x14ac:dyDescent="0.3">
      <c r="H4070" s="74">
        <v>60</v>
      </c>
      <c r="K4070" s="55" t="s">
        <v>32</v>
      </c>
      <c r="L4070" s="60" t="s">
        <v>1353</v>
      </c>
    </row>
    <row r="4071" spans="1:12" x14ac:dyDescent="0.3">
      <c r="H4071" s="74">
        <v>60</v>
      </c>
      <c r="K4071" s="55" t="s">
        <v>32</v>
      </c>
      <c r="L4071" s="60" t="s">
        <v>711</v>
      </c>
    </row>
    <row r="4072" spans="1:12" x14ac:dyDescent="0.3">
      <c r="H4072" s="74">
        <v>20</v>
      </c>
      <c r="K4072" s="55" t="s">
        <v>102</v>
      </c>
    </row>
    <row r="4073" spans="1:12" x14ac:dyDescent="0.3">
      <c r="H4073" s="74">
        <v>30</v>
      </c>
      <c r="K4073" s="55" t="s">
        <v>34</v>
      </c>
      <c r="L4073" s="60" t="s">
        <v>149</v>
      </c>
    </row>
    <row r="4074" spans="1:12" x14ac:dyDescent="0.3">
      <c r="H4074" s="74">
        <v>20</v>
      </c>
      <c r="K4074" s="55" t="s">
        <v>30</v>
      </c>
      <c r="L4074" s="60" t="s">
        <v>1391</v>
      </c>
    </row>
    <row r="4075" spans="1:12" x14ac:dyDescent="0.3">
      <c r="H4075" s="74">
        <v>55</v>
      </c>
      <c r="K4075" s="55" t="s">
        <v>33</v>
      </c>
      <c r="L4075" s="60" t="s">
        <v>184</v>
      </c>
    </row>
    <row r="4077" spans="1:12" x14ac:dyDescent="0.3">
      <c r="A4077" s="72" t="s">
        <v>1392</v>
      </c>
      <c r="B4077" s="55" t="s">
        <v>0</v>
      </c>
      <c r="C4077" s="67" t="s">
        <v>47</v>
      </c>
      <c r="D4077" s="55" t="s">
        <v>50</v>
      </c>
      <c r="E4077" s="19">
        <v>352.84</v>
      </c>
      <c r="F4077" s="19">
        <v>11</v>
      </c>
      <c r="G4077" s="55" t="s">
        <v>11</v>
      </c>
      <c r="H4077" s="74">
        <v>10</v>
      </c>
      <c r="K4077" s="55" t="s">
        <v>25</v>
      </c>
    </row>
    <row r="4078" spans="1:12" x14ac:dyDescent="0.3">
      <c r="H4078" s="74">
        <v>10</v>
      </c>
      <c r="K4078" s="55" t="s">
        <v>84</v>
      </c>
    </row>
    <row r="4079" spans="1:12" x14ac:dyDescent="0.3">
      <c r="H4079" s="74">
        <v>110</v>
      </c>
      <c r="K4079" s="55" t="s">
        <v>33</v>
      </c>
      <c r="L4079" s="60" t="s">
        <v>1393</v>
      </c>
    </row>
    <row r="4080" spans="1:12" x14ac:dyDescent="0.3">
      <c r="H4080" s="74">
        <v>110</v>
      </c>
      <c r="K4080" s="55" t="s">
        <v>96</v>
      </c>
    </row>
    <row r="4081" spans="1:13" s="107" customFormat="1" ht="19.5" customHeight="1" x14ac:dyDescent="0.3">
      <c r="A4081" s="103"/>
      <c r="B4081" s="74"/>
      <c r="C4081" s="104"/>
      <c r="D4081" s="74"/>
      <c r="E4081" s="74"/>
      <c r="F4081" s="74"/>
      <c r="G4081" s="74"/>
      <c r="H4081" s="74">
        <v>30</v>
      </c>
      <c r="I4081" s="105"/>
      <c r="J4081" s="105"/>
      <c r="K4081" s="55" t="s">
        <v>32</v>
      </c>
      <c r="L4081" s="106" t="s">
        <v>460</v>
      </c>
      <c r="M4081" s="106"/>
    </row>
    <row r="4082" spans="1:13" x14ac:dyDescent="0.3">
      <c r="H4082" s="74">
        <v>20</v>
      </c>
      <c r="K4082" s="55" t="s">
        <v>32</v>
      </c>
      <c r="L4082" s="60" t="s">
        <v>236</v>
      </c>
    </row>
    <row r="4083" spans="1:13" x14ac:dyDescent="0.3">
      <c r="H4083" s="74">
        <v>20</v>
      </c>
      <c r="K4083" s="55" t="s">
        <v>30</v>
      </c>
      <c r="L4083" s="60" t="s">
        <v>136</v>
      </c>
    </row>
    <row r="4084" spans="1:13" x14ac:dyDescent="0.3">
      <c r="H4084" s="74">
        <v>20</v>
      </c>
      <c r="K4084" s="55" t="s">
        <v>102</v>
      </c>
    </row>
    <row r="4086" spans="1:13" x14ac:dyDescent="0.3">
      <c r="A4086" s="72" t="s">
        <v>1392</v>
      </c>
      <c r="B4086" s="55" t="s">
        <v>10</v>
      </c>
      <c r="C4086" s="67" t="s">
        <v>188</v>
      </c>
      <c r="D4086" s="55" t="s">
        <v>51</v>
      </c>
      <c r="E4086" s="19">
        <v>303.89999999999998</v>
      </c>
      <c r="F4086" s="19">
        <v>11</v>
      </c>
      <c r="G4086" s="55" t="s">
        <v>11</v>
      </c>
      <c r="H4086" s="74">
        <v>10</v>
      </c>
      <c r="K4086" s="55" t="s">
        <v>25</v>
      </c>
    </row>
    <row r="4087" spans="1:13" x14ac:dyDescent="0.3">
      <c r="H4087" s="74">
        <v>10</v>
      </c>
      <c r="K4087" s="55" t="s">
        <v>84</v>
      </c>
    </row>
    <row r="4088" spans="1:13" x14ac:dyDescent="0.3">
      <c r="H4088" s="74">
        <v>110</v>
      </c>
      <c r="K4088" s="55" t="s">
        <v>96</v>
      </c>
    </row>
    <row r="4089" spans="1:13" x14ac:dyDescent="0.3">
      <c r="H4089" s="74">
        <v>40</v>
      </c>
      <c r="K4089" s="55" t="s">
        <v>32</v>
      </c>
      <c r="L4089" s="60" t="s">
        <v>391</v>
      </c>
    </row>
    <row r="4090" spans="1:13" x14ac:dyDescent="0.3">
      <c r="H4090" s="74">
        <v>20</v>
      </c>
      <c r="K4090" s="55" t="s">
        <v>32</v>
      </c>
      <c r="L4090" s="60" t="s">
        <v>1396</v>
      </c>
    </row>
    <row r="4091" spans="1:13" x14ac:dyDescent="0.3">
      <c r="H4091" s="74">
        <v>40</v>
      </c>
      <c r="K4091" s="55" t="s">
        <v>30</v>
      </c>
      <c r="L4091" s="60" t="s">
        <v>250</v>
      </c>
    </row>
    <row r="4092" spans="1:13" x14ac:dyDescent="0.3">
      <c r="H4092" s="74">
        <v>15</v>
      </c>
      <c r="K4092" s="55" t="s">
        <v>33</v>
      </c>
      <c r="L4092" s="60" t="s">
        <v>1395</v>
      </c>
    </row>
    <row r="4093" spans="1:13" x14ac:dyDescent="0.3">
      <c r="H4093" s="74">
        <v>30</v>
      </c>
      <c r="K4093" s="55" t="s">
        <v>34</v>
      </c>
      <c r="L4093" s="60" t="s">
        <v>268</v>
      </c>
      <c r="M4093" s="1" t="s">
        <v>1394</v>
      </c>
    </row>
    <row r="4094" spans="1:13" x14ac:dyDescent="0.3">
      <c r="H4094" s="74">
        <v>20</v>
      </c>
      <c r="K4094" s="55" t="s">
        <v>102</v>
      </c>
    </row>
    <row r="4095" spans="1:13" x14ac:dyDescent="0.3">
      <c r="H4095" s="74">
        <v>20</v>
      </c>
      <c r="K4095" s="55" t="s">
        <v>55</v>
      </c>
      <c r="L4095" s="60" t="s">
        <v>1398</v>
      </c>
    </row>
    <row r="4096" spans="1:13" x14ac:dyDescent="0.3">
      <c r="H4096" s="74">
        <v>15</v>
      </c>
      <c r="K4096" s="55" t="s">
        <v>55</v>
      </c>
      <c r="L4096" s="60" t="s">
        <v>1397</v>
      </c>
    </row>
    <row r="4098" spans="1:12" x14ac:dyDescent="0.3">
      <c r="A4098" s="72" t="s">
        <v>1392</v>
      </c>
      <c r="B4098" s="55" t="s">
        <v>12</v>
      </c>
      <c r="C4098" s="67" t="s">
        <v>46</v>
      </c>
      <c r="D4098" s="55" t="s">
        <v>52</v>
      </c>
      <c r="E4098" s="19">
        <v>277.04000000000002</v>
      </c>
      <c r="F4098" s="19">
        <v>9</v>
      </c>
      <c r="G4098" s="55" t="s">
        <v>11</v>
      </c>
      <c r="H4098" s="74">
        <v>10</v>
      </c>
      <c r="K4098" s="55" t="s">
        <v>25</v>
      </c>
    </row>
    <row r="4099" spans="1:12" x14ac:dyDescent="0.3">
      <c r="H4099" s="74">
        <v>10</v>
      </c>
      <c r="K4099" s="55" t="s">
        <v>84</v>
      </c>
    </row>
    <row r="4100" spans="1:12" x14ac:dyDescent="0.3">
      <c r="H4100" s="74">
        <v>90</v>
      </c>
      <c r="K4100" s="55" t="s">
        <v>96</v>
      </c>
    </row>
    <row r="4101" spans="1:12" x14ac:dyDescent="0.3">
      <c r="H4101" s="74">
        <v>30</v>
      </c>
      <c r="K4101" s="55" t="s">
        <v>32</v>
      </c>
      <c r="L4101" s="60" t="s">
        <v>1363</v>
      </c>
    </row>
    <row r="4102" spans="1:12" x14ac:dyDescent="0.3">
      <c r="H4102" s="74">
        <v>20</v>
      </c>
      <c r="K4102" s="55" t="s">
        <v>102</v>
      </c>
    </row>
    <row r="4103" spans="1:12" x14ac:dyDescent="0.3">
      <c r="H4103" s="74">
        <v>20</v>
      </c>
      <c r="K4103" s="55" t="s">
        <v>34</v>
      </c>
      <c r="L4103" s="60" t="s">
        <v>794</v>
      </c>
    </row>
    <row r="4104" spans="1:12" x14ac:dyDescent="0.3">
      <c r="H4104" s="74">
        <v>10</v>
      </c>
      <c r="K4104" s="55" t="s">
        <v>34</v>
      </c>
      <c r="L4104" s="60" t="s">
        <v>149</v>
      </c>
    </row>
    <row r="4105" spans="1:12" x14ac:dyDescent="0.3">
      <c r="H4105" s="74">
        <v>20</v>
      </c>
      <c r="K4105" s="55" t="s">
        <v>30</v>
      </c>
      <c r="L4105" s="60" t="s">
        <v>1391</v>
      </c>
    </row>
    <row r="4106" spans="1:12" x14ac:dyDescent="0.3">
      <c r="H4106" s="74">
        <v>15</v>
      </c>
      <c r="K4106" s="55" t="s">
        <v>33</v>
      </c>
      <c r="L4106" s="60" t="s">
        <v>1325</v>
      </c>
    </row>
    <row r="4107" spans="1:12" x14ac:dyDescent="0.3">
      <c r="H4107" s="74">
        <v>20</v>
      </c>
      <c r="K4107" s="55" t="s">
        <v>33</v>
      </c>
      <c r="L4107" s="60" t="s">
        <v>454</v>
      </c>
    </row>
    <row r="4108" spans="1:12" x14ac:dyDescent="0.3">
      <c r="H4108" s="74">
        <v>50</v>
      </c>
      <c r="K4108" s="55" t="s">
        <v>55</v>
      </c>
      <c r="L4108" s="60" t="s">
        <v>1399</v>
      </c>
    </row>
    <row r="4109" spans="1:12" x14ac:dyDescent="0.3">
      <c r="H4109" s="74">
        <v>40</v>
      </c>
      <c r="K4109" s="55" t="s">
        <v>55</v>
      </c>
      <c r="L4109" s="60" t="s">
        <v>522</v>
      </c>
    </row>
    <row r="4110" spans="1:12" x14ac:dyDescent="0.3">
      <c r="H4110" s="74">
        <v>20</v>
      </c>
      <c r="K4110" s="55" t="s">
        <v>33</v>
      </c>
      <c r="L4110" s="60" t="s">
        <v>1400</v>
      </c>
    </row>
    <row r="4111" spans="1:12" x14ac:dyDescent="0.3">
      <c r="H4111" s="74">
        <v>20</v>
      </c>
      <c r="K4111" s="55" t="s">
        <v>32</v>
      </c>
      <c r="L4111" s="60" t="s">
        <v>333</v>
      </c>
    </row>
    <row r="4112" spans="1:12" x14ac:dyDescent="0.3">
      <c r="A4112" s="72" t="s">
        <v>1401</v>
      </c>
      <c r="B4112" s="55" t="s">
        <v>0</v>
      </c>
      <c r="C4112" s="67" t="s">
        <v>47</v>
      </c>
      <c r="D4112" s="55" t="s">
        <v>50</v>
      </c>
      <c r="E4112" s="19">
        <v>210.71</v>
      </c>
      <c r="F4112" s="19">
        <v>7</v>
      </c>
      <c r="G4112" s="55" t="s">
        <v>11</v>
      </c>
      <c r="H4112" s="74">
        <v>10</v>
      </c>
      <c r="K4112" s="55" t="s">
        <v>25</v>
      </c>
    </row>
    <row r="4113" spans="1:13" x14ac:dyDescent="0.3">
      <c r="H4113" s="74">
        <v>10</v>
      </c>
      <c r="K4113" s="55" t="s">
        <v>84</v>
      </c>
    </row>
    <row r="4114" spans="1:13" x14ac:dyDescent="0.3">
      <c r="H4114" s="74">
        <v>20</v>
      </c>
      <c r="K4114" s="55" t="s">
        <v>32</v>
      </c>
      <c r="L4114" s="60" t="s">
        <v>1404</v>
      </c>
    </row>
    <row r="4115" spans="1:13" x14ac:dyDescent="0.3">
      <c r="H4115" s="74">
        <v>70</v>
      </c>
      <c r="K4115" s="55" t="s">
        <v>96</v>
      </c>
    </row>
    <row r="4116" spans="1:13" x14ac:dyDescent="0.3">
      <c r="A4116" s="103"/>
      <c r="B4116" s="74"/>
      <c r="C4116" s="104"/>
      <c r="D4116" s="74"/>
      <c r="E4116" s="74"/>
      <c r="F4116" s="74"/>
      <c r="G4116" s="74"/>
      <c r="H4116" s="74">
        <v>60</v>
      </c>
      <c r="I4116" s="105"/>
      <c r="J4116" s="105"/>
      <c r="K4116" s="55" t="s">
        <v>32</v>
      </c>
      <c r="L4116" s="106" t="s">
        <v>802</v>
      </c>
    </row>
    <row r="4117" spans="1:13" x14ac:dyDescent="0.3">
      <c r="A4117" s="103"/>
      <c r="B4117" s="74"/>
      <c r="C4117" s="104"/>
      <c r="D4117" s="74"/>
      <c r="E4117" s="74"/>
      <c r="F4117" s="74"/>
      <c r="G4117" s="74"/>
      <c r="H4117" s="74">
        <v>40</v>
      </c>
      <c r="I4117" s="105"/>
      <c r="J4117" s="105"/>
      <c r="K4117" s="55" t="s">
        <v>34</v>
      </c>
      <c r="L4117" s="60" t="s">
        <v>794</v>
      </c>
    </row>
    <row r="4118" spans="1:13" x14ac:dyDescent="0.3">
      <c r="A4118" s="103"/>
      <c r="B4118" s="74"/>
      <c r="C4118" s="104"/>
      <c r="D4118" s="74"/>
      <c r="E4118" s="74"/>
      <c r="F4118" s="74"/>
      <c r="G4118" s="74"/>
      <c r="H4118" s="74">
        <v>20</v>
      </c>
      <c r="I4118" s="105"/>
      <c r="J4118" s="105"/>
      <c r="K4118" s="55" t="s">
        <v>34</v>
      </c>
      <c r="L4118" s="60" t="s">
        <v>149</v>
      </c>
    </row>
    <row r="4119" spans="1:13" x14ac:dyDescent="0.3">
      <c r="A4119" s="103"/>
      <c r="B4119" s="74"/>
      <c r="C4119" s="104"/>
      <c r="D4119" s="74"/>
      <c r="E4119" s="74"/>
      <c r="F4119" s="74"/>
      <c r="G4119" s="74"/>
      <c r="H4119" s="74">
        <v>15</v>
      </c>
      <c r="I4119" s="105"/>
      <c r="J4119" s="105"/>
      <c r="K4119" s="55" t="s">
        <v>33</v>
      </c>
      <c r="L4119" s="60" t="s">
        <v>1402</v>
      </c>
    </row>
    <row r="4120" spans="1:13" x14ac:dyDescent="0.3">
      <c r="H4120" s="74">
        <v>20</v>
      </c>
      <c r="K4120" s="55" t="s">
        <v>32</v>
      </c>
      <c r="L4120" s="60" t="s">
        <v>1407</v>
      </c>
    </row>
    <row r="4121" spans="1:13" x14ac:dyDescent="0.3">
      <c r="H4121" s="74">
        <v>60</v>
      </c>
      <c r="K4121" s="55" t="s">
        <v>55</v>
      </c>
      <c r="L4121" s="60" t="s">
        <v>1405</v>
      </c>
      <c r="M4121" s="60" t="s">
        <v>1406</v>
      </c>
    </row>
    <row r="4122" spans="1:13" x14ac:dyDescent="0.3">
      <c r="H4122" s="74">
        <v>30</v>
      </c>
      <c r="K4122" s="55" t="s">
        <v>30</v>
      </c>
      <c r="L4122" s="60" t="s">
        <v>136</v>
      </c>
    </row>
    <row r="4123" spans="1:13" x14ac:dyDescent="0.3">
      <c r="H4123" s="74">
        <v>20</v>
      </c>
      <c r="K4123" s="55" t="s">
        <v>102</v>
      </c>
    </row>
    <row r="4125" spans="1:13" x14ac:dyDescent="0.3">
      <c r="A4125" s="72" t="s">
        <v>1401</v>
      </c>
      <c r="B4125" s="55" t="s">
        <v>10</v>
      </c>
      <c r="C4125" s="67" t="s">
        <v>188</v>
      </c>
      <c r="D4125" s="55" t="s">
        <v>51</v>
      </c>
      <c r="E4125" s="19">
        <v>281.76</v>
      </c>
      <c r="F4125" s="19">
        <v>11</v>
      </c>
      <c r="G4125" s="55" t="s">
        <v>11</v>
      </c>
      <c r="H4125" s="74">
        <v>10</v>
      </c>
      <c r="K4125" s="55" t="s">
        <v>25</v>
      </c>
    </row>
    <row r="4126" spans="1:13" x14ac:dyDescent="0.3">
      <c r="H4126" s="74">
        <v>10</v>
      </c>
      <c r="K4126" s="55" t="s">
        <v>84</v>
      </c>
    </row>
    <row r="4127" spans="1:13" x14ac:dyDescent="0.3">
      <c r="H4127" s="74">
        <v>30</v>
      </c>
      <c r="K4127" s="55" t="s">
        <v>32</v>
      </c>
      <c r="L4127" s="60" t="s">
        <v>236</v>
      </c>
    </row>
    <row r="4128" spans="1:13" x14ac:dyDescent="0.3">
      <c r="H4128" s="74">
        <v>110</v>
      </c>
      <c r="K4128" s="55" t="s">
        <v>96</v>
      </c>
    </row>
    <row r="4129" spans="1:12" x14ac:dyDescent="0.3">
      <c r="H4129" s="74">
        <v>30</v>
      </c>
      <c r="K4129" s="55" t="s">
        <v>34</v>
      </c>
      <c r="L4129" s="60" t="s">
        <v>794</v>
      </c>
    </row>
    <row r="4130" spans="1:12" x14ac:dyDescent="0.3">
      <c r="H4130" s="74">
        <v>20</v>
      </c>
      <c r="K4130" s="55" t="s">
        <v>34</v>
      </c>
      <c r="L4130" s="60" t="s">
        <v>149</v>
      </c>
    </row>
    <row r="4131" spans="1:12" x14ac:dyDescent="0.3">
      <c r="H4131" s="74">
        <v>40</v>
      </c>
      <c r="K4131" s="55" t="s">
        <v>32</v>
      </c>
      <c r="L4131" s="60" t="s">
        <v>460</v>
      </c>
    </row>
    <row r="4132" spans="1:12" x14ac:dyDescent="0.3">
      <c r="H4132" s="74">
        <v>30</v>
      </c>
      <c r="K4132" s="55" t="s">
        <v>30</v>
      </c>
    </row>
    <row r="4133" spans="1:12" x14ac:dyDescent="0.3">
      <c r="H4133" s="74">
        <v>30</v>
      </c>
      <c r="K4133" s="55" t="s">
        <v>102</v>
      </c>
    </row>
    <row r="4134" spans="1:12" x14ac:dyDescent="0.3">
      <c r="H4134" s="74">
        <v>30</v>
      </c>
      <c r="K4134" s="55" t="s">
        <v>33</v>
      </c>
      <c r="L4134" s="60" t="s">
        <v>1408</v>
      </c>
    </row>
    <row r="4137" spans="1:12" x14ac:dyDescent="0.3">
      <c r="A4137" s="72" t="s">
        <v>1401</v>
      </c>
      <c r="B4137" s="55" t="s">
        <v>12</v>
      </c>
      <c r="C4137" s="67" t="s">
        <v>46</v>
      </c>
      <c r="D4137" s="55" t="s">
        <v>52</v>
      </c>
      <c r="E4137" s="19">
        <v>214.04</v>
      </c>
      <c r="F4137" s="19">
        <v>8</v>
      </c>
      <c r="G4137" s="55" t="s">
        <v>11</v>
      </c>
      <c r="H4137" s="74">
        <v>10</v>
      </c>
      <c r="K4137" s="55" t="s">
        <v>25</v>
      </c>
    </row>
    <row r="4138" spans="1:12" x14ac:dyDescent="0.3">
      <c r="H4138" s="74">
        <v>10</v>
      </c>
      <c r="K4138" s="55" t="s">
        <v>84</v>
      </c>
    </row>
    <row r="4139" spans="1:12" x14ac:dyDescent="0.3">
      <c r="H4139" s="74">
        <v>90</v>
      </c>
      <c r="K4139" s="55" t="s">
        <v>96</v>
      </c>
    </row>
    <row r="4140" spans="1:12" x14ac:dyDescent="0.3">
      <c r="H4140" s="74">
        <v>20</v>
      </c>
      <c r="K4140" s="55" t="s">
        <v>32</v>
      </c>
      <c r="L4140" s="60" t="s">
        <v>236</v>
      </c>
    </row>
    <row r="4141" spans="1:12" x14ac:dyDescent="0.3">
      <c r="H4141" s="74">
        <v>30</v>
      </c>
      <c r="K4141" s="55" t="s">
        <v>32</v>
      </c>
      <c r="L4141" s="60" t="s">
        <v>1363</v>
      </c>
    </row>
    <row r="4142" spans="1:12" x14ac:dyDescent="0.3">
      <c r="H4142" s="74">
        <v>20</v>
      </c>
      <c r="K4142" s="55" t="s">
        <v>102</v>
      </c>
    </row>
    <row r="4143" spans="1:12" x14ac:dyDescent="0.3">
      <c r="H4143" s="74">
        <v>20</v>
      </c>
      <c r="K4143" s="55" t="s">
        <v>34</v>
      </c>
      <c r="L4143" s="60" t="s">
        <v>794</v>
      </c>
    </row>
    <row r="4144" spans="1:12" x14ac:dyDescent="0.3">
      <c r="H4144" s="74">
        <v>10</v>
      </c>
      <c r="K4144" s="55" t="s">
        <v>34</v>
      </c>
      <c r="L4144" s="60" t="s">
        <v>149</v>
      </c>
    </row>
    <row r="4145" spans="1:12" x14ac:dyDescent="0.3">
      <c r="H4145" s="74">
        <v>30</v>
      </c>
      <c r="K4145" s="55" t="s">
        <v>30</v>
      </c>
      <c r="L4145" s="60" t="s">
        <v>1412</v>
      </c>
    </row>
    <row r="4146" spans="1:12" x14ac:dyDescent="0.3">
      <c r="H4146" s="74">
        <v>20</v>
      </c>
      <c r="K4146" s="55" t="s">
        <v>33</v>
      </c>
      <c r="L4146" s="60" t="s">
        <v>1409</v>
      </c>
    </row>
    <row r="4147" spans="1:12" x14ac:dyDescent="0.3">
      <c r="H4147" s="74">
        <v>35</v>
      </c>
      <c r="K4147" s="55" t="s">
        <v>33</v>
      </c>
      <c r="L4147" s="60" t="s">
        <v>1411</v>
      </c>
    </row>
    <row r="4148" spans="1:12" x14ac:dyDescent="0.3">
      <c r="H4148" s="74">
        <v>30</v>
      </c>
      <c r="K4148" s="55" t="s">
        <v>55</v>
      </c>
      <c r="L4148" s="60" t="s">
        <v>1410</v>
      </c>
    </row>
    <row r="4149" spans="1:12" x14ac:dyDescent="0.3">
      <c r="H4149" s="74">
        <v>30</v>
      </c>
      <c r="K4149" s="55" t="s">
        <v>55</v>
      </c>
      <c r="L4149" s="60" t="s">
        <v>1413</v>
      </c>
    </row>
    <row r="4150" spans="1:12" x14ac:dyDescent="0.3">
      <c r="A4150" s="72" t="s">
        <v>1414</v>
      </c>
      <c r="B4150" s="55" t="s">
        <v>0</v>
      </c>
      <c r="C4150" s="67" t="s">
        <v>47</v>
      </c>
      <c r="D4150" s="55" t="s">
        <v>50</v>
      </c>
      <c r="E4150" s="19">
        <v>356.41</v>
      </c>
      <c r="F4150" s="19">
        <v>11</v>
      </c>
      <c r="G4150" s="55" t="s">
        <v>11</v>
      </c>
      <c r="H4150" s="74">
        <v>10</v>
      </c>
      <c r="K4150" s="55" t="s">
        <v>25</v>
      </c>
    </row>
    <row r="4151" spans="1:12" x14ac:dyDescent="0.3">
      <c r="H4151" s="74">
        <v>10</v>
      </c>
      <c r="K4151" s="55" t="s">
        <v>84</v>
      </c>
    </row>
    <row r="4152" spans="1:12" x14ac:dyDescent="0.3">
      <c r="H4152" s="74">
        <v>110</v>
      </c>
      <c r="K4152" s="55" t="s">
        <v>96</v>
      </c>
    </row>
    <row r="4153" spans="1:12" x14ac:dyDescent="0.3">
      <c r="A4153" s="103"/>
      <c r="B4153" s="74"/>
      <c r="C4153" s="104"/>
      <c r="D4153" s="74"/>
      <c r="E4153" s="74"/>
      <c r="F4153" s="74"/>
      <c r="G4153" s="74"/>
      <c r="H4153" s="74">
        <v>30</v>
      </c>
      <c r="I4153" s="105"/>
      <c r="J4153" s="105"/>
      <c r="K4153" s="55" t="s">
        <v>32</v>
      </c>
      <c r="L4153" s="106" t="s">
        <v>942</v>
      </c>
    </row>
    <row r="4154" spans="1:12" x14ac:dyDescent="0.3">
      <c r="A4154" s="103"/>
      <c r="B4154" s="74"/>
      <c r="C4154" s="104"/>
      <c r="D4154" s="74"/>
      <c r="E4154" s="74"/>
      <c r="F4154" s="74"/>
      <c r="G4154" s="74"/>
      <c r="H4154" s="74">
        <v>40</v>
      </c>
      <c r="I4154" s="105"/>
      <c r="J4154" s="105"/>
      <c r="K4154" s="55" t="s">
        <v>34</v>
      </c>
      <c r="L4154" s="60" t="s">
        <v>794</v>
      </c>
    </row>
    <row r="4155" spans="1:12" x14ac:dyDescent="0.3">
      <c r="A4155" s="103"/>
      <c r="B4155" s="74"/>
      <c r="C4155" s="104"/>
      <c r="D4155" s="74"/>
      <c r="E4155" s="74"/>
      <c r="F4155" s="74"/>
      <c r="G4155" s="74"/>
      <c r="H4155" s="74">
        <v>20</v>
      </c>
      <c r="I4155" s="105"/>
      <c r="J4155" s="105"/>
      <c r="K4155" s="55" t="s">
        <v>34</v>
      </c>
      <c r="L4155" s="60" t="s">
        <v>149</v>
      </c>
    </row>
    <row r="4156" spans="1:12" x14ac:dyDescent="0.3">
      <c r="A4156" s="103"/>
      <c r="B4156" s="74"/>
      <c r="C4156" s="104"/>
      <c r="D4156" s="74"/>
      <c r="E4156" s="74"/>
      <c r="F4156" s="74"/>
      <c r="G4156" s="74"/>
      <c r="H4156" s="74">
        <v>20</v>
      </c>
      <c r="I4156" s="105"/>
      <c r="J4156" s="105"/>
      <c r="K4156" s="55" t="s">
        <v>33</v>
      </c>
      <c r="L4156" s="60" t="s">
        <v>1415</v>
      </c>
    </row>
    <row r="4157" spans="1:12" x14ac:dyDescent="0.3">
      <c r="H4157" s="74">
        <v>20</v>
      </c>
      <c r="K4157" s="55" t="s">
        <v>32</v>
      </c>
      <c r="L4157" s="60" t="s">
        <v>1403</v>
      </c>
    </row>
    <row r="4158" spans="1:12" x14ac:dyDescent="0.3">
      <c r="H4158" s="74">
        <v>20</v>
      </c>
      <c r="K4158" s="55" t="s">
        <v>34</v>
      </c>
      <c r="L4158" s="60" t="s">
        <v>1405</v>
      </c>
    </row>
    <row r="4159" spans="1:12" x14ac:dyDescent="0.3">
      <c r="H4159" s="74">
        <v>30</v>
      </c>
      <c r="K4159" s="55" t="s">
        <v>30</v>
      </c>
      <c r="L4159" s="60" t="s">
        <v>1418</v>
      </c>
    </row>
    <row r="4160" spans="1:12" x14ac:dyDescent="0.3">
      <c r="H4160" s="74">
        <v>30</v>
      </c>
      <c r="K4160" s="55" t="s">
        <v>102</v>
      </c>
    </row>
    <row r="4161" spans="1:13" x14ac:dyDescent="0.3">
      <c r="H4161" s="74">
        <v>10</v>
      </c>
      <c r="K4161" s="55" t="s">
        <v>34</v>
      </c>
      <c r="L4161" s="60" t="s">
        <v>1416</v>
      </c>
      <c r="M4161" s="1" t="s">
        <v>1417</v>
      </c>
    </row>
    <row r="4163" spans="1:13" x14ac:dyDescent="0.3">
      <c r="A4163" s="72" t="s">
        <v>1414</v>
      </c>
      <c r="B4163" s="55" t="s">
        <v>10</v>
      </c>
      <c r="C4163" s="67" t="s">
        <v>48</v>
      </c>
      <c r="D4163" s="55" t="s">
        <v>51</v>
      </c>
      <c r="E4163" s="19">
        <v>265.33</v>
      </c>
      <c r="F4163" s="19">
        <v>7</v>
      </c>
      <c r="G4163" s="55" t="s">
        <v>11</v>
      </c>
      <c r="H4163" s="74">
        <v>10</v>
      </c>
      <c r="K4163" s="55" t="s">
        <v>25</v>
      </c>
    </row>
    <row r="4164" spans="1:13" x14ac:dyDescent="0.3">
      <c r="H4164" s="74">
        <v>10</v>
      </c>
      <c r="K4164" s="55" t="s">
        <v>84</v>
      </c>
    </row>
    <row r="4165" spans="1:13" x14ac:dyDescent="0.3">
      <c r="H4165" s="74">
        <v>90</v>
      </c>
      <c r="K4165" s="55" t="s">
        <v>32</v>
      </c>
      <c r="L4165" s="60" t="s">
        <v>1419</v>
      </c>
    </row>
    <row r="4166" spans="1:13" x14ac:dyDescent="0.3">
      <c r="H4166" s="74">
        <v>70</v>
      </c>
      <c r="K4166" s="55" t="s">
        <v>96</v>
      </c>
    </row>
    <row r="4167" spans="1:13" x14ac:dyDescent="0.3">
      <c r="H4167" s="74">
        <v>30</v>
      </c>
      <c r="K4167" s="55" t="s">
        <v>33</v>
      </c>
      <c r="L4167" s="60" t="s">
        <v>1420</v>
      </c>
    </row>
    <row r="4168" spans="1:13" x14ac:dyDescent="0.3">
      <c r="H4168" s="74">
        <v>30</v>
      </c>
      <c r="K4168" s="55" t="s">
        <v>33</v>
      </c>
      <c r="L4168" s="60" t="s">
        <v>1421</v>
      </c>
    </row>
    <row r="4169" spans="1:13" x14ac:dyDescent="0.3">
      <c r="H4169" s="74">
        <v>30</v>
      </c>
      <c r="K4169" s="55" t="s">
        <v>34</v>
      </c>
    </row>
    <row r="4170" spans="1:13" x14ac:dyDescent="0.3">
      <c r="H4170" s="74">
        <v>60</v>
      </c>
      <c r="K4170" s="55" t="s">
        <v>34</v>
      </c>
      <c r="L4170" s="60" t="s">
        <v>634</v>
      </c>
    </row>
    <row r="4171" spans="1:13" x14ac:dyDescent="0.3">
      <c r="H4171" s="74">
        <v>30</v>
      </c>
      <c r="K4171" s="55" t="s">
        <v>55</v>
      </c>
      <c r="L4171" s="60" t="s">
        <v>855</v>
      </c>
    </row>
    <row r="4172" spans="1:13" x14ac:dyDescent="0.3">
      <c r="H4172" s="74">
        <v>25</v>
      </c>
      <c r="K4172" s="55" t="s">
        <v>30</v>
      </c>
      <c r="L4172" s="60" t="s">
        <v>502</v>
      </c>
    </row>
    <row r="4173" spans="1:13" x14ac:dyDescent="0.3">
      <c r="H4173" s="74">
        <v>10</v>
      </c>
      <c r="K4173" s="55" t="s">
        <v>55</v>
      </c>
      <c r="L4173" s="60" t="s">
        <v>13</v>
      </c>
    </row>
    <row r="4175" spans="1:13" x14ac:dyDescent="0.3">
      <c r="A4175" s="72" t="s">
        <v>1414</v>
      </c>
      <c r="B4175" s="55" t="s">
        <v>12</v>
      </c>
      <c r="C4175" s="67" t="s">
        <v>46</v>
      </c>
      <c r="D4175" s="55" t="s">
        <v>52</v>
      </c>
      <c r="E4175" s="19">
        <v>285.83</v>
      </c>
      <c r="F4175" s="19">
        <v>8</v>
      </c>
      <c r="G4175" s="55" t="s">
        <v>11</v>
      </c>
      <c r="H4175" s="74">
        <v>10</v>
      </c>
      <c r="K4175" s="55" t="s">
        <v>25</v>
      </c>
    </row>
    <row r="4176" spans="1:13" x14ac:dyDescent="0.3">
      <c r="H4176" s="74">
        <v>10</v>
      </c>
      <c r="K4176" s="55" t="s">
        <v>84</v>
      </c>
    </row>
    <row r="4177" spans="1:12" x14ac:dyDescent="0.3">
      <c r="H4177" s="74">
        <v>20</v>
      </c>
      <c r="K4177" s="55" t="s">
        <v>32</v>
      </c>
      <c r="L4177" s="60" t="s">
        <v>1424</v>
      </c>
    </row>
    <row r="4178" spans="1:12" x14ac:dyDescent="0.3">
      <c r="H4178" s="74">
        <v>60</v>
      </c>
      <c r="K4178" s="55" t="s">
        <v>32</v>
      </c>
      <c r="L4178" s="60" t="s">
        <v>1422</v>
      </c>
    </row>
    <row r="4179" spans="1:12" x14ac:dyDescent="0.3">
      <c r="H4179" s="74">
        <v>80</v>
      </c>
      <c r="K4179" s="55" t="s">
        <v>96</v>
      </c>
    </row>
    <row r="4180" spans="1:12" x14ac:dyDescent="0.3">
      <c r="H4180" s="74">
        <v>20</v>
      </c>
      <c r="K4180" s="55" t="s">
        <v>15</v>
      </c>
      <c r="L4180" s="60" t="s">
        <v>1423</v>
      </c>
    </row>
    <row r="4181" spans="1:12" x14ac:dyDescent="0.3">
      <c r="H4181" s="74">
        <v>30</v>
      </c>
      <c r="K4181" s="55" t="s">
        <v>34</v>
      </c>
      <c r="L4181" s="60" t="s">
        <v>149</v>
      </c>
    </row>
    <row r="4182" spans="1:12" x14ac:dyDescent="0.3">
      <c r="H4182" s="74">
        <v>30</v>
      </c>
      <c r="K4182" s="55" t="s">
        <v>34</v>
      </c>
      <c r="L4182" s="60" t="s">
        <v>323</v>
      </c>
    </row>
    <row r="4183" spans="1:12" x14ac:dyDescent="0.3">
      <c r="H4183" s="74">
        <v>30</v>
      </c>
      <c r="K4183" s="55" t="s">
        <v>55</v>
      </c>
      <c r="L4183" s="60" t="s">
        <v>855</v>
      </c>
    </row>
    <row r="4184" spans="1:12" x14ac:dyDescent="0.3">
      <c r="H4184" s="74">
        <v>25</v>
      </c>
      <c r="K4184" s="55" t="s">
        <v>30</v>
      </c>
      <c r="L4184" s="60" t="s">
        <v>502</v>
      </c>
    </row>
    <row r="4185" spans="1:12" x14ac:dyDescent="0.3">
      <c r="H4185" s="74">
        <v>20</v>
      </c>
      <c r="K4185" s="55" t="s">
        <v>55</v>
      </c>
      <c r="L4185" s="60" t="s">
        <v>13</v>
      </c>
    </row>
    <row r="4186" spans="1:12" x14ac:dyDescent="0.3">
      <c r="H4186" s="74">
        <v>11</v>
      </c>
      <c r="K4186" s="55" t="s">
        <v>33</v>
      </c>
      <c r="L4186" s="60" t="s">
        <v>184</v>
      </c>
    </row>
    <row r="4188" spans="1:12" x14ac:dyDescent="0.3">
      <c r="A4188" s="72" t="s">
        <v>1425</v>
      </c>
      <c r="B4188" s="55" t="s">
        <v>0</v>
      </c>
      <c r="C4188" s="67" t="s">
        <v>188</v>
      </c>
      <c r="D4188" s="55" t="s">
        <v>51</v>
      </c>
      <c r="E4188" s="19">
        <v>277.13</v>
      </c>
      <c r="F4188" s="19">
        <v>8</v>
      </c>
      <c r="G4188" s="55" t="s">
        <v>11</v>
      </c>
      <c r="H4188" s="74">
        <v>10</v>
      </c>
      <c r="K4188" s="55" t="s">
        <v>25</v>
      </c>
    </row>
    <row r="4189" spans="1:12" x14ac:dyDescent="0.3">
      <c r="H4189" s="74">
        <v>10</v>
      </c>
      <c r="K4189" s="55" t="s">
        <v>84</v>
      </c>
    </row>
    <row r="4190" spans="1:12" x14ac:dyDescent="0.3">
      <c r="H4190" s="74">
        <v>80</v>
      </c>
      <c r="K4190" s="55" t="s">
        <v>96</v>
      </c>
    </row>
    <row r="4191" spans="1:12" x14ac:dyDescent="0.3">
      <c r="H4191" s="74">
        <v>40</v>
      </c>
      <c r="K4191" s="55" t="s">
        <v>32</v>
      </c>
      <c r="L4191" s="60" t="s">
        <v>460</v>
      </c>
    </row>
    <row r="4192" spans="1:12" x14ac:dyDescent="0.3">
      <c r="H4192" s="74">
        <v>25</v>
      </c>
      <c r="K4192" s="55" t="s">
        <v>102</v>
      </c>
    </row>
    <row r="4193" spans="1:12" x14ac:dyDescent="0.3">
      <c r="H4193" s="74">
        <v>30</v>
      </c>
      <c r="K4193" s="55" t="s">
        <v>34</v>
      </c>
    </row>
    <row r="4194" spans="1:12" x14ac:dyDescent="0.3">
      <c r="H4194" s="74">
        <v>50</v>
      </c>
      <c r="K4194" s="55" t="s">
        <v>34</v>
      </c>
      <c r="L4194" s="60" t="s">
        <v>561</v>
      </c>
    </row>
    <row r="4195" spans="1:12" x14ac:dyDescent="0.3">
      <c r="H4195" s="74">
        <v>30</v>
      </c>
      <c r="K4195" s="55" t="s">
        <v>55</v>
      </c>
      <c r="L4195" s="60" t="s">
        <v>855</v>
      </c>
    </row>
    <row r="4196" spans="1:12" x14ac:dyDescent="0.3">
      <c r="H4196" s="74">
        <v>20</v>
      </c>
      <c r="K4196" s="55" t="s">
        <v>30</v>
      </c>
      <c r="L4196" s="60" t="s">
        <v>502</v>
      </c>
    </row>
    <row r="4197" spans="1:12" x14ac:dyDescent="0.3">
      <c r="H4197" s="74">
        <v>15</v>
      </c>
      <c r="K4197" s="55" t="s">
        <v>33</v>
      </c>
      <c r="L4197" s="60" t="s">
        <v>184</v>
      </c>
    </row>
    <row r="4198" spans="1:12" x14ac:dyDescent="0.3">
      <c r="H4198" s="74">
        <v>15</v>
      </c>
      <c r="K4198" s="55" t="s">
        <v>55</v>
      </c>
      <c r="L4198" s="60" t="s">
        <v>1426</v>
      </c>
    </row>
    <row r="4200" spans="1:12" x14ac:dyDescent="0.3">
      <c r="A4200" s="72" t="s">
        <v>1425</v>
      </c>
      <c r="B4200" s="55" t="s">
        <v>10</v>
      </c>
      <c r="C4200" s="67" t="s">
        <v>48</v>
      </c>
      <c r="D4200" s="55" t="s">
        <v>52</v>
      </c>
      <c r="E4200" s="19">
        <v>191.66</v>
      </c>
      <c r="F4200" s="19">
        <v>6</v>
      </c>
      <c r="G4200" s="55" t="s">
        <v>11</v>
      </c>
      <c r="H4200" s="74">
        <v>10</v>
      </c>
      <c r="K4200" s="55" t="s">
        <v>25</v>
      </c>
    </row>
    <row r="4201" spans="1:12" x14ac:dyDescent="0.3">
      <c r="H4201" s="74">
        <v>10</v>
      </c>
      <c r="K4201" s="55" t="s">
        <v>84</v>
      </c>
    </row>
    <row r="4202" spans="1:12" x14ac:dyDescent="0.3">
      <c r="H4202" s="74">
        <v>70</v>
      </c>
      <c r="K4202" s="55" t="s">
        <v>96</v>
      </c>
    </row>
    <row r="4203" spans="1:12" x14ac:dyDescent="0.3">
      <c r="H4203" s="74">
        <v>40</v>
      </c>
      <c r="K4203" s="55" t="s">
        <v>32</v>
      </c>
      <c r="L4203" s="60" t="s">
        <v>460</v>
      </c>
    </row>
    <row r="4204" spans="1:12" x14ac:dyDescent="0.3">
      <c r="H4204" s="74">
        <v>20</v>
      </c>
      <c r="K4204" s="55" t="s">
        <v>33</v>
      </c>
      <c r="L4204" s="60" t="s">
        <v>1427</v>
      </c>
    </row>
    <row r="4205" spans="1:12" x14ac:dyDescent="0.3">
      <c r="H4205" s="74">
        <v>30</v>
      </c>
      <c r="K4205" s="55" t="s">
        <v>33</v>
      </c>
      <c r="L4205" s="60" t="s">
        <v>1431</v>
      </c>
    </row>
    <row r="4206" spans="1:12" x14ac:dyDescent="0.3">
      <c r="H4206" s="74">
        <v>45</v>
      </c>
      <c r="K4206" s="55" t="s">
        <v>34</v>
      </c>
      <c r="L4206" s="60" t="s">
        <v>634</v>
      </c>
    </row>
    <row r="4207" spans="1:12" x14ac:dyDescent="0.3">
      <c r="H4207" s="74">
        <v>20</v>
      </c>
      <c r="K4207" s="55" t="s">
        <v>34</v>
      </c>
      <c r="L4207" s="60" t="s">
        <v>149</v>
      </c>
    </row>
    <row r="4208" spans="1:12" x14ac:dyDescent="0.3">
      <c r="H4208" s="74">
        <v>60</v>
      </c>
      <c r="K4208" s="55" t="s">
        <v>32</v>
      </c>
      <c r="L4208" s="60" t="s">
        <v>1428</v>
      </c>
    </row>
    <row r="4209" spans="1:12" x14ac:dyDescent="0.3">
      <c r="H4209" s="74">
        <v>40</v>
      </c>
      <c r="K4209" s="55" t="s">
        <v>55</v>
      </c>
      <c r="L4209" s="60" t="s">
        <v>1429</v>
      </c>
    </row>
    <row r="4210" spans="1:12" x14ac:dyDescent="0.3">
      <c r="H4210" s="74">
        <v>30</v>
      </c>
      <c r="K4210" s="55" t="s">
        <v>30</v>
      </c>
      <c r="L4210" s="60" t="s">
        <v>502</v>
      </c>
    </row>
    <row r="4211" spans="1:12" x14ac:dyDescent="0.3">
      <c r="H4211" s="74">
        <v>15</v>
      </c>
      <c r="K4211" s="55" t="s">
        <v>33</v>
      </c>
      <c r="L4211" s="60" t="s">
        <v>1430</v>
      </c>
    </row>
    <row r="4213" spans="1:12" x14ac:dyDescent="0.3">
      <c r="A4213" s="72" t="s">
        <v>1425</v>
      </c>
      <c r="B4213" s="55" t="s">
        <v>12</v>
      </c>
      <c r="C4213" s="67" t="s">
        <v>46</v>
      </c>
      <c r="D4213" s="55" t="s">
        <v>50</v>
      </c>
      <c r="E4213" s="19">
        <v>290.05</v>
      </c>
      <c r="F4213" s="19">
        <v>9</v>
      </c>
      <c r="G4213" s="55" t="s">
        <v>11</v>
      </c>
      <c r="H4213" s="74">
        <v>10</v>
      </c>
      <c r="K4213" s="55" t="s">
        <v>25</v>
      </c>
    </row>
    <row r="4214" spans="1:12" x14ac:dyDescent="0.3">
      <c r="H4214" s="74">
        <v>10</v>
      </c>
      <c r="K4214" s="55" t="s">
        <v>84</v>
      </c>
    </row>
    <row r="4215" spans="1:12" x14ac:dyDescent="0.3">
      <c r="H4215" s="74">
        <v>100</v>
      </c>
      <c r="K4215" s="55" t="s">
        <v>96</v>
      </c>
    </row>
    <row r="4216" spans="1:12" x14ac:dyDescent="0.3">
      <c r="H4216" s="74">
        <v>20</v>
      </c>
      <c r="K4216" s="55" t="s">
        <v>102</v>
      </c>
    </row>
    <row r="4217" spans="1:12" x14ac:dyDescent="0.3">
      <c r="H4217" s="74">
        <v>60</v>
      </c>
      <c r="K4217" s="55" t="s">
        <v>32</v>
      </c>
      <c r="L4217" s="60" t="s">
        <v>137</v>
      </c>
    </row>
    <row r="4218" spans="1:12" x14ac:dyDescent="0.3">
      <c r="H4218" s="74">
        <v>40</v>
      </c>
      <c r="K4218" s="55" t="s">
        <v>34</v>
      </c>
      <c r="L4218" s="60" t="s">
        <v>254</v>
      </c>
    </row>
    <row r="4219" spans="1:12" x14ac:dyDescent="0.3">
      <c r="H4219" s="74">
        <v>20</v>
      </c>
      <c r="K4219" s="55" t="s">
        <v>34</v>
      </c>
      <c r="L4219" s="60" t="s">
        <v>149</v>
      </c>
    </row>
    <row r="4220" spans="1:12" x14ac:dyDescent="0.3">
      <c r="H4220" s="74">
        <v>110</v>
      </c>
      <c r="K4220" s="55" t="s">
        <v>33</v>
      </c>
      <c r="L4220" s="55" t="s">
        <v>1432</v>
      </c>
    </row>
    <row r="4221" spans="1:12" x14ac:dyDescent="0.3">
      <c r="H4221" s="74">
        <v>30</v>
      </c>
      <c r="K4221" s="55" t="s">
        <v>30</v>
      </c>
    </row>
    <row r="4222" spans="1:12" x14ac:dyDescent="0.3">
      <c r="F4222" s="108"/>
    </row>
    <row r="4223" spans="1:12" x14ac:dyDescent="0.3">
      <c r="A4223" s="72" t="s">
        <v>1425</v>
      </c>
      <c r="B4223" s="55" t="s">
        <v>0</v>
      </c>
      <c r="C4223" s="67" t="s">
        <v>188</v>
      </c>
      <c r="D4223" s="55" t="s">
        <v>51</v>
      </c>
      <c r="E4223" s="19">
        <v>136.72999999999999</v>
      </c>
      <c r="F4223" s="19">
        <v>5</v>
      </c>
      <c r="G4223" s="55" t="s">
        <v>11</v>
      </c>
      <c r="H4223" s="74">
        <v>10</v>
      </c>
      <c r="K4223" s="55" t="s">
        <v>25</v>
      </c>
    </row>
    <row r="4224" spans="1:12" x14ac:dyDescent="0.3">
      <c r="H4224" s="74">
        <v>10</v>
      </c>
      <c r="K4224" s="55" t="s">
        <v>84</v>
      </c>
    </row>
    <row r="4225" spans="1:12" x14ac:dyDescent="0.3">
      <c r="H4225" s="74">
        <v>60</v>
      </c>
      <c r="K4225" s="55" t="s">
        <v>96</v>
      </c>
    </row>
    <row r="4226" spans="1:12" x14ac:dyDescent="0.3">
      <c r="H4226" s="74">
        <v>115</v>
      </c>
      <c r="K4226" s="55" t="s">
        <v>33</v>
      </c>
      <c r="L4226" s="60" t="s">
        <v>1433</v>
      </c>
    </row>
    <row r="4227" spans="1:12" x14ac:dyDescent="0.3">
      <c r="H4227" s="74">
        <v>20</v>
      </c>
      <c r="K4227" s="55" t="s">
        <v>34</v>
      </c>
    </row>
    <row r="4228" spans="1:12" x14ac:dyDescent="0.3">
      <c r="H4228" s="74">
        <v>30</v>
      </c>
      <c r="K4228" s="55" t="s">
        <v>34</v>
      </c>
      <c r="L4228" s="60" t="s">
        <v>1434</v>
      </c>
    </row>
    <row r="4229" spans="1:12" x14ac:dyDescent="0.3">
      <c r="H4229" s="74">
        <v>30</v>
      </c>
      <c r="K4229" s="55" t="s">
        <v>32</v>
      </c>
      <c r="L4229" s="60" t="s">
        <v>460</v>
      </c>
    </row>
    <row r="4230" spans="1:12" x14ac:dyDescent="0.3">
      <c r="H4230" s="74">
        <v>10</v>
      </c>
      <c r="K4230" s="55" t="s">
        <v>32</v>
      </c>
      <c r="L4230" s="60" t="s">
        <v>1435</v>
      </c>
    </row>
    <row r="4231" spans="1:12" x14ac:dyDescent="0.3">
      <c r="H4231" s="74">
        <v>22</v>
      </c>
      <c r="K4231" s="55" t="s">
        <v>33</v>
      </c>
    </row>
    <row r="4232" spans="1:12" x14ac:dyDescent="0.3">
      <c r="H4232" s="74">
        <v>15</v>
      </c>
      <c r="K4232" s="55" t="s">
        <v>32</v>
      </c>
      <c r="L4232" s="60" t="s">
        <v>236</v>
      </c>
    </row>
    <row r="4234" spans="1:12" x14ac:dyDescent="0.3">
      <c r="A4234" s="72" t="s">
        <v>1437</v>
      </c>
      <c r="B4234" s="55" t="s">
        <v>10</v>
      </c>
      <c r="C4234" s="67" t="s">
        <v>48</v>
      </c>
      <c r="D4234" s="55" t="s">
        <v>52</v>
      </c>
      <c r="E4234" s="19">
        <v>227.09</v>
      </c>
      <c r="F4234" s="19">
        <v>7</v>
      </c>
      <c r="G4234" s="55" t="s">
        <v>11</v>
      </c>
      <c r="H4234" s="74">
        <v>10</v>
      </c>
      <c r="K4234" s="55" t="s">
        <v>25</v>
      </c>
    </row>
    <row r="4235" spans="1:12" x14ac:dyDescent="0.3">
      <c r="H4235" s="74">
        <v>45</v>
      </c>
      <c r="K4235" s="55" t="s">
        <v>84</v>
      </c>
      <c r="L4235" s="60" t="s">
        <v>1436</v>
      </c>
    </row>
    <row r="4236" spans="1:12" x14ac:dyDescent="0.3">
      <c r="H4236" s="74">
        <v>70</v>
      </c>
      <c r="K4236" s="55" t="s">
        <v>96</v>
      </c>
    </row>
    <row r="4237" spans="1:12" x14ac:dyDescent="0.3">
      <c r="H4237" s="74">
        <v>40</v>
      </c>
      <c r="K4237" s="55" t="s">
        <v>32</v>
      </c>
      <c r="L4237" s="60" t="s">
        <v>460</v>
      </c>
    </row>
    <row r="4238" spans="1:12" x14ac:dyDescent="0.3">
      <c r="H4238" s="74">
        <v>20</v>
      </c>
      <c r="K4238" s="55" t="s">
        <v>33</v>
      </c>
      <c r="L4238" s="60" t="s">
        <v>1427</v>
      </c>
    </row>
    <row r="4239" spans="1:12" x14ac:dyDescent="0.3">
      <c r="H4239" s="74">
        <v>45</v>
      </c>
      <c r="K4239" s="55" t="s">
        <v>34</v>
      </c>
      <c r="L4239" s="60" t="s">
        <v>634</v>
      </c>
    </row>
    <row r="4240" spans="1:12" x14ac:dyDescent="0.3">
      <c r="H4240" s="74">
        <v>20</v>
      </c>
      <c r="K4240" s="55" t="s">
        <v>34</v>
      </c>
      <c r="L4240" s="60" t="s">
        <v>149</v>
      </c>
    </row>
    <row r="4241" spans="1:12" x14ac:dyDescent="0.3">
      <c r="H4241" s="74">
        <v>30</v>
      </c>
      <c r="K4241" s="55" t="s">
        <v>32</v>
      </c>
      <c r="L4241" s="60" t="s">
        <v>1403</v>
      </c>
    </row>
    <row r="4242" spans="1:12" x14ac:dyDescent="0.3">
      <c r="H4242" s="74">
        <v>30</v>
      </c>
      <c r="K4242" s="55" t="s">
        <v>55</v>
      </c>
      <c r="L4242" s="60" t="s">
        <v>855</v>
      </c>
    </row>
    <row r="4243" spans="1:12" x14ac:dyDescent="0.3">
      <c r="H4243" s="74">
        <v>30</v>
      </c>
      <c r="K4243" s="55" t="s">
        <v>30</v>
      </c>
      <c r="L4243" s="60" t="s">
        <v>502</v>
      </c>
    </row>
    <row r="4244" spans="1:12" x14ac:dyDescent="0.3">
      <c r="H4244" s="74">
        <v>19</v>
      </c>
      <c r="K4244" s="55" t="s">
        <v>33</v>
      </c>
      <c r="L4244" s="60" t="s">
        <v>1438</v>
      </c>
    </row>
    <row r="4246" spans="1:12" x14ac:dyDescent="0.3">
      <c r="A4246" s="72" t="s">
        <v>1437</v>
      </c>
      <c r="B4246" s="55" t="s">
        <v>12</v>
      </c>
      <c r="C4246" s="67" t="s">
        <v>47</v>
      </c>
      <c r="D4246" s="55" t="s">
        <v>50</v>
      </c>
      <c r="E4246" s="19">
        <v>344.53</v>
      </c>
      <c r="F4246" s="19">
        <v>10</v>
      </c>
      <c r="G4246" s="55" t="s">
        <v>11</v>
      </c>
      <c r="H4246" s="74">
        <v>10</v>
      </c>
      <c r="K4246" s="55" t="s">
        <v>25</v>
      </c>
    </row>
    <row r="4247" spans="1:12" x14ac:dyDescent="0.3">
      <c r="H4247" s="74">
        <v>10</v>
      </c>
      <c r="K4247" s="55" t="s">
        <v>84</v>
      </c>
    </row>
    <row r="4248" spans="1:12" x14ac:dyDescent="0.3">
      <c r="H4248" s="74">
        <v>100</v>
      </c>
      <c r="K4248" s="55" t="s">
        <v>96</v>
      </c>
    </row>
    <row r="4249" spans="1:12" x14ac:dyDescent="0.3">
      <c r="H4249" s="74">
        <v>80</v>
      </c>
      <c r="K4249" s="55" t="s">
        <v>32</v>
      </c>
      <c r="L4249" s="60" t="s">
        <v>137</v>
      </c>
    </row>
    <row r="4250" spans="1:12" x14ac:dyDescent="0.3">
      <c r="H4250" s="74">
        <v>40</v>
      </c>
      <c r="K4250" s="55" t="s">
        <v>34</v>
      </c>
      <c r="L4250" s="60" t="s">
        <v>323</v>
      </c>
    </row>
    <row r="4251" spans="1:12" x14ac:dyDescent="0.3">
      <c r="H4251" s="74">
        <v>30</v>
      </c>
      <c r="K4251" s="55" t="s">
        <v>34</v>
      </c>
      <c r="L4251" s="60" t="s">
        <v>149</v>
      </c>
    </row>
    <row r="4252" spans="1:12" x14ac:dyDescent="0.3">
      <c r="H4252" s="74">
        <v>30</v>
      </c>
      <c r="K4252" s="55" t="s">
        <v>55</v>
      </c>
      <c r="L4252" s="60" t="s">
        <v>855</v>
      </c>
    </row>
    <row r="4253" spans="1:12" x14ac:dyDescent="0.3">
      <c r="H4253" s="74">
        <v>30</v>
      </c>
      <c r="K4253" s="55" t="s">
        <v>30</v>
      </c>
      <c r="L4253" s="60" t="s">
        <v>502</v>
      </c>
    </row>
    <row r="4254" spans="1:12" x14ac:dyDescent="0.3">
      <c r="H4254" s="74">
        <v>20</v>
      </c>
      <c r="K4254" s="55" t="s">
        <v>102</v>
      </c>
    </row>
    <row r="4256" spans="1:12" x14ac:dyDescent="0.3">
      <c r="A4256" s="72" t="s">
        <v>1439</v>
      </c>
      <c r="B4256" s="55" t="s">
        <v>0</v>
      </c>
      <c r="C4256" s="67" t="s">
        <v>188</v>
      </c>
      <c r="D4256" s="55" t="s">
        <v>51</v>
      </c>
      <c r="E4256" s="19">
        <v>233.36</v>
      </c>
      <c r="F4256" s="19">
        <v>8</v>
      </c>
      <c r="G4256" s="55" t="s">
        <v>11</v>
      </c>
      <c r="H4256" s="74">
        <v>10</v>
      </c>
      <c r="K4256" s="55" t="s">
        <v>25</v>
      </c>
    </row>
    <row r="4257" spans="1:13" x14ac:dyDescent="0.3">
      <c r="H4257" s="74">
        <v>10</v>
      </c>
      <c r="K4257" s="55" t="s">
        <v>84</v>
      </c>
    </row>
    <row r="4258" spans="1:13" x14ac:dyDescent="0.3">
      <c r="H4258" s="74">
        <v>60</v>
      </c>
      <c r="K4258" s="55" t="s">
        <v>32</v>
      </c>
      <c r="L4258" s="60" t="s">
        <v>1440</v>
      </c>
      <c r="M4258" s="1" t="s">
        <v>460</v>
      </c>
    </row>
    <row r="4259" spans="1:13" x14ac:dyDescent="0.3">
      <c r="H4259" s="74">
        <v>80</v>
      </c>
      <c r="K4259" s="55" t="s">
        <v>96</v>
      </c>
    </row>
    <row r="4260" spans="1:13" x14ac:dyDescent="0.3">
      <c r="H4260" s="74">
        <v>10</v>
      </c>
      <c r="K4260" s="55" t="s">
        <v>33</v>
      </c>
      <c r="L4260" s="60" t="s">
        <v>757</v>
      </c>
    </row>
    <row r="4261" spans="1:13" x14ac:dyDescent="0.3">
      <c r="H4261" s="74">
        <v>30</v>
      </c>
      <c r="K4261" s="55" t="s">
        <v>34</v>
      </c>
    </row>
    <row r="4262" spans="1:13" x14ac:dyDescent="0.3">
      <c r="H4262" s="74">
        <v>40</v>
      </c>
      <c r="K4262" s="55" t="s">
        <v>34</v>
      </c>
      <c r="L4262" s="60" t="s">
        <v>323</v>
      </c>
    </row>
    <row r="4263" spans="1:13" x14ac:dyDescent="0.3">
      <c r="H4263" s="74">
        <v>60</v>
      </c>
      <c r="K4263" s="55" t="s">
        <v>55</v>
      </c>
      <c r="L4263" s="60" t="s">
        <v>1441</v>
      </c>
    </row>
    <row r="4264" spans="1:13" x14ac:dyDescent="0.3">
      <c r="H4264" s="74">
        <v>20</v>
      </c>
      <c r="K4264" s="55" t="s">
        <v>102</v>
      </c>
    </row>
    <row r="4265" spans="1:13" x14ac:dyDescent="0.3">
      <c r="H4265" s="74">
        <v>20</v>
      </c>
      <c r="K4265" s="55" t="s">
        <v>33</v>
      </c>
      <c r="L4265" s="60" t="s">
        <v>461</v>
      </c>
    </row>
    <row r="4266" spans="1:13" x14ac:dyDescent="0.3">
      <c r="H4266" s="74">
        <v>30</v>
      </c>
      <c r="K4266" s="55" t="s">
        <v>32</v>
      </c>
      <c r="L4266" s="60" t="s">
        <v>513</v>
      </c>
    </row>
    <row r="4268" spans="1:13" x14ac:dyDescent="0.3">
      <c r="A4268" s="72" t="s">
        <v>1439</v>
      </c>
      <c r="B4268" s="55" t="s">
        <v>10</v>
      </c>
      <c r="C4268" s="67" t="s">
        <v>46</v>
      </c>
      <c r="D4268" s="55" t="s">
        <v>52</v>
      </c>
      <c r="E4268" s="19">
        <v>152.5</v>
      </c>
      <c r="F4268" s="19">
        <v>5</v>
      </c>
      <c r="G4268" s="55" t="s">
        <v>11</v>
      </c>
      <c r="H4268" s="74">
        <v>10</v>
      </c>
      <c r="K4268" s="55" t="s">
        <v>25</v>
      </c>
    </row>
    <row r="4269" spans="1:13" x14ac:dyDescent="0.3">
      <c r="H4269" s="74">
        <v>10</v>
      </c>
      <c r="K4269" s="55" t="s">
        <v>84</v>
      </c>
    </row>
    <row r="4270" spans="1:13" x14ac:dyDescent="0.3">
      <c r="H4270" s="74">
        <v>60</v>
      </c>
      <c r="K4270" s="55" t="s">
        <v>96</v>
      </c>
    </row>
    <row r="4271" spans="1:13" x14ac:dyDescent="0.3">
      <c r="H4271" s="74">
        <v>90</v>
      </c>
      <c r="K4271" s="55" t="s">
        <v>32</v>
      </c>
      <c r="L4271" s="60" t="s">
        <v>1442</v>
      </c>
    </row>
    <row r="4272" spans="1:13" x14ac:dyDescent="0.3">
      <c r="H4272" s="74">
        <v>20</v>
      </c>
      <c r="K4272" s="55" t="s">
        <v>34</v>
      </c>
      <c r="L4272" s="60" t="s">
        <v>254</v>
      </c>
    </row>
    <row r="4273" spans="1:12" x14ac:dyDescent="0.3">
      <c r="H4273" s="74">
        <v>30</v>
      </c>
      <c r="K4273" s="55" t="s">
        <v>34</v>
      </c>
      <c r="L4273" s="60" t="s">
        <v>149</v>
      </c>
    </row>
    <row r="4274" spans="1:12" x14ac:dyDescent="0.3">
      <c r="H4274" s="74">
        <v>20</v>
      </c>
      <c r="K4274" s="55" t="s">
        <v>55</v>
      </c>
      <c r="L4274" s="60" t="s">
        <v>333</v>
      </c>
    </row>
    <row r="4275" spans="1:12" x14ac:dyDescent="0.3">
      <c r="H4275" s="74">
        <v>40</v>
      </c>
      <c r="K4275" s="55" t="s">
        <v>32</v>
      </c>
      <c r="L4275" s="60" t="s">
        <v>1444</v>
      </c>
    </row>
    <row r="4276" spans="1:12" x14ac:dyDescent="0.3">
      <c r="H4276" s="74">
        <v>30</v>
      </c>
      <c r="K4276" s="55" t="s">
        <v>30</v>
      </c>
      <c r="L4276" s="60" t="s">
        <v>502</v>
      </c>
    </row>
    <row r="4277" spans="1:12" x14ac:dyDescent="0.3">
      <c r="H4277" s="74">
        <v>44</v>
      </c>
      <c r="K4277" s="55" t="s">
        <v>33</v>
      </c>
      <c r="L4277" s="60" t="s">
        <v>1443</v>
      </c>
    </row>
    <row r="4278" spans="1:12" x14ac:dyDescent="0.3">
      <c r="H4278" s="74">
        <v>30</v>
      </c>
      <c r="K4278" s="55" t="s">
        <v>32</v>
      </c>
      <c r="L4278" s="60" t="s">
        <v>1445</v>
      </c>
    </row>
    <row r="4280" spans="1:12" x14ac:dyDescent="0.3">
      <c r="A4280" s="72" t="s">
        <v>1439</v>
      </c>
      <c r="B4280" s="55" t="s">
        <v>12</v>
      </c>
      <c r="C4280" s="67" t="s">
        <v>47</v>
      </c>
      <c r="D4280" s="55" t="s">
        <v>50</v>
      </c>
      <c r="E4280" s="19">
        <v>262.62</v>
      </c>
      <c r="F4280" s="19">
        <v>9</v>
      </c>
      <c r="G4280" s="55" t="s">
        <v>11</v>
      </c>
      <c r="H4280" s="74">
        <v>10</v>
      </c>
      <c r="K4280" s="55" t="s">
        <v>25</v>
      </c>
    </row>
    <row r="4281" spans="1:12" x14ac:dyDescent="0.3">
      <c r="H4281" s="74">
        <v>10</v>
      </c>
      <c r="K4281" s="55" t="s">
        <v>84</v>
      </c>
    </row>
    <row r="4282" spans="1:12" x14ac:dyDescent="0.3">
      <c r="H4282" s="74">
        <v>90</v>
      </c>
      <c r="K4282" s="55" t="s">
        <v>96</v>
      </c>
    </row>
    <row r="4283" spans="1:12" x14ac:dyDescent="0.3">
      <c r="H4283" s="74">
        <v>90</v>
      </c>
      <c r="K4283" s="55" t="s">
        <v>32</v>
      </c>
      <c r="L4283" s="60" t="s">
        <v>1446</v>
      </c>
    </row>
    <row r="4284" spans="1:12" x14ac:dyDescent="0.3">
      <c r="H4284" s="74">
        <v>20</v>
      </c>
      <c r="K4284" s="55" t="s">
        <v>34</v>
      </c>
      <c r="L4284" s="60" t="s">
        <v>343</v>
      </c>
    </row>
    <row r="4285" spans="1:12" x14ac:dyDescent="0.3">
      <c r="H4285" s="74">
        <v>10</v>
      </c>
      <c r="K4285" s="55" t="s">
        <v>34</v>
      </c>
      <c r="L4285" s="60" t="s">
        <v>1447</v>
      </c>
    </row>
    <row r="4286" spans="1:12" x14ac:dyDescent="0.3">
      <c r="H4286" s="74">
        <v>50</v>
      </c>
      <c r="K4286" s="55" t="s">
        <v>33</v>
      </c>
      <c r="L4286" s="60" t="s">
        <v>109</v>
      </c>
    </row>
    <row r="4287" spans="1:12" x14ac:dyDescent="0.3">
      <c r="H4287" s="74">
        <v>40</v>
      </c>
      <c r="K4287" s="55" t="s">
        <v>55</v>
      </c>
      <c r="L4287" s="60" t="s">
        <v>587</v>
      </c>
    </row>
    <row r="4288" spans="1:12" x14ac:dyDescent="0.3">
      <c r="H4288" s="74">
        <v>30</v>
      </c>
      <c r="K4288" s="55" t="s">
        <v>30</v>
      </c>
    </row>
    <row r="4290" spans="1:12" x14ac:dyDescent="0.3">
      <c r="A4290" s="72" t="s">
        <v>1448</v>
      </c>
      <c r="B4290" s="55" t="s">
        <v>0</v>
      </c>
      <c r="C4290" s="67" t="s">
        <v>188</v>
      </c>
      <c r="D4290" s="55" t="s">
        <v>51</v>
      </c>
      <c r="E4290" s="19">
        <v>296.08999999999997</v>
      </c>
      <c r="F4290" s="19">
        <v>11</v>
      </c>
      <c r="G4290" s="55" t="s">
        <v>11</v>
      </c>
      <c r="H4290" s="74">
        <v>10</v>
      </c>
      <c r="K4290" s="55" t="s">
        <v>25</v>
      </c>
    </row>
    <row r="4291" spans="1:12" x14ac:dyDescent="0.3">
      <c r="H4291" s="74">
        <v>10</v>
      </c>
      <c r="K4291" s="55" t="s">
        <v>84</v>
      </c>
    </row>
    <row r="4292" spans="1:12" x14ac:dyDescent="0.3">
      <c r="H4292" s="74">
        <v>120</v>
      </c>
      <c r="K4292" s="55" t="s">
        <v>96</v>
      </c>
    </row>
    <row r="4293" spans="1:12" x14ac:dyDescent="0.3">
      <c r="H4293" s="74">
        <v>30</v>
      </c>
      <c r="K4293" s="55" t="s">
        <v>32</v>
      </c>
      <c r="L4293" s="60" t="s">
        <v>294</v>
      </c>
    </row>
    <row r="4294" spans="1:12" x14ac:dyDescent="0.3">
      <c r="H4294" s="74">
        <v>30</v>
      </c>
      <c r="K4294" s="55" t="s">
        <v>32</v>
      </c>
      <c r="L4294" s="60" t="s">
        <v>1449</v>
      </c>
    </row>
    <row r="4295" spans="1:12" x14ac:dyDescent="0.3">
      <c r="H4295" s="74">
        <v>20</v>
      </c>
      <c r="K4295" s="55" t="s">
        <v>34</v>
      </c>
      <c r="L4295" s="60" t="s">
        <v>149</v>
      </c>
    </row>
    <row r="4296" spans="1:12" x14ac:dyDescent="0.3">
      <c r="H4296" s="74">
        <v>20</v>
      </c>
      <c r="K4296" s="55" t="s">
        <v>102</v>
      </c>
    </row>
    <row r="4297" spans="1:12" x14ac:dyDescent="0.3">
      <c r="H4297" s="74">
        <v>15</v>
      </c>
      <c r="K4297" s="55" t="s">
        <v>55</v>
      </c>
      <c r="L4297" s="60" t="s">
        <v>13</v>
      </c>
    </row>
    <row r="4298" spans="1:12" x14ac:dyDescent="0.3">
      <c r="H4298" s="74">
        <v>20</v>
      </c>
      <c r="K4298" s="55" t="s">
        <v>55</v>
      </c>
      <c r="L4298" s="60" t="s">
        <v>1451</v>
      </c>
    </row>
    <row r="4299" spans="1:12" x14ac:dyDescent="0.3">
      <c r="H4299" s="74">
        <v>20</v>
      </c>
      <c r="K4299" s="55" t="s">
        <v>33</v>
      </c>
      <c r="L4299" s="60" t="s">
        <v>1450</v>
      </c>
    </row>
    <row r="4300" spans="1:12" x14ac:dyDescent="0.3">
      <c r="H4300" s="74">
        <v>10</v>
      </c>
      <c r="K4300" s="55" t="s">
        <v>33</v>
      </c>
      <c r="L4300" s="60" t="s">
        <v>129</v>
      </c>
    </row>
    <row r="4302" spans="1:12" x14ac:dyDescent="0.3">
      <c r="A4302" s="72" t="s">
        <v>1448</v>
      </c>
      <c r="B4302" s="55" t="s">
        <v>10</v>
      </c>
      <c r="C4302" s="67" t="s">
        <v>46</v>
      </c>
      <c r="D4302" s="55" t="s">
        <v>52</v>
      </c>
      <c r="E4302" s="19">
        <v>130.49</v>
      </c>
      <c r="F4302" s="19">
        <v>6</v>
      </c>
      <c r="G4302" s="55" t="s">
        <v>11</v>
      </c>
      <c r="H4302" s="74">
        <v>10</v>
      </c>
      <c r="K4302" s="55" t="s">
        <v>25</v>
      </c>
    </row>
    <row r="4303" spans="1:12" x14ac:dyDescent="0.3">
      <c r="H4303" s="74">
        <v>10</v>
      </c>
      <c r="K4303" s="55" t="s">
        <v>84</v>
      </c>
    </row>
    <row r="4304" spans="1:12" x14ac:dyDescent="0.3">
      <c r="H4304" s="74">
        <v>60</v>
      </c>
      <c r="K4304" s="55" t="s">
        <v>96</v>
      </c>
    </row>
    <row r="4305" spans="1:12" x14ac:dyDescent="0.3">
      <c r="H4305" s="74">
        <v>20</v>
      </c>
      <c r="K4305" s="55" t="s">
        <v>32</v>
      </c>
      <c r="L4305" s="60" t="s">
        <v>1452</v>
      </c>
    </row>
    <row r="4306" spans="1:12" x14ac:dyDescent="0.3">
      <c r="H4306" s="74">
        <v>30</v>
      </c>
      <c r="K4306" s="55" t="s">
        <v>32</v>
      </c>
      <c r="L4306" s="60" t="s">
        <v>1449</v>
      </c>
    </row>
    <row r="4307" spans="1:12" x14ac:dyDescent="0.3">
      <c r="H4307" s="74">
        <v>10</v>
      </c>
      <c r="K4307" s="55" t="s">
        <v>34</v>
      </c>
      <c r="L4307" s="60" t="s">
        <v>149</v>
      </c>
    </row>
    <row r="4308" spans="1:12" x14ac:dyDescent="0.3">
      <c r="H4308" s="74">
        <v>20</v>
      </c>
      <c r="K4308" s="55" t="s">
        <v>102</v>
      </c>
    </row>
    <row r="4309" spans="1:12" x14ac:dyDescent="0.3">
      <c r="H4309" s="74">
        <v>15</v>
      </c>
      <c r="K4309" s="55" t="s">
        <v>55</v>
      </c>
      <c r="L4309" s="60" t="s">
        <v>13</v>
      </c>
    </row>
    <row r="4310" spans="1:12" x14ac:dyDescent="0.3">
      <c r="H4310" s="74">
        <v>20</v>
      </c>
      <c r="K4310" s="55" t="s">
        <v>55</v>
      </c>
      <c r="L4310" s="60" t="s">
        <v>1451</v>
      </c>
    </row>
    <row r="4311" spans="1:12" x14ac:dyDescent="0.3">
      <c r="H4311" s="74">
        <v>105</v>
      </c>
      <c r="K4311" s="55" t="s">
        <v>33</v>
      </c>
      <c r="L4311" s="60" t="s">
        <v>1450</v>
      </c>
    </row>
    <row r="4312" spans="1:12" x14ac:dyDescent="0.3">
      <c r="H4312" s="74">
        <v>20</v>
      </c>
      <c r="K4312" s="55" t="s">
        <v>33</v>
      </c>
      <c r="L4312" s="60" t="s">
        <v>1453</v>
      </c>
    </row>
    <row r="4313" spans="1:12" x14ac:dyDescent="0.3">
      <c r="H4313" s="74">
        <v>80</v>
      </c>
      <c r="K4313" s="55" t="s">
        <v>33</v>
      </c>
      <c r="L4313" s="60" t="s">
        <v>1454</v>
      </c>
    </row>
    <row r="4314" spans="1:12" x14ac:dyDescent="0.3">
      <c r="A4314" s="72" t="s">
        <v>1448</v>
      </c>
      <c r="B4314" s="55" t="s">
        <v>12</v>
      </c>
      <c r="C4314" s="67" t="s">
        <v>47</v>
      </c>
      <c r="D4314" s="55" t="s">
        <v>50</v>
      </c>
      <c r="E4314" s="19">
        <v>308.62</v>
      </c>
      <c r="F4314" s="19">
        <v>12</v>
      </c>
      <c r="G4314" s="55" t="s">
        <v>11</v>
      </c>
      <c r="H4314" s="74">
        <v>10</v>
      </c>
      <c r="K4314" s="55" t="s">
        <v>25</v>
      </c>
    </row>
    <row r="4315" spans="1:12" x14ac:dyDescent="0.3">
      <c r="H4315" s="74">
        <v>10</v>
      </c>
      <c r="K4315" s="55" t="s">
        <v>84</v>
      </c>
    </row>
    <row r="4316" spans="1:12" x14ac:dyDescent="0.3">
      <c r="H4316" s="74">
        <v>120</v>
      </c>
      <c r="K4316" s="55" t="s">
        <v>96</v>
      </c>
    </row>
    <row r="4317" spans="1:12" x14ac:dyDescent="0.3">
      <c r="H4317" s="74">
        <v>40</v>
      </c>
      <c r="K4317" s="55" t="s">
        <v>32</v>
      </c>
      <c r="L4317" s="60" t="s">
        <v>1456</v>
      </c>
    </row>
    <row r="4318" spans="1:12" x14ac:dyDescent="0.3">
      <c r="H4318" s="74">
        <v>30</v>
      </c>
      <c r="K4318" s="55" t="s">
        <v>30</v>
      </c>
      <c r="L4318" s="60" t="s">
        <v>389</v>
      </c>
    </row>
    <row r="4319" spans="1:12" x14ac:dyDescent="0.3">
      <c r="H4319" s="74">
        <v>20</v>
      </c>
      <c r="K4319" s="55" t="s">
        <v>102</v>
      </c>
    </row>
    <row r="4320" spans="1:12" x14ac:dyDescent="0.3">
      <c r="H4320" s="74">
        <v>10</v>
      </c>
      <c r="K4320" s="55" t="s">
        <v>55</v>
      </c>
      <c r="L4320" s="60" t="s">
        <v>13</v>
      </c>
    </row>
    <row r="4321" spans="1:13" x14ac:dyDescent="0.3">
      <c r="H4321" s="74">
        <v>30</v>
      </c>
      <c r="K4321" s="55" t="s">
        <v>32</v>
      </c>
      <c r="L4321" s="60" t="s">
        <v>1455</v>
      </c>
    </row>
    <row r="4322" spans="1:13" x14ac:dyDescent="0.3">
      <c r="H4322" s="74">
        <v>10</v>
      </c>
      <c r="K4322" s="55" t="s">
        <v>55</v>
      </c>
      <c r="L4322" s="60" t="s">
        <v>356</v>
      </c>
    </row>
    <row r="4323" spans="1:13" x14ac:dyDescent="0.3">
      <c r="H4323" s="74">
        <v>30</v>
      </c>
      <c r="K4323" s="55" t="s">
        <v>55</v>
      </c>
      <c r="L4323" s="60" t="s">
        <v>1451</v>
      </c>
    </row>
    <row r="4325" spans="1:13" x14ac:dyDescent="0.3">
      <c r="A4325" s="72" t="s">
        <v>1460</v>
      </c>
      <c r="B4325" s="55" t="s">
        <v>0</v>
      </c>
      <c r="C4325" s="67" t="s">
        <v>188</v>
      </c>
      <c r="D4325" s="55" t="s">
        <v>51</v>
      </c>
      <c r="E4325" s="19">
        <v>282.37</v>
      </c>
      <c r="F4325" s="19">
        <v>10</v>
      </c>
      <c r="G4325" s="55" t="s">
        <v>11</v>
      </c>
      <c r="H4325" s="74">
        <v>10</v>
      </c>
      <c r="K4325" s="55" t="s">
        <v>25</v>
      </c>
    </row>
    <row r="4326" spans="1:13" x14ac:dyDescent="0.3">
      <c r="H4326" s="74">
        <v>10</v>
      </c>
      <c r="K4326" s="55" t="s">
        <v>84</v>
      </c>
    </row>
    <row r="4327" spans="1:13" x14ac:dyDescent="0.3">
      <c r="H4327" s="74">
        <v>100</v>
      </c>
      <c r="K4327" s="55" t="s">
        <v>96</v>
      </c>
    </row>
    <row r="4328" spans="1:13" x14ac:dyDescent="0.3">
      <c r="H4328" s="74">
        <v>45</v>
      </c>
      <c r="K4328" s="55" t="s">
        <v>32</v>
      </c>
      <c r="L4328" s="60" t="s">
        <v>1457</v>
      </c>
    </row>
    <row r="4329" spans="1:13" x14ac:dyDescent="0.3">
      <c r="H4329" s="74">
        <v>45</v>
      </c>
      <c r="K4329" s="55" t="s">
        <v>32</v>
      </c>
      <c r="L4329" s="60" t="s">
        <v>1070</v>
      </c>
    </row>
    <row r="4330" spans="1:13" x14ac:dyDescent="0.3">
      <c r="H4330" s="74">
        <v>35</v>
      </c>
      <c r="K4330" s="55" t="s">
        <v>30</v>
      </c>
      <c r="L4330" s="60" t="s">
        <v>300</v>
      </c>
    </row>
    <row r="4331" spans="1:13" x14ac:dyDescent="0.3">
      <c r="H4331" s="74">
        <v>15</v>
      </c>
      <c r="K4331" s="55" t="s">
        <v>33</v>
      </c>
      <c r="L4331" s="60" t="s">
        <v>1459</v>
      </c>
    </row>
    <row r="4332" spans="1:13" x14ac:dyDescent="0.3">
      <c r="H4332" s="74">
        <v>30</v>
      </c>
      <c r="K4332" s="55" t="s">
        <v>55</v>
      </c>
      <c r="L4332" s="60" t="s">
        <v>379</v>
      </c>
      <c r="M4332" s="1" t="s">
        <v>1458</v>
      </c>
    </row>
    <row r="4333" spans="1:13" x14ac:dyDescent="0.3">
      <c r="H4333" s="74">
        <v>20</v>
      </c>
      <c r="K4333" s="55" t="s">
        <v>34</v>
      </c>
      <c r="L4333" s="60" t="s">
        <v>268</v>
      </c>
    </row>
    <row r="4334" spans="1:13" x14ac:dyDescent="0.3">
      <c r="H4334" s="74">
        <v>20</v>
      </c>
      <c r="K4334" s="55" t="s">
        <v>55</v>
      </c>
      <c r="L4334" s="60" t="s">
        <v>1461</v>
      </c>
    </row>
    <row r="4336" spans="1:13" x14ac:dyDescent="0.3">
      <c r="A4336" s="72" t="s">
        <v>1460</v>
      </c>
      <c r="B4336" s="55" t="s">
        <v>10</v>
      </c>
      <c r="C4336" s="67" t="s">
        <v>48</v>
      </c>
      <c r="D4336" s="55" t="s">
        <v>52</v>
      </c>
      <c r="E4336" s="19">
        <v>307.60000000000002</v>
      </c>
      <c r="F4336" s="19">
        <v>11</v>
      </c>
      <c r="G4336" s="55" t="s">
        <v>11</v>
      </c>
      <c r="H4336" s="74">
        <v>10</v>
      </c>
      <c r="K4336" s="55" t="s">
        <v>25</v>
      </c>
    </row>
    <row r="4337" spans="1:12" x14ac:dyDescent="0.3">
      <c r="H4337" s="74">
        <v>10</v>
      </c>
      <c r="K4337" s="55" t="s">
        <v>84</v>
      </c>
    </row>
    <row r="4338" spans="1:12" x14ac:dyDescent="0.3">
      <c r="H4338" s="74">
        <v>120</v>
      </c>
      <c r="K4338" s="55" t="s">
        <v>96</v>
      </c>
    </row>
    <row r="4339" spans="1:12" x14ac:dyDescent="0.3">
      <c r="H4339" s="74">
        <v>50</v>
      </c>
      <c r="K4339" s="55" t="s">
        <v>32</v>
      </c>
      <c r="L4339" s="60" t="s">
        <v>294</v>
      </c>
    </row>
    <row r="4340" spans="1:12" x14ac:dyDescent="0.3">
      <c r="H4340" s="74">
        <v>20</v>
      </c>
      <c r="K4340" s="55" t="s">
        <v>55</v>
      </c>
      <c r="L4340" s="60" t="s">
        <v>1462</v>
      </c>
    </row>
    <row r="4341" spans="1:12" x14ac:dyDescent="0.3">
      <c r="H4341" s="74">
        <v>10</v>
      </c>
      <c r="K4341" s="55" t="s">
        <v>34</v>
      </c>
      <c r="L4341" s="60" t="s">
        <v>149</v>
      </c>
    </row>
    <row r="4342" spans="1:12" x14ac:dyDescent="0.3">
      <c r="H4342" s="74">
        <v>20</v>
      </c>
      <c r="K4342" s="55" t="s">
        <v>102</v>
      </c>
    </row>
    <row r="4343" spans="1:12" x14ac:dyDescent="0.3">
      <c r="H4343" s="74">
        <v>20</v>
      </c>
      <c r="K4343" s="55" t="s">
        <v>55</v>
      </c>
      <c r="L4343" s="60" t="s">
        <v>13</v>
      </c>
    </row>
    <row r="4344" spans="1:12" x14ac:dyDescent="0.3">
      <c r="H4344" s="74">
        <v>20</v>
      </c>
      <c r="K4344" s="55" t="s">
        <v>55</v>
      </c>
      <c r="L4344" s="60" t="s">
        <v>1451</v>
      </c>
    </row>
    <row r="4345" spans="1:12" x14ac:dyDescent="0.3">
      <c r="H4345" s="74">
        <v>20</v>
      </c>
      <c r="K4345" s="55" t="s">
        <v>34</v>
      </c>
      <c r="L4345" s="60" t="s">
        <v>268</v>
      </c>
    </row>
    <row r="4347" spans="1:12" x14ac:dyDescent="0.3">
      <c r="A4347" s="72" t="s">
        <v>1460</v>
      </c>
      <c r="B4347" s="55" t="s">
        <v>12</v>
      </c>
      <c r="C4347" s="67" t="s">
        <v>47</v>
      </c>
      <c r="D4347" s="55" t="s">
        <v>50</v>
      </c>
      <c r="E4347" s="19">
        <v>363.52</v>
      </c>
      <c r="F4347" s="19">
        <v>13</v>
      </c>
      <c r="G4347" s="55" t="s">
        <v>11</v>
      </c>
      <c r="H4347" s="74">
        <v>10</v>
      </c>
      <c r="K4347" s="55" t="s">
        <v>25</v>
      </c>
    </row>
    <row r="4348" spans="1:12" x14ac:dyDescent="0.3">
      <c r="H4348" s="74">
        <v>10</v>
      </c>
      <c r="K4348" s="55" t="s">
        <v>84</v>
      </c>
    </row>
    <row r="4349" spans="1:12" x14ac:dyDescent="0.3">
      <c r="H4349" s="74">
        <v>130</v>
      </c>
      <c r="K4349" s="55" t="s">
        <v>96</v>
      </c>
    </row>
    <row r="4350" spans="1:12" x14ac:dyDescent="0.3">
      <c r="H4350" s="74">
        <v>50</v>
      </c>
      <c r="K4350" s="55" t="s">
        <v>32</v>
      </c>
      <c r="L4350" s="60" t="s">
        <v>294</v>
      </c>
    </row>
    <row r="4351" spans="1:12" x14ac:dyDescent="0.3">
      <c r="H4351" s="74">
        <v>30</v>
      </c>
      <c r="K4351" s="55" t="s">
        <v>55</v>
      </c>
      <c r="L4351" s="60" t="s">
        <v>459</v>
      </c>
    </row>
    <row r="4352" spans="1:12" x14ac:dyDescent="0.3">
      <c r="H4352" s="74">
        <v>20</v>
      </c>
      <c r="K4352" s="55" t="s">
        <v>34</v>
      </c>
      <c r="L4352" s="60" t="s">
        <v>1463</v>
      </c>
    </row>
    <row r="4353" spans="1:12" x14ac:dyDescent="0.3">
      <c r="H4353" s="74">
        <v>20</v>
      </c>
      <c r="K4353" s="55" t="s">
        <v>102</v>
      </c>
    </row>
    <row r="4354" spans="1:12" x14ac:dyDescent="0.3">
      <c r="H4354" s="74">
        <v>20</v>
      </c>
      <c r="K4354" s="55" t="s">
        <v>55</v>
      </c>
      <c r="L4354" s="60" t="s">
        <v>13</v>
      </c>
    </row>
    <row r="4355" spans="1:12" x14ac:dyDescent="0.3">
      <c r="H4355" s="74">
        <v>20</v>
      </c>
      <c r="K4355" s="55" t="s">
        <v>55</v>
      </c>
      <c r="L4355" s="60" t="s">
        <v>1451</v>
      </c>
    </row>
    <row r="4356" spans="1:12" x14ac:dyDescent="0.3">
      <c r="H4356" s="74">
        <v>20</v>
      </c>
      <c r="K4356" s="55" t="s">
        <v>55</v>
      </c>
      <c r="L4356" s="60" t="s">
        <v>1464</v>
      </c>
    </row>
    <row r="4358" spans="1:12" x14ac:dyDescent="0.3">
      <c r="A4358" s="72" t="s">
        <v>1465</v>
      </c>
      <c r="B4358" s="55" t="s">
        <v>0</v>
      </c>
      <c r="C4358" s="67" t="s">
        <v>188</v>
      </c>
      <c r="D4358" s="55" t="s">
        <v>51</v>
      </c>
      <c r="E4358" s="19">
        <v>189.79</v>
      </c>
      <c r="F4358" s="19">
        <v>7</v>
      </c>
      <c r="G4358" s="55" t="s">
        <v>11</v>
      </c>
      <c r="H4358" s="74">
        <v>10</v>
      </c>
      <c r="K4358" s="55" t="s">
        <v>25</v>
      </c>
    </row>
    <row r="4359" spans="1:12" x14ac:dyDescent="0.3">
      <c r="H4359" s="74">
        <v>10</v>
      </c>
      <c r="K4359" s="55" t="s">
        <v>84</v>
      </c>
    </row>
    <row r="4360" spans="1:12" x14ac:dyDescent="0.3">
      <c r="H4360" s="74">
        <v>80</v>
      </c>
      <c r="K4360" s="55" t="s">
        <v>96</v>
      </c>
    </row>
    <row r="4361" spans="1:12" x14ac:dyDescent="0.3">
      <c r="H4361" s="74">
        <v>50</v>
      </c>
      <c r="K4361" s="55" t="s">
        <v>32</v>
      </c>
      <c r="L4361" s="60" t="s">
        <v>1466</v>
      </c>
    </row>
    <row r="4362" spans="1:12" x14ac:dyDescent="0.3">
      <c r="H4362" s="74">
        <v>40</v>
      </c>
      <c r="K4362" s="55" t="s">
        <v>32</v>
      </c>
      <c r="L4362" s="60" t="s">
        <v>608</v>
      </c>
    </row>
    <row r="4363" spans="1:12" x14ac:dyDescent="0.3">
      <c r="H4363" s="74">
        <v>20</v>
      </c>
      <c r="K4363" s="55" t="s">
        <v>30</v>
      </c>
    </row>
    <row r="4364" spans="1:12" x14ac:dyDescent="0.3">
      <c r="H4364" s="74">
        <v>30</v>
      </c>
      <c r="K4364" s="55" t="s">
        <v>33</v>
      </c>
      <c r="L4364" s="60" t="s">
        <v>1468</v>
      </c>
    </row>
    <row r="4365" spans="1:12" x14ac:dyDescent="0.3">
      <c r="H4365" s="74">
        <v>20</v>
      </c>
      <c r="K4365" s="55" t="s">
        <v>34</v>
      </c>
      <c r="L4365" s="60" t="s">
        <v>1463</v>
      </c>
    </row>
    <row r="4366" spans="1:12" x14ac:dyDescent="0.3">
      <c r="H4366" s="74">
        <v>10</v>
      </c>
      <c r="K4366" s="55" t="s">
        <v>55</v>
      </c>
      <c r="L4366" s="60" t="s">
        <v>13</v>
      </c>
    </row>
    <row r="4367" spans="1:12" x14ac:dyDescent="0.3">
      <c r="H4367" s="74">
        <v>50</v>
      </c>
      <c r="K4367" s="55" t="s">
        <v>32</v>
      </c>
      <c r="L4367" s="60" t="s">
        <v>1467</v>
      </c>
    </row>
    <row r="4368" spans="1:12" x14ac:dyDescent="0.3">
      <c r="H4368" s="74">
        <v>20</v>
      </c>
      <c r="K4368" s="55" t="s">
        <v>33</v>
      </c>
      <c r="L4368" s="60" t="s">
        <v>1469</v>
      </c>
    </row>
    <row r="4369" spans="1:12" x14ac:dyDescent="0.3">
      <c r="H4369" s="74">
        <v>30</v>
      </c>
      <c r="K4369" s="55" t="s">
        <v>55</v>
      </c>
      <c r="L4369" s="60" t="s">
        <v>14</v>
      </c>
    </row>
    <row r="4371" spans="1:12" x14ac:dyDescent="0.3">
      <c r="A4371" s="72" t="s">
        <v>1465</v>
      </c>
      <c r="B4371" s="55" t="s">
        <v>10</v>
      </c>
      <c r="C4371" s="67" t="s">
        <v>46</v>
      </c>
      <c r="D4371" s="55" t="s">
        <v>52</v>
      </c>
      <c r="E4371" s="19">
        <v>335.07</v>
      </c>
      <c r="F4371" s="19">
        <v>9</v>
      </c>
      <c r="G4371" s="55" t="s">
        <v>11</v>
      </c>
      <c r="H4371" s="74">
        <v>10</v>
      </c>
      <c r="K4371" s="55" t="s">
        <v>25</v>
      </c>
    </row>
    <row r="4372" spans="1:12" x14ac:dyDescent="0.3">
      <c r="H4372" s="74">
        <v>10</v>
      </c>
      <c r="K4372" s="55" t="s">
        <v>84</v>
      </c>
    </row>
    <row r="4373" spans="1:12" x14ac:dyDescent="0.3">
      <c r="H4373" s="74">
        <v>80</v>
      </c>
      <c r="K4373" s="55" t="s">
        <v>96</v>
      </c>
    </row>
    <row r="4374" spans="1:12" x14ac:dyDescent="0.3">
      <c r="H4374" s="74">
        <v>40</v>
      </c>
      <c r="K4374" s="55" t="s">
        <v>32</v>
      </c>
      <c r="L4374" s="60" t="s">
        <v>1466</v>
      </c>
    </row>
    <row r="4375" spans="1:12" x14ac:dyDescent="0.3">
      <c r="H4375" s="74">
        <v>25</v>
      </c>
      <c r="K4375" s="55" t="s">
        <v>33</v>
      </c>
      <c r="L4375" s="60" t="s">
        <v>1470</v>
      </c>
    </row>
    <row r="4376" spans="1:12" x14ac:dyDescent="0.3">
      <c r="H4376" s="74">
        <v>25</v>
      </c>
      <c r="K4376" s="55" t="s">
        <v>102</v>
      </c>
    </row>
    <row r="4377" spans="1:12" x14ac:dyDescent="0.3">
      <c r="H4377" s="74">
        <v>30</v>
      </c>
      <c r="K4377" s="55" t="s">
        <v>34</v>
      </c>
      <c r="L4377" s="60" t="s">
        <v>149</v>
      </c>
    </row>
    <row r="4378" spans="1:12" x14ac:dyDescent="0.3">
      <c r="H4378" s="74">
        <v>50</v>
      </c>
      <c r="K4378" s="55" t="s">
        <v>34</v>
      </c>
      <c r="L4378" s="60" t="s">
        <v>323</v>
      </c>
    </row>
    <row r="4379" spans="1:12" x14ac:dyDescent="0.3">
      <c r="H4379" s="74">
        <v>20</v>
      </c>
      <c r="K4379" s="55" t="s">
        <v>55</v>
      </c>
      <c r="L4379" s="60" t="s">
        <v>454</v>
      </c>
    </row>
    <row r="4380" spans="1:12" x14ac:dyDescent="0.3">
      <c r="H4380" s="74">
        <v>10</v>
      </c>
      <c r="K4380" s="55" t="s">
        <v>55</v>
      </c>
      <c r="L4380" s="60" t="s">
        <v>13</v>
      </c>
    </row>
    <row r="4381" spans="1:12" x14ac:dyDescent="0.3">
      <c r="H4381" s="74">
        <v>20</v>
      </c>
      <c r="K4381" s="55" t="s">
        <v>30</v>
      </c>
      <c r="L4381" s="60" t="s">
        <v>339</v>
      </c>
    </row>
    <row r="4383" spans="1:12" x14ac:dyDescent="0.3">
      <c r="A4383" s="72" t="s">
        <v>1465</v>
      </c>
      <c r="B4383" s="55" t="s">
        <v>12</v>
      </c>
      <c r="C4383" s="67" t="s">
        <v>47</v>
      </c>
      <c r="D4383" s="55" t="s">
        <v>50</v>
      </c>
      <c r="E4383" s="19">
        <v>351.73</v>
      </c>
      <c r="F4383" s="19">
        <v>10</v>
      </c>
      <c r="G4383" s="55" t="s">
        <v>11</v>
      </c>
      <c r="H4383" s="74">
        <v>10</v>
      </c>
      <c r="K4383" s="55" t="s">
        <v>25</v>
      </c>
    </row>
    <row r="4384" spans="1:12" x14ac:dyDescent="0.3">
      <c r="H4384" s="74">
        <v>10</v>
      </c>
      <c r="K4384" s="55" t="s">
        <v>84</v>
      </c>
    </row>
    <row r="4385" spans="1:12" x14ac:dyDescent="0.3">
      <c r="H4385" s="74">
        <v>100</v>
      </c>
      <c r="K4385" s="55" t="s">
        <v>96</v>
      </c>
    </row>
    <row r="4386" spans="1:12" x14ac:dyDescent="0.3">
      <c r="H4386" s="74">
        <v>30</v>
      </c>
      <c r="K4386" s="55" t="s">
        <v>32</v>
      </c>
      <c r="L4386" s="60" t="s">
        <v>1471</v>
      </c>
    </row>
    <row r="4387" spans="1:12" x14ac:dyDescent="0.3">
      <c r="H4387" s="74">
        <v>20</v>
      </c>
      <c r="K4387" s="55" t="s">
        <v>102</v>
      </c>
    </row>
    <row r="4388" spans="1:12" x14ac:dyDescent="0.3">
      <c r="H4388" s="74">
        <v>90</v>
      </c>
      <c r="K4388" s="55" t="s">
        <v>34</v>
      </c>
      <c r="L4388" s="60" t="s">
        <v>149</v>
      </c>
    </row>
    <row r="4389" spans="1:12" x14ac:dyDescent="0.3">
      <c r="H4389" s="74">
        <v>60</v>
      </c>
      <c r="K4389" s="55" t="s">
        <v>55</v>
      </c>
      <c r="L4389" s="60" t="s">
        <v>1472</v>
      </c>
    </row>
    <row r="4390" spans="1:12" x14ac:dyDescent="0.3">
      <c r="H4390" s="74">
        <v>40</v>
      </c>
      <c r="K4390" s="55" t="s">
        <v>34</v>
      </c>
      <c r="L4390" s="60" t="s">
        <v>323</v>
      </c>
    </row>
    <row r="4391" spans="1:12" x14ac:dyDescent="0.3">
      <c r="H4391" s="74">
        <v>30</v>
      </c>
      <c r="K4391" s="55" t="s">
        <v>30</v>
      </c>
      <c r="L4391" s="60" t="s">
        <v>339</v>
      </c>
    </row>
    <row r="4393" spans="1:12" x14ac:dyDescent="0.3">
      <c r="A4393" s="72" t="s">
        <v>1473</v>
      </c>
      <c r="B4393" s="55" t="s">
        <v>0</v>
      </c>
      <c r="C4393" s="67" t="s">
        <v>48</v>
      </c>
      <c r="D4393" s="55" t="s">
        <v>51</v>
      </c>
      <c r="E4393" s="19">
        <v>183.36</v>
      </c>
      <c r="F4393" s="19">
        <v>5</v>
      </c>
      <c r="G4393" s="55" t="s">
        <v>11</v>
      </c>
      <c r="H4393" s="74">
        <v>10</v>
      </c>
      <c r="K4393" s="55" t="s">
        <v>25</v>
      </c>
    </row>
    <row r="4394" spans="1:12" x14ac:dyDescent="0.3">
      <c r="H4394" s="74">
        <v>10</v>
      </c>
      <c r="K4394" s="55" t="s">
        <v>84</v>
      </c>
    </row>
    <row r="4395" spans="1:12" x14ac:dyDescent="0.3">
      <c r="H4395" s="74">
        <v>40</v>
      </c>
      <c r="K4395" s="55" t="s">
        <v>32</v>
      </c>
      <c r="L4395" s="60" t="s">
        <v>1474</v>
      </c>
    </row>
    <row r="4396" spans="1:12" x14ac:dyDescent="0.3">
      <c r="H4396" s="74">
        <v>160</v>
      </c>
      <c r="K4396" s="55" t="s">
        <v>33</v>
      </c>
      <c r="L4396" s="60" t="s">
        <v>1475</v>
      </c>
    </row>
    <row r="4397" spans="1:12" x14ac:dyDescent="0.3">
      <c r="H4397" s="74">
        <v>90</v>
      </c>
      <c r="K4397" s="55" t="s">
        <v>32</v>
      </c>
      <c r="L4397" s="60" t="s">
        <v>1476</v>
      </c>
    </row>
    <row r="4398" spans="1:12" x14ac:dyDescent="0.3">
      <c r="H4398" s="74">
        <v>25</v>
      </c>
      <c r="K4398" s="55" t="s">
        <v>34</v>
      </c>
      <c r="L4398" s="60" t="s">
        <v>149</v>
      </c>
    </row>
    <row r="4399" spans="1:12" x14ac:dyDescent="0.3">
      <c r="H4399" s="74">
        <v>30</v>
      </c>
      <c r="K4399" s="55" t="s">
        <v>34</v>
      </c>
      <c r="L4399" s="60" t="s">
        <v>323</v>
      </c>
    </row>
    <row r="4400" spans="1:12" x14ac:dyDescent="0.3">
      <c r="H4400" s="74">
        <v>20</v>
      </c>
      <c r="K4400" s="55" t="s">
        <v>102</v>
      </c>
    </row>
    <row r="4401" spans="1:12" x14ac:dyDescent="0.3">
      <c r="H4401" s="74">
        <v>10</v>
      </c>
      <c r="K4401" s="55" t="s">
        <v>55</v>
      </c>
      <c r="L4401" s="60" t="s">
        <v>607</v>
      </c>
    </row>
    <row r="4404" spans="1:12" x14ac:dyDescent="0.3">
      <c r="A4404" s="72" t="s">
        <v>1473</v>
      </c>
      <c r="B4404" s="55" t="s">
        <v>10</v>
      </c>
      <c r="C4404" s="67" t="s">
        <v>46</v>
      </c>
      <c r="D4404" s="55" t="s">
        <v>52</v>
      </c>
      <c r="E4404" s="19">
        <v>155.41</v>
      </c>
      <c r="F4404" s="19">
        <v>5</v>
      </c>
      <c r="G4404" s="55" t="s">
        <v>11</v>
      </c>
      <c r="H4404" s="74">
        <v>10</v>
      </c>
      <c r="K4404" s="55" t="s">
        <v>25</v>
      </c>
    </row>
    <row r="4405" spans="1:12" x14ac:dyDescent="0.3">
      <c r="H4405" s="74">
        <v>10</v>
      </c>
      <c r="K4405" s="55" t="s">
        <v>84</v>
      </c>
    </row>
    <row r="4406" spans="1:12" x14ac:dyDescent="0.3">
      <c r="H4406" s="74">
        <v>80</v>
      </c>
      <c r="K4406" s="55" t="s">
        <v>96</v>
      </c>
    </row>
    <row r="4407" spans="1:12" x14ac:dyDescent="0.3">
      <c r="H4407" s="74">
        <v>90</v>
      </c>
      <c r="K4407" s="55" t="s">
        <v>32</v>
      </c>
      <c r="L4407" s="60" t="s">
        <v>1477</v>
      </c>
    </row>
    <row r="4408" spans="1:12" x14ac:dyDescent="0.3">
      <c r="H4408" s="74">
        <v>60</v>
      </c>
      <c r="K4408" s="55" t="s">
        <v>32</v>
      </c>
      <c r="L4408" s="60" t="s">
        <v>1474</v>
      </c>
    </row>
    <row r="4409" spans="1:12" x14ac:dyDescent="0.3">
      <c r="H4409" s="74">
        <v>30</v>
      </c>
      <c r="K4409" s="55" t="s">
        <v>32</v>
      </c>
      <c r="L4409" s="60" t="s">
        <v>444</v>
      </c>
    </row>
    <row r="4410" spans="1:12" x14ac:dyDescent="0.3">
      <c r="H4410" s="74">
        <v>25</v>
      </c>
      <c r="K4410" s="55" t="s">
        <v>34</v>
      </c>
      <c r="L4410" s="60" t="s">
        <v>149</v>
      </c>
    </row>
    <row r="4411" spans="1:12" x14ac:dyDescent="0.3">
      <c r="H4411" s="74">
        <v>30</v>
      </c>
      <c r="K4411" s="55" t="s">
        <v>34</v>
      </c>
      <c r="L4411" s="60" t="s">
        <v>323</v>
      </c>
    </row>
    <row r="4412" spans="1:12" x14ac:dyDescent="0.3">
      <c r="H4412" s="74">
        <v>20</v>
      </c>
      <c r="K4412" s="55" t="s">
        <v>102</v>
      </c>
    </row>
    <row r="4413" spans="1:12" x14ac:dyDescent="0.3">
      <c r="H4413" s="74">
        <v>30</v>
      </c>
      <c r="K4413" s="55" t="s">
        <v>30</v>
      </c>
      <c r="L4413" s="60" t="s">
        <v>339</v>
      </c>
    </row>
    <row r="4414" spans="1:12" x14ac:dyDescent="0.3">
      <c r="H4414" s="74">
        <v>30</v>
      </c>
      <c r="K4414" s="55" t="s">
        <v>32</v>
      </c>
      <c r="L4414" s="60" t="s">
        <v>608</v>
      </c>
    </row>
    <row r="4415" spans="1:12" x14ac:dyDescent="0.3">
      <c r="A4415" s="72" t="s">
        <v>1473</v>
      </c>
      <c r="B4415" s="55" t="s">
        <v>12</v>
      </c>
      <c r="C4415" s="67" t="s">
        <v>47</v>
      </c>
      <c r="D4415" s="55" t="s">
        <v>50</v>
      </c>
      <c r="E4415" s="19">
        <v>187.7</v>
      </c>
      <c r="F4415" s="19">
        <v>7</v>
      </c>
      <c r="G4415" s="55" t="s">
        <v>11</v>
      </c>
      <c r="H4415" s="74">
        <v>10</v>
      </c>
      <c r="K4415" s="55" t="s">
        <v>25</v>
      </c>
    </row>
    <row r="4416" spans="1:12" x14ac:dyDescent="0.3">
      <c r="H4416" s="74">
        <v>10</v>
      </c>
      <c r="K4416" s="55" t="s">
        <v>84</v>
      </c>
    </row>
    <row r="4417" spans="1:12" x14ac:dyDescent="0.3">
      <c r="H4417" s="74">
        <v>70</v>
      </c>
      <c r="K4417" s="55" t="s">
        <v>96</v>
      </c>
    </row>
    <row r="4418" spans="1:12" x14ac:dyDescent="0.3">
      <c r="H4418" s="74">
        <v>30</v>
      </c>
      <c r="K4418" s="55" t="s">
        <v>32</v>
      </c>
      <c r="L4418" s="60" t="s">
        <v>1474</v>
      </c>
    </row>
    <row r="4419" spans="1:12" x14ac:dyDescent="0.3">
      <c r="H4419" s="74">
        <v>20</v>
      </c>
      <c r="K4419" s="55" t="s">
        <v>102</v>
      </c>
    </row>
    <row r="4420" spans="1:12" x14ac:dyDescent="0.3">
      <c r="H4420" s="74">
        <v>30</v>
      </c>
      <c r="K4420" s="55" t="s">
        <v>34</v>
      </c>
      <c r="L4420" s="60" t="s">
        <v>149</v>
      </c>
    </row>
    <row r="4421" spans="1:12" x14ac:dyDescent="0.3">
      <c r="H4421" s="74">
        <v>50</v>
      </c>
      <c r="K4421" s="55" t="s">
        <v>34</v>
      </c>
      <c r="L4421" s="60" t="s">
        <v>323</v>
      </c>
    </row>
    <row r="4422" spans="1:12" x14ac:dyDescent="0.3">
      <c r="H4422" s="74">
        <v>30</v>
      </c>
      <c r="K4422" s="55" t="s">
        <v>30</v>
      </c>
      <c r="L4422" s="60" t="s">
        <v>339</v>
      </c>
    </row>
    <row r="4423" spans="1:12" x14ac:dyDescent="0.3">
      <c r="H4423" s="74">
        <v>40</v>
      </c>
      <c r="K4423" s="55" t="s">
        <v>32</v>
      </c>
      <c r="L4423" s="60" t="s">
        <v>1478</v>
      </c>
    </row>
    <row r="4424" spans="1:12" x14ac:dyDescent="0.3">
      <c r="H4424" s="74">
        <v>30</v>
      </c>
      <c r="K4424" s="55" t="s">
        <v>34</v>
      </c>
      <c r="L4424" s="60" t="s">
        <v>1479</v>
      </c>
    </row>
    <row r="4425" spans="1:12" x14ac:dyDescent="0.3">
      <c r="H4425" s="74">
        <v>10</v>
      </c>
      <c r="K4425" s="55" t="s">
        <v>55</v>
      </c>
      <c r="L4425" s="60" t="s">
        <v>13</v>
      </c>
    </row>
    <row r="4426" spans="1:12" x14ac:dyDescent="0.3">
      <c r="H4426" s="74">
        <v>30</v>
      </c>
      <c r="K4426" s="55" t="s">
        <v>34</v>
      </c>
      <c r="L4426" s="60" t="s">
        <v>855</v>
      </c>
    </row>
    <row r="4427" spans="1:12" x14ac:dyDescent="0.3">
      <c r="H4427" s="74">
        <v>30</v>
      </c>
      <c r="K4427" s="55" t="s">
        <v>32</v>
      </c>
      <c r="L4427" s="60" t="s">
        <v>1480</v>
      </c>
    </row>
    <row r="4429" spans="1:12" x14ac:dyDescent="0.3">
      <c r="A4429" s="72" t="s">
        <v>1481</v>
      </c>
      <c r="B4429" s="55" t="s">
        <v>0</v>
      </c>
      <c r="C4429" s="67" t="s">
        <v>48</v>
      </c>
      <c r="D4429" s="55" t="s">
        <v>52</v>
      </c>
      <c r="E4429" s="19">
        <v>9.5</v>
      </c>
      <c r="F4429" s="19">
        <v>311.08999999999997</v>
      </c>
      <c r="G4429" s="55" t="s">
        <v>11</v>
      </c>
      <c r="H4429" s="74">
        <v>10</v>
      </c>
      <c r="K4429" s="55" t="s">
        <v>25</v>
      </c>
    </row>
    <row r="4430" spans="1:12" x14ac:dyDescent="0.3">
      <c r="H4430" s="74">
        <v>10</v>
      </c>
      <c r="K4430" s="55" t="s">
        <v>84</v>
      </c>
    </row>
    <row r="4431" spans="1:12" x14ac:dyDescent="0.3">
      <c r="H4431" s="74">
        <v>90</v>
      </c>
      <c r="K4431" s="55" t="s">
        <v>96</v>
      </c>
    </row>
    <row r="4432" spans="1:12" x14ac:dyDescent="0.3">
      <c r="H4432" s="74">
        <v>60</v>
      </c>
      <c r="K4432" s="55" t="s">
        <v>32</v>
      </c>
      <c r="L4432" s="60" t="s">
        <v>1482</v>
      </c>
    </row>
    <row r="4433" spans="1:12" x14ac:dyDescent="0.3">
      <c r="H4433" s="74">
        <v>30</v>
      </c>
      <c r="K4433" s="55" t="s">
        <v>34</v>
      </c>
      <c r="L4433" s="60" t="s">
        <v>149</v>
      </c>
    </row>
    <row r="4434" spans="1:12" x14ac:dyDescent="0.3">
      <c r="H4434" s="74">
        <v>30</v>
      </c>
      <c r="K4434" s="55" t="s">
        <v>34</v>
      </c>
      <c r="L4434" s="60" t="s">
        <v>323</v>
      </c>
    </row>
    <row r="4435" spans="1:12" x14ac:dyDescent="0.3">
      <c r="H4435" s="74">
        <v>20</v>
      </c>
      <c r="K4435" s="55" t="s">
        <v>102</v>
      </c>
    </row>
    <row r="4436" spans="1:12" x14ac:dyDescent="0.3">
      <c r="H4436" s="74">
        <v>30</v>
      </c>
      <c r="K4436" s="55" t="s">
        <v>30</v>
      </c>
      <c r="L4436" s="60" t="s">
        <v>339</v>
      </c>
    </row>
    <row r="4437" spans="1:12" x14ac:dyDescent="0.3">
      <c r="H4437" s="74">
        <v>20</v>
      </c>
      <c r="K4437" s="55" t="s">
        <v>32</v>
      </c>
      <c r="L4437" s="60" t="s">
        <v>1483</v>
      </c>
    </row>
    <row r="4438" spans="1:12" x14ac:dyDescent="0.3">
      <c r="H4438" s="74">
        <v>40</v>
      </c>
      <c r="K4438" s="55" t="s">
        <v>55</v>
      </c>
      <c r="L4438" s="60" t="s">
        <v>1484</v>
      </c>
    </row>
    <row r="4440" spans="1:12" x14ac:dyDescent="0.3">
      <c r="A4440" s="72" t="s">
        <v>1481</v>
      </c>
      <c r="B4440" s="55" t="s">
        <v>10</v>
      </c>
      <c r="C4440" s="67" t="s">
        <v>46</v>
      </c>
      <c r="D4440" s="55" t="s">
        <v>50</v>
      </c>
      <c r="E4440" s="19">
        <v>8.5</v>
      </c>
      <c r="F4440" s="19">
        <v>303.45999999999998</v>
      </c>
      <c r="G4440" s="55" t="s">
        <v>11</v>
      </c>
      <c r="H4440" s="74">
        <v>10</v>
      </c>
      <c r="K4440" s="55" t="s">
        <v>25</v>
      </c>
    </row>
    <row r="4441" spans="1:12" x14ac:dyDescent="0.3">
      <c r="H4441" s="74">
        <v>10</v>
      </c>
      <c r="K4441" s="55" t="s">
        <v>84</v>
      </c>
    </row>
    <row r="4442" spans="1:12" x14ac:dyDescent="0.3">
      <c r="H4442" s="74">
        <v>80</v>
      </c>
      <c r="K4442" s="55" t="s">
        <v>96</v>
      </c>
    </row>
    <row r="4443" spans="1:12" x14ac:dyDescent="0.3">
      <c r="H4443" s="74">
        <v>120</v>
      </c>
      <c r="K4443" s="55" t="s">
        <v>32</v>
      </c>
      <c r="L4443" s="60" t="s">
        <v>1485</v>
      </c>
    </row>
    <row r="4444" spans="1:12" x14ac:dyDescent="0.3">
      <c r="H4444" s="74">
        <v>60</v>
      </c>
      <c r="K4444" s="55" t="s">
        <v>32</v>
      </c>
      <c r="L4444" s="60" t="s">
        <v>1486</v>
      </c>
    </row>
    <row r="4445" spans="1:12" x14ac:dyDescent="0.3">
      <c r="H4445" s="74">
        <v>30</v>
      </c>
      <c r="K4445" s="55" t="s">
        <v>34</v>
      </c>
      <c r="L4445" s="60" t="s">
        <v>149</v>
      </c>
    </row>
    <row r="4446" spans="1:12" x14ac:dyDescent="0.3">
      <c r="H4446" s="74">
        <v>20</v>
      </c>
      <c r="K4446" s="55" t="s">
        <v>34</v>
      </c>
      <c r="L4446" s="60" t="s">
        <v>323</v>
      </c>
    </row>
    <row r="4447" spans="1:12" x14ac:dyDescent="0.3">
      <c r="H4447" s="74">
        <v>20</v>
      </c>
      <c r="K4447" s="55" t="s">
        <v>55</v>
      </c>
      <c r="L4447" s="60" t="s">
        <v>13</v>
      </c>
    </row>
    <row r="4448" spans="1:12" x14ac:dyDescent="0.3">
      <c r="H4448" s="74">
        <v>20</v>
      </c>
      <c r="K4448" s="55" t="s">
        <v>102</v>
      </c>
    </row>
    <row r="4449" spans="1:12" x14ac:dyDescent="0.3">
      <c r="H4449" s="74">
        <v>20</v>
      </c>
      <c r="K4449" s="55" t="s">
        <v>30</v>
      </c>
      <c r="L4449" s="60" t="s">
        <v>136</v>
      </c>
    </row>
    <row r="4451" spans="1:12" x14ac:dyDescent="0.3">
      <c r="A4451" s="72" t="s">
        <v>1481</v>
      </c>
      <c r="B4451" s="55" t="s">
        <v>12</v>
      </c>
      <c r="C4451" s="67" t="s">
        <v>188</v>
      </c>
      <c r="D4451" s="55" t="s">
        <v>51</v>
      </c>
      <c r="E4451" s="19" t="s">
        <v>1487</v>
      </c>
      <c r="F4451" s="19">
        <v>264.49</v>
      </c>
      <c r="G4451" s="55" t="s">
        <v>11</v>
      </c>
      <c r="H4451" s="74">
        <v>10</v>
      </c>
      <c r="K4451" s="55" t="s">
        <v>25</v>
      </c>
    </row>
    <row r="4452" spans="1:12" x14ac:dyDescent="0.3">
      <c r="H4452" s="74">
        <v>10</v>
      </c>
      <c r="K4452" s="55" t="s">
        <v>84</v>
      </c>
    </row>
    <row r="4453" spans="1:12" x14ac:dyDescent="0.3">
      <c r="H4453" s="74">
        <v>40</v>
      </c>
      <c r="K4453" s="55" t="s">
        <v>32</v>
      </c>
      <c r="L4453" s="60" t="s">
        <v>1490</v>
      </c>
    </row>
    <row r="4454" spans="1:12" x14ac:dyDescent="0.3">
      <c r="H4454" s="74">
        <v>30</v>
      </c>
      <c r="K4454" s="55" t="s">
        <v>32</v>
      </c>
      <c r="L4454" s="60" t="s">
        <v>460</v>
      </c>
    </row>
    <row r="4455" spans="1:12" x14ac:dyDescent="0.3">
      <c r="H4455" s="74">
        <v>20</v>
      </c>
      <c r="K4455" s="55" t="s">
        <v>32</v>
      </c>
      <c r="L4455" s="60" t="s">
        <v>1488</v>
      </c>
    </row>
    <row r="4456" spans="1:12" x14ac:dyDescent="0.3">
      <c r="H4456" s="74">
        <v>15</v>
      </c>
      <c r="K4456" s="55" t="s">
        <v>96</v>
      </c>
    </row>
    <row r="4457" spans="1:12" x14ac:dyDescent="0.3">
      <c r="H4457" s="74">
        <v>30</v>
      </c>
      <c r="K4457" s="55" t="s">
        <v>55</v>
      </c>
      <c r="L4457" s="60" t="s">
        <v>14</v>
      </c>
    </row>
    <row r="4458" spans="1:12" x14ac:dyDescent="0.3">
      <c r="H4458" s="74">
        <v>20</v>
      </c>
      <c r="K4458" s="55" t="s">
        <v>34</v>
      </c>
      <c r="L4458" s="60" t="s">
        <v>149</v>
      </c>
    </row>
    <row r="4459" spans="1:12" x14ac:dyDescent="0.3">
      <c r="H4459" s="74">
        <v>80</v>
      </c>
      <c r="K4459" s="55" t="s">
        <v>55</v>
      </c>
      <c r="L4459" s="60" t="s">
        <v>356</v>
      </c>
    </row>
    <row r="4460" spans="1:12" x14ac:dyDescent="0.3">
      <c r="H4460" s="74">
        <v>60</v>
      </c>
      <c r="K4460" s="55" t="s">
        <v>32</v>
      </c>
      <c r="L4460" s="60" t="s">
        <v>1489</v>
      </c>
    </row>
    <row r="4461" spans="1:12" x14ac:dyDescent="0.3">
      <c r="H4461" s="74">
        <v>15</v>
      </c>
      <c r="K4461" s="55" t="s">
        <v>55</v>
      </c>
      <c r="L4461" s="60" t="s">
        <v>13</v>
      </c>
    </row>
    <row r="4463" spans="1:12" x14ac:dyDescent="0.3">
      <c r="A4463" s="72" t="s">
        <v>1491</v>
      </c>
      <c r="B4463" s="55" t="s">
        <v>0</v>
      </c>
      <c r="C4463" s="67" t="s">
        <v>48</v>
      </c>
      <c r="D4463" s="55" t="s">
        <v>52</v>
      </c>
      <c r="E4463" s="19">
        <v>0</v>
      </c>
      <c r="F4463" s="19" t="s">
        <v>1289</v>
      </c>
      <c r="G4463" s="55" t="s">
        <v>11</v>
      </c>
      <c r="H4463" s="74">
        <v>10</v>
      </c>
      <c r="K4463" s="55" t="s">
        <v>25</v>
      </c>
    </row>
    <row r="4464" spans="1:12" x14ac:dyDescent="0.3">
      <c r="H4464" s="74">
        <v>10</v>
      </c>
      <c r="K4464" s="55" t="s">
        <v>84</v>
      </c>
    </row>
    <row r="4465" spans="1:12" x14ac:dyDescent="0.3">
      <c r="H4465" s="74">
        <v>100</v>
      </c>
      <c r="K4465" s="55" t="s">
        <v>96</v>
      </c>
    </row>
    <row r="4466" spans="1:12" x14ac:dyDescent="0.3">
      <c r="H4466" s="74">
        <v>30</v>
      </c>
      <c r="K4466" s="55" t="s">
        <v>34</v>
      </c>
      <c r="L4466" s="60" t="s">
        <v>149</v>
      </c>
    </row>
    <row r="4467" spans="1:12" x14ac:dyDescent="0.3">
      <c r="H4467" s="74">
        <v>50</v>
      </c>
      <c r="K4467" s="55" t="s">
        <v>34</v>
      </c>
      <c r="L4467" s="60" t="s">
        <v>1493</v>
      </c>
    </row>
    <row r="4468" spans="1:12" x14ac:dyDescent="0.3">
      <c r="H4468" s="74">
        <v>20</v>
      </c>
      <c r="K4468" s="55" t="s">
        <v>102</v>
      </c>
    </row>
    <row r="4469" spans="1:12" x14ac:dyDescent="0.3">
      <c r="H4469" s="74">
        <v>20</v>
      </c>
      <c r="K4469" s="55" t="s">
        <v>30</v>
      </c>
      <c r="L4469" s="60" t="s">
        <v>1492</v>
      </c>
    </row>
    <row r="4470" spans="1:12" x14ac:dyDescent="0.3">
      <c r="H4470" s="74">
        <v>50</v>
      </c>
      <c r="K4470" s="55" t="s">
        <v>55</v>
      </c>
      <c r="L4470" s="60" t="s">
        <v>1484</v>
      </c>
    </row>
    <row r="4471" spans="1:12" x14ac:dyDescent="0.3">
      <c r="H4471" s="74">
        <v>60</v>
      </c>
      <c r="K4471" s="55" t="s">
        <v>32</v>
      </c>
      <c r="L4471" s="60" t="s">
        <v>1494</v>
      </c>
    </row>
    <row r="4473" spans="1:12" x14ac:dyDescent="0.3">
      <c r="A4473" s="72" t="s">
        <v>1491</v>
      </c>
      <c r="B4473" s="55" t="s">
        <v>10</v>
      </c>
      <c r="C4473" s="67" t="s">
        <v>47</v>
      </c>
      <c r="D4473" s="55" t="s">
        <v>50</v>
      </c>
      <c r="E4473" s="19">
        <v>63.21</v>
      </c>
      <c r="F4473" s="19">
        <v>2</v>
      </c>
      <c r="G4473" s="55" t="s">
        <v>11</v>
      </c>
      <c r="H4473" s="74">
        <v>10</v>
      </c>
      <c r="K4473" s="55" t="s">
        <v>25</v>
      </c>
    </row>
    <row r="4474" spans="1:12" x14ac:dyDescent="0.3">
      <c r="H4474" s="74">
        <v>10</v>
      </c>
      <c r="K4474" s="55" t="s">
        <v>84</v>
      </c>
    </row>
    <row r="4475" spans="1:12" x14ac:dyDescent="0.3">
      <c r="H4475" s="74">
        <v>20</v>
      </c>
      <c r="K4475" s="55" t="s">
        <v>96</v>
      </c>
    </row>
    <row r="4476" spans="1:12" x14ac:dyDescent="0.3">
      <c r="H4476" s="74">
        <v>300</v>
      </c>
      <c r="K4476" s="55" t="s">
        <v>34</v>
      </c>
      <c r="L4476" s="60" t="s">
        <v>135</v>
      </c>
    </row>
    <row r="4477" spans="1:12" x14ac:dyDescent="0.3">
      <c r="H4477" s="74">
        <v>45</v>
      </c>
      <c r="K4477" s="55" t="s">
        <v>55</v>
      </c>
      <c r="L4477" s="60" t="s">
        <v>597</v>
      </c>
    </row>
    <row r="4478" spans="1:12" x14ac:dyDescent="0.3">
      <c r="H4478" s="74">
        <v>30</v>
      </c>
      <c r="K4478" s="55" t="s">
        <v>33</v>
      </c>
      <c r="L4478" s="60" t="s">
        <v>1495</v>
      </c>
    </row>
    <row r="4479" spans="1:12" x14ac:dyDescent="0.3">
      <c r="H4479" s="74">
        <v>20</v>
      </c>
      <c r="K4479" s="55" t="s">
        <v>30</v>
      </c>
    </row>
    <row r="4480" spans="1:12" x14ac:dyDescent="0.3">
      <c r="H4480" s="74">
        <v>20</v>
      </c>
      <c r="K4480" s="55" t="s">
        <v>102</v>
      </c>
    </row>
    <row r="4482" spans="1:12" x14ac:dyDescent="0.3">
      <c r="A4482" s="72" t="s">
        <v>1491</v>
      </c>
      <c r="B4482" s="55" t="s">
        <v>12</v>
      </c>
      <c r="C4482" s="67" t="s">
        <v>188</v>
      </c>
      <c r="D4482" s="55" t="s">
        <v>51</v>
      </c>
      <c r="E4482" s="19">
        <v>120.71</v>
      </c>
      <c r="F4482" s="19">
        <v>3.5</v>
      </c>
      <c r="G4482" s="55" t="s">
        <v>11</v>
      </c>
      <c r="H4482" s="74">
        <v>10</v>
      </c>
      <c r="K4482" s="55" t="s">
        <v>25</v>
      </c>
    </row>
    <row r="4483" spans="1:12" x14ac:dyDescent="0.3">
      <c r="H4483" s="74">
        <v>10</v>
      </c>
      <c r="K4483" s="55" t="s">
        <v>84</v>
      </c>
    </row>
    <row r="4484" spans="1:12" x14ac:dyDescent="0.3">
      <c r="H4484" s="74">
        <v>40</v>
      </c>
      <c r="K4484" s="55" t="s">
        <v>32</v>
      </c>
      <c r="L4484" s="60" t="s">
        <v>460</v>
      </c>
    </row>
    <row r="4485" spans="1:12" x14ac:dyDescent="0.3">
      <c r="H4485" s="74">
        <v>20</v>
      </c>
      <c r="K4485" s="55" t="s">
        <v>32</v>
      </c>
      <c r="L4485" s="60" t="s">
        <v>1496</v>
      </c>
    </row>
    <row r="4486" spans="1:12" x14ac:dyDescent="0.3">
      <c r="H4486" s="74">
        <v>60</v>
      </c>
      <c r="K4486" s="55" t="s">
        <v>32</v>
      </c>
      <c r="L4486" s="60" t="s">
        <v>1498</v>
      </c>
    </row>
    <row r="4487" spans="1:12" x14ac:dyDescent="0.3">
      <c r="H4487" s="74">
        <v>180</v>
      </c>
      <c r="K4487" s="55" t="s">
        <v>33</v>
      </c>
      <c r="L4487" s="60" t="s">
        <v>1497</v>
      </c>
    </row>
    <row r="4488" spans="1:12" x14ac:dyDescent="0.3">
      <c r="H4488" s="74">
        <v>40</v>
      </c>
      <c r="K4488" s="55" t="s">
        <v>55</v>
      </c>
      <c r="L4488" s="60" t="s">
        <v>356</v>
      </c>
    </row>
    <row r="4489" spans="1:12" x14ac:dyDescent="0.3">
      <c r="H4489" s="74">
        <v>20</v>
      </c>
      <c r="K4489" s="55" t="s">
        <v>55</v>
      </c>
      <c r="L4489" s="60" t="s">
        <v>1499</v>
      </c>
    </row>
    <row r="4491" spans="1:12" x14ac:dyDescent="0.3">
      <c r="A4491" s="72" t="s">
        <v>1500</v>
      </c>
      <c r="B4491" s="55" t="s">
        <v>0</v>
      </c>
      <c r="C4491" s="67" t="s">
        <v>46</v>
      </c>
      <c r="D4491" s="55" t="s">
        <v>52</v>
      </c>
      <c r="E4491" s="19">
        <v>209.26</v>
      </c>
      <c r="F4491" s="19">
        <v>5.5</v>
      </c>
      <c r="G4491" s="55" t="s">
        <v>11</v>
      </c>
      <c r="H4491" s="74">
        <v>10</v>
      </c>
      <c r="K4491" s="55" t="s">
        <v>25</v>
      </c>
    </row>
    <row r="4492" spans="1:12" x14ac:dyDescent="0.3">
      <c r="H4492" s="74">
        <v>10</v>
      </c>
      <c r="K4492" s="55" t="s">
        <v>84</v>
      </c>
    </row>
    <row r="4493" spans="1:12" x14ac:dyDescent="0.3">
      <c r="H4493" s="74">
        <v>50</v>
      </c>
      <c r="K4493" s="55" t="s">
        <v>96</v>
      </c>
    </row>
    <row r="4494" spans="1:12" x14ac:dyDescent="0.3">
      <c r="H4494" s="74">
        <v>20</v>
      </c>
      <c r="K4494" s="55" t="s">
        <v>34</v>
      </c>
      <c r="L4494" s="60" t="s">
        <v>149</v>
      </c>
    </row>
    <row r="4495" spans="1:12" x14ac:dyDescent="0.3">
      <c r="H4495" s="74">
        <v>20</v>
      </c>
      <c r="K4495" s="55" t="s">
        <v>34</v>
      </c>
      <c r="L4495" s="60" t="s">
        <v>254</v>
      </c>
    </row>
    <row r="4496" spans="1:12" x14ac:dyDescent="0.3">
      <c r="H4496" s="74">
        <v>20</v>
      </c>
      <c r="K4496" s="55" t="s">
        <v>102</v>
      </c>
    </row>
    <row r="4497" spans="1:12" x14ac:dyDescent="0.3">
      <c r="H4497" s="74">
        <v>20</v>
      </c>
      <c r="K4497" s="55" t="s">
        <v>30</v>
      </c>
      <c r="L4497" s="60" t="s">
        <v>233</v>
      </c>
    </row>
    <row r="4498" spans="1:12" x14ac:dyDescent="0.3">
      <c r="H4498" s="74">
        <v>150</v>
      </c>
      <c r="K4498" s="55" t="s">
        <v>33</v>
      </c>
      <c r="L4498" s="60" t="s">
        <v>1501</v>
      </c>
    </row>
    <row r="4499" spans="1:12" x14ac:dyDescent="0.3">
      <c r="H4499" s="74">
        <v>30</v>
      </c>
      <c r="K4499" s="55" t="s">
        <v>32</v>
      </c>
      <c r="L4499" s="60" t="s">
        <v>472</v>
      </c>
    </row>
    <row r="4500" spans="1:12" x14ac:dyDescent="0.3">
      <c r="H4500" s="74">
        <v>30</v>
      </c>
      <c r="K4500" s="55" t="s">
        <v>33</v>
      </c>
      <c r="L4500" s="60" t="s">
        <v>1502</v>
      </c>
    </row>
    <row r="4502" spans="1:12" x14ac:dyDescent="0.3">
      <c r="A4502" s="72" t="s">
        <v>1500</v>
      </c>
      <c r="B4502" s="55" t="s">
        <v>10</v>
      </c>
      <c r="C4502" s="67" t="s">
        <v>47</v>
      </c>
      <c r="D4502" s="55" t="s">
        <v>50</v>
      </c>
      <c r="E4502" s="19">
        <v>263.19</v>
      </c>
      <c r="F4502" s="19">
        <v>9</v>
      </c>
      <c r="G4502" s="55" t="s">
        <v>11</v>
      </c>
      <c r="H4502" s="74">
        <v>10</v>
      </c>
      <c r="K4502" s="55" t="s">
        <v>25</v>
      </c>
    </row>
    <row r="4503" spans="1:12" x14ac:dyDescent="0.3">
      <c r="H4503" s="74">
        <v>10</v>
      </c>
      <c r="K4503" s="55" t="s">
        <v>84</v>
      </c>
    </row>
    <row r="4504" spans="1:12" x14ac:dyDescent="0.3">
      <c r="H4504" s="74">
        <v>90</v>
      </c>
      <c r="K4504" s="55" t="s">
        <v>96</v>
      </c>
    </row>
    <row r="4505" spans="1:12" x14ac:dyDescent="0.3">
      <c r="H4505" s="74">
        <v>90</v>
      </c>
      <c r="K4505" s="55" t="s">
        <v>32</v>
      </c>
      <c r="L4505" s="60" t="s">
        <v>960</v>
      </c>
    </row>
    <row r="4506" spans="1:12" x14ac:dyDescent="0.3">
      <c r="H4506" s="74">
        <v>30</v>
      </c>
      <c r="K4506" s="55" t="s">
        <v>32</v>
      </c>
      <c r="L4506" s="60" t="s">
        <v>1503</v>
      </c>
    </row>
    <row r="4507" spans="1:12" x14ac:dyDescent="0.3">
      <c r="H4507" s="74">
        <v>20</v>
      </c>
      <c r="K4507" s="55" t="s">
        <v>102</v>
      </c>
    </row>
    <row r="4508" spans="1:12" x14ac:dyDescent="0.3">
      <c r="H4508" s="74">
        <v>30</v>
      </c>
      <c r="K4508" s="55" t="s">
        <v>34</v>
      </c>
      <c r="L4508" s="60" t="s">
        <v>254</v>
      </c>
    </row>
    <row r="4509" spans="1:12" x14ac:dyDescent="0.3">
      <c r="H4509" s="74">
        <v>30</v>
      </c>
      <c r="K4509" s="55" t="s">
        <v>34</v>
      </c>
      <c r="L4509" s="60" t="s">
        <v>149</v>
      </c>
    </row>
    <row r="4510" spans="1:12" x14ac:dyDescent="0.3">
      <c r="H4510" s="74">
        <v>30</v>
      </c>
      <c r="K4510" s="55" t="s">
        <v>30</v>
      </c>
    </row>
    <row r="4512" spans="1:12" x14ac:dyDescent="0.3">
      <c r="A4512" s="72" t="s">
        <v>1500</v>
      </c>
      <c r="B4512" s="55" t="s">
        <v>12</v>
      </c>
      <c r="C4512" s="67" t="s">
        <v>188</v>
      </c>
      <c r="D4512" s="55" t="s">
        <v>51</v>
      </c>
      <c r="E4512" s="19">
        <v>212.7</v>
      </c>
      <c r="F4512" s="19">
        <v>8</v>
      </c>
      <c r="G4512" s="55" t="s">
        <v>11</v>
      </c>
      <c r="H4512" s="74">
        <v>10</v>
      </c>
      <c r="K4512" s="55" t="s">
        <v>25</v>
      </c>
    </row>
    <row r="4513" spans="1:12" x14ac:dyDescent="0.3">
      <c r="H4513" s="74">
        <v>10</v>
      </c>
      <c r="K4513" s="55" t="s">
        <v>84</v>
      </c>
    </row>
    <row r="4514" spans="1:12" x14ac:dyDescent="0.3">
      <c r="H4514" s="74">
        <v>80</v>
      </c>
      <c r="K4514" s="55" t="s">
        <v>96</v>
      </c>
    </row>
    <row r="4515" spans="1:12" x14ac:dyDescent="0.3">
      <c r="H4515" s="74">
        <v>60</v>
      </c>
      <c r="K4515" s="55" t="s">
        <v>32</v>
      </c>
      <c r="L4515" s="60" t="s">
        <v>137</v>
      </c>
    </row>
    <row r="4516" spans="1:12" x14ac:dyDescent="0.3">
      <c r="H4516" s="74">
        <v>30</v>
      </c>
      <c r="K4516" s="55" t="s">
        <v>34</v>
      </c>
      <c r="L4516" s="60" t="s">
        <v>149</v>
      </c>
    </row>
    <row r="4517" spans="1:12" x14ac:dyDescent="0.3">
      <c r="H4517" s="74">
        <v>40</v>
      </c>
      <c r="K4517" s="55" t="s">
        <v>34</v>
      </c>
      <c r="L4517" s="60" t="s">
        <v>323</v>
      </c>
    </row>
    <row r="4518" spans="1:12" x14ac:dyDescent="0.3">
      <c r="H4518" s="74">
        <v>20</v>
      </c>
      <c r="K4518" s="55" t="s">
        <v>102</v>
      </c>
    </row>
    <row r="4519" spans="1:12" x14ac:dyDescent="0.3">
      <c r="H4519" s="74">
        <v>25</v>
      </c>
      <c r="K4519" s="55" t="s">
        <v>30</v>
      </c>
    </row>
    <row r="4520" spans="1:12" x14ac:dyDescent="0.3">
      <c r="H4520" s="74">
        <v>20</v>
      </c>
      <c r="K4520" s="55" t="s">
        <v>33</v>
      </c>
      <c r="L4520" s="60" t="s">
        <v>1504</v>
      </c>
    </row>
    <row r="4521" spans="1:12" x14ac:dyDescent="0.3">
      <c r="H4521" s="74">
        <v>15</v>
      </c>
      <c r="K4521" s="55" t="s">
        <v>55</v>
      </c>
      <c r="L4521" s="60" t="s">
        <v>147</v>
      </c>
    </row>
    <row r="4522" spans="1:12" x14ac:dyDescent="0.3">
      <c r="H4522" s="74">
        <v>25</v>
      </c>
      <c r="K4522" s="55" t="s">
        <v>55</v>
      </c>
      <c r="L4522" s="60" t="s">
        <v>461</v>
      </c>
    </row>
    <row r="4524" spans="1:12" x14ac:dyDescent="0.3">
      <c r="A4524" s="72" t="s">
        <v>1505</v>
      </c>
      <c r="B4524" s="55" t="s">
        <v>0</v>
      </c>
      <c r="C4524" s="67" t="s">
        <v>46</v>
      </c>
      <c r="D4524" s="55" t="s">
        <v>52</v>
      </c>
      <c r="E4524" s="19">
        <v>189.32</v>
      </c>
      <c r="F4524" s="19">
        <v>5</v>
      </c>
      <c r="G4524" s="55" t="s">
        <v>11</v>
      </c>
      <c r="H4524" s="74">
        <v>10</v>
      </c>
      <c r="K4524" s="55" t="s">
        <v>25</v>
      </c>
    </row>
    <row r="4525" spans="1:12" x14ac:dyDescent="0.3">
      <c r="H4525" s="74">
        <v>10</v>
      </c>
      <c r="K4525" s="55" t="s">
        <v>84</v>
      </c>
    </row>
    <row r="4526" spans="1:12" x14ac:dyDescent="0.3">
      <c r="H4526" s="74">
        <v>50</v>
      </c>
      <c r="K4526" s="55" t="s">
        <v>96</v>
      </c>
    </row>
    <row r="4527" spans="1:12" x14ac:dyDescent="0.3">
      <c r="H4527" s="74">
        <v>20</v>
      </c>
      <c r="K4527" s="55" t="s">
        <v>34</v>
      </c>
      <c r="L4527" s="60" t="s">
        <v>149</v>
      </c>
    </row>
    <row r="4528" spans="1:12" x14ac:dyDescent="0.3">
      <c r="H4528" s="74">
        <v>20</v>
      </c>
      <c r="K4528" s="55" t="s">
        <v>34</v>
      </c>
      <c r="L4528" s="60" t="s">
        <v>1508</v>
      </c>
    </row>
    <row r="4529" spans="1:12" x14ac:dyDescent="0.3">
      <c r="H4529" s="74">
        <v>20</v>
      </c>
      <c r="K4529" s="55" t="s">
        <v>102</v>
      </c>
    </row>
    <row r="4530" spans="1:12" x14ac:dyDescent="0.3">
      <c r="H4530" s="74">
        <v>20</v>
      </c>
      <c r="K4530" s="55" t="s">
        <v>30</v>
      </c>
      <c r="L4530" s="60" t="s">
        <v>1507</v>
      </c>
    </row>
    <row r="4531" spans="1:12" x14ac:dyDescent="0.3">
      <c r="H4531" s="74">
        <v>150</v>
      </c>
      <c r="K4531" s="55" t="s">
        <v>33</v>
      </c>
      <c r="L4531" s="60" t="s">
        <v>1506</v>
      </c>
    </row>
    <row r="4532" spans="1:12" x14ac:dyDescent="0.3">
      <c r="H4532" s="74">
        <v>30</v>
      </c>
      <c r="K4532" s="55" t="s">
        <v>32</v>
      </c>
      <c r="L4532" s="60" t="s">
        <v>472</v>
      </c>
    </row>
    <row r="4533" spans="1:12" x14ac:dyDescent="0.3">
      <c r="H4533" s="74">
        <v>20</v>
      </c>
      <c r="K4533" s="55" t="s">
        <v>32</v>
      </c>
      <c r="L4533" s="60" t="s">
        <v>1282</v>
      </c>
    </row>
    <row r="4534" spans="1:12" x14ac:dyDescent="0.3">
      <c r="H4534" s="74">
        <v>15</v>
      </c>
      <c r="K4534" s="55" t="s">
        <v>55</v>
      </c>
      <c r="L4534" s="60" t="s">
        <v>13</v>
      </c>
    </row>
    <row r="4536" spans="1:12" x14ac:dyDescent="0.3">
      <c r="A4536" s="72" t="s">
        <v>1505</v>
      </c>
      <c r="B4536" s="55" t="s">
        <v>10</v>
      </c>
      <c r="C4536" s="67" t="s">
        <v>47</v>
      </c>
      <c r="D4536" s="55" t="s">
        <v>50</v>
      </c>
      <c r="E4536" s="19">
        <v>256.08999999999997</v>
      </c>
      <c r="F4536" s="19">
        <v>8</v>
      </c>
      <c r="G4536" s="55" t="s">
        <v>11</v>
      </c>
      <c r="H4536" s="74">
        <v>10</v>
      </c>
      <c r="K4536" s="55" t="s">
        <v>25</v>
      </c>
    </row>
    <row r="4537" spans="1:12" x14ac:dyDescent="0.3">
      <c r="H4537" s="74">
        <v>10</v>
      </c>
      <c r="K4537" s="55" t="s">
        <v>84</v>
      </c>
    </row>
    <row r="4538" spans="1:12" x14ac:dyDescent="0.3">
      <c r="H4538" s="74">
        <v>80</v>
      </c>
      <c r="K4538" s="55" t="s">
        <v>96</v>
      </c>
    </row>
    <row r="4539" spans="1:12" x14ac:dyDescent="0.3">
      <c r="H4539" s="74">
        <v>60</v>
      </c>
      <c r="K4539" s="55" t="s">
        <v>32</v>
      </c>
      <c r="L4539" s="60" t="s">
        <v>503</v>
      </c>
    </row>
    <row r="4540" spans="1:12" x14ac:dyDescent="0.3">
      <c r="H4540" s="74">
        <v>80</v>
      </c>
      <c r="K4540" s="55" t="s">
        <v>32</v>
      </c>
      <c r="L4540" s="60" t="s">
        <v>1509</v>
      </c>
    </row>
    <row r="4541" spans="1:12" x14ac:dyDescent="0.3">
      <c r="H4541" s="74">
        <v>20</v>
      </c>
      <c r="K4541" s="55" t="s">
        <v>34</v>
      </c>
      <c r="L4541" s="60" t="s">
        <v>149</v>
      </c>
    </row>
    <row r="4542" spans="1:12" x14ac:dyDescent="0.3">
      <c r="H4542" s="74">
        <v>20</v>
      </c>
      <c r="K4542" s="55" t="s">
        <v>34</v>
      </c>
      <c r="L4542" s="60" t="s">
        <v>1508</v>
      </c>
    </row>
    <row r="4543" spans="1:12" x14ac:dyDescent="0.3">
      <c r="H4543" s="74">
        <v>40</v>
      </c>
      <c r="K4543" s="55" t="s">
        <v>33</v>
      </c>
      <c r="L4543" s="60" t="s">
        <v>1510</v>
      </c>
    </row>
    <row r="4544" spans="1:12" x14ac:dyDescent="0.3">
      <c r="H4544" s="74">
        <v>30</v>
      </c>
      <c r="K4544" s="55" t="s">
        <v>102</v>
      </c>
    </row>
    <row r="4546" spans="1:12" x14ac:dyDescent="0.3">
      <c r="A4546" s="72" t="s">
        <v>1505</v>
      </c>
      <c r="B4546" s="55" t="s">
        <v>12</v>
      </c>
      <c r="C4546" s="67" t="s">
        <v>188</v>
      </c>
      <c r="D4546" s="55" t="s">
        <v>51</v>
      </c>
      <c r="E4546" s="19">
        <v>327.08999999999997</v>
      </c>
      <c r="F4546" s="19">
        <v>9</v>
      </c>
      <c r="G4546" s="55" t="s">
        <v>11</v>
      </c>
      <c r="H4546" s="74">
        <v>10</v>
      </c>
      <c r="K4546" s="55" t="s">
        <v>25</v>
      </c>
    </row>
    <row r="4547" spans="1:12" x14ac:dyDescent="0.3">
      <c r="H4547" s="74">
        <v>10</v>
      </c>
      <c r="K4547" s="55" t="s">
        <v>84</v>
      </c>
    </row>
    <row r="4548" spans="1:12" x14ac:dyDescent="0.3">
      <c r="H4548" s="74">
        <v>90</v>
      </c>
      <c r="K4548" s="55" t="s">
        <v>96</v>
      </c>
    </row>
    <row r="4549" spans="1:12" x14ac:dyDescent="0.3">
      <c r="H4549" s="74">
        <v>60</v>
      </c>
      <c r="K4549" s="55" t="s">
        <v>32</v>
      </c>
      <c r="L4549" s="60" t="s">
        <v>137</v>
      </c>
    </row>
    <row r="4550" spans="1:12" x14ac:dyDescent="0.3">
      <c r="H4550" s="74">
        <v>25</v>
      </c>
      <c r="K4550" s="55" t="s">
        <v>102</v>
      </c>
    </row>
    <row r="4551" spans="1:12" x14ac:dyDescent="0.3">
      <c r="H4551" s="74">
        <v>40</v>
      </c>
      <c r="K4551" s="55" t="s">
        <v>55</v>
      </c>
      <c r="L4551" s="60" t="s">
        <v>356</v>
      </c>
    </row>
    <row r="4552" spans="1:12" x14ac:dyDescent="0.3">
      <c r="H4552" s="74">
        <v>30</v>
      </c>
      <c r="K4552" s="55" t="s">
        <v>34</v>
      </c>
      <c r="L4552" s="60" t="s">
        <v>149</v>
      </c>
    </row>
    <row r="4553" spans="1:12" x14ac:dyDescent="0.3">
      <c r="H4553" s="74">
        <v>30</v>
      </c>
      <c r="K4553" s="55" t="s">
        <v>34</v>
      </c>
    </row>
    <row r="4554" spans="1:12" x14ac:dyDescent="0.3">
      <c r="H4554" s="74">
        <v>20</v>
      </c>
      <c r="K4554" s="55" t="s">
        <v>30</v>
      </c>
      <c r="L4554" s="60" t="s">
        <v>1507</v>
      </c>
    </row>
    <row r="4555" spans="1:12" x14ac:dyDescent="0.3">
      <c r="H4555" s="74">
        <v>10</v>
      </c>
      <c r="K4555" s="55" t="s">
        <v>55</v>
      </c>
      <c r="L4555" s="60" t="s">
        <v>636</v>
      </c>
    </row>
    <row r="4556" spans="1:12" x14ac:dyDescent="0.3">
      <c r="H4556" s="74">
        <v>30</v>
      </c>
      <c r="K4556" s="55" t="s">
        <v>33</v>
      </c>
      <c r="L4556" s="60" t="s">
        <v>461</v>
      </c>
    </row>
    <row r="4558" spans="1:12" x14ac:dyDescent="0.3">
      <c r="A4558" s="72" t="s">
        <v>1511</v>
      </c>
      <c r="B4558" s="55" t="s">
        <v>0</v>
      </c>
      <c r="C4558" s="67" t="s">
        <v>46</v>
      </c>
      <c r="D4558" s="55" t="s">
        <v>52</v>
      </c>
      <c r="E4558" s="19">
        <v>213.62</v>
      </c>
      <c r="F4558" s="19">
        <v>7</v>
      </c>
      <c r="G4558" s="55" t="s">
        <v>11</v>
      </c>
      <c r="H4558" s="74">
        <v>10</v>
      </c>
      <c r="K4558" s="55" t="s">
        <v>25</v>
      </c>
    </row>
    <row r="4559" spans="1:12" x14ac:dyDescent="0.3">
      <c r="H4559" s="74">
        <v>10</v>
      </c>
      <c r="K4559" s="55" t="s">
        <v>84</v>
      </c>
    </row>
    <row r="4560" spans="1:12" x14ac:dyDescent="0.3">
      <c r="H4560" s="74">
        <v>70</v>
      </c>
      <c r="K4560" s="55" t="s">
        <v>96</v>
      </c>
    </row>
    <row r="4561" spans="1:12" x14ac:dyDescent="0.3">
      <c r="H4561" s="74">
        <v>40</v>
      </c>
      <c r="K4561" s="55" t="s">
        <v>34</v>
      </c>
      <c r="L4561" s="60" t="s">
        <v>149</v>
      </c>
    </row>
    <row r="4562" spans="1:12" x14ac:dyDescent="0.3">
      <c r="H4562" s="74">
        <v>20</v>
      </c>
      <c r="K4562" s="55" t="s">
        <v>34</v>
      </c>
      <c r="L4562" s="60" t="s">
        <v>1508</v>
      </c>
    </row>
    <row r="4563" spans="1:12" x14ac:dyDescent="0.3">
      <c r="H4563" s="74">
        <v>20</v>
      </c>
      <c r="K4563" s="55" t="s">
        <v>102</v>
      </c>
    </row>
    <row r="4564" spans="1:12" x14ac:dyDescent="0.3">
      <c r="H4564" s="74">
        <v>20</v>
      </c>
      <c r="K4564" s="55" t="s">
        <v>30</v>
      </c>
      <c r="L4564" s="60" t="s">
        <v>1507</v>
      </c>
    </row>
    <row r="4565" spans="1:12" x14ac:dyDescent="0.3">
      <c r="H4565" s="74">
        <v>100</v>
      </c>
      <c r="K4565" s="55" t="s">
        <v>32</v>
      </c>
      <c r="L4565" s="60" t="s">
        <v>354</v>
      </c>
    </row>
    <row r="4566" spans="1:12" x14ac:dyDescent="0.3">
      <c r="H4566" s="74">
        <v>40</v>
      </c>
      <c r="K4566" s="55" t="s">
        <v>32</v>
      </c>
      <c r="L4566" s="60" t="s">
        <v>608</v>
      </c>
    </row>
    <row r="4567" spans="1:12" x14ac:dyDescent="0.3">
      <c r="H4567" s="74">
        <v>20</v>
      </c>
      <c r="K4567" s="55" t="s">
        <v>32</v>
      </c>
      <c r="L4567" s="60" t="s">
        <v>1512</v>
      </c>
    </row>
    <row r="4568" spans="1:12" x14ac:dyDescent="0.3">
      <c r="H4568" s="74">
        <v>15</v>
      </c>
      <c r="K4568" s="55" t="s">
        <v>55</v>
      </c>
      <c r="L4568" s="60" t="s">
        <v>13</v>
      </c>
    </row>
    <row r="4569" spans="1:12" x14ac:dyDescent="0.3">
      <c r="H4569" s="74">
        <v>40</v>
      </c>
      <c r="K4569" s="55" t="s">
        <v>55</v>
      </c>
      <c r="L4569" s="60" t="s">
        <v>1513</v>
      </c>
    </row>
    <row r="4571" spans="1:12" x14ac:dyDescent="0.3">
      <c r="A4571" s="72" t="s">
        <v>1511</v>
      </c>
      <c r="B4571" s="55" t="s">
        <v>10</v>
      </c>
      <c r="C4571" s="67" t="s">
        <v>47</v>
      </c>
      <c r="D4571" s="55" t="s">
        <v>50</v>
      </c>
      <c r="E4571" s="19">
        <v>143.65</v>
      </c>
      <c r="F4571" s="19">
        <v>5</v>
      </c>
      <c r="G4571" s="55" t="s">
        <v>11</v>
      </c>
      <c r="H4571" s="74">
        <v>10</v>
      </c>
      <c r="K4571" s="55" t="s">
        <v>25</v>
      </c>
    </row>
    <row r="4572" spans="1:12" x14ac:dyDescent="0.3">
      <c r="H4572" s="74">
        <v>10</v>
      </c>
      <c r="K4572" s="55" t="s">
        <v>84</v>
      </c>
    </row>
    <row r="4573" spans="1:12" x14ac:dyDescent="0.3">
      <c r="H4573" s="74">
        <v>60</v>
      </c>
      <c r="K4573" s="55" t="s">
        <v>96</v>
      </c>
    </row>
    <row r="4574" spans="1:12" x14ac:dyDescent="0.3">
      <c r="H4574" s="74">
        <v>60</v>
      </c>
      <c r="K4574" s="55" t="s">
        <v>32</v>
      </c>
      <c r="L4574" s="60" t="s">
        <v>1514</v>
      </c>
    </row>
    <row r="4575" spans="1:12" x14ac:dyDescent="0.3">
      <c r="H4575" s="74">
        <v>30</v>
      </c>
      <c r="K4575" s="55" t="s">
        <v>32</v>
      </c>
      <c r="L4575" s="60" t="s">
        <v>1515</v>
      </c>
    </row>
    <row r="4576" spans="1:12" x14ac:dyDescent="0.3">
      <c r="H4576" s="74">
        <v>100</v>
      </c>
      <c r="K4576" s="55" t="s">
        <v>32</v>
      </c>
      <c r="L4576" s="60" t="s">
        <v>1518</v>
      </c>
    </row>
    <row r="4577" spans="1:13" x14ac:dyDescent="0.3">
      <c r="H4577" s="74">
        <v>30</v>
      </c>
      <c r="K4577" s="55" t="s">
        <v>33</v>
      </c>
      <c r="L4577" s="60" t="s">
        <v>1516</v>
      </c>
    </row>
    <row r="4578" spans="1:13" ht="32.25" x14ac:dyDescent="0.3">
      <c r="H4578" s="74">
        <v>60</v>
      </c>
      <c r="K4578" s="55" t="s">
        <v>55</v>
      </c>
      <c r="L4578" s="65" t="s">
        <v>1517</v>
      </c>
    </row>
    <row r="4579" spans="1:13" x14ac:dyDescent="0.3">
      <c r="H4579" s="74">
        <v>30</v>
      </c>
      <c r="K4579" s="55" t="s">
        <v>55</v>
      </c>
      <c r="L4579" s="60" t="s">
        <v>1519</v>
      </c>
    </row>
    <row r="4581" spans="1:13" x14ac:dyDescent="0.3">
      <c r="A4581" s="72" t="s">
        <v>1511</v>
      </c>
      <c r="B4581" s="55" t="s">
        <v>12</v>
      </c>
      <c r="C4581" s="67" t="s">
        <v>188</v>
      </c>
      <c r="D4581" s="55" t="s">
        <v>51</v>
      </c>
      <c r="E4581" s="19">
        <v>170.51</v>
      </c>
      <c r="F4581" s="19">
        <v>6</v>
      </c>
      <c r="G4581" s="55" t="s">
        <v>11</v>
      </c>
      <c r="H4581" s="74">
        <v>10</v>
      </c>
      <c r="K4581" s="55" t="s">
        <v>25</v>
      </c>
    </row>
    <row r="4582" spans="1:13" x14ac:dyDescent="0.3">
      <c r="H4582" s="74">
        <v>10</v>
      </c>
      <c r="K4582" s="55" t="s">
        <v>84</v>
      </c>
    </row>
    <row r="4583" spans="1:13" x14ac:dyDescent="0.3">
      <c r="H4583" s="74">
        <v>70</v>
      </c>
      <c r="K4583" s="55" t="s">
        <v>96</v>
      </c>
    </row>
    <row r="4584" spans="1:13" x14ac:dyDescent="0.3">
      <c r="H4584" s="74">
        <v>30</v>
      </c>
      <c r="K4584" s="55" t="s">
        <v>32</v>
      </c>
      <c r="L4584" s="60" t="s">
        <v>283</v>
      </c>
      <c r="M4584" s="1" t="s">
        <v>1523</v>
      </c>
    </row>
    <row r="4585" spans="1:13" x14ac:dyDescent="0.3">
      <c r="H4585" s="74">
        <v>70</v>
      </c>
      <c r="K4585" s="55" t="s">
        <v>32</v>
      </c>
      <c r="L4585" s="60" t="s">
        <v>494</v>
      </c>
    </row>
    <row r="4586" spans="1:13" x14ac:dyDescent="0.3">
      <c r="H4586" s="74">
        <v>40</v>
      </c>
      <c r="K4586" s="55" t="s">
        <v>30</v>
      </c>
      <c r="L4586" s="60" t="s">
        <v>250</v>
      </c>
    </row>
    <row r="4587" spans="1:13" x14ac:dyDescent="0.3">
      <c r="H4587" s="74">
        <v>45</v>
      </c>
      <c r="K4587" s="55" t="s">
        <v>33</v>
      </c>
      <c r="L4587" s="60" t="s">
        <v>1521</v>
      </c>
    </row>
    <row r="4588" spans="1:13" x14ac:dyDescent="0.3">
      <c r="H4588" s="74">
        <v>30</v>
      </c>
      <c r="K4588" s="55" t="s">
        <v>34</v>
      </c>
      <c r="L4588" s="60" t="s">
        <v>1522</v>
      </c>
    </row>
    <row r="4589" spans="1:13" x14ac:dyDescent="0.3">
      <c r="H4589" s="74">
        <v>20</v>
      </c>
      <c r="K4589" s="55" t="s">
        <v>55</v>
      </c>
      <c r="L4589" s="60" t="s">
        <v>1520</v>
      </c>
    </row>
    <row r="4590" spans="1:13" x14ac:dyDescent="0.3">
      <c r="H4590" s="74">
        <v>30</v>
      </c>
      <c r="K4590" s="55" t="s">
        <v>32</v>
      </c>
      <c r="L4590" s="60" t="s">
        <v>663</v>
      </c>
    </row>
    <row r="4591" spans="1:13" x14ac:dyDescent="0.3">
      <c r="H4591" s="74">
        <v>25</v>
      </c>
      <c r="K4591" s="55" t="s">
        <v>55</v>
      </c>
      <c r="L4591" s="60" t="s">
        <v>699</v>
      </c>
    </row>
    <row r="4593" spans="1:12" x14ac:dyDescent="0.3">
      <c r="A4593" s="72" t="s">
        <v>1524</v>
      </c>
      <c r="B4593" s="55" t="s">
        <v>0</v>
      </c>
      <c r="C4593" s="67" t="s">
        <v>46</v>
      </c>
      <c r="D4593" s="55" t="s">
        <v>52</v>
      </c>
      <c r="E4593" s="19">
        <v>249.35</v>
      </c>
      <c r="F4593" s="19">
        <v>8</v>
      </c>
      <c r="G4593" s="55" t="s">
        <v>11</v>
      </c>
      <c r="H4593" s="74">
        <v>10</v>
      </c>
      <c r="K4593" s="55" t="s">
        <v>25</v>
      </c>
    </row>
    <row r="4594" spans="1:12" x14ac:dyDescent="0.3">
      <c r="H4594" s="74">
        <v>10</v>
      </c>
      <c r="K4594" s="55" t="s">
        <v>84</v>
      </c>
    </row>
    <row r="4595" spans="1:12" x14ac:dyDescent="0.3">
      <c r="H4595" s="74">
        <v>80</v>
      </c>
      <c r="K4595" s="55" t="s">
        <v>96</v>
      </c>
    </row>
    <row r="4596" spans="1:12" x14ac:dyDescent="0.3">
      <c r="H4596" s="74">
        <v>20</v>
      </c>
      <c r="K4596" s="55" t="s">
        <v>34</v>
      </c>
      <c r="L4596" s="60" t="s">
        <v>149</v>
      </c>
    </row>
    <row r="4597" spans="1:12" x14ac:dyDescent="0.3">
      <c r="H4597" s="74">
        <v>40</v>
      </c>
      <c r="K4597" s="55" t="s">
        <v>34</v>
      </c>
      <c r="L4597" s="60" t="s">
        <v>1508</v>
      </c>
    </row>
    <row r="4598" spans="1:12" x14ac:dyDescent="0.3">
      <c r="H4598" s="74">
        <v>20</v>
      </c>
      <c r="K4598" s="55" t="s">
        <v>102</v>
      </c>
    </row>
    <row r="4599" spans="1:12" x14ac:dyDescent="0.3">
      <c r="H4599" s="74">
        <v>30</v>
      </c>
      <c r="K4599" s="55" t="s">
        <v>30</v>
      </c>
      <c r="L4599" s="60" t="s">
        <v>1507</v>
      </c>
    </row>
    <row r="4600" spans="1:12" x14ac:dyDescent="0.3">
      <c r="H4600" s="74">
        <v>60</v>
      </c>
      <c r="K4600" s="55" t="s">
        <v>32</v>
      </c>
      <c r="L4600" s="60" t="s">
        <v>344</v>
      </c>
    </row>
    <row r="4601" spans="1:12" x14ac:dyDescent="0.3">
      <c r="H4601" s="74">
        <v>20</v>
      </c>
      <c r="K4601" s="55" t="s">
        <v>32</v>
      </c>
      <c r="L4601" s="60" t="s">
        <v>396</v>
      </c>
    </row>
    <row r="4602" spans="1:12" x14ac:dyDescent="0.3">
      <c r="H4602" s="74">
        <v>30</v>
      </c>
      <c r="K4602" s="55" t="s">
        <v>32</v>
      </c>
      <c r="L4602" s="60" t="s">
        <v>1512</v>
      </c>
    </row>
    <row r="4603" spans="1:12" x14ac:dyDescent="0.3">
      <c r="H4603" s="74">
        <v>15</v>
      </c>
      <c r="K4603" s="55" t="s">
        <v>55</v>
      </c>
      <c r="L4603" s="60" t="s">
        <v>13</v>
      </c>
    </row>
    <row r="4604" spans="1:12" x14ac:dyDescent="0.3">
      <c r="H4604" s="74">
        <v>20</v>
      </c>
      <c r="K4604" s="55" t="s">
        <v>55</v>
      </c>
      <c r="L4604" s="60" t="s">
        <v>1525</v>
      </c>
    </row>
    <row r="4606" spans="1:12" x14ac:dyDescent="0.3">
      <c r="A4606" s="72" t="s">
        <v>1524</v>
      </c>
      <c r="B4606" s="55" t="s">
        <v>10</v>
      </c>
      <c r="C4606" s="67" t="s">
        <v>47</v>
      </c>
      <c r="D4606" s="55" t="s">
        <v>50</v>
      </c>
      <c r="E4606" s="19">
        <v>104.47</v>
      </c>
      <c r="F4606" s="19" t="s">
        <v>1528</v>
      </c>
      <c r="G4606" s="55" t="s">
        <v>11</v>
      </c>
      <c r="H4606" s="74">
        <v>30</v>
      </c>
      <c r="K4606" s="55" t="s">
        <v>25</v>
      </c>
      <c r="L4606" s="60" t="s">
        <v>140</v>
      </c>
    </row>
    <row r="4607" spans="1:12" x14ac:dyDescent="0.3">
      <c r="H4607" s="74">
        <v>10</v>
      </c>
      <c r="K4607" s="55" t="s">
        <v>84</v>
      </c>
    </row>
    <row r="4608" spans="1:12" x14ac:dyDescent="0.3">
      <c r="H4608" s="74">
        <v>40</v>
      </c>
      <c r="K4608" s="55" t="s">
        <v>96</v>
      </c>
    </row>
    <row r="4609" spans="1:12" x14ac:dyDescent="0.3">
      <c r="H4609" s="74">
        <v>30</v>
      </c>
      <c r="K4609" s="55" t="s">
        <v>32</v>
      </c>
      <c r="L4609" s="60" t="s">
        <v>460</v>
      </c>
    </row>
    <row r="4610" spans="1:12" x14ac:dyDescent="0.3">
      <c r="H4610" s="74">
        <v>60</v>
      </c>
      <c r="K4610" s="55" t="s">
        <v>32</v>
      </c>
      <c r="L4610" s="60" t="s">
        <v>1526</v>
      </c>
    </row>
    <row r="4611" spans="1:12" x14ac:dyDescent="0.3">
      <c r="H4611" s="74">
        <v>170</v>
      </c>
      <c r="K4611" s="55" t="s">
        <v>55</v>
      </c>
      <c r="L4611" s="60" t="s">
        <v>1527</v>
      </c>
    </row>
    <row r="4612" spans="1:12" x14ac:dyDescent="0.3">
      <c r="H4612" s="74">
        <v>20</v>
      </c>
      <c r="K4612" s="55" t="s">
        <v>102</v>
      </c>
    </row>
    <row r="4613" spans="1:12" x14ac:dyDescent="0.3">
      <c r="H4613" s="74">
        <v>20</v>
      </c>
      <c r="K4613" s="55" t="s">
        <v>30</v>
      </c>
      <c r="L4613" s="60" t="s">
        <v>1507</v>
      </c>
    </row>
    <row r="4615" spans="1:12" x14ac:dyDescent="0.3">
      <c r="A4615" s="72" t="s">
        <v>1524</v>
      </c>
      <c r="B4615" s="55" t="s">
        <v>12</v>
      </c>
      <c r="C4615" s="67" t="s">
        <v>188</v>
      </c>
      <c r="D4615" s="55" t="s">
        <v>51</v>
      </c>
      <c r="E4615" s="19">
        <v>0</v>
      </c>
      <c r="F4615" s="19" t="s">
        <v>596</v>
      </c>
      <c r="G4615" s="55" t="s">
        <v>11</v>
      </c>
      <c r="H4615" s="74">
        <v>10</v>
      </c>
      <c r="K4615" s="55" t="s">
        <v>25</v>
      </c>
    </row>
    <row r="4616" spans="1:12" x14ac:dyDescent="0.3">
      <c r="H4616" s="74">
        <v>10</v>
      </c>
      <c r="K4616" s="55" t="s">
        <v>84</v>
      </c>
    </row>
    <row r="4617" spans="1:12" x14ac:dyDescent="0.3">
      <c r="H4617" s="74">
        <v>460</v>
      </c>
      <c r="K4617" s="55" t="s">
        <v>55</v>
      </c>
      <c r="L4617" s="60" t="s">
        <v>1527</v>
      </c>
    </row>
    <row r="4619" spans="1:12" x14ac:dyDescent="0.3">
      <c r="A4619" s="72" t="s">
        <v>1529</v>
      </c>
      <c r="B4619" s="55" t="s">
        <v>0</v>
      </c>
      <c r="C4619" s="67" t="s">
        <v>46</v>
      </c>
      <c r="D4619" s="55" t="s">
        <v>52</v>
      </c>
      <c r="E4619" s="19">
        <v>280.95</v>
      </c>
      <c r="F4619" s="19">
        <v>10</v>
      </c>
      <c r="G4619" s="55" t="s">
        <v>11</v>
      </c>
      <c r="H4619" s="74">
        <v>10</v>
      </c>
      <c r="K4619" s="55" t="s">
        <v>25</v>
      </c>
    </row>
    <row r="4620" spans="1:12" x14ac:dyDescent="0.3">
      <c r="H4620" s="74">
        <v>10</v>
      </c>
      <c r="K4620" s="55" t="s">
        <v>84</v>
      </c>
    </row>
    <row r="4621" spans="1:12" x14ac:dyDescent="0.3">
      <c r="H4621" s="74">
        <v>40</v>
      </c>
      <c r="K4621" s="55" t="s">
        <v>32</v>
      </c>
      <c r="L4621" s="60" t="s">
        <v>460</v>
      </c>
    </row>
    <row r="4622" spans="1:12" x14ac:dyDescent="0.3">
      <c r="H4622" s="74">
        <v>100</v>
      </c>
      <c r="K4622" s="55" t="s">
        <v>96</v>
      </c>
    </row>
    <row r="4623" spans="1:12" x14ac:dyDescent="0.3">
      <c r="H4623" s="74">
        <v>50</v>
      </c>
      <c r="K4623" s="55" t="s">
        <v>33</v>
      </c>
      <c r="L4623" s="60" t="s">
        <v>1530</v>
      </c>
    </row>
    <row r="4624" spans="1:12" x14ac:dyDescent="0.3">
      <c r="H4624" s="74">
        <v>40</v>
      </c>
      <c r="K4624" s="55" t="s">
        <v>32</v>
      </c>
      <c r="L4624" s="60" t="s">
        <v>1531</v>
      </c>
    </row>
    <row r="4625" spans="1:12" x14ac:dyDescent="0.3">
      <c r="H4625" s="74">
        <v>20</v>
      </c>
      <c r="K4625" s="55" t="s">
        <v>55</v>
      </c>
      <c r="L4625" s="60" t="s">
        <v>475</v>
      </c>
    </row>
    <row r="4626" spans="1:12" x14ac:dyDescent="0.3">
      <c r="H4626" s="74">
        <v>20</v>
      </c>
      <c r="K4626" s="55" t="s">
        <v>30</v>
      </c>
      <c r="L4626" s="60" t="s">
        <v>136</v>
      </c>
    </row>
    <row r="4627" spans="1:12" x14ac:dyDescent="0.3">
      <c r="H4627" s="74">
        <v>20</v>
      </c>
      <c r="K4627" s="55" t="s">
        <v>102</v>
      </c>
    </row>
    <row r="4628" spans="1:12" x14ac:dyDescent="0.3">
      <c r="A4628" s="72" t="s">
        <v>1529</v>
      </c>
      <c r="B4628" s="55" t="s">
        <v>10</v>
      </c>
      <c r="C4628" s="67" t="s">
        <v>47</v>
      </c>
      <c r="D4628" s="55" t="s">
        <v>50</v>
      </c>
      <c r="E4628" s="19">
        <v>327.01</v>
      </c>
      <c r="F4628" s="19">
        <v>12</v>
      </c>
      <c r="G4628" s="55" t="s">
        <v>11</v>
      </c>
      <c r="H4628" s="74">
        <v>10</v>
      </c>
      <c r="K4628" s="55" t="s">
        <v>25</v>
      </c>
    </row>
    <row r="4629" spans="1:12" x14ac:dyDescent="0.3">
      <c r="H4629" s="74">
        <v>10</v>
      </c>
      <c r="K4629" s="55" t="s">
        <v>84</v>
      </c>
    </row>
    <row r="4630" spans="1:12" x14ac:dyDescent="0.3">
      <c r="H4630" s="74">
        <v>30</v>
      </c>
      <c r="K4630" s="55" t="s">
        <v>32</v>
      </c>
      <c r="L4630" s="60" t="s">
        <v>460</v>
      </c>
    </row>
    <row r="4631" spans="1:12" x14ac:dyDescent="0.3">
      <c r="H4631" s="74">
        <v>45</v>
      </c>
      <c r="K4631" s="55" t="s">
        <v>32</v>
      </c>
      <c r="L4631" s="60" t="s">
        <v>1532</v>
      </c>
    </row>
    <row r="4632" spans="1:12" x14ac:dyDescent="0.3">
      <c r="H4632" s="74">
        <v>120</v>
      </c>
      <c r="K4632" s="55" t="s">
        <v>96</v>
      </c>
    </row>
    <row r="4633" spans="1:12" x14ac:dyDescent="0.3">
      <c r="H4633" s="74">
        <v>25</v>
      </c>
      <c r="K4633" s="55" t="s">
        <v>55</v>
      </c>
      <c r="L4633" s="60" t="s">
        <v>475</v>
      </c>
    </row>
    <row r="4634" spans="1:12" x14ac:dyDescent="0.3">
      <c r="H4634" s="74">
        <v>30</v>
      </c>
      <c r="K4634" s="55" t="s">
        <v>30</v>
      </c>
      <c r="L4634" s="60" t="s">
        <v>136</v>
      </c>
    </row>
    <row r="4635" spans="1:12" x14ac:dyDescent="0.3">
      <c r="H4635" s="74">
        <v>20</v>
      </c>
      <c r="K4635" s="55" t="s">
        <v>102</v>
      </c>
    </row>
    <row r="4636" spans="1:12" x14ac:dyDescent="0.3">
      <c r="H4636" s="74">
        <v>20</v>
      </c>
      <c r="K4636" s="55" t="s">
        <v>34</v>
      </c>
      <c r="L4636" s="60" t="s">
        <v>1533</v>
      </c>
    </row>
    <row r="4637" spans="1:12" x14ac:dyDescent="0.3">
      <c r="K4637" s="55" t="s">
        <v>33</v>
      </c>
    </row>
    <row r="4639" spans="1:12" x14ac:dyDescent="0.3">
      <c r="A4639" s="72" t="s">
        <v>1529</v>
      </c>
      <c r="B4639" s="55" t="s">
        <v>12</v>
      </c>
      <c r="C4639" s="67" t="s">
        <v>48</v>
      </c>
      <c r="D4639" s="55" t="s">
        <v>51</v>
      </c>
      <c r="E4639" s="19">
        <v>181.29</v>
      </c>
      <c r="F4639" s="19">
        <v>7</v>
      </c>
      <c r="G4639" s="55" t="s">
        <v>11</v>
      </c>
      <c r="H4639" s="74">
        <v>10</v>
      </c>
      <c r="K4639" s="55" t="s">
        <v>25</v>
      </c>
    </row>
    <row r="4640" spans="1:12" x14ac:dyDescent="0.3">
      <c r="H4640" s="74">
        <v>10</v>
      </c>
      <c r="K4640" s="55" t="s">
        <v>84</v>
      </c>
    </row>
    <row r="4641" spans="1:12" x14ac:dyDescent="0.3">
      <c r="H4641" s="74">
        <v>80</v>
      </c>
      <c r="K4641" s="55" t="s">
        <v>55</v>
      </c>
      <c r="L4641" s="60" t="s">
        <v>1534</v>
      </c>
    </row>
    <row r="4642" spans="1:12" x14ac:dyDescent="0.3">
      <c r="H4642" s="74">
        <v>70</v>
      </c>
      <c r="K4642" s="55" t="s">
        <v>96</v>
      </c>
    </row>
    <row r="4643" spans="1:12" x14ac:dyDescent="0.3">
      <c r="H4643" s="74">
        <v>90</v>
      </c>
      <c r="K4643" s="55" t="s">
        <v>32</v>
      </c>
      <c r="L4643" s="60" t="s">
        <v>361</v>
      </c>
    </row>
    <row r="4644" spans="1:12" x14ac:dyDescent="0.3">
      <c r="H4644" s="74">
        <v>15</v>
      </c>
      <c r="K4644" s="55" t="s">
        <v>33</v>
      </c>
      <c r="L4644" s="60" t="s">
        <v>1535</v>
      </c>
    </row>
    <row r="4645" spans="1:12" x14ac:dyDescent="0.3">
      <c r="H4645" s="74">
        <v>20</v>
      </c>
      <c r="K4645" s="55" t="s">
        <v>102</v>
      </c>
    </row>
    <row r="4646" spans="1:12" x14ac:dyDescent="0.3">
      <c r="H4646" s="74">
        <v>30</v>
      </c>
      <c r="K4646" s="55" t="s">
        <v>34</v>
      </c>
      <c r="L4646" s="60" t="s">
        <v>149</v>
      </c>
    </row>
    <row r="4647" spans="1:12" x14ac:dyDescent="0.3">
      <c r="H4647" s="74">
        <v>20</v>
      </c>
      <c r="K4647" s="55" t="s">
        <v>33</v>
      </c>
      <c r="L4647" s="60" t="s">
        <v>1536</v>
      </c>
    </row>
    <row r="4648" spans="1:12" x14ac:dyDescent="0.3">
      <c r="H4648" s="74">
        <v>15</v>
      </c>
      <c r="K4648" s="55" t="s">
        <v>32</v>
      </c>
      <c r="L4648" s="60" t="s">
        <v>236</v>
      </c>
    </row>
    <row r="4649" spans="1:12" x14ac:dyDescent="0.3">
      <c r="H4649" s="74">
        <v>10</v>
      </c>
      <c r="K4649" s="55" t="s">
        <v>55</v>
      </c>
      <c r="L4649" s="60" t="s">
        <v>607</v>
      </c>
    </row>
    <row r="4650" spans="1:12" x14ac:dyDescent="0.3">
      <c r="H4650" s="74">
        <v>15</v>
      </c>
      <c r="K4650" s="55" t="s">
        <v>32</v>
      </c>
      <c r="L4650" s="60" t="s">
        <v>1537</v>
      </c>
    </row>
    <row r="4651" spans="1:12" x14ac:dyDescent="0.3">
      <c r="A4651" s="72" t="s">
        <v>1538</v>
      </c>
      <c r="B4651" s="55" t="s">
        <v>0</v>
      </c>
      <c r="C4651" s="67" t="s">
        <v>46</v>
      </c>
      <c r="D4651" s="55" t="s">
        <v>50</v>
      </c>
      <c r="E4651" s="19">
        <v>130.63</v>
      </c>
      <c r="F4651" s="19" t="s">
        <v>1540</v>
      </c>
      <c r="G4651" s="55" t="s">
        <v>11</v>
      </c>
      <c r="H4651" s="74">
        <v>10</v>
      </c>
      <c r="K4651" s="55" t="s">
        <v>25</v>
      </c>
    </row>
    <row r="4652" spans="1:12" x14ac:dyDescent="0.3">
      <c r="H4652" s="74">
        <v>10</v>
      </c>
      <c r="K4652" s="55" t="s">
        <v>84</v>
      </c>
    </row>
    <row r="4653" spans="1:12" x14ac:dyDescent="0.3">
      <c r="H4653" s="74">
        <v>100</v>
      </c>
      <c r="K4653" s="55" t="s">
        <v>32</v>
      </c>
      <c r="L4653" s="60" t="s">
        <v>1539</v>
      </c>
    </row>
    <row r="4654" spans="1:12" x14ac:dyDescent="0.3">
      <c r="H4654" s="74">
        <v>100</v>
      </c>
      <c r="K4654" s="55" t="s">
        <v>55</v>
      </c>
      <c r="L4654" s="60" t="s">
        <v>1534</v>
      </c>
    </row>
    <row r="4655" spans="1:12" x14ac:dyDescent="0.3">
      <c r="H4655" s="74">
        <v>70</v>
      </c>
      <c r="K4655" s="55" t="s">
        <v>96</v>
      </c>
    </row>
    <row r="4656" spans="1:12" x14ac:dyDescent="0.3">
      <c r="H4656" s="74">
        <v>30</v>
      </c>
      <c r="K4656" s="55" t="s">
        <v>55</v>
      </c>
      <c r="L4656" s="60" t="s">
        <v>248</v>
      </c>
    </row>
    <row r="4657" spans="1:12" x14ac:dyDescent="0.3">
      <c r="H4657" s="74">
        <v>30</v>
      </c>
      <c r="K4657" s="55" t="s">
        <v>34</v>
      </c>
    </row>
    <row r="4658" spans="1:12" x14ac:dyDescent="0.3">
      <c r="H4658" s="74">
        <v>20</v>
      </c>
      <c r="K4658" s="55" t="s">
        <v>102</v>
      </c>
    </row>
    <row r="4659" spans="1:12" x14ac:dyDescent="0.3">
      <c r="H4659" s="74">
        <v>30</v>
      </c>
      <c r="K4659" s="55" t="s">
        <v>30</v>
      </c>
    </row>
    <row r="4661" spans="1:12" x14ac:dyDescent="0.3">
      <c r="A4661" s="72" t="s">
        <v>1538</v>
      </c>
      <c r="B4661" s="55" t="s">
        <v>12</v>
      </c>
      <c r="C4661" s="67" t="s">
        <v>188</v>
      </c>
      <c r="D4661" s="55" t="s">
        <v>51</v>
      </c>
      <c r="E4661" s="19">
        <v>113.2</v>
      </c>
      <c r="F4661" s="19">
        <v>3</v>
      </c>
      <c r="G4661" s="55" t="s">
        <v>11</v>
      </c>
      <c r="H4661" s="74">
        <v>10</v>
      </c>
      <c r="K4661" s="55" t="s">
        <v>25</v>
      </c>
    </row>
    <row r="4662" spans="1:12" x14ac:dyDescent="0.3">
      <c r="H4662" s="74">
        <v>10</v>
      </c>
      <c r="K4662" s="55" t="s">
        <v>84</v>
      </c>
    </row>
    <row r="4663" spans="1:12" x14ac:dyDescent="0.3">
      <c r="H4663" s="74">
        <v>30</v>
      </c>
      <c r="K4663" s="55" t="s">
        <v>96</v>
      </c>
    </row>
    <row r="4664" spans="1:12" x14ac:dyDescent="0.3">
      <c r="H4664" s="74">
        <v>360</v>
      </c>
      <c r="K4664" s="55" t="s">
        <v>55</v>
      </c>
      <c r="L4664" s="60" t="s">
        <v>1541</v>
      </c>
    </row>
    <row r="4665" spans="1:12" x14ac:dyDescent="0.3">
      <c r="H4665" s="74">
        <v>60</v>
      </c>
      <c r="K4665" s="55" t="s">
        <v>32</v>
      </c>
      <c r="L4665" s="60" t="s">
        <v>802</v>
      </c>
    </row>
    <row r="4667" spans="1:12" x14ac:dyDescent="0.3">
      <c r="A4667" s="72" t="s">
        <v>1538</v>
      </c>
      <c r="B4667" s="55" t="s">
        <v>12</v>
      </c>
      <c r="C4667" s="67" t="s">
        <v>296</v>
      </c>
      <c r="D4667" s="55" t="s">
        <v>52</v>
      </c>
      <c r="E4667" s="19">
        <v>223.58</v>
      </c>
      <c r="F4667" s="19">
        <v>7</v>
      </c>
      <c r="G4667" s="55" t="s">
        <v>11</v>
      </c>
      <c r="H4667" s="74">
        <v>10</v>
      </c>
      <c r="K4667" s="55" t="s">
        <v>25</v>
      </c>
    </row>
    <row r="4668" spans="1:12" x14ac:dyDescent="0.3">
      <c r="H4668" s="74">
        <v>10</v>
      </c>
      <c r="K4668" s="55" t="s">
        <v>84</v>
      </c>
    </row>
    <row r="4669" spans="1:12" x14ac:dyDescent="0.3">
      <c r="H4669" s="74">
        <v>40</v>
      </c>
      <c r="K4669" s="55" t="s">
        <v>32</v>
      </c>
      <c r="L4669" s="60" t="s">
        <v>472</v>
      </c>
    </row>
    <row r="4670" spans="1:12" x14ac:dyDescent="0.3">
      <c r="H4670" s="74">
        <v>80</v>
      </c>
      <c r="K4670" s="55" t="s">
        <v>96</v>
      </c>
    </row>
    <row r="4671" spans="1:12" x14ac:dyDescent="0.3">
      <c r="H4671" s="74">
        <v>40</v>
      </c>
      <c r="K4671" s="55" t="s">
        <v>55</v>
      </c>
      <c r="L4671" s="60" t="s">
        <v>1543</v>
      </c>
    </row>
    <row r="4672" spans="1:12" x14ac:dyDescent="0.3">
      <c r="H4672" s="74">
        <v>30</v>
      </c>
      <c r="K4672" s="55" t="s">
        <v>32</v>
      </c>
      <c r="L4672" s="60" t="s">
        <v>236</v>
      </c>
    </row>
    <row r="4673" spans="1:12" x14ac:dyDescent="0.3">
      <c r="H4673" s="74">
        <v>20</v>
      </c>
      <c r="K4673" s="55" t="s">
        <v>55</v>
      </c>
      <c r="L4673" s="60" t="s">
        <v>13</v>
      </c>
    </row>
    <row r="4674" spans="1:12" x14ac:dyDescent="0.3">
      <c r="H4674" s="74">
        <v>30</v>
      </c>
      <c r="K4674" s="55" t="s">
        <v>30</v>
      </c>
      <c r="L4674" s="60" t="s">
        <v>185</v>
      </c>
    </row>
    <row r="4675" spans="1:12" x14ac:dyDescent="0.3">
      <c r="H4675" s="74">
        <v>20</v>
      </c>
      <c r="K4675" s="55" t="s">
        <v>102</v>
      </c>
    </row>
    <row r="4676" spans="1:12" x14ac:dyDescent="0.3">
      <c r="H4676" s="74">
        <v>20</v>
      </c>
      <c r="K4676" s="55" t="s">
        <v>34</v>
      </c>
      <c r="L4676" s="60" t="s">
        <v>149</v>
      </c>
    </row>
    <row r="4677" spans="1:12" x14ac:dyDescent="0.3">
      <c r="H4677" s="74">
        <v>20</v>
      </c>
      <c r="K4677" s="55" t="s">
        <v>34</v>
      </c>
      <c r="L4677" s="60" t="s">
        <v>794</v>
      </c>
    </row>
    <row r="4678" spans="1:12" x14ac:dyDescent="0.3">
      <c r="H4678" s="74">
        <v>20</v>
      </c>
      <c r="K4678" s="55" t="s">
        <v>55</v>
      </c>
      <c r="L4678" s="60" t="s">
        <v>1542</v>
      </c>
    </row>
    <row r="4680" spans="1:12" x14ac:dyDescent="0.3">
      <c r="A4680" s="72" t="s">
        <v>1545</v>
      </c>
      <c r="B4680" s="55" t="s">
        <v>0</v>
      </c>
      <c r="C4680" s="67" t="s">
        <v>47</v>
      </c>
      <c r="D4680" s="55" t="s">
        <v>50</v>
      </c>
      <c r="E4680" s="19">
        <v>210.79</v>
      </c>
      <c r="F4680" s="19">
        <v>7</v>
      </c>
      <c r="G4680" s="55" t="s">
        <v>11</v>
      </c>
      <c r="H4680" s="74">
        <v>10</v>
      </c>
      <c r="K4680" s="55" t="s">
        <v>25</v>
      </c>
    </row>
    <row r="4681" spans="1:12" x14ac:dyDescent="0.3">
      <c r="H4681" s="74">
        <v>10</v>
      </c>
      <c r="K4681" s="55" t="s">
        <v>84</v>
      </c>
    </row>
    <row r="4682" spans="1:12" x14ac:dyDescent="0.3">
      <c r="H4682" s="74">
        <v>70</v>
      </c>
      <c r="K4682" s="55" t="s">
        <v>96</v>
      </c>
    </row>
    <row r="4683" spans="1:12" x14ac:dyDescent="0.3">
      <c r="H4683" s="74">
        <v>100</v>
      </c>
      <c r="K4683" s="55" t="s">
        <v>32</v>
      </c>
      <c r="L4683" s="60" t="s">
        <v>1539</v>
      </c>
    </row>
    <row r="4684" spans="1:12" x14ac:dyDescent="0.3">
      <c r="H4684" s="74">
        <v>60</v>
      </c>
      <c r="K4684" s="55" t="s">
        <v>33</v>
      </c>
      <c r="L4684" s="60" t="s">
        <v>1544</v>
      </c>
    </row>
    <row r="4685" spans="1:12" x14ac:dyDescent="0.3">
      <c r="H4685" s="74">
        <v>30</v>
      </c>
      <c r="K4685" s="55" t="s">
        <v>34</v>
      </c>
      <c r="L4685" s="60" t="s">
        <v>794</v>
      </c>
    </row>
    <row r="4686" spans="1:12" x14ac:dyDescent="0.3">
      <c r="H4686" s="74">
        <v>20</v>
      </c>
      <c r="K4686" s="55" t="s">
        <v>34</v>
      </c>
      <c r="L4686" s="60" t="s">
        <v>149</v>
      </c>
    </row>
    <row r="4687" spans="1:12" x14ac:dyDescent="0.3">
      <c r="H4687" s="74">
        <v>30</v>
      </c>
      <c r="K4687" s="55" t="s">
        <v>55</v>
      </c>
      <c r="L4687" s="60" t="s">
        <v>1542</v>
      </c>
    </row>
    <row r="4688" spans="1:12" x14ac:dyDescent="0.3">
      <c r="H4688" s="74">
        <v>20</v>
      </c>
      <c r="K4688" s="55" t="s">
        <v>102</v>
      </c>
    </row>
    <row r="4689" spans="1:12" x14ac:dyDescent="0.3">
      <c r="H4689" s="74">
        <v>30</v>
      </c>
      <c r="K4689" s="55" t="s">
        <v>30</v>
      </c>
    </row>
    <row r="4690" spans="1:12" x14ac:dyDescent="0.3">
      <c r="H4690" s="74">
        <v>30</v>
      </c>
      <c r="K4690" s="55" t="s">
        <v>55</v>
      </c>
      <c r="L4690" s="60" t="s">
        <v>1546</v>
      </c>
    </row>
    <row r="4692" spans="1:12" x14ac:dyDescent="0.3">
      <c r="A4692" s="72" t="s">
        <v>1545</v>
      </c>
      <c r="B4692" s="55" t="s">
        <v>10</v>
      </c>
      <c r="C4692" s="67" t="s">
        <v>188</v>
      </c>
      <c r="D4692" s="55" t="s">
        <v>51</v>
      </c>
      <c r="E4692" s="19">
        <v>238.62</v>
      </c>
      <c r="F4692" s="19">
        <v>7</v>
      </c>
      <c r="G4692" s="55" t="s">
        <v>11</v>
      </c>
      <c r="H4692" s="74">
        <v>10</v>
      </c>
      <c r="K4692" s="55" t="s">
        <v>25</v>
      </c>
    </row>
    <row r="4693" spans="1:12" x14ac:dyDescent="0.3">
      <c r="H4693" s="74">
        <v>10</v>
      </c>
      <c r="K4693" s="55" t="s">
        <v>84</v>
      </c>
    </row>
    <row r="4694" spans="1:12" x14ac:dyDescent="0.3">
      <c r="H4694" s="74">
        <v>70</v>
      </c>
      <c r="K4694" s="55" t="s">
        <v>96</v>
      </c>
    </row>
    <row r="4695" spans="1:12" x14ac:dyDescent="0.3">
      <c r="H4695" s="74">
        <v>70</v>
      </c>
      <c r="K4695" s="55" t="s">
        <v>32</v>
      </c>
      <c r="L4695" s="60" t="s">
        <v>1547</v>
      </c>
    </row>
    <row r="4696" spans="1:12" x14ac:dyDescent="0.3">
      <c r="H4696" s="74">
        <v>50</v>
      </c>
      <c r="K4696" s="55" t="s">
        <v>34</v>
      </c>
      <c r="L4696" s="60" t="s">
        <v>561</v>
      </c>
    </row>
    <row r="4697" spans="1:12" x14ac:dyDescent="0.3">
      <c r="H4697" s="74">
        <v>30</v>
      </c>
      <c r="K4697" s="55" t="s">
        <v>34</v>
      </c>
      <c r="L4697" s="60" t="s">
        <v>149</v>
      </c>
    </row>
    <row r="4698" spans="1:12" x14ac:dyDescent="0.3">
      <c r="H4698" s="74">
        <v>25</v>
      </c>
      <c r="K4698" s="55" t="s">
        <v>102</v>
      </c>
    </row>
    <row r="4699" spans="1:12" x14ac:dyDescent="0.3">
      <c r="H4699" s="74">
        <v>30</v>
      </c>
      <c r="K4699" s="55" t="s">
        <v>30</v>
      </c>
      <c r="L4699" s="60" t="s">
        <v>136</v>
      </c>
    </row>
    <row r="4700" spans="1:12" x14ac:dyDescent="0.3">
      <c r="H4700" s="74">
        <v>15</v>
      </c>
      <c r="K4700" s="55" t="s">
        <v>55</v>
      </c>
      <c r="L4700" s="60" t="s">
        <v>13</v>
      </c>
    </row>
    <row r="4701" spans="1:12" x14ac:dyDescent="0.3">
      <c r="H4701" s="74">
        <v>25</v>
      </c>
      <c r="K4701" s="55" t="s">
        <v>33</v>
      </c>
      <c r="L4701" s="60" t="s">
        <v>461</v>
      </c>
    </row>
    <row r="4703" spans="1:12" x14ac:dyDescent="0.3">
      <c r="A4703" s="72" t="s">
        <v>1545</v>
      </c>
      <c r="B4703" s="55" t="s">
        <v>12</v>
      </c>
      <c r="C4703" s="67" t="s">
        <v>46</v>
      </c>
      <c r="D4703" s="55" t="s">
        <v>52</v>
      </c>
      <c r="E4703" s="19">
        <v>210.21</v>
      </c>
      <c r="F4703" s="19">
        <v>7</v>
      </c>
      <c r="G4703" s="55" t="s">
        <v>11</v>
      </c>
      <c r="H4703" s="74">
        <v>10</v>
      </c>
      <c r="K4703" s="55" t="s">
        <v>25</v>
      </c>
    </row>
    <row r="4704" spans="1:12" x14ac:dyDescent="0.3">
      <c r="H4704" s="74">
        <v>10</v>
      </c>
      <c r="K4704" s="55" t="s">
        <v>84</v>
      </c>
    </row>
    <row r="4705" spans="1:12" x14ac:dyDescent="0.3">
      <c r="H4705" s="74">
        <v>70</v>
      </c>
      <c r="K4705" s="55" t="s">
        <v>32</v>
      </c>
      <c r="L4705" s="60" t="s">
        <v>344</v>
      </c>
    </row>
    <row r="4706" spans="1:12" x14ac:dyDescent="0.3">
      <c r="H4706" s="74">
        <v>80</v>
      </c>
      <c r="K4706" s="55" t="s">
        <v>96</v>
      </c>
    </row>
    <row r="4707" spans="1:12" x14ac:dyDescent="0.3">
      <c r="H4707" s="74">
        <v>40</v>
      </c>
      <c r="K4707" s="55" t="s">
        <v>55</v>
      </c>
      <c r="L4707" s="60" t="s">
        <v>1548</v>
      </c>
    </row>
    <row r="4708" spans="1:12" x14ac:dyDescent="0.3">
      <c r="H4708" s="74">
        <v>30</v>
      </c>
      <c r="K4708" s="55" t="s">
        <v>32</v>
      </c>
      <c r="L4708" s="60" t="s">
        <v>236</v>
      </c>
    </row>
    <row r="4709" spans="1:12" x14ac:dyDescent="0.3">
      <c r="H4709" s="74">
        <v>20</v>
      </c>
      <c r="K4709" s="55" t="s">
        <v>55</v>
      </c>
      <c r="L4709" s="60" t="s">
        <v>13</v>
      </c>
    </row>
    <row r="4710" spans="1:12" x14ac:dyDescent="0.3">
      <c r="H4710" s="74">
        <v>30</v>
      </c>
      <c r="K4710" s="55" t="s">
        <v>30</v>
      </c>
      <c r="L4710" s="60" t="s">
        <v>185</v>
      </c>
    </row>
    <row r="4711" spans="1:12" x14ac:dyDescent="0.3">
      <c r="H4711" s="74">
        <v>20</v>
      </c>
      <c r="K4711" s="55" t="s">
        <v>102</v>
      </c>
    </row>
    <row r="4712" spans="1:12" x14ac:dyDescent="0.3">
      <c r="H4712" s="74">
        <v>20</v>
      </c>
      <c r="K4712" s="55" t="s">
        <v>34</v>
      </c>
      <c r="L4712" s="60" t="s">
        <v>149</v>
      </c>
    </row>
    <row r="4713" spans="1:12" x14ac:dyDescent="0.3">
      <c r="H4713" s="74">
        <v>30</v>
      </c>
      <c r="K4713" s="55" t="s">
        <v>34</v>
      </c>
      <c r="L4713" s="60" t="s">
        <v>794</v>
      </c>
    </row>
    <row r="4714" spans="1:12" x14ac:dyDescent="0.3">
      <c r="H4714" s="74">
        <v>30</v>
      </c>
      <c r="K4714" s="55" t="s">
        <v>55</v>
      </c>
      <c r="L4714" s="60" t="s">
        <v>1542</v>
      </c>
    </row>
    <row r="4716" spans="1:12" x14ac:dyDescent="0.3">
      <c r="A4716" s="72" t="s">
        <v>1549</v>
      </c>
      <c r="B4716" s="55" t="s">
        <v>0</v>
      </c>
      <c r="C4716" s="67" t="s">
        <v>47</v>
      </c>
      <c r="D4716" s="55" t="s">
        <v>50</v>
      </c>
      <c r="E4716" s="19">
        <v>292.12</v>
      </c>
      <c r="F4716" s="19">
        <v>9</v>
      </c>
      <c r="G4716" s="55" t="s">
        <v>11</v>
      </c>
      <c r="H4716" s="74">
        <v>10</v>
      </c>
      <c r="K4716" s="55" t="s">
        <v>25</v>
      </c>
    </row>
    <row r="4717" spans="1:12" x14ac:dyDescent="0.3">
      <c r="H4717" s="74">
        <v>10</v>
      </c>
      <c r="K4717" s="55" t="s">
        <v>84</v>
      </c>
    </row>
    <row r="4718" spans="1:12" x14ac:dyDescent="0.3">
      <c r="H4718" s="74">
        <v>90</v>
      </c>
      <c r="K4718" s="55" t="s">
        <v>96</v>
      </c>
    </row>
    <row r="4719" spans="1:12" x14ac:dyDescent="0.3">
      <c r="H4719" s="74">
        <v>20</v>
      </c>
      <c r="K4719" s="55" t="s">
        <v>32</v>
      </c>
      <c r="L4719" s="60" t="s">
        <v>236</v>
      </c>
    </row>
    <row r="4720" spans="1:12" x14ac:dyDescent="0.3">
      <c r="H4720" s="74">
        <v>30</v>
      </c>
      <c r="K4720" s="55" t="s">
        <v>32</v>
      </c>
      <c r="L4720" s="60" t="s">
        <v>942</v>
      </c>
    </row>
    <row r="4721" spans="1:12" x14ac:dyDescent="0.3">
      <c r="H4721" s="74">
        <v>40</v>
      </c>
      <c r="K4721" s="55" t="s">
        <v>34</v>
      </c>
      <c r="L4721" s="60" t="s">
        <v>794</v>
      </c>
    </row>
    <row r="4722" spans="1:12" x14ac:dyDescent="0.3">
      <c r="H4722" s="74">
        <v>30</v>
      </c>
      <c r="K4722" s="55" t="s">
        <v>34</v>
      </c>
      <c r="L4722" s="60" t="s">
        <v>149</v>
      </c>
    </row>
    <row r="4723" spans="1:12" x14ac:dyDescent="0.3">
      <c r="H4723" s="74">
        <v>50</v>
      </c>
      <c r="K4723" s="55" t="s">
        <v>55</v>
      </c>
      <c r="L4723" s="60" t="s">
        <v>1542</v>
      </c>
    </row>
    <row r="4724" spans="1:12" x14ac:dyDescent="0.3">
      <c r="H4724" s="74">
        <v>20</v>
      </c>
      <c r="K4724" s="55" t="s">
        <v>102</v>
      </c>
    </row>
    <row r="4725" spans="1:12" x14ac:dyDescent="0.3">
      <c r="H4725" s="74">
        <v>40</v>
      </c>
      <c r="K4725" s="55" t="s">
        <v>30</v>
      </c>
      <c r="L4725" s="60" t="s">
        <v>1550</v>
      </c>
    </row>
    <row r="4726" spans="1:12" x14ac:dyDescent="0.3">
      <c r="F4726" s="19" t="s">
        <v>470</v>
      </c>
      <c r="H4726" s="74">
        <v>20</v>
      </c>
      <c r="K4726" s="55" t="s">
        <v>55</v>
      </c>
      <c r="L4726" s="60" t="s">
        <v>13</v>
      </c>
    </row>
    <row r="4728" spans="1:12" x14ac:dyDescent="0.3">
      <c r="A4728" s="72" t="s">
        <v>1549</v>
      </c>
      <c r="B4728" s="55" t="s">
        <v>10</v>
      </c>
      <c r="C4728" s="67" t="s">
        <v>188</v>
      </c>
      <c r="D4728" s="55" t="s">
        <v>51</v>
      </c>
      <c r="E4728" s="19">
        <v>219.79</v>
      </c>
      <c r="F4728" s="19">
        <v>7</v>
      </c>
      <c r="G4728" s="55" t="s">
        <v>11</v>
      </c>
      <c r="H4728" s="74">
        <v>10</v>
      </c>
      <c r="K4728" s="55" t="s">
        <v>25</v>
      </c>
    </row>
    <row r="4729" spans="1:12" x14ac:dyDescent="0.3">
      <c r="H4729" s="74">
        <v>30</v>
      </c>
      <c r="K4729" s="55" t="s">
        <v>84</v>
      </c>
      <c r="L4729" s="60" t="s">
        <v>625</v>
      </c>
    </row>
    <row r="4730" spans="1:12" x14ac:dyDescent="0.3">
      <c r="H4730" s="74">
        <v>70</v>
      </c>
      <c r="K4730" s="55" t="s">
        <v>96</v>
      </c>
    </row>
    <row r="4731" spans="1:12" x14ac:dyDescent="0.3">
      <c r="H4731" s="74">
        <v>60</v>
      </c>
      <c r="K4731" s="55" t="s">
        <v>32</v>
      </c>
      <c r="L4731" s="60" t="s">
        <v>137</v>
      </c>
    </row>
    <row r="4732" spans="1:12" x14ac:dyDescent="0.3">
      <c r="H4732" s="74">
        <v>25</v>
      </c>
      <c r="K4732" s="55" t="s">
        <v>55</v>
      </c>
      <c r="L4732" s="60" t="s">
        <v>1551</v>
      </c>
    </row>
    <row r="4733" spans="1:12" x14ac:dyDescent="0.3">
      <c r="H4733" s="74">
        <v>30</v>
      </c>
      <c r="K4733" s="55" t="s">
        <v>34</v>
      </c>
      <c r="L4733" s="60" t="s">
        <v>149</v>
      </c>
    </row>
    <row r="4734" spans="1:12" x14ac:dyDescent="0.3">
      <c r="H4734" s="74">
        <v>50</v>
      </c>
      <c r="K4734" s="55" t="s">
        <v>34</v>
      </c>
      <c r="L4734" s="60" t="s">
        <v>254</v>
      </c>
    </row>
    <row r="4735" spans="1:12" x14ac:dyDescent="0.3">
      <c r="H4735" s="74">
        <v>22</v>
      </c>
      <c r="K4735" s="55" t="s">
        <v>55</v>
      </c>
      <c r="L4735" s="60" t="s">
        <v>1552</v>
      </c>
    </row>
    <row r="4736" spans="1:12" x14ac:dyDescent="0.3">
      <c r="H4736" s="74">
        <v>20</v>
      </c>
      <c r="K4736" s="55" t="s">
        <v>55</v>
      </c>
      <c r="L4736" s="60" t="s">
        <v>607</v>
      </c>
    </row>
    <row r="4737" spans="1:12" x14ac:dyDescent="0.3">
      <c r="H4737" s="74">
        <v>25</v>
      </c>
      <c r="K4737" s="55" t="s">
        <v>55</v>
      </c>
      <c r="L4737" s="60" t="s">
        <v>1542</v>
      </c>
    </row>
    <row r="4738" spans="1:12" x14ac:dyDescent="0.3">
      <c r="H4738" s="74">
        <v>30</v>
      </c>
      <c r="K4738" s="55" t="s">
        <v>30</v>
      </c>
      <c r="L4738" s="60" t="s">
        <v>502</v>
      </c>
    </row>
    <row r="4740" spans="1:12" x14ac:dyDescent="0.3">
      <c r="A4740" s="72" t="s">
        <v>1549</v>
      </c>
      <c r="B4740" s="55" t="s">
        <v>12</v>
      </c>
      <c r="C4740" s="67" t="s">
        <v>46</v>
      </c>
      <c r="D4740" s="55" t="s">
        <v>52</v>
      </c>
      <c r="E4740" s="19">
        <v>316.01</v>
      </c>
      <c r="F4740" s="19">
        <v>10</v>
      </c>
      <c r="G4740" s="55" t="s">
        <v>11</v>
      </c>
      <c r="H4740" s="74">
        <v>10</v>
      </c>
      <c r="K4740" s="55" t="s">
        <v>25</v>
      </c>
    </row>
    <row r="4741" spans="1:12" x14ac:dyDescent="0.3">
      <c r="H4741" s="74">
        <v>10</v>
      </c>
      <c r="K4741" s="55" t="s">
        <v>84</v>
      </c>
    </row>
    <row r="4742" spans="1:12" x14ac:dyDescent="0.3">
      <c r="H4742" s="74">
        <v>70</v>
      </c>
      <c r="K4742" s="55" t="s">
        <v>32</v>
      </c>
      <c r="L4742" s="60" t="s">
        <v>344</v>
      </c>
    </row>
    <row r="4743" spans="1:12" x14ac:dyDescent="0.3">
      <c r="H4743" s="74">
        <v>100</v>
      </c>
      <c r="K4743" s="55" t="s">
        <v>96</v>
      </c>
    </row>
    <row r="4744" spans="1:12" x14ac:dyDescent="0.3">
      <c r="H4744" s="74">
        <v>20</v>
      </c>
      <c r="K4744" s="55" t="s">
        <v>55</v>
      </c>
      <c r="L4744" s="60" t="s">
        <v>1553</v>
      </c>
    </row>
    <row r="4745" spans="1:12" x14ac:dyDescent="0.3">
      <c r="H4745" s="74">
        <v>30</v>
      </c>
      <c r="K4745" s="55" t="s">
        <v>30</v>
      </c>
      <c r="L4745" s="60" t="s">
        <v>185</v>
      </c>
    </row>
    <row r="4746" spans="1:12" x14ac:dyDescent="0.3">
      <c r="H4746" s="74">
        <v>20</v>
      </c>
      <c r="K4746" s="55" t="s">
        <v>102</v>
      </c>
    </row>
    <row r="4747" spans="1:12" x14ac:dyDescent="0.3">
      <c r="H4747" s="74">
        <v>20</v>
      </c>
      <c r="K4747" s="55" t="s">
        <v>34</v>
      </c>
      <c r="L4747" s="60" t="s">
        <v>149</v>
      </c>
    </row>
    <row r="4748" spans="1:12" x14ac:dyDescent="0.3">
      <c r="H4748" s="74">
        <v>30</v>
      </c>
      <c r="K4748" s="55" t="s">
        <v>34</v>
      </c>
      <c r="L4748" s="60" t="s">
        <v>794</v>
      </c>
    </row>
    <row r="4750" spans="1:12" x14ac:dyDescent="0.3">
      <c r="A4750" s="72" t="s">
        <v>1554</v>
      </c>
      <c r="B4750" s="55" t="s">
        <v>0</v>
      </c>
      <c r="C4750" s="67" t="s">
        <v>47</v>
      </c>
      <c r="D4750" s="55" t="s">
        <v>50</v>
      </c>
      <c r="E4750" s="19">
        <v>215.3</v>
      </c>
      <c r="F4750" s="19">
        <v>7</v>
      </c>
      <c r="G4750" s="55" t="s">
        <v>11</v>
      </c>
      <c r="H4750" s="74">
        <v>10</v>
      </c>
      <c r="K4750" s="55" t="s">
        <v>25</v>
      </c>
    </row>
    <row r="4751" spans="1:12" x14ac:dyDescent="0.3">
      <c r="H4751" s="74">
        <v>10</v>
      </c>
      <c r="K4751" s="55" t="s">
        <v>84</v>
      </c>
    </row>
    <row r="4752" spans="1:12" x14ac:dyDescent="0.3">
      <c r="H4752" s="74">
        <v>80</v>
      </c>
      <c r="K4752" s="55" t="s">
        <v>96</v>
      </c>
    </row>
    <row r="4753" spans="1:13" x14ac:dyDescent="0.3">
      <c r="H4753" s="74">
        <v>40</v>
      </c>
      <c r="K4753" s="55" t="s">
        <v>32</v>
      </c>
      <c r="L4753" s="60" t="s">
        <v>1556</v>
      </c>
    </row>
    <row r="4754" spans="1:13" x14ac:dyDescent="0.3">
      <c r="H4754" s="74">
        <v>120</v>
      </c>
      <c r="K4754" s="55" t="s">
        <v>32</v>
      </c>
      <c r="L4754" s="60" t="s">
        <v>1557</v>
      </c>
    </row>
    <row r="4755" spans="1:13" x14ac:dyDescent="0.3">
      <c r="H4755" s="74">
        <v>30</v>
      </c>
      <c r="K4755" s="55" t="s">
        <v>34</v>
      </c>
      <c r="L4755" s="60" t="s">
        <v>794</v>
      </c>
    </row>
    <row r="4756" spans="1:13" x14ac:dyDescent="0.3">
      <c r="H4756" s="74">
        <v>10</v>
      </c>
      <c r="K4756" s="55" t="s">
        <v>34</v>
      </c>
      <c r="L4756" s="60" t="s">
        <v>141</v>
      </c>
      <c r="M4756" s="1" t="s">
        <v>1555</v>
      </c>
    </row>
    <row r="4757" spans="1:13" x14ac:dyDescent="0.3">
      <c r="H4757" s="74">
        <v>20</v>
      </c>
      <c r="K4757" s="55" t="s">
        <v>34</v>
      </c>
      <c r="L4757" s="60" t="s">
        <v>149</v>
      </c>
    </row>
    <row r="4758" spans="1:13" x14ac:dyDescent="0.3">
      <c r="H4758" s="74">
        <v>20</v>
      </c>
      <c r="K4758" s="55" t="s">
        <v>102</v>
      </c>
    </row>
    <row r="4759" spans="1:13" x14ac:dyDescent="0.3">
      <c r="H4759" s="74">
        <v>25</v>
      </c>
      <c r="K4759" s="55" t="s">
        <v>30</v>
      </c>
      <c r="L4759" s="60" t="s">
        <v>1550</v>
      </c>
    </row>
    <row r="4760" spans="1:13" x14ac:dyDescent="0.3">
      <c r="H4760" s="74">
        <v>30</v>
      </c>
      <c r="K4760" s="55" t="s">
        <v>55</v>
      </c>
      <c r="L4760" s="60" t="s">
        <v>1542</v>
      </c>
    </row>
    <row r="4762" spans="1:13" x14ac:dyDescent="0.3">
      <c r="A4762" s="72" t="s">
        <v>1554</v>
      </c>
      <c r="B4762" s="55" t="s">
        <v>10</v>
      </c>
      <c r="C4762" s="67" t="s">
        <v>188</v>
      </c>
      <c r="D4762" s="55" t="s">
        <v>51</v>
      </c>
      <c r="E4762" s="19">
        <v>133.15</v>
      </c>
      <c r="F4762" s="19">
        <v>5</v>
      </c>
      <c r="G4762" s="55" t="s">
        <v>11</v>
      </c>
      <c r="H4762" s="74">
        <v>10</v>
      </c>
      <c r="K4762" s="55" t="s">
        <v>25</v>
      </c>
    </row>
    <row r="4763" spans="1:13" x14ac:dyDescent="0.3">
      <c r="H4763" s="74">
        <v>10</v>
      </c>
      <c r="K4763" s="55" t="s">
        <v>84</v>
      </c>
    </row>
    <row r="4764" spans="1:13" x14ac:dyDescent="0.3">
      <c r="H4764" s="74">
        <v>50</v>
      </c>
      <c r="K4764" s="55" t="s">
        <v>96</v>
      </c>
    </row>
    <row r="4765" spans="1:13" x14ac:dyDescent="0.3">
      <c r="H4765" s="74">
        <v>50</v>
      </c>
      <c r="K4765" s="55" t="s">
        <v>32</v>
      </c>
      <c r="L4765" s="60" t="s">
        <v>1563</v>
      </c>
    </row>
    <row r="4766" spans="1:13" x14ac:dyDescent="0.3">
      <c r="H4766" s="74">
        <v>30</v>
      </c>
      <c r="K4766" s="55" t="s">
        <v>32</v>
      </c>
      <c r="L4766" s="60" t="s">
        <v>444</v>
      </c>
    </row>
    <row r="4767" spans="1:13" x14ac:dyDescent="0.3">
      <c r="H4767" s="74">
        <v>25</v>
      </c>
      <c r="K4767" s="55" t="s">
        <v>33</v>
      </c>
      <c r="L4767" s="60" t="s">
        <v>1558</v>
      </c>
    </row>
    <row r="4768" spans="1:13" x14ac:dyDescent="0.3">
      <c r="H4768" s="74">
        <v>50</v>
      </c>
      <c r="K4768" s="55" t="s">
        <v>34</v>
      </c>
      <c r="L4768" s="60" t="s">
        <v>1559</v>
      </c>
    </row>
    <row r="4769" spans="1:12" x14ac:dyDescent="0.3">
      <c r="H4769" s="74">
        <v>10</v>
      </c>
      <c r="K4769" s="55" t="s">
        <v>33</v>
      </c>
      <c r="L4769" s="60" t="s">
        <v>1562</v>
      </c>
    </row>
    <row r="4770" spans="1:12" x14ac:dyDescent="0.3">
      <c r="H4770" s="74">
        <v>15</v>
      </c>
      <c r="K4770" s="55" t="s">
        <v>34</v>
      </c>
      <c r="L4770" s="60" t="s">
        <v>379</v>
      </c>
    </row>
    <row r="4771" spans="1:12" x14ac:dyDescent="0.3">
      <c r="H4771" s="74">
        <v>90</v>
      </c>
      <c r="K4771" s="55" t="s">
        <v>33</v>
      </c>
      <c r="L4771" s="60" t="s">
        <v>1560</v>
      </c>
    </row>
    <row r="4772" spans="1:12" x14ac:dyDescent="0.3">
      <c r="H4772" s="74">
        <v>25</v>
      </c>
      <c r="K4772" s="55" t="s">
        <v>30</v>
      </c>
      <c r="L4772" s="60" t="s">
        <v>1561</v>
      </c>
    </row>
    <row r="4773" spans="1:12" x14ac:dyDescent="0.3">
      <c r="H4773" s="74">
        <v>30</v>
      </c>
      <c r="K4773" s="55" t="s">
        <v>55</v>
      </c>
      <c r="L4773" s="60" t="s">
        <v>1564</v>
      </c>
    </row>
    <row r="4775" spans="1:12" x14ac:dyDescent="0.3">
      <c r="A4775" s="72" t="s">
        <v>1554</v>
      </c>
      <c r="B4775" s="55" t="s">
        <v>12</v>
      </c>
      <c r="C4775" s="67" t="s">
        <v>48</v>
      </c>
      <c r="D4775" s="55" t="s">
        <v>52</v>
      </c>
      <c r="E4775" s="19">
        <v>184.8</v>
      </c>
      <c r="F4775" s="19">
        <v>7</v>
      </c>
      <c r="G4775" s="55" t="s">
        <v>11</v>
      </c>
      <c r="H4775" s="74">
        <v>10</v>
      </c>
      <c r="K4775" s="55" t="s">
        <v>25</v>
      </c>
    </row>
    <row r="4776" spans="1:12" x14ac:dyDescent="0.3">
      <c r="H4776" s="74">
        <v>10</v>
      </c>
      <c r="K4776" s="55" t="s">
        <v>84</v>
      </c>
    </row>
    <row r="4777" spans="1:12" x14ac:dyDescent="0.3">
      <c r="H4777" s="74">
        <v>30</v>
      </c>
      <c r="K4777" s="55" t="s">
        <v>32</v>
      </c>
      <c r="L4777" s="60" t="s">
        <v>1565</v>
      </c>
    </row>
    <row r="4778" spans="1:12" x14ac:dyDescent="0.3">
      <c r="H4778" s="74">
        <v>70</v>
      </c>
      <c r="K4778" s="55" t="s">
        <v>96</v>
      </c>
    </row>
    <row r="4779" spans="1:12" x14ac:dyDescent="0.3">
      <c r="H4779" s="74">
        <v>20</v>
      </c>
      <c r="K4779" s="55" t="s">
        <v>55</v>
      </c>
      <c r="L4779" s="60" t="s">
        <v>1553</v>
      </c>
    </row>
    <row r="4780" spans="1:12" x14ac:dyDescent="0.3">
      <c r="H4780" s="74">
        <v>30</v>
      </c>
      <c r="K4780" s="55" t="s">
        <v>30</v>
      </c>
      <c r="L4780" s="60" t="s">
        <v>185</v>
      </c>
    </row>
    <row r="4781" spans="1:12" x14ac:dyDescent="0.3">
      <c r="H4781" s="74">
        <v>20</v>
      </c>
      <c r="K4781" s="55" t="s">
        <v>102</v>
      </c>
    </row>
    <row r="4782" spans="1:12" x14ac:dyDescent="0.3">
      <c r="H4782" s="74">
        <v>20</v>
      </c>
      <c r="K4782" s="55" t="s">
        <v>34</v>
      </c>
      <c r="L4782" s="60" t="s">
        <v>149</v>
      </c>
    </row>
    <row r="4783" spans="1:12" x14ac:dyDescent="0.3">
      <c r="H4783" s="74">
        <v>30</v>
      </c>
      <c r="K4783" s="55" t="s">
        <v>34</v>
      </c>
      <c r="L4783" s="60" t="s">
        <v>794</v>
      </c>
    </row>
    <row r="4784" spans="1:12" x14ac:dyDescent="0.3">
      <c r="H4784" s="74">
        <v>30</v>
      </c>
      <c r="K4784" s="55" t="s">
        <v>32</v>
      </c>
      <c r="L4784" s="60" t="s">
        <v>142</v>
      </c>
    </row>
    <row r="4785" spans="1:12" x14ac:dyDescent="0.3">
      <c r="H4785" s="74">
        <v>90</v>
      </c>
      <c r="K4785" s="55" t="s">
        <v>55</v>
      </c>
      <c r="L4785" s="60" t="s">
        <v>1566</v>
      </c>
    </row>
    <row r="4786" spans="1:12" x14ac:dyDescent="0.3">
      <c r="H4786" s="74">
        <v>20</v>
      </c>
      <c r="K4786" s="55" t="s">
        <v>33</v>
      </c>
      <c r="L4786" s="60" t="s">
        <v>1324</v>
      </c>
    </row>
    <row r="4788" spans="1:12" x14ac:dyDescent="0.3">
      <c r="A4788" s="72" t="s">
        <v>1567</v>
      </c>
      <c r="B4788" s="55" t="s">
        <v>0</v>
      </c>
      <c r="C4788" s="67" t="s">
        <v>46</v>
      </c>
      <c r="D4788" s="55" t="s">
        <v>50</v>
      </c>
      <c r="E4788" s="19">
        <v>248.37</v>
      </c>
      <c r="F4788" s="19">
        <v>8</v>
      </c>
      <c r="G4788" s="55" t="s">
        <v>11</v>
      </c>
      <c r="H4788" s="74">
        <v>10</v>
      </c>
      <c r="K4788" s="55" t="s">
        <v>25</v>
      </c>
    </row>
    <row r="4789" spans="1:12" x14ac:dyDescent="0.3">
      <c r="H4789" s="74">
        <v>10</v>
      </c>
      <c r="K4789" s="55" t="s">
        <v>84</v>
      </c>
    </row>
    <row r="4790" spans="1:12" x14ac:dyDescent="0.3">
      <c r="H4790" s="74">
        <v>80</v>
      </c>
      <c r="K4790" s="55" t="s">
        <v>96</v>
      </c>
    </row>
    <row r="4791" spans="1:12" x14ac:dyDescent="0.3">
      <c r="H4791" s="74">
        <v>60</v>
      </c>
      <c r="K4791" s="55" t="s">
        <v>32</v>
      </c>
      <c r="L4791" s="60" t="s">
        <v>1568</v>
      </c>
    </row>
    <row r="4792" spans="1:12" x14ac:dyDescent="0.3">
      <c r="H4792" s="74">
        <v>20</v>
      </c>
      <c r="K4792" s="55" t="s">
        <v>34</v>
      </c>
      <c r="L4792" s="60" t="s">
        <v>794</v>
      </c>
    </row>
    <row r="4793" spans="1:12" x14ac:dyDescent="0.3">
      <c r="H4793" s="74">
        <v>40</v>
      </c>
      <c r="K4793" s="55" t="s">
        <v>55</v>
      </c>
      <c r="L4793" s="60" t="s">
        <v>1570</v>
      </c>
    </row>
    <row r="4794" spans="1:12" x14ac:dyDescent="0.3">
      <c r="H4794" s="74">
        <v>20</v>
      </c>
      <c r="K4794" s="55" t="s">
        <v>34</v>
      </c>
      <c r="L4794" s="60" t="s">
        <v>149</v>
      </c>
    </row>
    <row r="4795" spans="1:12" x14ac:dyDescent="0.3">
      <c r="H4795" s="74">
        <v>20</v>
      </c>
      <c r="K4795" s="55" t="s">
        <v>102</v>
      </c>
    </row>
    <row r="4796" spans="1:12" x14ac:dyDescent="0.3">
      <c r="H4796" s="74">
        <v>30</v>
      </c>
      <c r="K4796" s="55" t="s">
        <v>30</v>
      </c>
      <c r="L4796" s="60" t="s">
        <v>1550</v>
      </c>
    </row>
    <row r="4797" spans="1:12" x14ac:dyDescent="0.3">
      <c r="H4797" s="74">
        <v>30</v>
      </c>
      <c r="K4797" s="55" t="s">
        <v>55</v>
      </c>
      <c r="L4797" s="60" t="s">
        <v>1542</v>
      </c>
    </row>
    <row r="4798" spans="1:12" x14ac:dyDescent="0.3">
      <c r="H4798" s="74">
        <v>60</v>
      </c>
      <c r="K4798" s="55" t="s">
        <v>33</v>
      </c>
      <c r="L4798" s="60" t="s">
        <v>1569</v>
      </c>
    </row>
    <row r="4800" spans="1:12" x14ac:dyDescent="0.3">
      <c r="A4800" s="72" t="s">
        <v>1567</v>
      </c>
      <c r="B4800" s="55" t="s">
        <v>10</v>
      </c>
      <c r="C4800" s="67" t="s">
        <v>188</v>
      </c>
      <c r="D4800" s="55" t="s">
        <v>51</v>
      </c>
      <c r="E4800" s="19">
        <v>113.42</v>
      </c>
      <c r="F4800" s="19">
        <v>4</v>
      </c>
      <c r="G4800" s="55" t="s">
        <v>11</v>
      </c>
      <c r="H4800" s="74">
        <v>10</v>
      </c>
      <c r="K4800" s="55" t="s">
        <v>25</v>
      </c>
    </row>
    <row r="4801" spans="1:12" x14ac:dyDescent="0.3">
      <c r="H4801" s="74">
        <v>10</v>
      </c>
      <c r="K4801" s="55" t="s">
        <v>84</v>
      </c>
    </row>
    <row r="4802" spans="1:12" x14ac:dyDescent="0.3">
      <c r="H4802" s="74">
        <v>40</v>
      </c>
      <c r="K4802" s="55" t="s">
        <v>96</v>
      </c>
    </row>
    <row r="4803" spans="1:12" x14ac:dyDescent="0.3">
      <c r="H4803" s="74">
        <v>30</v>
      </c>
      <c r="K4803" s="55" t="s">
        <v>32</v>
      </c>
      <c r="L4803" s="60" t="s">
        <v>1573</v>
      </c>
    </row>
    <row r="4804" spans="1:12" x14ac:dyDescent="0.3">
      <c r="H4804" s="74">
        <v>30</v>
      </c>
      <c r="K4804" s="55" t="s">
        <v>32</v>
      </c>
      <c r="L4804" s="60" t="s">
        <v>1574</v>
      </c>
    </row>
    <row r="4805" spans="1:12" x14ac:dyDescent="0.3">
      <c r="H4805" s="74">
        <v>30</v>
      </c>
      <c r="K4805" s="55" t="s">
        <v>30</v>
      </c>
      <c r="L4805" s="60" t="s">
        <v>250</v>
      </c>
    </row>
    <row r="4806" spans="1:12" x14ac:dyDescent="0.3">
      <c r="H4806" s="74">
        <v>180</v>
      </c>
      <c r="K4806" s="55" t="s">
        <v>33</v>
      </c>
      <c r="L4806" s="60" t="s">
        <v>1571</v>
      </c>
    </row>
    <row r="4807" spans="1:12" x14ac:dyDescent="0.3">
      <c r="H4807" s="74">
        <v>45</v>
      </c>
      <c r="K4807" s="55" t="s">
        <v>33</v>
      </c>
      <c r="L4807" s="60" t="s">
        <v>1572</v>
      </c>
    </row>
    <row r="4808" spans="1:12" x14ac:dyDescent="0.3">
      <c r="H4808" s="74">
        <v>25</v>
      </c>
      <c r="K4808" s="55" t="s">
        <v>34</v>
      </c>
      <c r="L4808" s="60" t="s">
        <v>1575</v>
      </c>
    </row>
    <row r="4810" spans="1:12" x14ac:dyDescent="0.3">
      <c r="A4810" s="72" t="s">
        <v>1567</v>
      </c>
      <c r="B4810" s="55" t="s">
        <v>12</v>
      </c>
      <c r="C4810" s="67" t="s">
        <v>48</v>
      </c>
      <c r="D4810" s="55" t="s">
        <v>52</v>
      </c>
      <c r="E4810" s="19">
        <v>186.64</v>
      </c>
      <c r="F4810" s="19">
        <v>6</v>
      </c>
      <c r="G4810" s="55" t="s">
        <v>11</v>
      </c>
      <c r="H4810" s="74">
        <v>10</v>
      </c>
      <c r="K4810" s="55" t="s">
        <v>25</v>
      </c>
    </row>
    <row r="4811" spans="1:12" x14ac:dyDescent="0.3">
      <c r="H4811" s="74">
        <v>10</v>
      </c>
      <c r="K4811" s="55" t="s">
        <v>84</v>
      </c>
    </row>
    <row r="4812" spans="1:12" x14ac:dyDescent="0.3">
      <c r="H4812" s="74">
        <v>60</v>
      </c>
      <c r="K4812" s="55" t="s">
        <v>96</v>
      </c>
    </row>
    <row r="4813" spans="1:12" x14ac:dyDescent="0.3">
      <c r="H4813" s="74">
        <v>70</v>
      </c>
      <c r="K4813" s="55" t="s">
        <v>32</v>
      </c>
      <c r="L4813" s="60" t="s">
        <v>1576</v>
      </c>
    </row>
    <row r="4814" spans="1:12" x14ac:dyDescent="0.3">
      <c r="H4814" s="74">
        <v>20</v>
      </c>
      <c r="K4814" s="55" t="s">
        <v>32</v>
      </c>
      <c r="L4814" s="60" t="s">
        <v>236</v>
      </c>
    </row>
    <row r="4815" spans="1:12" x14ac:dyDescent="0.3">
      <c r="H4815" s="74">
        <v>20</v>
      </c>
      <c r="K4815" s="55" t="s">
        <v>32</v>
      </c>
      <c r="L4815" s="60" t="s">
        <v>1577</v>
      </c>
    </row>
    <row r="4816" spans="1:12" x14ac:dyDescent="0.3">
      <c r="H4816" s="74">
        <v>20</v>
      </c>
      <c r="K4816" s="55" t="s">
        <v>102</v>
      </c>
    </row>
    <row r="4817" spans="1:19" x14ac:dyDescent="0.3">
      <c r="H4817" s="74">
        <v>20</v>
      </c>
      <c r="K4817" s="55" t="s">
        <v>55</v>
      </c>
      <c r="L4817" s="60" t="s">
        <v>1578</v>
      </c>
    </row>
    <row r="4818" spans="1:19" x14ac:dyDescent="0.3">
      <c r="H4818" s="74">
        <v>50</v>
      </c>
      <c r="K4818" s="55" t="s">
        <v>55</v>
      </c>
      <c r="L4818" s="60" t="s">
        <v>812</v>
      </c>
    </row>
    <row r="4819" spans="1:19" x14ac:dyDescent="0.3">
      <c r="H4819" s="74">
        <v>0</v>
      </c>
      <c r="K4819" s="55" t="s">
        <v>33</v>
      </c>
      <c r="L4819" s="60" t="s">
        <v>1579</v>
      </c>
    </row>
    <row r="4820" spans="1:19" x14ac:dyDescent="0.3">
      <c r="H4820" s="74">
        <v>30</v>
      </c>
      <c r="K4820" s="55" t="s">
        <v>34</v>
      </c>
      <c r="L4820" s="60" t="s">
        <v>149</v>
      </c>
    </row>
    <row r="4821" spans="1:19" x14ac:dyDescent="0.3">
      <c r="H4821" s="74">
        <v>20</v>
      </c>
      <c r="K4821" s="55" t="s">
        <v>34</v>
      </c>
      <c r="L4821" s="60" t="s">
        <v>794</v>
      </c>
    </row>
    <row r="4822" spans="1:19" x14ac:dyDescent="0.3">
      <c r="H4822" s="74">
        <v>30</v>
      </c>
      <c r="K4822" s="55" t="s">
        <v>30</v>
      </c>
      <c r="L4822" s="60" t="s">
        <v>250</v>
      </c>
    </row>
    <row r="4823" spans="1:19" x14ac:dyDescent="0.3">
      <c r="H4823" s="74">
        <v>20</v>
      </c>
      <c r="K4823" s="55" t="s">
        <v>33</v>
      </c>
      <c r="L4823" s="60" t="s">
        <v>1580</v>
      </c>
    </row>
    <row r="4825" spans="1:19" x14ac:dyDescent="0.3">
      <c r="A4825" s="72" t="s">
        <v>1581</v>
      </c>
      <c r="B4825" s="55" t="s">
        <v>0</v>
      </c>
      <c r="C4825" s="67" t="s">
        <v>46</v>
      </c>
      <c r="D4825" s="55" t="s">
        <v>50</v>
      </c>
      <c r="E4825" s="19">
        <v>158.85</v>
      </c>
      <c r="F4825" s="19">
        <v>7</v>
      </c>
      <c r="G4825" s="55" t="s">
        <v>11</v>
      </c>
      <c r="H4825" s="74">
        <v>10</v>
      </c>
      <c r="K4825" s="55" t="s">
        <v>25</v>
      </c>
    </row>
    <row r="4826" spans="1:19" x14ac:dyDescent="0.3">
      <c r="C4826" s="72"/>
      <c r="E4826" s="67"/>
      <c r="F4826" s="55"/>
      <c r="G4826" s="19"/>
      <c r="H4826" s="74">
        <v>10</v>
      </c>
      <c r="K4826" s="55" t="s">
        <v>84</v>
      </c>
      <c r="M4826" s="55"/>
      <c r="N4826" s="60"/>
      <c r="O4826" s="74"/>
      <c r="P4826" s="47"/>
      <c r="Q4826" s="47"/>
      <c r="R4826" s="55"/>
      <c r="S4826" s="60"/>
    </row>
    <row r="4827" spans="1:19" x14ac:dyDescent="0.3">
      <c r="C4827" s="72"/>
      <c r="E4827" s="67"/>
      <c r="F4827" s="55"/>
      <c r="G4827" s="19"/>
      <c r="H4827" s="74">
        <v>40</v>
      </c>
      <c r="K4827" s="55" t="s">
        <v>55</v>
      </c>
      <c r="L4827" s="60" t="s">
        <v>248</v>
      </c>
      <c r="M4827" s="55"/>
      <c r="N4827" s="60"/>
      <c r="O4827" s="74"/>
      <c r="P4827" s="47"/>
      <c r="Q4827" s="47"/>
      <c r="R4827" s="55"/>
      <c r="S4827" s="60"/>
    </row>
    <row r="4828" spans="1:19" x14ac:dyDescent="0.3">
      <c r="C4828" s="72"/>
      <c r="E4828" s="67"/>
      <c r="F4828" s="55"/>
      <c r="G4828" s="19"/>
      <c r="H4828" s="74">
        <v>70</v>
      </c>
      <c r="K4828" s="55" t="s">
        <v>96</v>
      </c>
      <c r="M4828" s="55"/>
      <c r="N4828" s="60"/>
      <c r="O4828" s="74"/>
      <c r="P4828" s="47"/>
      <c r="Q4828" s="47"/>
      <c r="R4828" s="55"/>
      <c r="S4828" s="60"/>
    </row>
    <row r="4829" spans="1:19" x14ac:dyDescent="0.3">
      <c r="C4829" s="72"/>
      <c r="E4829" s="67"/>
      <c r="F4829" s="55"/>
      <c r="G4829" s="19"/>
      <c r="H4829" s="74">
        <v>30</v>
      </c>
      <c r="K4829" s="55" t="s">
        <v>55</v>
      </c>
      <c r="L4829" s="60" t="s">
        <v>1585</v>
      </c>
      <c r="M4829" s="55"/>
      <c r="N4829" s="60"/>
      <c r="O4829" s="74"/>
      <c r="P4829" s="47"/>
      <c r="Q4829" s="47"/>
      <c r="R4829" s="55"/>
      <c r="S4829" s="60"/>
    </row>
    <row r="4830" spans="1:19" x14ac:dyDescent="0.3">
      <c r="C4830" s="72"/>
      <c r="E4830" s="67"/>
      <c r="F4830" s="55"/>
      <c r="G4830" s="19"/>
      <c r="H4830" s="74">
        <v>50</v>
      </c>
      <c r="K4830" s="55" t="s">
        <v>32</v>
      </c>
      <c r="L4830" s="60" t="s">
        <v>1584</v>
      </c>
      <c r="M4830" s="55"/>
      <c r="N4830" s="60"/>
      <c r="O4830" s="74"/>
      <c r="P4830" s="47"/>
      <c r="Q4830" s="47"/>
      <c r="R4830" s="55"/>
      <c r="S4830" s="60"/>
    </row>
    <row r="4831" spans="1:19" x14ac:dyDescent="0.3">
      <c r="C4831" s="72"/>
      <c r="E4831" s="67"/>
      <c r="F4831" s="55"/>
      <c r="G4831" s="19"/>
      <c r="H4831" s="74">
        <v>30</v>
      </c>
      <c r="K4831" s="55" t="s">
        <v>32</v>
      </c>
      <c r="L4831" s="60" t="s">
        <v>1583</v>
      </c>
      <c r="M4831" s="55"/>
      <c r="N4831" s="60"/>
      <c r="O4831" s="74"/>
      <c r="P4831" s="47"/>
      <c r="Q4831" s="47"/>
      <c r="R4831" s="55"/>
      <c r="S4831" s="60"/>
    </row>
    <row r="4832" spans="1:19" x14ac:dyDescent="0.3">
      <c r="C4832" s="72"/>
      <c r="E4832" s="67"/>
      <c r="F4832" s="55"/>
      <c r="G4832" s="19"/>
      <c r="H4832" s="74">
        <v>20</v>
      </c>
      <c r="K4832" s="55" t="s">
        <v>34</v>
      </c>
      <c r="L4832" s="60" t="s">
        <v>794</v>
      </c>
      <c r="M4832" s="55"/>
      <c r="N4832" s="60"/>
      <c r="O4832" s="74"/>
      <c r="P4832" s="47"/>
      <c r="Q4832" s="47"/>
      <c r="R4832" s="55"/>
      <c r="S4832" s="60"/>
    </row>
    <row r="4833" spans="1:19" x14ac:dyDescent="0.3">
      <c r="C4833" s="72"/>
      <c r="E4833" s="67"/>
      <c r="F4833" s="55"/>
      <c r="G4833" s="19"/>
      <c r="H4833" s="74">
        <v>20</v>
      </c>
      <c r="K4833" s="55" t="s">
        <v>102</v>
      </c>
      <c r="M4833" s="55"/>
      <c r="N4833" s="60"/>
      <c r="O4833" s="74"/>
      <c r="P4833" s="47"/>
      <c r="Q4833" s="47"/>
      <c r="R4833" s="55"/>
      <c r="S4833" s="60"/>
    </row>
    <row r="4834" spans="1:19" x14ac:dyDescent="0.3">
      <c r="C4834" s="72"/>
      <c r="E4834" s="67"/>
      <c r="F4834" s="55"/>
      <c r="G4834" s="19"/>
      <c r="H4834" s="74">
        <v>30</v>
      </c>
      <c r="K4834" s="55" t="s">
        <v>30</v>
      </c>
      <c r="L4834" s="60" t="s">
        <v>1582</v>
      </c>
      <c r="M4834" s="55"/>
      <c r="N4834" s="60"/>
      <c r="O4834" s="74"/>
      <c r="P4834" s="47"/>
      <c r="Q4834" s="47"/>
      <c r="R4834" s="55"/>
      <c r="S4834" s="60"/>
    </row>
    <row r="4835" spans="1:19" x14ac:dyDescent="0.3">
      <c r="C4835" s="72"/>
      <c r="E4835" s="67"/>
      <c r="F4835" s="55"/>
      <c r="G4835" s="19"/>
      <c r="H4835" s="74">
        <v>30</v>
      </c>
      <c r="K4835" s="55" t="s">
        <v>55</v>
      </c>
      <c r="L4835" s="60" t="s">
        <v>1587</v>
      </c>
      <c r="M4835" s="55"/>
      <c r="N4835" s="60"/>
      <c r="O4835" s="74"/>
      <c r="P4835" s="47"/>
      <c r="Q4835" s="47"/>
      <c r="R4835" s="55"/>
      <c r="S4835" s="60"/>
    </row>
    <row r="4836" spans="1:19" x14ac:dyDescent="0.3">
      <c r="H4836" s="74">
        <v>40</v>
      </c>
      <c r="K4836" s="55" t="s">
        <v>33</v>
      </c>
      <c r="L4836" s="60" t="s">
        <v>1586</v>
      </c>
    </row>
    <row r="4838" spans="1:19" x14ac:dyDescent="0.3">
      <c r="A4838" s="72" t="s">
        <v>1581</v>
      </c>
      <c r="B4838" s="55" t="s">
        <v>10</v>
      </c>
      <c r="C4838" s="67" t="s">
        <v>296</v>
      </c>
      <c r="D4838" s="55" t="s">
        <v>51</v>
      </c>
      <c r="E4838" s="19">
        <v>233.07</v>
      </c>
      <c r="F4838" s="19">
        <v>10</v>
      </c>
      <c r="G4838" s="55" t="s">
        <v>11</v>
      </c>
      <c r="H4838" s="74">
        <v>10</v>
      </c>
      <c r="K4838" s="55" t="s">
        <v>25</v>
      </c>
    </row>
    <row r="4839" spans="1:19" x14ac:dyDescent="0.3">
      <c r="H4839" s="74">
        <v>10</v>
      </c>
      <c r="K4839" s="55" t="s">
        <v>84</v>
      </c>
    </row>
    <row r="4840" spans="1:19" x14ac:dyDescent="0.3">
      <c r="H4840" s="74">
        <v>100</v>
      </c>
      <c r="K4840" s="55" t="s">
        <v>96</v>
      </c>
    </row>
    <row r="4841" spans="1:19" x14ac:dyDescent="0.3">
      <c r="H4841" s="74">
        <v>80</v>
      </c>
      <c r="K4841" s="55" t="s">
        <v>32</v>
      </c>
      <c r="L4841" s="60" t="s">
        <v>137</v>
      </c>
    </row>
    <row r="4842" spans="1:19" x14ac:dyDescent="0.3">
      <c r="H4842" s="74">
        <v>20</v>
      </c>
      <c r="K4842" s="55" t="s">
        <v>32</v>
      </c>
      <c r="L4842" s="60" t="s">
        <v>1143</v>
      </c>
    </row>
    <row r="4843" spans="1:19" x14ac:dyDescent="0.3">
      <c r="H4843" s="74">
        <v>40</v>
      </c>
      <c r="K4843" s="55" t="s">
        <v>55</v>
      </c>
      <c r="L4843" s="60" t="s">
        <v>1587</v>
      </c>
    </row>
    <row r="4844" spans="1:19" x14ac:dyDescent="0.3">
      <c r="H4844" s="74">
        <v>20</v>
      </c>
      <c r="K4844" s="55" t="s">
        <v>102</v>
      </c>
    </row>
    <row r="4845" spans="1:19" x14ac:dyDescent="0.3">
      <c r="H4845" s="74">
        <v>20</v>
      </c>
      <c r="K4845" s="55" t="s">
        <v>34</v>
      </c>
      <c r="L4845" s="60" t="s">
        <v>794</v>
      </c>
    </row>
    <row r="4846" spans="1:19" x14ac:dyDescent="0.3">
      <c r="H4846" s="74">
        <v>20</v>
      </c>
      <c r="K4846" s="55" t="s">
        <v>34</v>
      </c>
      <c r="L4846" s="60" t="s">
        <v>149</v>
      </c>
    </row>
    <row r="4848" spans="1:19" x14ac:dyDescent="0.3">
      <c r="A4848" s="72" t="s">
        <v>1581</v>
      </c>
      <c r="B4848" s="55" t="s">
        <v>12</v>
      </c>
      <c r="C4848" s="67" t="s">
        <v>48</v>
      </c>
      <c r="D4848" s="55" t="s">
        <v>52</v>
      </c>
      <c r="E4848" s="19">
        <v>252.77</v>
      </c>
      <c r="F4848" s="19">
        <v>9</v>
      </c>
      <c r="G4848" s="55" t="s">
        <v>11</v>
      </c>
      <c r="H4848" s="74">
        <v>10</v>
      </c>
      <c r="K4848" s="55" t="s">
        <v>25</v>
      </c>
    </row>
    <row r="4849" spans="1:12" x14ac:dyDescent="0.3">
      <c r="H4849" s="74">
        <v>20</v>
      </c>
      <c r="K4849" s="55" t="s">
        <v>84</v>
      </c>
      <c r="L4849" s="60" t="s">
        <v>1588</v>
      </c>
    </row>
    <row r="4850" spans="1:12" x14ac:dyDescent="0.3">
      <c r="H4850" s="74">
        <v>90</v>
      </c>
      <c r="K4850" s="55" t="s">
        <v>96</v>
      </c>
    </row>
    <row r="4851" spans="1:12" x14ac:dyDescent="0.3">
      <c r="H4851" s="74">
        <v>20</v>
      </c>
      <c r="K4851" s="55" t="s">
        <v>102</v>
      </c>
    </row>
    <row r="4852" spans="1:12" x14ac:dyDescent="0.3">
      <c r="H4852" s="74">
        <v>20</v>
      </c>
      <c r="K4852" s="55" t="s">
        <v>32</v>
      </c>
      <c r="L4852" s="60" t="s">
        <v>236</v>
      </c>
    </row>
    <row r="4853" spans="1:12" x14ac:dyDescent="0.3">
      <c r="H4853" s="74">
        <v>20</v>
      </c>
      <c r="K4853" s="55" t="s">
        <v>34</v>
      </c>
      <c r="L4853" s="60" t="s">
        <v>794</v>
      </c>
    </row>
    <row r="4854" spans="1:12" x14ac:dyDescent="0.3">
      <c r="H4854" s="74">
        <v>105</v>
      </c>
      <c r="K4854" s="55" t="s">
        <v>33</v>
      </c>
      <c r="L4854" s="60" t="s">
        <v>1589</v>
      </c>
    </row>
    <row r="4855" spans="1:12" x14ac:dyDescent="0.3">
      <c r="H4855" s="74">
        <v>10</v>
      </c>
      <c r="K4855" s="55" t="s">
        <v>55</v>
      </c>
      <c r="L4855" s="60" t="s">
        <v>13</v>
      </c>
    </row>
    <row r="4856" spans="1:12" x14ac:dyDescent="0.3">
      <c r="H4856" s="74">
        <v>40</v>
      </c>
      <c r="K4856" s="55" t="s">
        <v>55</v>
      </c>
      <c r="L4856" s="60" t="s">
        <v>1587</v>
      </c>
    </row>
    <row r="4858" spans="1:12" x14ac:dyDescent="0.3">
      <c r="A4858" s="72" t="s">
        <v>1590</v>
      </c>
      <c r="B4858" s="55" t="s">
        <v>0</v>
      </c>
      <c r="C4858" s="67" t="s">
        <v>188</v>
      </c>
      <c r="D4858" s="55" t="s">
        <v>50</v>
      </c>
      <c r="E4858" s="19">
        <v>82.99</v>
      </c>
      <c r="F4858" s="19">
        <v>3</v>
      </c>
      <c r="G4858" s="55" t="s">
        <v>11</v>
      </c>
      <c r="H4858" s="74">
        <v>10</v>
      </c>
      <c r="K4858" s="55" t="s">
        <v>25</v>
      </c>
    </row>
    <row r="4859" spans="1:12" x14ac:dyDescent="0.3">
      <c r="H4859" s="74">
        <v>110</v>
      </c>
      <c r="K4859" s="55" t="s">
        <v>33</v>
      </c>
      <c r="L4859" s="60" t="s">
        <v>1591</v>
      </c>
    </row>
    <row r="4860" spans="1:12" x14ac:dyDescent="0.3">
      <c r="H4860" s="74">
        <v>30</v>
      </c>
      <c r="K4860" s="55" t="s">
        <v>96</v>
      </c>
    </row>
    <row r="4861" spans="1:12" x14ac:dyDescent="0.3">
      <c r="H4861" s="74">
        <v>300</v>
      </c>
      <c r="K4861" s="55" t="s">
        <v>102</v>
      </c>
      <c r="L4861" s="60" t="s">
        <v>1592</v>
      </c>
    </row>
    <row r="4863" spans="1:12" x14ac:dyDescent="0.3">
      <c r="A4863" s="72" t="s">
        <v>1590</v>
      </c>
      <c r="B4863" s="55" t="s">
        <v>10</v>
      </c>
      <c r="C4863" s="67" t="s">
        <v>49</v>
      </c>
      <c r="D4863" s="55" t="s">
        <v>51</v>
      </c>
      <c r="E4863" s="19">
        <v>186.32</v>
      </c>
      <c r="F4863" s="19">
        <v>7</v>
      </c>
      <c r="G4863" s="55" t="s">
        <v>11</v>
      </c>
      <c r="H4863" s="74">
        <v>10</v>
      </c>
      <c r="K4863" s="55" t="s">
        <v>25</v>
      </c>
    </row>
    <row r="4864" spans="1:12" x14ac:dyDescent="0.3">
      <c r="H4864" s="74">
        <v>20</v>
      </c>
      <c r="K4864" s="55" t="s">
        <v>84</v>
      </c>
      <c r="L4864" s="60" t="s">
        <v>1588</v>
      </c>
    </row>
    <row r="4865" spans="1:12" x14ac:dyDescent="0.3">
      <c r="H4865" s="74">
        <v>70</v>
      </c>
      <c r="K4865" s="55" t="s">
        <v>96</v>
      </c>
    </row>
    <row r="4866" spans="1:12" x14ac:dyDescent="0.3">
      <c r="H4866" s="74">
        <v>20</v>
      </c>
      <c r="K4866" s="55" t="s">
        <v>102</v>
      </c>
    </row>
    <row r="4867" spans="1:12" x14ac:dyDescent="0.3">
      <c r="H4867" s="74">
        <v>200</v>
      </c>
      <c r="K4867" s="55" t="s">
        <v>33</v>
      </c>
      <c r="L4867" s="60" t="s">
        <v>1592</v>
      </c>
    </row>
    <row r="4868" spans="1:12" x14ac:dyDescent="0.3">
      <c r="H4868" s="74">
        <v>10</v>
      </c>
      <c r="K4868" s="55" t="s">
        <v>55</v>
      </c>
      <c r="L4868" s="60" t="s">
        <v>636</v>
      </c>
    </row>
    <row r="4871" spans="1:12" x14ac:dyDescent="0.3">
      <c r="A4871" s="72" t="s">
        <v>1590</v>
      </c>
      <c r="B4871" s="55" t="s">
        <v>12</v>
      </c>
      <c r="C4871" s="67" t="s">
        <v>48</v>
      </c>
      <c r="D4871" s="55" t="s">
        <v>52</v>
      </c>
      <c r="E4871" s="19">
        <v>123.28</v>
      </c>
      <c r="F4871" s="19">
        <v>4</v>
      </c>
      <c r="G4871" s="55" t="s">
        <v>11</v>
      </c>
      <c r="H4871" s="74">
        <v>10</v>
      </c>
      <c r="K4871" s="55" t="s">
        <v>25</v>
      </c>
    </row>
    <row r="4872" spans="1:12" x14ac:dyDescent="0.3">
      <c r="H4872" s="74">
        <v>10</v>
      </c>
      <c r="K4872" s="55" t="s">
        <v>84</v>
      </c>
    </row>
    <row r="4873" spans="1:12" x14ac:dyDescent="0.3">
      <c r="H4873" s="74">
        <v>50</v>
      </c>
      <c r="K4873" s="55" t="s">
        <v>96</v>
      </c>
    </row>
    <row r="4874" spans="1:12" x14ac:dyDescent="0.3">
      <c r="H4874" s="74">
        <v>20</v>
      </c>
      <c r="K4874" s="55" t="s">
        <v>102</v>
      </c>
    </row>
    <row r="4875" spans="1:12" x14ac:dyDescent="0.3">
      <c r="H4875" s="74">
        <v>80</v>
      </c>
      <c r="K4875" s="55" t="s">
        <v>32</v>
      </c>
      <c r="L4875" s="60" t="s">
        <v>1593</v>
      </c>
    </row>
    <row r="4876" spans="1:12" x14ac:dyDescent="0.3">
      <c r="H4876" s="74">
        <v>20</v>
      </c>
      <c r="K4876" s="55" t="s">
        <v>34</v>
      </c>
      <c r="L4876" s="60" t="s">
        <v>794</v>
      </c>
    </row>
    <row r="4877" spans="1:12" x14ac:dyDescent="0.3">
      <c r="H4877" s="74">
        <v>25</v>
      </c>
      <c r="K4877" s="55" t="s">
        <v>33</v>
      </c>
      <c r="L4877" s="60" t="s">
        <v>1594</v>
      </c>
    </row>
    <row r="4878" spans="1:12" x14ac:dyDescent="0.3">
      <c r="H4878" s="74">
        <v>150</v>
      </c>
      <c r="K4878" s="55" t="s">
        <v>33</v>
      </c>
      <c r="L4878" s="60" t="s">
        <v>1595</v>
      </c>
    </row>
    <row r="4879" spans="1:12" x14ac:dyDescent="0.3">
      <c r="H4879" s="74">
        <v>30</v>
      </c>
      <c r="K4879" s="55" t="s">
        <v>32</v>
      </c>
      <c r="L4879" s="60" t="s">
        <v>1596</v>
      </c>
    </row>
    <row r="4880" spans="1:12" x14ac:dyDescent="0.3">
      <c r="H4880" s="74">
        <v>10</v>
      </c>
      <c r="K4880" s="55" t="s">
        <v>34</v>
      </c>
      <c r="L4880" s="60" t="s">
        <v>149</v>
      </c>
    </row>
    <row r="4881" spans="1:12" x14ac:dyDescent="0.3">
      <c r="H4881" s="74">
        <v>20</v>
      </c>
      <c r="K4881" s="55" t="s">
        <v>30</v>
      </c>
      <c r="L4881" s="60" t="s">
        <v>1582</v>
      </c>
    </row>
    <row r="4883" spans="1:12" x14ac:dyDescent="0.3">
      <c r="A4883" s="72" t="s">
        <v>1590</v>
      </c>
      <c r="B4883" s="55" t="s">
        <v>0</v>
      </c>
      <c r="C4883" s="67" t="s">
        <v>188</v>
      </c>
      <c r="D4883" s="55" t="s">
        <v>51</v>
      </c>
      <c r="E4883" s="19">
        <v>253.53</v>
      </c>
      <c r="F4883" s="19">
        <v>7</v>
      </c>
      <c r="G4883" s="55" t="s">
        <v>11</v>
      </c>
      <c r="H4883" s="74">
        <v>10</v>
      </c>
      <c r="K4883" s="55" t="s">
        <v>25</v>
      </c>
    </row>
    <row r="4884" spans="1:12" x14ac:dyDescent="0.3">
      <c r="H4884" s="74">
        <v>10</v>
      </c>
      <c r="K4884" s="55" t="s">
        <v>84</v>
      </c>
    </row>
    <row r="4885" spans="1:12" x14ac:dyDescent="0.3">
      <c r="H4885" s="74">
        <v>80</v>
      </c>
      <c r="K4885" s="55" t="s">
        <v>96</v>
      </c>
    </row>
    <row r="4886" spans="1:12" x14ac:dyDescent="0.3">
      <c r="H4886" s="74">
        <v>40</v>
      </c>
      <c r="K4886" s="55" t="s">
        <v>32</v>
      </c>
      <c r="L4886" s="60" t="s">
        <v>445</v>
      </c>
    </row>
    <row r="4887" spans="1:12" x14ac:dyDescent="0.3">
      <c r="H4887" s="74">
        <v>15</v>
      </c>
      <c r="K4887" s="55" t="s">
        <v>32</v>
      </c>
      <c r="L4887" s="60" t="s">
        <v>236</v>
      </c>
    </row>
    <row r="4888" spans="1:12" x14ac:dyDescent="0.3">
      <c r="H4888" s="74">
        <v>30</v>
      </c>
      <c r="K4888" s="55" t="s">
        <v>55</v>
      </c>
      <c r="L4888" s="60" t="s">
        <v>1542</v>
      </c>
    </row>
    <row r="4889" spans="1:12" x14ac:dyDescent="0.3">
      <c r="H4889" s="74">
        <v>30</v>
      </c>
      <c r="K4889" s="55" t="s">
        <v>34</v>
      </c>
      <c r="L4889" s="60" t="s">
        <v>149</v>
      </c>
    </row>
    <row r="4890" spans="1:12" x14ac:dyDescent="0.3">
      <c r="H4890" s="74">
        <v>60</v>
      </c>
      <c r="K4890" s="55" t="s">
        <v>34</v>
      </c>
      <c r="L4890" s="60" t="s">
        <v>1597</v>
      </c>
    </row>
    <row r="4891" spans="1:12" x14ac:dyDescent="0.3">
      <c r="H4891" s="74">
        <v>25</v>
      </c>
      <c r="K4891" s="55" t="s">
        <v>30</v>
      </c>
      <c r="L4891" s="60" t="s">
        <v>502</v>
      </c>
    </row>
    <row r="4892" spans="1:12" x14ac:dyDescent="0.3">
      <c r="H4892" s="74">
        <v>20</v>
      </c>
      <c r="K4892" s="55" t="s">
        <v>102</v>
      </c>
    </row>
    <row r="4893" spans="1:12" x14ac:dyDescent="0.3">
      <c r="H4893" s="74">
        <v>30</v>
      </c>
      <c r="K4893" s="55" t="s">
        <v>55</v>
      </c>
      <c r="L4893" s="60" t="s">
        <v>1598</v>
      </c>
    </row>
    <row r="4895" spans="1:12" x14ac:dyDescent="0.3">
      <c r="A4895" s="72" t="s">
        <v>1599</v>
      </c>
      <c r="B4895" s="55" t="s">
        <v>10</v>
      </c>
      <c r="C4895" s="67" t="s">
        <v>46</v>
      </c>
      <c r="D4895" s="55" t="s">
        <v>52</v>
      </c>
      <c r="E4895" s="19">
        <v>304.36</v>
      </c>
      <c r="F4895" s="19">
        <v>8</v>
      </c>
      <c r="G4895" s="55" t="s">
        <v>11</v>
      </c>
      <c r="H4895" s="74">
        <v>10</v>
      </c>
      <c r="K4895" s="55" t="s">
        <v>25</v>
      </c>
    </row>
    <row r="4896" spans="1:12" x14ac:dyDescent="0.3">
      <c r="H4896" s="74">
        <v>10</v>
      </c>
      <c r="K4896" s="55" t="s">
        <v>84</v>
      </c>
    </row>
    <row r="4897" spans="1:12" x14ac:dyDescent="0.3">
      <c r="H4897" s="74">
        <v>90</v>
      </c>
      <c r="K4897" s="55" t="s">
        <v>96</v>
      </c>
    </row>
    <row r="4898" spans="1:12" x14ac:dyDescent="0.3">
      <c r="H4898" s="74">
        <v>20</v>
      </c>
      <c r="K4898" s="55" t="s">
        <v>102</v>
      </c>
    </row>
    <row r="4899" spans="1:12" x14ac:dyDescent="0.3">
      <c r="H4899" s="74">
        <v>40</v>
      </c>
      <c r="K4899" s="55" t="s">
        <v>34</v>
      </c>
      <c r="L4899" s="60" t="s">
        <v>794</v>
      </c>
    </row>
    <row r="4900" spans="1:12" x14ac:dyDescent="0.3">
      <c r="H4900" s="74">
        <v>30</v>
      </c>
      <c r="K4900" s="55" t="s">
        <v>55</v>
      </c>
      <c r="L4900" s="60" t="s">
        <v>1601</v>
      </c>
    </row>
    <row r="4901" spans="1:12" x14ac:dyDescent="0.3">
      <c r="H4901" s="74">
        <v>20</v>
      </c>
      <c r="K4901" s="55" t="s">
        <v>55</v>
      </c>
      <c r="L4901" s="60" t="s">
        <v>1602</v>
      </c>
    </row>
    <row r="4902" spans="1:12" x14ac:dyDescent="0.3">
      <c r="H4902" s="74">
        <v>30</v>
      </c>
      <c r="K4902" s="55" t="s">
        <v>34</v>
      </c>
      <c r="L4902" s="60" t="s">
        <v>149</v>
      </c>
    </row>
    <row r="4903" spans="1:12" x14ac:dyDescent="0.3">
      <c r="H4903" s="74">
        <v>30</v>
      </c>
      <c r="K4903" s="55" t="s">
        <v>30</v>
      </c>
      <c r="L4903" s="60" t="s">
        <v>1600</v>
      </c>
    </row>
    <row r="4904" spans="1:12" x14ac:dyDescent="0.3">
      <c r="H4904" s="74">
        <v>20</v>
      </c>
      <c r="K4904" s="55" t="s">
        <v>55</v>
      </c>
      <c r="L4904" s="60" t="s">
        <v>1553</v>
      </c>
    </row>
    <row r="4905" spans="1:12" x14ac:dyDescent="0.3">
      <c r="H4905" s="74">
        <v>20</v>
      </c>
      <c r="K4905" s="55" t="s">
        <v>55</v>
      </c>
      <c r="L4905" s="60" t="s">
        <v>1603</v>
      </c>
    </row>
    <row r="4907" spans="1:12" x14ac:dyDescent="0.3">
      <c r="A4907" s="72" t="s">
        <v>1599</v>
      </c>
      <c r="B4907" s="55" t="s">
        <v>12</v>
      </c>
      <c r="C4907" s="67" t="s">
        <v>48</v>
      </c>
      <c r="D4907" s="55" t="s">
        <v>50</v>
      </c>
      <c r="E4907" s="19">
        <v>296.18</v>
      </c>
      <c r="F4907" s="19">
        <v>9</v>
      </c>
      <c r="G4907" s="55" t="s">
        <v>11</v>
      </c>
      <c r="H4907" s="74">
        <v>10</v>
      </c>
      <c r="K4907" s="55" t="s">
        <v>25</v>
      </c>
    </row>
    <row r="4908" spans="1:12" x14ac:dyDescent="0.3">
      <c r="H4908" s="74">
        <v>10</v>
      </c>
      <c r="K4908" s="55" t="s">
        <v>84</v>
      </c>
    </row>
    <row r="4909" spans="1:12" x14ac:dyDescent="0.3">
      <c r="H4909" s="74">
        <v>90</v>
      </c>
      <c r="K4909" s="55" t="s">
        <v>96</v>
      </c>
    </row>
    <row r="4910" spans="1:12" x14ac:dyDescent="0.3">
      <c r="H4910" s="74">
        <v>90</v>
      </c>
      <c r="K4910" s="55" t="s">
        <v>32</v>
      </c>
      <c r="L4910" s="60" t="s">
        <v>1604</v>
      </c>
    </row>
    <row r="4911" spans="1:12" x14ac:dyDescent="0.3">
      <c r="H4911" s="74">
        <v>20</v>
      </c>
      <c r="K4911" s="55" t="s">
        <v>34</v>
      </c>
      <c r="L4911" s="60" t="s">
        <v>149</v>
      </c>
    </row>
    <row r="4912" spans="1:12" x14ac:dyDescent="0.3">
      <c r="H4912" s="74">
        <v>20</v>
      </c>
      <c r="K4912" s="55" t="s">
        <v>34</v>
      </c>
      <c r="L4912" s="60" t="s">
        <v>302</v>
      </c>
    </row>
    <row r="4913" spans="1:12" x14ac:dyDescent="0.3">
      <c r="H4913" s="74">
        <v>30</v>
      </c>
      <c r="K4913" s="55" t="s">
        <v>30</v>
      </c>
      <c r="L4913" s="60" t="s">
        <v>502</v>
      </c>
    </row>
    <row r="4914" spans="1:12" x14ac:dyDescent="0.3">
      <c r="H4914" s="74">
        <v>20</v>
      </c>
      <c r="K4914" s="55" t="s">
        <v>102</v>
      </c>
    </row>
    <row r="4915" spans="1:12" x14ac:dyDescent="0.3">
      <c r="H4915" s="74">
        <v>120</v>
      </c>
      <c r="K4915" s="55" t="s">
        <v>33</v>
      </c>
      <c r="L4915" s="60" t="s">
        <v>1592</v>
      </c>
    </row>
    <row r="4917" spans="1:12" x14ac:dyDescent="0.3">
      <c r="A4917" s="72" t="s">
        <v>1599</v>
      </c>
      <c r="B4917" s="55" t="s">
        <v>0</v>
      </c>
      <c r="C4917" s="67" t="s">
        <v>188</v>
      </c>
      <c r="D4917" s="55" t="s">
        <v>51</v>
      </c>
      <c r="E4917" s="19">
        <v>191.18</v>
      </c>
      <c r="F4917" s="19">
        <v>5</v>
      </c>
      <c r="G4917" s="55" t="s">
        <v>11</v>
      </c>
      <c r="H4917" s="74">
        <v>10</v>
      </c>
      <c r="K4917" s="55" t="s">
        <v>25</v>
      </c>
    </row>
    <row r="4918" spans="1:12" x14ac:dyDescent="0.3">
      <c r="H4918" s="74">
        <v>10</v>
      </c>
      <c r="K4918" s="55" t="s">
        <v>84</v>
      </c>
    </row>
    <row r="4919" spans="1:12" x14ac:dyDescent="0.3">
      <c r="H4919" s="74">
        <v>160</v>
      </c>
      <c r="K4919" s="55" t="s">
        <v>33</v>
      </c>
      <c r="L4919" s="60" t="s">
        <v>1605</v>
      </c>
    </row>
    <row r="4920" spans="1:12" x14ac:dyDescent="0.3">
      <c r="H4920" s="74">
        <v>50</v>
      </c>
      <c r="K4920" s="55" t="s">
        <v>96</v>
      </c>
    </row>
    <row r="4921" spans="1:12" x14ac:dyDescent="0.3">
      <c r="H4921" s="74">
        <v>30</v>
      </c>
      <c r="K4921" s="55" t="s">
        <v>32</v>
      </c>
      <c r="L4921" s="60" t="s">
        <v>460</v>
      </c>
    </row>
    <row r="4922" spans="1:12" x14ac:dyDescent="0.3">
      <c r="H4922" s="74">
        <v>30</v>
      </c>
      <c r="K4922" s="55" t="s">
        <v>34</v>
      </c>
      <c r="L4922" s="60" t="s">
        <v>149</v>
      </c>
    </row>
    <row r="4923" spans="1:12" x14ac:dyDescent="0.3">
      <c r="H4923" s="74">
        <v>50</v>
      </c>
      <c r="K4923" s="55" t="s">
        <v>34</v>
      </c>
      <c r="L4923" s="60" t="s">
        <v>561</v>
      </c>
    </row>
    <row r="4924" spans="1:12" x14ac:dyDescent="0.3">
      <c r="H4924" s="74">
        <v>15</v>
      </c>
      <c r="K4924" s="55" t="s">
        <v>55</v>
      </c>
      <c r="L4924" s="60" t="s">
        <v>417</v>
      </c>
    </row>
    <row r="4925" spans="1:12" x14ac:dyDescent="0.3">
      <c r="H4925" s="74">
        <v>20</v>
      </c>
      <c r="K4925" s="55" t="s">
        <v>55</v>
      </c>
      <c r="L4925" s="60" t="s">
        <v>1606</v>
      </c>
    </row>
    <row r="4926" spans="1:12" x14ac:dyDescent="0.3">
      <c r="H4926" s="74">
        <v>20</v>
      </c>
      <c r="K4926" s="55" t="s">
        <v>55</v>
      </c>
      <c r="L4926" s="60" t="s">
        <v>1542</v>
      </c>
    </row>
    <row r="4927" spans="1:12" x14ac:dyDescent="0.3">
      <c r="H4927" s="74">
        <v>25</v>
      </c>
      <c r="K4927" s="55" t="s">
        <v>30</v>
      </c>
      <c r="L4927" s="60" t="s">
        <v>324</v>
      </c>
    </row>
    <row r="4929" spans="1:12" x14ac:dyDescent="0.3">
      <c r="A4929" s="72" t="s">
        <v>1607</v>
      </c>
      <c r="B4929" s="55" t="s">
        <v>10</v>
      </c>
      <c r="C4929" s="67" t="s">
        <v>47</v>
      </c>
      <c r="D4929" s="55" t="s">
        <v>52</v>
      </c>
      <c r="E4929" s="19">
        <v>247.19</v>
      </c>
      <c r="F4929" s="19">
        <v>7</v>
      </c>
      <c r="G4929" s="55" t="s">
        <v>11</v>
      </c>
      <c r="H4929" s="74">
        <v>10</v>
      </c>
      <c r="K4929" s="55" t="s">
        <v>25</v>
      </c>
    </row>
    <row r="4930" spans="1:12" x14ac:dyDescent="0.3">
      <c r="H4930" s="74">
        <v>10</v>
      </c>
      <c r="K4930" s="55" t="s">
        <v>84</v>
      </c>
    </row>
    <row r="4931" spans="1:12" x14ac:dyDescent="0.3">
      <c r="H4931" s="74">
        <v>70</v>
      </c>
      <c r="K4931" s="55" t="s">
        <v>96</v>
      </c>
    </row>
    <row r="4932" spans="1:12" x14ac:dyDescent="0.3">
      <c r="H4932" s="74">
        <v>30</v>
      </c>
      <c r="K4932" s="55" t="s">
        <v>32</v>
      </c>
      <c r="L4932" s="60" t="s">
        <v>445</v>
      </c>
    </row>
    <row r="4933" spans="1:12" x14ac:dyDescent="0.3">
      <c r="H4933" s="74">
        <v>50</v>
      </c>
      <c r="K4933" s="55" t="s">
        <v>34</v>
      </c>
      <c r="L4933" s="60" t="s">
        <v>1610</v>
      </c>
    </row>
    <row r="4934" spans="1:12" x14ac:dyDescent="0.3">
      <c r="H4934" s="74">
        <v>20</v>
      </c>
      <c r="K4934" s="55" t="s">
        <v>34</v>
      </c>
      <c r="L4934" s="60" t="s">
        <v>302</v>
      </c>
    </row>
    <row r="4935" spans="1:12" x14ac:dyDescent="0.3">
      <c r="H4935" s="74">
        <v>30</v>
      </c>
      <c r="K4935" s="55" t="s">
        <v>30</v>
      </c>
      <c r="L4935" s="60" t="s">
        <v>502</v>
      </c>
    </row>
    <row r="4936" spans="1:12" x14ac:dyDescent="0.3">
      <c r="H4936" s="74">
        <v>20</v>
      </c>
      <c r="K4936" s="55" t="s">
        <v>102</v>
      </c>
    </row>
    <row r="4937" spans="1:12" x14ac:dyDescent="0.3">
      <c r="H4937" s="74">
        <v>30</v>
      </c>
      <c r="K4937" s="55" t="s">
        <v>33</v>
      </c>
      <c r="L4937" s="60" t="s">
        <v>1609</v>
      </c>
    </row>
    <row r="4938" spans="1:12" x14ac:dyDescent="0.3">
      <c r="H4938" s="74">
        <v>20</v>
      </c>
      <c r="K4938" s="55" t="s">
        <v>32</v>
      </c>
      <c r="L4938" s="60" t="s">
        <v>236</v>
      </c>
    </row>
    <row r="4939" spans="1:12" x14ac:dyDescent="0.3">
      <c r="H4939" s="74">
        <v>35</v>
      </c>
      <c r="K4939" s="55" t="s">
        <v>55</v>
      </c>
      <c r="L4939" s="60" t="s">
        <v>1542</v>
      </c>
    </row>
    <row r="4940" spans="1:12" x14ac:dyDescent="0.3">
      <c r="H4940" s="74">
        <v>30</v>
      </c>
      <c r="K4940" s="55" t="s">
        <v>33</v>
      </c>
      <c r="L4940" s="60" t="s">
        <v>1608</v>
      </c>
    </row>
    <row r="4942" spans="1:12" x14ac:dyDescent="0.3">
      <c r="A4942" s="72" t="s">
        <v>1607</v>
      </c>
      <c r="B4942" s="55" t="s">
        <v>12</v>
      </c>
      <c r="C4942" s="67" t="s">
        <v>48</v>
      </c>
      <c r="D4942" s="55" t="s">
        <v>50</v>
      </c>
      <c r="E4942" s="19">
        <v>311.79000000000002</v>
      </c>
      <c r="F4942" s="19">
        <v>9</v>
      </c>
      <c r="G4942" s="55" t="s">
        <v>11</v>
      </c>
      <c r="H4942" s="74">
        <v>10</v>
      </c>
      <c r="K4942" s="55" t="s">
        <v>25</v>
      </c>
    </row>
    <row r="4943" spans="1:12" x14ac:dyDescent="0.3">
      <c r="H4943" s="74">
        <v>10</v>
      </c>
      <c r="K4943" s="55" t="s">
        <v>84</v>
      </c>
    </row>
    <row r="4944" spans="1:12" x14ac:dyDescent="0.3">
      <c r="H4944" s="74">
        <v>90</v>
      </c>
      <c r="K4944" s="55" t="s">
        <v>96</v>
      </c>
    </row>
    <row r="4945" spans="1:12" x14ac:dyDescent="0.3">
      <c r="H4945" s="74">
        <v>40</v>
      </c>
      <c r="K4945" s="55" t="s">
        <v>32</v>
      </c>
      <c r="L4945" s="60" t="s">
        <v>1612</v>
      </c>
    </row>
    <row r="4946" spans="1:12" x14ac:dyDescent="0.3">
      <c r="H4946" s="74">
        <v>40</v>
      </c>
      <c r="K4946" s="55" t="s">
        <v>32</v>
      </c>
      <c r="L4946" s="60" t="s">
        <v>1613</v>
      </c>
    </row>
    <row r="4947" spans="1:12" x14ac:dyDescent="0.3">
      <c r="H4947" s="74">
        <v>20</v>
      </c>
      <c r="K4947" s="55" t="s">
        <v>34</v>
      </c>
      <c r="L4947" s="60" t="s">
        <v>149</v>
      </c>
    </row>
    <row r="4948" spans="1:12" x14ac:dyDescent="0.3">
      <c r="H4948" s="74">
        <v>20</v>
      </c>
      <c r="K4948" s="55" t="s">
        <v>55</v>
      </c>
      <c r="L4948" s="60" t="s">
        <v>1542</v>
      </c>
    </row>
    <row r="4949" spans="1:12" x14ac:dyDescent="0.3">
      <c r="H4949" s="74">
        <v>50</v>
      </c>
      <c r="K4949" s="55" t="s">
        <v>34</v>
      </c>
      <c r="L4949" s="60" t="s">
        <v>302</v>
      </c>
    </row>
    <row r="4950" spans="1:12" x14ac:dyDescent="0.3">
      <c r="H4950" s="74">
        <v>20</v>
      </c>
      <c r="K4950" s="55" t="s">
        <v>34</v>
      </c>
      <c r="L4950" s="60" t="s">
        <v>1611</v>
      </c>
    </row>
    <row r="4951" spans="1:12" x14ac:dyDescent="0.3">
      <c r="H4951" s="74">
        <v>30</v>
      </c>
      <c r="K4951" s="55" t="s">
        <v>30</v>
      </c>
      <c r="L4951" s="60" t="s">
        <v>502</v>
      </c>
    </row>
    <row r="4952" spans="1:12" x14ac:dyDescent="0.3">
      <c r="H4952" s="74">
        <v>20</v>
      </c>
      <c r="K4952" s="55" t="s">
        <v>102</v>
      </c>
    </row>
    <row r="4953" spans="1:12" x14ac:dyDescent="0.3">
      <c r="H4953" s="74">
        <v>10</v>
      </c>
      <c r="K4953" s="55" t="s">
        <v>55</v>
      </c>
      <c r="L4953" s="60" t="s">
        <v>636</v>
      </c>
    </row>
    <row r="4955" spans="1:12" x14ac:dyDescent="0.3">
      <c r="A4955" s="72" t="s">
        <v>1607</v>
      </c>
      <c r="B4955" s="55" t="s">
        <v>0</v>
      </c>
      <c r="C4955" s="67" t="s">
        <v>188</v>
      </c>
      <c r="D4955" s="55" t="s">
        <v>51</v>
      </c>
      <c r="E4955" s="19">
        <v>251.88</v>
      </c>
      <c r="F4955" s="19">
        <v>8</v>
      </c>
      <c r="G4955" s="55" t="s">
        <v>11</v>
      </c>
      <c r="H4955" s="74">
        <v>10</v>
      </c>
      <c r="K4955" s="55" t="s">
        <v>25</v>
      </c>
    </row>
    <row r="4956" spans="1:12" x14ac:dyDescent="0.3">
      <c r="H4956" s="74">
        <v>10</v>
      </c>
      <c r="K4956" s="55" t="s">
        <v>84</v>
      </c>
    </row>
    <row r="4957" spans="1:12" x14ac:dyDescent="0.3">
      <c r="H4957" s="74">
        <v>80</v>
      </c>
      <c r="K4957" s="55" t="s">
        <v>96</v>
      </c>
    </row>
    <row r="4958" spans="1:12" x14ac:dyDescent="0.3">
      <c r="H4958" s="74">
        <v>90</v>
      </c>
      <c r="K4958" s="55" t="s">
        <v>32</v>
      </c>
      <c r="L4958" s="60" t="s">
        <v>882</v>
      </c>
    </row>
    <row r="4959" spans="1:12" x14ac:dyDescent="0.3">
      <c r="H4959" s="74">
        <v>30</v>
      </c>
      <c r="K4959" s="55" t="s">
        <v>34</v>
      </c>
      <c r="L4959" s="60" t="s">
        <v>149</v>
      </c>
    </row>
    <row r="4960" spans="1:12" x14ac:dyDescent="0.3">
      <c r="H4960" s="74">
        <v>50</v>
      </c>
      <c r="K4960" s="55" t="s">
        <v>34</v>
      </c>
      <c r="L4960" s="60" t="s">
        <v>302</v>
      </c>
    </row>
    <row r="4961" spans="1:12" x14ac:dyDescent="0.3">
      <c r="H4961" s="74">
        <v>30</v>
      </c>
      <c r="K4961" s="55" t="s">
        <v>30</v>
      </c>
      <c r="L4961" s="60" t="s">
        <v>502</v>
      </c>
    </row>
    <row r="4962" spans="1:12" x14ac:dyDescent="0.3">
      <c r="H4962" s="74">
        <v>10</v>
      </c>
      <c r="K4962" s="55" t="s">
        <v>55</v>
      </c>
      <c r="L4962" s="60" t="s">
        <v>636</v>
      </c>
    </row>
    <row r="4963" spans="1:12" x14ac:dyDescent="0.3">
      <c r="H4963" s="74">
        <v>20</v>
      </c>
      <c r="K4963" s="55" t="s">
        <v>55</v>
      </c>
      <c r="L4963" s="60" t="s">
        <v>636</v>
      </c>
    </row>
    <row r="4965" spans="1:12" x14ac:dyDescent="0.3">
      <c r="A4965" s="72" t="s">
        <v>1614</v>
      </c>
      <c r="B4965" s="55" t="s">
        <v>10</v>
      </c>
      <c r="C4965" s="67" t="s">
        <v>46</v>
      </c>
      <c r="D4965" s="55" t="s">
        <v>52</v>
      </c>
      <c r="E4965" s="19">
        <v>242.5</v>
      </c>
      <c r="F4965" s="19">
        <v>8</v>
      </c>
      <c r="G4965" s="55" t="s">
        <v>11</v>
      </c>
      <c r="H4965" s="74">
        <v>10</v>
      </c>
      <c r="K4965" s="55" t="s">
        <v>25</v>
      </c>
    </row>
    <row r="4966" spans="1:12" x14ac:dyDescent="0.3">
      <c r="H4966" s="74">
        <v>10</v>
      </c>
      <c r="K4966" s="55" t="s">
        <v>84</v>
      </c>
    </row>
    <row r="4967" spans="1:12" x14ac:dyDescent="0.3">
      <c r="H4967" s="74">
        <v>80</v>
      </c>
      <c r="K4967" s="55" t="s">
        <v>96</v>
      </c>
    </row>
    <row r="4968" spans="1:12" x14ac:dyDescent="0.3">
      <c r="H4968" s="74">
        <v>30</v>
      </c>
      <c r="K4968" s="55" t="s">
        <v>32</v>
      </c>
      <c r="L4968" s="60" t="s">
        <v>445</v>
      </c>
    </row>
    <row r="4969" spans="1:12" x14ac:dyDescent="0.3">
      <c r="H4969" s="74">
        <v>20</v>
      </c>
      <c r="K4969" s="55" t="s">
        <v>34</v>
      </c>
      <c r="L4969" s="60" t="s">
        <v>1617</v>
      </c>
    </row>
    <row r="4970" spans="1:12" x14ac:dyDescent="0.3">
      <c r="H4970" s="74">
        <v>20</v>
      </c>
      <c r="K4970" s="55" t="s">
        <v>34</v>
      </c>
      <c r="L4970" s="60" t="s">
        <v>302</v>
      </c>
    </row>
    <row r="4971" spans="1:12" x14ac:dyDescent="0.3">
      <c r="H4971" s="74">
        <v>30</v>
      </c>
      <c r="K4971" s="55" t="s">
        <v>30</v>
      </c>
      <c r="L4971" s="60" t="s">
        <v>502</v>
      </c>
    </row>
    <row r="4972" spans="1:12" x14ac:dyDescent="0.3">
      <c r="H4972" s="74">
        <v>20</v>
      </c>
      <c r="K4972" s="55" t="s">
        <v>102</v>
      </c>
    </row>
    <row r="4973" spans="1:12" x14ac:dyDescent="0.3">
      <c r="H4973" s="74">
        <v>20</v>
      </c>
      <c r="K4973" s="55" t="s">
        <v>32</v>
      </c>
      <c r="L4973" s="60" t="s">
        <v>236</v>
      </c>
    </row>
    <row r="4974" spans="1:12" x14ac:dyDescent="0.3">
      <c r="H4974" s="74">
        <v>40</v>
      </c>
      <c r="K4974" s="55" t="s">
        <v>55</v>
      </c>
      <c r="L4974" s="60" t="s">
        <v>1542</v>
      </c>
    </row>
    <row r="4975" spans="1:12" x14ac:dyDescent="0.3">
      <c r="H4975" s="74">
        <v>20</v>
      </c>
      <c r="K4975" s="55" t="s">
        <v>15</v>
      </c>
      <c r="L4975" s="60" t="s">
        <v>1615</v>
      </c>
    </row>
    <row r="4976" spans="1:12" x14ac:dyDescent="0.3">
      <c r="H4976" s="74">
        <v>20</v>
      </c>
      <c r="K4976" s="55" t="s">
        <v>55</v>
      </c>
      <c r="L4976" s="60" t="s">
        <v>1616</v>
      </c>
    </row>
    <row r="4978" spans="1:12" x14ac:dyDescent="0.3">
      <c r="A4978" s="72" t="s">
        <v>1614</v>
      </c>
      <c r="B4978" s="55" t="s">
        <v>12</v>
      </c>
      <c r="C4978" s="67" t="s">
        <v>47</v>
      </c>
      <c r="D4978" s="55" t="s">
        <v>50</v>
      </c>
      <c r="E4978" s="19">
        <v>315.99</v>
      </c>
      <c r="F4978" s="19">
        <v>10</v>
      </c>
      <c r="G4978" s="55" t="s">
        <v>11</v>
      </c>
      <c r="H4978" s="74">
        <v>10</v>
      </c>
      <c r="K4978" s="55" t="s">
        <v>25</v>
      </c>
    </row>
    <row r="4979" spans="1:12" x14ac:dyDescent="0.3">
      <c r="H4979" s="74">
        <v>10</v>
      </c>
      <c r="K4979" s="55" t="s">
        <v>84</v>
      </c>
    </row>
    <row r="4980" spans="1:12" x14ac:dyDescent="0.3">
      <c r="H4980" s="74">
        <v>100</v>
      </c>
      <c r="K4980" s="55" t="s">
        <v>96</v>
      </c>
    </row>
    <row r="4981" spans="1:12" x14ac:dyDescent="0.3">
      <c r="H4981" s="74">
        <v>60</v>
      </c>
      <c r="K4981" s="55" t="s">
        <v>32</v>
      </c>
      <c r="L4981" s="60" t="s">
        <v>1618</v>
      </c>
    </row>
    <row r="4982" spans="1:12" x14ac:dyDescent="0.3">
      <c r="H4982" s="74">
        <v>20</v>
      </c>
      <c r="K4982" s="55" t="s">
        <v>32</v>
      </c>
      <c r="L4982" s="60" t="s">
        <v>1619</v>
      </c>
    </row>
    <row r="4983" spans="1:12" x14ac:dyDescent="0.3">
      <c r="H4983" s="74">
        <v>30</v>
      </c>
      <c r="K4983" s="55" t="s">
        <v>34</v>
      </c>
      <c r="L4983" s="60" t="s">
        <v>149</v>
      </c>
    </row>
    <row r="4984" spans="1:12" x14ac:dyDescent="0.3">
      <c r="H4984" s="74">
        <v>60</v>
      </c>
      <c r="K4984" s="55" t="s">
        <v>34</v>
      </c>
      <c r="L4984" s="60" t="s">
        <v>302</v>
      </c>
    </row>
    <row r="4985" spans="1:12" x14ac:dyDescent="0.3">
      <c r="H4985" s="74">
        <v>40</v>
      </c>
      <c r="K4985" s="55" t="s">
        <v>30</v>
      </c>
      <c r="L4985" s="60" t="s">
        <v>502</v>
      </c>
    </row>
    <row r="4986" spans="1:12" x14ac:dyDescent="0.3">
      <c r="H4986" s="74">
        <v>20</v>
      </c>
      <c r="K4986" s="55" t="s">
        <v>102</v>
      </c>
    </row>
    <row r="4987" spans="1:12" x14ac:dyDescent="0.3">
      <c r="H4987" s="74">
        <v>10</v>
      </c>
      <c r="K4987" s="55" t="s">
        <v>55</v>
      </c>
      <c r="L4987" s="60" t="s">
        <v>636</v>
      </c>
    </row>
    <row r="4989" spans="1:12" x14ac:dyDescent="0.3">
      <c r="A4989" s="72" t="s">
        <v>1620</v>
      </c>
      <c r="B4989" s="55" t="s">
        <v>0</v>
      </c>
      <c r="C4989" s="67" t="s">
        <v>188</v>
      </c>
      <c r="D4989" s="55" t="s">
        <v>51</v>
      </c>
      <c r="E4989" s="19">
        <v>192.01</v>
      </c>
      <c r="F4989" s="19">
        <v>6</v>
      </c>
      <c r="G4989" s="55" t="s">
        <v>11</v>
      </c>
      <c r="H4989" s="74">
        <v>10</v>
      </c>
      <c r="K4989" s="55" t="s">
        <v>25</v>
      </c>
    </row>
    <row r="4990" spans="1:12" x14ac:dyDescent="0.3">
      <c r="H4990" s="74">
        <v>10</v>
      </c>
      <c r="K4990" s="55" t="s">
        <v>84</v>
      </c>
    </row>
    <row r="4991" spans="1:12" x14ac:dyDescent="0.3">
      <c r="H4991" s="74">
        <v>60</v>
      </c>
      <c r="K4991" s="55" t="s">
        <v>96</v>
      </c>
    </row>
    <row r="4992" spans="1:12" x14ac:dyDescent="0.3">
      <c r="H4992" s="74">
        <v>60</v>
      </c>
      <c r="K4992" s="55" t="s">
        <v>32</v>
      </c>
      <c r="L4992" s="60" t="s">
        <v>1621</v>
      </c>
    </row>
    <row r="4993" spans="1:12" x14ac:dyDescent="0.3">
      <c r="H4993" s="74">
        <v>30</v>
      </c>
      <c r="K4993" s="55" t="s">
        <v>32</v>
      </c>
      <c r="L4993" s="60" t="s">
        <v>1070</v>
      </c>
    </row>
    <row r="4994" spans="1:12" x14ac:dyDescent="0.3">
      <c r="H4994" s="74">
        <v>20</v>
      </c>
      <c r="K4994" s="55" t="s">
        <v>30</v>
      </c>
      <c r="L4994" s="60" t="s">
        <v>348</v>
      </c>
    </row>
    <row r="4995" spans="1:12" x14ac:dyDescent="0.3">
      <c r="H4995" s="74">
        <v>20</v>
      </c>
      <c r="K4995" s="55" t="s">
        <v>33</v>
      </c>
      <c r="L4995" s="60" t="s">
        <v>249</v>
      </c>
    </row>
    <row r="4996" spans="1:12" x14ac:dyDescent="0.3">
      <c r="H4996" s="74">
        <v>30</v>
      </c>
      <c r="K4996" s="55" t="s">
        <v>34</v>
      </c>
      <c r="L4996" s="60" t="s">
        <v>149</v>
      </c>
    </row>
    <row r="4997" spans="1:12" x14ac:dyDescent="0.3">
      <c r="H4997" s="74">
        <v>40</v>
      </c>
      <c r="K4997" s="55" t="s">
        <v>34</v>
      </c>
      <c r="L4997" s="60" t="s">
        <v>561</v>
      </c>
    </row>
    <row r="4998" spans="1:12" x14ac:dyDescent="0.3">
      <c r="H4998" s="74">
        <v>20</v>
      </c>
      <c r="K4998" s="55" t="s">
        <v>102</v>
      </c>
    </row>
    <row r="4999" spans="1:12" x14ac:dyDescent="0.3">
      <c r="H4999" s="74">
        <v>20</v>
      </c>
      <c r="K4999" s="55" t="s">
        <v>55</v>
      </c>
      <c r="L4999" s="60" t="s">
        <v>1622</v>
      </c>
    </row>
    <row r="5000" spans="1:12" x14ac:dyDescent="0.3">
      <c r="H5000" s="74">
        <v>30</v>
      </c>
      <c r="K5000" s="55" t="s">
        <v>55</v>
      </c>
      <c r="L5000" s="60" t="s">
        <v>1542</v>
      </c>
    </row>
    <row r="5001" spans="1:12" x14ac:dyDescent="0.3">
      <c r="H5001" s="74">
        <v>30</v>
      </c>
      <c r="K5001" s="55" t="s">
        <v>55</v>
      </c>
      <c r="L5001" s="60" t="s">
        <v>1623</v>
      </c>
    </row>
    <row r="5003" spans="1:12" x14ac:dyDescent="0.3">
      <c r="A5003" s="72" t="s">
        <v>1620</v>
      </c>
      <c r="B5003" s="55" t="s">
        <v>10</v>
      </c>
      <c r="C5003" s="67" t="s">
        <v>46</v>
      </c>
      <c r="D5003" s="55" t="s">
        <v>52</v>
      </c>
      <c r="E5003" s="19">
        <v>98.46</v>
      </c>
      <c r="F5003" s="19">
        <v>3</v>
      </c>
      <c r="G5003" s="55" t="s">
        <v>11</v>
      </c>
      <c r="H5003" s="74">
        <v>10</v>
      </c>
      <c r="K5003" s="55" t="s">
        <v>25</v>
      </c>
    </row>
    <row r="5004" spans="1:12" x14ac:dyDescent="0.3">
      <c r="H5004" s="74">
        <v>10</v>
      </c>
      <c r="K5004" s="55" t="s">
        <v>84</v>
      </c>
    </row>
    <row r="5005" spans="1:12" x14ac:dyDescent="0.3">
      <c r="H5005" s="74">
        <v>30</v>
      </c>
      <c r="K5005" s="55" t="s">
        <v>96</v>
      </c>
    </row>
    <row r="5006" spans="1:12" x14ac:dyDescent="0.3">
      <c r="H5006" s="74">
        <v>20</v>
      </c>
      <c r="K5006" s="55" t="s">
        <v>102</v>
      </c>
    </row>
    <row r="5007" spans="1:12" x14ac:dyDescent="0.3">
      <c r="H5007" s="74">
        <v>10</v>
      </c>
      <c r="K5007" s="55" t="s">
        <v>34</v>
      </c>
      <c r="L5007" s="60" t="s">
        <v>1617</v>
      </c>
    </row>
    <row r="5008" spans="1:12" x14ac:dyDescent="0.3">
      <c r="H5008" s="74">
        <v>20</v>
      </c>
      <c r="K5008" s="55" t="s">
        <v>34</v>
      </c>
      <c r="L5008" s="60" t="s">
        <v>302</v>
      </c>
    </row>
    <row r="5009" spans="1:12" x14ac:dyDescent="0.3">
      <c r="H5009" s="74">
        <v>10</v>
      </c>
      <c r="K5009" s="55" t="s">
        <v>30</v>
      </c>
      <c r="L5009" s="60" t="s">
        <v>1625</v>
      </c>
    </row>
    <row r="5010" spans="1:12" x14ac:dyDescent="0.3">
      <c r="H5010" s="74">
        <v>20</v>
      </c>
      <c r="K5010" s="55" t="s">
        <v>55</v>
      </c>
      <c r="L5010" s="60" t="s">
        <v>1542</v>
      </c>
    </row>
    <row r="5011" spans="1:12" x14ac:dyDescent="0.3">
      <c r="H5011" s="74">
        <v>240</v>
      </c>
      <c r="K5011" s="55" t="s">
        <v>33</v>
      </c>
      <c r="L5011" s="60" t="s">
        <v>1627</v>
      </c>
    </row>
    <row r="5012" spans="1:12" x14ac:dyDescent="0.3">
      <c r="H5012" s="74">
        <v>30</v>
      </c>
      <c r="K5012" s="55" t="s">
        <v>55</v>
      </c>
      <c r="L5012" s="60" t="s">
        <v>1624</v>
      </c>
    </row>
    <row r="5013" spans="1:12" x14ac:dyDescent="0.3">
      <c r="H5013" s="74">
        <v>10</v>
      </c>
      <c r="K5013" s="55" t="s">
        <v>55</v>
      </c>
      <c r="L5013" s="60" t="s">
        <v>1626</v>
      </c>
    </row>
    <row r="5015" spans="1:12" x14ac:dyDescent="0.3">
      <c r="A5015" s="72" t="s">
        <v>1620</v>
      </c>
      <c r="B5015" s="55" t="s">
        <v>12</v>
      </c>
      <c r="C5015" s="67" t="s">
        <v>47</v>
      </c>
      <c r="D5015" s="55" t="s">
        <v>50</v>
      </c>
      <c r="E5015" s="19">
        <v>290.69</v>
      </c>
      <c r="F5015" s="19">
        <v>10</v>
      </c>
      <c r="G5015" s="55" t="s">
        <v>11</v>
      </c>
      <c r="H5015" s="74">
        <v>10</v>
      </c>
      <c r="K5015" s="55" t="s">
        <v>25</v>
      </c>
    </row>
    <row r="5016" spans="1:12" x14ac:dyDescent="0.3">
      <c r="H5016" s="74">
        <v>10</v>
      </c>
      <c r="K5016" s="55" t="s">
        <v>84</v>
      </c>
    </row>
    <row r="5017" spans="1:12" x14ac:dyDescent="0.3">
      <c r="H5017" s="74">
        <v>100</v>
      </c>
      <c r="K5017" s="55" t="s">
        <v>96</v>
      </c>
    </row>
    <row r="5018" spans="1:12" x14ac:dyDescent="0.3">
      <c r="H5018" s="74">
        <v>20</v>
      </c>
      <c r="K5018" s="55" t="s">
        <v>102</v>
      </c>
    </row>
    <row r="5019" spans="1:12" x14ac:dyDescent="0.3">
      <c r="H5019" s="74">
        <v>90</v>
      </c>
      <c r="K5019" s="55" t="s">
        <v>32</v>
      </c>
      <c r="L5019" s="60" t="s">
        <v>1629</v>
      </c>
    </row>
    <row r="5020" spans="1:12" x14ac:dyDescent="0.3">
      <c r="H5020" s="74">
        <v>20</v>
      </c>
      <c r="K5020" s="55" t="s">
        <v>34</v>
      </c>
      <c r="L5020" s="60" t="s">
        <v>1628</v>
      </c>
    </row>
    <row r="5021" spans="1:12" x14ac:dyDescent="0.3">
      <c r="H5021" s="74">
        <v>30</v>
      </c>
      <c r="K5021" s="55" t="s">
        <v>34</v>
      </c>
      <c r="L5021" s="60" t="s">
        <v>302</v>
      </c>
    </row>
    <row r="5022" spans="1:12" x14ac:dyDescent="0.3">
      <c r="H5022" s="74">
        <v>30</v>
      </c>
      <c r="K5022" s="55" t="s">
        <v>34</v>
      </c>
      <c r="L5022" s="60" t="s">
        <v>149</v>
      </c>
    </row>
    <row r="5023" spans="1:12" x14ac:dyDescent="0.3">
      <c r="H5023" s="74">
        <v>20</v>
      </c>
      <c r="K5023" s="55" t="s">
        <v>33</v>
      </c>
      <c r="L5023" s="60" t="s">
        <v>1630</v>
      </c>
    </row>
    <row r="5024" spans="1:12" x14ac:dyDescent="0.3">
      <c r="H5024" s="74">
        <v>20</v>
      </c>
      <c r="K5024" s="55" t="s">
        <v>55</v>
      </c>
      <c r="L5024" s="60" t="s">
        <v>1542</v>
      </c>
    </row>
    <row r="5025" spans="1:13" x14ac:dyDescent="0.3">
      <c r="H5025" s="74">
        <v>30</v>
      </c>
      <c r="K5025" s="55" t="s">
        <v>30</v>
      </c>
    </row>
    <row r="5027" spans="1:13" x14ac:dyDescent="0.3">
      <c r="A5027" s="72" t="s">
        <v>1631</v>
      </c>
      <c r="B5027" s="55" t="s">
        <v>0</v>
      </c>
      <c r="C5027" s="67" t="s">
        <v>188</v>
      </c>
      <c r="D5027" s="55" t="s">
        <v>51</v>
      </c>
      <c r="E5027" s="19">
        <v>204.24</v>
      </c>
      <c r="F5027" s="19">
        <v>6</v>
      </c>
      <c r="G5027" s="55" t="s">
        <v>11</v>
      </c>
      <c r="H5027" s="74">
        <v>10</v>
      </c>
      <c r="K5027" s="55" t="s">
        <v>25</v>
      </c>
    </row>
    <row r="5028" spans="1:13" x14ac:dyDescent="0.3">
      <c r="H5028" s="74">
        <v>10</v>
      </c>
      <c r="K5028" s="55" t="s">
        <v>84</v>
      </c>
    </row>
    <row r="5029" spans="1:13" x14ac:dyDescent="0.3">
      <c r="H5029" s="74">
        <v>60</v>
      </c>
      <c r="K5029" s="55" t="s">
        <v>96</v>
      </c>
    </row>
    <row r="5030" spans="1:13" x14ac:dyDescent="0.3">
      <c r="H5030" s="74">
        <v>30</v>
      </c>
      <c r="K5030" s="55" t="s">
        <v>32</v>
      </c>
      <c r="L5030" s="60" t="s">
        <v>309</v>
      </c>
    </row>
    <row r="5031" spans="1:13" x14ac:dyDescent="0.3">
      <c r="H5031" s="74">
        <v>20</v>
      </c>
      <c r="K5031" s="55" t="s">
        <v>32</v>
      </c>
      <c r="L5031" s="60" t="s">
        <v>245</v>
      </c>
    </row>
    <row r="5032" spans="1:13" x14ac:dyDescent="0.3">
      <c r="H5032" s="74">
        <v>35</v>
      </c>
      <c r="K5032" s="55" t="s">
        <v>30</v>
      </c>
      <c r="L5032" s="60" t="s">
        <v>250</v>
      </c>
    </row>
    <row r="5033" spans="1:13" x14ac:dyDescent="0.3">
      <c r="H5033" s="74">
        <v>40</v>
      </c>
      <c r="K5033" s="55" t="s">
        <v>33</v>
      </c>
      <c r="L5033" s="60" t="s">
        <v>1632</v>
      </c>
    </row>
    <row r="5034" spans="1:13" x14ac:dyDescent="0.3">
      <c r="H5034" s="74">
        <v>20</v>
      </c>
      <c r="K5034" s="55" t="s">
        <v>102</v>
      </c>
    </row>
    <row r="5035" spans="1:13" x14ac:dyDescent="0.3">
      <c r="H5035" s="74">
        <v>40</v>
      </c>
      <c r="K5035" s="55" t="s">
        <v>34</v>
      </c>
      <c r="L5035" s="60" t="s">
        <v>253</v>
      </c>
      <c r="M5035" s="1" t="s">
        <v>1636</v>
      </c>
    </row>
    <row r="5036" spans="1:13" x14ac:dyDescent="0.3">
      <c r="H5036" s="74">
        <v>25</v>
      </c>
      <c r="K5036" s="55" t="s">
        <v>33</v>
      </c>
      <c r="L5036" s="60" t="s">
        <v>1633</v>
      </c>
    </row>
    <row r="5037" spans="1:13" x14ac:dyDescent="0.3">
      <c r="H5037" s="74">
        <v>35</v>
      </c>
      <c r="K5037" s="55" t="s">
        <v>55</v>
      </c>
      <c r="L5037" s="60" t="s">
        <v>1634</v>
      </c>
    </row>
    <row r="5038" spans="1:13" x14ac:dyDescent="0.3">
      <c r="H5038" s="74">
        <v>30</v>
      </c>
      <c r="K5038" s="55" t="s">
        <v>34</v>
      </c>
      <c r="L5038" s="60" t="s">
        <v>302</v>
      </c>
    </row>
    <row r="5039" spans="1:13" x14ac:dyDescent="0.3">
      <c r="H5039" s="74">
        <v>25</v>
      </c>
      <c r="K5039" s="55" t="s">
        <v>33</v>
      </c>
      <c r="L5039" s="60" t="s">
        <v>1635</v>
      </c>
    </row>
    <row r="5041" spans="1:12" x14ac:dyDescent="0.3">
      <c r="A5041" s="72" t="s">
        <v>1631</v>
      </c>
      <c r="B5041" s="55" t="s">
        <v>10</v>
      </c>
      <c r="C5041" s="67" t="s">
        <v>46</v>
      </c>
      <c r="D5041" s="55" t="s">
        <v>52</v>
      </c>
      <c r="E5041" s="19">
        <v>268.08999999999997</v>
      </c>
      <c r="F5041" s="19">
        <v>8</v>
      </c>
      <c r="G5041" s="55" t="s">
        <v>11</v>
      </c>
      <c r="H5041" s="74">
        <v>10</v>
      </c>
      <c r="K5041" s="55" t="s">
        <v>25</v>
      </c>
    </row>
    <row r="5042" spans="1:12" x14ac:dyDescent="0.3">
      <c r="H5042" s="74">
        <v>10</v>
      </c>
      <c r="K5042" s="55" t="s">
        <v>84</v>
      </c>
    </row>
    <row r="5043" spans="1:12" x14ac:dyDescent="0.3">
      <c r="H5043" s="74">
        <v>80</v>
      </c>
      <c r="K5043" s="55" t="s">
        <v>96</v>
      </c>
    </row>
    <row r="5044" spans="1:12" x14ac:dyDescent="0.3">
      <c r="H5044" s="74">
        <v>20</v>
      </c>
      <c r="K5044" s="55" t="s">
        <v>102</v>
      </c>
    </row>
    <row r="5045" spans="1:12" x14ac:dyDescent="0.3">
      <c r="H5045" s="74">
        <v>30</v>
      </c>
      <c r="K5045" s="55" t="s">
        <v>32</v>
      </c>
      <c r="L5045" s="60" t="s">
        <v>472</v>
      </c>
    </row>
    <row r="5046" spans="1:12" x14ac:dyDescent="0.3">
      <c r="H5046" s="74">
        <v>30</v>
      </c>
      <c r="K5046" s="55" t="s">
        <v>32</v>
      </c>
      <c r="L5046" s="60" t="s">
        <v>1637</v>
      </c>
    </row>
    <row r="5047" spans="1:12" x14ac:dyDescent="0.3">
      <c r="H5047" s="74">
        <v>20</v>
      </c>
      <c r="K5047" s="55" t="s">
        <v>34</v>
      </c>
      <c r="L5047" s="60" t="s">
        <v>1617</v>
      </c>
    </row>
    <row r="5048" spans="1:12" x14ac:dyDescent="0.3">
      <c r="H5048" s="74">
        <v>30</v>
      </c>
      <c r="K5048" s="55" t="s">
        <v>34</v>
      </c>
      <c r="L5048" s="60" t="s">
        <v>302</v>
      </c>
    </row>
    <row r="5049" spans="1:12" x14ac:dyDescent="0.3">
      <c r="H5049" s="74">
        <v>30</v>
      </c>
      <c r="K5049" s="55" t="s">
        <v>55</v>
      </c>
      <c r="L5049" s="60" t="s">
        <v>1542</v>
      </c>
    </row>
    <row r="5050" spans="1:12" x14ac:dyDescent="0.3">
      <c r="H5050" s="74">
        <v>20</v>
      </c>
      <c r="K5050" s="55" t="s">
        <v>55</v>
      </c>
      <c r="L5050" s="60" t="s">
        <v>1626</v>
      </c>
    </row>
    <row r="5051" spans="1:12" x14ac:dyDescent="0.3">
      <c r="H5051" s="74">
        <v>30</v>
      </c>
      <c r="K5051" s="55" t="s">
        <v>30</v>
      </c>
      <c r="L5051" s="60" t="s">
        <v>1638</v>
      </c>
    </row>
    <row r="5053" spans="1:12" x14ac:dyDescent="0.3">
      <c r="A5053" s="72" t="s">
        <v>1631</v>
      </c>
      <c r="B5053" s="55" t="s">
        <v>12</v>
      </c>
      <c r="C5053" s="67" t="s">
        <v>47</v>
      </c>
      <c r="D5053" s="55" t="s">
        <v>50</v>
      </c>
      <c r="E5053" s="19">
        <v>327.10000000000002</v>
      </c>
      <c r="F5053" s="19">
        <v>9</v>
      </c>
      <c r="G5053" s="55" t="s">
        <v>11</v>
      </c>
      <c r="H5053" s="74">
        <v>10</v>
      </c>
      <c r="K5053" s="55" t="s">
        <v>25</v>
      </c>
    </row>
    <row r="5054" spans="1:12" x14ac:dyDescent="0.3">
      <c r="H5054" s="74">
        <v>10</v>
      </c>
      <c r="K5054" s="55" t="s">
        <v>84</v>
      </c>
    </row>
    <row r="5055" spans="1:12" x14ac:dyDescent="0.3">
      <c r="H5055" s="74">
        <v>20</v>
      </c>
      <c r="K5055" s="55" t="s">
        <v>32</v>
      </c>
      <c r="L5055" s="60" t="s">
        <v>133</v>
      </c>
    </row>
    <row r="5056" spans="1:12" x14ac:dyDescent="0.3">
      <c r="H5056" s="74">
        <v>90</v>
      </c>
      <c r="K5056" s="55" t="s">
        <v>96</v>
      </c>
    </row>
    <row r="5057" spans="1:12" x14ac:dyDescent="0.3">
      <c r="H5057" s="74">
        <v>30</v>
      </c>
      <c r="K5057" s="55" t="s">
        <v>55</v>
      </c>
      <c r="L5057" s="60" t="s">
        <v>1639</v>
      </c>
    </row>
    <row r="5058" spans="1:12" x14ac:dyDescent="0.3">
      <c r="H5058" s="74">
        <v>20</v>
      </c>
      <c r="K5058" s="55" t="s">
        <v>102</v>
      </c>
    </row>
    <row r="5059" spans="1:12" x14ac:dyDescent="0.3">
      <c r="H5059" s="74">
        <v>90</v>
      </c>
      <c r="K5059" s="55" t="s">
        <v>32</v>
      </c>
      <c r="L5059" s="60" t="s">
        <v>361</v>
      </c>
    </row>
    <row r="5060" spans="1:12" x14ac:dyDescent="0.3">
      <c r="H5060" s="74">
        <v>30</v>
      </c>
      <c r="K5060" s="55" t="s">
        <v>34</v>
      </c>
      <c r="L5060" s="60" t="s">
        <v>302</v>
      </c>
    </row>
    <row r="5061" spans="1:12" x14ac:dyDescent="0.3">
      <c r="H5061" s="74">
        <v>30</v>
      </c>
      <c r="K5061" s="55" t="s">
        <v>34</v>
      </c>
      <c r="L5061" s="60" t="s">
        <v>149</v>
      </c>
    </row>
    <row r="5062" spans="1:12" x14ac:dyDescent="0.3">
      <c r="H5062" s="74">
        <v>30</v>
      </c>
      <c r="K5062" s="55" t="s">
        <v>55</v>
      </c>
      <c r="L5062" s="60" t="s">
        <v>1542</v>
      </c>
    </row>
    <row r="5063" spans="1:12" x14ac:dyDescent="0.3">
      <c r="H5063" s="74">
        <v>30</v>
      </c>
      <c r="K5063" s="55" t="s">
        <v>30</v>
      </c>
    </row>
    <row r="5065" spans="1:12" x14ac:dyDescent="0.3">
      <c r="A5065" s="72" t="s">
        <v>1631</v>
      </c>
      <c r="B5065" s="55" t="s">
        <v>0</v>
      </c>
      <c r="C5065" s="67" t="s">
        <v>296</v>
      </c>
      <c r="D5065" s="55" t="s">
        <v>51</v>
      </c>
      <c r="E5065" s="19">
        <v>238.32</v>
      </c>
      <c r="F5065" s="19">
        <v>7</v>
      </c>
      <c r="G5065" s="55" t="s">
        <v>11</v>
      </c>
      <c r="H5065" s="74">
        <v>10</v>
      </c>
      <c r="K5065" s="55" t="s">
        <v>25</v>
      </c>
    </row>
    <row r="5066" spans="1:12" x14ac:dyDescent="0.3">
      <c r="H5066" s="74">
        <v>10</v>
      </c>
      <c r="K5066" s="55" t="s">
        <v>84</v>
      </c>
    </row>
    <row r="5067" spans="1:12" x14ac:dyDescent="0.3">
      <c r="H5067" s="74">
        <v>70</v>
      </c>
      <c r="K5067" s="55" t="s">
        <v>96</v>
      </c>
    </row>
    <row r="5068" spans="1:12" x14ac:dyDescent="0.3">
      <c r="H5068" s="74">
        <v>60</v>
      </c>
      <c r="K5068" s="55" t="s">
        <v>32</v>
      </c>
      <c r="L5068" s="60" t="s">
        <v>137</v>
      </c>
    </row>
    <row r="5069" spans="1:12" x14ac:dyDescent="0.3">
      <c r="H5069" s="74">
        <v>20</v>
      </c>
      <c r="K5069" s="55" t="s">
        <v>102</v>
      </c>
    </row>
    <row r="5070" spans="1:12" x14ac:dyDescent="0.3">
      <c r="H5070" s="74">
        <v>50</v>
      </c>
      <c r="K5070" s="55" t="s">
        <v>34</v>
      </c>
      <c r="L5070" s="60" t="s">
        <v>302</v>
      </c>
    </row>
    <row r="5071" spans="1:12" x14ac:dyDescent="0.3">
      <c r="H5071" s="74">
        <v>30</v>
      </c>
      <c r="K5071" s="55" t="s">
        <v>34</v>
      </c>
      <c r="L5071" s="60" t="s">
        <v>149</v>
      </c>
    </row>
    <row r="5072" spans="1:12" x14ac:dyDescent="0.3">
      <c r="H5072" s="74">
        <v>30</v>
      </c>
      <c r="K5072" s="55" t="s">
        <v>55</v>
      </c>
      <c r="L5072" s="60" t="s">
        <v>1542</v>
      </c>
    </row>
    <row r="5073" spans="1:12" x14ac:dyDescent="0.3">
      <c r="H5073" s="74">
        <v>20</v>
      </c>
      <c r="K5073" s="55" t="s">
        <v>55</v>
      </c>
      <c r="L5073" s="60" t="s">
        <v>1640</v>
      </c>
    </row>
    <row r="5074" spans="1:12" x14ac:dyDescent="0.3">
      <c r="H5074" s="74">
        <v>25</v>
      </c>
      <c r="K5074" s="55" t="s">
        <v>30</v>
      </c>
      <c r="L5074" s="60" t="s">
        <v>502</v>
      </c>
    </row>
    <row r="5075" spans="1:12" x14ac:dyDescent="0.3">
      <c r="H5075" s="74">
        <v>15</v>
      </c>
      <c r="K5075" s="55" t="s">
        <v>33</v>
      </c>
      <c r="L5075" s="60" t="s">
        <v>1641</v>
      </c>
    </row>
    <row r="5077" spans="1:12" x14ac:dyDescent="0.3">
      <c r="A5077" s="72" t="s">
        <v>1642</v>
      </c>
      <c r="B5077" s="55" t="s">
        <v>10</v>
      </c>
      <c r="C5077" s="67" t="s">
        <v>46</v>
      </c>
      <c r="D5077" s="55" t="s">
        <v>52</v>
      </c>
      <c r="E5077" s="19">
        <v>270.91000000000003</v>
      </c>
      <c r="F5077" s="19">
        <v>8</v>
      </c>
      <c r="G5077" s="55" t="s">
        <v>11</v>
      </c>
      <c r="H5077" s="74">
        <v>10</v>
      </c>
      <c r="K5077" s="55" t="s">
        <v>25</v>
      </c>
    </row>
    <row r="5078" spans="1:12" x14ac:dyDescent="0.3">
      <c r="H5078" s="74">
        <v>10</v>
      </c>
      <c r="K5078" s="55" t="s">
        <v>84</v>
      </c>
    </row>
    <row r="5079" spans="1:12" x14ac:dyDescent="0.3">
      <c r="H5079" s="74">
        <v>100</v>
      </c>
      <c r="K5079" s="55" t="s">
        <v>96</v>
      </c>
    </row>
    <row r="5080" spans="1:12" x14ac:dyDescent="0.3">
      <c r="H5080" s="74">
        <v>20</v>
      </c>
      <c r="K5080" s="55" t="s">
        <v>102</v>
      </c>
    </row>
    <row r="5081" spans="1:12" x14ac:dyDescent="0.3">
      <c r="H5081" s="74">
        <v>30</v>
      </c>
      <c r="K5081" s="55" t="s">
        <v>32</v>
      </c>
      <c r="L5081" s="60" t="s">
        <v>472</v>
      </c>
    </row>
    <row r="5082" spans="1:12" x14ac:dyDescent="0.3">
      <c r="H5082" s="74">
        <v>100</v>
      </c>
      <c r="K5082" s="55" t="s">
        <v>33</v>
      </c>
      <c r="L5082" s="60" t="s">
        <v>1643</v>
      </c>
    </row>
    <row r="5083" spans="1:12" x14ac:dyDescent="0.3">
      <c r="H5083" s="74">
        <v>30</v>
      </c>
      <c r="K5083" s="55" t="s">
        <v>30</v>
      </c>
      <c r="L5083" s="60" t="s">
        <v>502</v>
      </c>
    </row>
    <row r="5084" spans="1:12" x14ac:dyDescent="0.3">
      <c r="H5084" s="74">
        <v>50</v>
      </c>
      <c r="K5084" s="55" t="s">
        <v>34</v>
      </c>
      <c r="L5084" s="60" t="s">
        <v>302</v>
      </c>
    </row>
    <row r="5085" spans="1:12" x14ac:dyDescent="0.3">
      <c r="H5085" s="74">
        <v>30</v>
      </c>
      <c r="K5085" s="55" t="s">
        <v>34</v>
      </c>
      <c r="L5085" s="60" t="s">
        <v>149</v>
      </c>
    </row>
    <row r="5086" spans="1:12" x14ac:dyDescent="0.3">
      <c r="H5086" s="74">
        <v>20</v>
      </c>
      <c r="K5086" s="55" t="s">
        <v>55</v>
      </c>
      <c r="L5086" s="60" t="s">
        <v>1542</v>
      </c>
    </row>
    <row r="5088" spans="1:12" x14ac:dyDescent="0.3">
      <c r="A5088" s="72" t="s">
        <v>1642</v>
      </c>
      <c r="B5088" s="55" t="s">
        <v>12</v>
      </c>
      <c r="C5088" s="67" t="s">
        <v>47</v>
      </c>
      <c r="D5088" s="55" t="s">
        <v>50</v>
      </c>
      <c r="E5088" s="19">
        <v>166.22</v>
      </c>
      <c r="F5088" s="19">
        <v>6</v>
      </c>
      <c r="G5088" s="55" t="s">
        <v>11</v>
      </c>
      <c r="H5088" s="74">
        <v>10</v>
      </c>
      <c r="K5088" s="55" t="s">
        <v>25</v>
      </c>
    </row>
    <row r="5089" spans="1:13" x14ac:dyDescent="0.3">
      <c r="H5089" s="74">
        <v>10</v>
      </c>
      <c r="K5089" s="55" t="s">
        <v>84</v>
      </c>
    </row>
    <row r="5090" spans="1:13" x14ac:dyDescent="0.3">
      <c r="H5090" s="74">
        <v>60</v>
      </c>
      <c r="K5090" s="55" t="s">
        <v>96</v>
      </c>
    </row>
    <row r="5091" spans="1:13" x14ac:dyDescent="0.3">
      <c r="H5091" s="74">
        <v>20</v>
      </c>
      <c r="K5091" s="55" t="s">
        <v>102</v>
      </c>
    </row>
    <row r="5092" spans="1:13" x14ac:dyDescent="0.3">
      <c r="H5092" s="74">
        <v>60</v>
      </c>
      <c r="K5092" s="55" t="s">
        <v>32</v>
      </c>
      <c r="L5092" s="60" t="s">
        <v>1644</v>
      </c>
      <c r="M5092" s="1" t="s">
        <v>1646</v>
      </c>
    </row>
    <row r="5093" spans="1:13" x14ac:dyDescent="0.3">
      <c r="H5093" s="74">
        <v>60</v>
      </c>
      <c r="K5093" s="55" t="s">
        <v>32</v>
      </c>
      <c r="L5093" s="60" t="s">
        <v>1647</v>
      </c>
    </row>
    <row r="5094" spans="1:13" x14ac:dyDescent="0.3">
      <c r="H5094" s="74">
        <v>20</v>
      </c>
      <c r="K5094" s="55" t="s">
        <v>34</v>
      </c>
      <c r="L5094" s="60" t="s">
        <v>302</v>
      </c>
    </row>
    <row r="5095" spans="1:13" x14ac:dyDescent="0.3">
      <c r="H5095" s="74">
        <v>20</v>
      </c>
      <c r="K5095" s="55" t="s">
        <v>34</v>
      </c>
      <c r="L5095" s="60" t="s">
        <v>149</v>
      </c>
    </row>
    <row r="5096" spans="1:13" x14ac:dyDescent="0.3">
      <c r="H5096" s="74">
        <v>30</v>
      </c>
      <c r="K5096" s="55" t="s">
        <v>55</v>
      </c>
      <c r="L5096" s="60" t="s">
        <v>1542</v>
      </c>
    </row>
    <row r="5097" spans="1:13" x14ac:dyDescent="0.3">
      <c r="H5097" s="74">
        <v>30</v>
      </c>
      <c r="K5097" s="55" t="s">
        <v>30</v>
      </c>
    </row>
    <row r="5098" spans="1:13" x14ac:dyDescent="0.3">
      <c r="H5098" s="74">
        <v>100</v>
      </c>
      <c r="K5098" s="55" t="s">
        <v>33</v>
      </c>
      <c r="L5098" s="60" t="s">
        <v>1645</v>
      </c>
    </row>
    <row r="5100" spans="1:13" x14ac:dyDescent="0.3">
      <c r="A5100" s="72" t="s">
        <v>1648</v>
      </c>
      <c r="B5100" s="55" t="s">
        <v>0</v>
      </c>
      <c r="C5100" s="67" t="s">
        <v>46</v>
      </c>
      <c r="D5100" s="55" t="s">
        <v>51</v>
      </c>
      <c r="E5100" s="19">
        <v>74.319999999999993</v>
      </c>
      <c r="F5100" s="19">
        <v>2</v>
      </c>
      <c r="G5100" s="55" t="s">
        <v>11</v>
      </c>
      <c r="H5100" s="74">
        <v>10</v>
      </c>
      <c r="K5100" s="55" t="s">
        <v>25</v>
      </c>
    </row>
    <row r="5101" spans="1:13" x14ac:dyDescent="0.3">
      <c r="H5101" s="74">
        <v>10</v>
      </c>
      <c r="K5101" s="55" t="s">
        <v>84</v>
      </c>
    </row>
    <row r="5102" spans="1:13" x14ac:dyDescent="0.3">
      <c r="H5102" s="74">
        <v>20</v>
      </c>
      <c r="K5102" s="55" t="s">
        <v>96</v>
      </c>
    </row>
    <row r="5103" spans="1:13" x14ac:dyDescent="0.3">
      <c r="H5103" s="74">
        <v>20</v>
      </c>
      <c r="K5103" s="55" t="s">
        <v>55</v>
      </c>
      <c r="L5103" s="60" t="s">
        <v>356</v>
      </c>
    </row>
    <row r="5104" spans="1:13" x14ac:dyDescent="0.3">
      <c r="H5104" s="74">
        <v>20</v>
      </c>
      <c r="K5104" s="55" t="s">
        <v>102</v>
      </c>
    </row>
    <row r="5105" spans="1:12" x14ac:dyDescent="0.3">
      <c r="H5105" s="74">
        <v>127</v>
      </c>
      <c r="K5105" s="55" t="s">
        <v>33</v>
      </c>
      <c r="L5105" s="60" t="s">
        <v>1649</v>
      </c>
    </row>
    <row r="5106" spans="1:12" x14ac:dyDescent="0.3">
      <c r="H5106" s="74">
        <v>240</v>
      </c>
      <c r="K5106" s="55" t="s">
        <v>33</v>
      </c>
      <c r="L5106" s="60" t="s">
        <v>538</v>
      </c>
    </row>
    <row r="5108" spans="1:12" x14ac:dyDescent="0.3">
      <c r="A5108" s="72" t="s">
        <v>1648</v>
      </c>
      <c r="B5108" s="55" t="s">
        <v>10</v>
      </c>
      <c r="C5108" s="67" t="s">
        <v>48</v>
      </c>
      <c r="D5108" s="55" t="s">
        <v>52</v>
      </c>
      <c r="E5108" s="19">
        <v>190.16</v>
      </c>
      <c r="F5108" s="19">
        <v>5</v>
      </c>
      <c r="G5108" s="55" t="s">
        <v>11</v>
      </c>
      <c r="H5108" s="74">
        <v>10</v>
      </c>
      <c r="K5108" s="55" t="s">
        <v>25</v>
      </c>
    </row>
    <row r="5109" spans="1:12" x14ac:dyDescent="0.3">
      <c r="H5109" s="74">
        <v>10</v>
      </c>
      <c r="K5109" s="55" t="s">
        <v>84</v>
      </c>
    </row>
    <row r="5110" spans="1:12" x14ac:dyDescent="0.3">
      <c r="H5110" s="74">
        <v>50</v>
      </c>
      <c r="K5110" s="55" t="s">
        <v>96</v>
      </c>
    </row>
    <row r="5111" spans="1:12" x14ac:dyDescent="0.3">
      <c r="H5111" s="74">
        <v>20</v>
      </c>
      <c r="K5111" s="55" t="s">
        <v>102</v>
      </c>
    </row>
    <row r="5112" spans="1:12" x14ac:dyDescent="0.3">
      <c r="H5112" s="74">
        <v>30</v>
      </c>
      <c r="K5112" s="55" t="s">
        <v>32</v>
      </c>
      <c r="L5112" s="60" t="s">
        <v>472</v>
      </c>
    </row>
    <row r="5113" spans="1:12" x14ac:dyDescent="0.3">
      <c r="H5113" s="74">
        <v>260</v>
      </c>
      <c r="K5113" s="55" t="s">
        <v>33</v>
      </c>
      <c r="L5113" s="60" t="s">
        <v>538</v>
      </c>
    </row>
    <row r="5114" spans="1:12" x14ac:dyDescent="0.3">
      <c r="H5114" s="74">
        <v>20</v>
      </c>
      <c r="K5114" s="55" t="s">
        <v>30</v>
      </c>
      <c r="L5114" s="60" t="s">
        <v>324</v>
      </c>
    </row>
    <row r="5115" spans="1:12" x14ac:dyDescent="0.3">
      <c r="H5115" s="74">
        <v>20</v>
      </c>
      <c r="K5115" s="55" t="s">
        <v>34</v>
      </c>
      <c r="L5115" s="60" t="s">
        <v>302</v>
      </c>
    </row>
    <row r="5116" spans="1:12" x14ac:dyDescent="0.3">
      <c r="H5116" s="74">
        <v>10</v>
      </c>
      <c r="K5116" s="55" t="s">
        <v>34</v>
      </c>
      <c r="L5116" s="60" t="s">
        <v>149</v>
      </c>
    </row>
    <row r="5117" spans="1:12" x14ac:dyDescent="0.3">
      <c r="H5117" s="74">
        <v>16</v>
      </c>
      <c r="K5117" s="55" t="s">
        <v>33</v>
      </c>
      <c r="L5117" s="60" t="s">
        <v>1650</v>
      </c>
    </row>
    <row r="5119" spans="1:12" x14ac:dyDescent="0.3">
      <c r="A5119" s="72" t="s">
        <v>1648</v>
      </c>
      <c r="B5119" s="55" t="s">
        <v>12</v>
      </c>
      <c r="C5119" s="67" t="s">
        <v>47</v>
      </c>
      <c r="D5119" s="55" t="s">
        <v>50</v>
      </c>
      <c r="E5119" s="19">
        <v>256.27</v>
      </c>
      <c r="F5119" s="19">
        <v>8</v>
      </c>
      <c r="G5119" s="55" t="s">
        <v>11</v>
      </c>
      <c r="H5119" s="74">
        <v>10</v>
      </c>
      <c r="K5119" s="55" t="s">
        <v>25</v>
      </c>
    </row>
    <row r="5120" spans="1:12" x14ac:dyDescent="0.3">
      <c r="H5120" s="74">
        <v>10</v>
      </c>
      <c r="K5120" s="55" t="s">
        <v>84</v>
      </c>
    </row>
    <row r="5121" spans="1:13" x14ac:dyDescent="0.3">
      <c r="H5121" s="74">
        <v>80</v>
      </c>
      <c r="K5121" s="55" t="s">
        <v>96</v>
      </c>
    </row>
    <row r="5122" spans="1:13" x14ac:dyDescent="0.3">
      <c r="H5122" s="74">
        <v>20</v>
      </c>
      <c r="K5122" s="55" t="s">
        <v>102</v>
      </c>
    </row>
    <row r="5123" spans="1:13" x14ac:dyDescent="0.3">
      <c r="H5123" s="74">
        <v>90</v>
      </c>
      <c r="K5123" s="55" t="s">
        <v>32</v>
      </c>
      <c r="L5123" s="60" t="s">
        <v>1651</v>
      </c>
      <c r="M5123" s="1" t="s">
        <v>1652</v>
      </c>
    </row>
    <row r="5124" spans="1:13" x14ac:dyDescent="0.3">
      <c r="H5124" s="74">
        <v>40</v>
      </c>
      <c r="K5124" s="55" t="s">
        <v>34</v>
      </c>
      <c r="L5124" s="60" t="s">
        <v>302</v>
      </c>
    </row>
    <row r="5125" spans="1:13" x14ac:dyDescent="0.3">
      <c r="H5125" s="74">
        <v>30</v>
      </c>
      <c r="K5125" s="55" t="s">
        <v>34</v>
      </c>
      <c r="L5125" s="60" t="s">
        <v>149</v>
      </c>
    </row>
    <row r="5126" spans="1:13" x14ac:dyDescent="0.3">
      <c r="H5126" s="74">
        <v>40</v>
      </c>
      <c r="K5126" s="55" t="s">
        <v>30</v>
      </c>
      <c r="L5126" s="60" t="s">
        <v>502</v>
      </c>
    </row>
    <row r="5127" spans="1:13" x14ac:dyDescent="0.3">
      <c r="H5127" s="74">
        <v>20</v>
      </c>
      <c r="K5127" s="55" t="s">
        <v>55</v>
      </c>
      <c r="L5127" s="60" t="s">
        <v>13</v>
      </c>
    </row>
    <row r="5130" spans="1:13" x14ac:dyDescent="0.3">
      <c r="A5130" s="72" t="s">
        <v>1653</v>
      </c>
      <c r="B5130" s="55" t="s">
        <v>0</v>
      </c>
      <c r="C5130" s="67" t="s">
        <v>48</v>
      </c>
      <c r="D5130" s="55" t="s">
        <v>52</v>
      </c>
      <c r="E5130" s="19">
        <v>52.2</v>
      </c>
      <c r="F5130" s="19">
        <v>2</v>
      </c>
      <c r="G5130" s="55" t="s">
        <v>11</v>
      </c>
      <c r="H5130" s="74">
        <v>10</v>
      </c>
      <c r="K5130" s="55" t="s">
        <v>25</v>
      </c>
    </row>
    <row r="5131" spans="1:13" x14ac:dyDescent="0.3">
      <c r="H5131" s="74">
        <v>10</v>
      </c>
      <c r="K5131" s="55" t="s">
        <v>84</v>
      </c>
    </row>
    <row r="5132" spans="1:13" x14ac:dyDescent="0.3">
      <c r="H5132" s="74">
        <v>20</v>
      </c>
      <c r="K5132" s="55" t="s">
        <v>96</v>
      </c>
    </row>
    <row r="5133" spans="1:13" x14ac:dyDescent="0.3">
      <c r="H5133" s="74">
        <v>20</v>
      </c>
      <c r="K5133" s="55" t="s">
        <v>102</v>
      </c>
    </row>
    <row r="5134" spans="1:13" x14ac:dyDescent="0.3">
      <c r="H5134" s="74">
        <v>30</v>
      </c>
      <c r="K5134" s="55" t="s">
        <v>32</v>
      </c>
      <c r="L5134" s="60" t="s">
        <v>472</v>
      </c>
    </row>
    <row r="5135" spans="1:13" x14ac:dyDescent="0.3">
      <c r="H5135" s="74">
        <v>100</v>
      </c>
      <c r="K5135" s="55" t="s">
        <v>33</v>
      </c>
      <c r="L5135" s="60" t="s">
        <v>1654</v>
      </c>
    </row>
    <row r="5136" spans="1:13" x14ac:dyDescent="0.3">
      <c r="H5136" s="74">
        <v>20</v>
      </c>
      <c r="K5136" s="55" t="s">
        <v>30</v>
      </c>
      <c r="L5136" s="60" t="s">
        <v>324</v>
      </c>
    </row>
    <row r="5137" spans="1:12" x14ac:dyDescent="0.3">
      <c r="H5137" s="74">
        <v>10</v>
      </c>
      <c r="K5137" s="55" t="s">
        <v>34</v>
      </c>
      <c r="L5137" s="60" t="s">
        <v>302</v>
      </c>
    </row>
    <row r="5138" spans="1:12" x14ac:dyDescent="0.3">
      <c r="H5138" s="74">
        <v>10</v>
      </c>
      <c r="K5138" s="55" t="s">
        <v>34</v>
      </c>
      <c r="L5138" s="60" t="s">
        <v>149</v>
      </c>
    </row>
    <row r="5139" spans="1:12" x14ac:dyDescent="0.3">
      <c r="H5139" s="74">
        <v>70</v>
      </c>
      <c r="K5139" s="55" t="s">
        <v>33</v>
      </c>
      <c r="L5139" s="60" t="s">
        <v>1655</v>
      </c>
    </row>
    <row r="5140" spans="1:12" x14ac:dyDescent="0.3">
      <c r="H5140" s="74">
        <v>80</v>
      </c>
      <c r="K5140" s="55" t="s">
        <v>55</v>
      </c>
      <c r="L5140" s="60" t="s">
        <v>1656</v>
      </c>
    </row>
    <row r="5142" spans="1:12" x14ac:dyDescent="0.3">
      <c r="A5142" s="72" t="s">
        <v>1653</v>
      </c>
      <c r="B5142" s="55" t="s">
        <v>10</v>
      </c>
      <c r="C5142" s="67" t="s">
        <v>46</v>
      </c>
      <c r="D5142" s="55" t="s">
        <v>50</v>
      </c>
      <c r="E5142" s="19">
        <v>341.4</v>
      </c>
      <c r="F5142" s="19">
        <v>10</v>
      </c>
      <c r="G5142" s="55" t="s">
        <v>11</v>
      </c>
      <c r="H5142" s="74">
        <v>10</v>
      </c>
      <c r="K5142" s="55" t="s">
        <v>25</v>
      </c>
    </row>
    <row r="5143" spans="1:12" x14ac:dyDescent="0.3">
      <c r="H5143" s="74">
        <v>10</v>
      </c>
      <c r="K5143" s="55" t="s">
        <v>84</v>
      </c>
    </row>
    <row r="5144" spans="1:12" x14ac:dyDescent="0.3">
      <c r="H5144" s="74">
        <v>100</v>
      </c>
      <c r="K5144" s="55" t="s">
        <v>96</v>
      </c>
    </row>
    <row r="5145" spans="1:12" x14ac:dyDescent="0.3">
      <c r="H5145" s="74">
        <v>150</v>
      </c>
      <c r="K5145" s="55" t="s">
        <v>32</v>
      </c>
      <c r="L5145" s="60" t="s">
        <v>1657</v>
      </c>
    </row>
    <row r="5146" spans="1:12" x14ac:dyDescent="0.3">
      <c r="H5146" s="74">
        <v>20</v>
      </c>
      <c r="K5146" s="55" t="s">
        <v>102</v>
      </c>
    </row>
    <row r="5147" spans="1:12" x14ac:dyDescent="0.3">
      <c r="H5147" s="74">
        <v>30</v>
      </c>
      <c r="K5147" s="55" t="s">
        <v>30</v>
      </c>
    </row>
    <row r="5148" spans="1:12" x14ac:dyDescent="0.3">
      <c r="H5148" s="74">
        <v>30</v>
      </c>
      <c r="K5148" s="55" t="s">
        <v>34</v>
      </c>
      <c r="L5148" s="60" t="s">
        <v>302</v>
      </c>
    </row>
    <row r="5149" spans="1:12" x14ac:dyDescent="0.3">
      <c r="H5149" s="74">
        <v>20</v>
      </c>
      <c r="K5149" s="55" t="s">
        <v>34</v>
      </c>
      <c r="L5149" s="60" t="s">
        <v>149</v>
      </c>
    </row>
    <row r="5150" spans="1:12" x14ac:dyDescent="0.3">
      <c r="H5150" s="74">
        <v>20</v>
      </c>
      <c r="K5150" s="55" t="s">
        <v>55</v>
      </c>
      <c r="L5150" s="60" t="s">
        <v>13</v>
      </c>
    </row>
    <row r="5152" spans="1:12" x14ac:dyDescent="0.3">
      <c r="A5152" s="72" t="s">
        <v>1653</v>
      </c>
      <c r="B5152" s="55" t="s">
        <v>0</v>
      </c>
      <c r="C5152" s="67" t="s">
        <v>188</v>
      </c>
      <c r="D5152" s="55" t="s">
        <v>51</v>
      </c>
      <c r="E5152" s="19">
        <v>89.78</v>
      </c>
      <c r="F5152" s="19">
        <v>3</v>
      </c>
      <c r="G5152" s="55" t="s">
        <v>11</v>
      </c>
      <c r="H5152" s="74">
        <v>10</v>
      </c>
      <c r="K5152" s="55" t="s">
        <v>25</v>
      </c>
    </row>
    <row r="5153" spans="1:13" x14ac:dyDescent="0.3">
      <c r="H5153" s="74">
        <v>10</v>
      </c>
      <c r="K5153" s="55" t="s">
        <v>84</v>
      </c>
    </row>
    <row r="5154" spans="1:13" x14ac:dyDescent="0.3">
      <c r="H5154" s="74">
        <v>40</v>
      </c>
      <c r="K5154" s="55" t="s">
        <v>96</v>
      </c>
    </row>
    <row r="5155" spans="1:13" x14ac:dyDescent="0.3">
      <c r="H5155" s="74">
        <v>60</v>
      </c>
      <c r="K5155" s="55" t="s">
        <v>32</v>
      </c>
      <c r="L5155" s="60" t="s">
        <v>283</v>
      </c>
      <c r="M5155" s="1" t="s">
        <v>1658</v>
      </c>
    </row>
    <row r="5156" spans="1:13" x14ac:dyDescent="0.3">
      <c r="H5156" s="74">
        <v>60</v>
      </c>
      <c r="K5156" s="55" t="s">
        <v>32</v>
      </c>
      <c r="L5156" s="60" t="s">
        <v>1660</v>
      </c>
    </row>
    <row r="5157" spans="1:13" x14ac:dyDescent="0.3">
      <c r="H5157" s="74">
        <v>30</v>
      </c>
      <c r="K5157" s="55" t="s">
        <v>30</v>
      </c>
      <c r="L5157" s="60" t="s">
        <v>250</v>
      </c>
    </row>
    <row r="5158" spans="1:13" x14ac:dyDescent="0.3">
      <c r="H5158" s="74">
        <v>20</v>
      </c>
      <c r="K5158" s="55" t="s">
        <v>34</v>
      </c>
      <c r="L5158" s="60" t="s">
        <v>253</v>
      </c>
    </row>
    <row r="5159" spans="1:13" x14ac:dyDescent="0.3">
      <c r="H5159" s="74">
        <v>20</v>
      </c>
      <c r="K5159" s="55" t="s">
        <v>102</v>
      </c>
    </row>
    <row r="5160" spans="1:13" x14ac:dyDescent="0.3">
      <c r="H5160" s="74">
        <v>10</v>
      </c>
      <c r="K5160" s="55" t="s">
        <v>55</v>
      </c>
      <c r="L5160" s="60" t="s">
        <v>737</v>
      </c>
    </row>
    <row r="5161" spans="1:13" x14ac:dyDescent="0.3">
      <c r="H5161" s="74">
        <v>40</v>
      </c>
      <c r="K5161" s="55" t="s">
        <v>32</v>
      </c>
      <c r="L5161" s="60" t="s">
        <v>659</v>
      </c>
    </row>
    <row r="5162" spans="1:13" x14ac:dyDescent="0.3">
      <c r="H5162" s="74">
        <v>30</v>
      </c>
      <c r="K5162" s="55" t="s">
        <v>34</v>
      </c>
      <c r="L5162" s="60" t="s">
        <v>302</v>
      </c>
    </row>
    <row r="5163" spans="1:13" x14ac:dyDescent="0.3">
      <c r="H5163" s="74">
        <v>15</v>
      </c>
      <c r="K5163" s="55" t="s">
        <v>33</v>
      </c>
      <c r="L5163" s="60" t="s">
        <v>1659</v>
      </c>
    </row>
    <row r="5164" spans="1:13" x14ac:dyDescent="0.3">
      <c r="H5164" s="74">
        <v>50</v>
      </c>
      <c r="K5164" s="55" t="s">
        <v>55</v>
      </c>
      <c r="L5164" s="60" t="s">
        <v>1661</v>
      </c>
    </row>
    <row r="5166" spans="1:13" x14ac:dyDescent="0.3">
      <c r="A5166" s="72" t="s">
        <v>1662</v>
      </c>
      <c r="B5166" s="55" t="s">
        <v>0</v>
      </c>
      <c r="C5166" s="67" t="s">
        <v>48</v>
      </c>
      <c r="D5166" s="55" t="s">
        <v>52</v>
      </c>
      <c r="E5166" s="19">
        <v>99.07</v>
      </c>
      <c r="F5166" s="19">
        <v>3</v>
      </c>
      <c r="G5166" s="55" t="s">
        <v>11</v>
      </c>
      <c r="H5166" s="74">
        <v>10</v>
      </c>
      <c r="K5166" s="55" t="s">
        <v>25</v>
      </c>
    </row>
    <row r="5167" spans="1:13" x14ac:dyDescent="0.3">
      <c r="H5167" s="74">
        <v>10</v>
      </c>
      <c r="K5167" s="55" t="s">
        <v>84</v>
      </c>
    </row>
    <row r="5168" spans="1:13" x14ac:dyDescent="0.3">
      <c r="H5168" s="74">
        <v>20</v>
      </c>
      <c r="K5168" s="55" t="s">
        <v>96</v>
      </c>
    </row>
    <row r="5169" spans="1:12" x14ac:dyDescent="0.3">
      <c r="H5169" s="74">
        <v>20</v>
      </c>
      <c r="K5169" s="55" t="s">
        <v>102</v>
      </c>
    </row>
    <row r="5170" spans="1:12" x14ac:dyDescent="0.3">
      <c r="H5170" s="74">
        <v>60</v>
      </c>
      <c r="K5170" s="55" t="s">
        <v>32</v>
      </c>
      <c r="L5170" s="60" t="s">
        <v>344</v>
      </c>
    </row>
    <row r="5171" spans="1:12" x14ac:dyDescent="0.3">
      <c r="H5171" s="74">
        <v>100</v>
      </c>
      <c r="K5171" s="55" t="s">
        <v>55</v>
      </c>
      <c r="L5171" s="60" t="s">
        <v>1663</v>
      </c>
    </row>
    <row r="5172" spans="1:12" x14ac:dyDescent="0.3">
      <c r="H5172" s="74">
        <v>40</v>
      </c>
      <c r="K5172" s="55" t="s">
        <v>55</v>
      </c>
      <c r="L5172" s="60" t="s">
        <v>1664</v>
      </c>
    </row>
    <row r="5173" spans="1:12" x14ac:dyDescent="0.3">
      <c r="H5173" s="74">
        <v>20</v>
      </c>
      <c r="K5173" s="55" t="s">
        <v>34</v>
      </c>
      <c r="L5173" s="60" t="s">
        <v>302</v>
      </c>
    </row>
    <row r="5174" spans="1:12" x14ac:dyDescent="0.3">
      <c r="H5174" s="74">
        <v>50</v>
      </c>
      <c r="K5174" s="55" t="s">
        <v>34</v>
      </c>
      <c r="L5174" s="60" t="s">
        <v>149</v>
      </c>
    </row>
    <row r="5175" spans="1:12" x14ac:dyDescent="0.3">
      <c r="H5175" s="74">
        <v>20</v>
      </c>
      <c r="K5175" s="55" t="s">
        <v>55</v>
      </c>
      <c r="L5175" s="60" t="s">
        <v>737</v>
      </c>
    </row>
    <row r="5176" spans="1:12" x14ac:dyDescent="0.3">
      <c r="H5176" s="74">
        <v>20</v>
      </c>
      <c r="K5176" s="55" t="s">
        <v>32</v>
      </c>
      <c r="L5176" s="60" t="s">
        <v>1282</v>
      </c>
    </row>
    <row r="5178" spans="1:12" x14ac:dyDescent="0.3">
      <c r="A5178" s="72" t="s">
        <v>1662</v>
      </c>
      <c r="B5178" s="55" t="s">
        <v>10</v>
      </c>
      <c r="C5178" s="67" t="s">
        <v>47</v>
      </c>
      <c r="D5178" s="55" t="s">
        <v>50</v>
      </c>
      <c r="E5178" s="19">
        <v>130.9</v>
      </c>
      <c r="F5178" s="19" t="s">
        <v>1528</v>
      </c>
      <c r="G5178" s="55" t="s">
        <v>11</v>
      </c>
      <c r="H5178" s="74">
        <v>10</v>
      </c>
      <c r="K5178" s="55" t="s">
        <v>25</v>
      </c>
    </row>
    <row r="5179" spans="1:12" x14ac:dyDescent="0.3">
      <c r="H5179" s="74">
        <v>10</v>
      </c>
      <c r="K5179" s="55" t="s">
        <v>84</v>
      </c>
    </row>
    <row r="5180" spans="1:12" x14ac:dyDescent="0.3">
      <c r="H5180" s="74">
        <v>40</v>
      </c>
      <c r="K5180" s="55" t="s">
        <v>96</v>
      </c>
    </row>
    <row r="5181" spans="1:12" x14ac:dyDescent="0.3">
      <c r="H5181" s="74">
        <v>60</v>
      </c>
      <c r="K5181" s="55" t="s">
        <v>32</v>
      </c>
      <c r="L5181" s="60" t="s">
        <v>1665</v>
      </c>
    </row>
    <row r="5182" spans="1:12" x14ac:dyDescent="0.3">
      <c r="H5182" s="74">
        <v>20</v>
      </c>
      <c r="K5182" s="55" t="s">
        <v>102</v>
      </c>
    </row>
    <row r="5183" spans="1:12" x14ac:dyDescent="0.3">
      <c r="H5183" s="74">
        <v>60</v>
      </c>
      <c r="K5183" s="55" t="s">
        <v>55</v>
      </c>
      <c r="L5183" s="60" t="s">
        <v>1666</v>
      </c>
    </row>
    <row r="5184" spans="1:12" x14ac:dyDescent="0.3">
      <c r="H5184" s="74">
        <v>30</v>
      </c>
      <c r="K5184" s="55" t="s">
        <v>30</v>
      </c>
    </row>
    <row r="5185" spans="1:13" x14ac:dyDescent="0.3">
      <c r="H5185" s="74">
        <v>30</v>
      </c>
      <c r="K5185" s="55" t="s">
        <v>34</v>
      </c>
      <c r="L5185" s="60" t="s">
        <v>302</v>
      </c>
    </row>
    <row r="5186" spans="1:13" x14ac:dyDescent="0.3">
      <c r="H5186" s="74">
        <v>20</v>
      </c>
      <c r="K5186" s="55" t="s">
        <v>34</v>
      </c>
      <c r="L5186" s="60" t="s">
        <v>149</v>
      </c>
    </row>
    <row r="5187" spans="1:13" x14ac:dyDescent="0.3">
      <c r="H5187" s="74">
        <v>20</v>
      </c>
      <c r="K5187" s="55" t="s">
        <v>55</v>
      </c>
      <c r="L5187" s="60" t="s">
        <v>1542</v>
      </c>
    </row>
    <row r="5188" spans="1:13" x14ac:dyDescent="0.3">
      <c r="H5188" s="74">
        <v>100</v>
      </c>
      <c r="K5188" s="55" t="s">
        <v>55</v>
      </c>
      <c r="L5188" s="60" t="s">
        <v>1667</v>
      </c>
      <c r="M5188" s="1" t="s">
        <v>135</v>
      </c>
    </row>
    <row r="5190" spans="1:13" x14ac:dyDescent="0.3">
      <c r="A5190" s="72" t="s">
        <v>1662</v>
      </c>
      <c r="B5190" s="55" t="s">
        <v>12</v>
      </c>
      <c r="C5190" s="67" t="s">
        <v>188</v>
      </c>
      <c r="D5190" s="55" t="s">
        <v>51</v>
      </c>
      <c r="E5190" s="19">
        <v>22.74</v>
      </c>
      <c r="F5190" s="19" t="s">
        <v>1670</v>
      </c>
      <c r="G5190" s="55" t="s">
        <v>11</v>
      </c>
      <c r="H5190" s="74">
        <v>10</v>
      </c>
      <c r="K5190" s="55" t="s">
        <v>25</v>
      </c>
    </row>
    <row r="5191" spans="1:13" x14ac:dyDescent="0.3">
      <c r="H5191" s="74">
        <v>10</v>
      </c>
      <c r="K5191" s="55" t="s">
        <v>84</v>
      </c>
    </row>
    <row r="5192" spans="1:13" x14ac:dyDescent="0.3">
      <c r="H5192" s="74">
        <v>240</v>
      </c>
      <c r="K5192" s="55" t="s">
        <v>55</v>
      </c>
      <c r="L5192" s="60" t="s">
        <v>1667</v>
      </c>
      <c r="M5192" s="1" t="s">
        <v>1669</v>
      </c>
    </row>
    <row r="5193" spans="1:13" x14ac:dyDescent="0.3">
      <c r="H5193" s="74">
        <v>30</v>
      </c>
      <c r="K5193" s="55" t="s">
        <v>32</v>
      </c>
      <c r="L5193" s="60" t="s">
        <v>1668</v>
      </c>
    </row>
    <row r="5194" spans="1:13" x14ac:dyDescent="0.3">
      <c r="H5194" s="74">
        <v>45</v>
      </c>
      <c r="K5194" s="55" t="s">
        <v>32</v>
      </c>
      <c r="L5194" s="60" t="s">
        <v>451</v>
      </c>
    </row>
    <row r="5195" spans="1:13" x14ac:dyDescent="0.3">
      <c r="H5195" s="74">
        <v>30</v>
      </c>
      <c r="K5195" s="55" t="s">
        <v>33</v>
      </c>
      <c r="L5195" s="60" t="s">
        <v>454</v>
      </c>
    </row>
    <row r="5196" spans="1:13" x14ac:dyDescent="0.3">
      <c r="H5196" s="74">
        <v>15</v>
      </c>
      <c r="K5196" s="55" t="s">
        <v>33</v>
      </c>
      <c r="L5196" s="60" t="s">
        <v>1671</v>
      </c>
    </row>
    <row r="5197" spans="1:13" x14ac:dyDescent="0.3">
      <c r="H5197" s="74">
        <v>30</v>
      </c>
      <c r="K5197" s="55" t="s">
        <v>32</v>
      </c>
      <c r="L5197" s="60" t="s">
        <v>587</v>
      </c>
    </row>
    <row r="5198" spans="1:13" x14ac:dyDescent="0.3">
      <c r="H5198" s="74">
        <v>30</v>
      </c>
      <c r="K5198" s="55" t="s">
        <v>32</v>
      </c>
      <c r="L5198" s="60" t="s">
        <v>460</v>
      </c>
    </row>
    <row r="5199" spans="1:13" x14ac:dyDescent="0.3">
      <c r="H5199" s="74">
        <v>10</v>
      </c>
      <c r="K5199" s="55" t="s">
        <v>96</v>
      </c>
    </row>
    <row r="5201" spans="1:12" x14ac:dyDescent="0.3">
      <c r="A5201" s="72" t="s">
        <v>1672</v>
      </c>
      <c r="B5201" s="55" t="s">
        <v>0</v>
      </c>
      <c r="C5201" s="67" t="s">
        <v>46</v>
      </c>
      <c r="D5201" s="55" t="s">
        <v>52</v>
      </c>
      <c r="E5201" s="19">
        <v>272.89999999999998</v>
      </c>
      <c r="F5201" s="19">
        <v>12</v>
      </c>
      <c r="G5201" s="55" t="s">
        <v>11</v>
      </c>
      <c r="H5201" s="74">
        <v>10</v>
      </c>
      <c r="K5201" s="55" t="s">
        <v>25</v>
      </c>
    </row>
    <row r="5202" spans="1:12" x14ac:dyDescent="0.3">
      <c r="H5202" s="74">
        <v>10</v>
      </c>
      <c r="K5202" s="55" t="s">
        <v>84</v>
      </c>
    </row>
    <row r="5203" spans="1:12" x14ac:dyDescent="0.3">
      <c r="H5203" s="74">
        <v>130</v>
      </c>
      <c r="K5203" s="55" t="s">
        <v>96</v>
      </c>
    </row>
    <row r="5204" spans="1:12" x14ac:dyDescent="0.3">
      <c r="H5204" s="74">
        <v>20</v>
      </c>
      <c r="K5204" s="55" t="s">
        <v>102</v>
      </c>
    </row>
    <row r="5205" spans="1:12" x14ac:dyDescent="0.3">
      <c r="H5205" s="74">
        <v>20</v>
      </c>
      <c r="K5205" s="55" t="s">
        <v>32</v>
      </c>
      <c r="L5205" s="60" t="s">
        <v>396</v>
      </c>
    </row>
    <row r="5206" spans="1:12" x14ac:dyDescent="0.3">
      <c r="H5206" s="74">
        <v>30</v>
      </c>
      <c r="K5206" s="55" t="s">
        <v>32</v>
      </c>
      <c r="L5206" s="60" t="s">
        <v>236</v>
      </c>
    </row>
    <row r="5207" spans="1:12" x14ac:dyDescent="0.3">
      <c r="H5207" s="74">
        <v>20</v>
      </c>
      <c r="K5207" s="55" t="s">
        <v>34</v>
      </c>
      <c r="L5207" s="60" t="s">
        <v>302</v>
      </c>
    </row>
    <row r="5208" spans="1:12" x14ac:dyDescent="0.3">
      <c r="H5208" s="74">
        <v>30</v>
      </c>
      <c r="K5208" s="55" t="s">
        <v>55</v>
      </c>
      <c r="L5208" s="60" t="s">
        <v>1673</v>
      </c>
    </row>
    <row r="5210" spans="1:12" x14ac:dyDescent="0.3">
      <c r="A5210" s="72" t="s">
        <v>1672</v>
      </c>
      <c r="B5210" s="55" t="s">
        <v>10</v>
      </c>
      <c r="C5210" s="67" t="s">
        <v>47</v>
      </c>
      <c r="D5210" s="55" t="s">
        <v>50</v>
      </c>
      <c r="E5210" s="19">
        <v>90.94</v>
      </c>
      <c r="F5210" s="19">
        <v>4</v>
      </c>
      <c r="G5210" s="55" t="s">
        <v>11</v>
      </c>
      <c r="H5210" s="74">
        <v>10</v>
      </c>
      <c r="K5210" s="55" t="s">
        <v>25</v>
      </c>
    </row>
    <row r="5211" spans="1:12" x14ac:dyDescent="0.3">
      <c r="H5211" s="74">
        <v>10</v>
      </c>
      <c r="K5211" s="55" t="s">
        <v>84</v>
      </c>
    </row>
    <row r="5212" spans="1:12" x14ac:dyDescent="0.3">
      <c r="H5212" s="74">
        <v>20</v>
      </c>
      <c r="K5212" s="55" t="s">
        <v>32</v>
      </c>
      <c r="L5212" s="60" t="s">
        <v>236</v>
      </c>
    </row>
    <row r="5213" spans="1:12" x14ac:dyDescent="0.3">
      <c r="H5213" s="74">
        <v>50</v>
      </c>
      <c r="K5213" s="55" t="s">
        <v>96</v>
      </c>
    </row>
    <row r="5214" spans="1:12" x14ac:dyDescent="0.3">
      <c r="H5214" s="74">
        <v>20</v>
      </c>
      <c r="K5214" s="55" t="s">
        <v>102</v>
      </c>
    </row>
    <row r="5215" spans="1:12" x14ac:dyDescent="0.3">
      <c r="H5215" s="74">
        <v>270</v>
      </c>
      <c r="K5215" s="55" t="s">
        <v>33</v>
      </c>
      <c r="L5215" s="60" t="s">
        <v>1674</v>
      </c>
    </row>
    <row r="5217" spans="1:12" x14ac:dyDescent="0.3">
      <c r="A5217" s="72" t="s">
        <v>1672</v>
      </c>
      <c r="B5217" s="55" t="s">
        <v>12</v>
      </c>
      <c r="C5217" s="67" t="s">
        <v>188</v>
      </c>
      <c r="D5217" s="55" t="s">
        <v>51</v>
      </c>
      <c r="E5217" s="19">
        <v>204.98</v>
      </c>
      <c r="F5217" s="19">
        <v>9</v>
      </c>
      <c r="G5217" s="55" t="s">
        <v>11</v>
      </c>
      <c r="H5217" s="74">
        <v>120</v>
      </c>
      <c r="K5217" s="55" t="s">
        <v>33</v>
      </c>
      <c r="L5217" s="60" t="s">
        <v>1675</v>
      </c>
    </row>
    <row r="5218" spans="1:12" x14ac:dyDescent="0.3">
      <c r="H5218" s="74">
        <v>90</v>
      </c>
      <c r="K5218" s="55" t="s">
        <v>96</v>
      </c>
    </row>
    <row r="5219" spans="1:12" x14ac:dyDescent="0.3">
      <c r="H5219" s="74">
        <v>80</v>
      </c>
      <c r="K5219" s="55" t="s">
        <v>32</v>
      </c>
      <c r="L5219" s="60" t="s">
        <v>1181</v>
      </c>
    </row>
    <row r="5220" spans="1:12" x14ac:dyDescent="0.3">
      <c r="H5220" s="74">
        <v>20</v>
      </c>
      <c r="K5220" s="55" t="s">
        <v>102</v>
      </c>
    </row>
    <row r="5221" spans="1:12" x14ac:dyDescent="0.3">
      <c r="H5221" s="74">
        <v>30</v>
      </c>
      <c r="K5221" s="55" t="s">
        <v>55</v>
      </c>
      <c r="L5221" s="60" t="s">
        <v>1673</v>
      </c>
    </row>
    <row r="5222" spans="1:12" x14ac:dyDescent="0.3">
      <c r="H5222" s="74">
        <v>20</v>
      </c>
      <c r="K5222" s="55" t="s">
        <v>55</v>
      </c>
      <c r="L5222" s="60" t="s">
        <v>302</v>
      </c>
    </row>
    <row r="5224" spans="1:12" x14ac:dyDescent="0.3">
      <c r="A5224" s="72" t="s">
        <v>1676</v>
      </c>
      <c r="B5224" s="55" t="s">
        <v>0</v>
      </c>
      <c r="C5224" s="67" t="s">
        <v>46</v>
      </c>
      <c r="D5224" s="55" t="s">
        <v>52</v>
      </c>
      <c r="E5224" s="19">
        <v>275.33999999999997</v>
      </c>
      <c r="F5224" s="19">
        <v>7.5</v>
      </c>
      <c r="G5224" s="55" t="s">
        <v>11</v>
      </c>
      <c r="H5224" s="74">
        <v>10</v>
      </c>
      <c r="K5224" s="55" t="s">
        <v>25</v>
      </c>
    </row>
    <row r="5225" spans="1:12" x14ac:dyDescent="0.3">
      <c r="H5225" s="74">
        <v>10</v>
      </c>
      <c r="K5225" s="55" t="s">
        <v>84</v>
      </c>
    </row>
    <row r="5226" spans="1:12" x14ac:dyDescent="0.3">
      <c r="H5226" s="74">
        <v>80</v>
      </c>
      <c r="K5226" s="55" t="s">
        <v>96</v>
      </c>
    </row>
    <row r="5227" spans="1:12" x14ac:dyDescent="0.3">
      <c r="H5227" s="74">
        <v>20</v>
      </c>
      <c r="K5227" s="55" t="s">
        <v>102</v>
      </c>
    </row>
    <row r="5228" spans="1:12" x14ac:dyDescent="0.3">
      <c r="H5228" s="74">
        <v>20</v>
      </c>
      <c r="K5228" s="55" t="s">
        <v>32</v>
      </c>
      <c r="L5228" s="60" t="s">
        <v>396</v>
      </c>
    </row>
    <row r="5229" spans="1:12" x14ac:dyDescent="0.3">
      <c r="H5229" s="74">
        <v>20</v>
      </c>
      <c r="K5229" s="55" t="s">
        <v>34</v>
      </c>
      <c r="L5229" s="60" t="s">
        <v>302</v>
      </c>
    </row>
    <row r="5230" spans="1:12" x14ac:dyDescent="0.3">
      <c r="H5230" s="74">
        <v>30</v>
      </c>
      <c r="K5230" s="55" t="s">
        <v>32</v>
      </c>
      <c r="L5230" s="60" t="s">
        <v>1189</v>
      </c>
    </row>
    <row r="5231" spans="1:12" x14ac:dyDescent="0.3">
      <c r="H5231" s="74">
        <v>30</v>
      </c>
      <c r="K5231" s="55" t="s">
        <v>33</v>
      </c>
      <c r="L5231" s="60" t="s">
        <v>1186</v>
      </c>
    </row>
    <row r="5232" spans="1:12" x14ac:dyDescent="0.3">
      <c r="H5232" s="74">
        <v>40</v>
      </c>
      <c r="K5232" s="55" t="s">
        <v>55</v>
      </c>
      <c r="L5232" s="60" t="s">
        <v>1678</v>
      </c>
    </row>
    <row r="5233" spans="1:12" x14ac:dyDescent="0.3">
      <c r="H5233" s="74">
        <v>60</v>
      </c>
      <c r="K5233" s="55" t="s">
        <v>33</v>
      </c>
      <c r="L5233" s="60" t="s">
        <v>1677</v>
      </c>
    </row>
    <row r="5234" spans="1:12" x14ac:dyDescent="0.3">
      <c r="H5234" s="74">
        <v>35</v>
      </c>
      <c r="K5234" s="55" t="s">
        <v>55</v>
      </c>
      <c r="L5234" s="60" t="s">
        <v>724</v>
      </c>
    </row>
    <row r="5235" spans="1:12" x14ac:dyDescent="0.3">
      <c r="H5235" s="74">
        <v>20</v>
      </c>
      <c r="K5235" s="55" t="s">
        <v>55</v>
      </c>
      <c r="L5235" s="60" t="s">
        <v>144</v>
      </c>
    </row>
    <row r="5237" spans="1:12" x14ac:dyDescent="0.3">
      <c r="A5237" s="72" t="s">
        <v>1676</v>
      </c>
      <c r="B5237" s="55" t="s">
        <v>10</v>
      </c>
      <c r="C5237" s="67" t="s">
        <v>47</v>
      </c>
      <c r="D5237" s="55" t="s">
        <v>50</v>
      </c>
      <c r="E5237" s="19">
        <v>228.25</v>
      </c>
      <c r="F5237" s="19">
        <v>6.5</v>
      </c>
      <c r="G5237" s="55" t="s">
        <v>11</v>
      </c>
      <c r="H5237" s="74">
        <v>10</v>
      </c>
      <c r="K5237" s="55" t="s">
        <v>25</v>
      </c>
    </row>
    <row r="5238" spans="1:12" x14ac:dyDescent="0.3">
      <c r="H5238" s="74">
        <v>10</v>
      </c>
      <c r="K5238" s="55" t="s">
        <v>84</v>
      </c>
    </row>
    <row r="5239" spans="1:12" x14ac:dyDescent="0.3">
      <c r="H5239" s="74">
        <v>60</v>
      </c>
      <c r="K5239" s="55" t="s">
        <v>96</v>
      </c>
    </row>
    <row r="5240" spans="1:12" x14ac:dyDescent="0.3">
      <c r="H5240" s="74">
        <v>60</v>
      </c>
      <c r="K5240" s="55" t="s">
        <v>32</v>
      </c>
      <c r="L5240" s="60" t="s">
        <v>494</v>
      </c>
    </row>
    <row r="5241" spans="1:12" x14ac:dyDescent="0.3">
      <c r="H5241" s="74">
        <v>30</v>
      </c>
      <c r="K5241" s="55" t="s">
        <v>30</v>
      </c>
      <c r="L5241" s="60" t="s">
        <v>300</v>
      </c>
    </row>
    <row r="5242" spans="1:12" x14ac:dyDescent="0.3">
      <c r="H5242" s="74">
        <v>20</v>
      </c>
      <c r="K5242" s="55" t="s">
        <v>102</v>
      </c>
    </row>
    <row r="5243" spans="1:12" x14ac:dyDescent="0.3">
      <c r="H5243" s="74">
        <v>30</v>
      </c>
      <c r="K5243" s="55" t="s">
        <v>55</v>
      </c>
      <c r="L5243" s="60" t="s">
        <v>724</v>
      </c>
    </row>
    <row r="5244" spans="1:12" x14ac:dyDescent="0.3">
      <c r="H5244" s="74">
        <v>120</v>
      </c>
      <c r="K5244" s="55" t="s">
        <v>33</v>
      </c>
      <c r="L5244" s="60" t="s">
        <v>1679</v>
      </c>
    </row>
    <row r="5245" spans="1:12" x14ac:dyDescent="0.3">
      <c r="H5245" s="74">
        <v>60</v>
      </c>
      <c r="K5245" s="55" t="s">
        <v>55</v>
      </c>
      <c r="L5245" s="60" t="s">
        <v>1680</v>
      </c>
    </row>
    <row r="5247" spans="1:12" x14ac:dyDescent="0.3">
      <c r="A5247" s="72" t="s">
        <v>1676</v>
      </c>
      <c r="B5247" s="55" t="s">
        <v>12</v>
      </c>
      <c r="C5247" s="67" t="s">
        <v>188</v>
      </c>
      <c r="D5247" s="55" t="s">
        <v>51</v>
      </c>
      <c r="E5247" s="19">
        <v>216.9</v>
      </c>
      <c r="F5247" s="19">
        <v>8</v>
      </c>
      <c r="G5247" s="55" t="s">
        <v>11</v>
      </c>
      <c r="H5247" s="74">
        <v>10</v>
      </c>
      <c r="K5247" s="55" t="s">
        <v>25</v>
      </c>
    </row>
    <row r="5248" spans="1:12" x14ac:dyDescent="0.3">
      <c r="H5248" s="74">
        <v>10</v>
      </c>
      <c r="K5248" s="55" t="s">
        <v>84</v>
      </c>
    </row>
    <row r="5249" spans="1:12" x14ac:dyDescent="0.3">
      <c r="H5249" s="74">
        <v>80</v>
      </c>
      <c r="K5249" s="55" t="s">
        <v>96</v>
      </c>
    </row>
    <row r="5250" spans="1:12" x14ac:dyDescent="0.3">
      <c r="H5250" s="74">
        <v>60</v>
      </c>
      <c r="K5250" s="55" t="s">
        <v>32</v>
      </c>
      <c r="L5250" s="60" t="s">
        <v>1681</v>
      </c>
    </row>
    <row r="5251" spans="1:12" x14ac:dyDescent="0.3">
      <c r="H5251" s="74">
        <v>40</v>
      </c>
      <c r="K5251" s="55" t="s">
        <v>32</v>
      </c>
      <c r="L5251" s="60" t="s">
        <v>1682</v>
      </c>
    </row>
    <row r="5252" spans="1:12" x14ac:dyDescent="0.3">
      <c r="H5252" s="74">
        <v>60</v>
      </c>
      <c r="K5252" s="55" t="s">
        <v>33</v>
      </c>
      <c r="L5252" s="60" t="s">
        <v>19</v>
      </c>
    </row>
    <row r="5253" spans="1:12" x14ac:dyDescent="0.3">
      <c r="H5253" s="74">
        <v>20</v>
      </c>
      <c r="K5253" s="55" t="s">
        <v>30</v>
      </c>
    </row>
    <row r="5254" spans="1:12" x14ac:dyDescent="0.3">
      <c r="H5254" s="74">
        <v>20</v>
      </c>
      <c r="K5254" s="55" t="s">
        <v>34</v>
      </c>
      <c r="L5254" s="60" t="s">
        <v>149</v>
      </c>
    </row>
    <row r="5255" spans="1:12" x14ac:dyDescent="0.3">
      <c r="H5255" s="74">
        <v>30</v>
      </c>
      <c r="K5255" s="55" t="s">
        <v>34</v>
      </c>
      <c r="L5255" s="60" t="s">
        <v>302</v>
      </c>
    </row>
    <row r="5257" spans="1:12" x14ac:dyDescent="0.3">
      <c r="A5257" s="72" t="s">
        <v>1683</v>
      </c>
      <c r="B5257" s="55" t="s">
        <v>0</v>
      </c>
      <c r="C5257" s="67" t="s">
        <v>46</v>
      </c>
      <c r="D5257" s="55" t="s">
        <v>52</v>
      </c>
      <c r="E5257" s="19">
        <v>297.63</v>
      </c>
      <c r="F5257" s="19">
        <v>10</v>
      </c>
      <c r="G5257" s="55" t="s">
        <v>11</v>
      </c>
      <c r="H5257" s="74">
        <v>10</v>
      </c>
      <c r="K5257" s="55" t="s">
        <v>25</v>
      </c>
    </row>
    <row r="5258" spans="1:12" x14ac:dyDescent="0.3">
      <c r="H5258" s="74">
        <v>10</v>
      </c>
      <c r="K5258" s="55" t="s">
        <v>84</v>
      </c>
    </row>
    <row r="5259" spans="1:12" x14ac:dyDescent="0.3">
      <c r="H5259" s="74">
        <v>130</v>
      </c>
      <c r="K5259" s="55" t="s">
        <v>96</v>
      </c>
    </row>
    <row r="5260" spans="1:12" x14ac:dyDescent="0.3">
      <c r="H5260" s="74">
        <v>20</v>
      </c>
      <c r="K5260" s="55" t="s">
        <v>102</v>
      </c>
    </row>
    <row r="5261" spans="1:12" x14ac:dyDescent="0.3">
      <c r="H5261" s="74">
        <v>30</v>
      </c>
      <c r="K5261" s="55" t="s">
        <v>32</v>
      </c>
      <c r="L5261" s="60" t="s">
        <v>396</v>
      </c>
    </row>
    <row r="5262" spans="1:12" x14ac:dyDescent="0.3">
      <c r="H5262" s="74">
        <v>30</v>
      </c>
      <c r="K5262" s="55" t="s">
        <v>34</v>
      </c>
      <c r="L5262" s="60" t="s">
        <v>302</v>
      </c>
    </row>
    <row r="5263" spans="1:12" x14ac:dyDescent="0.3">
      <c r="H5263" s="74">
        <v>30</v>
      </c>
      <c r="K5263" s="55" t="s">
        <v>32</v>
      </c>
      <c r="L5263" s="60" t="s">
        <v>1189</v>
      </c>
    </row>
    <row r="5264" spans="1:12" x14ac:dyDescent="0.3">
      <c r="H5264" s="74">
        <v>30</v>
      </c>
      <c r="K5264" s="55" t="s">
        <v>34</v>
      </c>
      <c r="L5264" s="60" t="s">
        <v>149</v>
      </c>
    </row>
    <row r="5265" spans="1:12" x14ac:dyDescent="0.3">
      <c r="H5265" s="74">
        <v>45</v>
      </c>
      <c r="K5265" s="55" t="s">
        <v>30</v>
      </c>
      <c r="L5265" s="60" t="s">
        <v>1684</v>
      </c>
    </row>
    <row r="5267" spans="1:12" x14ac:dyDescent="0.3">
      <c r="A5267" s="72" t="s">
        <v>1683</v>
      </c>
      <c r="B5267" s="55" t="s">
        <v>10</v>
      </c>
      <c r="C5267" s="67" t="s">
        <v>47</v>
      </c>
      <c r="D5267" s="55" t="s">
        <v>50</v>
      </c>
      <c r="E5267" s="19">
        <v>314.89</v>
      </c>
      <c r="F5267" s="19">
        <v>11</v>
      </c>
      <c r="G5267" s="55" t="s">
        <v>11</v>
      </c>
      <c r="H5267" s="74">
        <v>10</v>
      </c>
      <c r="K5267" s="55" t="s">
        <v>25</v>
      </c>
    </row>
    <row r="5268" spans="1:12" x14ac:dyDescent="0.3">
      <c r="H5268" s="74">
        <v>10</v>
      </c>
      <c r="K5268" s="55" t="s">
        <v>84</v>
      </c>
    </row>
    <row r="5269" spans="1:12" x14ac:dyDescent="0.3">
      <c r="H5269" s="74">
        <v>110</v>
      </c>
      <c r="K5269" s="55" t="s">
        <v>96</v>
      </c>
    </row>
    <row r="5270" spans="1:12" x14ac:dyDescent="0.3">
      <c r="H5270" s="74">
        <v>20</v>
      </c>
      <c r="K5270" s="55" t="s">
        <v>102</v>
      </c>
    </row>
    <row r="5271" spans="1:12" x14ac:dyDescent="0.3">
      <c r="H5271" s="74">
        <v>40</v>
      </c>
      <c r="K5271" s="55" t="s">
        <v>34</v>
      </c>
      <c r="L5271" s="60" t="s">
        <v>302</v>
      </c>
    </row>
    <row r="5272" spans="1:12" x14ac:dyDescent="0.3">
      <c r="H5272" s="74">
        <v>20</v>
      </c>
      <c r="K5272" s="55" t="s">
        <v>34</v>
      </c>
      <c r="L5272" s="60" t="s">
        <v>147</v>
      </c>
    </row>
    <row r="5273" spans="1:12" x14ac:dyDescent="0.3">
      <c r="H5273" s="74">
        <v>60</v>
      </c>
      <c r="K5273" s="55" t="s">
        <v>32</v>
      </c>
      <c r="L5273" s="60" t="s">
        <v>1685</v>
      </c>
    </row>
    <row r="5274" spans="1:12" x14ac:dyDescent="0.3">
      <c r="H5274" s="74">
        <v>30</v>
      </c>
      <c r="K5274" s="55" t="s">
        <v>34</v>
      </c>
      <c r="L5274" s="60" t="s">
        <v>149</v>
      </c>
    </row>
    <row r="5275" spans="1:12" x14ac:dyDescent="0.3">
      <c r="H5275" s="74">
        <v>30</v>
      </c>
      <c r="K5275" s="55" t="s">
        <v>30</v>
      </c>
      <c r="L5275" s="60" t="s">
        <v>1684</v>
      </c>
    </row>
    <row r="5277" spans="1:12" x14ac:dyDescent="0.3">
      <c r="A5277" s="72" t="s">
        <v>1683</v>
      </c>
      <c r="B5277" s="55" t="s">
        <v>12</v>
      </c>
      <c r="C5277" s="67" t="s">
        <v>188</v>
      </c>
      <c r="D5277" s="55" t="s">
        <v>51</v>
      </c>
      <c r="E5277" s="19">
        <v>230.05</v>
      </c>
      <c r="F5277" s="19">
        <v>8</v>
      </c>
      <c r="G5277" s="55" t="s">
        <v>11</v>
      </c>
      <c r="H5277" s="74">
        <v>10</v>
      </c>
      <c r="K5277" s="55" t="s">
        <v>25</v>
      </c>
    </row>
    <row r="5278" spans="1:12" x14ac:dyDescent="0.3">
      <c r="H5278" s="74">
        <v>10</v>
      </c>
      <c r="K5278" s="55" t="s">
        <v>84</v>
      </c>
    </row>
    <row r="5279" spans="1:12" x14ac:dyDescent="0.3">
      <c r="H5279" s="74">
        <v>80</v>
      </c>
      <c r="K5279" s="55" t="s">
        <v>96</v>
      </c>
    </row>
    <row r="5280" spans="1:12" x14ac:dyDescent="0.3">
      <c r="H5280" s="74">
        <v>90</v>
      </c>
      <c r="K5280" s="55" t="s">
        <v>32</v>
      </c>
      <c r="L5280" s="60" t="s">
        <v>361</v>
      </c>
    </row>
    <row r="5281" spans="1:12" x14ac:dyDescent="0.3">
      <c r="H5281" s="74">
        <v>30</v>
      </c>
      <c r="K5281" s="55" t="s">
        <v>32</v>
      </c>
      <c r="L5281" s="60" t="s">
        <v>1686</v>
      </c>
    </row>
    <row r="5282" spans="1:12" x14ac:dyDescent="0.3">
      <c r="H5282" s="74">
        <v>20</v>
      </c>
      <c r="K5282" s="55" t="s">
        <v>30</v>
      </c>
    </row>
    <row r="5283" spans="1:12" x14ac:dyDescent="0.3">
      <c r="H5283" s="74">
        <v>20</v>
      </c>
      <c r="K5283" s="55" t="s">
        <v>32</v>
      </c>
      <c r="L5283" s="60" t="s">
        <v>1687</v>
      </c>
    </row>
    <row r="5284" spans="1:12" x14ac:dyDescent="0.3">
      <c r="H5284" s="74">
        <v>30</v>
      </c>
      <c r="K5284" s="55" t="s">
        <v>34</v>
      </c>
      <c r="L5284" s="60" t="s">
        <v>149</v>
      </c>
    </row>
    <row r="5285" spans="1:12" x14ac:dyDescent="0.3">
      <c r="H5285" s="74">
        <v>30</v>
      </c>
      <c r="K5285" s="55" t="s">
        <v>34</v>
      </c>
      <c r="L5285" s="60" t="s">
        <v>254</v>
      </c>
    </row>
    <row r="5286" spans="1:12" x14ac:dyDescent="0.3">
      <c r="H5286" s="74">
        <v>20</v>
      </c>
      <c r="K5286" s="55" t="s">
        <v>102</v>
      </c>
    </row>
    <row r="5287" spans="1:12" x14ac:dyDescent="0.3">
      <c r="H5287" s="74">
        <v>10</v>
      </c>
      <c r="K5287" s="55" t="s">
        <v>33</v>
      </c>
      <c r="L5287" s="60" t="s">
        <v>17</v>
      </c>
    </row>
    <row r="5290" spans="1:12" x14ac:dyDescent="0.3">
      <c r="A5290" s="72" t="s">
        <v>1688</v>
      </c>
      <c r="B5290" s="55" t="s">
        <v>0</v>
      </c>
      <c r="C5290" s="67" t="s">
        <v>46</v>
      </c>
      <c r="D5290" s="55" t="s">
        <v>52</v>
      </c>
      <c r="E5290" s="19">
        <v>118.27</v>
      </c>
      <c r="F5290" s="19">
        <v>4</v>
      </c>
      <c r="G5290" s="55" t="s">
        <v>11</v>
      </c>
      <c r="H5290" s="74">
        <v>10</v>
      </c>
      <c r="K5290" s="55" t="s">
        <v>25</v>
      </c>
    </row>
    <row r="5291" spans="1:12" x14ac:dyDescent="0.3">
      <c r="H5291" s="74">
        <v>10</v>
      </c>
      <c r="K5291" s="55" t="s">
        <v>84</v>
      </c>
    </row>
    <row r="5292" spans="1:12" x14ac:dyDescent="0.3">
      <c r="H5292" s="74">
        <v>60</v>
      </c>
      <c r="K5292" s="55" t="s">
        <v>96</v>
      </c>
    </row>
    <row r="5293" spans="1:12" x14ac:dyDescent="0.3">
      <c r="H5293" s="74">
        <v>20</v>
      </c>
      <c r="K5293" s="55" t="s">
        <v>102</v>
      </c>
    </row>
    <row r="5294" spans="1:12" x14ac:dyDescent="0.3">
      <c r="H5294" s="74">
        <v>50</v>
      </c>
      <c r="K5294" s="55" t="s">
        <v>32</v>
      </c>
      <c r="L5294" s="60" t="s">
        <v>1690</v>
      </c>
    </row>
    <row r="5295" spans="1:12" x14ac:dyDescent="0.3">
      <c r="H5295" s="74">
        <v>30</v>
      </c>
      <c r="K5295" s="55" t="s">
        <v>34</v>
      </c>
      <c r="L5295" s="60" t="s">
        <v>302</v>
      </c>
    </row>
    <row r="5296" spans="1:12" x14ac:dyDescent="0.3">
      <c r="H5296" s="74">
        <v>40</v>
      </c>
      <c r="K5296" s="55" t="s">
        <v>32</v>
      </c>
      <c r="L5296" s="60" t="s">
        <v>1189</v>
      </c>
    </row>
    <row r="5297" spans="1:12" x14ac:dyDescent="0.3">
      <c r="H5297" s="74">
        <v>30</v>
      </c>
      <c r="K5297" s="55" t="s">
        <v>34</v>
      </c>
      <c r="L5297" s="60" t="s">
        <v>149</v>
      </c>
    </row>
    <row r="5298" spans="1:12" x14ac:dyDescent="0.3">
      <c r="H5298" s="74">
        <v>40</v>
      </c>
      <c r="K5298" s="55" t="s">
        <v>30</v>
      </c>
      <c r="L5298" s="60" t="s">
        <v>1689</v>
      </c>
    </row>
    <row r="5299" spans="1:12" x14ac:dyDescent="0.3">
      <c r="H5299" s="74">
        <v>130</v>
      </c>
      <c r="K5299" s="55" t="s">
        <v>33</v>
      </c>
      <c r="L5299" s="60" t="s">
        <v>1691</v>
      </c>
    </row>
    <row r="5301" spans="1:12" x14ac:dyDescent="0.3">
      <c r="A5301" s="72" t="s">
        <v>1688</v>
      </c>
      <c r="B5301" s="55" t="s">
        <v>10</v>
      </c>
      <c r="C5301" s="67" t="s">
        <v>47</v>
      </c>
      <c r="D5301" s="55" t="s">
        <v>50</v>
      </c>
      <c r="G5301" s="55" t="s">
        <v>11</v>
      </c>
      <c r="H5301" s="74">
        <v>480</v>
      </c>
      <c r="K5301" s="55" t="s">
        <v>33</v>
      </c>
      <c r="L5301" s="60" t="s">
        <v>1692</v>
      </c>
    </row>
    <row r="5303" spans="1:12" x14ac:dyDescent="0.3">
      <c r="A5303" s="72" t="s">
        <v>1688</v>
      </c>
      <c r="B5303" s="55" t="s">
        <v>12</v>
      </c>
      <c r="C5303" s="67" t="s">
        <v>188</v>
      </c>
      <c r="D5303" s="55" t="s">
        <v>51</v>
      </c>
      <c r="E5303" s="19">
        <v>60.45</v>
      </c>
      <c r="F5303" s="19">
        <v>2</v>
      </c>
      <c r="G5303" s="55" t="s">
        <v>11</v>
      </c>
      <c r="H5303" s="74">
        <v>310</v>
      </c>
      <c r="K5303" s="55" t="s">
        <v>33</v>
      </c>
    </row>
    <row r="5304" spans="1:12" x14ac:dyDescent="0.3">
      <c r="H5304" s="74">
        <v>30</v>
      </c>
      <c r="K5304" s="55" t="s">
        <v>96</v>
      </c>
    </row>
    <row r="5305" spans="1:12" x14ac:dyDescent="0.3">
      <c r="H5305" s="74">
        <v>40</v>
      </c>
      <c r="K5305" s="55" t="s">
        <v>32</v>
      </c>
    </row>
    <row r="5306" spans="1:12" x14ac:dyDescent="0.3">
      <c r="H5306" s="74">
        <v>20</v>
      </c>
      <c r="K5306" s="55" t="s">
        <v>34</v>
      </c>
      <c r="L5306" s="60" t="s">
        <v>149</v>
      </c>
    </row>
    <row r="5307" spans="1:12" x14ac:dyDescent="0.3">
      <c r="H5307" s="74">
        <v>20</v>
      </c>
      <c r="K5307" s="55" t="s">
        <v>34</v>
      </c>
      <c r="L5307" s="60" t="s">
        <v>254</v>
      </c>
    </row>
    <row r="5308" spans="1:12" x14ac:dyDescent="0.3">
      <c r="H5308" s="74">
        <v>25</v>
      </c>
      <c r="K5308" s="55" t="s">
        <v>33</v>
      </c>
      <c r="L5308" s="60" t="s">
        <v>910</v>
      </c>
    </row>
    <row r="5310" spans="1:12" x14ac:dyDescent="0.3">
      <c r="A5310" s="72" t="s">
        <v>1693</v>
      </c>
      <c r="B5310" s="55" t="s">
        <v>0</v>
      </c>
      <c r="C5310" s="67" t="s">
        <v>46</v>
      </c>
      <c r="D5310" s="55" t="s">
        <v>52</v>
      </c>
      <c r="E5310" s="19">
        <v>0</v>
      </c>
      <c r="F5310" s="19">
        <v>0</v>
      </c>
      <c r="G5310" s="55" t="s">
        <v>11</v>
      </c>
      <c r="H5310" s="74">
        <v>480</v>
      </c>
      <c r="K5310" s="55" t="s">
        <v>33</v>
      </c>
      <c r="L5310" s="60" t="s">
        <v>1692</v>
      </c>
    </row>
    <row r="5312" spans="1:12" x14ac:dyDescent="0.3">
      <c r="A5312" s="72" t="s">
        <v>1693</v>
      </c>
      <c r="B5312" s="55" t="s">
        <v>10</v>
      </c>
      <c r="C5312" s="67" t="s">
        <v>47</v>
      </c>
      <c r="D5312" s="55" t="s">
        <v>50</v>
      </c>
      <c r="E5312" s="19">
        <v>26.23</v>
      </c>
      <c r="F5312" s="19">
        <v>1</v>
      </c>
      <c r="G5312" s="55" t="s">
        <v>11</v>
      </c>
      <c r="H5312" s="74">
        <v>350</v>
      </c>
      <c r="K5312" s="55" t="s">
        <v>33</v>
      </c>
    </row>
    <row r="5313" spans="1:12" x14ac:dyDescent="0.3">
      <c r="H5313" s="74">
        <v>60</v>
      </c>
      <c r="K5313" s="55" t="s">
        <v>32</v>
      </c>
      <c r="L5313" s="60" t="s">
        <v>1694</v>
      </c>
    </row>
    <row r="5314" spans="1:12" x14ac:dyDescent="0.3">
      <c r="H5314" s="74">
        <v>20</v>
      </c>
      <c r="K5314" s="55" t="s">
        <v>34</v>
      </c>
      <c r="L5314" s="60" t="s">
        <v>149</v>
      </c>
    </row>
    <row r="5315" spans="1:12" x14ac:dyDescent="0.3">
      <c r="H5315" s="74">
        <v>20</v>
      </c>
      <c r="K5315" s="55" t="s">
        <v>96</v>
      </c>
    </row>
    <row r="5317" spans="1:12" x14ac:dyDescent="0.3">
      <c r="A5317" s="72" t="s">
        <v>1693</v>
      </c>
      <c r="B5317" s="55" t="s">
        <v>12</v>
      </c>
      <c r="C5317" s="67" t="s">
        <v>48</v>
      </c>
      <c r="D5317" s="55" t="s">
        <v>51</v>
      </c>
      <c r="E5317" s="19">
        <v>155.65</v>
      </c>
      <c r="F5317" s="19">
        <v>5</v>
      </c>
      <c r="G5317" s="55" t="s">
        <v>11</v>
      </c>
      <c r="H5317" s="74">
        <v>10</v>
      </c>
      <c r="K5317" s="55" t="s">
        <v>25</v>
      </c>
    </row>
    <row r="5318" spans="1:12" x14ac:dyDescent="0.3">
      <c r="H5318" s="74">
        <v>10</v>
      </c>
      <c r="K5318" s="55" t="s">
        <v>84</v>
      </c>
    </row>
    <row r="5319" spans="1:12" x14ac:dyDescent="0.3">
      <c r="H5319" s="74">
        <v>50</v>
      </c>
      <c r="K5319" s="55" t="s">
        <v>96</v>
      </c>
    </row>
    <row r="5320" spans="1:12" x14ac:dyDescent="0.3">
      <c r="H5320" s="74">
        <v>20</v>
      </c>
      <c r="K5320" s="55" t="s">
        <v>102</v>
      </c>
    </row>
    <row r="5321" spans="1:12" x14ac:dyDescent="0.3">
      <c r="H5321" s="74">
        <v>90</v>
      </c>
      <c r="K5321" s="55" t="s">
        <v>32</v>
      </c>
      <c r="L5321" s="60" t="s">
        <v>474</v>
      </c>
    </row>
    <row r="5322" spans="1:12" x14ac:dyDescent="0.3">
      <c r="H5322" s="74">
        <v>40</v>
      </c>
      <c r="K5322" s="55" t="s">
        <v>32</v>
      </c>
      <c r="L5322" s="60" t="s">
        <v>1695</v>
      </c>
    </row>
    <row r="5323" spans="1:12" x14ac:dyDescent="0.3">
      <c r="H5323" s="74">
        <v>30</v>
      </c>
      <c r="K5323" s="55" t="s">
        <v>34</v>
      </c>
      <c r="L5323" s="60" t="s">
        <v>149</v>
      </c>
    </row>
    <row r="5324" spans="1:12" x14ac:dyDescent="0.3">
      <c r="H5324" s="74">
        <v>20</v>
      </c>
      <c r="K5324" s="55" t="s">
        <v>32</v>
      </c>
      <c r="L5324" s="60" t="s">
        <v>419</v>
      </c>
    </row>
    <row r="5325" spans="1:12" x14ac:dyDescent="0.3">
      <c r="H5325" s="74">
        <v>30</v>
      </c>
      <c r="K5325" s="55" t="s">
        <v>34</v>
      </c>
      <c r="L5325" s="60" t="s">
        <v>323</v>
      </c>
    </row>
    <row r="5326" spans="1:12" x14ac:dyDescent="0.3">
      <c r="H5326" s="74">
        <v>20</v>
      </c>
      <c r="K5326" s="55" t="s">
        <v>30</v>
      </c>
      <c r="L5326" s="60" t="s">
        <v>136</v>
      </c>
    </row>
    <row r="5327" spans="1:12" x14ac:dyDescent="0.3">
      <c r="H5327" s="74">
        <v>90</v>
      </c>
      <c r="K5327" s="55" t="s">
        <v>32</v>
      </c>
      <c r="L5327" s="60" t="s">
        <v>283</v>
      </c>
    </row>
    <row r="5329" spans="1:13" x14ac:dyDescent="0.3">
      <c r="A5329" s="72" t="s">
        <v>1696</v>
      </c>
      <c r="B5329" s="55" t="s">
        <v>0</v>
      </c>
      <c r="C5329" s="67" t="s">
        <v>46</v>
      </c>
      <c r="D5329" s="55" t="s">
        <v>50</v>
      </c>
      <c r="F5329" s="19" t="s">
        <v>1698</v>
      </c>
      <c r="G5329" s="55" t="s">
        <v>11</v>
      </c>
      <c r="H5329" s="74">
        <v>10</v>
      </c>
      <c r="K5329" s="55" t="s">
        <v>25</v>
      </c>
    </row>
    <row r="5330" spans="1:13" x14ac:dyDescent="0.3">
      <c r="H5330" s="74">
        <v>10</v>
      </c>
      <c r="K5330" s="55" t="s">
        <v>84</v>
      </c>
    </row>
    <row r="5331" spans="1:13" x14ac:dyDescent="0.3">
      <c r="H5331" s="74">
        <v>60</v>
      </c>
      <c r="K5331" s="55" t="s">
        <v>96</v>
      </c>
    </row>
    <row r="5332" spans="1:13" x14ac:dyDescent="0.3">
      <c r="H5332" s="74">
        <v>20</v>
      </c>
      <c r="K5332" s="55" t="s">
        <v>102</v>
      </c>
    </row>
    <row r="5333" spans="1:13" x14ac:dyDescent="0.3">
      <c r="H5333" s="74">
        <v>40</v>
      </c>
      <c r="K5333" s="55" t="s">
        <v>55</v>
      </c>
      <c r="L5333" s="60" t="s">
        <v>123</v>
      </c>
    </row>
    <row r="5334" spans="1:13" x14ac:dyDescent="0.3">
      <c r="H5334" s="74">
        <v>60</v>
      </c>
      <c r="K5334" s="55" t="s">
        <v>32</v>
      </c>
    </row>
    <row r="5335" spans="1:13" x14ac:dyDescent="0.3">
      <c r="H5335" s="74">
        <v>90</v>
      </c>
      <c r="K5335" s="55" t="s">
        <v>55</v>
      </c>
      <c r="L5335" s="60" t="s">
        <v>1697</v>
      </c>
      <c r="M5335" s="1" t="s">
        <v>229</v>
      </c>
    </row>
    <row r="5336" spans="1:13" x14ac:dyDescent="0.3">
      <c r="H5336" s="74">
        <v>80</v>
      </c>
      <c r="K5336" s="55" t="s">
        <v>15</v>
      </c>
      <c r="L5336" s="60" t="s">
        <v>1699</v>
      </c>
    </row>
    <row r="5338" spans="1:13" x14ac:dyDescent="0.3">
      <c r="A5338" s="72" t="s">
        <v>1696</v>
      </c>
      <c r="B5338" s="55" t="s">
        <v>10</v>
      </c>
      <c r="C5338" s="67" t="s">
        <v>188</v>
      </c>
      <c r="D5338" s="55" t="s">
        <v>51</v>
      </c>
      <c r="E5338" s="19">
        <v>32.979999999999997</v>
      </c>
      <c r="F5338" s="19" t="s">
        <v>1701</v>
      </c>
      <c r="G5338" s="55" t="s">
        <v>11</v>
      </c>
      <c r="H5338" s="74">
        <v>10</v>
      </c>
      <c r="K5338" s="55" t="s">
        <v>25</v>
      </c>
    </row>
    <row r="5339" spans="1:13" x14ac:dyDescent="0.3">
      <c r="H5339" s="74">
        <v>10</v>
      </c>
      <c r="K5339" s="55" t="s">
        <v>84</v>
      </c>
    </row>
    <row r="5340" spans="1:13" x14ac:dyDescent="0.3">
      <c r="H5340" s="74">
        <v>10</v>
      </c>
      <c r="K5340" s="55" t="s">
        <v>96</v>
      </c>
    </row>
    <row r="5341" spans="1:13" x14ac:dyDescent="0.3">
      <c r="H5341" s="74">
        <v>280</v>
      </c>
      <c r="K5341" s="55" t="s">
        <v>34</v>
      </c>
      <c r="L5341" s="60" t="s">
        <v>135</v>
      </c>
    </row>
    <row r="5342" spans="1:13" x14ac:dyDescent="0.3">
      <c r="H5342" s="74">
        <v>50</v>
      </c>
      <c r="K5342" s="55" t="s">
        <v>32</v>
      </c>
      <c r="L5342" s="60" t="s">
        <v>1253</v>
      </c>
    </row>
    <row r="5343" spans="1:13" x14ac:dyDescent="0.3">
      <c r="H5343" s="74">
        <v>30</v>
      </c>
      <c r="K5343" s="55" t="s">
        <v>34</v>
      </c>
      <c r="L5343" s="60" t="s">
        <v>794</v>
      </c>
    </row>
    <row r="5344" spans="1:13" x14ac:dyDescent="0.3">
      <c r="H5344" s="74">
        <v>20</v>
      </c>
      <c r="K5344" s="55" t="s">
        <v>30</v>
      </c>
      <c r="L5344" s="60" t="s">
        <v>300</v>
      </c>
    </row>
    <row r="5345" spans="1:12" x14ac:dyDescent="0.3">
      <c r="H5345" s="74">
        <v>20</v>
      </c>
      <c r="K5345" s="55" t="s">
        <v>34</v>
      </c>
      <c r="L5345" s="60" t="s">
        <v>149</v>
      </c>
    </row>
    <row r="5346" spans="1:12" x14ac:dyDescent="0.3">
      <c r="H5346" s="74">
        <v>30</v>
      </c>
      <c r="K5346" s="55" t="s">
        <v>55</v>
      </c>
      <c r="L5346" s="60" t="s">
        <v>1700</v>
      </c>
    </row>
    <row r="5348" spans="1:12" x14ac:dyDescent="0.3">
      <c r="A5348" s="72" t="s">
        <v>1696</v>
      </c>
      <c r="B5348" s="55" t="s">
        <v>12</v>
      </c>
      <c r="C5348" s="67" t="s">
        <v>48</v>
      </c>
      <c r="D5348" s="55" t="s">
        <v>52</v>
      </c>
      <c r="E5348" s="19">
        <v>231.76</v>
      </c>
      <c r="F5348" s="19">
        <v>7</v>
      </c>
      <c r="G5348" s="55" t="s">
        <v>11</v>
      </c>
      <c r="H5348" s="74">
        <v>10</v>
      </c>
      <c r="K5348" s="55" t="s">
        <v>25</v>
      </c>
    </row>
    <row r="5349" spans="1:12" x14ac:dyDescent="0.3">
      <c r="H5349" s="74">
        <v>10</v>
      </c>
      <c r="K5349" s="55" t="s">
        <v>84</v>
      </c>
    </row>
    <row r="5350" spans="1:12" x14ac:dyDescent="0.3">
      <c r="H5350" s="74">
        <v>60</v>
      </c>
      <c r="K5350" s="55" t="s">
        <v>96</v>
      </c>
    </row>
    <row r="5351" spans="1:12" x14ac:dyDescent="0.3">
      <c r="H5351" s="74">
        <v>20</v>
      </c>
      <c r="K5351" s="55" t="s">
        <v>102</v>
      </c>
    </row>
    <row r="5352" spans="1:12" x14ac:dyDescent="0.3">
      <c r="H5352" s="74">
        <v>60</v>
      </c>
      <c r="K5352" s="55" t="s">
        <v>33</v>
      </c>
      <c r="L5352" s="60" t="s">
        <v>1703</v>
      </c>
    </row>
    <row r="5353" spans="1:12" x14ac:dyDescent="0.3">
      <c r="H5353" s="74">
        <v>20</v>
      </c>
      <c r="K5353" s="55" t="s">
        <v>33</v>
      </c>
      <c r="L5353" s="60" t="s">
        <v>757</v>
      </c>
    </row>
    <row r="5354" spans="1:12" x14ac:dyDescent="0.3">
      <c r="H5354" s="74">
        <v>50</v>
      </c>
      <c r="K5354" s="55" t="s">
        <v>32</v>
      </c>
      <c r="L5354" s="60" t="s">
        <v>766</v>
      </c>
    </row>
    <row r="5355" spans="1:12" x14ac:dyDescent="0.3">
      <c r="H5355" s="74">
        <v>30</v>
      </c>
      <c r="K5355" s="55" t="s">
        <v>34</v>
      </c>
      <c r="L5355" s="60" t="s">
        <v>149</v>
      </c>
    </row>
    <row r="5356" spans="1:12" x14ac:dyDescent="0.3">
      <c r="H5356" s="74">
        <v>25</v>
      </c>
      <c r="K5356" s="55" t="s">
        <v>34</v>
      </c>
      <c r="L5356" s="60" t="s">
        <v>323</v>
      </c>
    </row>
    <row r="5357" spans="1:12" x14ac:dyDescent="0.3">
      <c r="H5357" s="74">
        <v>30</v>
      </c>
      <c r="K5357" s="55" t="s">
        <v>55</v>
      </c>
      <c r="L5357" s="60" t="s">
        <v>1542</v>
      </c>
    </row>
    <row r="5358" spans="1:12" x14ac:dyDescent="0.3">
      <c r="H5358" s="74">
        <v>45</v>
      </c>
      <c r="K5358" s="55" t="s">
        <v>30</v>
      </c>
      <c r="L5358" s="60" t="s">
        <v>1177</v>
      </c>
    </row>
    <row r="5359" spans="1:12" x14ac:dyDescent="0.3">
      <c r="H5359" s="74">
        <v>25</v>
      </c>
      <c r="K5359" s="55" t="s">
        <v>33</v>
      </c>
      <c r="L5359" s="60" t="s">
        <v>1702</v>
      </c>
    </row>
    <row r="5361" spans="1:12" x14ac:dyDescent="0.3">
      <c r="A5361" s="72" t="s">
        <v>1704</v>
      </c>
      <c r="B5361" s="55" t="s">
        <v>0</v>
      </c>
      <c r="C5361" s="67" t="s">
        <v>47</v>
      </c>
      <c r="D5361" s="55" t="s">
        <v>50</v>
      </c>
      <c r="E5361" s="19">
        <v>224.5</v>
      </c>
      <c r="F5361" s="19">
        <v>7</v>
      </c>
      <c r="G5361" s="55" t="s">
        <v>11</v>
      </c>
      <c r="H5361" s="74">
        <v>10</v>
      </c>
      <c r="K5361" s="55" t="s">
        <v>25</v>
      </c>
    </row>
    <row r="5362" spans="1:12" x14ac:dyDescent="0.3">
      <c r="H5362" s="74">
        <v>10</v>
      </c>
      <c r="K5362" s="55" t="s">
        <v>84</v>
      </c>
    </row>
    <row r="5363" spans="1:12" x14ac:dyDescent="0.3">
      <c r="H5363" s="74">
        <v>70</v>
      </c>
      <c r="K5363" s="55" t="s">
        <v>96</v>
      </c>
    </row>
    <row r="5364" spans="1:12" x14ac:dyDescent="0.3">
      <c r="H5364" s="74">
        <v>30</v>
      </c>
      <c r="K5364" s="55" t="s">
        <v>102</v>
      </c>
    </row>
    <row r="5365" spans="1:12" x14ac:dyDescent="0.3">
      <c r="H5365" s="74">
        <v>40</v>
      </c>
      <c r="K5365" s="55" t="s">
        <v>32</v>
      </c>
      <c r="L5365" s="60" t="s">
        <v>1705</v>
      </c>
    </row>
    <row r="5366" spans="1:12" x14ac:dyDescent="0.3">
      <c r="H5366" s="74">
        <v>30</v>
      </c>
      <c r="K5366" s="55" t="s">
        <v>32</v>
      </c>
      <c r="L5366" s="60" t="s">
        <v>460</v>
      </c>
    </row>
    <row r="5367" spans="1:12" x14ac:dyDescent="0.3">
      <c r="H5367" s="74">
        <v>90</v>
      </c>
      <c r="K5367" s="55" t="s">
        <v>55</v>
      </c>
      <c r="L5367" s="60" t="s">
        <v>1667</v>
      </c>
    </row>
    <row r="5368" spans="1:12" x14ac:dyDescent="0.3">
      <c r="H5368" s="74">
        <v>20</v>
      </c>
      <c r="K5368" s="55" t="s">
        <v>34</v>
      </c>
      <c r="L5368" s="60" t="s">
        <v>149</v>
      </c>
    </row>
    <row r="5369" spans="1:12" x14ac:dyDescent="0.3">
      <c r="H5369" s="74">
        <v>20</v>
      </c>
      <c r="K5369" s="55" t="s">
        <v>34</v>
      </c>
      <c r="L5369" s="60" t="s">
        <v>323</v>
      </c>
    </row>
    <row r="5371" spans="1:12" x14ac:dyDescent="0.3">
      <c r="A5371" s="72" t="s">
        <v>1704</v>
      </c>
      <c r="B5371" s="55" t="s">
        <v>10</v>
      </c>
      <c r="C5371" s="67" t="s">
        <v>188</v>
      </c>
      <c r="D5371" s="55" t="s">
        <v>51</v>
      </c>
      <c r="E5371" s="19">
        <v>160.57</v>
      </c>
      <c r="F5371" s="19">
        <v>5</v>
      </c>
      <c r="G5371" s="55" t="s">
        <v>11</v>
      </c>
      <c r="H5371" s="74">
        <v>10</v>
      </c>
      <c r="K5371" s="55" t="s">
        <v>25</v>
      </c>
    </row>
    <row r="5372" spans="1:12" x14ac:dyDescent="0.3">
      <c r="H5372" s="74">
        <v>10</v>
      </c>
      <c r="K5372" s="55" t="s">
        <v>84</v>
      </c>
    </row>
    <row r="5373" spans="1:12" x14ac:dyDescent="0.3">
      <c r="H5373" s="74">
        <v>60</v>
      </c>
      <c r="K5373" s="55" t="s">
        <v>96</v>
      </c>
    </row>
    <row r="5374" spans="1:12" x14ac:dyDescent="0.3">
      <c r="H5374" s="74">
        <v>15</v>
      </c>
      <c r="K5374" s="55" t="s">
        <v>33</v>
      </c>
      <c r="L5374" s="60" t="s">
        <v>1706</v>
      </c>
    </row>
    <row r="5375" spans="1:12" x14ac:dyDescent="0.3">
      <c r="H5375" s="74">
        <v>70</v>
      </c>
      <c r="K5375" s="55" t="s">
        <v>32</v>
      </c>
      <c r="L5375" s="60" t="s">
        <v>1708</v>
      </c>
    </row>
    <row r="5376" spans="1:12" x14ac:dyDescent="0.3">
      <c r="H5376" s="74">
        <v>30</v>
      </c>
      <c r="K5376" s="55" t="s">
        <v>34</v>
      </c>
      <c r="L5376" s="60" t="s">
        <v>323</v>
      </c>
    </row>
    <row r="5377" spans="1:12" x14ac:dyDescent="0.3">
      <c r="H5377" s="74">
        <v>40</v>
      </c>
      <c r="K5377" s="55" t="s">
        <v>30</v>
      </c>
      <c r="L5377" s="60" t="s">
        <v>1177</v>
      </c>
    </row>
    <row r="5378" spans="1:12" x14ac:dyDescent="0.3">
      <c r="H5378" s="74">
        <v>20</v>
      </c>
      <c r="K5378" s="55" t="s">
        <v>34</v>
      </c>
      <c r="L5378" s="60" t="s">
        <v>149</v>
      </c>
    </row>
    <row r="5379" spans="1:12" x14ac:dyDescent="0.3">
      <c r="H5379" s="74">
        <v>20</v>
      </c>
      <c r="K5379" s="55" t="s">
        <v>55</v>
      </c>
      <c r="L5379" s="60" t="s">
        <v>131</v>
      </c>
    </row>
    <row r="5380" spans="1:12" x14ac:dyDescent="0.3">
      <c r="H5380" s="74">
        <v>30</v>
      </c>
      <c r="K5380" s="55" t="s">
        <v>32</v>
      </c>
      <c r="L5380" s="60" t="s">
        <v>1573</v>
      </c>
    </row>
    <row r="5381" spans="1:12" x14ac:dyDescent="0.3">
      <c r="H5381" s="74">
        <v>65</v>
      </c>
      <c r="K5381" s="55" t="s">
        <v>33</v>
      </c>
      <c r="L5381" s="60" t="s">
        <v>1707</v>
      </c>
    </row>
    <row r="5383" spans="1:12" x14ac:dyDescent="0.3">
      <c r="A5383" s="72" t="s">
        <v>1704</v>
      </c>
      <c r="B5383" s="55" t="s">
        <v>12</v>
      </c>
      <c r="C5383" s="67" t="s">
        <v>48</v>
      </c>
      <c r="D5383" s="55" t="s">
        <v>52</v>
      </c>
      <c r="E5383" s="19">
        <v>214.47</v>
      </c>
      <c r="F5383" s="19">
        <v>7</v>
      </c>
      <c r="G5383" s="55" t="s">
        <v>11</v>
      </c>
      <c r="H5383" s="74">
        <v>10</v>
      </c>
      <c r="K5383" s="55" t="s">
        <v>25</v>
      </c>
    </row>
    <row r="5384" spans="1:12" x14ac:dyDescent="0.3">
      <c r="H5384" s="74">
        <v>10</v>
      </c>
      <c r="K5384" s="55" t="s">
        <v>84</v>
      </c>
    </row>
    <row r="5385" spans="1:12" x14ac:dyDescent="0.3">
      <c r="H5385" s="74">
        <v>70</v>
      </c>
      <c r="K5385" s="55" t="s">
        <v>96</v>
      </c>
    </row>
    <row r="5386" spans="1:12" x14ac:dyDescent="0.3">
      <c r="H5386" s="74">
        <v>50</v>
      </c>
      <c r="K5386" s="55" t="s">
        <v>32</v>
      </c>
      <c r="L5386" s="60" t="s">
        <v>1709</v>
      </c>
    </row>
    <row r="5387" spans="1:12" x14ac:dyDescent="0.3">
      <c r="H5387" s="74">
        <v>30</v>
      </c>
      <c r="K5387" s="55" t="s">
        <v>32</v>
      </c>
      <c r="L5387" s="60" t="s">
        <v>1710</v>
      </c>
    </row>
    <row r="5388" spans="1:12" x14ac:dyDescent="0.3">
      <c r="H5388" s="74">
        <v>40</v>
      </c>
      <c r="K5388" s="55" t="s">
        <v>30</v>
      </c>
      <c r="L5388" s="60" t="s">
        <v>348</v>
      </c>
    </row>
    <row r="5389" spans="1:12" x14ac:dyDescent="0.3">
      <c r="H5389" s="74">
        <v>15</v>
      </c>
      <c r="K5389" s="55" t="s">
        <v>33</v>
      </c>
      <c r="L5389" s="60" t="s">
        <v>1711</v>
      </c>
    </row>
    <row r="5390" spans="1:12" x14ac:dyDescent="0.3">
      <c r="H5390" s="74">
        <v>20</v>
      </c>
      <c r="K5390" s="55" t="s">
        <v>102</v>
      </c>
    </row>
    <row r="5391" spans="1:12" x14ac:dyDescent="0.3">
      <c r="H5391" s="74">
        <v>15</v>
      </c>
      <c r="K5391" s="55" t="s">
        <v>33</v>
      </c>
      <c r="L5391" s="60" t="s">
        <v>374</v>
      </c>
    </row>
    <row r="5392" spans="1:12" x14ac:dyDescent="0.3">
      <c r="H5392" s="74">
        <v>40</v>
      </c>
      <c r="K5392" s="55" t="s">
        <v>34</v>
      </c>
      <c r="L5392" s="60" t="s">
        <v>1306</v>
      </c>
    </row>
    <row r="5393" spans="1:12" x14ac:dyDescent="0.3">
      <c r="H5393" s="74">
        <v>30</v>
      </c>
      <c r="K5393" s="55" t="s">
        <v>34</v>
      </c>
      <c r="L5393" s="60" t="s">
        <v>253</v>
      </c>
    </row>
    <row r="5394" spans="1:12" x14ac:dyDescent="0.3">
      <c r="H5394" s="74">
        <v>30</v>
      </c>
      <c r="K5394" s="55" t="s">
        <v>32</v>
      </c>
      <c r="L5394" s="60" t="s">
        <v>1712</v>
      </c>
    </row>
    <row r="5396" spans="1:12" x14ac:dyDescent="0.3">
      <c r="A5396" s="72" t="s">
        <v>1713</v>
      </c>
      <c r="B5396" s="55" t="s">
        <v>0</v>
      </c>
      <c r="C5396" s="67" t="s">
        <v>47</v>
      </c>
      <c r="D5396" s="55" t="s">
        <v>50</v>
      </c>
      <c r="E5396" s="19">
        <v>184.72</v>
      </c>
      <c r="F5396" s="19">
        <v>6</v>
      </c>
      <c r="G5396" s="55" t="s">
        <v>11</v>
      </c>
      <c r="H5396" s="74">
        <v>10</v>
      </c>
      <c r="K5396" s="55" t="s">
        <v>25</v>
      </c>
    </row>
    <row r="5397" spans="1:12" x14ac:dyDescent="0.3">
      <c r="H5397" s="74">
        <v>10</v>
      </c>
      <c r="K5397" s="55" t="s">
        <v>84</v>
      </c>
    </row>
    <row r="5398" spans="1:12" x14ac:dyDescent="0.3">
      <c r="H5398" s="74">
        <v>60</v>
      </c>
      <c r="K5398" s="55" t="s">
        <v>96</v>
      </c>
    </row>
    <row r="5399" spans="1:12" x14ac:dyDescent="0.3">
      <c r="H5399" s="74">
        <v>90</v>
      </c>
      <c r="K5399" s="55" t="s">
        <v>32</v>
      </c>
      <c r="L5399" s="60" t="s">
        <v>1714</v>
      </c>
    </row>
    <row r="5400" spans="1:12" x14ac:dyDescent="0.3">
      <c r="H5400" s="74">
        <v>30</v>
      </c>
      <c r="K5400" s="55" t="s">
        <v>33</v>
      </c>
      <c r="L5400" s="60" t="s">
        <v>1679</v>
      </c>
    </row>
    <row r="5401" spans="1:12" x14ac:dyDescent="0.3">
      <c r="H5401" s="74">
        <v>40</v>
      </c>
      <c r="K5401" s="55" t="s">
        <v>34</v>
      </c>
      <c r="L5401" s="60" t="s">
        <v>1306</v>
      </c>
    </row>
    <row r="5402" spans="1:12" x14ac:dyDescent="0.3">
      <c r="H5402" s="74">
        <v>30</v>
      </c>
      <c r="K5402" s="55" t="s">
        <v>34</v>
      </c>
      <c r="L5402" s="60" t="s">
        <v>253</v>
      </c>
    </row>
    <row r="5403" spans="1:12" x14ac:dyDescent="0.3">
      <c r="H5403" s="74">
        <v>30</v>
      </c>
      <c r="K5403" s="55" t="s">
        <v>30</v>
      </c>
    </row>
    <row r="5404" spans="1:12" x14ac:dyDescent="0.3">
      <c r="H5404" s="74">
        <v>120</v>
      </c>
      <c r="K5404" s="55" t="s">
        <v>55</v>
      </c>
    </row>
    <row r="5405" spans="1:12" x14ac:dyDescent="0.3">
      <c r="H5405" s="74">
        <v>90</v>
      </c>
      <c r="K5405" s="55" t="s">
        <v>55</v>
      </c>
      <c r="L5405" s="60" t="s">
        <v>1715</v>
      </c>
    </row>
    <row r="5407" spans="1:12" x14ac:dyDescent="0.3">
      <c r="A5407" s="72" t="s">
        <v>1713</v>
      </c>
      <c r="B5407" s="55" t="s">
        <v>10</v>
      </c>
      <c r="C5407" s="67" t="s">
        <v>188</v>
      </c>
      <c r="D5407" s="55" t="s">
        <v>50</v>
      </c>
      <c r="E5407" s="19">
        <v>186.89</v>
      </c>
      <c r="F5407" s="19">
        <v>6</v>
      </c>
      <c r="G5407" s="55" t="s">
        <v>11</v>
      </c>
      <c r="H5407" s="74">
        <v>10</v>
      </c>
      <c r="K5407" s="55" t="s">
        <v>25</v>
      </c>
    </row>
    <row r="5408" spans="1:12" x14ac:dyDescent="0.3">
      <c r="H5408" s="74">
        <v>10</v>
      </c>
      <c r="K5408" s="55" t="s">
        <v>84</v>
      </c>
    </row>
    <row r="5409" spans="1:13" x14ac:dyDescent="0.3">
      <c r="H5409" s="74">
        <v>60</v>
      </c>
      <c r="K5409" s="55" t="s">
        <v>96</v>
      </c>
    </row>
    <row r="5410" spans="1:13" x14ac:dyDescent="0.3">
      <c r="H5410" s="74">
        <v>40</v>
      </c>
      <c r="K5410" s="55" t="s">
        <v>32</v>
      </c>
      <c r="L5410" s="60" t="s">
        <v>1716</v>
      </c>
      <c r="M5410" s="1" t="s">
        <v>1717</v>
      </c>
    </row>
    <row r="5411" spans="1:13" x14ac:dyDescent="0.3">
      <c r="H5411" s="74">
        <v>80</v>
      </c>
      <c r="K5411" s="55" t="s">
        <v>32</v>
      </c>
      <c r="L5411" s="60" t="s">
        <v>460</v>
      </c>
    </row>
    <row r="5412" spans="1:13" x14ac:dyDescent="0.3">
      <c r="H5412" s="74">
        <v>70</v>
      </c>
      <c r="K5412" s="55" t="s">
        <v>32</v>
      </c>
      <c r="L5412" s="60" t="s">
        <v>419</v>
      </c>
      <c r="M5412" s="1" t="s">
        <v>1718</v>
      </c>
    </row>
    <row r="5413" spans="1:13" x14ac:dyDescent="0.3">
      <c r="H5413" s="74">
        <v>40</v>
      </c>
      <c r="K5413" s="55" t="s">
        <v>34</v>
      </c>
      <c r="L5413" s="60" t="s">
        <v>1306</v>
      </c>
    </row>
    <row r="5414" spans="1:13" x14ac:dyDescent="0.3">
      <c r="H5414" s="74">
        <v>30</v>
      </c>
      <c r="K5414" s="55" t="s">
        <v>30</v>
      </c>
      <c r="L5414" s="60" t="s">
        <v>136</v>
      </c>
    </row>
    <row r="5415" spans="1:13" x14ac:dyDescent="0.3">
      <c r="H5415" s="74">
        <v>20</v>
      </c>
      <c r="K5415" s="55" t="s">
        <v>55</v>
      </c>
      <c r="L5415" s="60" t="s">
        <v>13</v>
      </c>
    </row>
    <row r="5417" spans="1:13" x14ac:dyDescent="0.3">
      <c r="A5417" s="72" t="s">
        <v>1713</v>
      </c>
      <c r="B5417" s="55" t="s">
        <v>12</v>
      </c>
      <c r="C5417" s="67" t="s">
        <v>46</v>
      </c>
      <c r="D5417" s="55" t="s">
        <v>52</v>
      </c>
      <c r="E5417" s="19">
        <v>261.22000000000003</v>
      </c>
      <c r="F5417" s="19">
        <v>8</v>
      </c>
      <c r="G5417" s="55" t="s">
        <v>11</v>
      </c>
      <c r="H5417" s="74">
        <v>10</v>
      </c>
      <c r="K5417" s="55" t="s">
        <v>25</v>
      </c>
    </row>
    <row r="5418" spans="1:13" x14ac:dyDescent="0.3">
      <c r="H5418" s="74">
        <v>10</v>
      </c>
      <c r="K5418" s="55" t="s">
        <v>84</v>
      </c>
    </row>
    <row r="5419" spans="1:13" x14ac:dyDescent="0.3">
      <c r="H5419" s="74">
        <v>100</v>
      </c>
      <c r="K5419" s="55" t="s">
        <v>96</v>
      </c>
    </row>
    <row r="5420" spans="1:13" x14ac:dyDescent="0.3">
      <c r="H5420" s="74">
        <v>30</v>
      </c>
      <c r="K5420" s="55" t="s">
        <v>32</v>
      </c>
      <c r="L5420" s="60" t="s">
        <v>460</v>
      </c>
    </row>
    <row r="5421" spans="1:13" x14ac:dyDescent="0.3">
      <c r="H5421" s="74">
        <v>30</v>
      </c>
      <c r="K5421" s="55" t="s">
        <v>32</v>
      </c>
      <c r="L5421" s="60" t="s">
        <v>1720</v>
      </c>
    </row>
    <row r="5422" spans="1:13" x14ac:dyDescent="0.3">
      <c r="H5422" s="74">
        <v>40</v>
      </c>
      <c r="K5422" s="55" t="s">
        <v>34</v>
      </c>
      <c r="L5422" s="60" t="s">
        <v>1306</v>
      </c>
    </row>
    <row r="5423" spans="1:13" x14ac:dyDescent="0.3">
      <c r="H5423" s="74">
        <v>30</v>
      </c>
      <c r="K5423" s="55" t="s">
        <v>30</v>
      </c>
      <c r="L5423" s="60" t="s">
        <v>961</v>
      </c>
    </row>
    <row r="5424" spans="1:13" x14ac:dyDescent="0.3">
      <c r="H5424" s="74">
        <v>100</v>
      </c>
      <c r="K5424" s="55" t="s">
        <v>33</v>
      </c>
      <c r="L5424" s="60" t="s">
        <v>1719</v>
      </c>
    </row>
    <row r="5426" spans="1:15" x14ac:dyDescent="0.3">
      <c r="A5426" s="72" t="s">
        <v>1721</v>
      </c>
      <c r="B5426" s="55" t="s">
        <v>0</v>
      </c>
      <c r="C5426" s="67" t="s">
        <v>47</v>
      </c>
      <c r="D5426" s="55" t="s">
        <v>50</v>
      </c>
      <c r="E5426" s="19">
        <v>229.98</v>
      </c>
      <c r="F5426" s="19">
        <v>8</v>
      </c>
      <c r="G5426" s="55" t="s">
        <v>11</v>
      </c>
      <c r="H5426" s="74">
        <v>10</v>
      </c>
      <c r="K5426" s="55" t="s">
        <v>25</v>
      </c>
    </row>
    <row r="5427" spans="1:15" x14ac:dyDescent="0.3">
      <c r="H5427" s="74">
        <v>10</v>
      </c>
      <c r="K5427" s="55" t="s">
        <v>84</v>
      </c>
    </row>
    <row r="5428" spans="1:15" x14ac:dyDescent="0.3">
      <c r="H5428" s="74">
        <v>60</v>
      </c>
      <c r="K5428" s="55" t="s">
        <v>96</v>
      </c>
    </row>
    <row r="5429" spans="1:15" x14ac:dyDescent="0.3">
      <c r="H5429" s="74">
        <v>40</v>
      </c>
      <c r="K5429" s="55" t="s">
        <v>32</v>
      </c>
      <c r="L5429" s="60" t="s">
        <v>460</v>
      </c>
    </row>
    <row r="5430" spans="1:15" x14ac:dyDescent="0.3">
      <c r="H5430" s="74">
        <v>30</v>
      </c>
      <c r="K5430" s="55" t="s">
        <v>32</v>
      </c>
      <c r="L5430" s="60" t="s">
        <v>1720</v>
      </c>
    </row>
    <row r="5431" spans="1:15" x14ac:dyDescent="0.3">
      <c r="H5431" s="74">
        <v>40</v>
      </c>
      <c r="K5431" s="55" t="s">
        <v>34</v>
      </c>
      <c r="L5431" s="60" t="s">
        <v>1306</v>
      </c>
    </row>
    <row r="5432" spans="1:15" x14ac:dyDescent="0.3">
      <c r="H5432" s="74">
        <v>20</v>
      </c>
      <c r="K5432" s="55" t="s">
        <v>34</v>
      </c>
      <c r="L5432" s="60" t="s">
        <v>253</v>
      </c>
    </row>
    <row r="5433" spans="1:15" x14ac:dyDescent="0.3">
      <c r="H5433" s="74">
        <v>20</v>
      </c>
      <c r="K5433" s="55" t="s">
        <v>55</v>
      </c>
      <c r="L5433" s="60" t="s">
        <v>13</v>
      </c>
      <c r="M5433" s="47"/>
      <c r="N5433" s="55"/>
      <c r="O5433" s="60"/>
    </row>
    <row r="5434" spans="1:15" x14ac:dyDescent="0.3">
      <c r="H5434" s="74">
        <v>30</v>
      </c>
      <c r="K5434" s="55" t="s">
        <v>30</v>
      </c>
      <c r="L5434" s="60" t="s">
        <v>961</v>
      </c>
    </row>
    <row r="5435" spans="1:15" x14ac:dyDescent="0.3">
      <c r="H5435" s="74">
        <v>25</v>
      </c>
      <c r="K5435" s="55" t="s">
        <v>33</v>
      </c>
      <c r="L5435" s="60" t="s">
        <v>1722</v>
      </c>
    </row>
    <row r="5436" spans="1:15" x14ac:dyDescent="0.3">
      <c r="H5436" s="74">
        <v>40</v>
      </c>
      <c r="K5436" s="55" t="s">
        <v>33</v>
      </c>
      <c r="L5436" s="60" t="s">
        <v>1723</v>
      </c>
    </row>
    <row r="5438" spans="1:15" x14ac:dyDescent="0.3">
      <c r="A5438" s="72" t="s">
        <v>1721</v>
      </c>
      <c r="B5438" s="55" t="s">
        <v>10</v>
      </c>
      <c r="C5438" s="67" t="s">
        <v>188</v>
      </c>
      <c r="D5438" s="55" t="s">
        <v>51</v>
      </c>
      <c r="E5438" s="19">
        <v>229.88</v>
      </c>
      <c r="F5438" s="19">
        <v>7</v>
      </c>
      <c r="G5438" s="55" t="s">
        <v>11</v>
      </c>
      <c r="H5438" s="74">
        <v>10</v>
      </c>
      <c r="K5438" s="55" t="s">
        <v>25</v>
      </c>
    </row>
    <row r="5439" spans="1:15" x14ac:dyDescent="0.3">
      <c r="H5439" s="74">
        <v>10</v>
      </c>
      <c r="K5439" s="55" t="s">
        <v>84</v>
      </c>
    </row>
    <row r="5440" spans="1:15" x14ac:dyDescent="0.3">
      <c r="H5440" s="74">
        <v>50</v>
      </c>
      <c r="K5440" s="55" t="s">
        <v>32</v>
      </c>
      <c r="L5440" s="60" t="s">
        <v>1725</v>
      </c>
    </row>
    <row r="5441" spans="1:12" x14ac:dyDescent="0.3">
      <c r="H5441" s="74">
        <v>70</v>
      </c>
      <c r="K5441" s="55" t="s">
        <v>96</v>
      </c>
    </row>
    <row r="5442" spans="1:12" x14ac:dyDescent="0.3">
      <c r="H5442" s="74">
        <v>50</v>
      </c>
      <c r="K5442" s="55" t="s">
        <v>34</v>
      </c>
      <c r="L5442" s="60" t="s">
        <v>149</v>
      </c>
    </row>
    <row r="5443" spans="1:12" x14ac:dyDescent="0.3">
      <c r="H5443" s="74">
        <v>25</v>
      </c>
      <c r="K5443" s="55" t="s">
        <v>34</v>
      </c>
      <c r="L5443" s="60" t="s">
        <v>323</v>
      </c>
    </row>
    <row r="5444" spans="1:12" x14ac:dyDescent="0.3">
      <c r="H5444" s="74">
        <v>25</v>
      </c>
      <c r="K5444" s="55" t="s">
        <v>30</v>
      </c>
      <c r="L5444" s="60" t="s">
        <v>324</v>
      </c>
    </row>
    <row r="5445" spans="1:12" x14ac:dyDescent="0.3">
      <c r="H5445" s="74">
        <v>25</v>
      </c>
      <c r="K5445" s="55" t="s">
        <v>55</v>
      </c>
      <c r="L5445" s="60" t="s">
        <v>1724</v>
      </c>
    </row>
    <row r="5446" spans="1:12" x14ac:dyDescent="0.3">
      <c r="H5446" s="74">
        <v>30</v>
      </c>
      <c r="K5446" s="55" t="s">
        <v>33</v>
      </c>
      <c r="L5446" s="60" t="s">
        <v>1726</v>
      </c>
    </row>
    <row r="5447" spans="1:12" x14ac:dyDescent="0.3">
      <c r="H5447" s="74">
        <v>25</v>
      </c>
      <c r="K5447" s="55" t="s">
        <v>102</v>
      </c>
    </row>
    <row r="5449" spans="1:12" x14ac:dyDescent="0.3">
      <c r="A5449" s="72" t="s">
        <v>1721</v>
      </c>
      <c r="B5449" s="55" t="s">
        <v>12</v>
      </c>
      <c r="C5449" s="67" t="s">
        <v>46</v>
      </c>
      <c r="D5449" s="55" t="s">
        <v>52</v>
      </c>
      <c r="E5449" s="19">
        <v>199.29</v>
      </c>
      <c r="F5449" s="19">
        <v>9</v>
      </c>
      <c r="G5449" s="55" t="s">
        <v>11</v>
      </c>
      <c r="H5449" s="74">
        <v>10</v>
      </c>
      <c r="K5449" s="55" t="s">
        <v>25</v>
      </c>
    </row>
    <row r="5450" spans="1:12" x14ac:dyDescent="0.3">
      <c r="H5450" s="74">
        <v>10</v>
      </c>
      <c r="K5450" s="55" t="s">
        <v>84</v>
      </c>
    </row>
    <row r="5451" spans="1:12" x14ac:dyDescent="0.3">
      <c r="H5451" s="74">
        <v>110</v>
      </c>
      <c r="K5451" s="55" t="s">
        <v>96</v>
      </c>
    </row>
    <row r="5452" spans="1:12" x14ac:dyDescent="0.3">
      <c r="H5452" s="74">
        <v>120</v>
      </c>
      <c r="K5452" s="55" t="s">
        <v>32</v>
      </c>
      <c r="L5452" s="60" t="s">
        <v>1727</v>
      </c>
    </row>
    <row r="5453" spans="1:12" x14ac:dyDescent="0.3">
      <c r="H5453" s="74">
        <v>50</v>
      </c>
      <c r="K5453" s="55" t="s">
        <v>32</v>
      </c>
      <c r="L5453" s="60" t="s">
        <v>1720</v>
      </c>
    </row>
    <row r="5454" spans="1:12" x14ac:dyDescent="0.3">
      <c r="H5454" s="74">
        <v>20</v>
      </c>
      <c r="K5454" s="55" t="s">
        <v>34</v>
      </c>
      <c r="L5454" s="60" t="s">
        <v>1306</v>
      </c>
    </row>
    <row r="5455" spans="1:12" x14ac:dyDescent="0.3">
      <c r="H5455" s="74">
        <v>30</v>
      </c>
      <c r="K5455" s="55" t="s">
        <v>30</v>
      </c>
      <c r="L5455" s="60" t="s">
        <v>961</v>
      </c>
    </row>
    <row r="5456" spans="1:12" x14ac:dyDescent="0.3">
      <c r="H5456" s="74">
        <v>20</v>
      </c>
      <c r="K5456" s="55" t="s">
        <v>55</v>
      </c>
      <c r="L5456" s="60" t="s">
        <v>1728</v>
      </c>
    </row>
    <row r="5458" spans="1:12" x14ac:dyDescent="0.3">
      <c r="A5458" s="72" t="s">
        <v>1729</v>
      </c>
      <c r="B5458" s="55" t="s">
        <v>0</v>
      </c>
      <c r="C5458" s="67" t="s">
        <v>47</v>
      </c>
      <c r="D5458" s="55" t="s">
        <v>50</v>
      </c>
      <c r="E5458" s="19">
        <v>291.32</v>
      </c>
      <c r="F5458" s="19">
        <v>9</v>
      </c>
      <c r="G5458" s="55" t="s">
        <v>11</v>
      </c>
      <c r="H5458" s="74">
        <v>10</v>
      </c>
      <c r="K5458" s="55" t="s">
        <v>25</v>
      </c>
    </row>
    <row r="5459" spans="1:12" x14ac:dyDescent="0.3">
      <c r="H5459" s="74">
        <v>10</v>
      </c>
      <c r="K5459" s="55" t="s">
        <v>84</v>
      </c>
    </row>
    <row r="5460" spans="1:12" x14ac:dyDescent="0.3">
      <c r="H5460" s="74">
        <v>100</v>
      </c>
      <c r="K5460" s="55" t="s">
        <v>96</v>
      </c>
    </row>
    <row r="5461" spans="1:12" x14ac:dyDescent="0.3">
      <c r="H5461" s="74">
        <v>60</v>
      </c>
      <c r="K5461" s="55" t="s">
        <v>32</v>
      </c>
      <c r="L5461" s="60" t="s">
        <v>556</v>
      </c>
    </row>
    <row r="5462" spans="1:12" x14ac:dyDescent="0.3">
      <c r="H5462" s="74">
        <v>30</v>
      </c>
      <c r="K5462" s="55" t="s">
        <v>32</v>
      </c>
      <c r="L5462" s="60" t="s">
        <v>1730</v>
      </c>
    </row>
    <row r="5463" spans="1:12" x14ac:dyDescent="0.3">
      <c r="H5463" s="74">
        <v>30</v>
      </c>
      <c r="K5463" s="55" t="s">
        <v>30</v>
      </c>
      <c r="L5463" s="60" t="s">
        <v>300</v>
      </c>
    </row>
    <row r="5464" spans="1:12" x14ac:dyDescent="0.3">
      <c r="H5464" s="74">
        <v>60</v>
      </c>
      <c r="K5464" s="55" t="s">
        <v>55</v>
      </c>
      <c r="L5464" s="60" t="s">
        <v>1731</v>
      </c>
    </row>
    <row r="5465" spans="1:12" x14ac:dyDescent="0.3">
      <c r="H5465" s="74">
        <v>20</v>
      </c>
      <c r="K5465" s="55" t="s">
        <v>102</v>
      </c>
    </row>
    <row r="5466" spans="1:12" x14ac:dyDescent="0.3">
      <c r="H5466" s="74">
        <v>20</v>
      </c>
      <c r="K5466" s="55" t="s">
        <v>34</v>
      </c>
      <c r="L5466" s="60" t="s">
        <v>268</v>
      </c>
    </row>
    <row r="5468" spans="1:12" x14ac:dyDescent="0.3">
      <c r="A5468" s="72" t="s">
        <v>1729</v>
      </c>
      <c r="B5468" s="55" t="s">
        <v>10</v>
      </c>
      <c r="C5468" s="60" t="s">
        <v>296</v>
      </c>
      <c r="D5468" s="55" t="s">
        <v>51</v>
      </c>
      <c r="E5468" s="19">
        <v>210.6</v>
      </c>
      <c r="F5468" s="19" t="s">
        <v>1735</v>
      </c>
      <c r="G5468" s="55" t="s">
        <v>11</v>
      </c>
      <c r="H5468" s="74">
        <v>10</v>
      </c>
      <c r="K5468" s="55" t="s">
        <v>25</v>
      </c>
    </row>
    <row r="5469" spans="1:12" x14ac:dyDescent="0.3">
      <c r="H5469" s="74">
        <v>10</v>
      </c>
      <c r="K5469" s="55" t="s">
        <v>84</v>
      </c>
    </row>
    <row r="5470" spans="1:12" x14ac:dyDescent="0.3">
      <c r="H5470" s="74">
        <v>80</v>
      </c>
      <c r="K5470" s="55" t="s">
        <v>96</v>
      </c>
    </row>
    <row r="5471" spans="1:12" x14ac:dyDescent="0.3">
      <c r="H5471" s="74">
        <v>40</v>
      </c>
      <c r="K5471" s="55" t="s">
        <v>32</v>
      </c>
      <c r="L5471" s="60" t="s">
        <v>460</v>
      </c>
    </row>
    <row r="5472" spans="1:12" x14ac:dyDescent="0.3">
      <c r="H5472" s="74">
        <v>20</v>
      </c>
      <c r="K5472" s="55" t="s">
        <v>32</v>
      </c>
      <c r="L5472" s="60" t="s">
        <v>236</v>
      </c>
    </row>
    <row r="5473" spans="1:13" x14ac:dyDescent="0.3">
      <c r="H5473" s="74">
        <v>15</v>
      </c>
      <c r="K5473" s="55" t="s">
        <v>33</v>
      </c>
      <c r="L5473" s="60" t="s">
        <v>1732</v>
      </c>
    </row>
    <row r="5474" spans="1:13" x14ac:dyDescent="0.3">
      <c r="H5474" s="74">
        <v>15</v>
      </c>
      <c r="K5474" s="55" t="s">
        <v>33</v>
      </c>
      <c r="L5474" s="60" t="s">
        <v>454</v>
      </c>
    </row>
    <row r="5475" spans="1:13" x14ac:dyDescent="0.3">
      <c r="H5475" s="74">
        <v>50</v>
      </c>
      <c r="K5475" s="55" t="s">
        <v>33</v>
      </c>
      <c r="L5475" s="60" t="s">
        <v>1733</v>
      </c>
    </row>
    <row r="5476" spans="1:13" x14ac:dyDescent="0.3">
      <c r="H5476" s="74">
        <v>20</v>
      </c>
      <c r="K5476" s="55" t="s">
        <v>55</v>
      </c>
      <c r="L5476" s="60" t="s">
        <v>356</v>
      </c>
    </row>
    <row r="5477" spans="1:13" x14ac:dyDescent="0.3">
      <c r="H5477" s="74">
        <v>25</v>
      </c>
      <c r="K5477" s="55" t="s">
        <v>33</v>
      </c>
      <c r="L5477" s="60" t="s">
        <v>1734</v>
      </c>
    </row>
    <row r="5478" spans="1:13" x14ac:dyDescent="0.3">
      <c r="H5478" s="74">
        <v>30</v>
      </c>
      <c r="K5478" s="55" t="s">
        <v>30</v>
      </c>
      <c r="L5478" s="60" t="s">
        <v>961</v>
      </c>
    </row>
    <row r="5479" spans="1:13" x14ac:dyDescent="0.3">
      <c r="H5479" s="74">
        <v>30</v>
      </c>
      <c r="K5479" s="55" t="s">
        <v>32</v>
      </c>
      <c r="L5479" s="60" t="s">
        <v>14</v>
      </c>
    </row>
    <row r="5481" spans="1:13" x14ac:dyDescent="0.3">
      <c r="A5481" s="72" t="s">
        <v>1729</v>
      </c>
      <c r="B5481" s="55" t="s">
        <v>12</v>
      </c>
      <c r="D5481" s="55" t="s">
        <v>52</v>
      </c>
      <c r="E5481" s="19">
        <v>269.39</v>
      </c>
      <c r="F5481" s="19">
        <v>9</v>
      </c>
      <c r="G5481" s="55" t="s">
        <v>11</v>
      </c>
      <c r="H5481" s="74">
        <v>10</v>
      </c>
      <c r="K5481" s="55" t="s">
        <v>25</v>
      </c>
    </row>
    <row r="5482" spans="1:13" x14ac:dyDescent="0.3">
      <c r="H5482" s="74">
        <v>10</v>
      </c>
      <c r="K5482" s="55" t="s">
        <v>84</v>
      </c>
      <c r="M5482" s="60"/>
    </row>
    <row r="5483" spans="1:13" x14ac:dyDescent="0.3">
      <c r="H5483" s="74">
        <v>110</v>
      </c>
      <c r="K5483" s="55" t="s">
        <v>96</v>
      </c>
      <c r="M5483" s="60"/>
    </row>
    <row r="5484" spans="1:13" x14ac:dyDescent="0.3">
      <c r="H5484" s="74">
        <v>30</v>
      </c>
      <c r="K5484" s="55" t="s">
        <v>32</v>
      </c>
      <c r="L5484" s="60" t="s">
        <v>14</v>
      </c>
      <c r="M5484" s="60"/>
    </row>
    <row r="5485" spans="1:13" x14ac:dyDescent="0.3">
      <c r="H5485" s="74">
        <v>40</v>
      </c>
      <c r="K5485" s="55" t="s">
        <v>33</v>
      </c>
      <c r="L5485" s="60" t="s">
        <v>19</v>
      </c>
      <c r="M5485" s="60"/>
    </row>
    <row r="5486" spans="1:13" x14ac:dyDescent="0.3">
      <c r="H5486" s="74">
        <v>30</v>
      </c>
      <c r="K5486" s="55" t="s">
        <v>55</v>
      </c>
      <c r="L5486" s="60" t="s">
        <v>356</v>
      </c>
      <c r="M5486" s="60"/>
    </row>
    <row r="5487" spans="1:13" x14ac:dyDescent="0.3">
      <c r="H5487" s="74">
        <v>15</v>
      </c>
      <c r="K5487" s="55" t="s">
        <v>33</v>
      </c>
      <c r="L5487" s="60" t="s">
        <v>1732</v>
      </c>
      <c r="M5487" s="60"/>
    </row>
    <row r="5488" spans="1:13" x14ac:dyDescent="0.3">
      <c r="H5488" s="74">
        <v>40</v>
      </c>
      <c r="K5488" s="55" t="s">
        <v>32</v>
      </c>
      <c r="L5488" s="60" t="s">
        <v>460</v>
      </c>
    </row>
    <row r="5489" spans="1:12" x14ac:dyDescent="0.3">
      <c r="H5489" s="74">
        <v>45</v>
      </c>
      <c r="K5489" s="55" t="s">
        <v>32</v>
      </c>
      <c r="L5489" s="60" t="s">
        <v>1737</v>
      </c>
    </row>
    <row r="5490" spans="1:12" x14ac:dyDescent="0.3">
      <c r="H5490" s="74">
        <v>30</v>
      </c>
      <c r="K5490" s="55" t="s">
        <v>30</v>
      </c>
      <c r="L5490" s="60" t="s">
        <v>1738</v>
      </c>
    </row>
    <row r="5491" spans="1:12" x14ac:dyDescent="0.3">
      <c r="H5491" s="74">
        <v>20</v>
      </c>
      <c r="K5491" s="55" t="s">
        <v>32</v>
      </c>
      <c r="L5491" s="60" t="s">
        <v>232</v>
      </c>
    </row>
    <row r="5493" spans="1:12" x14ac:dyDescent="0.3">
      <c r="A5493" s="72" t="s">
        <v>1739</v>
      </c>
      <c r="B5493" s="55" t="s">
        <v>0</v>
      </c>
      <c r="C5493" s="67" t="s">
        <v>47</v>
      </c>
      <c r="D5493" s="55" t="s">
        <v>50</v>
      </c>
      <c r="E5493" s="19">
        <v>148.79</v>
      </c>
      <c r="F5493" s="19">
        <v>6</v>
      </c>
      <c r="G5493" s="55" t="s">
        <v>11</v>
      </c>
      <c r="H5493" s="74">
        <v>10</v>
      </c>
      <c r="K5493" s="55" t="s">
        <v>25</v>
      </c>
    </row>
    <row r="5494" spans="1:12" x14ac:dyDescent="0.3">
      <c r="F5494" s="19" t="s">
        <v>1736</v>
      </c>
      <c r="H5494" s="74">
        <v>10</v>
      </c>
      <c r="K5494" s="55" t="s">
        <v>84</v>
      </c>
    </row>
    <row r="5495" spans="1:12" x14ac:dyDescent="0.3">
      <c r="H5495" s="74">
        <v>60</v>
      </c>
      <c r="K5495" s="55" t="s">
        <v>96</v>
      </c>
    </row>
    <row r="5496" spans="1:12" x14ac:dyDescent="0.3">
      <c r="H5496" s="74">
        <v>90</v>
      </c>
      <c r="K5496" s="55" t="s">
        <v>32</v>
      </c>
      <c r="L5496" s="60" t="s">
        <v>1741</v>
      </c>
    </row>
    <row r="5497" spans="1:12" x14ac:dyDescent="0.3">
      <c r="H5497" s="74">
        <v>20</v>
      </c>
      <c r="K5497" s="55" t="s">
        <v>32</v>
      </c>
      <c r="L5497" s="60" t="s">
        <v>1480</v>
      </c>
    </row>
    <row r="5498" spans="1:12" x14ac:dyDescent="0.3">
      <c r="H5498" s="74">
        <v>110</v>
      </c>
      <c r="K5498" s="55" t="s">
        <v>33</v>
      </c>
      <c r="L5498" s="60" t="s">
        <v>1740</v>
      </c>
    </row>
    <row r="5499" spans="1:12" x14ac:dyDescent="0.3">
      <c r="H5499" s="74">
        <v>15</v>
      </c>
      <c r="K5499" s="55" t="s">
        <v>33</v>
      </c>
      <c r="L5499" s="60" t="s">
        <v>1742</v>
      </c>
    </row>
    <row r="5500" spans="1:12" x14ac:dyDescent="0.3">
      <c r="H5500" s="74">
        <v>20</v>
      </c>
      <c r="K5500" s="55" t="s">
        <v>34</v>
      </c>
      <c r="L5500" s="60" t="s">
        <v>253</v>
      </c>
    </row>
    <row r="5501" spans="1:12" x14ac:dyDescent="0.3">
      <c r="H5501" s="74">
        <v>30</v>
      </c>
      <c r="K5501" s="55" t="s">
        <v>30</v>
      </c>
      <c r="L5501" s="60" t="s">
        <v>389</v>
      </c>
    </row>
    <row r="5502" spans="1:12" x14ac:dyDescent="0.3">
      <c r="H5502" s="74">
        <v>10</v>
      </c>
      <c r="K5502" s="55" t="s">
        <v>55</v>
      </c>
      <c r="L5502" s="60" t="s">
        <v>13</v>
      </c>
    </row>
    <row r="5503" spans="1:12" x14ac:dyDescent="0.3">
      <c r="H5503" s="74">
        <v>20</v>
      </c>
      <c r="K5503" s="55" t="s">
        <v>102</v>
      </c>
    </row>
    <row r="5504" spans="1:12" x14ac:dyDescent="0.3">
      <c r="H5504" s="74">
        <v>45</v>
      </c>
      <c r="K5504" s="55" t="s">
        <v>55</v>
      </c>
      <c r="L5504" s="60" t="s">
        <v>1743</v>
      </c>
    </row>
    <row r="5506" spans="1:13" x14ac:dyDescent="0.3">
      <c r="A5506" s="72" t="s">
        <v>1739</v>
      </c>
      <c r="B5506" s="55" t="s">
        <v>10</v>
      </c>
      <c r="D5506" s="55" t="s">
        <v>51</v>
      </c>
      <c r="E5506" s="19">
        <v>177.16</v>
      </c>
      <c r="F5506" s="19">
        <v>8</v>
      </c>
      <c r="G5506" s="55" t="s">
        <v>11</v>
      </c>
      <c r="H5506" s="74">
        <v>10</v>
      </c>
      <c r="K5506" s="55" t="s">
        <v>25</v>
      </c>
    </row>
    <row r="5507" spans="1:13" x14ac:dyDescent="0.3">
      <c r="H5507" s="74">
        <v>10</v>
      </c>
      <c r="K5507" s="55" t="s">
        <v>84</v>
      </c>
    </row>
    <row r="5508" spans="1:13" x14ac:dyDescent="0.3">
      <c r="H5508" s="74">
        <v>80</v>
      </c>
      <c r="K5508" s="55" t="s">
        <v>96</v>
      </c>
    </row>
    <row r="5509" spans="1:13" x14ac:dyDescent="0.3">
      <c r="H5509" s="74">
        <v>30</v>
      </c>
      <c r="K5509" s="55" t="s">
        <v>32</v>
      </c>
      <c r="L5509" s="60" t="s">
        <v>236</v>
      </c>
    </row>
    <row r="5510" spans="1:13" x14ac:dyDescent="0.3">
      <c r="H5510" s="74">
        <v>50</v>
      </c>
      <c r="K5510" s="55" t="s">
        <v>32</v>
      </c>
      <c r="L5510" s="60" t="s">
        <v>1744</v>
      </c>
    </row>
    <row r="5511" spans="1:13" x14ac:dyDescent="0.3">
      <c r="H5511" s="74">
        <v>60</v>
      </c>
      <c r="K5511" s="55" t="s">
        <v>55</v>
      </c>
      <c r="L5511" s="60" t="s">
        <v>1746</v>
      </c>
      <c r="M5511" s="1" t="s">
        <v>1747</v>
      </c>
    </row>
    <row r="5512" spans="1:13" x14ac:dyDescent="0.3">
      <c r="H5512" s="74">
        <v>20</v>
      </c>
      <c r="K5512" s="55" t="s">
        <v>55</v>
      </c>
      <c r="L5512" s="60" t="s">
        <v>13</v>
      </c>
    </row>
    <row r="5513" spans="1:13" x14ac:dyDescent="0.3">
      <c r="H5513" s="74">
        <v>20</v>
      </c>
      <c r="K5513" s="55" t="s">
        <v>30</v>
      </c>
      <c r="L5513" s="60" t="s">
        <v>389</v>
      </c>
    </row>
    <row r="5514" spans="1:13" x14ac:dyDescent="0.3">
      <c r="H5514" s="74">
        <v>40</v>
      </c>
      <c r="K5514" s="55" t="s">
        <v>55</v>
      </c>
      <c r="L5514" s="60" t="s">
        <v>1745</v>
      </c>
    </row>
    <row r="5515" spans="1:13" x14ac:dyDescent="0.3">
      <c r="H5515" s="74">
        <v>15</v>
      </c>
      <c r="K5515" s="55" t="s">
        <v>33</v>
      </c>
      <c r="L5515" s="60" t="s">
        <v>454</v>
      </c>
    </row>
    <row r="5517" spans="1:13" x14ac:dyDescent="0.3">
      <c r="A5517" s="72" t="s">
        <v>1739</v>
      </c>
      <c r="B5517" s="55" t="s">
        <v>12</v>
      </c>
      <c r="D5517" s="55" t="s">
        <v>52</v>
      </c>
      <c r="E5517" s="19">
        <v>203.24</v>
      </c>
      <c r="F5517" s="19">
        <v>9</v>
      </c>
      <c r="G5517" s="55" t="s">
        <v>11</v>
      </c>
      <c r="H5517" s="74">
        <v>10</v>
      </c>
      <c r="K5517" s="55" t="s">
        <v>25</v>
      </c>
    </row>
    <row r="5518" spans="1:13" x14ac:dyDescent="0.3">
      <c r="H5518" s="74">
        <v>10</v>
      </c>
      <c r="K5518" s="55" t="s">
        <v>84</v>
      </c>
    </row>
    <row r="5519" spans="1:13" x14ac:dyDescent="0.3">
      <c r="H5519" s="74">
        <v>110</v>
      </c>
      <c r="K5519" s="55" t="s">
        <v>96</v>
      </c>
    </row>
    <row r="5520" spans="1:13" x14ac:dyDescent="0.3">
      <c r="H5520" s="74">
        <v>60</v>
      </c>
      <c r="K5520" s="55" t="s">
        <v>32</v>
      </c>
      <c r="L5520" s="60" t="s">
        <v>1748</v>
      </c>
    </row>
    <row r="5521" spans="1:12" x14ac:dyDescent="0.3">
      <c r="H5521" s="74">
        <v>45</v>
      </c>
      <c r="K5521" s="55" t="s">
        <v>32</v>
      </c>
      <c r="L5521" s="60" t="s">
        <v>1749</v>
      </c>
    </row>
    <row r="5522" spans="1:12" x14ac:dyDescent="0.3">
      <c r="H5522" s="74">
        <v>30</v>
      </c>
      <c r="K5522" s="55" t="s">
        <v>33</v>
      </c>
      <c r="L5522" s="60" t="s">
        <v>1750</v>
      </c>
    </row>
    <row r="5523" spans="1:12" x14ac:dyDescent="0.3">
      <c r="H5523" s="74">
        <v>30</v>
      </c>
      <c r="K5523" s="55" t="s">
        <v>30</v>
      </c>
      <c r="L5523" s="60" t="s">
        <v>389</v>
      </c>
    </row>
    <row r="5524" spans="1:12" x14ac:dyDescent="0.3">
      <c r="H5524" s="74">
        <v>20</v>
      </c>
      <c r="K5524" s="55" t="s">
        <v>55</v>
      </c>
      <c r="L5524" s="60" t="s">
        <v>1728</v>
      </c>
    </row>
    <row r="5525" spans="1:12" x14ac:dyDescent="0.3">
      <c r="H5525" s="74">
        <v>20</v>
      </c>
      <c r="K5525" s="55" t="s">
        <v>102</v>
      </c>
    </row>
    <row r="5526" spans="1:12" x14ac:dyDescent="0.3">
      <c r="H5526" s="74">
        <v>25</v>
      </c>
      <c r="K5526" s="55" t="s">
        <v>55</v>
      </c>
      <c r="L5526" s="60" t="s">
        <v>1751</v>
      </c>
    </row>
    <row r="5528" spans="1:12" x14ac:dyDescent="0.3">
      <c r="A5528" s="72" t="s">
        <v>1752</v>
      </c>
      <c r="B5528" s="55" t="s">
        <v>0</v>
      </c>
      <c r="C5528" s="67" t="s">
        <v>48</v>
      </c>
      <c r="D5528" s="55" t="s">
        <v>50</v>
      </c>
      <c r="E5528" s="19">
        <v>207.85</v>
      </c>
      <c r="F5528" s="19">
        <v>7</v>
      </c>
      <c r="G5528" s="55" t="s">
        <v>11</v>
      </c>
      <c r="H5528" s="74">
        <v>10</v>
      </c>
      <c r="K5528" s="55" t="s">
        <v>25</v>
      </c>
    </row>
    <row r="5529" spans="1:12" x14ac:dyDescent="0.3">
      <c r="H5529" s="74">
        <v>10</v>
      </c>
      <c r="K5529" s="55" t="s">
        <v>84</v>
      </c>
    </row>
    <row r="5530" spans="1:12" x14ac:dyDescent="0.3">
      <c r="H5530" s="74">
        <v>70</v>
      </c>
      <c r="K5530" s="55" t="s">
        <v>96</v>
      </c>
    </row>
    <row r="5531" spans="1:12" x14ac:dyDescent="0.3">
      <c r="H5531" s="74">
        <v>20</v>
      </c>
      <c r="K5531" s="55" t="s">
        <v>32</v>
      </c>
      <c r="L5531" s="60" t="s">
        <v>1753</v>
      </c>
    </row>
    <row r="5532" spans="1:12" x14ac:dyDescent="0.3">
      <c r="H5532" s="74">
        <v>30</v>
      </c>
      <c r="K5532" s="55" t="s">
        <v>32</v>
      </c>
      <c r="L5532" s="60" t="s">
        <v>1754</v>
      </c>
    </row>
    <row r="5533" spans="1:12" x14ac:dyDescent="0.3">
      <c r="H5533" s="74">
        <v>20</v>
      </c>
      <c r="K5533" s="55" t="s">
        <v>33</v>
      </c>
      <c r="L5533" s="60" t="s">
        <v>1756</v>
      </c>
    </row>
    <row r="5534" spans="1:12" x14ac:dyDescent="0.3">
      <c r="H5534" s="74">
        <v>25</v>
      </c>
      <c r="K5534" s="55" t="s">
        <v>34</v>
      </c>
      <c r="L5534" s="60" t="s">
        <v>253</v>
      </c>
    </row>
    <row r="5535" spans="1:12" x14ac:dyDescent="0.3">
      <c r="H5535" s="74">
        <v>35</v>
      </c>
      <c r="K5535" s="55" t="s">
        <v>34</v>
      </c>
      <c r="L5535" s="60" t="s">
        <v>1306</v>
      </c>
    </row>
    <row r="5536" spans="1:12" x14ac:dyDescent="0.3">
      <c r="H5536" s="74">
        <v>20</v>
      </c>
      <c r="K5536" s="55" t="s">
        <v>102</v>
      </c>
    </row>
    <row r="5537" spans="1:12" x14ac:dyDescent="0.3">
      <c r="H5537" s="74">
        <v>35</v>
      </c>
      <c r="K5537" s="55" t="s">
        <v>32</v>
      </c>
      <c r="L5537" s="60" t="s">
        <v>1070</v>
      </c>
    </row>
    <row r="5538" spans="1:12" x14ac:dyDescent="0.3">
      <c r="H5538" s="74">
        <v>30</v>
      </c>
      <c r="K5538" s="55" t="s">
        <v>33</v>
      </c>
      <c r="L5538" s="60" t="s">
        <v>1755</v>
      </c>
    </row>
    <row r="5539" spans="1:12" x14ac:dyDescent="0.3">
      <c r="H5539" s="74">
        <v>30</v>
      </c>
      <c r="K5539" s="55" t="s">
        <v>55</v>
      </c>
      <c r="L5539" s="60" t="s">
        <v>734</v>
      </c>
    </row>
    <row r="5540" spans="1:12" x14ac:dyDescent="0.3">
      <c r="H5540" s="74">
        <v>30</v>
      </c>
      <c r="K5540" s="55" t="s">
        <v>55</v>
      </c>
      <c r="L5540" s="60" t="s">
        <v>1542</v>
      </c>
    </row>
    <row r="5542" spans="1:12" x14ac:dyDescent="0.3">
      <c r="A5542" s="72" t="s">
        <v>1757</v>
      </c>
      <c r="B5542" s="55" t="s">
        <v>10</v>
      </c>
      <c r="C5542" s="67" t="s">
        <v>47</v>
      </c>
      <c r="D5542" s="55" t="s">
        <v>51</v>
      </c>
      <c r="E5542" s="19">
        <v>258.48</v>
      </c>
      <c r="F5542" s="19">
        <v>7</v>
      </c>
      <c r="G5542" s="55" t="s">
        <v>11</v>
      </c>
      <c r="H5542" s="74">
        <v>10</v>
      </c>
      <c r="K5542" s="55" t="s">
        <v>25</v>
      </c>
    </row>
    <row r="5543" spans="1:12" x14ac:dyDescent="0.3">
      <c r="H5543" s="74">
        <v>10</v>
      </c>
      <c r="K5543" s="55" t="s">
        <v>84</v>
      </c>
    </row>
    <row r="5544" spans="1:12" x14ac:dyDescent="0.3">
      <c r="H5544" s="74">
        <v>70</v>
      </c>
      <c r="K5544" s="55" t="s">
        <v>96</v>
      </c>
    </row>
    <row r="5545" spans="1:12" x14ac:dyDescent="0.3">
      <c r="H5545" s="74">
        <v>120</v>
      </c>
      <c r="K5545" s="55" t="s">
        <v>32</v>
      </c>
      <c r="L5545" s="60" t="s">
        <v>1758</v>
      </c>
    </row>
    <row r="5546" spans="1:12" x14ac:dyDescent="0.3">
      <c r="H5546" s="74">
        <v>20</v>
      </c>
      <c r="K5546" s="55" t="s">
        <v>34</v>
      </c>
      <c r="L5546" s="60" t="s">
        <v>253</v>
      </c>
    </row>
    <row r="5547" spans="1:12" x14ac:dyDescent="0.3">
      <c r="H5547" s="74">
        <v>40</v>
      </c>
      <c r="K5547" s="55" t="s">
        <v>34</v>
      </c>
      <c r="L5547" s="60" t="s">
        <v>1306</v>
      </c>
    </row>
    <row r="5548" spans="1:12" x14ac:dyDescent="0.3">
      <c r="H5548" s="74">
        <v>30</v>
      </c>
      <c r="K5548" s="55" t="s">
        <v>55</v>
      </c>
      <c r="L5548" s="60" t="s">
        <v>1542</v>
      </c>
    </row>
    <row r="5549" spans="1:12" x14ac:dyDescent="0.3">
      <c r="H5549" s="74">
        <v>20</v>
      </c>
      <c r="K5549" s="55" t="s">
        <v>102</v>
      </c>
    </row>
    <row r="5550" spans="1:12" x14ac:dyDescent="0.3">
      <c r="H5550" s="74">
        <v>20</v>
      </c>
      <c r="K5550" s="55" t="s">
        <v>30</v>
      </c>
      <c r="L5550" s="60" t="s">
        <v>136</v>
      </c>
    </row>
    <row r="5551" spans="1:12" x14ac:dyDescent="0.3">
      <c r="H5551" s="74">
        <v>25</v>
      </c>
      <c r="K5551" s="55" t="s">
        <v>32</v>
      </c>
      <c r="L5551" s="60" t="s">
        <v>1490</v>
      </c>
    </row>
    <row r="5554" spans="1:12" x14ac:dyDescent="0.3">
      <c r="A5554" s="72" t="s">
        <v>1752</v>
      </c>
      <c r="B5554" s="55" t="s">
        <v>12</v>
      </c>
      <c r="C5554" s="67" t="s">
        <v>46</v>
      </c>
      <c r="D5554" s="55" t="s">
        <v>52</v>
      </c>
      <c r="E5554" s="19">
        <v>252.51</v>
      </c>
      <c r="F5554" s="19">
        <v>8</v>
      </c>
      <c r="G5554" s="55" t="s">
        <v>11</v>
      </c>
      <c r="H5554" s="74">
        <v>10</v>
      </c>
      <c r="K5554" s="55" t="s">
        <v>25</v>
      </c>
    </row>
    <row r="5555" spans="1:12" x14ac:dyDescent="0.3">
      <c r="H5555" s="74">
        <v>10</v>
      </c>
      <c r="K5555" s="55" t="s">
        <v>84</v>
      </c>
    </row>
    <row r="5556" spans="1:12" x14ac:dyDescent="0.3">
      <c r="H5556" s="74">
        <v>110</v>
      </c>
      <c r="K5556" s="55" t="s">
        <v>96</v>
      </c>
    </row>
    <row r="5557" spans="1:12" x14ac:dyDescent="0.3">
      <c r="H5557" s="74">
        <v>30</v>
      </c>
      <c r="K5557" s="55" t="s">
        <v>32</v>
      </c>
      <c r="L5557" s="60" t="s">
        <v>1744</v>
      </c>
    </row>
    <row r="5558" spans="1:12" x14ac:dyDescent="0.3">
      <c r="H5558" s="74">
        <v>50</v>
      </c>
      <c r="K5558" s="55" t="s">
        <v>32</v>
      </c>
      <c r="L5558" s="60" t="s">
        <v>1070</v>
      </c>
    </row>
    <row r="5559" spans="1:12" x14ac:dyDescent="0.3">
      <c r="H5559" s="74">
        <v>30</v>
      </c>
      <c r="K5559" s="55" t="s">
        <v>34</v>
      </c>
      <c r="L5559" s="60" t="s">
        <v>1306</v>
      </c>
    </row>
    <row r="5560" spans="1:12" x14ac:dyDescent="0.3">
      <c r="H5560" s="74">
        <v>45</v>
      </c>
      <c r="K5560" s="55" t="s">
        <v>30</v>
      </c>
      <c r="L5560" s="60" t="s">
        <v>961</v>
      </c>
    </row>
    <row r="5561" spans="1:12" x14ac:dyDescent="0.3">
      <c r="H5561" s="74">
        <v>30</v>
      </c>
      <c r="K5561" s="55" t="s">
        <v>34</v>
      </c>
      <c r="L5561" s="60" t="s">
        <v>253</v>
      </c>
    </row>
    <row r="5562" spans="1:12" x14ac:dyDescent="0.3">
      <c r="H5562" s="74">
        <v>30</v>
      </c>
      <c r="K5562" s="55" t="s">
        <v>55</v>
      </c>
      <c r="L5562" s="60" t="s">
        <v>1759</v>
      </c>
    </row>
    <row r="5564" spans="1:12" x14ac:dyDescent="0.3">
      <c r="A5564" s="72" t="s">
        <v>1760</v>
      </c>
      <c r="B5564" s="55" t="s">
        <v>0</v>
      </c>
      <c r="C5564" s="67" t="s">
        <v>48</v>
      </c>
      <c r="D5564" s="55" t="s">
        <v>51</v>
      </c>
      <c r="E5564" s="19">
        <v>150.47</v>
      </c>
      <c r="F5564" s="19">
        <v>5</v>
      </c>
      <c r="G5564" s="55" t="s">
        <v>11</v>
      </c>
      <c r="H5564" s="74">
        <v>10</v>
      </c>
      <c r="K5564" s="55" t="s">
        <v>25</v>
      </c>
    </row>
    <row r="5565" spans="1:12" x14ac:dyDescent="0.3">
      <c r="H5565" s="74">
        <v>10</v>
      </c>
      <c r="K5565" s="55" t="s">
        <v>84</v>
      </c>
    </row>
    <row r="5566" spans="1:12" x14ac:dyDescent="0.3">
      <c r="H5566" s="74">
        <v>90</v>
      </c>
      <c r="K5566" s="55" t="s">
        <v>32</v>
      </c>
      <c r="L5566" s="60" t="s">
        <v>1761</v>
      </c>
    </row>
    <row r="5567" spans="1:12" x14ac:dyDescent="0.3">
      <c r="H5567" s="74">
        <v>50</v>
      </c>
      <c r="K5567" s="55" t="s">
        <v>96</v>
      </c>
    </row>
    <row r="5568" spans="1:12" x14ac:dyDescent="0.3">
      <c r="H5568" s="74">
        <v>25</v>
      </c>
      <c r="K5568" s="55" t="s">
        <v>34</v>
      </c>
      <c r="L5568" s="60" t="s">
        <v>149</v>
      </c>
    </row>
    <row r="5569" spans="1:12" x14ac:dyDescent="0.3">
      <c r="H5569" s="74">
        <v>30</v>
      </c>
      <c r="K5569" s="55" t="s">
        <v>34</v>
      </c>
      <c r="L5569" s="60" t="s">
        <v>1764</v>
      </c>
    </row>
    <row r="5570" spans="1:12" x14ac:dyDescent="0.3">
      <c r="H5570" s="74">
        <v>30</v>
      </c>
      <c r="K5570" s="55" t="s">
        <v>55</v>
      </c>
      <c r="L5570" s="60" t="s">
        <v>1762</v>
      </c>
    </row>
    <row r="5571" spans="1:12" x14ac:dyDescent="0.3">
      <c r="H5571" s="74">
        <v>60</v>
      </c>
      <c r="K5571" s="55" t="s">
        <v>33</v>
      </c>
      <c r="L5571" s="60" t="s">
        <v>1763</v>
      </c>
    </row>
    <row r="5572" spans="1:12" x14ac:dyDescent="0.3">
      <c r="H5572" s="74">
        <v>15</v>
      </c>
      <c r="K5572" s="55" t="s">
        <v>55</v>
      </c>
      <c r="L5572" s="60" t="s">
        <v>303</v>
      </c>
    </row>
    <row r="5573" spans="1:12" x14ac:dyDescent="0.3">
      <c r="H5573" s="74">
        <v>15</v>
      </c>
      <c r="K5573" s="55" t="s">
        <v>55</v>
      </c>
      <c r="L5573" s="60" t="s">
        <v>1765</v>
      </c>
    </row>
    <row r="5574" spans="1:12" x14ac:dyDescent="0.3">
      <c r="H5574" s="74">
        <v>60</v>
      </c>
      <c r="K5574" s="55" t="s">
        <v>32</v>
      </c>
      <c r="L5574" s="60" t="s">
        <v>1766</v>
      </c>
    </row>
    <row r="5575" spans="1:12" x14ac:dyDescent="0.3">
      <c r="H5575" s="74">
        <v>15</v>
      </c>
      <c r="K5575" s="55" t="s">
        <v>55</v>
      </c>
      <c r="L5575" s="60" t="s">
        <v>1767</v>
      </c>
    </row>
    <row r="5577" spans="1:12" x14ac:dyDescent="0.3">
      <c r="A5577" s="72" t="s">
        <v>1760</v>
      </c>
      <c r="B5577" s="55" t="s">
        <v>10</v>
      </c>
      <c r="C5577" s="67" t="s">
        <v>49</v>
      </c>
      <c r="D5577" s="55" t="s">
        <v>52</v>
      </c>
      <c r="E5577" s="19">
        <v>270.8</v>
      </c>
      <c r="F5577" s="19">
        <v>8</v>
      </c>
      <c r="G5577" s="55" t="s">
        <v>11</v>
      </c>
      <c r="H5577" s="74">
        <v>10</v>
      </c>
      <c r="K5577" s="55" t="s">
        <v>25</v>
      </c>
    </row>
    <row r="5578" spans="1:12" x14ac:dyDescent="0.3">
      <c r="H5578" s="74">
        <v>10</v>
      </c>
      <c r="K5578" s="55" t="s">
        <v>84</v>
      </c>
    </row>
    <row r="5579" spans="1:12" x14ac:dyDescent="0.3">
      <c r="H5579" s="74">
        <v>80</v>
      </c>
      <c r="K5579" s="55" t="s">
        <v>96</v>
      </c>
    </row>
    <row r="5580" spans="1:12" x14ac:dyDescent="0.3">
      <c r="H5580" s="74">
        <v>60</v>
      </c>
      <c r="K5580" s="55" t="s">
        <v>32</v>
      </c>
      <c r="L5580" s="60" t="s">
        <v>1768</v>
      </c>
    </row>
    <row r="5581" spans="1:12" x14ac:dyDescent="0.3">
      <c r="H5581" s="74">
        <v>30</v>
      </c>
      <c r="K5581" s="55" t="s">
        <v>34</v>
      </c>
      <c r="L5581" s="60" t="s">
        <v>1769</v>
      </c>
    </row>
    <row r="5582" spans="1:12" x14ac:dyDescent="0.3">
      <c r="H5582" s="74">
        <v>50</v>
      </c>
      <c r="K5582" s="55" t="s">
        <v>34</v>
      </c>
      <c r="L5582" s="60" t="s">
        <v>1770</v>
      </c>
    </row>
    <row r="5583" spans="1:12" x14ac:dyDescent="0.3">
      <c r="H5583" s="74">
        <v>25</v>
      </c>
      <c r="K5583" s="55" t="s">
        <v>102</v>
      </c>
    </row>
    <row r="5584" spans="1:12" x14ac:dyDescent="0.3">
      <c r="H5584" s="74">
        <v>25</v>
      </c>
      <c r="K5584" s="55" t="s">
        <v>30</v>
      </c>
      <c r="L5584" s="60" t="s">
        <v>1771</v>
      </c>
    </row>
    <row r="5585" spans="1:12" x14ac:dyDescent="0.3">
      <c r="H5585" s="74">
        <v>15</v>
      </c>
      <c r="K5585" s="55" t="s">
        <v>55</v>
      </c>
      <c r="L5585" s="60" t="s">
        <v>1772</v>
      </c>
    </row>
    <row r="5586" spans="1:12" x14ac:dyDescent="0.3">
      <c r="H5586" s="74">
        <v>15</v>
      </c>
      <c r="K5586" s="55" t="s">
        <v>33</v>
      </c>
      <c r="L5586" s="60" t="s">
        <v>1773</v>
      </c>
    </row>
    <row r="5588" spans="1:12" x14ac:dyDescent="0.3">
      <c r="A5588" s="72" t="s">
        <v>1760</v>
      </c>
      <c r="B5588" s="55" t="s">
        <v>12</v>
      </c>
      <c r="C5588" s="67" t="s">
        <v>46</v>
      </c>
      <c r="D5588" s="55" t="s">
        <v>50</v>
      </c>
      <c r="E5588" s="19">
        <v>272.27999999999997</v>
      </c>
      <c r="F5588" s="19">
        <v>9</v>
      </c>
      <c r="G5588" s="55" t="s">
        <v>11</v>
      </c>
      <c r="H5588" s="19">
        <v>10</v>
      </c>
      <c r="I5588" s="53"/>
      <c r="J5588" s="53"/>
      <c r="K5588" s="19" t="s">
        <v>25</v>
      </c>
      <c r="L5588" s="19"/>
    </row>
    <row r="5589" spans="1:12" x14ac:dyDescent="0.3">
      <c r="H5589" s="19">
        <v>10</v>
      </c>
      <c r="I5589" s="53"/>
      <c r="J5589" s="53"/>
      <c r="K5589" s="19" t="s">
        <v>84</v>
      </c>
      <c r="L5589" s="19"/>
    </row>
    <row r="5590" spans="1:12" x14ac:dyDescent="0.3">
      <c r="H5590" s="19">
        <v>80</v>
      </c>
      <c r="I5590" s="53"/>
      <c r="J5590" s="53"/>
      <c r="K5590" s="19" t="s">
        <v>33</v>
      </c>
      <c r="L5590" s="19" t="s">
        <v>1774</v>
      </c>
    </row>
    <row r="5591" spans="1:12" x14ac:dyDescent="0.3">
      <c r="H5591" s="19">
        <v>90</v>
      </c>
      <c r="I5591" s="53"/>
      <c r="J5591" s="53"/>
      <c r="K5591" s="19" t="s">
        <v>96</v>
      </c>
      <c r="L5591" s="19"/>
    </row>
    <row r="5592" spans="1:12" x14ac:dyDescent="0.3">
      <c r="H5592" s="19">
        <v>90</v>
      </c>
      <c r="I5592" s="53"/>
      <c r="J5592" s="53"/>
      <c r="K5592" s="19" t="s">
        <v>32</v>
      </c>
      <c r="L5592" s="75" t="s">
        <v>1329</v>
      </c>
    </row>
    <row r="5593" spans="1:12" x14ac:dyDescent="0.3">
      <c r="H5593" s="19">
        <v>20</v>
      </c>
      <c r="I5593" s="53"/>
      <c r="J5593" s="53"/>
      <c r="K5593" s="19" t="s">
        <v>34</v>
      </c>
      <c r="L5593" s="75" t="s">
        <v>149</v>
      </c>
    </row>
    <row r="5594" spans="1:12" x14ac:dyDescent="0.3">
      <c r="H5594" s="19">
        <v>20</v>
      </c>
      <c r="I5594" s="53"/>
      <c r="J5594" s="53"/>
      <c r="K5594" s="19" t="s">
        <v>34</v>
      </c>
      <c r="L5594" s="75" t="s">
        <v>1306</v>
      </c>
    </row>
    <row r="5595" spans="1:12" x14ac:dyDescent="0.3">
      <c r="H5595" s="74">
        <v>30</v>
      </c>
      <c r="I5595" s="53"/>
      <c r="J5595" s="53"/>
      <c r="K5595" s="55" t="s">
        <v>30</v>
      </c>
      <c r="L5595" s="75"/>
    </row>
    <row r="5596" spans="1:12" x14ac:dyDescent="0.3">
      <c r="H5596" s="74">
        <v>20</v>
      </c>
      <c r="I5596" s="53"/>
      <c r="J5596" s="53"/>
      <c r="K5596" s="55" t="s">
        <v>55</v>
      </c>
      <c r="L5596" s="75" t="s">
        <v>1542</v>
      </c>
    </row>
    <row r="5597" spans="1:12" x14ac:dyDescent="0.3">
      <c r="I5597" s="53"/>
      <c r="J5597" s="53"/>
      <c r="L5597" s="75"/>
    </row>
    <row r="5598" spans="1:12" x14ac:dyDescent="0.3">
      <c r="A5598" s="72" t="s">
        <v>1775</v>
      </c>
      <c r="B5598" s="55" t="s">
        <v>0</v>
      </c>
      <c r="C5598" s="67" t="s">
        <v>48</v>
      </c>
      <c r="D5598" s="55" t="s">
        <v>51</v>
      </c>
      <c r="E5598" s="19">
        <v>354.85</v>
      </c>
      <c r="F5598" s="19">
        <v>10</v>
      </c>
      <c r="G5598" s="55" t="s">
        <v>11</v>
      </c>
      <c r="H5598" s="19">
        <v>10</v>
      </c>
      <c r="I5598" s="53"/>
      <c r="J5598" s="53"/>
      <c r="K5598" s="19" t="s">
        <v>25</v>
      </c>
    </row>
    <row r="5599" spans="1:12" x14ac:dyDescent="0.3">
      <c r="H5599" s="19">
        <v>10</v>
      </c>
      <c r="I5599" s="53"/>
      <c r="J5599" s="53"/>
      <c r="K5599" s="19" t="s">
        <v>84</v>
      </c>
    </row>
    <row r="5600" spans="1:12" x14ac:dyDescent="0.3">
      <c r="H5600" s="74">
        <v>100</v>
      </c>
      <c r="K5600" s="55" t="s">
        <v>96</v>
      </c>
    </row>
    <row r="5601" spans="1:12" x14ac:dyDescent="0.3">
      <c r="H5601" s="74">
        <v>80</v>
      </c>
      <c r="K5601" s="55" t="s">
        <v>32</v>
      </c>
      <c r="L5601" s="75" t="s">
        <v>338</v>
      </c>
    </row>
    <row r="5602" spans="1:12" x14ac:dyDescent="0.3">
      <c r="H5602" s="74">
        <v>30</v>
      </c>
      <c r="K5602" s="55" t="s">
        <v>34</v>
      </c>
      <c r="L5602" s="60" t="s">
        <v>149</v>
      </c>
    </row>
    <row r="5603" spans="1:12" x14ac:dyDescent="0.3">
      <c r="H5603" s="74">
        <v>30</v>
      </c>
      <c r="K5603" s="55" t="s">
        <v>34</v>
      </c>
      <c r="L5603" s="60" t="s">
        <v>561</v>
      </c>
    </row>
    <row r="5604" spans="1:12" x14ac:dyDescent="0.3">
      <c r="H5604" s="74">
        <v>30</v>
      </c>
      <c r="K5604" s="55" t="s">
        <v>55</v>
      </c>
      <c r="L5604" s="60" t="s">
        <v>356</v>
      </c>
    </row>
    <row r="5605" spans="1:12" x14ac:dyDescent="0.3">
      <c r="H5605" s="74">
        <v>25</v>
      </c>
      <c r="K5605" s="55" t="s">
        <v>102</v>
      </c>
    </row>
    <row r="5606" spans="1:12" x14ac:dyDescent="0.3">
      <c r="H5606" s="74">
        <v>15</v>
      </c>
      <c r="K5606" s="55" t="s">
        <v>55</v>
      </c>
      <c r="L5606" s="60" t="s">
        <v>1776</v>
      </c>
    </row>
    <row r="5607" spans="1:12" x14ac:dyDescent="0.3">
      <c r="H5607" s="74">
        <v>15</v>
      </c>
      <c r="K5607" s="55" t="s">
        <v>55</v>
      </c>
      <c r="L5607" s="60" t="s">
        <v>1777</v>
      </c>
    </row>
    <row r="5609" spans="1:12" x14ac:dyDescent="0.3">
      <c r="A5609" s="72" t="s">
        <v>1775</v>
      </c>
      <c r="B5609" s="55" t="s">
        <v>10</v>
      </c>
      <c r="D5609" s="55" t="s">
        <v>52</v>
      </c>
      <c r="E5609" s="19">
        <v>33.21</v>
      </c>
      <c r="F5609" s="19" t="s">
        <v>1780</v>
      </c>
      <c r="G5609" s="55" t="s">
        <v>11</v>
      </c>
      <c r="H5609" s="74">
        <v>10</v>
      </c>
      <c r="K5609" s="55" t="s">
        <v>25</v>
      </c>
    </row>
    <row r="5610" spans="1:12" x14ac:dyDescent="0.3">
      <c r="H5610" s="74">
        <v>10</v>
      </c>
      <c r="K5610" s="55" t="s">
        <v>84</v>
      </c>
    </row>
    <row r="5611" spans="1:12" x14ac:dyDescent="0.3">
      <c r="H5611" s="74">
        <v>15</v>
      </c>
      <c r="K5611" s="55" t="s">
        <v>96</v>
      </c>
    </row>
    <row r="5612" spans="1:12" x14ac:dyDescent="0.3">
      <c r="H5612" s="74">
        <v>40</v>
      </c>
      <c r="K5612" s="55" t="s">
        <v>32</v>
      </c>
      <c r="L5612" s="60" t="s">
        <v>942</v>
      </c>
    </row>
    <row r="5613" spans="1:12" x14ac:dyDescent="0.3">
      <c r="H5613" s="74">
        <v>20</v>
      </c>
      <c r="K5613" s="55" t="s">
        <v>34</v>
      </c>
      <c r="L5613" s="60" t="s">
        <v>149</v>
      </c>
    </row>
    <row r="5614" spans="1:12" x14ac:dyDescent="0.3">
      <c r="H5614" s="74">
        <v>20</v>
      </c>
      <c r="K5614" s="55" t="s">
        <v>34</v>
      </c>
      <c r="L5614" s="60" t="s">
        <v>561</v>
      </c>
    </row>
    <row r="5615" spans="1:12" x14ac:dyDescent="0.3">
      <c r="H5615" s="74">
        <v>30</v>
      </c>
      <c r="K5615" s="55" t="s">
        <v>32</v>
      </c>
      <c r="L5615" s="60" t="s">
        <v>1778</v>
      </c>
    </row>
    <row r="5616" spans="1:12" x14ac:dyDescent="0.3">
      <c r="H5616" s="74">
        <v>40</v>
      </c>
      <c r="K5616" s="55" t="s">
        <v>32</v>
      </c>
      <c r="L5616" s="60" t="s">
        <v>597</v>
      </c>
    </row>
    <row r="5617" spans="1:13" x14ac:dyDescent="0.3">
      <c r="H5617" s="74">
        <v>240</v>
      </c>
      <c r="K5617" s="55" t="s">
        <v>55</v>
      </c>
      <c r="L5617" s="60" t="s">
        <v>1779</v>
      </c>
    </row>
    <row r="5619" spans="1:13" x14ac:dyDescent="0.3">
      <c r="A5619" s="72" t="s">
        <v>1775</v>
      </c>
      <c r="B5619" s="55" t="s">
        <v>12</v>
      </c>
      <c r="C5619" s="67" t="s">
        <v>47</v>
      </c>
      <c r="D5619" s="55" t="s">
        <v>50</v>
      </c>
      <c r="E5619" s="19">
        <v>29.52</v>
      </c>
      <c r="F5619" s="19" t="s">
        <v>1780</v>
      </c>
      <c r="G5619" s="55" t="s">
        <v>11</v>
      </c>
      <c r="H5619" s="74">
        <v>10</v>
      </c>
      <c r="K5619" s="55" t="s">
        <v>25</v>
      </c>
    </row>
    <row r="5620" spans="1:13" x14ac:dyDescent="0.3">
      <c r="H5620" s="74">
        <v>10</v>
      </c>
      <c r="K5620" s="55" t="s">
        <v>96</v>
      </c>
    </row>
    <row r="5621" spans="1:13" x14ac:dyDescent="0.3">
      <c r="H5621" s="74">
        <v>420</v>
      </c>
      <c r="K5621" s="55" t="s">
        <v>55</v>
      </c>
      <c r="L5621" s="60" t="s">
        <v>1781</v>
      </c>
      <c r="M5621" s="1" t="s">
        <v>1782</v>
      </c>
    </row>
    <row r="5622" spans="1:13" x14ac:dyDescent="0.3">
      <c r="H5622" s="74">
        <v>30</v>
      </c>
      <c r="K5622" s="55" t="s">
        <v>32</v>
      </c>
      <c r="L5622" s="60" t="s">
        <v>942</v>
      </c>
    </row>
    <row r="5624" spans="1:13" x14ac:dyDescent="0.3">
      <c r="A5624" s="72" t="s">
        <v>1783</v>
      </c>
      <c r="B5624" s="55" t="s">
        <v>0</v>
      </c>
      <c r="C5624" s="67" t="s">
        <v>296</v>
      </c>
      <c r="D5624" s="55" t="s">
        <v>51</v>
      </c>
      <c r="E5624" s="19">
        <v>29.1</v>
      </c>
      <c r="F5624" s="19">
        <v>1</v>
      </c>
      <c r="G5624" s="55" t="s">
        <v>11</v>
      </c>
      <c r="H5624" s="74">
        <v>10</v>
      </c>
      <c r="K5624" s="55" t="s">
        <v>25</v>
      </c>
    </row>
    <row r="5625" spans="1:13" x14ac:dyDescent="0.3">
      <c r="H5625" s="74">
        <v>15</v>
      </c>
      <c r="K5625" s="55" t="s">
        <v>96</v>
      </c>
    </row>
    <row r="5626" spans="1:13" x14ac:dyDescent="0.3">
      <c r="H5626" s="74">
        <v>10</v>
      </c>
      <c r="K5626" s="55" t="s">
        <v>34</v>
      </c>
    </row>
    <row r="5627" spans="1:13" x14ac:dyDescent="0.3">
      <c r="H5627" s="74">
        <v>430</v>
      </c>
      <c r="K5627" s="55" t="s">
        <v>55</v>
      </c>
      <c r="L5627" s="60" t="s">
        <v>1784</v>
      </c>
    </row>
    <row r="5631" spans="1:13" x14ac:dyDescent="0.3">
      <c r="A5631" s="72" t="s">
        <v>1783</v>
      </c>
      <c r="B5631" s="55" t="s">
        <v>10</v>
      </c>
      <c r="C5631" s="67" t="s">
        <v>46</v>
      </c>
      <c r="D5631" s="55" t="s">
        <v>52</v>
      </c>
      <c r="E5631" s="19">
        <v>144.21</v>
      </c>
      <c r="F5631" s="19">
        <v>5</v>
      </c>
      <c r="G5631" s="55" t="s">
        <v>11</v>
      </c>
      <c r="H5631" s="74">
        <v>10</v>
      </c>
      <c r="K5631" s="55" t="s">
        <v>25</v>
      </c>
    </row>
    <row r="5632" spans="1:13" x14ac:dyDescent="0.3">
      <c r="H5632" s="74">
        <v>10</v>
      </c>
      <c r="K5632" s="55" t="s">
        <v>84</v>
      </c>
    </row>
    <row r="5633" spans="1:12" x14ac:dyDescent="0.3">
      <c r="H5633" s="74">
        <v>70</v>
      </c>
      <c r="K5633" s="55" t="s">
        <v>96</v>
      </c>
    </row>
    <row r="5634" spans="1:12" x14ac:dyDescent="0.3">
      <c r="H5634" s="74">
        <v>60</v>
      </c>
      <c r="K5634" s="55" t="s">
        <v>32</v>
      </c>
      <c r="L5634" s="60" t="s">
        <v>503</v>
      </c>
    </row>
    <row r="5635" spans="1:12" x14ac:dyDescent="0.3">
      <c r="H5635" s="74">
        <v>20</v>
      </c>
      <c r="K5635" s="55" t="s">
        <v>34</v>
      </c>
      <c r="L5635" s="60" t="s">
        <v>149</v>
      </c>
    </row>
    <row r="5636" spans="1:12" x14ac:dyDescent="0.3">
      <c r="H5636" s="74">
        <v>40</v>
      </c>
      <c r="K5636" s="55" t="s">
        <v>34</v>
      </c>
      <c r="L5636" s="60" t="s">
        <v>561</v>
      </c>
    </row>
    <row r="5637" spans="1:12" x14ac:dyDescent="0.3">
      <c r="H5637" s="74">
        <v>20</v>
      </c>
      <c r="K5637" s="55" t="s">
        <v>32</v>
      </c>
      <c r="L5637" s="60" t="s">
        <v>1778</v>
      </c>
    </row>
    <row r="5638" spans="1:12" x14ac:dyDescent="0.3">
      <c r="H5638" s="74">
        <v>75</v>
      </c>
      <c r="K5638" s="55" t="s">
        <v>33</v>
      </c>
      <c r="L5638" s="60" t="s">
        <v>1785</v>
      </c>
    </row>
    <row r="5639" spans="1:12" x14ac:dyDescent="0.3">
      <c r="H5639" s="74">
        <v>30</v>
      </c>
      <c r="K5639" s="55" t="s">
        <v>33</v>
      </c>
      <c r="L5639" s="60" t="s">
        <v>1786</v>
      </c>
    </row>
    <row r="5640" spans="1:12" x14ac:dyDescent="0.3">
      <c r="H5640" s="74">
        <v>30</v>
      </c>
      <c r="K5640" s="55" t="s">
        <v>33</v>
      </c>
      <c r="L5640" s="60" t="s">
        <v>1787</v>
      </c>
    </row>
    <row r="5641" spans="1:12" x14ac:dyDescent="0.3">
      <c r="H5641" s="74">
        <v>30</v>
      </c>
      <c r="K5641" s="55" t="s">
        <v>33</v>
      </c>
      <c r="L5641" s="60" t="s">
        <v>1788</v>
      </c>
    </row>
    <row r="5642" spans="1:12" x14ac:dyDescent="0.3">
      <c r="H5642" s="74">
        <v>15</v>
      </c>
      <c r="K5642" s="55" t="s">
        <v>55</v>
      </c>
      <c r="L5642" s="60" t="s">
        <v>415</v>
      </c>
    </row>
    <row r="5644" spans="1:12" x14ac:dyDescent="0.3">
      <c r="A5644" s="72" t="s">
        <v>1783</v>
      </c>
      <c r="B5644" s="55" t="s">
        <v>12</v>
      </c>
      <c r="C5644" s="67" t="s">
        <v>47</v>
      </c>
      <c r="D5644" s="55" t="s">
        <v>50</v>
      </c>
      <c r="E5644" s="19">
        <v>134.08000000000001</v>
      </c>
      <c r="F5644" s="19">
        <v>4</v>
      </c>
      <c r="G5644" s="55" t="s">
        <v>11</v>
      </c>
      <c r="H5644" s="74">
        <v>10</v>
      </c>
      <c r="K5644" s="55" t="s">
        <v>25</v>
      </c>
    </row>
    <row r="5645" spans="1:12" x14ac:dyDescent="0.3">
      <c r="H5645" s="74">
        <v>10</v>
      </c>
      <c r="K5645" s="55" t="s">
        <v>84</v>
      </c>
    </row>
    <row r="5646" spans="1:12" x14ac:dyDescent="0.3">
      <c r="H5646" s="74">
        <v>50</v>
      </c>
      <c r="K5646" s="55" t="s">
        <v>96</v>
      </c>
    </row>
    <row r="5647" spans="1:12" x14ac:dyDescent="0.3">
      <c r="H5647" s="74">
        <v>120</v>
      </c>
      <c r="K5647" s="55" t="s">
        <v>32</v>
      </c>
      <c r="L5647" s="60" t="s">
        <v>1789</v>
      </c>
    </row>
    <row r="5648" spans="1:12" x14ac:dyDescent="0.3">
      <c r="H5648" s="74">
        <v>120</v>
      </c>
      <c r="K5648" s="55" t="s">
        <v>32</v>
      </c>
      <c r="L5648" s="60" t="s">
        <v>1790</v>
      </c>
    </row>
    <row r="5649" spans="1:12" x14ac:dyDescent="0.3">
      <c r="H5649" s="74">
        <v>30</v>
      </c>
      <c r="K5649" s="55" t="s">
        <v>34</v>
      </c>
    </row>
    <row r="5650" spans="1:12" x14ac:dyDescent="0.3">
      <c r="H5650" s="74">
        <v>30</v>
      </c>
      <c r="K5650" s="55" t="s">
        <v>34</v>
      </c>
    </row>
    <row r="5651" spans="1:12" x14ac:dyDescent="0.3">
      <c r="H5651" s="74">
        <v>20</v>
      </c>
      <c r="K5651" s="55" t="s">
        <v>55</v>
      </c>
    </row>
    <row r="5652" spans="1:12" x14ac:dyDescent="0.3">
      <c r="H5652" s="74">
        <v>30</v>
      </c>
      <c r="K5652" s="55" t="s">
        <v>33</v>
      </c>
      <c r="L5652" s="60" t="s">
        <v>1793</v>
      </c>
    </row>
    <row r="5654" spans="1:12" x14ac:dyDescent="0.3">
      <c r="A5654" s="72" t="s">
        <v>1791</v>
      </c>
      <c r="B5654" s="55" t="s">
        <v>0</v>
      </c>
      <c r="C5654" s="67" t="s">
        <v>48</v>
      </c>
      <c r="D5654" s="55" t="s">
        <v>51</v>
      </c>
      <c r="E5654" s="19">
        <v>252.37</v>
      </c>
      <c r="F5654" s="19">
        <v>7</v>
      </c>
      <c r="G5654" s="55" t="s">
        <v>11</v>
      </c>
      <c r="H5654" s="74">
        <v>10</v>
      </c>
      <c r="K5654" s="55" t="s">
        <v>25</v>
      </c>
    </row>
    <row r="5655" spans="1:12" x14ac:dyDescent="0.3">
      <c r="H5655" s="74">
        <v>10</v>
      </c>
      <c r="K5655" s="55" t="s">
        <v>84</v>
      </c>
    </row>
    <row r="5656" spans="1:12" x14ac:dyDescent="0.3">
      <c r="H5656" s="74">
        <v>70</v>
      </c>
      <c r="K5656" s="55" t="s">
        <v>96</v>
      </c>
    </row>
    <row r="5657" spans="1:12" x14ac:dyDescent="0.3">
      <c r="H5657" s="74">
        <v>20</v>
      </c>
      <c r="K5657" s="55" t="s">
        <v>34</v>
      </c>
      <c r="L5657" s="60" t="s">
        <v>149</v>
      </c>
    </row>
    <row r="5658" spans="1:12" x14ac:dyDescent="0.3">
      <c r="H5658" s="74">
        <v>20</v>
      </c>
      <c r="K5658" s="55" t="s">
        <v>34</v>
      </c>
      <c r="L5658" s="60" t="s">
        <v>561</v>
      </c>
    </row>
    <row r="5659" spans="1:12" x14ac:dyDescent="0.3">
      <c r="H5659" s="74">
        <v>80</v>
      </c>
      <c r="K5659" s="55" t="s">
        <v>55</v>
      </c>
      <c r="L5659" s="60" t="s">
        <v>356</v>
      </c>
    </row>
    <row r="5660" spans="1:12" x14ac:dyDescent="0.3">
      <c r="H5660" s="74">
        <v>40</v>
      </c>
      <c r="K5660" s="55" t="s">
        <v>32</v>
      </c>
      <c r="L5660" s="60" t="s">
        <v>460</v>
      </c>
    </row>
    <row r="5661" spans="1:12" x14ac:dyDescent="0.3">
      <c r="H5661" s="74">
        <v>25</v>
      </c>
      <c r="K5661" s="55" t="s">
        <v>102</v>
      </c>
    </row>
    <row r="5662" spans="1:12" x14ac:dyDescent="0.3">
      <c r="H5662" s="74">
        <v>15</v>
      </c>
      <c r="K5662" s="55" t="s">
        <v>55</v>
      </c>
      <c r="L5662" s="60" t="s">
        <v>13</v>
      </c>
    </row>
    <row r="5663" spans="1:12" x14ac:dyDescent="0.3">
      <c r="H5663" s="74">
        <v>90</v>
      </c>
      <c r="K5663" s="55" t="s">
        <v>55</v>
      </c>
      <c r="L5663" s="60" t="s">
        <v>1781</v>
      </c>
    </row>
    <row r="5666" spans="1:12" x14ac:dyDescent="0.3">
      <c r="A5666" s="72" t="s">
        <v>1791</v>
      </c>
      <c r="B5666" s="55" t="s">
        <v>10</v>
      </c>
      <c r="C5666" s="67" t="s">
        <v>46</v>
      </c>
      <c r="D5666" s="55" t="s">
        <v>52</v>
      </c>
      <c r="F5666" s="19" t="s">
        <v>1792</v>
      </c>
      <c r="G5666" s="55" t="s">
        <v>11</v>
      </c>
      <c r="H5666" s="74">
        <v>10</v>
      </c>
      <c r="K5666" s="55" t="s">
        <v>25</v>
      </c>
    </row>
    <row r="5667" spans="1:12" x14ac:dyDescent="0.3">
      <c r="H5667" s="74">
        <v>10</v>
      </c>
      <c r="K5667" s="55" t="s">
        <v>84</v>
      </c>
    </row>
    <row r="5668" spans="1:12" x14ac:dyDescent="0.3">
      <c r="H5668" s="74">
        <v>410</v>
      </c>
      <c r="K5668" s="55" t="s">
        <v>55</v>
      </c>
      <c r="L5668" s="60" t="s">
        <v>1794</v>
      </c>
    </row>
    <row r="5669" spans="1:12" x14ac:dyDescent="0.3">
      <c r="H5669" s="74">
        <v>40</v>
      </c>
      <c r="K5669" s="55" t="s">
        <v>32</v>
      </c>
      <c r="L5669" s="60" t="s">
        <v>942</v>
      </c>
    </row>
    <row r="5670" spans="1:12" x14ac:dyDescent="0.3">
      <c r="H5670" s="74">
        <v>10</v>
      </c>
      <c r="K5670" s="55" t="s">
        <v>102</v>
      </c>
    </row>
    <row r="5672" spans="1:12" x14ac:dyDescent="0.3">
      <c r="A5672" s="72" t="s">
        <v>1791</v>
      </c>
      <c r="B5672" s="55" t="s">
        <v>12</v>
      </c>
      <c r="C5672" s="67" t="s">
        <v>47</v>
      </c>
      <c r="D5672" s="55" t="s">
        <v>50</v>
      </c>
      <c r="E5672" s="19">
        <v>381.67</v>
      </c>
      <c r="F5672" s="19">
        <v>10</v>
      </c>
      <c r="G5672" s="55" t="s">
        <v>11</v>
      </c>
      <c r="H5672" s="74">
        <v>10</v>
      </c>
      <c r="K5672" s="55" t="s">
        <v>25</v>
      </c>
    </row>
    <row r="5673" spans="1:12" x14ac:dyDescent="0.3">
      <c r="H5673" s="74">
        <v>10</v>
      </c>
      <c r="K5673" s="55" t="s">
        <v>84</v>
      </c>
    </row>
    <row r="5674" spans="1:12" x14ac:dyDescent="0.3">
      <c r="H5674" s="74">
        <v>80</v>
      </c>
      <c r="K5674" s="55" t="s">
        <v>55</v>
      </c>
      <c r="L5674" s="60" t="s">
        <v>1794</v>
      </c>
    </row>
    <row r="5675" spans="1:12" x14ac:dyDescent="0.3">
      <c r="H5675" s="74">
        <v>100</v>
      </c>
      <c r="K5675" s="55" t="s">
        <v>96</v>
      </c>
    </row>
    <row r="5676" spans="1:12" x14ac:dyDescent="0.3">
      <c r="H5676" s="74">
        <v>50</v>
      </c>
      <c r="K5676" s="55" t="s">
        <v>55</v>
      </c>
      <c r="L5676" s="60" t="s">
        <v>356</v>
      </c>
    </row>
    <row r="5677" spans="1:12" x14ac:dyDescent="0.3">
      <c r="H5677" s="74">
        <v>40</v>
      </c>
      <c r="K5677" s="55" t="s">
        <v>55</v>
      </c>
      <c r="L5677" s="60" t="s">
        <v>1795</v>
      </c>
    </row>
    <row r="5678" spans="1:12" x14ac:dyDescent="0.3">
      <c r="H5678" s="74">
        <v>20</v>
      </c>
      <c r="K5678" s="55" t="s">
        <v>102</v>
      </c>
    </row>
    <row r="5680" spans="1:12" x14ac:dyDescent="0.3">
      <c r="A5680" s="72" t="s">
        <v>1796</v>
      </c>
      <c r="B5680" s="55" t="s">
        <v>0</v>
      </c>
      <c r="C5680" s="67" t="s">
        <v>48</v>
      </c>
      <c r="D5680" s="55" t="s">
        <v>51</v>
      </c>
      <c r="E5680" s="19">
        <v>225.9</v>
      </c>
      <c r="F5680" s="19">
        <v>6</v>
      </c>
      <c r="G5680" s="55" t="s">
        <v>11</v>
      </c>
      <c r="H5680" s="74">
        <v>10</v>
      </c>
      <c r="K5680" s="55" t="s">
        <v>25</v>
      </c>
    </row>
    <row r="5681" spans="1:13" x14ac:dyDescent="0.3">
      <c r="H5681" s="74">
        <v>10</v>
      </c>
      <c r="K5681" s="55" t="s">
        <v>84</v>
      </c>
    </row>
    <row r="5682" spans="1:13" x14ac:dyDescent="0.3">
      <c r="H5682" s="74">
        <v>60</v>
      </c>
      <c r="K5682" s="55" t="s">
        <v>96</v>
      </c>
    </row>
    <row r="5683" spans="1:13" ht="19.5" customHeight="1" x14ac:dyDescent="0.3">
      <c r="H5683" s="74">
        <v>50</v>
      </c>
      <c r="K5683" s="55" t="s">
        <v>32</v>
      </c>
      <c r="L5683" s="60" t="s">
        <v>1797</v>
      </c>
      <c r="M5683" s="1" t="s">
        <v>1798</v>
      </c>
    </row>
    <row r="5684" spans="1:13" x14ac:dyDescent="0.3">
      <c r="H5684" s="74">
        <v>30</v>
      </c>
      <c r="K5684" s="55" t="s">
        <v>32</v>
      </c>
      <c r="L5684" s="60" t="s">
        <v>1799</v>
      </c>
    </row>
    <row r="5685" spans="1:13" x14ac:dyDescent="0.3">
      <c r="H5685" s="74">
        <v>30</v>
      </c>
      <c r="K5685" s="55" t="s">
        <v>30</v>
      </c>
      <c r="L5685" s="60" t="s">
        <v>300</v>
      </c>
    </row>
    <row r="5686" spans="1:13" x14ac:dyDescent="0.3">
      <c r="H5686" s="74">
        <v>20</v>
      </c>
      <c r="K5686" s="55" t="s">
        <v>102</v>
      </c>
    </row>
    <row r="5687" spans="1:13" x14ac:dyDescent="0.3">
      <c r="H5687" s="74">
        <v>10</v>
      </c>
      <c r="K5687" s="55" t="s">
        <v>34</v>
      </c>
      <c r="L5687" s="60" t="s">
        <v>1800</v>
      </c>
    </row>
    <row r="5688" spans="1:13" x14ac:dyDescent="0.3">
      <c r="H5688" s="74">
        <v>170</v>
      </c>
      <c r="K5688" s="55" t="s">
        <v>33</v>
      </c>
      <c r="L5688" s="60" t="s">
        <v>1801</v>
      </c>
    </row>
    <row r="5689" spans="1:13" x14ac:dyDescent="0.3">
      <c r="H5689" s="74">
        <v>20</v>
      </c>
      <c r="K5689" s="55" t="s">
        <v>32</v>
      </c>
      <c r="L5689" s="60" t="s">
        <v>1802</v>
      </c>
    </row>
    <row r="5691" spans="1:13" x14ac:dyDescent="0.3">
      <c r="A5691" s="72" t="s">
        <v>1796</v>
      </c>
      <c r="B5691" s="55" t="s">
        <v>10</v>
      </c>
      <c r="C5691" s="67" t="s">
        <v>46</v>
      </c>
      <c r="D5691" s="55" t="s">
        <v>52</v>
      </c>
      <c r="E5691" s="19">
        <v>299.64</v>
      </c>
      <c r="F5691" s="19" t="s">
        <v>1487</v>
      </c>
      <c r="G5691" s="55" t="s">
        <v>11</v>
      </c>
      <c r="H5691" s="74">
        <v>10</v>
      </c>
      <c r="K5691" s="55" t="s">
        <v>25</v>
      </c>
    </row>
    <row r="5692" spans="1:13" x14ac:dyDescent="0.3">
      <c r="H5692" s="74">
        <v>10</v>
      </c>
      <c r="K5692" s="55" t="s">
        <v>84</v>
      </c>
    </row>
    <row r="5693" spans="1:13" x14ac:dyDescent="0.3">
      <c r="H5693" s="74">
        <v>150</v>
      </c>
      <c r="K5693" s="55" t="s">
        <v>55</v>
      </c>
      <c r="L5693" s="60" t="s">
        <v>1794</v>
      </c>
    </row>
    <row r="5694" spans="1:13" x14ac:dyDescent="0.3">
      <c r="H5694" s="74">
        <v>90</v>
      </c>
      <c r="K5694" s="55" t="s">
        <v>96</v>
      </c>
    </row>
    <row r="5695" spans="1:13" x14ac:dyDescent="0.3">
      <c r="H5695" s="74">
        <v>45</v>
      </c>
      <c r="K5695" s="55" t="s">
        <v>32</v>
      </c>
      <c r="L5695" s="60" t="s">
        <v>1803</v>
      </c>
    </row>
    <row r="5696" spans="1:13" x14ac:dyDescent="0.3">
      <c r="H5696" s="74">
        <v>20</v>
      </c>
      <c r="K5696" s="55" t="s">
        <v>102</v>
      </c>
    </row>
    <row r="5697" spans="1:12" x14ac:dyDescent="0.3">
      <c r="H5697" s="74">
        <v>30</v>
      </c>
      <c r="K5697" s="55" t="s">
        <v>55</v>
      </c>
      <c r="L5697" s="60" t="s">
        <v>135</v>
      </c>
    </row>
    <row r="5698" spans="1:12" x14ac:dyDescent="0.3">
      <c r="H5698" s="74">
        <v>30</v>
      </c>
      <c r="K5698" s="55" t="s">
        <v>30</v>
      </c>
      <c r="L5698" s="60" t="s">
        <v>300</v>
      </c>
    </row>
    <row r="5700" spans="1:12" x14ac:dyDescent="0.3">
      <c r="A5700" s="72" t="s">
        <v>1796</v>
      </c>
      <c r="B5700" s="55" t="s">
        <v>12</v>
      </c>
      <c r="C5700" s="67" t="s">
        <v>47</v>
      </c>
      <c r="D5700" s="55" t="s">
        <v>50</v>
      </c>
      <c r="E5700" s="19">
        <v>162.30000000000001</v>
      </c>
      <c r="F5700" s="19">
        <v>6</v>
      </c>
      <c r="G5700" s="55" t="s">
        <v>11</v>
      </c>
      <c r="H5700" s="74">
        <v>10</v>
      </c>
      <c r="K5700" s="55" t="s">
        <v>25</v>
      </c>
    </row>
    <row r="5701" spans="1:12" x14ac:dyDescent="0.3">
      <c r="H5701" s="74">
        <v>10</v>
      </c>
      <c r="K5701" s="55" t="s">
        <v>84</v>
      </c>
    </row>
    <row r="5702" spans="1:12" x14ac:dyDescent="0.3">
      <c r="H5702" s="74">
        <v>180</v>
      </c>
      <c r="K5702" s="55" t="s">
        <v>55</v>
      </c>
      <c r="L5702" s="60" t="s">
        <v>1794</v>
      </c>
    </row>
    <row r="5703" spans="1:12" x14ac:dyDescent="0.3">
      <c r="H5703" s="74">
        <v>60</v>
      </c>
      <c r="K5703" s="55" t="s">
        <v>96</v>
      </c>
    </row>
    <row r="5704" spans="1:12" x14ac:dyDescent="0.3">
      <c r="H5704" s="74">
        <v>30</v>
      </c>
      <c r="K5704" s="55" t="s">
        <v>32</v>
      </c>
    </row>
    <row r="5705" spans="1:12" x14ac:dyDescent="0.3">
      <c r="H5705" s="74">
        <v>30</v>
      </c>
      <c r="K5705" s="55" t="s">
        <v>34</v>
      </c>
      <c r="L5705" s="60" t="s">
        <v>1800</v>
      </c>
    </row>
    <row r="5706" spans="1:12" x14ac:dyDescent="0.3">
      <c r="H5706" s="74">
        <v>10</v>
      </c>
      <c r="K5706" s="55" t="s">
        <v>55</v>
      </c>
      <c r="L5706" s="60" t="s">
        <v>13</v>
      </c>
    </row>
    <row r="5707" spans="1:12" x14ac:dyDescent="0.3">
      <c r="H5707" s="74">
        <v>30</v>
      </c>
      <c r="K5707" s="55" t="s">
        <v>34</v>
      </c>
      <c r="L5707" s="60" t="s">
        <v>149</v>
      </c>
    </row>
    <row r="5708" spans="1:12" x14ac:dyDescent="0.3">
      <c r="H5708" s="74">
        <v>20</v>
      </c>
      <c r="K5708" s="55" t="s">
        <v>102</v>
      </c>
    </row>
    <row r="5709" spans="1:12" x14ac:dyDescent="0.3">
      <c r="H5709" s="74">
        <v>30</v>
      </c>
      <c r="K5709" s="55" t="s">
        <v>30</v>
      </c>
    </row>
    <row r="5711" spans="1:12" x14ac:dyDescent="0.3">
      <c r="A5711" s="72" t="s">
        <v>1804</v>
      </c>
      <c r="B5711" s="55" t="s">
        <v>0</v>
      </c>
      <c r="C5711" s="67" t="s">
        <v>48</v>
      </c>
      <c r="D5711" s="55" t="s">
        <v>51</v>
      </c>
      <c r="E5711" s="19">
        <v>155.05000000000001</v>
      </c>
      <c r="F5711" s="19">
        <v>5</v>
      </c>
      <c r="G5711" s="55" t="s">
        <v>11</v>
      </c>
      <c r="H5711" s="74">
        <v>10</v>
      </c>
      <c r="K5711" s="55" t="s">
        <v>25</v>
      </c>
    </row>
    <row r="5712" spans="1:12" x14ac:dyDescent="0.3">
      <c r="H5712" s="74">
        <v>10</v>
      </c>
      <c r="K5712" s="55" t="s">
        <v>84</v>
      </c>
    </row>
    <row r="5713" spans="1:13" x14ac:dyDescent="0.3">
      <c r="H5713" s="74">
        <v>60</v>
      </c>
      <c r="K5713" s="55" t="s">
        <v>96</v>
      </c>
    </row>
    <row r="5714" spans="1:13" x14ac:dyDescent="0.3">
      <c r="H5714" s="74">
        <v>30</v>
      </c>
      <c r="K5714" s="55" t="s">
        <v>32</v>
      </c>
      <c r="L5714" s="60" t="s">
        <v>1805</v>
      </c>
    </row>
    <row r="5715" spans="1:13" x14ac:dyDescent="0.3">
      <c r="H5715" s="74">
        <v>30</v>
      </c>
      <c r="K5715" s="55" t="s">
        <v>32</v>
      </c>
      <c r="L5715" s="60" t="s">
        <v>1806</v>
      </c>
      <c r="M5715" s="1" t="s">
        <v>1807</v>
      </c>
    </row>
    <row r="5716" spans="1:13" x14ac:dyDescent="0.3">
      <c r="H5716" s="74">
        <v>40</v>
      </c>
      <c r="K5716" s="55" t="s">
        <v>30</v>
      </c>
      <c r="L5716" s="60" t="s">
        <v>348</v>
      </c>
    </row>
    <row r="5717" spans="1:13" x14ac:dyDescent="0.3">
      <c r="H5717" s="74">
        <v>15</v>
      </c>
      <c r="K5717" s="55" t="s">
        <v>33</v>
      </c>
    </row>
    <row r="5718" spans="1:13" x14ac:dyDescent="0.3">
      <c r="H5718" s="74">
        <v>30</v>
      </c>
      <c r="K5718" s="55" t="s">
        <v>34</v>
      </c>
      <c r="L5718" s="60" t="s">
        <v>253</v>
      </c>
    </row>
    <row r="5719" spans="1:13" x14ac:dyDescent="0.3">
      <c r="H5719" s="74">
        <v>45</v>
      </c>
      <c r="K5719" s="55" t="s">
        <v>34</v>
      </c>
      <c r="L5719" s="60" t="s">
        <v>1808</v>
      </c>
    </row>
    <row r="5720" spans="1:13" x14ac:dyDescent="0.3">
      <c r="H5720" s="74">
        <v>25</v>
      </c>
      <c r="K5720" s="55" t="s">
        <v>102</v>
      </c>
    </row>
    <row r="5721" spans="1:13" x14ac:dyDescent="0.3">
      <c r="H5721" s="74">
        <v>40</v>
      </c>
      <c r="K5721" s="55" t="s">
        <v>32</v>
      </c>
      <c r="L5721" s="60" t="s">
        <v>1809</v>
      </c>
    </row>
    <row r="5722" spans="1:13" x14ac:dyDescent="0.3">
      <c r="H5722" s="74">
        <v>120</v>
      </c>
      <c r="K5722" s="55" t="s">
        <v>55</v>
      </c>
      <c r="L5722" s="60" t="s">
        <v>1810</v>
      </c>
    </row>
    <row r="5727" spans="1:13" x14ac:dyDescent="0.3">
      <c r="A5727" s="72" t="s">
        <v>1804</v>
      </c>
      <c r="B5727" s="55" t="s">
        <v>10</v>
      </c>
      <c r="C5727" s="67" t="s">
        <v>46</v>
      </c>
      <c r="D5727" s="55" t="s">
        <v>52</v>
      </c>
      <c r="E5727" s="19">
        <v>55.39</v>
      </c>
      <c r="F5727" s="19">
        <v>2</v>
      </c>
      <c r="G5727" s="55" t="s">
        <v>11</v>
      </c>
      <c r="H5727" s="74">
        <v>10</v>
      </c>
      <c r="K5727" s="55" t="s">
        <v>25</v>
      </c>
    </row>
    <row r="5728" spans="1:13" x14ac:dyDescent="0.3">
      <c r="H5728" s="74">
        <v>10</v>
      </c>
      <c r="K5728" s="55" t="s">
        <v>84</v>
      </c>
    </row>
    <row r="5729" spans="1:12" x14ac:dyDescent="0.3">
      <c r="H5729" s="74">
        <v>380</v>
      </c>
      <c r="K5729" s="55" t="s">
        <v>55</v>
      </c>
      <c r="L5729" s="60" t="s">
        <v>1794</v>
      </c>
    </row>
    <row r="5730" spans="1:12" x14ac:dyDescent="0.3">
      <c r="H5730" s="74">
        <v>20</v>
      </c>
      <c r="K5730" s="55" t="s">
        <v>96</v>
      </c>
    </row>
    <row r="5731" spans="1:12" x14ac:dyDescent="0.3">
      <c r="H5731" s="74">
        <v>30</v>
      </c>
      <c r="K5731" s="55" t="s">
        <v>32</v>
      </c>
      <c r="L5731" s="60" t="s">
        <v>1805</v>
      </c>
    </row>
    <row r="5733" spans="1:12" x14ac:dyDescent="0.3">
      <c r="A5733" s="72" t="s">
        <v>1804</v>
      </c>
      <c r="B5733" s="55" t="s">
        <v>12</v>
      </c>
      <c r="C5733" s="67" t="s">
        <v>47</v>
      </c>
      <c r="D5733" s="55" t="s">
        <v>50</v>
      </c>
      <c r="E5733" s="19">
        <v>302.23</v>
      </c>
      <c r="F5733" s="19">
        <v>8</v>
      </c>
      <c r="G5733" s="55" t="s">
        <v>11</v>
      </c>
      <c r="H5733" s="74">
        <v>10</v>
      </c>
      <c r="K5733" s="55" t="s">
        <v>25</v>
      </c>
    </row>
    <row r="5734" spans="1:12" x14ac:dyDescent="0.3">
      <c r="H5734" s="74">
        <v>10</v>
      </c>
      <c r="K5734" s="55" t="s">
        <v>84</v>
      </c>
    </row>
    <row r="5735" spans="1:12" x14ac:dyDescent="0.3">
      <c r="H5735" s="74">
        <v>180</v>
      </c>
      <c r="K5735" s="55" t="s">
        <v>55</v>
      </c>
      <c r="L5735" s="60" t="s">
        <v>1667</v>
      </c>
    </row>
    <row r="5736" spans="1:12" x14ac:dyDescent="0.3">
      <c r="H5736" s="74">
        <v>80</v>
      </c>
      <c r="K5736" s="55" t="s">
        <v>96</v>
      </c>
    </row>
    <row r="5737" spans="1:12" x14ac:dyDescent="0.3">
      <c r="H5737" s="74">
        <v>30</v>
      </c>
      <c r="K5737" s="55" t="s">
        <v>32</v>
      </c>
      <c r="L5737" s="60" t="s">
        <v>445</v>
      </c>
    </row>
    <row r="5738" spans="1:12" x14ac:dyDescent="0.3">
      <c r="H5738" s="74">
        <v>30</v>
      </c>
      <c r="K5738" s="55" t="s">
        <v>34</v>
      </c>
      <c r="L5738" s="60" t="s">
        <v>1800</v>
      </c>
    </row>
    <row r="5739" spans="1:12" x14ac:dyDescent="0.3">
      <c r="H5739" s="74">
        <v>20</v>
      </c>
      <c r="K5739" s="55" t="s">
        <v>102</v>
      </c>
    </row>
    <row r="5740" spans="1:12" x14ac:dyDescent="0.3">
      <c r="H5740" s="74">
        <v>30</v>
      </c>
      <c r="K5740" s="55" t="s">
        <v>30</v>
      </c>
      <c r="L5740" s="60" t="s">
        <v>300</v>
      </c>
    </row>
    <row r="5743" spans="1:12" x14ac:dyDescent="0.3">
      <c r="A5743" s="72" t="s">
        <v>1811</v>
      </c>
      <c r="B5743" s="55" t="s">
        <v>10</v>
      </c>
      <c r="C5743" s="67" t="s">
        <v>48</v>
      </c>
      <c r="D5743" s="55" t="s">
        <v>52</v>
      </c>
      <c r="E5743" s="19">
        <v>221.09</v>
      </c>
      <c r="F5743" s="19">
        <v>7</v>
      </c>
      <c r="G5743" s="55" t="s">
        <v>11</v>
      </c>
      <c r="H5743" s="74">
        <v>10</v>
      </c>
      <c r="K5743" s="55" t="s">
        <v>25</v>
      </c>
    </row>
    <row r="5744" spans="1:12" x14ac:dyDescent="0.3">
      <c r="H5744" s="74">
        <v>10</v>
      </c>
      <c r="K5744" s="55" t="s">
        <v>84</v>
      </c>
    </row>
    <row r="5745" spans="1:12" x14ac:dyDescent="0.3">
      <c r="H5745" s="74">
        <v>90</v>
      </c>
      <c r="K5745" s="55" t="s">
        <v>96</v>
      </c>
    </row>
    <row r="5746" spans="1:12" x14ac:dyDescent="0.3">
      <c r="H5746" s="74">
        <v>60</v>
      </c>
      <c r="K5746" s="55" t="s">
        <v>32</v>
      </c>
      <c r="L5746" s="60" t="s">
        <v>1618</v>
      </c>
    </row>
    <row r="5747" spans="1:12" x14ac:dyDescent="0.3">
      <c r="H5747" s="74">
        <v>40</v>
      </c>
      <c r="K5747" s="55" t="s">
        <v>32</v>
      </c>
      <c r="L5747" s="60" t="s">
        <v>1809</v>
      </c>
    </row>
    <row r="5748" spans="1:12" x14ac:dyDescent="0.3">
      <c r="H5748" s="74">
        <v>40</v>
      </c>
      <c r="K5748" s="55" t="s">
        <v>32</v>
      </c>
      <c r="L5748" s="60" t="s">
        <v>1812</v>
      </c>
    </row>
    <row r="5749" spans="1:12" x14ac:dyDescent="0.3">
      <c r="H5749" s="74">
        <v>40</v>
      </c>
      <c r="K5749" s="55" t="s">
        <v>34</v>
      </c>
      <c r="L5749" s="60" t="s">
        <v>253</v>
      </c>
    </row>
    <row r="5750" spans="1:12" x14ac:dyDescent="0.3">
      <c r="H5750" s="74">
        <v>45</v>
      </c>
      <c r="K5750" s="55" t="s">
        <v>34</v>
      </c>
      <c r="L5750" s="60" t="s">
        <v>1814</v>
      </c>
    </row>
    <row r="5751" spans="1:12" x14ac:dyDescent="0.3">
      <c r="H5751" s="74">
        <v>30</v>
      </c>
      <c r="K5751" s="55" t="s">
        <v>30</v>
      </c>
    </row>
    <row r="5752" spans="1:12" x14ac:dyDescent="0.3">
      <c r="H5752" s="74">
        <v>40</v>
      </c>
      <c r="K5752" s="55" t="s">
        <v>33</v>
      </c>
      <c r="L5752" s="60" t="s">
        <v>1813</v>
      </c>
    </row>
    <row r="5754" spans="1:12" x14ac:dyDescent="0.3">
      <c r="A5754" s="72" t="s">
        <v>1811</v>
      </c>
      <c r="B5754" s="55" t="s">
        <v>12</v>
      </c>
      <c r="C5754" s="67" t="s">
        <v>47</v>
      </c>
      <c r="D5754" s="55" t="s">
        <v>50</v>
      </c>
      <c r="E5754" s="19">
        <v>190.49</v>
      </c>
      <c r="F5754" s="19">
        <v>5</v>
      </c>
      <c r="G5754" s="55" t="s">
        <v>11</v>
      </c>
      <c r="H5754" s="74">
        <v>10</v>
      </c>
      <c r="K5754" s="55" t="s">
        <v>25</v>
      </c>
    </row>
    <row r="5755" spans="1:12" x14ac:dyDescent="0.3">
      <c r="H5755" s="74">
        <v>10</v>
      </c>
      <c r="K5755" s="55" t="s">
        <v>84</v>
      </c>
    </row>
    <row r="5756" spans="1:12" x14ac:dyDescent="0.3">
      <c r="H5756" s="74">
        <v>50</v>
      </c>
      <c r="K5756" s="55" t="s">
        <v>96</v>
      </c>
    </row>
    <row r="5757" spans="1:12" x14ac:dyDescent="0.3">
      <c r="H5757" s="74">
        <v>30</v>
      </c>
      <c r="K5757" s="55" t="s">
        <v>32</v>
      </c>
      <c r="L5757" s="60" t="s">
        <v>1612</v>
      </c>
    </row>
    <row r="5758" spans="1:12" x14ac:dyDescent="0.3">
      <c r="H5758" s="74">
        <v>40</v>
      </c>
      <c r="K5758" s="55" t="s">
        <v>32</v>
      </c>
      <c r="L5758" s="60" t="s">
        <v>1815</v>
      </c>
    </row>
    <row r="5759" spans="1:12" x14ac:dyDescent="0.3">
      <c r="H5759" s="74">
        <v>120</v>
      </c>
      <c r="K5759" s="55" t="s">
        <v>33</v>
      </c>
      <c r="L5759" s="60" t="s">
        <v>1819</v>
      </c>
    </row>
    <row r="5760" spans="1:12" x14ac:dyDescent="0.3">
      <c r="H5760" s="74">
        <v>40</v>
      </c>
      <c r="K5760" s="55" t="s">
        <v>33</v>
      </c>
      <c r="L5760" s="60" t="s">
        <v>1820</v>
      </c>
    </row>
    <row r="5761" spans="1:12" x14ac:dyDescent="0.3">
      <c r="H5761" s="74">
        <v>30</v>
      </c>
      <c r="K5761" s="55" t="s">
        <v>34</v>
      </c>
      <c r="L5761" s="60" t="s">
        <v>1817</v>
      </c>
    </row>
    <row r="5762" spans="1:12" x14ac:dyDescent="0.3">
      <c r="H5762" s="74">
        <v>40</v>
      </c>
      <c r="K5762" s="55" t="s">
        <v>34</v>
      </c>
      <c r="L5762" s="60" t="s">
        <v>1816</v>
      </c>
    </row>
    <row r="5763" spans="1:12" x14ac:dyDescent="0.3">
      <c r="H5763" s="74">
        <v>20</v>
      </c>
      <c r="K5763" s="55" t="s">
        <v>55</v>
      </c>
      <c r="L5763" s="60" t="s">
        <v>13</v>
      </c>
    </row>
    <row r="5764" spans="1:12" x14ac:dyDescent="0.3">
      <c r="H5764" s="74">
        <v>30</v>
      </c>
      <c r="K5764" s="55" t="s">
        <v>55</v>
      </c>
      <c r="L5764" s="60" t="s">
        <v>1818</v>
      </c>
    </row>
    <row r="5767" spans="1:12" x14ac:dyDescent="0.3">
      <c r="A5767" s="72" t="s">
        <v>1821</v>
      </c>
      <c r="B5767" s="55" t="s">
        <v>0</v>
      </c>
      <c r="C5767" s="67" t="s">
        <v>48</v>
      </c>
      <c r="D5767" s="55" t="s">
        <v>52</v>
      </c>
      <c r="E5767" s="19">
        <v>262.99</v>
      </c>
      <c r="F5767" s="19">
        <v>7</v>
      </c>
      <c r="G5767" s="55" t="s">
        <v>11</v>
      </c>
      <c r="H5767" s="74">
        <v>10</v>
      </c>
      <c r="K5767" s="55" t="s">
        <v>25</v>
      </c>
    </row>
    <row r="5768" spans="1:12" x14ac:dyDescent="0.3">
      <c r="H5768" s="74">
        <v>10</v>
      </c>
      <c r="K5768" s="55" t="s">
        <v>84</v>
      </c>
    </row>
    <row r="5769" spans="1:12" x14ac:dyDescent="0.3">
      <c r="H5769" s="74">
        <v>90</v>
      </c>
      <c r="K5769" s="55" t="s">
        <v>96</v>
      </c>
    </row>
    <row r="5770" spans="1:12" x14ac:dyDescent="0.3">
      <c r="H5770" s="74">
        <v>40</v>
      </c>
      <c r="K5770" s="55" t="s">
        <v>32</v>
      </c>
      <c r="L5770" s="60" t="s">
        <v>1612</v>
      </c>
    </row>
    <row r="5771" spans="1:12" x14ac:dyDescent="0.3">
      <c r="H5771" s="74">
        <v>40</v>
      </c>
      <c r="K5771" s="55" t="s">
        <v>32</v>
      </c>
      <c r="L5771" s="60" t="s">
        <v>1825</v>
      </c>
    </row>
    <row r="5772" spans="1:12" x14ac:dyDescent="0.3">
      <c r="H5772" s="74">
        <v>20</v>
      </c>
      <c r="K5772" s="55" t="s">
        <v>32</v>
      </c>
      <c r="L5772" s="60" t="s">
        <v>236</v>
      </c>
    </row>
    <row r="5773" spans="1:12" x14ac:dyDescent="0.3">
      <c r="H5773" s="74">
        <v>40</v>
      </c>
      <c r="K5773" s="55" t="s">
        <v>34</v>
      </c>
      <c r="L5773" s="60" t="s">
        <v>253</v>
      </c>
    </row>
    <row r="5774" spans="1:12" x14ac:dyDescent="0.3">
      <c r="H5774" s="74">
        <v>45</v>
      </c>
      <c r="K5774" s="55" t="s">
        <v>34</v>
      </c>
      <c r="L5774" s="60" t="s">
        <v>1822</v>
      </c>
    </row>
    <row r="5775" spans="1:12" x14ac:dyDescent="0.3">
      <c r="H5775" s="74">
        <v>25</v>
      </c>
      <c r="K5775" s="55" t="s">
        <v>55</v>
      </c>
      <c r="L5775" s="60" t="s">
        <v>1818</v>
      </c>
    </row>
    <row r="5776" spans="1:12" x14ac:dyDescent="0.3">
      <c r="H5776" s="74">
        <v>20</v>
      </c>
      <c r="K5776" s="55" t="s">
        <v>33</v>
      </c>
      <c r="L5776" s="60" t="s">
        <v>1823</v>
      </c>
    </row>
    <row r="5777" spans="1:12" x14ac:dyDescent="0.3">
      <c r="H5777" s="74">
        <v>30</v>
      </c>
      <c r="K5777" s="55" t="s">
        <v>30</v>
      </c>
      <c r="L5777" s="60" t="s">
        <v>300</v>
      </c>
    </row>
    <row r="5778" spans="1:12" x14ac:dyDescent="0.3">
      <c r="H5778" s="74">
        <v>20</v>
      </c>
      <c r="K5778" s="55" t="s">
        <v>34</v>
      </c>
      <c r="L5778" s="60" t="s">
        <v>1824</v>
      </c>
    </row>
    <row r="5780" spans="1:12" x14ac:dyDescent="0.3">
      <c r="A5780" s="72" t="s">
        <v>1821</v>
      </c>
      <c r="B5780" s="55" t="s">
        <v>10</v>
      </c>
      <c r="C5780" s="67" t="s">
        <v>48</v>
      </c>
      <c r="D5780" s="55" t="s">
        <v>50</v>
      </c>
      <c r="E5780" s="19">
        <v>440.04</v>
      </c>
      <c r="F5780" s="19">
        <v>12</v>
      </c>
      <c r="G5780" s="55" t="s">
        <v>11</v>
      </c>
      <c r="H5780" s="74">
        <v>10</v>
      </c>
      <c r="K5780" s="55" t="s">
        <v>25</v>
      </c>
    </row>
    <row r="5781" spans="1:12" x14ac:dyDescent="0.3">
      <c r="H5781" s="74">
        <v>10</v>
      </c>
      <c r="K5781" s="55" t="s">
        <v>84</v>
      </c>
    </row>
    <row r="5782" spans="1:12" x14ac:dyDescent="0.3">
      <c r="H5782" s="74">
        <v>120</v>
      </c>
      <c r="K5782" s="55" t="s">
        <v>96</v>
      </c>
    </row>
    <row r="5783" spans="1:12" x14ac:dyDescent="0.3">
      <c r="H5783" s="74">
        <v>60</v>
      </c>
      <c r="K5783" s="55" t="s">
        <v>32</v>
      </c>
      <c r="L5783" s="60" t="s">
        <v>995</v>
      </c>
    </row>
    <row r="5784" spans="1:12" x14ac:dyDescent="0.3">
      <c r="H5784" s="74">
        <v>30</v>
      </c>
      <c r="K5784" s="55" t="s">
        <v>34</v>
      </c>
      <c r="L5784" s="60" t="s">
        <v>1817</v>
      </c>
    </row>
    <row r="5785" spans="1:12" x14ac:dyDescent="0.3">
      <c r="H5785" s="74">
        <v>40</v>
      </c>
      <c r="K5785" s="55" t="s">
        <v>34</v>
      </c>
      <c r="L5785" s="60" t="s">
        <v>1816</v>
      </c>
    </row>
    <row r="5786" spans="1:12" x14ac:dyDescent="0.3">
      <c r="H5786" s="74">
        <v>10</v>
      </c>
      <c r="K5786" s="55" t="s">
        <v>55</v>
      </c>
      <c r="L5786" s="60" t="s">
        <v>13</v>
      </c>
    </row>
    <row r="5787" spans="1:12" x14ac:dyDescent="0.3">
      <c r="H5787" s="74">
        <v>30</v>
      </c>
      <c r="K5787" s="55" t="s">
        <v>55</v>
      </c>
      <c r="L5787" s="60" t="s">
        <v>1818</v>
      </c>
    </row>
    <row r="5788" spans="1:12" x14ac:dyDescent="0.3">
      <c r="H5788" s="74">
        <v>20</v>
      </c>
      <c r="K5788" s="55" t="s">
        <v>30</v>
      </c>
    </row>
    <row r="5790" spans="1:12" x14ac:dyDescent="0.3">
      <c r="A5790" s="72" t="s">
        <v>1821</v>
      </c>
      <c r="B5790" s="55" t="s">
        <v>12</v>
      </c>
      <c r="D5790" s="55" t="s">
        <v>51</v>
      </c>
      <c r="E5790" s="19">
        <v>130.22</v>
      </c>
      <c r="F5790" s="19">
        <v>4</v>
      </c>
      <c r="G5790" s="55" t="s">
        <v>11</v>
      </c>
      <c r="H5790" s="74">
        <v>10</v>
      </c>
      <c r="K5790" s="55" t="s">
        <v>25</v>
      </c>
    </row>
    <row r="5791" spans="1:12" x14ac:dyDescent="0.3">
      <c r="H5791" s="74">
        <v>10</v>
      </c>
      <c r="K5791" s="55" t="s">
        <v>84</v>
      </c>
    </row>
    <row r="5792" spans="1:12" x14ac:dyDescent="0.3">
      <c r="H5792" s="74">
        <v>50</v>
      </c>
      <c r="K5792" s="55" t="s">
        <v>96</v>
      </c>
    </row>
    <row r="5793" spans="1:12" x14ac:dyDescent="0.3">
      <c r="H5793" s="74">
        <v>80</v>
      </c>
      <c r="K5793" s="55" t="s">
        <v>32</v>
      </c>
      <c r="L5793" s="60" t="s">
        <v>1826</v>
      </c>
    </row>
    <row r="5794" spans="1:12" x14ac:dyDescent="0.3">
      <c r="H5794" s="74">
        <v>30</v>
      </c>
      <c r="K5794" s="55" t="s">
        <v>34</v>
      </c>
    </row>
    <row r="5795" spans="1:12" x14ac:dyDescent="0.3">
      <c r="H5795" s="74">
        <v>50</v>
      </c>
      <c r="K5795" s="55" t="s">
        <v>34</v>
      </c>
    </row>
    <row r="5796" spans="1:12" x14ac:dyDescent="0.3">
      <c r="H5796" s="74">
        <v>110</v>
      </c>
      <c r="K5796" s="55" t="s">
        <v>32</v>
      </c>
      <c r="L5796" s="60" t="s">
        <v>1827</v>
      </c>
    </row>
    <row r="5797" spans="1:12" x14ac:dyDescent="0.3">
      <c r="H5797" s="74">
        <v>20</v>
      </c>
      <c r="K5797" s="55" t="s">
        <v>55</v>
      </c>
      <c r="L5797" s="60" t="s">
        <v>1818</v>
      </c>
    </row>
    <row r="5798" spans="1:12" x14ac:dyDescent="0.3">
      <c r="H5798" s="74">
        <v>25</v>
      </c>
      <c r="K5798" s="55" t="s">
        <v>102</v>
      </c>
    </row>
    <row r="5799" spans="1:12" x14ac:dyDescent="0.3">
      <c r="H5799" s="74">
        <v>20</v>
      </c>
      <c r="K5799" s="55" t="s">
        <v>30</v>
      </c>
    </row>
    <row r="5800" spans="1:12" x14ac:dyDescent="0.3">
      <c r="H5800" s="74">
        <v>15</v>
      </c>
      <c r="K5800" s="55" t="s">
        <v>55</v>
      </c>
      <c r="L5800" s="60" t="s">
        <v>1828</v>
      </c>
    </row>
    <row r="5802" spans="1:12" x14ac:dyDescent="0.3">
      <c r="A5802" s="72" t="s">
        <v>1829</v>
      </c>
      <c r="B5802" s="55" t="s">
        <v>0</v>
      </c>
      <c r="D5802" s="55" t="s">
        <v>52</v>
      </c>
      <c r="E5802" s="19">
        <v>288.8</v>
      </c>
      <c r="F5802" s="19">
        <v>8</v>
      </c>
      <c r="G5802" s="55" t="s">
        <v>11</v>
      </c>
      <c r="H5802" s="74">
        <v>10</v>
      </c>
      <c r="K5802" s="55" t="s">
        <v>25</v>
      </c>
    </row>
    <row r="5803" spans="1:12" x14ac:dyDescent="0.3">
      <c r="H5803" s="74">
        <v>10</v>
      </c>
      <c r="K5803" s="55" t="s">
        <v>84</v>
      </c>
    </row>
    <row r="5804" spans="1:12" x14ac:dyDescent="0.3">
      <c r="H5804" s="74">
        <v>50</v>
      </c>
      <c r="K5804" s="55" t="s">
        <v>32</v>
      </c>
      <c r="L5804" s="60" t="s">
        <v>1832</v>
      </c>
    </row>
    <row r="5805" spans="1:12" x14ac:dyDescent="0.3">
      <c r="H5805" s="74">
        <v>80</v>
      </c>
      <c r="K5805" s="55" t="s">
        <v>96</v>
      </c>
    </row>
    <row r="5806" spans="1:12" x14ac:dyDescent="0.3">
      <c r="H5806" s="74">
        <v>30</v>
      </c>
      <c r="K5806" s="55" t="s">
        <v>32</v>
      </c>
      <c r="L5806" s="60" t="s">
        <v>1831</v>
      </c>
    </row>
    <row r="5807" spans="1:12" x14ac:dyDescent="0.3">
      <c r="H5807" s="74">
        <v>30</v>
      </c>
      <c r="K5807" s="55" t="s">
        <v>32</v>
      </c>
      <c r="L5807" s="60" t="s">
        <v>1833</v>
      </c>
    </row>
    <row r="5808" spans="1:12" x14ac:dyDescent="0.3">
      <c r="H5808" s="74">
        <v>30</v>
      </c>
      <c r="K5808" s="55" t="s">
        <v>32</v>
      </c>
      <c r="L5808" s="60" t="s">
        <v>236</v>
      </c>
    </row>
    <row r="5809" spans="1:13" x14ac:dyDescent="0.3">
      <c r="H5809" s="74">
        <v>30</v>
      </c>
      <c r="K5809" s="55" t="s">
        <v>34</v>
      </c>
      <c r="L5809" s="60" t="s">
        <v>149</v>
      </c>
    </row>
    <row r="5810" spans="1:13" x14ac:dyDescent="0.3">
      <c r="H5810" s="74">
        <v>50</v>
      </c>
      <c r="K5810" s="55" t="s">
        <v>34</v>
      </c>
      <c r="L5810" s="60" t="s">
        <v>1830</v>
      </c>
    </row>
    <row r="5811" spans="1:13" x14ac:dyDescent="0.3">
      <c r="H5811" s="74">
        <v>20</v>
      </c>
      <c r="K5811" s="55" t="s">
        <v>55</v>
      </c>
      <c r="L5811" s="60" t="s">
        <v>13</v>
      </c>
    </row>
    <row r="5812" spans="1:13" x14ac:dyDescent="0.3">
      <c r="H5812" s="74">
        <v>40</v>
      </c>
      <c r="K5812" s="55" t="s">
        <v>30</v>
      </c>
    </row>
    <row r="5814" spans="1:13" x14ac:dyDescent="0.3">
      <c r="A5814" s="72" t="s">
        <v>1829</v>
      </c>
      <c r="B5814" s="55" t="s">
        <v>10</v>
      </c>
      <c r="C5814" s="67" t="s">
        <v>47</v>
      </c>
      <c r="D5814" s="55" t="s">
        <v>50</v>
      </c>
      <c r="E5814" s="19">
        <v>258.01</v>
      </c>
      <c r="F5814" s="19">
        <v>8</v>
      </c>
      <c r="G5814" s="55" t="s">
        <v>11</v>
      </c>
      <c r="H5814" s="74">
        <v>10</v>
      </c>
      <c r="K5814" s="55" t="s">
        <v>25</v>
      </c>
    </row>
    <row r="5815" spans="1:13" x14ac:dyDescent="0.3">
      <c r="H5815" s="74">
        <v>10</v>
      </c>
      <c r="K5815" s="55" t="s">
        <v>84</v>
      </c>
    </row>
    <row r="5816" spans="1:13" x14ac:dyDescent="0.3">
      <c r="H5816" s="74">
        <v>80</v>
      </c>
      <c r="K5816" s="55" t="s">
        <v>96</v>
      </c>
    </row>
    <row r="5817" spans="1:13" x14ac:dyDescent="0.3">
      <c r="H5817" s="74">
        <v>90</v>
      </c>
      <c r="K5817" s="55" t="s">
        <v>32</v>
      </c>
      <c r="L5817" s="60" t="s">
        <v>1834</v>
      </c>
    </row>
    <row r="5818" spans="1:13" x14ac:dyDescent="0.3">
      <c r="H5818" s="74">
        <v>20</v>
      </c>
      <c r="K5818" s="55" t="s">
        <v>32</v>
      </c>
      <c r="L5818" s="60" t="s">
        <v>236</v>
      </c>
    </row>
    <row r="5819" spans="1:13" x14ac:dyDescent="0.3">
      <c r="H5819" s="74">
        <v>30</v>
      </c>
      <c r="K5819" s="55" t="s">
        <v>34</v>
      </c>
      <c r="L5819" s="60" t="s">
        <v>149</v>
      </c>
    </row>
    <row r="5820" spans="1:13" x14ac:dyDescent="0.3">
      <c r="H5820" s="74">
        <v>40</v>
      </c>
      <c r="K5820" s="55" t="s">
        <v>34</v>
      </c>
      <c r="L5820" s="60" t="s">
        <v>1830</v>
      </c>
    </row>
    <row r="5821" spans="1:13" x14ac:dyDescent="0.3">
      <c r="H5821" s="74">
        <v>30</v>
      </c>
      <c r="K5821" s="55" t="s">
        <v>55</v>
      </c>
      <c r="L5821" s="60" t="s">
        <v>13</v>
      </c>
      <c r="M5821" s="1" t="s">
        <v>1836</v>
      </c>
    </row>
    <row r="5822" spans="1:13" x14ac:dyDescent="0.3">
      <c r="H5822" s="74">
        <v>30</v>
      </c>
      <c r="K5822" s="55" t="s">
        <v>30</v>
      </c>
      <c r="L5822" s="60" t="s">
        <v>1177</v>
      </c>
    </row>
    <row r="5823" spans="1:13" x14ac:dyDescent="0.3">
      <c r="H5823" s="74">
        <v>30</v>
      </c>
      <c r="K5823" s="55" t="s">
        <v>55</v>
      </c>
      <c r="L5823" s="60" t="s">
        <v>1818</v>
      </c>
    </row>
    <row r="5824" spans="1:13" x14ac:dyDescent="0.3">
      <c r="H5824" s="74">
        <v>30</v>
      </c>
      <c r="K5824" s="55" t="s">
        <v>33</v>
      </c>
      <c r="L5824" s="60" t="s">
        <v>1835</v>
      </c>
    </row>
    <row r="5826" spans="1:12" x14ac:dyDescent="0.3">
      <c r="A5826" s="72" t="s">
        <v>1829</v>
      </c>
      <c r="B5826" s="55" t="s">
        <v>12</v>
      </c>
      <c r="C5826" s="67" t="s">
        <v>48</v>
      </c>
      <c r="D5826" s="55" t="s">
        <v>51</v>
      </c>
      <c r="E5826" s="19">
        <v>212.09</v>
      </c>
      <c r="F5826" s="19">
        <v>6</v>
      </c>
      <c r="G5826" s="55" t="s">
        <v>11</v>
      </c>
      <c r="H5826" s="74">
        <v>10</v>
      </c>
      <c r="K5826" s="55" t="s">
        <v>25</v>
      </c>
    </row>
    <row r="5827" spans="1:12" x14ac:dyDescent="0.3">
      <c r="H5827" s="74">
        <v>10</v>
      </c>
      <c r="K5827" s="55" t="s">
        <v>84</v>
      </c>
    </row>
    <row r="5828" spans="1:12" x14ac:dyDescent="0.3">
      <c r="H5828" s="74">
        <v>60</v>
      </c>
      <c r="K5828" s="55" t="s">
        <v>96</v>
      </c>
    </row>
    <row r="5829" spans="1:12" x14ac:dyDescent="0.3">
      <c r="H5829" s="74">
        <v>30</v>
      </c>
      <c r="K5829" s="55" t="s">
        <v>32</v>
      </c>
      <c r="L5829" s="60" t="s">
        <v>513</v>
      </c>
    </row>
    <row r="5830" spans="1:12" x14ac:dyDescent="0.3">
      <c r="H5830" s="74">
        <v>50</v>
      </c>
      <c r="K5830" s="55" t="s">
        <v>33</v>
      </c>
      <c r="L5830" s="60" t="s">
        <v>1839</v>
      </c>
    </row>
    <row r="5831" spans="1:12" x14ac:dyDescent="0.3">
      <c r="H5831" s="74">
        <v>90</v>
      </c>
      <c r="K5831" s="55" t="s">
        <v>34</v>
      </c>
      <c r="L5831" s="60" t="s">
        <v>1837</v>
      </c>
    </row>
    <row r="5832" spans="1:12" x14ac:dyDescent="0.3">
      <c r="H5832" s="74">
        <v>40</v>
      </c>
      <c r="K5832" s="55" t="s">
        <v>34</v>
      </c>
      <c r="L5832" s="60" t="s">
        <v>149</v>
      </c>
    </row>
    <row r="5833" spans="1:12" x14ac:dyDescent="0.3">
      <c r="H5833" s="74">
        <v>60</v>
      </c>
      <c r="K5833" s="55" t="s">
        <v>30</v>
      </c>
      <c r="L5833" s="60" t="s">
        <v>1838</v>
      </c>
    </row>
    <row r="5834" spans="1:12" x14ac:dyDescent="0.3">
      <c r="H5834" s="74">
        <v>25</v>
      </c>
      <c r="K5834" s="55" t="s">
        <v>55</v>
      </c>
      <c r="L5834" s="60" t="s">
        <v>1818</v>
      </c>
    </row>
    <row r="5837" spans="1:12" x14ac:dyDescent="0.3">
      <c r="A5837" s="72" t="s">
        <v>1840</v>
      </c>
      <c r="B5837" s="55" t="s">
        <v>0</v>
      </c>
      <c r="C5837" s="67" t="s">
        <v>46</v>
      </c>
      <c r="D5837" s="55" t="s">
        <v>52</v>
      </c>
      <c r="E5837" s="19">
        <v>310.58</v>
      </c>
      <c r="F5837" s="19">
        <v>9</v>
      </c>
      <c r="G5837" s="55" t="s">
        <v>11</v>
      </c>
      <c r="H5837" s="74">
        <v>10</v>
      </c>
      <c r="K5837" s="55" t="s">
        <v>25</v>
      </c>
    </row>
    <row r="5838" spans="1:12" x14ac:dyDescent="0.3">
      <c r="H5838" s="74">
        <v>10</v>
      </c>
      <c r="K5838" s="55" t="s">
        <v>84</v>
      </c>
    </row>
    <row r="5839" spans="1:12" x14ac:dyDescent="0.3">
      <c r="H5839" s="74">
        <v>100</v>
      </c>
      <c r="K5839" s="55" t="s">
        <v>96</v>
      </c>
    </row>
    <row r="5840" spans="1:12" x14ac:dyDescent="0.3">
      <c r="H5840" s="74">
        <v>40</v>
      </c>
      <c r="K5840" s="55" t="s">
        <v>32</v>
      </c>
      <c r="L5840" s="60" t="s">
        <v>1612</v>
      </c>
    </row>
    <row r="5841" spans="1:12" x14ac:dyDescent="0.3">
      <c r="H5841" s="74">
        <v>30</v>
      </c>
      <c r="K5841" s="55" t="s">
        <v>32</v>
      </c>
      <c r="L5841" s="60" t="s">
        <v>1841</v>
      </c>
    </row>
    <row r="5842" spans="1:12" x14ac:dyDescent="0.3">
      <c r="H5842" s="74">
        <v>40</v>
      </c>
      <c r="K5842" s="55" t="s">
        <v>55</v>
      </c>
      <c r="L5842" s="60" t="s">
        <v>356</v>
      </c>
    </row>
    <row r="5843" spans="1:12" x14ac:dyDescent="0.3">
      <c r="H5843" s="74">
        <v>40</v>
      </c>
      <c r="K5843" s="55" t="s">
        <v>55</v>
      </c>
      <c r="L5843" s="60" t="s">
        <v>14</v>
      </c>
    </row>
    <row r="5844" spans="1:12" x14ac:dyDescent="0.3">
      <c r="H5844" s="74">
        <v>30</v>
      </c>
      <c r="K5844" s="55" t="s">
        <v>30</v>
      </c>
    </row>
    <row r="5845" spans="1:12" x14ac:dyDescent="0.3">
      <c r="H5845" s="74">
        <v>25</v>
      </c>
      <c r="K5845" s="55" t="s">
        <v>102</v>
      </c>
    </row>
    <row r="5847" spans="1:12" x14ac:dyDescent="0.3">
      <c r="A5847" s="72" t="s">
        <v>1840</v>
      </c>
      <c r="B5847" s="55" t="s">
        <v>10</v>
      </c>
      <c r="C5847" s="67" t="s">
        <v>47</v>
      </c>
      <c r="D5847" s="55" t="s">
        <v>50</v>
      </c>
      <c r="E5847" s="19">
        <v>114.37</v>
      </c>
      <c r="F5847" s="19">
        <v>3</v>
      </c>
      <c r="G5847" s="55" t="s">
        <v>11</v>
      </c>
      <c r="H5847" s="74">
        <v>10</v>
      </c>
      <c r="K5847" s="55" t="s">
        <v>25</v>
      </c>
    </row>
    <row r="5848" spans="1:12" x14ac:dyDescent="0.3">
      <c r="H5848" s="74">
        <v>10</v>
      </c>
      <c r="K5848" s="55" t="s">
        <v>84</v>
      </c>
    </row>
    <row r="5849" spans="1:12" x14ac:dyDescent="0.3">
      <c r="H5849" s="74">
        <v>180</v>
      </c>
      <c r="K5849" s="55" t="s">
        <v>33</v>
      </c>
      <c r="L5849" s="60" t="s">
        <v>1842</v>
      </c>
    </row>
    <row r="5850" spans="1:12" x14ac:dyDescent="0.3">
      <c r="H5850" s="74">
        <v>60</v>
      </c>
      <c r="K5850" s="55" t="s">
        <v>32</v>
      </c>
      <c r="L5850" s="60" t="s">
        <v>1843</v>
      </c>
    </row>
    <row r="5851" spans="1:12" x14ac:dyDescent="0.3">
      <c r="H5851" s="74">
        <v>40</v>
      </c>
      <c r="K5851" s="55" t="s">
        <v>96</v>
      </c>
    </row>
    <row r="5852" spans="1:12" x14ac:dyDescent="0.3">
      <c r="H5852" s="74">
        <v>60</v>
      </c>
      <c r="K5852" s="55" t="s">
        <v>55</v>
      </c>
      <c r="L5852" s="60" t="s">
        <v>1844</v>
      </c>
    </row>
    <row r="5853" spans="1:12" x14ac:dyDescent="0.3">
      <c r="H5853" s="74">
        <v>20</v>
      </c>
      <c r="K5853" s="55" t="s">
        <v>55</v>
      </c>
      <c r="L5853" s="60" t="s">
        <v>147</v>
      </c>
    </row>
    <row r="5854" spans="1:12" x14ac:dyDescent="0.3">
      <c r="H5854" s="74">
        <v>50</v>
      </c>
      <c r="K5854" s="55" t="s">
        <v>55</v>
      </c>
      <c r="L5854" s="60" t="s">
        <v>1845</v>
      </c>
    </row>
    <row r="5856" spans="1:12" x14ac:dyDescent="0.3">
      <c r="A5856" s="72" t="s">
        <v>1840</v>
      </c>
      <c r="B5856" s="55" t="s">
        <v>12</v>
      </c>
      <c r="D5856" s="55" t="s">
        <v>51</v>
      </c>
      <c r="E5856" s="19">
        <v>382.2</v>
      </c>
      <c r="F5856" s="19">
        <v>10</v>
      </c>
      <c r="G5856" s="55" t="s">
        <v>11</v>
      </c>
      <c r="H5856" s="74">
        <v>10</v>
      </c>
      <c r="K5856" s="55" t="s">
        <v>25</v>
      </c>
    </row>
    <row r="5857" spans="1:12" x14ac:dyDescent="0.3">
      <c r="H5857" s="74">
        <v>10</v>
      </c>
      <c r="K5857" s="55" t="s">
        <v>84</v>
      </c>
    </row>
    <row r="5858" spans="1:12" x14ac:dyDescent="0.3">
      <c r="H5858" s="74">
        <v>100</v>
      </c>
      <c r="K5858" s="55" t="s">
        <v>96</v>
      </c>
    </row>
    <row r="5859" spans="1:12" x14ac:dyDescent="0.3">
      <c r="H5859" s="74">
        <v>25</v>
      </c>
      <c r="K5859" s="55" t="s">
        <v>102</v>
      </c>
    </row>
    <row r="5860" spans="1:12" x14ac:dyDescent="0.3">
      <c r="H5860" s="74">
        <v>20</v>
      </c>
      <c r="K5860" s="55" t="s">
        <v>34</v>
      </c>
    </row>
    <row r="5861" spans="1:12" x14ac:dyDescent="0.3">
      <c r="H5861" s="74">
        <v>30</v>
      </c>
      <c r="K5861" s="55" t="s">
        <v>32</v>
      </c>
      <c r="L5861" s="60" t="s">
        <v>236</v>
      </c>
    </row>
    <row r="5862" spans="1:12" x14ac:dyDescent="0.3">
      <c r="H5862" s="74">
        <v>20</v>
      </c>
      <c r="K5862" s="55" t="s">
        <v>30</v>
      </c>
    </row>
    <row r="5863" spans="1:12" x14ac:dyDescent="0.3">
      <c r="H5863" s="74">
        <v>15</v>
      </c>
      <c r="K5863" s="55" t="s">
        <v>55</v>
      </c>
      <c r="L5863" s="60" t="s">
        <v>13</v>
      </c>
    </row>
    <row r="5864" spans="1:12" x14ac:dyDescent="0.3">
      <c r="H5864" s="74">
        <v>40</v>
      </c>
      <c r="K5864" s="55" t="s">
        <v>32</v>
      </c>
      <c r="L5864" s="60" t="s">
        <v>460</v>
      </c>
    </row>
    <row r="5865" spans="1:12" x14ac:dyDescent="0.3">
      <c r="H5865" s="74">
        <v>20</v>
      </c>
      <c r="K5865" s="55" t="s">
        <v>33</v>
      </c>
      <c r="L5865" s="60" t="s">
        <v>454</v>
      </c>
    </row>
    <row r="5866" spans="1:12" x14ac:dyDescent="0.3">
      <c r="H5866" s="74">
        <v>15</v>
      </c>
      <c r="K5866" s="55" t="s">
        <v>55</v>
      </c>
      <c r="L5866" s="60" t="s">
        <v>1389</v>
      </c>
    </row>
    <row r="5868" spans="1:12" x14ac:dyDescent="0.3">
      <c r="A5868" s="72" t="s">
        <v>1846</v>
      </c>
      <c r="B5868" s="55" t="s">
        <v>0</v>
      </c>
      <c r="C5868" s="67" t="s">
        <v>46</v>
      </c>
      <c r="D5868" s="55" t="s">
        <v>52</v>
      </c>
      <c r="E5868" s="19">
        <v>323</v>
      </c>
      <c r="F5868" s="19">
        <v>9</v>
      </c>
      <c r="G5868" s="55" t="s">
        <v>11</v>
      </c>
      <c r="H5868" s="74">
        <v>10</v>
      </c>
      <c r="K5868" s="55" t="s">
        <v>25</v>
      </c>
    </row>
    <row r="5869" spans="1:12" x14ac:dyDescent="0.3">
      <c r="H5869" s="74">
        <v>10</v>
      </c>
      <c r="K5869" s="55" t="s">
        <v>84</v>
      </c>
    </row>
    <row r="5870" spans="1:12" x14ac:dyDescent="0.3">
      <c r="H5870" s="74">
        <v>100</v>
      </c>
      <c r="K5870" s="55" t="s">
        <v>96</v>
      </c>
    </row>
    <row r="5871" spans="1:12" x14ac:dyDescent="0.3">
      <c r="H5871" s="74">
        <v>60</v>
      </c>
      <c r="K5871" s="55" t="s">
        <v>32</v>
      </c>
      <c r="L5871" s="60" t="s">
        <v>1618</v>
      </c>
    </row>
    <row r="5872" spans="1:12" x14ac:dyDescent="0.3">
      <c r="H5872" s="74">
        <v>70</v>
      </c>
      <c r="K5872" s="55" t="s">
        <v>32</v>
      </c>
      <c r="L5872" s="60" t="s">
        <v>1847</v>
      </c>
    </row>
    <row r="5873" spans="1:12" x14ac:dyDescent="0.3">
      <c r="H5873" s="74">
        <v>30</v>
      </c>
      <c r="K5873" s="55" t="s">
        <v>34</v>
      </c>
      <c r="L5873" s="60" t="s">
        <v>149</v>
      </c>
    </row>
    <row r="5874" spans="1:12" x14ac:dyDescent="0.3">
      <c r="H5874" s="74">
        <v>30</v>
      </c>
      <c r="K5874" s="55" t="s">
        <v>34</v>
      </c>
      <c r="L5874" s="60" t="s">
        <v>1830</v>
      </c>
    </row>
    <row r="5875" spans="1:12" x14ac:dyDescent="0.3">
      <c r="H5875" s="74">
        <v>30</v>
      </c>
      <c r="K5875" s="55" t="s">
        <v>30</v>
      </c>
    </row>
    <row r="5876" spans="1:12" x14ac:dyDescent="0.3">
      <c r="H5876" s="74">
        <v>25</v>
      </c>
      <c r="K5876" s="55" t="s">
        <v>102</v>
      </c>
    </row>
    <row r="5878" spans="1:12" x14ac:dyDescent="0.3">
      <c r="A5878" s="72" t="s">
        <v>1846</v>
      </c>
      <c r="B5878" s="55" t="s">
        <v>10</v>
      </c>
      <c r="C5878" s="67" t="s">
        <v>47</v>
      </c>
      <c r="D5878" s="55" t="s">
        <v>50</v>
      </c>
      <c r="E5878" s="19">
        <v>210.33</v>
      </c>
      <c r="F5878" s="19">
        <v>7</v>
      </c>
      <c r="G5878" s="55" t="s">
        <v>11</v>
      </c>
      <c r="H5878" s="74">
        <v>10</v>
      </c>
      <c r="K5878" s="55" t="s">
        <v>25</v>
      </c>
    </row>
    <row r="5879" spans="1:12" x14ac:dyDescent="0.3">
      <c r="H5879" s="74">
        <v>10</v>
      </c>
      <c r="K5879" s="55" t="s">
        <v>84</v>
      </c>
    </row>
    <row r="5880" spans="1:12" x14ac:dyDescent="0.3">
      <c r="H5880" s="74">
        <v>70</v>
      </c>
      <c r="K5880" s="55" t="s">
        <v>96</v>
      </c>
    </row>
    <row r="5881" spans="1:12" x14ac:dyDescent="0.3">
      <c r="H5881" s="74">
        <v>110</v>
      </c>
      <c r="K5881" s="55" t="s">
        <v>32</v>
      </c>
      <c r="L5881" s="60" t="s">
        <v>1848</v>
      </c>
    </row>
    <row r="5882" spans="1:12" x14ac:dyDescent="0.3">
      <c r="H5882" s="74">
        <v>60</v>
      </c>
      <c r="K5882" s="55" t="s">
        <v>34</v>
      </c>
      <c r="L5882" s="60" t="s">
        <v>323</v>
      </c>
    </row>
    <row r="5883" spans="1:12" x14ac:dyDescent="0.3">
      <c r="H5883" s="74">
        <v>20</v>
      </c>
      <c r="K5883" s="55" t="s">
        <v>33</v>
      </c>
      <c r="L5883" s="60" t="s">
        <v>1849</v>
      </c>
    </row>
    <row r="5884" spans="1:12" x14ac:dyDescent="0.3">
      <c r="H5884" s="74">
        <v>40</v>
      </c>
      <c r="K5884" s="55" t="s">
        <v>34</v>
      </c>
      <c r="L5884" s="60" t="s">
        <v>149</v>
      </c>
    </row>
    <row r="5885" spans="1:12" x14ac:dyDescent="0.3">
      <c r="H5885" s="74">
        <v>20</v>
      </c>
      <c r="K5885" s="55" t="s">
        <v>102</v>
      </c>
    </row>
    <row r="5886" spans="1:12" x14ac:dyDescent="0.3">
      <c r="H5886" s="74">
        <v>30</v>
      </c>
      <c r="K5886" s="55" t="s">
        <v>30</v>
      </c>
      <c r="L5886" s="60" t="s">
        <v>136</v>
      </c>
    </row>
    <row r="5888" spans="1:12" x14ac:dyDescent="0.3">
      <c r="A5888" s="72" t="s">
        <v>1846</v>
      </c>
      <c r="B5888" s="55" t="s">
        <v>12</v>
      </c>
      <c r="C5888" s="67" t="s">
        <v>48</v>
      </c>
      <c r="D5888" s="55" t="s">
        <v>51</v>
      </c>
      <c r="E5888" s="19">
        <v>248.46</v>
      </c>
      <c r="F5888" s="19">
        <v>8</v>
      </c>
      <c r="G5888" s="55" t="s">
        <v>11</v>
      </c>
      <c r="H5888" s="74">
        <v>10</v>
      </c>
      <c r="K5888" s="55" t="s">
        <v>25</v>
      </c>
    </row>
    <row r="5889" spans="1:12" x14ac:dyDescent="0.3">
      <c r="H5889" s="74">
        <v>10</v>
      </c>
      <c r="K5889" s="55" t="s">
        <v>84</v>
      </c>
    </row>
    <row r="5890" spans="1:12" x14ac:dyDescent="0.3">
      <c r="H5890" s="74">
        <v>90</v>
      </c>
      <c r="K5890" s="55" t="s">
        <v>96</v>
      </c>
    </row>
    <row r="5891" spans="1:12" x14ac:dyDescent="0.3">
      <c r="H5891" s="74">
        <v>60</v>
      </c>
      <c r="K5891" s="55" t="s">
        <v>32</v>
      </c>
      <c r="L5891" s="60" t="s">
        <v>137</v>
      </c>
    </row>
    <row r="5892" spans="1:12" x14ac:dyDescent="0.3">
      <c r="H5892" s="74">
        <v>25</v>
      </c>
      <c r="K5892" s="55" t="s">
        <v>102</v>
      </c>
    </row>
    <row r="5893" spans="1:12" x14ac:dyDescent="0.3">
      <c r="H5893" s="74">
        <v>30</v>
      </c>
      <c r="K5893" s="55" t="s">
        <v>34</v>
      </c>
    </row>
    <row r="5894" spans="1:12" x14ac:dyDescent="0.3">
      <c r="H5894" s="74">
        <v>90</v>
      </c>
      <c r="K5894" s="55" t="s">
        <v>34</v>
      </c>
      <c r="L5894" s="60" t="s">
        <v>1850</v>
      </c>
    </row>
    <row r="5895" spans="1:12" x14ac:dyDescent="0.3">
      <c r="H5895" s="74">
        <v>25</v>
      </c>
      <c r="K5895" s="55" t="s">
        <v>30</v>
      </c>
      <c r="L5895" s="60" t="s">
        <v>502</v>
      </c>
    </row>
    <row r="5896" spans="1:12" x14ac:dyDescent="0.3">
      <c r="H5896" s="74">
        <v>15</v>
      </c>
      <c r="K5896" s="55" t="s">
        <v>55</v>
      </c>
      <c r="L5896" s="60" t="s">
        <v>1851</v>
      </c>
    </row>
    <row r="5899" spans="1:12" x14ac:dyDescent="0.3">
      <c r="A5899" s="72" t="s">
        <v>1852</v>
      </c>
      <c r="B5899" s="55" t="s">
        <v>0</v>
      </c>
      <c r="C5899" s="67" t="s">
        <v>46</v>
      </c>
      <c r="D5899" s="55" t="s">
        <v>52</v>
      </c>
      <c r="E5899" s="19">
        <v>191.33</v>
      </c>
      <c r="F5899" s="19">
        <v>5</v>
      </c>
      <c r="G5899" s="55" t="s">
        <v>11</v>
      </c>
      <c r="H5899" s="74">
        <v>10</v>
      </c>
      <c r="K5899" s="55" t="s">
        <v>25</v>
      </c>
    </row>
    <row r="5900" spans="1:12" x14ac:dyDescent="0.3">
      <c r="H5900" s="74">
        <v>10</v>
      </c>
      <c r="K5900" s="55" t="s">
        <v>84</v>
      </c>
    </row>
    <row r="5901" spans="1:12" x14ac:dyDescent="0.3">
      <c r="H5901" s="74">
        <v>60</v>
      </c>
      <c r="K5901" s="55" t="s">
        <v>96</v>
      </c>
    </row>
    <row r="5902" spans="1:12" x14ac:dyDescent="0.3">
      <c r="H5902" s="74">
        <v>30</v>
      </c>
      <c r="K5902" s="55" t="s">
        <v>32</v>
      </c>
      <c r="L5902" s="60" t="s">
        <v>1612</v>
      </c>
    </row>
    <row r="5903" spans="1:12" x14ac:dyDescent="0.3">
      <c r="H5903" s="74">
        <v>30</v>
      </c>
      <c r="K5903" s="55" t="s">
        <v>32</v>
      </c>
      <c r="L5903" s="60" t="s">
        <v>1843</v>
      </c>
    </row>
    <row r="5904" spans="1:12" x14ac:dyDescent="0.3">
      <c r="H5904" s="74">
        <v>120</v>
      </c>
      <c r="K5904" s="55" t="s">
        <v>33</v>
      </c>
      <c r="L5904" s="60" t="s">
        <v>1853</v>
      </c>
    </row>
    <row r="5905" spans="1:12" x14ac:dyDescent="0.3">
      <c r="H5905" s="74">
        <v>40</v>
      </c>
      <c r="K5905" s="55" t="s">
        <v>30</v>
      </c>
      <c r="L5905" s="60" t="s">
        <v>502</v>
      </c>
    </row>
    <row r="5906" spans="1:12" x14ac:dyDescent="0.3">
      <c r="H5906" s="74">
        <v>40</v>
      </c>
      <c r="K5906" s="55" t="s">
        <v>34</v>
      </c>
      <c r="L5906" s="60" t="s">
        <v>149</v>
      </c>
    </row>
    <row r="5907" spans="1:12" x14ac:dyDescent="0.3">
      <c r="H5907" s="74">
        <v>40</v>
      </c>
      <c r="K5907" s="55" t="s">
        <v>34</v>
      </c>
      <c r="L5907" s="60" t="s">
        <v>1854</v>
      </c>
    </row>
    <row r="5908" spans="1:12" x14ac:dyDescent="0.3">
      <c r="H5908" s="74">
        <v>25</v>
      </c>
      <c r="K5908" s="55" t="s">
        <v>55</v>
      </c>
      <c r="L5908" s="60" t="s">
        <v>1818</v>
      </c>
    </row>
    <row r="5910" spans="1:12" x14ac:dyDescent="0.3">
      <c r="A5910" s="72" t="s">
        <v>1852</v>
      </c>
      <c r="B5910" s="55" t="s">
        <v>10</v>
      </c>
      <c r="C5910" s="67" t="s">
        <v>47</v>
      </c>
      <c r="D5910" s="55" t="s">
        <v>50</v>
      </c>
      <c r="E5910" s="19">
        <v>160.26</v>
      </c>
      <c r="F5910" s="19">
        <v>6</v>
      </c>
      <c r="G5910" s="55" t="s">
        <v>11</v>
      </c>
      <c r="H5910" s="74">
        <v>10</v>
      </c>
      <c r="K5910" s="55" t="s">
        <v>25</v>
      </c>
    </row>
    <row r="5911" spans="1:12" x14ac:dyDescent="0.3">
      <c r="H5911" s="74">
        <v>10</v>
      </c>
      <c r="K5911" s="55" t="s">
        <v>84</v>
      </c>
    </row>
    <row r="5912" spans="1:12" x14ac:dyDescent="0.3">
      <c r="K5912" s="55" t="s">
        <v>96</v>
      </c>
    </row>
    <row r="5913" spans="1:12" x14ac:dyDescent="0.3">
      <c r="H5913" s="74">
        <v>80</v>
      </c>
      <c r="K5913" s="55" t="s">
        <v>32</v>
      </c>
      <c r="L5913" s="60" t="s">
        <v>1856</v>
      </c>
    </row>
    <row r="5914" spans="1:12" x14ac:dyDescent="0.3">
      <c r="H5914" s="74">
        <v>90</v>
      </c>
      <c r="K5914" s="55" t="s">
        <v>55</v>
      </c>
      <c r="L5914" s="60" t="s">
        <v>1855</v>
      </c>
    </row>
    <row r="5915" spans="1:12" x14ac:dyDescent="0.3">
      <c r="H5915" s="74">
        <v>30</v>
      </c>
      <c r="K5915" s="55" t="s">
        <v>33</v>
      </c>
      <c r="L5915" s="60" t="s">
        <v>383</v>
      </c>
    </row>
    <row r="5916" spans="1:12" x14ac:dyDescent="0.3">
      <c r="H5916" s="74">
        <v>20</v>
      </c>
      <c r="K5916" s="55" t="s">
        <v>34</v>
      </c>
      <c r="L5916" s="60" t="s">
        <v>149</v>
      </c>
    </row>
    <row r="5917" spans="1:12" x14ac:dyDescent="0.3">
      <c r="H5917" s="74">
        <v>40</v>
      </c>
      <c r="K5917" s="55" t="s">
        <v>34</v>
      </c>
      <c r="L5917" s="60" t="s">
        <v>561</v>
      </c>
    </row>
    <row r="5918" spans="1:12" x14ac:dyDescent="0.3">
      <c r="H5918" s="74">
        <v>30</v>
      </c>
      <c r="K5918" s="55" t="s">
        <v>30</v>
      </c>
    </row>
    <row r="5920" spans="1:12" x14ac:dyDescent="0.3">
      <c r="A5920" s="72" t="s">
        <v>1852</v>
      </c>
      <c r="B5920" s="55" t="s">
        <v>12</v>
      </c>
      <c r="C5920" s="67" t="s">
        <v>188</v>
      </c>
      <c r="D5920" s="55" t="s">
        <v>51</v>
      </c>
      <c r="E5920" s="19">
        <v>244</v>
      </c>
      <c r="F5920" s="19">
        <v>10</v>
      </c>
      <c r="G5920" s="55" t="s">
        <v>11</v>
      </c>
      <c r="H5920" s="74">
        <v>10</v>
      </c>
      <c r="K5920" s="55" t="s">
        <v>25</v>
      </c>
    </row>
    <row r="5921" spans="1:13" x14ac:dyDescent="0.3">
      <c r="H5921" s="74">
        <v>10</v>
      </c>
      <c r="K5921" s="55" t="s">
        <v>84</v>
      </c>
    </row>
    <row r="5922" spans="1:13" x14ac:dyDescent="0.3">
      <c r="H5922" s="74">
        <v>100</v>
      </c>
      <c r="K5922" s="55" t="s">
        <v>96</v>
      </c>
    </row>
    <row r="5923" spans="1:13" x14ac:dyDescent="0.3">
      <c r="H5923" s="74">
        <v>70</v>
      </c>
      <c r="K5923" s="55" t="s">
        <v>32</v>
      </c>
      <c r="L5923" s="60" t="s">
        <v>1857</v>
      </c>
    </row>
    <row r="5924" spans="1:13" x14ac:dyDescent="0.3">
      <c r="H5924" s="74">
        <v>20</v>
      </c>
      <c r="K5924" s="55" t="s">
        <v>32</v>
      </c>
      <c r="L5924" s="60" t="s">
        <v>245</v>
      </c>
    </row>
    <row r="5925" spans="1:13" x14ac:dyDescent="0.3">
      <c r="H5925" s="74">
        <v>30</v>
      </c>
      <c r="K5925" s="55" t="s">
        <v>30</v>
      </c>
      <c r="L5925" s="60" t="s">
        <v>300</v>
      </c>
    </row>
    <row r="5926" spans="1:13" x14ac:dyDescent="0.3">
      <c r="H5926" s="74">
        <v>20</v>
      </c>
      <c r="K5926" s="55" t="s">
        <v>102</v>
      </c>
    </row>
    <row r="5927" spans="1:13" x14ac:dyDescent="0.3">
      <c r="H5927" s="74">
        <v>30</v>
      </c>
      <c r="K5927" s="55" t="s">
        <v>34</v>
      </c>
      <c r="L5927" s="60" t="s">
        <v>268</v>
      </c>
    </row>
    <row r="5928" spans="1:13" x14ac:dyDescent="0.3">
      <c r="H5928" s="74">
        <v>30</v>
      </c>
      <c r="K5928" s="55" t="s">
        <v>55</v>
      </c>
      <c r="L5928" s="60" t="s">
        <v>1858</v>
      </c>
      <c r="M5928" s="1" t="s">
        <v>1859</v>
      </c>
    </row>
    <row r="5929" spans="1:13" x14ac:dyDescent="0.3">
      <c r="H5929" s="74">
        <v>40</v>
      </c>
      <c r="K5929" s="55" t="s">
        <v>33</v>
      </c>
      <c r="L5929" s="60" t="s">
        <v>1860</v>
      </c>
    </row>
    <row r="5932" spans="1:13" x14ac:dyDescent="0.3">
      <c r="A5932" s="72" t="s">
        <v>1861</v>
      </c>
      <c r="B5932" s="55" t="s">
        <v>0</v>
      </c>
      <c r="C5932" s="67" t="s">
        <v>46</v>
      </c>
      <c r="D5932" s="55" t="s">
        <v>52</v>
      </c>
      <c r="E5932" s="19">
        <v>232.11</v>
      </c>
      <c r="F5932" s="19">
        <v>9</v>
      </c>
      <c r="G5932" s="55" t="s">
        <v>11</v>
      </c>
      <c r="H5932" s="74">
        <v>10</v>
      </c>
      <c r="K5932" s="55" t="s">
        <v>25</v>
      </c>
    </row>
    <row r="5933" spans="1:13" x14ac:dyDescent="0.3">
      <c r="H5933" s="74">
        <v>10</v>
      </c>
      <c r="K5933" s="55" t="s">
        <v>84</v>
      </c>
    </row>
    <row r="5934" spans="1:13" x14ac:dyDescent="0.3">
      <c r="H5934" s="74">
        <v>100</v>
      </c>
      <c r="K5934" s="55" t="s">
        <v>96</v>
      </c>
    </row>
    <row r="5935" spans="1:13" x14ac:dyDescent="0.3">
      <c r="H5935" s="74">
        <v>110</v>
      </c>
      <c r="K5935" s="55" t="s">
        <v>32</v>
      </c>
      <c r="L5935" s="60" t="s">
        <v>1862</v>
      </c>
    </row>
    <row r="5936" spans="1:13" x14ac:dyDescent="0.3">
      <c r="H5936" s="74">
        <v>45</v>
      </c>
      <c r="K5936" s="55" t="s">
        <v>32</v>
      </c>
      <c r="L5936" s="60" t="s">
        <v>245</v>
      </c>
    </row>
    <row r="5937" spans="1:12" x14ac:dyDescent="0.3">
      <c r="H5937" s="74">
        <v>20</v>
      </c>
      <c r="K5937" s="55" t="s">
        <v>102</v>
      </c>
    </row>
    <row r="5938" spans="1:12" x14ac:dyDescent="0.3">
      <c r="H5938" s="74">
        <v>30</v>
      </c>
      <c r="K5938" s="55" t="s">
        <v>30</v>
      </c>
      <c r="L5938" s="60" t="s">
        <v>502</v>
      </c>
    </row>
    <row r="5939" spans="1:12" x14ac:dyDescent="0.3">
      <c r="H5939" s="74">
        <v>30</v>
      </c>
      <c r="K5939" s="55" t="s">
        <v>34</v>
      </c>
      <c r="L5939" s="60" t="s">
        <v>268</v>
      </c>
    </row>
    <row r="5941" spans="1:12" x14ac:dyDescent="0.3">
      <c r="A5941" s="72" t="s">
        <v>1861</v>
      </c>
      <c r="B5941" s="55" t="s">
        <v>10</v>
      </c>
      <c r="C5941" s="67" t="s">
        <v>47</v>
      </c>
      <c r="D5941" s="55" t="s">
        <v>50</v>
      </c>
      <c r="E5941" s="19">
        <v>154.72</v>
      </c>
      <c r="F5941" s="19">
        <v>5</v>
      </c>
      <c r="G5941" s="55" t="s">
        <v>11</v>
      </c>
      <c r="H5941" s="74">
        <v>10</v>
      </c>
      <c r="K5941" s="55" t="s">
        <v>25</v>
      </c>
    </row>
    <row r="5942" spans="1:12" x14ac:dyDescent="0.3">
      <c r="H5942" s="74">
        <v>10</v>
      </c>
      <c r="K5942" s="55" t="s">
        <v>84</v>
      </c>
    </row>
    <row r="5943" spans="1:12" x14ac:dyDescent="0.3">
      <c r="H5943" s="74">
        <v>60</v>
      </c>
      <c r="K5943" s="55" t="s">
        <v>32</v>
      </c>
      <c r="L5943" s="60" t="s">
        <v>1514</v>
      </c>
    </row>
    <row r="5944" spans="1:12" x14ac:dyDescent="0.3">
      <c r="H5944" s="74">
        <v>180</v>
      </c>
      <c r="K5944" s="55" t="s">
        <v>55</v>
      </c>
      <c r="L5944" s="60" t="s">
        <v>1781</v>
      </c>
    </row>
    <row r="5945" spans="1:12" x14ac:dyDescent="0.3">
      <c r="H5945" s="74">
        <v>50</v>
      </c>
      <c r="K5945" s="55" t="s">
        <v>96</v>
      </c>
    </row>
    <row r="5946" spans="1:12" x14ac:dyDescent="0.3">
      <c r="H5946" s="74">
        <v>30</v>
      </c>
      <c r="K5946" s="55" t="s">
        <v>102</v>
      </c>
    </row>
    <row r="5947" spans="1:12" x14ac:dyDescent="0.3">
      <c r="H5947" s="74">
        <v>30</v>
      </c>
      <c r="K5947" s="55" t="s">
        <v>30</v>
      </c>
      <c r="L5947" s="60" t="s">
        <v>502</v>
      </c>
    </row>
    <row r="5948" spans="1:12" x14ac:dyDescent="0.3">
      <c r="H5948" s="74">
        <v>40</v>
      </c>
      <c r="K5948" s="55" t="s">
        <v>34</v>
      </c>
      <c r="L5948" s="60" t="s">
        <v>268</v>
      </c>
    </row>
    <row r="5950" spans="1:12" x14ac:dyDescent="0.3">
      <c r="A5950" s="72" t="s">
        <v>1861</v>
      </c>
      <c r="B5950" s="55" t="s">
        <v>12</v>
      </c>
      <c r="C5950" s="67" t="s">
        <v>188</v>
      </c>
      <c r="D5950" s="55" t="s">
        <v>51</v>
      </c>
      <c r="E5950" s="19">
        <v>262.56</v>
      </c>
      <c r="F5950" s="19">
        <v>8</v>
      </c>
      <c r="G5950" s="55" t="s">
        <v>11</v>
      </c>
      <c r="H5950" s="74">
        <v>10</v>
      </c>
      <c r="K5950" s="55" t="s">
        <v>25</v>
      </c>
    </row>
    <row r="5951" spans="1:12" x14ac:dyDescent="0.3">
      <c r="H5951" s="74">
        <v>10</v>
      </c>
      <c r="K5951" s="55" t="s">
        <v>84</v>
      </c>
    </row>
    <row r="5952" spans="1:12" x14ac:dyDescent="0.3">
      <c r="H5952" s="74">
        <v>80</v>
      </c>
      <c r="K5952" s="55" t="s">
        <v>96</v>
      </c>
    </row>
    <row r="5953" spans="1:12" x14ac:dyDescent="0.3">
      <c r="H5953" s="74">
        <v>80</v>
      </c>
      <c r="K5953" s="55" t="s">
        <v>32</v>
      </c>
      <c r="L5953" s="60" t="s">
        <v>137</v>
      </c>
    </row>
    <row r="5954" spans="1:12" x14ac:dyDescent="0.3">
      <c r="H5954" s="74">
        <v>25</v>
      </c>
      <c r="K5954" s="55" t="s">
        <v>102</v>
      </c>
    </row>
    <row r="5955" spans="1:12" x14ac:dyDescent="0.3">
      <c r="H5955" s="74">
        <v>30</v>
      </c>
      <c r="K5955" s="55" t="s">
        <v>34</v>
      </c>
      <c r="L5955" s="60" t="s">
        <v>149</v>
      </c>
    </row>
    <row r="5956" spans="1:12" x14ac:dyDescent="0.3">
      <c r="H5956" s="74">
        <v>50</v>
      </c>
      <c r="K5956" s="55" t="s">
        <v>34</v>
      </c>
      <c r="L5956" s="60" t="s">
        <v>1863</v>
      </c>
    </row>
    <row r="5957" spans="1:12" x14ac:dyDescent="0.3">
      <c r="H5957" s="74">
        <v>25</v>
      </c>
      <c r="K5957" s="55" t="s">
        <v>30</v>
      </c>
      <c r="L5957" s="60" t="s">
        <v>502</v>
      </c>
    </row>
    <row r="5958" spans="1:12" x14ac:dyDescent="0.3">
      <c r="H5958" s="74">
        <v>15</v>
      </c>
      <c r="K5958" s="55" t="s">
        <v>32</v>
      </c>
      <c r="L5958" s="60" t="s">
        <v>1048</v>
      </c>
    </row>
    <row r="5961" spans="1:12" x14ac:dyDescent="0.3">
      <c r="A5961" s="72" t="s">
        <v>1864</v>
      </c>
      <c r="B5961" s="55" t="s">
        <v>0</v>
      </c>
      <c r="D5961" s="55" t="s">
        <v>52</v>
      </c>
      <c r="E5961" s="19">
        <v>181.52</v>
      </c>
      <c r="F5961" s="19">
        <v>6</v>
      </c>
      <c r="G5961" s="55" t="s">
        <v>11</v>
      </c>
      <c r="H5961" s="74">
        <v>10</v>
      </c>
      <c r="K5961" s="55" t="s">
        <v>25</v>
      </c>
    </row>
    <row r="5962" spans="1:12" x14ac:dyDescent="0.3">
      <c r="H5962" s="74">
        <v>10</v>
      </c>
      <c r="K5962" s="55" t="s">
        <v>84</v>
      </c>
    </row>
    <row r="5963" spans="1:12" x14ac:dyDescent="0.3">
      <c r="H5963" s="74">
        <v>70</v>
      </c>
      <c r="K5963" s="55" t="s">
        <v>96</v>
      </c>
    </row>
    <row r="5964" spans="1:12" x14ac:dyDescent="0.3">
      <c r="H5964" s="74">
        <v>120</v>
      </c>
      <c r="K5964" s="55" t="s">
        <v>32</v>
      </c>
      <c r="L5964" s="60" t="s">
        <v>1862</v>
      </c>
    </row>
    <row r="5965" spans="1:12" x14ac:dyDescent="0.3">
      <c r="H5965" s="74">
        <v>60</v>
      </c>
      <c r="K5965" s="55" t="s">
        <v>32</v>
      </c>
      <c r="L5965" s="60" t="s">
        <v>1865</v>
      </c>
    </row>
    <row r="5966" spans="1:12" x14ac:dyDescent="0.3">
      <c r="H5966" s="74">
        <v>20</v>
      </c>
      <c r="K5966" s="55" t="s">
        <v>102</v>
      </c>
    </row>
    <row r="5967" spans="1:12" x14ac:dyDescent="0.3">
      <c r="H5967" s="74">
        <v>30</v>
      </c>
      <c r="K5967" s="55" t="s">
        <v>30</v>
      </c>
      <c r="L5967" s="60" t="s">
        <v>324</v>
      </c>
    </row>
    <row r="5968" spans="1:12" x14ac:dyDescent="0.3">
      <c r="H5968" s="74">
        <v>30</v>
      </c>
      <c r="K5968" s="55" t="s">
        <v>34</v>
      </c>
      <c r="L5968" s="60" t="s">
        <v>268</v>
      </c>
    </row>
    <row r="5969" spans="1:12" x14ac:dyDescent="0.3">
      <c r="H5969" s="74">
        <v>20</v>
      </c>
      <c r="K5969" s="55" t="s">
        <v>34</v>
      </c>
      <c r="L5969" s="60" t="s">
        <v>1863</v>
      </c>
    </row>
    <row r="5970" spans="1:12" x14ac:dyDescent="0.3">
      <c r="H5970" s="74">
        <v>40</v>
      </c>
      <c r="K5970" s="55" t="s">
        <v>33</v>
      </c>
      <c r="L5970" s="60" t="s">
        <v>1866</v>
      </c>
    </row>
    <row r="5972" spans="1:12" x14ac:dyDescent="0.3">
      <c r="A5972" s="72" t="s">
        <v>1864</v>
      </c>
      <c r="B5972" s="55" t="s">
        <v>10</v>
      </c>
      <c r="D5972" s="55" t="s">
        <v>50</v>
      </c>
      <c r="E5972" s="19">
        <v>252.36</v>
      </c>
      <c r="F5972" s="19">
        <v>8</v>
      </c>
      <c r="G5972" s="55" t="s">
        <v>11</v>
      </c>
      <c r="H5972" s="74">
        <v>10</v>
      </c>
      <c r="K5972" s="55" t="s">
        <v>25</v>
      </c>
    </row>
    <row r="5973" spans="1:12" x14ac:dyDescent="0.3">
      <c r="H5973" s="74">
        <v>10</v>
      </c>
      <c r="K5973" s="55" t="s">
        <v>84</v>
      </c>
    </row>
    <row r="5974" spans="1:12" x14ac:dyDescent="0.3">
      <c r="H5974" s="74">
        <v>80</v>
      </c>
      <c r="K5974" s="55" t="s">
        <v>96</v>
      </c>
    </row>
    <row r="5975" spans="1:12" x14ac:dyDescent="0.3">
      <c r="H5975" s="74">
        <v>40</v>
      </c>
      <c r="K5975" s="55" t="s">
        <v>32</v>
      </c>
      <c r="L5975" s="60" t="s">
        <v>294</v>
      </c>
    </row>
    <row r="5976" spans="1:12" x14ac:dyDescent="0.3">
      <c r="H5976" s="74">
        <v>40</v>
      </c>
      <c r="K5976" s="55" t="s">
        <v>32</v>
      </c>
      <c r="L5976" s="60" t="s">
        <v>460</v>
      </c>
    </row>
    <row r="5977" spans="1:12" x14ac:dyDescent="0.3">
      <c r="H5977" s="74">
        <v>30</v>
      </c>
      <c r="K5977" s="55" t="s">
        <v>102</v>
      </c>
    </row>
    <row r="5978" spans="1:12" x14ac:dyDescent="0.3">
      <c r="H5978" s="74">
        <v>30</v>
      </c>
      <c r="K5978" s="55" t="s">
        <v>30</v>
      </c>
    </row>
    <row r="5979" spans="1:12" x14ac:dyDescent="0.3">
      <c r="H5979" s="74">
        <v>50</v>
      </c>
      <c r="K5979" s="55" t="s">
        <v>34</v>
      </c>
      <c r="L5979" s="60" t="s">
        <v>254</v>
      </c>
    </row>
    <row r="5980" spans="1:12" x14ac:dyDescent="0.3">
      <c r="H5980" s="74">
        <v>30</v>
      </c>
      <c r="K5980" s="55" t="s">
        <v>34</v>
      </c>
      <c r="L5980" s="60" t="s">
        <v>149</v>
      </c>
    </row>
    <row r="5982" spans="1:12" x14ac:dyDescent="0.3">
      <c r="A5982" s="72" t="s">
        <v>1864</v>
      </c>
      <c r="B5982" s="55" t="s">
        <v>12</v>
      </c>
      <c r="C5982" s="67" t="s">
        <v>188</v>
      </c>
      <c r="D5982" s="55" t="s">
        <v>51</v>
      </c>
      <c r="E5982" s="19">
        <v>182.26</v>
      </c>
      <c r="F5982" s="19">
        <v>6</v>
      </c>
      <c r="G5982" s="55" t="s">
        <v>11</v>
      </c>
      <c r="H5982" s="74">
        <v>10</v>
      </c>
      <c r="K5982" s="55" t="s">
        <v>25</v>
      </c>
    </row>
    <row r="5983" spans="1:12" x14ac:dyDescent="0.3">
      <c r="H5983" s="74">
        <v>10</v>
      </c>
      <c r="K5983" s="55" t="s">
        <v>84</v>
      </c>
    </row>
    <row r="5984" spans="1:12" x14ac:dyDescent="0.3">
      <c r="H5984" s="74">
        <v>70</v>
      </c>
      <c r="K5984" s="55" t="s">
        <v>96</v>
      </c>
    </row>
    <row r="5985" spans="1:12" x14ac:dyDescent="0.3">
      <c r="H5985" s="74">
        <v>60</v>
      </c>
      <c r="K5985" s="55" t="s">
        <v>32</v>
      </c>
      <c r="L5985" s="60" t="s">
        <v>1869</v>
      </c>
    </row>
    <row r="5986" spans="1:12" x14ac:dyDescent="0.3">
      <c r="H5986" s="74">
        <v>60</v>
      </c>
      <c r="K5986" s="55" t="s">
        <v>32</v>
      </c>
      <c r="L5986" s="60" t="s">
        <v>802</v>
      </c>
    </row>
    <row r="5987" spans="1:12" x14ac:dyDescent="0.3">
      <c r="H5987" s="74">
        <v>30</v>
      </c>
      <c r="K5987" s="55" t="s">
        <v>34</v>
      </c>
      <c r="L5987" s="60" t="s">
        <v>149</v>
      </c>
    </row>
    <row r="5988" spans="1:12" x14ac:dyDescent="0.3">
      <c r="H5988" s="74">
        <v>50</v>
      </c>
      <c r="K5988" s="55" t="s">
        <v>34</v>
      </c>
      <c r="L5988" s="60" t="s">
        <v>1867</v>
      </c>
    </row>
    <row r="5989" spans="1:12" x14ac:dyDescent="0.3">
      <c r="H5989" s="74">
        <v>25</v>
      </c>
      <c r="K5989" s="55" t="s">
        <v>102</v>
      </c>
    </row>
    <row r="5990" spans="1:12" x14ac:dyDescent="0.3">
      <c r="H5990" s="74">
        <v>30</v>
      </c>
      <c r="K5990" s="55" t="s">
        <v>30</v>
      </c>
      <c r="L5990" s="60" t="s">
        <v>339</v>
      </c>
    </row>
    <row r="5991" spans="1:12" x14ac:dyDescent="0.3">
      <c r="H5991" s="74">
        <v>25</v>
      </c>
      <c r="K5991" s="55" t="s">
        <v>55</v>
      </c>
      <c r="L5991" s="60" t="s">
        <v>928</v>
      </c>
    </row>
    <row r="5992" spans="1:12" x14ac:dyDescent="0.3">
      <c r="H5992" s="74">
        <v>30</v>
      </c>
      <c r="K5992" s="55" t="s">
        <v>33</v>
      </c>
      <c r="L5992" s="60" t="s">
        <v>1868</v>
      </c>
    </row>
    <row r="5993" spans="1:12" x14ac:dyDescent="0.3">
      <c r="H5993" s="74">
        <v>15</v>
      </c>
      <c r="K5993" s="55" t="s">
        <v>55</v>
      </c>
      <c r="L5993" s="60" t="s">
        <v>454</v>
      </c>
    </row>
    <row r="5995" spans="1:12" x14ac:dyDescent="0.3">
      <c r="A5995" s="72" t="s">
        <v>1870</v>
      </c>
      <c r="B5995" s="55" t="s">
        <v>0</v>
      </c>
      <c r="C5995" s="67" t="s">
        <v>48</v>
      </c>
      <c r="D5995" s="55" t="s">
        <v>50</v>
      </c>
      <c r="E5995" s="19">
        <v>62.57</v>
      </c>
      <c r="F5995" s="19">
        <v>2</v>
      </c>
      <c r="G5995" s="55" t="s">
        <v>11</v>
      </c>
      <c r="H5995" s="74">
        <v>10</v>
      </c>
      <c r="K5995" s="55" t="s">
        <v>25</v>
      </c>
    </row>
    <row r="5996" spans="1:12" x14ac:dyDescent="0.3">
      <c r="H5996" s="74">
        <v>10</v>
      </c>
      <c r="K5996" s="55" t="s">
        <v>84</v>
      </c>
    </row>
    <row r="5997" spans="1:12" x14ac:dyDescent="0.3">
      <c r="H5997" s="74">
        <v>30</v>
      </c>
      <c r="K5997" s="55" t="s">
        <v>96</v>
      </c>
    </row>
    <row r="5998" spans="1:12" x14ac:dyDescent="0.3">
      <c r="H5998" s="74">
        <v>30</v>
      </c>
      <c r="K5998" s="55" t="s">
        <v>32</v>
      </c>
      <c r="L5998" s="60" t="s">
        <v>1871</v>
      </c>
    </row>
    <row r="5999" spans="1:12" x14ac:dyDescent="0.3">
      <c r="H5999" s="74">
        <v>30</v>
      </c>
      <c r="K5999" s="55" t="s">
        <v>32</v>
      </c>
      <c r="L5999" s="60" t="s">
        <v>445</v>
      </c>
    </row>
    <row r="6000" spans="1:12" x14ac:dyDescent="0.3">
      <c r="H6000" s="74">
        <v>20</v>
      </c>
      <c r="K6000" s="55" t="s">
        <v>34</v>
      </c>
      <c r="L6000" s="60" t="s">
        <v>149</v>
      </c>
    </row>
    <row r="6001" spans="1:12" x14ac:dyDescent="0.3">
      <c r="H6001" s="74">
        <v>30</v>
      </c>
      <c r="K6001" s="55" t="s">
        <v>34</v>
      </c>
      <c r="L6001" s="60" t="s">
        <v>1867</v>
      </c>
    </row>
    <row r="6002" spans="1:12" x14ac:dyDescent="0.3">
      <c r="H6002" s="74">
        <v>240</v>
      </c>
      <c r="K6002" s="55" t="s">
        <v>33</v>
      </c>
      <c r="L6002" s="60" t="s">
        <v>1872</v>
      </c>
    </row>
    <row r="6005" spans="1:12" x14ac:dyDescent="0.3">
      <c r="A6005" s="72" t="s">
        <v>1873</v>
      </c>
      <c r="B6005" s="55" t="s">
        <v>10</v>
      </c>
      <c r="D6005" s="55" t="s">
        <v>52</v>
      </c>
      <c r="E6005" s="19">
        <v>67.84</v>
      </c>
      <c r="F6005" s="19">
        <v>2</v>
      </c>
      <c r="G6005" s="55" t="s">
        <v>11</v>
      </c>
      <c r="H6005" s="74">
        <v>10</v>
      </c>
      <c r="K6005" s="55" t="s">
        <v>25</v>
      </c>
    </row>
    <row r="6006" spans="1:12" x14ac:dyDescent="0.3">
      <c r="H6006" s="74">
        <v>10</v>
      </c>
      <c r="K6006" s="55" t="s">
        <v>84</v>
      </c>
    </row>
    <row r="6007" spans="1:12" x14ac:dyDescent="0.3">
      <c r="H6007" s="74">
        <v>20</v>
      </c>
      <c r="K6007" s="55" t="s">
        <v>96</v>
      </c>
    </row>
    <row r="6008" spans="1:12" x14ac:dyDescent="0.3">
      <c r="H6008" s="74">
        <v>20</v>
      </c>
      <c r="K6008" s="55" t="s">
        <v>55</v>
      </c>
      <c r="L6008" s="60" t="s">
        <v>356</v>
      </c>
    </row>
    <row r="6009" spans="1:12" x14ac:dyDescent="0.3">
      <c r="H6009" s="74">
        <v>360</v>
      </c>
      <c r="K6009" s="55" t="s">
        <v>33</v>
      </c>
      <c r="L6009" s="60" t="s">
        <v>1872</v>
      </c>
    </row>
    <row r="6010" spans="1:12" x14ac:dyDescent="0.3">
      <c r="H6010" s="74">
        <v>30</v>
      </c>
      <c r="K6010" s="55" t="s">
        <v>32</v>
      </c>
      <c r="L6010" s="60" t="s">
        <v>445</v>
      </c>
    </row>
    <row r="6012" spans="1:12" x14ac:dyDescent="0.3">
      <c r="A6012" s="72" t="s">
        <v>1873</v>
      </c>
      <c r="B6012" s="55" t="s">
        <v>12</v>
      </c>
      <c r="C6012" s="67" t="s">
        <v>47</v>
      </c>
      <c r="D6012" s="55" t="s">
        <v>50</v>
      </c>
      <c r="E6012" s="19">
        <v>192.94</v>
      </c>
      <c r="F6012" s="19">
        <v>7</v>
      </c>
      <c r="G6012" s="55" t="s">
        <v>11</v>
      </c>
      <c r="H6012" s="74">
        <v>10</v>
      </c>
      <c r="K6012" s="55" t="s">
        <v>25</v>
      </c>
    </row>
    <row r="6013" spans="1:12" x14ac:dyDescent="0.3">
      <c r="H6013" s="74">
        <v>10</v>
      </c>
      <c r="K6013" s="55" t="s">
        <v>84</v>
      </c>
    </row>
    <row r="6014" spans="1:12" x14ac:dyDescent="0.3">
      <c r="H6014" s="74">
        <v>110</v>
      </c>
      <c r="K6014" s="55" t="s">
        <v>96</v>
      </c>
    </row>
    <row r="6015" spans="1:12" x14ac:dyDescent="0.3">
      <c r="H6015" s="74">
        <v>80</v>
      </c>
      <c r="K6015" s="55" t="s">
        <v>32</v>
      </c>
      <c r="L6015" s="60" t="s">
        <v>1874</v>
      </c>
    </row>
    <row r="6016" spans="1:12" x14ac:dyDescent="0.3">
      <c r="H6016" s="74">
        <v>20</v>
      </c>
      <c r="K6016" s="55" t="s">
        <v>32</v>
      </c>
      <c r="L6016" s="60" t="s">
        <v>1403</v>
      </c>
    </row>
    <row r="6017" spans="1:12" x14ac:dyDescent="0.3">
      <c r="H6017" s="74">
        <v>30</v>
      </c>
      <c r="K6017" s="55" t="s">
        <v>34</v>
      </c>
      <c r="L6017" s="60" t="s">
        <v>149</v>
      </c>
    </row>
    <row r="6018" spans="1:12" x14ac:dyDescent="0.3">
      <c r="H6018" s="74">
        <v>50</v>
      </c>
      <c r="K6018" s="55" t="s">
        <v>34</v>
      </c>
      <c r="L6018" s="60" t="s">
        <v>254</v>
      </c>
    </row>
    <row r="6019" spans="1:12" x14ac:dyDescent="0.3">
      <c r="H6019" s="74">
        <v>30</v>
      </c>
      <c r="K6019" s="55" t="s">
        <v>30</v>
      </c>
      <c r="L6019" s="60" t="s">
        <v>1625</v>
      </c>
    </row>
    <row r="6021" spans="1:12" x14ac:dyDescent="0.3">
      <c r="A6021" s="72" t="s">
        <v>1873</v>
      </c>
      <c r="B6021" s="55" t="s">
        <v>0</v>
      </c>
      <c r="C6021" s="67" t="s">
        <v>188</v>
      </c>
      <c r="D6021" s="55" t="s">
        <v>51</v>
      </c>
      <c r="E6021" s="19">
        <v>86.42</v>
      </c>
      <c r="F6021" s="19">
        <v>3</v>
      </c>
      <c r="G6021" s="55" t="s">
        <v>11</v>
      </c>
      <c r="H6021" s="74">
        <v>10</v>
      </c>
      <c r="K6021" s="55" t="s">
        <v>25</v>
      </c>
    </row>
    <row r="6022" spans="1:12" x14ac:dyDescent="0.3">
      <c r="H6022" s="74">
        <v>10</v>
      </c>
      <c r="K6022" s="55" t="s">
        <v>84</v>
      </c>
    </row>
    <row r="6023" spans="1:12" x14ac:dyDescent="0.3">
      <c r="H6023" s="74">
        <v>60</v>
      </c>
      <c r="K6023" s="55" t="s">
        <v>33</v>
      </c>
      <c r="L6023" s="60" t="s">
        <v>1875</v>
      </c>
    </row>
    <row r="6024" spans="1:12" x14ac:dyDescent="0.3">
      <c r="H6024" s="74">
        <v>15</v>
      </c>
      <c r="K6024" s="55" t="s">
        <v>33</v>
      </c>
      <c r="L6024" s="60" t="s">
        <v>1876</v>
      </c>
    </row>
    <row r="6025" spans="1:12" x14ac:dyDescent="0.3">
      <c r="H6025" s="74">
        <v>40</v>
      </c>
      <c r="K6025" s="55" t="s">
        <v>96</v>
      </c>
    </row>
    <row r="6026" spans="1:12" x14ac:dyDescent="0.3">
      <c r="H6026" s="74">
        <v>40</v>
      </c>
      <c r="K6026" s="55" t="s">
        <v>32</v>
      </c>
      <c r="L6026" s="60" t="s">
        <v>460</v>
      </c>
    </row>
    <row r="6027" spans="1:12" x14ac:dyDescent="0.3">
      <c r="H6027" s="74">
        <v>20</v>
      </c>
      <c r="K6027" s="55" t="s">
        <v>55</v>
      </c>
      <c r="L6027" s="60" t="s">
        <v>857</v>
      </c>
    </row>
    <row r="6028" spans="1:12" x14ac:dyDescent="0.3">
      <c r="H6028" s="74">
        <v>30</v>
      </c>
      <c r="K6028" s="55" t="s">
        <v>34</v>
      </c>
      <c r="L6028" s="60" t="s">
        <v>1877</v>
      </c>
    </row>
    <row r="6029" spans="1:12" x14ac:dyDescent="0.3">
      <c r="H6029" s="74">
        <v>60</v>
      </c>
      <c r="K6029" s="55" t="s">
        <v>32</v>
      </c>
      <c r="L6029" s="60" t="s">
        <v>1878</v>
      </c>
    </row>
    <row r="6030" spans="1:12" x14ac:dyDescent="0.3">
      <c r="H6030" s="74">
        <v>40</v>
      </c>
      <c r="K6030" s="55" t="s">
        <v>32</v>
      </c>
      <c r="L6030" s="60" t="s">
        <v>1879</v>
      </c>
    </row>
    <row r="6031" spans="1:12" x14ac:dyDescent="0.3">
      <c r="H6031" s="74">
        <v>25</v>
      </c>
      <c r="K6031" s="55" t="s">
        <v>34</v>
      </c>
      <c r="L6031" s="60" t="s">
        <v>254</v>
      </c>
    </row>
    <row r="6032" spans="1:12" x14ac:dyDescent="0.3">
      <c r="H6032" s="74">
        <v>15</v>
      </c>
      <c r="K6032" s="55" t="s">
        <v>55</v>
      </c>
      <c r="L6032" s="60" t="s">
        <v>1880</v>
      </c>
    </row>
    <row r="6036" spans="1:15" x14ac:dyDescent="0.3">
      <c r="A6036" s="72" t="s">
        <v>1885</v>
      </c>
      <c r="B6036" s="55" t="s">
        <v>10</v>
      </c>
      <c r="D6036" s="55" t="s">
        <v>52</v>
      </c>
      <c r="E6036" s="19">
        <v>244.89</v>
      </c>
      <c r="F6036" s="19">
        <v>7</v>
      </c>
      <c r="G6036" s="55" t="s">
        <v>11</v>
      </c>
      <c r="H6036" s="74">
        <v>10</v>
      </c>
      <c r="K6036" s="55" t="s">
        <v>25</v>
      </c>
    </row>
    <row r="6037" spans="1:15" x14ac:dyDescent="0.3">
      <c r="H6037" s="74">
        <v>10</v>
      </c>
      <c r="K6037" s="55" t="s">
        <v>84</v>
      </c>
    </row>
    <row r="6038" spans="1:15" x14ac:dyDescent="0.3">
      <c r="H6038" s="74">
        <v>100</v>
      </c>
      <c r="K6038" s="55" t="s">
        <v>96</v>
      </c>
    </row>
    <row r="6039" spans="1:15" x14ac:dyDescent="0.3">
      <c r="H6039" s="74">
        <v>45</v>
      </c>
      <c r="K6039" s="55" t="s">
        <v>55</v>
      </c>
      <c r="L6039" s="60" t="s">
        <v>356</v>
      </c>
    </row>
    <row r="6040" spans="1:15" x14ac:dyDescent="0.3">
      <c r="H6040" s="74">
        <v>50</v>
      </c>
      <c r="K6040" s="55" t="s">
        <v>32</v>
      </c>
      <c r="L6040" s="60" t="s">
        <v>1881</v>
      </c>
    </row>
    <row r="6041" spans="1:15" x14ac:dyDescent="0.3">
      <c r="H6041" s="74">
        <v>30</v>
      </c>
      <c r="K6041" s="55" t="s">
        <v>32</v>
      </c>
      <c r="L6041" s="60" t="s">
        <v>1882</v>
      </c>
    </row>
    <row r="6042" spans="1:15" x14ac:dyDescent="0.3">
      <c r="H6042" s="74">
        <v>25</v>
      </c>
      <c r="K6042" s="55" t="s">
        <v>34</v>
      </c>
      <c r="L6042" s="60" t="s">
        <v>254</v>
      </c>
    </row>
    <row r="6043" spans="1:15" x14ac:dyDescent="0.3">
      <c r="H6043" s="74">
        <v>25</v>
      </c>
      <c r="K6043" s="55" t="s">
        <v>34</v>
      </c>
      <c r="L6043" s="60" t="s">
        <v>149</v>
      </c>
    </row>
    <row r="6044" spans="1:15" x14ac:dyDescent="0.3">
      <c r="H6044" s="74">
        <v>45</v>
      </c>
      <c r="K6044" s="55" t="s">
        <v>30</v>
      </c>
      <c r="L6044" s="60" t="s">
        <v>502</v>
      </c>
    </row>
    <row r="6045" spans="1:15" x14ac:dyDescent="0.3">
      <c r="H6045" s="74">
        <v>30</v>
      </c>
      <c r="K6045" s="55" t="s">
        <v>33</v>
      </c>
      <c r="L6045" s="60" t="s">
        <v>1883</v>
      </c>
    </row>
    <row r="6046" spans="1:15" x14ac:dyDescent="0.3">
      <c r="H6046" s="74">
        <v>20</v>
      </c>
      <c r="K6046" s="55" t="s">
        <v>55</v>
      </c>
      <c r="L6046" s="60" t="s">
        <v>1884</v>
      </c>
    </row>
    <row r="6048" spans="1:15" x14ac:dyDescent="0.3">
      <c r="A6048" s="72" t="s">
        <v>1885</v>
      </c>
      <c r="B6048" s="55" t="s">
        <v>12</v>
      </c>
      <c r="C6048" s="110"/>
      <c r="D6048" s="55" t="s">
        <v>50</v>
      </c>
      <c r="E6048" s="19">
        <v>210.52</v>
      </c>
      <c r="F6048" s="19">
        <v>6</v>
      </c>
      <c r="G6048" s="55" t="s">
        <v>11</v>
      </c>
      <c r="H6048" s="74">
        <v>10</v>
      </c>
      <c r="K6048" s="55" t="s">
        <v>25</v>
      </c>
      <c r="M6048" s="47"/>
      <c r="N6048" s="55"/>
      <c r="O6048" s="60"/>
    </row>
    <row r="6049" spans="1:15" x14ac:dyDescent="0.3">
      <c r="H6049" s="74">
        <v>10</v>
      </c>
      <c r="K6049" s="55" t="s">
        <v>84</v>
      </c>
      <c r="M6049" s="47"/>
      <c r="N6049" s="55"/>
      <c r="O6049" s="60"/>
    </row>
    <row r="6050" spans="1:15" x14ac:dyDescent="0.3">
      <c r="H6050" s="74">
        <v>90</v>
      </c>
      <c r="K6050" s="55" t="s">
        <v>96</v>
      </c>
      <c r="L6050" s="47"/>
      <c r="M6050" s="47" t="s">
        <v>1887</v>
      </c>
      <c r="N6050" s="55"/>
      <c r="O6050" s="60"/>
    </row>
    <row r="6051" spans="1:15" x14ac:dyDescent="0.3">
      <c r="H6051" s="74">
        <v>160</v>
      </c>
      <c r="K6051" s="55" t="s">
        <v>32</v>
      </c>
      <c r="L6051" s="60" t="s">
        <v>1886</v>
      </c>
      <c r="M6051" s="47"/>
      <c r="N6051" s="55"/>
      <c r="O6051" s="60"/>
    </row>
    <row r="6052" spans="1:15" x14ac:dyDescent="0.3">
      <c r="H6052" s="74">
        <v>30</v>
      </c>
      <c r="K6052" s="55" t="s">
        <v>34</v>
      </c>
      <c r="L6052" s="60" t="s">
        <v>149</v>
      </c>
      <c r="M6052" s="47"/>
      <c r="N6052" s="55"/>
      <c r="O6052" s="60"/>
    </row>
    <row r="6053" spans="1:15" x14ac:dyDescent="0.3">
      <c r="H6053" s="74">
        <v>30</v>
      </c>
      <c r="K6053" s="55" t="s">
        <v>34</v>
      </c>
      <c r="L6053" s="60" t="s">
        <v>254</v>
      </c>
      <c r="M6053" s="47"/>
      <c r="N6053" s="55"/>
      <c r="O6053" s="60"/>
    </row>
    <row r="6054" spans="1:15" x14ac:dyDescent="0.3">
      <c r="H6054" s="74">
        <v>20</v>
      </c>
      <c r="K6054" s="55" t="s">
        <v>34</v>
      </c>
      <c r="L6054" s="60" t="s">
        <v>1888</v>
      </c>
      <c r="M6054" s="47"/>
      <c r="N6054" s="55"/>
      <c r="O6054" s="60"/>
    </row>
    <row r="6055" spans="1:15" x14ac:dyDescent="0.3">
      <c r="H6055" s="74">
        <v>20</v>
      </c>
      <c r="K6055" s="55" t="s">
        <v>55</v>
      </c>
      <c r="L6055" s="60" t="s">
        <v>928</v>
      </c>
      <c r="M6055" s="47"/>
      <c r="N6055" s="55"/>
      <c r="O6055" s="60"/>
    </row>
    <row r="6056" spans="1:15" x14ac:dyDescent="0.3">
      <c r="H6056" s="74">
        <v>30</v>
      </c>
      <c r="K6056" s="55" t="s">
        <v>30</v>
      </c>
      <c r="L6056" s="60" t="s">
        <v>136</v>
      </c>
      <c r="M6056" s="47"/>
      <c r="N6056" s="55"/>
      <c r="O6056" s="60"/>
    </row>
    <row r="6058" spans="1:15" x14ac:dyDescent="0.3">
      <c r="A6058" s="72" t="s">
        <v>1889</v>
      </c>
      <c r="B6058" s="55" t="s">
        <v>0</v>
      </c>
      <c r="C6058" s="67" t="s">
        <v>188</v>
      </c>
      <c r="D6058" s="55" t="s">
        <v>51</v>
      </c>
      <c r="E6058" s="19">
        <v>70.08</v>
      </c>
      <c r="F6058" s="19">
        <v>2</v>
      </c>
      <c r="G6058" s="55" t="s">
        <v>11</v>
      </c>
      <c r="H6058" s="74">
        <v>10</v>
      </c>
      <c r="K6058" s="55" t="s">
        <v>25</v>
      </c>
    </row>
    <row r="6059" spans="1:15" x14ac:dyDescent="0.3">
      <c r="H6059" s="74">
        <v>10</v>
      </c>
      <c r="K6059" s="55" t="s">
        <v>84</v>
      </c>
    </row>
    <row r="6060" spans="1:15" x14ac:dyDescent="0.3">
      <c r="H6060" s="74">
        <v>70</v>
      </c>
      <c r="K6060" s="55" t="s">
        <v>32</v>
      </c>
      <c r="L6060" s="60" t="s">
        <v>1890</v>
      </c>
    </row>
    <row r="6061" spans="1:15" x14ac:dyDescent="0.3">
      <c r="H6061" s="74">
        <v>20</v>
      </c>
      <c r="K6061" s="55" t="s">
        <v>96</v>
      </c>
    </row>
    <row r="6062" spans="1:15" x14ac:dyDescent="0.3">
      <c r="H6062" s="74">
        <v>20</v>
      </c>
      <c r="K6062" s="55" t="s">
        <v>55</v>
      </c>
      <c r="L6062" s="60" t="s">
        <v>356</v>
      </c>
    </row>
    <row r="6063" spans="1:15" x14ac:dyDescent="0.3">
      <c r="H6063" s="74">
        <v>25</v>
      </c>
      <c r="K6063" s="55" t="s">
        <v>33</v>
      </c>
      <c r="L6063" s="60" t="s">
        <v>1891</v>
      </c>
    </row>
    <row r="6064" spans="1:15" x14ac:dyDescent="0.3">
      <c r="H6064" s="74">
        <v>240</v>
      </c>
      <c r="K6064" s="55" t="s">
        <v>33</v>
      </c>
      <c r="L6064" s="60" t="s">
        <v>1892</v>
      </c>
    </row>
    <row r="6065" spans="1:13" x14ac:dyDescent="0.3">
      <c r="H6065" s="74">
        <v>30</v>
      </c>
      <c r="K6065" s="55" t="s">
        <v>32</v>
      </c>
      <c r="L6065" s="60" t="s">
        <v>1893</v>
      </c>
    </row>
    <row r="6066" spans="1:13" x14ac:dyDescent="0.3">
      <c r="H6066" s="74">
        <v>10</v>
      </c>
      <c r="K6066" s="55" t="s">
        <v>33</v>
      </c>
      <c r="L6066" s="60" t="s">
        <v>454</v>
      </c>
    </row>
    <row r="6069" spans="1:13" x14ac:dyDescent="0.3">
      <c r="A6069" s="72" t="s">
        <v>1889</v>
      </c>
      <c r="B6069" s="55" t="s">
        <v>10</v>
      </c>
      <c r="D6069" s="55" t="s">
        <v>52</v>
      </c>
      <c r="E6069" s="19">
        <v>166.74</v>
      </c>
      <c r="F6069" s="19">
        <v>5</v>
      </c>
      <c r="G6069" s="55" t="s">
        <v>11</v>
      </c>
      <c r="H6069" s="74">
        <v>10</v>
      </c>
      <c r="K6069" s="55" t="s">
        <v>25</v>
      </c>
    </row>
    <row r="6070" spans="1:13" x14ac:dyDescent="0.3">
      <c r="H6070" s="74">
        <v>10</v>
      </c>
      <c r="K6070" s="55" t="s">
        <v>84</v>
      </c>
    </row>
    <row r="6071" spans="1:13" x14ac:dyDescent="0.3">
      <c r="H6071" s="74">
        <v>90</v>
      </c>
      <c r="K6071" s="55" t="s">
        <v>96</v>
      </c>
      <c r="M6071" s="47" t="s">
        <v>1887</v>
      </c>
    </row>
    <row r="6072" spans="1:13" x14ac:dyDescent="0.3">
      <c r="H6072" s="74">
        <v>100</v>
      </c>
      <c r="K6072" s="55" t="s">
        <v>32</v>
      </c>
      <c r="L6072" s="60" t="s">
        <v>1894</v>
      </c>
    </row>
    <row r="6073" spans="1:13" x14ac:dyDescent="0.3">
      <c r="H6073" s="74">
        <v>100</v>
      </c>
      <c r="K6073" s="55" t="s">
        <v>32</v>
      </c>
      <c r="L6073" s="60" t="s">
        <v>1895</v>
      </c>
    </row>
    <row r="6074" spans="1:13" x14ac:dyDescent="0.3">
      <c r="H6074" s="74">
        <v>20</v>
      </c>
      <c r="K6074" s="55" t="s">
        <v>33</v>
      </c>
      <c r="L6074" s="60" t="s">
        <v>1891</v>
      </c>
    </row>
    <row r="6075" spans="1:13" x14ac:dyDescent="0.3">
      <c r="H6075" s="74">
        <v>20</v>
      </c>
      <c r="K6075" s="55" t="s">
        <v>55</v>
      </c>
      <c r="L6075" s="60" t="s">
        <v>928</v>
      </c>
    </row>
    <row r="6076" spans="1:13" x14ac:dyDescent="0.3">
      <c r="H6076" s="74">
        <v>25</v>
      </c>
      <c r="K6076" s="55" t="s">
        <v>34</v>
      </c>
      <c r="L6076" s="60" t="s">
        <v>254</v>
      </c>
    </row>
    <row r="6077" spans="1:13" x14ac:dyDescent="0.3">
      <c r="H6077" s="74">
        <v>25</v>
      </c>
      <c r="K6077" s="55" t="s">
        <v>34</v>
      </c>
      <c r="L6077" s="60" t="s">
        <v>149</v>
      </c>
    </row>
    <row r="6078" spans="1:13" x14ac:dyDescent="0.3">
      <c r="H6078" s="74">
        <v>30</v>
      </c>
      <c r="K6078" s="55" t="s">
        <v>30</v>
      </c>
      <c r="L6078" s="60" t="s">
        <v>136</v>
      </c>
    </row>
    <row r="6080" spans="1:13" x14ac:dyDescent="0.3">
      <c r="A6080" s="72" t="s">
        <v>1889</v>
      </c>
      <c r="B6080" s="55" t="s">
        <v>12</v>
      </c>
      <c r="C6080" s="67" t="s">
        <v>46</v>
      </c>
      <c r="D6080" s="55" t="s">
        <v>50</v>
      </c>
      <c r="E6080" s="19">
        <v>181.82</v>
      </c>
      <c r="F6080" s="19">
        <v>5</v>
      </c>
      <c r="G6080" s="55" t="s">
        <v>11</v>
      </c>
      <c r="H6080" s="74">
        <v>10</v>
      </c>
      <c r="K6080" s="55" t="s">
        <v>25</v>
      </c>
    </row>
    <row r="6081" spans="1:13" x14ac:dyDescent="0.3">
      <c r="H6081" s="74">
        <v>10</v>
      </c>
      <c r="K6081" s="55" t="s">
        <v>84</v>
      </c>
    </row>
    <row r="6082" spans="1:13" x14ac:dyDescent="0.3">
      <c r="H6082" s="74">
        <v>90</v>
      </c>
      <c r="K6082" s="55" t="s">
        <v>96</v>
      </c>
    </row>
    <row r="6083" spans="1:13" x14ac:dyDescent="0.3">
      <c r="H6083" s="74">
        <v>90</v>
      </c>
      <c r="K6083" s="55" t="s">
        <v>32</v>
      </c>
      <c r="L6083" s="60" t="s">
        <v>1894</v>
      </c>
    </row>
    <row r="6084" spans="1:13" x14ac:dyDescent="0.3">
      <c r="H6084" s="74">
        <v>50</v>
      </c>
      <c r="K6084" s="55" t="s">
        <v>32</v>
      </c>
      <c r="L6084" s="60" t="s">
        <v>1896</v>
      </c>
    </row>
    <row r="6085" spans="1:13" x14ac:dyDescent="0.3">
      <c r="H6085" s="74">
        <v>40</v>
      </c>
      <c r="K6085" s="55" t="s">
        <v>32</v>
      </c>
      <c r="L6085" s="60" t="s">
        <v>1895</v>
      </c>
    </row>
    <row r="6086" spans="1:13" x14ac:dyDescent="0.3">
      <c r="H6086" s="74">
        <v>50</v>
      </c>
      <c r="K6086" s="55" t="s">
        <v>34</v>
      </c>
      <c r="L6086" s="60" t="s">
        <v>254</v>
      </c>
    </row>
    <row r="6087" spans="1:13" x14ac:dyDescent="0.3">
      <c r="H6087" s="74">
        <v>30</v>
      </c>
      <c r="K6087" s="55" t="s">
        <v>34</v>
      </c>
      <c r="L6087" s="60" t="s">
        <v>149</v>
      </c>
    </row>
    <row r="6088" spans="1:13" x14ac:dyDescent="0.3">
      <c r="H6088" s="74">
        <v>30</v>
      </c>
      <c r="K6088" s="55" t="s">
        <v>30</v>
      </c>
      <c r="L6088" s="60" t="s">
        <v>136</v>
      </c>
    </row>
    <row r="6089" spans="1:13" x14ac:dyDescent="0.3">
      <c r="H6089" s="74">
        <v>20</v>
      </c>
      <c r="K6089" s="55" t="s">
        <v>33</v>
      </c>
      <c r="L6089" s="60" t="s">
        <v>1897</v>
      </c>
    </row>
    <row r="6092" spans="1:13" x14ac:dyDescent="0.3">
      <c r="A6092" s="72" t="s">
        <v>1901</v>
      </c>
      <c r="B6092" s="55" t="s">
        <v>0</v>
      </c>
      <c r="D6092" s="55" t="s">
        <v>52</v>
      </c>
      <c r="E6092" s="19">
        <v>133.66</v>
      </c>
      <c r="F6092" s="19">
        <v>4</v>
      </c>
      <c r="G6092" s="55" t="s">
        <v>11</v>
      </c>
      <c r="H6092" s="74">
        <v>10</v>
      </c>
      <c r="K6092" s="55" t="s">
        <v>25</v>
      </c>
    </row>
    <row r="6093" spans="1:13" x14ac:dyDescent="0.3">
      <c r="H6093" s="74">
        <v>10</v>
      </c>
      <c r="K6093" s="55" t="s">
        <v>84</v>
      </c>
    </row>
    <row r="6094" spans="1:13" x14ac:dyDescent="0.3">
      <c r="H6094" s="74">
        <v>80</v>
      </c>
      <c r="K6094" s="55" t="s">
        <v>96</v>
      </c>
      <c r="M6094" s="47" t="s">
        <v>1887</v>
      </c>
    </row>
    <row r="6095" spans="1:13" x14ac:dyDescent="0.3">
      <c r="H6095" s="74">
        <v>100</v>
      </c>
      <c r="K6095" s="55" t="s">
        <v>32</v>
      </c>
      <c r="L6095" s="60" t="s">
        <v>1894</v>
      </c>
    </row>
    <row r="6096" spans="1:13" x14ac:dyDescent="0.3">
      <c r="H6096" s="74">
        <v>80</v>
      </c>
      <c r="K6096" s="55" t="s">
        <v>32</v>
      </c>
      <c r="L6096" s="60" t="s">
        <v>1895</v>
      </c>
    </row>
    <row r="6097" spans="1:13" x14ac:dyDescent="0.3">
      <c r="H6097" s="74">
        <v>30</v>
      </c>
      <c r="K6097" s="55" t="s">
        <v>55</v>
      </c>
      <c r="L6097" s="60" t="s">
        <v>1898</v>
      </c>
    </row>
    <row r="6098" spans="1:13" x14ac:dyDescent="0.3">
      <c r="H6098" s="74">
        <v>30</v>
      </c>
      <c r="K6098" s="55" t="s">
        <v>34</v>
      </c>
      <c r="L6098" s="60" t="s">
        <v>254</v>
      </c>
    </row>
    <row r="6099" spans="1:13" x14ac:dyDescent="0.3">
      <c r="H6099" s="74">
        <v>20</v>
      </c>
      <c r="K6099" s="55" t="s">
        <v>34</v>
      </c>
      <c r="L6099" s="60" t="s">
        <v>149</v>
      </c>
    </row>
    <row r="6100" spans="1:13" x14ac:dyDescent="0.3">
      <c r="H6100" s="74">
        <v>20</v>
      </c>
      <c r="K6100" s="55" t="s">
        <v>32</v>
      </c>
      <c r="L6100" s="60" t="s">
        <v>1899</v>
      </c>
    </row>
    <row r="6101" spans="1:13" x14ac:dyDescent="0.3">
      <c r="H6101" s="74">
        <v>30</v>
      </c>
      <c r="K6101" s="55" t="s">
        <v>30</v>
      </c>
    </row>
    <row r="6102" spans="1:13" x14ac:dyDescent="0.3">
      <c r="H6102" s="74">
        <v>30</v>
      </c>
      <c r="K6102" s="55" t="s">
        <v>55</v>
      </c>
      <c r="L6102" s="60" t="s">
        <v>1900</v>
      </c>
    </row>
    <row r="6104" spans="1:13" x14ac:dyDescent="0.3">
      <c r="A6104" s="72" t="s">
        <v>1901</v>
      </c>
      <c r="B6104" s="55" t="s">
        <v>10</v>
      </c>
      <c r="C6104" s="67" t="s">
        <v>188</v>
      </c>
      <c r="D6104" s="55" t="s">
        <v>50</v>
      </c>
      <c r="E6104" s="19">
        <v>93.97</v>
      </c>
      <c r="F6104" s="19">
        <v>3</v>
      </c>
      <c r="G6104" s="55" t="s">
        <v>11</v>
      </c>
      <c r="H6104" s="74">
        <v>10</v>
      </c>
      <c r="K6104" s="55" t="s">
        <v>25</v>
      </c>
    </row>
    <row r="6105" spans="1:13" x14ac:dyDescent="0.3">
      <c r="H6105" s="74">
        <v>10</v>
      </c>
      <c r="K6105" s="55" t="s">
        <v>84</v>
      </c>
    </row>
    <row r="6106" spans="1:13" x14ac:dyDescent="0.3">
      <c r="H6106" s="74">
        <v>60</v>
      </c>
      <c r="K6106" s="55" t="s">
        <v>96</v>
      </c>
      <c r="M6106" s="47" t="s">
        <v>1887</v>
      </c>
    </row>
    <row r="6107" spans="1:13" x14ac:dyDescent="0.3">
      <c r="H6107" s="74">
        <v>220</v>
      </c>
      <c r="K6107" s="55" t="s">
        <v>33</v>
      </c>
      <c r="L6107" s="60" t="s">
        <v>1902</v>
      </c>
    </row>
    <row r="6108" spans="1:13" x14ac:dyDescent="0.3">
      <c r="H6108" s="74">
        <v>50</v>
      </c>
      <c r="K6108" s="55" t="s">
        <v>34</v>
      </c>
      <c r="L6108" s="60" t="s">
        <v>254</v>
      </c>
    </row>
    <row r="6109" spans="1:13" x14ac:dyDescent="0.3">
      <c r="H6109" s="74">
        <v>40</v>
      </c>
      <c r="K6109" s="55" t="s">
        <v>34</v>
      </c>
      <c r="L6109" s="60" t="s">
        <v>149</v>
      </c>
    </row>
    <row r="6110" spans="1:13" x14ac:dyDescent="0.3">
      <c r="H6110" s="74">
        <v>30</v>
      </c>
      <c r="K6110" s="55" t="s">
        <v>30</v>
      </c>
      <c r="L6110" s="60" t="s">
        <v>136</v>
      </c>
    </row>
    <row r="6112" spans="1:13" x14ac:dyDescent="0.3">
      <c r="A6112" s="72" t="s">
        <v>1901</v>
      </c>
      <c r="B6112" s="55" t="s">
        <v>12</v>
      </c>
      <c r="C6112" s="67" t="s">
        <v>46</v>
      </c>
      <c r="D6112" s="55" t="s">
        <v>51</v>
      </c>
      <c r="E6112" s="19">
        <v>176.8</v>
      </c>
      <c r="F6112" s="19">
        <v>6</v>
      </c>
      <c r="G6112" s="55" t="s">
        <v>11</v>
      </c>
      <c r="H6112" s="74">
        <v>10</v>
      </c>
      <c r="K6112" s="55" t="s">
        <v>25</v>
      </c>
    </row>
    <row r="6113" spans="1:15" x14ac:dyDescent="0.3">
      <c r="H6113" s="74">
        <v>10</v>
      </c>
      <c r="K6113" s="55" t="s">
        <v>84</v>
      </c>
    </row>
    <row r="6114" spans="1:15" x14ac:dyDescent="0.3">
      <c r="H6114" s="74">
        <v>80</v>
      </c>
      <c r="K6114" s="55" t="s">
        <v>96</v>
      </c>
      <c r="M6114" s="47" t="s">
        <v>1887</v>
      </c>
    </row>
    <row r="6115" spans="1:15" x14ac:dyDescent="0.3">
      <c r="H6115" s="74">
        <v>20</v>
      </c>
      <c r="K6115" s="55" t="s">
        <v>32</v>
      </c>
      <c r="L6115" s="60" t="s">
        <v>1899</v>
      </c>
    </row>
    <row r="6116" spans="1:15" x14ac:dyDescent="0.3">
      <c r="H6116" s="74">
        <v>20</v>
      </c>
      <c r="K6116" s="55" t="s">
        <v>34</v>
      </c>
      <c r="L6116" s="60" t="s">
        <v>147</v>
      </c>
      <c r="M6116" s="47"/>
      <c r="N6116" s="55"/>
      <c r="O6116" s="60"/>
    </row>
    <row r="6117" spans="1:15" x14ac:dyDescent="0.3">
      <c r="H6117" s="74">
        <v>120</v>
      </c>
      <c r="K6117" s="55" t="s">
        <v>33</v>
      </c>
      <c r="L6117" s="60" t="s">
        <v>1907</v>
      </c>
    </row>
    <row r="6118" spans="1:15" x14ac:dyDescent="0.3">
      <c r="H6118" s="74">
        <v>30</v>
      </c>
      <c r="K6118" s="55" t="s">
        <v>55</v>
      </c>
      <c r="L6118" s="60" t="s">
        <v>1818</v>
      </c>
    </row>
    <row r="6119" spans="1:15" x14ac:dyDescent="0.3">
      <c r="H6119" s="74">
        <v>30</v>
      </c>
      <c r="K6119" s="55" t="s">
        <v>34</v>
      </c>
      <c r="L6119" s="60" t="s">
        <v>149</v>
      </c>
    </row>
    <row r="6120" spans="1:15" x14ac:dyDescent="0.3">
      <c r="H6120" s="74">
        <v>45</v>
      </c>
      <c r="K6120" s="55" t="s">
        <v>34</v>
      </c>
      <c r="L6120" s="60" t="s">
        <v>1903</v>
      </c>
    </row>
    <row r="6121" spans="1:15" x14ac:dyDescent="0.3">
      <c r="H6121" s="74">
        <v>40</v>
      </c>
      <c r="K6121" s="55" t="s">
        <v>30</v>
      </c>
      <c r="L6121" s="60" t="s">
        <v>136</v>
      </c>
    </row>
    <row r="6123" spans="1:15" x14ac:dyDescent="0.3">
      <c r="A6123" s="72" t="s">
        <v>1904</v>
      </c>
      <c r="B6123" s="55" t="s">
        <v>0</v>
      </c>
      <c r="D6123" s="55" t="s">
        <v>52</v>
      </c>
      <c r="E6123" s="19">
        <v>95.73</v>
      </c>
      <c r="F6123" s="19">
        <v>3</v>
      </c>
      <c r="G6123" s="55" t="s">
        <v>11</v>
      </c>
      <c r="H6123" s="74">
        <v>10</v>
      </c>
      <c r="K6123" s="55" t="s">
        <v>25</v>
      </c>
    </row>
    <row r="6124" spans="1:15" x14ac:dyDescent="0.3">
      <c r="H6124" s="74">
        <v>10</v>
      </c>
      <c r="K6124" s="55" t="s">
        <v>84</v>
      </c>
    </row>
    <row r="6125" spans="1:15" x14ac:dyDescent="0.3">
      <c r="H6125" s="74">
        <v>50</v>
      </c>
      <c r="K6125" s="55" t="s">
        <v>96</v>
      </c>
    </row>
    <row r="6126" spans="1:15" x14ac:dyDescent="0.3">
      <c r="H6126" s="74">
        <v>50</v>
      </c>
      <c r="K6126" s="55" t="s">
        <v>34</v>
      </c>
      <c r="L6126" s="60" t="s">
        <v>1905</v>
      </c>
    </row>
    <row r="6127" spans="1:15" x14ac:dyDescent="0.3">
      <c r="H6127" s="74">
        <v>30</v>
      </c>
      <c r="K6127" s="55" t="s">
        <v>55</v>
      </c>
      <c r="L6127" s="60" t="s">
        <v>356</v>
      </c>
    </row>
    <row r="6128" spans="1:15" x14ac:dyDescent="0.3">
      <c r="H6128" s="74">
        <v>20</v>
      </c>
      <c r="K6128" s="55" t="s">
        <v>34</v>
      </c>
    </row>
    <row r="6129" spans="1:12" x14ac:dyDescent="0.3">
      <c r="H6129" s="74">
        <v>20</v>
      </c>
      <c r="K6129" s="55" t="s">
        <v>32</v>
      </c>
    </row>
    <row r="6130" spans="1:12" x14ac:dyDescent="0.3">
      <c r="H6130" s="74">
        <v>30</v>
      </c>
      <c r="K6130" s="55" t="s">
        <v>30</v>
      </c>
    </row>
    <row r="6131" spans="1:12" x14ac:dyDescent="0.3">
      <c r="H6131" s="74">
        <v>120</v>
      </c>
      <c r="K6131" s="55" t="s">
        <v>33</v>
      </c>
    </row>
    <row r="6133" spans="1:12" x14ac:dyDescent="0.3">
      <c r="A6133" s="72" t="s">
        <v>1904</v>
      </c>
      <c r="B6133" s="55" t="s">
        <v>10</v>
      </c>
      <c r="C6133" s="67" t="s">
        <v>47</v>
      </c>
      <c r="D6133" s="55" t="s">
        <v>50</v>
      </c>
      <c r="H6133" s="74">
        <v>480</v>
      </c>
      <c r="K6133" s="55" t="s">
        <v>55</v>
      </c>
      <c r="L6133" s="1" t="s">
        <v>1906</v>
      </c>
    </row>
    <row r="6135" spans="1:12" x14ac:dyDescent="0.3">
      <c r="A6135" s="72" t="s">
        <v>1904</v>
      </c>
      <c r="B6135" s="55" t="s">
        <v>12</v>
      </c>
      <c r="C6135" s="67" t="s">
        <v>188</v>
      </c>
      <c r="D6135" s="55" t="s">
        <v>51</v>
      </c>
      <c r="E6135" s="19">
        <v>113.81</v>
      </c>
      <c r="F6135" s="19" t="s">
        <v>1909</v>
      </c>
      <c r="G6135" s="55" t="s">
        <v>11</v>
      </c>
      <c r="H6135" s="74">
        <v>10</v>
      </c>
      <c r="K6135" s="55" t="s">
        <v>25</v>
      </c>
    </row>
    <row r="6136" spans="1:12" x14ac:dyDescent="0.3">
      <c r="H6136" s="74">
        <v>10</v>
      </c>
      <c r="K6136" s="55" t="s">
        <v>84</v>
      </c>
    </row>
    <row r="6137" spans="1:12" x14ac:dyDescent="0.3">
      <c r="H6137" s="74">
        <v>40</v>
      </c>
      <c r="K6137" s="55" t="s">
        <v>96</v>
      </c>
    </row>
    <row r="6138" spans="1:12" x14ac:dyDescent="0.3">
      <c r="H6138" s="74">
        <v>40</v>
      </c>
      <c r="K6138" s="55" t="s">
        <v>32</v>
      </c>
      <c r="L6138" s="60" t="s">
        <v>1908</v>
      </c>
    </row>
    <row r="6139" spans="1:12" x14ac:dyDescent="0.3">
      <c r="H6139" s="74">
        <v>30</v>
      </c>
      <c r="K6139" s="55" t="s">
        <v>30</v>
      </c>
      <c r="L6139" s="60" t="s">
        <v>250</v>
      </c>
    </row>
    <row r="6140" spans="1:12" x14ac:dyDescent="0.3">
      <c r="H6140" s="74">
        <v>25</v>
      </c>
      <c r="K6140" s="55" t="s">
        <v>34</v>
      </c>
      <c r="L6140" s="60" t="s">
        <v>253</v>
      </c>
    </row>
    <row r="6141" spans="1:12" x14ac:dyDescent="0.3">
      <c r="H6141" s="74">
        <v>20</v>
      </c>
      <c r="K6141" s="55" t="s">
        <v>102</v>
      </c>
    </row>
    <row r="6142" spans="1:12" x14ac:dyDescent="0.3">
      <c r="H6142" s="74">
        <v>45</v>
      </c>
      <c r="K6142" s="55" t="s">
        <v>32</v>
      </c>
      <c r="L6142" s="60" t="s">
        <v>1070</v>
      </c>
    </row>
    <row r="6143" spans="1:12" x14ac:dyDescent="0.3">
      <c r="H6143" s="74">
        <v>30</v>
      </c>
      <c r="K6143" s="55" t="s">
        <v>34</v>
      </c>
      <c r="L6143" s="60" t="s">
        <v>302</v>
      </c>
    </row>
    <row r="6144" spans="1:12" x14ac:dyDescent="0.3">
      <c r="H6144" s="74">
        <v>100</v>
      </c>
      <c r="K6144" s="55" t="s">
        <v>55</v>
      </c>
      <c r="L6144" s="60" t="s">
        <v>229</v>
      </c>
    </row>
    <row r="6145" spans="1:13" x14ac:dyDescent="0.3">
      <c r="H6145" s="74">
        <v>40</v>
      </c>
      <c r="K6145" s="55" t="s">
        <v>55</v>
      </c>
      <c r="L6145" s="60" t="s">
        <v>123</v>
      </c>
    </row>
    <row r="6148" spans="1:13" x14ac:dyDescent="0.3">
      <c r="A6148" s="72" t="s">
        <v>1910</v>
      </c>
      <c r="B6148" s="55" t="s">
        <v>0</v>
      </c>
      <c r="C6148" s="67" t="s">
        <v>46</v>
      </c>
      <c r="D6148" s="55" t="s">
        <v>52</v>
      </c>
      <c r="E6148" s="19">
        <v>0</v>
      </c>
      <c r="F6148" s="19" t="s">
        <v>1911</v>
      </c>
      <c r="G6148" s="55" t="s">
        <v>11</v>
      </c>
      <c r="H6148" s="74">
        <v>10</v>
      </c>
      <c r="K6148" s="55" t="s">
        <v>25</v>
      </c>
    </row>
    <row r="6149" spans="1:13" x14ac:dyDescent="0.3">
      <c r="H6149" s="74">
        <v>10</v>
      </c>
      <c r="K6149" s="55" t="s">
        <v>84</v>
      </c>
    </row>
    <row r="6150" spans="1:13" x14ac:dyDescent="0.3">
      <c r="H6150" s="74">
        <v>240</v>
      </c>
      <c r="K6150" s="55" t="s">
        <v>55</v>
      </c>
      <c r="L6150" s="60" t="s">
        <v>1912</v>
      </c>
    </row>
    <row r="6151" spans="1:13" x14ac:dyDescent="0.3">
      <c r="H6151" s="74">
        <v>220</v>
      </c>
      <c r="K6151" s="55" t="s">
        <v>33</v>
      </c>
    </row>
    <row r="6153" spans="1:13" x14ac:dyDescent="0.3">
      <c r="A6153" s="72" t="s">
        <v>1910</v>
      </c>
      <c r="B6153" s="55" t="s">
        <v>10</v>
      </c>
      <c r="C6153" s="67" t="s">
        <v>47</v>
      </c>
      <c r="D6153" s="55" t="s">
        <v>50</v>
      </c>
      <c r="E6153" s="19">
        <v>76.92</v>
      </c>
      <c r="F6153" s="19" t="s">
        <v>1913</v>
      </c>
      <c r="G6153" s="55" t="s">
        <v>11</v>
      </c>
      <c r="H6153" s="74">
        <v>10</v>
      </c>
      <c r="K6153" s="55" t="s">
        <v>25</v>
      </c>
    </row>
    <row r="6154" spans="1:13" x14ac:dyDescent="0.3">
      <c r="H6154" s="74">
        <v>10</v>
      </c>
      <c r="K6154" s="55" t="s">
        <v>84</v>
      </c>
    </row>
    <row r="6155" spans="1:13" x14ac:dyDescent="0.3">
      <c r="H6155" s="74">
        <v>50</v>
      </c>
      <c r="K6155" s="55" t="s">
        <v>96</v>
      </c>
      <c r="M6155" s="47" t="s">
        <v>1887</v>
      </c>
    </row>
    <row r="6156" spans="1:13" x14ac:dyDescent="0.3">
      <c r="H6156" s="74">
        <v>300</v>
      </c>
      <c r="K6156" s="55" t="s">
        <v>55</v>
      </c>
      <c r="L6156" s="60" t="s">
        <v>1912</v>
      </c>
    </row>
    <row r="6157" spans="1:13" x14ac:dyDescent="0.3">
      <c r="H6157" s="74">
        <v>30</v>
      </c>
      <c r="K6157" s="55" t="s">
        <v>34</v>
      </c>
      <c r="L6157" s="60" t="s">
        <v>254</v>
      </c>
    </row>
    <row r="6158" spans="1:13" x14ac:dyDescent="0.3">
      <c r="H6158" s="74">
        <v>20</v>
      </c>
      <c r="K6158" s="55" t="s">
        <v>34</v>
      </c>
      <c r="L6158" s="60" t="s">
        <v>149</v>
      </c>
    </row>
    <row r="6159" spans="1:13" x14ac:dyDescent="0.3">
      <c r="H6159" s="74">
        <v>30</v>
      </c>
      <c r="K6159" s="55" t="s">
        <v>30</v>
      </c>
      <c r="L6159" s="60" t="s">
        <v>136</v>
      </c>
    </row>
    <row r="6160" spans="1:13" x14ac:dyDescent="0.3">
      <c r="H6160" s="74">
        <v>30</v>
      </c>
      <c r="K6160" s="55" t="s">
        <v>33</v>
      </c>
      <c r="L6160" s="60" t="s">
        <v>1914</v>
      </c>
    </row>
    <row r="6162" spans="1:13" x14ac:dyDescent="0.3">
      <c r="A6162" s="72" t="s">
        <v>1910</v>
      </c>
      <c r="B6162" s="55" t="s">
        <v>12</v>
      </c>
      <c r="C6162" s="67" t="s">
        <v>188</v>
      </c>
      <c r="D6162" s="55" t="s">
        <v>51</v>
      </c>
      <c r="E6162" s="19">
        <v>230.94</v>
      </c>
      <c r="F6162" s="19">
        <v>9</v>
      </c>
      <c r="G6162" s="55" t="s">
        <v>11</v>
      </c>
      <c r="H6162" s="74">
        <v>10</v>
      </c>
      <c r="K6162" s="55" t="s">
        <v>25</v>
      </c>
    </row>
    <row r="6163" spans="1:13" x14ac:dyDescent="0.3">
      <c r="H6163" s="74">
        <v>10</v>
      </c>
      <c r="K6163" s="55" t="s">
        <v>84</v>
      </c>
    </row>
    <row r="6164" spans="1:13" x14ac:dyDescent="0.3">
      <c r="H6164" s="74">
        <v>120</v>
      </c>
      <c r="K6164" s="55" t="s">
        <v>96</v>
      </c>
    </row>
    <row r="6165" spans="1:13" x14ac:dyDescent="0.3">
      <c r="H6165" s="74">
        <v>30</v>
      </c>
      <c r="K6165" s="55" t="s">
        <v>32</v>
      </c>
      <c r="L6165" s="60" t="s">
        <v>1916</v>
      </c>
    </row>
    <row r="6166" spans="1:13" x14ac:dyDescent="0.3">
      <c r="H6166" s="74">
        <v>20</v>
      </c>
      <c r="K6166" s="55" t="s">
        <v>32</v>
      </c>
      <c r="L6166" s="60" t="s">
        <v>131</v>
      </c>
    </row>
    <row r="6167" spans="1:13" x14ac:dyDescent="0.3">
      <c r="H6167" s="74">
        <v>50</v>
      </c>
      <c r="K6167" s="55" t="s">
        <v>30</v>
      </c>
      <c r="L6167" s="60" t="s">
        <v>652</v>
      </c>
    </row>
    <row r="6168" spans="1:13" x14ac:dyDescent="0.3">
      <c r="H6168" s="74">
        <v>40</v>
      </c>
      <c r="K6168" s="55" t="s">
        <v>34</v>
      </c>
      <c r="L6168" s="60" t="s">
        <v>253</v>
      </c>
    </row>
    <row r="6169" spans="1:13" x14ac:dyDescent="0.3">
      <c r="H6169" s="74">
        <v>45</v>
      </c>
      <c r="K6169" s="55" t="s">
        <v>34</v>
      </c>
      <c r="L6169" s="60" t="s">
        <v>839</v>
      </c>
    </row>
    <row r="6170" spans="1:13" x14ac:dyDescent="0.3">
      <c r="H6170" s="74">
        <v>25</v>
      </c>
      <c r="K6170" s="55" t="s">
        <v>102</v>
      </c>
    </row>
    <row r="6171" spans="1:13" x14ac:dyDescent="0.3">
      <c r="H6171" s="74">
        <v>20</v>
      </c>
      <c r="K6171" s="55" t="s">
        <v>55</v>
      </c>
      <c r="L6171" s="60" t="s">
        <v>1915</v>
      </c>
    </row>
    <row r="6173" spans="1:13" x14ac:dyDescent="0.3">
      <c r="A6173" s="72" t="s">
        <v>1921</v>
      </c>
      <c r="B6173" s="55" t="s">
        <v>0</v>
      </c>
      <c r="C6173" s="67" t="s">
        <v>46</v>
      </c>
      <c r="D6173" s="55" t="s">
        <v>52</v>
      </c>
      <c r="E6173" s="19">
        <v>180.09</v>
      </c>
      <c r="F6173" s="19">
        <v>6</v>
      </c>
      <c r="G6173" s="55" t="s">
        <v>11</v>
      </c>
      <c r="H6173" s="74">
        <v>10</v>
      </c>
      <c r="K6173" s="55" t="s">
        <v>25</v>
      </c>
    </row>
    <row r="6174" spans="1:13" x14ac:dyDescent="0.3">
      <c r="H6174" s="74">
        <v>10</v>
      </c>
      <c r="K6174" s="55" t="s">
        <v>84</v>
      </c>
      <c r="M6174" s="47"/>
    </row>
    <row r="6175" spans="1:13" x14ac:dyDescent="0.3">
      <c r="H6175" s="74">
        <v>80</v>
      </c>
      <c r="K6175" s="55" t="s">
        <v>96</v>
      </c>
      <c r="M6175" s="47" t="s">
        <v>1887</v>
      </c>
    </row>
    <row r="6176" spans="1:13" x14ac:dyDescent="0.3">
      <c r="H6176" s="74">
        <v>30</v>
      </c>
      <c r="K6176" s="55" t="s">
        <v>33</v>
      </c>
      <c r="L6176" s="60" t="s">
        <v>1917</v>
      </c>
    </row>
    <row r="6177" spans="1:13" x14ac:dyDescent="0.3">
      <c r="H6177" s="74">
        <v>30</v>
      </c>
      <c r="K6177" s="55" t="s">
        <v>34</v>
      </c>
      <c r="L6177" s="60" t="s">
        <v>254</v>
      </c>
    </row>
    <row r="6178" spans="1:13" x14ac:dyDescent="0.3">
      <c r="H6178" s="74">
        <v>40</v>
      </c>
      <c r="K6178" s="55" t="s">
        <v>34</v>
      </c>
      <c r="L6178" s="60" t="s">
        <v>1919</v>
      </c>
    </row>
    <row r="6179" spans="1:13" x14ac:dyDescent="0.3">
      <c r="H6179" s="74">
        <v>40</v>
      </c>
      <c r="K6179" s="55" t="s">
        <v>30</v>
      </c>
      <c r="L6179" s="60" t="s">
        <v>1920</v>
      </c>
    </row>
    <row r="6180" spans="1:13" x14ac:dyDescent="0.3">
      <c r="H6180" s="74">
        <v>90</v>
      </c>
      <c r="K6180" s="55" t="s">
        <v>33</v>
      </c>
      <c r="L6180" s="60" t="s">
        <v>1918</v>
      </c>
    </row>
    <row r="6181" spans="1:13" x14ac:dyDescent="0.3">
      <c r="H6181" s="74">
        <v>20</v>
      </c>
      <c r="K6181" s="55" t="s">
        <v>34</v>
      </c>
      <c r="L6181" s="60" t="s">
        <v>889</v>
      </c>
    </row>
    <row r="6183" spans="1:13" x14ac:dyDescent="0.3">
      <c r="A6183" s="72" t="s">
        <v>1921</v>
      </c>
      <c r="B6183" s="55" t="s">
        <v>10</v>
      </c>
      <c r="C6183" s="67" t="s">
        <v>47</v>
      </c>
      <c r="D6183" s="55" t="s">
        <v>50</v>
      </c>
      <c r="E6183" s="19">
        <v>254.86</v>
      </c>
      <c r="F6183" s="19">
        <v>8</v>
      </c>
      <c r="G6183" s="55" t="s">
        <v>11</v>
      </c>
      <c r="H6183" s="74">
        <v>10</v>
      </c>
      <c r="K6183" s="55" t="s">
        <v>25</v>
      </c>
    </row>
    <row r="6184" spans="1:13" x14ac:dyDescent="0.3">
      <c r="H6184" s="74">
        <v>10</v>
      </c>
      <c r="K6184" s="55" t="s">
        <v>84</v>
      </c>
    </row>
    <row r="6185" spans="1:13" x14ac:dyDescent="0.3">
      <c r="H6185" s="74">
        <v>120</v>
      </c>
      <c r="K6185" s="55" t="s">
        <v>96</v>
      </c>
      <c r="M6185" s="47" t="s">
        <v>1887</v>
      </c>
    </row>
    <row r="6186" spans="1:13" x14ac:dyDescent="0.3">
      <c r="H6186" s="74">
        <v>60</v>
      </c>
      <c r="K6186" s="55" t="s">
        <v>33</v>
      </c>
      <c r="L6186" s="60" t="s">
        <v>1924</v>
      </c>
      <c r="M6186" s="47"/>
    </row>
    <row r="6187" spans="1:13" x14ac:dyDescent="0.3">
      <c r="H6187" s="74">
        <v>40</v>
      </c>
      <c r="K6187" s="55" t="s">
        <v>32</v>
      </c>
      <c r="L6187" s="60" t="s">
        <v>1922</v>
      </c>
    </row>
    <row r="6188" spans="1:13" x14ac:dyDescent="0.3">
      <c r="H6188" s="74">
        <v>40</v>
      </c>
      <c r="K6188" s="55" t="s">
        <v>34</v>
      </c>
      <c r="L6188" s="60" t="s">
        <v>253</v>
      </c>
    </row>
    <row r="6189" spans="1:13" x14ac:dyDescent="0.3">
      <c r="H6189" s="74">
        <v>50</v>
      </c>
      <c r="K6189" s="55" t="s">
        <v>34</v>
      </c>
      <c r="L6189" s="60" t="s">
        <v>839</v>
      </c>
    </row>
    <row r="6190" spans="1:13" x14ac:dyDescent="0.3">
      <c r="H6190" s="74">
        <v>20</v>
      </c>
      <c r="K6190" s="55" t="s">
        <v>34</v>
      </c>
      <c r="L6190" s="60" t="s">
        <v>1923</v>
      </c>
    </row>
    <row r="6191" spans="1:13" x14ac:dyDescent="0.3">
      <c r="H6191" s="74">
        <v>40</v>
      </c>
      <c r="K6191" s="55" t="s">
        <v>30</v>
      </c>
      <c r="L6191" s="60" t="s">
        <v>348</v>
      </c>
    </row>
    <row r="6193" spans="1:13" x14ac:dyDescent="0.3">
      <c r="A6193" s="72" t="s">
        <v>1921</v>
      </c>
      <c r="B6193" s="55" t="s">
        <v>12</v>
      </c>
      <c r="C6193" s="67" t="s">
        <v>188</v>
      </c>
      <c r="D6193" s="55" t="s">
        <v>51</v>
      </c>
      <c r="E6193" s="19">
        <v>184.71</v>
      </c>
      <c r="F6193" s="19">
        <v>6</v>
      </c>
      <c r="G6193" s="55" t="s">
        <v>11</v>
      </c>
      <c r="H6193" s="74">
        <v>10</v>
      </c>
      <c r="K6193" s="55" t="s">
        <v>25</v>
      </c>
    </row>
    <row r="6194" spans="1:13" x14ac:dyDescent="0.3">
      <c r="H6194" s="74">
        <v>10</v>
      </c>
      <c r="K6194" s="55" t="s">
        <v>84</v>
      </c>
    </row>
    <row r="6195" spans="1:13" x14ac:dyDescent="0.3">
      <c r="H6195" s="74">
        <v>90</v>
      </c>
      <c r="K6195" s="55" t="s">
        <v>96</v>
      </c>
    </row>
    <row r="6196" spans="1:13" x14ac:dyDescent="0.3">
      <c r="H6196" s="74">
        <v>20</v>
      </c>
      <c r="K6196" s="55" t="s">
        <v>32</v>
      </c>
      <c r="L6196" s="60" t="s">
        <v>1537</v>
      </c>
      <c r="M6196" s="1" t="s">
        <v>1925</v>
      </c>
    </row>
    <row r="6197" spans="1:13" x14ac:dyDescent="0.3">
      <c r="H6197" s="74">
        <v>60</v>
      </c>
      <c r="K6197" s="55" t="s">
        <v>32</v>
      </c>
      <c r="L6197" s="60" t="s">
        <v>1926</v>
      </c>
    </row>
    <row r="6198" spans="1:13" x14ac:dyDescent="0.3">
      <c r="H6198" s="74">
        <v>35</v>
      </c>
      <c r="K6198" s="55" t="s">
        <v>30</v>
      </c>
      <c r="L6198" s="60" t="s">
        <v>652</v>
      </c>
    </row>
    <row r="6199" spans="1:13" x14ac:dyDescent="0.3">
      <c r="H6199" s="74">
        <v>20</v>
      </c>
      <c r="K6199" s="55" t="s">
        <v>34</v>
      </c>
      <c r="L6199" s="60" t="s">
        <v>253</v>
      </c>
    </row>
    <row r="6200" spans="1:13" x14ac:dyDescent="0.3">
      <c r="H6200" s="74">
        <v>20</v>
      </c>
      <c r="K6200" s="55" t="s">
        <v>102</v>
      </c>
    </row>
    <row r="6201" spans="1:13" x14ac:dyDescent="0.3">
      <c r="H6201" s="74">
        <v>30</v>
      </c>
      <c r="K6201" s="55" t="s">
        <v>34</v>
      </c>
      <c r="L6201" s="60" t="s">
        <v>839</v>
      </c>
    </row>
    <row r="6202" spans="1:13" x14ac:dyDescent="0.3">
      <c r="H6202" s="74">
        <v>15</v>
      </c>
      <c r="K6202" s="55" t="s">
        <v>33</v>
      </c>
      <c r="L6202" s="60" t="s">
        <v>1927</v>
      </c>
      <c r="M6202" s="1" t="s">
        <v>1928</v>
      </c>
    </row>
    <row r="6203" spans="1:13" x14ac:dyDescent="0.3">
      <c r="H6203" s="74">
        <v>30</v>
      </c>
      <c r="K6203" s="55" t="s">
        <v>33</v>
      </c>
      <c r="L6203" s="60" t="s">
        <v>1929</v>
      </c>
    </row>
    <row r="6204" spans="1:13" x14ac:dyDescent="0.3">
      <c r="H6204" s="74">
        <v>15</v>
      </c>
      <c r="K6204" s="55" t="s">
        <v>55</v>
      </c>
      <c r="L6204" s="60" t="s">
        <v>1930</v>
      </c>
    </row>
    <row r="6205" spans="1:13" x14ac:dyDescent="0.3">
      <c r="H6205" s="74">
        <v>30</v>
      </c>
      <c r="K6205" s="55" t="s">
        <v>55</v>
      </c>
      <c r="L6205" s="60" t="s">
        <v>1818</v>
      </c>
    </row>
    <row r="6207" spans="1:13" x14ac:dyDescent="0.3">
      <c r="A6207" s="72" t="s">
        <v>1931</v>
      </c>
      <c r="B6207" s="55" t="s">
        <v>0</v>
      </c>
      <c r="C6207" s="67" t="s">
        <v>46</v>
      </c>
      <c r="D6207" s="55" t="s">
        <v>52</v>
      </c>
      <c r="E6207" s="19">
        <v>215.98</v>
      </c>
      <c r="F6207" s="19">
        <v>7</v>
      </c>
      <c r="G6207" s="55" t="s">
        <v>11</v>
      </c>
      <c r="H6207" s="74">
        <v>10</v>
      </c>
      <c r="K6207" s="55" t="s">
        <v>25</v>
      </c>
    </row>
    <row r="6208" spans="1:13" x14ac:dyDescent="0.3">
      <c r="H6208" s="74">
        <v>10</v>
      </c>
      <c r="K6208" s="55" t="s">
        <v>84</v>
      </c>
    </row>
    <row r="6209" spans="1:12" x14ac:dyDescent="0.3">
      <c r="H6209" s="74">
        <v>100</v>
      </c>
      <c r="K6209" s="55" t="s">
        <v>96</v>
      </c>
    </row>
    <row r="6210" spans="1:12" x14ac:dyDescent="0.3">
      <c r="H6210" s="74">
        <v>80</v>
      </c>
      <c r="K6210" s="55" t="s">
        <v>32</v>
      </c>
      <c r="L6210" s="60" t="s">
        <v>1933</v>
      </c>
    </row>
    <row r="6211" spans="1:12" x14ac:dyDescent="0.3">
      <c r="H6211" s="74">
        <v>30</v>
      </c>
      <c r="K6211" s="55" t="s">
        <v>34</v>
      </c>
      <c r="L6211" s="60" t="s">
        <v>254</v>
      </c>
    </row>
    <row r="6212" spans="1:12" x14ac:dyDescent="0.3">
      <c r="H6212" s="74">
        <v>40</v>
      </c>
      <c r="K6212" s="55" t="s">
        <v>34</v>
      </c>
      <c r="L6212" s="60" t="s">
        <v>1919</v>
      </c>
    </row>
    <row r="6213" spans="1:12" x14ac:dyDescent="0.3">
      <c r="H6213" s="74">
        <v>40</v>
      </c>
      <c r="K6213" s="55" t="s">
        <v>30</v>
      </c>
      <c r="L6213" s="60" t="s">
        <v>1920</v>
      </c>
    </row>
    <row r="6214" spans="1:12" x14ac:dyDescent="0.3">
      <c r="H6214" s="74">
        <v>25</v>
      </c>
      <c r="K6214" s="55" t="s">
        <v>33</v>
      </c>
      <c r="L6214" s="60" t="s">
        <v>1932</v>
      </c>
    </row>
    <row r="6215" spans="1:12" x14ac:dyDescent="0.3">
      <c r="H6215" s="74">
        <v>20</v>
      </c>
      <c r="K6215" s="55" t="s">
        <v>32</v>
      </c>
      <c r="L6215" s="60" t="s">
        <v>444</v>
      </c>
    </row>
    <row r="6217" spans="1:12" x14ac:dyDescent="0.3">
      <c r="A6217" s="72" t="s">
        <v>1931</v>
      </c>
      <c r="B6217" s="55" t="s">
        <v>10</v>
      </c>
      <c r="C6217" s="67" t="s">
        <v>47</v>
      </c>
      <c r="D6217" s="55" t="s">
        <v>50</v>
      </c>
      <c r="E6217" s="19">
        <v>165.32</v>
      </c>
      <c r="F6217" s="19">
        <v>6</v>
      </c>
      <c r="G6217" s="55" t="s">
        <v>11</v>
      </c>
      <c r="H6217" s="74">
        <v>10</v>
      </c>
      <c r="K6217" s="55" t="s">
        <v>25</v>
      </c>
    </row>
    <row r="6218" spans="1:12" x14ac:dyDescent="0.3">
      <c r="H6218" s="74">
        <v>10</v>
      </c>
      <c r="K6218" s="55" t="s">
        <v>84</v>
      </c>
    </row>
    <row r="6219" spans="1:12" x14ac:dyDescent="0.3">
      <c r="H6219" s="74">
        <v>80</v>
      </c>
      <c r="K6219" s="55" t="s">
        <v>96</v>
      </c>
    </row>
    <row r="6220" spans="1:12" x14ac:dyDescent="0.3">
      <c r="H6220" s="74">
        <v>60</v>
      </c>
      <c r="K6220" s="55" t="s">
        <v>32</v>
      </c>
      <c r="L6220" s="60" t="s">
        <v>1936</v>
      </c>
    </row>
    <row r="6221" spans="1:12" x14ac:dyDescent="0.3">
      <c r="H6221" s="74">
        <v>40</v>
      </c>
      <c r="K6221" s="55" t="s">
        <v>32</v>
      </c>
      <c r="L6221" s="60" t="s">
        <v>1937</v>
      </c>
    </row>
    <row r="6222" spans="1:12" x14ac:dyDescent="0.3">
      <c r="H6222" s="74">
        <v>120</v>
      </c>
      <c r="K6222" s="55" t="s">
        <v>33</v>
      </c>
      <c r="L6222" s="60" t="s">
        <v>1938</v>
      </c>
    </row>
    <row r="6223" spans="1:12" x14ac:dyDescent="0.3">
      <c r="H6223" s="74">
        <v>20</v>
      </c>
      <c r="K6223" s="55" t="s">
        <v>34</v>
      </c>
      <c r="L6223" s="60" t="s">
        <v>253</v>
      </c>
    </row>
    <row r="6224" spans="1:12" x14ac:dyDescent="0.3">
      <c r="H6224" s="74">
        <v>30</v>
      </c>
      <c r="K6224" s="55" t="s">
        <v>34</v>
      </c>
      <c r="L6224" s="60" t="s">
        <v>1934</v>
      </c>
    </row>
    <row r="6225" spans="1:12" x14ac:dyDescent="0.3">
      <c r="H6225" s="74">
        <v>30</v>
      </c>
      <c r="K6225" s="55" t="s">
        <v>30</v>
      </c>
      <c r="L6225" s="60" t="s">
        <v>1935</v>
      </c>
    </row>
    <row r="6227" spans="1:12" x14ac:dyDescent="0.3">
      <c r="A6227" s="72" t="s">
        <v>1931</v>
      </c>
      <c r="B6227" s="55" t="s">
        <v>12</v>
      </c>
      <c r="C6227" s="67" t="s">
        <v>188</v>
      </c>
      <c r="D6227" s="55" t="s">
        <v>51</v>
      </c>
      <c r="E6227" s="19">
        <v>134.78</v>
      </c>
      <c r="F6227" s="19">
        <v>5</v>
      </c>
      <c r="G6227" s="55" t="s">
        <v>11</v>
      </c>
      <c r="H6227" s="74">
        <v>10</v>
      </c>
      <c r="K6227" s="55" t="s">
        <v>25</v>
      </c>
    </row>
    <row r="6228" spans="1:12" x14ac:dyDescent="0.3">
      <c r="H6228" s="74">
        <v>10</v>
      </c>
      <c r="K6228" s="55" t="s">
        <v>84</v>
      </c>
    </row>
    <row r="6229" spans="1:12" x14ac:dyDescent="0.3">
      <c r="H6229" s="74">
        <v>70</v>
      </c>
      <c r="K6229" s="55" t="s">
        <v>96</v>
      </c>
    </row>
    <row r="6230" spans="1:12" x14ac:dyDescent="0.3">
      <c r="H6230" s="74">
        <v>30</v>
      </c>
      <c r="K6230" s="55" t="s">
        <v>32</v>
      </c>
      <c r="L6230" s="60" t="s">
        <v>460</v>
      </c>
    </row>
    <row r="6231" spans="1:12" x14ac:dyDescent="0.3">
      <c r="H6231" s="74">
        <v>22</v>
      </c>
      <c r="K6231" s="55" t="s">
        <v>55</v>
      </c>
      <c r="L6231" s="60" t="s">
        <v>539</v>
      </c>
    </row>
    <row r="6232" spans="1:12" x14ac:dyDescent="0.3">
      <c r="H6232" s="74">
        <v>165</v>
      </c>
      <c r="K6232" s="55" t="s">
        <v>33</v>
      </c>
      <c r="L6232" s="60" t="s">
        <v>109</v>
      </c>
    </row>
    <row r="6233" spans="1:12" x14ac:dyDescent="0.3">
      <c r="H6233" s="74">
        <v>18</v>
      </c>
      <c r="K6233" s="55" t="s">
        <v>55</v>
      </c>
      <c r="L6233" s="60" t="s">
        <v>1939</v>
      </c>
    </row>
    <row r="6234" spans="1:12" x14ac:dyDescent="0.3">
      <c r="H6234" s="74">
        <v>30</v>
      </c>
      <c r="K6234" s="55" t="s">
        <v>34</v>
      </c>
      <c r="L6234" s="60" t="s">
        <v>254</v>
      </c>
    </row>
    <row r="6235" spans="1:12" x14ac:dyDescent="0.3">
      <c r="H6235" s="74">
        <v>25</v>
      </c>
      <c r="K6235" s="55" t="s">
        <v>34</v>
      </c>
      <c r="L6235" s="60" t="s">
        <v>149</v>
      </c>
    </row>
    <row r="6236" spans="1:12" x14ac:dyDescent="0.3">
      <c r="H6236" s="74">
        <v>20</v>
      </c>
      <c r="K6236" s="55" t="s">
        <v>30</v>
      </c>
      <c r="L6236" s="60" t="s">
        <v>324</v>
      </c>
    </row>
    <row r="6238" spans="1:12" x14ac:dyDescent="0.3">
      <c r="A6238" s="72" t="s">
        <v>1940</v>
      </c>
      <c r="B6238" s="55" t="s">
        <v>0</v>
      </c>
      <c r="C6238" s="67" t="s">
        <v>46</v>
      </c>
      <c r="D6238" s="55" t="s">
        <v>52</v>
      </c>
      <c r="E6238" s="19">
        <v>222.71</v>
      </c>
      <c r="F6238" s="19">
        <v>7</v>
      </c>
      <c r="G6238" s="55" t="s">
        <v>11</v>
      </c>
      <c r="H6238" s="74">
        <v>10</v>
      </c>
      <c r="K6238" s="55" t="s">
        <v>25</v>
      </c>
    </row>
    <row r="6239" spans="1:12" x14ac:dyDescent="0.3">
      <c r="H6239" s="74">
        <v>10</v>
      </c>
      <c r="K6239" s="55" t="s">
        <v>84</v>
      </c>
    </row>
    <row r="6240" spans="1:12" x14ac:dyDescent="0.3">
      <c r="H6240" s="74">
        <v>100</v>
      </c>
      <c r="K6240" s="55" t="s">
        <v>96</v>
      </c>
    </row>
    <row r="6241" spans="1:12" x14ac:dyDescent="0.3">
      <c r="H6241" s="74">
        <v>30</v>
      </c>
      <c r="K6241" s="55" t="s">
        <v>32</v>
      </c>
      <c r="L6241" s="60" t="s">
        <v>1941</v>
      </c>
    </row>
    <row r="6242" spans="1:12" x14ac:dyDescent="0.3">
      <c r="H6242" s="74">
        <v>30</v>
      </c>
      <c r="K6242" s="55" t="s">
        <v>34</v>
      </c>
      <c r="L6242" s="60" t="s">
        <v>254</v>
      </c>
    </row>
    <row r="6243" spans="1:12" x14ac:dyDescent="0.3">
      <c r="H6243" s="74">
        <v>20</v>
      </c>
      <c r="K6243" s="55" t="s">
        <v>34</v>
      </c>
      <c r="L6243" s="60" t="s">
        <v>1946</v>
      </c>
    </row>
    <row r="6244" spans="1:12" x14ac:dyDescent="0.3">
      <c r="H6244" s="74">
        <v>40</v>
      </c>
      <c r="K6244" s="55" t="s">
        <v>30</v>
      </c>
      <c r="L6244" s="60" t="s">
        <v>1920</v>
      </c>
    </row>
    <row r="6245" spans="1:12" x14ac:dyDescent="0.3">
      <c r="H6245" s="74">
        <v>30</v>
      </c>
      <c r="K6245" s="55" t="s">
        <v>32</v>
      </c>
      <c r="L6245" s="60" t="s">
        <v>1945</v>
      </c>
    </row>
    <row r="6246" spans="1:12" x14ac:dyDescent="0.3">
      <c r="H6246" s="74">
        <v>40</v>
      </c>
      <c r="K6246" s="55" t="s">
        <v>32</v>
      </c>
      <c r="L6246" s="60" t="s">
        <v>1943</v>
      </c>
    </row>
    <row r="6247" spans="1:12" x14ac:dyDescent="0.3">
      <c r="H6247" s="74">
        <v>25</v>
      </c>
      <c r="K6247" s="55" t="s">
        <v>33</v>
      </c>
      <c r="L6247" s="60" t="s">
        <v>1942</v>
      </c>
    </row>
    <row r="6248" spans="1:12" x14ac:dyDescent="0.3">
      <c r="H6248" s="74">
        <v>20</v>
      </c>
      <c r="K6248" s="55" t="s">
        <v>33</v>
      </c>
      <c r="L6248" s="60" t="s">
        <v>1944</v>
      </c>
    </row>
    <row r="6250" spans="1:12" x14ac:dyDescent="0.3">
      <c r="A6250" s="72" t="s">
        <v>1940</v>
      </c>
      <c r="B6250" s="55" t="s">
        <v>10</v>
      </c>
      <c r="C6250" s="67" t="s">
        <v>47</v>
      </c>
      <c r="D6250" s="55" t="s">
        <v>50</v>
      </c>
      <c r="E6250" s="19">
        <v>156.68</v>
      </c>
      <c r="F6250" s="19">
        <v>7</v>
      </c>
      <c r="G6250" s="55" t="s">
        <v>11</v>
      </c>
      <c r="H6250" s="74">
        <v>10</v>
      </c>
      <c r="K6250" s="55" t="s">
        <v>25</v>
      </c>
    </row>
    <row r="6251" spans="1:12" x14ac:dyDescent="0.3">
      <c r="H6251" s="74">
        <v>10</v>
      </c>
      <c r="K6251" s="55" t="s">
        <v>84</v>
      </c>
    </row>
    <row r="6252" spans="1:12" x14ac:dyDescent="0.3">
      <c r="H6252" s="74">
        <v>80</v>
      </c>
      <c r="K6252" s="55" t="s">
        <v>96</v>
      </c>
    </row>
    <row r="6253" spans="1:12" x14ac:dyDescent="0.3">
      <c r="H6253" s="74">
        <v>130</v>
      </c>
      <c r="K6253" s="55" t="s">
        <v>32</v>
      </c>
      <c r="L6253" s="60" t="s">
        <v>1948</v>
      </c>
    </row>
    <row r="6254" spans="1:12" x14ac:dyDescent="0.3">
      <c r="H6254" s="74">
        <v>30</v>
      </c>
      <c r="K6254" s="55" t="s">
        <v>30</v>
      </c>
      <c r="L6254" s="60" t="s">
        <v>300</v>
      </c>
    </row>
    <row r="6255" spans="1:12" x14ac:dyDescent="0.3">
      <c r="H6255" s="74">
        <v>20</v>
      </c>
      <c r="K6255" s="55" t="s">
        <v>33</v>
      </c>
    </row>
    <row r="6256" spans="1:12" x14ac:dyDescent="0.3">
      <c r="H6256" s="74">
        <v>20</v>
      </c>
      <c r="K6256" s="55" t="s">
        <v>34</v>
      </c>
      <c r="L6256" s="60" t="s">
        <v>1947</v>
      </c>
    </row>
    <row r="6257" spans="1:12" x14ac:dyDescent="0.3">
      <c r="H6257" s="74">
        <v>40</v>
      </c>
      <c r="K6257" s="55" t="s">
        <v>32</v>
      </c>
      <c r="L6257" s="60" t="s">
        <v>377</v>
      </c>
    </row>
    <row r="6258" spans="1:12" x14ac:dyDescent="0.3">
      <c r="H6258" s="74">
        <v>20</v>
      </c>
      <c r="K6258" s="55" t="s">
        <v>32</v>
      </c>
      <c r="L6258" s="60" t="s">
        <v>965</v>
      </c>
    </row>
    <row r="6260" spans="1:12" x14ac:dyDescent="0.3">
      <c r="A6260" s="72" t="s">
        <v>1940</v>
      </c>
      <c r="B6260" s="55" t="s">
        <v>12</v>
      </c>
      <c r="D6260" s="55" t="s">
        <v>51</v>
      </c>
      <c r="E6260" s="19">
        <v>180.15</v>
      </c>
      <c r="F6260" s="19">
        <v>8</v>
      </c>
      <c r="G6260" s="55" t="s">
        <v>11</v>
      </c>
      <c r="H6260" s="74">
        <v>10</v>
      </c>
      <c r="K6260" s="55" t="s">
        <v>25</v>
      </c>
    </row>
    <row r="6261" spans="1:12" x14ac:dyDescent="0.3">
      <c r="H6261" s="74">
        <v>10</v>
      </c>
      <c r="K6261" s="55" t="s">
        <v>84</v>
      </c>
    </row>
    <row r="6262" spans="1:12" x14ac:dyDescent="0.3">
      <c r="H6262" s="74">
        <v>100</v>
      </c>
      <c r="K6262" s="55" t="s">
        <v>96</v>
      </c>
    </row>
    <row r="6263" spans="1:12" x14ac:dyDescent="0.3">
      <c r="H6263" s="74">
        <v>40</v>
      </c>
      <c r="K6263" s="55" t="s">
        <v>32</v>
      </c>
      <c r="L6263" s="60" t="s">
        <v>1952</v>
      </c>
    </row>
    <row r="6264" spans="1:12" x14ac:dyDescent="0.3">
      <c r="H6264" s="74">
        <v>65</v>
      </c>
      <c r="K6264" s="55" t="s">
        <v>55</v>
      </c>
      <c r="L6264" s="60" t="s">
        <v>1949</v>
      </c>
    </row>
    <row r="6265" spans="1:12" x14ac:dyDescent="0.3">
      <c r="H6265" s="74">
        <v>30</v>
      </c>
      <c r="K6265" s="55" t="s">
        <v>34</v>
      </c>
      <c r="L6265" s="60" t="s">
        <v>149</v>
      </c>
    </row>
    <row r="6266" spans="1:12" x14ac:dyDescent="0.3">
      <c r="H6266" s="74">
        <v>35</v>
      </c>
      <c r="K6266" s="55" t="s">
        <v>34</v>
      </c>
      <c r="L6266" s="60" t="s">
        <v>1950</v>
      </c>
    </row>
    <row r="6267" spans="1:12" x14ac:dyDescent="0.3">
      <c r="H6267" s="74">
        <v>20</v>
      </c>
      <c r="K6267" s="55" t="s">
        <v>55</v>
      </c>
      <c r="L6267" s="60" t="s">
        <v>1954</v>
      </c>
    </row>
    <row r="6268" spans="1:12" x14ac:dyDescent="0.3">
      <c r="H6268" s="74">
        <v>20</v>
      </c>
      <c r="K6268" s="55" t="s">
        <v>55</v>
      </c>
      <c r="L6268" s="60" t="s">
        <v>1951</v>
      </c>
    </row>
    <row r="6269" spans="1:12" x14ac:dyDescent="0.3">
      <c r="H6269" s="74">
        <v>10</v>
      </c>
      <c r="K6269" s="55" t="s">
        <v>33</v>
      </c>
      <c r="L6269" s="60" t="s">
        <v>1953</v>
      </c>
    </row>
    <row r="6270" spans="1:12" x14ac:dyDescent="0.3">
      <c r="H6270" s="74">
        <v>20</v>
      </c>
      <c r="K6270" s="55" t="s">
        <v>30</v>
      </c>
      <c r="L6270" s="60" t="s">
        <v>233</v>
      </c>
    </row>
    <row r="6272" spans="1:12" x14ac:dyDescent="0.3">
      <c r="A6272" s="72" t="s">
        <v>1955</v>
      </c>
      <c r="B6272" s="55" t="s">
        <v>0</v>
      </c>
      <c r="C6272" s="67" t="s">
        <v>46</v>
      </c>
      <c r="D6272" s="55" t="s">
        <v>52</v>
      </c>
      <c r="E6272" s="19">
        <v>223.09</v>
      </c>
      <c r="F6272" s="19">
        <v>10</v>
      </c>
      <c r="G6272" s="55" t="s">
        <v>11</v>
      </c>
      <c r="H6272" s="74">
        <v>10</v>
      </c>
      <c r="K6272" s="55" t="s">
        <v>25</v>
      </c>
    </row>
    <row r="6273" spans="1:13" x14ac:dyDescent="0.3">
      <c r="H6273" s="74">
        <v>10</v>
      </c>
      <c r="K6273" s="55" t="s">
        <v>84</v>
      </c>
    </row>
    <row r="6274" spans="1:13" x14ac:dyDescent="0.3">
      <c r="H6274" s="74">
        <v>130</v>
      </c>
      <c r="K6274" s="55" t="s">
        <v>96</v>
      </c>
    </row>
    <row r="6275" spans="1:13" x14ac:dyDescent="0.3">
      <c r="H6275" s="74">
        <v>100</v>
      </c>
      <c r="K6275" s="55" t="s">
        <v>32</v>
      </c>
      <c r="L6275" s="60" t="s">
        <v>1956</v>
      </c>
      <c r="M6275" s="47" t="s">
        <v>1887</v>
      </c>
    </row>
    <row r="6276" spans="1:13" x14ac:dyDescent="0.3">
      <c r="H6276" s="74">
        <v>20</v>
      </c>
      <c r="K6276" s="55" t="s">
        <v>33</v>
      </c>
      <c r="L6276" s="60" t="s">
        <v>1957</v>
      </c>
    </row>
    <row r="6277" spans="1:13" x14ac:dyDescent="0.3">
      <c r="H6277" s="74">
        <v>20</v>
      </c>
      <c r="K6277" s="55" t="s">
        <v>55</v>
      </c>
      <c r="L6277" s="60" t="s">
        <v>1959</v>
      </c>
    </row>
    <row r="6278" spans="1:13" x14ac:dyDescent="0.3">
      <c r="H6278" s="74">
        <v>20</v>
      </c>
      <c r="K6278" s="55" t="s">
        <v>15</v>
      </c>
      <c r="L6278" s="60" t="s">
        <v>1958</v>
      </c>
    </row>
    <row r="6279" spans="1:13" x14ac:dyDescent="0.3">
      <c r="H6279" s="74">
        <v>30</v>
      </c>
      <c r="K6279" s="55" t="s">
        <v>30</v>
      </c>
      <c r="L6279" s="60" t="s">
        <v>233</v>
      </c>
    </row>
    <row r="6280" spans="1:13" x14ac:dyDescent="0.3">
      <c r="H6280" s="74">
        <v>20</v>
      </c>
      <c r="K6280" s="55" t="s">
        <v>32</v>
      </c>
      <c r="L6280" s="60" t="s">
        <v>1960</v>
      </c>
    </row>
    <row r="6282" spans="1:13" x14ac:dyDescent="0.3">
      <c r="A6282" s="72" t="s">
        <v>1955</v>
      </c>
      <c r="B6282" s="55" t="s">
        <v>10</v>
      </c>
      <c r="C6282" s="67" t="s">
        <v>46</v>
      </c>
      <c r="D6282" s="55" t="s">
        <v>50</v>
      </c>
      <c r="E6282" s="19">
        <v>283.32</v>
      </c>
      <c r="F6282" s="19">
        <v>12</v>
      </c>
      <c r="G6282" s="55" t="s">
        <v>11</v>
      </c>
      <c r="H6282" s="74">
        <v>10</v>
      </c>
      <c r="K6282" s="55" t="s">
        <v>25</v>
      </c>
    </row>
    <row r="6283" spans="1:13" x14ac:dyDescent="0.3">
      <c r="H6283" s="74">
        <v>10</v>
      </c>
      <c r="K6283" s="55" t="s">
        <v>84</v>
      </c>
    </row>
    <row r="6284" spans="1:13" x14ac:dyDescent="0.3">
      <c r="H6284" s="74">
        <v>160</v>
      </c>
      <c r="K6284" s="55" t="s">
        <v>96</v>
      </c>
    </row>
    <row r="6285" spans="1:13" x14ac:dyDescent="0.3">
      <c r="H6285" s="74">
        <v>30</v>
      </c>
      <c r="K6285" s="55" t="s">
        <v>32</v>
      </c>
      <c r="L6285" s="60" t="s">
        <v>294</v>
      </c>
    </row>
    <row r="6286" spans="1:13" x14ac:dyDescent="0.3">
      <c r="H6286" s="74">
        <v>20</v>
      </c>
      <c r="K6286" s="55" t="s">
        <v>55</v>
      </c>
      <c r="L6286" s="60" t="s">
        <v>1959</v>
      </c>
    </row>
    <row r="6287" spans="1:13" x14ac:dyDescent="0.3">
      <c r="H6287" s="74">
        <v>30</v>
      </c>
      <c r="K6287" s="55" t="s">
        <v>30</v>
      </c>
      <c r="L6287" s="60" t="s">
        <v>233</v>
      </c>
    </row>
    <row r="6288" spans="1:13" x14ac:dyDescent="0.3">
      <c r="H6288" s="74">
        <v>20</v>
      </c>
      <c r="K6288" s="55" t="s">
        <v>32</v>
      </c>
      <c r="L6288" s="60" t="s">
        <v>1841</v>
      </c>
    </row>
    <row r="6289" spans="1:13" x14ac:dyDescent="0.3">
      <c r="H6289" s="74">
        <v>20</v>
      </c>
      <c r="K6289" s="55" t="s">
        <v>33</v>
      </c>
      <c r="L6289" s="60" t="s">
        <v>1961</v>
      </c>
      <c r="M6289" s="1" t="s">
        <v>1962</v>
      </c>
    </row>
    <row r="6290" spans="1:13" x14ac:dyDescent="0.3">
      <c r="H6290" s="74">
        <v>30</v>
      </c>
      <c r="K6290" s="55" t="s">
        <v>33</v>
      </c>
      <c r="L6290" s="60" t="s">
        <v>1963</v>
      </c>
    </row>
    <row r="6292" spans="1:13" x14ac:dyDescent="0.3">
      <c r="A6292" s="72" t="s">
        <v>1955</v>
      </c>
      <c r="B6292" s="55" t="s">
        <v>12</v>
      </c>
      <c r="C6292" s="67" t="s">
        <v>48</v>
      </c>
      <c r="D6292" s="55" t="s">
        <v>51</v>
      </c>
      <c r="E6292" s="19">
        <v>235.97</v>
      </c>
      <c r="F6292" s="19">
        <v>10</v>
      </c>
      <c r="G6292" s="55" t="s">
        <v>11</v>
      </c>
      <c r="H6292" s="74">
        <v>10</v>
      </c>
      <c r="K6292" s="55" t="s">
        <v>25</v>
      </c>
    </row>
    <row r="6293" spans="1:13" x14ac:dyDescent="0.3">
      <c r="H6293" s="74">
        <v>10</v>
      </c>
      <c r="K6293" s="55" t="s">
        <v>84</v>
      </c>
    </row>
    <row r="6294" spans="1:13" x14ac:dyDescent="0.3">
      <c r="H6294" s="74">
        <v>130</v>
      </c>
      <c r="K6294" s="55" t="s">
        <v>96</v>
      </c>
      <c r="M6294" s="47" t="s">
        <v>1887</v>
      </c>
    </row>
    <row r="6295" spans="1:13" x14ac:dyDescent="0.3">
      <c r="H6295" s="74">
        <v>40</v>
      </c>
      <c r="K6295" s="55" t="s">
        <v>32</v>
      </c>
      <c r="L6295" s="60" t="s">
        <v>1964</v>
      </c>
    </row>
    <row r="6296" spans="1:13" x14ac:dyDescent="0.3">
      <c r="H6296" s="74">
        <v>25</v>
      </c>
      <c r="K6296" s="55" t="s">
        <v>34</v>
      </c>
      <c r="L6296" s="60" t="s">
        <v>149</v>
      </c>
    </row>
    <row r="6297" spans="1:13" x14ac:dyDescent="0.3">
      <c r="H6297" s="74">
        <v>30</v>
      </c>
      <c r="K6297" s="55" t="s">
        <v>32</v>
      </c>
      <c r="L6297" s="60" t="s">
        <v>1967</v>
      </c>
    </row>
    <row r="6298" spans="1:13" x14ac:dyDescent="0.3">
      <c r="H6298" s="74">
        <v>32</v>
      </c>
      <c r="K6298" s="55" t="s">
        <v>33</v>
      </c>
      <c r="L6298" s="60" t="s">
        <v>1965</v>
      </c>
    </row>
    <row r="6299" spans="1:13" x14ac:dyDescent="0.3">
      <c r="H6299" s="74">
        <v>30</v>
      </c>
      <c r="K6299" s="55" t="s">
        <v>30</v>
      </c>
      <c r="L6299" s="60" t="s">
        <v>136</v>
      </c>
    </row>
    <row r="6300" spans="1:13" x14ac:dyDescent="0.3">
      <c r="H6300" s="74">
        <v>15</v>
      </c>
      <c r="K6300" s="55" t="s">
        <v>33</v>
      </c>
      <c r="L6300" s="60" t="s">
        <v>1968</v>
      </c>
    </row>
    <row r="6301" spans="1:13" x14ac:dyDescent="0.3">
      <c r="H6301" s="74">
        <v>10</v>
      </c>
      <c r="K6301" s="55" t="s">
        <v>55</v>
      </c>
      <c r="L6301" s="60" t="s">
        <v>1966</v>
      </c>
    </row>
    <row r="6302" spans="1:13" x14ac:dyDescent="0.3">
      <c r="H6302" s="74">
        <v>20</v>
      </c>
      <c r="K6302" s="55" t="s">
        <v>55</v>
      </c>
      <c r="L6302" s="60" t="s">
        <v>1959</v>
      </c>
    </row>
    <row r="6304" spans="1:13" x14ac:dyDescent="0.3">
      <c r="A6304" s="72" t="s">
        <v>1969</v>
      </c>
      <c r="B6304" s="55" t="s">
        <v>0</v>
      </c>
      <c r="C6304" s="67" t="s">
        <v>46</v>
      </c>
      <c r="D6304" s="55" t="s">
        <v>50</v>
      </c>
      <c r="E6304" s="19">
        <v>291.58999999999997</v>
      </c>
      <c r="F6304" s="19">
        <v>11</v>
      </c>
      <c r="G6304" s="55" t="s">
        <v>11</v>
      </c>
      <c r="H6304" s="74">
        <v>10</v>
      </c>
      <c r="K6304" s="55" t="s">
        <v>25</v>
      </c>
    </row>
    <row r="6305" spans="1:13" x14ac:dyDescent="0.3">
      <c r="H6305" s="74">
        <v>10</v>
      </c>
      <c r="K6305" s="55" t="s">
        <v>84</v>
      </c>
    </row>
    <row r="6306" spans="1:13" x14ac:dyDescent="0.3">
      <c r="H6306" s="74">
        <v>150</v>
      </c>
      <c r="K6306" s="55" t="s">
        <v>96</v>
      </c>
      <c r="M6306" s="1" t="s">
        <v>1974</v>
      </c>
    </row>
    <row r="6307" spans="1:13" x14ac:dyDescent="0.3">
      <c r="H6307" s="74">
        <v>30</v>
      </c>
      <c r="K6307" s="55" t="s">
        <v>32</v>
      </c>
      <c r="L6307" s="60" t="s">
        <v>1970</v>
      </c>
    </row>
    <row r="6308" spans="1:13" x14ac:dyDescent="0.3">
      <c r="H6308" s="74">
        <v>30</v>
      </c>
      <c r="K6308" s="55" t="s">
        <v>32</v>
      </c>
      <c r="L6308" s="60" t="s">
        <v>391</v>
      </c>
    </row>
    <row r="6309" spans="1:13" x14ac:dyDescent="0.3">
      <c r="H6309" s="74">
        <v>20</v>
      </c>
      <c r="K6309" s="55" t="s">
        <v>102</v>
      </c>
    </row>
    <row r="6310" spans="1:13" x14ac:dyDescent="0.3">
      <c r="H6310" s="74">
        <v>20</v>
      </c>
      <c r="K6310" s="55" t="s">
        <v>33</v>
      </c>
      <c r="L6310" s="60" t="s">
        <v>1971</v>
      </c>
    </row>
    <row r="6311" spans="1:13" x14ac:dyDescent="0.3">
      <c r="H6311" s="74">
        <v>30</v>
      </c>
      <c r="K6311" s="55" t="s">
        <v>33</v>
      </c>
      <c r="L6311" s="60" t="s">
        <v>1972</v>
      </c>
    </row>
    <row r="6312" spans="1:13" x14ac:dyDescent="0.3">
      <c r="H6312" s="74">
        <v>20</v>
      </c>
      <c r="K6312" s="55" t="s">
        <v>33</v>
      </c>
      <c r="L6312" s="60" t="s">
        <v>1973</v>
      </c>
    </row>
    <row r="6313" spans="1:13" x14ac:dyDescent="0.3">
      <c r="H6313" s="74">
        <v>30</v>
      </c>
      <c r="K6313" s="55" t="s">
        <v>30</v>
      </c>
      <c r="L6313" s="60" t="s">
        <v>300</v>
      </c>
    </row>
    <row r="6315" spans="1:13" x14ac:dyDescent="0.3">
      <c r="A6315" s="72" t="s">
        <v>1969</v>
      </c>
      <c r="B6315" s="55" t="s">
        <v>10</v>
      </c>
      <c r="D6315" s="55" t="s">
        <v>51</v>
      </c>
      <c r="E6315" s="19">
        <v>231.85</v>
      </c>
      <c r="F6315" s="19">
        <v>8.5</v>
      </c>
      <c r="G6315" s="55" t="s">
        <v>11</v>
      </c>
      <c r="H6315" s="74">
        <v>10</v>
      </c>
      <c r="K6315" s="55" t="s">
        <v>25</v>
      </c>
    </row>
    <row r="6316" spans="1:13" x14ac:dyDescent="0.3">
      <c r="H6316" s="74">
        <v>10</v>
      </c>
      <c r="K6316" s="55" t="s">
        <v>84</v>
      </c>
    </row>
    <row r="6317" spans="1:13" x14ac:dyDescent="0.3">
      <c r="H6317" s="74">
        <v>100</v>
      </c>
      <c r="K6317" s="55" t="s">
        <v>96</v>
      </c>
    </row>
    <row r="6318" spans="1:13" x14ac:dyDescent="0.3">
      <c r="H6318" s="74">
        <v>60</v>
      </c>
      <c r="K6318" s="55" t="s">
        <v>32</v>
      </c>
      <c r="L6318" s="60" t="s">
        <v>1976</v>
      </c>
    </row>
    <row r="6319" spans="1:13" x14ac:dyDescent="0.3">
      <c r="H6319" s="74">
        <v>20</v>
      </c>
      <c r="K6319" s="55" t="s">
        <v>102</v>
      </c>
    </row>
    <row r="6320" spans="1:13" x14ac:dyDescent="0.3">
      <c r="H6320" s="74">
        <v>15</v>
      </c>
      <c r="K6320" s="55" t="s">
        <v>33</v>
      </c>
      <c r="L6320" s="60" t="s">
        <v>1975</v>
      </c>
    </row>
    <row r="6321" spans="1:12" x14ac:dyDescent="0.3">
      <c r="H6321" s="74">
        <v>20</v>
      </c>
      <c r="K6321" s="55" t="s">
        <v>34</v>
      </c>
      <c r="L6321" s="60" t="s">
        <v>149</v>
      </c>
    </row>
    <row r="6322" spans="1:12" x14ac:dyDescent="0.3">
      <c r="H6322" s="74">
        <v>10</v>
      </c>
      <c r="K6322" s="55" t="s">
        <v>33</v>
      </c>
      <c r="L6322" s="60" t="s">
        <v>1977</v>
      </c>
    </row>
    <row r="6323" spans="1:12" x14ac:dyDescent="0.3">
      <c r="H6323" s="74">
        <v>20</v>
      </c>
      <c r="K6323" s="55" t="s">
        <v>30</v>
      </c>
    </row>
    <row r="6324" spans="1:12" x14ac:dyDescent="0.3">
      <c r="H6324" s="74">
        <v>40</v>
      </c>
      <c r="K6324" s="55" t="s">
        <v>32</v>
      </c>
      <c r="L6324" s="60" t="s">
        <v>444</v>
      </c>
    </row>
    <row r="6325" spans="1:12" x14ac:dyDescent="0.3">
      <c r="H6325" s="74">
        <v>50</v>
      </c>
      <c r="K6325" s="55" t="s">
        <v>55</v>
      </c>
      <c r="L6325" s="60" t="s">
        <v>1978</v>
      </c>
    </row>
    <row r="6327" spans="1:12" x14ac:dyDescent="0.3">
      <c r="A6327" s="72" t="s">
        <v>1969</v>
      </c>
      <c r="B6327" s="55" t="s">
        <v>12</v>
      </c>
      <c r="C6327" s="67" t="s">
        <v>48</v>
      </c>
      <c r="D6327" s="55" t="s">
        <v>52</v>
      </c>
      <c r="E6327" s="19">
        <v>176.33</v>
      </c>
      <c r="F6327" s="19">
        <v>6.5</v>
      </c>
      <c r="G6327" s="55" t="s">
        <v>11</v>
      </c>
      <c r="H6327" s="74">
        <v>10</v>
      </c>
      <c r="K6327" s="55" t="s">
        <v>25</v>
      </c>
    </row>
    <row r="6328" spans="1:12" x14ac:dyDescent="0.3">
      <c r="H6328" s="74">
        <v>10</v>
      </c>
      <c r="K6328" s="55" t="s">
        <v>84</v>
      </c>
    </row>
    <row r="6329" spans="1:12" x14ac:dyDescent="0.3">
      <c r="H6329" s="74">
        <v>80</v>
      </c>
      <c r="K6329" s="55" t="s">
        <v>96</v>
      </c>
    </row>
    <row r="6330" spans="1:12" x14ac:dyDescent="0.3">
      <c r="H6330" s="74">
        <v>10</v>
      </c>
      <c r="K6330" s="55" t="s">
        <v>33</v>
      </c>
      <c r="L6330" s="60" t="s">
        <v>1980</v>
      </c>
    </row>
    <row r="6331" spans="1:12" x14ac:dyDescent="0.3">
      <c r="H6331" s="74">
        <v>210</v>
      </c>
      <c r="K6331" s="55" t="s">
        <v>33</v>
      </c>
      <c r="L6331" s="60" t="s">
        <v>1979</v>
      </c>
    </row>
    <row r="6332" spans="1:12" x14ac:dyDescent="0.3">
      <c r="H6332" s="74">
        <v>20</v>
      </c>
      <c r="K6332" s="55" t="s">
        <v>55</v>
      </c>
      <c r="L6332" s="60" t="s">
        <v>1959</v>
      </c>
    </row>
    <row r="6333" spans="1:12" x14ac:dyDescent="0.3">
      <c r="H6333" s="74">
        <v>20</v>
      </c>
      <c r="K6333" s="55" t="s">
        <v>15</v>
      </c>
      <c r="L6333" s="60" t="s">
        <v>1958</v>
      </c>
    </row>
    <row r="6334" spans="1:12" x14ac:dyDescent="0.3">
      <c r="H6334" s="74">
        <v>30</v>
      </c>
      <c r="K6334" s="55" t="s">
        <v>30</v>
      </c>
      <c r="L6334" s="60" t="s">
        <v>233</v>
      </c>
    </row>
    <row r="6335" spans="1:12" x14ac:dyDescent="0.3">
      <c r="H6335" s="74">
        <v>20</v>
      </c>
      <c r="K6335" s="55" t="s">
        <v>32</v>
      </c>
      <c r="L6335" s="60" t="s">
        <v>1282</v>
      </c>
    </row>
    <row r="6337" spans="1:13" x14ac:dyDescent="0.3">
      <c r="A6337" s="72" t="s">
        <v>1981</v>
      </c>
      <c r="B6337" s="55" t="s">
        <v>0</v>
      </c>
      <c r="C6337" s="110" t="s">
        <v>1983</v>
      </c>
      <c r="D6337" s="55" t="s">
        <v>50</v>
      </c>
      <c r="E6337" s="19">
        <v>223.51</v>
      </c>
      <c r="F6337" s="19">
        <v>7</v>
      </c>
      <c r="G6337" s="55" t="s">
        <v>11</v>
      </c>
      <c r="H6337" s="74">
        <v>10</v>
      </c>
      <c r="K6337" s="55" t="s">
        <v>25</v>
      </c>
    </row>
    <row r="6338" spans="1:13" x14ac:dyDescent="0.3">
      <c r="H6338" s="74">
        <v>10</v>
      </c>
      <c r="K6338" s="55" t="s">
        <v>84</v>
      </c>
    </row>
    <row r="6339" spans="1:13" x14ac:dyDescent="0.3">
      <c r="H6339" s="74">
        <v>30</v>
      </c>
      <c r="K6339" s="55" t="s">
        <v>33</v>
      </c>
      <c r="L6339" s="60" t="s">
        <v>1982</v>
      </c>
    </row>
    <row r="6340" spans="1:13" x14ac:dyDescent="0.3">
      <c r="H6340" s="74">
        <v>110</v>
      </c>
      <c r="K6340" s="55" t="s">
        <v>96</v>
      </c>
      <c r="L6340" s="1"/>
      <c r="M6340" s="1" t="s">
        <v>1974</v>
      </c>
    </row>
    <row r="6341" spans="1:13" x14ac:dyDescent="0.3">
      <c r="H6341" s="74">
        <v>60</v>
      </c>
      <c r="K6341" s="55" t="s">
        <v>32</v>
      </c>
      <c r="L6341" s="60" t="s">
        <v>1986</v>
      </c>
    </row>
    <row r="6342" spans="1:13" x14ac:dyDescent="0.3">
      <c r="H6342" s="74">
        <v>30</v>
      </c>
      <c r="K6342" s="55" t="s">
        <v>33</v>
      </c>
      <c r="L6342" s="60" t="s">
        <v>1985</v>
      </c>
    </row>
    <row r="6343" spans="1:13" x14ac:dyDescent="0.3">
      <c r="H6343" s="74">
        <v>30</v>
      </c>
      <c r="K6343" s="55" t="s">
        <v>55</v>
      </c>
      <c r="L6343" s="60" t="s">
        <v>1984</v>
      </c>
    </row>
    <row r="6344" spans="1:13" x14ac:dyDescent="0.3">
      <c r="H6344" s="74">
        <v>30</v>
      </c>
      <c r="K6344" s="55" t="s">
        <v>34</v>
      </c>
      <c r="L6344" s="60" t="s">
        <v>149</v>
      </c>
    </row>
    <row r="6345" spans="1:13" x14ac:dyDescent="0.3">
      <c r="H6345" s="74">
        <v>40</v>
      </c>
      <c r="K6345" s="55" t="s">
        <v>34</v>
      </c>
      <c r="L6345" s="60" t="s">
        <v>1950</v>
      </c>
    </row>
    <row r="6346" spans="1:13" x14ac:dyDescent="0.3">
      <c r="H6346" s="74">
        <v>30</v>
      </c>
      <c r="K6346" s="55" t="s">
        <v>30</v>
      </c>
      <c r="L6346" s="60" t="s">
        <v>233</v>
      </c>
    </row>
    <row r="6348" spans="1:13" x14ac:dyDescent="0.3">
      <c r="A6348" s="72" t="s">
        <v>1981</v>
      </c>
      <c r="B6348" s="55" t="s">
        <v>10</v>
      </c>
      <c r="C6348" s="67" t="s">
        <v>188</v>
      </c>
      <c r="D6348" s="55" t="s">
        <v>51</v>
      </c>
      <c r="E6348" s="19">
        <v>125.12</v>
      </c>
      <c r="F6348" s="19">
        <v>4</v>
      </c>
      <c r="G6348" s="55" t="s">
        <v>11</v>
      </c>
      <c r="H6348" s="74">
        <v>10</v>
      </c>
      <c r="K6348" s="55" t="s">
        <v>25</v>
      </c>
    </row>
    <row r="6349" spans="1:13" x14ac:dyDescent="0.3">
      <c r="H6349" s="74">
        <v>10</v>
      </c>
      <c r="K6349" s="55" t="s">
        <v>84</v>
      </c>
    </row>
    <row r="6350" spans="1:13" x14ac:dyDescent="0.3">
      <c r="H6350" s="74">
        <v>80</v>
      </c>
      <c r="K6350" s="55" t="s">
        <v>55</v>
      </c>
      <c r="L6350" s="60" t="s">
        <v>1989</v>
      </c>
    </row>
    <row r="6351" spans="1:13" x14ac:dyDescent="0.3">
      <c r="H6351" s="74">
        <v>60</v>
      </c>
      <c r="K6351" s="55" t="s">
        <v>96</v>
      </c>
    </row>
    <row r="6352" spans="1:13" x14ac:dyDescent="0.3">
      <c r="H6352" s="74">
        <v>60</v>
      </c>
      <c r="K6352" s="55" t="s">
        <v>34</v>
      </c>
      <c r="L6352" s="60" t="s">
        <v>1987</v>
      </c>
    </row>
    <row r="6353" spans="1:12" x14ac:dyDescent="0.3">
      <c r="H6353" s="74">
        <v>40</v>
      </c>
      <c r="K6353" s="55" t="s">
        <v>32</v>
      </c>
      <c r="L6353" s="60" t="s">
        <v>460</v>
      </c>
    </row>
    <row r="6354" spans="1:12" x14ac:dyDescent="0.3">
      <c r="H6354" s="74">
        <v>30</v>
      </c>
      <c r="K6354" s="55" t="s">
        <v>30</v>
      </c>
      <c r="L6354" s="60" t="s">
        <v>324</v>
      </c>
    </row>
    <row r="6355" spans="1:12" x14ac:dyDescent="0.3">
      <c r="H6355" s="74">
        <v>20</v>
      </c>
      <c r="K6355" s="55" t="s">
        <v>34</v>
      </c>
      <c r="L6355" s="60" t="s">
        <v>149</v>
      </c>
    </row>
    <row r="6356" spans="1:12" x14ac:dyDescent="0.3">
      <c r="H6356" s="74">
        <v>50</v>
      </c>
      <c r="K6356" s="55" t="s">
        <v>34</v>
      </c>
      <c r="L6356" s="60" t="s">
        <v>1988</v>
      </c>
    </row>
    <row r="6357" spans="1:12" x14ac:dyDescent="0.3">
      <c r="H6357" s="74">
        <v>15</v>
      </c>
      <c r="K6357" s="55" t="s">
        <v>33</v>
      </c>
      <c r="L6357" s="60" t="s">
        <v>1990</v>
      </c>
    </row>
    <row r="6358" spans="1:12" x14ac:dyDescent="0.3">
      <c r="H6358" s="74">
        <v>30</v>
      </c>
      <c r="K6358" s="55" t="s">
        <v>32</v>
      </c>
      <c r="L6358" s="60" t="s">
        <v>1991</v>
      </c>
    </row>
    <row r="6359" spans="1:12" x14ac:dyDescent="0.3">
      <c r="H6359" s="74">
        <v>10</v>
      </c>
      <c r="K6359" s="55" t="s">
        <v>55</v>
      </c>
      <c r="L6359" s="60" t="s">
        <v>607</v>
      </c>
    </row>
    <row r="6361" spans="1:12" x14ac:dyDescent="0.3">
      <c r="A6361" s="72" t="s">
        <v>1981</v>
      </c>
      <c r="B6361" s="55" t="s">
        <v>12</v>
      </c>
      <c r="C6361" s="67" t="s">
        <v>48</v>
      </c>
      <c r="D6361" s="55" t="s">
        <v>52</v>
      </c>
      <c r="E6361" s="19">
        <v>237.01</v>
      </c>
      <c r="F6361" s="19">
        <v>9</v>
      </c>
      <c r="G6361" s="55" t="s">
        <v>11</v>
      </c>
      <c r="H6361" s="74">
        <v>10</v>
      </c>
      <c r="K6361" s="55" t="s">
        <v>25</v>
      </c>
    </row>
    <row r="6362" spans="1:12" x14ac:dyDescent="0.3">
      <c r="H6362" s="74">
        <v>10</v>
      </c>
      <c r="K6362" s="55" t="s">
        <v>84</v>
      </c>
    </row>
    <row r="6363" spans="1:12" x14ac:dyDescent="0.3">
      <c r="H6363" s="74">
        <v>110</v>
      </c>
      <c r="K6363" s="55" t="s">
        <v>96</v>
      </c>
    </row>
    <row r="6364" spans="1:12" x14ac:dyDescent="0.3">
      <c r="H6364" s="74">
        <v>30</v>
      </c>
      <c r="K6364" s="55" t="s">
        <v>33</v>
      </c>
      <c r="L6364" s="60" t="s">
        <v>1992</v>
      </c>
    </row>
    <row r="6365" spans="1:12" x14ac:dyDescent="0.3">
      <c r="H6365" s="74">
        <v>40</v>
      </c>
      <c r="K6365" s="55" t="s">
        <v>32</v>
      </c>
      <c r="L6365" s="60" t="s">
        <v>472</v>
      </c>
    </row>
    <row r="6366" spans="1:12" x14ac:dyDescent="0.3">
      <c r="H6366" s="74">
        <v>30</v>
      </c>
      <c r="K6366" s="55" t="s">
        <v>30</v>
      </c>
      <c r="L6366" s="60" t="s">
        <v>1993</v>
      </c>
    </row>
    <row r="6367" spans="1:12" x14ac:dyDescent="0.3">
      <c r="H6367" s="74">
        <v>30</v>
      </c>
      <c r="K6367" s="55" t="s">
        <v>32</v>
      </c>
      <c r="L6367" s="60" t="s">
        <v>1266</v>
      </c>
    </row>
    <row r="6368" spans="1:12" x14ac:dyDescent="0.3">
      <c r="H6368" s="74">
        <v>20</v>
      </c>
      <c r="K6368" s="55" t="s">
        <v>34</v>
      </c>
      <c r="L6368" s="60" t="s">
        <v>1994</v>
      </c>
    </row>
    <row r="6369" spans="1:13" x14ac:dyDescent="0.3">
      <c r="H6369" s="74">
        <v>40</v>
      </c>
      <c r="K6369" s="55" t="s">
        <v>34</v>
      </c>
      <c r="L6369" s="60" t="s">
        <v>343</v>
      </c>
    </row>
    <row r="6370" spans="1:13" x14ac:dyDescent="0.3">
      <c r="H6370" s="74">
        <v>30</v>
      </c>
      <c r="K6370" s="55" t="s">
        <v>34</v>
      </c>
      <c r="L6370" s="60" t="s">
        <v>1995</v>
      </c>
    </row>
    <row r="6372" spans="1:13" x14ac:dyDescent="0.3">
      <c r="A6372" s="72" t="s">
        <v>1996</v>
      </c>
      <c r="B6372" s="55" t="s">
        <v>0</v>
      </c>
      <c r="C6372" s="110" t="s">
        <v>1983</v>
      </c>
      <c r="D6372" s="55" t="s">
        <v>50</v>
      </c>
      <c r="E6372" s="19">
        <v>231.57</v>
      </c>
      <c r="F6372" s="19">
        <v>7</v>
      </c>
      <c r="G6372" s="55" t="s">
        <v>11</v>
      </c>
      <c r="H6372" s="74">
        <v>10</v>
      </c>
      <c r="K6372" s="55" t="s">
        <v>25</v>
      </c>
    </row>
    <row r="6373" spans="1:13" x14ac:dyDescent="0.3">
      <c r="H6373" s="74">
        <v>10</v>
      </c>
      <c r="K6373" s="55" t="s">
        <v>84</v>
      </c>
    </row>
    <row r="6374" spans="1:13" x14ac:dyDescent="0.3">
      <c r="H6374" s="74">
        <v>120</v>
      </c>
      <c r="K6374" s="55" t="s">
        <v>96</v>
      </c>
      <c r="M6374" s="1" t="s">
        <v>2000</v>
      </c>
    </row>
    <row r="6375" spans="1:13" x14ac:dyDescent="0.3">
      <c r="H6375" s="74">
        <v>80</v>
      </c>
      <c r="K6375" s="55" t="s">
        <v>32</v>
      </c>
      <c r="L6375" s="60" t="s">
        <v>1997</v>
      </c>
      <c r="M6375" s="1" t="s">
        <v>1999</v>
      </c>
    </row>
    <row r="6376" spans="1:13" x14ac:dyDescent="0.3">
      <c r="H6376" s="74">
        <v>20</v>
      </c>
      <c r="K6376" s="55" t="s">
        <v>32</v>
      </c>
      <c r="L6376" s="60" t="s">
        <v>2001</v>
      </c>
    </row>
    <row r="6377" spans="1:13" x14ac:dyDescent="0.3">
      <c r="H6377" s="74">
        <v>30</v>
      </c>
      <c r="K6377" s="55" t="s">
        <v>34</v>
      </c>
      <c r="L6377" s="60" t="s">
        <v>253</v>
      </c>
    </row>
    <row r="6378" spans="1:13" x14ac:dyDescent="0.3">
      <c r="H6378" s="74">
        <v>40</v>
      </c>
      <c r="K6378" s="55" t="s">
        <v>34</v>
      </c>
      <c r="L6378" s="60" t="s">
        <v>794</v>
      </c>
    </row>
    <row r="6379" spans="1:13" x14ac:dyDescent="0.3">
      <c r="H6379" s="74">
        <v>20</v>
      </c>
      <c r="K6379" s="55" t="s">
        <v>102</v>
      </c>
    </row>
    <row r="6380" spans="1:13" x14ac:dyDescent="0.3">
      <c r="H6380" s="74">
        <v>10</v>
      </c>
      <c r="K6380" s="55" t="s">
        <v>33</v>
      </c>
      <c r="L6380" s="60" t="s">
        <v>1998</v>
      </c>
    </row>
    <row r="6381" spans="1:13" x14ac:dyDescent="0.3">
      <c r="H6381" s="74">
        <v>20</v>
      </c>
      <c r="K6381" s="55" t="s">
        <v>34</v>
      </c>
      <c r="L6381" s="60" t="s">
        <v>379</v>
      </c>
    </row>
    <row r="6382" spans="1:13" x14ac:dyDescent="0.3">
      <c r="H6382" s="74">
        <v>30</v>
      </c>
      <c r="K6382" s="55" t="s">
        <v>30</v>
      </c>
      <c r="L6382" s="60" t="s">
        <v>1993</v>
      </c>
    </row>
    <row r="6384" spans="1:13" x14ac:dyDescent="0.3">
      <c r="A6384" s="72" t="s">
        <v>1996</v>
      </c>
      <c r="B6384" s="55" t="s">
        <v>10</v>
      </c>
      <c r="C6384" s="67" t="s">
        <v>188</v>
      </c>
      <c r="D6384" s="55" t="s">
        <v>51</v>
      </c>
      <c r="E6384" s="19">
        <v>129.13999999999999</v>
      </c>
      <c r="F6384" s="19">
        <v>4</v>
      </c>
      <c r="G6384" s="55" t="s">
        <v>11</v>
      </c>
      <c r="H6384" s="74">
        <v>10</v>
      </c>
      <c r="K6384" s="55" t="s">
        <v>25</v>
      </c>
    </row>
    <row r="6385" spans="1:13" x14ac:dyDescent="0.3">
      <c r="H6385" s="74">
        <v>10</v>
      </c>
      <c r="K6385" s="55" t="s">
        <v>84</v>
      </c>
    </row>
    <row r="6386" spans="1:13" x14ac:dyDescent="0.3">
      <c r="H6386" s="74">
        <v>60</v>
      </c>
      <c r="K6386" s="55" t="s">
        <v>96</v>
      </c>
      <c r="M6386" s="1" t="s">
        <v>2000</v>
      </c>
    </row>
    <row r="6387" spans="1:13" x14ac:dyDescent="0.3">
      <c r="H6387" s="74">
        <v>30</v>
      </c>
      <c r="K6387" s="55" t="s">
        <v>34</v>
      </c>
      <c r="L6387" s="60" t="s">
        <v>253</v>
      </c>
    </row>
    <row r="6388" spans="1:13" x14ac:dyDescent="0.3">
      <c r="H6388" s="74">
        <v>40</v>
      </c>
      <c r="K6388" s="55" t="s">
        <v>34</v>
      </c>
      <c r="L6388" s="60" t="s">
        <v>794</v>
      </c>
    </row>
    <row r="6389" spans="1:13" x14ac:dyDescent="0.3">
      <c r="H6389" s="74">
        <v>30</v>
      </c>
      <c r="K6389" s="55" t="s">
        <v>32</v>
      </c>
      <c r="L6389" s="60" t="s">
        <v>2002</v>
      </c>
    </row>
    <row r="6390" spans="1:13" x14ac:dyDescent="0.3">
      <c r="H6390" s="74">
        <v>20</v>
      </c>
      <c r="K6390" s="55" t="s">
        <v>55</v>
      </c>
      <c r="L6390" s="60" t="s">
        <v>2003</v>
      </c>
    </row>
    <row r="6391" spans="1:13" x14ac:dyDescent="0.3">
      <c r="H6391" s="74">
        <v>200</v>
      </c>
      <c r="K6391" s="55" t="s">
        <v>33</v>
      </c>
      <c r="L6391" s="60" t="s">
        <v>2004</v>
      </c>
    </row>
    <row r="6392" spans="1:13" x14ac:dyDescent="0.3">
      <c r="H6392" s="74">
        <v>20</v>
      </c>
      <c r="K6392" s="55" t="s">
        <v>30</v>
      </c>
      <c r="L6392" s="60" t="s">
        <v>355</v>
      </c>
    </row>
    <row r="6393" spans="1:13" x14ac:dyDescent="0.3">
      <c r="H6393" s="74">
        <v>20</v>
      </c>
      <c r="K6393" s="55" t="s">
        <v>55</v>
      </c>
      <c r="L6393" s="60" t="s">
        <v>1818</v>
      </c>
    </row>
    <row r="6395" spans="1:13" x14ac:dyDescent="0.3">
      <c r="A6395" s="72" t="s">
        <v>1996</v>
      </c>
      <c r="B6395" s="55" t="s">
        <v>12</v>
      </c>
      <c r="C6395" s="67" t="s">
        <v>46</v>
      </c>
      <c r="D6395" s="55" t="s">
        <v>52</v>
      </c>
      <c r="E6395" s="19">
        <v>220.01</v>
      </c>
      <c r="F6395" s="19">
        <v>7</v>
      </c>
      <c r="G6395" s="55" t="s">
        <v>11</v>
      </c>
      <c r="H6395" s="74">
        <v>10</v>
      </c>
      <c r="K6395" s="55" t="s">
        <v>25</v>
      </c>
    </row>
    <row r="6396" spans="1:13" x14ac:dyDescent="0.3">
      <c r="H6396" s="74">
        <v>10</v>
      </c>
      <c r="K6396" s="55" t="s">
        <v>84</v>
      </c>
    </row>
    <row r="6397" spans="1:13" x14ac:dyDescent="0.3">
      <c r="H6397" s="74">
        <v>90</v>
      </c>
      <c r="K6397" s="55" t="s">
        <v>96</v>
      </c>
    </row>
    <row r="6398" spans="1:13" x14ac:dyDescent="0.3">
      <c r="H6398" s="74">
        <v>20</v>
      </c>
      <c r="K6398" s="55" t="s">
        <v>102</v>
      </c>
    </row>
    <row r="6399" spans="1:13" x14ac:dyDescent="0.3">
      <c r="H6399" s="74">
        <v>100</v>
      </c>
      <c r="K6399" s="55" t="s">
        <v>32</v>
      </c>
      <c r="L6399" s="60" t="s">
        <v>2006</v>
      </c>
    </row>
    <row r="6400" spans="1:13" x14ac:dyDescent="0.3">
      <c r="H6400" s="74">
        <v>60</v>
      </c>
      <c r="K6400" s="55" t="s">
        <v>32</v>
      </c>
      <c r="L6400" s="60" t="s">
        <v>956</v>
      </c>
    </row>
    <row r="6401" spans="1:13" x14ac:dyDescent="0.3">
      <c r="H6401" s="74">
        <v>40</v>
      </c>
      <c r="K6401" s="55" t="s">
        <v>34</v>
      </c>
      <c r="L6401" s="60" t="s">
        <v>149</v>
      </c>
    </row>
    <row r="6402" spans="1:13" x14ac:dyDescent="0.3">
      <c r="H6402" s="74">
        <v>30</v>
      </c>
      <c r="K6402" s="55" t="s">
        <v>34</v>
      </c>
      <c r="L6402" s="60" t="s">
        <v>331</v>
      </c>
    </row>
    <row r="6403" spans="1:13" x14ac:dyDescent="0.3">
      <c r="H6403" s="74">
        <v>20</v>
      </c>
      <c r="K6403" s="55" t="s">
        <v>30</v>
      </c>
      <c r="L6403" s="60" t="s">
        <v>2005</v>
      </c>
    </row>
    <row r="6405" spans="1:13" x14ac:dyDescent="0.3">
      <c r="A6405" s="72" t="s">
        <v>2008</v>
      </c>
      <c r="B6405" s="55" t="s">
        <v>0</v>
      </c>
      <c r="C6405" s="110" t="s">
        <v>1983</v>
      </c>
      <c r="D6405" s="38" t="s">
        <v>2007</v>
      </c>
      <c r="E6405" s="19">
        <v>207.55</v>
      </c>
      <c r="F6405" s="19">
        <v>6.5</v>
      </c>
      <c r="G6405" s="55" t="s">
        <v>11</v>
      </c>
      <c r="H6405" s="74">
        <v>10</v>
      </c>
      <c r="K6405" s="55" t="s">
        <v>25</v>
      </c>
    </row>
    <row r="6406" spans="1:13" x14ac:dyDescent="0.3">
      <c r="H6406" s="74">
        <v>10</v>
      </c>
      <c r="K6406" s="55" t="s">
        <v>84</v>
      </c>
    </row>
    <row r="6407" spans="1:13" x14ac:dyDescent="0.3">
      <c r="H6407" s="74">
        <v>90</v>
      </c>
      <c r="K6407" s="55" t="s">
        <v>96</v>
      </c>
    </row>
    <row r="6408" spans="1:13" x14ac:dyDescent="0.3">
      <c r="H6408" s="74">
        <v>60</v>
      </c>
      <c r="K6408" s="55" t="s">
        <v>32</v>
      </c>
      <c r="L6408" s="60" t="s">
        <v>283</v>
      </c>
      <c r="M6408" s="1" t="s">
        <v>2009</v>
      </c>
    </row>
    <row r="6409" spans="1:13" x14ac:dyDescent="0.3">
      <c r="H6409" s="74">
        <v>30</v>
      </c>
      <c r="K6409" s="55" t="s">
        <v>32</v>
      </c>
      <c r="L6409" s="60" t="s">
        <v>2010</v>
      </c>
    </row>
    <row r="6410" spans="1:13" x14ac:dyDescent="0.3">
      <c r="H6410" s="74">
        <v>40</v>
      </c>
      <c r="K6410" s="55" t="s">
        <v>30</v>
      </c>
      <c r="L6410" s="60" t="s">
        <v>348</v>
      </c>
    </row>
    <row r="6411" spans="1:13" x14ac:dyDescent="0.3">
      <c r="H6411" s="74">
        <v>20</v>
      </c>
      <c r="K6411" s="55" t="s">
        <v>102</v>
      </c>
    </row>
    <row r="6412" spans="1:13" x14ac:dyDescent="0.3">
      <c r="H6412" s="74">
        <v>25</v>
      </c>
      <c r="K6412" s="55" t="s">
        <v>34</v>
      </c>
      <c r="L6412" s="60" t="s">
        <v>253</v>
      </c>
    </row>
    <row r="6413" spans="1:13" x14ac:dyDescent="0.3">
      <c r="H6413" s="74">
        <v>45</v>
      </c>
      <c r="K6413" s="55" t="s">
        <v>34</v>
      </c>
      <c r="L6413" s="60" t="s">
        <v>2012</v>
      </c>
    </row>
    <row r="6414" spans="1:13" x14ac:dyDescent="0.3">
      <c r="H6414" s="74">
        <v>45</v>
      </c>
      <c r="K6414" s="55" t="s">
        <v>32</v>
      </c>
      <c r="L6414" s="60" t="s">
        <v>2011</v>
      </c>
    </row>
    <row r="6415" spans="1:13" x14ac:dyDescent="0.3">
      <c r="H6415" s="74">
        <v>20</v>
      </c>
      <c r="K6415" s="55" t="s">
        <v>32</v>
      </c>
      <c r="L6415" s="60" t="s">
        <v>419</v>
      </c>
    </row>
    <row r="6417" spans="1:12" x14ac:dyDescent="0.3">
      <c r="A6417" s="72" t="s">
        <v>2008</v>
      </c>
      <c r="B6417" s="55" t="s">
        <v>10</v>
      </c>
      <c r="D6417" s="55" t="s">
        <v>51</v>
      </c>
      <c r="E6417" s="19">
        <v>283.47000000000003</v>
      </c>
      <c r="F6417" s="19">
        <v>7.5</v>
      </c>
      <c r="G6417" s="55" t="s">
        <v>11</v>
      </c>
      <c r="H6417" s="74">
        <v>10</v>
      </c>
      <c r="K6417" s="55" t="s">
        <v>25</v>
      </c>
    </row>
    <row r="6418" spans="1:12" x14ac:dyDescent="0.3">
      <c r="H6418" s="74">
        <v>10</v>
      </c>
      <c r="K6418" s="55" t="s">
        <v>84</v>
      </c>
    </row>
    <row r="6419" spans="1:12" x14ac:dyDescent="0.3">
      <c r="H6419" s="74">
        <v>100</v>
      </c>
      <c r="K6419" s="55" t="s">
        <v>96</v>
      </c>
    </row>
    <row r="6420" spans="1:12" x14ac:dyDescent="0.3">
      <c r="H6420" s="74">
        <v>40</v>
      </c>
      <c r="K6420" s="55" t="s">
        <v>32</v>
      </c>
      <c r="L6420" s="60" t="s">
        <v>460</v>
      </c>
    </row>
    <row r="6421" spans="1:12" x14ac:dyDescent="0.3">
      <c r="H6421" s="74">
        <v>20</v>
      </c>
      <c r="K6421" s="55" t="s">
        <v>102</v>
      </c>
    </row>
    <row r="6422" spans="1:12" x14ac:dyDescent="0.3">
      <c r="H6422" s="74">
        <v>30</v>
      </c>
      <c r="K6422" s="55" t="s">
        <v>34</v>
      </c>
      <c r="L6422" s="60" t="s">
        <v>149</v>
      </c>
    </row>
    <row r="6423" spans="1:12" x14ac:dyDescent="0.3">
      <c r="H6423" s="74">
        <v>50</v>
      </c>
      <c r="K6423" s="55" t="s">
        <v>34</v>
      </c>
      <c r="L6423" s="60" t="s">
        <v>2013</v>
      </c>
    </row>
    <row r="6424" spans="1:12" x14ac:dyDescent="0.3">
      <c r="H6424" s="74">
        <v>30</v>
      </c>
      <c r="K6424" s="55" t="s">
        <v>55</v>
      </c>
      <c r="L6424" s="60" t="s">
        <v>2014</v>
      </c>
    </row>
    <row r="6425" spans="1:12" x14ac:dyDescent="0.3">
      <c r="H6425" s="74">
        <v>50</v>
      </c>
      <c r="K6425" s="55" t="s">
        <v>30</v>
      </c>
      <c r="L6425" s="60" t="s">
        <v>685</v>
      </c>
    </row>
    <row r="6426" spans="1:12" x14ac:dyDescent="0.3">
      <c r="H6426" s="74">
        <v>15</v>
      </c>
      <c r="K6426" s="55" t="s">
        <v>55</v>
      </c>
      <c r="L6426" s="60" t="s">
        <v>303</v>
      </c>
    </row>
    <row r="6428" spans="1:12" x14ac:dyDescent="0.3">
      <c r="A6428" s="72" t="s">
        <v>2008</v>
      </c>
      <c r="B6428" s="55" t="s">
        <v>12</v>
      </c>
      <c r="C6428" s="67" t="s">
        <v>46</v>
      </c>
      <c r="D6428" s="55" t="s">
        <v>52</v>
      </c>
      <c r="E6428" s="19">
        <v>305.27</v>
      </c>
      <c r="F6428" s="19">
        <v>8</v>
      </c>
      <c r="G6428" s="55" t="s">
        <v>11</v>
      </c>
      <c r="H6428" s="74">
        <v>10</v>
      </c>
      <c r="K6428" s="55" t="s">
        <v>25</v>
      </c>
    </row>
    <row r="6429" spans="1:12" x14ac:dyDescent="0.3">
      <c r="H6429" s="74">
        <v>10</v>
      </c>
      <c r="K6429" s="55" t="s">
        <v>84</v>
      </c>
    </row>
    <row r="6430" spans="1:12" x14ac:dyDescent="0.3">
      <c r="H6430" s="74">
        <v>100</v>
      </c>
      <c r="K6430" s="55" t="s">
        <v>96</v>
      </c>
    </row>
    <row r="6431" spans="1:12" x14ac:dyDescent="0.3">
      <c r="H6431" s="74">
        <v>20</v>
      </c>
      <c r="K6431" s="55" t="s">
        <v>102</v>
      </c>
    </row>
    <row r="6432" spans="1:12" x14ac:dyDescent="0.3">
      <c r="H6432" s="74">
        <v>100</v>
      </c>
      <c r="K6432" s="55" t="s">
        <v>32</v>
      </c>
      <c r="L6432" s="60" t="s">
        <v>2006</v>
      </c>
    </row>
    <row r="6433" spans="1:12" x14ac:dyDescent="0.3">
      <c r="H6433" s="74">
        <v>40</v>
      </c>
      <c r="K6433" s="55" t="s">
        <v>32</v>
      </c>
      <c r="L6433" s="60" t="s">
        <v>2015</v>
      </c>
    </row>
    <row r="6434" spans="1:12" x14ac:dyDescent="0.3">
      <c r="H6434" s="74">
        <v>40</v>
      </c>
      <c r="K6434" s="55" t="s">
        <v>34</v>
      </c>
      <c r="L6434" s="60" t="s">
        <v>149</v>
      </c>
    </row>
    <row r="6435" spans="1:12" x14ac:dyDescent="0.3">
      <c r="H6435" s="74">
        <v>30</v>
      </c>
      <c r="K6435" s="55" t="s">
        <v>34</v>
      </c>
      <c r="L6435" s="60" t="s">
        <v>331</v>
      </c>
    </row>
    <row r="6436" spans="1:12" x14ac:dyDescent="0.3">
      <c r="H6436" s="74">
        <v>20</v>
      </c>
      <c r="K6436" s="55" t="s">
        <v>30</v>
      </c>
      <c r="L6436" s="60" t="s">
        <v>2005</v>
      </c>
    </row>
    <row r="6437" spans="1:12" x14ac:dyDescent="0.3">
      <c r="H6437" s="74">
        <v>30</v>
      </c>
      <c r="K6437" s="55" t="s">
        <v>55</v>
      </c>
      <c r="L6437" s="60" t="s">
        <v>2016</v>
      </c>
    </row>
    <row r="6439" spans="1:12" x14ac:dyDescent="0.3">
      <c r="A6439" s="72" t="s">
        <v>2017</v>
      </c>
      <c r="B6439" s="55" t="s">
        <v>0</v>
      </c>
      <c r="C6439" s="110" t="s">
        <v>1983</v>
      </c>
      <c r="D6439" s="38" t="s">
        <v>2007</v>
      </c>
      <c r="E6439" s="19">
        <v>179.32</v>
      </c>
      <c r="F6439" s="19">
        <v>5</v>
      </c>
      <c r="G6439" s="55" t="s">
        <v>11</v>
      </c>
      <c r="H6439" s="74">
        <v>10</v>
      </c>
      <c r="K6439" s="55" t="s">
        <v>25</v>
      </c>
    </row>
    <row r="6440" spans="1:12" x14ac:dyDescent="0.3">
      <c r="H6440" s="74">
        <v>10</v>
      </c>
      <c r="K6440" s="55" t="s">
        <v>84</v>
      </c>
    </row>
    <row r="6441" spans="1:12" x14ac:dyDescent="0.3">
      <c r="H6441" s="74">
        <v>80</v>
      </c>
      <c r="K6441" s="55" t="s">
        <v>96</v>
      </c>
    </row>
    <row r="6442" spans="1:12" x14ac:dyDescent="0.3">
      <c r="H6442" s="74">
        <v>60</v>
      </c>
      <c r="K6442" s="55" t="s">
        <v>32</v>
      </c>
      <c r="L6442" s="60" t="s">
        <v>2019</v>
      </c>
    </row>
    <row r="6443" spans="1:12" x14ac:dyDescent="0.3">
      <c r="H6443" s="74">
        <v>60</v>
      </c>
      <c r="K6443" s="55" t="s">
        <v>33</v>
      </c>
      <c r="L6443" s="60" t="s">
        <v>2018</v>
      </c>
    </row>
    <row r="6444" spans="1:12" x14ac:dyDescent="0.3">
      <c r="H6444" s="74">
        <v>20</v>
      </c>
      <c r="K6444" s="55" t="s">
        <v>102</v>
      </c>
    </row>
    <row r="6445" spans="1:12" x14ac:dyDescent="0.3">
      <c r="H6445" s="74">
        <v>20</v>
      </c>
      <c r="K6445" s="55" t="s">
        <v>32</v>
      </c>
      <c r="L6445" s="60" t="s">
        <v>520</v>
      </c>
    </row>
    <row r="6446" spans="1:12" x14ac:dyDescent="0.3">
      <c r="H6446" s="74">
        <v>30</v>
      </c>
      <c r="K6446" s="55" t="s">
        <v>34</v>
      </c>
      <c r="L6446" s="60" t="s">
        <v>253</v>
      </c>
    </row>
    <row r="6447" spans="1:12" x14ac:dyDescent="0.3">
      <c r="H6447" s="74">
        <v>20</v>
      </c>
      <c r="K6447" s="55" t="s">
        <v>55</v>
      </c>
      <c r="L6447" s="60" t="s">
        <v>1818</v>
      </c>
    </row>
    <row r="6448" spans="1:12" x14ac:dyDescent="0.3">
      <c r="H6448" s="74">
        <v>50</v>
      </c>
      <c r="K6448" s="55" t="s">
        <v>34</v>
      </c>
      <c r="L6448" s="60" t="s">
        <v>2012</v>
      </c>
    </row>
    <row r="6449" spans="1:12" x14ac:dyDescent="0.3">
      <c r="H6449" s="74">
        <v>40</v>
      </c>
      <c r="K6449" s="55" t="s">
        <v>30</v>
      </c>
      <c r="L6449" s="60" t="s">
        <v>348</v>
      </c>
    </row>
    <row r="6453" spans="1:12" x14ac:dyDescent="0.3">
      <c r="A6453" s="72" t="s">
        <v>2017</v>
      </c>
      <c r="B6453" s="55" t="s">
        <v>10</v>
      </c>
      <c r="C6453" s="67" t="s">
        <v>188</v>
      </c>
      <c r="D6453" s="55" t="s">
        <v>51</v>
      </c>
      <c r="E6453" s="19">
        <v>201.6</v>
      </c>
      <c r="F6453" s="19">
        <v>7</v>
      </c>
      <c r="G6453" s="55" t="s">
        <v>11</v>
      </c>
      <c r="H6453" s="74">
        <v>10</v>
      </c>
      <c r="K6453" s="55" t="s">
        <v>25</v>
      </c>
    </row>
    <row r="6454" spans="1:12" x14ac:dyDescent="0.3">
      <c r="H6454" s="74">
        <v>10</v>
      </c>
      <c r="K6454" s="55" t="s">
        <v>84</v>
      </c>
    </row>
    <row r="6455" spans="1:12" x14ac:dyDescent="0.3">
      <c r="H6455" s="74">
        <v>100</v>
      </c>
      <c r="K6455" s="55" t="s">
        <v>96</v>
      </c>
    </row>
    <row r="6456" spans="1:12" x14ac:dyDescent="0.3">
      <c r="H6456" s="74">
        <v>70</v>
      </c>
      <c r="K6456" s="55" t="s">
        <v>32</v>
      </c>
      <c r="L6456" s="60" t="s">
        <v>503</v>
      </c>
    </row>
    <row r="6457" spans="1:12" x14ac:dyDescent="0.3">
      <c r="H6457" s="74">
        <v>20</v>
      </c>
      <c r="K6457" s="55" t="s">
        <v>102</v>
      </c>
    </row>
    <row r="6458" spans="1:12" x14ac:dyDescent="0.3">
      <c r="H6458" s="74">
        <v>30</v>
      </c>
      <c r="K6458" s="55" t="s">
        <v>34</v>
      </c>
      <c r="L6458" s="60" t="s">
        <v>149</v>
      </c>
    </row>
    <row r="6459" spans="1:12" x14ac:dyDescent="0.3">
      <c r="H6459" s="74">
        <v>45</v>
      </c>
      <c r="K6459" s="55" t="s">
        <v>34</v>
      </c>
      <c r="L6459" s="60" t="s">
        <v>2020</v>
      </c>
    </row>
    <row r="6460" spans="1:12" x14ac:dyDescent="0.3">
      <c r="H6460" s="74">
        <v>45</v>
      </c>
      <c r="K6460" s="55" t="s">
        <v>32</v>
      </c>
      <c r="L6460" s="60" t="s">
        <v>2021</v>
      </c>
    </row>
    <row r="6461" spans="1:12" x14ac:dyDescent="0.3">
      <c r="H6461" s="74">
        <v>20</v>
      </c>
      <c r="K6461" s="55" t="s">
        <v>55</v>
      </c>
      <c r="L6461" s="60" t="s">
        <v>2022</v>
      </c>
    </row>
    <row r="6462" spans="1:12" x14ac:dyDescent="0.3">
      <c r="H6462" s="74">
        <v>40</v>
      </c>
      <c r="K6462" s="55" t="s">
        <v>30</v>
      </c>
      <c r="L6462" s="60" t="s">
        <v>348</v>
      </c>
    </row>
    <row r="6464" spans="1:12" ht="23.25" x14ac:dyDescent="0.35">
      <c r="A6464" s="72" t="s">
        <v>2017</v>
      </c>
      <c r="B6464" s="39" t="s">
        <v>12</v>
      </c>
      <c r="C6464" s="67" t="s">
        <v>46</v>
      </c>
      <c r="D6464" s="55" t="s">
        <v>52</v>
      </c>
      <c r="E6464" s="19">
        <v>125.12</v>
      </c>
      <c r="F6464" s="19">
        <v>5</v>
      </c>
      <c r="G6464" s="55" t="s">
        <v>11</v>
      </c>
      <c r="H6464" s="74">
        <v>10</v>
      </c>
      <c r="K6464" s="55" t="s">
        <v>25</v>
      </c>
    </row>
    <row r="6465" spans="1:12" x14ac:dyDescent="0.3">
      <c r="H6465" s="74">
        <v>10</v>
      </c>
      <c r="K6465" s="55" t="s">
        <v>84</v>
      </c>
    </row>
    <row r="6466" spans="1:12" x14ac:dyDescent="0.3">
      <c r="H6466" s="74">
        <v>60</v>
      </c>
      <c r="K6466" s="55" t="s">
        <v>96</v>
      </c>
    </row>
    <row r="6467" spans="1:12" x14ac:dyDescent="0.3">
      <c r="H6467" s="74">
        <v>20</v>
      </c>
      <c r="K6467" s="55" t="s">
        <v>102</v>
      </c>
    </row>
    <row r="6468" spans="1:12" x14ac:dyDescent="0.3">
      <c r="H6468" s="74">
        <v>30</v>
      </c>
      <c r="K6468" s="55" t="s">
        <v>32</v>
      </c>
      <c r="L6468" s="60" t="s">
        <v>472</v>
      </c>
    </row>
    <row r="6469" spans="1:12" x14ac:dyDescent="0.3">
      <c r="H6469" s="74">
        <v>60</v>
      </c>
      <c r="K6469" s="55" t="s">
        <v>32</v>
      </c>
      <c r="L6469" s="60" t="s">
        <v>444</v>
      </c>
    </row>
    <row r="6470" spans="1:12" x14ac:dyDescent="0.3">
      <c r="H6470" s="74">
        <v>40</v>
      </c>
      <c r="K6470" s="55" t="s">
        <v>32</v>
      </c>
      <c r="L6470" s="60" t="s">
        <v>2026</v>
      </c>
    </row>
    <row r="6471" spans="1:12" x14ac:dyDescent="0.3">
      <c r="H6471" s="74">
        <v>40</v>
      </c>
      <c r="K6471" s="55" t="s">
        <v>33</v>
      </c>
      <c r="L6471" s="60" t="s">
        <v>2024</v>
      </c>
    </row>
    <row r="6472" spans="1:12" x14ac:dyDescent="0.3">
      <c r="H6472" s="74">
        <v>20</v>
      </c>
      <c r="K6472" s="55" t="s">
        <v>33</v>
      </c>
      <c r="L6472" s="60" t="s">
        <v>2023</v>
      </c>
    </row>
    <row r="6473" spans="1:12" x14ac:dyDescent="0.3">
      <c r="H6473" s="74">
        <v>20</v>
      </c>
      <c r="K6473" s="55" t="s">
        <v>34</v>
      </c>
      <c r="L6473" s="60" t="s">
        <v>149</v>
      </c>
    </row>
    <row r="6474" spans="1:12" x14ac:dyDescent="0.3">
      <c r="H6474" s="74">
        <v>30</v>
      </c>
      <c r="K6474" s="55" t="s">
        <v>34</v>
      </c>
      <c r="L6474" s="60" t="s">
        <v>2020</v>
      </c>
    </row>
    <row r="6475" spans="1:12" x14ac:dyDescent="0.3">
      <c r="H6475" s="74">
        <v>20</v>
      </c>
      <c r="K6475" s="55" t="s">
        <v>30</v>
      </c>
      <c r="L6475" s="60" t="s">
        <v>348</v>
      </c>
    </row>
    <row r="6476" spans="1:12" x14ac:dyDescent="0.3">
      <c r="H6476" s="74">
        <v>40</v>
      </c>
      <c r="K6476" s="55" t="s">
        <v>55</v>
      </c>
      <c r="L6476" s="60" t="s">
        <v>2025</v>
      </c>
    </row>
    <row r="6478" spans="1:12" x14ac:dyDescent="0.3">
      <c r="A6478" s="72" t="s">
        <v>2027</v>
      </c>
      <c r="B6478" s="55" t="s">
        <v>0</v>
      </c>
      <c r="C6478" s="67" t="s">
        <v>296</v>
      </c>
      <c r="D6478" s="38" t="s">
        <v>2007</v>
      </c>
      <c r="E6478" s="19">
        <v>142.71</v>
      </c>
      <c r="F6478" s="19">
        <v>5</v>
      </c>
      <c r="G6478" s="55" t="s">
        <v>11</v>
      </c>
      <c r="H6478" s="74">
        <v>10</v>
      </c>
      <c r="K6478" s="55" t="s">
        <v>25</v>
      </c>
    </row>
    <row r="6479" spans="1:12" x14ac:dyDescent="0.3">
      <c r="H6479" s="74">
        <v>10</v>
      </c>
      <c r="K6479" s="55" t="s">
        <v>84</v>
      </c>
    </row>
    <row r="6480" spans="1:12" x14ac:dyDescent="0.3">
      <c r="H6480" s="74">
        <v>80</v>
      </c>
      <c r="K6480" s="55" t="s">
        <v>96</v>
      </c>
    </row>
    <row r="6481" spans="1:12" x14ac:dyDescent="0.3">
      <c r="H6481" s="74">
        <v>20</v>
      </c>
      <c r="K6481" s="55" t="s">
        <v>102</v>
      </c>
    </row>
    <row r="6482" spans="1:12" x14ac:dyDescent="0.3">
      <c r="H6482" s="74">
        <v>60</v>
      </c>
      <c r="K6482" s="55" t="s">
        <v>32</v>
      </c>
      <c r="L6482" s="60" t="s">
        <v>2031</v>
      </c>
    </row>
    <row r="6483" spans="1:12" x14ac:dyDescent="0.3">
      <c r="H6483" s="74">
        <v>30</v>
      </c>
      <c r="K6483" s="55" t="s">
        <v>32</v>
      </c>
      <c r="L6483" s="60" t="s">
        <v>2029</v>
      </c>
    </row>
    <row r="6484" spans="1:12" x14ac:dyDescent="0.3">
      <c r="H6484" s="74">
        <v>30</v>
      </c>
      <c r="K6484" s="55" t="s">
        <v>32</v>
      </c>
      <c r="L6484" s="60" t="s">
        <v>444</v>
      </c>
    </row>
    <row r="6485" spans="1:12" x14ac:dyDescent="0.3">
      <c r="H6485" s="74">
        <v>40</v>
      </c>
      <c r="K6485" s="55" t="s">
        <v>32</v>
      </c>
      <c r="L6485" s="60" t="s">
        <v>2028</v>
      </c>
    </row>
    <row r="6486" spans="1:12" x14ac:dyDescent="0.3">
      <c r="H6486" s="74">
        <v>30</v>
      </c>
      <c r="K6486" s="55" t="s">
        <v>34</v>
      </c>
      <c r="L6486" s="60" t="s">
        <v>149</v>
      </c>
    </row>
    <row r="6487" spans="1:12" x14ac:dyDescent="0.3">
      <c r="H6487" s="74">
        <v>40</v>
      </c>
      <c r="K6487" s="55" t="s">
        <v>34</v>
      </c>
      <c r="L6487" s="60" t="s">
        <v>2020</v>
      </c>
    </row>
    <row r="6488" spans="1:12" x14ac:dyDescent="0.3">
      <c r="H6488" s="74">
        <v>40</v>
      </c>
      <c r="K6488" s="55" t="s">
        <v>30</v>
      </c>
      <c r="L6488" s="60" t="s">
        <v>348</v>
      </c>
    </row>
    <row r="6489" spans="1:12" x14ac:dyDescent="0.3">
      <c r="H6489" s="74">
        <v>30</v>
      </c>
      <c r="K6489" s="55" t="s">
        <v>55</v>
      </c>
      <c r="L6489" s="60" t="s">
        <v>2030</v>
      </c>
    </row>
    <row r="6491" spans="1:12" x14ac:dyDescent="0.3">
      <c r="A6491" s="72" t="s">
        <v>2027</v>
      </c>
      <c r="B6491" s="55" t="s">
        <v>10</v>
      </c>
      <c r="C6491" s="67" t="s">
        <v>188</v>
      </c>
      <c r="D6491" s="111" t="s">
        <v>2033</v>
      </c>
      <c r="E6491" s="19">
        <v>173.86</v>
      </c>
      <c r="F6491" s="19">
        <v>5</v>
      </c>
      <c r="G6491" s="55" t="s">
        <v>11</v>
      </c>
      <c r="H6491" s="74">
        <v>10</v>
      </c>
      <c r="K6491" s="55" t="s">
        <v>25</v>
      </c>
    </row>
    <row r="6492" spans="1:12" x14ac:dyDescent="0.3">
      <c r="H6492" s="74">
        <v>10</v>
      </c>
      <c r="K6492" s="55" t="s">
        <v>84</v>
      </c>
    </row>
    <row r="6493" spans="1:12" x14ac:dyDescent="0.3">
      <c r="H6493" s="74">
        <v>80</v>
      </c>
      <c r="K6493" s="55" t="s">
        <v>96</v>
      </c>
    </row>
    <row r="6494" spans="1:12" x14ac:dyDescent="0.3">
      <c r="H6494" s="74">
        <v>100</v>
      </c>
      <c r="K6494" s="55" t="s">
        <v>32</v>
      </c>
      <c r="L6494" s="60" t="s">
        <v>361</v>
      </c>
    </row>
    <row r="6495" spans="1:12" x14ac:dyDescent="0.3">
      <c r="H6495" s="74">
        <v>35</v>
      </c>
      <c r="K6495" s="55" t="s">
        <v>32</v>
      </c>
      <c r="L6495" s="60" t="s">
        <v>669</v>
      </c>
    </row>
    <row r="6496" spans="1:12" x14ac:dyDescent="0.3">
      <c r="H6496" s="74">
        <v>25</v>
      </c>
      <c r="K6496" s="55" t="s">
        <v>33</v>
      </c>
      <c r="L6496" s="60" t="s">
        <v>461</v>
      </c>
    </row>
    <row r="6497" spans="1:12" x14ac:dyDescent="0.3">
      <c r="H6497" s="74">
        <v>30</v>
      </c>
      <c r="K6497" s="55" t="s">
        <v>34</v>
      </c>
      <c r="L6497" s="60" t="s">
        <v>149</v>
      </c>
    </row>
    <row r="6498" spans="1:12" x14ac:dyDescent="0.3">
      <c r="H6498" s="74">
        <v>60</v>
      </c>
      <c r="K6498" s="55" t="s">
        <v>34</v>
      </c>
      <c r="L6498" s="60" t="s">
        <v>254</v>
      </c>
    </row>
    <row r="6499" spans="1:12" x14ac:dyDescent="0.3">
      <c r="H6499" s="74">
        <v>30</v>
      </c>
      <c r="K6499" s="55" t="s">
        <v>55</v>
      </c>
      <c r="L6499" s="60" t="s">
        <v>2032</v>
      </c>
    </row>
    <row r="6500" spans="1:12" x14ac:dyDescent="0.3">
      <c r="H6500" s="74">
        <v>30</v>
      </c>
      <c r="K6500" s="55" t="s">
        <v>30</v>
      </c>
      <c r="L6500" s="60" t="s">
        <v>136</v>
      </c>
    </row>
    <row r="6501" spans="1:12" x14ac:dyDescent="0.3">
      <c r="H6501" s="74">
        <v>15</v>
      </c>
      <c r="K6501" s="55" t="s">
        <v>34</v>
      </c>
      <c r="L6501" s="60" t="s">
        <v>2034</v>
      </c>
    </row>
    <row r="6503" spans="1:12" ht="23.25" x14ac:dyDescent="0.35">
      <c r="A6503" s="72" t="s">
        <v>2027</v>
      </c>
      <c r="B6503" s="39" t="s">
        <v>12</v>
      </c>
      <c r="C6503" s="67" t="s">
        <v>46</v>
      </c>
      <c r="D6503" s="55" t="s">
        <v>52</v>
      </c>
      <c r="E6503" s="19">
        <v>174.05</v>
      </c>
      <c r="F6503" s="19">
        <v>5</v>
      </c>
      <c r="G6503" s="55" t="s">
        <v>11</v>
      </c>
      <c r="H6503" s="74">
        <v>10</v>
      </c>
      <c r="K6503" s="55" t="s">
        <v>25</v>
      </c>
    </row>
    <row r="6504" spans="1:12" x14ac:dyDescent="0.3">
      <c r="H6504" s="74">
        <v>10</v>
      </c>
      <c r="K6504" s="55" t="s">
        <v>84</v>
      </c>
    </row>
    <row r="6505" spans="1:12" x14ac:dyDescent="0.3">
      <c r="H6505" s="74">
        <v>60</v>
      </c>
      <c r="K6505" s="55" t="s">
        <v>96</v>
      </c>
    </row>
    <row r="6506" spans="1:12" x14ac:dyDescent="0.3">
      <c r="H6506" s="74">
        <v>20</v>
      </c>
      <c r="K6506" s="55" t="s">
        <v>102</v>
      </c>
    </row>
    <row r="6507" spans="1:12" x14ac:dyDescent="0.3">
      <c r="H6507" s="74">
        <v>30</v>
      </c>
      <c r="K6507" s="55" t="s">
        <v>32</v>
      </c>
      <c r="L6507" s="60" t="s">
        <v>472</v>
      </c>
    </row>
    <row r="6508" spans="1:12" x14ac:dyDescent="0.3">
      <c r="H6508" s="74">
        <v>50</v>
      </c>
      <c r="K6508" s="55" t="s">
        <v>32</v>
      </c>
      <c r="L6508" s="60" t="s">
        <v>444</v>
      </c>
    </row>
    <row r="6509" spans="1:12" x14ac:dyDescent="0.3">
      <c r="H6509" s="74">
        <v>40</v>
      </c>
      <c r="K6509" s="55" t="s">
        <v>32</v>
      </c>
      <c r="L6509" s="60" t="s">
        <v>2026</v>
      </c>
    </row>
    <row r="6510" spans="1:12" x14ac:dyDescent="0.3">
      <c r="H6510" s="74">
        <v>110</v>
      </c>
      <c r="K6510" s="55" t="s">
        <v>33</v>
      </c>
      <c r="L6510" s="60" t="s">
        <v>2035</v>
      </c>
    </row>
    <row r="6511" spans="1:12" x14ac:dyDescent="0.3">
      <c r="H6511" s="74">
        <v>20</v>
      </c>
      <c r="K6511" s="55" t="s">
        <v>34</v>
      </c>
      <c r="L6511" s="60" t="s">
        <v>149</v>
      </c>
    </row>
    <row r="6512" spans="1:12" x14ac:dyDescent="0.3">
      <c r="H6512" s="74">
        <v>30</v>
      </c>
      <c r="K6512" s="55" t="s">
        <v>34</v>
      </c>
      <c r="L6512" s="60" t="s">
        <v>2020</v>
      </c>
    </row>
    <row r="6513" spans="1:12" x14ac:dyDescent="0.3">
      <c r="H6513" s="74">
        <v>20</v>
      </c>
      <c r="K6513" s="55" t="s">
        <v>30</v>
      </c>
      <c r="L6513" s="60" t="s">
        <v>348</v>
      </c>
    </row>
    <row r="6515" spans="1:12" x14ac:dyDescent="0.3">
      <c r="A6515" s="72" t="s">
        <v>2036</v>
      </c>
      <c r="B6515" s="55" t="s">
        <v>0</v>
      </c>
      <c r="C6515" s="112" t="s">
        <v>1983</v>
      </c>
      <c r="D6515" s="75" t="s">
        <v>2039</v>
      </c>
      <c r="E6515" s="19">
        <v>144.74</v>
      </c>
      <c r="F6515" s="19">
        <v>5</v>
      </c>
      <c r="G6515" s="55" t="s">
        <v>11</v>
      </c>
      <c r="H6515" s="55">
        <v>10</v>
      </c>
      <c r="I6515" s="113"/>
      <c r="J6515" s="113"/>
      <c r="K6515" s="55" t="s">
        <v>25</v>
      </c>
      <c r="L6515" s="100"/>
    </row>
    <row r="6516" spans="1:12" x14ac:dyDescent="0.3">
      <c r="C6516" s="110"/>
      <c r="D6516" s="38"/>
      <c r="H6516" s="55">
        <v>10</v>
      </c>
      <c r="I6516" s="113"/>
      <c r="J6516" s="113"/>
      <c r="K6516" s="55" t="s">
        <v>84</v>
      </c>
      <c r="L6516" s="100"/>
    </row>
    <row r="6517" spans="1:12" x14ac:dyDescent="0.3">
      <c r="H6517" s="55">
        <v>80</v>
      </c>
      <c r="I6517" s="113"/>
      <c r="J6517" s="113"/>
      <c r="K6517" s="55" t="s">
        <v>96</v>
      </c>
      <c r="L6517" s="100"/>
    </row>
    <row r="6518" spans="1:12" x14ac:dyDescent="0.3">
      <c r="H6518" s="55">
        <v>30</v>
      </c>
      <c r="I6518" s="113"/>
      <c r="J6518" s="113"/>
      <c r="K6518" s="55" t="s">
        <v>32</v>
      </c>
      <c r="L6518" s="100" t="s">
        <v>472</v>
      </c>
    </row>
    <row r="6519" spans="1:12" x14ac:dyDescent="0.3">
      <c r="H6519" s="55">
        <v>20</v>
      </c>
      <c r="I6519" s="113"/>
      <c r="J6519" s="113"/>
      <c r="K6519" s="55" t="s">
        <v>102</v>
      </c>
      <c r="L6519" s="100"/>
    </row>
    <row r="6520" spans="1:12" x14ac:dyDescent="0.3">
      <c r="H6520" s="55">
        <v>90</v>
      </c>
      <c r="I6520" s="113"/>
      <c r="J6520" s="113"/>
      <c r="K6520" s="55" t="s">
        <v>32</v>
      </c>
      <c r="L6520" s="100" t="s">
        <v>2037</v>
      </c>
    </row>
    <row r="6521" spans="1:12" x14ac:dyDescent="0.3">
      <c r="H6521" s="55">
        <v>90</v>
      </c>
      <c r="I6521" s="113"/>
      <c r="J6521" s="113"/>
      <c r="K6521" s="55" t="s">
        <v>55</v>
      </c>
      <c r="L6521" s="100" t="s">
        <v>2038</v>
      </c>
    </row>
    <row r="6522" spans="1:12" x14ac:dyDescent="0.3">
      <c r="H6522" s="55">
        <v>30</v>
      </c>
      <c r="I6522" s="113"/>
      <c r="J6522" s="113"/>
      <c r="K6522" s="55" t="s">
        <v>30</v>
      </c>
      <c r="L6522" s="100" t="s">
        <v>136</v>
      </c>
    </row>
    <row r="6523" spans="1:12" x14ac:dyDescent="0.3">
      <c r="H6523" s="55">
        <v>20</v>
      </c>
      <c r="I6523" s="113"/>
      <c r="J6523" s="113"/>
      <c r="K6523" s="55" t="s">
        <v>34</v>
      </c>
      <c r="L6523" s="100" t="s">
        <v>149</v>
      </c>
    </row>
    <row r="6524" spans="1:12" x14ac:dyDescent="0.3">
      <c r="H6524" s="55">
        <v>20</v>
      </c>
      <c r="I6524" s="113"/>
      <c r="J6524" s="113"/>
      <c r="K6524" s="55" t="s">
        <v>34</v>
      </c>
      <c r="L6524" s="100" t="s">
        <v>254</v>
      </c>
    </row>
    <row r="6526" spans="1:12" x14ac:dyDescent="0.3">
      <c r="A6526" s="72" t="s">
        <v>2036</v>
      </c>
      <c r="B6526" s="55" t="s">
        <v>10</v>
      </c>
      <c r="C6526" s="67" t="s">
        <v>188</v>
      </c>
      <c r="D6526" s="111" t="s">
        <v>2033</v>
      </c>
      <c r="E6526" s="19">
        <v>288.39</v>
      </c>
      <c r="F6526" s="19">
        <v>10</v>
      </c>
      <c r="G6526" s="55" t="s">
        <v>11</v>
      </c>
      <c r="H6526" s="55">
        <v>10</v>
      </c>
      <c r="I6526" s="113"/>
      <c r="J6526" s="113"/>
      <c r="K6526" s="55" t="s">
        <v>25</v>
      </c>
    </row>
    <row r="6527" spans="1:12" x14ac:dyDescent="0.3">
      <c r="H6527" s="55">
        <v>10</v>
      </c>
      <c r="I6527" s="113"/>
      <c r="J6527" s="113"/>
      <c r="K6527" s="55" t="s">
        <v>84</v>
      </c>
    </row>
    <row r="6528" spans="1:12" x14ac:dyDescent="0.3">
      <c r="H6528" s="74">
        <v>130</v>
      </c>
      <c r="K6528" s="55" t="s">
        <v>96</v>
      </c>
    </row>
    <row r="6529" spans="1:12" x14ac:dyDescent="0.3">
      <c r="H6529" s="74">
        <v>20</v>
      </c>
      <c r="K6529" s="55" t="s">
        <v>102</v>
      </c>
    </row>
    <row r="6530" spans="1:12" x14ac:dyDescent="0.3">
      <c r="H6530" s="74">
        <v>30</v>
      </c>
      <c r="K6530" s="55" t="s">
        <v>32</v>
      </c>
      <c r="L6530" s="60" t="s">
        <v>445</v>
      </c>
    </row>
    <row r="6531" spans="1:12" x14ac:dyDescent="0.3">
      <c r="H6531" s="74">
        <v>40</v>
      </c>
      <c r="K6531" s="55" t="s">
        <v>32</v>
      </c>
      <c r="L6531" s="60" t="s">
        <v>509</v>
      </c>
    </row>
    <row r="6532" spans="1:12" x14ac:dyDescent="0.3">
      <c r="H6532" s="74">
        <v>20</v>
      </c>
      <c r="K6532" s="55" t="s">
        <v>55</v>
      </c>
      <c r="L6532" s="60" t="s">
        <v>2040</v>
      </c>
    </row>
    <row r="6533" spans="1:12" x14ac:dyDescent="0.3">
      <c r="H6533" s="74">
        <v>20</v>
      </c>
      <c r="K6533" s="55" t="s">
        <v>34</v>
      </c>
    </row>
    <row r="6534" spans="1:12" x14ac:dyDescent="0.3">
      <c r="H6534" s="74">
        <v>20</v>
      </c>
      <c r="K6534" s="55" t="s">
        <v>34</v>
      </c>
    </row>
    <row r="6535" spans="1:12" x14ac:dyDescent="0.3">
      <c r="H6535" s="74">
        <v>20</v>
      </c>
      <c r="K6535" s="55" t="s">
        <v>30</v>
      </c>
      <c r="L6535" s="60" t="s">
        <v>136</v>
      </c>
    </row>
    <row r="6536" spans="1:12" x14ac:dyDescent="0.3">
      <c r="H6536" s="74">
        <v>30</v>
      </c>
      <c r="K6536" s="55" t="s">
        <v>55</v>
      </c>
      <c r="L6536" s="60" t="s">
        <v>2041</v>
      </c>
    </row>
    <row r="6538" spans="1:12" ht="23.25" x14ac:dyDescent="0.35">
      <c r="A6538" s="72" t="s">
        <v>2036</v>
      </c>
      <c r="B6538" s="39" t="s">
        <v>12</v>
      </c>
      <c r="C6538" s="67" t="s">
        <v>46</v>
      </c>
      <c r="D6538" s="55" t="s">
        <v>52</v>
      </c>
      <c r="E6538" s="19">
        <v>320.52</v>
      </c>
      <c r="F6538" s="19">
        <v>10</v>
      </c>
      <c r="G6538" s="55" t="s">
        <v>11</v>
      </c>
      <c r="H6538" s="74">
        <v>10</v>
      </c>
      <c r="K6538" s="55" t="s">
        <v>25</v>
      </c>
    </row>
    <row r="6539" spans="1:12" x14ac:dyDescent="0.3">
      <c r="H6539" s="74">
        <v>10</v>
      </c>
      <c r="K6539" s="55" t="s">
        <v>84</v>
      </c>
    </row>
    <row r="6540" spans="1:12" x14ac:dyDescent="0.3">
      <c r="H6540" s="74">
        <v>140</v>
      </c>
      <c r="K6540" s="55" t="s">
        <v>96</v>
      </c>
    </row>
    <row r="6541" spans="1:12" x14ac:dyDescent="0.3">
      <c r="H6541" s="74">
        <v>20</v>
      </c>
      <c r="K6541" s="55" t="s">
        <v>102</v>
      </c>
    </row>
    <row r="6542" spans="1:12" x14ac:dyDescent="0.3">
      <c r="H6542" s="74">
        <v>30</v>
      </c>
      <c r="K6542" s="55" t="s">
        <v>32</v>
      </c>
      <c r="L6542" s="60" t="s">
        <v>472</v>
      </c>
    </row>
    <row r="6543" spans="1:12" x14ac:dyDescent="0.3">
      <c r="H6543" s="74">
        <v>30</v>
      </c>
      <c r="K6543" s="55" t="s">
        <v>32</v>
      </c>
      <c r="L6543" s="60" t="s">
        <v>307</v>
      </c>
    </row>
    <row r="6544" spans="1:12" x14ac:dyDescent="0.3">
      <c r="H6544" s="74">
        <v>40</v>
      </c>
      <c r="K6544" s="55" t="s">
        <v>32</v>
      </c>
      <c r="L6544" s="60" t="s">
        <v>2043</v>
      </c>
    </row>
    <row r="6545" spans="1:12" x14ac:dyDescent="0.3">
      <c r="H6545" s="74">
        <v>20</v>
      </c>
      <c r="K6545" s="55" t="s">
        <v>34</v>
      </c>
      <c r="L6545" s="60" t="s">
        <v>149</v>
      </c>
    </row>
    <row r="6546" spans="1:12" x14ac:dyDescent="0.3">
      <c r="H6546" s="74">
        <v>30</v>
      </c>
      <c r="K6546" s="55" t="s">
        <v>34</v>
      </c>
      <c r="L6546" s="60" t="s">
        <v>2020</v>
      </c>
    </row>
    <row r="6547" spans="1:12" x14ac:dyDescent="0.3">
      <c r="H6547" s="74">
        <v>20</v>
      </c>
      <c r="K6547" s="55" t="s">
        <v>30</v>
      </c>
      <c r="L6547" s="60" t="s">
        <v>2042</v>
      </c>
    </row>
    <row r="6549" spans="1:12" x14ac:dyDescent="0.3">
      <c r="A6549" s="72" t="s">
        <v>2044</v>
      </c>
      <c r="B6549" s="55" t="s">
        <v>0</v>
      </c>
      <c r="C6549" s="67" t="s">
        <v>48</v>
      </c>
      <c r="D6549" s="111" t="s">
        <v>2033</v>
      </c>
      <c r="E6549" s="19">
        <v>154.6</v>
      </c>
      <c r="F6549" s="19">
        <v>5</v>
      </c>
      <c r="G6549" s="55" t="s">
        <v>11</v>
      </c>
      <c r="H6549" s="74">
        <v>10</v>
      </c>
      <c r="K6549" s="55" t="s">
        <v>25</v>
      </c>
    </row>
    <row r="6550" spans="1:12" x14ac:dyDescent="0.3">
      <c r="H6550" s="74">
        <v>10</v>
      </c>
      <c r="K6550" s="55" t="s">
        <v>84</v>
      </c>
    </row>
    <row r="6551" spans="1:12" x14ac:dyDescent="0.3">
      <c r="H6551" s="74">
        <v>80</v>
      </c>
      <c r="K6551" s="55" t="s">
        <v>96</v>
      </c>
    </row>
    <row r="6552" spans="1:12" x14ac:dyDescent="0.3">
      <c r="H6552" s="74">
        <v>30</v>
      </c>
      <c r="K6552" s="55" t="s">
        <v>32</v>
      </c>
      <c r="L6552" s="60" t="s">
        <v>1474</v>
      </c>
    </row>
    <row r="6553" spans="1:12" x14ac:dyDescent="0.3">
      <c r="H6553" s="74">
        <v>20</v>
      </c>
      <c r="K6553" s="55" t="s">
        <v>102</v>
      </c>
    </row>
    <row r="6554" spans="1:12" x14ac:dyDescent="0.3">
      <c r="H6554" s="74">
        <v>15</v>
      </c>
      <c r="K6554" s="55" t="s">
        <v>34</v>
      </c>
      <c r="L6554" s="60" t="s">
        <v>149</v>
      </c>
    </row>
    <row r="6555" spans="1:12" x14ac:dyDescent="0.3">
      <c r="H6555" s="74">
        <v>15</v>
      </c>
      <c r="K6555" s="55" t="s">
        <v>34</v>
      </c>
      <c r="L6555" s="60" t="s">
        <v>2045</v>
      </c>
    </row>
    <row r="6556" spans="1:12" x14ac:dyDescent="0.3">
      <c r="H6556" s="74">
        <v>80</v>
      </c>
      <c r="K6556" s="55" t="s">
        <v>32</v>
      </c>
      <c r="L6556" s="60" t="s">
        <v>2046</v>
      </c>
    </row>
    <row r="6557" spans="1:12" x14ac:dyDescent="0.3">
      <c r="H6557" s="74">
        <v>20</v>
      </c>
      <c r="K6557" s="55" t="s">
        <v>30</v>
      </c>
    </row>
    <row r="6558" spans="1:12" x14ac:dyDescent="0.3">
      <c r="H6558" s="74">
        <v>40</v>
      </c>
      <c r="K6558" s="55" t="s">
        <v>32</v>
      </c>
      <c r="L6558" s="60" t="s">
        <v>2047</v>
      </c>
    </row>
    <row r="6560" spans="1:12" x14ac:dyDescent="0.3">
      <c r="A6560" s="72" t="s">
        <v>2044</v>
      </c>
      <c r="B6560" s="55" t="s">
        <v>10</v>
      </c>
      <c r="C6560" s="112" t="s">
        <v>1983</v>
      </c>
      <c r="D6560" s="55" t="s">
        <v>52</v>
      </c>
      <c r="E6560" s="19">
        <v>311.62</v>
      </c>
      <c r="F6560" s="19">
        <v>11</v>
      </c>
      <c r="G6560" s="55" t="s">
        <v>11</v>
      </c>
      <c r="H6560" s="74">
        <v>10</v>
      </c>
      <c r="K6560" s="55" t="s">
        <v>25</v>
      </c>
    </row>
    <row r="6561" spans="1:13" x14ac:dyDescent="0.3">
      <c r="H6561" s="74">
        <v>10</v>
      </c>
      <c r="K6561" s="55" t="s">
        <v>84</v>
      </c>
    </row>
    <row r="6562" spans="1:13" x14ac:dyDescent="0.3">
      <c r="H6562" s="74">
        <v>140</v>
      </c>
      <c r="K6562" s="55" t="s">
        <v>96</v>
      </c>
    </row>
    <row r="6563" spans="1:13" x14ac:dyDescent="0.3">
      <c r="H6563" s="74">
        <v>50</v>
      </c>
      <c r="K6563" s="55" t="s">
        <v>33</v>
      </c>
      <c r="L6563" s="60" t="s">
        <v>2048</v>
      </c>
    </row>
    <row r="6564" spans="1:13" x14ac:dyDescent="0.3">
      <c r="H6564" s="74">
        <v>20</v>
      </c>
      <c r="K6564" s="55" t="s">
        <v>102</v>
      </c>
    </row>
    <row r="6565" spans="1:13" x14ac:dyDescent="0.3">
      <c r="H6565" s="74">
        <v>30</v>
      </c>
      <c r="K6565" s="55" t="s">
        <v>32</v>
      </c>
      <c r="L6565" s="60" t="s">
        <v>307</v>
      </c>
    </row>
    <row r="6566" spans="1:13" x14ac:dyDescent="0.3">
      <c r="H6566" s="74">
        <v>30</v>
      </c>
      <c r="K6566" s="55" t="s">
        <v>32</v>
      </c>
      <c r="L6566" s="60" t="s">
        <v>2049</v>
      </c>
    </row>
    <row r="6567" spans="1:13" x14ac:dyDescent="0.3">
      <c r="H6567" s="74">
        <v>10</v>
      </c>
      <c r="K6567" s="55" t="s">
        <v>34</v>
      </c>
      <c r="L6567" s="60" t="s">
        <v>149</v>
      </c>
    </row>
    <row r="6568" spans="1:13" x14ac:dyDescent="0.3">
      <c r="H6568" s="74">
        <v>20</v>
      </c>
      <c r="K6568" s="55" t="s">
        <v>34</v>
      </c>
      <c r="L6568" s="60" t="s">
        <v>2020</v>
      </c>
    </row>
    <row r="6569" spans="1:13" x14ac:dyDescent="0.3">
      <c r="H6569" s="74">
        <v>30</v>
      </c>
      <c r="K6569" s="55" t="s">
        <v>30</v>
      </c>
      <c r="L6569" s="60" t="s">
        <v>2042</v>
      </c>
    </row>
    <row r="6571" spans="1:13" x14ac:dyDescent="0.3">
      <c r="A6571" s="72" t="s">
        <v>2044</v>
      </c>
      <c r="B6571" s="55" t="s">
        <v>12</v>
      </c>
      <c r="C6571" s="67" t="s">
        <v>46</v>
      </c>
      <c r="D6571" s="75" t="s">
        <v>2039</v>
      </c>
      <c r="E6571" s="19">
        <v>157.4</v>
      </c>
      <c r="F6571" s="19">
        <v>5</v>
      </c>
      <c r="G6571" s="55" t="s">
        <v>11</v>
      </c>
      <c r="H6571" s="74">
        <v>10</v>
      </c>
      <c r="K6571" s="55" t="s">
        <v>25</v>
      </c>
    </row>
    <row r="6572" spans="1:13" x14ac:dyDescent="0.3">
      <c r="H6572" s="74">
        <v>10</v>
      </c>
      <c r="K6572" s="55" t="s">
        <v>84</v>
      </c>
    </row>
    <row r="6573" spans="1:13" x14ac:dyDescent="0.3">
      <c r="H6573" s="74">
        <v>70</v>
      </c>
      <c r="K6573" s="55" t="s">
        <v>96</v>
      </c>
    </row>
    <row r="6574" spans="1:13" x14ac:dyDescent="0.3">
      <c r="H6574" s="74">
        <v>150</v>
      </c>
      <c r="K6574" s="55" t="s">
        <v>32</v>
      </c>
      <c r="L6574" s="60" t="s">
        <v>2050</v>
      </c>
      <c r="M6574" s="1" t="s">
        <v>2053</v>
      </c>
    </row>
    <row r="6575" spans="1:13" x14ac:dyDescent="0.3">
      <c r="H6575" s="74">
        <v>30</v>
      </c>
      <c r="K6575" s="55" t="s">
        <v>32</v>
      </c>
      <c r="L6575" s="60" t="s">
        <v>663</v>
      </c>
    </row>
    <row r="6576" spans="1:13" x14ac:dyDescent="0.3">
      <c r="H6576" s="74">
        <v>20</v>
      </c>
      <c r="K6576" s="55" t="s">
        <v>33</v>
      </c>
      <c r="L6576" s="60" t="s">
        <v>2051</v>
      </c>
    </row>
    <row r="6577" spans="1:12" x14ac:dyDescent="0.3">
      <c r="H6577" s="74">
        <v>40</v>
      </c>
      <c r="K6577" s="55" t="s">
        <v>34</v>
      </c>
      <c r="L6577" s="60" t="s">
        <v>2052</v>
      </c>
    </row>
    <row r="6578" spans="1:12" x14ac:dyDescent="0.3">
      <c r="H6578" s="74">
        <v>30</v>
      </c>
      <c r="K6578" s="55" t="s">
        <v>34</v>
      </c>
      <c r="L6578" s="60" t="s">
        <v>253</v>
      </c>
    </row>
    <row r="6579" spans="1:12" x14ac:dyDescent="0.3">
      <c r="H6579" s="74">
        <v>20</v>
      </c>
      <c r="K6579" s="55" t="s">
        <v>102</v>
      </c>
    </row>
    <row r="6580" spans="1:12" x14ac:dyDescent="0.3">
      <c r="H6580" s="74">
        <v>40</v>
      </c>
      <c r="K6580" s="55" t="s">
        <v>30</v>
      </c>
      <c r="L6580" s="60" t="s">
        <v>348</v>
      </c>
    </row>
    <row r="6582" spans="1:12" x14ac:dyDescent="0.3">
      <c r="A6582" s="72" t="s">
        <v>2054</v>
      </c>
      <c r="B6582" s="55" t="s">
        <v>0</v>
      </c>
      <c r="C6582" s="67" t="s">
        <v>48</v>
      </c>
      <c r="D6582" s="111" t="s">
        <v>2033</v>
      </c>
      <c r="E6582" s="19">
        <v>217.8</v>
      </c>
      <c r="F6582" s="19">
        <v>6</v>
      </c>
      <c r="G6582" s="55" t="s">
        <v>11</v>
      </c>
      <c r="H6582" s="74">
        <v>10</v>
      </c>
      <c r="K6582" s="55" t="s">
        <v>25</v>
      </c>
    </row>
    <row r="6583" spans="1:12" x14ac:dyDescent="0.3">
      <c r="H6583" s="74">
        <v>10</v>
      </c>
      <c r="K6583" s="55" t="s">
        <v>84</v>
      </c>
    </row>
    <row r="6584" spans="1:12" x14ac:dyDescent="0.3">
      <c r="H6584" s="74">
        <v>90</v>
      </c>
      <c r="K6584" s="55" t="s">
        <v>96</v>
      </c>
    </row>
    <row r="6585" spans="1:12" x14ac:dyDescent="0.3">
      <c r="H6585" s="74">
        <v>60</v>
      </c>
      <c r="K6585" s="55" t="s">
        <v>32</v>
      </c>
      <c r="L6585" s="60" t="s">
        <v>2055</v>
      </c>
    </row>
    <row r="6586" spans="1:12" x14ac:dyDescent="0.3">
      <c r="H6586" s="74">
        <v>60</v>
      </c>
      <c r="K6586" s="55" t="s">
        <v>32</v>
      </c>
      <c r="L6586" s="60" t="s">
        <v>137</v>
      </c>
    </row>
    <row r="6587" spans="1:12" x14ac:dyDescent="0.3">
      <c r="H6587" s="74">
        <v>20</v>
      </c>
      <c r="K6587" s="55" t="s">
        <v>102</v>
      </c>
    </row>
    <row r="6588" spans="1:12" x14ac:dyDescent="0.3">
      <c r="H6588" s="74">
        <v>30</v>
      </c>
      <c r="K6588" s="55" t="s">
        <v>34</v>
      </c>
    </row>
    <row r="6589" spans="1:12" x14ac:dyDescent="0.3">
      <c r="H6589" s="74">
        <v>70</v>
      </c>
      <c r="K6589" s="55" t="s">
        <v>34</v>
      </c>
      <c r="L6589" s="60" t="s">
        <v>2056</v>
      </c>
    </row>
    <row r="6590" spans="1:12" x14ac:dyDescent="0.3">
      <c r="H6590" s="74">
        <v>50</v>
      </c>
      <c r="K6590" s="55" t="s">
        <v>30</v>
      </c>
      <c r="L6590" s="60" t="s">
        <v>502</v>
      </c>
    </row>
    <row r="6592" spans="1:12" x14ac:dyDescent="0.3">
      <c r="A6592" s="72" t="s">
        <v>2054</v>
      </c>
      <c r="B6592" s="55" t="s">
        <v>10</v>
      </c>
      <c r="C6592" s="112" t="s">
        <v>1983</v>
      </c>
      <c r="D6592" s="55" t="s">
        <v>52</v>
      </c>
      <c r="E6592" s="19">
        <v>196.4</v>
      </c>
      <c r="F6592" s="19">
        <v>7</v>
      </c>
      <c r="G6592" s="55" t="s">
        <v>11</v>
      </c>
      <c r="H6592" s="74">
        <v>10</v>
      </c>
      <c r="K6592" s="55" t="s">
        <v>25</v>
      </c>
    </row>
    <row r="6593" spans="1:12" x14ac:dyDescent="0.3">
      <c r="H6593" s="74">
        <v>10</v>
      </c>
      <c r="K6593" s="55" t="s">
        <v>84</v>
      </c>
    </row>
    <row r="6594" spans="1:12" x14ac:dyDescent="0.3">
      <c r="H6594" s="74">
        <v>100</v>
      </c>
      <c r="K6594" s="55" t="s">
        <v>96</v>
      </c>
    </row>
    <row r="6595" spans="1:12" x14ac:dyDescent="0.3">
      <c r="H6595" s="74">
        <v>30</v>
      </c>
      <c r="K6595" s="55" t="s">
        <v>55</v>
      </c>
      <c r="L6595" s="60" t="s">
        <v>2059</v>
      </c>
    </row>
    <row r="6596" spans="1:12" x14ac:dyDescent="0.3">
      <c r="H6596" s="74">
        <v>20</v>
      </c>
      <c r="K6596" s="55" t="s">
        <v>102</v>
      </c>
    </row>
    <row r="6597" spans="1:12" x14ac:dyDescent="0.3">
      <c r="H6597" s="74">
        <v>60</v>
      </c>
      <c r="K6597" s="55" t="s">
        <v>32</v>
      </c>
      <c r="L6597" s="60" t="s">
        <v>344</v>
      </c>
    </row>
    <row r="6598" spans="1:12" x14ac:dyDescent="0.3">
      <c r="H6598" s="74">
        <v>40</v>
      </c>
      <c r="K6598" s="55" t="s">
        <v>32</v>
      </c>
      <c r="L6598" s="60" t="s">
        <v>2043</v>
      </c>
    </row>
    <row r="6599" spans="1:12" x14ac:dyDescent="0.3">
      <c r="H6599" s="74">
        <v>20</v>
      </c>
      <c r="K6599" s="55" t="s">
        <v>34</v>
      </c>
      <c r="L6599" s="60" t="s">
        <v>149</v>
      </c>
    </row>
    <row r="6600" spans="1:12" x14ac:dyDescent="0.3">
      <c r="H6600" s="74">
        <v>30</v>
      </c>
      <c r="K6600" s="55" t="s">
        <v>34</v>
      </c>
      <c r="L6600" s="60" t="s">
        <v>2057</v>
      </c>
    </row>
    <row r="6601" spans="1:12" x14ac:dyDescent="0.3">
      <c r="H6601" s="74">
        <v>30</v>
      </c>
      <c r="K6601" s="55" t="s">
        <v>30</v>
      </c>
      <c r="L6601" s="60" t="s">
        <v>2058</v>
      </c>
    </row>
    <row r="6602" spans="1:12" x14ac:dyDescent="0.3">
      <c r="H6602" s="74">
        <v>20</v>
      </c>
      <c r="K6602" s="55" t="s">
        <v>33</v>
      </c>
      <c r="L6602" s="60" t="s">
        <v>1324</v>
      </c>
    </row>
    <row r="6604" spans="1:12" x14ac:dyDescent="0.3">
      <c r="A6604" s="72" t="s">
        <v>2054</v>
      </c>
      <c r="B6604" s="55" t="s">
        <v>12</v>
      </c>
      <c r="C6604" s="67" t="s">
        <v>47</v>
      </c>
      <c r="D6604" s="75" t="s">
        <v>2039</v>
      </c>
      <c r="E6604" s="19">
        <v>264.61</v>
      </c>
      <c r="F6604" s="19">
        <v>8</v>
      </c>
      <c r="G6604" s="55" t="s">
        <v>11</v>
      </c>
      <c r="H6604" s="74">
        <v>10</v>
      </c>
      <c r="K6604" s="55" t="s">
        <v>25</v>
      </c>
    </row>
    <row r="6605" spans="1:12" x14ac:dyDescent="0.3">
      <c r="H6605" s="74">
        <v>10</v>
      </c>
      <c r="K6605" s="55" t="s">
        <v>84</v>
      </c>
    </row>
    <row r="6606" spans="1:12" x14ac:dyDescent="0.3">
      <c r="H6606" s="74">
        <v>110</v>
      </c>
      <c r="K6606" s="55" t="s">
        <v>96</v>
      </c>
    </row>
    <row r="6607" spans="1:12" x14ac:dyDescent="0.3">
      <c r="H6607" s="74">
        <v>100</v>
      </c>
      <c r="K6607" s="55" t="s">
        <v>32</v>
      </c>
      <c r="L6607" s="60" t="s">
        <v>701</v>
      </c>
    </row>
    <row r="6608" spans="1:12" x14ac:dyDescent="0.3">
      <c r="H6608" s="74">
        <v>30</v>
      </c>
      <c r="K6608" s="55" t="s">
        <v>32</v>
      </c>
      <c r="L6608" s="60" t="s">
        <v>2060</v>
      </c>
    </row>
    <row r="6609" spans="1:12" x14ac:dyDescent="0.3">
      <c r="H6609" s="74">
        <v>40</v>
      </c>
      <c r="K6609" s="55" t="s">
        <v>30</v>
      </c>
      <c r="L6609" s="60" t="s">
        <v>348</v>
      </c>
    </row>
    <row r="6610" spans="1:12" x14ac:dyDescent="0.3">
      <c r="H6610" s="74">
        <v>20</v>
      </c>
      <c r="K6610" s="55" t="s">
        <v>102</v>
      </c>
    </row>
    <row r="6611" spans="1:12" x14ac:dyDescent="0.3">
      <c r="H6611" s="74">
        <v>20</v>
      </c>
      <c r="K6611" s="55" t="s">
        <v>34</v>
      </c>
      <c r="L6611" s="60" t="s">
        <v>149</v>
      </c>
    </row>
    <row r="6612" spans="1:12" x14ac:dyDescent="0.3">
      <c r="H6612" s="74">
        <v>30</v>
      </c>
      <c r="K6612" s="55" t="s">
        <v>34</v>
      </c>
      <c r="L6612" s="60" t="s">
        <v>2057</v>
      </c>
    </row>
    <row r="6613" spans="1:12" x14ac:dyDescent="0.3">
      <c r="H6613" s="74">
        <v>10</v>
      </c>
      <c r="K6613" s="55" t="s">
        <v>33</v>
      </c>
      <c r="L6613" s="60" t="s">
        <v>1324</v>
      </c>
    </row>
    <row r="6615" spans="1:12" x14ac:dyDescent="0.3">
      <c r="A6615" s="72" t="s">
        <v>2061</v>
      </c>
      <c r="B6615" s="55" t="s">
        <v>0</v>
      </c>
      <c r="C6615" s="112" t="s">
        <v>1983</v>
      </c>
      <c r="D6615" s="55" t="s">
        <v>51</v>
      </c>
      <c r="E6615" s="19">
        <v>56.95</v>
      </c>
      <c r="F6615" s="19">
        <v>2</v>
      </c>
      <c r="G6615" s="55" t="s">
        <v>11</v>
      </c>
      <c r="H6615" s="74">
        <v>10</v>
      </c>
      <c r="K6615" s="55" t="s">
        <v>25</v>
      </c>
    </row>
    <row r="6616" spans="1:12" x14ac:dyDescent="0.3">
      <c r="H6616" s="74">
        <v>10</v>
      </c>
      <c r="K6616" s="55" t="s">
        <v>84</v>
      </c>
    </row>
    <row r="6617" spans="1:12" x14ac:dyDescent="0.3">
      <c r="H6617" s="74">
        <v>225</v>
      </c>
      <c r="K6617" s="55" t="s">
        <v>33</v>
      </c>
      <c r="L6617" s="60" t="s">
        <v>2062</v>
      </c>
    </row>
    <row r="6618" spans="1:12" x14ac:dyDescent="0.3">
      <c r="H6618" s="74">
        <v>30</v>
      </c>
      <c r="K6618" s="55" t="s">
        <v>32</v>
      </c>
      <c r="L6618" s="60" t="s">
        <v>942</v>
      </c>
    </row>
    <row r="6619" spans="1:12" x14ac:dyDescent="0.3">
      <c r="H6619" s="74">
        <v>40</v>
      </c>
      <c r="K6619" s="55" t="s">
        <v>32</v>
      </c>
      <c r="L6619" s="60" t="s">
        <v>2063</v>
      </c>
    </row>
    <row r="6620" spans="1:12" x14ac:dyDescent="0.3">
      <c r="H6620" s="74">
        <v>20</v>
      </c>
      <c r="K6620" s="55" t="s">
        <v>102</v>
      </c>
    </row>
    <row r="6621" spans="1:12" x14ac:dyDescent="0.3">
      <c r="H6621" s="74">
        <v>10</v>
      </c>
      <c r="K6621" s="55" t="s">
        <v>34</v>
      </c>
      <c r="L6621" s="60" t="s">
        <v>149</v>
      </c>
    </row>
    <row r="6622" spans="1:12" x14ac:dyDescent="0.3">
      <c r="H6622" s="74">
        <v>30</v>
      </c>
      <c r="K6622" s="55" t="s">
        <v>34</v>
      </c>
      <c r="L6622" s="60" t="s">
        <v>2057</v>
      </c>
    </row>
    <row r="6623" spans="1:12" x14ac:dyDescent="0.3">
      <c r="H6623" s="74">
        <v>30</v>
      </c>
      <c r="K6623" s="55" t="s">
        <v>30</v>
      </c>
    </row>
    <row r="6625" spans="1:12" x14ac:dyDescent="0.3">
      <c r="A6625" s="72" t="s">
        <v>2061</v>
      </c>
      <c r="B6625" s="55" t="s">
        <v>10</v>
      </c>
      <c r="C6625" s="67" t="s">
        <v>46</v>
      </c>
      <c r="D6625" s="55" t="s">
        <v>52</v>
      </c>
      <c r="E6625" s="19">
        <v>213.26</v>
      </c>
      <c r="F6625" s="19">
        <v>7</v>
      </c>
      <c r="G6625" s="55" t="s">
        <v>11</v>
      </c>
      <c r="H6625" s="74">
        <v>10</v>
      </c>
      <c r="K6625" s="55" t="s">
        <v>25</v>
      </c>
    </row>
    <row r="6626" spans="1:12" x14ac:dyDescent="0.3">
      <c r="H6626" s="74">
        <v>10</v>
      </c>
      <c r="K6626" s="55" t="s">
        <v>84</v>
      </c>
    </row>
    <row r="6627" spans="1:12" x14ac:dyDescent="0.3">
      <c r="H6627" s="74">
        <v>100</v>
      </c>
      <c r="K6627" s="55" t="s">
        <v>96</v>
      </c>
    </row>
    <row r="6628" spans="1:12" x14ac:dyDescent="0.3">
      <c r="H6628" s="74">
        <v>60</v>
      </c>
      <c r="K6628" s="55" t="s">
        <v>32</v>
      </c>
      <c r="L6628" s="60" t="s">
        <v>2064</v>
      </c>
    </row>
    <row r="6629" spans="1:12" x14ac:dyDescent="0.3">
      <c r="H6629" s="74">
        <v>70</v>
      </c>
      <c r="K6629" s="55" t="s">
        <v>32</v>
      </c>
      <c r="L6629" s="60" t="s">
        <v>2065</v>
      </c>
    </row>
    <row r="6630" spans="1:12" x14ac:dyDescent="0.3">
      <c r="H6630" s="74">
        <v>30</v>
      </c>
      <c r="K6630" s="55" t="s">
        <v>34</v>
      </c>
      <c r="L6630" s="60" t="s">
        <v>149</v>
      </c>
    </row>
    <row r="6631" spans="1:12" x14ac:dyDescent="0.3">
      <c r="H6631" s="74">
        <v>40</v>
      </c>
      <c r="K6631" s="55" t="s">
        <v>34</v>
      </c>
      <c r="L6631" s="60" t="s">
        <v>2057</v>
      </c>
    </row>
    <row r="6632" spans="1:12" x14ac:dyDescent="0.3">
      <c r="H6632" s="74">
        <v>40</v>
      </c>
      <c r="K6632" s="55" t="s">
        <v>30</v>
      </c>
    </row>
    <row r="6633" spans="1:12" x14ac:dyDescent="0.3">
      <c r="H6633" s="74">
        <v>20</v>
      </c>
      <c r="K6633" s="55" t="s">
        <v>102</v>
      </c>
    </row>
    <row r="6635" spans="1:12" x14ac:dyDescent="0.3">
      <c r="A6635" s="72" t="s">
        <v>2061</v>
      </c>
      <c r="B6635" s="55" t="s">
        <v>12</v>
      </c>
      <c r="C6635" s="67" t="s">
        <v>47</v>
      </c>
      <c r="D6635" s="75" t="s">
        <v>2039</v>
      </c>
      <c r="E6635" s="19">
        <v>231.56</v>
      </c>
      <c r="F6635" s="19">
        <v>8</v>
      </c>
      <c r="G6635" s="55" t="s">
        <v>11</v>
      </c>
      <c r="H6635" s="74">
        <v>10</v>
      </c>
      <c r="K6635" s="55" t="s">
        <v>25</v>
      </c>
    </row>
    <row r="6636" spans="1:12" x14ac:dyDescent="0.3">
      <c r="H6636" s="74">
        <v>10</v>
      </c>
      <c r="K6636" s="55" t="s">
        <v>84</v>
      </c>
    </row>
    <row r="6637" spans="1:12" x14ac:dyDescent="0.3">
      <c r="H6637" s="74">
        <v>110</v>
      </c>
      <c r="K6637" s="55" t="s">
        <v>96</v>
      </c>
    </row>
    <row r="6638" spans="1:12" x14ac:dyDescent="0.3">
      <c r="H6638" s="74">
        <v>100</v>
      </c>
      <c r="K6638" s="55" t="s">
        <v>32</v>
      </c>
      <c r="L6638" s="60" t="s">
        <v>701</v>
      </c>
    </row>
    <row r="6639" spans="1:12" x14ac:dyDescent="0.3">
      <c r="H6639" s="74">
        <v>30</v>
      </c>
      <c r="K6639" s="55" t="s">
        <v>32</v>
      </c>
      <c r="L6639" s="60" t="s">
        <v>2060</v>
      </c>
    </row>
    <row r="6640" spans="1:12" x14ac:dyDescent="0.3">
      <c r="H6640" s="74">
        <v>30</v>
      </c>
      <c r="K6640" s="55" t="s">
        <v>30</v>
      </c>
      <c r="L6640" s="60" t="s">
        <v>348</v>
      </c>
    </row>
    <row r="6641" spans="1:12" x14ac:dyDescent="0.3">
      <c r="H6641" s="74">
        <v>20</v>
      </c>
      <c r="K6641" s="55" t="s">
        <v>102</v>
      </c>
    </row>
    <row r="6642" spans="1:12" x14ac:dyDescent="0.3">
      <c r="H6642" s="74">
        <v>20</v>
      </c>
      <c r="K6642" s="55" t="s">
        <v>34</v>
      </c>
      <c r="L6642" s="60" t="s">
        <v>149</v>
      </c>
    </row>
    <row r="6643" spans="1:12" x14ac:dyDescent="0.3">
      <c r="H6643" s="74">
        <v>25</v>
      </c>
      <c r="K6643" s="55" t="s">
        <v>34</v>
      </c>
      <c r="L6643" s="60" t="s">
        <v>2057</v>
      </c>
    </row>
    <row r="6644" spans="1:12" x14ac:dyDescent="0.3">
      <c r="H6644" s="74">
        <v>25</v>
      </c>
      <c r="K6644" s="55" t="s">
        <v>33</v>
      </c>
      <c r="L6644" s="60" t="s">
        <v>2066</v>
      </c>
    </row>
    <row r="6646" spans="1:12" x14ac:dyDescent="0.3">
      <c r="A6646" s="72" t="s">
        <v>2067</v>
      </c>
      <c r="B6646" s="55" t="s">
        <v>0</v>
      </c>
      <c r="C6646" s="112" t="s">
        <v>1983</v>
      </c>
      <c r="D6646" s="55" t="s">
        <v>51</v>
      </c>
      <c r="E6646" s="19">
        <v>160.29</v>
      </c>
      <c r="F6646" s="19">
        <v>6</v>
      </c>
      <c r="G6646" s="55" t="s">
        <v>11</v>
      </c>
      <c r="H6646" s="74">
        <v>10</v>
      </c>
      <c r="K6646" s="55" t="s">
        <v>25</v>
      </c>
    </row>
    <row r="6647" spans="1:12" x14ac:dyDescent="0.3">
      <c r="H6647" s="74">
        <v>10</v>
      </c>
      <c r="K6647" s="55" t="s">
        <v>84</v>
      </c>
    </row>
    <row r="6648" spans="1:12" x14ac:dyDescent="0.3">
      <c r="H6648" s="74">
        <v>30</v>
      </c>
      <c r="K6648" s="55" t="s">
        <v>32</v>
      </c>
      <c r="L6648" s="60" t="s">
        <v>942</v>
      </c>
    </row>
    <row r="6649" spans="1:12" x14ac:dyDescent="0.3">
      <c r="H6649" s="74">
        <v>30</v>
      </c>
      <c r="K6649" s="55" t="s">
        <v>32</v>
      </c>
      <c r="L6649" s="60" t="s">
        <v>2069</v>
      </c>
    </row>
    <row r="6650" spans="1:12" x14ac:dyDescent="0.3">
      <c r="H6650" s="74">
        <v>100</v>
      </c>
      <c r="K6650" s="55" t="s">
        <v>32</v>
      </c>
      <c r="L6650" s="60" t="s">
        <v>2068</v>
      </c>
    </row>
    <row r="6651" spans="1:12" x14ac:dyDescent="0.3">
      <c r="H6651" s="74">
        <v>20</v>
      </c>
      <c r="K6651" s="55" t="s">
        <v>102</v>
      </c>
    </row>
    <row r="6652" spans="1:12" x14ac:dyDescent="0.3">
      <c r="H6652" s="74">
        <v>50</v>
      </c>
      <c r="K6652" s="55" t="s">
        <v>34</v>
      </c>
      <c r="L6652" s="60" t="s">
        <v>149</v>
      </c>
    </row>
    <row r="6653" spans="1:12" x14ac:dyDescent="0.3">
      <c r="H6653" s="74">
        <v>40</v>
      </c>
      <c r="K6653" s="55" t="s">
        <v>34</v>
      </c>
      <c r="L6653" s="60" t="s">
        <v>2057</v>
      </c>
    </row>
    <row r="6654" spans="1:12" x14ac:dyDescent="0.3">
      <c r="H6654" s="74">
        <v>30</v>
      </c>
      <c r="K6654" s="55" t="s">
        <v>30</v>
      </c>
    </row>
    <row r="6656" spans="1:12" x14ac:dyDescent="0.3">
      <c r="A6656" s="72" t="s">
        <v>2067</v>
      </c>
      <c r="B6656" s="55" t="s">
        <v>10</v>
      </c>
      <c r="C6656" s="67" t="s">
        <v>46</v>
      </c>
      <c r="D6656" s="55" t="s">
        <v>52</v>
      </c>
      <c r="E6656" s="19">
        <v>227.71</v>
      </c>
      <c r="F6656" s="19">
        <v>8</v>
      </c>
      <c r="G6656" s="55" t="s">
        <v>11</v>
      </c>
      <c r="H6656" s="74">
        <v>10</v>
      </c>
      <c r="K6656" s="55" t="s">
        <v>25</v>
      </c>
    </row>
    <row r="6657" spans="1:12" x14ac:dyDescent="0.3">
      <c r="H6657" s="74">
        <v>10</v>
      </c>
      <c r="K6657" s="55" t="s">
        <v>84</v>
      </c>
    </row>
    <row r="6658" spans="1:12" x14ac:dyDescent="0.3">
      <c r="H6658" s="74">
        <v>100</v>
      </c>
      <c r="K6658" s="55" t="s">
        <v>96</v>
      </c>
    </row>
    <row r="6659" spans="1:12" x14ac:dyDescent="0.3">
      <c r="H6659" s="74">
        <v>60</v>
      </c>
      <c r="K6659" s="55" t="s">
        <v>32</v>
      </c>
      <c r="L6659" s="60" t="s">
        <v>2070</v>
      </c>
    </row>
    <row r="6660" spans="1:12" x14ac:dyDescent="0.3">
      <c r="H6660" s="74">
        <v>60</v>
      </c>
      <c r="K6660" s="55" t="s">
        <v>32</v>
      </c>
      <c r="L6660" s="60" t="s">
        <v>2065</v>
      </c>
    </row>
    <row r="6661" spans="1:12" x14ac:dyDescent="0.3">
      <c r="H6661" s="74">
        <v>30</v>
      </c>
      <c r="K6661" s="55" t="s">
        <v>34</v>
      </c>
      <c r="L6661" s="60" t="s">
        <v>149</v>
      </c>
    </row>
    <row r="6662" spans="1:12" x14ac:dyDescent="0.3">
      <c r="H6662" s="74">
        <v>40</v>
      </c>
      <c r="K6662" s="55" t="s">
        <v>34</v>
      </c>
      <c r="L6662" s="60" t="s">
        <v>2057</v>
      </c>
    </row>
    <row r="6663" spans="1:12" x14ac:dyDescent="0.3">
      <c r="H6663" s="74">
        <v>30</v>
      </c>
      <c r="K6663" s="55" t="s">
        <v>30</v>
      </c>
      <c r="L6663" s="60" t="s">
        <v>2072</v>
      </c>
    </row>
    <row r="6664" spans="1:12" x14ac:dyDescent="0.3">
      <c r="H6664" s="74">
        <v>20</v>
      </c>
      <c r="K6664" s="55" t="s">
        <v>102</v>
      </c>
    </row>
    <row r="6665" spans="1:12" x14ac:dyDescent="0.3">
      <c r="H6665" s="74">
        <v>20</v>
      </c>
      <c r="K6665" s="55" t="s">
        <v>33</v>
      </c>
      <c r="L6665" s="60" t="s">
        <v>2071</v>
      </c>
    </row>
    <row r="6667" spans="1:12" x14ac:dyDescent="0.3">
      <c r="A6667" s="72" t="s">
        <v>2067</v>
      </c>
      <c r="B6667" s="55" t="s">
        <v>12</v>
      </c>
      <c r="C6667" s="67" t="s">
        <v>47</v>
      </c>
      <c r="D6667" s="75" t="s">
        <v>2039</v>
      </c>
      <c r="E6667" s="19">
        <v>246.43</v>
      </c>
      <c r="F6667" s="19">
        <v>8</v>
      </c>
      <c r="G6667" s="55" t="s">
        <v>11</v>
      </c>
      <c r="H6667" s="74">
        <v>10</v>
      </c>
      <c r="K6667" s="55" t="s">
        <v>25</v>
      </c>
    </row>
    <row r="6668" spans="1:12" x14ac:dyDescent="0.3">
      <c r="H6668" s="74">
        <v>10</v>
      </c>
      <c r="K6668" s="55" t="s">
        <v>84</v>
      </c>
    </row>
    <row r="6669" spans="1:12" x14ac:dyDescent="0.3">
      <c r="H6669" s="74">
        <v>100</v>
      </c>
      <c r="K6669" s="55" t="s">
        <v>96</v>
      </c>
    </row>
    <row r="6670" spans="1:12" x14ac:dyDescent="0.3">
      <c r="H6670" s="74">
        <v>60</v>
      </c>
      <c r="K6670" s="55" t="s">
        <v>32</v>
      </c>
      <c r="L6670" s="60" t="s">
        <v>2073</v>
      </c>
    </row>
    <row r="6671" spans="1:12" x14ac:dyDescent="0.3">
      <c r="H6671" s="74">
        <v>30</v>
      </c>
      <c r="K6671" s="55" t="s">
        <v>32</v>
      </c>
      <c r="L6671" s="60" t="s">
        <v>391</v>
      </c>
    </row>
    <row r="6672" spans="1:12" x14ac:dyDescent="0.3">
      <c r="H6672" s="74">
        <v>30</v>
      </c>
      <c r="K6672" s="55" t="s">
        <v>30</v>
      </c>
      <c r="L6672" s="60" t="s">
        <v>348</v>
      </c>
    </row>
    <row r="6673" spans="8:12" x14ac:dyDescent="0.3">
      <c r="H6673" s="74">
        <v>30</v>
      </c>
      <c r="K6673" s="55" t="s">
        <v>34</v>
      </c>
      <c r="L6673" s="60" t="s">
        <v>134</v>
      </c>
    </row>
    <row r="6674" spans="8:12" x14ac:dyDescent="0.3">
      <c r="H6674" s="74">
        <v>50</v>
      </c>
      <c r="K6674" s="55" t="s">
        <v>34</v>
      </c>
      <c r="L6674" s="60" t="s">
        <v>2074</v>
      </c>
    </row>
    <row r="6675" spans="8:12" x14ac:dyDescent="0.3">
      <c r="H6675" s="74">
        <v>20</v>
      </c>
      <c r="K6675" s="55" t="s">
        <v>102</v>
      </c>
    </row>
    <row r="6676" spans="8:12" x14ac:dyDescent="0.3">
      <c r="H6676" s="74">
        <v>40</v>
      </c>
      <c r="K6676" s="55" t="s">
        <v>55</v>
      </c>
      <c r="L6676" s="60" t="s">
        <v>2014</v>
      </c>
    </row>
  </sheetData>
  <mergeCells count="1">
    <mergeCell ref="A1:L1"/>
  </mergeCells>
  <conditionalFormatting sqref="K6126:K6127">
    <cfRule type="duplicateValues" dxfId="0" priority="1"/>
  </conditionalFormatting>
  <dataValidations count="2">
    <dataValidation type="list" errorStyle="warning" allowBlank="1" showInputMessage="1" showErrorMessage="1" sqref="C156 C218 C188">
      <formula1>$AM$3:$AM$9</formula1>
    </dataValidation>
    <dataValidation type="list" errorStyle="warning" allowBlank="1" showInputMessage="1" showErrorMessage="1" sqref="C6337 C6372 C6405 C6439 C6515:C6516 C6560 C6592 C6615 C6646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Sheet3!$I$6:$I$8</xm:f>
          </x14:formula1>
          <xm:sqref>B3:B123 B133:B1583 B1592:B1996 B1998:B2310 B2320:B2343 B2347:B2363 B2368:B2397 D4826:D4835 B2402:B1048576</xm:sqref>
        </x14:dataValidation>
        <x14:dataValidation type="list" allowBlank="1" showInputMessage="1" showErrorMessage="1">
          <x14:formula1>
            <xm:f>Sheet3!$F$6:$F$11</xm:f>
          </x14:formula1>
          <xm:sqref>B124:B132 C3:C155 C157:C187 C189:C217 C219:C406 C408:C508 C510:C535 C568:C593 C537:C566 C595:C1996 B2311:B2319 B2344:B2346 B2364:B2367 B2398:B2401 E4826:E4835 C1998:C4825 C4836:C5467 C5469:C6047 C6049:C6336 C6338:C6371 C6373:C6404 C6406:C6438 C6440:C6514 C6517:C6559 C6561:C6591 C6593:C6614 C6616:C6645 C6647:C1048576</xm:sqref>
        </x14:dataValidation>
        <x14:dataValidation type="list" allowBlank="1" showInputMessage="1" showErrorMessage="1">
          <x14:formula1>
            <xm:f>Sheet3!$F$15:$F$17</xm:f>
          </x14:formula1>
          <xm:sqref>B1584:B1591 D3:D1996 F4826:F4835 D1998:D4825 D4836:D6514 D6516:D6570 D6572:D6603 D6605:D6634 D6636:D6666 D6668:D1048576</xm:sqref>
        </x14:dataValidation>
        <x14:dataValidation type="list" allowBlank="1" showInputMessage="1" showErrorMessage="1">
          <x14:formula1>
            <xm:f>Sheet3!$J$7:$J$16</xm:f>
          </x14:formula1>
          <xm:sqref>L1689 K3:K1688 L1867 L1997:XFD1997 A1997:J1997 N2241:N2250 L3051 N3217:N3221 R4826:R4835 M4826:M4835 N5433 N6048:N6056 N6116 K1690:K1048576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31"/>
  <sheetViews>
    <sheetView workbookViewId="0">
      <selection activeCell="L20" sqref="K20:L20"/>
    </sheetView>
  </sheetViews>
  <sheetFormatPr defaultRowHeight="15" x14ac:dyDescent="0.25"/>
  <cols>
    <col min="3" max="3" width="31.7109375" customWidth="1"/>
    <col min="4" max="4" width="19.7109375" customWidth="1"/>
    <col min="5" max="5" width="14.7109375" customWidth="1"/>
    <col min="9" max="9" width="24.85546875" customWidth="1"/>
    <col min="10" max="10" width="14.28515625" customWidth="1"/>
    <col min="12" max="12" width="11.42578125" customWidth="1"/>
  </cols>
  <sheetData>
    <row r="1" spans="2:11" ht="41.25" customHeight="1" x14ac:dyDescent="0.7">
      <c r="B1" s="119" t="s">
        <v>181</v>
      </c>
      <c r="C1" s="119"/>
      <c r="D1" s="119"/>
      <c r="E1" s="119"/>
      <c r="F1" s="34"/>
    </row>
    <row r="2" spans="2:11" hidden="1" x14ac:dyDescent="0.25">
      <c r="B2" s="119"/>
      <c r="C2" s="119"/>
      <c r="D2" s="119"/>
      <c r="E2" s="119"/>
    </row>
    <row r="3" spans="2:11" ht="29.25" customHeight="1" x14ac:dyDescent="0.25">
      <c r="B3" s="36" t="s">
        <v>150</v>
      </c>
      <c r="C3" s="36" t="s">
        <v>180</v>
      </c>
      <c r="D3" s="36" t="s">
        <v>151</v>
      </c>
      <c r="E3" s="36" t="s">
        <v>152</v>
      </c>
    </row>
    <row r="4" spans="2:11" ht="20.100000000000001" customHeight="1" x14ac:dyDescent="0.25">
      <c r="B4" s="3">
        <v>1</v>
      </c>
      <c r="C4" s="35" t="s">
        <v>157</v>
      </c>
      <c r="D4" s="35">
        <v>7978908771</v>
      </c>
      <c r="E4" s="115" t="s">
        <v>176</v>
      </c>
    </row>
    <row r="5" spans="2:11" ht="20.100000000000001" customHeight="1" x14ac:dyDescent="0.25">
      <c r="B5" s="3">
        <v>2</v>
      </c>
      <c r="C5" s="35" t="s">
        <v>155</v>
      </c>
      <c r="D5" s="35">
        <v>8327707398</v>
      </c>
      <c r="E5" s="115"/>
      <c r="H5" s="37"/>
      <c r="I5" s="37"/>
      <c r="J5" s="37"/>
      <c r="K5" s="37"/>
    </row>
    <row r="6" spans="2:11" ht="20.100000000000001" customHeight="1" x14ac:dyDescent="0.25">
      <c r="B6" s="3">
        <v>3</v>
      </c>
      <c r="C6" s="35" t="s">
        <v>156</v>
      </c>
      <c r="D6" s="35">
        <v>7672805121</v>
      </c>
      <c r="E6" s="115"/>
      <c r="H6" s="37"/>
      <c r="I6" s="38"/>
      <c r="J6" s="38"/>
      <c r="K6" s="37"/>
    </row>
    <row r="7" spans="2:11" ht="20.100000000000001" customHeight="1" x14ac:dyDescent="0.25">
      <c r="B7" s="3">
        <v>4</v>
      </c>
      <c r="C7" s="35" t="s">
        <v>154</v>
      </c>
      <c r="D7" s="35">
        <v>9348501479</v>
      </c>
      <c r="E7" s="115"/>
      <c r="H7" s="37"/>
      <c r="I7" s="38"/>
      <c r="J7" s="38"/>
      <c r="K7" s="37"/>
    </row>
    <row r="8" spans="2:11" ht="20.100000000000001" customHeight="1" x14ac:dyDescent="0.25">
      <c r="B8" s="3">
        <v>5</v>
      </c>
      <c r="C8" s="35" t="s">
        <v>153</v>
      </c>
      <c r="D8" s="35">
        <v>8114892619</v>
      </c>
      <c r="E8" s="115"/>
      <c r="H8" s="37"/>
      <c r="I8" s="38"/>
      <c r="J8" s="38"/>
      <c r="K8" s="37"/>
    </row>
    <row r="9" spans="2:11" ht="20.100000000000001" customHeight="1" x14ac:dyDescent="0.25">
      <c r="B9" s="3">
        <v>6</v>
      </c>
      <c r="C9" s="35" t="s">
        <v>159</v>
      </c>
      <c r="D9" s="35">
        <v>9439246260</v>
      </c>
      <c r="E9" s="115"/>
      <c r="H9" s="37"/>
      <c r="I9" s="37"/>
      <c r="J9" s="37"/>
      <c r="K9" s="37"/>
    </row>
    <row r="10" spans="2:11" ht="20.100000000000001" customHeight="1" x14ac:dyDescent="0.25">
      <c r="B10" s="3">
        <v>7</v>
      </c>
      <c r="C10" s="35" t="s">
        <v>158</v>
      </c>
      <c r="D10" s="35">
        <v>7606894883</v>
      </c>
      <c r="E10" s="115"/>
      <c r="I10" s="111"/>
    </row>
    <row r="11" spans="2:11" ht="20.100000000000001" customHeight="1" x14ac:dyDescent="0.25">
      <c r="B11" s="3">
        <v>8</v>
      </c>
      <c r="C11" s="35" t="s">
        <v>172</v>
      </c>
      <c r="D11" s="35">
        <v>9583167768</v>
      </c>
      <c r="E11" s="116" t="s">
        <v>175</v>
      </c>
    </row>
    <row r="12" spans="2:11" ht="20.100000000000001" customHeight="1" x14ac:dyDescent="0.25">
      <c r="B12" s="3">
        <v>9</v>
      </c>
      <c r="C12" s="35" t="s">
        <v>173</v>
      </c>
      <c r="D12" s="35">
        <v>8917376291</v>
      </c>
      <c r="E12" s="117"/>
    </row>
    <row r="13" spans="2:11" ht="20.100000000000001" customHeight="1" x14ac:dyDescent="0.25">
      <c r="B13" s="3">
        <v>10</v>
      </c>
      <c r="C13" s="35" t="s">
        <v>160</v>
      </c>
      <c r="D13" s="35">
        <v>7683804961</v>
      </c>
      <c r="E13" s="117"/>
    </row>
    <row r="14" spans="2:11" ht="20.100000000000001" customHeight="1" x14ac:dyDescent="0.25">
      <c r="B14" s="3">
        <v>11</v>
      </c>
      <c r="C14" s="35" t="s">
        <v>174</v>
      </c>
      <c r="D14" s="35">
        <v>7894763785</v>
      </c>
      <c r="E14" s="117"/>
    </row>
    <row r="15" spans="2:11" ht="20.100000000000001" customHeight="1" x14ac:dyDescent="0.25">
      <c r="B15" s="3">
        <v>12</v>
      </c>
      <c r="C15" s="35" t="s">
        <v>167</v>
      </c>
      <c r="D15" s="35">
        <v>7326937195</v>
      </c>
      <c r="E15" s="117"/>
    </row>
    <row r="16" spans="2:11" ht="20.100000000000001" customHeight="1" x14ac:dyDescent="0.25">
      <c r="B16" s="3">
        <v>13</v>
      </c>
      <c r="C16" s="35" t="s">
        <v>178</v>
      </c>
      <c r="D16" s="35">
        <v>9777983650</v>
      </c>
      <c r="E16" s="117"/>
    </row>
    <row r="17" spans="2:12" ht="25.5" customHeight="1" x14ac:dyDescent="0.25">
      <c r="B17" s="3">
        <v>14</v>
      </c>
      <c r="C17" s="35" t="s">
        <v>171</v>
      </c>
      <c r="D17" s="35">
        <v>7978399687</v>
      </c>
      <c r="E17" s="118"/>
    </row>
    <row r="18" spans="2:12" ht="20.100000000000001" customHeight="1" x14ac:dyDescent="0.25">
      <c r="B18" s="3">
        <v>15</v>
      </c>
      <c r="C18" s="35" t="s">
        <v>168</v>
      </c>
      <c r="D18" s="35">
        <v>8338990245</v>
      </c>
      <c r="E18" s="116" t="s">
        <v>177</v>
      </c>
      <c r="L18" s="109"/>
    </row>
    <row r="19" spans="2:12" ht="20.100000000000001" customHeight="1" x14ac:dyDescent="0.25">
      <c r="B19" s="3">
        <v>16</v>
      </c>
      <c r="C19" s="35" t="s">
        <v>162</v>
      </c>
      <c r="D19" s="35">
        <v>7735802183</v>
      </c>
      <c r="E19" s="117"/>
    </row>
    <row r="20" spans="2:12" ht="20.100000000000001" customHeight="1" x14ac:dyDescent="0.25">
      <c r="B20" s="3">
        <v>17</v>
      </c>
      <c r="C20" s="35" t="s">
        <v>164</v>
      </c>
      <c r="D20" s="35">
        <v>9178984812</v>
      </c>
      <c r="E20" s="117"/>
    </row>
    <row r="21" spans="2:12" ht="20.100000000000001" customHeight="1" x14ac:dyDescent="0.25">
      <c r="B21" s="3">
        <v>18</v>
      </c>
      <c r="C21" s="35" t="s">
        <v>166</v>
      </c>
      <c r="D21" s="35">
        <v>9937673264</v>
      </c>
      <c r="E21" s="117"/>
      <c r="I21">
        <f>I23</f>
        <v>0</v>
      </c>
    </row>
    <row r="22" spans="2:12" ht="20.100000000000001" customHeight="1" x14ac:dyDescent="0.25">
      <c r="B22" s="3">
        <v>19</v>
      </c>
      <c r="C22" s="35" t="s">
        <v>169</v>
      </c>
      <c r="D22" s="35">
        <v>9040985523</v>
      </c>
      <c r="E22" s="117"/>
    </row>
    <row r="23" spans="2:12" ht="20.100000000000001" customHeight="1" x14ac:dyDescent="0.25">
      <c r="B23" s="3">
        <v>20</v>
      </c>
      <c r="C23" s="35" t="s">
        <v>170</v>
      </c>
      <c r="D23" s="35">
        <v>7750074475</v>
      </c>
      <c r="E23" s="117"/>
    </row>
    <row r="24" spans="2:12" ht="20.100000000000001" customHeight="1" x14ac:dyDescent="0.25">
      <c r="B24" s="3">
        <v>21</v>
      </c>
      <c r="C24" s="35" t="s">
        <v>165</v>
      </c>
      <c r="D24" s="35">
        <v>9668655337</v>
      </c>
      <c r="E24" s="117"/>
    </row>
    <row r="25" spans="2:12" ht="20.100000000000001" customHeight="1" x14ac:dyDescent="0.25">
      <c r="B25" s="3">
        <v>22</v>
      </c>
      <c r="C25" s="35" t="s">
        <v>163</v>
      </c>
      <c r="D25" s="35">
        <v>7077674304</v>
      </c>
      <c r="E25" s="117"/>
    </row>
    <row r="26" spans="2:12" ht="20.100000000000001" customHeight="1" x14ac:dyDescent="0.25">
      <c r="B26" s="3">
        <v>23</v>
      </c>
      <c r="C26" s="35" t="s">
        <v>179</v>
      </c>
      <c r="D26" s="35">
        <v>7328810933</v>
      </c>
      <c r="E26" s="117"/>
      <c r="I26">
        <f>30.92/2</f>
        <v>15.46</v>
      </c>
    </row>
    <row r="27" spans="2:12" ht="20.100000000000001" customHeight="1" x14ac:dyDescent="0.25">
      <c r="B27" s="3">
        <v>24</v>
      </c>
      <c r="C27" s="35" t="s">
        <v>161</v>
      </c>
      <c r="D27" s="35">
        <v>8984229558</v>
      </c>
      <c r="E27" s="118"/>
    </row>
    <row r="28" spans="2:12" x14ac:dyDescent="0.25">
      <c r="B28" s="3"/>
    </row>
    <row r="29" spans="2:12" x14ac:dyDescent="0.25">
      <c r="B29" s="3"/>
    </row>
    <row r="30" spans="2:12" x14ac:dyDescent="0.25">
      <c r="B30" s="3"/>
    </row>
    <row r="31" spans="2:12" x14ac:dyDescent="0.25">
      <c r="H31">
        <f>230/11</f>
        <v>20.90909090909091</v>
      </c>
    </row>
  </sheetData>
  <sortState ref="C2:C8">
    <sortCondition ref="C2"/>
  </sortState>
  <mergeCells count="4">
    <mergeCell ref="E4:E10"/>
    <mergeCell ref="E11:E17"/>
    <mergeCell ref="E18:E27"/>
    <mergeCell ref="B1:E2"/>
  </mergeCells>
  <printOptions horizontalCentered="1"/>
  <pageMargins left="0.70866141732283472" right="0.31496062992125984" top="0.55118110236220474" bottom="0.74803149606299213" header="0.31496062992125984" footer="0.31496062992125984"/>
  <pageSetup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5"/>
  <sheetViews>
    <sheetView zoomScale="80" zoomScaleNormal="80" workbookViewId="0">
      <selection activeCell="H30" sqref="H30"/>
    </sheetView>
  </sheetViews>
  <sheetFormatPr defaultRowHeight="15" x14ac:dyDescent="0.25"/>
  <cols>
    <col min="6" max="6" width="18.5703125" customWidth="1"/>
    <col min="10" max="10" width="31.7109375" bestFit="1" customWidth="1"/>
    <col min="11" max="11" width="6.28515625" customWidth="1"/>
    <col min="12" max="12" width="64.85546875" bestFit="1" customWidth="1"/>
    <col min="13" max="13" width="47" bestFit="1" customWidth="1"/>
    <col min="14" max="14" width="51" customWidth="1"/>
    <col min="15" max="15" width="17.5703125" customWidth="1"/>
    <col min="16" max="16" width="39.7109375" customWidth="1"/>
  </cols>
  <sheetData>
    <row r="1" spans="1:16" x14ac:dyDescent="0.25">
      <c r="A1" s="31"/>
      <c r="B1" s="31"/>
      <c r="C1" s="32"/>
    </row>
    <row r="2" spans="1:16" x14ac:dyDescent="0.25">
      <c r="A2" s="31"/>
      <c r="B2" s="31"/>
      <c r="C2" s="32"/>
    </row>
    <row r="3" spans="1:16" x14ac:dyDescent="0.25">
      <c r="A3" s="31"/>
      <c r="B3" s="31"/>
      <c r="C3" s="32"/>
    </row>
    <row r="4" spans="1:16" x14ac:dyDescent="0.25">
      <c r="A4" s="31"/>
      <c r="B4" s="31"/>
      <c r="C4" s="32"/>
    </row>
    <row r="5" spans="1:16" x14ac:dyDescent="0.25">
      <c r="A5" s="31"/>
      <c r="B5" s="31"/>
      <c r="C5" s="32"/>
    </row>
    <row r="6" spans="1:16" ht="15.75" x14ac:dyDescent="0.25">
      <c r="A6" s="31"/>
      <c r="B6" s="31"/>
      <c r="C6" s="32"/>
      <c r="F6" s="21" t="s">
        <v>46</v>
      </c>
      <c r="I6" s="22" t="s">
        <v>0</v>
      </c>
      <c r="L6" s="12" t="s">
        <v>83</v>
      </c>
      <c r="M6" s="2" t="s">
        <v>28</v>
      </c>
      <c r="N6" s="4" t="s">
        <v>84</v>
      </c>
    </row>
    <row r="7" spans="1:16" ht="15.75" x14ac:dyDescent="0.25">
      <c r="A7" s="31"/>
      <c r="B7" s="31"/>
      <c r="C7" s="32"/>
      <c r="F7" s="21" t="s">
        <v>47</v>
      </c>
      <c r="I7" s="22" t="s">
        <v>10</v>
      </c>
      <c r="J7" s="17" t="s">
        <v>25</v>
      </c>
      <c r="K7" s="25"/>
      <c r="L7" s="3" t="s">
        <v>26</v>
      </c>
      <c r="M7" s="26" t="s">
        <v>29</v>
      </c>
      <c r="N7" s="1" t="s">
        <v>27</v>
      </c>
    </row>
    <row r="8" spans="1:16" ht="15.75" x14ac:dyDescent="0.25">
      <c r="A8" s="31"/>
      <c r="B8" s="31"/>
      <c r="C8" s="32"/>
      <c r="F8" s="21" t="s">
        <v>48</v>
      </c>
      <c r="I8" s="22" t="s">
        <v>12</v>
      </c>
      <c r="J8" s="18" t="s">
        <v>84</v>
      </c>
      <c r="K8" s="8"/>
      <c r="L8" s="1"/>
    </row>
    <row r="9" spans="1:16" x14ac:dyDescent="0.25">
      <c r="A9" s="31"/>
      <c r="B9" s="31"/>
      <c r="C9" s="32"/>
      <c r="F9" s="21" t="s">
        <v>188</v>
      </c>
      <c r="J9" s="17" t="s">
        <v>96</v>
      </c>
      <c r="K9" s="9"/>
    </row>
    <row r="10" spans="1:16" x14ac:dyDescent="0.25">
      <c r="A10" s="33"/>
      <c r="B10" s="33"/>
      <c r="C10" s="32"/>
      <c r="F10" s="21" t="s">
        <v>49</v>
      </c>
      <c r="J10" s="19" t="s">
        <v>32</v>
      </c>
      <c r="K10" s="14"/>
      <c r="L10" s="13" t="s">
        <v>32</v>
      </c>
      <c r="M10" s="13" t="s">
        <v>30</v>
      </c>
      <c r="N10" s="13" t="s">
        <v>34</v>
      </c>
      <c r="P10" s="5"/>
    </row>
    <row r="11" spans="1:16" x14ac:dyDescent="0.25">
      <c r="A11" s="33"/>
      <c r="B11" s="33"/>
      <c r="C11" s="32"/>
      <c r="F11" s="21" t="s">
        <v>296</v>
      </c>
      <c r="J11" s="19" t="s">
        <v>30</v>
      </c>
      <c r="K11" s="15"/>
      <c r="L11" s="1" t="s">
        <v>36</v>
      </c>
      <c r="M11" s="1" t="s">
        <v>31</v>
      </c>
      <c r="N11" s="1" t="s">
        <v>35</v>
      </c>
      <c r="P11" s="1"/>
    </row>
    <row r="12" spans="1:16" x14ac:dyDescent="0.25">
      <c r="A12" s="33"/>
      <c r="B12" s="33"/>
      <c r="C12" s="32"/>
      <c r="F12" s="21"/>
      <c r="J12" s="19" t="s">
        <v>33</v>
      </c>
      <c r="K12" s="14"/>
      <c r="L12" s="1" t="s">
        <v>125</v>
      </c>
      <c r="M12" s="1" t="s">
        <v>56</v>
      </c>
      <c r="N12" s="1" t="s">
        <v>59</v>
      </c>
      <c r="P12" s="1"/>
    </row>
    <row r="13" spans="1:16" x14ac:dyDescent="0.25">
      <c r="A13" s="33"/>
      <c r="B13" s="33"/>
      <c r="C13" s="32"/>
      <c r="J13" s="20" t="s">
        <v>34</v>
      </c>
      <c r="K13" s="10"/>
      <c r="L13" s="1" t="s">
        <v>13</v>
      </c>
      <c r="M13" s="7" t="s">
        <v>57</v>
      </c>
      <c r="N13" s="7" t="s">
        <v>60</v>
      </c>
      <c r="P13" s="1"/>
    </row>
    <row r="14" spans="1:16" x14ac:dyDescent="0.25">
      <c r="A14" s="33"/>
      <c r="B14" s="33"/>
      <c r="C14" s="32"/>
      <c r="J14" s="20" t="s">
        <v>55</v>
      </c>
      <c r="K14" s="10"/>
      <c r="L14" s="1" t="s">
        <v>14</v>
      </c>
      <c r="M14" s="7" t="s">
        <v>58</v>
      </c>
      <c r="N14" s="7" t="s">
        <v>61</v>
      </c>
      <c r="P14" s="1"/>
    </row>
    <row r="15" spans="1:16" x14ac:dyDescent="0.25">
      <c r="A15" s="33"/>
      <c r="B15" s="33"/>
      <c r="C15" s="32"/>
      <c r="F15" s="21" t="s">
        <v>50</v>
      </c>
      <c r="J15" s="20" t="s">
        <v>15</v>
      </c>
      <c r="K15" s="10"/>
      <c r="L15" s="1" t="s">
        <v>17</v>
      </c>
      <c r="M15" s="16"/>
      <c r="N15" s="16"/>
      <c r="P15" s="1"/>
    </row>
    <row r="16" spans="1:16" x14ac:dyDescent="0.25">
      <c r="A16" s="33"/>
      <c r="B16" s="33"/>
      <c r="C16" s="32"/>
      <c r="F16" s="21" t="s">
        <v>51</v>
      </c>
      <c r="J16" s="20" t="s">
        <v>102</v>
      </c>
      <c r="L16" s="1" t="s">
        <v>37</v>
      </c>
      <c r="M16" s="16"/>
      <c r="N16" s="16"/>
      <c r="P16" s="1"/>
    </row>
    <row r="17" spans="1:16" x14ac:dyDescent="0.25">
      <c r="A17" s="33"/>
      <c r="B17" s="33"/>
      <c r="C17" s="32"/>
      <c r="F17" s="21" t="s">
        <v>52</v>
      </c>
      <c r="J17" s="20" t="s">
        <v>130</v>
      </c>
      <c r="L17" s="1" t="s">
        <v>128</v>
      </c>
      <c r="M17" s="16"/>
      <c r="N17" s="13" t="s">
        <v>33</v>
      </c>
      <c r="P17" s="1"/>
    </row>
    <row r="18" spans="1:16" x14ac:dyDescent="0.25">
      <c r="A18" s="33"/>
      <c r="B18" s="33"/>
      <c r="C18" s="32"/>
      <c r="J18" s="20" t="s">
        <v>138</v>
      </c>
      <c r="L18" s="1" t="s">
        <v>41</v>
      </c>
      <c r="M18" s="16"/>
      <c r="N18" s="28" t="s">
        <v>43</v>
      </c>
      <c r="P18" s="1"/>
    </row>
    <row r="19" spans="1:16" x14ac:dyDescent="0.25">
      <c r="A19" s="33"/>
      <c r="B19" s="33"/>
      <c r="C19" s="32"/>
      <c r="L19" s="1" t="s">
        <v>24</v>
      </c>
      <c r="M19" s="16"/>
      <c r="N19" s="28" t="s">
        <v>17</v>
      </c>
      <c r="P19" s="1"/>
    </row>
    <row r="20" spans="1:16" x14ac:dyDescent="0.25">
      <c r="A20" s="33"/>
      <c r="B20" s="33"/>
      <c r="C20" s="32"/>
      <c r="L20" s="1" t="s">
        <v>38</v>
      </c>
      <c r="M20" s="16"/>
      <c r="N20" s="28" t="s">
        <v>105</v>
      </c>
      <c r="P20" s="1"/>
    </row>
    <row r="21" spans="1:16" x14ac:dyDescent="0.25">
      <c r="A21" s="33"/>
      <c r="B21" s="33"/>
      <c r="C21" s="32"/>
      <c r="F21" s="21" t="s">
        <v>11</v>
      </c>
      <c r="L21" s="1" t="s">
        <v>121</v>
      </c>
      <c r="M21" s="16"/>
      <c r="N21" s="28" t="s">
        <v>106</v>
      </c>
      <c r="P21" s="10"/>
    </row>
    <row r="22" spans="1:16" x14ac:dyDescent="0.25">
      <c r="A22" s="33"/>
      <c r="B22" s="33"/>
      <c r="C22" s="32"/>
      <c r="L22" s="1"/>
      <c r="M22" s="16"/>
      <c r="N22" s="29" t="s">
        <v>89</v>
      </c>
      <c r="P22" s="10"/>
    </row>
    <row r="23" spans="1:16" x14ac:dyDescent="0.25">
      <c r="A23" s="33"/>
      <c r="B23" s="33"/>
      <c r="C23" s="32"/>
      <c r="F23" t="s">
        <v>53</v>
      </c>
      <c r="L23" s="16"/>
      <c r="M23" s="13" t="s">
        <v>15</v>
      </c>
      <c r="N23" s="28" t="s">
        <v>115</v>
      </c>
      <c r="P23" s="1"/>
    </row>
    <row r="24" spans="1:16" x14ac:dyDescent="0.25">
      <c r="A24" s="33"/>
      <c r="B24" s="33"/>
      <c r="C24" s="32"/>
      <c r="F24" t="s">
        <v>54</v>
      </c>
      <c r="L24" s="16"/>
      <c r="M24" s="16" t="s">
        <v>40</v>
      </c>
      <c r="N24" s="28" t="s">
        <v>119</v>
      </c>
      <c r="P24" s="1"/>
    </row>
    <row r="25" spans="1:16" x14ac:dyDescent="0.25">
      <c r="A25" s="33"/>
      <c r="B25" s="33"/>
      <c r="C25" s="31"/>
      <c r="F25" t="s">
        <v>82</v>
      </c>
      <c r="L25" s="13" t="s">
        <v>55</v>
      </c>
      <c r="M25" s="16" t="s">
        <v>67</v>
      </c>
      <c r="N25" s="29" t="s">
        <v>76</v>
      </c>
      <c r="P25" s="10"/>
    </row>
    <row r="26" spans="1:16" x14ac:dyDescent="0.25">
      <c r="A26" s="33"/>
      <c r="B26" s="33"/>
      <c r="C26" s="31"/>
      <c r="L26" s="1" t="s">
        <v>39</v>
      </c>
      <c r="M26" s="16" t="s">
        <v>68</v>
      </c>
      <c r="N26" s="28" t="s">
        <v>95</v>
      </c>
      <c r="P26" s="10"/>
    </row>
    <row r="27" spans="1:16" x14ac:dyDescent="0.25">
      <c r="A27" s="33"/>
      <c r="B27" s="33"/>
      <c r="C27" s="31"/>
      <c r="L27" s="1" t="s">
        <v>124</v>
      </c>
      <c r="M27" s="16" t="s">
        <v>69</v>
      </c>
      <c r="N27" s="29" t="s">
        <v>81</v>
      </c>
      <c r="P27" s="1"/>
    </row>
    <row r="28" spans="1:16" x14ac:dyDescent="0.25">
      <c r="A28" s="33"/>
      <c r="B28" s="33"/>
      <c r="C28" s="31"/>
      <c r="L28" s="7" t="s">
        <v>62</v>
      </c>
      <c r="M28" s="16" t="s">
        <v>70</v>
      </c>
      <c r="N28" s="28" t="s">
        <v>22</v>
      </c>
      <c r="P28" s="1"/>
    </row>
    <row r="29" spans="1:16" x14ac:dyDescent="0.25">
      <c r="A29" s="33"/>
      <c r="B29" s="33"/>
      <c r="C29" s="31"/>
      <c r="L29" s="1" t="s">
        <v>97</v>
      </c>
      <c r="M29" s="16" t="s">
        <v>71</v>
      </c>
      <c r="N29" s="28" t="s">
        <v>74</v>
      </c>
      <c r="P29" s="10"/>
    </row>
    <row r="30" spans="1:16" x14ac:dyDescent="0.25">
      <c r="A30" s="33"/>
      <c r="B30" s="33"/>
      <c r="C30" s="31"/>
      <c r="L30" s="1" t="s">
        <v>13</v>
      </c>
      <c r="M30" s="16" t="s">
        <v>72</v>
      </c>
      <c r="N30" s="28" t="s">
        <v>117</v>
      </c>
      <c r="P30" s="10"/>
    </row>
    <row r="31" spans="1:16" x14ac:dyDescent="0.25">
      <c r="A31" s="33"/>
      <c r="B31" s="33"/>
      <c r="C31" s="31"/>
      <c r="L31" s="7" t="s">
        <v>65</v>
      </c>
      <c r="M31" s="16"/>
      <c r="N31" s="28" t="s">
        <v>42</v>
      </c>
      <c r="P31" s="10"/>
    </row>
    <row r="32" spans="1:16" x14ac:dyDescent="0.25">
      <c r="A32" s="33"/>
      <c r="B32" s="33"/>
      <c r="C32" s="31"/>
      <c r="L32" s="1" t="s">
        <v>122</v>
      </c>
      <c r="M32" s="16"/>
      <c r="N32" s="28" t="s">
        <v>109</v>
      </c>
      <c r="P32" s="10"/>
    </row>
    <row r="33" spans="1:16" x14ac:dyDescent="0.25">
      <c r="A33" s="33"/>
      <c r="B33" s="33"/>
      <c r="C33" s="31"/>
      <c r="L33" s="7" t="s">
        <v>63</v>
      </c>
      <c r="M33" s="16"/>
      <c r="N33" s="29" t="s">
        <v>93</v>
      </c>
      <c r="P33" s="10"/>
    </row>
    <row r="34" spans="1:16" x14ac:dyDescent="0.25">
      <c r="A34" s="33"/>
      <c r="B34" s="33"/>
      <c r="C34" s="31"/>
      <c r="L34" s="7" t="s">
        <v>64</v>
      </c>
      <c r="M34" s="16"/>
      <c r="N34" s="28" t="s">
        <v>19</v>
      </c>
    </row>
    <row r="35" spans="1:16" x14ac:dyDescent="0.25">
      <c r="A35" s="33"/>
      <c r="B35" s="33"/>
      <c r="C35" s="31"/>
      <c r="L35" s="7" t="s">
        <v>66</v>
      </c>
      <c r="M35" s="16"/>
      <c r="N35" s="28" t="s">
        <v>110</v>
      </c>
    </row>
    <row r="36" spans="1:16" x14ac:dyDescent="0.25">
      <c r="A36" s="33"/>
      <c r="B36" s="33"/>
      <c r="C36" s="31"/>
      <c r="L36" s="1" t="s">
        <v>127</v>
      </c>
      <c r="M36" s="16"/>
      <c r="N36" s="28" t="s">
        <v>73</v>
      </c>
    </row>
    <row r="37" spans="1:16" x14ac:dyDescent="0.25">
      <c r="A37" s="33"/>
      <c r="B37" s="33"/>
      <c r="C37" s="31"/>
      <c r="L37" s="1" t="s">
        <v>145</v>
      </c>
      <c r="M37" s="16"/>
      <c r="N37" s="29" t="s">
        <v>91</v>
      </c>
    </row>
    <row r="38" spans="1:16" x14ac:dyDescent="0.25">
      <c r="A38" s="31"/>
      <c r="B38" s="33"/>
      <c r="C38" s="31"/>
      <c r="L38" s="1"/>
      <c r="M38" s="16"/>
      <c r="N38" s="28" t="s">
        <v>120</v>
      </c>
    </row>
    <row r="39" spans="1:16" x14ac:dyDescent="0.25">
      <c r="A39" s="31"/>
      <c r="B39" s="33"/>
      <c r="C39" s="31"/>
      <c r="L39" s="16"/>
      <c r="M39" s="16"/>
      <c r="N39" s="29" t="s">
        <v>75</v>
      </c>
    </row>
    <row r="40" spans="1:16" x14ac:dyDescent="0.25">
      <c r="A40" s="31"/>
      <c r="B40" s="33"/>
      <c r="C40" s="31"/>
      <c r="L40" s="16"/>
      <c r="M40" s="16"/>
      <c r="N40" s="28" t="s">
        <v>90</v>
      </c>
    </row>
    <row r="41" spans="1:16" x14ac:dyDescent="0.25">
      <c r="A41" s="31"/>
      <c r="B41" s="33"/>
      <c r="C41" s="31"/>
      <c r="L41" s="16"/>
      <c r="M41" s="16"/>
      <c r="N41" s="28" t="s">
        <v>126</v>
      </c>
    </row>
    <row r="42" spans="1:16" x14ac:dyDescent="0.25">
      <c r="A42" s="31"/>
      <c r="B42" s="33"/>
      <c r="C42" s="31"/>
      <c r="L42" s="16"/>
      <c r="M42" s="16"/>
      <c r="N42" s="29" t="s">
        <v>92</v>
      </c>
    </row>
    <row r="43" spans="1:16" x14ac:dyDescent="0.25">
      <c r="A43" s="31"/>
      <c r="B43" s="33"/>
      <c r="C43" s="31"/>
      <c r="L43" s="16"/>
      <c r="M43" s="16"/>
      <c r="N43" s="28" t="s">
        <v>44</v>
      </c>
    </row>
    <row r="44" spans="1:16" x14ac:dyDescent="0.25">
      <c r="A44" s="31"/>
      <c r="B44" s="33"/>
      <c r="C44" s="31"/>
      <c r="L44" s="16"/>
      <c r="M44" s="16"/>
      <c r="N44" s="28" t="s">
        <v>23</v>
      </c>
    </row>
    <row r="45" spans="1:16" x14ac:dyDescent="0.25">
      <c r="A45" s="31"/>
      <c r="B45" s="33"/>
      <c r="C45" s="31"/>
      <c r="L45" s="16"/>
      <c r="M45" s="16"/>
      <c r="N45" s="29" t="s">
        <v>94</v>
      </c>
    </row>
    <row r="46" spans="1:16" x14ac:dyDescent="0.25">
      <c r="A46" s="31"/>
      <c r="B46" s="33"/>
      <c r="C46" s="31"/>
      <c r="L46" s="16"/>
      <c r="M46" s="16"/>
      <c r="N46" s="30" t="s">
        <v>129</v>
      </c>
    </row>
    <row r="47" spans="1:16" x14ac:dyDescent="0.25">
      <c r="A47" s="31"/>
      <c r="B47" s="33"/>
      <c r="C47" s="31"/>
      <c r="L47" s="16"/>
      <c r="M47" s="16"/>
      <c r="N47" s="29" t="s">
        <v>79</v>
      </c>
    </row>
    <row r="48" spans="1:16" x14ac:dyDescent="0.25">
      <c r="A48" s="31"/>
      <c r="B48" s="33"/>
      <c r="C48" s="31"/>
      <c r="L48" s="16"/>
      <c r="M48" s="16"/>
      <c r="N48" s="28" t="s">
        <v>85</v>
      </c>
    </row>
    <row r="49" spans="1:16" x14ac:dyDescent="0.25">
      <c r="A49" s="31"/>
      <c r="B49" s="31"/>
      <c r="C49" s="31"/>
      <c r="L49" s="16"/>
      <c r="M49" s="16"/>
      <c r="N49" s="28" t="s">
        <v>45</v>
      </c>
    </row>
    <row r="50" spans="1:16" x14ac:dyDescent="0.25">
      <c r="A50" s="31"/>
      <c r="B50" s="31"/>
      <c r="C50" s="31"/>
      <c r="L50" s="16"/>
      <c r="M50" s="16"/>
      <c r="N50" s="29" t="s">
        <v>86</v>
      </c>
    </row>
    <row r="51" spans="1:16" x14ac:dyDescent="0.25">
      <c r="A51" s="31"/>
      <c r="B51" s="31"/>
      <c r="C51" s="31"/>
      <c r="L51" s="16"/>
      <c r="M51" s="16"/>
      <c r="N51" s="29" t="s">
        <v>78</v>
      </c>
    </row>
    <row r="52" spans="1:16" x14ac:dyDescent="0.25">
      <c r="A52" s="31"/>
      <c r="B52" s="31"/>
      <c r="C52" s="31"/>
      <c r="L52" s="16"/>
      <c r="M52" s="16"/>
      <c r="N52" s="28" t="s">
        <v>21</v>
      </c>
    </row>
    <row r="53" spans="1:16" x14ac:dyDescent="0.25">
      <c r="A53" s="31"/>
      <c r="B53" s="31"/>
      <c r="C53" s="31"/>
      <c r="L53" s="16"/>
      <c r="M53" s="16"/>
      <c r="N53" s="28" t="s">
        <v>18</v>
      </c>
    </row>
    <row r="54" spans="1:16" x14ac:dyDescent="0.25">
      <c r="A54" s="31"/>
      <c r="B54" s="31"/>
      <c r="C54" s="31"/>
      <c r="L54" s="16"/>
      <c r="M54" s="16"/>
      <c r="N54" s="28" t="s">
        <v>20</v>
      </c>
    </row>
    <row r="55" spans="1:16" x14ac:dyDescent="0.25">
      <c r="A55" s="31"/>
      <c r="B55" s="31"/>
      <c r="C55" s="31"/>
      <c r="L55" s="16"/>
      <c r="M55" s="16"/>
      <c r="N55" s="28" t="s">
        <v>103</v>
      </c>
    </row>
    <row r="56" spans="1:16" x14ac:dyDescent="0.25">
      <c r="A56" s="31"/>
      <c r="B56" s="31"/>
      <c r="C56" s="31"/>
      <c r="L56" s="16"/>
      <c r="M56" s="16"/>
      <c r="N56" s="28" t="s">
        <v>116</v>
      </c>
    </row>
    <row r="57" spans="1:16" x14ac:dyDescent="0.25">
      <c r="A57" s="31"/>
      <c r="B57" s="31"/>
      <c r="C57" s="31"/>
      <c r="L57" s="16"/>
      <c r="M57" s="16"/>
      <c r="N57" s="28" t="s">
        <v>118</v>
      </c>
    </row>
    <row r="58" spans="1:16" x14ac:dyDescent="0.25">
      <c r="A58" s="31"/>
      <c r="B58" s="31"/>
      <c r="C58" s="31"/>
      <c r="L58" s="16"/>
      <c r="M58" s="16"/>
      <c r="N58" s="28" t="s">
        <v>111</v>
      </c>
    </row>
    <row r="59" spans="1:16" x14ac:dyDescent="0.25">
      <c r="A59" s="31"/>
      <c r="B59" s="31"/>
      <c r="C59" s="31"/>
      <c r="L59" s="16"/>
      <c r="M59" s="16"/>
      <c r="N59" s="29" t="s">
        <v>77</v>
      </c>
    </row>
    <row r="60" spans="1:16" x14ac:dyDescent="0.25">
      <c r="A60" s="31"/>
      <c r="B60" s="31"/>
      <c r="C60" s="31"/>
      <c r="L60" s="16"/>
      <c r="M60" s="16"/>
      <c r="N60" s="28" t="s">
        <v>107</v>
      </c>
    </row>
    <row r="61" spans="1:16" x14ac:dyDescent="0.25">
      <c r="A61" s="31"/>
      <c r="B61" s="31"/>
      <c r="C61" s="31"/>
      <c r="L61" s="16"/>
      <c r="M61" s="16"/>
      <c r="N61" s="28" t="s">
        <v>108</v>
      </c>
    </row>
    <row r="62" spans="1:16" x14ac:dyDescent="0.25">
      <c r="A62" s="31"/>
      <c r="B62" s="31"/>
      <c r="C62" s="31"/>
      <c r="L62" s="16"/>
      <c r="M62" s="16"/>
      <c r="N62" s="28" t="s">
        <v>88</v>
      </c>
    </row>
    <row r="63" spans="1:16" x14ac:dyDescent="0.25">
      <c r="A63" s="31"/>
      <c r="B63" s="31"/>
      <c r="C63" s="31"/>
      <c r="L63" s="16"/>
      <c r="M63" s="16"/>
      <c r="N63" s="28" t="s">
        <v>98</v>
      </c>
    </row>
    <row r="64" spans="1:16" x14ac:dyDescent="0.25">
      <c r="A64" s="31"/>
      <c r="B64" s="31"/>
      <c r="C64" s="31"/>
      <c r="L64" s="16"/>
      <c r="M64" s="16"/>
      <c r="N64" s="28" t="s">
        <v>99</v>
      </c>
      <c r="P64" s="1"/>
    </row>
    <row r="65" spans="1:16" x14ac:dyDescent="0.25">
      <c r="A65" s="31"/>
      <c r="B65" s="31"/>
      <c r="C65" s="31"/>
      <c r="L65" s="16"/>
      <c r="M65" s="16"/>
      <c r="N65" s="28" t="s">
        <v>114</v>
      </c>
      <c r="P65" s="1"/>
    </row>
    <row r="66" spans="1:16" x14ac:dyDescent="0.25">
      <c r="A66" s="31"/>
      <c r="B66" s="31"/>
      <c r="C66" s="31"/>
      <c r="L66" s="16"/>
      <c r="M66" s="16"/>
      <c r="N66" s="29" t="s">
        <v>113</v>
      </c>
      <c r="P66" s="1"/>
    </row>
    <row r="67" spans="1:16" x14ac:dyDescent="0.25">
      <c r="A67" s="31"/>
      <c r="B67" s="31"/>
      <c r="C67" s="31"/>
      <c r="L67" s="16"/>
      <c r="M67" s="16"/>
      <c r="N67" s="28" t="s">
        <v>112</v>
      </c>
      <c r="P67" s="1"/>
    </row>
    <row r="68" spans="1:16" x14ac:dyDescent="0.25">
      <c r="A68" s="31"/>
      <c r="B68" s="31"/>
      <c r="C68" s="31"/>
      <c r="L68" s="16"/>
      <c r="M68" s="16"/>
      <c r="N68" s="28" t="s">
        <v>112</v>
      </c>
      <c r="P68" s="1"/>
    </row>
    <row r="69" spans="1:16" x14ac:dyDescent="0.25">
      <c r="A69" s="31"/>
      <c r="B69" s="31"/>
      <c r="C69" s="31"/>
      <c r="L69" s="16"/>
      <c r="M69" s="16"/>
      <c r="N69" s="29" t="s">
        <v>80</v>
      </c>
      <c r="P69" s="1"/>
    </row>
    <row r="70" spans="1:16" x14ac:dyDescent="0.25">
      <c r="A70" s="31"/>
      <c r="B70" s="31"/>
      <c r="C70" s="31"/>
      <c r="L70" s="16"/>
      <c r="M70" s="16"/>
      <c r="N70" s="28" t="s">
        <v>87</v>
      </c>
      <c r="P70" s="1"/>
    </row>
    <row r="71" spans="1:16" x14ac:dyDescent="0.25">
      <c r="A71" s="31"/>
      <c r="B71" s="31"/>
      <c r="C71" s="31"/>
      <c r="L71" s="16"/>
      <c r="M71" s="16"/>
      <c r="N71" s="28" t="s">
        <v>104</v>
      </c>
      <c r="P71" s="27"/>
    </row>
    <row r="72" spans="1:16" x14ac:dyDescent="0.25">
      <c r="A72" s="31"/>
      <c r="B72" s="31"/>
      <c r="C72" s="31"/>
      <c r="L72" s="16"/>
      <c r="M72" s="16"/>
      <c r="N72" s="28" t="s">
        <v>100</v>
      </c>
    </row>
    <row r="73" spans="1:16" x14ac:dyDescent="0.25">
      <c r="A73" s="31"/>
      <c r="B73" s="31"/>
      <c r="C73" s="31"/>
      <c r="L73" s="16"/>
      <c r="N73" s="28" t="s">
        <v>101</v>
      </c>
      <c r="P73" s="1"/>
    </row>
    <row r="74" spans="1:16" x14ac:dyDescent="0.25">
      <c r="A74" s="31"/>
      <c r="B74" s="31"/>
      <c r="C74" s="31"/>
      <c r="L74" s="16"/>
      <c r="N74" s="29" t="s">
        <v>132</v>
      </c>
      <c r="P74" s="1"/>
    </row>
    <row r="75" spans="1:16" x14ac:dyDescent="0.25">
      <c r="L75" s="16"/>
      <c r="P75" s="1"/>
    </row>
    <row r="76" spans="1:16" x14ac:dyDescent="0.25">
      <c r="L76" s="16"/>
      <c r="P76" s="1"/>
    </row>
    <row r="77" spans="1:16" x14ac:dyDescent="0.25">
      <c r="L77" s="16"/>
      <c r="P77" s="1"/>
    </row>
    <row r="78" spans="1:16" x14ac:dyDescent="0.25">
      <c r="L78" s="16"/>
      <c r="P78" s="11"/>
    </row>
    <row r="79" spans="1:16" x14ac:dyDescent="0.25">
      <c r="P79" s="1"/>
    </row>
    <row r="80" spans="1:16" x14ac:dyDescent="0.25">
      <c r="P80" s="1"/>
    </row>
    <row r="81" spans="16:16" x14ac:dyDescent="0.25">
      <c r="P81" s="1"/>
    </row>
    <row r="82" spans="16:16" x14ac:dyDescent="0.25">
      <c r="P82" s="1"/>
    </row>
    <row r="83" spans="16:16" x14ac:dyDescent="0.25">
      <c r="P83" s="1"/>
    </row>
    <row r="84" spans="16:16" x14ac:dyDescent="0.25">
      <c r="P84" s="1"/>
    </row>
    <row r="85" spans="16:16" x14ac:dyDescent="0.25">
      <c r="P85" s="1"/>
    </row>
    <row r="86" spans="16:16" x14ac:dyDescent="0.25">
      <c r="P86" s="1"/>
    </row>
    <row r="87" spans="16:16" x14ac:dyDescent="0.25">
      <c r="P87" s="11"/>
    </row>
    <row r="88" spans="16:16" x14ac:dyDescent="0.25">
      <c r="P88" s="11"/>
    </row>
    <row r="89" spans="16:16" x14ac:dyDescent="0.25">
      <c r="P89" s="11"/>
    </row>
    <row r="90" spans="16:16" x14ac:dyDescent="0.25">
      <c r="P90" s="11"/>
    </row>
    <row r="91" spans="16:16" x14ac:dyDescent="0.25">
      <c r="P91" s="11"/>
    </row>
    <row r="92" spans="16:16" x14ac:dyDescent="0.25">
      <c r="P92" s="11"/>
    </row>
    <row r="93" spans="16:16" x14ac:dyDescent="0.25">
      <c r="P93" s="11"/>
    </row>
    <row r="94" spans="16:16" x14ac:dyDescent="0.25">
      <c r="P94" s="11"/>
    </row>
    <row r="95" spans="16:16" x14ac:dyDescent="0.25">
      <c r="P95" s="16"/>
    </row>
  </sheetData>
  <sortState ref="N18:N71">
    <sortCondition ref="N71"/>
  </sortState>
  <dataConsolidate/>
  <pageMargins left="0" right="0" top="0" bottom="0" header="0" footer="0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OCTOBER-25</vt:lpstr>
      <vt:lpstr>Sheet1</vt:lpstr>
      <vt:lpstr>Sheet3</vt:lpstr>
      <vt:lpstr>A</vt:lpstr>
      <vt:lpstr>B</vt:lpstr>
      <vt:lpstr>CC</vt:lpstr>
      <vt:lpstr>Coil_Feeding</vt:lpstr>
      <vt:lpstr>CRANE_DELAY</vt:lpstr>
      <vt:lpstr>EE</vt:lpstr>
      <vt:lpstr>IMRAN___SUJIT___</vt:lpstr>
      <vt:lpstr>MAINTENANCE_BREAKDOWN</vt:lpstr>
      <vt:lpstr>OPERATION_DELAY</vt:lpstr>
      <vt:lpstr>Q</vt:lpstr>
      <vt:lpstr>QQ</vt:lpstr>
      <vt:lpstr>QUALITY_DELAY</vt:lpstr>
      <vt:lpstr>SCRAP_REMOVAL</vt:lpstr>
      <vt:lpstr>SETUP_DELAY</vt:lpstr>
      <vt:lpstr>SETUPDELAY</vt:lpstr>
      <vt:lpstr>SHIFT_HAND_OVER</vt:lpstr>
      <vt:lpstr>WW</vt:lpstr>
      <vt:lpstr>X</vt:lpstr>
      <vt:lpstr>XX</vt:lpstr>
      <vt:lpstr>Z</vt:lpstr>
      <vt:lpstr>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1776</dc:creator>
  <cp:lastModifiedBy>Imran Khan</cp:lastModifiedBy>
  <cp:lastPrinted>2026-01-27T01:25:25Z</cp:lastPrinted>
  <dcterms:created xsi:type="dcterms:W3CDTF">2021-06-04T08:04:47Z</dcterms:created>
  <dcterms:modified xsi:type="dcterms:W3CDTF">2026-05-15T00:21:28Z</dcterms:modified>
</cp:coreProperties>
</file>