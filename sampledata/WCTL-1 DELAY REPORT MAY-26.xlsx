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lnrwctl1\Desktop\"/>
    </mc:Choice>
  </mc:AlternateContent>
  <bookViews>
    <workbookView xWindow="0" yWindow="0" windowWidth="20490" windowHeight="6900"/>
  </bookViews>
  <sheets>
    <sheet name="MAY-25" sheetId="6" r:id="rId1"/>
    <sheet name="Sheet1" sheetId="7" state="hidden" r:id="rId2"/>
    <sheet name="Sheet3" sheetId="3" r:id="rId3"/>
    <sheet name="Sheet2" sheetId="9" state="hidden" r:id="rId4"/>
    <sheet name="Sheet4" sheetId="10" r:id="rId5"/>
  </sheets>
  <externalReferences>
    <externalReference r:id="rId6"/>
    <externalReference r:id="rId7"/>
    <externalReference r:id="rId8"/>
    <externalReference r:id="rId9"/>
    <externalReference r:id="rId10"/>
    <externalReference r:id="rId11"/>
    <externalReference r:id="rId12"/>
  </externalReferences>
  <definedNames>
    <definedName name="CRANE_DELAY">Sheet3!$J$5:$J$14</definedName>
    <definedName name="H">[1]Sheet3!$H$19:$H$21</definedName>
    <definedName name="hr">[1]Sheet3!$I$19:$I$21</definedName>
    <definedName name="HR_DELAY">Sheet3!$I$19:$I$21</definedName>
    <definedName name="MAINTENANCE_BREAKDOWN">Sheet3!$K$5:$K$63</definedName>
    <definedName name="OPERATION">[2]Sheet3!$I$5:$I$17</definedName>
    <definedName name="OPERATION_DELAY">Sheet3!$I$5:$I$17</definedName>
    <definedName name="PACKAGING_DELAY">Sheet3!$J$19:$J$21</definedName>
    <definedName name="SCRAP">Sheet3!$H$19:$H$21</definedName>
    <definedName name="Z_27845B34_279C_44A8_8AD1_89637F247940_.wvu.Cols" localSheetId="0" hidden="1">'MAY-25'!$Q:$R</definedName>
    <definedName name="Z_27845B34_279C_44A8_8AD1_89637F247940_.wvu.Cols" localSheetId="3" hidden="1">Sheet2!$P:$Q</definedName>
    <definedName name="Z_27845B34_279C_44A8_8AD1_89637F247940_.wvu.FilterData" localSheetId="0" hidden="1">'MAY-25'!$D$2:$D$2</definedName>
    <definedName name="Z_27845B34_279C_44A8_8AD1_89637F247940_.wvu.Rows" localSheetId="0" hidden="1">'MAY-25'!#REF!,'MAY-25'!#REF!,'MAY-25'!#REF!,'MAY-25'!#REF!,'MAY-25'!#REF!,'MAY-25'!#REF!,'MAY-25'!#REF!,'MAY-25'!#REF!,'MAY-25'!#REF!,'MAY-25'!#REF!,'MAY-25'!#REF!</definedName>
  </definedNames>
  <calcPr calcId="162913"/>
  <customWorkbookViews>
    <customWorkbookView name="2" guid="{27845B34-279C-44A8-8AD1-89637F247940}" maximized="1" xWindow="-8" yWindow="-8" windowWidth="1382" windowHeight="736" activeSheetId="6"/>
  </customWorkbookView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J6" i="6" l="1"/>
  <c r="AJ5" i="6"/>
  <c r="AJ4" i="6"/>
  <c r="F378" i="6"/>
  <c r="F358" i="6" l="1"/>
  <c r="F348" i="6"/>
  <c r="F317" i="6"/>
  <c r="F271" i="6"/>
  <c r="F243" i="6"/>
  <c r="F157" i="6"/>
  <c r="F126" i="6" l="1"/>
  <c r="O6" i="6" l="1"/>
  <c r="O4" i="6" l="1"/>
  <c r="O5" i="6"/>
</calcChain>
</file>

<file path=xl/sharedStrings.xml><?xml version="1.0" encoding="utf-8"?>
<sst xmlns="http://schemas.openxmlformats.org/spreadsheetml/2006/main" count="915" uniqueCount="242">
  <si>
    <t>SHIFT</t>
  </si>
  <si>
    <t>SHIFT INCHARGE</t>
  </si>
  <si>
    <t>TEAM</t>
  </si>
  <si>
    <t xml:space="preserve">TONNAGE </t>
  </si>
  <si>
    <t>COIL</t>
  </si>
  <si>
    <t>MACHINE</t>
  </si>
  <si>
    <t>TIME</t>
  </si>
  <si>
    <t>DESCRIPTION</t>
  </si>
  <si>
    <t>REASON FOR DELAY</t>
  </si>
  <si>
    <t>A</t>
  </si>
  <si>
    <t>WCTL-1</t>
  </si>
  <si>
    <t>B</t>
  </si>
  <si>
    <t>C</t>
  </si>
  <si>
    <t>SHIFT HANDOVER FROM PREVIOUS SHIFT</t>
  </si>
  <si>
    <t>TOTAL COIL FEEDING TIME DURING SHIFT WORKING</t>
  </si>
  <si>
    <t>RM COIL SURFACE CHECKING &amp; MEASUREMENT OF SHEET</t>
  </si>
  <si>
    <t>HDPE PACKAGING DELAY</t>
  </si>
  <si>
    <t>LEVELLER CASSATTE CHANGE</t>
  </si>
  <si>
    <t>NAGESHWAR REDDY</t>
  </si>
  <si>
    <t>SUNIL PRADHAN</t>
  </si>
  <si>
    <t>VIKRAM SINGH</t>
  </si>
  <si>
    <t>DIGANTA SAHU</t>
  </si>
  <si>
    <t>JAGANNATH REDDY</t>
  </si>
  <si>
    <t>ASHISH SINGH</t>
  </si>
  <si>
    <t>SHIFT HANDOVER</t>
  </si>
  <si>
    <t>TOTAL COIL FEEDING DELAY</t>
  </si>
  <si>
    <t>TOTAL QUALITY INSPECTION DELAY</t>
  </si>
  <si>
    <t>OPERATION DELAY</t>
  </si>
  <si>
    <t>CRANE DELAY</t>
  </si>
  <si>
    <t>MAINTENANCE BREAKDOWN</t>
  </si>
  <si>
    <t>PACKET SHIFTING/PACKAGING DELAY</t>
  </si>
  <si>
    <t>SCRAP REMOVAL</t>
  </si>
  <si>
    <t>HR DELAY</t>
  </si>
  <si>
    <t>PRINTER NOT WORKING</t>
  </si>
  <si>
    <t>SHEET TRANSFER CAR EVACUATION DELAY</t>
  </si>
  <si>
    <t>SHEET BEND IN LINE</t>
  </si>
  <si>
    <t>MULTIPLE PACKETS HANDLING</t>
  </si>
  <si>
    <t>UNCOILER EXPAND/COLLAPSE ISSUE</t>
  </si>
  <si>
    <t>SHEET STUCK IN STACKER OVER PASSING</t>
  </si>
  <si>
    <t>FG SPACE ISSUE</t>
  </si>
  <si>
    <t>UNCOILER SEGMENT BOLT BROKEN</t>
  </si>
  <si>
    <t>COIL UNLOADING</t>
  </si>
  <si>
    <t>FG VEHICLE LOADING</t>
  </si>
  <si>
    <t>UNCOILER WEDGE BOLT BROKEN ISSUE</t>
  </si>
  <si>
    <t>HEAVY RAIN</t>
  </si>
  <si>
    <t>SCRAP LOADING</t>
  </si>
  <si>
    <t>OBBS BOLT BROKEN</t>
  </si>
  <si>
    <t>LEVELLER CLEANING</t>
  </si>
  <si>
    <t>SHEET LIFTER OPEN/CLOSE ISSUE</t>
  </si>
  <si>
    <t>ENTRY COIL CAR FWD/BWD ISSUE</t>
  </si>
  <si>
    <t>FLATTNER CLEANING</t>
  </si>
  <si>
    <t>20-20 CRANE TRIP ISSUE</t>
  </si>
  <si>
    <t>ENTRY COIL CAR CRADE ROLL ROTATE ISSUE</t>
  </si>
  <si>
    <t>COIL FEEDING ISSUE</t>
  </si>
  <si>
    <t>20-20 CRANE CT/LT ISSUE</t>
  </si>
  <si>
    <t>ACB ROLL UP/DOWN ISSUE</t>
  </si>
  <si>
    <t>SCRAP STUCK IN BOTTOM  SCRAP PINCH ROLL</t>
  </si>
  <si>
    <t>20-20 CRANE BOTTOM LEVER BEND</t>
  </si>
  <si>
    <t>PRESSURE ROLL UP/DOWN  ISSUE</t>
  </si>
  <si>
    <t>SCRATCHES FROM RUNNING LINE</t>
  </si>
  <si>
    <t>20-20 CRANE LIGHT SENSOR ISSUE</t>
  </si>
  <si>
    <t>ENTRY PINCH ROLL UP/DOWN</t>
  </si>
  <si>
    <t>FLATTNER ROLL CHANGE</t>
  </si>
  <si>
    <t>PACKAGING DELAY</t>
  </si>
  <si>
    <t>FLATTNER ROLL BUFFING</t>
  </si>
  <si>
    <t>ENDCUT SCRAP HANDLING</t>
  </si>
  <si>
    <t>LESS MANPOWER</t>
  </si>
  <si>
    <t>IDLE ROLL BEARING DAMAGE</t>
  </si>
  <si>
    <t>SCRAP VEHICLE LOADING</t>
  </si>
  <si>
    <t>BUS LATE</t>
  </si>
  <si>
    <t>AUTO SHEET PACKAGING DELAY</t>
  </si>
  <si>
    <t>BOTTOM SCRATCH ISSUE</t>
  </si>
  <si>
    <t>TRIM SCRAP BOX HANDLING</t>
  </si>
  <si>
    <t>COMMUNICATION MEETING</t>
  </si>
  <si>
    <t>RUNNER SHIFTING DELAY</t>
  </si>
  <si>
    <t>LEVELLER  ROLL CHANGE</t>
  </si>
  <si>
    <t>LEVELLER ROLL BUFFING</t>
  </si>
  <si>
    <t>LEVELLER GREASE LUBRICATION ISSUE</t>
  </si>
  <si>
    <t>FLATTNER GREASE LUBRICATION ISSUE</t>
  </si>
  <si>
    <t>BRUSHING ROLL CHANGE</t>
  </si>
  <si>
    <t>FLYING SHEAR BLADE CHANGE</t>
  </si>
  <si>
    <t>CONVEYER ROLL BEARING CHANGE</t>
  </si>
  <si>
    <t>CONVEYER BELT CHANGE</t>
  </si>
  <si>
    <t>SIDE GUIDE OPEN/CLOSE ISSUE</t>
  </si>
  <si>
    <t>HEADSTOPPER FWD/BWD ISSUE</t>
  </si>
  <si>
    <t xml:space="preserve">HEADSTOPPER JOGGING ISSUE </t>
  </si>
  <si>
    <t>STACKER PIN UP ISSUE</t>
  </si>
  <si>
    <t>STACKER PIN AIR LEAKAGE</t>
  </si>
  <si>
    <t>STACKER ROLLER BEARING DAMAGED</t>
  </si>
  <si>
    <t>STACKER  ROLLER CONVEYER CHAIN BROKEN</t>
  </si>
  <si>
    <t>STACKER  ROLLER CONVEYER CHAIN SPROCKET BROKEN</t>
  </si>
  <si>
    <t>CROSS 90 CHAIN BROKEN</t>
  </si>
  <si>
    <t>STACKER  SUPPORT ROLL CHANGE</t>
  </si>
  <si>
    <t>STACKER LINER PLATE BROKEN</t>
  </si>
  <si>
    <t xml:space="preserve">PUP UP CONVEYER UP/DOWN ISSUE </t>
  </si>
  <si>
    <t>TAIL ROLL BEARING CHANGE</t>
  </si>
  <si>
    <t>BOX.1 SIDE GUIDE  JOGGING ISSUE</t>
  </si>
  <si>
    <t>BOX.2 SIDE GUIDE  JOGGING ISSUE</t>
  </si>
  <si>
    <t>HEADSTOPPER PUSHER CYLINDER CHANGE</t>
  </si>
  <si>
    <t>HEADSTOPPER MOTOR BASE BROKEN</t>
  </si>
  <si>
    <t>HEADSTOPPER DRAG CHAIN DAMAGED</t>
  </si>
  <si>
    <t xml:space="preserve">HEADSTOPPER LENGTH ENCODER NOT WORKING </t>
  </si>
  <si>
    <t>1ST SHEET MANUAL LENGTH SETING OF HEADSTOPPER</t>
  </si>
  <si>
    <t>STACKER AUTO CENTERING ISSUE</t>
  </si>
  <si>
    <t>PACKETS BEND IN ZONE NO.2</t>
  </si>
  <si>
    <t>BELT CONVEYER SHIFTING</t>
  </si>
  <si>
    <t>PREVENTIVE MAINTENANCE</t>
  </si>
  <si>
    <t>LEVELLER BOLT BROKEN</t>
  </si>
  <si>
    <t>LEVELLER CALLIBRATION</t>
  </si>
  <si>
    <t>MAINTENANCE DAILY CHECKLIST</t>
  </si>
  <si>
    <t>COOLING TOWER CLEANING</t>
  </si>
  <si>
    <t>FLYING SHEAR RACK DAMAGE</t>
  </si>
  <si>
    <t>MEASURING WHEEL COUPLING CHANGE</t>
  </si>
  <si>
    <t>MEASURING WHEEL BEARING CHANGE</t>
  </si>
  <si>
    <t>FLYING SHEAR HOMING PROBLEM</t>
  </si>
  <si>
    <t>THINNER MATERIAL PROCESSED</t>
  </si>
  <si>
    <t>FLYING SHAER LINEAR BEARING CHANGE</t>
  </si>
  <si>
    <t>LEVELLER CASSETE CHANGE</t>
  </si>
  <si>
    <t>CHETAN SINGH</t>
  </si>
  <si>
    <t>Subrat, Soumya &amp; Team</t>
  </si>
  <si>
    <t>MANDREL ROTATION DRIVE FULT</t>
  </si>
  <si>
    <t>EVERY COIL STACKER 1&amp;2 LENGTH MANUAL ADJUST</t>
  </si>
  <si>
    <t>OPERATIOC DELAY</t>
  </si>
  <si>
    <t>FLYING SHEAR BLADE PROTECT ROLL O/S WELDING BROKEN</t>
  </si>
  <si>
    <t>FLYING SHEAR MOTER DRIVE ISSUE</t>
  </si>
  <si>
    <t>KNOCK DOWN ROLL UP ISSUE</t>
  </si>
  <si>
    <t xml:space="preserve">,GK C </t>
  </si>
  <si>
    <t>Abhay , Jayant &amp; Team</t>
  </si>
  <si>
    <t>TBT</t>
  </si>
  <si>
    <t>SCHEDULE DELAY</t>
  </si>
  <si>
    <t xml:space="preserve">Flying shear entry table roll replaced </t>
  </si>
  <si>
    <t xml:space="preserve">    DATE </t>
  </si>
  <si>
    <t>FRONT STOPER-2 GIDE BAR OUT &amp; SENSOR ADJUST</t>
  </si>
  <si>
    <t>COIL CAR INOUT PROBLEM</t>
  </si>
  <si>
    <t>DANT GENERATE FROM CHAIN CONVEYOR -1</t>
  </si>
  <si>
    <t>M</t>
  </si>
  <si>
    <t>MANDREL BREAK NOT WORKING</t>
  </si>
  <si>
    <t>FLYING SHEAR DRIVE GENARL FAULT</t>
  </si>
  <si>
    <t>MEN POWER PACK HIGH TEMPERATURES</t>
  </si>
  <si>
    <t>CHAIN CONVYER 2 CHAIN  BROKEN AND SPOKET BEND</t>
  </si>
  <si>
    <t>BELT CONVEYOR-2 MOTOR CHAIN BROKEN</t>
  </si>
  <si>
    <t>LINE STOP DUE TO DIAGONAL ISSUE</t>
  </si>
  <si>
    <t>RUNING COILS PACKETS STORAGE ISSUE DUE TO FG AREA FULL &amp; TRANSFOR CAR PACKETS NOT ONLODING TIMELY</t>
  </si>
  <si>
    <t>LEVELLER CLEANING 3 TIMES</t>
  </si>
  <si>
    <t>COIL UNLOADING DUE TO DENT MARK GENERATE FROM LEVELLER</t>
  </si>
  <si>
    <t>RAHUL KUMAR</t>
  </si>
  <si>
    <t xml:space="preserve"> Anshuman, Rajesh &amp; Team</t>
  </si>
  <si>
    <t>Abhay ,Jayant &amp; Team</t>
  </si>
  <si>
    <t>05.04.2026</t>
  </si>
  <si>
    <t>EVERY COIL EVERY  SHEET LENGTH MANUAL ADJUST OF STACKER- 1/2</t>
  </si>
  <si>
    <t xml:space="preserve">HOOGHLY COUSTOMER COIL CHECKING </t>
  </si>
  <si>
    <t xml:space="preserve">10MTR PKT PACKING IN SINGLE BED </t>
  </si>
  <si>
    <t xml:space="preserve">LONG LENGTH PKT    TRANSFER TO  PLANT OFFICE  </t>
  </si>
  <si>
    <t>OTHER DELAY</t>
  </si>
  <si>
    <t>BRUSHING-3 MAINTENANCE WORK</t>
  </si>
  <si>
    <t>CRANE ENGAGE WITH DISPATCH FG AREA 12M PACKETS</t>
  </si>
  <si>
    <t>3 JCB COIL PROCESS</t>
  </si>
  <si>
    <t xml:space="preserve">EVERY COIL EVERY  SHEET LENGTH MANUAL ADJUST OF STACKER 1 &amp;2 </t>
  </si>
  <si>
    <t>01.05.2026</t>
  </si>
  <si>
    <t>EVERY COIL EVERY  SHEET LENGTH MANUAL ADJUST OF STACKER-</t>
  </si>
  <si>
    <t xml:space="preserve">STACKER AUTO DROPING ISSUE </t>
  </si>
  <si>
    <t xml:space="preserve">ZONE 2 EXIT ROLL UP &amp; DOWN ISSUE </t>
  </si>
  <si>
    <t xml:space="preserve">SUNIL </t>
  </si>
  <si>
    <t>1.05.2026</t>
  </si>
  <si>
    <t xml:space="preserve"> BOX-1 FRONTSTOP  PLATE CHANGE </t>
  </si>
  <si>
    <t>SCHEDULE NOT GIVEN</t>
  </si>
  <si>
    <t>02.05.2026</t>
  </si>
  <si>
    <t xml:space="preserve"> FLYING SHEAR CONVEYOR BELT SHIFT </t>
  </si>
  <si>
    <t xml:space="preserve">SUNIL PRADHAN </t>
  </si>
  <si>
    <t>EVERY COIL EVERY  SHEET LENGTH MANUAL ADJUST OF STACKER</t>
  </si>
  <si>
    <t xml:space="preserve">LEVELLER CLEANING 2 TIME </t>
  </si>
  <si>
    <t>2.05.2026</t>
  </si>
  <si>
    <t>3.05.2026</t>
  </si>
  <si>
    <t>CRANE 4 SMALL TONG  OPEN CLOSE ISSUE &amp; LIGHT ISSSU MAXIMUM TIME</t>
  </si>
  <si>
    <t>FLYING SHEAR DRIVE FAULT</t>
  </si>
  <si>
    <t>03.05.2026</t>
  </si>
  <si>
    <t xml:space="preserve">MAX COIL HDPE &amp; INCLUDING 1 JCB COIL PROCESS </t>
  </si>
  <si>
    <t xml:space="preserve">7 NO. CHAIN CONVEYOR  POP UP  FRAME  BROKEN </t>
  </si>
  <si>
    <t>JAGANATH REDDY</t>
  </si>
  <si>
    <t>7 NO. CHAIN CONVEYOR  POP UP  FRAME  BROKEN  (PREVIOUS SHIFT)</t>
  </si>
  <si>
    <t>LINE STOP DUE TO HIGH BURR</t>
  </si>
  <si>
    <t>4.05.2026</t>
  </si>
  <si>
    <t>FLYING SHEAR BLADE  CHANGE AND CALIBRATION</t>
  </si>
  <si>
    <t>04.05.2026</t>
  </si>
  <si>
    <t>ZONE 2 EXIT  ROLL  CONVEYOR   UP  &amp;  DOWN   ISSUE  (PREVIOUS SHIFT)</t>
  </si>
  <si>
    <t xml:space="preserve">STACKER  1+2 AUTO CONDITION NOT OK </t>
  </si>
  <si>
    <t>05.05.2026</t>
  </si>
  <si>
    <t>STACKER SIDE GUIDE O/S OVER PASSING BELT CHANGE &amp; M/S CYLINDER CHANGE</t>
  </si>
  <si>
    <t>5.05.2026</t>
  </si>
  <si>
    <t xml:space="preserve">NEUMATIC PIPE DAMAGE </t>
  </si>
  <si>
    <t xml:space="preserve">MAXIMUM TIME SHEETS BEND DUE TO  SIDE GUIDE OPEN/CLOSE ISSUE </t>
  </si>
  <si>
    <t xml:space="preserve">                                                             SHEET TRANSFER CAR FRD ISSUE  DELAY  &amp;  FG SPACE ISSUE</t>
  </si>
  <si>
    <t xml:space="preserve">STACKER  1 M\S OPEN &amp; CLOSE  CYLINDER BROKEN </t>
  </si>
  <si>
    <t xml:space="preserve">                                                                                                         DELAY REPORT  MAY 2026</t>
  </si>
  <si>
    <t>06.05.2026</t>
  </si>
  <si>
    <t>RAVI</t>
  </si>
  <si>
    <t>6.05.2026</t>
  </si>
  <si>
    <t xml:space="preserve">BOX -1 M/S SIDE GUIDE PLATE WELDING </t>
  </si>
  <si>
    <t>4 CRANE LIGHT ISSUE</t>
  </si>
  <si>
    <t xml:space="preserve">BOTTOM SCRATCH INSPECTION </t>
  </si>
  <si>
    <t>07.05.2026</t>
  </si>
  <si>
    <t xml:space="preserve">BOX 1 SIDE GUIDE  OPEN / CLOSE  PROBLEM </t>
  </si>
  <si>
    <t>CHAIN  CONVEYOR - 1  PKT  FORWARDING  ISSUE ( 2000 X 6000 ) PKT  WT  - 7.9 MT</t>
  </si>
  <si>
    <t>7.05.2026</t>
  </si>
  <si>
    <t>08.05.2026</t>
  </si>
  <si>
    <t xml:space="preserve">                                           Zone Two Entry roll conveyor liner plate brockn </t>
  </si>
  <si>
    <t>FLYING SHEAR GEAR BOX BOLT LOOSE</t>
  </si>
  <si>
    <t xml:space="preserve">                                    PREVIOUS SHIFT  Zone Two Entry roll conveyor liner plate brockn </t>
  </si>
  <si>
    <t xml:space="preserve">LESS MANPOWER </t>
  </si>
  <si>
    <t>09.05.2026</t>
  </si>
  <si>
    <t>SCRAP REMOVAL FROM FG AREA</t>
  </si>
  <si>
    <t xml:space="preserve">ENTRY CROP SHEAR UP/DOWN TABLE CYLINDER BOLT BROKEN </t>
  </si>
  <si>
    <t xml:space="preserve">ZONE 1 CHAIN CONV 2 NEUMATIC PIPE DAMAGE </t>
  </si>
  <si>
    <t>3 TIMES SCRAP REMOVAL</t>
  </si>
  <si>
    <t>10.05.2026</t>
  </si>
  <si>
    <t>ZONE - 2 PNEUMATIC AIR LEAKAGE</t>
  </si>
  <si>
    <t>11.05.2026</t>
  </si>
  <si>
    <t>BOTTOM SCARTCH GENERATE FORM THE ENTRY PINCH ROLL</t>
  </si>
  <si>
    <t>PACKET SHIFTING 4 TIMES CTL-2</t>
  </si>
  <si>
    <t>RABI</t>
  </si>
  <si>
    <t xml:space="preserve">OTHER DELAY </t>
  </si>
  <si>
    <t xml:space="preserve">SPACE ISSUE  FOR FG PKT </t>
  </si>
  <si>
    <t>PRINTING M/C USED-1 OR 2</t>
  </si>
  <si>
    <t>USED-1, 2-NOT OK</t>
  </si>
  <si>
    <t>SCRATCH GENERATE  FROM ENTRY PINCH  ROLL</t>
  </si>
  <si>
    <t>PREVIOUS SHIFT  SCRATCH GENERATE  FROM ENTRY PINCH BOTTOM  ROLL</t>
  </si>
  <si>
    <t>BOTTOM SCARTCH OBSERVATION</t>
  </si>
  <si>
    <t>12.05.2026</t>
  </si>
  <si>
    <t>MAX COIL HDPE PKT</t>
  </si>
  <si>
    <t>LINE STOP DUE TO CRANE ENGAGE WITH DISPATCH FG AREA  PACKETS</t>
  </si>
  <si>
    <t>2000 WIDTH VCI HDPE NOT AVAILABLE, SO THAT 1800 WIDTH VCI HDPE JOINT PACKING</t>
  </si>
  <si>
    <t>WCTL-1 MAIN HYDROLIC POWER PACK TEMP HIGH</t>
  </si>
  <si>
    <t>13.05.2026</t>
  </si>
  <si>
    <t xml:space="preserve"> MAIN HYDROLIC POWER PACK TEMP HIGH</t>
  </si>
  <si>
    <t>STACKER 1 EVERY COIL FIRST SHEET LENGTH MANUAL ADJUST</t>
  </si>
  <si>
    <t>LEVELLER CASSATTE CHANGE &amp; SCALE REMOVE</t>
  </si>
  <si>
    <t xml:space="preserve"> </t>
  </si>
  <si>
    <t>14.05.2026</t>
  </si>
  <si>
    <t>HOUSEKEEPING</t>
  </si>
  <si>
    <t xml:space="preserve">BOX -1  FINGURE ROLL BROKEN </t>
  </si>
  <si>
    <t xml:space="preserve">BOX -1  FINGURE ROLL BROKEN FORM PREVIOUS SHIFT </t>
  </si>
  <si>
    <t>STRAIGHTNER  OUTSIDE SUPPORTING  FRAME BROKEN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</si>
</sst>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31" x14ac:knownFonts="1">
    <font>
      <sz val="11"/>
      <color theme="1"/>
      <name val="Calibri"/>
      <family val="2"/>
      <scheme val="minor"/>
    </font>
    <font>
      <sz val="11"/>
      <name val="Calibri"/>
      <family val="2"/>
    </font>
    <font>
      <sz val="14"/>
      <color theme="1"/>
      <name val="Calibri"/>
      <family val="2"/>
      <scheme val="minor"/>
    </font>
    <font>
      <b/>
      <sz val="14"/>
      <color theme="8"/>
      <name val="Arial Rounded MT Bold"/>
      <family val="2"/>
    </font>
    <font>
      <sz val="14"/>
      <color theme="8"/>
      <name val="Arial Black"/>
      <family val="2"/>
    </font>
    <font>
      <b/>
      <sz val="12"/>
      <color theme="1"/>
      <name val="Calibri"/>
      <family val="2"/>
      <scheme val="minor"/>
    </font>
    <font>
      <b/>
      <sz val="11"/>
      <name val="Calibri"/>
      <family val="2"/>
    </font>
    <font>
      <sz val="10"/>
      <color theme="1"/>
      <name val="Calibri"/>
      <family val="2"/>
      <scheme val="minor"/>
    </font>
    <font>
      <b/>
      <sz val="10"/>
      <color theme="1"/>
      <name val="Calibri"/>
      <family val="2"/>
      <scheme val="minor"/>
    </font>
    <font>
      <b/>
      <sz val="10"/>
      <color rgb="FFFF0000"/>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2"/>
      <color theme="4"/>
      <name val="Calibri"/>
      <family val="2"/>
      <scheme val="minor"/>
    </font>
    <font>
      <b/>
      <sz val="22"/>
      <color rgb="FF00B0F0"/>
      <name val="Calibri"/>
      <family val="2"/>
      <scheme val="minor"/>
    </font>
    <font>
      <b/>
      <sz val="18"/>
      <color theme="1"/>
      <name val="Calibri Light"/>
      <family val="2"/>
      <scheme val="major"/>
    </font>
    <font>
      <sz val="18"/>
      <color theme="1"/>
      <name val="Calibri"/>
      <family val="2"/>
      <scheme val="minor"/>
    </font>
    <font>
      <b/>
      <sz val="18"/>
      <name val="Calibri"/>
      <family val="2"/>
    </font>
    <font>
      <sz val="18"/>
      <color theme="1"/>
      <name val="Arial Rounded MT Bold"/>
      <family val="2"/>
    </font>
    <font>
      <b/>
      <sz val="16"/>
      <color theme="7"/>
      <name val="Calibri"/>
      <family val="2"/>
      <scheme val="minor"/>
    </font>
    <font>
      <sz val="16"/>
      <color theme="7"/>
      <name val="Calibri"/>
      <family val="2"/>
      <scheme val="minor"/>
    </font>
    <font>
      <b/>
      <sz val="16"/>
      <color theme="1"/>
      <name val="Calibri Light"/>
      <family val="2"/>
      <scheme val="major"/>
    </font>
    <font>
      <b/>
      <sz val="16"/>
      <name val="Calibri"/>
      <family val="2"/>
    </font>
    <font>
      <b/>
      <sz val="28"/>
      <color rgb="FFFFC000"/>
      <name val="Calibri"/>
      <family val="2"/>
      <scheme val="minor"/>
    </font>
    <font>
      <b/>
      <sz val="18"/>
      <color rgb="FFFF0000"/>
      <name val="Calibri Light"/>
      <family val="2"/>
      <scheme val="major"/>
    </font>
    <font>
      <b/>
      <sz val="20"/>
      <color theme="1"/>
      <name val="Calibri Light"/>
      <family val="2"/>
      <scheme val="major"/>
    </font>
    <font>
      <b/>
      <sz val="20"/>
      <name val="Calibri"/>
      <family val="2"/>
    </font>
    <font>
      <b/>
      <sz val="20"/>
      <color theme="1"/>
      <name val="Calibri"/>
      <family val="2"/>
      <scheme val="minor"/>
    </font>
    <font>
      <b/>
      <sz val="9"/>
      <color theme="1"/>
      <name val="Calibri"/>
      <family val="2"/>
      <scheme val="minor"/>
    </font>
    <font>
      <sz val="16"/>
      <color theme="0"/>
      <name val="Calibri"/>
      <family val="2"/>
      <scheme val="minor"/>
    </font>
    <font>
      <b/>
      <sz val="18"/>
      <color theme="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002060"/>
        <bgColor indexed="64"/>
      </patternFill>
    </fill>
    <fill>
      <patternFill patternType="solid">
        <fgColor theme="1" tint="0.34998626667073579"/>
        <bgColor indexed="64"/>
      </patternFill>
    </fill>
    <fill>
      <patternFill patternType="solid">
        <fgColor theme="9" tint="-0.249977111117893"/>
        <bgColor indexed="64"/>
      </patternFill>
    </fill>
    <fill>
      <patternFill patternType="solid">
        <fgColor rgb="FF92D05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14">
    <xf numFmtId="0" fontId="0" fillId="0" borderId="0" xfId="0"/>
    <xf numFmtId="0" fontId="0" fillId="0" borderId="1" xfId="0" applyBorder="1" applyAlignment="1">
      <alignment horizontal="center"/>
    </xf>
    <xf numFmtId="0" fontId="0" fillId="0" borderId="0" xfId="0" applyAlignment="1">
      <alignment horizontal="center"/>
    </xf>
    <xf numFmtId="0" fontId="0" fillId="0" borderId="1" xfId="0" applyBorder="1" applyAlignment="1">
      <alignment horizontal="center" vertical="center"/>
    </xf>
    <xf numFmtId="0" fontId="0" fillId="0" borderId="0" xfId="0" applyAlignment="1"/>
    <xf numFmtId="0" fontId="1" fillId="0" borderId="0" xfId="0" applyFont="1" applyAlignment="1">
      <alignment vertical="center"/>
    </xf>
    <xf numFmtId="0" fontId="1" fillId="2" borderId="0" xfId="0" applyFont="1" applyFill="1" applyAlignment="1">
      <alignment vertical="center"/>
    </xf>
    <xf numFmtId="0" fontId="1" fillId="0" borderId="0" xfId="0" applyFont="1" applyFill="1" applyBorder="1" applyAlignment="1">
      <alignment vertical="center"/>
    </xf>
    <xf numFmtId="0" fontId="0" fillId="0" borderId="0" xfId="0" applyAlignment="1">
      <alignment vertical="center"/>
    </xf>
    <xf numFmtId="0" fontId="0" fillId="0" borderId="2" xfId="0" applyBorder="1" applyAlignment="1">
      <alignment horizontal="center"/>
    </xf>
    <xf numFmtId="0" fontId="1" fillId="3" borderId="1" xfId="0" applyFont="1" applyFill="1" applyBorder="1" applyAlignment="1">
      <alignment vertical="center"/>
    </xf>
    <xf numFmtId="0" fontId="1" fillId="3" borderId="0" xfId="0" applyFont="1" applyFill="1" applyAlignment="1">
      <alignment vertical="center"/>
    </xf>
    <xf numFmtId="0" fontId="1" fillId="0" borderId="4" xfId="0" applyFont="1" applyFill="1" applyBorder="1" applyAlignment="1">
      <alignment vertical="center"/>
    </xf>
    <xf numFmtId="0" fontId="1" fillId="3" borderId="6" xfId="0" applyFont="1" applyFill="1" applyBorder="1" applyAlignment="1">
      <alignment vertical="center"/>
    </xf>
    <xf numFmtId="0" fontId="1" fillId="0" borderId="6" xfId="0" applyFont="1" applyFill="1" applyBorder="1" applyAlignment="1">
      <alignment vertical="center"/>
    </xf>
    <xf numFmtId="0" fontId="1" fillId="0" borderId="7" xfId="0" applyFont="1" applyFill="1" applyBorder="1" applyAlignment="1">
      <alignment vertical="center"/>
    </xf>
    <xf numFmtId="0" fontId="1" fillId="0" borderId="6" xfId="0" applyFont="1" applyBorder="1" applyAlignment="1">
      <alignment vertical="center"/>
    </xf>
    <xf numFmtId="0" fontId="0" fillId="0" borderId="1" xfId="0" applyBorder="1"/>
    <xf numFmtId="0" fontId="0" fillId="0" borderId="8" xfId="0" applyBorder="1"/>
    <xf numFmtId="0" fontId="2" fillId="0" borderId="1" xfId="0" applyFont="1" applyBorder="1"/>
    <xf numFmtId="0" fontId="2" fillId="0" borderId="8" xfId="0" applyFont="1" applyBorder="1"/>
    <xf numFmtId="0" fontId="2" fillId="0" borderId="0" xfId="0" applyFont="1"/>
    <xf numFmtId="0" fontId="3" fillId="2" borderId="1" xfId="0" applyFont="1" applyFill="1" applyBorder="1"/>
    <xf numFmtId="0" fontId="4" fillId="2" borderId="1" xfId="0" applyFont="1" applyFill="1" applyBorder="1" applyAlignment="1">
      <alignment horizontal="center"/>
    </xf>
    <xf numFmtId="164" fontId="0" fillId="0" borderId="1" xfId="0" applyNumberFormat="1" applyBorder="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0" fillId="0" borderId="1" xfId="0" applyFont="1" applyBorder="1" applyAlignment="1">
      <alignment horizontal="center"/>
    </xf>
    <xf numFmtId="0" fontId="0" fillId="0" borderId="6" xfId="0" applyFont="1" applyFill="1" applyBorder="1" applyAlignment="1">
      <alignment horizontal="center"/>
    </xf>
    <xf numFmtId="0" fontId="5" fillId="0" borderId="4" xfId="0" applyFont="1" applyBorder="1" applyAlignment="1">
      <alignment horizontal="center"/>
    </xf>
    <xf numFmtId="2" fontId="0" fillId="0" borderId="3" xfId="0" applyNumberFormat="1" applyBorder="1" applyAlignment="1">
      <alignment horizontal="center"/>
    </xf>
    <xf numFmtId="0" fontId="0" fillId="0" borderId="1" xfId="0" applyBorder="1" applyAlignment="1">
      <alignment vertical="center"/>
    </xf>
    <xf numFmtId="0" fontId="0" fillId="0" borderId="6" xfId="0" applyBorder="1" applyAlignment="1">
      <alignment horizontal="center"/>
    </xf>
    <xf numFmtId="0" fontId="7" fillId="0" borderId="0" xfId="0" applyFont="1"/>
    <xf numFmtId="0" fontId="8" fillId="0" borderId="2" xfId="0" applyFont="1" applyBorder="1" applyAlignment="1">
      <alignment horizontal="center"/>
    </xf>
    <xf numFmtId="0" fontId="6" fillId="0" borderId="0" xfId="0" applyFont="1" applyFill="1" applyBorder="1" applyAlignment="1">
      <alignment horizontal="center" vertical="center"/>
    </xf>
    <xf numFmtId="0" fontId="9" fillId="2" borderId="0" xfId="0" applyFont="1" applyFill="1" applyAlignment="1">
      <alignment horizontal="center" vertical="center"/>
    </xf>
    <xf numFmtId="0" fontId="10" fillId="0" borderId="1" xfId="0" applyFont="1" applyBorder="1" applyAlignment="1">
      <alignment horizontal="center"/>
    </xf>
    <xf numFmtId="0" fontId="10" fillId="0" borderId="2" xfId="0" applyFont="1" applyBorder="1" applyAlignment="1">
      <alignment horizontal="center"/>
    </xf>
    <xf numFmtId="0" fontId="10" fillId="0" borderId="6" xfId="0" applyFont="1" applyBorder="1" applyAlignment="1">
      <alignment horizontal="center"/>
    </xf>
    <xf numFmtId="0" fontId="10" fillId="0" borderId="0" xfId="0" applyFont="1" applyAlignment="1">
      <alignment horizontal="center"/>
    </xf>
    <xf numFmtId="0" fontId="10" fillId="0" borderId="1" xfId="0" applyFont="1" applyBorder="1" applyAlignment="1">
      <alignment horizontal="center" vertical="center"/>
    </xf>
    <xf numFmtId="164" fontId="10" fillId="0" borderId="1" xfId="0" applyNumberFormat="1" applyFont="1" applyBorder="1" applyAlignment="1">
      <alignment horizontal="center"/>
    </xf>
    <xf numFmtId="2" fontId="10" fillId="0" borderId="3" xfId="0" applyNumberFormat="1" applyFont="1" applyBorder="1" applyAlignment="1">
      <alignment horizontal="center"/>
    </xf>
    <xf numFmtId="0" fontId="12" fillId="0" borderId="1" xfId="0" applyFont="1" applyBorder="1" applyAlignment="1">
      <alignment horizontal="center"/>
    </xf>
    <xf numFmtId="0" fontId="12" fillId="0" borderId="2" xfId="0" applyFont="1" applyBorder="1" applyAlignment="1">
      <alignment horizontal="center"/>
    </xf>
    <xf numFmtId="0" fontId="0" fillId="0" borderId="0" xfId="0" applyFont="1" applyFill="1" applyBorder="1" applyAlignment="1">
      <alignment horizontal="center"/>
    </xf>
    <xf numFmtId="0" fontId="13" fillId="6" borderId="2" xfId="0" applyFont="1" applyFill="1" applyBorder="1" applyAlignment="1">
      <alignment horizontal="center"/>
    </xf>
    <xf numFmtId="0" fontId="14" fillId="6" borderId="4" xfId="0" applyFont="1" applyFill="1" applyBorder="1" applyAlignment="1">
      <alignment horizontal="center"/>
    </xf>
    <xf numFmtId="0" fontId="14" fillId="6" borderId="0" xfId="0" applyFont="1" applyFill="1" applyAlignment="1">
      <alignment horizontal="center"/>
    </xf>
    <xf numFmtId="0" fontId="12" fillId="0" borderId="1" xfId="0" applyFont="1" applyBorder="1" applyAlignment="1">
      <alignment horizontal="center" vertical="center"/>
    </xf>
    <xf numFmtId="164" fontId="12" fillId="0" borderId="1" xfId="0" applyNumberFormat="1" applyFont="1" applyBorder="1" applyAlignment="1">
      <alignment horizontal="center"/>
    </xf>
    <xf numFmtId="0" fontId="15" fillId="0" borderId="1" xfId="0" applyFont="1" applyBorder="1" applyAlignment="1">
      <alignment horizontal="center"/>
    </xf>
    <xf numFmtId="0" fontId="16" fillId="0" borderId="2" xfId="0" applyFont="1" applyBorder="1" applyAlignment="1">
      <alignment horizontal="center"/>
    </xf>
    <xf numFmtId="0" fontId="16" fillId="0" borderId="1" xfId="0" applyFont="1" applyBorder="1" applyAlignment="1">
      <alignment horizontal="center"/>
    </xf>
    <xf numFmtId="0" fontId="16" fillId="0" borderId="0" xfId="0" applyFont="1" applyAlignment="1">
      <alignment horizontal="center"/>
    </xf>
    <xf numFmtId="0" fontId="16" fillId="0" borderId="1" xfId="0" applyFont="1" applyBorder="1" applyAlignment="1">
      <alignment horizontal="center" vertical="center"/>
    </xf>
    <xf numFmtId="164" fontId="16" fillId="0" borderId="1" xfId="0" applyNumberFormat="1" applyFont="1" applyBorder="1" applyAlignment="1">
      <alignment horizontal="center"/>
    </xf>
    <xf numFmtId="2" fontId="16" fillId="0" borderId="1" xfId="0" applyNumberFormat="1" applyFont="1" applyBorder="1" applyAlignment="1">
      <alignment horizontal="center"/>
    </xf>
    <xf numFmtId="0" fontId="17" fillId="0" borderId="1" xfId="0" applyFont="1" applyFill="1" applyBorder="1" applyAlignment="1">
      <alignment horizontal="center" vertical="center"/>
    </xf>
    <xf numFmtId="0" fontId="15" fillId="0" borderId="1" xfId="0" applyFont="1" applyBorder="1" applyAlignment="1">
      <alignment horizontal="center" vertical="center"/>
    </xf>
    <xf numFmtId="2" fontId="16" fillId="0" borderId="3" xfId="0" applyNumberFormat="1" applyFont="1" applyBorder="1" applyAlignment="1">
      <alignment horizontal="center"/>
    </xf>
    <xf numFmtId="0" fontId="12" fillId="0" borderId="9" xfId="0" applyFont="1" applyBorder="1" applyAlignment="1">
      <alignment horizontal="center"/>
    </xf>
    <xf numFmtId="0" fontId="18" fillId="0" borderId="9" xfId="0" applyFont="1" applyBorder="1" applyAlignment="1">
      <alignment horizontal="center"/>
    </xf>
    <xf numFmtId="0" fontId="17" fillId="3" borderId="1" xfId="0" applyFont="1" applyFill="1" applyBorder="1" applyAlignment="1">
      <alignment horizontal="center" vertical="center"/>
    </xf>
    <xf numFmtId="0" fontId="17" fillId="0" borderId="1" xfId="0" applyFont="1" applyBorder="1" applyAlignment="1">
      <alignment horizontal="center" vertical="center"/>
    </xf>
    <xf numFmtId="0" fontId="18" fillId="0" borderId="2" xfId="0" applyFont="1" applyBorder="1" applyAlignment="1">
      <alignment horizontal="center"/>
    </xf>
    <xf numFmtId="0" fontId="12" fillId="0" borderId="0" xfId="0" applyFont="1" applyAlignment="1">
      <alignment horizontal="center" vertical="center"/>
    </xf>
    <xf numFmtId="0" fontId="14" fillId="6" borderId="1" xfId="0" applyFont="1" applyFill="1" applyBorder="1" applyAlignment="1">
      <alignment horizontal="center"/>
    </xf>
    <xf numFmtId="0" fontId="0" fillId="7" borderId="1" xfId="0" applyFill="1" applyBorder="1"/>
    <xf numFmtId="0" fontId="12" fillId="7" borderId="1" xfId="0" applyFont="1" applyFill="1" applyBorder="1" applyAlignment="1">
      <alignment horizontal="center"/>
    </xf>
    <xf numFmtId="0" fontId="12" fillId="7" borderId="1" xfId="0" applyFont="1" applyFill="1" applyBorder="1"/>
    <xf numFmtId="0" fontId="19" fillId="5" borderId="1" xfId="0" applyFont="1" applyFill="1" applyBorder="1" applyAlignment="1">
      <alignment vertical="center"/>
    </xf>
    <xf numFmtId="0" fontId="19" fillId="5" borderId="1" xfId="0" applyFont="1" applyFill="1" applyBorder="1" applyAlignment="1">
      <alignment horizontal="center" vertical="center"/>
    </xf>
    <xf numFmtId="164" fontId="19" fillId="5" borderId="1" xfId="0" applyNumberFormat="1" applyFont="1" applyFill="1" applyBorder="1" applyAlignment="1">
      <alignment horizontal="center" vertical="center"/>
    </xf>
    <xf numFmtId="0" fontId="20" fillId="5" borderId="1" xfId="0" applyFont="1" applyFill="1" applyBorder="1" applyAlignment="1">
      <alignment horizontal="center"/>
    </xf>
    <xf numFmtId="0" fontId="11" fillId="0" borderId="1" xfId="0" applyFont="1" applyBorder="1" applyAlignment="1">
      <alignment horizontal="center"/>
    </xf>
    <xf numFmtId="0" fontId="11" fillId="0" borderId="1" xfId="0" applyFont="1" applyBorder="1" applyAlignment="1">
      <alignment horizontal="center" vertical="center"/>
    </xf>
    <xf numFmtId="164" fontId="11" fillId="0" borderId="1" xfId="0" applyNumberFormat="1" applyFont="1" applyBorder="1" applyAlignment="1">
      <alignment horizontal="center"/>
    </xf>
    <xf numFmtId="0" fontId="21" fillId="0" borderId="1" xfId="0" applyFont="1" applyBorder="1" applyAlignment="1">
      <alignment horizontal="center"/>
    </xf>
    <xf numFmtId="2" fontId="10" fillId="0" borderId="1" xfId="0" applyNumberFormat="1" applyFont="1" applyBorder="1" applyAlignment="1">
      <alignment horizontal="center"/>
    </xf>
    <xf numFmtId="0" fontId="22" fillId="0" borderId="1" xfId="0" applyFont="1" applyFill="1" applyBorder="1" applyAlignment="1">
      <alignment horizontal="center" vertical="center"/>
    </xf>
    <xf numFmtId="0" fontId="21" fillId="0" borderId="1" xfId="0" applyFont="1" applyBorder="1" applyAlignment="1">
      <alignment horizontal="center" vertical="center"/>
    </xf>
    <xf numFmtId="0" fontId="22" fillId="3" borderId="1" xfId="0" applyFont="1" applyFill="1" applyBorder="1" applyAlignment="1">
      <alignment horizontal="center" vertical="center"/>
    </xf>
    <xf numFmtId="0" fontId="22" fillId="0" borderId="1" xfId="0" applyFont="1" applyBorder="1" applyAlignment="1">
      <alignment horizontal="center" vertical="center"/>
    </xf>
    <xf numFmtId="0" fontId="10" fillId="0" borderId="7" xfId="0" applyFont="1" applyBorder="1" applyAlignment="1">
      <alignment horizontal="center"/>
    </xf>
    <xf numFmtId="0" fontId="10" fillId="0" borderId="7" xfId="0" applyFont="1" applyBorder="1" applyAlignment="1">
      <alignment horizontal="center" vertical="center"/>
    </xf>
    <xf numFmtId="0" fontId="10" fillId="0" borderId="10" xfId="0" applyFont="1" applyBorder="1" applyAlignment="1">
      <alignment horizontal="center"/>
    </xf>
    <xf numFmtId="164" fontId="10" fillId="0" borderId="7" xfId="0" applyNumberFormat="1" applyFont="1" applyBorder="1" applyAlignment="1">
      <alignment horizontal="center"/>
    </xf>
    <xf numFmtId="2" fontId="10" fillId="0" borderId="11" xfId="0" applyNumberFormat="1" applyFont="1" applyBorder="1" applyAlignment="1">
      <alignment horizontal="center"/>
    </xf>
    <xf numFmtId="2" fontId="19" fillId="5" borderId="1" xfId="0" applyNumberFormat="1" applyFont="1" applyFill="1" applyBorder="1" applyAlignment="1">
      <alignment horizontal="center" vertical="center"/>
    </xf>
    <xf numFmtId="0" fontId="11" fillId="0" borderId="1" xfId="0" applyFont="1" applyBorder="1" applyAlignment="1"/>
    <xf numFmtId="0" fontId="17" fillId="0" borderId="0" xfId="0" applyFont="1" applyFill="1" applyBorder="1" applyAlignment="1">
      <alignment vertical="center"/>
    </xf>
    <xf numFmtId="0" fontId="12" fillId="0" borderId="1" xfId="0" applyFont="1" applyFill="1" applyBorder="1" applyAlignment="1">
      <alignment horizontal="center"/>
    </xf>
    <xf numFmtId="0" fontId="24" fillId="3" borderId="1" xfId="0" applyFont="1" applyFill="1" applyBorder="1" applyAlignment="1">
      <alignment vertical="center"/>
    </xf>
    <xf numFmtId="0" fontId="15" fillId="3" borderId="1" xfId="0" applyFont="1" applyFill="1" applyBorder="1" applyAlignment="1">
      <alignment vertical="center"/>
    </xf>
    <xf numFmtId="0" fontId="25" fillId="3" borderId="1" xfId="0" applyFont="1" applyFill="1" applyBorder="1" applyAlignment="1">
      <alignment vertical="center"/>
    </xf>
    <xf numFmtId="0" fontId="26" fillId="0" borderId="0" xfId="0" applyFont="1" applyAlignment="1">
      <alignment horizontal="center" vertical="center"/>
    </xf>
    <xf numFmtId="0" fontId="25" fillId="3" borderId="1" xfId="0" applyFont="1" applyFill="1" applyBorder="1" applyAlignment="1">
      <alignment horizontal="center" vertical="center"/>
    </xf>
    <xf numFmtId="0" fontId="17" fillId="0" borderId="0" xfId="0" applyFont="1" applyAlignment="1">
      <alignment horizontal="center" vertical="center"/>
    </xf>
    <xf numFmtId="0" fontId="27" fillId="0" borderId="1" xfId="0" applyFont="1" applyBorder="1" applyAlignment="1">
      <alignment horizontal="center"/>
    </xf>
    <xf numFmtId="0" fontId="11" fillId="0" borderId="0" xfId="0" applyFont="1" applyAlignment="1">
      <alignment horizontal="center"/>
    </xf>
    <xf numFmtId="0" fontId="28" fillId="0" borderId="1" xfId="0" applyFont="1" applyBorder="1" applyAlignment="1">
      <alignment horizontal="center"/>
    </xf>
    <xf numFmtId="0" fontId="27" fillId="0" borderId="1" xfId="0" applyFont="1" applyBorder="1" applyAlignment="1">
      <alignment horizontal="center" vertical="center"/>
    </xf>
    <xf numFmtId="0" fontId="23" fillId="6" borderId="2" xfId="0" applyFont="1" applyFill="1" applyBorder="1" applyAlignment="1"/>
    <xf numFmtId="0" fontId="23" fillId="6" borderId="5" xfId="0" applyFont="1" applyFill="1" applyBorder="1" applyAlignment="1"/>
    <xf numFmtId="0" fontId="23" fillId="6" borderId="3" xfId="0" applyFont="1" applyFill="1" applyBorder="1" applyAlignment="1"/>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4" borderId="4" xfId="0" applyFont="1" applyFill="1" applyBorder="1" applyAlignment="1">
      <alignment horizontal="center"/>
    </xf>
    <xf numFmtId="0" fontId="2" fillId="4" borderId="6" xfId="0" applyFont="1" applyFill="1" applyBorder="1" applyAlignment="1">
      <alignment horizontal="center"/>
    </xf>
    <xf numFmtId="0" fontId="2" fillId="4" borderId="7" xfId="0" applyFont="1" applyFill="1" applyBorder="1" applyAlignment="1">
      <alignment horizontal="center"/>
    </xf>
    <xf numFmtId="0" fontId="29" fillId="0" borderId="1" xfId="0" applyFont="1" applyBorder="1" applyAlignment="1">
      <alignment horizontal="center"/>
    </xf>
    <xf numFmtId="0" fontId="30"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ELAY%20REPORT%20-%20Copy/WCTL-1%20DELAY%20REPORT%20MARCH-24%20-%20Cop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CTL-1%20DELAY%20%20(Autosaved).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TL-1%20DOCUMENT/WCTL-1%20DELAY%20REPORT%20JANUARY-2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CT-1%20Delay%20Report-Dec2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ew%20folder/WCTL-1%20DELAY%20JANUARY-24)%20(Autosaved).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ELAY%20REPORT%20-%20Copy%20-%20Copy%20(2)/WCTL-1%20DELAY%20REPORT%20january-25%20(Autosaved)%20-%20Copy%20-%20Copy.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ELAY%20REPORT%20-%20Copy%20-%20Copy%20(2)/WCTL-1%20DELAY%20REPORT%20FEB-25%20(Autosav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24"/>
      <sheetName val="Sheet1"/>
      <sheetName val="Sheet3"/>
      <sheetName val="Sheet4"/>
      <sheetName val="Sheet2"/>
    </sheetNames>
    <sheetDataSet>
      <sheetData sheetId="0"/>
      <sheetData sheetId="1"/>
      <sheetData sheetId="2">
        <row r="19">
          <cell r="H19" t="str">
            <v>ENDCUT SCRAP HANDLING</v>
          </cell>
          <cell r="I19" t="str">
            <v>LESS MANPOWER</v>
          </cell>
        </row>
        <row r="20">
          <cell r="H20" t="str">
            <v>SCRAP VEHICLE LOADING</v>
          </cell>
          <cell r="I20" t="str">
            <v>BUS LATE</v>
          </cell>
        </row>
        <row r="21">
          <cell r="H21" t="str">
            <v>TRIM SCRAP BOX HANDLING</v>
          </cell>
          <cell r="I21" t="str">
            <v>COMMUNICATION MEETING</v>
          </cell>
        </row>
      </sheetData>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sheetName val="OCT-23"/>
      <sheetName val="Sheet4"/>
      <sheetName val="Sheet2"/>
      <sheetName val="Sheet1"/>
    </sheetNames>
    <sheetDataSet>
      <sheetData sheetId="0">
        <row r="5">
          <cell r="I5" t="str">
            <v>PRINTER NOT WORKING</v>
          </cell>
        </row>
        <row r="6">
          <cell r="I6" t="str">
            <v>SHEET BEND IN LINE</v>
          </cell>
        </row>
        <row r="7">
          <cell r="I7" t="str">
            <v>SHEET STUCK IN STACKER OVER PASSING</v>
          </cell>
        </row>
        <row r="8">
          <cell r="I8" t="str">
            <v>COIL UNLOADING</v>
          </cell>
        </row>
        <row r="9">
          <cell r="I9" t="str">
            <v>HEAVY RAIN</v>
          </cell>
        </row>
        <row r="10">
          <cell r="I10" t="str">
            <v>LEVELLER CLEANING</v>
          </cell>
        </row>
        <row r="11">
          <cell r="I11" t="str">
            <v>FLATTNER CLEANING</v>
          </cell>
        </row>
        <row r="12">
          <cell r="I12" t="str">
            <v>COIL FEEDING ISSUE</v>
          </cell>
        </row>
        <row r="13">
          <cell r="I13" t="str">
            <v>SCRAP STUCK IN BOTTOM  SCRAP PINCH ROLL</v>
          </cell>
        </row>
        <row r="14">
          <cell r="I14" t="str">
            <v>SCRATCHES FROM RUNNING LINE</v>
          </cell>
        </row>
        <row r="15">
          <cell r="I15" t="str">
            <v>THINNER MATERIAL PROCESSED</v>
          </cell>
        </row>
        <row r="17">
          <cell r="I17" t="str">
            <v>LEVELLER CASSATTE CHANGE</v>
          </cell>
        </row>
      </sheetData>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Y-25"/>
      <sheetName val="Sheet1"/>
      <sheetName val="Sheet3"/>
      <sheetName val="Sheet2"/>
      <sheetName val="Sheet4"/>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3"/>
      <sheetName val="Sheet4"/>
      <sheetName val="Sheet2"/>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23"/>
      <sheetName val="Sheet4"/>
      <sheetName val="Sheet1"/>
      <sheetName val="Sheet3"/>
      <sheetName val="Sheet2"/>
    </sheetNames>
    <sheetDataSet>
      <sheetData sheetId="0"/>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24"/>
      <sheetName val="Sheet3"/>
      <sheetName val="Sheet1"/>
      <sheetName val="Sheet2"/>
    </sheetNames>
    <sheetDataSet>
      <sheetData sheetId="0"/>
      <sheetData sheetId="1"/>
      <sheetData sheetId="2"/>
      <sheetData sheetId="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25"/>
      <sheetName val="FEB-25"/>
      <sheetName val="Sheet3"/>
      <sheetName val="Sheet1"/>
      <sheetName val="Sheet2"/>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4197"/>
  <sheetViews>
    <sheetView tabSelected="1" zoomScale="55" zoomScaleNormal="55" workbookViewId="0">
      <pane ySplit="2" topLeftCell="A401" activePane="bottomLeft" state="frozen"/>
      <selection pane="bottomLeft" activeCell="K419" sqref="K419"/>
    </sheetView>
  </sheetViews>
  <sheetFormatPr defaultRowHeight="15" x14ac:dyDescent="0.25"/>
  <cols>
    <col min="1" max="1" width="22.7109375" style="1" customWidth="1"/>
    <col min="2" max="2" width="8.42578125" style="1" customWidth="1"/>
    <col min="3" max="3" width="27.5703125" style="3" customWidth="1"/>
    <col min="4" max="4" width="38.140625" style="9" customWidth="1"/>
    <col min="5" max="5" width="31.42578125" style="9" customWidth="1"/>
    <col min="6" max="6" width="20.7109375" style="24" customWidth="1"/>
    <col min="7" max="7" width="15.85546875" style="30" customWidth="1"/>
    <col min="8" max="8" width="19.85546875" style="1" customWidth="1"/>
    <col min="9" max="9" width="15.28515625" style="1" customWidth="1"/>
    <col min="10" max="10" width="74.5703125" style="9" customWidth="1"/>
    <col min="11" max="11" width="98.85546875" style="1" customWidth="1"/>
    <col min="12" max="12" width="67" style="9" customWidth="1"/>
    <col min="13" max="13" width="42.42578125" style="32" customWidth="1"/>
    <col min="14" max="14" width="76.85546875" style="2" hidden="1" customWidth="1"/>
    <col min="15" max="15" width="26.5703125" style="2" hidden="1" customWidth="1"/>
    <col min="16" max="16" width="28" style="1" customWidth="1"/>
    <col min="17" max="17" width="33.7109375" style="1" customWidth="1"/>
    <col min="18" max="18" width="9.140625" style="1" customWidth="1"/>
    <col min="19" max="34" width="9.140625" style="1"/>
    <col min="35" max="35" width="52" style="1" hidden="1" customWidth="1"/>
    <col min="36" max="36" width="37" style="1" hidden="1" customWidth="1"/>
    <col min="37" max="65" width="9.140625" style="1"/>
    <col min="66" max="16384" width="9.140625" style="2"/>
  </cols>
  <sheetData>
    <row r="1" spans="1:65" s="49" customFormat="1" ht="33" customHeight="1" x14ac:dyDescent="0.55000000000000004">
      <c r="A1" s="104" t="s">
        <v>193</v>
      </c>
      <c r="B1" s="105"/>
      <c r="C1" s="105"/>
      <c r="D1" s="105"/>
      <c r="E1" s="105"/>
      <c r="F1" s="105"/>
      <c r="G1" s="105"/>
      <c r="H1" s="105"/>
      <c r="I1" s="105"/>
      <c r="J1" s="105"/>
      <c r="K1" s="106"/>
      <c r="L1" s="47"/>
      <c r="M1" s="4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c r="AV1" s="68"/>
      <c r="AW1" s="68"/>
      <c r="AX1" s="68"/>
      <c r="AY1" s="68"/>
      <c r="AZ1" s="68"/>
      <c r="BA1" s="68"/>
      <c r="BB1" s="68"/>
      <c r="BC1" s="68"/>
      <c r="BD1" s="68"/>
      <c r="BE1" s="68"/>
      <c r="BF1" s="68"/>
      <c r="BG1" s="68"/>
      <c r="BH1" s="68"/>
      <c r="BI1" s="68"/>
      <c r="BJ1" s="68"/>
      <c r="BK1" s="68"/>
      <c r="BL1" s="68"/>
      <c r="BM1" s="68"/>
    </row>
    <row r="2" spans="1:65" s="75" customFormat="1" ht="37.5" customHeight="1" x14ac:dyDescent="0.35">
      <c r="A2" s="72" t="s">
        <v>131</v>
      </c>
      <c r="B2" s="73" t="s">
        <v>0</v>
      </c>
      <c r="C2" s="73" t="s">
        <v>1</v>
      </c>
      <c r="D2" s="73" t="s">
        <v>2</v>
      </c>
      <c r="E2" s="73" t="s">
        <v>222</v>
      </c>
      <c r="F2" s="74" t="s">
        <v>3</v>
      </c>
      <c r="G2" s="90" t="s">
        <v>4</v>
      </c>
      <c r="H2" s="73" t="s">
        <v>5</v>
      </c>
      <c r="I2" s="73" t="s">
        <v>6</v>
      </c>
      <c r="J2" s="73" t="s">
        <v>7</v>
      </c>
      <c r="K2" s="73" t="s">
        <v>8</v>
      </c>
    </row>
    <row r="3" spans="1:65" s="37" customFormat="1" ht="23.25" x14ac:dyDescent="0.35">
      <c r="A3" s="44" t="s">
        <v>158</v>
      </c>
      <c r="B3" s="44" t="s">
        <v>9</v>
      </c>
      <c r="C3" s="50" t="s">
        <v>18</v>
      </c>
      <c r="D3" s="44" t="s">
        <v>146</v>
      </c>
      <c r="E3" s="44"/>
      <c r="F3" s="51">
        <v>236.13</v>
      </c>
      <c r="G3" s="51">
        <v>7.5</v>
      </c>
      <c r="H3" s="44" t="s">
        <v>10</v>
      </c>
      <c r="I3" s="52">
        <v>10</v>
      </c>
      <c r="J3" s="52" t="s">
        <v>24</v>
      </c>
      <c r="K3" s="52"/>
      <c r="AI3" s="112"/>
      <c r="AJ3" s="112"/>
    </row>
    <row r="4" spans="1:65" s="37" customFormat="1" ht="26.25" customHeight="1" x14ac:dyDescent="0.35">
      <c r="A4" s="54"/>
      <c r="B4" s="54"/>
      <c r="C4" s="56"/>
      <c r="D4" s="53"/>
      <c r="E4" s="53"/>
      <c r="F4" s="57"/>
      <c r="G4" s="58"/>
      <c r="H4" s="54"/>
      <c r="I4" s="52">
        <v>10</v>
      </c>
      <c r="J4" s="59" t="s">
        <v>128</v>
      </c>
      <c r="K4" s="52"/>
      <c r="N4" s="76" t="s">
        <v>146</v>
      </c>
      <c r="O4" s="37" t="e">
        <f>SUMIF(#REF!,#REF!,#REF!)</f>
        <v>#REF!</v>
      </c>
      <c r="AI4" s="113" t="s">
        <v>146</v>
      </c>
      <c r="AJ4" s="112">
        <f>SUMIF(D3:D2000,D3,F3:F2000)</f>
        <v>3470.2900000000004</v>
      </c>
    </row>
    <row r="5" spans="1:65" s="37" customFormat="1" ht="23.25" x14ac:dyDescent="0.35">
      <c r="A5" s="54"/>
      <c r="B5" s="54"/>
      <c r="C5" s="56"/>
      <c r="D5" s="53"/>
      <c r="E5" s="53"/>
      <c r="F5" s="57"/>
      <c r="G5" s="58"/>
      <c r="H5" s="54"/>
      <c r="I5" s="44">
        <v>80</v>
      </c>
      <c r="J5" s="52" t="s">
        <v>25</v>
      </c>
      <c r="K5" s="60"/>
      <c r="N5" s="76" t="s">
        <v>119</v>
      </c>
      <c r="O5" s="37">
        <f>SUMIF(D3:D11,D3,F3:F11)</f>
        <v>236.13</v>
      </c>
      <c r="AI5" s="113" t="s">
        <v>119</v>
      </c>
      <c r="AJ5" s="112">
        <f>SUMIF(D13:D2000,D13,F13:F2000)</f>
        <v>2964.3100000000004</v>
      </c>
    </row>
    <row r="6" spans="1:65" s="37" customFormat="1" ht="23.25" x14ac:dyDescent="0.35">
      <c r="A6" s="54"/>
      <c r="B6" s="54"/>
      <c r="C6" s="56"/>
      <c r="D6" s="53"/>
      <c r="E6" s="53"/>
      <c r="F6" s="57"/>
      <c r="G6" s="58"/>
      <c r="H6" s="54"/>
      <c r="I6" s="52">
        <v>60</v>
      </c>
      <c r="J6" s="52" t="s">
        <v>30</v>
      </c>
      <c r="K6" s="52"/>
      <c r="N6" s="76" t="s">
        <v>127</v>
      </c>
      <c r="O6" s="37" t="e">
        <f>SUMIF(#REF!,#REF!,#REF!)</f>
        <v>#REF!</v>
      </c>
      <c r="AI6" s="113" t="s">
        <v>147</v>
      </c>
      <c r="AJ6" s="112">
        <f>SUMIF(D23:D2000,D23,F23:F2000)</f>
        <v>3137.35</v>
      </c>
    </row>
    <row r="7" spans="1:65" s="37" customFormat="1" ht="23.25" x14ac:dyDescent="0.35">
      <c r="A7" s="54"/>
      <c r="B7" s="54"/>
      <c r="C7" s="56"/>
      <c r="D7" s="53"/>
      <c r="E7" s="53"/>
      <c r="F7" s="57"/>
      <c r="G7" s="58"/>
      <c r="H7" s="54"/>
      <c r="I7" s="52">
        <v>30</v>
      </c>
      <c r="J7" s="52" t="s">
        <v>26</v>
      </c>
      <c r="K7" s="44"/>
      <c r="AI7" s="112"/>
      <c r="AJ7" s="112"/>
    </row>
    <row r="8" spans="1:65" s="37" customFormat="1" ht="23.25" x14ac:dyDescent="0.35">
      <c r="A8" s="54"/>
      <c r="B8" s="54"/>
      <c r="C8" s="56"/>
      <c r="D8" s="53"/>
      <c r="E8" s="53"/>
      <c r="F8" s="57"/>
      <c r="G8" s="58"/>
      <c r="H8" s="54"/>
      <c r="I8" s="52">
        <v>10</v>
      </c>
      <c r="J8" s="52" t="s">
        <v>29</v>
      </c>
      <c r="K8" s="60" t="s">
        <v>159</v>
      </c>
    </row>
    <row r="9" spans="1:65" s="37" customFormat="1" ht="23.25" x14ac:dyDescent="0.35">
      <c r="A9" s="54"/>
      <c r="B9" s="54"/>
      <c r="C9" s="56"/>
      <c r="D9" s="53"/>
      <c r="E9" s="53"/>
      <c r="F9" s="57"/>
      <c r="G9" s="58"/>
      <c r="H9" s="54"/>
      <c r="I9" s="52">
        <v>20</v>
      </c>
      <c r="J9" s="52" t="s">
        <v>109</v>
      </c>
      <c r="K9" s="60"/>
    </row>
    <row r="10" spans="1:65" s="37" customFormat="1" ht="23.25" x14ac:dyDescent="0.35">
      <c r="A10" s="54"/>
      <c r="B10" s="54"/>
      <c r="C10" s="56"/>
      <c r="D10" s="53"/>
      <c r="E10" s="53"/>
      <c r="F10" s="57"/>
      <c r="G10" s="58"/>
      <c r="H10" s="54"/>
      <c r="I10" s="52">
        <v>30</v>
      </c>
      <c r="J10" s="52" t="s">
        <v>29</v>
      </c>
      <c r="K10" s="60" t="s">
        <v>160</v>
      </c>
    </row>
    <row r="11" spans="1:65" s="37" customFormat="1" ht="23.25" x14ac:dyDescent="0.35">
      <c r="A11" s="54"/>
      <c r="B11" s="54"/>
      <c r="C11" s="56"/>
      <c r="D11" s="53"/>
      <c r="E11" s="53"/>
      <c r="F11" s="57"/>
      <c r="G11" s="61"/>
      <c r="H11" s="54"/>
      <c r="I11" s="52">
        <v>35</v>
      </c>
      <c r="J11" s="52" t="s">
        <v>29</v>
      </c>
      <c r="K11" s="44" t="s">
        <v>161</v>
      </c>
    </row>
    <row r="12" spans="1:65" s="37" customFormat="1" ht="23.25" x14ac:dyDescent="0.35">
      <c r="A12" s="44"/>
      <c r="B12" s="44"/>
      <c r="C12" s="50"/>
      <c r="D12" s="44"/>
      <c r="E12" s="44"/>
      <c r="F12" s="51"/>
      <c r="G12" s="51"/>
      <c r="H12" s="44"/>
      <c r="I12" s="52"/>
      <c r="J12" s="52"/>
      <c r="K12" s="52"/>
    </row>
    <row r="13" spans="1:65" s="37" customFormat="1" ht="23.25" x14ac:dyDescent="0.35">
      <c r="A13" s="44" t="s">
        <v>158</v>
      </c>
      <c r="B13" s="53" t="s">
        <v>11</v>
      </c>
      <c r="C13" s="45" t="s">
        <v>162</v>
      </c>
      <c r="D13" s="44" t="s">
        <v>119</v>
      </c>
      <c r="E13" s="44"/>
      <c r="F13" s="51">
        <v>226.17</v>
      </c>
      <c r="G13" s="51">
        <v>7.5</v>
      </c>
      <c r="H13" s="44" t="s">
        <v>10</v>
      </c>
      <c r="I13" s="52">
        <v>10</v>
      </c>
      <c r="J13" s="52" t="s">
        <v>24</v>
      </c>
      <c r="K13" s="52"/>
      <c r="AI13" s="76"/>
    </row>
    <row r="14" spans="1:65" s="37" customFormat="1" ht="23.25" x14ac:dyDescent="0.35">
      <c r="A14" s="54"/>
      <c r="B14" s="54"/>
      <c r="C14" s="56"/>
      <c r="D14" s="53"/>
      <c r="E14" s="53"/>
      <c r="F14" s="57"/>
      <c r="G14" s="58"/>
      <c r="H14" s="54"/>
      <c r="I14" s="52">
        <v>10</v>
      </c>
      <c r="J14" s="59" t="s">
        <v>128</v>
      </c>
      <c r="K14" s="52"/>
      <c r="AI14" s="76"/>
    </row>
    <row r="15" spans="1:65" s="37" customFormat="1" ht="23.25" x14ac:dyDescent="0.35">
      <c r="A15" s="54"/>
      <c r="B15" s="54"/>
      <c r="C15" s="56"/>
      <c r="D15" s="53"/>
      <c r="E15" s="53"/>
      <c r="F15" s="57"/>
      <c r="G15" s="58"/>
      <c r="H15" s="54"/>
      <c r="I15" s="44">
        <v>70</v>
      </c>
      <c r="J15" s="52" t="s">
        <v>25</v>
      </c>
      <c r="K15" s="60"/>
      <c r="AI15" s="76"/>
    </row>
    <row r="16" spans="1:65" s="37" customFormat="1" ht="23.25" x14ac:dyDescent="0.35">
      <c r="A16" s="54"/>
      <c r="B16" s="54"/>
      <c r="C16" s="56"/>
      <c r="D16" s="53"/>
      <c r="E16" s="53"/>
      <c r="F16" s="57"/>
      <c r="G16" s="58"/>
      <c r="H16" s="54"/>
      <c r="I16" s="52">
        <v>50</v>
      </c>
      <c r="J16" s="52" t="s">
        <v>30</v>
      </c>
      <c r="K16" s="52"/>
    </row>
    <row r="17" spans="1:11" s="37" customFormat="1" ht="23.25" x14ac:dyDescent="0.35">
      <c r="A17" s="54"/>
      <c r="B17" s="54"/>
      <c r="C17" s="56"/>
      <c r="D17" s="53"/>
      <c r="E17" s="53"/>
      <c r="F17" s="57"/>
      <c r="G17" s="58"/>
      <c r="H17" s="54"/>
      <c r="I17" s="52">
        <v>30</v>
      </c>
      <c r="J17" s="52" t="s">
        <v>26</v>
      </c>
      <c r="K17" s="44"/>
    </row>
    <row r="18" spans="1:11" s="37" customFormat="1" ht="23.25" x14ac:dyDescent="0.35">
      <c r="A18" s="54"/>
      <c r="B18" s="54"/>
      <c r="C18" s="56"/>
      <c r="D18" s="53"/>
      <c r="E18" s="53"/>
      <c r="F18" s="57"/>
      <c r="G18" s="58"/>
      <c r="H18" s="54"/>
      <c r="I18" s="52">
        <v>10</v>
      </c>
      <c r="J18" s="52" t="s">
        <v>29</v>
      </c>
      <c r="K18" s="60" t="s">
        <v>159</v>
      </c>
    </row>
    <row r="19" spans="1:11" s="37" customFormat="1" ht="23.25" x14ac:dyDescent="0.35">
      <c r="A19" s="54"/>
      <c r="B19" s="54"/>
      <c r="C19" s="56"/>
      <c r="D19" s="53"/>
      <c r="E19" s="53"/>
      <c r="F19" s="57"/>
      <c r="G19" s="58"/>
      <c r="H19" s="54"/>
      <c r="I19" s="52">
        <v>20</v>
      </c>
      <c r="J19" s="52" t="s">
        <v>109</v>
      </c>
      <c r="K19" s="60"/>
    </row>
    <row r="20" spans="1:11" s="37" customFormat="1" ht="23.25" x14ac:dyDescent="0.35">
      <c r="A20" s="54"/>
      <c r="B20" s="54"/>
      <c r="C20" s="56"/>
      <c r="D20" s="53"/>
      <c r="E20" s="53"/>
      <c r="F20" s="57"/>
      <c r="G20" s="58"/>
      <c r="H20" s="54"/>
      <c r="I20" s="52">
        <v>15</v>
      </c>
      <c r="J20" s="52" t="s">
        <v>29</v>
      </c>
      <c r="K20" s="60" t="s">
        <v>160</v>
      </c>
    </row>
    <row r="21" spans="1:11" s="37" customFormat="1" ht="23.25" x14ac:dyDescent="0.35">
      <c r="A21" s="54"/>
      <c r="B21" s="54"/>
      <c r="C21" s="56"/>
      <c r="D21" s="53"/>
      <c r="E21" s="53"/>
      <c r="F21" s="57"/>
      <c r="G21" s="61"/>
      <c r="H21" s="54"/>
      <c r="I21" s="52">
        <v>85</v>
      </c>
      <c r="J21" s="52" t="s">
        <v>29</v>
      </c>
      <c r="K21" s="44" t="s">
        <v>161</v>
      </c>
    </row>
    <row r="22" spans="1:11" s="37" customFormat="1" ht="23.25" x14ac:dyDescent="0.35">
      <c r="A22" s="54"/>
      <c r="B22" s="54"/>
      <c r="C22" s="56"/>
      <c r="D22" s="53"/>
      <c r="E22" s="53"/>
      <c r="F22" s="57"/>
      <c r="G22" s="61"/>
      <c r="H22" s="54"/>
      <c r="I22" s="44"/>
      <c r="J22" s="62"/>
      <c r="K22" s="63"/>
    </row>
    <row r="23" spans="1:11" s="37" customFormat="1" ht="23.25" x14ac:dyDescent="0.35">
      <c r="A23" s="44" t="s">
        <v>163</v>
      </c>
      <c r="B23" s="44" t="s">
        <v>12</v>
      </c>
      <c r="C23" s="50" t="s">
        <v>145</v>
      </c>
      <c r="D23" s="44" t="s">
        <v>147</v>
      </c>
      <c r="E23" s="44"/>
      <c r="F23" s="51">
        <v>233.56</v>
      </c>
      <c r="G23" s="51">
        <v>7</v>
      </c>
      <c r="H23" s="44" t="s">
        <v>10</v>
      </c>
      <c r="I23" s="52">
        <v>10</v>
      </c>
      <c r="J23" s="52" t="s">
        <v>24</v>
      </c>
      <c r="K23" s="52"/>
    </row>
    <row r="24" spans="1:11" s="37" customFormat="1" ht="23.25" x14ac:dyDescent="0.35">
      <c r="A24" s="54"/>
      <c r="B24" s="54"/>
      <c r="C24" s="56"/>
      <c r="D24" s="53"/>
      <c r="E24" s="53"/>
      <c r="F24" s="57"/>
      <c r="G24" s="61"/>
      <c r="H24" s="54"/>
      <c r="I24" s="52">
        <v>10</v>
      </c>
      <c r="J24" s="59" t="s">
        <v>128</v>
      </c>
      <c r="K24" s="60"/>
    </row>
    <row r="25" spans="1:11" s="37" customFormat="1" ht="23.25" x14ac:dyDescent="0.35">
      <c r="A25" s="54"/>
      <c r="B25" s="54"/>
      <c r="C25" s="56"/>
      <c r="D25" s="53"/>
      <c r="E25" s="53"/>
      <c r="F25" s="57"/>
      <c r="G25" s="61"/>
      <c r="H25" s="54"/>
      <c r="I25" s="44">
        <v>60</v>
      </c>
      <c r="J25" s="52" t="s">
        <v>25</v>
      </c>
      <c r="K25" s="44"/>
    </row>
    <row r="26" spans="1:11" s="37" customFormat="1" ht="23.25" x14ac:dyDescent="0.35">
      <c r="A26" s="54"/>
      <c r="B26" s="54"/>
      <c r="C26" s="56"/>
      <c r="D26" s="53"/>
      <c r="E26" s="53"/>
      <c r="F26" s="57"/>
      <c r="G26" s="61"/>
      <c r="H26" s="54"/>
      <c r="I26" s="52">
        <v>40</v>
      </c>
      <c r="J26" s="52" t="s">
        <v>30</v>
      </c>
      <c r="K26" s="60"/>
    </row>
    <row r="27" spans="1:11" s="37" customFormat="1" ht="23.25" x14ac:dyDescent="0.35">
      <c r="A27" s="54"/>
      <c r="B27" s="54"/>
      <c r="C27" s="56"/>
      <c r="D27" s="53"/>
      <c r="E27" s="53"/>
      <c r="F27" s="57"/>
      <c r="G27" s="61"/>
      <c r="H27" s="54"/>
      <c r="I27" s="52">
        <v>30</v>
      </c>
      <c r="J27" s="52" t="s">
        <v>26</v>
      </c>
      <c r="K27" s="60"/>
    </row>
    <row r="28" spans="1:11" s="37" customFormat="1" ht="23.25" x14ac:dyDescent="0.35">
      <c r="A28" s="54"/>
      <c r="B28" s="54"/>
      <c r="C28" s="56"/>
      <c r="D28" s="53"/>
      <c r="E28" s="53"/>
      <c r="F28" s="57"/>
      <c r="G28" s="61"/>
      <c r="H28" s="54"/>
      <c r="I28" s="52">
        <v>10</v>
      </c>
      <c r="J28" s="52" t="s">
        <v>29</v>
      </c>
      <c r="K28" s="60" t="s">
        <v>157</v>
      </c>
    </row>
    <row r="29" spans="1:11" s="37" customFormat="1" ht="23.25" x14ac:dyDescent="0.35">
      <c r="A29" s="54"/>
      <c r="B29" s="54"/>
      <c r="C29" s="56"/>
      <c r="D29" s="53"/>
      <c r="E29" s="53"/>
      <c r="F29" s="57"/>
      <c r="G29" s="61"/>
      <c r="H29" s="54"/>
      <c r="I29" s="44">
        <v>20</v>
      </c>
      <c r="J29" s="52" t="s">
        <v>109</v>
      </c>
      <c r="K29" s="50"/>
    </row>
    <row r="30" spans="1:11" s="37" customFormat="1" ht="23.25" x14ac:dyDescent="0.35">
      <c r="A30" s="54"/>
      <c r="B30" s="54"/>
      <c r="C30" s="56"/>
      <c r="D30" s="53"/>
      <c r="E30" s="53"/>
      <c r="F30" s="57"/>
      <c r="G30" s="61"/>
      <c r="H30" s="54"/>
      <c r="I30" s="44">
        <v>10</v>
      </c>
      <c r="J30" s="44" t="s">
        <v>31</v>
      </c>
      <c r="K30" s="50" t="s">
        <v>65</v>
      </c>
    </row>
    <row r="31" spans="1:11" s="37" customFormat="1" ht="23.25" x14ac:dyDescent="0.35">
      <c r="A31" s="54"/>
      <c r="B31" s="54"/>
      <c r="C31" s="56"/>
      <c r="D31" s="53"/>
      <c r="E31" s="53"/>
      <c r="F31" s="57"/>
      <c r="G31" s="58"/>
      <c r="H31" s="54"/>
      <c r="I31" s="52">
        <v>20</v>
      </c>
      <c r="J31" s="52" t="s">
        <v>29</v>
      </c>
      <c r="K31" s="60" t="s">
        <v>164</v>
      </c>
    </row>
    <row r="32" spans="1:11" s="37" customFormat="1" ht="23.25" x14ac:dyDescent="0.35">
      <c r="A32" s="54"/>
      <c r="B32" s="54"/>
      <c r="C32" s="56"/>
      <c r="D32" s="53"/>
      <c r="E32" s="53"/>
      <c r="F32" s="57"/>
      <c r="G32" s="61"/>
      <c r="H32" s="54"/>
      <c r="I32" s="44">
        <v>60</v>
      </c>
      <c r="J32" s="67" t="s">
        <v>129</v>
      </c>
      <c r="K32" s="45" t="s">
        <v>165</v>
      </c>
    </row>
    <row r="33" spans="1:11" s="37" customFormat="1" ht="23.25" x14ac:dyDescent="0.35">
      <c r="A33" s="54"/>
      <c r="B33" s="54"/>
      <c r="C33" s="56"/>
      <c r="D33" s="53"/>
      <c r="E33" s="53"/>
      <c r="F33" s="57"/>
      <c r="G33" s="61"/>
      <c r="H33" s="54"/>
      <c r="I33" s="44">
        <v>10</v>
      </c>
      <c r="J33" s="44" t="s">
        <v>153</v>
      </c>
      <c r="K33" s="44" t="s">
        <v>47</v>
      </c>
    </row>
    <row r="34" spans="1:11" s="37" customFormat="1" ht="23.25" x14ac:dyDescent="0.35">
      <c r="A34" s="54"/>
      <c r="B34" s="54"/>
      <c r="C34" s="56"/>
      <c r="D34" s="53"/>
      <c r="E34" s="53"/>
      <c r="F34" s="57"/>
      <c r="G34" s="61"/>
      <c r="H34" s="54"/>
      <c r="I34" s="54"/>
      <c r="J34" s="53"/>
      <c r="K34" s="54"/>
    </row>
    <row r="35" spans="1:11" s="37" customFormat="1" ht="23.25" x14ac:dyDescent="0.35">
      <c r="A35" s="44" t="s">
        <v>166</v>
      </c>
      <c r="B35" s="44" t="s">
        <v>9</v>
      </c>
      <c r="C35" s="50" t="s">
        <v>18</v>
      </c>
      <c r="D35" s="44" t="s">
        <v>146</v>
      </c>
      <c r="E35" s="44"/>
      <c r="F35" s="51">
        <v>264.92</v>
      </c>
      <c r="G35" s="51">
        <v>8</v>
      </c>
      <c r="H35" s="44" t="s">
        <v>10</v>
      </c>
      <c r="I35" s="52">
        <v>10</v>
      </c>
      <c r="J35" s="52" t="s">
        <v>24</v>
      </c>
      <c r="K35" s="52"/>
    </row>
    <row r="36" spans="1:11" s="37" customFormat="1" ht="23.25" x14ac:dyDescent="0.35">
      <c r="A36" s="54"/>
      <c r="B36" s="54"/>
      <c r="C36" s="56"/>
      <c r="D36" s="53"/>
      <c r="E36" s="53"/>
      <c r="F36" s="57"/>
      <c r="G36" s="61"/>
      <c r="H36" s="54"/>
      <c r="I36" s="52">
        <v>10</v>
      </c>
      <c r="J36" s="59" t="s">
        <v>128</v>
      </c>
      <c r="K36" s="60"/>
    </row>
    <row r="37" spans="1:11" s="37" customFormat="1" ht="23.25" x14ac:dyDescent="0.35">
      <c r="A37" s="54"/>
      <c r="B37" s="54"/>
      <c r="C37" s="56"/>
      <c r="D37" s="53"/>
      <c r="E37" s="53"/>
      <c r="F37" s="57"/>
      <c r="G37" s="61"/>
      <c r="H37" s="54"/>
      <c r="I37" s="44">
        <v>90</v>
      </c>
      <c r="J37" s="52" t="s">
        <v>25</v>
      </c>
      <c r="K37" s="44"/>
    </row>
    <row r="38" spans="1:11" s="37" customFormat="1" ht="23.25" x14ac:dyDescent="0.35">
      <c r="A38" s="54"/>
      <c r="B38" s="54"/>
      <c r="C38" s="56"/>
      <c r="D38" s="53"/>
      <c r="E38" s="53"/>
      <c r="F38" s="57"/>
      <c r="G38" s="61"/>
      <c r="H38" s="54"/>
      <c r="I38" s="52">
        <v>65</v>
      </c>
      <c r="J38" s="52" t="s">
        <v>30</v>
      </c>
      <c r="K38" s="60"/>
    </row>
    <row r="39" spans="1:11" s="37" customFormat="1" ht="23.25" x14ac:dyDescent="0.35">
      <c r="A39" s="54"/>
      <c r="B39" s="54"/>
      <c r="C39" s="56"/>
      <c r="D39" s="53"/>
      <c r="E39" s="53"/>
      <c r="F39" s="57"/>
      <c r="G39" s="61"/>
      <c r="H39" s="54"/>
      <c r="I39" s="52">
        <v>35</v>
      </c>
      <c r="J39" s="52" t="s">
        <v>26</v>
      </c>
      <c r="K39" s="60"/>
    </row>
    <row r="40" spans="1:11" s="37" customFormat="1" ht="23.25" x14ac:dyDescent="0.35">
      <c r="A40" s="54"/>
      <c r="B40" s="54"/>
      <c r="C40" s="56"/>
      <c r="D40" s="53"/>
      <c r="E40" s="53"/>
      <c r="F40" s="57"/>
      <c r="G40" s="61"/>
      <c r="H40" s="54"/>
      <c r="I40" s="52">
        <v>15</v>
      </c>
      <c r="J40" s="52" t="s">
        <v>29</v>
      </c>
      <c r="K40" s="60" t="s">
        <v>157</v>
      </c>
    </row>
    <row r="41" spans="1:11" s="37" customFormat="1" ht="23.25" x14ac:dyDescent="0.35">
      <c r="A41" s="54"/>
      <c r="B41" s="54"/>
      <c r="C41" s="56"/>
      <c r="D41" s="53"/>
      <c r="E41" s="53"/>
      <c r="F41" s="57"/>
      <c r="G41" s="61"/>
      <c r="H41" s="54"/>
      <c r="I41" s="44">
        <v>20</v>
      </c>
      <c r="J41" s="52" t="s">
        <v>109</v>
      </c>
      <c r="K41" s="50"/>
    </row>
    <row r="42" spans="1:11" s="37" customFormat="1" ht="23.25" hidden="1" x14ac:dyDescent="0.35">
      <c r="A42" s="54"/>
      <c r="B42" s="54"/>
      <c r="C42" s="56"/>
      <c r="D42" s="53"/>
      <c r="E42" s="53"/>
      <c r="F42" s="57"/>
      <c r="G42" s="61"/>
      <c r="H42" s="54"/>
      <c r="I42" s="44">
        <v>10</v>
      </c>
      <c r="J42" s="44" t="s">
        <v>31</v>
      </c>
      <c r="K42" s="50" t="s">
        <v>65</v>
      </c>
    </row>
    <row r="43" spans="1:11" s="37" customFormat="1" ht="23.25" x14ac:dyDescent="0.35">
      <c r="A43" s="54"/>
      <c r="B43" s="54"/>
      <c r="C43" s="56"/>
      <c r="D43" s="53"/>
      <c r="E43" s="53"/>
      <c r="F43" s="57"/>
      <c r="G43" s="58"/>
      <c r="H43" s="54"/>
      <c r="I43" s="52">
        <v>15</v>
      </c>
      <c r="J43" s="52" t="s">
        <v>29</v>
      </c>
      <c r="K43" s="60" t="s">
        <v>167</v>
      </c>
    </row>
    <row r="44" spans="1:11" s="37" customFormat="1" ht="23.25" x14ac:dyDescent="0.35">
      <c r="A44" s="54"/>
      <c r="B44" s="54"/>
      <c r="C44" s="56"/>
      <c r="D44" s="53"/>
      <c r="E44" s="53"/>
      <c r="F44" s="57"/>
      <c r="G44" s="61"/>
      <c r="H44" s="54"/>
      <c r="I44" s="44">
        <v>10</v>
      </c>
      <c r="J44" s="44" t="s">
        <v>31</v>
      </c>
      <c r="K44" s="50" t="s">
        <v>65</v>
      </c>
    </row>
    <row r="45" spans="1:11" s="37" customFormat="1" ht="23.25" x14ac:dyDescent="0.35">
      <c r="A45" s="54"/>
      <c r="B45" s="54"/>
      <c r="C45" s="56"/>
      <c r="D45" s="53"/>
      <c r="E45" s="53"/>
      <c r="F45" s="57"/>
      <c r="G45" s="61"/>
      <c r="H45" s="54"/>
      <c r="I45" s="44"/>
      <c r="J45" s="44"/>
      <c r="K45" s="44"/>
    </row>
    <row r="46" spans="1:11" s="37" customFormat="1" ht="23.25" x14ac:dyDescent="0.35">
      <c r="A46" s="44" t="s">
        <v>166</v>
      </c>
      <c r="B46" s="53" t="s">
        <v>11</v>
      </c>
      <c r="C46" s="45" t="s">
        <v>168</v>
      </c>
      <c r="D46" s="44" t="s">
        <v>119</v>
      </c>
      <c r="E46" s="44"/>
      <c r="F46" s="51">
        <v>237.15</v>
      </c>
      <c r="G46" s="51">
        <v>7.75</v>
      </c>
      <c r="H46" s="44" t="s">
        <v>10</v>
      </c>
      <c r="I46" s="52">
        <v>10</v>
      </c>
      <c r="J46" s="52" t="s">
        <v>24</v>
      </c>
      <c r="K46" s="52"/>
    </row>
    <row r="47" spans="1:11" s="37" customFormat="1" ht="23.25" x14ac:dyDescent="0.35">
      <c r="A47" s="54"/>
      <c r="B47" s="54"/>
      <c r="C47" s="56"/>
      <c r="D47" s="53"/>
      <c r="E47" s="53"/>
      <c r="F47" s="57"/>
      <c r="G47" s="58"/>
      <c r="H47" s="54"/>
      <c r="I47" s="52">
        <v>10</v>
      </c>
      <c r="J47" s="59" t="s">
        <v>128</v>
      </c>
      <c r="K47" s="52"/>
    </row>
    <row r="48" spans="1:11" s="37" customFormat="1" ht="23.25" x14ac:dyDescent="0.35">
      <c r="A48" s="54"/>
      <c r="B48" s="54"/>
      <c r="C48" s="56"/>
      <c r="D48" s="53"/>
      <c r="E48" s="53"/>
      <c r="F48" s="57"/>
      <c r="G48" s="58"/>
      <c r="H48" s="54"/>
      <c r="I48" s="44">
        <v>80</v>
      </c>
      <c r="J48" s="52" t="s">
        <v>25</v>
      </c>
      <c r="K48" s="60"/>
    </row>
    <row r="49" spans="1:11" s="37" customFormat="1" ht="23.25" x14ac:dyDescent="0.35">
      <c r="A49" s="54"/>
      <c r="B49" s="54"/>
      <c r="C49" s="56"/>
      <c r="D49" s="53"/>
      <c r="E49" s="53"/>
      <c r="F49" s="57"/>
      <c r="G49" s="58"/>
      <c r="H49" s="54"/>
      <c r="I49" s="52">
        <v>60</v>
      </c>
      <c r="J49" s="52" t="s">
        <v>30</v>
      </c>
      <c r="K49" s="52"/>
    </row>
    <row r="50" spans="1:11" s="37" customFormat="1" ht="23.25" x14ac:dyDescent="0.35">
      <c r="A50" s="54"/>
      <c r="B50" s="54"/>
      <c r="C50" s="56"/>
      <c r="D50" s="53"/>
      <c r="E50" s="53"/>
      <c r="F50" s="57"/>
      <c r="G50" s="58"/>
      <c r="H50" s="54"/>
      <c r="I50" s="52">
        <v>30</v>
      </c>
      <c r="J50" s="52" t="s">
        <v>26</v>
      </c>
      <c r="K50" s="44"/>
    </row>
    <row r="51" spans="1:11" s="37" customFormat="1" ht="23.25" x14ac:dyDescent="0.35">
      <c r="A51" s="54"/>
      <c r="B51" s="54"/>
      <c r="C51" s="56"/>
      <c r="D51" s="53"/>
      <c r="E51" s="53"/>
      <c r="F51" s="57"/>
      <c r="G51" s="58"/>
      <c r="H51" s="54"/>
      <c r="I51" s="52">
        <v>10</v>
      </c>
      <c r="J51" s="52" t="s">
        <v>29</v>
      </c>
      <c r="K51" s="60" t="s">
        <v>169</v>
      </c>
    </row>
    <row r="52" spans="1:11" s="37" customFormat="1" ht="23.25" x14ac:dyDescent="0.35">
      <c r="A52" s="54"/>
      <c r="B52" s="54"/>
      <c r="C52" s="56"/>
      <c r="D52" s="53"/>
      <c r="E52" s="53"/>
      <c r="F52" s="57"/>
      <c r="G52" s="58"/>
      <c r="H52" s="54"/>
      <c r="I52" s="52">
        <v>20</v>
      </c>
      <c r="J52" s="52" t="s">
        <v>109</v>
      </c>
      <c r="K52" s="60"/>
    </row>
    <row r="53" spans="1:11" s="37" customFormat="1" ht="23.25" x14ac:dyDescent="0.35">
      <c r="A53" s="54"/>
      <c r="B53" s="54"/>
      <c r="C53" s="56"/>
      <c r="D53" s="53"/>
      <c r="E53" s="53"/>
      <c r="F53" s="57"/>
      <c r="G53" s="58"/>
      <c r="H53" s="54"/>
      <c r="I53" s="52">
        <v>40</v>
      </c>
      <c r="J53" s="44" t="s">
        <v>153</v>
      </c>
      <c r="K53" s="44" t="s">
        <v>170</v>
      </c>
    </row>
    <row r="54" spans="1:11" s="37" customFormat="1" ht="23.25" x14ac:dyDescent="0.35">
      <c r="A54" s="54"/>
      <c r="B54" s="54"/>
      <c r="C54" s="56"/>
      <c r="D54" s="53"/>
      <c r="E54" s="53"/>
      <c r="F54" s="57"/>
      <c r="G54" s="61"/>
      <c r="H54" s="54"/>
      <c r="I54" s="44"/>
      <c r="J54" s="64"/>
      <c r="K54" s="65"/>
    </row>
    <row r="55" spans="1:11" s="37" customFormat="1" ht="23.25" x14ac:dyDescent="0.35">
      <c r="A55" s="44" t="s">
        <v>171</v>
      </c>
      <c r="B55" s="44" t="s">
        <v>12</v>
      </c>
      <c r="C55" s="50" t="s">
        <v>145</v>
      </c>
      <c r="D55" s="44" t="s">
        <v>147</v>
      </c>
      <c r="E55" s="44"/>
      <c r="F55" s="51">
        <v>235.49</v>
      </c>
      <c r="G55" s="51">
        <v>7.5</v>
      </c>
      <c r="H55" s="44" t="s">
        <v>10</v>
      </c>
      <c r="I55" s="52">
        <v>10</v>
      </c>
      <c r="J55" s="52" t="s">
        <v>24</v>
      </c>
      <c r="K55" s="52"/>
    </row>
    <row r="56" spans="1:11" s="37" customFormat="1" ht="23.25" x14ac:dyDescent="0.35">
      <c r="A56" s="54"/>
      <c r="B56" s="54"/>
      <c r="C56" s="56"/>
      <c r="D56" s="53"/>
      <c r="E56" s="53"/>
      <c r="F56" s="57"/>
      <c r="G56" s="61"/>
      <c r="H56" s="54"/>
      <c r="I56" s="52">
        <v>10</v>
      </c>
      <c r="J56" s="59" t="s">
        <v>128</v>
      </c>
      <c r="K56" s="60"/>
    </row>
    <row r="57" spans="1:11" s="37" customFormat="1" ht="23.25" x14ac:dyDescent="0.35">
      <c r="A57" s="54"/>
      <c r="B57" s="54"/>
      <c r="C57" s="56"/>
      <c r="D57" s="53"/>
      <c r="E57" s="53"/>
      <c r="F57" s="57"/>
      <c r="G57" s="61"/>
      <c r="H57" s="54"/>
      <c r="I57" s="44">
        <v>80</v>
      </c>
      <c r="J57" s="52" t="s">
        <v>25</v>
      </c>
      <c r="K57" s="44"/>
    </row>
    <row r="58" spans="1:11" s="37" customFormat="1" ht="23.25" x14ac:dyDescent="0.35">
      <c r="A58" s="54"/>
      <c r="B58" s="54"/>
      <c r="C58" s="56"/>
      <c r="D58" s="53"/>
      <c r="E58" s="53"/>
      <c r="F58" s="57"/>
      <c r="G58" s="61"/>
      <c r="H58" s="54"/>
      <c r="I58" s="52">
        <v>80</v>
      </c>
      <c r="J58" s="52" t="s">
        <v>30</v>
      </c>
      <c r="K58" s="60" t="s">
        <v>156</v>
      </c>
    </row>
    <row r="59" spans="1:11" s="37" customFormat="1" ht="23.25" x14ac:dyDescent="0.35">
      <c r="A59" s="54"/>
      <c r="B59" s="54"/>
      <c r="C59" s="56"/>
      <c r="D59" s="53"/>
      <c r="E59" s="53"/>
      <c r="F59" s="57"/>
      <c r="G59" s="61"/>
      <c r="H59" s="54"/>
      <c r="I59" s="52">
        <v>30</v>
      </c>
      <c r="J59" s="52" t="s">
        <v>26</v>
      </c>
      <c r="K59" s="60"/>
    </row>
    <row r="60" spans="1:11" s="37" customFormat="1" ht="23.25" x14ac:dyDescent="0.35">
      <c r="A60" s="54"/>
      <c r="B60" s="54"/>
      <c r="C60" s="56"/>
      <c r="D60" s="53"/>
      <c r="E60" s="53"/>
      <c r="F60" s="57"/>
      <c r="G60" s="61"/>
      <c r="H60" s="54"/>
      <c r="I60" s="52">
        <v>10</v>
      </c>
      <c r="J60" s="52" t="s">
        <v>29</v>
      </c>
      <c r="K60" s="60" t="s">
        <v>157</v>
      </c>
    </row>
    <row r="61" spans="1:11" s="37" customFormat="1" ht="23.25" x14ac:dyDescent="0.35">
      <c r="A61" s="54"/>
      <c r="B61" s="54"/>
      <c r="C61" s="56"/>
      <c r="D61" s="53"/>
      <c r="E61" s="53"/>
      <c r="F61" s="57"/>
      <c r="G61" s="61"/>
      <c r="H61" s="54"/>
      <c r="I61" s="44">
        <v>20</v>
      </c>
      <c r="J61" s="52" t="s">
        <v>109</v>
      </c>
      <c r="K61" s="50"/>
    </row>
    <row r="62" spans="1:11" s="37" customFormat="1" ht="23.25" x14ac:dyDescent="0.35">
      <c r="A62" s="54"/>
      <c r="B62" s="54"/>
      <c r="C62" s="56"/>
      <c r="D62" s="53"/>
      <c r="E62" s="53"/>
      <c r="F62" s="57"/>
      <c r="G62" s="61"/>
      <c r="H62" s="54"/>
      <c r="I62" s="44">
        <v>10</v>
      </c>
      <c r="J62" s="44" t="s">
        <v>31</v>
      </c>
      <c r="K62" s="50" t="s">
        <v>65</v>
      </c>
    </row>
    <row r="63" spans="1:11" s="37" customFormat="1" ht="23.25" x14ac:dyDescent="0.35">
      <c r="A63" s="54"/>
      <c r="B63" s="54"/>
      <c r="C63" s="55"/>
      <c r="D63" s="53"/>
      <c r="E63" s="53"/>
      <c r="F63" s="57"/>
      <c r="G63" s="61"/>
      <c r="H63" s="54"/>
      <c r="I63" s="44"/>
      <c r="J63" s="64"/>
      <c r="K63" s="65"/>
    </row>
    <row r="64" spans="1:11" s="37" customFormat="1" ht="23.25" x14ac:dyDescent="0.35">
      <c r="A64" s="44" t="s">
        <v>172</v>
      </c>
      <c r="B64" s="44" t="s">
        <v>9</v>
      </c>
      <c r="C64" s="50" t="s">
        <v>18</v>
      </c>
      <c r="D64" s="44" t="s">
        <v>146</v>
      </c>
      <c r="E64" s="44"/>
      <c r="F64" s="51">
        <v>188.44</v>
      </c>
      <c r="G64" s="51">
        <v>6.75</v>
      </c>
      <c r="H64" s="44" t="s">
        <v>10</v>
      </c>
      <c r="I64" s="52">
        <v>10</v>
      </c>
      <c r="J64" s="52" t="s">
        <v>24</v>
      </c>
      <c r="K64" s="52"/>
    </row>
    <row r="65" spans="1:11" s="37" customFormat="1" ht="23.25" x14ac:dyDescent="0.35">
      <c r="A65" s="54"/>
      <c r="B65" s="54"/>
      <c r="C65" s="56"/>
      <c r="D65" s="53"/>
      <c r="E65" s="53"/>
      <c r="F65" s="57"/>
      <c r="G65" s="61"/>
      <c r="H65" s="54"/>
      <c r="I65" s="52">
        <v>10</v>
      </c>
      <c r="J65" s="59" t="s">
        <v>128</v>
      </c>
      <c r="K65" s="60"/>
    </row>
    <row r="66" spans="1:11" s="37" customFormat="1" ht="23.25" x14ac:dyDescent="0.35">
      <c r="A66" s="54"/>
      <c r="B66" s="54"/>
      <c r="C66" s="56"/>
      <c r="D66" s="53"/>
      <c r="E66" s="53"/>
      <c r="F66" s="57"/>
      <c r="G66" s="61"/>
      <c r="H66" s="54"/>
      <c r="I66" s="44">
        <v>60</v>
      </c>
      <c r="J66" s="52" t="s">
        <v>25</v>
      </c>
      <c r="K66" s="44"/>
    </row>
    <row r="67" spans="1:11" s="37" customFormat="1" ht="23.25" x14ac:dyDescent="0.35">
      <c r="A67" s="54"/>
      <c r="B67" s="54"/>
      <c r="C67" s="56"/>
      <c r="D67" s="53"/>
      <c r="E67" s="53"/>
      <c r="F67" s="57"/>
      <c r="G67" s="61"/>
      <c r="H67" s="54"/>
      <c r="I67" s="52">
        <v>65</v>
      </c>
      <c r="J67" s="52" t="s">
        <v>30</v>
      </c>
      <c r="K67" s="60"/>
    </row>
    <row r="68" spans="1:11" s="37" customFormat="1" ht="23.25" x14ac:dyDescent="0.35">
      <c r="A68" s="54"/>
      <c r="B68" s="54"/>
      <c r="C68" s="56"/>
      <c r="D68" s="53"/>
      <c r="E68" s="53"/>
      <c r="F68" s="57"/>
      <c r="G68" s="61"/>
      <c r="H68" s="54"/>
      <c r="I68" s="52">
        <v>35</v>
      </c>
      <c r="J68" s="52" t="s">
        <v>26</v>
      </c>
      <c r="K68" s="60"/>
    </row>
    <row r="69" spans="1:11" s="37" customFormat="1" ht="23.25" x14ac:dyDescent="0.35">
      <c r="A69" s="54"/>
      <c r="B69" s="54"/>
      <c r="C69" s="56"/>
      <c r="D69" s="53"/>
      <c r="E69" s="53"/>
      <c r="F69" s="57"/>
      <c r="G69" s="61"/>
      <c r="H69" s="54"/>
      <c r="I69" s="52">
        <v>10</v>
      </c>
      <c r="J69" s="52" t="s">
        <v>29</v>
      </c>
      <c r="K69" s="60" t="s">
        <v>157</v>
      </c>
    </row>
    <row r="70" spans="1:11" s="37" customFormat="1" ht="23.25" x14ac:dyDescent="0.35">
      <c r="A70" s="54"/>
      <c r="B70" s="54"/>
      <c r="C70" s="56"/>
      <c r="D70" s="53"/>
      <c r="E70" s="53"/>
      <c r="F70" s="57"/>
      <c r="G70" s="61"/>
      <c r="H70" s="54"/>
      <c r="I70" s="44">
        <v>20</v>
      </c>
      <c r="J70" s="52" t="s">
        <v>109</v>
      </c>
      <c r="K70" s="50"/>
    </row>
    <row r="71" spans="1:11" s="37" customFormat="1" ht="23.25" x14ac:dyDescent="0.35">
      <c r="A71" s="54"/>
      <c r="B71" s="54"/>
      <c r="C71" s="56"/>
      <c r="D71" s="53"/>
      <c r="E71" s="53"/>
      <c r="F71" s="57"/>
      <c r="G71" s="61"/>
      <c r="H71" s="54"/>
      <c r="I71" s="44">
        <v>85</v>
      </c>
      <c r="J71" s="44" t="s">
        <v>29</v>
      </c>
      <c r="K71" s="50" t="s">
        <v>173</v>
      </c>
    </row>
    <row r="72" spans="1:11" s="37" customFormat="1" ht="23.25" x14ac:dyDescent="0.35">
      <c r="A72" s="54"/>
      <c r="B72" s="54"/>
      <c r="C72" s="56"/>
      <c r="D72" s="53"/>
      <c r="E72" s="53"/>
      <c r="F72" s="57"/>
      <c r="G72" s="61"/>
      <c r="H72" s="54"/>
      <c r="I72" s="52">
        <v>10</v>
      </c>
      <c r="J72" s="64" t="s">
        <v>31</v>
      </c>
      <c r="K72" s="65" t="s">
        <v>65</v>
      </c>
    </row>
    <row r="73" spans="1:11" s="37" customFormat="1" ht="23.25" x14ac:dyDescent="0.35">
      <c r="A73" s="54"/>
      <c r="B73" s="54"/>
      <c r="C73" s="56"/>
      <c r="D73" s="53"/>
      <c r="E73" s="53"/>
      <c r="F73" s="57"/>
      <c r="G73" s="61"/>
      <c r="H73" s="54"/>
      <c r="I73" s="44">
        <v>10</v>
      </c>
      <c r="J73" s="44" t="s">
        <v>29</v>
      </c>
      <c r="K73" s="44" t="s">
        <v>174</v>
      </c>
    </row>
    <row r="74" spans="1:11" s="37" customFormat="1" ht="23.25" x14ac:dyDescent="0.35">
      <c r="A74" s="44"/>
      <c r="B74" s="44"/>
      <c r="C74" s="50"/>
      <c r="D74" s="44"/>
      <c r="E74" s="44"/>
      <c r="F74" s="51"/>
      <c r="G74" s="51"/>
      <c r="H74" s="44"/>
      <c r="I74" s="52"/>
      <c r="J74" s="52"/>
      <c r="K74" s="52"/>
    </row>
    <row r="75" spans="1:11" s="37" customFormat="1" ht="23.25" x14ac:dyDescent="0.35">
      <c r="A75" s="44" t="s">
        <v>175</v>
      </c>
      <c r="B75" s="53" t="s">
        <v>11</v>
      </c>
      <c r="C75" s="45" t="s">
        <v>168</v>
      </c>
      <c r="D75" s="44" t="s">
        <v>119</v>
      </c>
      <c r="E75" s="44"/>
      <c r="F75" s="51">
        <v>177.29</v>
      </c>
      <c r="G75" s="51">
        <v>6</v>
      </c>
      <c r="H75" s="44" t="s">
        <v>10</v>
      </c>
      <c r="I75" s="52">
        <v>10</v>
      </c>
      <c r="J75" s="52" t="s">
        <v>24</v>
      </c>
      <c r="K75" s="52"/>
    </row>
    <row r="76" spans="1:11" s="37" customFormat="1" ht="23.25" x14ac:dyDescent="0.35">
      <c r="A76" s="54"/>
      <c r="B76" s="54"/>
      <c r="C76" s="56"/>
      <c r="D76" s="53"/>
      <c r="E76" s="53"/>
      <c r="F76" s="57"/>
      <c r="G76" s="58"/>
      <c r="H76" s="54"/>
      <c r="I76" s="52">
        <v>10</v>
      </c>
      <c r="J76" s="59" t="s">
        <v>128</v>
      </c>
      <c r="K76" s="52"/>
    </row>
    <row r="77" spans="1:11" s="37" customFormat="1" ht="23.25" x14ac:dyDescent="0.35">
      <c r="A77" s="54"/>
      <c r="B77" s="54"/>
      <c r="C77" s="56"/>
      <c r="D77" s="53"/>
      <c r="E77" s="53"/>
      <c r="F77" s="57"/>
      <c r="G77" s="58"/>
      <c r="H77" s="54"/>
      <c r="I77" s="44">
        <v>70</v>
      </c>
      <c r="J77" s="52" t="s">
        <v>25</v>
      </c>
      <c r="K77" s="60"/>
    </row>
    <row r="78" spans="1:11" s="37" customFormat="1" ht="23.25" x14ac:dyDescent="0.35">
      <c r="A78" s="54"/>
      <c r="B78" s="54"/>
      <c r="C78" s="56"/>
      <c r="D78" s="53"/>
      <c r="E78" s="53"/>
      <c r="F78" s="57"/>
      <c r="G78" s="58"/>
      <c r="H78" s="54"/>
      <c r="I78" s="52">
        <v>60</v>
      </c>
      <c r="J78" s="52" t="s">
        <v>30</v>
      </c>
      <c r="K78" s="52" t="s">
        <v>176</v>
      </c>
    </row>
    <row r="79" spans="1:11" s="37" customFormat="1" ht="23.25" x14ac:dyDescent="0.35">
      <c r="A79" s="54"/>
      <c r="B79" s="54"/>
      <c r="C79" s="56"/>
      <c r="D79" s="53"/>
      <c r="E79" s="53"/>
      <c r="F79" s="57"/>
      <c r="G79" s="58"/>
      <c r="H79" s="54"/>
      <c r="I79" s="52">
        <v>30</v>
      </c>
      <c r="J79" s="52" t="s">
        <v>26</v>
      </c>
      <c r="K79" s="44"/>
    </row>
    <row r="80" spans="1:11" s="37" customFormat="1" ht="23.25" x14ac:dyDescent="0.35">
      <c r="A80" s="54"/>
      <c r="B80" s="54"/>
      <c r="C80" s="56"/>
      <c r="D80" s="53"/>
      <c r="E80" s="53"/>
      <c r="F80" s="57"/>
      <c r="G80" s="58"/>
      <c r="H80" s="54"/>
      <c r="I80" s="52">
        <v>10</v>
      </c>
      <c r="J80" s="52" t="s">
        <v>29</v>
      </c>
      <c r="K80" s="60" t="s">
        <v>169</v>
      </c>
    </row>
    <row r="81" spans="1:11" s="37" customFormat="1" ht="23.25" x14ac:dyDescent="0.35">
      <c r="A81" s="54"/>
      <c r="B81" s="54"/>
      <c r="C81" s="56"/>
      <c r="D81" s="53"/>
      <c r="E81" s="53"/>
      <c r="F81" s="57"/>
      <c r="G81" s="58"/>
      <c r="H81" s="54"/>
      <c r="I81" s="52">
        <v>20</v>
      </c>
      <c r="J81" s="52" t="s">
        <v>109</v>
      </c>
      <c r="K81" s="60"/>
    </row>
    <row r="82" spans="1:11" s="37" customFormat="1" ht="23.25" x14ac:dyDescent="0.35">
      <c r="A82" s="54"/>
      <c r="B82" s="54"/>
      <c r="C82" s="56"/>
      <c r="D82" s="53"/>
      <c r="E82" s="53"/>
      <c r="F82" s="57"/>
      <c r="G82" s="61"/>
      <c r="H82" s="54"/>
      <c r="I82" s="44">
        <v>45</v>
      </c>
      <c r="J82" s="44" t="s">
        <v>29</v>
      </c>
      <c r="K82" s="66" t="s">
        <v>177</v>
      </c>
    </row>
    <row r="83" spans="1:11" s="37" customFormat="1" ht="23.25" x14ac:dyDescent="0.35">
      <c r="A83" s="54"/>
      <c r="B83" s="54"/>
      <c r="C83" s="56"/>
      <c r="D83" s="53"/>
      <c r="E83" s="53"/>
      <c r="F83" s="57"/>
      <c r="G83" s="61"/>
      <c r="H83" s="54"/>
      <c r="I83" s="52">
        <v>10</v>
      </c>
      <c r="J83" s="64" t="s">
        <v>31</v>
      </c>
      <c r="K83" s="65" t="s">
        <v>65</v>
      </c>
    </row>
    <row r="84" spans="1:11" s="37" customFormat="1" ht="23.25" x14ac:dyDescent="0.35">
      <c r="A84" s="54"/>
      <c r="B84" s="54"/>
      <c r="C84" s="56"/>
      <c r="D84" s="53"/>
      <c r="E84" s="53"/>
      <c r="F84" s="57"/>
      <c r="G84" s="61"/>
      <c r="H84" s="54"/>
      <c r="I84" s="54"/>
      <c r="J84" s="53"/>
      <c r="K84" s="54"/>
    </row>
    <row r="85" spans="1:11" s="37" customFormat="1" ht="23.25" x14ac:dyDescent="0.35">
      <c r="A85" s="44" t="s">
        <v>172</v>
      </c>
      <c r="B85" s="44" t="s">
        <v>12</v>
      </c>
      <c r="C85" s="45" t="s">
        <v>178</v>
      </c>
      <c r="D85" s="44" t="s">
        <v>147</v>
      </c>
      <c r="E85" s="44"/>
      <c r="F85" s="51">
        <v>183.98</v>
      </c>
      <c r="G85" s="51">
        <v>6</v>
      </c>
      <c r="H85" s="44" t="s">
        <v>10</v>
      </c>
      <c r="I85" s="52">
        <v>10</v>
      </c>
      <c r="J85" s="52" t="s">
        <v>24</v>
      </c>
      <c r="K85" s="52"/>
    </row>
    <row r="86" spans="1:11" s="37" customFormat="1" ht="23.25" x14ac:dyDescent="0.35">
      <c r="A86" s="54"/>
      <c r="B86" s="54"/>
      <c r="C86" s="56"/>
      <c r="D86" s="53"/>
      <c r="E86" s="53"/>
      <c r="F86" s="57"/>
      <c r="G86" s="61"/>
      <c r="H86" s="54"/>
      <c r="I86" s="52">
        <v>10</v>
      </c>
      <c r="J86" s="59" t="s">
        <v>128</v>
      </c>
      <c r="K86" s="60"/>
    </row>
    <row r="87" spans="1:11" s="37" customFormat="1" ht="23.25" x14ac:dyDescent="0.35">
      <c r="A87" s="54"/>
      <c r="B87" s="54"/>
      <c r="C87" s="56"/>
      <c r="D87" s="53"/>
      <c r="E87" s="53"/>
      <c r="F87" s="57"/>
      <c r="G87" s="61"/>
      <c r="H87" s="54"/>
      <c r="I87" s="44">
        <v>70</v>
      </c>
      <c r="J87" s="52" t="s">
        <v>25</v>
      </c>
      <c r="K87" s="44"/>
    </row>
    <row r="88" spans="1:11" s="37" customFormat="1" ht="23.25" x14ac:dyDescent="0.35">
      <c r="A88" s="54"/>
      <c r="B88" s="54"/>
      <c r="C88" s="56"/>
      <c r="D88" s="53"/>
      <c r="E88" s="53"/>
      <c r="F88" s="57"/>
      <c r="G88" s="61"/>
      <c r="H88" s="54"/>
      <c r="I88" s="52">
        <v>60</v>
      </c>
      <c r="J88" s="52" t="s">
        <v>30</v>
      </c>
      <c r="K88" s="60"/>
    </row>
    <row r="89" spans="1:11" s="37" customFormat="1" ht="23.25" x14ac:dyDescent="0.35">
      <c r="A89" s="54"/>
      <c r="B89" s="54"/>
      <c r="C89" s="56"/>
      <c r="D89" s="53"/>
      <c r="E89" s="53"/>
      <c r="F89" s="57"/>
      <c r="G89" s="61"/>
      <c r="H89" s="54"/>
      <c r="I89" s="52">
        <v>30</v>
      </c>
      <c r="J89" s="52" t="s">
        <v>26</v>
      </c>
      <c r="K89" s="60"/>
    </row>
    <row r="90" spans="1:11" s="37" customFormat="1" ht="23.25" x14ac:dyDescent="0.35">
      <c r="A90" s="54"/>
      <c r="B90" s="54"/>
      <c r="C90" s="56"/>
      <c r="D90" s="53"/>
      <c r="E90" s="53"/>
      <c r="F90" s="57"/>
      <c r="G90" s="61"/>
      <c r="H90" s="54"/>
      <c r="I90" s="52">
        <v>10</v>
      </c>
      <c r="J90" s="52" t="s">
        <v>29</v>
      </c>
      <c r="K90" s="60" t="s">
        <v>157</v>
      </c>
    </row>
    <row r="91" spans="1:11" s="37" customFormat="1" ht="23.25" x14ac:dyDescent="0.35">
      <c r="A91" s="54"/>
      <c r="B91" s="54"/>
      <c r="C91" s="56"/>
      <c r="D91" s="53"/>
      <c r="E91" s="53"/>
      <c r="F91" s="57"/>
      <c r="G91" s="61"/>
      <c r="H91" s="54"/>
      <c r="I91" s="44">
        <v>20</v>
      </c>
      <c r="J91" s="52" t="s">
        <v>109</v>
      </c>
      <c r="K91" s="50"/>
    </row>
    <row r="92" spans="1:11" s="37" customFormat="1" ht="23.25" x14ac:dyDescent="0.35">
      <c r="A92" s="54"/>
      <c r="B92" s="54"/>
      <c r="C92" s="56"/>
      <c r="D92" s="53"/>
      <c r="E92" s="53"/>
      <c r="F92" s="57"/>
      <c r="G92" s="61"/>
      <c r="H92" s="54"/>
      <c r="I92" s="44">
        <v>10</v>
      </c>
      <c r="J92" s="44" t="s">
        <v>31</v>
      </c>
      <c r="K92" s="50" t="s">
        <v>65</v>
      </c>
    </row>
    <row r="93" spans="1:11" s="37" customFormat="1" ht="23.25" x14ac:dyDescent="0.35">
      <c r="A93" s="54"/>
      <c r="B93" s="54"/>
      <c r="C93" s="56"/>
      <c r="D93" s="53"/>
      <c r="E93" s="53"/>
      <c r="F93" s="57"/>
      <c r="G93" s="61"/>
      <c r="H93" s="54"/>
      <c r="I93" s="44">
        <v>80</v>
      </c>
      <c r="J93" s="44" t="s">
        <v>29</v>
      </c>
      <c r="K93" s="66" t="s">
        <v>179</v>
      </c>
    </row>
    <row r="94" spans="1:11" s="37" customFormat="1" ht="23.25" x14ac:dyDescent="0.35">
      <c r="A94" s="54"/>
      <c r="B94" s="54"/>
      <c r="C94" s="56"/>
      <c r="D94" s="53"/>
      <c r="E94" s="53"/>
      <c r="F94" s="57"/>
      <c r="G94" s="61"/>
      <c r="H94" s="54"/>
      <c r="I94" s="44">
        <v>30</v>
      </c>
      <c r="J94" s="44" t="s">
        <v>29</v>
      </c>
      <c r="K94" s="50" t="s">
        <v>173</v>
      </c>
    </row>
    <row r="95" spans="1:11" s="37" customFormat="1" ht="23.25" x14ac:dyDescent="0.35">
      <c r="A95" s="44"/>
      <c r="B95" s="44"/>
      <c r="C95" s="50"/>
      <c r="D95" s="44"/>
      <c r="E95" s="44"/>
      <c r="F95" s="51"/>
      <c r="G95" s="51"/>
      <c r="H95" s="44"/>
      <c r="I95" s="52">
        <v>30</v>
      </c>
      <c r="J95" s="44" t="s">
        <v>153</v>
      </c>
      <c r="K95" s="52" t="s">
        <v>180</v>
      </c>
    </row>
    <row r="96" spans="1:11" s="37" customFormat="1" ht="23.25" x14ac:dyDescent="0.35">
      <c r="A96" s="54"/>
      <c r="B96" s="54"/>
      <c r="C96" s="56"/>
      <c r="D96" s="53"/>
      <c r="E96" s="53"/>
      <c r="F96" s="57"/>
      <c r="G96" s="58"/>
      <c r="H96" s="54"/>
      <c r="I96" s="52"/>
      <c r="J96" s="59"/>
      <c r="K96" s="52"/>
    </row>
    <row r="97" spans="1:11" s="37" customFormat="1" ht="23.25" x14ac:dyDescent="0.35">
      <c r="A97" s="44" t="s">
        <v>181</v>
      </c>
      <c r="B97" s="44" t="s">
        <v>9</v>
      </c>
      <c r="C97" s="50" t="s">
        <v>18</v>
      </c>
      <c r="D97" s="44" t="s">
        <v>119</v>
      </c>
      <c r="E97" s="44"/>
      <c r="F97" s="51">
        <v>106.05</v>
      </c>
      <c r="G97" s="51">
        <v>3.5</v>
      </c>
      <c r="H97" s="44" t="s">
        <v>10</v>
      </c>
      <c r="I97" s="52">
        <v>10</v>
      </c>
      <c r="J97" s="52" t="s">
        <v>24</v>
      </c>
      <c r="K97" s="52"/>
    </row>
    <row r="98" spans="1:11" s="37" customFormat="1" ht="23.25" x14ac:dyDescent="0.35">
      <c r="A98" s="54"/>
      <c r="B98" s="54"/>
      <c r="C98" s="56"/>
      <c r="D98" s="53"/>
      <c r="E98" s="53"/>
      <c r="F98" s="57"/>
      <c r="G98" s="61"/>
      <c r="H98" s="54"/>
      <c r="I98" s="52">
        <v>10</v>
      </c>
      <c r="J98" s="59" t="s">
        <v>128</v>
      </c>
      <c r="K98" s="60"/>
    </row>
    <row r="99" spans="1:11" s="37" customFormat="1" ht="23.25" x14ac:dyDescent="0.35">
      <c r="A99" s="54"/>
      <c r="B99" s="54"/>
      <c r="C99" s="56"/>
      <c r="D99" s="53"/>
      <c r="E99" s="53"/>
      <c r="F99" s="57"/>
      <c r="G99" s="61"/>
      <c r="H99" s="54"/>
      <c r="I99" s="44">
        <v>30</v>
      </c>
      <c r="J99" s="52" t="s">
        <v>25</v>
      </c>
      <c r="K99" s="44"/>
    </row>
    <row r="100" spans="1:11" s="37" customFormat="1" ht="23.25" x14ac:dyDescent="0.35">
      <c r="A100" s="54"/>
      <c r="B100" s="54"/>
      <c r="C100" s="56"/>
      <c r="D100" s="53"/>
      <c r="E100" s="53"/>
      <c r="F100" s="57"/>
      <c r="G100" s="61"/>
      <c r="H100" s="54"/>
      <c r="I100" s="52">
        <v>10</v>
      </c>
      <c r="J100" s="52" t="s">
        <v>30</v>
      </c>
      <c r="K100" s="60"/>
    </row>
    <row r="101" spans="1:11" s="37" customFormat="1" ht="23.25" x14ac:dyDescent="0.35">
      <c r="A101" s="54"/>
      <c r="B101" s="54"/>
      <c r="C101" s="56"/>
      <c r="D101" s="53"/>
      <c r="E101" s="53"/>
      <c r="F101" s="57"/>
      <c r="G101" s="61"/>
      <c r="H101" s="54"/>
      <c r="I101" s="52">
        <v>10</v>
      </c>
      <c r="J101" s="52" t="s">
        <v>26</v>
      </c>
      <c r="K101" s="60"/>
    </row>
    <row r="102" spans="1:11" s="37" customFormat="1" ht="23.25" x14ac:dyDescent="0.35">
      <c r="A102" s="54"/>
      <c r="B102" s="54"/>
      <c r="C102" s="56"/>
      <c r="D102" s="53"/>
      <c r="E102" s="53"/>
      <c r="F102" s="57"/>
      <c r="G102" s="61"/>
      <c r="H102" s="54"/>
      <c r="I102" s="52">
        <v>10</v>
      </c>
      <c r="J102" s="52" t="s">
        <v>29</v>
      </c>
      <c r="K102" s="60" t="s">
        <v>157</v>
      </c>
    </row>
    <row r="103" spans="1:11" s="37" customFormat="1" ht="23.25" x14ac:dyDescent="0.35">
      <c r="A103" s="54"/>
      <c r="B103" s="54"/>
      <c r="C103" s="56"/>
      <c r="D103" s="53"/>
      <c r="E103" s="53"/>
      <c r="F103" s="57"/>
      <c r="G103" s="61"/>
      <c r="H103" s="54"/>
      <c r="I103" s="44">
        <v>20</v>
      </c>
      <c r="J103" s="52" t="s">
        <v>109</v>
      </c>
      <c r="K103" s="50"/>
    </row>
    <row r="104" spans="1:11" s="37" customFormat="1" ht="23.25" x14ac:dyDescent="0.35">
      <c r="A104" s="54"/>
      <c r="B104" s="54"/>
      <c r="C104" s="56"/>
      <c r="D104" s="53"/>
      <c r="E104" s="53"/>
      <c r="F104" s="57"/>
      <c r="G104" s="61"/>
      <c r="H104" s="54"/>
      <c r="I104" s="44">
        <v>300</v>
      </c>
      <c r="J104" s="44" t="s">
        <v>29</v>
      </c>
      <c r="K104" s="50" t="s">
        <v>182</v>
      </c>
    </row>
    <row r="105" spans="1:11" s="37" customFormat="1" ht="23.25" x14ac:dyDescent="0.35">
      <c r="A105" s="54"/>
      <c r="B105" s="54"/>
      <c r="C105" s="56"/>
      <c r="D105" s="53"/>
      <c r="E105" s="53"/>
      <c r="F105" s="57"/>
      <c r="G105" s="61"/>
      <c r="H105" s="54"/>
      <c r="I105" s="52"/>
      <c r="J105" s="64"/>
      <c r="K105" s="65"/>
    </row>
    <row r="106" spans="1:11" s="37" customFormat="1" ht="23.25" x14ac:dyDescent="0.35">
      <c r="A106" s="44" t="s">
        <v>181</v>
      </c>
      <c r="B106" s="44" t="s">
        <v>11</v>
      </c>
      <c r="C106" s="50" t="s">
        <v>21</v>
      </c>
      <c r="D106" s="44" t="s">
        <v>147</v>
      </c>
      <c r="E106" s="44"/>
      <c r="F106" s="51">
        <v>230.15</v>
      </c>
      <c r="G106" s="51">
        <v>7.5</v>
      </c>
      <c r="H106" s="44" t="s">
        <v>10</v>
      </c>
      <c r="I106" s="52">
        <v>10</v>
      </c>
      <c r="J106" s="52" t="s">
        <v>24</v>
      </c>
      <c r="K106" s="52"/>
    </row>
    <row r="107" spans="1:11" s="37" customFormat="1" ht="23.25" x14ac:dyDescent="0.35">
      <c r="A107" s="54"/>
      <c r="B107" s="54"/>
      <c r="C107" s="56"/>
      <c r="D107" s="53"/>
      <c r="E107" s="53"/>
      <c r="F107" s="57"/>
      <c r="G107" s="61"/>
      <c r="H107" s="54"/>
      <c r="I107" s="52">
        <v>10</v>
      </c>
      <c r="J107" s="59" t="s">
        <v>128</v>
      </c>
      <c r="K107" s="60"/>
    </row>
    <row r="108" spans="1:11" s="37" customFormat="1" ht="23.25" x14ac:dyDescent="0.35">
      <c r="A108" s="54"/>
      <c r="B108" s="54"/>
      <c r="C108" s="56"/>
      <c r="D108" s="53"/>
      <c r="E108" s="53"/>
      <c r="F108" s="57"/>
      <c r="G108" s="61"/>
      <c r="H108" s="54"/>
      <c r="I108" s="44">
        <v>70</v>
      </c>
      <c r="J108" s="52" t="s">
        <v>25</v>
      </c>
      <c r="K108" s="44"/>
    </row>
    <row r="109" spans="1:11" s="37" customFormat="1" ht="23.25" x14ac:dyDescent="0.35">
      <c r="A109" s="54"/>
      <c r="B109" s="54"/>
      <c r="C109" s="56"/>
      <c r="D109" s="53"/>
      <c r="E109" s="53"/>
      <c r="F109" s="57"/>
      <c r="G109" s="61"/>
      <c r="H109" s="54"/>
      <c r="I109" s="52">
        <v>60</v>
      </c>
      <c r="J109" s="52" t="s">
        <v>30</v>
      </c>
      <c r="K109" s="60"/>
    </row>
    <row r="110" spans="1:11" s="37" customFormat="1" ht="23.25" x14ac:dyDescent="0.35">
      <c r="A110" s="54"/>
      <c r="B110" s="54"/>
      <c r="C110" s="56"/>
      <c r="D110" s="53"/>
      <c r="E110" s="53"/>
      <c r="F110" s="57"/>
      <c r="G110" s="61"/>
      <c r="H110" s="54"/>
      <c r="I110" s="52">
        <v>40</v>
      </c>
      <c r="J110" s="52" t="s">
        <v>26</v>
      </c>
      <c r="K110" s="60"/>
    </row>
    <row r="111" spans="1:11" s="37" customFormat="1" ht="23.25" x14ac:dyDescent="0.35">
      <c r="A111" s="54"/>
      <c r="B111" s="54"/>
      <c r="C111" s="56"/>
      <c r="D111" s="53"/>
      <c r="E111" s="53"/>
      <c r="F111" s="57"/>
      <c r="G111" s="61"/>
      <c r="H111" s="54"/>
      <c r="I111" s="52">
        <v>10</v>
      </c>
      <c r="J111" s="52" t="s">
        <v>29</v>
      </c>
      <c r="K111" s="60" t="s">
        <v>157</v>
      </c>
    </row>
    <row r="112" spans="1:11" s="37" customFormat="1" ht="23.25" x14ac:dyDescent="0.35">
      <c r="A112" s="54"/>
      <c r="B112" s="54"/>
      <c r="C112" s="56"/>
      <c r="D112" s="53"/>
      <c r="E112" s="53"/>
      <c r="F112" s="57"/>
      <c r="G112" s="61"/>
      <c r="H112" s="54"/>
      <c r="I112" s="44">
        <v>20</v>
      </c>
      <c r="J112" s="52" t="s">
        <v>109</v>
      </c>
      <c r="K112" s="50"/>
    </row>
    <row r="113" spans="1:11" s="37" customFormat="1" ht="23.25" x14ac:dyDescent="0.35">
      <c r="A113" s="54"/>
      <c r="B113" s="54"/>
      <c r="C113" s="56"/>
      <c r="D113" s="53"/>
      <c r="E113" s="53"/>
      <c r="F113" s="57"/>
      <c r="G113" s="61"/>
      <c r="H113" s="54"/>
      <c r="I113" s="52">
        <v>10</v>
      </c>
      <c r="J113" s="64" t="s">
        <v>31</v>
      </c>
      <c r="K113" s="65" t="s">
        <v>65</v>
      </c>
    </row>
    <row r="114" spans="1:11" s="37" customFormat="1" ht="23.25" x14ac:dyDescent="0.35">
      <c r="A114" s="54"/>
      <c r="B114" s="54"/>
      <c r="C114" s="56"/>
      <c r="D114" s="53"/>
      <c r="E114" s="53"/>
      <c r="F114" s="57"/>
      <c r="G114" s="61"/>
      <c r="H114" s="54"/>
      <c r="I114" s="52"/>
      <c r="J114" s="52"/>
      <c r="K114" s="60"/>
    </row>
    <row r="115" spans="1:11" s="37" customFormat="1" ht="23.25" x14ac:dyDescent="0.35">
      <c r="A115" s="44" t="s">
        <v>183</v>
      </c>
      <c r="B115" s="44" t="s">
        <v>12</v>
      </c>
      <c r="C115" s="45" t="s">
        <v>178</v>
      </c>
      <c r="D115" s="44" t="s">
        <v>146</v>
      </c>
      <c r="E115" s="44"/>
      <c r="F115" s="51">
        <v>191.2</v>
      </c>
      <c r="G115" s="51">
        <v>6.75</v>
      </c>
      <c r="H115" s="44" t="s">
        <v>10</v>
      </c>
      <c r="I115" s="52">
        <v>10</v>
      </c>
      <c r="J115" s="52" t="s">
        <v>24</v>
      </c>
      <c r="K115" s="52"/>
    </row>
    <row r="116" spans="1:11" s="37" customFormat="1" ht="23.25" x14ac:dyDescent="0.35">
      <c r="A116" s="54"/>
      <c r="B116" s="54"/>
      <c r="C116" s="56"/>
      <c r="D116" s="53"/>
      <c r="E116" s="53"/>
      <c r="F116" s="57"/>
      <c r="G116" s="61"/>
      <c r="H116" s="54"/>
      <c r="I116" s="52">
        <v>10</v>
      </c>
      <c r="J116" s="59" t="s">
        <v>128</v>
      </c>
      <c r="K116" s="60"/>
    </row>
    <row r="117" spans="1:11" s="37" customFormat="1" ht="23.25" x14ac:dyDescent="0.35">
      <c r="A117" s="54"/>
      <c r="B117" s="54"/>
      <c r="C117" s="56"/>
      <c r="D117" s="53"/>
      <c r="E117" s="53"/>
      <c r="F117" s="57"/>
      <c r="G117" s="61"/>
      <c r="H117" s="54"/>
      <c r="I117" s="44">
        <v>70</v>
      </c>
      <c r="J117" s="52" t="s">
        <v>25</v>
      </c>
      <c r="K117" s="44"/>
    </row>
    <row r="118" spans="1:11" s="37" customFormat="1" ht="23.25" x14ac:dyDescent="0.35">
      <c r="A118" s="54"/>
      <c r="B118" s="54"/>
      <c r="C118" s="56"/>
      <c r="D118" s="44"/>
      <c r="E118" s="53"/>
      <c r="F118" s="57"/>
      <c r="G118" s="61"/>
      <c r="H118" s="54"/>
      <c r="I118" s="52">
        <v>60</v>
      </c>
      <c r="J118" s="52" t="s">
        <v>30</v>
      </c>
      <c r="K118" s="60"/>
    </row>
    <row r="119" spans="1:11" s="37" customFormat="1" ht="23.25" x14ac:dyDescent="0.35">
      <c r="A119" s="54"/>
      <c r="B119" s="54"/>
      <c r="C119" s="56"/>
      <c r="D119" s="53"/>
      <c r="E119" s="53"/>
      <c r="F119" s="57"/>
      <c r="G119" s="61"/>
      <c r="H119" s="54"/>
      <c r="I119" s="52">
        <v>30</v>
      </c>
      <c r="J119" s="52" t="s">
        <v>26</v>
      </c>
      <c r="K119" s="60"/>
    </row>
    <row r="120" spans="1:11" s="37" customFormat="1" ht="23.25" x14ac:dyDescent="0.35">
      <c r="A120" s="54"/>
      <c r="B120" s="54"/>
      <c r="C120" s="56"/>
      <c r="D120" s="53"/>
      <c r="E120" s="53"/>
      <c r="F120" s="57"/>
      <c r="G120" s="61"/>
      <c r="H120" s="54"/>
      <c r="I120" s="52">
        <v>10</v>
      </c>
      <c r="J120" s="52" t="s">
        <v>29</v>
      </c>
      <c r="K120" s="60" t="s">
        <v>157</v>
      </c>
    </row>
    <row r="121" spans="1:11" s="37" customFormat="1" ht="23.25" x14ac:dyDescent="0.35">
      <c r="A121" s="54"/>
      <c r="B121" s="54"/>
      <c r="C121" s="56"/>
      <c r="D121" s="53"/>
      <c r="E121" s="53"/>
      <c r="F121" s="57"/>
      <c r="G121" s="61"/>
      <c r="H121" s="54"/>
      <c r="I121" s="44">
        <v>10</v>
      </c>
      <c r="J121" s="52" t="s">
        <v>109</v>
      </c>
      <c r="K121" s="50"/>
    </row>
    <row r="122" spans="1:11" s="37" customFormat="1" ht="23.25" x14ac:dyDescent="0.35">
      <c r="A122" s="54"/>
      <c r="B122" s="54"/>
      <c r="C122" s="56"/>
      <c r="D122" s="53"/>
      <c r="E122" s="53"/>
      <c r="F122" s="57"/>
      <c r="G122" s="61"/>
      <c r="H122" s="54"/>
      <c r="I122" s="44">
        <v>10</v>
      </c>
      <c r="J122" s="44" t="s">
        <v>31</v>
      </c>
      <c r="K122" s="50" t="s">
        <v>65</v>
      </c>
    </row>
    <row r="123" spans="1:11" s="37" customFormat="1" ht="23.25" x14ac:dyDescent="0.35">
      <c r="A123" s="54"/>
      <c r="B123" s="54"/>
      <c r="C123" s="56"/>
      <c r="D123" s="53"/>
      <c r="E123" s="53"/>
      <c r="F123" s="57"/>
      <c r="G123" s="61"/>
      <c r="H123" s="54"/>
      <c r="I123" s="44">
        <v>30</v>
      </c>
      <c r="J123" s="44" t="s">
        <v>29</v>
      </c>
      <c r="K123" s="66" t="s">
        <v>184</v>
      </c>
    </row>
    <row r="124" spans="1:11" s="37" customFormat="1" ht="23.25" x14ac:dyDescent="0.35">
      <c r="A124" s="54"/>
      <c r="B124" s="54"/>
      <c r="C124" s="56"/>
      <c r="D124" s="53"/>
      <c r="E124" s="53"/>
      <c r="F124" s="57"/>
      <c r="G124" s="58"/>
      <c r="H124" s="54"/>
      <c r="I124" s="44">
        <v>75</v>
      </c>
      <c r="J124" s="44" t="s">
        <v>29</v>
      </c>
      <c r="K124" s="60" t="s">
        <v>185</v>
      </c>
    </row>
    <row r="125" spans="1:11" s="37" customFormat="1" ht="23.25" x14ac:dyDescent="0.35">
      <c r="A125" s="44"/>
      <c r="B125" s="44"/>
      <c r="C125" s="50"/>
      <c r="D125" s="44"/>
      <c r="E125" s="44"/>
      <c r="F125" s="51"/>
      <c r="G125" s="51"/>
      <c r="H125" s="44"/>
      <c r="I125" s="52"/>
      <c r="J125" s="52"/>
      <c r="K125" s="52"/>
    </row>
    <row r="126" spans="1:11" s="37" customFormat="1" ht="23.25" x14ac:dyDescent="0.35">
      <c r="A126" s="44" t="s">
        <v>186</v>
      </c>
      <c r="B126" s="44" t="s">
        <v>9</v>
      </c>
      <c r="C126" s="50" t="s">
        <v>18</v>
      </c>
      <c r="D126" s="44" t="s">
        <v>119</v>
      </c>
      <c r="E126" s="44"/>
      <c r="F126" s="51">
        <f>7.05+22.99+31.19+31.26+38.3+32.57</f>
        <v>163.36000000000001</v>
      </c>
      <c r="G126" s="51">
        <v>5.25</v>
      </c>
      <c r="H126" s="44" t="s">
        <v>10</v>
      </c>
      <c r="I126" s="52">
        <v>10</v>
      </c>
      <c r="J126" s="52" t="s">
        <v>24</v>
      </c>
      <c r="K126" s="52"/>
    </row>
    <row r="127" spans="1:11" s="37" customFormat="1" ht="23.25" x14ac:dyDescent="0.35">
      <c r="A127" s="54"/>
      <c r="B127" s="54"/>
      <c r="C127" s="56"/>
      <c r="D127" s="53"/>
      <c r="E127" s="53"/>
      <c r="F127" s="57"/>
      <c r="G127" s="61"/>
      <c r="H127" s="54"/>
      <c r="I127" s="52">
        <v>10</v>
      </c>
      <c r="J127" s="59" t="s">
        <v>128</v>
      </c>
      <c r="K127" s="60"/>
    </row>
    <row r="128" spans="1:11" s="37" customFormat="1" ht="23.25" x14ac:dyDescent="0.35">
      <c r="A128" s="54"/>
      <c r="B128" s="54"/>
      <c r="C128" s="56"/>
      <c r="D128" s="53"/>
      <c r="E128" s="53"/>
      <c r="F128" s="57"/>
      <c r="G128" s="61"/>
      <c r="H128" s="54"/>
      <c r="I128" s="44">
        <v>50</v>
      </c>
      <c r="J128" s="52" t="s">
        <v>25</v>
      </c>
      <c r="K128" s="44"/>
    </row>
    <row r="129" spans="1:11" s="37" customFormat="1" ht="23.25" x14ac:dyDescent="0.35">
      <c r="A129" s="54"/>
      <c r="B129" s="54"/>
      <c r="C129" s="56"/>
      <c r="D129" s="53"/>
      <c r="E129" s="53"/>
      <c r="F129" s="57"/>
      <c r="G129" s="61"/>
      <c r="H129" s="54"/>
      <c r="I129" s="52">
        <v>60</v>
      </c>
      <c r="J129" s="52" t="s">
        <v>30</v>
      </c>
      <c r="K129" s="60"/>
    </row>
    <row r="130" spans="1:11" s="37" customFormat="1" ht="23.25" x14ac:dyDescent="0.35">
      <c r="A130" s="54"/>
      <c r="B130" s="54"/>
      <c r="C130" s="56"/>
      <c r="D130" s="53"/>
      <c r="E130" s="53"/>
      <c r="F130" s="57"/>
      <c r="G130" s="61"/>
      <c r="H130" s="54"/>
      <c r="I130" s="52">
        <v>20</v>
      </c>
      <c r="J130" s="52" t="s">
        <v>26</v>
      </c>
      <c r="K130" s="60"/>
    </row>
    <row r="131" spans="1:11" s="37" customFormat="1" ht="23.25" x14ac:dyDescent="0.35">
      <c r="A131" s="54"/>
      <c r="B131" s="54"/>
      <c r="C131" s="56"/>
      <c r="D131" s="53"/>
      <c r="E131" s="53"/>
      <c r="F131" s="57"/>
      <c r="G131" s="61"/>
      <c r="H131" s="54"/>
      <c r="I131" s="52">
        <v>10</v>
      </c>
      <c r="J131" s="52" t="s">
        <v>29</v>
      </c>
      <c r="K131" s="60" t="s">
        <v>157</v>
      </c>
    </row>
    <row r="132" spans="1:11" s="37" customFormat="1" ht="23.25" x14ac:dyDescent="0.35">
      <c r="A132" s="54"/>
      <c r="B132" s="54"/>
      <c r="C132" s="56"/>
      <c r="D132" s="53"/>
      <c r="E132" s="53"/>
      <c r="F132" s="57"/>
      <c r="G132" s="61"/>
      <c r="H132" s="54"/>
      <c r="I132" s="44">
        <v>20</v>
      </c>
      <c r="J132" s="52" t="s">
        <v>109</v>
      </c>
      <c r="K132" s="50"/>
    </row>
    <row r="133" spans="1:11" s="37" customFormat="1" ht="23.25" x14ac:dyDescent="0.35">
      <c r="A133" s="54"/>
      <c r="B133" s="54"/>
      <c r="C133" s="56"/>
      <c r="D133" s="53"/>
      <c r="E133" s="53"/>
      <c r="F133" s="57"/>
      <c r="G133" s="61"/>
      <c r="H133" s="54"/>
      <c r="I133" s="44">
        <v>140</v>
      </c>
      <c r="J133" s="44" t="s">
        <v>29</v>
      </c>
      <c r="K133" s="50" t="s">
        <v>187</v>
      </c>
    </row>
    <row r="134" spans="1:11" s="37" customFormat="1" ht="23.25" x14ac:dyDescent="0.35">
      <c r="A134" s="54"/>
      <c r="B134" s="54"/>
      <c r="C134" s="56"/>
      <c r="D134" s="53"/>
      <c r="E134" s="53"/>
      <c r="F134" s="57"/>
      <c r="G134" s="54"/>
      <c r="H134" s="54"/>
      <c r="I134" s="56"/>
      <c r="J134" s="53"/>
      <c r="K134" s="57"/>
    </row>
    <row r="135" spans="1:11" s="37" customFormat="1" ht="23.25" x14ac:dyDescent="0.35">
      <c r="A135" s="44" t="s">
        <v>188</v>
      </c>
      <c r="B135" s="44" t="s">
        <v>11</v>
      </c>
      <c r="C135" s="50" t="s">
        <v>145</v>
      </c>
      <c r="D135" s="44" t="s">
        <v>147</v>
      </c>
      <c r="E135" s="44"/>
      <c r="F135" s="51">
        <v>210.7</v>
      </c>
      <c r="G135" s="51">
        <v>6</v>
      </c>
      <c r="H135" s="44" t="s">
        <v>10</v>
      </c>
      <c r="I135" s="52">
        <v>10</v>
      </c>
      <c r="J135" s="52" t="s">
        <v>24</v>
      </c>
      <c r="K135" s="52"/>
    </row>
    <row r="136" spans="1:11" s="37" customFormat="1" ht="23.25" x14ac:dyDescent="0.35">
      <c r="A136" s="54"/>
      <c r="B136" s="54"/>
      <c r="C136" s="56"/>
      <c r="D136" s="53"/>
      <c r="E136" s="53"/>
      <c r="F136" s="57"/>
      <c r="G136" s="61"/>
      <c r="H136" s="54"/>
      <c r="I136" s="52">
        <v>10</v>
      </c>
      <c r="J136" s="59" t="s">
        <v>128</v>
      </c>
      <c r="K136" s="60"/>
    </row>
    <row r="137" spans="1:11" s="37" customFormat="1" ht="23.25" x14ac:dyDescent="0.35">
      <c r="A137" s="54"/>
      <c r="B137" s="54"/>
      <c r="C137" s="56"/>
      <c r="D137" s="53"/>
      <c r="E137" s="53"/>
      <c r="F137" s="57"/>
      <c r="G137" s="61"/>
      <c r="H137" s="54"/>
      <c r="I137" s="44">
        <v>50</v>
      </c>
      <c r="J137" s="52" t="s">
        <v>25</v>
      </c>
      <c r="K137" s="44"/>
    </row>
    <row r="138" spans="1:11" s="76" customFormat="1" ht="23.25" x14ac:dyDescent="0.35">
      <c r="A138" s="54"/>
      <c r="B138" s="54"/>
      <c r="C138" s="56"/>
      <c r="D138" s="53"/>
      <c r="E138" s="53"/>
      <c r="F138" s="57"/>
      <c r="G138" s="61"/>
      <c r="H138" s="54"/>
      <c r="I138" s="52">
        <v>50</v>
      </c>
      <c r="J138" s="52" t="s">
        <v>30</v>
      </c>
      <c r="K138" s="60"/>
    </row>
    <row r="139" spans="1:11" s="37" customFormat="1" ht="23.25" x14ac:dyDescent="0.35">
      <c r="A139" s="54"/>
      <c r="B139" s="54"/>
      <c r="C139" s="56"/>
      <c r="D139" s="53"/>
      <c r="E139" s="53"/>
      <c r="F139" s="57"/>
      <c r="G139" s="61"/>
      <c r="H139" s="54"/>
      <c r="I139" s="52">
        <v>30</v>
      </c>
      <c r="J139" s="52" t="s">
        <v>26</v>
      </c>
      <c r="K139" s="60"/>
    </row>
    <row r="140" spans="1:11" s="37" customFormat="1" ht="23.25" x14ac:dyDescent="0.35">
      <c r="A140" s="54"/>
      <c r="B140" s="54"/>
      <c r="C140" s="56"/>
      <c r="D140" s="53"/>
      <c r="E140" s="53"/>
      <c r="F140" s="57"/>
      <c r="G140" s="61"/>
      <c r="H140" s="54"/>
      <c r="I140" s="52">
        <v>10</v>
      </c>
      <c r="J140" s="52" t="s">
        <v>29</v>
      </c>
      <c r="K140" s="60" t="s">
        <v>157</v>
      </c>
    </row>
    <row r="141" spans="1:11" s="37" customFormat="1" ht="23.25" x14ac:dyDescent="0.35">
      <c r="A141" s="54"/>
      <c r="B141" s="54"/>
      <c r="C141" s="56"/>
      <c r="D141" s="53"/>
      <c r="E141" s="53"/>
      <c r="F141" s="57"/>
      <c r="G141" s="61"/>
      <c r="H141" s="54"/>
      <c r="I141" s="44">
        <v>20</v>
      </c>
      <c r="J141" s="52" t="s">
        <v>109</v>
      </c>
      <c r="K141" s="50"/>
    </row>
    <row r="142" spans="1:11" s="37" customFormat="1" ht="23.25" x14ac:dyDescent="0.35">
      <c r="A142" s="54"/>
      <c r="B142" s="54"/>
      <c r="C142" s="56"/>
      <c r="D142" s="53"/>
      <c r="E142" s="53"/>
      <c r="F142" s="57"/>
      <c r="G142" s="61"/>
      <c r="H142" s="54"/>
      <c r="I142" s="52">
        <v>10</v>
      </c>
      <c r="J142" s="64" t="s">
        <v>31</v>
      </c>
      <c r="K142" s="65" t="s">
        <v>65</v>
      </c>
    </row>
    <row r="143" spans="1:11" s="37" customFormat="1" ht="23.25" x14ac:dyDescent="0.35">
      <c r="A143" s="54"/>
      <c r="B143" s="54"/>
      <c r="C143" s="56"/>
      <c r="D143" s="53"/>
      <c r="E143" s="53"/>
      <c r="F143" s="57"/>
      <c r="G143" s="61"/>
      <c r="H143" s="54"/>
      <c r="I143" s="52">
        <v>80</v>
      </c>
      <c r="J143" s="52" t="s">
        <v>29</v>
      </c>
      <c r="K143" s="52" t="s">
        <v>189</v>
      </c>
    </row>
    <row r="144" spans="1:11" s="37" customFormat="1" ht="23.25" x14ac:dyDescent="0.35">
      <c r="A144" s="54"/>
      <c r="B144" s="54"/>
      <c r="C144" s="56"/>
      <c r="D144" s="53"/>
      <c r="E144" s="53"/>
      <c r="F144" s="57"/>
      <c r="G144" s="61"/>
      <c r="H144" s="54"/>
      <c r="I144" s="52">
        <v>60</v>
      </c>
      <c r="J144" s="52" t="s">
        <v>29</v>
      </c>
      <c r="K144" s="44" t="s">
        <v>190</v>
      </c>
    </row>
    <row r="145" spans="1:11" s="37" customFormat="1" ht="23.25" x14ac:dyDescent="0.35">
      <c r="A145" s="54"/>
      <c r="B145" s="54"/>
      <c r="C145" s="56"/>
      <c r="D145" s="53"/>
      <c r="E145" s="53"/>
      <c r="F145" s="57"/>
      <c r="G145" s="61"/>
      <c r="H145" s="54"/>
      <c r="I145" s="52"/>
      <c r="J145" s="52"/>
      <c r="K145" s="50"/>
    </row>
    <row r="146" spans="1:11" s="37" customFormat="1" ht="23.25" x14ac:dyDescent="0.35">
      <c r="A146" s="44" t="s">
        <v>148</v>
      </c>
      <c r="B146" s="44" t="s">
        <v>12</v>
      </c>
      <c r="C146" s="45" t="s">
        <v>178</v>
      </c>
      <c r="D146" s="44" t="s">
        <v>146</v>
      </c>
      <c r="E146" s="44"/>
      <c r="F146" s="51">
        <v>277.89</v>
      </c>
      <c r="G146" s="51">
        <v>8</v>
      </c>
      <c r="H146" s="44" t="s">
        <v>10</v>
      </c>
      <c r="I146" s="52">
        <v>10</v>
      </c>
      <c r="J146" s="52" t="s">
        <v>24</v>
      </c>
      <c r="K146" s="52"/>
    </row>
    <row r="147" spans="1:11" s="37" customFormat="1" ht="23.25" x14ac:dyDescent="0.35">
      <c r="A147" s="54"/>
      <c r="B147" s="54"/>
      <c r="C147" s="56"/>
      <c r="D147" s="53"/>
      <c r="E147" s="53"/>
      <c r="F147" s="57"/>
      <c r="G147" s="61"/>
      <c r="H147" s="54"/>
      <c r="I147" s="52">
        <v>10</v>
      </c>
      <c r="J147" s="59" t="s">
        <v>128</v>
      </c>
      <c r="K147" s="60"/>
    </row>
    <row r="148" spans="1:11" s="37" customFormat="1" ht="23.25" x14ac:dyDescent="0.35">
      <c r="A148" s="54"/>
      <c r="B148" s="54"/>
      <c r="C148" s="56"/>
      <c r="D148" s="53"/>
      <c r="E148" s="53"/>
      <c r="F148" s="57"/>
      <c r="G148" s="61"/>
      <c r="H148" s="54"/>
      <c r="I148" s="44">
        <v>80</v>
      </c>
      <c r="J148" s="52" t="s">
        <v>25</v>
      </c>
      <c r="K148" s="44"/>
    </row>
    <row r="149" spans="1:11" s="37" customFormat="1" ht="23.25" x14ac:dyDescent="0.35">
      <c r="A149" s="54"/>
      <c r="B149" s="54"/>
      <c r="C149" s="56"/>
      <c r="D149" s="53"/>
      <c r="E149" s="53"/>
      <c r="F149" s="57"/>
      <c r="G149" s="61"/>
      <c r="H149" s="54"/>
      <c r="I149" s="52">
        <v>50</v>
      </c>
      <c r="J149" s="52" t="s">
        <v>30</v>
      </c>
      <c r="K149" s="60"/>
    </row>
    <row r="150" spans="1:11" s="37" customFormat="1" ht="23.25" x14ac:dyDescent="0.35">
      <c r="A150" s="54"/>
      <c r="B150" s="54"/>
      <c r="C150" s="56"/>
      <c r="D150" s="53"/>
      <c r="E150" s="53"/>
      <c r="F150" s="57"/>
      <c r="G150" s="61"/>
      <c r="H150" s="54"/>
      <c r="I150" s="52">
        <v>30</v>
      </c>
      <c r="J150" s="52" t="s">
        <v>26</v>
      </c>
      <c r="K150" s="60"/>
    </row>
    <row r="151" spans="1:11" s="37" customFormat="1" ht="23.25" x14ac:dyDescent="0.35">
      <c r="A151" s="54"/>
      <c r="B151" s="54"/>
      <c r="C151" s="56"/>
      <c r="D151" s="53"/>
      <c r="E151" s="53"/>
      <c r="F151" s="57"/>
      <c r="G151" s="61"/>
      <c r="H151" s="54"/>
      <c r="I151" s="52">
        <v>10</v>
      </c>
      <c r="J151" s="52" t="s">
        <v>29</v>
      </c>
      <c r="K151" s="60" t="s">
        <v>157</v>
      </c>
    </row>
    <row r="152" spans="1:11" s="37" customFormat="1" ht="23.25" x14ac:dyDescent="0.35">
      <c r="A152" s="54"/>
      <c r="B152" s="54"/>
      <c r="C152" s="56"/>
      <c r="D152" s="53"/>
      <c r="E152" s="53"/>
      <c r="F152" s="57"/>
      <c r="G152" s="61"/>
      <c r="H152" s="54"/>
      <c r="I152" s="44">
        <v>10</v>
      </c>
      <c r="J152" s="52" t="s">
        <v>109</v>
      </c>
      <c r="K152" s="50"/>
    </row>
    <row r="153" spans="1:11" s="37" customFormat="1" ht="23.25" x14ac:dyDescent="0.35">
      <c r="A153" s="54"/>
      <c r="B153" s="54"/>
      <c r="C153" s="56"/>
      <c r="D153" s="53"/>
      <c r="E153" s="53"/>
      <c r="F153" s="57"/>
      <c r="G153" s="61"/>
      <c r="H153" s="54"/>
      <c r="I153" s="44">
        <v>10</v>
      </c>
      <c r="J153" s="44" t="s">
        <v>31</v>
      </c>
      <c r="K153" s="50" t="s">
        <v>65</v>
      </c>
    </row>
    <row r="154" spans="1:11" s="37" customFormat="1" ht="23.25" x14ac:dyDescent="0.35">
      <c r="A154" s="54"/>
      <c r="B154" s="54"/>
      <c r="C154" s="56"/>
      <c r="D154" s="53"/>
      <c r="E154" s="53"/>
      <c r="F154" s="57"/>
      <c r="G154" s="61"/>
      <c r="H154" s="54"/>
      <c r="I154" s="44">
        <v>30</v>
      </c>
      <c r="J154" s="44" t="s">
        <v>29</v>
      </c>
      <c r="K154" s="92" t="s">
        <v>191</v>
      </c>
    </row>
    <row r="155" spans="1:11" s="37" customFormat="1" ht="23.25" x14ac:dyDescent="0.35">
      <c r="A155" s="54"/>
      <c r="B155" s="54"/>
      <c r="C155" s="56"/>
      <c r="D155" s="53"/>
      <c r="E155" s="53"/>
      <c r="F155" s="57"/>
      <c r="G155" s="58"/>
      <c r="H155" s="54"/>
      <c r="I155" s="44">
        <v>30</v>
      </c>
      <c r="J155" s="44" t="s">
        <v>29</v>
      </c>
      <c r="K155" s="60" t="s">
        <v>192</v>
      </c>
    </row>
    <row r="156" spans="1:11" s="37" customFormat="1" ht="23.25" x14ac:dyDescent="0.35">
      <c r="A156" s="54"/>
      <c r="B156" s="54"/>
      <c r="C156" s="56"/>
      <c r="D156" s="53"/>
      <c r="E156" s="53"/>
      <c r="F156" s="57"/>
      <c r="G156" s="58"/>
      <c r="H156" s="54"/>
      <c r="I156" s="52"/>
      <c r="J156" s="52"/>
      <c r="K156" s="60"/>
    </row>
    <row r="157" spans="1:11" s="37" customFormat="1" ht="23.25" x14ac:dyDescent="0.35">
      <c r="A157" s="44" t="s">
        <v>194</v>
      </c>
      <c r="B157" s="44" t="s">
        <v>9</v>
      </c>
      <c r="C157" s="44" t="s">
        <v>195</v>
      </c>
      <c r="D157" s="44" t="s">
        <v>119</v>
      </c>
      <c r="E157" s="44"/>
      <c r="F157" s="51">
        <f>33.03+37.44+31.36+28.12+37.32+37.77+38.19</f>
        <v>243.23</v>
      </c>
      <c r="G157" s="51">
        <v>7</v>
      </c>
      <c r="H157" s="44" t="s">
        <v>10</v>
      </c>
      <c r="I157" s="52">
        <v>10</v>
      </c>
      <c r="J157" s="52" t="s">
        <v>24</v>
      </c>
      <c r="K157" s="52"/>
    </row>
    <row r="158" spans="1:11" s="37" customFormat="1" ht="23.25" x14ac:dyDescent="0.35">
      <c r="A158" s="54"/>
      <c r="B158" s="54"/>
      <c r="C158" s="56"/>
      <c r="D158" s="53"/>
      <c r="E158" s="53"/>
      <c r="F158" s="57"/>
      <c r="G158" s="61"/>
      <c r="H158" s="54"/>
      <c r="I158" s="52">
        <v>10</v>
      </c>
      <c r="J158" s="59" t="s">
        <v>128</v>
      </c>
      <c r="K158" s="60"/>
    </row>
    <row r="159" spans="1:11" s="37" customFormat="1" ht="23.25" x14ac:dyDescent="0.35">
      <c r="A159" s="54"/>
      <c r="B159" s="54"/>
      <c r="C159" s="56"/>
      <c r="D159" s="53"/>
      <c r="E159" s="53"/>
      <c r="F159" s="57"/>
      <c r="G159" s="61"/>
      <c r="H159" s="54"/>
      <c r="I159" s="44">
        <v>70</v>
      </c>
      <c r="J159" s="52" t="s">
        <v>25</v>
      </c>
      <c r="K159" s="44"/>
    </row>
    <row r="160" spans="1:11" s="37" customFormat="1" ht="23.25" x14ac:dyDescent="0.35">
      <c r="A160" s="54"/>
      <c r="B160" s="54"/>
      <c r="C160" s="56"/>
      <c r="D160" s="53"/>
      <c r="E160" s="53"/>
      <c r="F160" s="57"/>
      <c r="G160" s="61"/>
      <c r="H160" s="54"/>
      <c r="I160" s="52">
        <v>80</v>
      </c>
      <c r="J160" s="52" t="s">
        <v>30</v>
      </c>
      <c r="K160" s="60"/>
    </row>
    <row r="161" spans="1:11" s="37" customFormat="1" ht="23.25" x14ac:dyDescent="0.35">
      <c r="A161" s="54"/>
      <c r="B161" s="54"/>
      <c r="C161" s="56"/>
      <c r="D161" s="53"/>
      <c r="E161" s="53"/>
      <c r="F161" s="57"/>
      <c r="G161" s="61"/>
      <c r="H161" s="54"/>
      <c r="I161" s="52">
        <v>30</v>
      </c>
      <c r="J161" s="52" t="s">
        <v>26</v>
      </c>
      <c r="K161" s="60"/>
    </row>
    <row r="162" spans="1:11" s="37" customFormat="1" ht="23.25" x14ac:dyDescent="0.35">
      <c r="A162" s="54"/>
      <c r="B162" s="54"/>
      <c r="C162" s="56"/>
      <c r="D162" s="53"/>
      <c r="E162" s="53"/>
      <c r="F162" s="57"/>
      <c r="G162" s="61"/>
      <c r="H162" s="54"/>
      <c r="I162" s="52">
        <v>10</v>
      </c>
      <c r="J162" s="52" t="s">
        <v>29</v>
      </c>
      <c r="K162" s="60" t="s">
        <v>157</v>
      </c>
    </row>
    <row r="163" spans="1:11" s="37" customFormat="1" ht="23.25" x14ac:dyDescent="0.35">
      <c r="A163" s="54"/>
      <c r="B163" s="54"/>
      <c r="C163" s="56"/>
      <c r="D163" s="53"/>
      <c r="E163" s="53"/>
      <c r="F163" s="57"/>
      <c r="G163" s="61"/>
      <c r="H163" s="54"/>
      <c r="I163" s="44">
        <v>20</v>
      </c>
      <c r="J163" s="52" t="s">
        <v>109</v>
      </c>
      <c r="K163" s="50"/>
    </row>
    <row r="164" spans="1:11" s="37" customFormat="1" ht="23.25" x14ac:dyDescent="0.35">
      <c r="A164" s="54"/>
      <c r="B164" s="54"/>
      <c r="C164" s="56"/>
      <c r="D164" s="53"/>
      <c r="E164" s="53"/>
      <c r="F164" s="57"/>
      <c r="G164" s="61"/>
      <c r="H164" s="54"/>
      <c r="I164" s="44">
        <v>10</v>
      </c>
      <c r="J164" s="44" t="s">
        <v>31</v>
      </c>
      <c r="K164" s="50" t="s">
        <v>65</v>
      </c>
    </row>
    <row r="165" spans="1:11" s="37" customFormat="1" ht="23.25" x14ac:dyDescent="0.35">
      <c r="A165" s="54"/>
      <c r="B165" s="54"/>
      <c r="C165" s="56"/>
      <c r="D165" s="53"/>
      <c r="E165" s="53"/>
      <c r="F165" s="57"/>
      <c r="G165" s="61"/>
      <c r="H165" s="54"/>
      <c r="I165" s="44"/>
      <c r="J165" s="45"/>
      <c r="K165" s="44"/>
    </row>
    <row r="166" spans="1:11" s="37" customFormat="1" ht="23.25" x14ac:dyDescent="0.35">
      <c r="A166" s="44" t="s">
        <v>196</v>
      </c>
      <c r="B166" s="44" t="s">
        <v>11</v>
      </c>
      <c r="C166" s="50" t="s">
        <v>145</v>
      </c>
      <c r="D166" s="44" t="s">
        <v>147</v>
      </c>
      <c r="E166" s="44"/>
      <c r="F166" s="51">
        <v>226.55</v>
      </c>
      <c r="G166" s="51">
        <v>6</v>
      </c>
      <c r="H166" s="44" t="s">
        <v>10</v>
      </c>
      <c r="I166" s="52">
        <v>10</v>
      </c>
      <c r="J166" s="52" t="s">
        <v>24</v>
      </c>
      <c r="K166" s="52"/>
    </row>
    <row r="167" spans="1:11" s="37" customFormat="1" ht="23.25" x14ac:dyDescent="0.35">
      <c r="A167" s="54"/>
      <c r="B167" s="54"/>
      <c r="C167" s="56"/>
      <c r="D167" s="53"/>
      <c r="E167" s="53"/>
      <c r="F167" s="57"/>
      <c r="G167" s="61"/>
      <c r="H167" s="54"/>
      <c r="I167" s="52">
        <v>10</v>
      </c>
      <c r="J167" s="59" t="s">
        <v>128</v>
      </c>
      <c r="K167" s="60"/>
    </row>
    <row r="168" spans="1:11" s="37" customFormat="1" ht="23.25" x14ac:dyDescent="0.35">
      <c r="A168" s="54"/>
      <c r="B168" s="54"/>
      <c r="C168" s="56"/>
      <c r="D168" s="53"/>
      <c r="E168" s="53"/>
      <c r="F168" s="57"/>
      <c r="G168" s="61"/>
      <c r="H168" s="54"/>
      <c r="I168" s="44">
        <v>60</v>
      </c>
      <c r="J168" s="52" t="s">
        <v>25</v>
      </c>
      <c r="K168" s="44"/>
    </row>
    <row r="169" spans="1:11" s="37" customFormat="1" ht="23.25" x14ac:dyDescent="0.35">
      <c r="A169" s="54"/>
      <c r="B169" s="54"/>
      <c r="C169" s="56"/>
      <c r="D169" s="53"/>
      <c r="E169" s="53"/>
      <c r="F169" s="57"/>
      <c r="G169" s="61"/>
      <c r="H169" s="54"/>
      <c r="I169" s="52">
        <v>60</v>
      </c>
      <c r="J169" s="52" t="s">
        <v>30</v>
      </c>
      <c r="K169" s="60"/>
    </row>
    <row r="170" spans="1:11" s="37" customFormat="1" ht="23.25" x14ac:dyDescent="0.35">
      <c r="A170" s="54"/>
      <c r="B170" s="54"/>
      <c r="C170" s="56"/>
      <c r="D170" s="53"/>
      <c r="E170" s="53"/>
      <c r="F170" s="57"/>
      <c r="G170" s="61"/>
      <c r="H170" s="54"/>
      <c r="I170" s="52">
        <v>30</v>
      </c>
      <c r="J170" s="52" t="s">
        <v>26</v>
      </c>
      <c r="K170" s="60"/>
    </row>
    <row r="171" spans="1:11" s="37" customFormat="1" ht="23.25" x14ac:dyDescent="0.35">
      <c r="A171" s="54"/>
      <c r="B171" s="54"/>
      <c r="C171" s="56"/>
      <c r="D171" s="53"/>
      <c r="E171" s="53"/>
      <c r="F171" s="57"/>
      <c r="G171" s="61"/>
      <c r="H171" s="54"/>
      <c r="I171" s="52">
        <v>10</v>
      </c>
      <c r="J171" s="52" t="s">
        <v>29</v>
      </c>
      <c r="K171" s="60" t="s">
        <v>157</v>
      </c>
    </row>
    <row r="172" spans="1:11" s="37" customFormat="1" ht="23.25" x14ac:dyDescent="0.35">
      <c r="A172" s="54"/>
      <c r="B172" s="54"/>
      <c r="C172" s="56"/>
      <c r="D172" s="53"/>
      <c r="E172" s="53"/>
      <c r="F172" s="57"/>
      <c r="G172" s="61"/>
      <c r="H172" s="54"/>
      <c r="I172" s="44">
        <v>20</v>
      </c>
      <c r="J172" s="52" t="s">
        <v>109</v>
      </c>
      <c r="K172" s="50"/>
    </row>
    <row r="173" spans="1:11" s="37" customFormat="1" ht="23.25" x14ac:dyDescent="0.35">
      <c r="A173" s="54"/>
      <c r="B173" s="54"/>
      <c r="C173" s="56"/>
      <c r="D173" s="53"/>
      <c r="E173" s="53"/>
      <c r="F173" s="57"/>
      <c r="G173" s="61"/>
      <c r="H173" s="54"/>
      <c r="I173" s="52">
        <v>10</v>
      </c>
      <c r="J173" s="64" t="s">
        <v>31</v>
      </c>
      <c r="K173" s="65" t="s">
        <v>65</v>
      </c>
    </row>
    <row r="174" spans="1:11" s="37" customFormat="1" ht="23.25" x14ac:dyDescent="0.35">
      <c r="A174" s="54"/>
      <c r="B174" s="54"/>
      <c r="C174" s="56"/>
      <c r="D174" s="53"/>
      <c r="E174" s="53"/>
      <c r="F174" s="57"/>
      <c r="G174" s="58"/>
      <c r="H174" s="54"/>
      <c r="I174" s="52">
        <v>60</v>
      </c>
      <c r="J174" s="52" t="s">
        <v>29</v>
      </c>
      <c r="K174" s="60" t="s">
        <v>197</v>
      </c>
    </row>
    <row r="175" spans="1:11" s="37" customFormat="1" ht="23.25" hidden="1" x14ac:dyDescent="0.35">
      <c r="A175" s="54"/>
      <c r="B175" s="54"/>
      <c r="C175" s="56"/>
      <c r="D175" s="53"/>
      <c r="E175" s="53"/>
      <c r="F175" s="57"/>
      <c r="G175" s="61"/>
      <c r="H175" s="54"/>
      <c r="I175" s="44"/>
      <c r="J175" s="52"/>
      <c r="K175" s="45"/>
    </row>
    <row r="176" spans="1:11" s="37" customFormat="1" ht="23.25" x14ac:dyDescent="0.35">
      <c r="A176" s="54"/>
      <c r="B176" s="54"/>
      <c r="C176" s="56"/>
      <c r="D176" s="53"/>
      <c r="E176" s="53"/>
      <c r="F176" s="57"/>
      <c r="G176" s="61"/>
      <c r="H176" s="54"/>
      <c r="I176" s="44">
        <v>15</v>
      </c>
      <c r="J176" s="52" t="s">
        <v>29</v>
      </c>
      <c r="K176" s="44" t="s">
        <v>198</v>
      </c>
    </row>
    <row r="177" spans="1:14" s="37" customFormat="1" ht="23.25" x14ac:dyDescent="0.35">
      <c r="A177" s="54"/>
      <c r="B177" s="54"/>
      <c r="C177" s="56"/>
      <c r="D177" s="53"/>
      <c r="E177" s="53"/>
      <c r="F177" s="57"/>
      <c r="G177" s="61"/>
      <c r="H177" s="54"/>
      <c r="I177" s="44"/>
      <c r="J177" s="52"/>
      <c r="K177" s="44"/>
    </row>
    <row r="178" spans="1:14" s="37" customFormat="1" ht="23.25" x14ac:dyDescent="0.35">
      <c r="A178" s="44" t="s">
        <v>194</v>
      </c>
      <c r="B178" s="44" t="s">
        <v>12</v>
      </c>
      <c r="C178" s="50" t="s">
        <v>18</v>
      </c>
      <c r="D178" s="44" t="s">
        <v>146</v>
      </c>
      <c r="E178" s="44"/>
      <c r="F178" s="51">
        <v>269.67</v>
      </c>
      <c r="G178" s="51">
        <v>8</v>
      </c>
      <c r="H178" s="44" t="s">
        <v>10</v>
      </c>
      <c r="I178" s="52">
        <v>10</v>
      </c>
      <c r="J178" s="52" t="s">
        <v>24</v>
      </c>
      <c r="K178" s="52"/>
    </row>
    <row r="179" spans="1:14" s="37" customFormat="1" ht="23.25" x14ac:dyDescent="0.35">
      <c r="A179" s="54"/>
      <c r="B179" s="54"/>
      <c r="C179" s="56"/>
      <c r="D179" s="53"/>
      <c r="E179" s="53"/>
      <c r="F179" s="57"/>
      <c r="G179" s="61"/>
      <c r="H179" s="54"/>
      <c r="I179" s="52">
        <v>10</v>
      </c>
      <c r="J179" s="59" t="s">
        <v>128</v>
      </c>
      <c r="K179" s="60"/>
    </row>
    <row r="180" spans="1:14" s="37" customFormat="1" ht="23.25" x14ac:dyDescent="0.35">
      <c r="A180" s="54"/>
      <c r="B180" s="54"/>
      <c r="C180" s="56"/>
      <c r="D180" s="53"/>
      <c r="E180" s="53"/>
      <c r="F180" s="57"/>
      <c r="G180" s="61"/>
      <c r="H180" s="54"/>
      <c r="I180" s="44">
        <v>80</v>
      </c>
      <c r="J180" s="52" t="s">
        <v>25</v>
      </c>
      <c r="K180" s="44"/>
      <c r="L180" s="79"/>
      <c r="M180" s="79"/>
      <c r="N180" s="79"/>
    </row>
    <row r="181" spans="1:14" s="37" customFormat="1" ht="23.25" x14ac:dyDescent="0.35">
      <c r="A181" s="54"/>
      <c r="B181" s="54"/>
      <c r="C181" s="56"/>
      <c r="D181" s="53"/>
      <c r="E181" s="53"/>
      <c r="F181" s="57"/>
      <c r="G181" s="61"/>
      <c r="H181" s="54"/>
      <c r="I181" s="52">
        <v>50</v>
      </c>
      <c r="J181" s="52" t="s">
        <v>30</v>
      </c>
      <c r="K181" s="60"/>
      <c r="L181" s="79"/>
      <c r="M181" s="81"/>
      <c r="N181" s="79"/>
    </row>
    <row r="182" spans="1:14" s="37" customFormat="1" ht="23.25" x14ac:dyDescent="0.35">
      <c r="A182" s="54"/>
      <c r="B182" s="54"/>
      <c r="C182" s="56"/>
      <c r="D182" s="53"/>
      <c r="E182" s="53"/>
      <c r="F182" s="57"/>
      <c r="G182" s="61"/>
      <c r="H182" s="54"/>
      <c r="I182" s="52">
        <v>60</v>
      </c>
      <c r="J182" s="52" t="s">
        <v>26</v>
      </c>
      <c r="K182" s="60" t="s">
        <v>199</v>
      </c>
      <c r="L182" s="76"/>
      <c r="M182" s="79"/>
      <c r="N182" s="82"/>
    </row>
    <row r="183" spans="1:14" s="37" customFormat="1" ht="23.25" x14ac:dyDescent="0.35">
      <c r="A183" s="54"/>
      <c r="B183" s="54"/>
      <c r="C183" s="56"/>
      <c r="D183" s="53"/>
      <c r="E183" s="53"/>
      <c r="F183" s="57"/>
      <c r="G183" s="61"/>
      <c r="H183" s="54"/>
      <c r="I183" s="52">
        <v>10</v>
      </c>
      <c r="J183" s="52" t="s">
        <v>29</v>
      </c>
      <c r="K183" s="60" t="s">
        <v>157</v>
      </c>
      <c r="L183" s="79"/>
      <c r="M183" s="79"/>
      <c r="N183" s="79" t="s">
        <v>151</v>
      </c>
    </row>
    <row r="184" spans="1:14" s="37" customFormat="1" ht="23.25" x14ac:dyDescent="0.35">
      <c r="A184" s="54"/>
      <c r="B184" s="54"/>
      <c r="C184" s="56"/>
      <c r="D184" s="53"/>
      <c r="E184" s="53"/>
      <c r="F184" s="57"/>
      <c r="G184" s="61"/>
      <c r="H184" s="54"/>
      <c r="I184" s="44">
        <v>20</v>
      </c>
      <c r="J184" s="52" t="s">
        <v>109</v>
      </c>
      <c r="K184" s="50"/>
      <c r="L184" s="79"/>
      <c r="M184" s="79"/>
      <c r="N184" s="82" t="s">
        <v>149</v>
      </c>
    </row>
    <row r="185" spans="1:14" s="37" customFormat="1" ht="23.25" x14ac:dyDescent="0.35">
      <c r="A185" s="54"/>
      <c r="B185" s="54"/>
      <c r="C185" s="56"/>
      <c r="D185" s="53"/>
      <c r="E185" s="53"/>
      <c r="F185" s="57"/>
      <c r="G185" s="61"/>
      <c r="H185" s="54"/>
      <c r="I185" s="52">
        <v>10</v>
      </c>
      <c r="J185" s="64" t="s">
        <v>31</v>
      </c>
      <c r="K185" s="65" t="s">
        <v>65</v>
      </c>
      <c r="L185" s="79"/>
      <c r="M185" s="79"/>
      <c r="N185" s="82"/>
    </row>
    <row r="186" spans="1:14" s="37" customFormat="1" ht="23.25" x14ac:dyDescent="0.35">
      <c r="A186" s="54"/>
      <c r="B186" s="54"/>
      <c r="C186" s="56"/>
      <c r="D186" s="53"/>
      <c r="E186" s="53"/>
      <c r="F186" s="57"/>
      <c r="G186" s="61"/>
      <c r="H186" s="54"/>
      <c r="I186" s="44"/>
      <c r="J186" s="64"/>
      <c r="K186" s="65"/>
      <c r="L186" s="76"/>
      <c r="M186" s="83"/>
      <c r="N186" s="84" t="s">
        <v>65</v>
      </c>
    </row>
    <row r="187" spans="1:14" s="37" customFormat="1" ht="23.25" x14ac:dyDescent="0.35">
      <c r="A187" s="44" t="s">
        <v>200</v>
      </c>
      <c r="B187" s="44" t="s">
        <v>9</v>
      </c>
      <c r="C187" s="44" t="s">
        <v>195</v>
      </c>
      <c r="D187" s="44" t="s">
        <v>119</v>
      </c>
      <c r="E187" s="44"/>
      <c r="F187" s="51">
        <v>238.66</v>
      </c>
      <c r="G187" s="51">
        <v>8</v>
      </c>
      <c r="H187" s="44" t="s">
        <v>10</v>
      </c>
      <c r="I187" s="52">
        <v>10</v>
      </c>
      <c r="J187" s="52" t="s">
        <v>24</v>
      </c>
      <c r="K187" s="52"/>
      <c r="L187" s="76"/>
      <c r="M187" s="76"/>
      <c r="N187" s="76" t="s">
        <v>150</v>
      </c>
    </row>
    <row r="188" spans="1:14" s="37" customFormat="1" ht="23.25" x14ac:dyDescent="0.35">
      <c r="A188" s="54"/>
      <c r="B188" s="54"/>
      <c r="C188" s="56"/>
      <c r="D188" s="53"/>
      <c r="E188" s="53"/>
      <c r="F188" s="57"/>
      <c r="G188" s="61"/>
      <c r="H188" s="54"/>
      <c r="I188" s="52">
        <v>10</v>
      </c>
      <c r="J188" s="59" t="s">
        <v>128</v>
      </c>
      <c r="K188" s="60"/>
      <c r="L188" s="76"/>
      <c r="M188" s="76"/>
      <c r="N188" s="76" t="s">
        <v>152</v>
      </c>
    </row>
    <row r="189" spans="1:14" s="37" customFormat="1" ht="23.25" x14ac:dyDescent="0.35">
      <c r="A189" s="54"/>
      <c r="B189" s="54"/>
      <c r="C189" s="56"/>
      <c r="D189" s="53"/>
      <c r="E189" s="53"/>
      <c r="F189" s="57"/>
      <c r="G189" s="61"/>
      <c r="H189" s="54"/>
      <c r="I189" s="44">
        <v>80</v>
      </c>
      <c r="J189" s="52" t="s">
        <v>25</v>
      </c>
      <c r="K189" s="44"/>
    </row>
    <row r="190" spans="1:14" s="37" customFormat="1" ht="23.25" x14ac:dyDescent="0.35">
      <c r="A190" s="54"/>
      <c r="B190" s="54"/>
      <c r="C190" s="56"/>
      <c r="D190" s="53"/>
      <c r="E190" s="53"/>
      <c r="F190" s="57"/>
      <c r="G190" s="61"/>
      <c r="H190" s="54"/>
      <c r="I190" s="52">
        <v>40</v>
      </c>
      <c r="J190" s="52" t="s">
        <v>30</v>
      </c>
      <c r="K190" s="60"/>
    </row>
    <row r="191" spans="1:14" s="37" customFormat="1" ht="23.25" x14ac:dyDescent="0.35">
      <c r="A191" s="54"/>
      <c r="B191" s="54"/>
      <c r="C191" s="56"/>
      <c r="D191" s="53"/>
      <c r="E191" s="53"/>
      <c r="F191" s="57"/>
      <c r="G191" s="61"/>
      <c r="H191" s="54"/>
      <c r="I191" s="52">
        <v>30</v>
      </c>
      <c r="J191" s="52" t="s">
        <v>26</v>
      </c>
      <c r="K191" s="60"/>
    </row>
    <row r="192" spans="1:14" s="37" customFormat="1" ht="23.25" x14ac:dyDescent="0.35">
      <c r="A192" s="54"/>
      <c r="B192" s="54"/>
      <c r="C192" s="56"/>
      <c r="D192" s="53"/>
      <c r="E192" s="53"/>
      <c r="F192" s="57"/>
      <c r="G192" s="61"/>
      <c r="H192" s="54"/>
      <c r="I192" s="52">
        <v>10</v>
      </c>
      <c r="J192" s="52" t="s">
        <v>29</v>
      </c>
      <c r="K192" s="60" t="s">
        <v>157</v>
      </c>
    </row>
    <row r="193" spans="1:14" s="37" customFormat="1" ht="23.25" x14ac:dyDescent="0.35">
      <c r="A193" s="54"/>
      <c r="B193" s="54"/>
      <c r="C193" s="56"/>
      <c r="D193" s="53"/>
      <c r="E193" s="53"/>
      <c r="F193" s="57"/>
      <c r="G193" s="61"/>
      <c r="H193" s="54"/>
      <c r="I193" s="52">
        <v>50</v>
      </c>
      <c r="J193" s="52" t="s">
        <v>29</v>
      </c>
      <c r="K193" s="52" t="s">
        <v>202</v>
      </c>
    </row>
    <row r="194" spans="1:14" s="37" customFormat="1" ht="23.25" x14ac:dyDescent="0.35">
      <c r="A194" s="54"/>
      <c r="B194" s="54"/>
      <c r="C194" s="56"/>
      <c r="D194" s="54"/>
      <c r="E194" s="54"/>
      <c r="F194" s="57"/>
      <c r="G194" s="58"/>
      <c r="H194" s="54"/>
      <c r="I194" s="52">
        <v>30</v>
      </c>
      <c r="J194" s="52" t="s">
        <v>29</v>
      </c>
      <c r="K194" s="60" t="s">
        <v>201</v>
      </c>
    </row>
    <row r="195" spans="1:14" s="37" customFormat="1" ht="23.25" x14ac:dyDescent="0.35">
      <c r="A195" s="54"/>
      <c r="B195" s="54"/>
      <c r="C195" s="56"/>
      <c r="D195" s="54"/>
      <c r="E195" s="54"/>
      <c r="F195" s="57"/>
      <c r="G195" s="58"/>
      <c r="H195" s="54"/>
      <c r="I195" s="52"/>
      <c r="J195" s="52"/>
      <c r="K195" s="60"/>
    </row>
    <row r="196" spans="1:14" s="37" customFormat="1" ht="23.25" x14ac:dyDescent="0.35">
      <c r="A196" s="44" t="s">
        <v>203</v>
      </c>
      <c r="B196" s="44" t="s">
        <v>11</v>
      </c>
      <c r="C196" s="50" t="s">
        <v>145</v>
      </c>
      <c r="D196" s="44" t="s">
        <v>147</v>
      </c>
      <c r="E196" s="44"/>
      <c r="F196" s="51">
        <v>278.92</v>
      </c>
      <c r="G196" s="51">
        <v>8.25</v>
      </c>
      <c r="H196" s="44" t="s">
        <v>10</v>
      </c>
      <c r="I196" s="52">
        <v>10</v>
      </c>
      <c r="J196" s="52" t="s">
        <v>24</v>
      </c>
      <c r="K196" s="52"/>
    </row>
    <row r="197" spans="1:14" s="37" customFormat="1" ht="23.25" x14ac:dyDescent="0.35">
      <c r="A197" s="54"/>
      <c r="B197" s="54"/>
      <c r="C197" s="56"/>
      <c r="D197" s="53"/>
      <c r="E197" s="53"/>
      <c r="F197" s="57"/>
      <c r="G197" s="61"/>
      <c r="H197" s="54"/>
      <c r="I197" s="52">
        <v>10</v>
      </c>
      <c r="J197" s="59" t="s">
        <v>128</v>
      </c>
      <c r="K197" s="60"/>
    </row>
    <row r="198" spans="1:14" s="37" customFormat="1" ht="23.25" x14ac:dyDescent="0.35">
      <c r="A198" s="54"/>
      <c r="B198" s="54"/>
      <c r="C198" s="56"/>
      <c r="D198" s="53"/>
      <c r="E198" s="53"/>
      <c r="F198" s="57"/>
      <c r="G198" s="61"/>
      <c r="H198" s="54"/>
      <c r="I198" s="44">
        <v>80</v>
      </c>
      <c r="J198" s="52" t="s">
        <v>25</v>
      </c>
      <c r="K198" s="44"/>
    </row>
    <row r="199" spans="1:14" s="37" customFormat="1" ht="23.25" x14ac:dyDescent="0.35">
      <c r="A199" s="54"/>
      <c r="B199" s="54"/>
      <c r="C199" s="56"/>
      <c r="D199" s="53"/>
      <c r="E199" s="53"/>
      <c r="F199" s="57"/>
      <c r="G199" s="61"/>
      <c r="H199" s="54"/>
      <c r="I199" s="52">
        <v>50</v>
      </c>
      <c r="J199" s="52" t="s">
        <v>30</v>
      </c>
      <c r="K199" s="60"/>
    </row>
    <row r="200" spans="1:14" s="37" customFormat="1" ht="23.25" x14ac:dyDescent="0.35">
      <c r="A200" s="54"/>
      <c r="B200" s="54"/>
      <c r="C200" s="56"/>
      <c r="D200" s="53"/>
      <c r="E200" s="53"/>
      <c r="F200" s="57"/>
      <c r="G200" s="61"/>
      <c r="H200" s="54"/>
      <c r="I200" s="52">
        <v>30</v>
      </c>
      <c r="J200" s="52" t="s">
        <v>26</v>
      </c>
      <c r="K200" s="60"/>
    </row>
    <row r="201" spans="1:14" s="37" customFormat="1" ht="23.25" x14ac:dyDescent="0.35">
      <c r="A201" s="54"/>
      <c r="B201" s="54"/>
      <c r="C201" s="56"/>
      <c r="D201" s="53"/>
      <c r="E201" s="53"/>
      <c r="F201" s="57"/>
      <c r="G201" s="61"/>
      <c r="H201" s="54"/>
      <c r="I201" s="52">
        <v>10</v>
      </c>
      <c r="J201" s="52" t="s">
        <v>29</v>
      </c>
      <c r="K201" s="60" t="s">
        <v>157</v>
      </c>
    </row>
    <row r="202" spans="1:14" s="37" customFormat="1" ht="23.25" x14ac:dyDescent="0.35">
      <c r="A202" s="54"/>
      <c r="B202" s="54"/>
      <c r="C202" s="56"/>
      <c r="D202" s="53"/>
      <c r="E202" s="53"/>
      <c r="F202" s="57"/>
      <c r="G202" s="61"/>
      <c r="H202" s="54"/>
      <c r="I202" s="44">
        <v>20</v>
      </c>
      <c r="J202" s="52" t="s">
        <v>109</v>
      </c>
      <c r="K202" s="50"/>
    </row>
    <row r="203" spans="1:14" s="37" customFormat="1" ht="23.25" x14ac:dyDescent="0.35">
      <c r="A203" s="54"/>
      <c r="B203" s="54"/>
      <c r="C203" s="56"/>
      <c r="D203" s="53"/>
      <c r="E203" s="53"/>
      <c r="F203" s="57"/>
      <c r="G203" s="61"/>
      <c r="H203" s="54"/>
      <c r="I203" s="52">
        <v>10</v>
      </c>
      <c r="J203" s="64" t="s">
        <v>31</v>
      </c>
      <c r="K203" s="65" t="s">
        <v>65</v>
      </c>
    </row>
    <row r="204" spans="1:14" s="37" customFormat="1" ht="23.25" x14ac:dyDescent="0.35">
      <c r="A204" s="54"/>
      <c r="B204" s="54"/>
      <c r="C204" s="56"/>
      <c r="D204" s="54"/>
      <c r="E204" s="54"/>
      <c r="F204" s="57"/>
      <c r="G204" s="58"/>
      <c r="H204" s="54"/>
      <c r="I204" s="52"/>
      <c r="J204" s="52"/>
      <c r="K204" s="52"/>
    </row>
    <row r="205" spans="1:14" s="37" customFormat="1" ht="23.25" x14ac:dyDescent="0.35">
      <c r="A205" s="44" t="s">
        <v>203</v>
      </c>
      <c r="B205" s="44" t="s">
        <v>12</v>
      </c>
      <c r="C205" s="50" t="s">
        <v>18</v>
      </c>
      <c r="D205" s="44" t="s">
        <v>146</v>
      </c>
      <c r="E205" s="44"/>
      <c r="F205" s="51">
        <v>291.55</v>
      </c>
      <c r="G205" s="51">
        <v>8</v>
      </c>
      <c r="H205" s="44" t="s">
        <v>10</v>
      </c>
      <c r="I205" s="52">
        <v>10</v>
      </c>
      <c r="J205" s="52" t="s">
        <v>24</v>
      </c>
      <c r="K205" s="52"/>
    </row>
    <row r="206" spans="1:14" s="37" customFormat="1" ht="23.25" x14ac:dyDescent="0.35">
      <c r="A206" s="54"/>
      <c r="B206" s="54"/>
      <c r="C206" s="56"/>
      <c r="D206" s="53"/>
      <c r="E206" s="53"/>
      <c r="F206" s="57"/>
      <c r="G206" s="61"/>
      <c r="H206" s="54"/>
      <c r="I206" s="52">
        <v>10</v>
      </c>
      <c r="J206" s="59" t="s">
        <v>128</v>
      </c>
      <c r="K206" s="60"/>
    </row>
    <row r="207" spans="1:14" s="37" customFormat="1" ht="23.25" x14ac:dyDescent="0.35">
      <c r="A207" s="54"/>
      <c r="B207" s="54"/>
      <c r="C207" s="56"/>
      <c r="D207" s="53"/>
      <c r="E207" s="53"/>
      <c r="F207" s="57"/>
      <c r="G207" s="61"/>
      <c r="H207" s="54"/>
      <c r="I207" s="44">
        <v>80</v>
      </c>
      <c r="J207" s="52" t="s">
        <v>25</v>
      </c>
      <c r="K207" s="44"/>
      <c r="L207" s="79"/>
      <c r="M207" s="79"/>
      <c r="N207" s="79"/>
    </row>
    <row r="208" spans="1:14" s="37" customFormat="1" ht="26.25" x14ac:dyDescent="0.35">
      <c r="A208" s="54"/>
      <c r="B208" s="54"/>
      <c r="C208" s="56"/>
      <c r="D208" s="53"/>
      <c r="E208" s="53"/>
      <c r="F208" s="57"/>
      <c r="G208" s="61"/>
      <c r="H208" s="54"/>
      <c r="I208" s="52">
        <v>70</v>
      </c>
      <c r="J208" s="52" t="s">
        <v>30</v>
      </c>
      <c r="K208" s="97" t="s">
        <v>66</v>
      </c>
      <c r="L208" s="79"/>
      <c r="M208" s="81"/>
      <c r="N208" s="79"/>
    </row>
    <row r="209" spans="1:14" s="37" customFormat="1" ht="23.25" x14ac:dyDescent="0.35">
      <c r="A209" s="54"/>
      <c r="B209" s="54"/>
      <c r="C209" s="56"/>
      <c r="D209" s="53"/>
      <c r="E209" s="53"/>
      <c r="F209" s="57"/>
      <c r="G209" s="61"/>
      <c r="H209" s="54"/>
      <c r="I209" s="52">
        <v>30</v>
      </c>
      <c r="J209" s="52" t="s">
        <v>26</v>
      </c>
      <c r="K209" s="60"/>
      <c r="L209" s="76"/>
      <c r="M209" s="79"/>
      <c r="N209" s="82"/>
    </row>
    <row r="210" spans="1:14" s="37" customFormat="1" ht="23.25" x14ac:dyDescent="0.35">
      <c r="A210" s="54"/>
      <c r="B210" s="54"/>
      <c r="C210" s="56"/>
      <c r="D210" s="53"/>
      <c r="E210" s="53"/>
      <c r="F210" s="57"/>
      <c r="G210" s="61"/>
      <c r="H210" s="54"/>
      <c r="I210" s="52">
        <v>10</v>
      </c>
      <c r="J210" s="52" t="s">
        <v>29</v>
      </c>
      <c r="K210" s="60" t="s">
        <v>157</v>
      </c>
      <c r="L210" s="79"/>
      <c r="M210" s="79"/>
      <c r="N210" s="79" t="s">
        <v>151</v>
      </c>
    </row>
    <row r="211" spans="1:14" s="37" customFormat="1" ht="23.25" x14ac:dyDescent="0.35">
      <c r="A211" s="54"/>
      <c r="B211" s="54"/>
      <c r="C211" s="56"/>
      <c r="D211" s="53"/>
      <c r="E211" s="53"/>
      <c r="F211" s="57"/>
      <c r="G211" s="61"/>
      <c r="H211" s="54"/>
      <c r="I211" s="44">
        <v>20</v>
      </c>
      <c r="J211" s="52" t="s">
        <v>109</v>
      </c>
      <c r="K211" s="50"/>
      <c r="L211" s="79"/>
      <c r="M211" s="79"/>
      <c r="N211" s="82" t="s">
        <v>149</v>
      </c>
    </row>
    <row r="212" spans="1:14" s="37" customFormat="1" ht="23.25" x14ac:dyDescent="0.35">
      <c r="A212" s="54"/>
      <c r="B212" s="54"/>
      <c r="C212" s="56"/>
      <c r="D212" s="53"/>
      <c r="E212" s="53"/>
      <c r="F212" s="57"/>
      <c r="G212" s="61"/>
      <c r="H212" s="54"/>
      <c r="I212" s="52">
        <v>10</v>
      </c>
      <c r="J212" s="64" t="s">
        <v>31</v>
      </c>
      <c r="K212" s="65" t="s">
        <v>65</v>
      </c>
      <c r="L212" s="79"/>
      <c r="M212" s="79"/>
      <c r="N212" s="82"/>
    </row>
    <row r="213" spans="1:14" s="37" customFormat="1" ht="23.25" x14ac:dyDescent="0.35">
      <c r="A213" s="54"/>
      <c r="B213" s="54"/>
      <c r="C213" s="56"/>
      <c r="D213" s="54"/>
      <c r="E213" s="54"/>
      <c r="F213" s="57"/>
      <c r="G213" s="58"/>
      <c r="H213" s="54"/>
      <c r="I213" s="52"/>
      <c r="J213" s="59"/>
      <c r="K213" s="52"/>
    </row>
    <row r="214" spans="1:14" s="37" customFormat="1" ht="23.25" x14ac:dyDescent="0.35">
      <c r="A214" s="44" t="s">
        <v>204</v>
      </c>
      <c r="B214" s="44" t="s">
        <v>9</v>
      </c>
      <c r="C214" s="44" t="s">
        <v>195</v>
      </c>
      <c r="D214" s="44" t="s">
        <v>119</v>
      </c>
      <c r="E214" s="44"/>
      <c r="F214" s="51">
        <v>176.18</v>
      </c>
      <c r="G214" s="51">
        <v>6</v>
      </c>
      <c r="H214" s="44" t="s">
        <v>10</v>
      </c>
      <c r="I214" s="52">
        <v>10</v>
      </c>
      <c r="J214" s="52" t="s">
        <v>24</v>
      </c>
      <c r="K214" s="52"/>
    </row>
    <row r="215" spans="1:14" s="37" customFormat="1" ht="23.25" x14ac:dyDescent="0.35">
      <c r="A215" s="54"/>
      <c r="B215" s="54"/>
      <c r="C215" s="56"/>
      <c r="D215" s="53"/>
      <c r="E215" s="53"/>
      <c r="F215" s="57"/>
      <c r="G215" s="61"/>
      <c r="H215" s="54"/>
      <c r="I215" s="52">
        <v>10</v>
      </c>
      <c r="J215" s="59" t="s">
        <v>128</v>
      </c>
      <c r="K215" s="60"/>
    </row>
    <row r="216" spans="1:14" s="37" customFormat="1" ht="23.25" x14ac:dyDescent="0.35">
      <c r="A216" s="54"/>
      <c r="B216" s="54"/>
      <c r="C216" s="56"/>
      <c r="D216" s="53"/>
      <c r="E216" s="53"/>
      <c r="F216" s="57"/>
      <c r="G216" s="61"/>
      <c r="H216" s="54"/>
      <c r="I216" s="44">
        <v>60</v>
      </c>
      <c r="J216" s="52" t="s">
        <v>25</v>
      </c>
      <c r="K216" s="44"/>
    </row>
    <row r="217" spans="1:14" s="37" customFormat="1" ht="23.25" x14ac:dyDescent="0.35">
      <c r="A217" s="54"/>
      <c r="B217" s="54"/>
      <c r="C217" s="56"/>
      <c r="D217" s="53"/>
      <c r="E217" s="53"/>
      <c r="F217" s="57"/>
      <c r="G217" s="61"/>
      <c r="H217" s="54"/>
      <c r="I217" s="52">
        <v>60</v>
      </c>
      <c r="J217" s="52" t="s">
        <v>30</v>
      </c>
      <c r="K217" s="60"/>
    </row>
    <row r="218" spans="1:14" s="37" customFormat="1" ht="23.25" x14ac:dyDescent="0.35">
      <c r="A218" s="54"/>
      <c r="B218" s="54"/>
      <c r="C218" s="56"/>
      <c r="D218" s="53"/>
      <c r="E218" s="53"/>
      <c r="F218" s="57"/>
      <c r="G218" s="61"/>
      <c r="H218" s="54"/>
      <c r="I218" s="52">
        <v>30</v>
      </c>
      <c r="J218" s="52" t="s">
        <v>26</v>
      </c>
      <c r="K218" s="60"/>
    </row>
    <row r="219" spans="1:14" s="37" customFormat="1" ht="23.25" x14ac:dyDescent="0.35">
      <c r="A219" s="54"/>
      <c r="B219" s="54"/>
      <c r="C219" s="56"/>
      <c r="D219" s="53"/>
      <c r="E219" s="53"/>
      <c r="F219" s="57"/>
      <c r="G219" s="61"/>
      <c r="H219" s="54"/>
      <c r="I219" s="52">
        <v>20</v>
      </c>
      <c r="J219" s="52" t="s">
        <v>29</v>
      </c>
      <c r="K219" s="60" t="s">
        <v>157</v>
      </c>
    </row>
    <row r="220" spans="1:14" s="37" customFormat="1" ht="23.25" x14ac:dyDescent="0.35">
      <c r="A220" s="54"/>
      <c r="B220" s="54"/>
      <c r="C220" s="56"/>
      <c r="D220" s="53"/>
      <c r="E220" s="53"/>
      <c r="F220" s="57"/>
      <c r="G220" s="61"/>
      <c r="H220" s="54"/>
      <c r="I220" s="52">
        <v>40</v>
      </c>
      <c r="J220" s="52" t="s">
        <v>29</v>
      </c>
      <c r="K220" s="52" t="s">
        <v>206</v>
      </c>
    </row>
    <row r="221" spans="1:14" s="37" customFormat="1" ht="26.25" x14ac:dyDescent="0.35">
      <c r="A221" s="54"/>
      <c r="B221" s="54"/>
      <c r="C221" s="56"/>
      <c r="D221" s="54"/>
      <c r="E221" s="54"/>
      <c r="F221" s="57"/>
      <c r="G221" s="58"/>
      <c r="H221" s="54"/>
      <c r="I221" s="52">
        <v>75</v>
      </c>
      <c r="J221" s="52" t="s">
        <v>29</v>
      </c>
      <c r="K221" s="96" t="s">
        <v>205</v>
      </c>
    </row>
    <row r="222" spans="1:14" s="37" customFormat="1" ht="23.25" x14ac:dyDescent="0.35">
      <c r="A222" s="54"/>
      <c r="B222" s="54"/>
      <c r="C222" s="56"/>
      <c r="D222" s="54"/>
      <c r="E222" s="54"/>
      <c r="F222" s="57"/>
      <c r="G222" s="58"/>
      <c r="H222" s="54"/>
      <c r="I222" s="54"/>
      <c r="J222" s="54"/>
      <c r="K222" s="54"/>
    </row>
    <row r="223" spans="1:14" s="37" customFormat="1" ht="23.25" x14ac:dyDescent="0.35">
      <c r="A223" s="44" t="s">
        <v>204</v>
      </c>
      <c r="B223" s="44" t="s">
        <v>11</v>
      </c>
      <c r="C223" s="50" t="s">
        <v>145</v>
      </c>
      <c r="D223" s="44" t="s">
        <v>147</v>
      </c>
      <c r="E223" s="44"/>
      <c r="F223" s="51">
        <v>248.28</v>
      </c>
      <c r="G223" s="51">
        <v>7.75</v>
      </c>
      <c r="H223" s="44" t="s">
        <v>10</v>
      </c>
      <c r="I223" s="52">
        <v>10</v>
      </c>
      <c r="J223" s="52" t="s">
        <v>24</v>
      </c>
      <c r="K223" s="52"/>
    </row>
    <row r="224" spans="1:14" s="37" customFormat="1" ht="23.25" x14ac:dyDescent="0.35">
      <c r="A224" s="54"/>
      <c r="B224" s="54"/>
      <c r="C224" s="56"/>
      <c r="D224" s="53"/>
      <c r="E224" s="53"/>
      <c r="F224" s="57"/>
      <c r="G224" s="61"/>
      <c r="H224" s="54"/>
      <c r="I224" s="52">
        <v>10</v>
      </c>
      <c r="J224" s="59" t="s">
        <v>128</v>
      </c>
      <c r="K224" s="60"/>
    </row>
    <row r="225" spans="1:14" s="37" customFormat="1" ht="23.25" x14ac:dyDescent="0.35">
      <c r="A225" s="54"/>
      <c r="B225" s="54"/>
      <c r="C225" s="56"/>
      <c r="D225" s="53"/>
      <c r="E225" s="53"/>
      <c r="F225" s="57"/>
      <c r="G225" s="61"/>
      <c r="H225" s="54"/>
      <c r="I225" s="44">
        <v>70</v>
      </c>
      <c r="J225" s="52" t="s">
        <v>25</v>
      </c>
      <c r="K225" s="44"/>
    </row>
    <row r="226" spans="1:14" s="37" customFormat="1" ht="23.25" x14ac:dyDescent="0.35">
      <c r="A226" s="54"/>
      <c r="B226" s="54"/>
      <c r="C226" s="56"/>
      <c r="D226" s="53"/>
      <c r="E226" s="53"/>
      <c r="F226" s="57"/>
      <c r="G226" s="61"/>
      <c r="H226" s="54"/>
      <c r="I226" s="52">
        <v>50</v>
      </c>
      <c r="J226" s="52" t="s">
        <v>30</v>
      </c>
      <c r="K226" s="60"/>
    </row>
    <row r="227" spans="1:14" s="37" customFormat="1" ht="23.25" x14ac:dyDescent="0.35">
      <c r="A227" s="54"/>
      <c r="B227" s="54"/>
      <c r="C227" s="56"/>
      <c r="D227" s="53"/>
      <c r="E227" s="53"/>
      <c r="F227" s="57"/>
      <c r="G227" s="61"/>
      <c r="H227" s="54"/>
      <c r="I227" s="52">
        <v>30</v>
      </c>
      <c r="J227" s="52" t="s">
        <v>26</v>
      </c>
      <c r="K227" s="60"/>
    </row>
    <row r="228" spans="1:14" s="37" customFormat="1" ht="23.25" x14ac:dyDescent="0.35">
      <c r="A228" s="54"/>
      <c r="B228" s="54"/>
      <c r="C228" s="56"/>
      <c r="D228" s="53"/>
      <c r="E228" s="53"/>
      <c r="F228" s="57"/>
      <c r="G228" s="61"/>
      <c r="H228" s="54"/>
      <c r="I228" s="52">
        <v>10</v>
      </c>
      <c r="J228" s="52" t="s">
        <v>29</v>
      </c>
      <c r="K228" s="60" t="s">
        <v>157</v>
      </c>
    </row>
    <row r="229" spans="1:14" s="37" customFormat="1" ht="23.25" x14ac:dyDescent="0.35">
      <c r="A229" s="54"/>
      <c r="B229" s="54"/>
      <c r="C229" s="56"/>
      <c r="D229" s="5"/>
      <c r="E229" s="5"/>
      <c r="F229" s="57"/>
      <c r="G229" s="61"/>
      <c r="H229" s="54"/>
      <c r="I229" s="44">
        <v>20</v>
      </c>
      <c r="J229" s="52" t="s">
        <v>109</v>
      </c>
      <c r="K229" s="50"/>
      <c r="L229" s="94"/>
    </row>
    <row r="230" spans="1:14" s="37" customFormat="1" ht="23.25" x14ac:dyDescent="0.35">
      <c r="A230" s="54"/>
      <c r="B230" s="54"/>
      <c r="C230" s="56"/>
      <c r="D230" s="53"/>
      <c r="E230" s="53"/>
      <c r="F230" s="57"/>
      <c r="G230" s="61"/>
      <c r="H230" s="54"/>
      <c r="I230" s="52">
        <v>10</v>
      </c>
      <c r="J230" s="64" t="s">
        <v>31</v>
      </c>
      <c r="K230" s="65" t="s">
        <v>65</v>
      </c>
    </row>
    <row r="231" spans="1:14" s="37" customFormat="1" ht="23.25" x14ac:dyDescent="0.35">
      <c r="A231" s="54"/>
      <c r="B231" s="54"/>
      <c r="C231" s="56"/>
      <c r="D231" s="54"/>
      <c r="E231" s="54"/>
      <c r="F231" s="57"/>
      <c r="G231" s="58"/>
      <c r="H231" s="54"/>
      <c r="I231" s="52">
        <v>50</v>
      </c>
      <c r="J231" s="52" t="s">
        <v>29</v>
      </c>
      <c r="K231" s="95" t="s">
        <v>207</v>
      </c>
    </row>
    <row r="232" spans="1:14" s="37" customFormat="1" ht="23.25" x14ac:dyDescent="0.35">
      <c r="A232" s="44"/>
      <c r="B232" s="44"/>
      <c r="C232" s="50"/>
      <c r="D232" s="44"/>
      <c r="E232" s="44"/>
      <c r="F232" s="51"/>
      <c r="G232" s="51"/>
      <c r="H232" s="44"/>
      <c r="I232" s="52"/>
      <c r="J232" s="52"/>
      <c r="K232" s="52"/>
    </row>
    <row r="233" spans="1:14" s="37" customFormat="1" ht="23.25" x14ac:dyDescent="0.35">
      <c r="A233" s="54"/>
      <c r="B233" s="54"/>
      <c r="C233" s="56"/>
      <c r="D233" s="54"/>
      <c r="E233" s="54"/>
      <c r="F233" s="57"/>
      <c r="G233" s="58"/>
      <c r="H233" s="54"/>
      <c r="I233" s="52"/>
      <c r="J233" s="59"/>
      <c r="K233" s="52"/>
    </row>
    <row r="234" spans="1:14" s="37" customFormat="1" ht="23.25" x14ac:dyDescent="0.35">
      <c r="A234" s="44" t="s">
        <v>204</v>
      </c>
      <c r="B234" s="44" t="s">
        <v>12</v>
      </c>
      <c r="C234" s="50" t="s">
        <v>18</v>
      </c>
      <c r="D234" s="44" t="s">
        <v>146</v>
      </c>
      <c r="E234" s="44"/>
      <c r="F234" s="51">
        <v>270.85000000000002</v>
      </c>
      <c r="G234" s="51">
        <v>7.75</v>
      </c>
      <c r="H234" s="44" t="s">
        <v>10</v>
      </c>
      <c r="I234" s="52">
        <v>10</v>
      </c>
      <c r="J234" s="52" t="s">
        <v>24</v>
      </c>
      <c r="K234" s="52"/>
    </row>
    <row r="235" spans="1:14" s="37" customFormat="1" ht="23.25" x14ac:dyDescent="0.35">
      <c r="A235" s="54"/>
      <c r="B235" s="54"/>
      <c r="C235" s="56"/>
      <c r="D235" s="53"/>
      <c r="E235" s="53"/>
      <c r="F235" s="57"/>
      <c r="G235" s="61"/>
      <c r="H235" s="54"/>
      <c r="I235" s="52">
        <v>10</v>
      </c>
      <c r="J235" s="59" t="s">
        <v>128</v>
      </c>
      <c r="K235" s="60"/>
    </row>
    <row r="236" spans="1:14" s="37" customFormat="1" ht="23.25" x14ac:dyDescent="0.35">
      <c r="A236" s="54"/>
      <c r="B236" s="54"/>
      <c r="C236" s="56"/>
      <c r="D236" s="53"/>
      <c r="E236" s="53"/>
      <c r="F236" s="57"/>
      <c r="G236" s="61"/>
      <c r="H236" s="54"/>
      <c r="I236" s="44">
        <v>80</v>
      </c>
      <c r="J236" s="52" t="s">
        <v>25</v>
      </c>
      <c r="K236" s="44"/>
      <c r="L236" s="79"/>
      <c r="M236" s="79"/>
      <c r="N236" s="79"/>
    </row>
    <row r="237" spans="1:14" s="37" customFormat="1" ht="26.25" x14ac:dyDescent="0.35">
      <c r="A237" s="54"/>
      <c r="B237" s="54"/>
      <c r="C237" s="56"/>
      <c r="D237" s="53"/>
      <c r="E237" s="53"/>
      <c r="F237" s="57"/>
      <c r="G237" s="61"/>
      <c r="H237" s="54"/>
      <c r="I237" s="52">
        <v>80</v>
      </c>
      <c r="J237" s="52" t="s">
        <v>30</v>
      </c>
      <c r="K237" s="97" t="s">
        <v>208</v>
      </c>
      <c r="L237" s="79"/>
      <c r="M237" s="81"/>
      <c r="N237" s="79"/>
    </row>
    <row r="238" spans="1:14" s="37" customFormat="1" ht="23.25" x14ac:dyDescent="0.35">
      <c r="A238" s="54"/>
      <c r="B238" s="54"/>
      <c r="C238" s="56"/>
      <c r="D238" s="53"/>
      <c r="E238" s="53"/>
      <c r="F238" s="57"/>
      <c r="G238" s="61"/>
      <c r="H238" s="54"/>
      <c r="I238" s="52">
        <v>30</v>
      </c>
      <c r="J238" s="52" t="s">
        <v>26</v>
      </c>
      <c r="K238" s="60"/>
      <c r="L238" s="76"/>
      <c r="M238" s="79"/>
      <c r="N238" s="82"/>
    </row>
    <row r="239" spans="1:14" s="37" customFormat="1" ht="23.25" x14ac:dyDescent="0.35">
      <c r="A239" s="54"/>
      <c r="B239" s="54"/>
      <c r="C239" s="56"/>
      <c r="D239" s="53"/>
      <c r="E239" s="53"/>
      <c r="F239" s="57"/>
      <c r="G239" s="61"/>
      <c r="H239" s="54"/>
      <c r="I239" s="52">
        <v>10</v>
      </c>
      <c r="J239" s="52" t="s">
        <v>29</v>
      </c>
      <c r="K239" s="60" t="s">
        <v>157</v>
      </c>
      <c r="L239" s="79"/>
      <c r="M239" s="79"/>
      <c r="N239" s="79" t="s">
        <v>151</v>
      </c>
    </row>
    <row r="240" spans="1:14" s="37" customFormat="1" ht="23.25" x14ac:dyDescent="0.35">
      <c r="A240" s="54"/>
      <c r="B240" s="54"/>
      <c r="C240" s="56"/>
      <c r="D240" s="53"/>
      <c r="E240" s="53"/>
      <c r="F240" s="57"/>
      <c r="G240" s="61"/>
      <c r="H240" s="54"/>
      <c r="I240" s="44">
        <v>20</v>
      </c>
      <c r="J240" s="52" t="s">
        <v>109</v>
      </c>
      <c r="K240" s="50"/>
      <c r="L240" s="79"/>
      <c r="M240" s="79"/>
      <c r="N240" s="82" t="s">
        <v>149</v>
      </c>
    </row>
    <row r="241" spans="1:14" s="37" customFormat="1" ht="23.25" x14ac:dyDescent="0.35">
      <c r="A241" s="54"/>
      <c r="B241" s="54"/>
      <c r="C241" s="56"/>
      <c r="D241" s="53"/>
      <c r="E241" s="53"/>
      <c r="F241" s="57"/>
      <c r="G241" s="61"/>
      <c r="H241" s="54"/>
      <c r="I241" s="52">
        <v>10</v>
      </c>
      <c r="J241" s="64" t="s">
        <v>31</v>
      </c>
      <c r="K241" s="65" t="s">
        <v>65</v>
      </c>
      <c r="L241" s="79"/>
      <c r="M241" s="79"/>
      <c r="N241" s="82"/>
    </row>
    <row r="242" spans="1:14" s="37" customFormat="1" ht="23.25" x14ac:dyDescent="0.35">
      <c r="A242" s="44"/>
      <c r="B242" s="44"/>
      <c r="C242" s="50"/>
      <c r="D242" s="44"/>
      <c r="E242" s="44"/>
      <c r="F242" s="44"/>
      <c r="G242" s="51"/>
      <c r="H242" s="44"/>
      <c r="I242" s="52"/>
      <c r="J242" s="52"/>
      <c r="K242" s="52"/>
    </row>
    <row r="243" spans="1:14" s="37" customFormat="1" ht="23.25" x14ac:dyDescent="0.35">
      <c r="A243" s="44" t="s">
        <v>209</v>
      </c>
      <c r="B243" s="44" t="s">
        <v>9</v>
      </c>
      <c r="C243" s="44" t="s">
        <v>21</v>
      </c>
      <c r="D243" s="44" t="s">
        <v>119</v>
      </c>
      <c r="E243" s="44"/>
      <c r="F243" s="51">
        <f>11.73+37.27+37.43+37.59+38.43+38.35+38.24+38.23+7.01+7.02</f>
        <v>291.3</v>
      </c>
      <c r="G243" s="51">
        <v>7.5</v>
      </c>
      <c r="H243" s="44" t="s">
        <v>10</v>
      </c>
      <c r="I243" s="52">
        <v>10</v>
      </c>
      <c r="J243" s="52" t="s">
        <v>24</v>
      </c>
      <c r="K243" s="52"/>
    </row>
    <row r="244" spans="1:14" s="37" customFormat="1" ht="23.25" x14ac:dyDescent="0.35">
      <c r="A244" s="54"/>
      <c r="B244" s="54"/>
      <c r="C244" s="56"/>
      <c r="D244" s="53"/>
      <c r="E244" s="53"/>
      <c r="F244" s="57"/>
      <c r="G244" s="61"/>
      <c r="H244" s="54"/>
      <c r="I244" s="52">
        <v>10</v>
      </c>
      <c r="J244" s="59" t="s">
        <v>128</v>
      </c>
      <c r="K244" s="60"/>
    </row>
    <row r="245" spans="1:14" s="37" customFormat="1" ht="23.25" x14ac:dyDescent="0.35">
      <c r="A245" s="54"/>
      <c r="B245" s="54"/>
      <c r="C245" s="56"/>
      <c r="D245" s="53"/>
      <c r="E245" s="53"/>
      <c r="F245" s="57"/>
      <c r="G245" s="61"/>
      <c r="H245" s="54"/>
      <c r="I245" s="44">
        <v>80</v>
      </c>
      <c r="J245" s="52" t="s">
        <v>25</v>
      </c>
      <c r="K245" s="44"/>
    </row>
    <row r="246" spans="1:14" s="37" customFormat="1" ht="23.25" x14ac:dyDescent="0.35">
      <c r="A246" s="54"/>
      <c r="B246" s="54"/>
      <c r="C246" s="56"/>
      <c r="D246" s="53"/>
      <c r="E246" s="53"/>
      <c r="F246" s="57"/>
      <c r="G246" s="61"/>
      <c r="H246" s="54"/>
      <c r="I246" s="52">
        <v>60</v>
      </c>
      <c r="J246" s="52" t="s">
        <v>30</v>
      </c>
      <c r="K246" s="60"/>
    </row>
    <row r="247" spans="1:14" s="37" customFormat="1" ht="23.25" x14ac:dyDescent="0.35">
      <c r="A247" s="54"/>
      <c r="B247" s="54"/>
      <c r="C247" s="56"/>
      <c r="D247" s="53"/>
      <c r="E247" s="53"/>
      <c r="F247" s="57"/>
      <c r="G247" s="61"/>
      <c r="H247" s="54"/>
      <c r="I247" s="52">
        <v>30</v>
      </c>
      <c r="J247" s="52" t="s">
        <v>26</v>
      </c>
      <c r="K247" s="60"/>
    </row>
    <row r="248" spans="1:14" s="37" customFormat="1" ht="23.25" x14ac:dyDescent="0.35">
      <c r="A248" s="54"/>
      <c r="B248" s="54"/>
      <c r="C248" s="56"/>
      <c r="D248" s="53"/>
      <c r="E248" s="53"/>
      <c r="F248" s="57"/>
      <c r="G248" s="61"/>
      <c r="H248" s="54"/>
      <c r="I248" s="52">
        <v>20</v>
      </c>
      <c r="J248" s="52" t="s">
        <v>29</v>
      </c>
      <c r="K248" s="60" t="s">
        <v>157</v>
      </c>
    </row>
    <row r="249" spans="1:14" s="37" customFormat="1" ht="26.25" x14ac:dyDescent="0.35">
      <c r="A249" s="54"/>
      <c r="B249" s="54"/>
      <c r="C249" s="56"/>
      <c r="D249" s="53"/>
      <c r="E249" s="53"/>
      <c r="F249" s="57"/>
      <c r="G249" s="61"/>
      <c r="H249" s="54"/>
      <c r="I249" s="52">
        <v>20</v>
      </c>
      <c r="J249" s="64" t="s">
        <v>31</v>
      </c>
      <c r="K249" s="98" t="s">
        <v>210</v>
      </c>
    </row>
    <row r="250" spans="1:14" s="37" customFormat="1" ht="23.25" x14ac:dyDescent="0.35">
      <c r="A250" s="54"/>
      <c r="B250" s="54"/>
      <c r="C250" s="56"/>
      <c r="D250" s="54"/>
      <c r="E250" s="54"/>
      <c r="F250" s="57"/>
      <c r="G250" s="58"/>
      <c r="H250" s="54"/>
      <c r="I250" s="54"/>
      <c r="J250" s="54"/>
      <c r="K250" s="54"/>
    </row>
    <row r="251" spans="1:14" s="37" customFormat="1" ht="23.25" x14ac:dyDescent="0.35">
      <c r="A251" s="44" t="s">
        <v>209</v>
      </c>
      <c r="B251" s="44" t="s">
        <v>11</v>
      </c>
      <c r="C251" s="50" t="s">
        <v>145</v>
      </c>
      <c r="D251" s="44" t="s">
        <v>147</v>
      </c>
      <c r="E251" s="44"/>
      <c r="F251" s="51">
        <v>288.7</v>
      </c>
      <c r="G251" s="51">
        <v>7.5</v>
      </c>
      <c r="H251" s="44" t="s">
        <v>10</v>
      </c>
      <c r="I251" s="52">
        <v>10</v>
      </c>
      <c r="J251" s="52" t="s">
        <v>24</v>
      </c>
      <c r="K251" s="52"/>
    </row>
    <row r="252" spans="1:14" s="37" customFormat="1" ht="23.25" x14ac:dyDescent="0.35">
      <c r="A252" s="54"/>
      <c r="B252" s="54"/>
      <c r="C252" s="56"/>
      <c r="D252" s="53"/>
      <c r="E252" s="53"/>
      <c r="F252" s="57"/>
      <c r="G252" s="61"/>
      <c r="H252" s="54"/>
      <c r="I252" s="52">
        <v>10</v>
      </c>
      <c r="J252" s="59" t="s">
        <v>128</v>
      </c>
      <c r="K252" s="60"/>
    </row>
    <row r="253" spans="1:14" s="37" customFormat="1" ht="23.25" x14ac:dyDescent="0.35">
      <c r="A253" s="54"/>
      <c r="B253" s="54"/>
      <c r="C253" s="56"/>
      <c r="D253" s="53"/>
      <c r="E253" s="53"/>
      <c r="F253" s="57"/>
      <c r="G253" s="61"/>
      <c r="H253" s="54"/>
      <c r="I253" s="44">
        <v>60</v>
      </c>
      <c r="J253" s="52" t="s">
        <v>25</v>
      </c>
      <c r="K253" s="44"/>
    </row>
    <row r="254" spans="1:14" s="37" customFormat="1" ht="23.25" x14ac:dyDescent="0.35">
      <c r="A254" s="54"/>
      <c r="B254" s="54"/>
      <c r="C254" s="56"/>
      <c r="D254" s="53"/>
      <c r="E254" s="53"/>
      <c r="F254" s="57"/>
      <c r="G254" s="61"/>
      <c r="H254" s="54"/>
      <c r="I254" s="52">
        <v>50</v>
      </c>
      <c r="J254" s="52" t="s">
        <v>30</v>
      </c>
      <c r="K254" s="60"/>
    </row>
    <row r="255" spans="1:14" s="37" customFormat="1" ht="23.25" x14ac:dyDescent="0.35">
      <c r="A255" s="54"/>
      <c r="B255" s="54"/>
      <c r="C255" s="56"/>
      <c r="D255" s="53"/>
      <c r="E255" s="53"/>
      <c r="F255" s="57"/>
      <c r="G255" s="61"/>
      <c r="H255" s="54"/>
      <c r="I255" s="52">
        <v>30</v>
      </c>
      <c r="J255" s="52" t="s">
        <v>26</v>
      </c>
      <c r="K255" s="60"/>
    </row>
    <row r="256" spans="1:14" s="37" customFormat="1" ht="23.25" x14ac:dyDescent="0.35">
      <c r="A256" s="54"/>
      <c r="B256" s="54"/>
      <c r="C256" s="56"/>
      <c r="D256" s="53"/>
      <c r="E256" s="53"/>
      <c r="F256" s="57"/>
      <c r="G256" s="61"/>
      <c r="H256" s="54"/>
      <c r="I256" s="52">
        <v>10</v>
      </c>
      <c r="J256" s="52" t="s">
        <v>29</v>
      </c>
      <c r="K256" s="60" t="s">
        <v>157</v>
      </c>
    </row>
    <row r="257" spans="1:11" s="37" customFormat="1" ht="23.25" x14ac:dyDescent="0.35">
      <c r="A257" s="54"/>
      <c r="B257" s="54"/>
      <c r="C257" s="56"/>
      <c r="D257" s="5"/>
      <c r="E257" s="5"/>
      <c r="F257" s="57"/>
      <c r="G257" s="61"/>
      <c r="H257" s="54"/>
      <c r="I257" s="44">
        <v>20</v>
      </c>
      <c r="J257" s="52" t="s">
        <v>109</v>
      </c>
      <c r="K257" s="50"/>
    </row>
    <row r="258" spans="1:11" s="37" customFormat="1" ht="23.25" x14ac:dyDescent="0.35">
      <c r="A258" s="54"/>
      <c r="B258" s="54"/>
      <c r="C258" s="56"/>
      <c r="D258" s="53"/>
      <c r="E258" s="53"/>
      <c r="F258" s="57"/>
      <c r="G258" s="61"/>
      <c r="H258" s="54"/>
      <c r="I258" s="52">
        <v>10</v>
      </c>
      <c r="J258" s="64" t="s">
        <v>31</v>
      </c>
      <c r="K258" s="65" t="s">
        <v>65</v>
      </c>
    </row>
    <row r="259" spans="1:11" s="37" customFormat="1" ht="23.25" x14ac:dyDescent="0.35">
      <c r="A259" s="54"/>
      <c r="B259" s="54"/>
      <c r="C259" s="56"/>
      <c r="D259" s="54"/>
      <c r="E259" s="54"/>
      <c r="F259" s="57"/>
      <c r="G259" s="58"/>
      <c r="H259" s="54"/>
      <c r="I259" s="44">
        <v>30</v>
      </c>
      <c r="J259" s="52" t="s">
        <v>29</v>
      </c>
      <c r="K259" s="93" t="s">
        <v>211</v>
      </c>
    </row>
    <row r="260" spans="1:11" s="37" customFormat="1" ht="23.25" x14ac:dyDescent="0.35">
      <c r="A260" s="54"/>
      <c r="B260" s="54"/>
      <c r="C260" s="56"/>
      <c r="D260" s="54"/>
      <c r="E260" s="54"/>
      <c r="F260" s="57"/>
      <c r="G260" s="58"/>
      <c r="H260" s="54"/>
      <c r="I260" s="44"/>
      <c r="J260" s="52"/>
      <c r="K260" s="44"/>
    </row>
    <row r="261" spans="1:11" s="37" customFormat="1" ht="23.25" x14ac:dyDescent="0.35">
      <c r="A261" s="44" t="s">
        <v>209</v>
      </c>
      <c r="B261" s="44" t="s">
        <v>12</v>
      </c>
      <c r="C261" s="50" t="s">
        <v>18</v>
      </c>
      <c r="D261" s="44" t="s">
        <v>146</v>
      </c>
      <c r="E261" s="44"/>
      <c r="F261" s="51">
        <v>304.44</v>
      </c>
      <c r="G261" s="51">
        <v>8</v>
      </c>
      <c r="H261" s="44" t="s">
        <v>10</v>
      </c>
      <c r="I261" s="52">
        <v>10</v>
      </c>
      <c r="J261" s="52" t="s">
        <v>24</v>
      </c>
      <c r="K261" s="52"/>
    </row>
    <row r="262" spans="1:11" s="37" customFormat="1" ht="23.25" x14ac:dyDescent="0.35">
      <c r="A262" s="54"/>
      <c r="B262" s="54"/>
      <c r="C262" s="56"/>
      <c r="D262" s="53"/>
      <c r="E262" s="53"/>
      <c r="F262" s="57"/>
      <c r="G262" s="61"/>
      <c r="H262" s="54"/>
      <c r="I262" s="52">
        <v>10</v>
      </c>
      <c r="J262" s="59" t="s">
        <v>128</v>
      </c>
      <c r="K262" s="60"/>
    </row>
    <row r="263" spans="1:11" s="37" customFormat="1" ht="23.25" x14ac:dyDescent="0.35">
      <c r="A263" s="54"/>
      <c r="B263" s="54"/>
      <c r="C263" s="56"/>
      <c r="D263" s="53"/>
      <c r="E263" s="53"/>
      <c r="F263" s="57"/>
      <c r="G263" s="61"/>
      <c r="H263" s="54"/>
      <c r="I263" s="44">
        <v>80</v>
      </c>
      <c r="J263" s="52" t="s">
        <v>25</v>
      </c>
      <c r="K263" s="44"/>
    </row>
    <row r="264" spans="1:11" s="37" customFormat="1" ht="26.25" x14ac:dyDescent="0.35">
      <c r="A264" s="54"/>
      <c r="B264" s="54"/>
      <c r="C264" s="56"/>
      <c r="D264" s="53"/>
      <c r="E264" s="53"/>
      <c r="F264" s="57"/>
      <c r="G264" s="61"/>
      <c r="H264" s="54"/>
      <c r="I264" s="52">
        <v>60</v>
      </c>
      <c r="J264" s="52" t="s">
        <v>30</v>
      </c>
      <c r="K264" s="97"/>
    </row>
    <row r="265" spans="1:11" s="37" customFormat="1" ht="23.25" x14ac:dyDescent="0.35">
      <c r="A265" s="54"/>
      <c r="B265" s="54"/>
      <c r="C265" s="56"/>
      <c r="D265" s="53"/>
      <c r="E265" s="53"/>
      <c r="F265" s="57"/>
      <c r="G265" s="61"/>
      <c r="H265" s="54"/>
      <c r="I265" s="52">
        <v>30</v>
      </c>
      <c r="J265" s="52" t="s">
        <v>26</v>
      </c>
      <c r="K265" s="60"/>
    </row>
    <row r="266" spans="1:11" s="37" customFormat="1" ht="23.25" x14ac:dyDescent="0.35">
      <c r="A266" s="54"/>
      <c r="B266" s="54"/>
      <c r="C266" s="56"/>
      <c r="D266" s="53"/>
      <c r="E266" s="53"/>
      <c r="F266" s="57"/>
      <c r="G266" s="61"/>
      <c r="H266" s="54"/>
      <c r="I266" s="52">
        <v>10</v>
      </c>
      <c r="J266" s="52" t="s">
        <v>29</v>
      </c>
      <c r="K266" s="60" t="s">
        <v>157</v>
      </c>
    </row>
    <row r="267" spans="1:11" s="37" customFormat="1" ht="23.25" x14ac:dyDescent="0.35">
      <c r="A267" s="54"/>
      <c r="B267" s="54"/>
      <c r="C267" s="56"/>
      <c r="D267" s="53"/>
      <c r="E267" s="53"/>
      <c r="F267" s="57"/>
      <c r="G267" s="61"/>
      <c r="H267" s="54"/>
      <c r="I267" s="44">
        <v>10</v>
      </c>
      <c r="J267" s="52" t="s">
        <v>109</v>
      </c>
      <c r="K267" s="50"/>
    </row>
    <row r="268" spans="1:11" s="37" customFormat="1" ht="23.25" x14ac:dyDescent="0.35">
      <c r="A268" s="54"/>
      <c r="B268" s="54"/>
      <c r="C268" s="56"/>
      <c r="D268" s="53"/>
      <c r="E268" s="53"/>
      <c r="F268" s="57"/>
      <c r="G268" s="61"/>
      <c r="H268" s="54"/>
      <c r="I268" s="52">
        <v>10</v>
      </c>
      <c r="J268" s="64" t="s">
        <v>31</v>
      </c>
      <c r="K268" s="65" t="s">
        <v>65</v>
      </c>
    </row>
    <row r="269" spans="1:11" s="37" customFormat="1" ht="23.25" x14ac:dyDescent="0.35">
      <c r="A269" s="54"/>
      <c r="B269" s="54"/>
      <c r="C269" s="56"/>
      <c r="D269" s="54"/>
      <c r="E269" s="54"/>
      <c r="F269" s="57"/>
      <c r="G269" s="58"/>
      <c r="H269" s="54"/>
      <c r="I269" s="52">
        <v>10</v>
      </c>
      <c r="J269" s="52" t="s">
        <v>29</v>
      </c>
      <c r="K269" s="52" t="s">
        <v>212</v>
      </c>
    </row>
    <row r="270" spans="1:11" s="37" customFormat="1" ht="23.25" x14ac:dyDescent="0.35">
      <c r="A270" s="54"/>
      <c r="B270" s="54"/>
      <c r="C270" s="56"/>
      <c r="D270" s="54"/>
      <c r="E270" s="54"/>
      <c r="F270" s="57"/>
      <c r="G270" s="58"/>
      <c r="H270" s="54"/>
      <c r="I270" s="54"/>
      <c r="J270" s="54"/>
      <c r="K270" s="54"/>
    </row>
    <row r="271" spans="1:11" s="37" customFormat="1" ht="23.25" x14ac:dyDescent="0.35">
      <c r="A271" s="44" t="s">
        <v>214</v>
      </c>
      <c r="B271" s="44" t="s">
        <v>9</v>
      </c>
      <c r="C271" s="44" t="s">
        <v>195</v>
      </c>
      <c r="D271" s="44" t="s">
        <v>119</v>
      </c>
      <c r="E271" s="44"/>
      <c r="F271" s="51">
        <f>38.35+38.45+38.36+38.61+38.42+37.72+31.43+38.28</f>
        <v>299.62</v>
      </c>
      <c r="G271" s="51">
        <v>8</v>
      </c>
      <c r="H271" s="44" t="s">
        <v>10</v>
      </c>
      <c r="I271" s="52">
        <v>10</v>
      </c>
      <c r="J271" s="52" t="s">
        <v>24</v>
      </c>
      <c r="K271" s="52"/>
    </row>
    <row r="272" spans="1:11" s="37" customFormat="1" ht="23.25" x14ac:dyDescent="0.35">
      <c r="A272" s="54"/>
      <c r="B272" s="54"/>
      <c r="C272" s="56"/>
      <c r="D272" s="53"/>
      <c r="E272" s="53"/>
      <c r="F272" s="57"/>
      <c r="G272" s="61"/>
      <c r="H272" s="54"/>
      <c r="I272" s="52">
        <v>10</v>
      </c>
      <c r="J272" s="59" t="s">
        <v>128</v>
      </c>
      <c r="K272" s="60"/>
    </row>
    <row r="273" spans="1:11" s="37" customFormat="1" ht="23.25" x14ac:dyDescent="0.35">
      <c r="A273" s="54"/>
      <c r="B273" s="54"/>
      <c r="C273" s="56"/>
      <c r="D273" s="53"/>
      <c r="E273" s="53"/>
      <c r="F273" s="57"/>
      <c r="G273" s="61"/>
      <c r="H273" s="54"/>
      <c r="I273" s="44">
        <v>80</v>
      </c>
      <c r="J273" s="52" t="s">
        <v>25</v>
      </c>
      <c r="K273" s="44"/>
    </row>
    <row r="274" spans="1:11" s="37" customFormat="1" ht="23.25" x14ac:dyDescent="0.35">
      <c r="A274" s="54"/>
      <c r="B274" s="54"/>
      <c r="C274" s="56"/>
      <c r="D274" s="53"/>
      <c r="E274" s="53"/>
      <c r="F274" s="57"/>
      <c r="G274" s="61"/>
      <c r="H274" s="54"/>
      <c r="I274" s="52">
        <v>50</v>
      </c>
      <c r="J274" s="52" t="s">
        <v>30</v>
      </c>
      <c r="K274" s="60"/>
    </row>
    <row r="275" spans="1:11" s="37" customFormat="1" ht="23.25" x14ac:dyDescent="0.35">
      <c r="A275" s="54"/>
      <c r="B275" s="54"/>
      <c r="C275" s="56"/>
      <c r="D275" s="53"/>
      <c r="E275" s="53"/>
      <c r="F275" s="57"/>
      <c r="G275" s="61"/>
      <c r="H275" s="54"/>
      <c r="I275" s="52">
        <v>30</v>
      </c>
      <c r="J275" s="52" t="s">
        <v>26</v>
      </c>
      <c r="K275" s="60"/>
    </row>
    <row r="276" spans="1:11" s="37" customFormat="1" ht="23.25" x14ac:dyDescent="0.35">
      <c r="A276" s="54"/>
      <c r="B276" s="54"/>
      <c r="C276" s="56"/>
      <c r="D276" s="53"/>
      <c r="E276" s="53"/>
      <c r="F276" s="57"/>
      <c r="G276" s="61"/>
      <c r="H276" s="54"/>
      <c r="I276" s="52">
        <v>20</v>
      </c>
      <c r="J276" s="52" t="s">
        <v>29</v>
      </c>
      <c r="K276" s="60" t="s">
        <v>157</v>
      </c>
    </row>
    <row r="277" spans="1:11" s="37" customFormat="1" ht="26.25" x14ac:dyDescent="0.35">
      <c r="A277" s="54"/>
      <c r="B277" s="54"/>
      <c r="C277" s="56"/>
      <c r="D277" s="53"/>
      <c r="E277" s="53"/>
      <c r="F277" s="57"/>
      <c r="G277" s="61"/>
      <c r="H277" s="54"/>
      <c r="I277" s="52">
        <v>20</v>
      </c>
      <c r="J277" s="64" t="s">
        <v>31</v>
      </c>
      <c r="K277" s="98" t="s">
        <v>213</v>
      </c>
    </row>
    <row r="278" spans="1:11" s="37" customFormat="1" ht="20.25" customHeight="1" x14ac:dyDescent="0.35">
      <c r="A278" s="54"/>
      <c r="B278" s="54"/>
      <c r="C278" s="56"/>
      <c r="D278" s="54"/>
      <c r="E278" s="54"/>
      <c r="F278" s="57"/>
      <c r="G278" s="58"/>
      <c r="H278" s="54"/>
      <c r="I278" s="44"/>
      <c r="J278" s="64"/>
      <c r="K278" s="65"/>
    </row>
    <row r="279" spans="1:11" s="37" customFormat="1" ht="23.25" x14ac:dyDescent="0.35">
      <c r="A279" s="44" t="s">
        <v>214</v>
      </c>
      <c r="B279" s="44" t="s">
        <v>11</v>
      </c>
      <c r="C279" s="50" t="s">
        <v>145</v>
      </c>
      <c r="D279" s="44" t="s">
        <v>147</v>
      </c>
      <c r="E279" s="44"/>
      <c r="F279" s="51">
        <v>297.79000000000002</v>
      </c>
      <c r="G279" s="51">
        <v>8</v>
      </c>
      <c r="H279" s="44" t="s">
        <v>10</v>
      </c>
      <c r="I279" s="52">
        <v>10</v>
      </c>
      <c r="J279" s="52" t="s">
        <v>24</v>
      </c>
      <c r="K279" s="52"/>
    </row>
    <row r="280" spans="1:11" s="37" customFormat="1" ht="23.25" x14ac:dyDescent="0.35">
      <c r="A280" s="54"/>
      <c r="B280" s="54"/>
      <c r="C280" s="56"/>
      <c r="D280" s="53"/>
      <c r="E280" s="53"/>
      <c r="F280" s="57"/>
      <c r="G280" s="61"/>
      <c r="H280" s="54"/>
      <c r="I280" s="52">
        <v>10</v>
      </c>
      <c r="J280" s="59" t="s">
        <v>128</v>
      </c>
      <c r="K280" s="60"/>
    </row>
    <row r="281" spans="1:11" s="37" customFormat="1" ht="23.25" x14ac:dyDescent="0.35">
      <c r="A281" s="54"/>
      <c r="B281" s="54"/>
      <c r="C281" s="56"/>
      <c r="D281" s="53"/>
      <c r="E281" s="53"/>
      <c r="F281" s="57"/>
      <c r="G281" s="61"/>
      <c r="H281" s="54"/>
      <c r="I281" s="44">
        <v>70</v>
      </c>
      <c r="J281" s="52" t="s">
        <v>25</v>
      </c>
      <c r="K281" s="44"/>
    </row>
    <row r="282" spans="1:11" s="37" customFormat="1" ht="23.25" x14ac:dyDescent="0.35">
      <c r="A282" s="54"/>
      <c r="B282" s="54"/>
      <c r="C282" s="56"/>
      <c r="D282" s="53"/>
      <c r="E282" s="53"/>
      <c r="F282" s="57"/>
      <c r="G282" s="61"/>
      <c r="H282" s="54"/>
      <c r="I282" s="52">
        <v>50</v>
      </c>
      <c r="J282" s="52" t="s">
        <v>30</v>
      </c>
      <c r="K282" s="60"/>
    </row>
    <row r="283" spans="1:11" s="37" customFormat="1" ht="23.25" x14ac:dyDescent="0.35">
      <c r="A283" s="54"/>
      <c r="B283" s="54"/>
      <c r="C283" s="56"/>
      <c r="D283" s="53"/>
      <c r="E283" s="53"/>
      <c r="F283" s="57"/>
      <c r="G283" s="61"/>
      <c r="H283" s="54"/>
      <c r="I283" s="52">
        <v>30</v>
      </c>
      <c r="J283" s="52" t="s">
        <v>26</v>
      </c>
      <c r="K283" s="60"/>
    </row>
    <row r="284" spans="1:11" s="37" customFormat="1" ht="23.25" x14ac:dyDescent="0.35">
      <c r="A284" s="54"/>
      <c r="B284" s="54"/>
      <c r="C284" s="56"/>
      <c r="D284" s="53"/>
      <c r="E284" s="53"/>
      <c r="F284" s="57"/>
      <c r="G284" s="61"/>
      <c r="H284" s="54"/>
      <c r="I284" s="52">
        <v>10</v>
      </c>
      <c r="J284" s="52" t="s">
        <v>29</v>
      </c>
      <c r="K284" s="60" t="s">
        <v>157</v>
      </c>
    </row>
    <row r="285" spans="1:11" s="37" customFormat="1" ht="23.25" x14ac:dyDescent="0.35">
      <c r="A285" s="54"/>
      <c r="B285" s="54"/>
      <c r="C285" s="56"/>
      <c r="D285" s="5"/>
      <c r="E285" s="5"/>
      <c r="F285" s="57"/>
      <c r="G285" s="61"/>
      <c r="H285" s="54"/>
      <c r="I285" s="44">
        <v>20</v>
      </c>
      <c r="J285" s="52" t="s">
        <v>109</v>
      </c>
      <c r="K285" s="50"/>
    </row>
    <row r="286" spans="1:11" s="37" customFormat="1" ht="23.25" x14ac:dyDescent="0.35">
      <c r="A286" s="54"/>
      <c r="B286" s="54"/>
      <c r="C286" s="56"/>
      <c r="D286" s="53"/>
      <c r="E286" s="53"/>
      <c r="F286" s="57"/>
      <c r="G286" s="61"/>
      <c r="H286" s="54"/>
      <c r="I286" s="52">
        <v>10</v>
      </c>
      <c r="J286" s="64" t="s">
        <v>31</v>
      </c>
      <c r="K286" s="65" t="s">
        <v>65</v>
      </c>
    </row>
    <row r="287" spans="1:11" s="37" customFormat="1" ht="23.25" x14ac:dyDescent="0.35">
      <c r="A287" s="54"/>
      <c r="B287" s="54"/>
      <c r="C287" s="56"/>
      <c r="D287" s="54"/>
      <c r="E287" s="54"/>
      <c r="F287" s="57"/>
      <c r="G287" s="58"/>
      <c r="H287" s="54"/>
      <c r="I287" s="44">
        <v>15</v>
      </c>
      <c r="J287" s="52" t="s">
        <v>29</v>
      </c>
      <c r="K287" s="44" t="s">
        <v>215</v>
      </c>
    </row>
    <row r="288" spans="1:11" s="37" customFormat="1" ht="23.25" x14ac:dyDescent="0.35">
      <c r="A288" s="54"/>
      <c r="B288" s="54"/>
      <c r="C288" s="56"/>
      <c r="D288" s="54"/>
      <c r="E288" s="54"/>
      <c r="F288" s="57"/>
      <c r="G288" s="58"/>
      <c r="H288" s="54"/>
      <c r="I288" s="52"/>
      <c r="J288" s="52"/>
      <c r="K288" s="52"/>
    </row>
    <row r="289" spans="1:11" s="37" customFormat="1" ht="23.25" x14ac:dyDescent="0.35">
      <c r="A289" s="44" t="s">
        <v>214</v>
      </c>
      <c r="B289" s="44" t="s">
        <v>12</v>
      </c>
      <c r="C289" s="50" t="s">
        <v>18</v>
      </c>
      <c r="D289" s="44" t="s">
        <v>146</v>
      </c>
      <c r="E289" s="44"/>
      <c r="F289" s="51">
        <v>282.69</v>
      </c>
      <c r="G289" s="51">
        <v>8</v>
      </c>
      <c r="H289" s="44" t="s">
        <v>10</v>
      </c>
      <c r="I289" s="52">
        <v>10</v>
      </c>
      <c r="J289" s="52" t="s">
        <v>24</v>
      </c>
      <c r="K289" s="52"/>
    </row>
    <row r="290" spans="1:11" s="37" customFormat="1" ht="23.25" x14ac:dyDescent="0.35">
      <c r="A290" s="54"/>
      <c r="B290" s="54"/>
      <c r="C290" s="56"/>
      <c r="D290" s="53"/>
      <c r="E290" s="53"/>
      <c r="F290" s="57"/>
      <c r="G290" s="61"/>
      <c r="H290" s="54"/>
      <c r="I290" s="52">
        <v>10</v>
      </c>
      <c r="J290" s="59" t="s">
        <v>128</v>
      </c>
      <c r="K290" s="60"/>
    </row>
    <row r="291" spans="1:11" s="37" customFormat="1" ht="23.25" x14ac:dyDescent="0.35">
      <c r="A291" s="54"/>
      <c r="B291" s="54"/>
      <c r="C291" s="56"/>
      <c r="D291" s="53"/>
      <c r="E291" s="53"/>
      <c r="F291" s="57"/>
      <c r="G291" s="61"/>
      <c r="H291" s="54"/>
      <c r="I291" s="44">
        <v>80</v>
      </c>
      <c r="J291" s="52" t="s">
        <v>25</v>
      </c>
      <c r="K291" s="44"/>
    </row>
    <row r="292" spans="1:11" s="37" customFormat="1" ht="23.25" x14ac:dyDescent="0.35">
      <c r="A292" s="54"/>
      <c r="B292" s="54"/>
      <c r="C292" s="56"/>
      <c r="D292" s="53"/>
      <c r="E292" s="53"/>
      <c r="F292" s="57"/>
      <c r="G292" s="61"/>
      <c r="H292" s="54"/>
      <c r="I292" s="52">
        <v>70</v>
      </c>
      <c r="J292" s="52" t="s">
        <v>30</v>
      </c>
      <c r="K292" s="99" t="s">
        <v>39</v>
      </c>
    </row>
    <row r="293" spans="1:11" s="37" customFormat="1" ht="23.25" x14ac:dyDescent="0.35">
      <c r="A293" s="54"/>
      <c r="B293" s="54"/>
      <c r="C293" s="56"/>
      <c r="D293" s="53"/>
      <c r="E293" s="53"/>
      <c r="F293" s="57"/>
      <c r="G293" s="61"/>
      <c r="H293" s="54"/>
      <c r="I293" s="52">
        <v>30</v>
      </c>
      <c r="J293" s="52" t="s">
        <v>26</v>
      </c>
      <c r="K293" s="60"/>
    </row>
    <row r="294" spans="1:11" s="37" customFormat="1" ht="23.25" x14ac:dyDescent="0.35">
      <c r="A294" s="54"/>
      <c r="B294" s="54"/>
      <c r="C294" s="56"/>
      <c r="D294" s="53"/>
      <c r="E294" s="53"/>
      <c r="F294" s="57"/>
      <c r="G294" s="61"/>
      <c r="H294" s="54"/>
      <c r="I294" s="52">
        <v>10</v>
      </c>
      <c r="J294" s="52" t="s">
        <v>29</v>
      </c>
      <c r="K294" s="60" t="s">
        <v>157</v>
      </c>
    </row>
    <row r="295" spans="1:11" s="37" customFormat="1" ht="23.25" x14ac:dyDescent="0.35">
      <c r="A295" s="54"/>
      <c r="B295" s="54"/>
      <c r="C295" s="56"/>
      <c r="D295" s="5"/>
      <c r="E295" s="5"/>
      <c r="F295" s="57"/>
      <c r="G295" s="61"/>
      <c r="H295" s="54"/>
      <c r="I295" s="44">
        <v>20</v>
      </c>
      <c r="J295" s="52" t="s">
        <v>109</v>
      </c>
      <c r="K295" s="50"/>
    </row>
    <row r="296" spans="1:11" s="37" customFormat="1" ht="23.25" x14ac:dyDescent="0.35">
      <c r="A296" s="54"/>
      <c r="B296" s="54"/>
      <c r="C296" s="56"/>
      <c r="D296" s="53"/>
      <c r="E296" s="53"/>
      <c r="F296" s="57"/>
      <c r="G296" s="61"/>
      <c r="H296" s="54"/>
      <c r="I296" s="52">
        <v>10</v>
      </c>
      <c r="J296" s="64" t="s">
        <v>31</v>
      </c>
      <c r="K296" s="65" t="s">
        <v>65</v>
      </c>
    </row>
    <row r="297" spans="1:11" s="37" customFormat="1" ht="23.25" x14ac:dyDescent="0.35">
      <c r="A297" s="54"/>
      <c r="B297" s="54"/>
      <c r="C297" s="56"/>
      <c r="D297" s="54"/>
      <c r="E297" s="54"/>
      <c r="F297" s="57"/>
      <c r="G297" s="58"/>
      <c r="H297" s="54"/>
      <c r="I297" s="44"/>
      <c r="J297" s="52"/>
      <c r="K297" s="44"/>
    </row>
    <row r="298" spans="1:11" s="37" customFormat="1" ht="23.25" x14ac:dyDescent="0.35">
      <c r="A298" s="44" t="s">
        <v>216</v>
      </c>
      <c r="B298" s="44" t="s">
        <v>9</v>
      </c>
      <c r="C298" s="45" t="s">
        <v>178</v>
      </c>
      <c r="D298" s="44" t="s">
        <v>147</v>
      </c>
      <c r="E298" s="44"/>
      <c r="F298" s="51">
        <v>266.97000000000003</v>
      </c>
      <c r="G298" s="51">
        <v>8</v>
      </c>
      <c r="H298" s="44" t="s">
        <v>10</v>
      </c>
      <c r="I298" s="52">
        <v>10</v>
      </c>
      <c r="J298" s="52" t="s">
        <v>24</v>
      </c>
      <c r="K298" s="52"/>
    </row>
    <row r="299" spans="1:11" s="37" customFormat="1" ht="23.25" hidden="1" x14ac:dyDescent="0.35">
      <c r="A299" s="54"/>
      <c r="B299" s="54"/>
      <c r="C299" s="56"/>
      <c r="D299" s="53"/>
      <c r="E299" s="53"/>
      <c r="F299" s="57"/>
      <c r="G299" s="61"/>
      <c r="H299" s="54"/>
      <c r="I299" s="52">
        <v>10</v>
      </c>
      <c r="J299" s="59" t="s">
        <v>128</v>
      </c>
      <c r="K299" s="60"/>
    </row>
    <row r="300" spans="1:11" s="37" customFormat="1" ht="23.25" x14ac:dyDescent="0.35">
      <c r="A300" s="54"/>
      <c r="B300" s="54"/>
      <c r="C300" s="56"/>
      <c r="D300" s="53"/>
      <c r="E300" s="53"/>
      <c r="F300" s="57"/>
      <c r="G300" s="61"/>
      <c r="H300" s="54"/>
      <c r="I300" s="44">
        <v>80</v>
      </c>
      <c r="J300" s="52" t="s">
        <v>25</v>
      </c>
      <c r="K300" s="44"/>
    </row>
    <row r="301" spans="1:11" s="37" customFormat="1" ht="23.25" x14ac:dyDescent="0.35">
      <c r="A301" s="54"/>
      <c r="B301" s="54"/>
      <c r="C301" s="56"/>
      <c r="D301" s="53"/>
      <c r="E301" s="53"/>
      <c r="F301" s="57"/>
      <c r="G301" s="61"/>
      <c r="H301" s="54"/>
      <c r="I301" s="52">
        <v>50</v>
      </c>
      <c r="J301" s="52" t="s">
        <v>30</v>
      </c>
      <c r="K301" s="60"/>
    </row>
    <row r="302" spans="1:11" s="37" customFormat="1" ht="23.25" x14ac:dyDescent="0.35">
      <c r="A302" s="54"/>
      <c r="B302" s="54"/>
      <c r="C302" s="56"/>
      <c r="D302" s="53"/>
      <c r="E302" s="53"/>
      <c r="F302" s="57"/>
      <c r="G302" s="61"/>
      <c r="H302" s="54"/>
      <c r="I302" s="52">
        <v>30</v>
      </c>
      <c r="J302" s="52" t="s">
        <v>26</v>
      </c>
      <c r="K302" s="60"/>
    </row>
    <row r="303" spans="1:11" s="37" customFormat="1" ht="23.25" x14ac:dyDescent="0.35">
      <c r="A303" s="54"/>
      <c r="B303" s="54"/>
      <c r="C303" s="56"/>
      <c r="D303" s="53"/>
      <c r="E303" s="53"/>
      <c r="F303" s="57"/>
      <c r="G303" s="61"/>
      <c r="H303" s="54"/>
      <c r="I303" s="52">
        <v>10</v>
      </c>
      <c r="J303" s="52" t="s">
        <v>29</v>
      </c>
      <c r="K303" s="60" t="s">
        <v>157</v>
      </c>
    </row>
    <row r="304" spans="1:11" s="37" customFormat="1" ht="23.25" x14ac:dyDescent="0.35">
      <c r="A304" s="54"/>
      <c r="B304" s="54"/>
      <c r="C304" s="56"/>
      <c r="D304" s="5"/>
      <c r="E304" s="5"/>
      <c r="F304" s="57"/>
      <c r="G304" s="61"/>
      <c r="H304" s="54"/>
      <c r="I304" s="44">
        <v>20</v>
      </c>
      <c r="J304" s="52" t="s">
        <v>109</v>
      </c>
      <c r="K304" s="50"/>
    </row>
    <row r="305" spans="1:11" s="37" customFormat="1" ht="23.25" x14ac:dyDescent="0.35">
      <c r="A305" s="54"/>
      <c r="B305" s="54"/>
      <c r="C305" s="56"/>
      <c r="D305" s="53"/>
      <c r="E305" s="53"/>
      <c r="F305" s="57"/>
      <c r="G305" s="61"/>
      <c r="H305" s="54"/>
      <c r="I305" s="52">
        <v>10</v>
      </c>
      <c r="J305" s="64" t="s">
        <v>31</v>
      </c>
      <c r="K305" s="65" t="s">
        <v>65</v>
      </c>
    </row>
    <row r="306" spans="1:11" s="37" customFormat="1" ht="23.25" x14ac:dyDescent="0.35">
      <c r="A306" s="54"/>
      <c r="B306" s="54"/>
      <c r="C306" s="56"/>
      <c r="D306" s="54"/>
      <c r="E306" s="54"/>
      <c r="F306" s="57"/>
      <c r="G306" s="58"/>
      <c r="H306" s="54"/>
      <c r="I306" s="52">
        <v>20</v>
      </c>
      <c r="J306" s="52" t="s">
        <v>29</v>
      </c>
      <c r="K306" s="60" t="s">
        <v>217</v>
      </c>
    </row>
    <row r="307" spans="1:11" s="37" customFormat="1" ht="23.25" x14ac:dyDescent="0.35">
      <c r="A307" s="54"/>
      <c r="B307" s="54"/>
      <c r="C307" s="56"/>
      <c r="D307" s="54"/>
      <c r="E307" s="54"/>
      <c r="F307" s="57"/>
      <c r="G307" s="58"/>
      <c r="H307" s="54"/>
      <c r="I307" s="44"/>
      <c r="J307" s="44"/>
      <c r="K307" s="59"/>
    </row>
    <row r="308" spans="1:11" s="37" customFormat="1" ht="23.25" x14ac:dyDescent="0.35">
      <c r="A308" s="44" t="s">
        <v>216</v>
      </c>
      <c r="B308" s="44" t="s">
        <v>11</v>
      </c>
      <c r="C308" s="44" t="s">
        <v>219</v>
      </c>
      <c r="D308" s="44" t="s">
        <v>146</v>
      </c>
      <c r="E308" s="44"/>
      <c r="F308" s="51">
        <v>245.34</v>
      </c>
      <c r="G308" s="51">
        <v>8</v>
      </c>
      <c r="H308" s="44" t="s">
        <v>10</v>
      </c>
      <c r="I308" s="52">
        <v>10</v>
      </c>
      <c r="J308" s="52" t="s">
        <v>24</v>
      </c>
      <c r="K308" s="52"/>
    </row>
    <row r="309" spans="1:11" s="37" customFormat="1" ht="23.25" x14ac:dyDescent="0.35">
      <c r="A309" s="54"/>
      <c r="B309" s="54"/>
      <c r="C309" s="56"/>
      <c r="D309" s="53"/>
      <c r="E309" s="53"/>
      <c r="F309" s="57"/>
      <c r="G309" s="61"/>
      <c r="H309" s="54"/>
      <c r="I309" s="52">
        <v>10</v>
      </c>
      <c r="J309" s="59" t="s">
        <v>128</v>
      </c>
      <c r="K309" s="60"/>
    </row>
    <row r="310" spans="1:11" s="37" customFormat="1" ht="23.25" x14ac:dyDescent="0.35">
      <c r="A310" s="54"/>
      <c r="B310" s="54"/>
      <c r="C310" s="56"/>
      <c r="D310" s="53"/>
      <c r="E310" s="53"/>
      <c r="F310" s="57"/>
      <c r="G310" s="61"/>
      <c r="H310" s="54"/>
      <c r="I310" s="44">
        <v>80</v>
      </c>
      <c r="J310" s="52" t="s">
        <v>25</v>
      </c>
      <c r="K310" s="44"/>
    </row>
    <row r="311" spans="1:11" s="37" customFormat="1" ht="23.25" x14ac:dyDescent="0.35">
      <c r="A311" s="54"/>
      <c r="B311" s="54"/>
      <c r="C311" s="56"/>
      <c r="D311" s="53"/>
      <c r="E311" s="53"/>
      <c r="F311" s="57"/>
      <c r="G311" s="61"/>
      <c r="H311" s="54"/>
      <c r="I311" s="52">
        <v>100</v>
      </c>
      <c r="J311" s="52" t="s">
        <v>30</v>
      </c>
      <c r="K311" s="60" t="s">
        <v>218</v>
      </c>
    </row>
    <row r="312" spans="1:11" s="37" customFormat="1" ht="23.25" x14ac:dyDescent="0.35">
      <c r="A312" s="54"/>
      <c r="B312" s="54"/>
      <c r="C312" s="56"/>
      <c r="D312" s="53"/>
      <c r="E312" s="53"/>
      <c r="F312" s="57"/>
      <c r="G312" s="61"/>
      <c r="H312" s="54"/>
      <c r="I312" s="52">
        <v>30</v>
      </c>
      <c r="J312" s="52" t="s">
        <v>26</v>
      </c>
      <c r="K312" s="60"/>
    </row>
    <row r="313" spans="1:11" s="37" customFormat="1" ht="23.25" x14ac:dyDescent="0.35">
      <c r="A313" s="54"/>
      <c r="B313" s="54"/>
      <c r="C313" s="56"/>
      <c r="D313" s="53"/>
      <c r="E313" s="53"/>
      <c r="F313" s="57"/>
      <c r="G313" s="61"/>
      <c r="H313" s="54"/>
      <c r="I313" s="52">
        <v>10</v>
      </c>
      <c r="J313" s="52" t="s">
        <v>29</v>
      </c>
      <c r="K313" s="60" t="s">
        <v>157</v>
      </c>
    </row>
    <row r="314" spans="1:11" s="37" customFormat="1" ht="23.25" x14ac:dyDescent="0.35">
      <c r="A314" s="54"/>
      <c r="B314" s="54"/>
      <c r="C314" s="56"/>
      <c r="D314" s="5"/>
      <c r="E314" s="5"/>
      <c r="F314" s="57"/>
      <c r="G314" s="61"/>
      <c r="H314" s="54"/>
      <c r="I314" s="44">
        <v>20</v>
      </c>
      <c r="J314" s="52" t="s">
        <v>109</v>
      </c>
      <c r="K314" s="50"/>
    </row>
    <row r="315" spans="1:11" s="37" customFormat="1" ht="23.25" x14ac:dyDescent="0.35">
      <c r="A315" s="54"/>
      <c r="B315" s="54"/>
      <c r="C315" s="56"/>
      <c r="D315" s="53"/>
      <c r="E315" s="53"/>
      <c r="F315" s="57"/>
      <c r="G315" s="61"/>
      <c r="H315" s="54"/>
      <c r="I315" s="52">
        <v>10</v>
      </c>
      <c r="J315" s="64" t="s">
        <v>31</v>
      </c>
      <c r="K315" s="65" t="s">
        <v>65</v>
      </c>
    </row>
    <row r="316" spans="1:11" s="37" customFormat="1" ht="23.25" x14ac:dyDescent="0.35">
      <c r="A316" s="54"/>
      <c r="B316" s="54"/>
      <c r="C316" s="56"/>
      <c r="D316" s="54"/>
      <c r="E316" s="54"/>
      <c r="F316" s="57"/>
      <c r="G316" s="58"/>
      <c r="H316" s="54"/>
      <c r="I316" s="52"/>
      <c r="J316" s="52"/>
      <c r="K316" s="60"/>
    </row>
    <row r="317" spans="1:11" s="37" customFormat="1" ht="23.25" x14ac:dyDescent="0.35">
      <c r="A317" s="44" t="s">
        <v>216</v>
      </c>
      <c r="B317" s="44" t="s">
        <v>12</v>
      </c>
      <c r="C317" s="50" t="s">
        <v>18</v>
      </c>
      <c r="D317" s="44" t="s">
        <v>119</v>
      </c>
      <c r="E317" s="57" t="s">
        <v>223</v>
      </c>
      <c r="F317" s="51">
        <f>19.47+31.09+27.25+26.15+38.47+37.42+6.22+6.23</f>
        <v>192.3</v>
      </c>
      <c r="G317" s="51">
        <v>6.75</v>
      </c>
      <c r="H317" s="44" t="s">
        <v>10</v>
      </c>
      <c r="I317" s="52">
        <v>10</v>
      </c>
      <c r="J317" s="52" t="s">
        <v>24</v>
      </c>
      <c r="K317" s="52"/>
    </row>
    <row r="318" spans="1:11" s="37" customFormat="1" ht="23.25" x14ac:dyDescent="0.35">
      <c r="A318" s="54"/>
      <c r="B318" s="54"/>
      <c r="C318" s="56"/>
      <c r="D318" s="53"/>
      <c r="E318" s="57"/>
      <c r="F318" s="57"/>
      <c r="G318" s="61"/>
      <c r="H318" s="54"/>
      <c r="I318" s="52">
        <v>10</v>
      </c>
      <c r="J318" s="59" t="s">
        <v>128</v>
      </c>
      <c r="K318" s="60"/>
    </row>
    <row r="319" spans="1:11" s="37" customFormat="1" ht="23.25" x14ac:dyDescent="0.35">
      <c r="A319" s="54"/>
      <c r="B319" s="54"/>
      <c r="C319" s="56"/>
      <c r="D319" s="53"/>
      <c r="E319" s="57"/>
      <c r="F319" s="57"/>
      <c r="G319" s="61"/>
      <c r="H319" s="54"/>
      <c r="I319" s="44">
        <v>70</v>
      </c>
      <c r="J319" s="52" t="s">
        <v>25</v>
      </c>
      <c r="K319" s="44"/>
    </row>
    <row r="320" spans="1:11" s="37" customFormat="1" ht="23.25" x14ac:dyDescent="0.35">
      <c r="A320" s="54"/>
      <c r="B320" s="54"/>
      <c r="C320" s="56"/>
      <c r="D320" s="53"/>
      <c r="E320" s="57"/>
      <c r="F320" s="57"/>
      <c r="G320" s="61"/>
      <c r="H320" s="54"/>
      <c r="I320" s="52">
        <v>60</v>
      </c>
      <c r="J320" s="52" t="s">
        <v>30</v>
      </c>
      <c r="K320" s="60"/>
    </row>
    <row r="321" spans="1:11" s="37" customFormat="1" ht="23.25" x14ac:dyDescent="0.35">
      <c r="A321" s="54"/>
      <c r="B321" s="54"/>
      <c r="C321" s="56"/>
      <c r="D321" s="53"/>
      <c r="E321" s="57"/>
      <c r="F321" s="57"/>
      <c r="G321" s="61"/>
      <c r="H321" s="54"/>
      <c r="I321" s="52">
        <v>40</v>
      </c>
      <c r="J321" s="52" t="s">
        <v>26</v>
      </c>
      <c r="K321" s="60"/>
    </row>
    <row r="322" spans="1:11" s="37" customFormat="1" ht="23.25" x14ac:dyDescent="0.35">
      <c r="A322" s="54"/>
      <c r="B322" s="54"/>
      <c r="C322" s="56"/>
      <c r="D322" s="53"/>
      <c r="E322" s="57"/>
      <c r="F322" s="57"/>
      <c r="G322" s="61"/>
      <c r="H322" s="54"/>
      <c r="I322" s="52">
        <v>10</v>
      </c>
      <c r="J322" s="52" t="s">
        <v>29</v>
      </c>
      <c r="K322" s="60" t="s">
        <v>157</v>
      </c>
    </row>
    <row r="323" spans="1:11" s="37" customFormat="1" ht="23.25" x14ac:dyDescent="0.35">
      <c r="A323" s="54"/>
      <c r="B323" s="54"/>
      <c r="C323" s="56"/>
      <c r="D323" s="5"/>
      <c r="E323" s="57"/>
      <c r="F323" s="57"/>
      <c r="G323" s="61"/>
      <c r="H323" s="54"/>
      <c r="I323" s="44">
        <v>20</v>
      </c>
      <c r="J323" s="52" t="s">
        <v>109</v>
      </c>
      <c r="K323" s="50"/>
    </row>
    <row r="324" spans="1:11" s="37" customFormat="1" ht="23.25" x14ac:dyDescent="0.35">
      <c r="A324" s="54"/>
      <c r="B324" s="54"/>
      <c r="C324" s="56"/>
      <c r="D324" s="53"/>
      <c r="E324" s="57"/>
      <c r="F324" s="57"/>
      <c r="G324" s="61"/>
      <c r="H324" s="54"/>
      <c r="I324" s="52">
        <v>10</v>
      </c>
      <c r="J324" s="64" t="s">
        <v>31</v>
      </c>
      <c r="K324" s="65" t="s">
        <v>65</v>
      </c>
    </row>
    <row r="325" spans="1:11" s="37" customFormat="1" ht="23.25" x14ac:dyDescent="0.35">
      <c r="A325" s="54"/>
      <c r="B325" s="54"/>
      <c r="C325" s="56"/>
      <c r="D325" s="54"/>
      <c r="E325" s="57"/>
      <c r="F325" s="57"/>
      <c r="G325" s="58"/>
      <c r="H325" s="54"/>
      <c r="I325" s="44">
        <v>70</v>
      </c>
      <c r="J325" s="44" t="s">
        <v>220</v>
      </c>
      <c r="K325" s="44" t="s">
        <v>221</v>
      </c>
    </row>
    <row r="326" spans="1:11" s="37" customFormat="1" ht="23.25" x14ac:dyDescent="0.35">
      <c r="A326" s="54"/>
      <c r="B326" s="54"/>
      <c r="C326" s="56"/>
      <c r="D326" s="54"/>
      <c r="E326" s="57"/>
      <c r="F326" s="57"/>
      <c r="G326" s="58"/>
      <c r="H326" s="54"/>
      <c r="I326" s="52">
        <v>10</v>
      </c>
      <c r="J326" s="52" t="s">
        <v>29</v>
      </c>
      <c r="K326" s="76" t="s">
        <v>224</v>
      </c>
    </row>
    <row r="327" spans="1:11" s="37" customFormat="1" ht="23.25" x14ac:dyDescent="0.35">
      <c r="A327" s="44"/>
      <c r="B327" s="44"/>
      <c r="C327" s="50"/>
      <c r="D327" s="44"/>
      <c r="E327" s="57"/>
      <c r="F327" s="51"/>
      <c r="G327" s="51"/>
      <c r="H327" s="44"/>
      <c r="I327" s="52"/>
      <c r="J327" s="59"/>
      <c r="K327" s="52"/>
    </row>
    <row r="328" spans="1:11" s="37" customFormat="1" ht="23.25" x14ac:dyDescent="0.35">
      <c r="A328" s="44" t="s">
        <v>227</v>
      </c>
      <c r="B328" s="44" t="s">
        <v>9</v>
      </c>
      <c r="C328" s="45" t="s">
        <v>178</v>
      </c>
      <c r="D328" s="44" t="s">
        <v>147</v>
      </c>
      <c r="E328" s="51" t="s">
        <v>223</v>
      </c>
      <c r="F328" s="51">
        <v>142.49</v>
      </c>
      <c r="G328" s="51">
        <v>4</v>
      </c>
      <c r="H328" s="44" t="s">
        <v>10</v>
      </c>
      <c r="I328" s="52">
        <v>10</v>
      </c>
      <c r="J328" s="52" t="s">
        <v>24</v>
      </c>
      <c r="K328" s="52"/>
    </row>
    <row r="329" spans="1:11" s="37" customFormat="1" ht="23.25" x14ac:dyDescent="0.35">
      <c r="A329" s="54"/>
      <c r="B329" s="54"/>
      <c r="C329" s="56"/>
      <c r="D329" s="53"/>
      <c r="E329" s="53"/>
      <c r="F329" s="57"/>
      <c r="G329" s="61"/>
      <c r="H329" s="54"/>
      <c r="I329" s="52">
        <v>10</v>
      </c>
      <c r="J329" s="59" t="s">
        <v>128</v>
      </c>
      <c r="K329" s="60"/>
    </row>
    <row r="330" spans="1:11" s="37" customFormat="1" ht="23.25" x14ac:dyDescent="0.35">
      <c r="A330" s="54"/>
      <c r="B330" s="54"/>
      <c r="C330" s="56"/>
      <c r="D330" s="53"/>
      <c r="E330" s="53"/>
      <c r="F330" s="57"/>
      <c r="G330" s="61"/>
      <c r="H330" s="54"/>
      <c r="I330" s="44">
        <v>40</v>
      </c>
      <c r="J330" s="52" t="s">
        <v>25</v>
      </c>
      <c r="K330" s="44"/>
    </row>
    <row r="331" spans="1:11" s="37" customFormat="1" ht="23.25" x14ac:dyDescent="0.35">
      <c r="A331" s="54"/>
      <c r="B331" s="54"/>
      <c r="C331" s="56"/>
      <c r="D331" s="53"/>
      <c r="E331" s="53"/>
      <c r="F331" s="57"/>
      <c r="G331" s="61"/>
      <c r="H331" s="54"/>
      <c r="I331" s="52">
        <v>20</v>
      </c>
      <c r="J331" s="52" t="s">
        <v>30</v>
      </c>
      <c r="K331" s="60"/>
    </row>
    <row r="332" spans="1:11" s="37" customFormat="1" ht="23.25" x14ac:dyDescent="0.35">
      <c r="A332" s="54"/>
      <c r="B332" s="54"/>
      <c r="C332" s="56"/>
      <c r="D332" s="53"/>
      <c r="E332" s="53"/>
      <c r="F332" s="57"/>
      <c r="G332" s="61"/>
      <c r="H332" s="54"/>
      <c r="I332" s="52">
        <v>20</v>
      </c>
      <c r="J332" s="52" t="s">
        <v>26</v>
      </c>
      <c r="K332" s="60"/>
    </row>
    <row r="333" spans="1:11" s="37" customFormat="1" ht="23.25" x14ac:dyDescent="0.35">
      <c r="A333" s="54"/>
      <c r="B333" s="54"/>
      <c r="C333" s="56"/>
      <c r="D333" s="53"/>
      <c r="E333" s="53"/>
      <c r="F333" s="57"/>
      <c r="G333" s="61"/>
      <c r="H333" s="54"/>
      <c r="I333" s="52">
        <v>10</v>
      </c>
      <c r="J333" s="52" t="s">
        <v>29</v>
      </c>
      <c r="K333" s="60" t="s">
        <v>157</v>
      </c>
    </row>
    <row r="334" spans="1:11" s="37" customFormat="1" ht="23.25" x14ac:dyDescent="0.35">
      <c r="A334" s="54"/>
      <c r="B334" s="54"/>
      <c r="C334" s="56"/>
      <c r="D334" s="5"/>
      <c r="E334" s="5"/>
      <c r="F334" s="57"/>
      <c r="G334" s="61"/>
      <c r="H334" s="54"/>
      <c r="I334" s="44">
        <v>20</v>
      </c>
      <c r="J334" s="52" t="s">
        <v>109</v>
      </c>
      <c r="K334" s="50"/>
    </row>
    <row r="335" spans="1:11" s="37" customFormat="1" ht="23.25" x14ac:dyDescent="0.35">
      <c r="A335" s="54"/>
      <c r="B335" s="54"/>
      <c r="C335" s="56"/>
      <c r="D335" s="54"/>
      <c r="E335" s="54"/>
      <c r="F335" s="57"/>
      <c r="G335" s="58"/>
      <c r="H335" s="54"/>
      <c r="I335" s="52">
        <v>220</v>
      </c>
      <c r="J335" s="52" t="s">
        <v>29</v>
      </c>
      <c r="K335" s="76" t="s">
        <v>225</v>
      </c>
    </row>
    <row r="336" spans="1:11" s="37" customFormat="1" ht="23.25" x14ac:dyDescent="0.35">
      <c r="A336" s="44"/>
      <c r="B336" s="44"/>
      <c r="C336" s="50"/>
      <c r="D336" s="44"/>
      <c r="E336" s="57"/>
      <c r="F336" s="51"/>
      <c r="G336" s="51"/>
      <c r="H336" s="44"/>
      <c r="I336" s="52">
        <v>30</v>
      </c>
      <c r="J336" s="52" t="s">
        <v>29</v>
      </c>
      <c r="K336" s="44" t="s">
        <v>226</v>
      </c>
    </row>
    <row r="337" spans="1:11" s="37" customFormat="1" ht="23.25" x14ac:dyDescent="0.35">
      <c r="A337" s="54"/>
      <c r="B337" s="54"/>
      <c r="C337" s="56"/>
      <c r="D337" s="54"/>
      <c r="E337" s="57"/>
      <c r="F337" s="57"/>
      <c r="G337" s="58"/>
      <c r="H337" s="54"/>
      <c r="I337" s="44"/>
      <c r="J337" s="52"/>
      <c r="K337" s="60"/>
    </row>
    <row r="338" spans="1:11" s="37" customFormat="1" ht="23.25" x14ac:dyDescent="0.35">
      <c r="A338" s="44" t="s">
        <v>227</v>
      </c>
      <c r="B338" s="44" t="s">
        <v>11</v>
      </c>
      <c r="C338" s="44" t="s">
        <v>219</v>
      </c>
      <c r="D338" s="44" t="s">
        <v>146</v>
      </c>
      <c r="E338" s="51" t="s">
        <v>223</v>
      </c>
      <c r="F338" s="51">
        <v>259.33999999999997</v>
      </c>
      <c r="G338" s="51">
        <v>7.25</v>
      </c>
      <c r="H338" s="44" t="s">
        <v>10</v>
      </c>
      <c r="I338" s="52">
        <v>10</v>
      </c>
      <c r="J338" s="52" t="s">
        <v>24</v>
      </c>
      <c r="K338" s="52"/>
    </row>
    <row r="339" spans="1:11" s="37" customFormat="1" ht="23.25" x14ac:dyDescent="0.35">
      <c r="A339" s="54"/>
      <c r="B339" s="54"/>
      <c r="C339" s="56"/>
      <c r="D339" s="53"/>
      <c r="E339" s="57"/>
      <c r="F339" s="57"/>
      <c r="G339" s="61"/>
      <c r="H339" s="54"/>
      <c r="I339" s="52">
        <v>10</v>
      </c>
      <c r="J339" s="59" t="s">
        <v>128</v>
      </c>
      <c r="K339" s="60"/>
    </row>
    <row r="340" spans="1:11" s="37" customFormat="1" ht="23.25" x14ac:dyDescent="0.35">
      <c r="A340" s="54"/>
      <c r="B340" s="54"/>
      <c r="C340" s="56"/>
      <c r="D340" s="53"/>
      <c r="E340" s="57"/>
      <c r="F340" s="57"/>
      <c r="G340" s="61"/>
      <c r="H340" s="54"/>
      <c r="I340" s="44">
        <v>70</v>
      </c>
      <c r="J340" s="52" t="s">
        <v>25</v>
      </c>
      <c r="K340" s="44"/>
    </row>
    <row r="341" spans="1:11" s="37" customFormat="1" ht="23.25" x14ac:dyDescent="0.35">
      <c r="A341" s="54"/>
      <c r="B341" s="54"/>
      <c r="C341" s="56"/>
      <c r="D341" s="53"/>
      <c r="E341" s="57"/>
      <c r="F341" s="57"/>
      <c r="G341" s="61"/>
      <c r="H341" s="54"/>
      <c r="I341" s="52">
        <v>70</v>
      </c>
      <c r="J341" s="52" t="s">
        <v>30</v>
      </c>
      <c r="K341" s="52" t="s">
        <v>228</v>
      </c>
    </row>
    <row r="342" spans="1:11" s="37" customFormat="1" ht="23.25" x14ac:dyDescent="0.35">
      <c r="A342" s="54"/>
      <c r="B342" s="54"/>
      <c r="C342" s="56"/>
      <c r="D342" s="53"/>
      <c r="E342" s="57"/>
      <c r="F342" s="57"/>
      <c r="G342" s="61"/>
      <c r="H342" s="54"/>
      <c r="I342" s="52">
        <v>35</v>
      </c>
      <c r="J342" s="52" t="s">
        <v>26</v>
      </c>
      <c r="K342" s="60"/>
    </row>
    <row r="343" spans="1:11" s="37" customFormat="1" ht="23.25" x14ac:dyDescent="0.35">
      <c r="A343" s="54"/>
      <c r="B343" s="54"/>
      <c r="C343" s="56"/>
      <c r="D343" s="53"/>
      <c r="E343" s="57"/>
      <c r="F343" s="57"/>
      <c r="G343" s="61"/>
      <c r="H343" s="54"/>
      <c r="I343" s="52">
        <v>10</v>
      </c>
      <c r="J343" s="52" t="s">
        <v>29</v>
      </c>
      <c r="K343" s="60" t="s">
        <v>157</v>
      </c>
    </row>
    <row r="344" spans="1:11" s="37" customFormat="1" ht="23.25" x14ac:dyDescent="0.35">
      <c r="A344" s="54"/>
      <c r="B344" s="54"/>
      <c r="C344" s="56"/>
      <c r="D344" s="5"/>
      <c r="E344" s="57"/>
      <c r="F344" s="57"/>
      <c r="G344" s="61"/>
      <c r="H344" s="54"/>
      <c r="I344" s="44">
        <v>20</v>
      </c>
      <c r="J344" s="52" t="s">
        <v>109</v>
      </c>
      <c r="K344" s="50"/>
    </row>
    <row r="345" spans="1:11" s="37" customFormat="1" ht="23.25" x14ac:dyDescent="0.35">
      <c r="A345" s="54"/>
      <c r="B345" s="54"/>
      <c r="C345" s="56"/>
      <c r="D345" s="53"/>
      <c r="E345" s="57"/>
      <c r="F345" s="57"/>
      <c r="G345" s="61"/>
      <c r="H345" s="54"/>
      <c r="I345" s="52">
        <v>10</v>
      </c>
      <c r="J345" s="64" t="s">
        <v>31</v>
      </c>
      <c r="K345" s="65" t="s">
        <v>65</v>
      </c>
    </row>
    <row r="346" spans="1:11" s="37" customFormat="1" ht="23.25" x14ac:dyDescent="0.35">
      <c r="A346" s="44"/>
      <c r="B346" s="44"/>
      <c r="C346" s="50"/>
      <c r="D346" s="44"/>
      <c r="E346" s="57"/>
      <c r="F346" s="51"/>
      <c r="G346" s="51"/>
      <c r="H346" s="44"/>
      <c r="I346" s="44">
        <v>40</v>
      </c>
      <c r="J346" s="99" t="s">
        <v>28</v>
      </c>
      <c r="K346" s="101" t="s">
        <v>229</v>
      </c>
    </row>
    <row r="347" spans="1:11" s="37" customFormat="1" ht="23.25" x14ac:dyDescent="0.35">
      <c r="A347" s="54"/>
      <c r="B347" s="54"/>
      <c r="C347" s="56"/>
      <c r="D347" s="54"/>
      <c r="E347" s="57"/>
      <c r="F347" s="57"/>
      <c r="G347" s="58"/>
      <c r="H347" s="54"/>
      <c r="I347" s="44"/>
      <c r="J347" s="44"/>
      <c r="K347" s="60"/>
    </row>
    <row r="348" spans="1:11" s="37" customFormat="1" ht="23.25" x14ac:dyDescent="0.35">
      <c r="A348" s="44" t="s">
        <v>227</v>
      </c>
      <c r="B348" s="44" t="s">
        <v>12</v>
      </c>
      <c r="C348" s="50" t="s">
        <v>18</v>
      </c>
      <c r="D348" s="44" t="s">
        <v>119</v>
      </c>
      <c r="E348" s="57" t="s">
        <v>223</v>
      </c>
      <c r="F348" s="51">
        <f>32.38+18.79+31.69+38.1+31.35+38.22</f>
        <v>190.53</v>
      </c>
      <c r="G348" s="51">
        <v>6</v>
      </c>
      <c r="H348" s="44" t="s">
        <v>10</v>
      </c>
      <c r="I348" s="52">
        <v>10</v>
      </c>
      <c r="J348" s="52" t="s">
        <v>24</v>
      </c>
      <c r="K348" s="52"/>
    </row>
    <row r="349" spans="1:11" s="37" customFormat="1" ht="23.25" x14ac:dyDescent="0.35">
      <c r="A349" s="54"/>
      <c r="B349" s="54"/>
      <c r="C349" s="56"/>
      <c r="D349" s="53"/>
      <c r="E349" s="57"/>
      <c r="F349" s="57"/>
      <c r="G349" s="61"/>
      <c r="H349" s="54"/>
      <c r="I349" s="52">
        <v>10</v>
      </c>
      <c r="J349" s="59" t="s">
        <v>128</v>
      </c>
      <c r="K349" s="60"/>
    </row>
    <row r="350" spans="1:11" s="37" customFormat="1" ht="23.25" x14ac:dyDescent="0.35">
      <c r="A350" s="54"/>
      <c r="B350" s="54"/>
      <c r="C350" s="56"/>
      <c r="D350" s="53"/>
      <c r="E350" s="57"/>
      <c r="F350" s="57"/>
      <c r="G350" s="61"/>
      <c r="H350" s="54"/>
      <c r="I350" s="44">
        <v>60</v>
      </c>
      <c r="J350" s="52" t="s">
        <v>25</v>
      </c>
      <c r="K350" s="44"/>
    </row>
    <row r="351" spans="1:11" s="37" customFormat="1" ht="23.25" x14ac:dyDescent="0.35">
      <c r="A351" s="54"/>
      <c r="B351" s="54"/>
      <c r="C351" s="56"/>
      <c r="D351" s="53"/>
      <c r="E351" s="57"/>
      <c r="F351" s="57"/>
      <c r="G351" s="61"/>
      <c r="H351" s="54"/>
      <c r="I351" s="52">
        <v>80</v>
      </c>
      <c r="J351" s="52" t="s">
        <v>30</v>
      </c>
      <c r="K351" s="60" t="s">
        <v>230</v>
      </c>
    </row>
    <row r="352" spans="1:11" s="37" customFormat="1" ht="23.25" x14ac:dyDescent="0.35">
      <c r="A352" s="54"/>
      <c r="B352" s="54"/>
      <c r="C352" s="56"/>
      <c r="D352" s="53"/>
      <c r="E352" s="57"/>
      <c r="F352" s="57"/>
      <c r="G352" s="61"/>
      <c r="H352" s="54"/>
      <c r="I352" s="52">
        <v>20</v>
      </c>
      <c r="J352" s="52" t="s">
        <v>26</v>
      </c>
      <c r="K352" s="60"/>
    </row>
    <row r="353" spans="1:11" s="37" customFormat="1" ht="23.25" x14ac:dyDescent="0.35">
      <c r="A353" s="54"/>
      <c r="B353" s="54"/>
      <c r="C353" s="56"/>
      <c r="D353" s="53"/>
      <c r="E353" s="57"/>
      <c r="F353" s="57"/>
      <c r="G353" s="61"/>
      <c r="H353" s="54"/>
      <c r="I353" s="52">
        <v>10</v>
      </c>
      <c r="J353" s="52" t="s">
        <v>29</v>
      </c>
      <c r="K353" s="60" t="s">
        <v>157</v>
      </c>
    </row>
    <row r="354" spans="1:11" s="37" customFormat="1" ht="23.25" x14ac:dyDescent="0.35">
      <c r="A354" s="54"/>
      <c r="B354" s="54"/>
      <c r="C354" s="56"/>
      <c r="D354" s="5"/>
      <c r="E354" s="57"/>
      <c r="F354" s="57"/>
      <c r="G354" s="61"/>
      <c r="H354" s="54"/>
      <c r="I354" s="44">
        <v>20</v>
      </c>
      <c r="J354" s="52" t="s">
        <v>109</v>
      </c>
      <c r="K354" s="50"/>
    </row>
    <row r="355" spans="1:11" s="37" customFormat="1" ht="23.25" x14ac:dyDescent="0.35">
      <c r="A355" s="54"/>
      <c r="B355" s="54"/>
      <c r="C355" s="56"/>
      <c r="D355" s="53"/>
      <c r="E355" s="57"/>
      <c r="F355" s="57"/>
      <c r="G355" s="61"/>
      <c r="H355" s="54"/>
      <c r="I355" s="52">
        <v>10</v>
      </c>
      <c r="J355" s="64" t="s">
        <v>31</v>
      </c>
      <c r="K355" s="65" t="s">
        <v>65</v>
      </c>
    </row>
    <row r="356" spans="1:11" s="37" customFormat="1" ht="23.25" x14ac:dyDescent="0.35">
      <c r="A356" s="54"/>
      <c r="B356" s="54"/>
      <c r="C356" s="56"/>
      <c r="D356" s="54"/>
      <c r="E356" s="57"/>
      <c r="F356" s="57"/>
      <c r="G356" s="58"/>
      <c r="H356" s="54"/>
      <c r="I356" s="52">
        <v>100</v>
      </c>
      <c r="J356" s="52" t="s">
        <v>29</v>
      </c>
      <c r="K356" s="76" t="s">
        <v>231</v>
      </c>
    </row>
    <row r="357" spans="1:11" s="37" customFormat="1" ht="23.25" x14ac:dyDescent="0.35">
      <c r="A357" s="54"/>
      <c r="B357" s="54"/>
      <c r="C357" s="56"/>
      <c r="D357" s="54"/>
      <c r="E357" s="57"/>
      <c r="F357" s="57"/>
      <c r="G357" s="58"/>
      <c r="H357" s="54"/>
      <c r="I357" s="52"/>
      <c r="J357" s="52"/>
      <c r="K357" s="52"/>
    </row>
    <row r="358" spans="1:11" s="37" customFormat="1" ht="23.25" x14ac:dyDescent="0.35">
      <c r="A358" s="44" t="s">
        <v>232</v>
      </c>
      <c r="B358" s="44" t="s">
        <v>9</v>
      </c>
      <c r="C358" s="50" t="s">
        <v>195</v>
      </c>
      <c r="D358" s="44" t="s">
        <v>147</v>
      </c>
      <c r="E358" s="51" t="s">
        <v>223</v>
      </c>
      <c r="F358" s="51">
        <f>37.83+38.3+32.66+26.61</f>
        <v>135.39999999999998</v>
      </c>
      <c r="G358" s="51">
        <v>4</v>
      </c>
      <c r="H358" s="44" t="s">
        <v>10</v>
      </c>
      <c r="I358" s="52">
        <v>10</v>
      </c>
      <c r="J358" s="52" t="s">
        <v>24</v>
      </c>
      <c r="K358" s="52"/>
    </row>
    <row r="359" spans="1:11" s="37" customFormat="1" ht="23.25" x14ac:dyDescent="0.35">
      <c r="A359" s="54"/>
      <c r="B359" s="54"/>
      <c r="C359" s="56"/>
      <c r="D359" s="53"/>
      <c r="E359" s="53"/>
      <c r="F359" s="57"/>
      <c r="G359" s="61"/>
      <c r="H359" s="54"/>
      <c r="I359" s="52">
        <v>10</v>
      </c>
      <c r="J359" s="59" t="s">
        <v>128</v>
      </c>
      <c r="K359" s="60"/>
    </row>
    <row r="360" spans="1:11" s="37" customFormat="1" ht="23.25" x14ac:dyDescent="0.35">
      <c r="A360" s="54"/>
      <c r="B360" s="54"/>
      <c r="C360" s="56"/>
      <c r="D360" s="53"/>
      <c r="E360" s="53"/>
      <c r="F360" s="57"/>
      <c r="G360" s="61"/>
      <c r="H360" s="54"/>
      <c r="I360" s="44">
        <v>40</v>
      </c>
      <c r="J360" s="52" t="s">
        <v>25</v>
      </c>
      <c r="K360" s="44"/>
    </row>
    <row r="361" spans="1:11" s="37" customFormat="1" ht="23.25" x14ac:dyDescent="0.35">
      <c r="A361" s="54"/>
      <c r="B361" s="54"/>
      <c r="C361" s="56"/>
      <c r="D361" s="53"/>
      <c r="E361" s="53"/>
      <c r="F361" s="57"/>
      <c r="G361" s="61"/>
      <c r="H361" s="54"/>
      <c r="I361" s="52">
        <v>40</v>
      </c>
      <c r="J361" s="52" t="s">
        <v>30</v>
      </c>
      <c r="K361" s="60"/>
    </row>
    <row r="362" spans="1:11" s="37" customFormat="1" ht="23.25" x14ac:dyDescent="0.35">
      <c r="A362" s="54"/>
      <c r="B362" s="54"/>
      <c r="C362" s="56"/>
      <c r="D362" s="53"/>
      <c r="E362" s="53"/>
      <c r="F362" s="57"/>
      <c r="G362" s="61"/>
      <c r="H362" s="54"/>
      <c r="I362" s="52">
        <v>20</v>
      </c>
      <c r="J362" s="52" t="s">
        <v>26</v>
      </c>
      <c r="K362" s="60"/>
    </row>
    <row r="363" spans="1:11" s="37" customFormat="1" ht="23.25" x14ac:dyDescent="0.35">
      <c r="A363" s="54"/>
      <c r="B363" s="54"/>
      <c r="C363" s="56"/>
      <c r="D363" s="53"/>
      <c r="E363" s="53"/>
      <c r="F363" s="57"/>
      <c r="G363" s="61"/>
      <c r="H363" s="54"/>
      <c r="I363" s="52">
        <v>10</v>
      </c>
      <c r="J363" s="52" t="s">
        <v>29</v>
      </c>
      <c r="K363" s="60" t="s">
        <v>234</v>
      </c>
    </row>
    <row r="364" spans="1:11" s="37" customFormat="1" ht="23.25" x14ac:dyDescent="0.35">
      <c r="A364" s="54"/>
      <c r="B364" s="54"/>
      <c r="C364" s="56"/>
      <c r="D364" s="5"/>
      <c r="E364" s="5"/>
      <c r="F364" s="57"/>
      <c r="G364" s="61"/>
      <c r="H364" s="54"/>
      <c r="I364" s="44">
        <v>20</v>
      </c>
      <c r="J364" s="52" t="s">
        <v>109</v>
      </c>
      <c r="K364" s="50"/>
    </row>
    <row r="365" spans="1:11" s="37" customFormat="1" ht="26.25" x14ac:dyDescent="0.4">
      <c r="A365" s="54"/>
      <c r="B365" s="54"/>
      <c r="C365" s="56"/>
      <c r="D365" s="54"/>
      <c r="E365" s="54"/>
      <c r="F365" s="57"/>
      <c r="G365" s="58"/>
      <c r="H365" s="54"/>
      <c r="I365" s="52">
        <v>210</v>
      </c>
      <c r="J365" s="52" t="s">
        <v>29</v>
      </c>
      <c r="K365" s="100" t="s">
        <v>233</v>
      </c>
    </row>
    <row r="366" spans="1:11" s="37" customFormat="1" ht="23.25" x14ac:dyDescent="0.35">
      <c r="A366" s="54"/>
      <c r="B366" s="54"/>
      <c r="C366" s="56"/>
      <c r="D366" s="54"/>
      <c r="E366" s="57"/>
      <c r="F366" s="57"/>
      <c r="G366" s="58"/>
      <c r="H366" s="54"/>
      <c r="I366" s="44"/>
      <c r="J366" s="52"/>
      <c r="K366" s="60"/>
    </row>
    <row r="367" spans="1:11" s="37" customFormat="1" ht="23.25" x14ac:dyDescent="0.35">
      <c r="A367" s="44" t="s">
        <v>232</v>
      </c>
      <c r="B367" s="44" t="s">
        <v>11</v>
      </c>
      <c r="C367" s="50" t="s">
        <v>18</v>
      </c>
      <c r="D367" s="44" t="s">
        <v>146</v>
      </c>
      <c r="E367" s="51" t="s">
        <v>223</v>
      </c>
      <c r="F367" s="51">
        <v>186.14</v>
      </c>
      <c r="G367" s="51">
        <v>6</v>
      </c>
      <c r="H367" s="44" t="s">
        <v>10</v>
      </c>
      <c r="I367" s="52">
        <v>10</v>
      </c>
      <c r="J367" s="52" t="s">
        <v>24</v>
      </c>
      <c r="K367" s="52"/>
    </row>
    <row r="368" spans="1:11" s="37" customFormat="1" ht="23.25" x14ac:dyDescent="0.35">
      <c r="A368" s="54"/>
      <c r="B368" s="54"/>
      <c r="C368" s="56"/>
      <c r="D368" s="53"/>
      <c r="E368" s="53"/>
      <c r="F368" s="57"/>
      <c r="G368" s="61"/>
      <c r="H368" s="54"/>
      <c r="I368" s="52">
        <v>10</v>
      </c>
      <c r="J368" s="59" t="s">
        <v>128</v>
      </c>
      <c r="K368" s="60"/>
    </row>
    <row r="369" spans="1:11" s="37" customFormat="1" ht="23.25" x14ac:dyDescent="0.35">
      <c r="A369" s="54"/>
      <c r="B369" s="54"/>
      <c r="C369" s="56"/>
      <c r="D369" s="53"/>
      <c r="E369" s="53"/>
      <c r="F369" s="57"/>
      <c r="G369" s="61"/>
      <c r="H369" s="54"/>
      <c r="I369" s="44">
        <v>60</v>
      </c>
      <c r="J369" s="52" t="s">
        <v>25</v>
      </c>
      <c r="K369" s="44"/>
    </row>
    <row r="370" spans="1:11" s="37" customFormat="1" ht="23.25" x14ac:dyDescent="0.35">
      <c r="A370" s="54"/>
      <c r="B370" s="54"/>
      <c r="C370" s="56"/>
      <c r="D370" s="53"/>
      <c r="E370" s="53"/>
      <c r="F370" s="57"/>
      <c r="G370" s="61"/>
      <c r="H370" s="54"/>
      <c r="I370" s="52">
        <v>40</v>
      </c>
      <c r="J370" s="52" t="s">
        <v>30</v>
      </c>
      <c r="K370" s="60"/>
    </row>
    <row r="371" spans="1:11" s="37" customFormat="1" ht="23.25" x14ac:dyDescent="0.35">
      <c r="A371" s="54"/>
      <c r="B371" s="54"/>
      <c r="C371" s="56"/>
      <c r="D371" s="53"/>
      <c r="E371" s="53"/>
      <c r="F371" s="57"/>
      <c r="G371" s="61"/>
      <c r="H371" s="54"/>
      <c r="I371" s="52">
        <v>30</v>
      </c>
      <c r="J371" s="52" t="s">
        <v>26</v>
      </c>
      <c r="K371" s="60"/>
    </row>
    <row r="372" spans="1:11" s="37" customFormat="1" ht="23.25" x14ac:dyDescent="0.35">
      <c r="A372" s="54"/>
      <c r="B372" s="54"/>
      <c r="C372" s="56"/>
      <c r="D372" s="53"/>
      <c r="E372" s="53"/>
      <c r="F372" s="57"/>
      <c r="G372" s="61"/>
      <c r="H372" s="54"/>
      <c r="I372" s="52">
        <v>10</v>
      </c>
      <c r="J372" s="52" t="s">
        <v>29</v>
      </c>
      <c r="K372" s="60" t="s">
        <v>234</v>
      </c>
    </row>
    <row r="373" spans="1:11" s="37" customFormat="1" ht="23.25" x14ac:dyDescent="0.35">
      <c r="A373" s="54"/>
      <c r="B373" s="54"/>
      <c r="C373" s="56"/>
      <c r="D373" s="5"/>
      <c r="E373" s="5"/>
      <c r="F373" s="57"/>
      <c r="G373" s="61"/>
      <c r="H373" s="54"/>
      <c r="I373" s="44">
        <v>20</v>
      </c>
      <c r="J373" s="52" t="s">
        <v>109</v>
      </c>
      <c r="K373" s="50"/>
    </row>
    <row r="374" spans="1:11" s="37" customFormat="1" ht="26.25" x14ac:dyDescent="0.4">
      <c r="A374" s="54"/>
      <c r="B374" s="54"/>
      <c r="C374" s="56"/>
      <c r="D374" s="54"/>
      <c r="E374" s="54"/>
      <c r="F374" s="57"/>
      <c r="G374" s="58"/>
      <c r="H374" s="54"/>
      <c r="I374" s="52">
        <v>60</v>
      </c>
      <c r="J374" s="52" t="s">
        <v>29</v>
      </c>
      <c r="K374" s="100" t="s">
        <v>233</v>
      </c>
    </row>
    <row r="375" spans="1:11" s="37" customFormat="1" ht="26.25" x14ac:dyDescent="0.35">
      <c r="A375" s="54"/>
      <c r="B375" s="54"/>
      <c r="C375" s="56"/>
      <c r="D375" s="54"/>
      <c r="E375" s="57"/>
      <c r="F375" s="57"/>
      <c r="G375" s="58"/>
      <c r="H375" s="54"/>
      <c r="I375" s="52">
        <v>50</v>
      </c>
      <c r="J375" s="52" t="s">
        <v>27</v>
      </c>
      <c r="K375" s="103" t="s">
        <v>235</v>
      </c>
    </row>
    <row r="376" spans="1:11" s="37" customFormat="1" ht="23.25" x14ac:dyDescent="0.35">
      <c r="A376" s="54"/>
      <c r="B376" s="54"/>
      <c r="C376" s="56"/>
      <c r="D376" s="54"/>
      <c r="E376" s="57"/>
      <c r="F376" s="57"/>
      <c r="G376" s="58"/>
      <c r="H376" s="54"/>
      <c r="I376" s="52">
        <v>30</v>
      </c>
      <c r="J376" s="52" t="s">
        <v>27</v>
      </c>
      <c r="K376" s="52" t="s">
        <v>115</v>
      </c>
    </row>
    <row r="377" spans="1:11" s="37" customFormat="1" ht="23.25" x14ac:dyDescent="0.35">
      <c r="A377" s="44"/>
      <c r="B377" s="44"/>
      <c r="C377" s="50"/>
      <c r="D377" s="44"/>
      <c r="E377" s="57"/>
      <c r="F377" s="51"/>
      <c r="G377" s="51"/>
      <c r="H377" s="44"/>
      <c r="I377" s="52"/>
      <c r="J377" s="59"/>
      <c r="K377" s="52"/>
    </row>
    <row r="378" spans="1:11" s="37" customFormat="1" ht="23.25" x14ac:dyDescent="0.35">
      <c r="A378" s="44" t="s">
        <v>232</v>
      </c>
      <c r="B378" s="44" t="s">
        <v>12</v>
      </c>
      <c r="C378" s="45" t="s">
        <v>168</v>
      </c>
      <c r="D378" s="44" t="s">
        <v>119</v>
      </c>
      <c r="E378" s="51" t="s">
        <v>223</v>
      </c>
      <c r="F378" s="51">
        <f>31.37+31.68+31.51+31.61+31.58+27.03+26.4-7.91</f>
        <v>203.27</v>
      </c>
      <c r="G378" s="51">
        <v>7</v>
      </c>
      <c r="H378" s="44" t="s">
        <v>10</v>
      </c>
      <c r="I378" s="52">
        <v>10</v>
      </c>
      <c r="J378" s="52" t="s">
        <v>24</v>
      </c>
      <c r="K378" s="52"/>
    </row>
    <row r="379" spans="1:11" s="37" customFormat="1" ht="23.25" x14ac:dyDescent="0.35">
      <c r="A379" s="54"/>
      <c r="B379" s="54"/>
      <c r="C379" s="56"/>
      <c r="D379" s="53"/>
      <c r="E379" s="53"/>
      <c r="F379" s="57" t="s">
        <v>236</v>
      </c>
      <c r="G379" s="61"/>
      <c r="H379" s="54"/>
      <c r="I379" s="52">
        <v>10</v>
      </c>
      <c r="J379" s="59" t="s">
        <v>128</v>
      </c>
      <c r="K379" s="60"/>
    </row>
    <row r="380" spans="1:11" s="37" customFormat="1" ht="23.25" x14ac:dyDescent="0.35">
      <c r="A380" s="54"/>
      <c r="B380" s="54"/>
      <c r="C380" s="56"/>
      <c r="D380" s="53"/>
      <c r="E380" s="53"/>
      <c r="F380" s="57"/>
      <c r="G380" s="61"/>
      <c r="H380" s="54"/>
      <c r="I380" s="44">
        <v>70</v>
      </c>
      <c r="J380" s="52" t="s">
        <v>25</v>
      </c>
      <c r="K380" s="44"/>
    </row>
    <row r="381" spans="1:11" s="37" customFormat="1" ht="23.25" x14ac:dyDescent="0.35">
      <c r="A381" s="54"/>
      <c r="B381" s="54"/>
      <c r="C381" s="56"/>
      <c r="D381" s="53"/>
      <c r="E381" s="53"/>
      <c r="F381" s="57"/>
      <c r="G381" s="61"/>
      <c r="H381" s="54"/>
      <c r="I381" s="52">
        <v>60</v>
      </c>
      <c r="J381" s="52" t="s">
        <v>30</v>
      </c>
      <c r="K381" s="60"/>
    </row>
    <row r="382" spans="1:11" s="37" customFormat="1" ht="23.25" x14ac:dyDescent="0.35">
      <c r="A382" s="54"/>
      <c r="B382" s="54"/>
      <c r="C382" s="56"/>
      <c r="D382" s="53"/>
      <c r="E382" s="53"/>
      <c r="F382" s="57"/>
      <c r="G382" s="61"/>
      <c r="H382" s="54"/>
      <c r="I382" s="52">
        <v>30</v>
      </c>
      <c r="J382" s="52" t="s">
        <v>26</v>
      </c>
      <c r="K382" s="60"/>
    </row>
    <row r="383" spans="1:11" s="37" customFormat="1" ht="23.25" x14ac:dyDescent="0.35">
      <c r="A383" s="54"/>
      <c r="B383" s="54"/>
      <c r="C383" s="56"/>
      <c r="D383" s="53"/>
      <c r="E383" s="53"/>
      <c r="F383" s="57"/>
      <c r="G383" s="61"/>
      <c r="H383" s="54"/>
      <c r="I383" s="52">
        <v>10</v>
      </c>
      <c r="J383" s="52" t="s">
        <v>29</v>
      </c>
      <c r="K383" s="60" t="s">
        <v>234</v>
      </c>
    </row>
    <row r="384" spans="1:11" s="37" customFormat="1" ht="23.25" x14ac:dyDescent="0.35">
      <c r="A384" s="54"/>
      <c r="B384" s="54"/>
      <c r="C384" s="56"/>
      <c r="D384" s="5"/>
      <c r="E384" s="5"/>
      <c r="F384" s="57"/>
      <c r="G384" s="61"/>
      <c r="H384" s="54"/>
      <c r="I384" s="44">
        <v>20</v>
      </c>
      <c r="J384" s="52" t="s">
        <v>109</v>
      </c>
      <c r="K384" s="50"/>
    </row>
    <row r="385" spans="1:12" s="37" customFormat="1" ht="23.25" x14ac:dyDescent="0.35">
      <c r="A385" s="54"/>
      <c r="B385" s="54"/>
      <c r="C385" s="56"/>
      <c r="D385" s="54"/>
      <c r="E385" s="57"/>
      <c r="F385" s="57"/>
      <c r="G385" s="58"/>
      <c r="H385" s="54"/>
      <c r="I385" s="52">
        <v>50</v>
      </c>
      <c r="J385" s="52" t="s">
        <v>27</v>
      </c>
      <c r="K385" s="52" t="s">
        <v>115</v>
      </c>
    </row>
    <row r="386" spans="1:12" s="37" customFormat="1" ht="23.25" x14ac:dyDescent="0.35">
      <c r="A386" s="54"/>
      <c r="B386" s="54"/>
      <c r="C386" s="56"/>
      <c r="D386" s="54"/>
      <c r="E386" s="57"/>
      <c r="F386" s="57"/>
      <c r="G386" s="58"/>
      <c r="H386" s="54"/>
      <c r="I386" s="52">
        <v>10</v>
      </c>
      <c r="J386" s="64" t="s">
        <v>31</v>
      </c>
      <c r="K386" s="65" t="s">
        <v>65</v>
      </c>
    </row>
    <row r="387" spans="1:12" s="37" customFormat="1" ht="23.25" x14ac:dyDescent="0.35">
      <c r="A387" s="54"/>
      <c r="B387" s="54"/>
      <c r="C387" s="56"/>
      <c r="D387" s="54"/>
      <c r="E387" s="57"/>
      <c r="F387" s="57"/>
      <c r="G387" s="58"/>
      <c r="H387" s="54"/>
      <c r="I387" s="52"/>
      <c r="J387" s="52"/>
      <c r="K387" s="76"/>
    </row>
    <row r="388" spans="1:12" s="37" customFormat="1" ht="23.25" x14ac:dyDescent="0.35">
      <c r="A388" s="44" t="s">
        <v>237</v>
      </c>
      <c r="B388" s="44" t="s">
        <v>9</v>
      </c>
      <c r="C388" s="50" t="s">
        <v>195</v>
      </c>
      <c r="D388" s="44" t="s">
        <v>147</v>
      </c>
      <c r="E388" s="51" t="s">
        <v>223</v>
      </c>
      <c r="F388" s="51">
        <v>158.37</v>
      </c>
      <c r="G388" s="51">
        <v>5</v>
      </c>
      <c r="H388" s="44" t="s">
        <v>10</v>
      </c>
      <c r="I388" s="52">
        <v>10</v>
      </c>
      <c r="J388" s="52" t="s">
        <v>24</v>
      </c>
      <c r="K388" s="52"/>
    </row>
    <row r="389" spans="1:12" s="37" customFormat="1" ht="23.25" x14ac:dyDescent="0.35">
      <c r="A389" s="54"/>
      <c r="B389" s="54"/>
      <c r="C389" s="56"/>
      <c r="D389" s="53"/>
      <c r="E389" s="53"/>
      <c r="F389" s="57"/>
      <c r="G389" s="61"/>
      <c r="H389" s="54"/>
      <c r="I389" s="52">
        <v>10</v>
      </c>
      <c r="J389" s="59" t="s">
        <v>128</v>
      </c>
      <c r="K389" s="60"/>
    </row>
    <row r="390" spans="1:12" s="37" customFormat="1" ht="23.25" x14ac:dyDescent="0.35">
      <c r="A390" s="54"/>
      <c r="B390" s="54"/>
      <c r="C390" s="56"/>
      <c r="D390" s="53"/>
      <c r="E390" s="53"/>
      <c r="F390" s="57"/>
      <c r="G390" s="61"/>
      <c r="H390" s="54"/>
      <c r="I390" s="44">
        <v>50</v>
      </c>
      <c r="J390" s="52" t="s">
        <v>25</v>
      </c>
      <c r="K390" s="44"/>
      <c r="L390" s="76"/>
    </row>
    <row r="391" spans="1:12" s="37" customFormat="1" ht="23.25" x14ac:dyDescent="0.35">
      <c r="A391" s="54"/>
      <c r="B391" s="54"/>
      <c r="C391" s="56"/>
      <c r="D391" s="53"/>
      <c r="E391" s="53"/>
      <c r="F391" s="57"/>
      <c r="G391" s="61"/>
      <c r="H391" s="54"/>
      <c r="I391" s="52">
        <v>50</v>
      </c>
      <c r="J391" s="52" t="s">
        <v>30</v>
      </c>
      <c r="K391" s="60"/>
    </row>
    <row r="392" spans="1:12" s="37" customFormat="1" ht="23.25" x14ac:dyDescent="0.35">
      <c r="A392" s="54"/>
      <c r="B392" s="54"/>
      <c r="C392" s="56"/>
      <c r="D392" s="53"/>
      <c r="E392" s="53"/>
      <c r="F392" s="57"/>
      <c r="G392" s="61"/>
      <c r="H392" s="54"/>
      <c r="I392" s="52">
        <v>40</v>
      </c>
      <c r="J392" s="52" t="s">
        <v>26</v>
      </c>
      <c r="K392" s="60"/>
    </row>
    <row r="393" spans="1:12" s="37" customFormat="1" ht="23.25" x14ac:dyDescent="0.35">
      <c r="A393" s="54"/>
      <c r="B393" s="54"/>
      <c r="C393" s="56"/>
      <c r="D393" s="53"/>
      <c r="E393" s="53"/>
      <c r="F393" s="57"/>
      <c r="G393" s="61"/>
      <c r="H393" s="54"/>
      <c r="I393" s="52">
        <v>10</v>
      </c>
      <c r="J393" s="52" t="s">
        <v>29</v>
      </c>
      <c r="K393" s="60" t="s">
        <v>234</v>
      </c>
    </row>
    <row r="394" spans="1:12" s="37" customFormat="1" ht="23.25" x14ac:dyDescent="0.35">
      <c r="A394" s="54"/>
      <c r="B394" s="54"/>
      <c r="C394" s="56"/>
      <c r="D394" s="5"/>
      <c r="E394" s="5"/>
      <c r="F394" s="57"/>
      <c r="G394" s="61"/>
      <c r="H394" s="54"/>
      <c r="I394" s="44">
        <v>20</v>
      </c>
      <c r="J394" s="52" t="s">
        <v>109</v>
      </c>
      <c r="K394" s="50"/>
    </row>
    <row r="395" spans="1:12" s="37" customFormat="1" ht="23.25" x14ac:dyDescent="0.35">
      <c r="C395" s="41"/>
      <c r="E395" s="57"/>
      <c r="F395" s="42"/>
      <c r="G395" s="80"/>
      <c r="I395" s="76">
        <v>20</v>
      </c>
      <c r="J395" s="44" t="s">
        <v>220</v>
      </c>
      <c r="K395" s="76" t="s">
        <v>238</v>
      </c>
    </row>
    <row r="396" spans="1:12" s="37" customFormat="1" ht="23.25" x14ac:dyDescent="0.35">
      <c r="C396" s="41"/>
      <c r="E396" s="57"/>
      <c r="F396" s="42"/>
      <c r="G396" s="80"/>
      <c r="I396" s="76">
        <v>40</v>
      </c>
      <c r="J396" s="52" t="s">
        <v>29</v>
      </c>
      <c r="K396" s="76" t="s">
        <v>240</v>
      </c>
    </row>
    <row r="397" spans="1:12" s="37" customFormat="1" ht="23.25" x14ac:dyDescent="0.35">
      <c r="A397" s="76"/>
      <c r="B397" s="76"/>
      <c r="C397" s="77"/>
      <c r="D397" s="76"/>
      <c r="E397" s="57"/>
      <c r="F397" s="78"/>
      <c r="G397" s="78"/>
      <c r="H397" s="76"/>
      <c r="I397" s="52">
        <v>10</v>
      </c>
      <c r="J397" s="64" t="s">
        <v>31</v>
      </c>
      <c r="K397" s="65" t="s">
        <v>65</v>
      </c>
    </row>
    <row r="398" spans="1:12" s="37" customFormat="1" ht="23.25" x14ac:dyDescent="0.35">
      <c r="C398" s="41"/>
      <c r="E398" s="57"/>
      <c r="F398" s="42"/>
      <c r="G398" s="80"/>
      <c r="I398" s="52">
        <v>60</v>
      </c>
      <c r="J398" s="52" t="s">
        <v>27</v>
      </c>
      <c r="K398" s="52" t="s">
        <v>115</v>
      </c>
      <c r="L398" s="37" t="s">
        <v>239</v>
      </c>
    </row>
    <row r="399" spans="1:12" s="37" customFormat="1" ht="23.25" x14ac:dyDescent="0.35">
      <c r="C399" s="41"/>
      <c r="E399" s="57"/>
      <c r="F399" s="42"/>
      <c r="G399" s="80"/>
      <c r="I399" s="76"/>
      <c r="J399" s="76"/>
      <c r="K399" s="79"/>
    </row>
    <row r="400" spans="1:12" s="37" customFormat="1" ht="23.25" x14ac:dyDescent="0.35">
      <c r="A400" s="44" t="s">
        <v>237</v>
      </c>
      <c r="B400" s="44" t="s">
        <v>11</v>
      </c>
      <c r="C400" s="50" t="s">
        <v>18</v>
      </c>
      <c r="D400" s="44" t="s">
        <v>146</v>
      </c>
      <c r="E400" s="51" t="s">
        <v>223</v>
      </c>
      <c r="F400" s="51">
        <v>201.69</v>
      </c>
      <c r="G400" s="51">
        <v>7</v>
      </c>
      <c r="H400" s="44" t="s">
        <v>10</v>
      </c>
      <c r="I400" s="52">
        <v>10</v>
      </c>
      <c r="J400" s="52" t="s">
        <v>24</v>
      </c>
      <c r="K400" s="52"/>
    </row>
    <row r="401" spans="1:11" s="37" customFormat="1" ht="23.25" x14ac:dyDescent="0.35">
      <c r="A401" s="54"/>
      <c r="B401" s="54"/>
      <c r="C401" s="56"/>
      <c r="D401" s="53"/>
      <c r="E401" s="53"/>
      <c r="F401" s="57"/>
      <c r="G401" s="61"/>
      <c r="H401" s="54"/>
      <c r="I401" s="52">
        <v>10</v>
      </c>
      <c r="J401" s="59" t="s">
        <v>128</v>
      </c>
      <c r="K401" s="60"/>
    </row>
    <row r="402" spans="1:11" s="37" customFormat="1" ht="23.25" x14ac:dyDescent="0.35">
      <c r="A402" s="54"/>
      <c r="B402" s="54"/>
      <c r="C402" s="56"/>
      <c r="D402" s="53"/>
      <c r="E402" s="53"/>
      <c r="F402" s="57"/>
      <c r="G402" s="61"/>
      <c r="H402" s="54"/>
      <c r="I402" s="44">
        <v>70</v>
      </c>
      <c r="J402" s="52" t="s">
        <v>25</v>
      </c>
      <c r="K402" s="44"/>
    </row>
    <row r="403" spans="1:11" s="37" customFormat="1" ht="23.25" x14ac:dyDescent="0.35">
      <c r="A403" s="54"/>
      <c r="B403" s="54"/>
      <c r="C403" s="56"/>
      <c r="D403" s="53"/>
      <c r="E403" s="53"/>
      <c r="F403" s="57"/>
      <c r="G403" s="61"/>
      <c r="H403" s="54"/>
      <c r="I403" s="52">
        <v>50</v>
      </c>
      <c r="J403" s="52" t="s">
        <v>30</v>
      </c>
      <c r="K403" s="60"/>
    </row>
    <row r="404" spans="1:11" s="37" customFormat="1" ht="23.25" x14ac:dyDescent="0.35">
      <c r="A404" s="54"/>
      <c r="B404" s="54"/>
      <c r="C404" s="56"/>
      <c r="D404" s="53"/>
      <c r="E404" s="53"/>
      <c r="F404" s="57"/>
      <c r="G404" s="61"/>
      <c r="H404" s="54"/>
      <c r="I404" s="52">
        <v>30</v>
      </c>
      <c r="J404" s="52" t="s">
        <v>26</v>
      </c>
      <c r="K404" s="60"/>
    </row>
    <row r="405" spans="1:11" s="37" customFormat="1" ht="23.25" x14ac:dyDescent="0.35">
      <c r="A405" s="54"/>
      <c r="B405" s="54"/>
      <c r="C405" s="56"/>
      <c r="D405" s="53"/>
      <c r="E405" s="53"/>
      <c r="F405" s="57"/>
      <c r="G405" s="61"/>
      <c r="H405" s="54"/>
      <c r="I405" s="52">
        <v>10</v>
      </c>
      <c r="J405" s="52" t="s">
        <v>29</v>
      </c>
      <c r="K405" s="60" t="s">
        <v>234</v>
      </c>
    </row>
    <row r="406" spans="1:11" s="37" customFormat="1" ht="23.25" x14ac:dyDescent="0.35">
      <c r="A406" s="54"/>
      <c r="B406" s="54"/>
      <c r="C406" s="56"/>
      <c r="D406" s="5"/>
      <c r="E406" s="5"/>
      <c r="F406" s="57"/>
      <c r="G406" s="61"/>
      <c r="H406" s="54"/>
      <c r="I406" s="44">
        <v>20</v>
      </c>
      <c r="J406" s="52" t="s">
        <v>109</v>
      </c>
      <c r="K406" s="50"/>
    </row>
    <row r="407" spans="1:11" s="37" customFormat="1" ht="23.25" x14ac:dyDescent="0.35">
      <c r="A407" s="76"/>
      <c r="B407" s="76"/>
      <c r="C407" s="77"/>
      <c r="D407" s="76"/>
      <c r="E407" s="57"/>
      <c r="F407" s="78"/>
      <c r="G407" s="78"/>
      <c r="H407" s="76"/>
      <c r="I407" s="52">
        <v>80</v>
      </c>
      <c r="J407" s="52" t="s">
        <v>27</v>
      </c>
      <c r="K407" s="52" t="s">
        <v>115</v>
      </c>
    </row>
    <row r="408" spans="1:11" s="37" customFormat="1" ht="23.25" x14ac:dyDescent="0.35">
      <c r="C408" s="41"/>
      <c r="E408" s="57"/>
      <c r="F408" s="42"/>
      <c r="G408" s="80"/>
      <c r="I408" s="52">
        <v>10</v>
      </c>
      <c r="J408" s="64" t="s">
        <v>31</v>
      </c>
      <c r="K408" s="65" t="s">
        <v>65</v>
      </c>
    </row>
    <row r="409" spans="1:11" s="37" customFormat="1" ht="23.25" x14ac:dyDescent="0.35">
      <c r="C409" s="41"/>
      <c r="E409" s="57"/>
      <c r="F409" s="42"/>
      <c r="G409" s="80"/>
      <c r="I409" s="76"/>
      <c r="J409" s="79"/>
      <c r="K409" s="76"/>
    </row>
    <row r="410" spans="1:11" s="37" customFormat="1" ht="23.25" x14ac:dyDescent="0.35">
      <c r="A410" s="44" t="s">
        <v>237</v>
      </c>
      <c r="B410" s="44" t="s">
        <v>12</v>
      </c>
      <c r="C410" s="45" t="s">
        <v>168</v>
      </c>
      <c r="D410" s="44" t="s">
        <v>119</v>
      </c>
      <c r="E410" s="51" t="s">
        <v>223</v>
      </c>
      <c r="F410" s="51">
        <v>219.2</v>
      </c>
      <c r="G410" s="51">
        <v>6</v>
      </c>
      <c r="H410" s="44" t="s">
        <v>10</v>
      </c>
      <c r="I410" s="52">
        <v>10</v>
      </c>
      <c r="J410" s="52" t="s">
        <v>24</v>
      </c>
      <c r="K410" s="52"/>
    </row>
    <row r="411" spans="1:11" s="37" customFormat="1" ht="23.25" x14ac:dyDescent="0.35">
      <c r="A411" s="54"/>
      <c r="B411" s="54"/>
      <c r="C411" s="56"/>
      <c r="D411" s="53"/>
      <c r="E411" s="53"/>
      <c r="F411" s="57" t="s">
        <v>236</v>
      </c>
      <c r="G411" s="61"/>
      <c r="H411" s="54"/>
      <c r="I411" s="52">
        <v>10</v>
      </c>
      <c r="J411" s="59" t="s">
        <v>128</v>
      </c>
      <c r="K411" s="60"/>
    </row>
    <row r="412" spans="1:11" s="37" customFormat="1" ht="23.25" x14ac:dyDescent="0.35">
      <c r="A412" s="54"/>
      <c r="B412" s="54"/>
      <c r="C412" s="56"/>
      <c r="D412" s="53"/>
      <c r="E412" s="53"/>
      <c r="F412" s="57"/>
      <c r="G412" s="61"/>
      <c r="H412" s="54"/>
      <c r="I412" s="44">
        <v>60</v>
      </c>
      <c r="J412" s="52" t="s">
        <v>25</v>
      </c>
      <c r="K412" s="44"/>
    </row>
    <row r="413" spans="1:11" s="37" customFormat="1" ht="23.25" x14ac:dyDescent="0.35">
      <c r="A413" s="54"/>
      <c r="B413" s="54"/>
      <c r="C413" s="56"/>
      <c r="D413" s="53"/>
      <c r="E413" s="53"/>
      <c r="F413" s="57"/>
      <c r="G413" s="61"/>
      <c r="H413" s="54"/>
      <c r="I413" s="52">
        <v>40</v>
      </c>
      <c r="J413" s="52" t="s">
        <v>30</v>
      </c>
      <c r="K413" s="60"/>
    </row>
    <row r="414" spans="1:11" s="37" customFormat="1" ht="23.25" x14ac:dyDescent="0.35">
      <c r="A414" s="54"/>
      <c r="B414" s="54"/>
      <c r="C414" s="56"/>
      <c r="D414" s="53"/>
      <c r="E414" s="53"/>
      <c r="F414" s="57"/>
      <c r="G414" s="61"/>
      <c r="H414" s="54"/>
      <c r="I414" s="52">
        <v>30</v>
      </c>
      <c r="J414" s="52" t="s">
        <v>26</v>
      </c>
      <c r="K414" s="60"/>
    </row>
    <row r="415" spans="1:11" s="37" customFormat="1" ht="23.25" x14ac:dyDescent="0.35">
      <c r="A415" s="54"/>
      <c r="B415" s="54"/>
      <c r="C415" s="56"/>
      <c r="D415" s="53"/>
      <c r="E415" s="53"/>
      <c r="F415" s="57"/>
      <c r="G415" s="61"/>
      <c r="H415" s="54"/>
      <c r="I415" s="52">
        <v>10</v>
      </c>
      <c r="J415" s="52" t="s">
        <v>29</v>
      </c>
      <c r="K415" s="60" t="s">
        <v>234</v>
      </c>
    </row>
    <row r="416" spans="1:11" s="37" customFormat="1" ht="23.25" x14ac:dyDescent="0.35">
      <c r="A416" s="54"/>
      <c r="B416" s="54"/>
      <c r="C416" s="56"/>
      <c r="D416" s="5"/>
      <c r="E416" s="5"/>
      <c r="F416" s="57"/>
      <c r="G416" s="61"/>
      <c r="H416" s="54"/>
      <c r="I416" s="44">
        <v>20</v>
      </c>
      <c r="J416" s="52" t="s">
        <v>109</v>
      </c>
      <c r="K416" s="50"/>
    </row>
    <row r="417" spans="1:11" s="37" customFormat="1" ht="23.25" x14ac:dyDescent="0.35">
      <c r="A417" s="54"/>
      <c r="B417" s="54"/>
      <c r="C417" s="56"/>
      <c r="D417" s="54"/>
      <c r="E417" s="57"/>
      <c r="F417" s="57"/>
      <c r="G417" s="58"/>
      <c r="H417" s="54"/>
      <c r="I417" s="52">
        <v>20</v>
      </c>
      <c r="J417" s="52" t="s">
        <v>27</v>
      </c>
      <c r="K417" s="52" t="s">
        <v>115</v>
      </c>
    </row>
    <row r="418" spans="1:11" s="37" customFormat="1" ht="23.25" x14ac:dyDescent="0.35">
      <c r="A418" s="54"/>
      <c r="B418" s="54"/>
      <c r="C418" s="56"/>
      <c r="D418" s="54"/>
      <c r="E418" s="57"/>
      <c r="F418" s="57"/>
      <c r="G418" s="58"/>
      <c r="H418" s="54"/>
      <c r="I418" s="52">
        <v>10</v>
      </c>
      <c r="J418" s="64" t="s">
        <v>31</v>
      </c>
      <c r="K418" s="65" t="s">
        <v>65</v>
      </c>
    </row>
    <row r="419" spans="1:11" s="37" customFormat="1" ht="26.25" x14ac:dyDescent="0.35">
      <c r="C419" s="41"/>
      <c r="E419" s="57"/>
      <c r="F419" s="42"/>
      <c r="G419" s="80"/>
      <c r="I419" s="52">
        <v>40</v>
      </c>
      <c r="J419" s="52" t="s">
        <v>27</v>
      </c>
      <c r="K419" s="103" t="s">
        <v>235</v>
      </c>
    </row>
    <row r="420" spans="1:11" s="37" customFormat="1" ht="23.25" x14ac:dyDescent="0.35">
      <c r="C420" s="41"/>
      <c r="E420" s="57"/>
      <c r="F420" s="42"/>
      <c r="G420" s="80"/>
      <c r="I420" s="52">
        <v>50</v>
      </c>
      <c r="J420" s="52" t="s">
        <v>29</v>
      </c>
      <c r="K420" s="76" t="s">
        <v>241</v>
      </c>
    </row>
    <row r="421" spans="1:11" s="37" customFormat="1" ht="23.25" x14ac:dyDescent="0.35">
      <c r="C421" s="41"/>
      <c r="E421" s="57"/>
      <c r="F421" s="42"/>
      <c r="G421" s="80"/>
      <c r="I421" s="79"/>
      <c r="J421" s="79"/>
      <c r="K421" s="79"/>
    </row>
    <row r="422" spans="1:11" s="37" customFormat="1" ht="23.25" x14ac:dyDescent="0.35">
      <c r="A422" s="76"/>
      <c r="B422" s="76"/>
      <c r="C422" s="77"/>
      <c r="D422" s="76"/>
      <c r="E422" s="57"/>
      <c r="F422" s="78"/>
      <c r="G422" s="78"/>
      <c r="H422" s="76"/>
      <c r="I422" s="79"/>
      <c r="J422" s="81"/>
      <c r="K422" s="79"/>
    </row>
    <row r="423" spans="1:11" s="37" customFormat="1" ht="23.25" x14ac:dyDescent="0.35">
      <c r="C423" s="41"/>
      <c r="E423" s="57"/>
      <c r="F423" s="42"/>
      <c r="G423" s="80"/>
      <c r="I423" s="76"/>
      <c r="J423" s="79"/>
      <c r="K423" s="82"/>
    </row>
    <row r="424" spans="1:11" s="37" customFormat="1" ht="23.25" x14ac:dyDescent="0.35">
      <c r="C424" s="41"/>
      <c r="E424" s="57"/>
      <c r="F424" s="42"/>
      <c r="G424" s="80"/>
      <c r="I424" s="79"/>
      <c r="J424" s="79"/>
      <c r="K424" s="77"/>
    </row>
    <row r="425" spans="1:11" s="37" customFormat="1" ht="23.25" x14ac:dyDescent="0.35">
      <c r="C425" s="41"/>
      <c r="E425" s="57"/>
      <c r="F425" s="42"/>
      <c r="G425" s="80"/>
      <c r="H425" s="76"/>
      <c r="I425" s="79"/>
      <c r="J425" s="79"/>
      <c r="K425" s="76"/>
    </row>
    <row r="426" spans="1:11" s="37" customFormat="1" ht="23.25" x14ac:dyDescent="0.35">
      <c r="C426" s="41"/>
      <c r="E426" s="57"/>
      <c r="F426" s="42"/>
      <c r="G426" s="80"/>
      <c r="I426" s="79"/>
      <c r="J426" s="79"/>
      <c r="K426" s="82"/>
    </row>
    <row r="427" spans="1:11" s="37" customFormat="1" ht="23.25" x14ac:dyDescent="0.35">
      <c r="C427" s="41"/>
      <c r="E427" s="57"/>
      <c r="F427" s="42"/>
      <c r="G427" s="80"/>
      <c r="I427" s="76"/>
      <c r="J427" s="79"/>
      <c r="K427" s="81"/>
    </row>
    <row r="428" spans="1:11" s="37" customFormat="1" ht="23.25" x14ac:dyDescent="0.35">
      <c r="C428" s="41"/>
      <c r="E428" s="57"/>
      <c r="F428" s="42"/>
      <c r="G428" s="80"/>
      <c r="I428" s="79"/>
      <c r="J428" s="79"/>
      <c r="K428" s="76"/>
    </row>
    <row r="429" spans="1:11" s="37" customFormat="1" ht="23.25" x14ac:dyDescent="0.35">
      <c r="C429" s="41"/>
      <c r="E429" s="57"/>
      <c r="F429" s="42"/>
      <c r="G429" s="80"/>
      <c r="I429" s="76"/>
      <c r="J429" s="76"/>
      <c r="K429" s="77"/>
    </row>
    <row r="430" spans="1:11" s="37" customFormat="1" ht="23.25" x14ac:dyDescent="0.35">
      <c r="C430" s="41"/>
      <c r="E430" s="57"/>
      <c r="F430" s="42"/>
      <c r="G430" s="80"/>
      <c r="I430" s="76"/>
      <c r="J430" s="76"/>
      <c r="K430" s="77"/>
    </row>
    <row r="431" spans="1:11" s="37" customFormat="1" ht="23.25" x14ac:dyDescent="0.35">
      <c r="C431" s="41"/>
      <c r="E431" s="57"/>
      <c r="F431" s="42"/>
      <c r="G431" s="80"/>
      <c r="I431" s="76"/>
      <c r="J431" s="76"/>
      <c r="K431" s="77"/>
    </row>
    <row r="432" spans="1:11" s="37" customFormat="1" ht="23.25" x14ac:dyDescent="0.35">
      <c r="C432" s="41"/>
      <c r="E432" s="57"/>
      <c r="F432" s="42"/>
      <c r="G432" s="80"/>
      <c r="I432" s="76"/>
      <c r="J432" s="76"/>
      <c r="K432" s="76"/>
    </row>
    <row r="433" spans="1:11" s="37" customFormat="1" ht="23.25" x14ac:dyDescent="0.35">
      <c r="C433" s="41"/>
      <c r="E433" s="57"/>
      <c r="F433" s="42"/>
      <c r="G433" s="80"/>
      <c r="K433" s="76"/>
    </row>
    <row r="434" spans="1:11" s="37" customFormat="1" ht="23.25" x14ac:dyDescent="0.35">
      <c r="C434" s="41"/>
      <c r="E434" s="57"/>
      <c r="F434" s="42"/>
      <c r="G434" s="80"/>
      <c r="I434" s="79"/>
      <c r="J434" s="79"/>
      <c r="K434" s="79"/>
    </row>
    <row r="435" spans="1:11" s="37" customFormat="1" ht="23.25" x14ac:dyDescent="0.35">
      <c r="A435" s="76"/>
      <c r="B435" s="76"/>
      <c r="C435" s="77"/>
      <c r="D435" s="76"/>
      <c r="E435" s="57"/>
      <c r="F435" s="78"/>
      <c r="G435" s="78"/>
      <c r="H435" s="76"/>
      <c r="I435" s="79"/>
      <c r="J435" s="81"/>
      <c r="K435" s="79"/>
    </row>
    <row r="436" spans="1:11" s="37" customFormat="1" ht="23.25" x14ac:dyDescent="0.35">
      <c r="C436" s="41"/>
      <c r="E436" s="57"/>
      <c r="F436" s="42"/>
      <c r="G436" s="80"/>
      <c r="I436" s="76"/>
      <c r="J436" s="79"/>
      <c r="K436" s="82"/>
    </row>
    <row r="437" spans="1:11" s="37" customFormat="1" ht="23.25" x14ac:dyDescent="0.35">
      <c r="C437" s="41"/>
      <c r="E437" s="57"/>
      <c r="F437" s="42"/>
      <c r="G437" s="80"/>
      <c r="I437" s="79"/>
      <c r="J437" s="79"/>
      <c r="K437" s="77"/>
    </row>
    <row r="438" spans="1:11" s="37" customFormat="1" ht="23.25" x14ac:dyDescent="0.35">
      <c r="C438" s="41"/>
      <c r="E438" s="57"/>
      <c r="F438" s="42"/>
      <c r="G438" s="80"/>
      <c r="I438" s="79"/>
      <c r="J438" s="79"/>
      <c r="K438" s="76"/>
    </row>
    <row r="439" spans="1:11" s="37" customFormat="1" ht="23.25" x14ac:dyDescent="0.35">
      <c r="C439" s="41"/>
      <c r="E439" s="57"/>
      <c r="F439" s="42"/>
      <c r="G439" s="80"/>
      <c r="I439" s="79"/>
      <c r="J439" s="79"/>
      <c r="K439" s="82"/>
    </row>
    <row r="440" spans="1:11" s="37" customFormat="1" ht="23.25" x14ac:dyDescent="0.35">
      <c r="C440" s="41"/>
      <c r="E440" s="57"/>
      <c r="F440" s="42"/>
      <c r="G440" s="80"/>
      <c r="I440" s="76"/>
      <c r="J440" s="79"/>
      <c r="K440" s="81"/>
    </row>
    <row r="441" spans="1:11" s="37" customFormat="1" ht="23.25" x14ac:dyDescent="0.35">
      <c r="C441" s="41"/>
      <c r="E441" s="57"/>
      <c r="F441" s="42"/>
      <c r="G441" s="80"/>
      <c r="I441" s="76"/>
      <c r="J441" s="79"/>
      <c r="K441" s="76"/>
    </row>
    <row r="442" spans="1:11" s="37" customFormat="1" ht="23.25" x14ac:dyDescent="0.35">
      <c r="C442" s="41"/>
      <c r="E442" s="57"/>
      <c r="F442" s="42"/>
      <c r="G442" s="80"/>
      <c r="J442" s="81"/>
      <c r="K442" s="76"/>
    </row>
    <row r="443" spans="1:11" s="37" customFormat="1" ht="23.25" x14ac:dyDescent="0.35">
      <c r="C443" s="41"/>
      <c r="E443" s="57"/>
      <c r="F443" s="42"/>
      <c r="G443" s="80"/>
      <c r="J443" s="81"/>
      <c r="K443" s="76"/>
    </row>
    <row r="444" spans="1:11" s="37" customFormat="1" ht="23.25" x14ac:dyDescent="0.35">
      <c r="C444" s="41"/>
      <c r="E444" s="57"/>
      <c r="F444" s="42"/>
      <c r="G444" s="80"/>
      <c r="J444" s="81"/>
      <c r="K444" s="76"/>
    </row>
    <row r="445" spans="1:11" s="37" customFormat="1" ht="23.25" x14ac:dyDescent="0.35">
      <c r="C445" s="41"/>
      <c r="E445" s="57"/>
      <c r="F445" s="42"/>
      <c r="G445" s="80"/>
      <c r="J445" s="81"/>
      <c r="K445" s="76"/>
    </row>
    <row r="446" spans="1:11" s="37" customFormat="1" ht="23.25" x14ac:dyDescent="0.35">
      <c r="C446" s="41"/>
      <c r="E446" s="57"/>
      <c r="F446" s="42"/>
      <c r="G446" s="80"/>
    </row>
    <row r="447" spans="1:11" s="37" customFormat="1" ht="23.25" x14ac:dyDescent="0.35">
      <c r="C447" s="41"/>
      <c r="E447" s="57"/>
      <c r="F447" s="42"/>
      <c r="G447" s="80"/>
      <c r="I447" s="79"/>
      <c r="J447" s="79"/>
      <c r="K447" s="79"/>
    </row>
    <row r="448" spans="1:11" s="37" customFormat="1" ht="23.25" x14ac:dyDescent="0.35">
      <c r="A448" s="76"/>
      <c r="B448" s="76"/>
      <c r="C448" s="77"/>
      <c r="D448" s="76"/>
      <c r="E448" s="57"/>
      <c r="F448" s="78"/>
      <c r="G448" s="78"/>
      <c r="H448" s="76"/>
      <c r="I448" s="79"/>
      <c r="J448" s="81"/>
      <c r="K448" s="79"/>
    </row>
    <row r="449" spans="1:11" s="37" customFormat="1" ht="23.25" x14ac:dyDescent="0.35">
      <c r="C449" s="41"/>
      <c r="E449" s="57"/>
      <c r="F449" s="42"/>
      <c r="G449" s="80"/>
      <c r="I449" s="76"/>
      <c r="J449" s="79"/>
      <c r="K449" s="82"/>
    </row>
    <row r="450" spans="1:11" s="37" customFormat="1" ht="23.25" x14ac:dyDescent="0.35">
      <c r="C450" s="41"/>
      <c r="E450" s="57"/>
      <c r="F450" s="42"/>
      <c r="G450" s="80"/>
      <c r="I450" s="79"/>
      <c r="J450" s="79"/>
      <c r="K450" s="77"/>
    </row>
    <row r="451" spans="1:11" s="37" customFormat="1" ht="23.25" x14ac:dyDescent="0.35">
      <c r="C451" s="41"/>
      <c r="E451" s="57"/>
      <c r="F451" s="42"/>
      <c r="G451" s="80"/>
      <c r="I451" s="79"/>
      <c r="J451" s="79"/>
      <c r="K451" s="76"/>
    </row>
    <row r="452" spans="1:11" s="37" customFormat="1" ht="23.25" x14ac:dyDescent="0.35">
      <c r="C452" s="41"/>
      <c r="E452" s="57"/>
      <c r="F452" s="42"/>
      <c r="G452" s="80"/>
      <c r="I452" s="79"/>
      <c r="J452" s="79"/>
      <c r="K452" s="82"/>
    </row>
    <row r="453" spans="1:11" s="37" customFormat="1" ht="23.25" x14ac:dyDescent="0.35">
      <c r="C453" s="41"/>
      <c r="E453" s="57"/>
      <c r="F453" s="42"/>
      <c r="G453" s="80"/>
      <c r="I453" s="76"/>
      <c r="J453" s="79"/>
      <c r="K453" s="81"/>
    </row>
    <row r="454" spans="1:11" s="37" customFormat="1" ht="23.25" x14ac:dyDescent="0.35">
      <c r="C454" s="41"/>
      <c r="E454" s="57"/>
      <c r="F454" s="42"/>
      <c r="G454" s="80"/>
      <c r="J454" s="79"/>
      <c r="K454" s="76"/>
    </row>
    <row r="455" spans="1:11" s="37" customFormat="1" ht="23.25" x14ac:dyDescent="0.35">
      <c r="C455" s="41"/>
      <c r="E455" s="57"/>
      <c r="F455" s="42"/>
      <c r="G455" s="80"/>
      <c r="J455" s="81"/>
      <c r="K455" s="76"/>
    </row>
    <row r="456" spans="1:11" s="37" customFormat="1" ht="23.25" x14ac:dyDescent="0.35">
      <c r="C456" s="41"/>
      <c r="E456" s="57"/>
      <c r="F456" s="42"/>
      <c r="G456" s="80"/>
      <c r="J456" s="79"/>
      <c r="K456" s="76"/>
    </row>
    <row r="457" spans="1:11" s="37" customFormat="1" ht="23.25" x14ac:dyDescent="0.35">
      <c r="C457" s="41"/>
      <c r="E457" s="57"/>
      <c r="F457" s="42"/>
      <c r="G457" s="80"/>
    </row>
    <row r="458" spans="1:11" s="37" customFormat="1" ht="23.25" x14ac:dyDescent="0.35">
      <c r="C458" s="41"/>
      <c r="E458" s="57"/>
      <c r="F458" s="42"/>
      <c r="G458" s="80"/>
      <c r="I458" s="79"/>
      <c r="J458" s="79"/>
      <c r="K458" s="79"/>
    </row>
    <row r="459" spans="1:11" s="37" customFormat="1" ht="23.25" x14ac:dyDescent="0.35">
      <c r="A459" s="76"/>
      <c r="B459" s="76"/>
      <c r="C459" s="77"/>
      <c r="D459" s="76"/>
      <c r="E459" s="57"/>
      <c r="F459" s="78"/>
      <c r="G459" s="78"/>
      <c r="H459" s="76"/>
      <c r="I459" s="79"/>
      <c r="J459" s="81"/>
      <c r="K459" s="79"/>
    </row>
    <row r="460" spans="1:11" s="37" customFormat="1" ht="23.25" x14ac:dyDescent="0.35">
      <c r="C460" s="41"/>
      <c r="E460" s="57"/>
      <c r="F460" s="42"/>
      <c r="G460" s="80"/>
      <c r="I460" s="76"/>
      <c r="J460" s="79"/>
      <c r="K460" s="82"/>
    </row>
    <row r="461" spans="1:11" s="37" customFormat="1" ht="23.25" x14ac:dyDescent="0.35">
      <c r="C461" s="41"/>
      <c r="E461" s="57"/>
      <c r="F461" s="42"/>
      <c r="G461" s="80"/>
      <c r="I461" s="79"/>
      <c r="J461" s="79"/>
      <c r="K461" s="77"/>
    </row>
    <row r="462" spans="1:11" s="37" customFormat="1" ht="23.25" x14ac:dyDescent="0.35">
      <c r="C462" s="41"/>
      <c r="E462" s="57"/>
      <c r="F462" s="42"/>
      <c r="G462" s="80"/>
      <c r="H462" s="76"/>
      <c r="I462" s="79"/>
      <c r="J462" s="79"/>
      <c r="K462" s="76"/>
    </row>
    <row r="463" spans="1:11" s="37" customFormat="1" ht="23.25" x14ac:dyDescent="0.35">
      <c r="C463" s="41"/>
      <c r="E463" s="57"/>
      <c r="F463" s="42"/>
      <c r="G463" s="80"/>
      <c r="I463" s="79"/>
      <c r="J463" s="79"/>
      <c r="K463" s="82"/>
    </row>
    <row r="464" spans="1:11" s="37" customFormat="1" ht="23.25" x14ac:dyDescent="0.35">
      <c r="C464" s="41"/>
      <c r="E464" s="57"/>
      <c r="F464" s="42"/>
      <c r="G464" s="80"/>
      <c r="I464" s="76"/>
      <c r="J464" s="79"/>
      <c r="K464" s="81"/>
    </row>
    <row r="465" spans="1:11" s="37" customFormat="1" ht="23.25" x14ac:dyDescent="0.35">
      <c r="C465" s="41"/>
      <c r="E465" s="57"/>
      <c r="F465" s="42"/>
      <c r="G465" s="80"/>
      <c r="I465" s="76"/>
      <c r="J465" s="76"/>
      <c r="K465" s="77"/>
    </row>
    <row r="466" spans="1:11" s="37" customFormat="1" ht="23.25" x14ac:dyDescent="0.35">
      <c r="C466" s="41"/>
      <c r="E466" s="57"/>
      <c r="F466" s="42"/>
      <c r="G466" s="80"/>
      <c r="I466" s="76"/>
      <c r="J466" s="79"/>
      <c r="K466" s="76"/>
    </row>
    <row r="467" spans="1:11" s="37" customFormat="1" ht="23.25" x14ac:dyDescent="0.35">
      <c r="C467" s="41"/>
      <c r="E467" s="57"/>
      <c r="F467" s="42"/>
      <c r="G467" s="80"/>
      <c r="I467" s="76"/>
      <c r="J467" s="81"/>
      <c r="K467" s="76"/>
    </row>
    <row r="468" spans="1:11" s="37" customFormat="1" ht="23.25" x14ac:dyDescent="0.35">
      <c r="C468" s="41"/>
      <c r="E468" s="57"/>
      <c r="F468" s="42"/>
      <c r="G468" s="80"/>
    </row>
    <row r="469" spans="1:11" s="37" customFormat="1" ht="23.25" x14ac:dyDescent="0.35">
      <c r="C469" s="41"/>
      <c r="E469" s="57"/>
      <c r="F469" s="42"/>
      <c r="G469" s="80"/>
      <c r="I469" s="79"/>
      <c r="J469" s="79"/>
      <c r="K469" s="79"/>
    </row>
    <row r="470" spans="1:11" s="37" customFormat="1" ht="23.25" x14ac:dyDescent="0.35">
      <c r="A470" s="76"/>
      <c r="B470" s="76"/>
      <c r="C470" s="77"/>
      <c r="D470" s="76"/>
      <c r="E470" s="57"/>
      <c r="F470" s="78"/>
      <c r="G470" s="78"/>
      <c r="H470" s="76"/>
      <c r="I470" s="79"/>
      <c r="J470" s="81"/>
      <c r="K470" s="79"/>
    </row>
    <row r="471" spans="1:11" s="37" customFormat="1" ht="23.25" x14ac:dyDescent="0.35">
      <c r="C471" s="41"/>
      <c r="E471" s="57"/>
      <c r="F471" s="42"/>
      <c r="G471" s="80"/>
      <c r="I471" s="76"/>
      <c r="J471" s="79"/>
      <c r="K471" s="82"/>
    </row>
    <row r="472" spans="1:11" s="37" customFormat="1" ht="23.25" x14ac:dyDescent="0.35">
      <c r="C472" s="41"/>
      <c r="E472" s="57"/>
      <c r="F472" s="42"/>
      <c r="G472" s="80"/>
      <c r="I472" s="79"/>
      <c r="J472" s="79"/>
      <c r="K472" s="77"/>
    </row>
    <row r="473" spans="1:11" s="37" customFormat="1" ht="23.25" x14ac:dyDescent="0.35">
      <c r="C473" s="41"/>
      <c r="E473" s="57"/>
      <c r="F473" s="42"/>
      <c r="G473" s="80"/>
      <c r="I473" s="79"/>
      <c r="J473" s="79"/>
      <c r="K473" s="76"/>
    </row>
    <row r="474" spans="1:11" s="37" customFormat="1" ht="23.25" x14ac:dyDescent="0.35">
      <c r="C474" s="41"/>
      <c r="E474" s="57"/>
      <c r="F474" s="42"/>
      <c r="G474" s="80"/>
      <c r="I474" s="79"/>
      <c r="J474" s="79"/>
      <c r="K474" s="82"/>
    </row>
    <row r="475" spans="1:11" s="37" customFormat="1" ht="23.25" x14ac:dyDescent="0.35">
      <c r="C475" s="41"/>
      <c r="E475" s="57"/>
      <c r="F475" s="42"/>
      <c r="G475" s="80"/>
      <c r="I475" s="76"/>
      <c r="J475" s="79"/>
      <c r="K475" s="81"/>
    </row>
    <row r="476" spans="1:11" s="37" customFormat="1" ht="23.25" x14ac:dyDescent="0.35">
      <c r="C476" s="41"/>
      <c r="E476" s="57"/>
      <c r="F476" s="42"/>
      <c r="G476" s="80"/>
      <c r="I476" s="76"/>
      <c r="J476" s="79"/>
      <c r="K476" s="76"/>
    </row>
    <row r="477" spans="1:11" s="37" customFormat="1" ht="23.25" hidden="1" x14ac:dyDescent="0.35">
      <c r="C477" s="41"/>
      <c r="E477" s="57"/>
      <c r="F477" s="42"/>
      <c r="G477" s="80"/>
      <c r="I477" s="76"/>
      <c r="J477" s="76"/>
      <c r="K477" s="77"/>
    </row>
    <row r="478" spans="1:11" s="37" customFormat="1" ht="23.25" x14ac:dyDescent="0.35">
      <c r="C478" s="41"/>
      <c r="E478" s="57"/>
      <c r="F478" s="42"/>
      <c r="G478" s="80"/>
    </row>
    <row r="479" spans="1:11" s="37" customFormat="1" ht="23.25" x14ac:dyDescent="0.35">
      <c r="C479" s="41"/>
      <c r="E479" s="57"/>
      <c r="F479" s="42"/>
      <c r="G479" s="80"/>
      <c r="I479" s="79"/>
      <c r="J479" s="79"/>
      <c r="K479" s="79"/>
    </row>
    <row r="480" spans="1:11" s="37" customFormat="1" ht="23.25" x14ac:dyDescent="0.35">
      <c r="A480" s="76"/>
      <c r="B480" s="76"/>
      <c r="C480" s="77"/>
      <c r="D480" s="76"/>
      <c r="E480" s="57"/>
      <c r="F480" s="78"/>
      <c r="G480" s="78"/>
      <c r="H480" s="76"/>
      <c r="I480" s="79"/>
      <c r="J480" s="81"/>
      <c r="K480" s="79"/>
    </row>
    <row r="481" spans="1:11" s="37" customFormat="1" ht="23.25" x14ac:dyDescent="0.35">
      <c r="C481" s="41"/>
      <c r="E481" s="57"/>
      <c r="F481" s="42"/>
      <c r="G481" s="80"/>
      <c r="I481" s="76"/>
      <c r="J481" s="79"/>
      <c r="K481" s="82"/>
    </row>
    <row r="482" spans="1:11" s="37" customFormat="1" ht="23.25" x14ac:dyDescent="0.35">
      <c r="C482" s="41"/>
      <c r="E482" s="57"/>
      <c r="F482" s="42"/>
      <c r="G482" s="80"/>
      <c r="I482" s="79"/>
      <c r="J482" s="79"/>
      <c r="K482" s="77"/>
    </row>
    <row r="483" spans="1:11" s="37" customFormat="1" ht="23.25" x14ac:dyDescent="0.35">
      <c r="C483" s="41"/>
      <c r="E483" s="57"/>
      <c r="F483" s="42"/>
      <c r="G483" s="80"/>
      <c r="I483" s="79"/>
      <c r="J483" s="79"/>
      <c r="K483" s="76"/>
    </row>
    <row r="484" spans="1:11" s="37" customFormat="1" ht="23.25" x14ac:dyDescent="0.35">
      <c r="C484" s="41"/>
      <c r="E484" s="57"/>
      <c r="F484" s="42"/>
      <c r="G484" s="80"/>
      <c r="I484" s="79"/>
      <c r="J484" s="79"/>
      <c r="K484" s="82"/>
    </row>
    <row r="485" spans="1:11" s="37" customFormat="1" ht="23.25" x14ac:dyDescent="0.35">
      <c r="C485" s="41"/>
      <c r="E485" s="57"/>
      <c r="F485" s="42"/>
      <c r="G485" s="80"/>
      <c r="I485" s="76"/>
      <c r="J485" s="79"/>
      <c r="K485" s="81"/>
    </row>
    <row r="486" spans="1:11" s="37" customFormat="1" ht="23.25" x14ac:dyDescent="0.35">
      <c r="C486" s="41"/>
      <c r="E486" s="57"/>
      <c r="F486" s="42"/>
      <c r="G486" s="80"/>
      <c r="J486" s="76"/>
      <c r="K486" s="76"/>
    </row>
    <row r="487" spans="1:11" s="37" customFormat="1" ht="23.25" x14ac:dyDescent="0.35">
      <c r="C487" s="41"/>
      <c r="E487" s="57"/>
      <c r="F487" s="42"/>
      <c r="G487" s="80"/>
      <c r="I487" s="76"/>
      <c r="J487" s="76"/>
      <c r="K487" s="77"/>
    </row>
    <row r="488" spans="1:11" s="37" customFormat="1" ht="23.25" x14ac:dyDescent="0.35">
      <c r="C488" s="41"/>
      <c r="E488" s="57"/>
      <c r="F488" s="42"/>
      <c r="G488" s="80"/>
    </row>
    <row r="489" spans="1:11" s="37" customFormat="1" ht="23.25" x14ac:dyDescent="0.35">
      <c r="C489" s="41"/>
      <c r="E489" s="57"/>
      <c r="F489" s="42"/>
      <c r="G489" s="80"/>
      <c r="I489" s="79"/>
      <c r="J489" s="79"/>
      <c r="K489" s="79"/>
    </row>
    <row r="490" spans="1:11" s="37" customFormat="1" ht="23.25" x14ac:dyDescent="0.35">
      <c r="A490" s="76"/>
      <c r="B490" s="76"/>
      <c r="C490" s="77"/>
      <c r="D490" s="76"/>
      <c r="E490" s="57"/>
      <c r="F490" s="78"/>
      <c r="G490" s="78"/>
      <c r="H490" s="76"/>
      <c r="I490" s="79"/>
      <c r="J490" s="81"/>
      <c r="K490" s="79"/>
    </row>
    <row r="491" spans="1:11" s="37" customFormat="1" ht="23.25" x14ac:dyDescent="0.35">
      <c r="C491" s="41"/>
      <c r="E491" s="57"/>
      <c r="F491" s="42"/>
      <c r="G491" s="80"/>
      <c r="I491" s="76"/>
      <c r="J491" s="79"/>
      <c r="K491" s="82"/>
    </row>
    <row r="492" spans="1:11" s="37" customFormat="1" ht="23.25" x14ac:dyDescent="0.35">
      <c r="C492" s="41"/>
      <c r="E492" s="57"/>
      <c r="F492" s="42"/>
      <c r="G492" s="80"/>
      <c r="I492" s="79"/>
      <c r="J492" s="79"/>
      <c r="K492" s="77"/>
    </row>
    <row r="493" spans="1:11" s="37" customFormat="1" ht="23.25" x14ac:dyDescent="0.35">
      <c r="C493" s="41"/>
      <c r="E493" s="57"/>
      <c r="F493" s="42"/>
      <c r="G493" s="80"/>
      <c r="H493" s="76"/>
      <c r="I493" s="79"/>
      <c r="J493" s="79"/>
      <c r="K493" s="76"/>
    </row>
    <row r="494" spans="1:11" s="37" customFormat="1" ht="23.25" x14ac:dyDescent="0.35">
      <c r="C494" s="41"/>
      <c r="E494" s="57"/>
      <c r="F494" s="42"/>
      <c r="G494" s="80"/>
      <c r="I494" s="79"/>
      <c r="J494" s="79"/>
      <c r="K494" s="82"/>
    </row>
    <row r="495" spans="1:11" s="37" customFormat="1" ht="23.25" x14ac:dyDescent="0.35">
      <c r="C495" s="41"/>
      <c r="E495" s="57"/>
      <c r="F495" s="42"/>
      <c r="G495" s="80"/>
      <c r="I495" s="76"/>
      <c r="J495" s="79"/>
      <c r="K495" s="81"/>
    </row>
    <row r="496" spans="1:11" s="37" customFormat="1" ht="23.25" x14ac:dyDescent="0.35">
      <c r="C496" s="41"/>
      <c r="E496" s="57"/>
      <c r="F496" s="42"/>
      <c r="G496" s="80"/>
      <c r="I496" s="76"/>
      <c r="J496" s="76"/>
      <c r="K496" s="77"/>
    </row>
    <row r="497" spans="1:11" s="37" customFormat="1" ht="23.25" x14ac:dyDescent="0.35">
      <c r="C497" s="41"/>
      <c r="E497" s="57"/>
      <c r="F497" s="42"/>
      <c r="G497" s="80"/>
      <c r="I497" s="76"/>
      <c r="J497" s="76"/>
      <c r="K497" s="76"/>
    </row>
    <row r="498" spans="1:11" s="37" customFormat="1" ht="23.25" x14ac:dyDescent="0.35">
      <c r="C498" s="41"/>
      <c r="E498" s="57"/>
      <c r="F498" s="42"/>
      <c r="G498" s="80"/>
      <c r="J498" s="76"/>
    </row>
    <row r="499" spans="1:11" s="37" customFormat="1" ht="23.25" x14ac:dyDescent="0.35">
      <c r="C499" s="41"/>
      <c r="E499" s="57"/>
      <c r="F499" s="42"/>
      <c r="G499" s="80"/>
    </row>
    <row r="500" spans="1:11" s="37" customFormat="1" ht="23.25" x14ac:dyDescent="0.35">
      <c r="C500" s="41"/>
      <c r="E500" s="57"/>
      <c r="F500" s="42"/>
      <c r="G500" s="80"/>
      <c r="I500" s="79"/>
      <c r="J500" s="79"/>
      <c r="K500" s="79"/>
    </row>
    <row r="501" spans="1:11" s="37" customFormat="1" ht="23.25" x14ac:dyDescent="0.35">
      <c r="A501" s="76"/>
      <c r="B501" s="76"/>
      <c r="C501" s="77"/>
      <c r="D501" s="76"/>
      <c r="E501" s="57"/>
      <c r="F501" s="78"/>
      <c r="G501" s="78"/>
      <c r="H501" s="76"/>
      <c r="I501" s="79"/>
      <c r="J501" s="81"/>
      <c r="K501" s="79"/>
    </row>
    <row r="502" spans="1:11" s="37" customFormat="1" ht="23.25" x14ac:dyDescent="0.35">
      <c r="C502" s="41"/>
      <c r="E502" s="57"/>
      <c r="F502" s="42"/>
      <c r="G502" s="80"/>
      <c r="I502" s="76"/>
      <c r="J502" s="79"/>
      <c r="K502" s="82"/>
    </row>
    <row r="503" spans="1:11" s="37" customFormat="1" ht="23.25" x14ac:dyDescent="0.35">
      <c r="C503" s="41"/>
      <c r="E503" s="57"/>
      <c r="F503" s="42"/>
      <c r="G503" s="80"/>
      <c r="I503" s="79"/>
      <c r="J503" s="79"/>
      <c r="K503" s="77"/>
    </row>
    <row r="504" spans="1:11" s="37" customFormat="1" ht="23.25" x14ac:dyDescent="0.35">
      <c r="C504" s="41"/>
      <c r="E504" s="57"/>
      <c r="F504" s="42"/>
      <c r="G504" s="80"/>
      <c r="I504" s="79"/>
      <c r="J504" s="79"/>
      <c r="K504" s="76"/>
    </row>
    <row r="505" spans="1:11" s="37" customFormat="1" ht="23.25" x14ac:dyDescent="0.35">
      <c r="C505" s="41"/>
      <c r="E505" s="57"/>
      <c r="F505" s="42"/>
      <c r="G505" s="80"/>
      <c r="I505" s="79"/>
      <c r="J505" s="79"/>
      <c r="K505" s="82"/>
    </row>
    <row r="506" spans="1:11" s="37" customFormat="1" ht="23.25" x14ac:dyDescent="0.35">
      <c r="C506" s="41"/>
      <c r="E506" s="57"/>
      <c r="F506" s="42"/>
      <c r="G506" s="80"/>
      <c r="I506" s="76"/>
      <c r="J506" s="79"/>
      <c r="K506" s="81"/>
    </row>
    <row r="507" spans="1:11" s="37" customFormat="1" ht="23.25" x14ac:dyDescent="0.35">
      <c r="C507" s="41"/>
      <c r="E507" s="57"/>
      <c r="F507" s="42"/>
      <c r="G507" s="80"/>
      <c r="I507" s="76"/>
      <c r="J507" s="79"/>
      <c r="K507" s="76"/>
    </row>
    <row r="508" spans="1:11" s="37" customFormat="1" ht="23.25" hidden="1" x14ac:dyDescent="0.35">
      <c r="C508" s="41"/>
      <c r="E508" s="57"/>
      <c r="F508" s="42"/>
      <c r="G508" s="80"/>
      <c r="I508" s="76"/>
      <c r="J508" s="76"/>
      <c r="K508" s="77"/>
    </row>
    <row r="509" spans="1:11" s="37" customFormat="1" ht="23.25" x14ac:dyDescent="0.35">
      <c r="C509" s="41"/>
      <c r="E509" s="57"/>
      <c r="F509" s="42"/>
      <c r="G509" s="80"/>
      <c r="I509" s="76"/>
      <c r="J509" s="79"/>
      <c r="K509" s="76"/>
    </row>
    <row r="510" spans="1:11" s="37" customFormat="1" ht="23.25" x14ac:dyDescent="0.35">
      <c r="C510" s="41"/>
      <c r="E510" s="57"/>
      <c r="F510" s="42"/>
      <c r="G510" s="80"/>
      <c r="I510" s="76"/>
      <c r="J510" s="79"/>
      <c r="K510" s="76"/>
    </row>
    <row r="511" spans="1:11" s="37" customFormat="1" ht="23.25" x14ac:dyDescent="0.35">
      <c r="C511" s="41"/>
      <c r="E511" s="57"/>
      <c r="F511" s="42"/>
      <c r="G511" s="80"/>
      <c r="I511" s="76"/>
      <c r="J511" s="79"/>
      <c r="K511" s="76"/>
    </row>
    <row r="512" spans="1:11" s="37" customFormat="1" ht="23.25" x14ac:dyDescent="0.35">
      <c r="C512" s="41"/>
      <c r="E512" s="57"/>
      <c r="F512" s="42"/>
      <c r="G512" s="80"/>
      <c r="I512" s="76"/>
      <c r="J512" s="76"/>
      <c r="K512" s="76"/>
    </row>
    <row r="513" spans="1:11" s="37" customFormat="1" ht="23.25" x14ac:dyDescent="0.35">
      <c r="C513" s="41"/>
      <c r="E513" s="57"/>
      <c r="F513" s="42"/>
      <c r="G513" s="80"/>
    </row>
    <row r="514" spans="1:11" s="37" customFormat="1" ht="23.25" x14ac:dyDescent="0.35">
      <c r="C514" s="41"/>
      <c r="E514" s="57"/>
      <c r="F514" s="42"/>
      <c r="G514" s="80"/>
      <c r="I514" s="79"/>
      <c r="J514" s="79"/>
      <c r="K514" s="79"/>
    </row>
    <row r="515" spans="1:11" s="37" customFormat="1" ht="23.25" x14ac:dyDescent="0.35">
      <c r="A515" s="76"/>
      <c r="B515" s="76"/>
      <c r="C515" s="77"/>
      <c r="D515" s="76"/>
      <c r="E515" s="57"/>
      <c r="F515" s="78"/>
      <c r="G515" s="78"/>
      <c r="H515" s="76"/>
      <c r="I515" s="79"/>
      <c r="J515" s="81"/>
      <c r="K515" s="79"/>
    </row>
    <row r="516" spans="1:11" s="37" customFormat="1" ht="23.25" x14ac:dyDescent="0.35">
      <c r="C516" s="41"/>
      <c r="E516" s="57"/>
      <c r="F516" s="42"/>
      <c r="G516" s="80"/>
      <c r="I516" s="76"/>
      <c r="J516" s="79"/>
      <c r="K516" s="82"/>
    </row>
    <row r="517" spans="1:11" s="37" customFormat="1" ht="23.25" x14ac:dyDescent="0.35">
      <c r="C517" s="41"/>
      <c r="E517" s="57"/>
      <c r="F517" s="42"/>
      <c r="G517" s="80"/>
      <c r="I517" s="79"/>
      <c r="J517" s="79"/>
      <c r="K517" s="77"/>
    </row>
    <row r="518" spans="1:11" s="37" customFormat="1" ht="23.25" x14ac:dyDescent="0.35">
      <c r="C518" s="41"/>
      <c r="E518" s="57"/>
      <c r="F518" s="42"/>
      <c r="G518" s="80"/>
      <c r="I518" s="79"/>
      <c r="J518" s="79"/>
      <c r="K518" s="76"/>
    </row>
    <row r="519" spans="1:11" s="37" customFormat="1" ht="23.25" x14ac:dyDescent="0.35">
      <c r="C519" s="41"/>
      <c r="E519" s="57"/>
      <c r="F519" s="42"/>
      <c r="G519" s="80"/>
      <c r="I519" s="79"/>
      <c r="J519" s="79"/>
      <c r="K519" s="82"/>
    </row>
    <row r="520" spans="1:11" s="37" customFormat="1" ht="23.25" x14ac:dyDescent="0.35">
      <c r="C520" s="41"/>
      <c r="E520" s="57"/>
      <c r="F520" s="42"/>
      <c r="G520" s="80"/>
      <c r="I520" s="76"/>
      <c r="J520" s="79"/>
      <c r="K520" s="81"/>
    </row>
    <row r="521" spans="1:11" s="37" customFormat="1" ht="23.25" x14ac:dyDescent="0.35">
      <c r="C521" s="41"/>
      <c r="E521" s="57"/>
      <c r="F521" s="42"/>
      <c r="G521" s="80"/>
      <c r="J521" s="76"/>
      <c r="K521" s="76"/>
    </row>
    <row r="522" spans="1:11" s="37" customFormat="1" ht="23.25" hidden="1" x14ac:dyDescent="0.35">
      <c r="C522" s="41"/>
      <c r="E522" s="57"/>
      <c r="F522" s="42"/>
      <c r="G522" s="80"/>
      <c r="I522" s="76"/>
      <c r="J522" s="76"/>
      <c r="K522" s="77"/>
    </row>
    <row r="523" spans="1:11" s="37" customFormat="1" ht="23.25" x14ac:dyDescent="0.35">
      <c r="C523" s="41"/>
      <c r="E523" s="57"/>
      <c r="F523" s="42"/>
      <c r="G523" s="80"/>
      <c r="I523" s="76"/>
      <c r="J523" s="79"/>
      <c r="K523" s="76"/>
    </row>
    <row r="524" spans="1:11" s="37" customFormat="1" ht="23.25" x14ac:dyDescent="0.35">
      <c r="C524" s="41"/>
      <c r="E524" s="57"/>
      <c r="F524" s="42"/>
      <c r="G524" s="80"/>
      <c r="I524" s="76"/>
      <c r="J524" s="79"/>
      <c r="K524" s="76"/>
    </row>
    <row r="525" spans="1:11" s="37" customFormat="1" ht="23.25" x14ac:dyDescent="0.35">
      <c r="C525" s="41"/>
      <c r="E525" s="57"/>
      <c r="F525" s="42"/>
      <c r="G525" s="80"/>
      <c r="I525" s="76"/>
      <c r="J525" s="79"/>
      <c r="K525" s="76"/>
    </row>
    <row r="526" spans="1:11" s="37" customFormat="1" ht="23.25" x14ac:dyDescent="0.35">
      <c r="C526" s="41"/>
      <c r="E526" s="57"/>
      <c r="F526" s="42"/>
      <c r="G526" s="80"/>
      <c r="I526" s="76"/>
      <c r="J526" s="76"/>
      <c r="K526" s="76"/>
    </row>
    <row r="527" spans="1:11" s="37" customFormat="1" ht="23.25" x14ac:dyDescent="0.35">
      <c r="C527" s="41"/>
      <c r="E527" s="57"/>
      <c r="F527" s="42"/>
      <c r="G527" s="80"/>
    </row>
    <row r="528" spans="1:11" s="37" customFormat="1" ht="23.25" x14ac:dyDescent="0.35">
      <c r="C528" s="41"/>
      <c r="E528" s="57"/>
      <c r="F528" s="42"/>
      <c r="G528" s="80"/>
      <c r="I528" s="79"/>
      <c r="J528" s="79"/>
      <c r="K528" s="79"/>
    </row>
    <row r="529" spans="1:11" s="37" customFormat="1" ht="23.25" x14ac:dyDescent="0.35">
      <c r="A529" s="76"/>
      <c r="B529" s="76"/>
      <c r="C529" s="77"/>
      <c r="D529" s="76"/>
      <c r="E529" s="57"/>
      <c r="F529" s="78"/>
      <c r="G529" s="78"/>
      <c r="H529" s="76"/>
      <c r="I529" s="79"/>
      <c r="J529" s="81"/>
      <c r="K529" s="79"/>
    </row>
    <row r="530" spans="1:11" s="37" customFormat="1" ht="23.25" x14ac:dyDescent="0.35">
      <c r="C530" s="41"/>
      <c r="E530" s="57"/>
      <c r="F530" s="42"/>
      <c r="G530" s="80"/>
      <c r="I530" s="76"/>
      <c r="J530" s="79"/>
      <c r="K530" s="82"/>
    </row>
    <row r="531" spans="1:11" s="37" customFormat="1" ht="23.25" x14ac:dyDescent="0.35">
      <c r="C531" s="41"/>
      <c r="E531" s="57"/>
      <c r="F531" s="42"/>
      <c r="G531" s="80"/>
      <c r="I531" s="79"/>
      <c r="J531" s="79"/>
      <c r="K531" s="77"/>
    </row>
    <row r="532" spans="1:11" s="37" customFormat="1" ht="23.25" x14ac:dyDescent="0.35">
      <c r="C532" s="41"/>
      <c r="E532" s="57"/>
      <c r="F532" s="42"/>
      <c r="G532" s="80"/>
      <c r="H532" s="76"/>
      <c r="I532" s="79"/>
      <c r="J532" s="79"/>
      <c r="K532" s="76"/>
    </row>
    <row r="533" spans="1:11" s="37" customFormat="1" ht="23.25" x14ac:dyDescent="0.35">
      <c r="C533" s="41"/>
      <c r="E533" s="57"/>
      <c r="F533" s="42"/>
      <c r="G533" s="80"/>
      <c r="I533" s="79"/>
      <c r="J533" s="79"/>
      <c r="K533" s="82"/>
    </row>
    <row r="534" spans="1:11" s="37" customFormat="1" ht="23.25" x14ac:dyDescent="0.35">
      <c r="C534" s="41"/>
      <c r="E534" s="57"/>
      <c r="F534" s="42"/>
      <c r="G534" s="80"/>
      <c r="I534" s="76"/>
      <c r="J534" s="76"/>
      <c r="K534" s="77"/>
    </row>
    <row r="535" spans="1:11" s="37" customFormat="1" ht="23.25" x14ac:dyDescent="0.35">
      <c r="C535" s="41"/>
      <c r="E535" s="57"/>
      <c r="F535" s="42"/>
      <c r="G535" s="80"/>
      <c r="I535" s="76"/>
      <c r="J535" s="79"/>
      <c r="K535" s="81"/>
    </row>
    <row r="536" spans="1:11" s="37" customFormat="1" ht="23.25" x14ac:dyDescent="0.35">
      <c r="C536" s="41"/>
      <c r="E536" s="57"/>
      <c r="F536" s="42"/>
      <c r="G536" s="80"/>
      <c r="J536" s="79"/>
      <c r="K536" s="76"/>
    </row>
    <row r="537" spans="1:11" s="37" customFormat="1" ht="23.25" x14ac:dyDescent="0.35">
      <c r="C537" s="41"/>
      <c r="E537" s="57"/>
      <c r="F537" s="42"/>
      <c r="G537" s="80"/>
    </row>
    <row r="538" spans="1:11" s="37" customFormat="1" ht="23.25" x14ac:dyDescent="0.35">
      <c r="C538" s="41"/>
      <c r="E538" s="57"/>
      <c r="F538" s="42"/>
      <c r="G538" s="80"/>
      <c r="I538" s="79"/>
      <c r="J538" s="79"/>
      <c r="K538" s="79"/>
    </row>
    <row r="539" spans="1:11" s="37" customFormat="1" ht="23.25" x14ac:dyDescent="0.35">
      <c r="A539" s="76"/>
      <c r="B539" s="76"/>
      <c r="C539" s="77"/>
      <c r="D539" s="76"/>
      <c r="E539" s="57"/>
      <c r="F539" s="78"/>
      <c r="G539" s="78"/>
      <c r="H539" s="76"/>
      <c r="I539" s="79"/>
      <c r="J539" s="81"/>
      <c r="K539" s="79"/>
    </row>
    <row r="540" spans="1:11" s="37" customFormat="1" ht="23.25" x14ac:dyDescent="0.35">
      <c r="C540" s="41"/>
      <c r="E540" s="57"/>
      <c r="F540" s="42"/>
      <c r="G540" s="80"/>
      <c r="I540" s="76"/>
      <c r="J540" s="79"/>
      <c r="K540" s="82"/>
    </row>
    <row r="541" spans="1:11" s="37" customFormat="1" ht="23.25" x14ac:dyDescent="0.35">
      <c r="C541" s="41"/>
      <c r="E541" s="57"/>
      <c r="F541" s="42"/>
      <c r="G541" s="80"/>
      <c r="I541" s="79"/>
      <c r="J541" s="79"/>
      <c r="K541" s="77"/>
    </row>
    <row r="542" spans="1:11" s="37" customFormat="1" ht="23.25" x14ac:dyDescent="0.35">
      <c r="C542" s="41"/>
      <c r="E542" s="57"/>
      <c r="F542" s="42"/>
      <c r="G542" s="80"/>
      <c r="I542" s="79"/>
      <c r="J542" s="79"/>
      <c r="K542" s="76"/>
    </row>
    <row r="543" spans="1:11" s="37" customFormat="1" ht="23.25" x14ac:dyDescent="0.35">
      <c r="C543" s="41"/>
      <c r="E543" s="57"/>
      <c r="F543" s="42"/>
      <c r="G543" s="80"/>
      <c r="I543" s="79"/>
      <c r="J543" s="79"/>
      <c r="K543" s="82"/>
    </row>
    <row r="544" spans="1:11" s="37" customFormat="1" ht="23.25" x14ac:dyDescent="0.35">
      <c r="C544" s="41"/>
      <c r="E544" s="57"/>
      <c r="F544" s="42"/>
      <c r="G544" s="80"/>
      <c r="I544" s="76"/>
      <c r="J544" s="79"/>
      <c r="K544" s="81"/>
    </row>
    <row r="545" spans="1:11" s="37" customFormat="1" ht="23.25" x14ac:dyDescent="0.35">
      <c r="C545" s="41"/>
      <c r="E545" s="57"/>
      <c r="F545" s="42"/>
      <c r="G545" s="80"/>
      <c r="I545" s="76"/>
      <c r="J545" s="79"/>
      <c r="K545" s="76"/>
    </row>
    <row r="546" spans="1:11" s="37" customFormat="1" ht="23.25" x14ac:dyDescent="0.35">
      <c r="C546" s="41"/>
      <c r="E546" s="57"/>
      <c r="F546" s="42"/>
      <c r="G546" s="80"/>
      <c r="I546" s="76"/>
      <c r="J546" s="79"/>
      <c r="K546" s="76"/>
    </row>
    <row r="547" spans="1:11" s="37" customFormat="1" ht="23.25" x14ac:dyDescent="0.35">
      <c r="C547" s="41"/>
      <c r="E547" s="57"/>
      <c r="F547" s="42"/>
      <c r="G547" s="80"/>
      <c r="I547" s="76"/>
      <c r="J547" s="79"/>
      <c r="K547" s="76"/>
    </row>
    <row r="548" spans="1:11" s="37" customFormat="1" ht="23.25" x14ac:dyDescent="0.35">
      <c r="C548" s="41"/>
      <c r="E548" s="57"/>
      <c r="F548" s="42"/>
      <c r="G548" s="80"/>
      <c r="I548" s="76"/>
      <c r="J548" s="79"/>
      <c r="K548" s="76"/>
    </row>
    <row r="549" spans="1:11" s="37" customFormat="1" ht="23.25" x14ac:dyDescent="0.35">
      <c r="C549" s="41"/>
      <c r="E549" s="57"/>
      <c r="F549" s="42"/>
      <c r="G549" s="80"/>
      <c r="I549" s="76"/>
      <c r="J549" s="79"/>
      <c r="K549" s="76"/>
    </row>
    <row r="550" spans="1:11" s="37" customFormat="1" ht="23.25" x14ac:dyDescent="0.35">
      <c r="C550" s="41"/>
      <c r="E550" s="57"/>
      <c r="F550" s="42"/>
      <c r="G550" s="80"/>
      <c r="J550" s="79"/>
    </row>
    <row r="551" spans="1:11" s="37" customFormat="1" ht="23.25" x14ac:dyDescent="0.35">
      <c r="C551" s="41"/>
      <c r="E551" s="57"/>
      <c r="F551" s="42"/>
      <c r="G551" s="80"/>
      <c r="I551" s="79"/>
      <c r="J551" s="79"/>
      <c r="K551" s="79"/>
    </row>
    <row r="552" spans="1:11" s="37" customFormat="1" ht="23.25" x14ac:dyDescent="0.35">
      <c r="A552" s="76"/>
      <c r="B552" s="76"/>
      <c r="C552" s="77"/>
      <c r="D552" s="76"/>
      <c r="E552" s="57"/>
      <c r="F552" s="78"/>
      <c r="G552" s="78"/>
      <c r="H552" s="76"/>
      <c r="I552" s="79"/>
      <c r="J552" s="81"/>
      <c r="K552" s="79"/>
    </row>
    <row r="553" spans="1:11" s="37" customFormat="1" ht="23.25" x14ac:dyDescent="0.35">
      <c r="C553" s="41"/>
      <c r="E553" s="57"/>
      <c r="F553" s="42"/>
      <c r="G553" s="80"/>
      <c r="I553" s="76"/>
      <c r="J553" s="79"/>
      <c r="K553" s="82"/>
    </row>
    <row r="554" spans="1:11" s="37" customFormat="1" ht="23.25" x14ac:dyDescent="0.35">
      <c r="C554" s="41"/>
      <c r="E554" s="57"/>
      <c r="F554" s="42"/>
      <c r="G554" s="80"/>
      <c r="I554" s="79"/>
      <c r="J554" s="79"/>
      <c r="K554" s="77"/>
    </row>
    <row r="555" spans="1:11" s="37" customFormat="1" ht="23.25" x14ac:dyDescent="0.35">
      <c r="C555" s="41"/>
      <c r="E555" s="57"/>
      <c r="F555" s="42"/>
      <c r="G555" s="80"/>
      <c r="I555" s="79"/>
      <c r="J555" s="79"/>
      <c r="K555" s="76"/>
    </row>
    <row r="556" spans="1:11" s="37" customFormat="1" ht="23.25" x14ac:dyDescent="0.35">
      <c r="C556" s="41"/>
      <c r="E556" s="57"/>
      <c r="F556" s="42"/>
      <c r="G556" s="80"/>
      <c r="I556" s="79"/>
      <c r="J556" s="79"/>
      <c r="K556" s="82"/>
    </row>
    <row r="557" spans="1:11" s="37" customFormat="1" ht="23.25" x14ac:dyDescent="0.35">
      <c r="C557" s="41"/>
      <c r="E557" s="57"/>
      <c r="F557" s="42"/>
      <c r="G557" s="80"/>
      <c r="I557" s="76"/>
      <c r="J557" s="79"/>
      <c r="K557" s="81"/>
    </row>
    <row r="558" spans="1:11" s="37" customFormat="1" ht="23.25" x14ac:dyDescent="0.35">
      <c r="C558" s="41"/>
      <c r="E558" s="57"/>
      <c r="F558" s="42"/>
      <c r="G558" s="80"/>
      <c r="I558" s="76"/>
      <c r="J558" s="76"/>
      <c r="K558" s="77"/>
    </row>
    <row r="559" spans="1:11" s="37" customFormat="1" ht="23.25" x14ac:dyDescent="0.35">
      <c r="C559" s="41"/>
      <c r="E559" s="57"/>
      <c r="F559" s="42"/>
      <c r="G559" s="80"/>
      <c r="I559" s="76"/>
      <c r="J559" s="79"/>
      <c r="K559" s="76"/>
    </row>
    <row r="560" spans="1:11" s="37" customFormat="1" ht="23.25" x14ac:dyDescent="0.35">
      <c r="C560" s="41"/>
      <c r="E560" s="57"/>
      <c r="F560" s="42"/>
      <c r="G560" s="80"/>
      <c r="I560" s="76"/>
      <c r="J560" s="79"/>
      <c r="K560" s="76"/>
    </row>
    <row r="561" spans="1:11" s="37" customFormat="1" ht="23.25" x14ac:dyDescent="0.35">
      <c r="C561" s="41"/>
      <c r="E561" s="57"/>
      <c r="F561" s="42"/>
      <c r="G561" s="80"/>
      <c r="I561" s="79"/>
      <c r="J561" s="79"/>
      <c r="K561" s="79"/>
    </row>
    <row r="562" spans="1:11" s="37" customFormat="1" ht="23.25" x14ac:dyDescent="0.35">
      <c r="A562" s="76"/>
      <c r="B562" s="76"/>
      <c r="C562" s="77"/>
      <c r="D562" s="76"/>
      <c r="E562" s="57"/>
      <c r="F562" s="78"/>
      <c r="G562" s="78"/>
      <c r="H562" s="76"/>
      <c r="I562" s="79"/>
      <c r="J562" s="81"/>
      <c r="K562" s="79"/>
    </row>
    <row r="563" spans="1:11" s="37" customFormat="1" ht="23.25" x14ac:dyDescent="0.35">
      <c r="C563" s="41"/>
      <c r="E563" s="57"/>
      <c r="F563" s="42"/>
      <c r="G563" s="80"/>
      <c r="I563" s="76"/>
      <c r="J563" s="79"/>
      <c r="K563" s="82"/>
    </row>
    <row r="564" spans="1:11" s="37" customFormat="1" ht="23.25" x14ac:dyDescent="0.35">
      <c r="C564" s="41"/>
      <c r="E564" s="57"/>
      <c r="F564" s="42"/>
      <c r="G564" s="80"/>
      <c r="I564" s="79"/>
      <c r="J564" s="79"/>
      <c r="K564" s="77"/>
    </row>
    <row r="565" spans="1:11" s="37" customFormat="1" ht="23.25" x14ac:dyDescent="0.35">
      <c r="C565" s="41"/>
      <c r="E565" s="57"/>
      <c r="F565" s="42"/>
      <c r="G565" s="80"/>
      <c r="H565" s="76"/>
      <c r="I565" s="79"/>
      <c r="J565" s="79"/>
      <c r="K565" s="76"/>
    </row>
    <row r="566" spans="1:11" s="37" customFormat="1" ht="23.25" x14ac:dyDescent="0.35">
      <c r="C566" s="41"/>
      <c r="E566" s="57"/>
      <c r="F566" s="42"/>
      <c r="G566" s="80"/>
      <c r="I566" s="79"/>
      <c r="J566" s="79"/>
      <c r="K566" s="82"/>
    </row>
    <row r="567" spans="1:11" s="37" customFormat="1" ht="23.25" x14ac:dyDescent="0.35">
      <c r="C567" s="41"/>
      <c r="E567" s="57"/>
      <c r="F567" s="42"/>
      <c r="G567" s="80"/>
      <c r="I567" s="76"/>
      <c r="J567" s="76"/>
      <c r="K567" s="77"/>
    </row>
    <row r="568" spans="1:11" s="37" customFormat="1" ht="23.25" x14ac:dyDescent="0.35">
      <c r="C568" s="41"/>
      <c r="E568" s="57"/>
      <c r="F568" s="42"/>
      <c r="G568" s="80"/>
      <c r="I568" s="76"/>
      <c r="J568" s="76"/>
      <c r="K568" s="76"/>
    </row>
    <row r="569" spans="1:11" s="37" customFormat="1" ht="23.25" x14ac:dyDescent="0.35">
      <c r="C569" s="41"/>
      <c r="E569" s="57"/>
      <c r="F569" s="42"/>
      <c r="G569" s="80"/>
      <c r="I569" s="76"/>
      <c r="J569" s="79"/>
      <c r="K569" s="81"/>
    </row>
    <row r="570" spans="1:11" s="37" customFormat="1" ht="23.25" x14ac:dyDescent="0.35">
      <c r="C570" s="41"/>
      <c r="E570" s="57"/>
      <c r="F570" s="42"/>
      <c r="G570" s="80"/>
    </row>
    <row r="571" spans="1:11" s="37" customFormat="1" ht="23.25" x14ac:dyDescent="0.35">
      <c r="C571" s="41"/>
      <c r="E571" s="57"/>
      <c r="F571" s="42"/>
      <c r="G571" s="80"/>
      <c r="I571" s="79"/>
      <c r="J571" s="79"/>
      <c r="K571" s="79"/>
    </row>
    <row r="572" spans="1:11" s="37" customFormat="1" ht="23.25" x14ac:dyDescent="0.35">
      <c r="A572" s="76"/>
      <c r="B572" s="76"/>
      <c r="C572" s="76"/>
      <c r="D572" s="76"/>
      <c r="E572" s="57"/>
      <c r="F572" s="78"/>
      <c r="G572" s="78"/>
      <c r="H572" s="76"/>
      <c r="I572" s="79"/>
      <c r="J572" s="81"/>
      <c r="K572" s="79"/>
    </row>
    <row r="573" spans="1:11" s="37" customFormat="1" ht="23.25" x14ac:dyDescent="0.35">
      <c r="C573" s="41"/>
      <c r="E573" s="57"/>
      <c r="F573" s="42"/>
      <c r="G573" s="80"/>
      <c r="I573" s="76"/>
      <c r="J573" s="79"/>
      <c r="K573" s="82"/>
    </row>
    <row r="574" spans="1:11" s="37" customFormat="1" ht="23.25" x14ac:dyDescent="0.35">
      <c r="C574" s="41"/>
      <c r="E574" s="57"/>
      <c r="F574" s="42"/>
      <c r="G574" s="80"/>
      <c r="I574" s="79"/>
      <c r="J574" s="79"/>
      <c r="K574" s="77"/>
    </row>
    <row r="575" spans="1:11" s="37" customFormat="1" ht="23.25" x14ac:dyDescent="0.35">
      <c r="C575" s="41"/>
      <c r="E575" s="57"/>
      <c r="F575" s="42"/>
      <c r="G575" s="80"/>
      <c r="H575" s="76"/>
      <c r="I575" s="79"/>
      <c r="J575" s="79"/>
      <c r="K575" s="76"/>
    </row>
    <row r="576" spans="1:11" s="37" customFormat="1" ht="23.25" x14ac:dyDescent="0.35">
      <c r="C576" s="41"/>
      <c r="E576" s="57"/>
      <c r="F576" s="42"/>
      <c r="G576" s="80"/>
      <c r="I576" s="79"/>
      <c r="J576" s="79"/>
      <c r="K576" s="82"/>
    </row>
    <row r="577" spans="1:11" s="37" customFormat="1" ht="23.25" x14ac:dyDescent="0.35">
      <c r="C577" s="41"/>
      <c r="E577" s="57"/>
      <c r="F577" s="42"/>
      <c r="G577" s="80"/>
      <c r="I577" s="76"/>
      <c r="J577" s="79"/>
      <c r="K577" s="82"/>
    </row>
    <row r="578" spans="1:11" s="37" customFormat="1" ht="23.25" x14ac:dyDescent="0.35">
      <c r="C578" s="41"/>
      <c r="E578" s="57"/>
      <c r="F578" s="42"/>
      <c r="G578" s="80"/>
      <c r="I578" s="76"/>
      <c r="J578" s="76"/>
      <c r="K578" s="77"/>
    </row>
    <row r="579" spans="1:11" s="37" customFormat="1" ht="23.25" x14ac:dyDescent="0.35">
      <c r="C579" s="41"/>
      <c r="E579" s="57"/>
      <c r="F579" s="42"/>
      <c r="G579" s="80"/>
      <c r="I579" s="76"/>
      <c r="J579" s="76"/>
      <c r="K579" s="76"/>
    </row>
    <row r="580" spans="1:11" s="37" customFormat="1" ht="23.25" x14ac:dyDescent="0.35">
      <c r="C580" s="41"/>
      <c r="E580" s="57"/>
      <c r="F580" s="42"/>
      <c r="G580" s="80"/>
      <c r="I580" s="76"/>
      <c r="J580" s="76"/>
      <c r="K580" s="76"/>
    </row>
    <row r="581" spans="1:11" s="37" customFormat="1" ht="23.25" x14ac:dyDescent="0.35">
      <c r="C581" s="41"/>
      <c r="E581" s="57"/>
      <c r="F581" s="42"/>
      <c r="G581" s="80"/>
      <c r="I581" s="79"/>
      <c r="J581" s="79"/>
      <c r="K581" s="79"/>
    </row>
    <row r="582" spans="1:11" s="37" customFormat="1" ht="23.25" x14ac:dyDescent="0.35">
      <c r="A582" s="76"/>
      <c r="B582" s="76"/>
      <c r="C582" s="76"/>
      <c r="D582" s="76"/>
      <c r="E582" s="57"/>
      <c r="F582" s="78"/>
      <c r="G582" s="78"/>
      <c r="H582" s="76"/>
      <c r="I582" s="79"/>
      <c r="J582" s="81"/>
      <c r="K582" s="79"/>
    </row>
    <row r="583" spans="1:11" s="37" customFormat="1" ht="23.25" x14ac:dyDescent="0.35">
      <c r="C583" s="41"/>
      <c r="E583" s="57"/>
      <c r="F583" s="42"/>
      <c r="G583" s="80"/>
      <c r="I583" s="76"/>
      <c r="J583" s="79"/>
      <c r="K583" s="82"/>
    </row>
    <row r="584" spans="1:11" s="37" customFormat="1" ht="18" customHeight="1" x14ac:dyDescent="0.35">
      <c r="C584" s="41"/>
      <c r="E584" s="57"/>
      <c r="F584" s="42"/>
      <c r="G584" s="80"/>
      <c r="I584" s="79"/>
      <c r="J584" s="79"/>
      <c r="K584" s="77"/>
    </row>
    <row r="585" spans="1:11" s="37" customFormat="1" ht="23.25" x14ac:dyDescent="0.35">
      <c r="C585" s="41"/>
      <c r="E585" s="57"/>
      <c r="F585" s="42"/>
      <c r="G585" s="80"/>
      <c r="H585" s="76"/>
      <c r="I585" s="79"/>
      <c r="J585" s="79"/>
      <c r="K585" s="76"/>
    </row>
    <row r="586" spans="1:11" s="37" customFormat="1" ht="23.25" x14ac:dyDescent="0.35">
      <c r="C586" s="41"/>
      <c r="E586" s="57"/>
      <c r="F586" s="42"/>
      <c r="G586" s="80"/>
      <c r="I586" s="79"/>
      <c r="J586" s="79"/>
      <c r="K586" s="82"/>
    </row>
    <row r="587" spans="1:11" s="37" customFormat="1" ht="23.25" x14ac:dyDescent="0.35">
      <c r="C587" s="41"/>
      <c r="E587" s="57"/>
      <c r="F587" s="42"/>
      <c r="G587" s="80"/>
      <c r="I587" s="76"/>
      <c r="J587" s="76"/>
      <c r="K587" s="77"/>
    </row>
    <row r="588" spans="1:11" s="37" customFormat="1" ht="23.25" x14ac:dyDescent="0.35">
      <c r="C588" s="41"/>
      <c r="E588" s="57"/>
      <c r="F588" s="42"/>
      <c r="G588" s="80"/>
      <c r="I588" s="76"/>
      <c r="J588" s="79"/>
      <c r="K588" s="76"/>
    </row>
    <row r="589" spans="1:11" s="37" customFormat="1" ht="23.25" x14ac:dyDescent="0.35">
      <c r="C589" s="41"/>
      <c r="E589" s="57"/>
      <c r="F589" s="42"/>
      <c r="G589" s="80"/>
      <c r="J589" s="76"/>
      <c r="K589" s="76"/>
    </row>
    <row r="590" spans="1:11" s="37" customFormat="1" ht="23.25" x14ac:dyDescent="0.35">
      <c r="C590" s="41"/>
      <c r="E590" s="57"/>
      <c r="F590" s="42"/>
      <c r="G590" s="80"/>
      <c r="I590" s="79"/>
      <c r="J590" s="76"/>
      <c r="K590" s="76"/>
    </row>
    <row r="591" spans="1:11" s="37" customFormat="1" ht="23.25" x14ac:dyDescent="0.35">
      <c r="C591" s="41"/>
      <c r="E591" s="57"/>
      <c r="F591" s="42"/>
      <c r="G591" s="80"/>
      <c r="I591" s="76"/>
      <c r="J591" s="79"/>
      <c r="K591" s="76"/>
    </row>
    <row r="592" spans="1:11" s="37" customFormat="1" ht="23.25" x14ac:dyDescent="0.35">
      <c r="C592" s="41"/>
      <c r="E592" s="57"/>
      <c r="F592" s="42"/>
      <c r="G592" s="80"/>
    </row>
    <row r="593" spans="1:11" s="37" customFormat="1" ht="23.25" x14ac:dyDescent="0.35">
      <c r="C593" s="41"/>
      <c r="E593" s="57"/>
      <c r="F593" s="42"/>
      <c r="G593" s="80"/>
      <c r="I593" s="79"/>
      <c r="J593" s="79"/>
      <c r="K593" s="79"/>
    </row>
    <row r="594" spans="1:11" s="37" customFormat="1" ht="23.25" x14ac:dyDescent="0.35">
      <c r="A594" s="76"/>
      <c r="B594" s="76"/>
      <c r="C594" s="77"/>
      <c r="D594" s="76"/>
      <c r="E594" s="57"/>
      <c r="F594" s="78"/>
      <c r="G594" s="78"/>
      <c r="H594" s="76"/>
      <c r="I594" s="79"/>
      <c r="J594" s="81"/>
      <c r="K594" s="79"/>
    </row>
    <row r="595" spans="1:11" s="37" customFormat="1" ht="23.25" x14ac:dyDescent="0.35">
      <c r="C595" s="41"/>
      <c r="E595" s="57"/>
      <c r="F595" s="42"/>
      <c r="G595" s="80"/>
      <c r="I595" s="76"/>
      <c r="J595" s="79"/>
      <c r="K595" s="82"/>
    </row>
    <row r="596" spans="1:11" s="37" customFormat="1" ht="23.25" x14ac:dyDescent="0.35">
      <c r="C596" s="41"/>
      <c r="E596" s="57"/>
      <c r="F596" s="42"/>
      <c r="G596" s="80"/>
      <c r="I596" s="79"/>
      <c r="J596" s="79"/>
      <c r="K596" s="77"/>
    </row>
    <row r="597" spans="1:11" s="37" customFormat="1" ht="23.25" x14ac:dyDescent="0.35">
      <c r="C597" s="41"/>
      <c r="E597" s="57"/>
      <c r="F597" s="42"/>
      <c r="G597" s="80"/>
      <c r="I597" s="79"/>
      <c r="J597" s="79"/>
      <c r="K597" s="76"/>
    </row>
    <row r="598" spans="1:11" s="37" customFormat="1" ht="23.25" x14ac:dyDescent="0.35">
      <c r="C598" s="41"/>
      <c r="E598" s="57"/>
      <c r="F598" s="42"/>
      <c r="G598" s="80"/>
      <c r="I598" s="79"/>
      <c r="J598" s="79"/>
      <c r="K598" s="82"/>
    </row>
    <row r="599" spans="1:11" s="37" customFormat="1" ht="23.25" x14ac:dyDescent="0.35">
      <c r="C599" s="41"/>
      <c r="E599" s="57"/>
      <c r="F599" s="42"/>
      <c r="G599" s="80"/>
      <c r="I599" s="76"/>
      <c r="J599" s="79"/>
      <c r="K599" s="81"/>
    </row>
    <row r="600" spans="1:11" s="37" customFormat="1" ht="23.25" x14ac:dyDescent="0.35">
      <c r="C600" s="41"/>
      <c r="E600" s="57"/>
      <c r="F600" s="42"/>
      <c r="G600" s="80"/>
      <c r="I600" s="76"/>
      <c r="J600" s="79"/>
      <c r="K600" s="76"/>
    </row>
    <row r="601" spans="1:11" s="37" customFormat="1" ht="23.25" x14ac:dyDescent="0.35">
      <c r="C601" s="41"/>
      <c r="E601" s="57"/>
      <c r="F601" s="42"/>
      <c r="G601" s="80"/>
      <c r="I601" s="76"/>
      <c r="J601" s="79"/>
      <c r="K601" s="76"/>
    </row>
    <row r="602" spans="1:11" s="37" customFormat="1" ht="23.25" x14ac:dyDescent="0.35">
      <c r="C602" s="41"/>
      <c r="E602" s="57"/>
      <c r="F602" s="42"/>
      <c r="G602" s="80"/>
      <c r="I602" s="76"/>
      <c r="J602" s="76"/>
      <c r="K602" s="76"/>
    </row>
    <row r="603" spans="1:11" s="37" customFormat="1" ht="23.25" x14ac:dyDescent="0.35">
      <c r="C603" s="41"/>
      <c r="E603" s="57"/>
      <c r="F603" s="42"/>
      <c r="G603" s="80"/>
      <c r="I603" s="76"/>
      <c r="J603" s="79"/>
      <c r="K603" s="76"/>
    </row>
    <row r="604" spans="1:11" s="37" customFormat="1" ht="23.25" x14ac:dyDescent="0.35">
      <c r="C604" s="41"/>
      <c r="E604" s="57"/>
      <c r="F604" s="42"/>
      <c r="G604" s="80"/>
    </row>
    <row r="605" spans="1:11" s="37" customFormat="1" ht="23.25" x14ac:dyDescent="0.35">
      <c r="C605" s="41"/>
      <c r="E605" s="57"/>
      <c r="F605" s="42"/>
      <c r="G605" s="80"/>
      <c r="I605" s="79"/>
      <c r="J605" s="79"/>
      <c r="K605" s="79"/>
    </row>
    <row r="606" spans="1:11" s="37" customFormat="1" ht="23.25" x14ac:dyDescent="0.35">
      <c r="A606" s="76"/>
      <c r="B606" s="76"/>
      <c r="C606" s="91"/>
      <c r="D606" s="76"/>
      <c r="E606" s="57"/>
      <c r="F606" s="78"/>
      <c r="G606" s="78"/>
      <c r="H606" s="76"/>
      <c r="I606" s="79"/>
      <c r="J606" s="81"/>
      <c r="K606" s="79"/>
    </row>
    <row r="607" spans="1:11" s="37" customFormat="1" ht="23.25" x14ac:dyDescent="0.35">
      <c r="C607" s="41"/>
      <c r="E607" s="57"/>
      <c r="F607" s="42"/>
      <c r="G607" s="80"/>
      <c r="I607" s="76"/>
      <c r="J607" s="79"/>
      <c r="K607" s="82"/>
    </row>
    <row r="608" spans="1:11" s="37" customFormat="1" ht="23.25" x14ac:dyDescent="0.35">
      <c r="C608" s="41"/>
      <c r="E608" s="57"/>
      <c r="F608" s="42"/>
      <c r="G608" s="80"/>
      <c r="I608" s="79"/>
      <c r="J608" s="79"/>
      <c r="K608" s="77"/>
    </row>
    <row r="609" spans="1:11" s="37" customFormat="1" ht="23.25" x14ac:dyDescent="0.35">
      <c r="C609" s="41"/>
      <c r="E609" s="57"/>
      <c r="F609" s="42"/>
      <c r="G609" s="80"/>
      <c r="H609" s="76"/>
      <c r="I609" s="79"/>
      <c r="J609" s="79"/>
      <c r="K609" s="76"/>
    </row>
    <row r="610" spans="1:11" s="37" customFormat="1" ht="23.25" x14ac:dyDescent="0.35">
      <c r="C610" s="41"/>
      <c r="E610" s="57"/>
      <c r="F610" s="42"/>
      <c r="G610" s="80"/>
      <c r="I610" s="79"/>
      <c r="J610" s="79"/>
      <c r="K610" s="82"/>
    </row>
    <row r="611" spans="1:11" s="37" customFormat="1" ht="23.25" x14ac:dyDescent="0.35">
      <c r="C611" s="41"/>
      <c r="E611" s="57"/>
      <c r="F611" s="42"/>
      <c r="G611" s="80"/>
      <c r="I611" s="76"/>
      <c r="J611" s="76"/>
      <c r="K611" s="77"/>
    </row>
    <row r="612" spans="1:11" s="37" customFormat="1" ht="23.25" x14ac:dyDescent="0.35">
      <c r="C612" s="41"/>
      <c r="E612" s="57"/>
      <c r="F612" s="42"/>
      <c r="G612" s="80"/>
      <c r="I612" s="76"/>
      <c r="J612" s="79"/>
      <c r="K612" s="76"/>
    </row>
    <row r="613" spans="1:11" s="37" customFormat="1" ht="23.25" x14ac:dyDescent="0.35">
      <c r="C613" s="41"/>
      <c r="E613" s="57"/>
      <c r="F613" s="42"/>
      <c r="G613" s="80"/>
      <c r="I613" s="79"/>
      <c r="J613" s="79"/>
      <c r="K613" s="76"/>
    </row>
    <row r="614" spans="1:11" s="37" customFormat="1" ht="23.25" x14ac:dyDescent="0.35">
      <c r="C614" s="41"/>
      <c r="E614" s="57"/>
      <c r="F614" s="42"/>
      <c r="G614" s="80"/>
    </row>
    <row r="615" spans="1:11" s="37" customFormat="1" ht="23.25" x14ac:dyDescent="0.35">
      <c r="C615" s="41"/>
      <c r="E615" s="57"/>
      <c r="F615" s="42"/>
      <c r="G615" s="80"/>
      <c r="I615" s="79"/>
      <c r="J615" s="79"/>
      <c r="K615" s="79"/>
    </row>
    <row r="616" spans="1:11" s="37" customFormat="1" ht="23.25" x14ac:dyDescent="0.35">
      <c r="A616" s="76"/>
      <c r="B616" s="76"/>
      <c r="C616" s="76"/>
      <c r="D616" s="76"/>
      <c r="E616" s="57"/>
      <c r="F616" s="78"/>
      <c r="G616" s="78"/>
      <c r="H616" s="76"/>
      <c r="I616" s="79"/>
      <c r="J616" s="81"/>
      <c r="K616" s="79"/>
    </row>
    <row r="617" spans="1:11" s="37" customFormat="1" ht="23.25" x14ac:dyDescent="0.35">
      <c r="C617" s="41"/>
      <c r="E617" s="57"/>
      <c r="F617" s="42"/>
      <c r="G617" s="80"/>
      <c r="I617" s="76"/>
      <c r="J617" s="79"/>
      <c r="K617" s="82"/>
    </row>
    <row r="618" spans="1:11" s="37" customFormat="1" ht="23.25" x14ac:dyDescent="0.35">
      <c r="C618" s="41"/>
      <c r="E618" s="57"/>
      <c r="F618" s="42"/>
      <c r="G618" s="80"/>
      <c r="I618" s="79"/>
      <c r="J618" s="79"/>
      <c r="K618" s="77"/>
    </row>
    <row r="619" spans="1:11" s="37" customFormat="1" ht="23.25" x14ac:dyDescent="0.35">
      <c r="C619" s="41"/>
      <c r="E619" s="57"/>
      <c r="F619" s="42"/>
      <c r="G619" s="80"/>
      <c r="H619" s="76"/>
      <c r="I619" s="79"/>
      <c r="J619" s="79"/>
      <c r="K619" s="76"/>
    </row>
    <row r="620" spans="1:11" s="37" customFormat="1" ht="23.25" x14ac:dyDescent="0.35">
      <c r="C620" s="41"/>
      <c r="E620" s="57"/>
      <c r="F620" s="42"/>
      <c r="G620" s="80"/>
      <c r="I620" s="79"/>
      <c r="J620" s="79"/>
      <c r="K620" s="82"/>
    </row>
    <row r="621" spans="1:11" s="37" customFormat="1" ht="23.25" x14ac:dyDescent="0.35">
      <c r="C621" s="41"/>
      <c r="E621" s="57"/>
      <c r="F621" s="42"/>
      <c r="G621" s="80"/>
      <c r="I621" s="76"/>
      <c r="J621" s="76"/>
      <c r="K621" s="77"/>
    </row>
    <row r="622" spans="1:11" s="37" customFormat="1" ht="23.25" x14ac:dyDescent="0.35">
      <c r="C622" s="41"/>
      <c r="E622" s="57"/>
      <c r="F622" s="42"/>
      <c r="G622" s="80"/>
      <c r="I622" s="76"/>
      <c r="J622" s="76"/>
      <c r="K622" s="76"/>
    </row>
    <row r="623" spans="1:11" s="37" customFormat="1" ht="23.25" x14ac:dyDescent="0.35">
      <c r="C623" s="41"/>
      <c r="E623" s="57"/>
      <c r="F623" s="42"/>
      <c r="G623" s="80"/>
      <c r="I623" s="76"/>
      <c r="J623" s="79"/>
      <c r="K623" s="81"/>
    </row>
    <row r="624" spans="1:11" s="37" customFormat="1" ht="23.25" x14ac:dyDescent="0.35">
      <c r="C624" s="41"/>
      <c r="E624" s="57"/>
      <c r="F624" s="42"/>
      <c r="G624" s="80"/>
      <c r="I624" s="76"/>
      <c r="J624" s="76"/>
      <c r="K624" s="76"/>
    </row>
    <row r="625" spans="1:11" s="37" customFormat="1" ht="23.25" x14ac:dyDescent="0.35">
      <c r="C625" s="41"/>
      <c r="E625" s="57"/>
      <c r="F625" s="42"/>
      <c r="G625" s="80"/>
      <c r="I625" s="76"/>
      <c r="J625" s="76"/>
      <c r="K625" s="76"/>
    </row>
    <row r="626" spans="1:11" s="37" customFormat="1" ht="23.25" x14ac:dyDescent="0.35">
      <c r="C626" s="41"/>
      <c r="E626" s="57"/>
      <c r="F626" s="42"/>
      <c r="G626" s="80"/>
      <c r="J626" s="76"/>
      <c r="K626" s="76"/>
    </row>
    <row r="627" spans="1:11" s="37" customFormat="1" ht="23.25" x14ac:dyDescent="0.35">
      <c r="C627" s="41"/>
      <c r="E627" s="57"/>
      <c r="F627" s="42"/>
      <c r="G627" s="80"/>
    </row>
    <row r="628" spans="1:11" s="37" customFormat="1" ht="23.25" x14ac:dyDescent="0.35">
      <c r="C628" s="41"/>
      <c r="E628" s="57"/>
      <c r="F628" s="42"/>
      <c r="G628" s="80"/>
      <c r="I628" s="79"/>
      <c r="J628" s="79"/>
      <c r="K628" s="79"/>
    </row>
    <row r="629" spans="1:11" s="37" customFormat="1" ht="23.25" x14ac:dyDescent="0.35">
      <c r="A629" s="76"/>
      <c r="B629" s="76"/>
      <c r="C629" s="77"/>
      <c r="D629" s="76"/>
      <c r="E629" s="57"/>
      <c r="F629" s="78"/>
      <c r="G629" s="78"/>
      <c r="H629" s="76"/>
      <c r="I629" s="79"/>
      <c r="J629" s="81"/>
      <c r="K629" s="79"/>
    </row>
    <row r="630" spans="1:11" s="37" customFormat="1" ht="23.25" x14ac:dyDescent="0.35">
      <c r="C630" s="41"/>
      <c r="E630" s="57"/>
      <c r="F630" s="42"/>
      <c r="G630" s="80"/>
      <c r="I630" s="76"/>
      <c r="J630" s="79"/>
      <c r="K630" s="82"/>
    </row>
    <row r="631" spans="1:11" s="37" customFormat="1" ht="23.25" x14ac:dyDescent="0.35">
      <c r="C631" s="41"/>
      <c r="E631" s="57"/>
      <c r="F631" s="42"/>
      <c r="G631" s="80"/>
      <c r="I631" s="79"/>
      <c r="J631" s="79"/>
      <c r="K631" s="77"/>
    </row>
    <row r="632" spans="1:11" s="37" customFormat="1" ht="23.25" x14ac:dyDescent="0.35">
      <c r="C632" s="41"/>
      <c r="E632" s="57"/>
      <c r="F632" s="42"/>
      <c r="G632" s="80"/>
      <c r="I632" s="79"/>
      <c r="J632" s="79"/>
      <c r="K632" s="76"/>
    </row>
    <row r="633" spans="1:11" s="37" customFormat="1" ht="23.25" x14ac:dyDescent="0.35">
      <c r="C633" s="41"/>
      <c r="D633" s="76"/>
      <c r="E633" s="57"/>
      <c r="F633" s="78"/>
      <c r="G633" s="78"/>
      <c r="H633" s="76"/>
      <c r="I633" s="79"/>
      <c r="J633" s="79"/>
      <c r="K633" s="82"/>
    </row>
    <row r="634" spans="1:11" s="37" customFormat="1" ht="23.25" x14ac:dyDescent="0.35">
      <c r="C634" s="41"/>
      <c r="E634" s="57"/>
      <c r="F634" s="42"/>
      <c r="G634" s="80"/>
      <c r="I634" s="76"/>
      <c r="J634" s="79"/>
      <c r="K634" s="81"/>
    </row>
    <row r="635" spans="1:11" s="37" customFormat="1" ht="23.25" x14ac:dyDescent="0.35">
      <c r="C635" s="41"/>
      <c r="E635" s="57"/>
      <c r="F635" s="42"/>
      <c r="G635" s="80"/>
      <c r="I635" s="76"/>
      <c r="J635" s="79"/>
      <c r="K635" s="76"/>
    </row>
    <row r="636" spans="1:11" s="37" customFormat="1" ht="23.25" hidden="1" x14ac:dyDescent="0.35">
      <c r="C636" s="41"/>
      <c r="E636" s="57"/>
      <c r="F636" s="42"/>
      <c r="G636" s="80"/>
      <c r="I636" s="76"/>
      <c r="J636" s="76"/>
      <c r="K636" s="77"/>
    </row>
    <row r="637" spans="1:11" s="37" customFormat="1" ht="23.25" x14ac:dyDescent="0.35">
      <c r="C637" s="41"/>
      <c r="E637" s="57"/>
      <c r="F637" s="42"/>
      <c r="G637" s="80"/>
      <c r="I637" s="76"/>
      <c r="J637" s="76"/>
      <c r="K637" s="76"/>
    </row>
    <row r="638" spans="1:11" s="37" customFormat="1" ht="23.25" x14ac:dyDescent="0.35">
      <c r="C638" s="41"/>
      <c r="E638" s="57"/>
      <c r="F638" s="42"/>
      <c r="G638" s="80"/>
      <c r="I638" s="76"/>
      <c r="J638" s="76"/>
      <c r="K638" s="76"/>
    </row>
    <row r="639" spans="1:11" s="37" customFormat="1" ht="23.25" x14ac:dyDescent="0.35">
      <c r="C639" s="41"/>
      <c r="E639" s="57"/>
      <c r="F639" s="42"/>
      <c r="G639" s="80"/>
      <c r="I639" s="76"/>
      <c r="J639" s="77"/>
      <c r="K639" s="76"/>
    </row>
    <row r="640" spans="1:11" s="37" customFormat="1" ht="23.25" x14ac:dyDescent="0.35">
      <c r="C640" s="41"/>
      <c r="E640" s="57"/>
      <c r="F640" s="42"/>
      <c r="G640" s="80"/>
    </row>
    <row r="641" spans="1:13" s="37" customFormat="1" ht="23.25" x14ac:dyDescent="0.35">
      <c r="C641" s="41"/>
      <c r="E641" s="57"/>
      <c r="F641" s="42"/>
      <c r="G641" s="80"/>
      <c r="I641" s="79"/>
      <c r="J641" s="79"/>
      <c r="K641" s="79"/>
    </row>
    <row r="642" spans="1:13" s="37" customFormat="1" ht="23.25" x14ac:dyDescent="0.35">
      <c r="A642" s="76"/>
      <c r="B642" s="76"/>
      <c r="C642" s="77"/>
      <c r="D642" s="76"/>
      <c r="E642" s="57"/>
      <c r="F642" s="78"/>
      <c r="G642" s="78"/>
      <c r="H642" s="76"/>
      <c r="I642" s="79"/>
      <c r="J642" s="81"/>
      <c r="K642" s="79"/>
    </row>
    <row r="643" spans="1:13" s="37" customFormat="1" ht="23.25" x14ac:dyDescent="0.35">
      <c r="C643" s="41"/>
      <c r="E643" s="57"/>
      <c r="F643" s="42"/>
      <c r="G643" s="80"/>
      <c r="I643" s="79"/>
      <c r="J643" s="79"/>
      <c r="K643" s="79"/>
    </row>
    <row r="644" spans="1:13" s="37" customFormat="1" ht="23.25" x14ac:dyDescent="0.35">
      <c r="A644" s="76"/>
      <c r="B644" s="76"/>
      <c r="C644" s="77"/>
      <c r="D644" s="76"/>
      <c r="E644" s="57"/>
      <c r="F644" s="78"/>
      <c r="G644" s="78"/>
      <c r="H644" s="76"/>
      <c r="I644" s="79"/>
      <c r="J644" s="81"/>
      <c r="K644" s="79"/>
    </row>
    <row r="645" spans="1:13" s="37" customFormat="1" ht="23.25" x14ac:dyDescent="0.35">
      <c r="C645" s="41"/>
      <c r="E645" s="57"/>
      <c r="F645" s="42"/>
      <c r="G645" s="80"/>
      <c r="I645" s="76"/>
      <c r="J645" s="79"/>
      <c r="K645" s="82"/>
    </row>
    <row r="646" spans="1:13" s="37" customFormat="1" ht="23.25" x14ac:dyDescent="0.35">
      <c r="C646" s="41"/>
      <c r="E646" s="57"/>
      <c r="F646" s="42"/>
      <c r="G646" s="80"/>
      <c r="I646" s="79"/>
      <c r="J646" s="79"/>
      <c r="K646" s="77"/>
    </row>
    <row r="647" spans="1:13" s="37" customFormat="1" ht="23.25" x14ac:dyDescent="0.35">
      <c r="C647" s="41"/>
      <c r="E647" s="57"/>
      <c r="F647" s="42"/>
      <c r="G647" s="80"/>
      <c r="H647" s="76"/>
      <c r="I647" s="79"/>
      <c r="J647" s="79"/>
      <c r="K647" s="76"/>
    </row>
    <row r="648" spans="1:13" s="37" customFormat="1" ht="23.25" x14ac:dyDescent="0.35">
      <c r="C648" s="41"/>
      <c r="E648" s="57"/>
      <c r="F648" s="42"/>
      <c r="G648" s="80"/>
      <c r="I648" s="79"/>
      <c r="J648" s="79"/>
      <c r="K648" s="82"/>
    </row>
    <row r="649" spans="1:13" s="37" customFormat="1" ht="23.25" x14ac:dyDescent="0.35">
      <c r="C649" s="41"/>
      <c r="E649" s="57"/>
      <c r="F649" s="42"/>
      <c r="G649" s="80"/>
      <c r="I649" s="76"/>
      <c r="J649" s="79"/>
      <c r="K649" s="79"/>
    </row>
    <row r="650" spans="1:13" s="37" customFormat="1" ht="23.25" x14ac:dyDescent="0.35">
      <c r="C650" s="41"/>
      <c r="E650" s="57"/>
      <c r="F650" s="42"/>
      <c r="G650" s="80"/>
      <c r="I650" s="76"/>
      <c r="J650" s="79"/>
      <c r="K650" s="76"/>
    </row>
    <row r="651" spans="1:13" s="37" customFormat="1" ht="23.25" x14ac:dyDescent="0.35">
      <c r="C651" s="41"/>
      <c r="E651" s="57"/>
      <c r="F651" s="42"/>
      <c r="G651" s="80"/>
      <c r="I651" s="79"/>
      <c r="J651" s="79"/>
      <c r="K651" s="79"/>
    </row>
    <row r="652" spans="1:13" s="37" customFormat="1" ht="23.25" x14ac:dyDescent="0.35">
      <c r="A652" s="76"/>
      <c r="B652" s="76"/>
      <c r="C652" s="77"/>
      <c r="D652" s="76"/>
      <c r="E652" s="57"/>
      <c r="F652" s="78"/>
      <c r="G652" s="78"/>
      <c r="H652" s="76"/>
      <c r="I652" s="76"/>
      <c r="J652" s="77"/>
      <c r="K652" s="76"/>
    </row>
    <row r="653" spans="1:13" s="37" customFormat="1" ht="23.25" x14ac:dyDescent="0.35">
      <c r="C653" s="41"/>
      <c r="E653" s="57"/>
      <c r="F653" s="42"/>
      <c r="G653" s="80"/>
    </row>
    <row r="654" spans="1:13" s="37" customFormat="1" ht="23.25" x14ac:dyDescent="0.35">
      <c r="C654" s="41"/>
      <c r="E654" s="57"/>
      <c r="F654" s="42"/>
      <c r="G654" s="80"/>
      <c r="I654" s="79"/>
      <c r="J654" s="79"/>
      <c r="K654" s="79"/>
      <c r="M654" s="79"/>
    </row>
    <row r="655" spans="1:13" s="37" customFormat="1" ht="23.25" x14ac:dyDescent="0.35">
      <c r="A655" s="76"/>
      <c r="B655" s="76"/>
      <c r="C655" s="77"/>
      <c r="D655" s="76"/>
      <c r="E655" s="57"/>
      <c r="F655" s="78"/>
      <c r="G655" s="78"/>
      <c r="H655" s="76"/>
      <c r="I655" s="76"/>
      <c r="J655" s="77"/>
      <c r="K655" s="76"/>
    </row>
    <row r="656" spans="1:13" s="37" customFormat="1" ht="23.25" x14ac:dyDescent="0.35">
      <c r="C656" s="41"/>
      <c r="E656" s="57"/>
      <c r="F656" s="42"/>
      <c r="G656" s="80"/>
      <c r="I656" s="79"/>
      <c r="J656" s="79"/>
      <c r="K656" s="79"/>
    </row>
    <row r="657" spans="1:11" s="37" customFormat="1" ht="23.25" x14ac:dyDescent="0.35">
      <c r="A657" s="76"/>
      <c r="B657" s="76"/>
      <c r="C657" s="77"/>
      <c r="D657" s="76"/>
      <c r="E657" s="57"/>
      <c r="F657" s="78"/>
      <c r="G657" s="78"/>
      <c r="H657" s="76"/>
      <c r="I657" s="79"/>
      <c r="J657" s="79"/>
      <c r="K657" s="79"/>
    </row>
    <row r="658" spans="1:11" s="37" customFormat="1" ht="23.25" x14ac:dyDescent="0.35">
      <c r="A658" s="76"/>
      <c r="B658" s="76"/>
      <c r="C658" s="77"/>
      <c r="D658" s="76"/>
      <c r="E658" s="57"/>
      <c r="F658" s="78"/>
      <c r="G658" s="78"/>
      <c r="H658" s="76"/>
      <c r="I658" s="79"/>
      <c r="J658" s="79"/>
      <c r="K658" s="76"/>
    </row>
    <row r="659" spans="1:11" s="37" customFormat="1" ht="23.25" x14ac:dyDescent="0.35">
      <c r="A659" s="76"/>
      <c r="B659" s="76"/>
      <c r="C659" s="77"/>
      <c r="D659" s="76"/>
      <c r="E659" s="57"/>
      <c r="F659" s="78"/>
      <c r="G659" s="78"/>
      <c r="H659" s="76"/>
    </row>
    <row r="660" spans="1:11" s="37" customFormat="1" ht="23.25" x14ac:dyDescent="0.35">
      <c r="C660" s="41"/>
      <c r="E660" s="57"/>
      <c r="F660" s="42"/>
      <c r="G660" s="80"/>
      <c r="I660" s="79"/>
      <c r="J660" s="79"/>
      <c r="K660" s="76"/>
    </row>
    <row r="661" spans="1:11" s="37" customFormat="1" ht="23.25" x14ac:dyDescent="0.35">
      <c r="A661" s="76"/>
      <c r="B661" s="76"/>
      <c r="C661" s="77"/>
      <c r="D661" s="76"/>
      <c r="E661" s="57"/>
      <c r="F661" s="78"/>
      <c r="G661" s="78"/>
      <c r="H661" s="76"/>
    </row>
    <row r="662" spans="1:11" s="37" customFormat="1" ht="23.25" x14ac:dyDescent="0.35">
      <c r="C662" s="41"/>
      <c r="E662" s="57"/>
      <c r="F662" s="42"/>
      <c r="G662" s="80"/>
      <c r="I662" s="79"/>
      <c r="J662" s="81"/>
      <c r="K662" s="79"/>
    </row>
    <row r="663" spans="1:11" s="37" customFormat="1" ht="23.25" x14ac:dyDescent="0.35">
      <c r="A663" s="76"/>
      <c r="B663" s="76"/>
      <c r="C663" s="77"/>
      <c r="D663" s="76"/>
      <c r="E663" s="57"/>
      <c r="F663" s="78"/>
      <c r="G663" s="78"/>
      <c r="H663" s="76"/>
      <c r="I663" s="76"/>
      <c r="J663" s="79"/>
      <c r="K663" s="82"/>
    </row>
    <row r="664" spans="1:11" s="37" customFormat="1" ht="23.25" x14ac:dyDescent="0.35">
      <c r="C664" s="41"/>
      <c r="E664" s="57"/>
      <c r="F664" s="42"/>
      <c r="G664" s="80"/>
      <c r="I664" s="79"/>
      <c r="J664" s="79"/>
      <c r="K664" s="76"/>
    </row>
    <row r="665" spans="1:11" s="37" customFormat="1" ht="23.25" x14ac:dyDescent="0.35">
      <c r="C665" s="41"/>
      <c r="E665" s="57"/>
      <c r="F665" s="42"/>
      <c r="G665" s="80"/>
      <c r="I665" s="79"/>
      <c r="J665" s="79"/>
      <c r="K665" s="82"/>
    </row>
    <row r="666" spans="1:11" s="37" customFormat="1" ht="23.25" x14ac:dyDescent="0.35">
      <c r="C666" s="41"/>
      <c r="E666" s="57"/>
      <c r="F666" s="42"/>
      <c r="G666" s="80"/>
      <c r="I666" s="76"/>
      <c r="J666" s="79"/>
      <c r="K666" s="76"/>
    </row>
    <row r="667" spans="1:11" s="37" customFormat="1" ht="23.25" x14ac:dyDescent="0.35">
      <c r="C667" s="41"/>
      <c r="E667" s="57"/>
      <c r="F667" s="42"/>
      <c r="G667" s="80"/>
      <c r="I667" s="76"/>
      <c r="J667" s="79"/>
      <c r="K667" s="79"/>
    </row>
    <row r="668" spans="1:11" s="37" customFormat="1" ht="23.25" x14ac:dyDescent="0.35">
      <c r="C668" s="41"/>
      <c r="E668" s="57"/>
      <c r="F668" s="42"/>
      <c r="G668" s="80"/>
      <c r="I668" s="79"/>
      <c r="J668" s="79"/>
      <c r="K668" s="76"/>
    </row>
    <row r="669" spans="1:11" s="37" customFormat="1" ht="23.25" x14ac:dyDescent="0.35">
      <c r="A669" s="76"/>
      <c r="B669" s="76"/>
      <c r="C669" s="77"/>
      <c r="D669" s="76"/>
      <c r="E669" s="57"/>
      <c r="F669" s="78"/>
      <c r="G669" s="78"/>
      <c r="H669" s="76"/>
      <c r="I669" s="79"/>
      <c r="J669" s="79"/>
      <c r="K669" s="76"/>
    </row>
    <row r="670" spans="1:11" s="37" customFormat="1" ht="23.25" x14ac:dyDescent="0.35">
      <c r="C670" s="41"/>
      <c r="E670" s="57"/>
      <c r="F670" s="42"/>
      <c r="G670" s="80"/>
      <c r="I670" s="79"/>
      <c r="J670" s="81"/>
      <c r="K670" s="79"/>
    </row>
    <row r="671" spans="1:11" s="37" customFormat="1" ht="23.25" x14ac:dyDescent="0.35">
      <c r="A671" s="76"/>
      <c r="B671" s="76"/>
      <c r="C671" s="77"/>
      <c r="D671" s="76"/>
      <c r="E671" s="57"/>
      <c r="F671" s="78"/>
      <c r="G671" s="78"/>
      <c r="H671" s="76"/>
      <c r="I671" s="76"/>
      <c r="J671" s="79"/>
      <c r="K671" s="82"/>
    </row>
    <row r="672" spans="1:11" s="37" customFormat="1" ht="23.25" x14ac:dyDescent="0.35">
      <c r="C672" s="41"/>
      <c r="E672" s="57"/>
      <c r="F672" s="42"/>
      <c r="G672" s="80"/>
      <c r="I672" s="79"/>
      <c r="J672" s="79"/>
      <c r="K672" s="76"/>
    </row>
    <row r="673" spans="1:11" s="37" customFormat="1" ht="23.25" x14ac:dyDescent="0.35">
      <c r="C673" s="41"/>
      <c r="E673" s="57"/>
      <c r="F673" s="42"/>
      <c r="G673" s="80"/>
      <c r="I673" s="79"/>
      <c r="J673" s="79"/>
      <c r="K673" s="82"/>
    </row>
    <row r="674" spans="1:11" s="37" customFormat="1" ht="23.25" x14ac:dyDescent="0.35">
      <c r="C674" s="41"/>
      <c r="E674" s="57"/>
      <c r="F674" s="42"/>
      <c r="G674" s="80"/>
      <c r="I674" s="79"/>
      <c r="J674" s="79"/>
      <c r="K674" s="82"/>
    </row>
    <row r="675" spans="1:11" s="37" customFormat="1" ht="23.25" x14ac:dyDescent="0.35">
      <c r="C675" s="41"/>
      <c r="E675" s="57"/>
      <c r="F675" s="42"/>
      <c r="G675" s="80"/>
      <c r="I675" s="76"/>
      <c r="J675" s="79"/>
      <c r="K675" s="76"/>
    </row>
    <row r="676" spans="1:11" s="37" customFormat="1" ht="23.25" x14ac:dyDescent="0.35">
      <c r="C676" s="41"/>
      <c r="E676" s="57"/>
      <c r="F676" s="42"/>
      <c r="G676" s="80"/>
      <c r="I676" s="79"/>
      <c r="J676" s="79"/>
      <c r="K676" s="76"/>
    </row>
    <row r="677" spans="1:11" s="37" customFormat="1" ht="23.25" x14ac:dyDescent="0.35">
      <c r="C677" s="41"/>
      <c r="E677" s="57"/>
      <c r="F677" s="42"/>
      <c r="G677" s="80"/>
      <c r="I677" s="79"/>
      <c r="J677" s="79"/>
      <c r="K677" s="76"/>
    </row>
    <row r="678" spans="1:11" s="37" customFormat="1" ht="23.25" x14ac:dyDescent="0.35">
      <c r="C678" s="41"/>
      <c r="E678" s="57"/>
      <c r="F678" s="42"/>
      <c r="G678" s="80"/>
      <c r="I678" s="76"/>
      <c r="J678" s="76"/>
      <c r="K678" s="77"/>
    </row>
    <row r="679" spans="1:11" s="37" customFormat="1" ht="23.25" x14ac:dyDescent="0.35">
      <c r="C679" s="41"/>
      <c r="E679" s="57"/>
      <c r="F679" s="42"/>
      <c r="G679" s="80"/>
      <c r="I679" s="76"/>
      <c r="J679" s="76"/>
      <c r="K679" s="77"/>
    </row>
    <row r="680" spans="1:11" s="37" customFormat="1" ht="23.25" x14ac:dyDescent="0.35">
      <c r="C680" s="41"/>
      <c r="E680" s="57"/>
      <c r="F680" s="42"/>
      <c r="G680" s="80"/>
      <c r="I680" s="79"/>
      <c r="J680" s="81"/>
      <c r="K680" s="79"/>
    </row>
    <row r="681" spans="1:11" s="37" customFormat="1" ht="23.25" x14ac:dyDescent="0.35">
      <c r="A681" s="76"/>
      <c r="B681" s="76"/>
      <c r="C681" s="77"/>
      <c r="D681" s="76"/>
      <c r="E681" s="57"/>
      <c r="F681" s="78"/>
      <c r="G681" s="78"/>
      <c r="H681" s="76"/>
      <c r="I681" s="76"/>
      <c r="J681" s="79"/>
      <c r="K681" s="82"/>
    </row>
    <row r="682" spans="1:11" s="37" customFormat="1" ht="23.25" x14ac:dyDescent="0.35">
      <c r="C682" s="41"/>
      <c r="E682" s="57"/>
      <c r="F682" s="42"/>
      <c r="G682" s="80"/>
      <c r="I682" s="79"/>
      <c r="J682" s="79"/>
      <c r="K682" s="76"/>
    </row>
    <row r="683" spans="1:11" s="37" customFormat="1" ht="23.25" x14ac:dyDescent="0.35">
      <c r="C683" s="41"/>
      <c r="E683" s="57"/>
      <c r="F683" s="42"/>
      <c r="G683" s="80"/>
      <c r="I683" s="79"/>
      <c r="J683" s="79"/>
      <c r="K683" s="82"/>
    </row>
    <row r="684" spans="1:11" s="37" customFormat="1" ht="23.25" x14ac:dyDescent="0.35">
      <c r="C684" s="41"/>
      <c r="E684" s="57"/>
      <c r="F684" s="42"/>
      <c r="G684" s="80"/>
      <c r="I684" s="79"/>
      <c r="J684" s="79"/>
      <c r="K684" s="82"/>
    </row>
    <row r="685" spans="1:11" s="37" customFormat="1" ht="23.25" x14ac:dyDescent="0.35">
      <c r="C685" s="41"/>
      <c r="E685" s="57"/>
      <c r="F685" s="42"/>
      <c r="G685" s="80"/>
      <c r="I685" s="76"/>
      <c r="J685" s="79"/>
      <c r="K685" s="76"/>
    </row>
    <row r="686" spans="1:11" s="37" customFormat="1" ht="23.25" x14ac:dyDescent="0.35">
      <c r="C686" s="41"/>
      <c r="E686" s="57"/>
      <c r="F686" s="42"/>
      <c r="G686" s="80"/>
      <c r="I686" s="76"/>
      <c r="J686" s="76"/>
      <c r="K686" s="77"/>
    </row>
    <row r="687" spans="1:11" s="37" customFormat="1" ht="23.25" x14ac:dyDescent="0.35">
      <c r="C687" s="41"/>
      <c r="E687" s="57"/>
      <c r="F687" s="42"/>
      <c r="G687" s="80"/>
      <c r="I687" s="76"/>
      <c r="J687" s="76"/>
      <c r="K687" s="77"/>
    </row>
    <row r="688" spans="1:11" s="37" customFormat="1" ht="23.25" x14ac:dyDescent="0.35">
      <c r="C688" s="41"/>
      <c r="E688" s="57"/>
      <c r="F688" s="42"/>
      <c r="G688" s="80"/>
      <c r="I688" s="79"/>
      <c r="J688" s="79"/>
      <c r="K688" s="79"/>
    </row>
    <row r="689" spans="1:11" s="37" customFormat="1" ht="23.25" x14ac:dyDescent="0.35">
      <c r="A689" s="76"/>
      <c r="B689" s="76"/>
      <c r="C689" s="77"/>
      <c r="D689" s="76"/>
      <c r="E689" s="57"/>
      <c r="F689" s="78"/>
      <c r="G689" s="78"/>
      <c r="H689" s="76"/>
      <c r="I689" s="79"/>
      <c r="J689" s="81"/>
      <c r="K689" s="79"/>
    </row>
    <row r="690" spans="1:11" s="37" customFormat="1" ht="23.25" x14ac:dyDescent="0.35">
      <c r="C690" s="41"/>
      <c r="E690" s="57"/>
      <c r="F690" s="42"/>
      <c r="G690" s="80"/>
      <c r="I690" s="76"/>
      <c r="J690" s="79"/>
      <c r="K690" s="82"/>
    </row>
    <row r="691" spans="1:11" s="37" customFormat="1" ht="23.25" x14ac:dyDescent="0.35">
      <c r="C691" s="41"/>
      <c r="E691" s="57"/>
      <c r="F691" s="42"/>
      <c r="G691" s="80"/>
      <c r="I691" s="79"/>
      <c r="J691" s="79"/>
      <c r="K691" s="77"/>
    </row>
    <row r="692" spans="1:11" s="37" customFormat="1" ht="23.25" x14ac:dyDescent="0.35">
      <c r="C692" s="41"/>
      <c r="E692" s="57"/>
      <c r="F692" s="42"/>
      <c r="G692" s="80"/>
      <c r="I692" s="79"/>
      <c r="J692" s="79"/>
      <c r="K692" s="76"/>
    </row>
    <row r="693" spans="1:11" s="37" customFormat="1" ht="23.25" x14ac:dyDescent="0.35">
      <c r="C693" s="41"/>
      <c r="D693" s="76"/>
      <c r="E693" s="57"/>
      <c r="F693" s="78"/>
      <c r="G693" s="78"/>
      <c r="H693" s="76"/>
      <c r="I693" s="79"/>
      <c r="J693" s="79"/>
      <c r="K693" s="82"/>
    </row>
    <row r="694" spans="1:11" s="37" customFormat="1" ht="23.25" x14ac:dyDescent="0.35">
      <c r="C694" s="41"/>
      <c r="E694" s="57"/>
      <c r="F694" s="42"/>
      <c r="G694" s="80"/>
      <c r="I694" s="79"/>
      <c r="J694" s="79"/>
      <c r="K694" s="82"/>
    </row>
    <row r="695" spans="1:11" s="37" customFormat="1" ht="23.25" x14ac:dyDescent="0.35">
      <c r="C695" s="41"/>
      <c r="E695" s="57"/>
      <c r="F695" s="42"/>
      <c r="G695" s="80"/>
      <c r="I695" s="79"/>
      <c r="J695" s="79"/>
    </row>
    <row r="696" spans="1:11" s="37" customFormat="1" ht="23.25" x14ac:dyDescent="0.35">
      <c r="C696" s="41"/>
      <c r="E696" s="57"/>
      <c r="F696" s="42"/>
      <c r="G696" s="80"/>
      <c r="I696" s="79"/>
      <c r="J696" s="79"/>
      <c r="K696" s="79"/>
    </row>
    <row r="697" spans="1:11" s="37" customFormat="1" ht="23.25" x14ac:dyDescent="0.35">
      <c r="A697" s="76"/>
      <c r="B697" s="76"/>
      <c r="C697" s="77"/>
      <c r="D697" s="76"/>
      <c r="E697" s="57"/>
      <c r="F697" s="76"/>
      <c r="G697" s="78"/>
      <c r="H697" s="76"/>
      <c r="I697" s="79"/>
      <c r="J697" s="81"/>
      <c r="K697" s="79"/>
    </row>
    <row r="698" spans="1:11" s="37" customFormat="1" ht="23.25" x14ac:dyDescent="0.35">
      <c r="C698" s="41"/>
      <c r="E698" s="57"/>
      <c r="F698" s="78"/>
      <c r="G698" s="80"/>
      <c r="I698" s="76"/>
      <c r="J698" s="79"/>
      <c r="K698" s="82"/>
    </row>
    <row r="699" spans="1:11" s="37" customFormat="1" ht="23.25" x14ac:dyDescent="0.35">
      <c r="C699" s="41"/>
      <c r="E699" s="57"/>
      <c r="F699" s="42"/>
      <c r="G699" s="80"/>
      <c r="I699" s="79"/>
      <c r="J699" s="79"/>
      <c r="K699" s="77"/>
    </row>
    <row r="700" spans="1:11" s="37" customFormat="1" ht="23.25" x14ac:dyDescent="0.35">
      <c r="C700" s="41"/>
      <c r="E700" s="57"/>
      <c r="F700" s="42"/>
      <c r="G700" s="80"/>
      <c r="I700" s="79"/>
      <c r="J700" s="79"/>
      <c r="K700" s="76"/>
    </row>
    <row r="701" spans="1:11" s="37" customFormat="1" ht="23.25" x14ac:dyDescent="0.35">
      <c r="C701" s="41"/>
      <c r="D701" s="76"/>
      <c r="E701" s="57"/>
      <c r="F701" s="78"/>
      <c r="G701" s="78"/>
      <c r="H701" s="76"/>
      <c r="I701" s="79"/>
      <c r="J701" s="79"/>
      <c r="K701" s="82"/>
    </row>
    <row r="702" spans="1:11" s="37" customFormat="1" ht="23.25" x14ac:dyDescent="0.35">
      <c r="C702" s="41"/>
      <c r="E702" s="57"/>
      <c r="F702" s="42"/>
      <c r="G702" s="80"/>
      <c r="I702" s="79"/>
      <c r="J702" s="79"/>
      <c r="K702" s="82"/>
    </row>
    <row r="703" spans="1:11" s="37" customFormat="1" ht="23.25" hidden="1" x14ac:dyDescent="0.35">
      <c r="C703" s="41"/>
      <c r="E703" s="57"/>
      <c r="F703" s="42"/>
      <c r="G703" s="80"/>
      <c r="I703" s="76"/>
      <c r="J703" s="76"/>
      <c r="K703" s="76"/>
    </row>
    <row r="704" spans="1:11" s="37" customFormat="1" ht="23.25" x14ac:dyDescent="0.35">
      <c r="C704" s="41"/>
      <c r="E704" s="57"/>
      <c r="F704" s="42"/>
      <c r="G704" s="80"/>
      <c r="I704" s="76"/>
      <c r="J704" s="79"/>
      <c r="K704" s="76"/>
    </row>
    <row r="705" spans="1:11" s="37" customFormat="1" ht="23.25" x14ac:dyDescent="0.35">
      <c r="C705" s="41"/>
      <c r="E705" s="57"/>
      <c r="F705" s="42"/>
      <c r="G705" s="80"/>
    </row>
    <row r="706" spans="1:11" s="37" customFormat="1" ht="23.25" x14ac:dyDescent="0.35">
      <c r="C706" s="41"/>
      <c r="E706" s="57"/>
      <c r="F706" s="42"/>
      <c r="G706" s="80"/>
      <c r="I706" s="79"/>
      <c r="J706" s="81"/>
      <c r="K706" s="79"/>
    </row>
    <row r="707" spans="1:11" s="37" customFormat="1" ht="23.25" x14ac:dyDescent="0.35">
      <c r="A707" s="76"/>
      <c r="B707" s="76"/>
      <c r="C707" s="77"/>
      <c r="D707" s="76"/>
      <c r="E707" s="57"/>
      <c r="F707" s="78"/>
      <c r="G707" s="78"/>
      <c r="H707" s="76"/>
      <c r="I707" s="76"/>
      <c r="J707" s="79"/>
      <c r="K707" s="82"/>
    </row>
    <row r="708" spans="1:11" s="37" customFormat="1" ht="23.25" x14ac:dyDescent="0.35">
      <c r="C708" s="41"/>
      <c r="E708" s="57"/>
      <c r="F708" s="42"/>
      <c r="G708" s="80"/>
      <c r="I708" s="79"/>
      <c r="J708" s="79"/>
      <c r="K708" s="76"/>
    </row>
    <row r="709" spans="1:11" s="37" customFormat="1" ht="23.25" x14ac:dyDescent="0.35">
      <c r="C709" s="41"/>
      <c r="E709" s="57"/>
      <c r="F709" s="42"/>
      <c r="G709" s="80"/>
      <c r="I709" s="79"/>
      <c r="J709" s="79"/>
      <c r="K709" s="82"/>
    </row>
    <row r="710" spans="1:11" s="37" customFormat="1" ht="23.25" x14ac:dyDescent="0.35">
      <c r="C710" s="41"/>
      <c r="E710" s="57"/>
      <c r="F710" s="42"/>
      <c r="G710" s="80"/>
      <c r="I710" s="79"/>
      <c r="J710" s="79"/>
      <c r="K710" s="82"/>
    </row>
    <row r="711" spans="1:11" s="37" customFormat="1" ht="23.25" x14ac:dyDescent="0.35">
      <c r="C711" s="41"/>
      <c r="E711" s="57"/>
      <c r="F711" s="42"/>
      <c r="G711" s="80"/>
      <c r="I711" s="76"/>
      <c r="J711" s="76"/>
      <c r="K711" s="77"/>
    </row>
    <row r="712" spans="1:11" s="37" customFormat="1" ht="23.25" x14ac:dyDescent="0.35">
      <c r="C712" s="41"/>
      <c r="E712" s="57"/>
      <c r="F712" s="42"/>
      <c r="G712" s="80"/>
      <c r="I712" s="76"/>
      <c r="J712" s="79"/>
      <c r="K712" s="81"/>
    </row>
    <row r="713" spans="1:11" s="37" customFormat="1" ht="23.25" x14ac:dyDescent="0.35">
      <c r="C713" s="41"/>
      <c r="E713" s="57"/>
      <c r="F713" s="42"/>
      <c r="G713" s="80"/>
      <c r="I713" s="76"/>
      <c r="J713" s="79"/>
      <c r="K713" s="76"/>
    </row>
    <row r="714" spans="1:11" s="37" customFormat="1" ht="23.25" x14ac:dyDescent="0.35">
      <c r="C714" s="41"/>
      <c r="E714" s="57"/>
      <c r="F714" s="42"/>
      <c r="G714" s="80"/>
      <c r="I714" s="76"/>
      <c r="J714" s="79"/>
      <c r="K714" s="76"/>
    </row>
    <row r="715" spans="1:11" s="37" customFormat="1" ht="23.25" x14ac:dyDescent="0.35">
      <c r="C715" s="41"/>
      <c r="E715" s="57"/>
      <c r="F715" s="42"/>
      <c r="G715" s="80"/>
      <c r="I715" s="76"/>
      <c r="J715" s="79"/>
      <c r="K715" s="76"/>
    </row>
    <row r="716" spans="1:11" s="37" customFormat="1" ht="23.25" x14ac:dyDescent="0.35">
      <c r="C716" s="41"/>
      <c r="E716" s="57"/>
      <c r="F716" s="42"/>
      <c r="G716" s="80"/>
    </row>
    <row r="717" spans="1:11" s="37" customFormat="1" ht="23.25" x14ac:dyDescent="0.35">
      <c r="C717" s="41"/>
      <c r="E717" s="57"/>
      <c r="F717" s="42"/>
      <c r="G717" s="80"/>
      <c r="I717" s="79"/>
      <c r="J717" s="79"/>
      <c r="K717" s="79"/>
    </row>
    <row r="718" spans="1:11" s="37" customFormat="1" ht="23.25" x14ac:dyDescent="0.35">
      <c r="A718" s="76"/>
      <c r="B718" s="76"/>
      <c r="C718" s="77"/>
      <c r="D718" s="76"/>
      <c r="E718" s="57"/>
      <c r="F718" s="78"/>
      <c r="G718" s="78"/>
      <c r="H718" s="76"/>
      <c r="I718" s="79"/>
      <c r="J718" s="81"/>
      <c r="K718" s="79"/>
    </row>
    <row r="719" spans="1:11" s="37" customFormat="1" ht="23.25" x14ac:dyDescent="0.35">
      <c r="C719" s="41"/>
      <c r="E719" s="57"/>
      <c r="F719" s="42"/>
      <c r="G719" s="80"/>
      <c r="I719" s="76"/>
      <c r="J719" s="79"/>
      <c r="K719" s="82"/>
    </row>
    <row r="720" spans="1:11" s="37" customFormat="1" ht="23.25" x14ac:dyDescent="0.35">
      <c r="C720" s="41"/>
      <c r="E720" s="57"/>
      <c r="F720" s="42"/>
      <c r="G720" s="80"/>
      <c r="I720" s="79"/>
      <c r="J720" s="79"/>
      <c r="K720" s="77"/>
    </row>
    <row r="721" spans="1:11" s="37" customFormat="1" ht="23.25" x14ac:dyDescent="0.35">
      <c r="C721" s="41"/>
      <c r="E721" s="57"/>
      <c r="F721" s="42"/>
      <c r="G721" s="80"/>
      <c r="I721" s="79"/>
      <c r="J721" s="79"/>
      <c r="K721" s="76"/>
    </row>
    <row r="722" spans="1:11" s="37" customFormat="1" ht="23.25" x14ac:dyDescent="0.35">
      <c r="C722" s="41"/>
      <c r="D722" s="76"/>
      <c r="E722" s="57"/>
      <c r="F722" s="78"/>
      <c r="G722" s="78"/>
      <c r="H722" s="76"/>
      <c r="I722" s="79"/>
      <c r="J722" s="79"/>
      <c r="K722" s="82"/>
    </row>
    <row r="723" spans="1:11" s="37" customFormat="1" ht="23.25" x14ac:dyDescent="0.35">
      <c r="C723" s="41"/>
      <c r="E723" s="57"/>
      <c r="F723" s="42"/>
      <c r="G723" s="80"/>
      <c r="I723" s="76"/>
      <c r="J723" s="79"/>
      <c r="K723" s="76"/>
    </row>
    <row r="724" spans="1:11" s="37" customFormat="1" ht="23.25" x14ac:dyDescent="0.35">
      <c r="C724" s="41"/>
      <c r="E724" s="57"/>
      <c r="F724" s="42"/>
      <c r="G724" s="80"/>
      <c r="I724" s="76"/>
      <c r="J724" s="76"/>
      <c r="K724" s="77"/>
    </row>
    <row r="725" spans="1:11" s="37" customFormat="1" ht="23.25" x14ac:dyDescent="0.35">
      <c r="C725" s="41"/>
      <c r="E725" s="57"/>
      <c r="F725" s="42"/>
      <c r="G725" s="80"/>
    </row>
    <row r="726" spans="1:11" s="37" customFormat="1" ht="23.25" x14ac:dyDescent="0.35">
      <c r="C726" s="41"/>
      <c r="E726" s="57"/>
      <c r="F726" s="42"/>
      <c r="G726" s="80"/>
      <c r="I726" s="79"/>
      <c r="J726" s="79"/>
      <c r="K726" s="79"/>
    </row>
    <row r="727" spans="1:11" s="37" customFormat="1" ht="23.25" x14ac:dyDescent="0.35">
      <c r="A727" s="76"/>
      <c r="B727" s="76"/>
      <c r="C727" s="77"/>
      <c r="D727" s="76"/>
      <c r="E727" s="57"/>
      <c r="F727" s="78"/>
      <c r="G727" s="78"/>
      <c r="H727" s="76"/>
      <c r="I727" s="79"/>
      <c r="J727" s="81"/>
      <c r="K727" s="79"/>
    </row>
    <row r="728" spans="1:11" s="37" customFormat="1" ht="23.25" x14ac:dyDescent="0.35">
      <c r="C728" s="41"/>
      <c r="E728" s="57"/>
      <c r="F728" s="42"/>
      <c r="G728" s="80"/>
      <c r="I728" s="76"/>
      <c r="J728" s="79"/>
      <c r="K728" s="82"/>
    </row>
    <row r="729" spans="1:11" s="37" customFormat="1" ht="23.25" x14ac:dyDescent="0.35">
      <c r="C729" s="41"/>
      <c r="E729" s="57"/>
      <c r="F729" s="42"/>
      <c r="G729" s="80"/>
      <c r="I729" s="79"/>
      <c r="J729" s="79"/>
      <c r="K729" s="77"/>
    </row>
    <row r="730" spans="1:11" s="37" customFormat="1" ht="23.25" x14ac:dyDescent="0.35">
      <c r="C730" s="41"/>
      <c r="E730" s="57"/>
      <c r="F730" s="42"/>
      <c r="G730" s="80"/>
      <c r="I730" s="79"/>
      <c r="J730" s="79"/>
      <c r="K730" s="76"/>
    </row>
    <row r="731" spans="1:11" s="37" customFormat="1" ht="23.25" x14ac:dyDescent="0.35">
      <c r="C731" s="41"/>
      <c r="D731" s="76"/>
      <c r="E731" s="57"/>
      <c r="F731" s="78"/>
      <c r="G731" s="78"/>
      <c r="H731" s="76"/>
      <c r="I731" s="79"/>
      <c r="J731" s="79"/>
      <c r="K731" s="82"/>
    </row>
    <row r="732" spans="1:11" s="37" customFormat="1" ht="23.25" x14ac:dyDescent="0.35">
      <c r="C732" s="41"/>
      <c r="E732" s="57"/>
      <c r="F732" s="42"/>
      <c r="G732" s="80"/>
      <c r="I732" s="76"/>
      <c r="J732" s="79"/>
      <c r="K732" s="76"/>
    </row>
    <row r="733" spans="1:11" s="37" customFormat="1" ht="23.25" x14ac:dyDescent="0.35">
      <c r="C733" s="41"/>
      <c r="E733" s="57"/>
      <c r="F733" s="42"/>
      <c r="G733" s="80"/>
      <c r="I733" s="76"/>
      <c r="J733" s="76"/>
      <c r="K733" s="77"/>
    </row>
    <row r="734" spans="1:11" s="37" customFormat="1" ht="23.25" x14ac:dyDescent="0.35">
      <c r="C734" s="41"/>
      <c r="E734" s="57"/>
      <c r="F734" s="42"/>
      <c r="G734" s="80"/>
    </row>
    <row r="735" spans="1:11" s="37" customFormat="1" ht="23.25" x14ac:dyDescent="0.35">
      <c r="C735" s="41"/>
      <c r="E735" s="57"/>
      <c r="F735" s="42"/>
      <c r="G735" s="80"/>
      <c r="I735" s="79"/>
      <c r="J735" s="79"/>
      <c r="K735" s="79"/>
    </row>
    <row r="736" spans="1:11" s="37" customFormat="1" ht="23.25" x14ac:dyDescent="0.35">
      <c r="A736" s="76"/>
      <c r="B736" s="76"/>
      <c r="C736" s="77"/>
      <c r="D736" s="76"/>
      <c r="E736" s="57"/>
      <c r="F736" s="78"/>
      <c r="G736" s="78"/>
      <c r="H736" s="76"/>
      <c r="I736" s="79"/>
      <c r="J736" s="81"/>
      <c r="K736" s="82"/>
    </row>
    <row r="737" spans="1:11" s="37" customFormat="1" ht="23.25" x14ac:dyDescent="0.35">
      <c r="C737" s="41"/>
      <c r="E737" s="57"/>
      <c r="F737" s="42"/>
      <c r="G737" s="80"/>
      <c r="I737" s="76"/>
      <c r="J737" s="79"/>
      <c r="K737" s="76"/>
    </row>
    <row r="738" spans="1:11" s="37" customFormat="1" ht="23.25" x14ac:dyDescent="0.35">
      <c r="C738" s="41"/>
      <c r="E738" s="57"/>
      <c r="F738" s="42"/>
      <c r="G738" s="80"/>
      <c r="I738" s="79"/>
      <c r="J738" s="79"/>
      <c r="K738" s="82"/>
    </row>
    <row r="739" spans="1:11" s="37" customFormat="1" ht="23.25" x14ac:dyDescent="0.35">
      <c r="C739" s="41"/>
      <c r="E739" s="57"/>
      <c r="F739" s="42"/>
      <c r="G739" s="80"/>
      <c r="I739" s="79"/>
      <c r="J739" s="79"/>
      <c r="K739" s="82"/>
    </row>
    <row r="740" spans="1:11" s="37" customFormat="1" ht="23.25" x14ac:dyDescent="0.35">
      <c r="C740" s="41"/>
      <c r="E740" s="57"/>
      <c r="F740" s="42"/>
      <c r="G740" s="80"/>
      <c r="I740" s="79"/>
      <c r="J740" s="79"/>
      <c r="K740" s="77"/>
    </row>
    <row r="741" spans="1:11" s="37" customFormat="1" ht="23.25" x14ac:dyDescent="0.35">
      <c r="C741" s="41"/>
      <c r="E741" s="57"/>
      <c r="F741" s="42"/>
      <c r="G741" s="80"/>
      <c r="I741" s="76"/>
      <c r="J741" s="79"/>
    </row>
    <row r="742" spans="1:11" s="37" customFormat="1" ht="23.25" x14ac:dyDescent="0.35">
      <c r="C742" s="41"/>
      <c r="E742" s="57"/>
      <c r="F742" s="42"/>
      <c r="G742" s="80"/>
      <c r="I742" s="76"/>
      <c r="J742" s="76"/>
      <c r="K742" s="76"/>
    </row>
    <row r="743" spans="1:11" s="37" customFormat="1" ht="23.25" x14ac:dyDescent="0.35">
      <c r="C743" s="41"/>
      <c r="E743" s="57"/>
      <c r="F743" s="42"/>
      <c r="G743" s="80"/>
    </row>
    <row r="744" spans="1:11" s="37" customFormat="1" ht="23.25" x14ac:dyDescent="0.35">
      <c r="C744" s="41"/>
      <c r="E744" s="57"/>
      <c r="F744" s="42"/>
      <c r="G744" s="80"/>
      <c r="I744" s="79"/>
      <c r="J744" s="79"/>
      <c r="K744" s="79"/>
    </row>
    <row r="745" spans="1:11" s="37" customFormat="1" ht="23.25" x14ac:dyDescent="0.35">
      <c r="A745" s="76"/>
      <c r="B745" s="76"/>
      <c r="C745" s="77"/>
      <c r="D745" s="76"/>
      <c r="E745" s="57"/>
      <c r="F745" s="78"/>
      <c r="G745" s="78"/>
      <c r="H745" s="76"/>
      <c r="I745" s="79"/>
      <c r="J745" s="81"/>
      <c r="K745" s="79"/>
    </row>
    <row r="746" spans="1:11" s="37" customFormat="1" ht="23.25" x14ac:dyDescent="0.35">
      <c r="C746" s="41"/>
      <c r="E746" s="57"/>
      <c r="F746" s="42"/>
      <c r="G746" s="80"/>
      <c r="I746" s="76"/>
      <c r="J746" s="79"/>
      <c r="K746" s="82"/>
    </row>
    <row r="747" spans="1:11" s="37" customFormat="1" ht="23.25" x14ac:dyDescent="0.35">
      <c r="C747" s="41"/>
      <c r="E747" s="57"/>
      <c r="F747" s="42"/>
      <c r="G747" s="80"/>
      <c r="I747" s="79"/>
      <c r="J747" s="79"/>
      <c r="K747" s="77"/>
    </row>
    <row r="748" spans="1:11" s="37" customFormat="1" ht="23.25" x14ac:dyDescent="0.35">
      <c r="C748" s="41"/>
      <c r="E748" s="57"/>
      <c r="F748" s="42"/>
      <c r="G748" s="80"/>
      <c r="I748" s="79"/>
      <c r="J748" s="79"/>
      <c r="K748" s="76"/>
    </row>
    <row r="749" spans="1:11" s="37" customFormat="1" ht="23.25" x14ac:dyDescent="0.35">
      <c r="C749" s="41"/>
      <c r="D749" s="76"/>
      <c r="E749" s="57"/>
      <c r="F749" s="78"/>
      <c r="G749" s="78"/>
      <c r="H749" s="76"/>
      <c r="I749" s="79"/>
      <c r="J749" s="79"/>
      <c r="K749" s="82"/>
    </row>
    <row r="750" spans="1:11" s="37" customFormat="1" ht="23.25" x14ac:dyDescent="0.35">
      <c r="C750" s="41"/>
      <c r="E750" s="57"/>
      <c r="F750" s="42"/>
      <c r="G750" s="80"/>
      <c r="I750" s="76"/>
      <c r="J750" s="79"/>
      <c r="K750" s="76"/>
    </row>
    <row r="751" spans="1:11" s="37" customFormat="1" ht="23.25" x14ac:dyDescent="0.35">
      <c r="C751" s="41"/>
      <c r="E751" s="57"/>
      <c r="F751" s="42"/>
      <c r="G751" s="80"/>
      <c r="I751" s="76"/>
      <c r="J751" s="76"/>
      <c r="K751" s="77"/>
    </row>
    <row r="752" spans="1:11" s="37" customFormat="1" ht="23.25" x14ac:dyDescent="0.35">
      <c r="C752" s="41"/>
      <c r="E752" s="57"/>
      <c r="F752" s="42"/>
      <c r="G752" s="80"/>
    </row>
    <row r="753" spans="1:11" s="37" customFormat="1" ht="23.25" x14ac:dyDescent="0.35">
      <c r="C753" s="41"/>
      <c r="E753" s="57"/>
      <c r="F753" s="42"/>
      <c r="G753" s="80"/>
      <c r="I753" s="79"/>
      <c r="J753" s="79"/>
      <c r="K753" s="79"/>
    </row>
    <row r="754" spans="1:11" s="37" customFormat="1" ht="23.25" x14ac:dyDescent="0.35">
      <c r="A754" s="76"/>
      <c r="B754" s="76"/>
      <c r="C754" s="77"/>
      <c r="D754" s="76"/>
      <c r="E754" s="57"/>
      <c r="F754" s="78"/>
      <c r="G754" s="78"/>
      <c r="H754" s="76"/>
      <c r="I754" s="79"/>
      <c r="J754" s="81"/>
      <c r="K754" s="79"/>
    </row>
    <row r="755" spans="1:11" s="37" customFormat="1" ht="23.25" x14ac:dyDescent="0.35">
      <c r="C755" s="41"/>
      <c r="E755" s="57"/>
      <c r="F755" s="42"/>
      <c r="G755" s="80"/>
      <c r="I755" s="76"/>
      <c r="J755" s="79"/>
      <c r="K755" s="82"/>
    </row>
    <row r="756" spans="1:11" s="37" customFormat="1" ht="23.25" x14ac:dyDescent="0.35">
      <c r="C756" s="41"/>
      <c r="E756" s="57"/>
      <c r="F756" s="42"/>
      <c r="G756" s="80"/>
      <c r="I756" s="79"/>
      <c r="J756" s="79"/>
      <c r="K756" s="77"/>
    </row>
    <row r="757" spans="1:11" s="37" customFormat="1" ht="23.25" x14ac:dyDescent="0.35">
      <c r="C757" s="41"/>
      <c r="E757" s="57"/>
      <c r="F757" s="42"/>
      <c r="G757" s="80"/>
      <c r="I757" s="79"/>
      <c r="J757" s="79"/>
      <c r="K757" s="76"/>
    </row>
    <row r="758" spans="1:11" s="37" customFormat="1" ht="23.25" x14ac:dyDescent="0.35">
      <c r="C758" s="41"/>
      <c r="D758" s="76"/>
      <c r="E758" s="57"/>
      <c r="F758" s="78"/>
      <c r="G758" s="78"/>
      <c r="H758" s="76"/>
      <c r="I758" s="79"/>
      <c r="J758" s="79"/>
      <c r="K758" s="82"/>
    </row>
    <row r="759" spans="1:11" s="37" customFormat="1" ht="23.25" x14ac:dyDescent="0.35">
      <c r="C759" s="41"/>
      <c r="E759" s="57"/>
      <c r="F759" s="42"/>
      <c r="G759" s="80"/>
      <c r="I759" s="76"/>
      <c r="J759" s="79"/>
      <c r="K759" s="76"/>
    </row>
    <row r="760" spans="1:11" s="37" customFormat="1" ht="23.25" x14ac:dyDescent="0.35">
      <c r="C760" s="41"/>
      <c r="E760" s="57"/>
      <c r="F760" s="42"/>
      <c r="G760" s="80"/>
      <c r="I760" s="76"/>
      <c r="J760" s="76"/>
      <c r="K760" s="77"/>
    </row>
    <row r="761" spans="1:11" s="37" customFormat="1" ht="23.25" x14ac:dyDescent="0.35">
      <c r="C761" s="41"/>
      <c r="E761" s="57"/>
      <c r="F761" s="42"/>
      <c r="G761" s="80"/>
    </row>
    <row r="762" spans="1:11" s="37" customFormat="1" ht="23.25" x14ac:dyDescent="0.35">
      <c r="C762" s="41"/>
      <c r="E762" s="57"/>
      <c r="F762" s="42"/>
      <c r="G762" s="80"/>
      <c r="I762" s="79"/>
      <c r="J762" s="79"/>
      <c r="K762" s="79"/>
    </row>
    <row r="763" spans="1:11" s="37" customFormat="1" ht="23.25" x14ac:dyDescent="0.35">
      <c r="A763" s="76"/>
      <c r="B763" s="76"/>
      <c r="C763" s="77"/>
      <c r="D763" s="76"/>
      <c r="E763" s="57"/>
      <c r="F763" s="78"/>
      <c r="G763" s="78"/>
      <c r="H763" s="76"/>
      <c r="I763" s="79"/>
      <c r="J763" s="81"/>
      <c r="K763" s="82"/>
    </row>
    <row r="764" spans="1:11" s="37" customFormat="1" ht="23.25" x14ac:dyDescent="0.35">
      <c r="C764" s="41"/>
      <c r="E764" s="57"/>
      <c r="F764" s="42"/>
      <c r="G764" s="80"/>
      <c r="I764" s="76"/>
      <c r="J764" s="79"/>
      <c r="K764" s="76"/>
    </row>
    <row r="765" spans="1:11" s="37" customFormat="1" ht="23.25" x14ac:dyDescent="0.35">
      <c r="C765" s="41"/>
      <c r="E765" s="57"/>
      <c r="F765" s="42"/>
      <c r="G765" s="80"/>
      <c r="I765" s="79"/>
      <c r="J765" s="79"/>
      <c r="K765" s="82"/>
    </row>
    <row r="766" spans="1:11" s="37" customFormat="1" ht="23.25" x14ac:dyDescent="0.35">
      <c r="C766" s="41"/>
      <c r="E766" s="57"/>
      <c r="F766" s="42"/>
      <c r="G766" s="80"/>
      <c r="I766" s="79"/>
      <c r="J766" s="79"/>
      <c r="K766" s="82"/>
    </row>
    <row r="767" spans="1:11" s="37" customFormat="1" ht="23.25" x14ac:dyDescent="0.35">
      <c r="C767" s="41"/>
      <c r="E767" s="57"/>
      <c r="F767" s="42"/>
      <c r="G767" s="80"/>
      <c r="I767" s="79"/>
      <c r="J767" s="79"/>
      <c r="K767" s="77"/>
    </row>
    <row r="768" spans="1:11" s="37" customFormat="1" ht="23.25" x14ac:dyDescent="0.35">
      <c r="C768" s="41"/>
      <c r="E768" s="57"/>
      <c r="F768" s="42"/>
      <c r="G768" s="80"/>
      <c r="I768" s="76"/>
      <c r="J768" s="79"/>
    </row>
    <row r="769" spans="1:11" s="37" customFormat="1" ht="23.25" x14ac:dyDescent="0.35">
      <c r="C769" s="41"/>
      <c r="E769" s="57"/>
      <c r="F769" s="42"/>
      <c r="G769" s="80"/>
      <c r="I769" s="76"/>
      <c r="J769" s="76"/>
      <c r="K769" s="77"/>
    </row>
    <row r="770" spans="1:11" s="37" customFormat="1" ht="23.25" x14ac:dyDescent="0.35">
      <c r="C770" s="41"/>
      <c r="E770" s="57"/>
      <c r="F770" s="42"/>
      <c r="G770" s="80"/>
    </row>
    <row r="771" spans="1:11" s="37" customFormat="1" ht="23.25" x14ac:dyDescent="0.35">
      <c r="C771" s="41"/>
      <c r="E771" s="57"/>
      <c r="F771" s="42"/>
      <c r="G771" s="80"/>
      <c r="I771" s="79"/>
      <c r="J771" s="79"/>
      <c r="K771" s="79"/>
    </row>
    <row r="772" spans="1:11" s="37" customFormat="1" ht="23.25" x14ac:dyDescent="0.35">
      <c r="A772" s="76"/>
      <c r="B772" s="76"/>
      <c r="C772" s="77"/>
      <c r="D772" s="76"/>
      <c r="E772" s="57"/>
      <c r="F772" s="78"/>
      <c r="G772" s="78"/>
      <c r="H772" s="76"/>
      <c r="I772" s="79"/>
      <c r="J772" s="81"/>
      <c r="K772" s="82"/>
    </row>
    <row r="773" spans="1:11" s="37" customFormat="1" ht="23.25" x14ac:dyDescent="0.35">
      <c r="C773" s="41"/>
      <c r="E773" s="57"/>
      <c r="F773" s="42"/>
      <c r="G773" s="80"/>
      <c r="I773" s="76"/>
      <c r="J773" s="79"/>
      <c r="K773" s="76"/>
    </row>
    <row r="774" spans="1:11" s="37" customFormat="1" ht="23.25" x14ac:dyDescent="0.35">
      <c r="C774" s="41"/>
      <c r="E774" s="57"/>
      <c r="F774" s="42"/>
      <c r="G774" s="80"/>
      <c r="I774" s="79"/>
      <c r="J774" s="79"/>
      <c r="K774" s="82"/>
    </row>
    <row r="775" spans="1:11" s="37" customFormat="1" ht="23.25" x14ac:dyDescent="0.35">
      <c r="C775" s="41"/>
      <c r="E775" s="57"/>
      <c r="F775" s="42"/>
      <c r="G775" s="80"/>
      <c r="I775" s="79"/>
      <c r="J775" s="79"/>
      <c r="K775" s="82"/>
    </row>
    <row r="776" spans="1:11" s="37" customFormat="1" ht="23.25" x14ac:dyDescent="0.35">
      <c r="C776" s="41"/>
      <c r="E776" s="57"/>
      <c r="F776" s="42"/>
      <c r="G776" s="80"/>
      <c r="I776" s="79"/>
      <c r="J776" s="79"/>
      <c r="K776" s="77"/>
    </row>
    <row r="777" spans="1:11" s="37" customFormat="1" ht="23.25" x14ac:dyDescent="0.35">
      <c r="C777" s="41"/>
      <c r="E777" s="57"/>
      <c r="F777" s="42"/>
      <c r="G777" s="80"/>
      <c r="I777" s="76"/>
      <c r="J777" s="79"/>
    </row>
    <row r="778" spans="1:11" s="37" customFormat="1" ht="23.25" x14ac:dyDescent="0.35">
      <c r="C778" s="41"/>
      <c r="E778" s="57"/>
      <c r="F778" s="42"/>
      <c r="G778" s="80"/>
      <c r="I778" s="76"/>
      <c r="J778" s="76"/>
      <c r="K778" s="77"/>
    </row>
    <row r="779" spans="1:11" s="37" customFormat="1" ht="23.25" x14ac:dyDescent="0.35">
      <c r="C779" s="41"/>
      <c r="E779" s="57"/>
      <c r="F779" s="42"/>
      <c r="G779" s="80"/>
    </row>
    <row r="780" spans="1:11" s="37" customFormat="1" ht="23.25" x14ac:dyDescent="0.35">
      <c r="C780" s="41"/>
      <c r="E780" s="57"/>
      <c r="F780" s="42"/>
      <c r="G780" s="80"/>
      <c r="I780" s="79"/>
      <c r="J780" s="79"/>
      <c r="K780" s="79"/>
    </row>
    <row r="781" spans="1:11" s="37" customFormat="1" ht="23.25" x14ac:dyDescent="0.35">
      <c r="A781" s="76"/>
      <c r="B781" s="76"/>
      <c r="C781" s="77"/>
      <c r="D781" s="76"/>
      <c r="E781" s="57"/>
      <c r="F781" s="78"/>
      <c r="G781" s="78"/>
      <c r="H781" s="76"/>
      <c r="I781" s="79"/>
      <c r="J781" s="81"/>
      <c r="K781" s="79"/>
    </row>
    <row r="782" spans="1:11" s="37" customFormat="1" ht="23.25" x14ac:dyDescent="0.35">
      <c r="C782" s="41"/>
      <c r="E782" s="57"/>
      <c r="F782" s="42"/>
      <c r="G782" s="80"/>
      <c r="I782" s="76"/>
      <c r="J782" s="79"/>
      <c r="K782" s="82"/>
    </row>
    <row r="783" spans="1:11" s="37" customFormat="1" ht="23.25" x14ac:dyDescent="0.35">
      <c r="C783" s="41"/>
      <c r="E783" s="57"/>
      <c r="F783" s="42"/>
      <c r="G783" s="80"/>
      <c r="I783" s="79"/>
      <c r="J783" s="79"/>
      <c r="K783" s="77"/>
    </row>
    <row r="784" spans="1:11" s="37" customFormat="1" ht="23.25" x14ac:dyDescent="0.35">
      <c r="C784" s="41"/>
      <c r="E784" s="57"/>
      <c r="F784" s="42"/>
      <c r="G784" s="80"/>
      <c r="I784" s="79"/>
      <c r="J784" s="79"/>
      <c r="K784" s="76"/>
    </row>
    <row r="785" spans="1:11" s="37" customFormat="1" ht="23.25" x14ac:dyDescent="0.35">
      <c r="C785" s="41"/>
      <c r="D785" s="76"/>
      <c r="E785" s="57"/>
      <c r="F785" s="78"/>
      <c r="G785" s="78"/>
      <c r="H785" s="76"/>
      <c r="I785" s="79"/>
      <c r="J785" s="79"/>
      <c r="K785" s="82"/>
    </row>
    <row r="786" spans="1:11" s="37" customFormat="1" ht="23.25" x14ac:dyDescent="0.35">
      <c r="C786" s="41"/>
      <c r="E786" s="57"/>
      <c r="F786" s="42"/>
      <c r="G786" s="80"/>
      <c r="I786" s="76"/>
      <c r="J786" s="79"/>
      <c r="K786" s="76"/>
    </row>
    <row r="787" spans="1:11" s="37" customFormat="1" ht="23.25" x14ac:dyDescent="0.35">
      <c r="C787" s="41"/>
      <c r="E787" s="57"/>
      <c r="F787" s="42"/>
      <c r="G787" s="80"/>
      <c r="I787" s="76"/>
      <c r="J787" s="76"/>
      <c r="K787" s="77"/>
    </row>
    <row r="788" spans="1:11" s="37" customFormat="1" ht="23.25" x14ac:dyDescent="0.35">
      <c r="C788" s="41"/>
      <c r="E788" s="57"/>
      <c r="F788" s="42"/>
      <c r="G788" s="80"/>
    </row>
    <row r="789" spans="1:11" s="37" customFormat="1" ht="23.25" x14ac:dyDescent="0.35">
      <c r="C789" s="41"/>
      <c r="E789" s="57"/>
      <c r="F789" s="42"/>
      <c r="G789" s="80"/>
      <c r="I789" s="79"/>
      <c r="J789" s="79"/>
      <c r="K789" s="79"/>
    </row>
    <row r="790" spans="1:11" s="37" customFormat="1" ht="23.25" x14ac:dyDescent="0.35">
      <c r="A790" s="76"/>
      <c r="B790" s="76"/>
      <c r="C790" s="77"/>
      <c r="D790" s="76"/>
      <c r="E790" s="57"/>
      <c r="F790" s="78"/>
      <c r="G790" s="78"/>
      <c r="H790" s="76"/>
      <c r="I790" s="79"/>
      <c r="J790" s="81"/>
      <c r="K790" s="82"/>
    </row>
    <row r="791" spans="1:11" s="37" customFormat="1" ht="23.25" x14ac:dyDescent="0.35">
      <c r="C791" s="41"/>
      <c r="E791" s="57"/>
      <c r="F791" s="42"/>
      <c r="G791" s="80"/>
      <c r="I791" s="76"/>
      <c r="J791" s="79"/>
      <c r="K791" s="76"/>
    </row>
    <row r="792" spans="1:11" s="37" customFormat="1" ht="23.25" x14ac:dyDescent="0.35">
      <c r="C792" s="41"/>
      <c r="E792" s="57"/>
      <c r="F792" s="42"/>
      <c r="G792" s="80"/>
      <c r="I792" s="79"/>
      <c r="J792" s="79"/>
      <c r="K792" s="82"/>
    </row>
    <row r="793" spans="1:11" s="37" customFormat="1" ht="23.25" x14ac:dyDescent="0.35">
      <c r="C793" s="41"/>
      <c r="E793" s="57"/>
      <c r="F793" s="42"/>
      <c r="G793" s="80"/>
      <c r="I793" s="79"/>
      <c r="J793" s="79"/>
      <c r="K793" s="82"/>
    </row>
    <row r="794" spans="1:11" s="37" customFormat="1" ht="23.25" x14ac:dyDescent="0.35">
      <c r="C794" s="41"/>
      <c r="E794" s="57"/>
      <c r="F794" s="42"/>
      <c r="G794" s="80"/>
      <c r="I794" s="76"/>
      <c r="J794" s="79"/>
      <c r="K794" s="79"/>
    </row>
    <row r="795" spans="1:11" s="37" customFormat="1" ht="23.25" x14ac:dyDescent="0.35">
      <c r="C795" s="41"/>
      <c r="E795" s="57"/>
      <c r="F795" s="42"/>
      <c r="G795" s="80"/>
      <c r="I795" s="76"/>
      <c r="J795" s="76"/>
      <c r="K795" s="77"/>
    </row>
    <row r="796" spans="1:11" s="37" customFormat="1" ht="23.25" x14ac:dyDescent="0.35">
      <c r="C796" s="41"/>
      <c r="E796" s="57"/>
      <c r="F796" s="42"/>
      <c r="G796" s="80"/>
      <c r="I796" s="76"/>
      <c r="J796" s="79"/>
      <c r="K796" s="76"/>
    </row>
    <row r="797" spans="1:11" s="37" customFormat="1" ht="23.25" x14ac:dyDescent="0.35">
      <c r="C797" s="41"/>
      <c r="E797" s="57"/>
      <c r="F797" s="42"/>
      <c r="G797" s="80"/>
    </row>
    <row r="798" spans="1:11" s="37" customFormat="1" ht="23.25" x14ac:dyDescent="0.35">
      <c r="C798" s="41"/>
      <c r="E798" s="57"/>
      <c r="F798" s="42"/>
      <c r="G798" s="80"/>
      <c r="I798" s="79"/>
      <c r="J798" s="79"/>
      <c r="K798" s="79"/>
    </row>
    <row r="799" spans="1:11" s="37" customFormat="1" ht="23.25" x14ac:dyDescent="0.35">
      <c r="A799" s="76"/>
      <c r="B799" s="76"/>
      <c r="C799" s="77"/>
      <c r="D799" s="76"/>
      <c r="E799" s="57"/>
      <c r="F799" s="78"/>
      <c r="G799" s="78"/>
      <c r="H799" s="76"/>
      <c r="I799" s="79"/>
      <c r="J799" s="81"/>
      <c r="K799" s="82"/>
    </row>
    <row r="800" spans="1:11" s="37" customFormat="1" ht="23.25" x14ac:dyDescent="0.35">
      <c r="C800" s="41"/>
      <c r="E800" s="57"/>
      <c r="F800" s="42"/>
      <c r="G800" s="80"/>
      <c r="I800" s="76"/>
      <c r="J800" s="79"/>
      <c r="K800" s="76"/>
    </row>
    <row r="801" spans="1:11" s="37" customFormat="1" ht="23.25" x14ac:dyDescent="0.35">
      <c r="C801" s="41"/>
      <c r="E801" s="57"/>
      <c r="F801" s="42"/>
      <c r="G801" s="80"/>
      <c r="I801" s="79"/>
      <c r="J801" s="79"/>
      <c r="K801" s="82"/>
    </row>
    <row r="802" spans="1:11" s="37" customFormat="1" ht="23.25" x14ac:dyDescent="0.35">
      <c r="C802" s="41"/>
      <c r="E802" s="57"/>
      <c r="F802" s="42"/>
      <c r="G802" s="80"/>
      <c r="I802" s="79"/>
      <c r="J802" s="79"/>
      <c r="K802" s="82"/>
    </row>
    <row r="803" spans="1:11" s="37" customFormat="1" ht="23.25" x14ac:dyDescent="0.35">
      <c r="C803" s="41"/>
      <c r="E803" s="57"/>
      <c r="F803" s="42"/>
      <c r="G803" s="80"/>
      <c r="I803" s="76"/>
      <c r="J803" s="79"/>
      <c r="K803" s="81"/>
    </row>
    <row r="804" spans="1:11" s="37" customFormat="1" ht="23.25" x14ac:dyDescent="0.35">
      <c r="C804" s="41"/>
      <c r="E804" s="57"/>
      <c r="F804" s="42"/>
      <c r="G804" s="80"/>
      <c r="I804" s="79"/>
      <c r="J804" s="79"/>
      <c r="K804" s="81"/>
    </row>
    <row r="805" spans="1:11" s="37" customFormat="1" ht="23.25" x14ac:dyDescent="0.35">
      <c r="C805" s="41"/>
      <c r="E805" s="57"/>
      <c r="F805" s="42"/>
      <c r="G805" s="80"/>
      <c r="I805" s="76"/>
      <c r="J805" s="76"/>
      <c r="K805" s="77"/>
    </row>
    <row r="806" spans="1:11" s="37" customFormat="1" ht="23.25" x14ac:dyDescent="0.35">
      <c r="C806" s="41"/>
      <c r="E806" s="57"/>
      <c r="F806" s="42"/>
      <c r="G806" s="80"/>
      <c r="I806" s="76"/>
      <c r="J806" s="76"/>
      <c r="K806" s="77"/>
    </row>
    <row r="807" spans="1:11" s="37" customFormat="1" ht="23.25" x14ac:dyDescent="0.35">
      <c r="C807" s="41"/>
      <c r="E807" s="57"/>
      <c r="F807" s="42"/>
      <c r="G807" s="80"/>
      <c r="I807" s="79"/>
      <c r="J807" s="79"/>
      <c r="K807" s="81"/>
    </row>
    <row r="808" spans="1:11" s="37" customFormat="1" ht="23.25" x14ac:dyDescent="0.35">
      <c r="C808" s="41"/>
      <c r="E808" s="57"/>
      <c r="F808" s="42"/>
      <c r="G808" s="80"/>
    </row>
    <row r="809" spans="1:11" s="37" customFormat="1" ht="23.25" x14ac:dyDescent="0.35">
      <c r="C809" s="41"/>
      <c r="E809" s="57"/>
      <c r="F809" s="42"/>
      <c r="G809" s="80"/>
      <c r="I809" s="79"/>
      <c r="J809" s="79"/>
      <c r="K809" s="79"/>
    </row>
    <row r="810" spans="1:11" s="37" customFormat="1" ht="23.25" x14ac:dyDescent="0.35">
      <c r="A810" s="76"/>
      <c r="B810" s="76"/>
      <c r="C810" s="77"/>
      <c r="D810" s="76"/>
      <c r="E810" s="57"/>
      <c r="F810" s="78"/>
      <c r="G810" s="78"/>
      <c r="H810" s="76"/>
      <c r="I810" s="79"/>
      <c r="J810" s="81"/>
      <c r="K810" s="79"/>
    </row>
    <row r="811" spans="1:11" s="37" customFormat="1" ht="23.25" x14ac:dyDescent="0.35">
      <c r="C811" s="41"/>
      <c r="E811" s="57"/>
      <c r="F811" s="42"/>
      <c r="G811" s="80"/>
      <c r="I811" s="76"/>
      <c r="J811" s="79"/>
      <c r="K811" s="82"/>
    </row>
    <row r="812" spans="1:11" s="37" customFormat="1" ht="23.25" x14ac:dyDescent="0.35">
      <c r="C812" s="41"/>
      <c r="E812" s="57"/>
      <c r="F812" s="42"/>
      <c r="G812" s="80"/>
      <c r="I812" s="79"/>
      <c r="J812" s="79"/>
      <c r="K812" s="77"/>
    </row>
    <row r="813" spans="1:11" s="37" customFormat="1" ht="23.25" x14ac:dyDescent="0.35">
      <c r="C813" s="41"/>
      <c r="E813" s="57"/>
      <c r="F813" s="42"/>
      <c r="G813" s="80"/>
      <c r="I813" s="79"/>
      <c r="J813" s="79"/>
      <c r="K813" s="76"/>
    </row>
    <row r="814" spans="1:11" s="37" customFormat="1" ht="23.25" x14ac:dyDescent="0.35">
      <c r="C814" s="41"/>
      <c r="D814" s="76"/>
      <c r="E814" s="57"/>
      <c r="F814" s="78"/>
      <c r="G814" s="78"/>
      <c r="H814" s="76"/>
      <c r="I814" s="79"/>
      <c r="J814" s="79"/>
      <c r="K814" s="82"/>
    </row>
    <row r="815" spans="1:11" s="37" customFormat="1" ht="23.25" x14ac:dyDescent="0.35">
      <c r="C815" s="41"/>
      <c r="E815" s="57"/>
      <c r="F815" s="42"/>
      <c r="G815" s="80"/>
      <c r="I815" s="76"/>
      <c r="J815" s="79"/>
      <c r="K815" s="76"/>
    </row>
    <row r="816" spans="1:11" s="37" customFormat="1" ht="23.25" x14ac:dyDescent="0.35">
      <c r="C816" s="41"/>
      <c r="E816" s="57"/>
      <c r="F816" s="42"/>
      <c r="G816" s="80"/>
      <c r="I816" s="76"/>
      <c r="J816" s="76"/>
      <c r="K816" s="77"/>
    </row>
    <row r="817" spans="1:11" s="37" customFormat="1" ht="23.25" x14ac:dyDescent="0.35">
      <c r="C817" s="41"/>
      <c r="E817" s="57"/>
      <c r="F817" s="42"/>
      <c r="G817" s="80"/>
      <c r="I817" s="79"/>
      <c r="J817" s="79"/>
      <c r="K817" s="76"/>
    </row>
    <row r="818" spans="1:11" s="37" customFormat="1" ht="23.25" x14ac:dyDescent="0.35">
      <c r="C818" s="41"/>
      <c r="E818" s="57"/>
      <c r="F818" s="42"/>
      <c r="G818" s="80"/>
    </row>
    <row r="819" spans="1:11" s="37" customFormat="1" ht="23.25" x14ac:dyDescent="0.35">
      <c r="C819" s="41"/>
      <c r="E819" s="57"/>
      <c r="F819" s="42"/>
      <c r="G819" s="80"/>
      <c r="I819" s="79"/>
      <c r="J819" s="79"/>
      <c r="K819" s="79"/>
    </row>
    <row r="820" spans="1:11" s="37" customFormat="1" ht="23.25" x14ac:dyDescent="0.35">
      <c r="A820" s="76"/>
      <c r="B820" s="76"/>
      <c r="C820" s="77"/>
      <c r="D820" s="76"/>
      <c r="E820" s="57"/>
      <c r="F820" s="78"/>
      <c r="G820" s="78"/>
      <c r="H820" s="76"/>
      <c r="I820" s="79"/>
      <c r="J820" s="81"/>
      <c r="K820" s="82"/>
    </row>
    <row r="821" spans="1:11" s="37" customFormat="1" ht="23.25" x14ac:dyDescent="0.35">
      <c r="C821" s="41"/>
      <c r="E821" s="57"/>
      <c r="F821" s="42"/>
      <c r="G821" s="80"/>
      <c r="I821" s="76"/>
      <c r="J821" s="79"/>
      <c r="K821" s="76"/>
    </row>
    <row r="822" spans="1:11" s="37" customFormat="1" ht="23.25" x14ac:dyDescent="0.35">
      <c r="C822" s="41"/>
      <c r="E822" s="57"/>
      <c r="F822" s="42"/>
      <c r="G822" s="80"/>
      <c r="I822" s="79"/>
      <c r="J822" s="79"/>
      <c r="K822" s="82"/>
    </row>
    <row r="823" spans="1:11" s="37" customFormat="1" ht="23.25" x14ac:dyDescent="0.35">
      <c r="C823" s="41"/>
      <c r="E823" s="57"/>
      <c r="F823" s="42"/>
      <c r="G823" s="80"/>
      <c r="I823" s="79"/>
      <c r="J823" s="79"/>
      <c r="K823" s="82"/>
    </row>
    <row r="824" spans="1:11" s="37" customFormat="1" ht="23.25" x14ac:dyDescent="0.35">
      <c r="C824" s="41"/>
      <c r="E824" s="57"/>
      <c r="F824" s="42"/>
      <c r="G824" s="80"/>
      <c r="I824" s="79"/>
      <c r="J824" s="79"/>
      <c r="K824" s="82"/>
    </row>
    <row r="825" spans="1:11" s="37" customFormat="1" ht="23.25" x14ac:dyDescent="0.35">
      <c r="C825" s="41"/>
      <c r="E825" s="57"/>
      <c r="F825" s="42"/>
      <c r="G825" s="80"/>
      <c r="I825" s="76"/>
      <c r="J825" s="79"/>
      <c r="K825" s="77"/>
    </row>
    <row r="826" spans="1:11" s="37" customFormat="1" ht="23.25" x14ac:dyDescent="0.35">
      <c r="C826" s="41"/>
      <c r="E826" s="57"/>
      <c r="F826" s="42"/>
      <c r="G826" s="80"/>
      <c r="I826" s="76"/>
      <c r="J826" s="76"/>
      <c r="K826" s="77"/>
    </row>
    <row r="827" spans="1:11" s="37" customFormat="1" ht="23.25" x14ac:dyDescent="0.35">
      <c r="C827" s="41"/>
      <c r="E827" s="57"/>
      <c r="F827" s="42"/>
      <c r="G827" s="80"/>
      <c r="I827" s="79"/>
      <c r="J827" s="76"/>
      <c r="K827" s="76"/>
    </row>
    <row r="828" spans="1:11" s="37" customFormat="1" ht="23.25" x14ac:dyDescent="0.35">
      <c r="C828" s="41"/>
      <c r="E828" s="57"/>
      <c r="F828" s="42"/>
      <c r="G828" s="80"/>
      <c r="I828" s="76"/>
      <c r="J828" s="79"/>
      <c r="K828" s="76"/>
    </row>
    <row r="829" spans="1:11" s="37" customFormat="1" ht="23.25" x14ac:dyDescent="0.35">
      <c r="C829" s="41"/>
      <c r="E829" s="57"/>
      <c r="F829" s="42"/>
      <c r="G829" s="80"/>
    </row>
    <row r="830" spans="1:11" s="37" customFormat="1" ht="23.25" x14ac:dyDescent="0.35">
      <c r="C830" s="41"/>
      <c r="E830" s="57"/>
      <c r="F830" s="42"/>
      <c r="G830" s="80"/>
      <c r="I830" s="79"/>
      <c r="J830" s="79"/>
      <c r="K830" s="79"/>
    </row>
    <row r="831" spans="1:11" s="37" customFormat="1" ht="23.25" x14ac:dyDescent="0.35">
      <c r="A831" s="76"/>
      <c r="B831" s="76"/>
      <c r="C831" s="77"/>
      <c r="D831" s="76"/>
      <c r="E831" s="57"/>
      <c r="F831" s="78"/>
      <c r="G831" s="78"/>
      <c r="H831" s="76"/>
      <c r="I831" s="79"/>
      <c r="J831" s="81"/>
      <c r="K831" s="82"/>
    </row>
    <row r="832" spans="1:11" s="37" customFormat="1" ht="23.25" x14ac:dyDescent="0.35">
      <c r="C832" s="41"/>
      <c r="E832" s="57"/>
      <c r="F832" s="42"/>
      <c r="G832" s="80"/>
      <c r="I832" s="76"/>
      <c r="J832" s="79"/>
      <c r="K832" s="76"/>
    </row>
    <row r="833" spans="1:11" s="37" customFormat="1" ht="23.25" x14ac:dyDescent="0.35">
      <c r="C833" s="41"/>
      <c r="E833" s="57"/>
      <c r="F833" s="42"/>
      <c r="G833" s="80"/>
      <c r="I833" s="79"/>
      <c r="J833" s="79"/>
      <c r="K833" s="82"/>
    </row>
    <row r="834" spans="1:11" s="37" customFormat="1" ht="23.25" x14ac:dyDescent="0.35">
      <c r="C834" s="41"/>
      <c r="E834" s="57"/>
      <c r="F834" s="42"/>
      <c r="G834" s="80"/>
      <c r="I834" s="79"/>
      <c r="J834" s="79"/>
      <c r="K834" s="82"/>
    </row>
    <row r="835" spans="1:11" s="37" customFormat="1" ht="23.25" x14ac:dyDescent="0.35">
      <c r="C835" s="41"/>
      <c r="E835" s="57"/>
      <c r="F835" s="42"/>
      <c r="G835" s="80"/>
      <c r="I835" s="79"/>
      <c r="J835" s="79"/>
      <c r="K835" s="82"/>
    </row>
    <row r="836" spans="1:11" s="37" customFormat="1" ht="23.25" x14ac:dyDescent="0.35">
      <c r="C836" s="41"/>
      <c r="E836" s="57"/>
      <c r="F836" s="42"/>
      <c r="G836" s="80"/>
      <c r="I836" s="76"/>
      <c r="J836" s="79"/>
      <c r="K836" s="77"/>
    </row>
    <row r="837" spans="1:11" s="37" customFormat="1" ht="23.25" x14ac:dyDescent="0.35">
      <c r="C837" s="41"/>
      <c r="E837" s="57"/>
      <c r="F837" s="42"/>
      <c r="G837" s="80"/>
      <c r="I837" s="76"/>
      <c r="J837" s="76"/>
      <c r="K837" s="77"/>
    </row>
    <row r="838" spans="1:11" s="37" customFormat="1" ht="23.25" x14ac:dyDescent="0.35">
      <c r="C838" s="41"/>
      <c r="E838" s="57"/>
      <c r="F838" s="42"/>
      <c r="G838" s="80"/>
      <c r="I838" s="79"/>
      <c r="J838" s="76"/>
      <c r="K838" s="76"/>
    </row>
    <row r="839" spans="1:11" s="37" customFormat="1" ht="23.25" hidden="1" x14ac:dyDescent="0.35">
      <c r="C839" s="41"/>
      <c r="E839" s="57"/>
      <c r="F839" s="42"/>
      <c r="G839" s="80"/>
      <c r="I839" s="76"/>
      <c r="J839" s="79"/>
      <c r="K839" s="76"/>
    </row>
    <row r="840" spans="1:11" s="37" customFormat="1" ht="23.25" x14ac:dyDescent="0.35">
      <c r="C840" s="41"/>
      <c r="E840" s="57"/>
      <c r="F840" s="42"/>
      <c r="G840" s="80"/>
      <c r="I840" s="76"/>
      <c r="J840" s="79"/>
      <c r="K840" s="76"/>
    </row>
    <row r="841" spans="1:11" s="37" customFormat="1" ht="23.25" x14ac:dyDescent="0.35">
      <c r="C841" s="41"/>
      <c r="E841" s="57"/>
      <c r="F841" s="42"/>
      <c r="G841" s="80"/>
    </row>
    <row r="842" spans="1:11" s="37" customFormat="1" ht="23.25" x14ac:dyDescent="0.35">
      <c r="C842" s="41"/>
      <c r="E842" s="57"/>
      <c r="F842" s="42"/>
      <c r="G842" s="80"/>
      <c r="I842" s="79"/>
      <c r="J842" s="79"/>
      <c r="K842" s="79"/>
    </row>
    <row r="843" spans="1:11" s="37" customFormat="1" ht="23.25" x14ac:dyDescent="0.35">
      <c r="A843" s="76"/>
      <c r="B843" s="76"/>
      <c r="C843" s="77"/>
      <c r="D843" s="76"/>
      <c r="E843" s="57"/>
      <c r="F843" s="78"/>
      <c r="G843" s="78"/>
      <c r="H843" s="76"/>
      <c r="I843" s="79"/>
      <c r="J843" s="81"/>
      <c r="K843" s="79"/>
    </row>
    <row r="844" spans="1:11" s="37" customFormat="1" ht="23.25" x14ac:dyDescent="0.35">
      <c r="C844" s="41"/>
      <c r="E844" s="57"/>
      <c r="F844" s="42"/>
      <c r="G844" s="80"/>
      <c r="I844" s="76"/>
      <c r="J844" s="79"/>
      <c r="K844" s="82"/>
    </row>
    <row r="845" spans="1:11" s="37" customFormat="1" ht="23.25" x14ac:dyDescent="0.35">
      <c r="C845" s="41"/>
      <c r="E845" s="57"/>
      <c r="F845" s="42"/>
      <c r="G845" s="80"/>
      <c r="I845" s="79"/>
      <c r="J845" s="79"/>
      <c r="K845" s="77"/>
    </row>
    <row r="846" spans="1:11" s="37" customFormat="1" ht="23.25" x14ac:dyDescent="0.35">
      <c r="C846" s="41"/>
      <c r="E846" s="57"/>
      <c r="F846" s="42"/>
      <c r="G846" s="80"/>
      <c r="I846" s="79"/>
      <c r="J846" s="79"/>
      <c r="K846" s="76"/>
    </row>
    <row r="847" spans="1:11" s="37" customFormat="1" ht="23.25" x14ac:dyDescent="0.35">
      <c r="C847" s="41"/>
      <c r="D847" s="76"/>
      <c r="E847" s="57"/>
      <c r="F847" s="78"/>
      <c r="G847" s="78"/>
      <c r="H847" s="76"/>
      <c r="I847" s="79"/>
      <c r="J847" s="79"/>
      <c r="K847" s="82"/>
    </row>
    <row r="848" spans="1:11" s="37" customFormat="1" ht="23.25" x14ac:dyDescent="0.35">
      <c r="C848" s="41"/>
      <c r="E848" s="57"/>
      <c r="F848" s="42"/>
      <c r="G848" s="80"/>
      <c r="I848" s="76"/>
      <c r="J848" s="79"/>
      <c r="K848" s="76"/>
    </row>
    <row r="849" spans="1:11" s="37" customFormat="1" ht="23.25" x14ac:dyDescent="0.35">
      <c r="C849" s="41"/>
      <c r="E849" s="57"/>
      <c r="F849" s="42"/>
      <c r="G849" s="80"/>
      <c r="I849" s="79"/>
      <c r="J849" s="79"/>
      <c r="K849" s="76"/>
    </row>
    <row r="850" spans="1:11" s="37" customFormat="1" ht="23.25" x14ac:dyDescent="0.35">
      <c r="C850" s="41"/>
      <c r="E850" s="57"/>
      <c r="F850" s="42"/>
      <c r="G850" s="80"/>
    </row>
    <row r="851" spans="1:11" s="37" customFormat="1" ht="23.25" x14ac:dyDescent="0.35">
      <c r="C851" s="41"/>
      <c r="E851" s="57"/>
      <c r="F851" s="42"/>
      <c r="G851" s="80"/>
      <c r="I851" s="79"/>
      <c r="J851" s="79"/>
      <c r="K851" s="79"/>
    </row>
    <row r="852" spans="1:11" s="37" customFormat="1" ht="23.25" x14ac:dyDescent="0.35">
      <c r="A852" s="76"/>
      <c r="B852" s="76"/>
      <c r="C852" s="77"/>
      <c r="D852" s="76"/>
      <c r="E852" s="57"/>
      <c r="F852" s="78"/>
      <c r="G852" s="78"/>
      <c r="H852" s="76"/>
      <c r="I852" s="79"/>
      <c r="J852" s="81"/>
      <c r="K852" s="82"/>
    </row>
    <row r="853" spans="1:11" s="37" customFormat="1" ht="23.25" x14ac:dyDescent="0.35">
      <c r="C853" s="41"/>
      <c r="E853" s="57"/>
      <c r="F853" s="42"/>
      <c r="G853" s="80"/>
      <c r="I853" s="76"/>
      <c r="J853" s="79"/>
      <c r="K853" s="76"/>
    </row>
    <row r="854" spans="1:11" s="37" customFormat="1" ht="23.25" x14ac:dyDescent="0.35">
      <c r="C854" s="41"/>
      <c r="E854" s="57"/>
      <c r="F854" s="42"/>
      <c r="G854" s="80"/>
      <c r="I854" s="79"/>
      <c r="J854" s="79"/>
      <c r="K854" s="82"/>
    </row>
    <row r="855" spans="1:11" s="37" customFormat="1" ht="23.25" x14ac:dyDescent="0.35">
      <c r="C855" s="41"/>
      <c r="E855" s="57"/>
      <c r="F855" s="42"/>
      <c r="G855" s="80"/>
      <c r="I855" s="79"/>
      <c r="J855" s="79"/>
      <c r="K855" s="82"/>
    </row>
    <row r="856" spans="1:11" s="37" customFormat="1" ht="23.25" x14ac:dyDescent="0.35">
      <c r="C856" s="41"/>
      <c r="E856" s="57"/>
      <c r="F856" s="42"/>
      <c r="G856" s="80"/>
      <c r="I856" s="79"/>
      <c r="J856" s="79"/>
      <c r="K856" s="82"/>
    </row>
    <row r="857" spans="1:11" s="37" customFormat="1" ht="23.25" x14ac:dyDescent="0.35">
      <c r="C857" s="41"/>
      <c r="E857" s="57"/>
      <c r="F857" s="42"/>
      <c r="G857" s="80"/>
      <c r="I857" s="76"/>
      <c r="J857" s="79"/>
      <c r="K857" s="77"/>
    </row>
    <row r="858" spans="1:11" s="37" customFormat="1" ht="23.25" x14ac:dyDescent="0.35">
      <c r="C858" s="41"/>
      <c r="E858" s="57"/>
      <c r="F858" s="42"/>
      <c r="G858" s="80"/>
      <c r="I858" s="76"/>
      <c r="J858" s="76"/>
      <c r="K858" s="77"/>
    </row>
    <row r="859" spans="1:11" s="37" customFormat="1" ht="23.25" x14ac:dyDescent="0.35">
      <c r="C859" s="41"/>
      <c r="E859" s="57"/>
      <c r="F859" s="42"/>
      <c r="G859" s="80"/>
      <c r="I859" s="79"/>
      <c r="J859" s="76"/>
      <c r="K859" s="76"/>
    </row>
    <row r="860" spans="1:11" s="37" customFormat="1" ht="23.25" x14ac:dyDescent="0.35">
      <c r="C860" s="41"/>
      <c r="E860" s="57"/>
      <c r="F860" s="42"/>
      <c r="G860" s="80"/>
      <c r="I860" s="76"/>
      <c r="J860" s="79"/>
      <c r="K860" s="76"/>
    </row>
    <row r="861" spans="1:11" s="37" customFormat="1" ht="23.25" x14ac:dyDescent="0.35">
      <c r="C861" s="41"/>
      <c r="E861" s="57"/>
      <c r="F861" s="42"/>
      <c r="G861" s="80"/>
    </row>
    <row r="862" spans="1:11" s="37" customFormat="1" ht="23.25" x14ac:dyDescent="0.35">
      <c r="C862" s="41"/>
      <c r="E862" s="57"/>
      <c r="F862" s="42"/>
      <c r="G862" s="80"/>
    </row>
    <row r="863" spans="1:11" s="37" customFormat="1" ht="23.25" x14ac:dyDescent="0.35">
      <c r="C863" s="41"/>
      <c r="E863" s="57"/>
      <c r="F863" s="42"/>
      <c r="G863" s="80"/>
    </row>
    <row r="864" spans="1:11" s="37" customFormat="1" ht="23.25" x14ac:dyDescent="0.35">
      <c r="C864" s="41"/>
      <c r="E864" s="57"/>
      <c r="F864" s="42"/>
      <c r="G864" s="80"/>
    </row>
    <row r="865" spans="3:7" s="37" customFormat="1" ht="23.25" x14ac:dyDescent="0.35">
      <c r="C865" s="41"/>
      <c r="E865" s="57"/>
      <c r="F865" s="42"/>
      <c r="G865" s="80"/>
    </row>
    <row r="866" spans="3:7" s="37" customFormat="1" ht="23.25" x14ac:dyDescent="0.35">
      <c r="C866" s="41"/>
      <c r="E866" s="57"/>
      <c r="F866" s="42"/>
      <c r="G866" s="80"/>
    </row>
    <row r="867" spans="3:7" s="37" customFormat="1" ht="23.25" x14ac:dyDescent="0.35">
      <c r="C867" s="41"/>
      <c r="E867" s="57"/>
      <c r="F867" s="42"/>
      <c r="G867" s="80"/>
    </row>
    <row r="868" spans="3:7" s="37" customFormat="1" ht="23.25" x14ac:dyDescent="0.35">
      <c r="C868" s="41"/>
      <c r="E868" s="57"/>
      <c r="F868" s="42"/>
      <c r="G868" s="80"/>
    </row>
    <row r="869" spans="3:7" s="37" customFormat="1" ht="23.25" x14ac:dyDescent="0.35">
      <c r="C869" s="41"/>
      <c r="E869" s="57"/>
      <c r="F869" s="42"/>
      <c r="G869" s="80"/>
    </row>
    <row r="870" spans="3:7" s="37" customFormat="1" ht="23.25" x14ac:dyDescent="0.35">
      <c r="C870" s="41"/>
      <c r="E870" s="57"/>
      <c r="F870" s="42"/>
      <c r="G870" s="80"/>
    </row>
    <row r="871" spans="3:7" s="37" customFormat="1" ht="23.25" x14ac:dyDescent="0.35">
      <c r="C871" s="41"/>
      <c r="E871" s="57"/>
      <c r="F871" s="42"/>
      <c r="G871" s="80"/>
    </row>
    <row r="872" spans="3:7" s="37" customFormat="1" ht="23.25" x14ac:dyDescent="0.35">
      <c r="C872" s="41"/>
      <c r="E872" s="57"/>
      <c r="F872" s="42"/>
      <c r="G872" s="80"/>
    </row>
    <row r="873" spans="3:7" s="37" customFormat="1" ht="23.25" x14ac:dyDescent="0.35">
      <c r="C873" s="41"/>
      <c r="E873" s="57"/>
      <c r="F873" s="42"/>
      <c r="G873" s="80"/>
    </row>
    <row r="874" spans="3:7" s="37" customFormat="1" ht="23.25" x14ac:dyDescent="0.35">
      <c r="C874" s="41"/>
      <c r="E874" s="57"/>
      <c r="F874" s="42"/>
      <c r="G874" s="80"/>
    </row>
    <row r="875" spans="3:7" s="37" customFormat="1" ht="23.25" x14ac:dyDescent="0.35">
      <c r="C875" s="41"/>
      <c r="E875" s="57"/>
      <c r="F875" s="42"/>
      <c r="G875" s="80"/>
    </row>
    <row r="876" spans="3:7" s="37" customFormat="1" ht="23.25" x14ac:dyDescent="0.35">
      <c r="C876" s="41"/>
      <c r="E876" s="57"/>
      <c r="F876" s="42"/>
      <c r="G876" s="80"/>
    </row>
    <row r="877" spans="3:7" s="37" customFormat="1" ht="23.25" x14ac:dyDescent="0.35">
      <c r="C877" s="41"/>
      <c r="E877" s="57"/>
      <c r="F877" s="42"/>
      <c r="G877" s="80"/>
    </row>
    <row r="878" spans="3:7" s="37" customFormat="1" ht="23.25" x14ac:dyDescent="0.35">
      <c r="C878" s="41"/>
      <c r="E878" s="57"/>
      <c r="F878" s="42"/>
      <c r="G878" s="80"/>
    </row>
    <row r="879" spans="3:7" s="37" customFormat="1" ht="23.25" x14ac:dyDescent="0.35">
      <c r="C879" s="41"/>
      <c r="E879" s="57"/>
      <c r="F879" s="42"/>
      <c r="G879" s="80"/>
    </row>
    <row r="880" spans="3:7" s="37" customFormat="1" ht="23.25" x14ac:dyDescent="0.35">
      <c r="C880" s="41"/>
      <c r="E880" s="57"/>
      <c r="F880" s="42"/>
      <c r="G880" s="80"/>
    </row>
    <row r="881" spans="3:7" s="37" customFormat="1" ht="23.25" x14ac:dyDescent="0.35">
      <c r="C881" s="41"/>
      <c r="E881" s="57"/>
      <c r="F881" s="42"/>
      <c r="G881" s="80"/>
    </row>
    <row r="882" spans="3:7" s="37" customFormat="1" ht="23.25" x14ac:dyDescent="0.35">
      <c r="C882" s="41"/>
      <c r="E882" s="57"/>
      <c r="F882" s="42"/>
      <c r="G882" s="80"/>
    </row>
    <row r="883" spans="3:7" s="37" customFormat="1" ht="23.25" x14ac:dyDescent="0.35">
      <c r="C883" s="41"/>
      <c r="E883" s="57"/>
      <c r="F883" s="42"/>
      <c r="G883" s="80"/>
    </row>
    <row r="884" spans="3:7" s="37" customFormat="1" ht="23.25" x14ac:dyDescent="0.35">
      <c r="C884" s="41"/>
      <c r="E884" s="57"/>
      <c r="F884" s="42"/>
      <c r="G884" s="80"/>
    </row>
    <row r="885" spans="3:7" s="37" customFormat="1" ht="23.25" x14ac:dyDescent="0.35">
      <c r="C885" s="41"/>
      <c r="E885" s="57"/>
      <c r="F885" s="42"/>
      <c r="G885" s="80"/>
    </row>
    <row r="886" spans="3:7" s="37" customFormat="1" ht="23.25" x14ac:dyDescent="0.35">
      <c r="C886" s="41"/>
      <c r="E886" s="57"/>
      <c r="F886" s="42"/>
      <c r="G886" s="80"/>
    </row>
    <row r="887" spans="3:7" s="37" customFormat="1" ht="23.25" x14ac:dyDescent="0.35">
      <c r="C887" s="41"/>
      <c r="E887" s="57"/>
      <c r="F887" s="42"/>
      <c r="G887" s="80"/>
    </row>
    <row r="888" spans="3:7" s="37" customFormat="1" ht="23.25" x14ac:dyDescent="0.35">
      <c r="C888" s="41"/>
      <c r="E888" s="57"/>
      <c r="F888" s="42"/>
      <c r="G888" s="80"/>
    </row>
    <row r="889" spans="3:7" s="37" customFormat="1" ht="23.25" x14ac:dyDescent="0.35">
      <c r="C889" s="41"/>
      <c r="E889" s="57"/>
      <c r="F889" s="42"/>
      <c r="G889" s="80"/>
    </row>
    <row r="890" spans="3:7" s="37" customFormat="1" ht="23.25" x14ac:dyDescent="0.35">
      <c r="C890" s="41"/>
      <c r="E890" s="57"/>
      <c r="F890" s="42"/>
      <c r="G890" s="80"/>
    </row>
    <row r="891" spans="3:7" s="37" customFormat="1" ht="23.25" x14ac:dyDescent="0.35">
      <c r="C891" s="41"/>
      <c r="E891" s="57"/>
      <c r="F891" s="42"/>
      <c r="G891" s="80"/>
    </row>
    <row r="892" spans="3:7" s="37" customFormat="1" ht="23.25" x14ac:dyDescent="0.35">
      <c r="C892" s="41"/>
      <c r="E892" s="57"/>
      <c r="F892" s="42"/>
      <c r="G892" s="80"/>
    </row>
    <row r="893" spans="3:7" s="37" customFormat="1" ht="23.25" x14ac:dyDescent="0.35">
      <c r="C893" s="41"/>
      <c r="E893" s="57"/>
      <c r="F893" s="42"/>
      <c r="G893" s="80"/>
    </row>
    <row r="894" spans="3:7" s="37" customFormat="1" ht="23.25" x14ac:dyDescent="0.35">
      <c r="C894" s="41"/>
      <c r="E894" s="57"/>
      <c r="F894" s="42"/>
      <c r="G894" s="80"/>
    </row>
    <row r="895" spans="3:7" s="37" customFormat="1" ht="23.25" x14ac:dyDescent="0.35">
      <c r="C895" s="41"/>
      <c r="E895" s="57"/>
      <c r="F895" s="42"/>
      <c r="G895" s="80"/>
    </row>
    <row r="896" spans="3:7" s="37" customFormat="1" ht="23.25" x14ac:dyDescent="0.35">
      <c r="C896" s="41"/>
      <c r="E896" s="57"/>
      <c r="F896" s="42"/>
      <c r="G896" s="80"/>
    </row>
    <row r="897" spans="3:7" s="37" customFormat="1" ht="23.25" x14ac:dyDescent="0.35">
      <c r="C897" s="41"/>
      <c r="E897" s="57"/>
      <c r="F897" s="42"/>
      <c r="G897" s="80"/>
    </row>
    <row r="898" spans="3:7" s="37" customFormat="1" ht="23.25" x14ac:dyDescent="0.35">
      <c r="C898" s="41"/>
      <c r="E898" s="57"/>
      <c r="F898" s="42"/>
      <c r="G898" s="80"/>
    </row>
    <row r="899" spans="3:7" s="37" customFormat="1" ht="23.25" x14ac:dyDescent="0.35">
      <c r="C899" s="41"/>
      <c r="E899" s="57"/>
      <c r="F899" s="42"/>
      <c r="G899" s="80"/>
    </row>
    <row r="900" spans="3:7" s="37" customFormat="1" ht="23.25" x14ac:dyDescent="0.35">
      <c r="C900" s="41"/>
      <c r="E900" s="57"/>
      <c r="F900" s="42"/>
      <c r="G900" s="80"/>
    </row>
    <row r="901" spans="3:7" s="37" customFormat="1" ht="23.25" x14ac:dyDescent="0.35">
      <c r="C901" s="41"/>
      <c r="E901" s="57"/>
      <c r="F901" s="42"/>
      <c r="G901" s="80"/>
    </row>
    <row r="902" spans="3:7" s="37" customFormat="1" ht="23.25" x14ac:dyDescent="0.35">
      <c r="C902" s="41"/>
      <c r="E902" s="57"/>
      <c r="F902" s="42"/>
      <c r="G902" s="80"/>
    </row>
    <row r="903" spans="3:7" s="37" customFormat="1" ht="23.25" x14ac:dyDescent="0.35">
      <c r="C903" s="41"/>
      <c r="E903" s="57"/>
      <c r="F903" s="42"/>
      <c r="G903" s="80"/>
    </row>
    <row r="904" spans="3:7" s="37" customFormat="1" ht="23.25" x14ac:dyDescent="0.35">
      <c r="C904" s="41"/>
      <c r="E904" s="57"/>
      <c r="F904" s="42"/>
      <c r="G904" s="80"/>
    </row>
    <row r="905" spans="3:7" s="37" customFormat="1" ht="23.25" x14ac:dyDescent="0.35">
      <c r="C905" s="41"/>
      <c r="E905" s="57"/>
      <c r="F905" s="42"/>
      <c r="G905" s="80"/>
    </row>
    <row r="906" spans="3:7" s="37" customFormat="1" ht="23.25" x14ac:dyDescent="0.35">
      <c r="C906" s="41"/>
      <c r="E906" s="57"/>
      <c r="F906" s="42"/>
      <c r="G906" s="80"/>
    </row>
    <row r="907" spans="3:7" s="37" customFormat="1" ht="23.25" x14ac:dyDescent="0.35">
      <c r="C907" s="41"/>
      <c r="E907" s="57"/>
      <c r="F907" s="42"/>
      <c r="G907" s="80"/>
    </row>
    <row r="908" spans="3:7" s="37" customFormat="1" ht="23.25" x14ac:dyDescent="0.35">
      <c r="C908" s="41"/>
      <c r="E908" s="57"/>
      <c r="F908" s="42"/>
      <c r="G908" s="80"/>
    </row>
    <row r="909" spans="3:7" s="37" customFormat="1" ht="23.25" x14ac:dyDescent="0.35">
      <c r="C909" s="41"/>
      <c r="E909" s="57"/>
      <c r="F909" s="42"/>
      <c r="G909" s="80"/>
    </row>
    <row r="910" spans="3:7" s="37" customFormat="1" ht="23.25" x14ac:dyDescent="0.35">
      <c r="C910" s="41"/>
      <c r="E910" s="57"/>
      <c r="F910" s="42"/>
      <c r="G910" s="80"/>
    </row>
    <row r="911" spans="3:7" s="37" customFormat="1" ht="23.25" x14ac:dyDescent="0.35">
      <c r="C911" s="41"/>
      <c r="E911" s="57"/>
      <c r="F911" s="42"/>
      <c r="G911" s="80"/>
    </row>
    <row r="912" spans="3:7" s="37" customFormat="1" ht="23.25" x14ac:dyDescent="0.35">
      <c r="C912" s="41"/>
      <c r="E912" s="57"/>
      <c r="F912" s="42"/>
      <c r="G912" s="80"/>
    </row>
    <row r="913" spans="3:7" s="37" customFormat="1" ht="23.25" x14ac:dyDescent="0.35">
      <c r="C913" s="41"/>
      <c r="E913" s="57"/>
      <c r="F913" s="42"/>
      <c r="G913" s="80"/>
    </row>
    <row r="914" spans="3:7" s="37" customFormat="1" ht="23.25" x14ac:dyDescent="0.35">
      <c r="C914" s="41"/>
      <c r="E914" s="57"/>
      <c r="F914" s="42"/>
      <c r="G914" s="80"/>
    </row>
    <row r="915" spans="3:7" s="37" customFormat="1" ht="23.25" x14ac:dyDescent="0.35">
      <c r="C915" s="41"/>
      <c r="E915" s="57"/>
      <c r="F915" s="42"/>
      <c r="G915" s="80"/>
    </row>
    <row r="916" spans="3:7" s="37" customFormat="1" ht="23.25" x14ac:dyDescent="0.35">
      <c r="C916" s="41"/>
      <c r="E916" s="57"/>
      <c r="F916" s="42"/>
      <c r="G916" s="80"/>
    </row>
    <row r="917" spans="3:7" s="37" customFormat="1" ht="23.25" x14ac:dyDescent="0.35">
      <c r="C917" s="41"/>
      <c r="E917" s="57"/>
      <c r="F917" s="42"/>
      <c r="G917" s="80"/>
    </row>
    <row r="918" spans="3:7" s="37" customFormat="1" ht="23.25" x14ac:dyDescent="0.35">
      <c r="C918" s="41"/>
      <c r="E918" s="57"/>
      <c r="F918" s="42"/>
      <c r="G918" s="80"/>
    </row>
    <row r="919" spans="3:7" s="37" customFormat="1" ht="23.25" x14ac:dyDescent="0.35">
      <c r="C919" s="41"/>
      <c r="E919" s="57"/>
      <c r="F919" s="42"/>
      <c r="G919" s="80"/>
    </row>
    <row r="920" spans="3:7" s="37" customFormat="1" ht="23.25" x14ac:dyDescent="0.35">
      <c r="C920" s="41"/>
      <c r="E920" s="57"/>
      <c r="F920" s="42"/>
      <c r="G920" s="80"/>
    </row>
    <row r="921" spans="3:7" s="37" customFormat="1" ht="23.25" x14ac:dyDescent="0.35">
      <c r="C921" s="41"/>
      <c r="E921" s="57"/>
      <c r="F921" s="42"/>
      <c r="G921" s="80"/>
    </row>
    <row r="922" spans="3:7" s="37" customFormat="1" ht="23.25" x14ac:dyDescent="0.35">
      <c r="C922" s="41"/>
      <c r="E922" s="57"/>
      <c r="F922" s="42"/>
      <c r="G922" s="80"/>
    </row>
    <row r="923" spans="3:7" s="37" customFormat="1" ht="23.25" x14ac:dyDescent="0.35">
      <c r="C923" s="41"/>
      <c r="E923" s="57"/>
      <c r="F923" s="42"/>
      <c r="G923" s="80"/>
    </row>
    <row r="924" spans="3:7" s="37" customFormat="1" ht="23.25" x14ac:dyDescent="0.35">
      <c r="C924" s="41"/>
      <c r="E924" s="57"/>
      <c r="F924" s="42"/>
      <c r="G924" s="80"/>
    </row>
    <row r="925" spans="3:7" s="37" customFormat="1" ht="23.25" x14ac:dyDescent="0.35">
      <c r="C925" s="41"/>
      <c r="E925" s="57"/>
      <c r="F925" s="42"/>
      <c r="G925" s="80"/>
    </row>
    <row r="926" spans="3:7" s="37" customFormat="1" ht="23.25" x14ac:dyDescent="0.35">
      <c r="C926" s="41"/>
      <c r="E926" s="57"/>
      <c r="F926" s="42"/>
      <c r="G926" s="80"/>
    </row>
    <row r="927" spans="3:7" s="37" customFormat="1" ht="23.25" x14ac:dyDescent="0.35">
      <c r="C927" s="41"/>
      <c r="E927" s="57"/>
      <c r="F927" s="42"/>
      <c r="G927" s="80"/>
    </row>
    <row r="928" spans="3:7" s="37" customFormat="1" ht="23.25" x14ac:dyDescent="0.35">
      <c r="C928" s="41"/>
      <c r="E928" s="57"/>
      <c r="F928" s="42"/>
      <c r="G928" s="80"/>
    </row>
    <row r="929" spans="3:7" s="37" customFormat="1" ht="23.25" x14ac:dyDescent="0.35">
      <c r="C929" s="41"/>
      <c r="E929" s="57"/>
      <c r="F929" s="42"/>
      <c r="G929" s="80"/>
    </row>
    <row r="930" spans="3:7" s="37" customFormat="1" ht="23.25" x14ac:dyDescent="0.35">
      <c r="C930" s="41"/>
      <c r="E930" s="57"/>
      <c r="F930" s="42"/>
      <c r="G930" s="80"/>
    </row>
    <row r="931" spans="3:7" s="37" customFormat="1" ht="23.25" x14ac:dyDescent="0.35">
      <c r="C931" s="41"/>
      <c r="E931" s="57"/>
      <c r="F931" s="42"/>
      <c r="G931" s="80"/>
    </row>
    <row r="932" spans="3:7" s="37" customFormat="1" ht="23.25" x14ac:dyDescent="0.35">
      <c r="C932" s="41"/>
      <c r="E932" s="57"/>
      <c r="F932" s="42"/>
      <c r="G932" s="80"/>
    </row>
    <row r="933" spans="3:7" s="37" customFormat="1" ht="23.25" x14ac:dyDescent="0.35">
      <c r="C933" s="41"/>
      <c r="E933" s="57"/>
      <c r="F933" s="42"/>
      <c r="G933" s="80"/>
    </row>
    <row r="934" spans="3:7" s="37" customFormat="1" ht="23.25" x14ac:dyDescent="0.35">
      <c r="C934" s="41"/>
      <c r="E934" s="57"/>
      <c r="F934" s="42"/>
      <c r="G934" s="80"/>
    </row>
    <row r="935" spans="3:7" s="37" customFormat="1" ht="23.25" x14ac:dyDescent="0.35">
      <c r="C935" s="41"/>
      <c r="E935" s="57"/>
      <c r="F935" s="42"/>
      <c r="G935" s="80"/>
    </row>
    <row r="936" spans="3:7" s="37" customFormat="1" ht="23.25" x14ac:dyDescent="0.35">
      <c r="C936" s="41"/>
      <c r="E936" s="57"/>
      <c r="F936" s="42"/>
      <c r="G936" s="80"/>
    </row>
    <row r="937" spans="3:7" s="37" customFormat="1" ht="23.25" x14ac:dyDescent="0.35">
      <c r="C937" s="41"/>
      <c r="E937" s="57"/>
      <c r="F937" s="42"/>
      <c r="G937" s="80"/>
    </row>
    <row r="938" spans="3:7" s="37" customFormat="1" ht="23.25" x14ac:dyDescent="0.35">
      <c r="C938" s="41"/>
      <c r="E938" s="57"/>
      <c r="F938" s="42"/>
      <c r="G938" s="80"/>
    </row>
    <row r="939" spans="3:7" s="37" customFormat="1" ht="23.25" x14ac:dyDescent="0.35">
      <c r="C939" s="41"/>
      <c r="E939" s="57"/>
      <c r="F939" s="42"/>
      <c r="G939" s="80"/>
    </row>
    <row r="940" spans="3:7" s="37" customFormat="1" ht="23.25" x14ac:dyDescent="0.35">
      <c r="C940" s="41"/>
      <c r="E940" s="57"/>
      <c r="F940" s="42"/>
      <c r="G940" s="80"/>
    </row>
    <row r="941" spans="3:7" s="37" customFormat="1" ht="23.25" x14ac:dyDescent="0.35">
      <c r="C941" s="41"/>
      <c r="E941" s="57"/>
      <c r="F941" s="42"/>
      <c r="G941" s="80"/>
    </row>
    <row r="942" spans="3:7" s="37" customFormat="1" ht="23.25" x14ac:dyDescent="0.35">
      <c r="C942" s="41"/>
      <c r="E942" s="57"/>
      <c r="F942" s="42"/>
      <c r="G942" s="80"/>
    </row>
    <row r="943" spans="3:7" s="37" customFormat="1" ht="23.25" x14ac:dyDescent="0.35">
      <c r="C943" s="41"/>
      <c r="E943" s="57"/>
      <c r="F943" s="42"/>
      <c r="G943" s="80"/>
    </row>
    <row r="944" spans="3:7" s="37" customFormat="1" ht="23.25" x14ac:dyDescent="0.35">
      <c r="C944" s="41"/>
      <c r="E944" s="57"/>
      <c r="F944" s="42"/>
      <c r="G944" s="80"/>
    </row>
    <row r="945" spans="3:7" s="37" customFormat="1" ht="23.25" x14ac:dyDescent="0.35">
      <c r="C945" s="41"/>
      <c r="E945" s="57"/>
      <c r="F945" s="42"/>
      <c r="G945" s="80"/>
    </row>
    <row r="946" spans="3:7" s="37" customFormat="1" ht="23.25" x14ac:dyDescent="0.35">
      <c r="C946" s="41"/>
      <c r="E946" s="57"/>
      <c r="F946" s="42"/>
      <c r="G946" s="80"/>
    </row>
    <row r="947" spans="3:7" s="37" customFormat="1" ht="23.25" x14ac:dyDescent="0.35">
      <c r="C947" s="41"/>
      <c r="E947" s="57"/>
      <c r="F947" s="42"/>
      <c r="G947" s="80"/>
    </row>
    <row r="948" spans="3:7" s="37" customFormat="1" ht="23.25" x14ac:dyDescent="0.35">
      <c r="C948" s="41"/>
      <c r="E948" s="57"/>
      <c r="F948" s="42"/>
      <c r="G948" s="80"/>
    </row>
    <row r="949" spans="3:7" s="37" customFormat="1" ht="23.25" x14ac:dyDescent="0.35">
      <c r="C949" s="41"/>
      <c r="E949" s="57"/>
      <c r="F949" s="42"/>
      <c r="G949" s="80"/>
    </row>
    <row r="950" spans="3:7" s="37" customFormat="1" ht="23.25" x14ac:dyDescent="0.35">
      <c r="C950" s="41"/>
      <c r="E950" s="57"/>
      <c r="F950" s="42"/>
      <c r="G950" s="80"/>
    </row>
    <row r="951" spans="3:7" s="37" customFormat="1" ht="23.25" x14ac:dyDescent="0.35">
      <c r="C951" s="41"/>
      <c r="E951" s="57"/>
      <c r="F951" s="42"/>
      <c r="G951" s="80"/>
    </row>
    <row r="952" spans="3:7" s="37" customFormat="1" ht="23.25" x14ac:dyDescent="0.35">
      <c r="C952" s="41"/>
      <c r="E952" s="57"/>
      <c r="F952" s="42"/>
      <c r="G952" s="80"/>
    </row>
    <row r="953" spans="3:7" s="37" customFormat="1" ht="23.25" x14ac:dyDescent="0.35">
      <c r="C953" s="41"/>
      <c r="E953" s="57"/>
      <c r="F953" s="42"/>
      <c r="G953" s="80"/>
    </row>
    <row r="954" spans="3:7" s="37" customFormat="1" ht="23.25" x14ac:dyDescent="0.35">
      <c r="C954" s="41"/>
      <c r="E954" s="57"/>
      <c r="F954" s="42"/>
      <c r="G954" s="80"/>
    </row>
    <row r="955" spans="3:7" s="37" customFormat="1" ht="23.25" x14ac:dyDescent="0.35">
      <c r="C955" s="41"/>
      <c r="E955" s="57"/>
      <c r="F955" s="42"/>
      <c r="G955" s="80"/>
    </row>
    <row r="956" spans="3:7" s="37" customFormat="1" ht="23.25" x14ac:dyDescent="0.35">
      <c r="C956" s="41"/>
      <c r="E956" s="57"/>
      <c r="F956" s="42"/>
      <c r="G956" s="80"/>
    </row>
    <row r="957" spans="3:7" s="37" customFormat="1" ht="23.25" x14ac:dyDescent="0.35">
      <c r="C957" s="41"/>
      <c r="E957" s="57"/>
      <c r="F957" s="42"/>
      <c r="G957" s="80"/>
    </row>
    <row r="958" spans="3:7" s="37" customFormat="1" ht="23.25" x14ac:dyDescent="0.35">
      <c r="C958" s="41"/>
      <c r="E958" s="57"/>
      <c r="F958" s="42"/>
      <c r="G958" s="80"/>
    </row>
    <row r="959" spans="3:7" s="37" customFormat="1" ht="23.25" x14ac:dyDescent="0.35">
      <c r="C959" s="41"/>
      <c r="E959" s="57"/>
      <c r="F959" s="42"/>
      <c r="G959" s="80"/>
    </row>
    <row r="960" spans="3:7" s="37" customFormat="1" ht="23.25" x14ac:dyDescent="0.35">
      <c r="C960" s="41"/>
      <c r="E960" s="57"/>
      <c r="F960" s="42"/>
      <c r="G960" s="80"/>
    </row>
    <row r="961" spans="3:7" s="37" customFormat="1" ht="23.25" x14ac:dyDescent="0.35">
      <c r="C961" s="41"/>
      <c r="E961" s="57"/>
      <c r="F961" s="42"/>
      <c r="G961" s="80"/>
    </row>
    <row r="962" spans="3:7" s="37" customFormat="1" ht="23.25" x14ac:dyDescent="0.35">
      <c r="C962" s="41"/>
      <c r="E962" s="57"/>
      <c r="F962" s="42"/>
      <c r="G962" s="80"/>
    </row>
    <row r="963" spans="3:7" s="37" customFormat="1" ht="23.25" x14ac:dyDescent="0.35">
      <c r="C963" s="41"/>
      <c r="E963" s="57"/>
      <c r="F963" s="42"/>
      <c r="G963" s="80"/>
    </row>
    <row r="964" spans="3:7" s="37" customFormat="1" ht="23.25" x14ac:dyDescent="0.35">
      <c r="C964" s="41"/>
      <c r="E964" s="57"/>
      <c r="F964" s="42"/>
      <c r="G964" s="80"/>
    </row>
    <row r="965" spans="3:7" s="37" customFormat="1" ht="23.25" x14ac:dyDescent="0.35">
      <c r="C965" s="41"/>
      <c r="E965" s="57"/>
      <c r="F965" s="42"/>
      <c r="G965" s="80"/>
    </row>
    <row r="966" spans="3:7" s="37" customFormat="1" ht="23.25" x14ac:dyDescent="0.35">
      <c r="C966" s="41"/>
      <c r="E966" s="57"/>
      <c r="F966" s="42"/>
      <c r="G966" s="80"/>
    </row>
    <row r="967" spans="3:7" s="37" customFormat="1" ht="23.25" x14ac:dyDescent="0.35">
      <c r="C967" s="41"/>
      <c r="E967" s="57"/>
      <c r="F967" s="42"/>
      <c r="G967" s="80"/>
    </row>
    <row r="968" spans="3:7" s="37" customFormat="1" ht="23.25" x14ac:dyDescent="0.35">
      <c r="C968" s="41"/>
      <c r="E968" s="57"/>
      <c r="F968" s="42"/>
      <c r="G968" s="80"/>
    </row>
    <row r="969" spans="3:7" s="37" customFormat="1" ht="23.25" x14ac:dyDescent="0.35">
      <c r="C969" s="41"/>
      <c r="E969" s="57"/>
      <c r="F969" s="42"/>
      <c r="G969" s="80"/>
    </row>
    <row r="970" spans="3:7" s="37" customFormat="1" ht="23.25" x14ac:dyDescent="0.35">
      <c r="C970" s="41"/>
      <c r="E970" s="57"/>
      <c r="F970" s="42"/>
      <c r="G970" s="80"/>
    </row>
    <row r="971" spans="3:7" s="37" customFormat="1" ht="23.25" x14ac:dyDescent="0.35">
      <c r="C971" s="41"/>
      <c r="E971" s="57"/>
      <c r="F971" s="42"/>
      <c r="G971" s="80"/>
    </row>
    <row r="972" spans="3:7" s="37" customFormat="1" ht="23.25" x14ac:dyDescent="0.35">
      <c r="C972" s="41"/>
      <c r="E972" s="57"/>
      <c r="F972" s="42"/>
      <c r="G972" s="80"/>
    </row>
    <row r="973" spans="3:7" s="37" customFormat="1" ht="23.25" x14ac:dyDescent="0.35">
      <c r="C973" s="41"/>
      <c r="E973" s="57"/>
      <c r="F973" s="42"/>
      <c r="G973" s="80"/>
    </row>
    <row r="974" spans="3:7" s="37" customFormat="1" ht="23.25" x14ac:dyDescent="0.35">
      <c r="C974" s="41"/>
      <c r="E974" s="57"/>
      <c r="F974" s="42"/>
      <c r="G974" s="80"/>
    </row>
    <row r="975" spans="3:7" s="37" customFormat="1" ht="23.25" x14ac:dyDescent="0.35">
      <c r="C975" s="41"/>
      <c r="E975" s="57"/>
      <c r="F975" s="42"/>
      <c r="G975" s="80"/>
    </row>
    <row r="976" spans="3:7" s="37" customFormat="1" ht="23.25" x14ac:dyDescent="0.35">
      <c r="C976" s="41"/>
      <c r="E976" s="57"/>
      <c r="F976" s="42"/>
      <c r="G976" s="80"/>
    </row>
    <row r="977" spans="3:7" s="37" customFormat="1" ht="23.25" x14ac:dyDescent="0.35">
      <c r="C977" s="41"/>
      <c r="E977" s="57"/>
      <c r="F977" s="42"/>
      <c r="G977" s="80"/>
    </row>
    <row r="978" spans="3:7" s="37" customFormat="1" ht="23.25" x14ac:dyDescent="0.35">
      <c r="C978" s="41"/>
      <c r="E978" s="57"/>
      <c r="F978" s="42"/>
      <c r="G978" s="80"/>
    </row>
    <row r="979" spans="3:7" s="37" customFormat="1" ht="23.25" x14ac:dyDescent="0.35">
      <c r="C979" s="41"/>
      <c r="E979" s="57"/>
      <c r="F979" s="42"/>
      <c r="G979" s="80"/>
    </row>
    <row r="980" spans="3:7" s="37" customFormat="1" ht="23.25" x14ac:dyDescent="0.35">
      <c r="C980" s="41"/>
      <c r="E980" s="57"/>
      <c r="F980" s="42"/>
      <c r="G980" s="80"/>
    </row>
    <row r="981" spans="3:7" s="37" customFormat="1" ht="23.25" x14ac:dyDescent="0.35">
      <c r="C981" s="41"/>
      <c r="E981" s="57"/>
      <c r="F981" s="42"/>
      <c r="G981" s="80"/>
    </row>
    <row r="982" spans="3:7" s="37" customFormat="1" ht="23.25" x14ac:dyDescent="0.35">
      <c r="C982" s="41"/>
      <c r="E982" s="57"/>
      <c r="F982" s="42"/>
      <c r="G982" s="80"/>
    </row>
    <row r="983" spans="3:7" s="37" customFormat="1" ht="23.25" x14ac:dyDescent="0.35">
      <c r="C983" s="41"/>
      <c r="E983" s="57"/>
      <c r="F983" s="42"/>
      <c r="G983" s="80"/>
    </row>
    <row r="984" spans="3:7" s="37" customFormat="1" ht="23.25" x14ac:dyDescent="0.35">
      <c r="C984" s="41"/>
      <c r="E984" s="57"/>
      <c r="F984" s="42"/>
      <c r="G984" s="80"/>
    </row>
    <row r="985" spans="3:7" s="37" customFormat="1" ht="23.25" x14ac:dyDescent="0.35">
      <c r="C985" s="41"/>
      <c r="E985" s="57"/>
      <c r="F985" s="42"/>
      <c r="G985" s="80"/>
    </row>
    <row r="986" spans="3:7" s="37" customFormat="1" ht="23.25" x14ac:dyDescent="0.35">
      <c r="C986" s="41"/>
      <c r="E986" s="57"/>
      <c r="F986" s="42"/>
      <c r="G986" s="80"/>
    </row>
    <row r="987" spans="3:7" s="37" customFormat="1" ht="23.25" x14ac:dyDescent="0.35">
      <c r="C987" s="41"/>
      <c r="E987" s="57"/>
      <c r="F987" s="42"/>
      <c r="G987" s="80"/>
    </row>
    <row r="988" spans="3:7" s="37" customFormat="1" ht="23.25" x14ac:dyDescent="0.35">
      <c r="C988" s="41"/>
      <c r="E988" s="57"/>
      <c r="F988" s="42"/>
      <c r="G988" s="80"/>
    </row>
    <row r="989" spans="3:7" s="37" customFormat="1" ht="23.25" x14ac:dyDescent="0.35">
      <c r="C989" s="41"/>
      <c r="E989" s="57"/>
      <c r="F989" s="42"/>
      <c r="G989" s="80"/>
    </row>
    <row r="990" spans="3:7" s="37" customFormat="1" ht="23.25" x14ac:dyDescent="0.35">
      <c r="C990" s="41"/>
      <c r="E990" s="57"/>
      <c r="F990" s="42"/>
      <c r="G990" s="80"/>
    </row>
    <row r="991" spans="3:7" s="37" customFormat="1" ht="23.25" x14ac:dyDescent="0.35">
      <c r="C991" s="41"/>
      <c r="E991" s="57"/>
      <c r="F991" s="42"/>
      <c r="G991" s="80"/>
    </row>
    <row r="992" spans="3:7" s="37" customFormat="1" ht="23.25" x14ac:dyDescent="0.35">
      <c r="C992" s="41"/>
      <c r="E992" s="57"/>
      <c r="F992" s="42"/>
      <c r="G992" s="80"/>
    </row>
    <row r="993" spans="3:7" s="37" customFormat="1" ht="23.25" x14ac:dyDescent="0.35">
      <c r="C993" s="41"/>
      <c r="E993" s="57"/>
      <c r="F993" s="42"/>
      <c r="G993" s="80"/>
    </row>
    <row r="994" spans="3:7" s="37" customFormat="1" ht="23.25" x14ac:dyDescent="0.35">
      <c r="C994" s="41"/>
      <c r="E994" s="57"/>
      <c r="F994" s="42"/>
      <c r="G994" s="80"/>
    </row>
    <row r="995" spans="3:7" s="37" customFormat="1" ht="23.25" x14ac:dyDescent="0.35">
      <c r="C995" s="41"/>
      <c r="E995" s="57"/>
      <c r="F995" s="42"/>
      <c r="G995" s="80"/>
    </row>
    <row r="996" spans="3:7" s="37" customFormat="1" ht="23.25" x14ac:dyDescent="0.35">
      <c r="C996" s="41"/>
      <c r="E996" s="57"/>
      <c r="F996" s="42"/>
      <c r="G996" s="80"/>
    </row>
    <row r="997" spans="3:7" s="37" customFormat="1" ht="23.25" x14ac:dyDescent="0.35">
      <c r="C997" s="41"/>
      <c r="E997" s="57"/>
      <c r="F997" s="42"/>
      <c r="G997" s="80"/>
    </row>
    <row r="998" spans="3:7" s="37" customFormat="1" ht="23.25" x14ac:dyDescent="0.35">
      <c r="C998" s="41"/>
      <c r="E998" s="57"/>
      <c r="F998" s="42"/>
      <c r="G998" s="80"/>
    </row>
    <row r="999" spans="3:7" s="37" customFormat="1" ht="23.25" x14ac:dyDescent="0.35">
      <c r="C999" s="41"/>
      <c r="E999" s="57"/>
      <c r="F999" s="42"/>
      <c r="G999" s="80"/>
    </row>
    <row r="1000" spans="3:7" s="37" customFormat="1" ht="23.25" x14ac:dyDescent="0.35">
      <c r="C1000" s="41"/>
      <c r="E1000" s="57"/>
      <c r="F1000" s="42"/>
      <c r="G1000" s="80"/>
    </row>
    <row r="1001" spans="3:7" s="37" customFormat="1" ht="23.25" x14ac:dyDescent="0.35">
      <c r="C1001" s="41"/>
      <c r="E1001" s="57"/>
      <c r="F1001" s="42"/>
      <c r="G1001" s="80"/>
    </row>
    <row r="1002" spans="3:7" s="37" customFormat="1" ht="23.25" x14ac:dyDescent="0.35">
      <c r="C1002" s="41"/>
      <c r="E1002" s="57"/>
      <c r="F1002" s="42"/>
      <c r="G1002" s="80"/>
    </row>
    <row r="1003" spans="3:7" s="37" customFormat="1" ht="23.25" x14ac:dyDescent="0.35">
      <c r="C1003" s="41"/>
      <c r="E1003" s="57"/>
      <c r="F1003" s="42"/>
      <c r="G1003" s="80"/>
    </row>
    <row r="1004" spans="3:7" s="37" customFormat="1" ht="23.25" x14ac:dyDescent="0.35">
      <c r="C1004" s="41"/>
      <c r="E1004" s="57"/>
      <c r="F1004" s="42"/>
      <c r="G1004" s="80"/>
    </row>
    <row r="1005" spans="3:7" s="37" customFormat="1" ht="23.25" x14ac:dyDescent="0.35">
      <c r="C1005" s="41"/>
      <c r="E1005" s="57"/>
      <c r="F1005" s="42"/>
      <c r="G1005" s="80"/>
    </row>
    <row r="1006" spans="3:7" s="37" customFormat="1" ht="23.25" x14ac:dyDescent="0.35">
      <c r="C1006" s="41"/>
      <c r="E1006" s="57"/>
      <c r="F1006" s="42"/>
      <c r="G1006" s="80"/>
    </row>
    <row r="1007" spans="3:7" s="37" customFormat="1" ht="23.25" x14ac:dyDescent="0.35">
      <c r="C1007" s="41"/>
      <c r="E1007" s="57"/>
      <c r="F1007" s="42"/>
      <c r="G1007" s="80"/>
    </row>
    <row r="1008" spans="3:7" s="37" customFormat="1" ht="23.25" x14ac:dyDescent="0.35">
      <c r="C1008" s="41"/>
      <c r="E1008" s="57"/>
      <c r="F1008" s="42"/>
      <c r="G1008" s="80"/>
    </row>
    <row r="1009" spans="3:7" s="37" customFormat="1" ht="23.25" x14ac:dyDescent="0.35">
      <c r="C1009" s="41"/>
      <c r="E1009" s="57"/>
      <c r="F1009" s="42"/>
      <c r="G1009" s="80"/>
    </row>
    <row r="1010" spans="3:7" s="37" customFormat="1" ht="23.25" x14ac:dyDescent="0.35">
      <c r="C1010" s="41"/>
      <c r="E1010" s="57"/>
      <c r="F1010" s="42"/>
      <c r="G1010" s="80"/>
    </row>
    <row r="1011" spans="3:7" s="37" customFormat="1" ht="23.25" x14ac:dyDescent="0.35">
      <c r="C1011" s="41"/>
      <c r="E1011" s="57"/>
      <c r="F1011" s="42"/>
      <c r="G1011" s="80"/>
    </row>
    <row r="1012" spans="3:7" s="37" customFormat="1" ht="23.25" x14ac:dyDescent="0.35">
      <c r="C1012" s="41"/>
      <c r="E1012" s="57"/>
      <c r="F1012" s="42"/>
      <c r="G1012" s="80"/>
    </row>
    <row r="1013" spans="3:7" s="37" customFormat="1" ht="23.25" x14ac:dyDescent="0.35">
      <c r="C1013" s="41"/>
      <c r="E1013" s="57"/>
      <c r="F1013" s="42"/>
      <c r="G1013" s="80"/>
    </row>
    <row r="1014" spans="3:7" s="37" customFormat="1" ht="23.25" x14ac:dyDescent="0.35">
      <c r="C1014" s="41"/>
      <c r="E1014" s="57"/>
      <c r="F1014" s="42"/>
      <c r="G1014" s="80"/>
    </row>
    <row r="1015" spans="3:7" s="37" customFormat="1" ht="23.25" x14ac:dyDescent="0.35">
      <c r="C1015" s="41"/>
      <c r="E1015" s="57"/>
      <c r="F1015" s="42"/>
      <c r="G1015" s="80"/>
    </row>
    <row r="1016" spans="3:7" s="37" customFormat="1" ht="23.25" x14ac:dyDescent="0.35">
      <c r="C1016" s="41"/>
      <c r="E1016" s="57"/>
      <c r="F1016" s="42"/>
      <c r="G1016" s="80"/>
    </row>
    <row r="1017" spans="3:7" s="37" customFormat="1" ht="23.25" x14ac:dyDescent="0.35">
      <c r="C1017" s="41"/>
      <c r="E1017" s="57"/>
      <c r="F1017" s="42"/>
      <c r="G1017" s="80"/>
    </row>
    <row r="1018" spans="3:7" s="37" customFormat="1" ht="23.25" x14ac:dyDescent="0.35">
      <c r="C1018" s="41"/>
      <c r="E1018" s="57"/>
      <c r="F1018" s="42"/>
      <c r="G1018" s="80"/>
    </row>
    <row r="1019" spans="3:7" s="37" customFormat="1" ht="23.25" x14ac:dyDescent="0.35">
      <c r="C1019" s="41"/>
      <c r="E1019" s="57"/>
      <c r="F1019" s="42"/>
      <c r="G1019" s="80"/>
    </row>
    <row r="1020" spans="3:7" s="37" customFormat="1" ht="23.25" x14ac:dyDescent="0.35">
      <c r="C1020" s="41"/>
      <c r="E1020" s="57"/>
      <c r="F1020" s="42"/>
      <c r="G1020" s="80"/>
    </row>
    <row r="1021" spans="3:7" s="37" customFormat="1" ht="23.25" x14ac:dyDescent="0.35">
      <c r="C1021" s="41"/>
      <c r="E1021" s="57"/>
      <c r="F1021" s="42"/>
      <c r="G1021" s="80"/>
    </row>
    <row r="1022" spans="3:7" s="37" customFormat="1" ht="23.25" x14ac:dyDescent="0.35">
      <c r="C1022" s="41"/>
      <c r="E1022" s="57"/>
      <c r="F1022" s="42"/>
      <c r="G1022" s="80"/>
    </row>
    <row r="1023" spans="3:7" s="37" customFormat="1" ht="23.25" x14ac:dyDescent="0.35">
      <c r="C1023" s="41"/>
      <c r="E1023" s="57"/>
      <c r="F1023" s="42"/>
      <c r="G1023" s="80"/>
    </row>
    <row r="1024" spans="3:7" s="37" customFormat="1" ht="23.25" x14ac:dyDescent="0.35">
      <c r="C1024" s="41"/>
      <c r="E1024" s="57"/>
      <c r="F1024" s="42"/>
      <c r="G1024" s="80"/>
    </row>
    <row r="1025" spans="3:7" s="37" customFormat="1" ht="23.25" x14ac:dyDescent="0.35">
      <c r="C1025" s="41"/>
      <c r="E1025" s="57"/>
      <c r="F1025" s="42"/>
      <c r="G1025" s="80"/>
    </row>
    <row r="1026" spans="3:7" s="37" customFormat="1" ht="23.25" x14ac:dyDescent="0.35">
      <c r="C1026" s="41"/>
      <c r="E1026" s="57"/>
      <c r="F1026" s="42"/>
      <c r="G1026" s="80"/>
    </row>
    <row r="1027" spans="3:7" s="37" customFormat="1" ht="23.25" x14ac:dyDescent="0.35">
      <c r="C1027" s="41"/>
      <c r="E1027" s="57"/>
      <c r="F1027" s="42"/>
      <c r="G1027" s="80"/>
    </row>
    <row r="1028" spans="3:7" s="37" customFormat="1" ht="23.25" x14ac:dyDescent="0.35">
      <c r="C1028" s="41"/>
      <c r="E1028" s="57"/>
      <c r="F1028" s="42"/>
      <c r="G1028" s="80"/>
    </row>
    <row r="1029" spans="3:7" s="37" customFormat="1" ht="23.25" x14ac:dyDescent="0.35">
      <c r="C1029" s="41"/>
      <c r="E1029" s="57"/>
      <c r="F1029" s="42"/>
      <c r="G1029" s="80"/>
    </row>
    <row r="1030" spans="3:7" s="37" customFormat="1" ht="23.25" x14ac:dyDescent="0.35">
      <c r="C1030" s="41"/>
      <c r="E1030" s="57"/>
      <c r="F1030" s="42"/>
      <c r="G1030" s="80"/>
    </row>
    <row r="1031" spans="3:7" s="37" customFormat="1" ht="23.25" x14ac:dyDescent="0.35">
      <c r="C1031" s="41"/>
      <c r="E1031" s="57"/>
      <c r="F1031" s="42"/>
      <c r="G1031" s="80"/>
    </row>
    <row r="1032" spans="3:7" s="37" customFormat="1" ht="23.25" x14ac:dyDescent="0.35">
      <c r="C1032" s="41"/>
      <c r="E1032" s="57"/>
      <c r="F1032" s="42"/>
      <c r="G1032" s="80"/>
    </row>
    <row r="1033" spans="3:7" s="37" customFormat="1" ht="23.25" x14ac:dyDescent="0.35">
      <c r="C1033" s="41"/>
      <c r="E1033" s="57"/>
      <c r="F1033" s="42"/>
      <c r="G1033" s="80"/>
    </row>
    <row r="1034" spans="3:7" s="37" customFormat="1" ht="23.25" x14ac:dyDescent="0.35">
      <c r="C1034" s="41"/>
      <c r="E1034" s="57"/>
      <c r="F1034" s="42"/>
      <c r="G1034" s="80"/>
    </row>
    <row r="1035" spans="3:7" s="37" customFormat="1" ht="23.25" x14ac:dyDescent="0.35">
      <c r="C1035" s="41"/>
      <c r="E1035" s="57"/>
      <c r="F1035" s="42"/>
      <c r="G1035" s="80"/>
    </row>
    <row r="1036" spans="3:7" s="37" customFormat="1" ht="23.25" x14ac:dyDescent="0.35">
      <c r="C1036" s="41"/>
      <c r="E1036" s="57"/>
      <c r="F1036" s="42"/>
      <c r="G1036" s="80"/>
    </row>
    <row r="1037" spans="3:7" s="37" customFormat="1" ht="23.25" x14ac:dyDescent="0.35">
      <c r="C1037" s="41"/>
      <c r="E1037" s="57"/>
      <c r="F1037" s="42"/>
      <c r="G1037" s="80"/>
    </row>
    <row r="1038" spans="3:7" s="37" customFormat="1" ht="23.25" x14ac:dyDescent="0.35">
      <c r="C1038" s="41"/>
      <c r="E1038" s="57"/>
      <c r="F1038" s="42"/>
      <c r="G1038" s="80"/>
    </row>
    <row r="1039" spans="3:7" s="37" customFormat="1" ht="23.25" x14ac:dyDescent="0.35">
      <c r="C1039" s="41"/>
      <c r="E1039" s="57"/>
      <c r="F1039" s="42"/>
      <c r="G1039" s="80"/>
    </row>
    <row r="1040" spans="3:7" s="37" customFormat="1" ht="23.25" x14ac:dyDescent="0.35">
      <c r="C1040" s="41"/>
      <c r="E1040" s="57"/>
      <c r="F1040" s="42"/>
      <c r="G1040" s="80"/>
    </row>
    <row r="1041" spans="3:7" s="37" customFormat="1" ht="23.25" x14ac:dyDescent="0.35">
      <c r="C1041" s="41"/>
      <c r="E1041" s="57"/>
      <c r="F1041" s="42"/>
      <c r="G1041" s="80"/>
    </row>
    <row r="1042" spans="3:7" s="37" customFormat="1" ht="23.25" x14ac:dyDescent="0.35">
      <c r="C1042" s="41"/>
      <c r="E1042" s="57"/>
      <c r="F1042" s="42"/>
      <c r="G1042" s="80"/>
    </row>
    <row r="1043" spans="3:7" s="37" customFormat="1" ht="23.25" x14ac:dyDescent="0.35">
      <c r="C1043" s="41"/>
      <c r="E1043" s="57"/>
      <c r="F1043" s="42"/>
      <c r="G1043" s="80"/>
    </row>
    <row r="1044" spans="3:7" s="37" customFormat="1" ht="23.25" x14ac:dyDescent="0.35">
      <c r="C1044" s="41"/>
      <c r="E1044" s="57"/>
      <c r="F1044" s="42"/>
      <c r="G1044" s="80"/>
    </row>
    <row r="1045" spans="3:7" s="37" customFormat="1" ht="23.25" x14ac:dyDescent="0.35">
      <c r="C1045" s="41"/>
      <c r="E1045" s="57"/>
      <c r="F1045" s="42"/>
      <c r="G1045" s="80"/>
    </row>
    <row r="1046" spans="3:7" s="37" customFormat="1" ht="23.25" x14ac:dyDescent="0.35">
      <c r="C1046" s="41"/>
      <c r="E1046" s="57"/>
      <c r="F1046" s="42"/>
      <c r="G1046" s="80"/>
    </row>
    <row r="1047" spans="3:7" s="37" customFormat="1" ht="23.25" x14ac:dyDescent="0.35">
      <c r="C1047" s="41"/>
      <c r="E1047" s="57"/>
      <c r="F1047" s="42"/>
      <c r="G1047" s="80"/>
    </row>
    <row r="1048" spans="3:7" s="37" customFormat="1" ht="23.25" x14ac:dyDescent="0.35">
      <c r="C1048" s="41"/>
      <c r="E1048" s="57"/>
      <c r="F1048" s="42"/>
      <c r="G1048" s="80"/>
    </row>
    <row r="1049" spans="3:7" s="37" customFormat="1" ht="23.25" x14ac:dyDescent="0.35">
      <c r="C1049" s="41"/>
      <c r="E1049" s="57"/>
      <c r="F1049" s="42"/>
      <c r="G1049" s="80"/>
    </row>
    <row r="1050" spans="3:7" s="37" customFormat="1" ht="23.25" x14ac:dyDescent="0.35">
      <c r="C1050" s="41"/>
      <c r="E1050" s="57"/>
      <c r="F1050" s="42"/>
      <c r="G1050" s="80"/>
    </row>
    <row r="1051" spans="3:7" s="37" customFormat="1" ht="23.25" x14ac:dyDescent="0.35">
      <c r="C1051" s="41"/>
      <c r="E1051" s="57"/>
      <c r="F1051" s="42"/>
      <c r="G1051" s="80"/>
    </row>
    <row r="1052" spans="3:7" s="37" customFormat="1" ht="23.25" x14ac:dyDescent="0.35">
      <c r="C1052" s="41"/>
      <c r="E1052" s="57"/>
      <c r="F1052" s="42"/>
      <c r="G1052" s="80"/>
    </row>
    <row r="1053" spans="3:7" s="37" customFormat="1" ht="23.25" x14ac:dyDescent="0.35">
      <c r="C1053" s="41"/>
      <c r="E1053" s="57"/>
      <c r="F1053" s="42"/>
      <c r="G1053" s="80"/>
    </row>
    <row r="1054" spans="3:7" s="37" customFormat="1" ht="23.25" x14ac:dyDescent="0.35">
      <c r="C1054" s="41"/>
      <c r="E1054" s="57"/>
      <c r="F1054" s="42"/>
      <c r="G1054" s="80"/>
    </row>
    <row r="1055" spans="3:7" s="37" customFormat="1" ht="23.25" x14ac:dyDescent="0.35">
      <c r="C1055" s="41"/>
      <c r="E1055" s="57"/>
      <c r="F1055" s="42"/>
      <c r="G1055" s="80"/>
    </row>
    <row r="1056" spans="3:7" s="37" customFormat="1" ht="23.25" x14ac:dyDescent="0.35">
      <c r="C1056" s="41"/>
      <c r="E1056" s="57"/>
      <c r="F1056" s="42"/>
      <c r="G1056" s="80"/>
    </row>
    <row r="1057" spans="3:7" s="37" customFormat="1" ht="23.25" x14ac:dyDescent="0.35">
      <c r="C1057" s="41"/>
      <c r="E1057" s="57"/>
      <c r="F1057" s="42"/>
      <c r="G1057" s="80"/>
    </row>
    <row r="1058" spans="3:7" s="37" customFormat="1" ht="23.25" x14ac:dyDescent="0.35">
      <c r="C1058" s="41"/>
      <c r="E1058" s="57"/>
      <c r="F1058" s="42"/>
      <c r="G1058" s="80"/>
    </row>
    <row r="1059" spans="3:7" s="37" customFormat="1" ht="23.25" x14ac:dyDescent="0.35">
      <c r="C1059" s="41"/>
      <c r="E1059" s="57"/>
      <c r="F1059" s="42"/>
      <c r="G1059" s="80"/>
    </row>
    <row r="1060" spans="3:7" s="37" customFormat="1" ht="23.25" x14ac:dyDescent="0.35">
      <c r="C1060" s="41"/>
      <c r="E1060" s="57"/>
      <c r="F1060" s="42"/>
      <c r="G1060" s="80"/>
    </row>
    <row r="1061" spans="3:7" s="37" customFormat="1" ht="23.25" x14ac:dyDescent="0.35">
      <c r="C1061" s="41"/>
      <c r="E1061" s="57"/>
      <c r="F1061" s="42"/>
      <c r="G1061" s="80"/>
    </row>
    <row r="1062" spans="3:7" s="37" customFormat="1" ht="23.25" x14ac:dyDescent="0.35">
      <c r="C1062" s="41"/>
      <c r="E1062" s="57"/>
      <c r="F1062" s="42"/>
      <c r="G1062" s="80"/>
    </row>
    <row r="1063" spans="3:7" s="37" customFormat="1" ht="23.25" x14ac:dyDescent="0.35">
      <c r="C1063" s="41"/>
      <c r="E1063" s="57"/>
      <c r="F1063" s="42"/>
      <c r="G1063" s="80"/>
    </row>
    <row r="1064" spans="3:7" s="37" customFormat="1" ht="23.25" x14ac:dyDescent="0.35">
      <c r="C1064" s="41"/>
      <c r="E1064" s="57"/>
      <c r="F1064" s="42"/>
      <c r="G1064" s="80"/>
    </row>
    <row r="1065" spans="3:7" s="37" customFormat="1" ht="23.25" x14ac:dyDescent="0.35">
      <c r="C1065" s="41"/>
      <c r="E1065" s="57"/>
      <c r="F1065" s="42"/>
      <c r="G1065" s="80"/>
    </row>
    <row r="1066" spans="3:7" s="37" customFormat="1" ht="23.25" x14ac:dyDescent="0.35">
      <c r="C1066" s="41"/>
      <c r="E1066" s="57"/>
      <c r="F1066" s="42"/>
      <c r="G1066" s="80"/>
    </row>
    <row r="1067" spans="3:7" s="37" customFormat="1" ht="23.25" x14ac:dyDescent="0.35">
      <c r="C1067" s="41"/>
      <c r="E1067" s="57"/>
      <c r="F1067" s="42"/>
      <c r="G1067" s="80"/>
    </row>
    <row r="1068" spans="3:7" s="37" customFormat="1" ht="23.25" x14ac:dyDescent="0.35">
      <c r="C1068" s="41"/>
      <c r="E1068" s="57"/>
      <c r="F1068" s="42"/>
      <c r="G1068" s="80"/>
    </row>
    <row r="1069" spans="3:7" s="37" customFormat="1" ht="23.25" x14ac:dyDescent="0.35">
      <c r="C1069" s="41"/>
      <c r="E1069" s="57"/>
      <c r="F1069" s="42"/>
      <c r="G1069" s="80"/>
    </row>
    <row r="1070" spans="3:7" s="37" customFormat="1" ht="23.25" x14ac:dyDescent="0.35">
      <c r="C1070" s="41"/>
      <c r="E1070" s="57"/>
      <c r="F1070" s="42"/>
      <c r="G1070" s="80"/>
    </row>
    <row r="1071" spans="3:7" s="37" customFormat="1" ht="23.25" x14ac:dyDescent="0.35">
      <c r="C1071" s="41"/>
      <c r="E1071" s="57"/>
      <c r="F1071" s="42"/>
      <c r="G1071" s="80"/>
    </row>
    <row r="1072" spans="3:7" s="37" customFormat="1" ht="23.25" x14ac:dyDescent="0.35">
      <c r="C1072" s="41"/>
      <c r="E1072" s="57"/>
      <c r="F1072" s="42"/>
      <c r="G1072" s="80"/>
    </row>
    <row r="1073" spans="3:7" s="37" customFormat="1" ht="23.25" x14ac:dyDescent="0.35">
      <c r="C1073" s="41"/>
      <c r="E1073" s="57"/>
      <c r="F1073" s="42"/>
      <c r="G1073" s="80"/>
    </row>
    <row r="1074" spans="3:7" s="37" customFormat="1" ht="23.25" x14ac:dyDescent="0.35">
      <c r="C1074" s="41"/>
      <c r="E1074" s="57"/>
      <c r="F1074" s="42"/>
      <c r="G1074" s="80"/>
    </row>
    <row r="1075" spans="3:7" s="37" customFormat="1" ht="23.25" x14ac:dyDescent="0.35">
      <c r="C1075" s="41"/>
      <c r="E1075" s="57"/>
      <c r="F1075" s="42"/>
      <c r="G1075" s="80"/>
    </row>
    <row r="1076" spans="3:7" s="37" customFormat="1" ht="23.25" x14ac:dyDescent="0.35">
      <c r="C1076" s="41"/>
      <c r="E1076" s="57"/>
      <c r="F1076" s="42"/>
      <c r="G1076" s="80"/>
    </row>
    <row r="1077" spans="3:7" s="37" customFormat="1" ht="23.25" x14ac:dyDescent="0.35">
      <c r="C1077" s="41"/>
      <c r="E1077" s="57"/>
      <c r="F1077" s="42"/>
      <c r="G1077" s="80"/>
    </row>
    <row r="1078" spans="3:7" s="37" customFormat="1" ht="23.25" x14ac:dyDescent="0.35">
      <c r="C1078" s="41"/>
      <c r="E1078" s="57"/>
      <c r="F1078" s="42"/>
      <c r="G1078" s="80"/>
    </row>
    <row r="1079" spans="3:7" s="37" customFormat="1" ht="23.25" x14ac:dyDescent="0.35">
      <c r="C1079" s="41"/>
      <c r="E1079" s="57"/>
      <c r="F1079" s="42"/>
      <c r="G1079" s="80"/>
    </row>
    <row r="1080" spans="3:7" s="37" customFormat="1" ht="23.25" x14ac:dyDescent="0.35">
      <c r="C1080" s="41"/>
      <c r="E1080" s="57"/>
      <c r="F1080" s="42"/>
      <c r="G1080" s="80"/>
    </row>
    <row r="1081" spans="3:7" s="37" customFormat="1" ht="23.25" x14ac:dyDescent="0.35">
      <c r="C1081" s="41"/>
      <c r="E1081" s="57"/>
      <c r="F1081" s="42"/>
      <c r="G1081" s="80"/>
    </row>
    <row r="1082" spans="3:7" s="37" customFormat="1" ht="23.25" x14ac:dyDescent="0.35">
      <c r="C1082" s="41"/>
      <c r="E1082" s="57"/>
      <c r="F1082" s="42"/>
      <c r="G1082" s="80"/>
    </row>
    <row r="1083" spans="3:7" s="37" customFormat="1" ht="23.25" x14ac:dyDescent="0.35">
      <c r="C1083" s="41"/>
      <c r="E1083" s="57"/>
      <c r="F1083" s="42"/>
      <c r="G1083" s="80"/>
    </row>
    <row r="1084" spans="3:7" s="37" customFormat="1" ht="23.25" x14ac:dyDescent="0.35">
      <c r="C1084" s="41"/>
      <c r="E1084" s="57"/>
      <c r="F1084" s="42"/>
      <c r="G1084" s="80"/>
    </row>
    <row r="1085" spans="3:7" s="37" customFormat="1" ht="23.25" x14ac:dyDescent="0.35">
      <c r="C1085" s="41"/>
      <c r="E1085" s="57"/>
      <c r="F1085" s="42"/>
      <c r="G1085" s="80"/>
    </row>
    <row r="1086" spans="3:7" s="37" customFormat="1" ht="23.25" x14ac:dyDescent="0.35">
      <c r="C1086" s="41"/>
      <c r="E1086" s="57"/>
      <c r="F1086" s="42"/>
      <c r="G1086" s="80"/>
    </row>
    <row r="1087" spans="3:7" s="37" customFormat="1" ht="23.25" x14ac:dyDescent="0.35">
      <c r="C1087" s="41"/>
      <c r="E1087" s="57"/>
      <c r="F1087" s="42"/>
      <c r="G1087" s="80"/>
    </row>
    <row r="1088" spans="3:7" s="37" customFormat="1" ht="23.25" x14ac:dyDescent="0.35">
      <c r="C1088" s="41"/>
      <c r="E1088" s="57"/>
      <c r="F1088" s="42"/>
      <c r="G1088" s="80"/>
    </row>
    <row r="1089" spans="3:7" s="37" customFormat="1" ht="23.25" x14ac:dyDescent="0.35">
      <c r="C1089" s="41"/>
      <c r="E1089" s="57"/>
      <c r="F1089" s="42"/>
      <c r="G1089" s="80"/>
    </row>
    <row r="1090" spans="3:7" s="37" customFormat="1" ht="23.25" x14ac:dyDescent="0.35">
      <c r="C1090" s="41"/>
      <c r="E1090" s="57"/>
      <c r="F1090" s="42"/>
      <c r="G1090" s="80"/>
    </row>
    <row r="1091" spans="3:7" s="37" customFormat="1" ht="23.25" x14ac:dyDescent="0.35">
      <c r="C1091" s="41"/>
      <c r="E1091" s="57"/>
      <c r="F1091" s="42"/>
      <c r="G1091" s="80"/>
    </row>
    <row r="1092" spans="3:7" s="37" customFormat="1" ht="23.25" x14ac:dyDescent="0.35">
      <c r="C1092" s="41"/>
      <c r="E1092" s="57"/>
      <c r="F1092" s="42"/>
      <c r="G1092" s="80"/>
    </row>
    <row r="1093" spans="3:7" s="37" customFormat="1" ht="23.25" x14ac:dyDescent="0.35">
      <c r="C1093" s="41"/>
      <c r="E1093" s="57"/>
      <c r="F1093" s="42"/>
      <c r="G1093" s="80"/>
    </row>
    <row r="1094" spans="3:7" s="37" customFormat="1" ht="23.25" x14ac:dyDescent="0.35">
      <c r="C1094" s="41"/>
      <c r="E1094" s="57"/>
      <c r="F1094" s="42"/>
      <c r="G1094" s="80"/>
    </row>
    <row r="1095" spans="3:7" s="37" customFormat="1" ht="23.25" x14ac:dyDescent="0.35">
      <c r="C1095" s="41"/>
      <c r="E1095" s="57"/>
      <c r="F1095" s="42"/>
      <c r="G1095" s="80"/>
    </row>
    <row r="1096" spans="3:7" s="37" customFormat="1" ht="23.25" x14ac:dyDescent="0.35">
      <c r="C1096" s="41"/>
      <c r="E1096" s="57"/>
      <c r="F1096" s="42"/>
      <c r="G1096" s="80"/>
    </row>
    <row r="1097" spans="3:7" s="37" customFormat="1" ht="23.25" x14ac:dyDescent="0.35">
      <c r="C1097" s="41"/>
      <c r="E1097" s="57"/>
      <c r="F1097" s="42"/>
      <c r="G1097" s="80"/>
    </row>
    <row r="1098" spans="3:7" s="37" customFormat="1" ht="23.25" x14ac:dyDescent="0.35">
      <c r="C1098" s="41"/>
      <c r="E1098" s="57"/>
      <c r="F1098" s="42"/>
      <c r="G1098" s="80"/>
    </row>
    <row r="1099" spans="3:7" s="37" customFormat="1" ht="23.25" x14ac:dyDescent="0.35">
      <c r="C1099" s="41"/>
      <c r="E1099" s="57"/>
      <c r="F1099" s="42"/>
      <c r="G1099" s="80"/>
    </row>
    <row r="1100" spans="3:7" s="37" customFormat="1" ht="23.25" x14ac:dyDescent="0.35">
      <c r="C1100" s="41"/>
      <c r="E1100" s="57"/>
      <c r="F1100" s="42"/>
      <c r="G1100" s="80"/>
    </row>
    <row r="1101" spans="3:7" s="37" customFormat="1" ht="23.25" x14ac:dyDescent="0.35">
      <c r="C1101" s="41"/>
      <c r="E1101" s="57"/>
      <c r="F1101" s="42"/>
      <c r="G1101" s="80"/>
    </row>
    <row r="1102" spans="3:7" s="37" customFormat="1" ht="23.25" x14ac:dyDescent="0.35">
      <c r="C1102" s="41"/>
      <c r="E1102" s="57"/>
      <c r="F1102" s="42"/>
      <c r="G1102" s="80"/>
    </row>
    <row r="1103" spans="3:7" s="37" customFormat="1" ht="23.25" x14ac:dyDescent="0.35">
      <c r="C1103" s="41"/>
      <c r="E1103" s="57"/>
      <c r="F1103" s="42"/>
      <c r="G1103" s="80"/>
    </row>
    <row r="1104" spans="3:7" s="37" customFormat="1" ht="23.25" x14ac:dyDescent="0.35">
      <c r="C1104" s="41"/>
      <c r="E1104" s="57"/>
      <c r="F1104" s="42"/>
      <c r="G1104" s="80"/>
    </row>
    <row r="1105" spans="3:7" s="37" customFormat="1" ht="23.25" x14ac:dyDescent="0.35">
      <c r="C1105" s="41"/>
      <c r="E1105" s="57"/>
      <c r="F1105" s="42"/>
      <c r="G1105" s="80"/>
    </row>
    <row r="1106" spans="3:7" s="37" customFormat="1" ht="23.25" x14ac:dyDescent="0.35">
      <c r="C1106" s="41"/>
      <c r="E1106" s="57"/>
      <c r="F1106" s="42"/>
      <c r="G1106" s="80"/>
    </row>
    <row r="1107" spans="3:7" s="37" customFormat="1" ht="23.25" x14ac:dyDescent="0.35">
      <c r="C1107" s="41"/>
      <c r="E1107" s="57"/>
      <c r="F1107" s="42"/>
      <c r="G1107" s="80"/>
    </row>
    <row r="1108" spans="3:7" s="37" customFormat="1" ht="23.25" x14ac:dyDescent="0.35">
      <c r="C1108" s="41"/>
      <c r="E1108" s="57"/>
      <c r="F1108" s="42"/>
      <c r="G1108" s="80"/>
    </row>
    <row r="1109" spans="3:7" s="37" customFormat="1" ht="23.25" x14ac:dyDescent="0.35">
      <c r="C1109" s="41"/>
      <c r="E1109" s="57"/>
      <c r="F1109" s="42"/>
      <c r="G1109" s="80"/>
    </row>
    <row r="1110" spans="3:7" s="37" customFormat="1" ht="23.25" x14ac:dyDescent="0.35">
      <c r="C1110" s="41"/>
      <c r="E1110" s="57"/>
      <c r="F1110" s="42"/>
      <c r="G1110" s="80"/>
    </row>
    <row r="1111" spans="3:7" s="37" customFormat="1" ht="23.25" x14ac:dyDescent="0.35">
      <c r="C1111" s="41"/>
      <c r="E1111" s="57"/>
      <c r="F1111" s="42"/>
      <c r="G1111" s="80"/>
    </row>
    <row r="1112" spans="3:7" s="37" customFormat="1" ht="23.25" x14ac:dyDescent="0.35">
      <c r="C1112" s="41"/>
      <c r="E1112" s="57"/>
      <c r="F1112" s="42"/>
      <c r="G1112" s="80"/>
    </row>
    <row r="1113" spans="3:7" s="37" customFormat="1" ht="23.25" x14ac:dyDescent="0.35">
      <c r="C1113" s="41"/>
      <c r="E1113" s="57"/>
      <c r="F1113" s="42"/>
      <c r="G1113" s="80"/>
    </row>
    <row r="1114" spans="3:7" s="37" customFormat="1" ht="23.25" x14ac:dyDescent="0.35">
      <c r="C1114" s="41"/>
      <c r="E1114" s="57"/>
      <c r="F1114" s="42"/>
      <c r="G1114" s="80"/>
    </row>
    <row r="1115" spans="3:7" s="37" customFormat="1" ht="23.25" x14ac:dyDescent="0.35">
      <c r="C1115" s="41"/>
      <c r="E1115" s="57"/>
      <c r="F1115" s="42"/>
      <c r="G1115" s="80"/>
    </row>
    <row r="1116" spans="3:7" s="37" customFormat="1" ht="23.25" x14ac:dyDescent="0.35">
      <c r="C1116" s="41"/>
      <c r="E1116" s="57"/>
      <c r="F1116" s="42"/>
      <c r="G1116" s="80"/>
    </row>
    <row r="1117" spans="3:7" s="37" customFormat="1" ht="23.25" x14ac:dyDescent="0.35">
      <c r="C1117" s="41"/>
      <c r="E1117" s="57"/>
      <c r="F1117" s="42"/>
      <c r="G1117" s="80"/>
    </row>
    <row r="1118" spans="3:7" s="37" customFormat="1" ht="23.25" x14ac:dyDescent="0.35">
      <c r="C1118" s="41"/>
      <c r="E1118" s="57"/>
      <c r="F1118" s="42"/>
      <c r="G1118" s="80"/>
    </row>
    <row r="1119" spans="3:7" s="37" customFormat="1" ht="23.25" x14ac:dyDescent="0.35">
      <c r="C1119" s="41"/>
      <c r="E1119" s="57"/>
      <c r="F1119" s="42"/>
      <c r="G1119" s="80"/>
    </row>
    <row r="1120" spans="3:7" s="37" customFormat="1" ht="23.25" x14ac:dyDescent="0.35">
      <c r="C1120" s="41"/>
      <c r="E1120" s="57"/>
      <c r="F1120" s="42"/>
      <c r="G1120" s="80"/>
    </row>
    <row r="1121" spans="3:7" s="37" customFormat="1" ht="23.25" x14ac:dyDescent="0.35">
      <c r="C1121" s="41"/>
      <c r="E1121" s="57"/>
      <c r="F1121" s="42"/>
      <c r="G1121" s="80"/>
    </row>
    <row r="1122" spans="3:7" s="37" customFormat="1" ht="23.25" x14ac:dyDescent="0.35">
      <c r="C1122" s="41"/>
      <c r="E1122" s="57"/>
      <c r="F1122" s="42"/>
      <c r="G1122" s="80"/>
    </row>
    <row r="1123" spans="3:7" s="37" customFormat="1" ht="23.25" x14ac:dyDescent="0.35">
      <c r="C1123" s="41"/>
      <c r="E1123" s="57"/>
      <c r="F1123" s="42"/>
      <c r="G1123" s="80"/>
    </row>
    <row r="1124" spans="3:7" s="37" customFormat="1" ht="23.25" x14ac:dyDescent="0.35">
      <c r="C1124" s="41"/>
      <c r="E1124" s="57"/>
      <c r="F1124" s="42"/>
      <c r="G1124" s="80"/>
    </row>
    <row r="1125" spans="3:7" s="37" customFormat="1" ht="23.25" x14ac:dyDescent="0.35">
      <c r="C1125" s="41"/>
      <c r="E1125" s="57"/>
      <c r="F1125" s="42"/>
      <c r="G1125" s="80"/>
    </row>
    <row r="1126" spans="3:7" s="37" customFormat="1" ht="23.25" x14ac:dyDescent="0.35">
      <c r="C1126" s="41"/>
      <c r="E1126" s="57"/>
      <c r="F1126" s="42"/>
      <c r="G1126" s="80"/>
    </row>
    <row r="1127" spans="3:7" s="37" customFormat="1" ht="23.25" x14ac:dyDescent="0.35">
      <c r="C1127" s="41"/>
      <c r="E1127" s="57"/>
      <c r="F1127" s="42"/>
      <c r="G1127" s="80"/>
    </row>
    <row r="1128" spans="3:7" s="37" customFormat="1" ht="23.25" x14ac:dyDescent="0.35">
      <c r="C1128" s="41"/>
      <c r="E1128" s="57"/>
      <c r="F1128" s="42"/>
      <c r="G1128" s="80"/>
    </row>
    <row r="1129" spans="3:7" s="37" customFormat="1" ht="23.25" x14ac:dyDescent="0.35">
      <c r="C1129" s="41"/>
      <c r="E1129" s="57"/>
      <c r="F1129" s="42"/>
      <c r="G1129" s="80"/>
    </row>
    <row r="1130" spans="3:7" s="37" customFormat="1" ht="23.25" x14ac:dyDescent="0.35">
      <c r="C1130" s="41"/>
      <c r="E1130" s="57"/>
      <c r="F1130" s="42"/>
      <c r="G1130" s="80"/>
    </row>
    <row r="1131" spans="3:7" s="37" customFormat="1" ht="23.25" x14ac:dyDescent="0.35">
      <c r="C1131" s="41"/>
      <c r="E1131" s="57"/>
      <c r="F1131" s="42"/>
      <c r="G1131" s="80"/>
    </row>
    <row r="1132" spans="3:7" s="37" customFormat="1" ht="23.25" x14ac:dyDescent="0.35">
      <c r="C1132" s="41"/>
      <c r="E1132" s="57"/>
      <c r="F1132" s="42"/>
      <c r="G1132" s="80"/>
    </row>
    <row r="1133" spans="3:7" s="37" customFormat="1" ht="23.25" x14ac:dyDescent="0.35">
      <c r="C1133" s="41"/>
      <c r="E1133" s="57"/>
      <c r="F1133" s="42"/>
      <c r="G1133" s="80"/>
    </row>
    <row r="1134" spans="3:7" s="37" customFormat="1" ht="23.25" x14ac:dyDescent="0.35">
      <c r="C1134" s="41"/>
      <c r="E1134" s="57"/>
      <c r="F1134" s="42"/>
      <c r="G1134" s="80"/>
    </row>
    <row r="1135" spans="3:7" s="37" customFormat="1" ht="23.25" x14ac:dyDescent="0.35">
      <c r="C1135" s="41"/>
      <c r="E1135" s="57"/>
      <c r="F1135" s="42"/>
      <c r="G1135" s="80"/>
    </row>
    <row r="1136" spans="3:7" s="37" customFormat="1" ht="23.25" x14ac:dyDescent="0.35">
      <c r="C1136" s="41"/>
      <c r="E1136" s="57"/>
      <c r="F1136" s="42"/>
      <c r="G1136" s="80"/>
    </row>
    <row r="1137" spans="3:7" s="37" customFormat="1" ht="23.25" x14ac:dyDescent="0.35">
      <c r="C1137" s="41"/>
      <c r="E1137" s="57"/>
      <c r="F1137" s="42"/>
      <c r="G1137" s="80"/>
    </row>
    <row r="1138" spans="3:7" s="37" customFormat="1" ht="23.25" x14ac:dyDescent="0.35">
      <c r="C1138" s="41"/>
      <c r="E1138" s="57"/>
      <c r="F1138" s="42"/>
      <c r="G1138" s="80"/>
    </row>
    <row r="1139" spans="3:7" s="37" customFormat="1" ht="23.25" x14ac:dyDescent="0.35">
      <c r="C1139" s="41"/>
      <c r="E1139" s="57"/>
      <c r="F1139" s="42"/>
      <c r="G1139" s="80"/>
    </row>
    <row r="1140" spans="3:7" s="37" customFormat="1" ht="23.25" x14ac:dyDescent="0.35">
      <c r="C1140" s="41"/>
      <c r="E1140" s="57"/>
      <c r="F1140" s="42"/>
      <c r="G1140" s="80"/>
    </row>
    <row r="1141" spans="3:7" s="37" customFormat="1" ht="23.25" x14ac:dyDescent="0.35">
      <c r="C1141" s="41"/>
      <c r="E1141" s="57"/>
      <c r="F1141" s="42"/>
      <c r="G1141" s="80"/>
    </row>
    <row r="1142" spans="3:7" s="37" customFormat="1" ht="23.25" x14ac:dyDescent="0.35">
      <c r="C1142" s="41"/>
      <c r="E1142" s="57"/>
      <c r="F1142" s="42"/>
      <c r="G1142" s="80"/>
    </row>
    <row r="1143" spans="3:7" s="37" customFormat="1" ht="23.25" x14ac:dyDescent="0.35">
      <c r="C1143" s="41"/>
      <c r="E1143" s="57"/>
      <c r="F1143" s="42"/>
      <c r="G1143" s="80"/>
    </row>
    <row r="1144" spans="3:7" s="37" customFormat="1" ht="23.25" x14ac:dyDescent="0.35">
      <c r="C1144" s="41"/>
      <c r="E1144" s="57"/>
      <c r="F1144" s="42"/>
      <c r="G1144" s="80"/>
    </row>
    <row r="1145" spans="3:7" s="37" customFormat="1" ht="23.25" x14ac:dyDescent="0.35">
      <c r="C1145" s="41"/>
      <c r="E1145" s="57"/>
      <c r="F1145" s="42"/>
      <c r="G1145" s="80"/>
    </row>
    <row r="1146" spans="3:7" s="37" customFormat="1" ht="23.25" x14ac:dyDescent="0.35">
      <c r="C1146" s="41"/>
      <c r="E1146" s="57"/>
      <c r="F1146" s="42"/>
      <c r="G1146" s="80"/>
    </row>
    <row r="1147" spans="3:7" s="37" customFormat="1" ht="23.25" x14ac:dyDescent="0.35">
      <c r="C1147" s="41"/>
      <c r="E1147" s="57"/>
      <c r="F1147" s="42"/>
      <c r="G1147" s="80"/>
    </row>
    <row r="1148" spans="3:7" s="37" customFormat="1" ht="23.25" x14ac:dyDescent="0.35">
      <c r="C1148" s="41"/>
      <c r="E1148" s="57"/>
      <c r="F1148" s="42"/>
      <c r="G1148" s="80"/>
    </row>
    <row r="1149" spans="3:7" s="37" customFormat="1" ht="23.25" x14ac:dyDescent="0.35">
      <c r="C1149" s="41"/>
      <c r="E1149" s="57"/>
      <c r="F1149" s="42"/>
      <c r="G1149" s="80"/>
    </row>
    <row r="1150" spans="3:7" s="37" customFormat="1" ht="23.25" x14ac:dyDescent="0.35">
      <c r="C1150" s="41"/>
      <c r="E1150" s="57"/>
      <c r="F1150" s="42"/>
      <c r="G1150" s="80"/>
    </row>
    <row r="1151" spans="3:7" s="37" customFormat="1" ht="23.25" x14ac:dyDescent="0.35">
      <c r="C1151" s="41"/>
      <c r="E1151" s="57"/>
      <c r="F1151" s="42"/>
      <c r="G1151" s="80"/>
    </row>
    <row r="1152" spans="3:7" s="37" customFormat="1" ht="23.25" x14ac:dyDescent="0.35">
      <c r="C1152" s="41"/>
      <c r="E1152" s="57"/>
      <c r="F1152" s="42"/>
      <c r="G1152" s="80"/>
    </row>
    <row r="1153" spans="3:7" s="37" customFormat="1" ht="23.25" x14ac:dyDescent="0.35">
      <c r="C1153" s="41"/>
      <c r="E1153" s="57"/>
      <c r="F1153" s="42"/>
      <c r="G1153" s="80"/>
    </row>
    <row r="1154" spans="3:7" s="37" customFormat="1" ht="23.25" x14ac:dyDescent="0.35">
      <c r="C1154" s="41"/>
      <c r="E1154" s="57"/>
      <c r="F1154" s="42"/>
      <c r="G1154" s="80"/>
    </row>
    <row r="1155" spans="3:7" s="37" customFormat="1" ht="23.25" x14ac:dyDescent="0.35">
      <c r="C1155" s="41"/>
      <c r="E1155" s="57"/>
      <c r="F1155" s="42"/>
      <c r="G1155" s="80"/>
    </row>
    <row r="1156" spans="3:7" s="37" customFormat="1" ht="23.25" x14ac:dyDescent="0.35">
      <c r="C1156" s="41"/>
      <c r="E1156" s="57"/>
      <c r="F1156" s="42"/>
      <c r="G1156" s="80"/>
    </row>
    <row r="1157" spans="3:7" s="37" customFormat="1" ht="23.25" x14ac:dyDescent="0.35">
      <c r="C1157" s="41"/>
      <c r="E1157" s="57"/>
      <c r="F1157" s="42"/>
      <c r="G1157" s="80"/>
    </row>
    <row r="1158" spans="3:7" s="37" customFormat="1" ht="23.25" x14ac:dyDescent="0.35">
      <c r="C1158" s="41"/>
      <c r="E1158" s="57"/>
      <c r="F1158" s="42"/>
      <c r="G1158" s="80"/>
    </row>
    <row r="1159" spans="3:7" s="37" customFormat="1" ht="23.25" x14ac:dyDescent="0.35">
      <c r="C1159" s="41"/>
      <c r="E1159" s="57"/>
      <c r="F1159" s="42"/>
      <c r="G1159" s="80"/>
    </row>
    <row r="1160" spans="3:7" s="37" customFormat="1" ht="23.25" x14ac:dyDescent="0.35">
      <c r="C1160" s="41"/>
      <c r="E1160" s="57"/>
      <c r="F1160" s="42"/>
      <c r="G1160" s="80"/>
    </row>
    <row r="1161" spans="3:7" s="37" customFormat="1" ht="23.25" x14ac:dyDescent="0.35">
      <c r="C1161" s="41"/>
      <c r="E1161" s="57"/>
      <c r="F1161" s="42"/>
      <c r="G1161" s="80"/>
    </row>
    <row r="1162" spans="3:7" s="37" customFormat="1" ht="23.25" x14ac:dyDescent="0.35">
      <c r="C1162" s="41"/>
      <c r="E1162" s="57"/>
      <c r="F1162" s="42"/>
      <c r="G1162" s="80"/>
    </row>
    <row r="1163" spans="3:7" s="37" customFormat="1" ht="23.25" x14ac:dyDescent="0.35">
      <c r="C1163" s="41"/>
      <c r="E1163" s="57"/>
      <c r="F1163" s="42"/>
      <c r="G1163" s="80"/>
    </row>
    <row r="1164" spans="3:7" s="37" customFormat="1" ht="23.25" x14ac:dyDescent="0.35">
      <c r="C1164" s="41"/>
      <c r="E1164" s="57"/>
      <c r="F1164" s="42"/>
      <c r="G1164" s="80"/>
    </row>
    <row r="1165" spans="3:7" s="37" customFormat="1" ht="23.25" x14ac:dyDescent="0.35">
      <c r="C1165" s="41"/>
      <c r="E1165" s="57"/>
      <c r="F1165" s="42"/>
      <c r="G1165" s="80"/>
    </row>
    <row r="1166" spans="3:7" s="37" customFormat="1" ht="23.25" x14ac:dyDescent="0.35">
      <c r="C1166" s="41"/>
      <c r="E1166" s="57"/>
      <c r="F1166" s="42"/>
      <c r="G1166" s="80"/>
    </row>
    <row r="1167" spans="3:7" s="37" customFormat="1" ht="23.25" x14ac:dyDescent="0.35">
      <c r="C1167" s="41"/>
      <c r="E1167" s="57"/>
      <c r="F1167" s="42"/>
      <c r="G1167" s="80"/>
    </row>
    <row r="1168" spans="3:7" s="37" customFormat="1" ht="23.25" x14ac:dyDescent="0.35">
      <c r="C1168" s="41"/>
      <c r="E1168" s="57"/>
      <c r="F1168" s="42"/>
      <c r="G1168" s="80"/>
    </row>
    <row r="1169" spans="3:7" s="37" customFormat="1" ht="23.25" x14ac:dyDescent="0.35">
      <c r="C1169" s="41"/>
      <c r="E1169" s="57"/>
      <c r="F1169" s="42"/>
      <c r="G1169" s="80"/>
    </row>
    <row r="1170" spans="3:7" s="37" customFormat="1" ht="23.25" x14ac:dyDescent="0.35">
      <c r="C1170" s="41"/>
      <c r="E1170" s="57"/>
      <c r="F1170" s="42"/>
      <c r="G1170" s="80"/>
    </row>
    <row r="1171" spans="3:7" s="37" customFormat="1" ht="23.25" x14ac:dyDescent="0.35">
      <c r="C1171" s="41"/>
      <c r="E1171" s="57"/>
      <c r="F1171" s="42"/>
      <c r="G1171" s="80"/>
    </row>
    <row r="1172" spans="3:7" s="37" customFormat="1" ht="23.25" x14ac:dyDescent="0.35">
      <c r="C1172" s="41"/>
      <c r="E1172" s="57"/>
      <c r="F1172" s="42"/>
      <c r="G1172" s="80"/>
    </row>
    <row r="1173" spans="3:7" s="37" customFormat="1" ht="23.25" x14ac:dyDescent="0.35">
      <c r="C1173" s="41"/>
      <c r="E1173" s="57"/>
      <c r="F1173" s="42"/>
      <c r="G1173" s="80"/>
    </row>
    <row r="1174" spans="3:7" s="37" customFormat="1" ht="23.25" x14ac:dyDescent="0.35">
      <c r="C1174" s="41"/>
      <c r="E1174" s="57"/>
      <c r="F1174" s="42"/>
      <c r="G1174" s="80"/>
    </row>
    <row r="1175" spans="3:7" s="37" customFormat="1" ht="23.25" x14ac:dyDescent="0.35">
      <c r="C1175" s="41"/>
      <c r="E1175" s="57"/>
      <c r="F1175" s="42"/>
      <c r="G1175" s="80"/>
    </row>
    <row r="1176" spans="3:7" s="37" customFormat="1" ht="23.25" x14ac:dyDescent="0.35">
      <c r="C1176" s="41"/>
      <c r="E1176" s="57"/>
      <c r="F1176" s="42"/>
      <c r="G1176" s="80"/>
    </row>
    <row r="1177" spans="3:7" s="37" customFormat="1" ht="23.25" x14ac:dyDescent="0.35">
      <c r="C1177" s="41"/>
      <c r="E1177" s="57"/>
      <c r="F1177" s="42"/>
      <c r="G1177" s="80"/>
    </row>
    <row r="1178" spans="3:7" s="37" customFormat="1" ht="23.25" x14ac:dyDescent="0.35">
      <c r="C1178" s="41"/>
      <c r="E1178" s="57"/>
      <c r="F1178" s="42"/>
      <c r="G1178" s="80"/>
    </row>
    <row r="1179" spans="3:7" s="37" customFormat="1" ht="23.25" x14ac:dyDescent="0.35">
      <c r="C1179" s="41"/>
      <c r="E1179" s="57"/>
      <c r="F1179" s="42"/>
      <c r="G1179" s="80"/>
    </row>
    <row r="1180" spans="3:7" s="37" customFormat="1" ht="23.25" x14ac:dyDescent="0.35">
      <c r="C1180" s="41"/>
      <c r="E1180" s="57"/>
      <c r="F1180" s="42"/>
      <c r="G1180" s="80"/>
    </row>
    <row r="1181" spans="3:7" s="37" customFormat="1" ht="23.25" x14ac:dyDescent="0.35">
      <c r="C1181" s="41"/>
      <c r="E1181" s="57"/>
      <c r="F1181" s="42"/>
      <c r="G1181" s="80"/>
    </row>
    <row r="1182" spans="3:7" s="37" customFormat="1" ht="23.25" x14ac:dyDescent="0.35">
      <c r="C1182" s="41"/>
      <c r="E1182" s="57"/>
      <c r="F1182" s="42"/>
      <c r="G1182" s="80"/>
    </row>
    <row r="1183" spans="3:7" s="37" customFormat="1" ht="23.25" x14ac:dyDescent="0.35">
      <c r="C1183" s="41"/>
      <c r="E1183" s="57"/>
      <c r="F1183" s="42"/>
      <c r="G1183" s="80"/>
    </row>
    <row r="1184" spans="3:7" s="37" customFormat="1" ht="23.25" x14ac:dyDescent="0.35">
      <c r="C1184" s="41"/>
      <c r="E1184" s="57"/>
      <c r="F1184" s="42"/>
      <c r="G1184" s="80"/>
    </row>
    <row r="1185" spans="3:7" s="37" customFormat="1" ht="23.25" x14ac:dyDescent="0.35">
      <c r="C1185" s="41"/>
      <c r="E1185" s="57"/>
      <c r="F1185" s="42"/>
      <c r="G1185" s="80"/>
    </row>
    <row r="1186" spans="3:7" s="37" customFormat="1" ht="23.25" x14ac:dyDescent="0.35">
      <c r="C1186" s="41"/>
      <c r="E1186" s="57"/>
      <c r="F1186" s="42"/>
      <c r="G1186" s="80"/>
    </row>
    <row r="1187" spans="3:7" s="37" customFormat="1" ht="23.25" x14ac:dyDescent="0.35">
      <c r="C1187" s="41"/>
      <c r="E1187" s="57"/>
      <c r="F1187" s="42"/>
      <c r="G1187" s="80"/>
    </row>
    <row r="1188" spans="3:7" s="37" customFormat="1" ht="23.25" x14ac:dyDescent="0.35">
      <c r="C1188" s="41"/>
      <c r="E1188" s="57"/>
      <c r="F1188" s="42"/>
      <c r="G1188" s="80"/>
    </row>
    <row r="1189" spans="3:7" s="37" customFormat="1" ht="23.25" x14ac:dyDescent="0.35">
      <c r="C1189" s="41"/>
      <c r="E1189" s="57"/>
      <c r="F1189" s="42"/>
      <c r="G1189" s="80"/>
    </row>
    <row r="1190" spans="3:7" s="37" customFormat="1" ht="23.25" x14ac:dyDescent="0.35">
      <c r="C1190" s="41"/>
      <c r="E1190" s="57"/>
      <c r="F1190" s="42"/>
      <c r="G1190" s="80"/>
    </row>
    <row r="1191" spans="3:7" s="37" customFormat="1" ht="23.25" x14ac:dyDescent="0.35">
      <c r="C1191" s="41"/>
      <c r="E1191" s="57"/>
      <c r="F1191" s="42"/>
      <c r="G1191" s="80"/>
    </row>
    <row r="1192" spans="3:7" s="37" customFormat="1" ht="23.25" x14ac:dyDescent="0.35">
      <c r="C1192" s="41"/>
      <c r="E1192" s="57"/>
      <c r="F1192" s="42"/>
      <c r="G1192" s="80"/>
    </row>
    <row r="1193" spans="3:7" s="37" customFormat="1" ht="23.25" x14ac:dyDescent="0.35">
      <c r="C1193" s="41"/>
      <c r="E1193" s="57"/>
      <c r="F1193" s="42"/>
      <c r="G1193" s="80"/>
    </row>
    <row r="1194" spans="3:7" s="37" customFormat="1" ht="23.25" x14ac:dyDescent="0.35">
      <c r="C1194" s="41"/>
      <c r="E1194" s="57"/>
      <c r="F1194" s="42"/>
      <c r="G1194" s="80"/>
    </row>
    <row r="1195" spans="3:7" s="37" customFormat="1" ht="23.25" x14ac:dyDescent="0.35">
      <c r="C1195" s="41"/>
      <c r="E1195" s="57"/>
      <c r="F1195" s="42"/>
      <c r="G1195" s="80"/>
    </row>
    <row r="1196" spans="3:7" s="37" customFormat="1" ht="23.25" x14ac:dyDescent="0.35">
      <c r="C1196" s="41"/>
      <c r="E1196" s="57"/>
      <c r="F1196" s="42"/>
      <c r="G1196" s="80"/>
    </row>
    <row r="1197" spans="3:7" s="37" customFormat="1" ht="23.25" x14ac:dyDescent="0.35">
      <c r="C1197" s="41"/>
      <c r="E1197" s="57"/>
      <c r="F1197" s="42"/>
      <c r="G1197" s="80"/>
    </row>
    <row r="1198" spans="3:7" s="37" customFormat="1" ht="23.25" x14ac:dyDescent="0.35">
      <c r="C1198" s="41"/>
      <c r="E1198" s="57"/>
      <c r="F1198" s="42"/>
      <c r="G1198" s="80"/>
    </row>
    <row r="1199" spans="3:7" s="37" customFormat="1" ht="23.25" x14ac:dyDescent="0.35">
      <c r="C1199" s="41"/>
      <c r="E1199" s="57"/>
      <c r="F1199" s="42"/>
      <c r="G1199" s="80"/>
    </row>
    <row r="1200" spans="3:7" s="37" customFormat="1" ht="23.25" x14ac:dyDescent="0.35">
      <c r="C1200" s="41"/>
      <c r="E1200" s="57"/>
      <c r="F1200" s="42"/>
      <c r="G1200" s="80"/>
    </row>
    <row r="1201" spans="3:7" s="37" customFormat="1" ht="23.25" x14ac:dyDescent="0.35">
      <c r="C1201" s="41"/>
      <c r="E1201" s="57"/>
      <c r="F1201" s="42"/>
      <c r="G1201" s="80"/>
    </row>
    <row r="1202" spans="3:7" s="37" customFormat="1" ht="23.25" x14ac:dyDescent="0.35">
      <c r="C1202" s="41"/>
      <c r="E1202" s="57"/>
      <c r="F1202" s="42"/>
      <c r="G1202" s="80"/>
    </row>
    <row r="1203" spans="3:7" s="37" customFormat="1" ht="23.25" x14ac:dyDescent="0.35">
      <c r="C1203" s="41"/>
      <c r="E1203" s="57"/>
      <c r="F1203" s="42"/>
      <c r="G1203" s="80"/>
    </row>
    <row r="1204" spans="3:7" s="37" customFormat="1" ht="23.25" x14ac:dyDescent="0.35">
      <c r="C1204" s="41"/>
      <c r="E1204" s="57"/>
      <c r="F1204" s="42"/>
      <c r="G1204" s="80"/>
    </row>
    <row r="1205" spans="3:7" s="37" customFormat="1" ht="23.25" x14ac:dyDescent="0.35">
      <c r="C1205" s="41"/>
      <c r="E1205" s="57"/>
      <c r="F1205" s="42"/>
      <c r="G1205" s="80"/>
    </row>
    <row r="1206" spans="3:7" s="37" customFormat="1" ht="23.25" x14ac:dyDescent="0.35">
      <c r="C1206" s="41"/>
      <c r="E1206" s="57"/>
      <c r="F1206" s="42"/>
      <c r="G1206" s="80"/>
    </row>
    <row r="1207" spans="3:7" s="37" customFormat="1" ht="23.25" x14ac:dyDescent="0.35">
      <c r="C1207" s="41"/>
      <c r="E1207" s="57"/>
      <c r="F1207" s="42"/>
      <c r="G1207" s="80"/>
    </row>
    <row r="1208" spans="3:7" s="37" customFormat="1" ht="23.25" x14ac:dyDescent="0.35">
      <c r="C1208" s="41"/>
      <c r="E1208" s="57"/>
      <c r="F1208" s="42"/>
      <c r="G1208" s="80"/>
    </row>
    <row r="1209" spans="3:7" s="37" customFormat="1" ht="23.25" x14ac:dyDescent="0.35">
      <c r="C1209" s="41"/>
      <c r="E1209" s="57"/>
      <c r="F1209" s="42"/>
      <c r="G1209" s="80"/>
    </row>
    <row r="1210" spans="3:7" s="37" customFormat="1" ht="23.25" x14ac:dyDescent="0.35">
      <c r="C1210" s="41"/>
      <c r="E1210" s="57"/>
      <c r="F1210" s="42"/>
      <c r="G1210" s="80"/>
    </row>
    <row r="1211" spans="3:7" s="37" customFormat="1" ht="23.25" x14ac:dyDescent="0.35">
      <c r="C1211" s="41"/>
      <c r="E1211" s="57"/>
      <c r="F1211" s="42"/>
      <c r="G1211" s="80"/>
    </row>
    <row r="1212" spans="3:7" s="37" customFormat="1" ht="23.25" x14ac:dyDescent="0.35">
      <c r="C1212" s="41"/>
      <c r="E1212" s="57"/>
      <c r="F1212" s="42"/>
      <c r="G1212" s="80"/>
    </row>
    <row r="1213" spans="3:7" s="37" customFormat="1" ht="23.25" x14ac:dyDescent="0.35">
      <c r="C1213" s="41"/>
      <c r="E1213" s="57"/>
      <c r="F1213" s="42"/>
      <c r="G1213" s="80"/>
    </row>
    <row r="1214" spans="3:7" s="37" customFormat="1" ht="23.25" x14ac:dyDescent="0.35">
      <c r="C1214" s="41"/>
      <c r="E1214" s="57"/>
      <c r="F1214" s="42"/>
      <c r="G1214" s="80"/>
    </row>
    <row r="1215" spans="3:7" s="37" customFormat="1" ht="23.25" x14ac:dyDescent="0.35">
      <c r="C1215" s="41"/>
      <c r="E1215" s="57"/>
      <c r="F1215" s="42"/>
      <c r="G1215" s="80"/>
    </row>
    <row r="1216" spans="3:7" s="37" customFormat="1" ht="23.25" x14ac:dyDescent="0.35">
      <c r="C1216" s="41"/>
      <c r="E1216" s="57"/>
      <c r="F1216" s="42"/>
      <c r="G1216" s="80"/>
    </row>
    <row r="1217" spans="3:7" s="37" customFormat="1" ht="23.25" x14ac:dyDescent="0.35">
      <c r="C1217" s="41"/>
      <c r="E1217" s="57"/>
      <c r="F1217" s="42"/>
      <c r="G1217" s="80"/>
    </row>
    <row r="1218" spans="3:7" s="37" customFormat="1" ht="23.25" x14ac:dyDescent="0.35">
      <c r="C1218" s="41"/>
      <c r="E1218" s="57"/>
      <c r="F1218" s="42"/>
      <c r="G1218" s="80"/>
    </row>
    <row r="1219" spans="3:7" s="37" customFormat="1" ht="23.25" x14ac:dyDescent="0.35">
      <c r="C1219" s="41"/>
      <c r="E1219" s="57"/>
      <c r="F1219" s="42"/>
      <c r="G1219" s="80"/>
    </row>
    <row r="1220" spans="3:7" s="37" customFormat="1" ht="23.25" x14ac:dyDescent="0.35">
      <c r="C1220" s="41"/>
      <c r="E1220" s="57"/>
      <c r="F1220" s="42"/>
      <c r="G1220" s="80"/>
    </row>
    <row r="1221" spans="3:7" s="37" customFormat="1" ht="23.25" x14ac:dyDescent="0.35">
      <c r="C1221" s="41"/>
      <c r="E1221" s="57"/>
      <c r="F1221" s="42"/>
      <c r="G1221" s="80"/>
    </row>
    <row r="1222" spans="3:7" s="37" customFormat="1" ht="23.25" x14ac:dyDescent="0.35">
      <c r="C1222" s="41"/>
      <c r="E1222" s="57"/>
      <c r="F1222" s="42"/>
      <c r="G1222" s="80"/>
    </row>
    <row r="1223" spans="3:7" s="37" customFormat="1" ht="23.25" x14ac:dyDescent="0.35">
      <c r="C1223" s="41"/>
      <c r="E1223" s="57"/>
      <c r="F1223" s="42"/>
      <c r="G1223" s="80"/>
    </row>
    <row r="1224" spans="3:7" s="37" customFormat="1" ht="23.25" x14ac:dyDescent="0.35">
      <c r="C1224" s="41"/>
      <c r="E1224" s="57"/>
      <c r="F1224" s="42"/>
      <c r="G1224" s="80"/>
    </row>
    <row r="1225" spans="3:7" s="37" customFormat="1" ht="23.25" x14ac:dyDescent="0.35">
      <c r="C1225" s="41"/>
      <c r="E1225" s="57"/>
      <c r="F1225" s="42"/>
      <c r="G1225" s="80"/>
    </row>
    <row r="1226" spans="3:7" s="37" customFormat="1" ht="23.25" x14ac:dyDescent="0.35">
      <c r="C1226" s="41"/>
      <c r="E1226" s="57"/>
      <c r="F1226" s="42"/>
      <c r="G1226" s="80"/>
    </row>
    <row r="1227" spans="3:7" s="37" customFormat="1" ht="23.25" x14ac:dyDescent="0.35">
      <c r="C1227" s="41"/>
      <c r="E1227" s="57"/>
      <c r="F1227" s="42"/>
      <c r="G1227" s="80"/>
    </row>
    <row r="1228" spans="3:7" s="37" customFormat="1" ht="23.25" x14ac:dyDescent="0.35">
      <c r="C1228" s="41"/>
      <c r="E1228" s="57"/>
      <c r="F1228" s="42"/>
      <c r="G1228" s="80"/>
    </row>
    <row r="1229" spans="3:7" s="37" customFormat="1" ht="23.25" x14ac:dyDescent="0.35">
      <c r="C1229" s="41"/>
      <c r="E1229" s="57"/>
      <c r="F1229" s="42"/>
      <c r="G1229" s="80"/>
    </row>
    <row r="1230" spans="3:7" s="37" customFormat="1" ht="23.25" x14ac:dyDescent="0.35">
      <c r="C1230" s="41"/>
      <c r="E1230" s="57"/>
      <c r="F1230" s="42"/>
      <c r="G1230" s="80"/>
    </row>
    <row r="1231" spans="3:7" s="37" customFormat="1" ht="23.25" x14ac:dyDescent="0.35">
      <c r="C1231" s="41"/>
      <c r="E1231" s="57"/>
      <c r="F1231" s="42"/>
      <c r="G1231" s="80"/>
    </row>
    <row r="1232" spans="3:7" s="37" customFormat="1" ht="23.25" x14ac:dyDescent="0.35">
      <c r="C1232" s="41"/>
      <c r="E1232" s="57"/>
      <c r="F1232" s="42"/>
      <c r="G1232" s="80"/>
    </row>
    <row r="1233" spans="3:7" s="37" customFormat="1" ht="23.25" x14ac:dyDescent="0.35">
      <c r="C1233" s="41"/>
      <c r="E1233" s="57"/>
      <c r="F1233" s="42"/>
      <c r="G1233" s="80"/>
    </row>
    <row r="1234" spans="3:7" s="37" customFormat="1" ht="23.25" x14ac:dyDescent="0.35">
      <c r="C1234" s="41"/>
      <c r="E1234" s="57"/>
      <c r="F1234" s="42"/>
      <c r="G1234" s="80"/>
    </row>
    <row r="1235" spans="3:7" s="37" customFormat="1" ht="23.25" x14ac:dyDescent="0.35">
      <c r="C1235" s="41"/>
      <c r="E1235" s="57"/>
      <c r="F1235" s="42"/>
      <c r="G1235" s="80"/>
    </row>
    <row r="1236" spans="3:7" s="37" customFormat="1" ht="23.25" x14ac:dyDescent="0.35">
      <c r="C1236" s="41"/>
      <c r="E1236" s="57"/>
      <c r="F1236" s="42"/>
      <c r="G1236" s="80"/>
    </row>
    <row r="1237" spans="3:7" s="37" customFormat="1" ht="23.25" x14ac:dyDescent="0.35">
      <c r="C1237" s="41"/>
      <c r="E1237" s="57"/>
      <c r="F1237" s="42"/>
      <c r="G1237" s="80"/>
    </row>
    <row r="1238" spans="3:7" s="37" customFormat="1" ht="23.25" x14ac:dyDescent="0.35">
      <c r="C1238" s="41"/>
      <c r="E1238" s="57"/>
      <c r="F1238" s="42"/>
      <c r="G1238" s="80"/>
    </row>
    <row r="1239" spans="3:7" s="37" customFormat="1" ht="23.25" x14ac:dyDescent="0.35">
      <c r="C1239" s="41"/>
      <c r="E1239" s="57"/>
      <c r="F1239" s="42"/>
      <c r="G1239" s="80"/>
    </row>
    <row r="1240" spans="3:7" s="37" customFormat="1" ht="23.25" x14ac:dyDescent="0.35">
      <c r="C1240" s="41"/>
      <c r="E1240" s="57"/>
      <c r="F1240" s="42"/>
      <c r="G1240" s="80"/>
    </row>
    <row r="1241" spans="3:7" s="37" customFormat="1" ht="23.25" x14ac:dyDescent="0.35">
      <c r="C1241" s="41"/>
      <c r="E1241" s="57"/>
      <c r="F1241" s="42"/>
      <c r="G1241" s="80"/>
    </row>
    <row r="1242" spans="3:7" s="37" customFormat="1" ht="23.25" x14ac:dyDescent="0.35">
      <c r="C1242" s="41"/>
      <c r="E1242" s="57"/>
      <c r="F1242" s="42"/>
      <c r="G1242" s="80"/>
    </row>
    <row r="1243" spans="3:7" s="37" customFormat="1" ht="23.25" x14ac:dyDescent="0.35">
      <c r="C1243" s="41"/>
      <c r="E1243" s="57"/>
      <c r="F1243" s="42"/>
      <c r="G1243" s="80"/>
    </row>
    <row r="1244" spans="3:7" s="37" customFormat="1" ht="23.25" x14ac:dyDescent="0.35">
      <c r="C1244" s="41"/>
      <c r="E1244" s="57"/>
      <c r="F1244" s="42"/>
      <c r="G1244" s="80"/>
    </row>
    <row r="1245" spans="3:7" s="37" customFormat="1" ht="23.25" x14ac:dyDescent="0.35">
      <c r="C1245" s="41"/>
      <c r="E1245" s="57"/>
      <c r="F1245" s="42"/>
      <c r="G1245" s="80"/>
    </row>
    <row r="1246" spans="3:7" s="37" customFormat="1" ht="23.25" x14ac:dyDescent="0.35">
      <c r="C1246" s="41"/>
      <c r="E1246" s="57"/>
      <c r="F1246" s="42"/>
      <c r="G1246" s="80"/>
    </row>
    <row r="1247" spans="3:7" s="37" customFormat="1" ht="23.25" x14ac:dyDescent="0.35">
      <c r="C1247" s="41"/>
      <c r="E1247" s="57"/>
      <c r="F1247" s="42"/>
      <c r="G1247" s="80"/>
    </row>
    <row r="1248" spans="3:7" s="37" customFormat="1" ht="23.25" x14ac:dyDescent="0.35">
      <c r="C1248" s="41"/>
      <c r="E1248" s="57"/>
      <c r="F1248" s="42"/>
      <c r="G1248" s="80"/>
    </row>
    <row r="1249" spans="3:7" s="37" customFormat="1" ht="23.25" x14ac:dyDescent="0.35">
      <c r="C1249" s="41"/>
      <c r="E1249" s="57"/>
      <c r="F1249" s="42"/>
      <c r="G1249" s="80"/>
    </row>
    <row r="1250" spans="3:7" s="37" customFormat="1" ht="23.25" x14ac:dyDescent="0.35">
      <c r="C1250" s="41"/>
      <c r="E1250" s="57"/>
      <c r="F1250" s="42"/>
      <c r="G1250" s="80"/>
    </row>
    <row r="1251" spans="3:7" s="37" customFormat="1" ht="23.25" x14ac:dyDescent="0.35">
      <c r="C1251" s="41"/>
      <c r="E1251" s="57"/>
      <c r="F1251" s="42"/>
      <c r="G1251" s="80"/>
    </row>
    <row r="1252" spans="3:7" s="37" customFormat="1" ht="23.25" x14ac:dyDescent="0.35">
      <c r="C1252" s="41"/>
      <c r="E1252" s="57"/>
      <c r="F1252" s="42"/>
      <c r="G1252" s="80"/>
    </row>
    <row r="1253" spans="3:7" s="37" customFormat="1" ht="23.25" x14ac:dyDescent="0.35">
      <c r="C1253" s="41"/>
      <c r="E1253" s="57"/>
      <c r="F1253" s="42"/>
      <c r="G1253" s="80"/>
    </row>
    <row r="1254" spans="3:7" s="37" customFormat="1" ht="23.25" x14ac:dyDescent="0.35">
      <c r="C1254" s="41"/>
      <c r="E1254" s="57"/>
      <c r="F1254" s="42"/>
      <c r="G1254" s="80"/>
    </row>
    <row r="1255" spans="3:7" s="37" customFormat="1" ht="23.25" x14ac:dyDescent="0.35">
      <c r="C1255" s="41"/>
      <c r="E1255" s="57"/>
      <c r="F1255" s="42"/>
      <c r="G1255" s="80"/>
    </row>
    <row r="1256" spans="3:7" s="37" customFormat="1" ht="23.25" x14ac:dyDescent="0.35">
      <c r="C1256" s="41"/>
      <c r="E1256" s="57"/>
      <c r="F1256" s="42"/>
      <c r="G1256" s="80"/>
    </row>
    <row r="1257" spans="3:7" s="37" customFormat="1" ht="23.25" x14ac:dyDescent="0.35">
      <c r="C1257" s="41"/>
      <c r="E1257" s="57"/>
      <c r="F1257" s="42"/>
      <c r="G1257" s="80"/>
    </row>
    <row r="1258" spans="3:7" s="37" customFormat="1" ht="23.25" x14ac:dyDescent="0.35">
      <c r="C1258" s="41"/>
      <c r="E1258" s="57"/>
      <c r="F1258" s="42"/>
      <c r="G1258" s="80"/>
    </row>
    <row r="1259" spans="3:7" s="37" customFormat="1" ht="23.25" x14ac:dyDescent="0.35">
      <c r="C1259" s="41"/>
      <c r="E1259" s="57"/>
      <c r="F1259" s="42"/>
      <c r="G1259" s="80"/>
    </row>
    <row r="1260" spans="3:7" s="37" customFormat="1" ht="23.25" x14ac:dyDescent="0.35">
      <c r="C1260" s="41"/>
      <c r="E1260" s="57"/>
      <c r="F1260" s="42"/>
      <c r="G1260" s="80"/>
    </row>
    <row r="1261" spans="3:7" s="37" customFormat="1" ht="23.25" x14ac:dyDescent="0.35">
      <c r="C1261" s="41"/>
      <c r="E1261" s="57"/>
      <c r="F1261" s="42"/>
      <c r="G1261" s="80"/>
    </row>
    <row r="1262" spans="3:7" s="37" customFormat="1" ht="23.25" x14ac:dyDescent="0.35">
      <c r="C1262" s="41"/>
      <c r="E1262" s="57"/>
      <c r="F1262" s="42"/>
      <c r="G1262" s="80"/>
    </row>
    <row r="1263" spans="3:7" s="37" customFormat="1" ht="23.25" x14ac:dyDescent="0.35">
      <c r="C1263" s="41"/>
      <c r="E1263" s="57"/>
      <c r="F1263" s="42"/>
      <c r="G1263" s="80"/>
    </row>
    <row r="1264" spans="3:7" s="37" customFormat="1" ht="23.25" x14ac:dyDescent="0.35">
      <c r="C1264" s="41"/>
      <c r="E1264" s="57"/>
      <c r="F1264" s="42"/>
      <c r="G1264" s="80"/>
    </row>
    <row r="1265" spans="3:7" s="37" customFormat="1" ht="23.25" x14ac:dyDescent="0.35">
      <c r="C1265" s="41"/>
      <c r="E1265" s="57"/>
      <c r="F1265" s="42"/>
      <c r="G1265" s="80"/>
    </row>
    <row r="1266" spans="3:7" s="37" customFormat="1" ht="23.25" x14ac:dyDescent="0.35">
      <c r="C1266" s="41"/>
      <c r="E1266" s="57"/>
      <c r="F1266" s="42"/>
      <c r="G1266" s="80"/>
    </row>
    <row r="1267" spans="3:7" s="37" customFormat="1" ht="23.25" x14ac:dyDescent="0.35">
      <c r="C1267" s="41"/>
      <c r="E1267" s="57"/>
      <c r="F1267" s="42"/>
      <c r="G1267" s="80"/>
    </row>
    <row r="1268" spans="3:7" s="37" customFormat="1" ht="23.25" x14ac:dyDescent="0.35">
      <c r="C1268" s="41"/>
      <c r="E1268" s="57"/>
      <c r="F1268" s="42"/>
      <c r="G1268" s="80"/>
    </row>
    <row r="1269" spans="3:7" s="37" customFormat="1" ht="23.25" x14ac:dyDescent="0.35">
      <c r="C1269" s="41"/>
      <c r="E1269" s="57"/>
      <c r="F1269" s="42"/>
      <c r="G1269" s="80"/>
    </row>
    <row r="1270" spans="3:7" s="37" customFormat="1" ht="23.25" x14ac:dyDescent="0.35">
      <c r="C1270" s="41"/>
      <c r="E1270" s="57"/>
      <c r="F1270" s="42"/>
      <c r="G1270" s="80"/>
    </row>
    <row r="1271" spans="3:7" s="37" customFormat="1" ht="23.25" x14ac:dyDescent="0.35">
      <c r="C1271" s="41"/>
      <c r="E1271" s="57"/>
      <c r="F1271" s="42"/>
      <c r="G1271" s="80"/>
    </row>
    <row r="1272" spans="3:7" s="37" customFormat="1" ht="23.25" x14ac:dyDescent="0.35">
      <c r="C1272" s="41"/>
      <c r="E1272" s="57"/>
      <c r="F1272" s="42"/>
      <c r="G1272" s="80"/>
    </row>
    <row r="1273" spans="3:7" s="37" customFormat="1" ht="23.25" x14ac:dyDescent="0.35">
      <c r="C1273" s="41"/>
      <c r="E1273" s="57"/>
      <c r="F1273" s="42"/>
      <c r="G1273" s="80"/>
    </row>
    <row r="1274" spans="3:7" s="37" customFormat="1" ht="23.25" x14ac:dyDescent="0.35">
      <c r="C1274" s="41"/>
      <c r="E1274" s="57"/>
      <c r="F1274" s="42"/>
      <c r="G1274" s="80"/>
    </row>
    <row r="1275" spans="3:7" s="37" customFormat="1" ht="23.25" x14ac:dyDescent="0.35">
      <c r="C1275" s="41"/>
      <c r="E1275" s="57"/>
      <c r="F1275" s="42"/>
      <c r="G1275" s="80"/>
    </row>
    <row r="1276" spans="3:7" s="37" customFormat="1" ht="23.25" x14ac:dyDescent="0.35">
      <c r="C1276" s="41"/>
      <c r="E1276" s="57"/>
      <c r="F1276" s="42"/>
      <c r="G1276" s="80"/>
    </row>
    <row r="1277" spans="3:7" s="37" customFormat="1" ht="23.25" x14ac:dyDescent="0.35">
      <c r="C1277" s="41"/>
      <c r="E1277" s="57"/>
      <c r="F1277" s="42"/>
      <c r="G1277" s="80"/>
    </row>
    <row r="1278" spans="3:7" s="37" customFormat="1" ht="23.25" x14ac:dyDescent="0.35">
      <c r="C1278" s="41"/>
      <c r="E1278" s="57"/>
      <c r="F1278" s="42"/>
      <c r="G1278" s="80"/>
    </row>
    <row r="1279" spans="3:7" s="37" customFormat="1" ht="23.25" x14ac:dyDescent="0.35">
      <c r="C1279" s="41"/>
      <c r="E1279" s="57"/>
      <c r="F1279" s="42"/>
      <c r="G1279" s="80"/>
    </row>
    <row r="1280" spans="3:7" s="37" customFormat="1" ht="23.25" x14ac:dyDescent="0.35">
      <c r="C1280" s="41"/>
      <c r="E1280" s="57"/>
      <c r="F1280" s="42"/>
      <c r="G1280" s="80"/>
    </row>
    <row r="1281" spans="3:7" s="37" customFormat="1" ht="23.25" x14ac:dyDescent="0.35">
      <c r="C1281" s="41"/>
      <c r="E1281" s="57"/>
      <c r="F1281" s="42"/>
      <c r="G1281" s="80"/>
    </row>
    <row r="1282" spans="3:7" s="37" customFormat="1" ht="23.25" x14ac:dyDescent="0.35">
      <c r="C1282" s="41"/>
      <c r="E1282" s="57"/>
      <c r="F1282" s="42"/>
      <c r="G1282" s="80"/>
    </row>
    <row r="1283" spans="3:7" s="37" customFormat="1" ht="23.25" x14ac:dyDescent="0.35">
      <c r="C1283" s="41"/>
      <c r="E1283" s="57"/>
      <c r="F1283" s="42"/>
      <c r="G1283" s="80"/>
    </row>
    <row r="1284" spans="3:7" s="37" customFormat="1" ht="23.25" x14ac:dyDescent="0.35">
      <c r="C1284" s="41"/>
      <c r="E1284" s="57"/>
      <c r="F1284" s="42"/>
      <c r="G1284" s="80"/>
    </row>
    <row r="1285" spans="3:7" s="37" customFormat="1" ht="23.25" x14ac:dyDescent="0.35">
      <c r="C1285" s="41"/>
      <c r="E1285" s="57"/>
      <c r="F1285" s="42"/>
      <c r="G1285" s="80"/>
    </row>
    <row r="1286" spans="3:7" s="37" customFormat="1" ht="23.25" x14ac:dyDescent="0.35">
      <c r="C1286" s="41"/>
      <c r="E1286" s="57"/>
      <c r="F1286" s="42"/>
      <c r="G1286" s="80"/>
    </row>
    <row r="1287" spans="3:7" s="37" customFormat="1" ht="23.25" x14ac:dyDescent="0.35">
      <c r="C1287" s="41"/>
      <c r="E1287" s="57"/>
      <c r="F1287" s="42"/>
      <c r="G1287" s="80"/>
    </row>
    <row r="1288" spans="3:7" s="37" customFormat="1" ht="23.25" x14ac:dyDescent="0.35">
      <c r="C1288" s="41"/>
      <c r="E1288" s="57"/>
      <c r="F1288" s="42"/>
      <c r="G1288" s="80"/>
    </row>
    <row r="1289" spans="3:7" s="37" customFormat="1" ht="23.25" x14ac:dyDescent="0.35">
      <c r="C1289" s="41"/>
      <c r="E1289" s="57"/>
      <c r="F1289" s="42"/>
      <c r="G1289" s="80"/>
    </row>
    <row r="1290" spans="3:7" s="37" customFormat="1" ht="23.25" x14ac:dyDescent="0.35">
      <c r="C1290" s="41"/>
      <c r="E1290" s="57"/>
      <c r="F1290" s="42"/>
      <c r="G1290" s="80"/>
    </row>
    <row r="1291" spans="3:7" s="37" customFormat="1" ht="23.25" x14ac:dyDescent="0.35">
      <c r="C1291" s="41"/>
      <c r="E1291" s="57"/>
      <c r="F1291" s="42"/>
      <c r="G1291" s="80"/>
    </row>
    <row r="1292" spans="3:7" s="37" customFormat="1" ht="23.25" x14ac:dyDescent="0.35">
      <c r="C1292" s="41"/>
      <c r="E1292" s="57"/>
      <c r="F1292" s="42"/>
      <c r="G1292" s="80"/>
    </row>
    <row r="1293" spans="3:7" s="37" customFormat="1" ht="23.25" x14ac:dyDescent="0.35">
      <c r="C1293" s="41"/>
      <c r="E1293" s="57"/>
      <c r="F1293" s="42"/>
      <c r="G1293" s="80"/>
    </row>
    <row r="1294" spans="3:7" s="37" customFormat="1" ht="23.25" x14ac:dyDescent="0.35">
      <c r="C1294" s="41"/>
      <c r="E1294" s="57"/>
      <c r="F1294" s="42"/>
      <c r="G1294" s="80"/>
    </row>
    <row r="1295" spans="3:7" s="37" customFormat="1" ht="23.25" x14ac:dyDescent="0.35">
      <c r="C1295" s="41"/>
      <c r="E1295" s="57"/>
      <c r="F1295" s="42"/>
      <c r="G1295" s="80"/>
    </row>
    <row r="1296" spans="3:7" s="37" customFormat="1" ht="23.25" x14ac:dyDescent="0.35">
      <c r="C1296" s="41"/>
      <c r="E1296" s="57"/>
      <c r="F1296" s="42"/>
      <c r="G1296" s="80"/>
    </row>
    <row r="1297" spans="3:7" s="37" customFormat="1" ht="23.25" x14ac:dyDescent="0.35">
      <c r="C1297" s="41"/>
      <c r="E1297" s="57"/>
      <c r="F1297" s="42"/>
      <c r="G1297" s="80"/>
    </row>
    <row r="1298" spans="3:7" s="37" customFormat="1" ht="23.25" x14ac:dyDescent="0.35">
      <c r="C1298" s="41"/>
      <c r="E1298" s="57"/>
      <c r="F1298" s="42"/>
      <c r="G1298" s="80"/>
    </row>
    <row r="1299" spans="3:7" s="37" customFormat="1" ht="23.25" x14ac:dyDescent="0.35">
      <c r="C1299" s="41"/>
      <c r="E1299" s="57"/>
      <c r="F1299" s="42"/>
      <c r="G1299" s="80"/>
    </row>
    <row r="1300" spans="3:7" s="37" customFormat="1" ht="23.25" x14ac:dyDescent="0.35">
      <c r="C1300" s="41"/>
      <c r="E1300" s="57"/>
      <c r="F1300" s="42"/>
      <c r="G1300" s="80"/>
    </row>
    <row r="1301" spans="3:7" s="37" customFormat="1" ht="23.25" x14ac:dyDescent="0.35">
      <c r="C1301" s="41"/>
      <c r="E1301" s="57"/>
      <c r="F1301" s="42"/>
      <c r="G1301" s="80"/>
    </row>
    <row r="1302" spans="3:7" s="37" customFormat="1" ht="23.25" x14ac:dyDescent="0.35">
      <c r="C1302" s="41"/>
      <c r="E1302" s="57"/>
      <c r="F1302" s="42"/>
      <c r="G1302" s="80"/>
    </row>
    <row r="1303" spans="3:7" s="37" customFormat="1" ht="23.25" x14ac:dyDescent="0.35">
      <c r="C1303" s="41"/>
      <c r="E1303" s="57"/>
      <c r="F1303" s="42"/>
      <c r="G1303" s="80"/>
    </row>
    <row r="1304" spans="3:7" s="37" customFormat="1" ht="23.25" x14ac:dyDescent="0.35">
      <c r="C1304" s="41"/>
      <c r="E1304" s="57"/>
      <c r="F1304" s="42"/>
      <c r="G1304" s="80"/>
    </row>
    <row r="1305" spans="3:7" s="37" customFormat="1" ht="23.25" x14ac:dyDescent="0.35">
      <c r="C1305" s="41"/>
      <c r="E1305" s="57"/>
      <c r="F1305" s="42"/>
      <c r="G1305" s="80"/>
    </row>
    <row r="1306" spans="3:7" s="37" customFormat="1" ht="23.25" x14ac:dyDescent="0.35">
      <c r="C1306" s="41"/>
      <c r="E1306" s="57"/>
      <c r="F1306" s="42"/>
      <c r="G1306" s="80"/>
    </row>
    <row r="1307" spans="3:7" s="37" customFormat="1" ht="23.25" x14ac:dyDescent="0.35">
      <c r="C1307" s="41"/>
      <c r="E1307" s="57"/>
      <c r="F1307" s="42"/>
      <c r="G1307" s="80"/>
    </row>
    <row r="1308" spans="3:7" s="37" customFormat="1" ht="23.25" x14ac:dyDescent="0.35">
      <c r="C1308" s="41"/>
      <c r="E1308" s="57"/>
      <c r="F1308" s="42"/>
      <c r="G1308" s="80"/>
    </row>
    <row r="1309" spans="3:7" s="37" customFormat="1" ht="23.25" x14ac:dyDescent="0.35">
      <c r="C1309" s="41"/>
      <c r="E1309" s="57"/>
      <c r="F1309" s="42"/>
      <c r="G1309" s="80"/>
    </row>
    <row r="1310" spans="3:7" s="37" customFormat="1" ht="23.25" x14ac:dyDescent="0.35">
      <c r="C1310" s="41"/>
      <c r="E1310" s="57"/>
      <c r="F1310" s="42"/>
      <c r="G1310" s="80"/>
    </row>
    <row r="1311" spans="3:7" s="37" customFormat="1" ht="23.25" x14ac:dyDescent="0.35">
      <c r="C1311" s="41"/>
      <c r="E1311" s="57"/>
      <c r="F1311" s="42"/>
      <c r="G1311" s="80"/>
    </row>
    <row r="1312" spans="3:7" s="37" customFormat="1" ht="23.25" x14ac:dyDescent="0.35">
      <c r="C1312" s="41"/>
      <c r="E1312" s="57"/>
      <c r="F1312" s="42"/>
      <c r="G1312" s="80"/>
    </row>
    <row r="1313" spans="3:7" s="37" customFormat="1" ht="23.25" x14ac:dyDescent="0.35">
      <c r="C1313" s="41"/>
      <c r="E1313" s="57"/>
      <c r="F1313" s="42"/>
      <c r="G1313" s="80"/>
    </row>
    <row r="1314" spans="3:7" s="37" customFormat="1" ht="23.25" x14ac:dyDescent="0.35">
      <c r="C1314" s="41"/>
      <c r="E1314" s="57"/>
      <c r="F1314" s="42"/>
      <c r="G1314" s="80"/>
    </row>
    <row r="1315" spans="3:7" s="37" customFormat="1" ht="23.25" x14ac:dyDescent="0.35">
      <c r="C1315" s="41"/>
      <c r="E1315" s="57"/>
      <c r="F1315" s="42"/>
      <c r="G1315" s="80"/>
    </row>
    <row r="1316" spans="3:7" s="37" customFormat="1" ht="23.25" x14ac:dyDescent="0.35">
      <c r="C1316" s="41"/>
      <c r="E1316" s="57"/>
      <c r="F1316" s="42"/>
      <c r="G1316" s="80"/>
    </row>
    <row r="1317" spans="3:7" s="37" customFormat="1" ht="23.25" x14ac:dyDescent="0.35">
      <c r="C1317" s="41"/>
      <c r="E1317" s="57"/>
      <c r="F1317" s="42"/>
      <c r="G1317" s="80"/>
    </row>
    <row r="1318" spans="3:7" s="37" customFormat="1" ht="23.25" x14ac:dyDescent="0.35">
      <c r="C1318" s="41"/>
      <c r="E1318" s="57"/>
      <c r="F1318" s="42"/>
      <c r="G1318" s="80"/>
    </row>
    <row r="1319" spans="3:7" s="37" customFormat="1" ht="23.25" x14ac:dyDescent="0.35">
      <c r="C1319" s="41"/>
      <c r="E1319" s="57"/>
      <c r="F1319" s="42"/>
      <c r="G1319" s="80"/>
    </row>
    <row r="1320" spans="3:7" s="37" customFormat="1" ht="23.25" x14ac:dyDescent="0.35">
      <c r="C1320" s="41"/>
      <c r="E1320" s="57"/>
      <c r="F1320" s="42"/>
      <c r="G1320" s="80"/>
    </row>
    <row r="1321" spans="3:7" s="37" customFormat="1" ht="23.25" x14ac:dyDescent="0.35">
      <c r="C1321" s="41"/>
      <c r="E1321" s="57"/>
      <c r="F1321" s="42"/>
      <c r="G1321" s="80"/>
    </row>
    <row r="1322" spans="3:7" s="37" customFormat="1" ht="23.25" x14ac:dyDescent="0.35">
      <c r="C1322" s="41"/>
      <c r="E1322" s="57"/>
      <c r="F1322" s="42"/>
      <c r="G1322" s="80"/>
    </row>
    <row r="1323" spans="3:7" s="37" customFormat="1" ht="23.25" x14ac:dyDescent="0.35">
      <c r="C1323" s="41"/>
      <c r="E1323" s="57"/>
      <c r="F1323" s="42"/>
      <c r="G1323" s="80"/>
    </row>
    <row r="1324" spans="3:7" s="37" customFormat="1" ht="23.25" x14ac:dyDescent="0.35">
      <c r="C1324" s="41"/>
      <c r="E1324" s="57"/>
      <c r="F1324" s="42"/>
      <c r="G1324" s="80"/>
    </row>
    <row r="1325" spans="3:7" s="37" customFormat="1" ht="23.25" x14ac:dyDescent="0.35">
      <c r="C1325" s="41"/>
      <c r="E1325" s="57"/>
      <c r="F1325" s="42"/>
      <c r="G1325" s="80"/>
    </row>
    <row r="1326" spans="3:7" s="37" customFormat="1" ht="23.25" x14ac:dyDescent="0.35">
      <c r="C1326" s="41"/>
      <c r="E1326" s="57"/>
      <c r="F1326" s="42"/>
      <c r="G1326" s="80"/>
    </row>
    <row r="1327" spans="3:7" s="37" customFormat="1" ht="23.25" x14ac:dyDescent="0.35">
      <c r="C1327" s="41"/>
      <c r="E1327" s="57"/>
      <c r="F1327" s="42"/>
      <c r="G1327" s="80"/>
    </row>
    <row r="1328" spans="3:7" s="37" customFormat="1" ht="23.25" x14ac:dyDescent="0.35">
      <c r="C1328" s="41"/>
      <c r="E1328" s="57"/>
      <c r="F1328" s="42"/>
      <c r="G1328" s="80"/>
    </row>
    <row r="1329" spans="3:7" s="37" customFormat="1" ht="23.25" x14ac:dyDescent="0.35">
      <c r="C1329" s="41"/>
      <c r="E1329" s="57"/>
      <c r="F1329" s="42"/>
      <c r="G1329" s="80"/>
    </row>
    <row r="1330" spans="3:7" s="37" customFormat="1" ht="23.25" x14ac:dyDescent="0.35">
      <c r="C1330" s="41"/>
      <c r="E1330" s="57"/>
      <c r="F1330" s="42"/>
      <c r="G1330" s="80"/>
    </row>
    <row r="1331" spans="3:7" s="37" customFormat="1" ht="23.25" x14ac:dyDescent="0.35">
      <c r="C1331" s="41"/>
      <c r="E1331" s="57"/>
      <c r="F1331" s="42"/>
      <c r="G1331" s="80"/>
    </row>
    <row r="1332" spans="3:7" s="37" customFormat="1" ht="23.25" x14ac:dyDescent="0.35">
      <c r="C1332" s="41"/>
      <c r="E1332" s="57"/>
      <c r="F1332" s="42"/>
      <c r="G1332" s="80"/>
    </row>
    <row r="1333" spans="3:7" s="37" customFormat="1" ht="23.25" x14ac:dyDescent="0.35">
      <c r="C1333" s="41"/>
      <c r="E1333" s="57"/>
      <c r="F1333" s="42"/>
      <c r="G1333" s="80"/>
    </row>
    <row r="1334" spans="3:7" s="37" customFormat="1" ht="23.25" x14ac:dyDescent="0.35">
      <c r="C1334" s="41"/>
      <c r="E1334" s="57"/>
      <c r="F1334" s="42"/>
      <c r="G1334" s="80"/>
    </row>
    <row r="1335" spans="3:7" s="37" customFormat="1" ht="23.25" x14ac:dyDescent="0.35">
      <c r="C1335" s="41"/>
      <c r="E1335" s="57"/>
      <c r="F1335" s="42"/>
      <c r="G1335" s="80"/>
    </row>
    <row r="1336" spans="3:7" s="37" customFormat="1" ht="23.25" x14ac:dyDescent="0.35">
      <c r="C1336" s="41"/>
      <c r="E1336" s="57"/>
      <c r="F1336" s="42"/>
      <c r="G1336" s="80"/>
    </row>
    <row r="1337" spans="3:7" s="37" customFormat="1" ht="23.25" x14ac:dyDescent="0.35">
      <c r="C1337" s="41"/>
      <c r="E1337" s="57"/>
      <c r="F1337" s="42"/>
      <c r="G1337" s="80"/>
    </row>
    <row r="1338" spans="3:7" s="37" customFormat="1" ht="23.25" x14ac:dyDescent="0.35">
      <c r="C1338" s="41"/>
      <c r="E1338" s="57"/>
      <c r="F1338" s="42"/>
      <c r="G1338" s="80"/>
    </row>
    <row r="1339" spans="3:7" s="37" customFormat="1" ht="23.25" x14ac:dyDescent="0.35">
      <c r="C1339" s="41"/>
      <c r="E1339" s="57"/>
      <c r="F1339" s="42"/>
      <c r="G1339" s="80"/>
    </row>
    <row r="1340" spans="3:7" s="37" customFormat="1" ht="23.25" x14ac:dyDescent="0.35">
      <c r="C1340" s="41"/>
      <c r="E1340" s="57"/>
      <c r="F1340" s="42"/>
      <c r="G1340" s="80"/>
    </row>
    <row r="1341" spans="3:7" s="37" customFormat="1" ht="23.25" x14ac:dyDescent="0.35">
      <c r="C1341" s="41"/>
      <c r="E1341" s="57"/>
      <c r="F1341" s="42"/>
      <c r="G1341" s="80"/>
    </row>
    <row r="1342" spans="3:7" s="37" customFormat="1" ht="23.25" x14ac:dyDescent="0.35">
      <c r="C1342" s="41"/>
      <c r="E1342" s="57"/>
      <c r="F1342" s="42"/>
      <c r="G1342" s="80"/>
    </row>
    <row r="1343" spans="3:7" s="37" customFormat="1" ht="23.25" x14ac:dyDescent="0.35">
      <c r="C1343" s="41"/>
      <c r="E1343" s="57"/>
      <c r="F1343" s="42"/>
      <c r="G1343" s="80"/>
    </row>
    <row r="1344" spans="3:7" s="37" customFormat="1" ht="23.25" x14ac:dyDescent="0.35">
      <c r="C1344" s="41"/>
      <c r="E1344" s="57"/>
      <c r="F1344" s="42"/>
      <c r="G1344" s="80"/>
    </row>
    <row r="1345" spans="3:7" s="37" customFormat="1" ht="23.25" x14ac:dyDescent="0.35">
      <c r="C1345" s="41"/>
      <c r="E1345" s="57"/>
      <c r="F1345" s="42"/>
      <c r="G1345" s="80"/>
    </row>
    <row r="1346" spans="3:7" s="37" customFormat="1" ht="23.25" x14ac:dyDescent="0.35">
      <c r="C1346" s="41"/>
      <c r="E1346" s="57"/>
      <c r="F1346" s="42"/>
      <c r="G1346" s="80"/>
    </row>
    <row r="1347" spans="3:7" s="37" customFormat="1" ht="23.25" x14ac:dyDescent="0.35">
      <c r="C1347" s="41"/>
      <c r="E1347" s="57"/>
      <c r="F1347" s="42"/>
      <c r="G1347" s="80"/>
    </row>
    <row r="1348" spans="3:7" s="37" customFormat="1" ht="23.25" x14ac:dyDescent="0.35">
      <c r="C1348" s="41"/>
      <c r="E1348" s="57"/>
      <c r="F1348" s="42"/>
      <c r="G1348" s="80"/>
    </row>
    <row r="1349" spans="3:7" s="37" customFormat="1" ht="23.25" x14ac:dyDescent="0.35">
      <c r="C1349" s="41"/>
      <c r="E1349" s="57"/>
      <c r="F1349" s="42"/>
      <c r="G1349" s="80"/>
    </row>
    <row r="1350" spans="3:7" s="37" customFormat="1" ht="23.25" x14ac:dyDescent="0.35">
      <c r="C1350" s="41"/>
      <c r="E1350" s="57"/>
      <c r="F1350" s="42"/>
      <c r="G1350" s="80"/>
    </row>
    <row r="1351" spans="3:7" s="37" customFormat="1" ht="23.25" x14ac:dyDescent="0.35">
      <c r="C1351" s="41"/>
      <c r="E1351" s="57"/>
      <c r="F1351" s="42"/>
      <c r="G1351" s="80"/>
    </row>
    <row r="1352" spans="3:7" s="37" customFormat="1" ht="23.25" x14ac:dyDescent="0.35">
      <c r="C1352" s="41"/>
      <c r="E1352" s="57"/>
      <c r="F1352" s="42"/>
      <c r="G1352" s="80"/>
    </row>
    <row r="1353" spans="3:7" s="37" customFormat="1" ht="23.25" x14ac:dyDescent="0.35">
      <c r="C1353" s="41"/>
      <c r="E1353" s="57"/>
      <c r="F1353" s="42"/>
      <c r="G1353" s="80"/>
    </row>
    <row r="1354" spans="3:7" s="37" customFormat="1" ht="23.25" x14ac:dyDescent="0.35">
      <c r="C1354" s="41"/>
      <c r="E1354" s="57"/>
      <c r="F1354" s="42"/>
      <c r="G1354" s="80"/>
    </row>
    <row r="1355" spans="3:7" s="37" customFormat="1" ht="23.25" x14ac:dyDescent="0.35">
      <c r="C1355" s="41"/>
      <c r="E1355" s="57"/>
      <c r="F1355" s="42"/>
      <c r="G1355" s="80"/>
    </row>
    <row r="1356" spans="3:7" s="37" customFormat="1" ht="23.25" x14ac:dyDescent="0.35">
      <c r="C1356" s="41"/>
      <c r="E1356" s="57"/>
      <c r="F1356" s="42"/>
      <c r="G1356" s="80"/>
    </row>
    <row r="1357" spans="3:7" s="37" customFormat="1" ht="23.25" x14ac:dyDescent="0.35">
      <c r="C1357" s="41"/>
      <c r="E1357" s="57"/>
      <c r="F1357" s="42"/>
      <c r="G1357" s="80"/>
    </row>
    <row r="1358" spans="3:7" s="37" customFormat="1" ht="23.25" x14ac:dyDescent="0.35">
      <c r="C1358" s="41"/>
      <c r="E1358" s="57"/>
      <c r="F1358" s="42"/>
      <c r="G1358" s="80"/>
    </row>
    <row r="1359" spans="3:7" s="37" customFormat="1" ht="23.25" x14ac:dyDescent="0.35">
      <c r="C1359" s="41"/>
      <c r="E1359" s="57"/>
      <c r="F1359" s="42"/>
      <c r="G1359" s="80"/>
    </row>
    <row r="1360" spans="3:7" s="37" customFormat="1" ht="23.25" x14ac:dyDescent="0.35">
      <c r="C1360" s="41"/>
      <c r="E1360" s="57"/>
      <c r="F1360" s="42"/>
      <c r="G1360" s="80"/>
    </row>
    <row r="1361" spans="3:7" s="37" customFormat="1" ht="23.25" x14ac:dyDescent="0.35">
      <c r="C1361" s="41"/>
      <c r="E1361" s="57"/>
      <c r="F1361" s="42"/>
      <c r="G1361" s="80"/>
    </row>
    <row r="1362" spans="3:7" s="37" customFormat="1" ht="23.25" x14ac:dyDescent="0.35">
      <c r="C1362" s="41"/>
      <c r="E1362" s="57"/>
      <c r="F1362" s="42"/>
      <c r="G1362" s="80"/>
    </row>
    <row r="1363" spans="3:7" s="37" customFormat="1" ht="23.25" x14ac:dyDescent="0.35">
      <c r="C1363" s="41"/>
      <c r="E1363" s="57"/>
      <c r="F1363" s="42"/>
      <c r="G1363" s="80"/>
    </row>
    <row r="1364" spans="3:7" s="37" customFormat="1" ht="23.25" x14ac:dyDescent="0.35">
      <c r="C1364" s="41"/>
      <c r="E1364" s="57"/>
      <c r="F1364" s="42"/>
      <c r="G1364" s="80"/>
    </row>
    <row r="1365" spans="3:7" s="37" customFormat="1" ht="23.25" x14ac:dyDescent="0.35">
      <c r="C1365" s="41"/>
      <c r="E1365" s="57"/>
      <c r="F1365" s="42"/>
      <c r="G1365" s="80"/>
    </row>
    <row r="1366" spans="3:7" s="37" customFormat="1" ht="23.25" x14ac:dyDescent="0.35">
      <c r="C1366" s="41"/>
      <c r="E1366" s="57"/>
      <c r="F1366" s="42"/>
      <c r="G1366" s="80"/>
    </row>
    <row r="1367" spans="3:7" s="37" customFormat="1" ht="23.25" x14ac:dyDescent="0.35">
      <c r="C1367" s="41"/>
      <c r="E1367" s="57"/>
      <c r="F1367" s="42"/>
      <c r="G1367" s="80"/>
    </row>
    <row r="1368" spans="3:7" s="37" customFormat="1" ht="23.25" x14ac:dyDescent="0.35">
      <c r="C1368" s="41"/>
      <c r="E1368" s="57"/>
      <c r="F1368" s="42"/>
      <c r="G1368" s="80"/>
    </row>
    <row r="1369" spans="3:7" s="37" customFormat="1" ht="23.25" x14ac:dyDescent="0.35">
      <c r="C1369" s="41"/>
      <c r="E1369" s="57"/>
      <c r="F1369" s="42"/>
      <c r="G1369" s="80"/>
    </row>
    <row r="1370" spans="3:7" s="37" customFormat="1" ht="23.25" x14ac:dyDescent="0.35">
      <c r="C1370" s="41"/>
      <c r="E1370" s="57"/>
      <c r="F1370" s="42"/>
      <c r="G1370" s="80"/>
    </row>
    <row r="1371" spans="3:7" s="37" customFormat="1" ht="23.25" x14ac:dyDescent="0.35">
      <c r="C1371" s="41"/>
      <c r="E1371" s="57"/>
      <c r="F1371" s="42"/>
      <c r="G1371" s="80"/>
    </row>
    <row r="1372" spans="3:7" s="37" customFormat="1" ht="23.25" x14ac:dyDescent="0.35">
      <c r="C1372" s="41"/>
      <c r="E1372" s="57"/>
      <c r="F1372" s="42"/>
      <c r="G1372" s="80"/>
    </row>
    <row r="1373" spans="3:7" s="37" customFormat="1" ht="23.25" x14ac:dyDescent="0.35">
      <c r="C1373" s="41"/>
      <c r="E1373" s="57"/>
      <c r="F1373" s="42"/>
      <c r="G1373" s="80"/>
    </row>
    <row r="1374" spans="3:7" s="37" customFormat="1" ht="23.25" x14ac:dyDescent="0.35">
      <c r="C1374" s="41"/>
      <c r="E1374" s="57"/>
      <c r="F1374" s="42"/>
      <c r="G1374" s="80"/>
    </row>
    <row r="1375" spans="3:7" s="37" customFormat="1" ht="23.25" x14ac:dyDescent="0.35">
      <c r="C1375" s="41"/>
      <c r="E1375" s="57"/>
      <c r="F1375" s="42"/>
      <c r="G1375" s="80"/>
    </row>
    <row r="1376" spans="3:7" s="37" customFormat="1" ht="23.25" x14ac:dyDescent="0.35">
      <c r="C1376" s="41"/>
      <c r="E1376" s="57"/>
      <c r="F1376" s="42"/>
      <c r="G1376" s="80"/>
    </row>
    <row r="1377" spans="3:7" s="37" customFormat="1" ht="23.25" x14ac:dyDescent="0.35">
      <c r="C1377" s="41"/>
      <c r="E1377" s="57"/>
      <c r="F1377" s="42"/>
      <c r="G1377" s="80"/>
    </row>
    <row r="1378" spans="3:7" s="37" customFormat="1" ht="23.25" x14ac:dyDescent="0.35">
      <c r="C1378" s="41"/>
      <c r="E1378" s="57"/>
      <c r="F1378" s="42"/>
      <c r="G1378" s="80"/>
    </row>
    <row r="1379" spans="3:7" s="37" customFormat="1" ht="23.25" x14ac:dyDescent="0.35">
      <c r="C1379" s="41"/>
      <c r="E1379" s="57"/>
      <c r="F1379" s="42"/>
      <c r="G1379" s="80"/>
    </row>
    <row r="1380" spans="3:7" s="37" customFormat="1" ht="23.25" x14ac:dyDescent="0.35">
      <c r="C1380" s="41"/>
      <c r="E1380" s="57"/>
      <c r="F1380" s="42"/>
      <c r="G1380" s="80"/>
    </row>
    <row r="1381" spans="3:7" s="37" customFormat="1" ht="23.25" x14ac:dyDescent="0.35">
      <c r="C1381" s="41"/>
      <c r="E1381" s="57"/>
      <c r="F1381" s="42"/>
      <c r="G1381" s="80"/>
    </row>
    <row r="1382" spans="3:7" s="37" customFormat="1" ht="23.25" x14ac:dyDescent="0.35">
      <c r="C1382" s="41"/>
      <c r="E1382" s="57"/>
      <c r="F1382" s="42"/>
      <c r="G1382" s="80"/>
    </row>
    <row r="1383" spans="3:7" s="37" customFormat="1" ht="23.25" x14ac:dyDescent="0.35">
      <c r="C1383" s="41"/>
      <c r="E1383" s="57"/>
      <c r="F1383" s="42"/>
      <c r="G1383" s="80"/>
    </row>
    <row r="1384" spans="3:7" s="37" customFormat="1" ht="23.25" x14ac:dyDescent="0.35">
      <c r="C1384" s="41"/>
      <c r="E1384" s="57"/>
      <c r="F1384" s="42"/>
      <c r="G1384" s="80"/>
    </row>
    <row r="1385" spans="3:7" s="37" customFormat="1" ht="23.25" x14ac:dyDescent="0.35">
      <c r="C1385" s="41"/>
      <c r="E1385" s="57"/>
      <c r="F1385" s="42"/>
      <c r="G1385" s="80"/>
    </row>
    <row r="1386" spans="3:7" s="37" customFormat="1" ht="23.25" x14ac:dyDescent="0.35">
      <c r="C1386" s="41"/>
      <c r="E1386" s="57"/>
      <c r="F1386" s="42"/>
      <c r="G1386" s="80"/>
    </row>
    <row r="1387" spans="3:7" s="37" customFormat="1" ht="23.25" x14ac:dyDescent="0.35">
      <c r="C1387" s="41"/>
      <c r="E1387" s="57"/>
      <c r="F1387" s="42"/>
      <c r="G1387" s="80"/>
    </row>
    <row r="1388" spans="3:7" s="37" customFormat="1" ht="23.25" x14ac:dyDescent="0.35">
      <c r="C1388" s="41"/>
      <c r="E1388" s="57"/>
      <c r="F1388" s="42"/>
      <c r="G1388" s="80"/>
    </row>
    <row r="1389" spans="3:7" s="37" customFormat="1" ht="23.25" x14ac:dyDescent="0.35">
      <c r="C1389" s="41"/>
      <c r="E1389" s="57"/>
      <c r="F1389" s="42"/>
      <c r="G1389" s="80"/>
    </row>
    <row r="1390" spans="3:7" s="37" customFormat="1" ht="23.25" x14ac:dyDescent="0.35">
      <c r="C1390" s="41"/>
      <c r="E1390" s="57"/>
      <c r="F1390" s="42"/>
      <c r="G1390" s="80"/>
    </row>
    <row r="1391" spans="3:7" s="37" customFormat="1" ht="23.25" x14ac:dyDescent="0.35">
      <c r="C1391" s="41"/>
      <c r="E1391" s="57"/>
      <c r="F1391" s="42"/>
      <c r="G1391" s="80"/>
    </row>
    <row r="1392" spans="3:7" s="37" customFormat="1" ht="23.25" x14ac:dyDescent="0.35">
      <c r="C1392" s="41"/>
      <c r="E1392" s="57"/>
      <c r="F1392" s="42"/>
      <c r="G1392" s="80"/>
    </row>
    <row r="1393" spans="3:7" s="37" customFormat="1" ht="23.25" x14ac:dyDescent="0.35">
      <c r="C1393" s="41"/>
      <c r="E1393" s="57"/>
      <c r="F1393" s="42"/>
      <c r="G1393" s="80"/>
    </row>
    <row r="1394" spans="3:7" s="37" customFormat="1" ht="23.25" x14ac:dyDescent="0.35">
      <c r="C1394" s="41"/>
      <c r="E1394" s="57"/>
      <c r="F1394" s="42"/>
      <c r="G1394" s="80"/>
    </row>
    <row r="1395" spans="3:7" s="37" customFormat="1" ht="23.25" x14ac:dyDescent="0.35">
      <c r="C1395" s="41"/>
      <c r="E1395" s="57"/>
      <c r="F1395" s="42"/>
      <c r="G1395" s="80"/>
    </row>
    <row r="1396" spans="3:7" s="37" customFormat="1" ht="23.25" x14ac:dyDescent="0.35">
      <c r="C1396" s="41"/>
      <c r="E1396" s="57"/>
      <c r="F1396" s="42"/>
      <c r="G1396" s="80"/>
    </row>
    <row r="1397" spans="3:7" s="37" customFormat="1" ht="23.25" x14ac:dyDescent="0.35">
      <c r="C1397" s="41"/>
      <c r="E1397" s="57"/>
      <c r="F1397" s="42"/>
      <c r="G1397" s="80"/>
    </row>
    <row r="1398" spans="3:7" s="37" customFormat="1" ht="23.25" x14ac:dyDescent="0.35">
      <c r="C1398" s="41"/>
      <c r="E1398" s="57"/>
      <c r="F1398" s="42"/>
      <c r="G1398" s="80"/>
    </row>
    <row r="1399" spans="3:7" s="37" customFormat="1" ht="23.25" x14ac:dyDescent="0.35">
      <c r="C1399" s="41"/>
      <c r="E1399" s="57"/>
      <c r="F1399" s="42"/>
      <c r="G1399" s="80"/>
    </row>
    <row r="1400" spans="3:7" s="37" customFormat="1" ht="23.25" x14ac:dyDescent="0.35">
      <c r="C1400" s="41"/>
      <c r="E1400" s="57"/>
      <c r="F1400" s="42"/>
      <c r="G1400" s="80"/>
    </row>
    <row r="1401" spans="3:7" s="37" customFormat="1" ht="23.25" x14ac:dyDescent="0.35">
      <c r="C1401" s="41"/>
      <c r="E1401" s="57"/>
      <c r="F1401" s="42"/>
      <c r="G1401" s="80"/>
    </row>
    <row r="1402" spans="3:7" s="37" customFormat="1" ht="23.25" x14ac:dyDescent="0.35">
      <c r="C1402" s="41"/>
      <c r="E1402" s="57"/>
      <c r="F1402" s="42"/>
      <c r="G1402" s="80"/>
    </row>
    <row r="1403" spans="3:7" s="37" customFormat="1" ht="23.25" x14ac:dyDescent="0.35">
      <c r="C1403" s="41"/>
      <c r="E1403" s="57"/>
      <c r="F1403" s="42"/>
      <c r="G1403" s="80"/>
    </row>
    <row r="1404" spans="3:7" s="37" customFormat="1" ht="23.25" x14ac:dyDescent="0.35">
      <c r="C1404" s="41"/>
      <c r="E1404" s="57"/>
      <c r="F1404" s="42"/>
      <c r="G1404" s="80"/>
    </row>
    <row r="1405" spans="3:7" s="37" customFormat="1" ht="23.25" x14ac:dyDescent="0.35">
      <c r="C1405" s="41"/>
      <c r="E1405" s="57"/>
      <c r="F1405" s="42"/>
      <c r="G1405" s="80"/>
    </row>
    <row r="1406" spans="3:7" s="37" customFormat="1" ht="23.25" x14ac:dyDescent="0.35">
      <c r="C1406" s="41"/>
      <c r="E1406" s="57"/>
      <c r="F1406" s="42"/>
      <c r="G1406" s="80"/>
    </row>
    <row r="1407" spans="3:7" s="37" customFormat="1" ht="23.25" x14ac:dyDescent="0.35">
      <c r="C1407" s="41"/>
      <c r="E1407" s="57"/>
      <c r="F1407" s="42"/>
      <c r="G1407" s="80"/>
    </row>
    <row r="1408" spans="3:7" s="37" customFormat="1" ht="23.25" x14ac:dyDescent="0.35">
      <c r="C1408" s="41"/>
      <c r="E1408" s="57"/>
      <c r="F1408" s="42"/>
      <c r="G1408" s="80"/>
    </row>
    <row r="1409" spans="3:7" s="37" customFormat="1" ht="23.25" x14ac:dyDescent="0.35">
      <c r="C1409" s="41"/>
      <c r="E1409" s="57"/>
      <c r="F1409" s="42"/>
      <c r="G1409" s="80"/>
    </row>
    <row r="1410" spans="3:7" s="37" customFormat="1" ht="23.25" x14ac:dyDescent="0.35">
      <c r="C1410" s="41"/>
      <c r="E1410" s="57"/>
      <c r="F1410" s="42"/>
      <c r="G1410" s="80"/>
    </row>
    <row r="1411" spans="3:7" s="37" customFormat="1" ht="23.25" x14ac:dyDescent="0.35">
      <c r="C1411" s="41"/>
      <c r="E1411" s="57"/>
      <c r="F1411" s="42"/>
      <c r="G1411" s="80"/>
    </row>
    <row r="1412" spans="3:7" s="37" customFormat="1" ht="23.25" x14ac:dyDescent="0.35">
      <c r="C1412" s="41"/>
      <c r="E1412" s="57"/>
      <c r="F1412" s="42"/>
      <c r="G1412" s="80"/>
    </row>
    <row r="1413" spans="3:7" s="37" customFormat="1" ht="23.25" x14ac:dyDescent="0.35">
      <c r="C1413" s="41"/>
      <c r="E1413" s="57"/>
      <c r="F1413" s="42"/>
      <c r="G1413" s="80"/>
    </row>
    <row r="1414" spans="3:7" s="37" customFormat="1" ht="23.25" x14ac:dyDescent="0.35">
      <c r="C1414" s="41"/>
      <c r="E1414" s="57"/>
      <c r="F1414" s="42"/>
      <c r="G1414" s="80"/>
    </row>
    <row r="1415" spans="3:7" s="37" customFormat="1" ht="23.25" x14ac:dyDescent="0.35">
      <c r="C1415" s="41"/>
      <c r="E1415" s="57"/>
      <c r="F1415" s="42"/>
      <c r="G1415" s="80"/>
    </row>
    <row r="1416" spans="3:7" s="37" customFormat="1" ht="23.25" x14ac:dyDescent="0.35">
      <c r="C1416" s="41"/>
      <c r="E1416" s="57"/>
      <c r="F1416" s="42"/>
      <c r="G1416" s="80"/>
    </row>
    <row r="1417" spans="3:7" s="37" customFormat="1" ht="23.25" x14ac:dyDescent="0.35">
      <c r="C1417" s="41"/>
      <c r="E1417" s="57"/>
      <c r="F1417" s="42"/>
      <c r="G1417" s="80"/>
    </row>
    <row r="1418" spans="3:7" s="37" customFormat="1" ht="23.25" x14ac:dyDescent="0.35">
      <c r="C1418" s="41"/>
      <c r="E1418" s="57"/>
      <c r="F1418" s="42"/>
      <c r="G1418" s="80"/>
    </row>
    <row r="1419" spans="3:7" s="37" customFormat="1" ht="23.25" x14ac:dyDescent="0.35">
      <c r="C1419" s="41"/>
      <c r="E1419" s="57"/>
      <c r="F1419" s="42"/>
      <c r="G1419" s="80"/>
    </row>
    <row r="1420" spans="3:7" s="37" customFormat="1" ht="23.25" x14ac:dyDescent="0.35">
      <c r="C1420" s="41"/>
      <c r="E1420" s="57"/>
      <c r="F1420" s="42"/>
      <c r="G1420" s="80"/>
    </row>
    <row r="1421" spans="3:7" s="37" customFormat="1" ht="23.25" x14ac:dyDescent="0.35">
      <c r="C1421" s="41"/>
      <c r="E1421" s="57"/>
      <c r="F1421" s="42"/>
      <c r="G1421" s="80"/>
    </row>
    <row r="1422" spans="3:7" s="37" customFormat="1" ht="23.25" x14ac:dyDescent="0.35">
      <c r="C1422" s="41"/>
      <c r="E1422" s="57"/>
      <c r="F1422" s="42"/>
      <c r="G1422" s="80"/>
    </row>
    <row r="1423" spans="3:7" s="37" customFormat="1" ht="23.25" x14ac:dyDescent="0.35">
      <c r="C1423" s="41"/>
      <c r="E1423" s="57"/>
      <c r="F1423" s="42"/>
      <c r="G1423" s="80"/>
    </row>
    <row r="1424" spans="3:7" s="37" customFormat="1" ht="23.25" x14ac:dyDescent="0.35">
      <c r="C1424" s="41"/>
      <c r="E1424" s="57"/>
      <c r="F1424" s="42"/>
      <c r="G1424" s="80"/>
    </row>
    <row r="1425" spans="3:7" s="37" customFormat="1" ht="23.25" x14ac:dyDescent="0.35">
      <c r="C1425" s="41"/>
      <c r="E1425" s="57"/>
      <c r="F1425" s="42"/>
      <c r="G1425" s="80"/>
    </row>
    <row r="1426" spans="3:7" s="37" customFormat="1" ht="23.25" x14ac:dyDescent="0.35">
      <c r="C1426" s="41"/>
      <c r="E1426" s="57"/>
      <c r="F1426" s="42"/>
      <c r="G1426" s="80"/>
    </row>
    <row r="1427" spans="3:7" s="37" customFormat="1" ht="23.25" x14ac:dyDescent="0.35">
      <c r="C1427" s="41"/>
      <c r="E1427" s="57"/>
      <c r="F1427" s="42"/>
      <c r="G1427" s="80"/>
    </row>
    <row r="1428" spans="3:7" s="37" customFormat="1" ht="23.25" x14ac:dyDescent="0.35">
      <c r="C1428" s="41"/>
      <c r="E1428" s="57"/>
      <c r="F1428" s="42"/>
      <c r="G1428" s="80"/>
    </row>
    <row r="1429" spans="3:7" s="37" customFormat="1" ht="23.25" x14ac:dyDescent="0.35">
      <c r="C1429" s="41"/>
      <c r="E1429" s="57"/>
      <c r="F1429" s="42"/>
      <c r="G1429" s="80"/>
    </row>
    <row r="1430" spans="3:7" s="37" customFormat="1" ht="23.25" x14ac:dyDescent="0.35">
      <c r="C1430" s="41"/>
      <c r="E1430" s="57"/>
      <c r="F1430" s="42"/>
      <c r="G1430" s="80"/>
    </row>
    <row r="1431" spans="3:7" s="37" customFormat="1" ht="23.25" x14ac:dyDescent="0.35">
      <c r="C1431" s="41"/>
      <c r="E1431" s="57"/>
      <c r="F1431" s="42"/>
      <c r="G1431" s="80"/>
    </row>
    <row r="1432" spans="3:7" s="37" customFormat="1" ht="23.25" x14ac:dyDescent="0.35">
      <c r="C1432" s="41"/>
      <c r="E1432" s="57"/>
      <c r="F1432" s="42"/>
      <c r="G1432" s="80"/>
    </row>
    <row r="1433" spans="3:7" s="37" customFormat="1" ht="23.25" x14ac:dyDescent="0.35">
      <c r="C1433" s="41"/>
      <c r="E1433" s="57"/>
      <c r="F1433" s="42"/>
      <c r="G1433" s="80"/>
    </row>
    <row r="1434" spans="3:7" s="37" customFormat="1" ht="23.25" x14ac:dyDescent="0.35">
      <c r="C1434" s="41"/>
      <c r="E1434" s="57"/>
      <c r="F1434" s="42"/>
      <c r="G1434" s="80"/>
    </row>
    <row r="1435" spans="3:7" s="37" customFormat="1" ht="23.25" x14ac:dyDescent="0.35">
      <c r="C1435" s="41"/>
      <c r="E1435" s="57"/>
      <c r="F1435" s="42"/>
      <c r="G1435" s="80"/>
    </row>
    <row r="1436" spans="3:7" s="37" customFormat="1" ht="23.25" x14ac:dyDescent="0.35">
      <c r="C1436" s="41"/>
      <c r="E1436" s="57"/>
      <c r="F1436" s="42"/>
      <c r="G1436" s="80"/>
    </row>
    <row r="1437" spans="3:7" s="37" customFormat="1" ht="23.25" x14ac:dyDescent="0.35">
      <c r="C1437" s="41"/>
      <c r="E1437" s="57"/>
      <c r="F1437" s="42"/>
      <c r="G1437" s="80"/>
    </row>
    <row r="1438" spans="3:7" s="37" customFormat="1" ht="23.25" x14ac:dyDescent="0.35">
      <c r="C1438" s="41"/>
      <c r="E1438" s="57"/>
      <c r="F1438" s="42"/>
      <c r="G1438" s="80"/>
    </row>
    <row r="1439" spans="3:7" s="37" customFormat="1" ht="23.25" x14ac:dyDescent="0.35">
      <c r="C1439" s="41"/>
      <c r="E1439" s="57"/>
      <c r="F1439" s="42"/>
      <c r="G1439" s="80"/>
    </row>
    <row r="1440" spans="3:7" s="37" customFormat="1" ht="23.25" x14ac:dyDescent="0.35">
      <c r="C1440" s="41"/>
      <c r="E1440" s="57"/>
      <c r="F1440" s="42"/>
      <c r="G1440" s="80"/>
    </row>
    <row r="1441" spans="3:7" s="37" customFormat="1" ht="23.25" x14ac:dyDescent="0.35">
      <c r="C1441" s="41"/>
      <c r="E1441" s="57"/>
      <c r="F1441" s="42"/>
      <c r="G1441" s="80"/>
    </row>
    <row r="1442" spans="3:7" s="37" customFormat="1" ht="23.25" x14ac:dyDescent="0.35">
      <c r="C1442" s="41"/>
      <c r="E1442" s="57"/>
      <c r="F1442" s="42"/>
      <c r="G1442" s="80"/>
    </row>
    <row r="1443" spans="3:7" s="37" customFormat="1" ht="23.25" x14ac:dyDescent="0.35">
      <c r="C1443" s="41"/>
      <c r="E1443" s="57"/>
      <c r="F1443" s="42"/>
      <c r="G1443" s="80"/>
    </row>
    <row r="1444" spans="3:7" s="37" customFormat="1" ht="23.25" x14ac:dyDescent="0.35">
      <c r="C1444" s="41"/>
      <c r="E1444" s="57"/>
      <c r="F1444" s="42"/>
      <c r="G1444" s="80"/>
    </row>
    <row r="1445" spans="3:7" s="37" customFormat="1" ht="23.25" x14ac:dyDescent="0.35">
      <c r="C1445" s="41"/>
      <c r="E1445" s="57"/>
      <c r="F1445" s="42"/>
      <c r="G1445" s="80"/>
    </row>
    <row r="1446" spans="3:7" s="37" customFormat="1" ht="23.25" x14ac:dyDescent="0.35">
      <c r="C1446" s="41"/>
      <c r="E1446" s="57"/>
      <c r="F1446" s="42"/>
      <c r="G1446" s="80"/>
    </row>
    <row r="1447" spans="3:7" s="37" customFormat="1" ht="23.25" x14ac:dyDescent="0.35">
      <c r="C1447" s="41"/>
      <c r="E1447" s="57"/>
      <c r="F1447" s="42"/>
      <c r="G1447" s="80"/>
    </row>
    <row r="1448" spans="3:7" s="37" customFormat="1" ht="23.25" x14ac:dyDescent="0.35">
      <c r="C1448" s="41"/>
      <c r="E1448" s="57"/>
      <c r="F1448" s="42"/>
      <c r="G1448" s="80"/>
    </row>
    <row r="1449" spans="3:7" s="37" customFormat="1" ht="23.25" x14ac:dyDescent="0.35">
      <c r="C1449" s="41"/>
      <c r="E1449" s="57"/>
      <c r="F1449" s="42"/>
      <c r="G1449" s="80"/>
    </row>
    <row r="1450" spans="3:7" s="37" customFormat="1" ht="23.25" x14ac:dyDescent="0.35">
      <c r="C1450" s="41"/>
      <c r="E1450" s="57"/>
      <c r="F1450" s="42"/>
      <c r="G1450" s="80"/>
    </row>
    <row r="1451" spans="3:7" s="37" customFormat="1" ht="23.25" x14ac:dyDescent="0.35">
      <c r="C1451" s="41"/>
      <c r="E1451" s="57"/>
      <c r="F1451" s="42"/>
      <c r="G1451" s="80"/>
    </row>
    <row r="1452" spans="3:7" s="37" customFormat="1" ht="23.25" x14ac:dyDescent="0.35">
      <c r="C1452" s="41"/>
      <c r="E1452" s="57"/>
      <c r="F1452" s="42"/>
      <c r="G1452" s="80"/>
    </row>
    <row r="1453" spans="3:7" s="37" customFormat="1" ht="23.25" x14ac:dyDescent="0.35">
      <c r="C1453" s="41"/>
      <c r="E1453" s="57"/>
      <c r="F1453" s="42"/>
      <c r="G1453" s="80"/>
    </row>
    <row r="1454" spans="3:7" s="37" customFormat="1" ht="23.25" x14ac:dyDescent="0.35">
      <c r="C1454" s="41"/>
      <c r="E1454" s="57"/>
      <c r="F1454" s="42"/>
      <c r="G1454" s="80"/>
    </row>
    <row r="1455" spans="3:7" s="37" customFormat="1" ht="23.25" x14ac:dyDescent="0.35">
      <c r="C1455" s="41"/>
      <c r="E1455" s="57"/>
      <c r="F1455" s="42"/>
      <c r="G1455" s="80"/>
    </row>
    <row r="1456" spans="3:7" s="37" customFormat="1" ht="23.25" x14ac:dyDescent="0.35">
      <c r="C1456" s="41"/>
      <c r="E1456" s="57"/>
      <c r="F1456" s="42"/>
      <c r="G1456" s="80"/>
    </row>
    <row r="1457" spans="3:7" s="37" customFormat="1" ht="23.25" x14ac:dyDescent="0.35">
      <c r="C1457" s="41"/>
      <c r="E1457" s="57"/>
      <c r="F1457" s="42"/>
      <c r="G1457" s="80"/>
    </row>
    <row r="1458" spans="3:7" s="37" customFormat="1" ht="23.25" x14ac:dyDescent="0.35">
      <c r="C1458" s="41"/>
      <c r="E1458" s="57"/>
      <c r="F1458" s="42"/>
      <c r="G1458" s="80"/>
    </row>
    <row r="1459" spans="3:7" s="37" customFormat="1" ht="23.25" x14ac:dyDescent="0.35">
      <c r="C1459" s="41"/>
      <c r="E1459" s="57"/>
      <c r="F1459" s="42"/>
      <c r="G1459" s="80"/>
    </row>
    <row r="1460" spans="3:7" s="37" customFormat="1" ht="23.25" x14ac:dyDescent="0.35">
      <c r="C1460" s="41"/>
      <c r="E1460" s="57"/>
      <c r="F1460" s="42"/>
      <c r="G1460" s="80"/>
    </row>
    <row r="1461" spans="3:7" s="37" customFormat="1" ht="23.25" x14ac:dyDescent="0.35">
      <c r="C1461" s="41"/>
      <c r="E1461" s="57"/>
      <c r="F1461" s="42"/>
      <c r="G1461" s="80"/>
    </row>
    <row r="1462" spans="3:7" s="37" customFormat="1" ht="23.25" x14ac:dyDescent="0.35">
      <c r="C1462" s="41"/>
      <c r="E1462" s="57"/>
      <c r="F1462" s="42"/>
      <c r="G1462" s="80"/>
    </row>
    <row r="1463" spans="3:7" s="37" customFormat="1" ht="23.25" x14ac:dyDescent="0.35">
      <c r="C1463" s="41"/>
      <c r="E1463" s="57"/>
      <c r="F1463" s="42"/>
      <c r="G1463" s="80"/>
    </row>
    <row r="1464" spans="3:7" s="37" customFormat="1" ht="23.25" x14ac:dyDescent="0.35">
      <c r="C1464" s="41"/>
      <c r="E1464" s="57"/>
      <c r="F1464" s="42"/>
      <c r="G1464" s="80"/>
    </row>
    <row r="1465" spans="3:7" s="37" customFormat="1" ht="23.25" x14ac:dyDescent="0.35">
      <c r="C1465" s="41"/>
      <c r="E1465" s="57"/>
      <c r="F1465" s="42"/>
      <c r="G1465" s="80"/>
    </row>
    <row r="1466" spans="3:7" s="37" customFormat="1" ht="23.25" x14ac:dyDescent="0.35">
      <c r="C1466" s="41"/>
      <c r="E1466" s="57"/>
      <c r="F1466" s="42"/>
      <c r="G1466" s="80"/>
    </row>
    <row r="1467" spans="3:7" s="37" customFormat="1" ht="23.25" x14ac:dyDescent="0.35">
      <c r="C1467" s="41"/>
      <c r="E1467" s="57"/>
      <c r="F1467" s="42"/>
      <c r="G1467" s="80"/>
    </row>
    <row r="1468" spans="3:7" s="37" customFormat="1" ht="23.25" x14ac:dyDescent="0.35">
      <c r="C1468" s="41"/>
      <c r="E1468" s="57"/>
      <c r="F1468" s="42"/>
      <c r="G1468" s="80"/>
    </row>
    <row r="1469" spans="3:7" s="37" customFormat="1" ht="23.25" x14ac:dyDescent="0.35">
      <c r="C1469" s="41"/>
      <c r="E1469" s="57"/>
      <c r="F1469" s="42"/>
      <c r="G1469" s="80"/>
    </row>
    <row r="1470" spans="3:7" s="37" customFormat="1" ht="23.25" x14ac:dyDescent="0.35">
      <c r="C1470" s="41"/>
      <c r="E1470" s="57"/>
      <c r="F1470" s="42"/>
      <c r="G1470" s="80"/>
    </row>
    <row r="1471" spans="3:7" s="37" customFormat="1" ht="23.25" x14ac:dyDescent="0.35">
      <c r="C1471" s="41"/>
      <c r="E1471" s="57"/>
      <c r="F1471" s="42"/>
      <c r="G1471" s="80"/>
    </row>
    <row r="1472" spans="3:7" s="37" customFormat="1" ht="23.25" x14ac:dyDescent="0.35">
      <c r="C1472" s="41"/>
      <c r="E1472" s="57"/>
      <c r="F1472" s="42"/>
      <c r="G1472" s="80"/>
    </row>
    <row r="1473" spans="3:7" s="37" customFormat="1" ht="23.25" x14ac:dyDescent="0.35">
      <c r="C1473" s="41"/>
      <c r="E1473" s="57"/>
      <c r="F1473" s="42"/>
      <c r="G1473" s="80"/>
    </row>
    <row r="1474" spans="3:7" s="37" customFormat="1" ht="23.25" x14ac:dyDescent="0.35">
      <c r="C1474" s="41"/>
      <c r="E1474" s="57"/>
      <c r="F1474" s="42"/>
      <c r="G1474" s="80"/>
    </row>
    <row r="1475" spans="3:7" s="37" customFormat="1" ht="23.25" x14ac:dyDescent="0.35">
      <c r="C1475" s="41"/>
      <c r="E1475" s="57"/>
      <c r="F1475" s="42"/>
      <c r="G1475" s="80"/>
    </row>
    <row r="1476" spans="3:7" s="37" customFormat="1" ht="23.25" x14ac:dyDescent="0.35">
      <c r="C1476" s="41"/>
      <c r="E1476" s="57"/>
      <c r="F1476" s="42"/>
      <c r="G1476" s="80"/>
    </row>
    <row r="1477" spans="3:7" s="37" customFormat="1" ht="23.25" x14ac:dyDescent="0.35">
      <c r="C1477" s="41"/>
      <c r="E1477" s="57"/>
      <c r="F1477" s="42"/>
      <c r="G1477" s="80"/>
    </row>
    <row r="1478" spans="3:7" s="37" customFormat="1" ht="23.25" x14ac:dyDescent="0.35">
      <c r="C1478" s="41"/>
      <c r="E1478" s="57"/>
      <c r="F1478" s="42"/>
      <c r="G1478" s="80"/>
    </row>
    <row r="1479" spans="3:7" s="37" customFormat="1" ht="23.25" x14ac:dyDescent="0.35">
      <c r="C1479" s="41"/>
      <c r="E1479" s="57"/>
      <c r="F1479" s="42"/>
      <c r="G1479" s="80"/>
    </row>
    <row r="1480" spans="3:7" s="37" customFormat="1" ht="23.25" x14ac:dyDescent="0.35">
      <c r="C1480" s="41"/>
      <c r="E1480" s="57"/>
      <c r="F1480" s="42"/>
      <c r="G1480" s="80"/>
    </row>
    <row r="1481" spans="3:7" s="37" customFormat="1" ht="23.25" x14ac:dyDescent="0.35">
      <c r="C1481" s="41"/>
      <c r="E1481" s="57"/>
      <c r="F1481" s="42"/>
      <c r="G1481" s="80"/>
    </row>
    <row r="1482" spans="3:7" s="37" customFormat="1" ht="23.25" x14ac:dyDescent="0.35">
      <c r="C1482" s="41"/>
      <c r="E1482" s="57"/>
      <c r="F1482" s="42"/>
      <c r="G1482" s="80"/>
    </row>
    <row r="1483" spans="3:7" s="37" customFormat="1" ht="23.25" x14ac:dyDescent="0.35">
      <c r="C1483" s="41"/>
      <c r="E1483" s="57"/>
      <c r="F1483" s="42"/>
      <c r="G1483" s="80"/>
    </row>
    <row r="1484" spans="3:7" s="37" customFormat="1" ht="23.25" x14ac:dyDescent="0.35">
      <c r="C1484" s="41"/>
      <c r="E1484" s="57"/>
      <c r="F1484" s="42"/>
      <c r="G1484" s="80"/>
    </row>
    <row r="1485" spans="3:7" s="37" customFormat="1" ht="23.25" x14ac:dyDescent="0.35">
      <c r="C1485" s="41"/>
      <c r="E1485" s="57"/>
      <c r="F1485" s="42"/>
      <c r="G1485" s="80"/>
    </row>
    <row r="1486" spans="3:7" s="37" customFormat="1" ht="23.25" x14ac:dyDescent="0.35">
      <c r="C1486" s="41"/>
      <c r="E1486" s="57"/>
      <c r="F1486" s="42"/>
      <c r="G1486" s="80"/>
    </row>
    <row r="1487" spans="3:7" s="37" customFormat="1" ht="23.25" x14ac:dyDescent="0.35">
      <c r="C1487" s="41"/>
      <c r="E1487" s="57"/>
      <c r="F1487" s="42"/>
      <c r="G1487" s="80"/>
    </row>
    <row r="1488" spans="3:7" s="37" customFormat="1" ht="23.25" x14ac:dyDescent="0.35">
      <c r="C1488" s="41"/>
      <c r="E1488" s="57"/>
      <c r="F1488" s="42"/>
      <c r="G1488" s="80"/>
    </row>
    <row r="1489" spans="3:7" s="37" customFormat="1" ht="23.25" x14ac:dyDescent="0.35">
      <c r="C1489" s="41"/>
      <c r="E1489" s="57"/>
      <c r="F1489" s="42"/>
      <c r="G1489" s="80"/>
    </row>
    <row r="1490" spans="3:7" s="37" customFormat="1" ht="23.25" x14ac:dyDescent="0.35">
      <c r="C1490" s="41"/>
      <c r="E1490" s="57"/>
      <c r="F1490" s="42"/>
      <c r="G1490" s="80"/>
    </row>
    <row r="1491" spans="3:7" s="37" customFormat="1" ht="23.25" x14ac:dyDescent="0.35">
      <c r="C1491" s="41"/>
      <c r="E1491" s="57"/>
      <c r="F1491" s="42"/>
      <c r="G1491" s="80"/>
    </row>
    <row r="1492" spans="3:7" s="37" customFormat="1" ht="23.25" x14ac:dyDescent="0.35">
      <c r="C1492" s="41"/>
      <c r="E1492" s="57"/>
      <c r="F1492" s="42"/>
      <c r="G1492" s="80"/>
    </row>
    <row r="1493" spans="3:7" s="37" customFormat="1" ht="23.25" x14ac:dyDescent="0.35">
      <c r="C1493" s="41"/>
      <c r="E1493" s="57"/>
      <c r="F1493" s="42"/>
      <c r="G1493" s="80"/>
    </row>
    <row r="1494" spans="3:7" s="37" customFormat="1" ht="23.25" x14ac:dyDescent="0.35">
      <c r="C1494" s="41"/>
      <c r="E1494" s="57"/>
      <c r="F1494" s="42"/>
      <c r="G1494" s="80"/>
    </row>
    <row r="1495" spans="3:7" s="37" customFormat="1" ht="23.25" x14ac:dyDescent="0.35">
      <c r="C1495" s="41"/>
      <c r="E1495" s="57"/>
      <c r="F1495" s="42"/>
      <c r="G1495" s="80"/>
    </row>
    <row r="1496" spans="3:7" s="37" customFormat="1" ht="23.25" x14ac:dyDescent="0.35">
      <c r="C1496" s="41"/>
      <c r="E1496" s="57"/>
      <c r="F1496" s="42"/>
      <c r="G1496" s="80"/>
    </row>
    <row r="1497" spans="3:7" s="37" customFormat="1" ht="23.25" x14ac:dyDescent="0.35">
      <c r="C1497" s="41"/>
      <c r="E1497" s="57"/>
      <c r="F1497" s="42"/>
      <c r="G1497" s="80"/>
    </row>
    <row r="1498" spans="3:7" s="37" customFormat="1" ht="23.25" x14ac:dyDescent="0.35">
      <c r="C1498" s="41"/>
      <c r="E1498" s="57"/>
      <c r="F1498" s="42"/>
      <c r="G1498" s="80"/>
    </row>
    <row r="1499" spans="3:7" s="37" customFormat="1" ht="23.25" x14ac:dyDescent="0.35">
      <c r="C1499" s="41"/>
      <c r="E1499" s="57"/>
      <c r="F1499" s="42"/>
      <c r="G1499" s="80"/>
    </row>
    <row r="1500" spans="3:7" s="37" customFormat="1" ht="23.25" x14ac:dyDescent="0.35">
      <c r="C1500" s="41"/>
      <c r="E1500" s="57"/>
      <c r="F1500" s="42"/>
      <c r="G1500" s="80"/>
    </row>
    <row r="1501" spans="3:7" s="37" customFormat="1" ht="23.25" x14ac:dyDescent="0.35">
      <c r="C1501" s="41"/>
      <c r="E1501" s="57"/>
      <c r="F1501" s="42"/>
      <c r="G1501" s="80"/>
    </row>
    <row r="1502" spans="3:7" s="37" customFormat="1" ht="23.25" x14ac:dyDescent="0.35">
      <c r="C1502" s="41"/>
      <c r="E1502" s="57"/>
      <c r="F1502" s="42"/>
      <c r="G1502" s="80"/>
    </row>
    <row r="1503" spans="3:7" s="37" customFormat="1" ht="23.25" x14ac:dyDescent="0.35">
      <c r="C1503" s="41"/>
      <c r="E1503" s="57"/>
      <c r="F1503" s="42"/>
      <c r="G1503" s="80"/>
    </row>
    <row r="1504" spans="3:7" s="37" customFormat="1" ht="23.25" x14ac:dyDescent="0.35">
      <c r="C1504" s="41"/>
      <c r="E1504" s="57"/>
      <c r="F1504" s="42"/>
      <c r="G1504" s="80"/>
    </row>
    <row r="1505" spans="3:7" s="37" customFormat="1" ht="23.25" x14ac:dyDescent="0.35">
      <c r="C1505" s="41"/>
      <c r="E1505" s="57"/>
      <c r="F1505" s="42"/>
      <c r="G1505" s="80"/>
    </row>
    <row r="1506" spans="3:7" s="37" customFormat="1" ht="23.25" x14ac:dyDescent="0.35">
      <c r="C1506" s="41"/>
      <c r="E1506" s="57"/>
      <c r="F1506" s="42"/>
      <c r="G1506" s="80"/>
    </row>
    <row r="1507" spans="3:7" s="37" customFormat="1" ht="23.25" x14ac:dyDescent="0.35">
      <c r="C1507" s="41"/>
      <c r="E1507" s="57"/>
      <c r="F1507" s="42"/>
      <c r="G1507" s="80"/>
    </row>
    <row r="1508" spans="3:7" s="37" customFormat="1" ht="23.25" x14ac:dyDescent="0.35">
      <c r="C1508" s="41"/>
      <c r="E1508" s="57"/>
      <c r="F1508" s="42"/>
      <c r="G1508" s="80"/>
    </row>
    <row r="1509" spans="3:7" s="37" customFormat="1" ht="23.25" x14ac:dyDescent="0.35">
      <c r="C1509" s="41"/>
      <c r="E1509" s="57"/>
      <c r="F1509" s="42"/>
      <c r="G1509" s="80"/>
    </row>
    <row r="1510" spans="3:7" s="37" customFormat="1" ht="23.25" x14ac:dyDescent="0.35">
      <c r="C1510" s="41"/>
      <c r="E1510" s="57"/>
      <c r="F1510" s="42"/>
      <c r="G1510" s="80"/>
    </row>
    <row r="1511" spans="3:7" s="37" customFormat="1" ht="23.25" x14ac:dyDescent="0.35">
      <c r="C1511" s="41"/>
      <c r="E1511" s="57"/>
      <c r="F1511" s="42"/>
      <c r="G1511" s="80"/>
    </row>
    <row r="1512" spans="3:7" s="37" customFormat="1" ht="23.25" x14ac:dyDescent="0.35">
      <c r="C1512" s="41"/>
      <c r="E1512" s="57"/>
      <c r="F1512" s="42"/>
      <c r="G1512" s="80"/>
    </row>
    <row r="1513" spans="3:7" s="37" customFormat="1" ht="23.25" x14ac:dyDescent="0.35">
      <c r="C1513" s="41"/>
      <c r="E1513" s="57"/>
      <c r="F1513" s="42"/>
      <c r="G1513" s="80"/>
    </row>
    <row r="1514" spans="3:7" s="37" customFormat="1" ht="23.25" x14ac:dyDescent="0.35">
      <c r="C1514" s="41"/>
      <c r="E1514" s="57"/>
      <c r="F1514" s="42"/>
      <c r="G1514" s="80"/>
    </row>
    <row r="1515" spans="3:7" s="37" customFormat="1" ht="23.25" x14ac:dyDescent="0.35">
      <c r="C1515" s="41"/>
      <c r="E1515" s="57"/>
      <c r="F1515" s="42"/>
      <c r="G1515" s="80"/>
    </row>
    <row r="1516" spans="3:7" s="37" customFormat="1" ht="23.25" x14ac:dyDescent="0.35">
      <c r="C1516" s="41"/>
      <c r="E1516" s="57"/>
      <c r="F1516" s="42"/>
      <c r="G1516" s="80"/>
    </row>
    <row r="1517" spans="3:7" s="37" customFormat="1" ht="23.25" x14ac:dyDescent="0.35">
      <c r="C1517" s="41"/>
      <c r="E1517" s="57"/>
      <c r="F1517" s="42"/>
      <c r="G1517" s="80"/>
    </row>
    <row r="1518" spans="3:7" s="37" customFormat="1" ht="23.25" x14ac:dyDescent="0.35">
      <c r="C1518" s="41"/>
      <c r="E1518" s="57"/>
      <c r="F1518" s="42"/>
      <c r="G1518" s="80"/>
    </row>
    <row r="1519" spans="3:7" s="37" customFormat="1" ht="23.25" x14ac:dyDescent="0.35">
      <c r="C1519" s="41"/>
      <c r="E1519" s="57"/>
      <c r="F1519" s="42"/>
      <c r="G1519" s="80"/>
    </row>
    <row r="1520" spans="3:7" s="37" customFormat="1" ht="23.25" x14ac:dyDescent="0.35">
      <c r="C1520" s="41"/>
      <c r="E1520" s="57"/>
      <c r="F1520" s="42"/>
      <c r="G1520" s="80"/>
    </row>
    <row r="1521" spans="3:7" s="37" customFormat="1" ht="23.25" x14ac:dyDescent="0.35">
      <c r="C1521" s="41"/>
      <c r="E1521" s="57"/>
      <c r="F1521" s="42"/>
      <c r="G1521" s="80"/>
    </row>
    <row r="1522" spans="3:7" s="37" customFormat="1" ht="23.25" x14ac:dyDescent="0.35">
      <c r="C1522" s="41"/>
      <c r="E1522" s="57"/>
      <c r="F1522" s="42"/>
      <c r="G1522" s="80"/>
    </row>
    <row r="1523" spans="3:7" s="37" customFormat="1" ht="23.25" x14ac:dyDescent="0.35">
      <c r="C1523" s="41"/>
      <c r="E1523" s="57"/>
      <c r="F1523" s="42"/>
      <c r="G1523" s="80"/>
    </row>
    <row r="1524" spans="3:7" s="37" customFormat="1" ht="23.25" x14ac:dyDescent="0.35">
      <c r="C1524" s="41"/>
      <c r="E1524" s="57"/>
      <c r="F1524" s="42"/>
      <c r="G1524" s="80"/>
    </row>
    <row r="1525" spans="3:7" s="37" customFormat="1" ht="23.25" x14ac:dyDescent="0.35">
      <c r="C1525" s="41"/>
      <c r="E1525" s="57"/>
      <c r="F1525" s="42"/>
      <c r="G1525" s="80"/>
    </row>
    <row r="1526" spans="3:7" s="37" customFormat="1" ht="23.25" x14ac:dyDescent="0.35">
      <c r="C1526" s="41"/>
      <c r="E1526" s="57"/>
      <c r="F1526" s="42"/>
      <c r="G1526" s="80"/>
    </row>
    <row r="1527" spans="3:7" s="37" customFormat="1" ht="23.25" x14ac:dyDescent="0.35">
      <c r="C1527" s="41"/>
      <c r="E1527" s="57"/>
      <c r="F1527" s="42"/>
      <c r="G1527" s="80"/>
    </row>
    <row r="1528" spans="3:7" s="37" customFormat="1" ht="23.25" x14ac:dyDescent="0.35">
      <c r="C1528" s="41"/>
      <c r="E1528" s="57"/>
      <c r="F1528" s="42"/>
      <c r="G1528" s="80"/>
    </row>
    <row r="1529" spans="3:7" s="37" customFormat="1" ht="23.25" x14ac:dyDescent="0.35">
      <c r="C1529" s="41"/>
      <c r="E1529" s="57"/>
      <c r="F1529" s="42"/>
      <c r="G1529" s="80"/>
    </row>
    <row r="1530" spans="3:7" s="37" customFormat="1" ht="23.25" x14ac:dyDescent="0.35">
      <c r="C1530" s="41"/>
      <c r="E1530" s="57"/>
      <c r="F1530" s="42"/>
      <c r="G1530" s="80"/>
    </row>
    <row r="1531" spans="3:7" s="37" customFormat="1" ht="23.25" x14ac:dyDescent="0.35">
      <c r="C1531" s="41"/>
      <c r="E1531" s="57"/>
      <c r="F1531" s="42"/>
      <c r="G1531" s="80"/>
    </row>
    <row r="1532" spans="3:7" s="37" customFormat="1" ht="23.25" x14ac:dyDescent="0.35">
      <c r="C1532" s="41"/>
      <c r="E1532" s="57"/>
      <c r="F1532" s="42"/>
      <c r="G1532" s="80"/>
    </row>
    <row r="1533" spans="3:7" s="37" customFormat="1" ht="23.25" x14ac:dyDescent="0.35">
      <c r="C1533" s="41"/>
      <c r="E1533" s="57"/>
      <c r="F1533" s="42"/>
      <c r="G1533" s="80"/>
    </row>
    <row r="1534" spans="3:7" s="37" customFormat="1" ht="23.25" x14ac:dyDescent="0.35">
      <c r="C1534" s="41"/>
      <c r="E1534" s="57"/>
      <c r="F1534" s="42"/>
      <c r="G1534" s="80"/>
    </row>
    <row r="1535" spans="3:7" s="37" customFormat="1" ht="23.25" x14ac:dyDescent="0.35">
      <c r="C1535" s="41"/>
      <c r="E1535" s="57"/>
      <c r="F1535" s="42"/>
      <c r="G1535" s="80"/>
    </row>
    <row r="1536" spans="3:7" s="37" customFormat="1" ht="23.25" x14ac:dyDescent="0.35">
      <c r="C1536" s="41"/>
      <c r="E1536" s="57"/>
      <c r="F1536" s="42"/>
      <c r="G1536" s="80"/>
    </row>
    <row r="1537" spans="3:7" s="37" customFormat="1" ht="23.25" x14ac:dyDescent="0.35">
      <c r="C1537" s="41"/>
      <c r="E1537" s="57"/>
      <c r="F1537" s="42"/>
      <c r="G1537" s="80"/>
    </row>
    <row r="1538" spans="3:7" s="37" customFormat="1" ht="23.25" x14ac:dyDescent="0.35">
      <c r="C1538" s="41"/>
      <c r="E1538" s="57"/>
      <c r="F1538" s="42"/>
      <c r="G1538" s="80"/>
    </row>
    <row r="1539" spans="3:7" s="37" customFormat="1" ht="23.25" x14ac:dyDescent="0.35">
      <c r="C1539" s="41"/>
      <c r="E1539" s="57"/>
      <c r="F1539" s="42"/>
      <c r="G1539" s="80"/>
    </row>
    <row r="1540" spans="3:7" s="37" customFormat="1" ht="23.25" x14ac:dyDescent="0.35">
      <c r="C1540" s="41"/>
      <c r="E1540" s="57"/>
      <c r="F1540" s="42"/>
      <c r="G1540" s="80"/>
    </row>
    <row r="1541" spans="3:7" s="37" customFormat="1" ht="23.25" x14ac:dyDescent="0.35">
      <c r="C1541" s="41"/>
      <c r="E1541" s="57"/>
      <c r="F1541" s="42"/>
      <c r="G1541" s="80"/>
    </row>
    <row r="1542" spans="3:7" s="37" customFormat="1" ht="23.25" x14ac:dyDescent="0.35">
      <c r="C1542" s="41"/>
      <c r="E1542" s="57"/>
      <c r="F1542" s="42"/>
      <c r="G1542" s="80"/>
    </row>
    <row r="1543" spans="3:7" s="37" customFormat="1" ht="23.25" x14ac:dyDescent="0.35">
      <c r="C1543" s="41"/>
      <c r="E1543" s="57"/>
      <c r="F1543" s="42"/>
      <c r="G1543" s="80"/>
    </row>
    <row r="1544" spans="3:7" s="37" customFormat="1" ht="23.25" x14ac:dyDescent="0.35">
      <c r="C1544" s="41"/>
      <c r="E1544" s="57"/>
      <c r="F1544" s="42"/>
      <c r="G1544" s="80"/>
    </row>
    <row r="1545" spans="3:7" s="37" customFormat="1" ht="23.25" x14ac:dyDescent="0.35">
      <c r="C1545" s="41"/>
      <c r="E1545" s="57"/>
      <c r="F1545" s="42"/>
      <c r="G1545" s="80"/>
    </row>
    <row r="1546" spans="3:7" s="37" customFormat="1" ht="23.25" x14ac:dyDescent="0.35">
      <c r="C1546" s="41"/>
      <c r="E1546" s="57"/>
      <c r="F1546" s="42"/>
      <c r="G1546" s="80"/>
    </row>
    <row r="1547" spans="3:7" s="37" customFormat="1" ht="23.25" x14ac:dyDescent="0.35">
      <c r="C1547" s="41"/>
      <c r="E1547" s="57"/>
      <c r="F1547" s="42"/>
      <c r="G1547" s="80"/>
    </row>
    <row r="1548" spans="3:7" s="37" customFormat="1" ht="23.25" x14ac:dyDescent="0.35">
      <c r="C1548" s="41"/>
      <c r="E1548" s="57"/>
      <c r="F1548" s="42"/>
      <c r="G1548" s="80"/>
    </row>
    <row r="1549" spans="3:7" s="37" customFormat="1" ht="23.25" x14ac:dyDescent="0.35">
      <c r="C1549" s="41"/>
      <c r="E1549" s="57"/>
      <c r="F1549" s="42"/>
      <c r="G1549" s="80"/>
    </row>
    <row r="1550" spans="3:7" s="37" customFormat="1" ht="23.25" x14ac:dyDescent="0.35">
      <c r="C1550" s="41"/>
      <c r="E1550" s="57"/>
      <c r="F1550" s="42"/>
      <c r="G1550" s="80"/>
    </row>
    <row r="1551" spans="3:7" s="37" customFormat="1" ht="23.25" x14ac:dyDescent="0.35">
      <c r="C1551" s="41"/>
      <c r="E1551" s="57"/>
      <c r="F1551" s="42"/>
      <c r="G1551" s="80"/>
    </row>
    <row r="1552" spans="3:7" s="37" customFormat="1" ht="23.25" x14ac:dyDescent="0.35">
      <c r="C1552" s="41"/>
      <c r="E1552" s="57"/>
      <c r="F1552" s="42"/>
      <c r="G1552" s="80"/>
    </row>
    <row r="1553" spans="3:7" s="37" customFormat="1" ht="23.25" x14ac:dyDescent="0.35">
      <c r="C1553" s="41"/>
      <c r="E1553" s="57"/>
      <c r="F1553" s="42"/>
      <c r="G1553" s="80"/>
    </row>
    <row r="1554" spans="3:7" s="37" customFormat="1" ht="23.25" x14ac:dyDescent="0.35">
      <c r="C1554" s="41"/>
      <c r="E1554" s="57"/>
      <c r="F1554" s="42"/>
      <c r="G1554" s="80"/>
    </row>
    <row r="1555" spans="3:7" s="37" customFormat="1" ht="23.25" x14ac:dyDescent="0.35">
      <c r="C1555" s="41"/>
      <c r="E1555" s="57"/>
      <c r="F1555" s="42"/>
      <c r="G1555" s="80"/>
    </row>
    <row r="1556" spans="3:7" s="37" customFormat="1" ht="23.25" x14ac:dyDescent="0.35">
      <c r="C1556" s="41"/>
      <c r="E1556" s="57"/>
      <c r="F1556" s="42"/>
      <c r="G1556" s="80"/>
    </row>
    <row r="1557" spans="3:7" s="37" customFormat="1" ht="23.25" x14ac:dyDescent="0.35">
      <c r="C1557" s="41"/>
      <c r="E1557" s="57"/>
      <c r="F1557" s="42"/>
      <c r="G1557" s="80"/>
    </row>
    <row r="1558" spans="3:7" s="37" customFormat="1" ht="23.25" x14ac:dyDescent="0.35">
      <c r="C1558" s="41"/>
      <c r="E1558" s="57"/>
      <c r="F1558" s="42"/>
      <c r="G1558" s="80"/>
    </row>
    <row r="1559" spans="3:7" s="37" customFormat="1" ht="23.25" x14ac:dyDescent="0.35">
      <c r="C1559" s="41"/>
      <c r="E1559" s="57"/>
      <c r="F1559" s="42"/>
      <c r="G1559" s="80"/>
    </row>
    <row r="1560" spans="3:7" s="37" customFormat="1" ht="23.25" x14ac:dyDescent="0.35">
      <c r="C1560" s="41"/>
      <c r="E1560" s="57"/>
      <c r="F1560" s="42"/>
      <c r="G1560" s="80"/>
    </row>
    <row r="1561" spans="3:7" s="37" customFormat="1" ht="23.25" x14ac:dyDescent="0.35">
      <c r="C1561" s="41"/>
      <c r="E1561" s="57"/>
      <c r="F1561" s="42"/>
      <c r="G1561" s="80"/>
    </row>
    <row r="1562" spans="3:7" s="37" customFormat="1" ht="23.25" x14ac:dyDescent="0.35">
      <c r="C1562" s="41"/>
      <c r="E1562" s="57"/>
      <c r="F1562" s="42"/>
      <c r="G1562" s="80"/>
    </row>
    <row r="1563" spans="3:7" s="37" customFormat="1" ht="23.25" x14ac:dyDescent="0.35">
      <c r="C1563" s="41"/>
      <c r="E1563" s="57"/>
      <c r="F1563" s="42"/>
      <c r="G1563" s="80"/>
    </row>
    <row r="1564" spans="3:7" s="37" customFormat="1" ht="23.25" x14ac:dyDescent="0.35">
      <c r="C1564" s="41"/>
      <c r="E1564" s="57"/>
      <c r="F1564" s="42"/>
      <c r="G1564" s="80"/>
    </row>
    <row r="1565" spans="3:7" s="37" customFormat="1" ht="23.25" x14ac:dyDescent="0.35">
      <c r="C1565" s="41"/>
      <c r="E1565" s="57"/>
      <c r="F1565" s="42"/>
      <c r="G1565" s="80"/>
    </row>
    <row r="1566" spans="3:7" s="37" customFormat="1" ht="23.25" x14ac:dyDescent="0.35">
      <c r="C1566" s="41"/>
      <c r="E1566" s="57"/>
      <c r="F1566" s="42"/>
      <c r="G1566" s="80"/>
    </row>
    <row r="1567" spans="3:7" s="37" customFormat="1" ht="23.25" x14ac:dyDescent="0.35">
      <c r="C1567" s="41"/>
      <c r="E1567" s="57"/>
      <c r="F1567" s="42"/>
      <c r="G1567" s="80"/>
    </row>
    <row r="1568" spans="3:7" s="37" customFormat="1" ht="23.25" x14ac:dyDescent="0.35">
      <c r="C1568" s="41"/>
      <c r="E1568" s="57"/>
      <c r="F1568" s="42"/>
      <c r="G1568" s="80"/>
    </row>
    <row r="1569" spans="3:7" s="37" customFormat="1" ht="23.25" x14ac:dyDescent="0.35">
      <c r="C1569" s="41"/>
      <c r="E1569" s="57"/>
      <c r="F1569" s="42"/>
      <c r="G1569" s="80"/>
    </row>
    <row r="1570" spans="3:7" s="37" customFormat="1" ht="23.25" x14ac:dyDescent="0.35">
      <c r="C1570" s="41"/>
      <c r="E1570" s="57"/>
      <c r="F1570" s="42"/>
      <c r="G1570" s="80"/>
    </row>
    <row r="1571" spans="3:7" s="37" customFormat="1" ht="23.25" x14ac:dyDescent="0.35">
      <c r="C1571" s="41"/>
      <c r="E1571" s="57"/>
      <c r="F1571" s="42"/>
      <c r="G1571" s="80"/>
    </row>
    <row r="1572" spans="3:7" s="37" customFormat="1" ht="23.25" x14ac:dyDescent="0.35">
      <c r="C1572" s="41"/>
      <c r="E1572" s="57"/>
      <c r="F1572" s="42"/>
      <c r="G1572" s="80"/>
    </row>
    <row r="1573" spans="3:7" s="37" customFormat="1" ht="23.25" x14ac:dyDescent="0.35">
      <c r="C1573" s="41"/>
      <c r="E1573" s="57"/>
      <c r="F1573" s="42"/>
      <c r="G1573" s="80"/>
    </row>
    <row r="1574" spans="3:7" s="37" customFormat="1" ht="23.25" x14ac:dyDescent="0.35">
      <c r="C1574" s="41"/>
      <c r="E1574" s="57"/>
      <c r="F1574" s="42"/>
      <c r="G1574" s="80"/>
    </row>
    <row r="1575" spans="3:7" s="37" customFormat="1" ht="23.25" x14ac:dyDescent="0.35">
      <c r="C1575" s="41"/>
      <c r="E1575" s="57"/>
      <c r="F1575" s="42"/>
      <c r="G1575" s="80"/>
    </row>
    <row r="1576" spans="3:7" s="37" customFormat="1" ht="23.25" x14ac:dyDescent="0.35">
      <c r="C1576" s="41"/>
      <c r="E1576" s="57"/>
      <c r="F1576" s="42"/>
      <c r="G1576" s="80"/>
    </row>
    <row r="1577" spans="3:7" s="37" customFormat="1" ht="23.25" x14ac:dyDescent="0.35">
      <c r="C1577" s="41"/>
      <c r="E1577" s="57"/>
      <c r="F1577" s="42"/>
      <c r="G1577" s="80"/>
    </row>
    <row r="1578" spans="3:7" s="37" customFormat="1" ht="23.25" x14ac:dyDescent="0.35">
      <c r="C1578" s="41"/>
      <c r="E1578" s="57"/>
      <c r="F1578" s="42"/>
      <c r="G1578" s="80"/>
    </row>
    <row r="1579" spans="3:7" s="37" customFormat="1" ht="23.25" x14ac:dyDescent="0.35">
      <c r="C1579" s="41"/>
      <c r="E1579" s="57"/>
      <c r="F1579" s="42"/>
      <c r="G1579" s="80"/>
    </row>
    <row r="1580" spans="3:7" s="37" customFormat="1" ht="23.25" x14ac:dyDescent="0.35">
      <c r="C1580" s="41"/>
      <c r="E1580" s="57"/>
      <c r="F1580" s="42"/>
      <c r="G1580" s="80"/>
    </row>
    <row r="1581" spans="3:7" s="37" customFormat="1" ht="23.25" x14ac:dyDescent="0.35">
      <c r="C1581" s="41"/>
      <c r="E1581" s="57"/>
      <c r="F1581" s="42"/>
      <c r="G1581" s="80"/>
    </row>
    <row r="1582" spans="3:7" s="37" customFormat="1" ht="23.25" x14ac:dyDescent="0.35">
      <c r="C1582" s="41"/>
      <c r="E1582" s="57"/>
      <c r="F1582" s="42"/>
      <c r="G1582" s="80"/>
    </row>
    <row r="1583" spans="3:7" s="37" customFormat="1" ht="23.25" x14ac:dyDescent="0.35">
      <c r="C1583" s="41"/>
      <c r="E1583" s="57"/>
      <c r="F1583" s="42"/>
      <c r="G1583" s="80"/>
    </row>
    <row r="1584" spans="3:7" s="37" customFormat="1" ht="23.25" x14ac:dyDescent="0.35">
      <c r="C1584" s="41"/>
      <c r="E1584" s="57"/>
      <c r="F1584" s="42"/>
      <c r="G1584" s="80"/>
    </row>
    <row r="1585" spans="3:7" s="37" customFormat="1" ht="23.25" x14ac:dyDescent="0.35">
      <c r="C1585" s="41"/>
      <c r="E1585" s="57"/>
      <c r="F1585" s="42"/>
      <c r="G1585" s="80"/>
    </row>
    <row r="1586" spans="3:7" s="37" customFormat="1" ht="23.25" x14ac:dyDescent="0.35">
      <c r="C1586" s="41"/>
      <c r="E1586" s="57"/>
      <c r="F1586" s="42"/>
      <c r="G1586" s="80"/>
    </row>
    <row r="1587" spans="3:7" s="37" customFormat="1" ht="23.25" x14ac:dyDescent="0.35">
      <c r="C1587" s="41"/>
      <c r="E1587" s="57"/>
      <c r="F1587" s="42"/>
      <c r="G1587" s="80"/>
    </row>
    <row r="1588" spans="3:7" s="37" customFormat="1" ht="23.25" x14ac:dyDescent="0.35">
      <c r="C1588" s="41"/>
      <c r="E1588" s="57"/>
      <c r="F1588" s="42"/>
      <c r="G1588" s="80"/>
    </row>
    <row r="1589" spans="3:7" s="37" customFormat="1" ht="23.25" x14ac:dyDescent="0.35">
      <c r="C1589" s="41"/>
      <c r="E1589" s="57"/>
      <c r="F1589" s="42"/>
      <c r="G1589" s="80"/>
    </row>
    <row r="1590" spans="3:7" s="37" customFormat="1" ht="23.25" x14ac:dyDescent="0.35">
      <c r="C1590" s="41"/>
      <c r="E1590" s="57"/>
      <c r="F1590" s="42"/>
      <c r="G1590" s="80"/>
    </row>
    <row r="1591" spans="3:7" s="37" customFormat="1" ht="23.25" x14ac:dyDescent="0.35">
      <c r="C1591" s="41"/>
      <c r="E1591" s="57"/>
      <c r="F1591" s="42"/>
      <c r="G1591" s="80"/>
    </row>
    <row r="1592" spans="3:7" s="37" customFormat="1" ht="23.25" x14ac:dyDescent="0.35">
      <c r="C1592" s="41"/>
      <c r="E1592" s="57"/>
      <c r="F1592" s="42"/>
      <c r="G1592" s="80"/>
    </row>
    <row r="1593" spans="3:7" s="37" customFormat="1" ht="23.25" x14ac:dyDescent="0.35">
      <c r="C1593" s="41"/>
      <c r="E1593" s="57"/>
      <c r="F1593" s="42"/>
      <c r="G1593" s="80"/>
    </row>
    <row r="1594" spans="3:7" s="37" customFormat="1" ht="23.25" x14ac:dyDescent="0.35">
      <c r="C1594" s="41"/>
      <c r="E1594" s="57"/>
      <c r="F1594" s="42"/>
      <c r="G1594" s="80"/>
    </row>
    <row r="1595" spans="3:7" s="37" customFormat="1" ht="23.25" x14ac:dyDescent="0.35">
      <c r="C1595" s="41"/>
      <c r="E1595" s="57"/>
      <c r="F1595" s="42"/>
      <c r="G1595" s="80"/>
    </row>
    <row r="1596" spans="3:7" s="37" customFormat="1" ht="23.25" x14ac:dyDescent="0.35">
      <c r="C1596" s="41"/>
      <c r="E1596" s="57"/>
      <c r="F1596" s="42"/>
      <c r="G1596" s="80"/>
    </row>
    <row r="1597" spans="3:7" s="37" customFormat="1" ht="23.25" x14ac:dyDescent="0.35">
      <c r="C1597" s="41"/>
      <c r="E1597" s="57"/>
      <c r="F1597" s="42"/>
      <c r="G1597" s="80"/>
    </row>
    <row r="1598" spans="3:7" s="37" customFormat="1" ht="23.25" x14ac:dyDescent="0.35">
      <c r="C1598" s="41"/>
      <c r="E1598" s="57"/>
      <c r="F1598" s="42"/>
      <c r="G1598" s="80"/>
    </row>
    <row r="1599" spans="3:7" s="37" customFormat="1" ht="23.25" x14ac:dyDescent="0.35">
      <c r="C1599" s="41"/>
      <c r="E1599" s="57"/>
      <c r="F1599" s="42"/>
      <c r="G1599" s="80"/>
    </row>
    <row r="1600" spans="3:7" s="37" customFormat="1" ht="23.25" x14ac:dyDescent="0.35">
      <c r="C1600" s="41"/>
      <c r="E1600" s="57"/>
      <c r="F1600" s="42"/>
      <c r="G1600" s="80"/>
    </row>
    <row r="1601" spans="3:7" s="37" customFormat="1" ht="23.25" x14ac:dyDescent="0.35">
      <c r="C1601" s="41"/>
      <c r="E1601" s="57"/>
      <c r="F1601" s="42"/>
      <c r="G1601" s="80"/>
    </row>
    <row r="1602" spans="3:7" s="37" customFormat="1" ht="23.25" x14ac:dyDescent="0.35">
      <c r="C1602" s="41"/>
      <c r="E1602" s="57"/>
      <c r="F1602" s="42"/>
      <c r="G1602" s="80"/>
    </row>
    <row r="1603" spans="3:7" s="37" customFormat="1" ht="23.25" x14ac:dyDescent="0.35">
      <c r="C1603" s="41"/>
      <c r="E1603" s="57"/>
      <c r="F1603" s="42"/>
      <c r="G1603" s="80"/>
    </row>
    <row r="1604" spans="3:7" s="37" customFormat="1" ht="23.25" x14ac:dyDescent="0.35">
      <c r="C1604" s="41"/>
      <c r="E1604" s="57"/>
      <c r="F1604" s="42"/>
      <c r="G1604" s="80"/>
    </row>
    <row r="1605" spans="3:7" s="37" customFormat="1" ht="23.25" x14ac:dyDescent="0.35">
      <c r="C1605" s="41"/>
      <c r="E1605" s="57"/>
      <c r="F1605" s="42"/>
      <c r="G1605" s="80"/>
    </row>
    <row r="1606" spans="3:7" s="37" customFormat="1" ht="23.25" x14ac:dyDescent="0.35">
      <c r="C1606" s="41"/>
      <c r="E1606" s="57"/>
      <c r="F1606" s="42"/>
      <c r="G1606" s="80"/>
    </row>
    <row r="1607" spans="3:7" s="37" customFormat="1" ht="23.25" x14ac:dyDescent="0.35">
      <c r="C1607" s="41"/>
      <c r="E1607" s="57"/>
      <c r="F1607" s="42"/>
      <c r="G1607" s="80"/>
    </row>
    <row r="1608" spans="3:7" s="37" customFormat="1" ht="23.25" x14ac:dyDescent="0.35">
      <c r="C1608" s="41"/>
      <c r="E1608" s="57"/>
      <c r="F1608" s="42"/>
      <c r="G1608" s="80"/>
    </row>
    <row r="1609" spans="3:7" s="37" customFormat="1" ht="23.25" x14ac:dyDescent="0.35">
      <c r="C1609" s="41"/>
      <c r="E1609" s="57"/>
      <c r="F1609" s="42"/>
      <c r="G1609" s="80"/>
    </row>
    <row r="1610" spans="3:7" s="37" customFormat="1" ht="23.25" x14ac:dyDescent="0.35">
      <c r="C1610" s="41"/>
      <c r="E1610" s="57"/>
      <c r="F1610" s="42"/>
      <c r="G1610" s="80"/>
    </row>
    <row r="1611" spans="3:7" s="37" customFormat="1" ht="23.25" x14ac:dyDescent="0.35">
      <c r="C1611" s="41"/>
      <c r="E1611" s="57"/>
      <c r="F1611" s="42"/>
      <c r="G1611" s="80"/>
    </row>
    <row r="1612" spans="3:7" s="37" customFormat="1" ht="23.25" x14ac:dyDescent="0.35">
      <c r="C1612" s="41"/>
      <c r="E1612" s="57"/>
      <c r="F1612" s="42"/>
      <c r="G1612" s="80"/>
    </row>
    <row r="1613" spans="3:7" s="37" customFormat="1" ht="23.25" x14ac:dyDescent="0.35">
      <c r="C1613" s="41"/>
      <c r="E1613" s="57"/>
      <c r="F1613" s="42"/>
      <c r="G1613" s="80"/>
    </row>
    <row r="1614" spans="3:7" s="37" customFormat="1" ht="23.25" x14ac:dyDescent="0.35">
      <c r="C1614" s="41"/>
      <c r="E1614" s="57"/>
      <c r="F1614" s="42"/>
      <c r="G1614" s="80"/>
    </row>
    <row r="1615" spans="3:7" s="37" customFormat="1" ht="23.25" x14ac:dyDescent="0.35">
      <c r="C1615" s="41"/>
      <c r="E1615" s="57"/>
      <c r="F1615" s="42"/>
      <c r="G1615" s="80"/>
    </row>
    <row r="1616" spans="3:7" s="37" customFormat="1" ht="23.25" x14ac:dyDescent="0.35">
      <c r="C1616" s="41"/>
      <c r="E1616" s="57"/>
      <c r="F1616" s="42"/>
      <c r="G1616" s="80"/>
    </row>
    <row r="1617" spans="3:7" s="37" customFormat="1" ht="23.25" x14ac:dyDescent="0.35">
      <c r="C1617" s="41"/>
      <c r="E1617" s="57"/>
      <c r="F1617" s="42"/>
      <c r="G1617" s="80"/>
    </row>
    <row r="1618" spans="3:7" s="37" customFormat="1" ht="23.25" x14ac:dyDescent="0.35">
      <c r="C1618" s="41"/>
      <c r="E1618" s="57"/>
      <c r="F1618" s="42"/>
      <c r="G1618" s="80"/>
    </row>
    <row r="1619" spans="3:7" s="37" customFormat="1" ht="23.25" x14ac:dyDescent="0.35">
      <c r="C1619" s="41"/>
      <c r="E1619" s="57"/>
      <c r="F1619" s="42"/>
      <c r="G1619" s="80"/>
    </row>
    <row r="1620" spans="3:7" s="37" customFormat="1" ht="23.25" x14ac:dyDescent="0.35">
      <c r="C1620" s="41"/>
      <c r="E1620" s="57"/>
      <c r="F1620" s="42"/>
      <c r="G1620" s="80"/>
    </row>
    <row r="1621" spans="3:7" s="37" customFormat="1" ht="23.25" x14ac:dyDescent="0.35">
      <c r="C1621" s="41"/>
      <c r="E1621" s="57"/>
      <c r="F1621" s="42"/>
      <c r="G1621" s="80"/>
    </row>
    <row r="1622" spans="3:7" s="37" customFormat="1" ht="23.25" x14ac:dyDescent="0.35">
      <c r="C1622" s="41"/>
      <c r="E1622" s="57"/>
      <c r="F1622" s="42"/>
      <c r="G1622" s="80"/>
    </row>
    <row r="1623" spans="3:7" s="37" customFormat="1" ht="23.25" x14ac:dyDescent="0.35">
      <c r="C1623" s="41"/>
      <c r="E1623" s="57"/>
      <c r="F1623" s="42"/>
      <c r="G1623" s="80"/>
    </row>
    <row r="1624" spans="3:7" s="37" customFormat="1" ht="23.25" x14ac:dyDescent="0.35">
      <c r="C1624" s="41"/>
      <c r="E1624" s="57"/>
      <c r="F1624" s="42"/>
      <c r="G1624" s="80"/>
    </row>
    <row r="1625" spans="3:7" s="37" customFormat="1" ht="23.25" x14ac:dyDescent="0.35">
      <c r="C1625" s="41"/>
      <c r="E1625" s="57"/>
      <c r="F1625" s="42"/>
      <c r="G1625" s="80"/>
    </row>
    <row r="1626" spans="3:7" s="37" customFormat="1" ht="23.25" x14ac:dyDescent="0.35">
      <c r="C1626" s="41"/>
      <c r="E1626" s="57"/>
      <c r="F1626" s="42"/>
      <c r="G1626" s="80"/>
    </row>
    <row r="1627" spans="3:7" s="37" customFormat="1" ht="23.25" x14ac:dyDescent="0.35">
      <c r="C1627" s="41"/>
      <c r="E1627" s="57"/>
      <c r="F1627" s="42"/>
      <c r="G1627" s="80"/>
    </row>
    <row r="1628" spans="3:7" s="37" customFormat="1" ht="23.25" x14ac:dyDescent="0.35">
      <c r="C1628" s="41"/>
      <c r="E1628" s="57"/>
      <c r="F1628" s="42"/>
      <c r="G1628" s="80"/>
    </row>
    <row r="1629" spans="3:7" s="37" customFormat="1" ht="23.25" x14ac:dyDescent="0.35">
      <c r="C1629" s="41"/>
      <c r="E1629" s="57"/>
      <c r="F1629" s="42"/>
      <c r="G1629" s="80"/>
    </row>
    <row r="1630" spans="3:7" s="37" customFormat="1" ht="23.25" x14ac:dyDescent="0.35">
      <c r="C1630" s="41"/>
      <c r="E1630" s="57"/>
      <c r="F1630" s="42"/>
      <c r="G1630" s="80"/>
    </row>
    <row r="1631" spans="3:7" s="37" customFormat="1" ht="23.25" x14ac:dyDescent="0.35">
      <c r="C1631" s="41"/>
      <c r="E1631" s="57"/>
      <c r="F1631" s="42"/>
      <c r="G1631" s="80"/>
    </row>
    <row r="1632" spans="3:7" s="37" customFormat="1" ht="23.25" x14ac:dyDescent="0.35">
      <c r="C1632" s="41"/>
      <c r="E1632" s="57"/>
      <c r="F1632" s="42"/>
      <c r="G1632" s="80"/>
    </row>
    <row r="1633" spans="3:7" s="37" customFormat="1" ht="23.25" x14ac:dyDescent="0.35">
      <c r="C1633" s="41"/>
      <c r="E1633" s="57"/>
      <c r="F1633" s="42"/>
      <c r="G1633" s="80"/>
    </row>
    <row r="1634" spans="3:7" s="37" customFormat="1" ht="23.25" x14ac:dyDescent="0.35">
      <c r="C1634" s="41"/>
      <c r="E1634" s="57"/>
      <c r="F1634" s="42"/>
      <c r="G1634" s="80"/>
    </row>
    <row r="1635" spans="3:7" s="37" customFormat="1" ht="23.25" x14ac:dyDescent="0.35">
      <c r="C1635" s="41"/>
      <c r="E1635" s="57"/>
      <c r="F1635" s="42"/>
      <c r="G1635" s="80"/>
    </row>
    <row r="1636" spans="3:7" s="37" customFormat="1" ht="23.25" x14ac:dyDescent="0.35">
      <c r="C1636" s="41"/>
      <c r="E1636" s="57"/>
      <c r="F1636" s="42"/>
      <c r="G1636" s="80"/>
    </row>
    <row r="1637" spans="3:7" s="37" customFormat="1" ht="23.25" x14ac:dyDescent="0.35">
      <c r="C1637" s="41"/>
      <c r="E1637" s="57"/>
      <c r="F1637" s="42"/>
      <c r="G1637" s="80"/>
    </row>
    <row r="1638" spans="3:7" s="37" customFormat="1" ht="23.25" x14ac:dyDescent="0.35">
      <c r="C1638" s="41"/>
      <c r="E1638" s="57"/>
      <c r="F1638" s="42"/>
      <c r="G1638" s="80"/>
    </row>
    <row r="1639" spans="3:7" s="37" customFormat="1" ht="23.25" x14ac:dyDescent="0.35">
      <c r="C1639" s="41"/>
      <c r="E1639" s="57"/>
      <c r="F1639" s="42"/>
      <c r="G1639" s="80"/>
    </row>
    <row r="1640" spans="3:7" s="37" customFormat="1" ht="23.25" x14ac:dyDescent="0.35">
      <c r="C1640" s="41"/>
      <c r="E1640" s="57"/>
      <c r="F1640" s="42"/>
      <c r="G1640" s="80"/>
    </row>
    <row r="1641" spans="3:7" s="37" customFormat="1" ht="23.25" x14ac:dyDescent="0.35">
      <c r="C1641" s="41"/>
      <c r="E1641" s="57"/>
      <c r="F1641" s="42"/>
      <c r="G1641" s="80"/>
    </row>
    <row r="1642" spans="3:7" s="37" customFormat="1" ht="23.25" x14ac:dyDescent="0.35">
      <c r="C1642" s="41"/>
      <c r="E1642" s="57"/>
      <c r="F1642" s="42"/>
      <c r="G1642" s="80"/>
    </row>
    <row r="1643" spans="3:7" s="37" customFormat="1" ht="23.25" x14ac:dyDescent="0.35">
      <c r="C1643" s="41"/>
      <c r="E1643" s="57"/>
      <c r="F1643" s="42"/>
      <c r="G1643" s="80"/>
    </row>
    <row r="1644" spans="3:7" s="37" customFormat="1" ht="23.25" x14ac:dyDescent="0.35">
      <c r="C1644" s="41"/>
      <c r="E1644" s="57"/>
      <c r="F1644" s="42"/>
      <c r="G1644" s="80"/>
    </row>
    <row r="1645" spans="3:7" s="37" customFormat="1" ht="23.25" x14ac:dyDescent="0.35">
      <c r="C1645" s="41"/>
      <c r="E1645" s="57"/>
      <c r="F1645" s="42"/>
      <c r="G1645" s="80"/>
    </row>
    <row r="1646" spans="3:7" s="37" customFormat="1" ht="23.25" x14ac:dyDescent="0.35">
      <c r="C1646" s="41"/>
      <c r="E1646" s="57"/>
      <c r="F1646" s="42"/>
      <c r="G1646" s="80"/>
    </row>
    <row r="1647" spans="3:7" s="37" customFormat="1" ht="23.25" x14ac:dyDescent="0.35">
      <c r="C1647" s="41"/>
      <c r="E1647" s="57"/>
      <c r="F1647" s="42"/>
      <c r="G1647" s="80"/>
    </row>
    <row r="1648" spans="3:7" s="37" customFormat="1" ht="23.25" x14ac:dyDescent="0.35">
      <c r="C1648" s="41"/>
      <c r="E1648" s="57"/>
      <c r="F1648" s="42"/>
      <c r="G1648" s="80"/>
    </row>
    <row r="1649" spans="3:7" s="37" customFormat="1" ht="23.25" x14ac:dyDescent="0.35">
      <c r="C1649" s="41"/>
      <c r="E1649" s="57"/>
      <c r="F1649" s="42"/>
      <c r="G1649" s="80"/>
    </row>
    <row r="1650" spans="3:7" s="37" customFormat="1" ht="23.25" x14ac:dyDescent="0.35">
      <c r="C1650" s="41"/>
      <c r="E1650" s="57"/>
      <c r="F1650" s="42"/>
      <c r="G1650" s="80"/>
    </row>
    <row r="1651" spans="3:7" s="37" customFormat="1" ht="23.25" x14ac:dyDescent="0.35">
      <c r="C1651" s="41"/>
      <c r="E1651" s="57"/>
      <c r="F1651" s="42"/>
      <c r="G1651" s="80"/>
    </row>
    <row r="1652" spans="3:7" s="37" customFormat="1" ht="23.25" x14ac:dyDescent="0.35">
      <c r="C1652" s="41"/>
      <c r="E1652" s="57"/>
      <c r="F1652" s="42"/>
      <c r="G1652" s="80"/>
    </row>
    <row r="1653" spans="3:7" s="37" customFormat="1" ht="23.25" x14ac:dyDescent="0.35">
      <c r="C1653" s="41"/>
      <c r="E1653" s="57"/>
      <c r="F1653" s="42"/>
      <c r="G1653" s="80"/>
    </row>
    <row r="1654" spans="3:7" s="37" customFormat="1" ht="23.25" x14ac:dyDescent="0.35">
      <c r="C1654" s="41"/>
      <c r="E1654" s="57"/>
      <c r="F1654" s="42"/>
      <c r="G1654" s="80"/>
    </row>
    <row r="1655" spans="3:7" s="37" customFormat="1" ht="23.25" x14ac:dyDescent="0.35">
      <c r="C1655" s="41"/>
      <c r="E1655" s="57"/>
      <c r="F1655" s="42"/>
      <c r="G1655" s="80"/>
    </row>
    <row r="1656" spans="3:7" s="37" customFormat="1" ht="23.25" x14ac:dyDescent="0.35">
      <c r="C1656" s="41"/>
      <c r="E1656" s="57"/>
      <c r="F1656" s="42"/>
      <c r="G1656" s="80"/>
    </row>
    <row r="1657" spans="3:7" s="37" customFormat="1" ht="23.25" x14ac:dyDescent="0.35">
      <c r="C1657" s="41"/>
      <c r="E1657" s="57"/>
      <c r="F1657" s="42"/>
      <c r="G1657" s="80"/>
    </row>
    <row r="1658" spans="3:7" s="37" customFormat="1" ht="23.25" x14ac:dyDescent="0.35">
      <c r="C1658" s="41"/>
      <c r="E1658" s="57"/>
      <c r="F1658" s="42"/>
      <c r="G1658" s="80"/>
    </row>
    <row r="1659" spans="3:7" s="37" customFormat="1" ht="23.25" x14ac:dyDescent="0.35">
      <c r="C1659" s="41"/>
      <c r="E1659" s="57"/>
      <c r="F1659" s="42"/>
      <c r="G1659" s="80"/>
    </row>
    <row r="1660" spans="3:7" s="37" customFormat="1" ht="23.25" x14ac:dyDescent="0.35">
      <c r="C1660" s="41"/>
      <c r="E1660" s="57"/>
      <c r="F1660" s="42"/>
      <c r="G1660" s="80"/>
    </row>
    <row r="1661" spans="3:7" s="37" customFormat="1" ht="23.25" x14ac:dyDescent="0.35">
      <c r="C1661" s="41"/>
      <c r="E1661" s="57"/>
      <c r="F1661" s="42"/>
      <c r="G1661" s="80"/>
    </row>
    <row r="1662" spans="3:7" s="37" customFormat="1" ht="23.25" x14ac:dyDescent="0.35">
      <c r="C1662" s="41"/>
      <c r="E1662" s="57"/>
      <c r="F1662" s="42"/>
      <c r="G1662" s="80"/>
    </row>
    <row r="1663" spans="3:7" s="37" customFormat="1" ht="23.25" x14ac:dyDescent="0.35">
      <c r="C1663" s="41"/>
      <c r="E1663" s="57"/>
      <c r="F1663" s="42"/>
      <c r="G1663" s="80"/>
    </row>
    <row r="1664" spans="3:7" s="37" customFormat="1" ht="23.25" x14ac:dyDescent="0.35">
      <c r="C1664" s="41"/>
      <c r="E1664" s="57"/>
      <c r="F1664" s="42"/>
      <c r="G1664" s="80"/>
    </row>
    <row r="1665" spans="3:7" s="37" customFormat="1" ht="23.25" x14ac:dyDescent="0.35">
      <c r="C1665" s="41"/>
      <c r="E1665" s="57"/>
      <c r="F1665" s="42"/>
      <c r="G1665" s="80"/>
    </row>
    <row r="1666" spans="3:7" s="37" customFormat="1" ht="23.25" x14ac:dyDescent="0.35">
      <c r="C1666" s="41"/>
      <c r="E1666" s="57"/>
      <c r="F1666" s="42"/>
      <c r="G1666" s="80"/>
    </row>
    <row r="1667" spans="3:7" s="37" customFormat="1" ht="23.25" x14ac:dyDescent="0.35">
      <c r="C1667" s="41"/>
      <c r="E1667" s="57"/>
      <c r="F1667" s="42"/>
      <c r="G1667" s="80"/>
    </row>
    <row r="1668" spans="3:7" s="37" customFormat="1" ht="23.25" x14ac:dyDescent="0.35">
      <c r="C1668" s="41"/>
      <c r="E1668" s="57"/>
      <c r="F1668" s="42"/>
      <c r="G1668" s="80"/>
    </row>
    <row r="1669" spans="3:7" s="37" customFormat="1" ht="23.25" x14ac:dyDescent="0.35">
      <c r="C1669" s="41"/>
      <c r="E1669" s="57"/>
      <c r="F1669" s="42"/>
      <c r="G1669" s="80"/>
    </row>
    <row r="1670" spans="3:7" s="37" customFormat="1" ht="23.25" x14ac:dyDescent="0.35">
      <c r="C1670" s="41"/>
      <c r="E1670" s="57"/>
      <c r="F1670" s="42"/>
      <c r="G1670" s="80"/>
    </row>
    <row r="1671" spans="3:7" s="37" customFormat="1" ht="23.25" x14ac:dyDescent="0.35">
      <c r="C1671" s="41"/>
      <c r="E1671" s="57"/>
      <c r="F1671" s="42"/>
      <c r="G1671" s="80"/>
    </row>
    <row r="1672" spans="3:7" s="37" customFormat="1" ht="23.25" x14ac:dyDescent="0.35">
      <c r="C1672" s="41"/>
      <c r="E1672" s="57"/>
      <c r="F1672" s="42"/>
      <c r="G1672" s="80"/>
    </row>
    <row r="1673" spans="3:7" s="37" customFormat="1" ht="23.25" x14ac:dyDescent="0.35">
      <c r="C1673" s="41"/>
      <c r="E1673" s="57"/>
      <c r="F1673" s="42"/>
      <c r="G1673" s="80"/>
    </row>
    <row r="1674" spans="3:7" s="37" customFormat="1" ht="23.25" x14ac:dyDescent="0.35">
      <c r="C1674" s="41"/>
      <c r="E1674" s="57"/>
      <c r="F1674" s="42"/>
      <c r="G1674" s="80"/>
    </row>
    <row r="1675" spans="3:7" s="37" customFormat="1" ht="23.25" x14ac:dyDescent="0.35">
      <c r="C1675" s="41"/>
      <c r="E1675" s="57"/>
      <c r="F1675" s="42"/>
      <c r="G1675" s="80"/>
    </row>
    <row r="1676" spans="3:7" s="37" customFormat="1" ht="23.25" x14ac:dyDescent="0.35">
      <c r="C1676" s="41"/>
      <c r="E1676" s="57"/>
      <c r="F1676" s="42"/>
      <c r="G1676" s="80"/>
    </row>
    <row r="1677" spans="3:7" s="37" customFormat="1" ht="23.25" x14ac:dyDescent="0.35">
      <c r="C1677" s="41"/>
      <c r="E1677" s="57"/>
      <c r="F1677" s="42"/>
      <c r="G1677" s="80"/>
    </row>
    <row r="1678" spans="3:7" s="37" customFormat="1" ht="23.25" x14ac:dyDescent="0.35">
      <c r="C1678" s="41"/>
      <c r="E1678" s="57"/>
      <c r="F1678" s="42"/>
      <c r="G1678" s="80"/>
    </row>
    <row r="1679" spans="3:7" s="37" customFormat="1" ht="23.25" x14ac:dyDescent="0.35">
      <c r="C1679" s="41"/>
      <c r="E1679" s="57"/>
      <c r="F1679" s="42"/>
      <c r="G1679" s="80"/>
    </row>
    <row r="1680" spans="3:7" s="37" customFormat="1" ht="23.25" x14ac:dyDescent="0.35">
      <c r="C1680" s="41"/>
      <c r="E1680" s="57"/>
      <c r="F1680" s="42"/>
      <c r="G1680" s="80"/>
    </row>
    <row r="1681" spans="3:7" s="37" customFormat="1" ht="23.25" x14ac:dyDescent="0.35">
      <c r="C1681" s="41"/>
      <c r="E1681" s="57"/>
      <c r="F1681" s="42"/>
      <c r="G1681" s="80"/>
    </row>
    <row r="1682" spans="3:7" s="37" customFormat="1" ht="23.25" x14ac:dyDescent="0.35">
      <c r="C1682" s="41"/>
      <c r="E1682" s="57"/>
      <c r="F1682" s="42"/>
      <c r="G1682" s="80"/>
    </row>
    <row r="1683" spans="3:7" s="37" customFormat="1" ht="23.25" x14ac:dyDescent="0.35">
      <c r="C1683" s="41"/>
      <c r="E1683" s="57"/>
      <c r="F1683" s="42"/>
      <c r="G1683" s="80"/>
    </row>
    <row r="1684" spans="3:7" s="37" customFormat="1" ht="23.25" x14ac:dyDescent="0.35">
      <c r="C1684" s="41"/>
      <c r="E1684" s="57"/>
      <c r="F1684" s="42"/>
      <c r="G1684" s="80"/>
    </row>
    <row r="1685" spans="3:7" s="37" customFormat="1" ht="23.25" x14ac:dyDescent="0.35">
      <c r="C1685" s="41"/>
      <c r="E1685" s="57"/>
      <c r="F1685" s="42"/>
      <c r="G1685" s="80"/>
    </row>
    <row r="1686" spans="3:7" s="37" customFormat="1" ht="23.25" x14ac:dyDescent="0.35">
      <c r="C1686" s="41"/>
      <c r="E1686" s="57"/>
      <c r="F1686" s="42"/>
      <c r="G1686" s="80"/>
    </row>
    <row r="1687" spans="3:7" s="37" customFormat="1" ht="23.25" x14ac:dyDescent="0.35">
      <c r="C1687" s="41"/>
      <c r="E1687" s="57"/>
      <c r="F1687" s="42"/>
      <c r="G1687" s="80"/>
    </row>
    <row r="1688" spans="3:7" s="37" customFormat="1" ht="23.25" x14ac:dyDescent="0.35">
      <c r="C1688" s="41"/>
      <c r="E1688" s="57"/>
      <c r="F1688" s="42"/>
      <c r="G1688" s="80"/>
    </row>
    <row r="1689" spans="3:7" s="37" customFormat="1" ht="23.25" x14ac:dyDescent="0.35">
      <c r="C1689" s="41"/>
      <c r="E1689" s="57"/>
      <c r="F1689" s="42"/>
      <c r="G1689" s="80"/>
    </row>
    <row r="1690" spans="3:7" s="37" customFormat="1" ht="23.25" x14ac:dyDescent="0.35">
      <c r="C1690" s="41"/>
      <c r="E1690" s="57"/>
      <c r="F1690" s="42"/>
      <c r="G1690" s="80"/>
    </row>
    <row r="1691" spans="3:7" s="37" customFormat="1" ht="23.25" x14ac:dyDescent="0.35">
      <c r="C1691" s="41"/>
      <c r="E1691" s="57"/>
      <c r="F1691" s="42"/>
      <c r="G1691" s="80"/>
    </row>
    <row r="1692" spans="3:7" s="37" customFormat="1" ht="23.25" x14ac:dyDescent="0.35">
      <c r="C1692" s="41"/>
      <c r="E1692" s="57"/>
      <c r="F1692" s="42"/>
      <c r="G1692" s="80"/>
    </row>
    <row r="1693" spans="3:7" s="37" customFormat="1" ht="23.25" x14ac:dyDescent="0.35">
      <c r="C1693" s="41"/>
      <c r="E1693" s="57"/>
      <c r="F1693" s="42"/>
      <c r="G1693" s="80"/>
    </row>
    <row r="1694" spans="3:7" s="37" customFormat="1" ht="23.25" x14ac:dyDescent="0.35">
      <c r="C1694" s="41"/>
      <c r="E1694" s="57"/>
      <c r="F1694" s="42"/>
      <c r="G1694" s="80"/>
    </row>
    <row r="1695" spans="3:7" s="37" customFormat="1" ht="23.25" x14ac:dyDescent="0.35">
      <c r="C1695" s="41"/>
      <c r="E1695" s="57"/>
      <c r="F1695" s="42"/>
      <c r="G1695" s="80"/>
    </row>
    <row r="1696" spans="3:7" s="37" customFormat="1" ht="23.25" x14ac:dyDescent="0.35">
      <c r="C1696" s="41"/>
      <c r="E1696" s="57"/>
      <c r="F1696" s="42"/>
      <c r="G1696" s="80"/>
    </row>
    <row r="1697" spans="3:7" s="37" customFormat="1" ht="23.25" x14ac:dyDescent="0.35">
      <c r="C1697" s="41"/>
      <c r="E1697" s="57"/>
      <c r="F1697" s="42"/>
      <c r="G1697" s="80"/>
    </row>
    <row r="1698" spans="3:7" s="37" customFormat="1" ht="23.25" x14ac:dyDescent="0.35">
      <c r="C1698" s="41"/>
      <c r="E1698" s="57"/>
      <c r="F1698" s="42"/>
      <c r="G1698" s="80"/>
    </row>
    <row r="1699" spans="3:7" s="37" customFormat="1" ht="23.25" x14ac:dyDescent="0.35">
      <c r="C1699" s="41"/>
      <c r="E1699" s="57"/>
      <c r="F1699" s="42"/>
      <c r="G1699" s="80"/>
    </row>
    <row r="1700" spans="3:7" s="37" customFormat="1" ht="23.25" x14ac:dyDescent="0.35">
      <c r="C1700" s="41"/>
      <c r="E1700" s="57"/>
      <c r="F1700" s="42"/>
      <c r="G1700" s="80"/>
    </row>
    <row r="1701" spans="3:7" s="37" customFormat="1" ht="23.25" x14ac:dyDescent="0.35">
      <c r="C1701" s="41"/>
      <c r="E1701" s="57"/>
      <c r="F1701" s="42"/>
      <c r="G1701" s="80"/>
    </row>
    <row r="1702" spans="3:7" s="37" customFormat="1" ht="23.25" x14ac:dyDescent="0.35">
      <c r="C1702" s="41"/>
      <c r="E1702" s="57"/>
      <c r="F1702" s="42"/>
      <c r="G1702" s="80"/>
    </row>
    <row r="1703" spans="3:7" s="37" customFormat="1" ht="23.25" x14ac:dyDescent="0.35">
      <c r="C1703" s="41"/>
      <c r="E1703" s="57"/>
      <c r="F1703" s="42"/>
      <c r="G1703" s="80"/>
    </row>
    <row r="1704" spans="3:7" s="37" customFormat="1" ht="23.25" x14ac:dyDescent="0.35">
      <c r="C1704" s="41"/>
      <c r="E1704" s="57"/>
      <c r="F1704" s="42"/>
      <c r="G1704" s="80"/>
    </row>
    <row r="1705" spans="3:7" s="37" customFormat="1" ht="23.25" x14ac:dyDescent="0.35">
      <c r="C1705" s="41"/>
      <c r="E1705" s="57"/>
      <c r="F1705" s="42"/>
      <c r="G1705" s="80"/>
    </row>
    <row r="1706" spans="3:7" s="37" customFormat="1" ht="23.25" x14ac:dyDescent="0.35">
      <c r="C1706" s="41"/>
      <c r="E1706" s="57"/>
      <c r="F1706" s="42"/>
      <c r="G1706" s="80"/>
    </row>
    <row r="1707" spans="3:7" s="37" customFormat="1" ht="23.25" x14ac:dyDescent="0.35">
      <c r="C1707" s="41"/>
      <c r="E1707" s="57"/>
      <c r="F1707" s="42"/>
      <c r="G1707" s="80"/>
    </row>
    <row r="1708" spans="3:7" s="37" customFormat="1" ht="23.25" x14ac:dyDescent="0.35">
      <c r="C1708" s="41"/>
      <c r="E1708" s="57"/>
      <c r="F1708" s="42"/>
      <c r="G1708" s="80"/>
    </row>
    <row r="1709" spans="3:7" s="37" customFormat="1" ht="23.25" x14ac:dyDescent="0.35">
      <c r="C1709" s="41"/>
      <c r="E1709" s="57"/>
      <c r="F1709" s="42"/>
      <c r="G1709" s="80"/>
    </row>
    <row r="1710" spans="3:7" s="37" customFormat="1" ht="23.25" x14ac:dyDescent="0.35">
      <c r="C1710" s="41"/>
      <c r="E1710" s="57"/>
      <c r="F1710" s="42"/>
      <c r="G1710" s="80"/>
    </row>
    <row r="1711" spans="3:7" s="37" customFormat="1" ht="23.25" x14ac:dyDescent="0.35">
      <c r="C1711" s="41"/>
      <c r="E1711" s="57"/>
      <c r="F1711" s="42"/>
      <c r="G1711" s="80"/>
    </row>
    <row r="1712" spans="3:7" s="37" customFormat="1" ht="23.25" x14ac:dyDescent="0.35">
      <c r="C1712" s="41"/>
      <c r="E1712" s="57"/>
      <c r="F1712" s="42"/>
      <c r="G1712" s="80"/>
    </row>
    <row r="1713" spans="3:7" s="37" customFormat="1" ht="23.25" x14ac:dyDescent="0.35">
      <c r="C1713" s="41"/>
      <c r="E1713" s="57"/>
      <c r="F1713" s="42"/>
      <c r="G1713" s="80"/>
    </row>
    <row r="1714" spans="3:7" s="37" customFormat="1" ht="23.25" x14ac:dyDescent="0.35">
      <c r="C1714" s="41"/>
      <c r="E1714" s="57"/>
      <c r="F1714" s="42"/>
      <c r="G1714" s="80"/>
    </row>
    <row r="1715" spans="3:7" s="37" customFormat="1" ht="23.25" x14ac:dyDescent="0.35">
      <c r="C1715" s="41"/>
      <c r="E1715" s="57"/>
      <c r="F1715" s="42"/>
      <c r="G1715" s="80"/>
    </row>
    <row r="1716" spans="3:7" s="37" customFormat="1" ht="23.25" x14ac:dyDescent="0.35">
      <c r="C1716" s="41"/>
      <c r="E1716" s="57"/>
      <c r="F1716" s="42"/>
      <c r="G1716" s="80"/>
    </row>
    <row r="1717" spans="3:7" s="37" customFormat="1" ht="23.25" x14ac:dyDescent="0.35">
      <c r="C1717" s="41"/>
      <c r="E1717" s="57"/>
      <c r="F1717" s="42"/>
      <c r="G1717" s="80"/>
    </row>
    <row r="1718" spans="3:7" s="37" customFormat="1" ht="23.25" x14ac:dyDescent="0.35">
      <c r="C1718" s="41"/>
      <c r="E1718" s="57"/>
      <c r="F1718" s="42"/>
      <c r="G1718" s="80"/>
    </row>
    <row r="1719" spans="3:7" s="37" customFormat="1" ht="23.25" x14ac:dyDescent="0.35">
      <c r="C1719" s="41"/>
      <c r="E1719" s="57"/>
      <c r="F1719" s="42"/>
      <c r="G1719" s="80"/>
    </row>
    <row r="1720" spans="3:7" s="37" customFormat="1" ht="23.25" x14ac:dyDescent="0.35">
      <c r="C1720" s="41"/>
      <c r="E1720" s="57"/>
      <c r="F1720" s="42"/>
      <c r="G1720" s="80"/>
    </row>
    <row r="1721" spans="3:7" s="37" customFormat="1" ht="23.25" x14ac:dyDescent="0.35">
      <c r="C1721" s="41"/>
      <c r="E1721" s="57"/>
      <c r="F1721" s="42"/>
      <c r="G1721" s="80"/>
    </row>
    <row r="1722" spans="3:7" s="37" customFormat="1" ht="23.25" x14ac:dyDescent="0.35">
      <c r="C1722" s="41"/>
      <c r="E1722" s="57"/>
      <c r="F1722" s="42"/>
      <c r="G1722" s="80"/>
    </row>
    <row r="1723" spans="3:7" s="37" customFormat="1" ht="23.25" x14ac:dyDescent="0.35">
      <c r="C1723" s="41"/>
      <c r="E1723" s="57"/>
      <c r="F1723" s="42"/>
      <c r="G1723" s="80"/>
    </row>
    <row r="1724" spans="3:7" s="37" customFormat="1" ht="23.25" x14ac:dyDescent="0.35">
      <c r="C1724" s="41"/>
      <c r="E1724" s="57"/>
      <c r="F1724" s="42"/>
      <c r="G1724" s="80"/>
    </row>
    <row r="1725" spans="3:7" s="37" customFormat="1" ht="23.25" x14ac:dyDescent="0.35">
      <c r="C1725" s="41"/>
      <c r="E1725" s="57"/>
      <c r="F1725" s="42"/>
      <c r="G1725" s="80"/>
    </row>
    <row r="1726" spans="3:7" s="37" customFormat="1" ht="23.25" x14ac:dyDescent="0.35">
      <c r="C1726" s="41"/>
      <c r="E1726" s="57"/>
      <c r="F1726" s="42"/>
      <c r="G1726" s="80"/>
    </row>
    <row r="1727" spans="3:7" s="37" customFormat="1" ht="23.25" x14ac:dyDescent="0.35">
      <c r="C1727" s="41"/>
      <c r="E1727" s="57"/>
      <c r="F1727" s="42"/>
      <c r="G1727" s="80"/>
    </row>
    <row r="1728" spans="3:7" s="37" customFormat="1" ht="23.25" x14ac:dyDescent="0.35">
      <c r="C1728" s="41"/>
      <c r="E1728" s="57"/>
      <c r="F1728" s="42"/>
      <c r="G1728" s="80"/>
    </row>
    <row r="1729" spans="3:7" s="37" customFormat="1" ht="23.25" x14ac:dyDescent="0.35">
      <c r="C1729" s="41"/>
      <c r="E1729" s="57"/>
      <c r="F1729" s="42"/>
      <c r="G1729" s="80"/>
    </row>
    <row r="1730" spans="3:7" s="37" customFormat="1" ht="23.25" x14ac:dyDescent="0.35">
      <c r="C1730" s="41"/>
      <c r="E1730" s="57"/>
      <c r="F1730" s="42"/>
      <c r="G1730" s="80"/>
    </row>
    <row r="1731" spans="3:7" s="37" customFormat="1" ht="23.25" x14ac:dyDescent="0.35">
      <c r="C1731" s="41"/>
      <c r="E1731" s="57"/>
      <c r="F1731" s="42"/>
      <c r="G1731" s="80"/>
    </row>
    <row r="1732" spans="3:7" s="37" customFormat="1" ht="23.25" x14ac:dyDescent="0.35">
      <c r="C1732" s="41"/>
      <c r="E1732" s="57"/>
      <c r="F1732" s="42"/>
      <c r="G1732" s="80"/>
    </row>
    <row r="1733" spans="3:7" s="37" customFormat="1" ht="23.25" x14ac:dyDescent="0.35">
      <c r="C1733" s="41"/>
      <c r="E1733" s="57"/>
      <c r="F1733" s="42"/>
      <c r="G1733" s="80"/>
    </row>
    <row r="1734" spans="3:7" s="37" customFormat="1" ht="23.25" x14ac:dyDescent="0.35">
      <c r="C1734" s="41"/>
      <c r="E1734" s="57"/>
      <c r="F1734" s="42"/>
      <c r="G1734" s="80"/>
    </row>
    <row r="1735" spans="3:7" s="37" customFormat="1" ht="23.25" x14ac:dyDescent="0.35">
      <c r="C1735" s="41"/>
      <c r="E1735" s="57"/>
      <c r="F1735" s="42"/>
      <c r="G1735" s="80"/>
    </row>
    <row r="1736" spans="3:7" s="37" customFormat="1" ht="23.25" x14ac:dyDescent="0.35">
      <c r="C1736" s="41"/>
      <c r="E1736" s="57"/>
      <c r="F1736" s="42"/>
      <c r="G1736" s="80"/>
    </row>
    <row r="1737" spans="3:7" s="37" customFormat="1" ht="23.25" x14ac:dyDescent="0.35">
      <c r="C1737" s="41"/>
      <c r="E1737" s="57"/>
      <c r="F1737" s="42"/>
      <c r="G1737" s="80"/>
    </row>
    <row r="1738" spans="3:7" s="37" customFormat="1" ht="23.25" x14ac:dyDescent="0.35">
      <c r="C1738" s="41"/>
      <c r="E1738" s="57"/>
      <c r="F1738" s="42"/>
      <c r="G1738" s="80"/>
    </row>
    <row r="1739" spans="3:7" s="37" customFormat="1" ht="23.25" x14ac:dyDescent="0.35">
      <c r="C1739" s="41"/>
      <c r="E1739" s="57"/>
      <c r="F1739" s="42"/>
      <c r="G1739" s="80"/>
    </row>
    <row r="1740" spans="3:7" s="37" customFormat="1" ht="23.25" x14ac:dyDescent="0.35">
      <c r="C1740" s="41"/>
      <c r="E1740" s="57"/>
      <c r="F1740" s="42"/>
      <c r="G1740" s="80"/>
    </row>
    <row r="1741" spans="3:7" s="37" customFormat="1" ht="23.25" x14ac:dyDescent="0.35">
      <c r="C1741" s="41"/>
      <c r="E1741" s="57"/>
      <c r="F1741" s="42"/>
      <c r="G1741" s="80"/>
    </row>
    <row r="1742" spans="3:7" s="37" customFormat="1" ht="23.25" x14ac:dyDescent="0.35">
      <c r="C1742" s="41"/>
      <c r="E1742" s="57"/>
      <c r="F1742" s="42"/>
      <c r="G1742" s="80"/>
    </row>
    <row r="1743" spans="3:7" s="37" customFormat="1" ht="23.25" x14ac:dyDescent="0.35">
      <c r="C1743" s="41"/>
      <c r="E1743" s="57"/>
      <c r="F1743" s="42"/>
      <c r="G1743" s="80"/>
    </row>
    <row r="1744" spans="3:7" s="37" customFormat="1" ht="23.25" x14ac:dyDescent="0.35">
      <c r="C1744" s="41"/>
      <c r="E1744" s="57"/>
      <c r="F1744" s="42"/>
      <c r="G1744" s="80"/>
    </row>
    <row r="1745" spans="3:7" s="37" customFormat="1" ht="23.25" x14ac:dyDescent="0.35">
      <c r="C1745" s="41"/>
      <c r="E1745" s="57"/>
      <c r="F1745" s="42"/>
      <c r="G1745" s="80"/>
    </row>
    <row r="1746" spans="3:7" s="37" customFormat="1" ht="23.25" x14ac:dyDescent="0.35">
      <c r="C1746" s="41"/>
      <c r="E1746" s="57"/>
      <c r="F1746" s="42"/>
      <c r="G1746" s="80"/>
    </row>
    <row r="1747" spans="3:7" s="37" customFormat="1" ht="23.25" x14ac:dyDescent="0.35">
      <c r="C1747" s="41"/>
      <c r="E1747" s="57"/>
      <c r="F1747" s="42"/>
      <c r="G1747" s="80"/>
    </row>
    <row r="1748" spans="3:7" s="37" customFormat="1" ht="23.25" x14ac:dyDescent="0.35">
      <c r="C1748" s="41"/>
      <c r="E1748" s="57"/>
      <c r="F1748" s="42"/>
      <c r="G1748" s="80"/>
    </row>
    <row r="1749" spans="3:7" s="37" customFormat="1" ht="23.25" x14ac:dyDescent="0.35">
      <c r="C1749" s="41"/>
      <c r="E1749" s="57"/>
      <c r="F1749" s="42"/>
      <c r="G1749" s="80"/>
    </row>
    <row r="1750" spans="3:7" s="37" customFormat="1" ht="23.25" x14ac:dyDescent="0.35">
      <c r="C1750" s="41"/>
      <c r="E1750" s="57"/>
      <c r="F1750" s="42"/>
      <c r="G1750" s="80"/>
    </row>
    <row r="1751" spans="3:7" s="37" customFormat="1" ht="23.25" x14ac:dyDescent="0.35">
      <c r="C1751" s="41"/>
      <c r="E1751" s="57"/>
      <c r="F1751" s="42"/>
      <c r="G1751" s="80"/>
    </row>
    <row r="1752" spans="3:7" s="37" customFormat="1" ht="23.25" x14ac:dyDescent="0.35">
      <c r="C1752" s="41"/>
      <c r="E1752" s="57"/>
      <c r="F1752" s="42"/>
      <c r="G1752" s="80"/>
    </row>
    <row r="1753" spans="3:7" s="37" customFormat="1" ht="23.25" x14ac:dyDescent="0.35">
      <c r="C1753" s="41"/>
      <c r="E1753" s="57"/>
      <c r="F1753" s="42"/>
      <c r="G1753" s="80"/>
    </row>
    <row r="1754" spans="3:7" s="37" customFormat="1" ht="23.25" x14ac:dyDescent="0.35">
      <c r="C1754" s="41"/>
      <c r="E1754" s="57"/>
      <c r="F1754" s="42"/>
      <c r="G1754" s="80"/>
    </row>
    <row r="1755" spans="3:7" s="37" customFormat="1" ht="23.25" x14ac:dyDescent="0.35">
      <c r="C1755" s="41"/>
      <c r="E1755" s="57"/>
      <c r="F1755" s="42"/>
      <c r="G1755" s="80"/>
    </row>
    <row r="1756" spans="3:7" s="37" customFormat="1" ht="23.25" x14ac:dyDescent="0.35">
      <c r="C1756" s="41"/>
      <c r="E1756" s="57"/>
      <c r="F1756" s="42"/>
      <c r="G1756" s="80"/>
    </row>
    <row r="1757" spans="3:7" s="37" customFormat="1" ht="23.25" x14ac:dyDescent="0.35">
      <c r="C1757" s="41"/>
      <c r="E1757" s="57"/>
      <c r="F1757" s="42"/>
      <c r="G1757" s="80"/>
    </row>
    <row r="1758" spans="3:7" s="37" customFormat="1" ht="23.25" x14ac:dyDescent="0.35">
      <c r="C1758" s="41"/>
      <c r="E1758" s="57"/>
      <c r="F1758" s="42"/>
      <c r="G1758" s="80"/>
    </row>
    <row r="1759" spans="3:7" s="37" customFormat="1" ht="23.25" x14ac:dyDescent="0.35">
      <c r="C1759" s="41"/>
      <c r="E1759" s="57"/>
      <c r="F1759" s="42"/>
      <c r="G1759" s="80"/>
    </row>
    <row r="1760" spans="3:7" s="37" customFormat="1" ht="23.25" x14ac:dyDescent="0.35">
      <c r="C1760" s="41"/>
      <c r="E1760" s="57"/>
      <c r="F1760" s="42"/>
      <c r="G1760" s="80"/>
    </row>
    <row r="1761" spans="3:7" s="37" customFormat="1" ht="23.25" x14ac:dyDescent="0.35">
      <c r="C1761" s="41"/>
      <c r="E1761" s="57"/>
      <c r="F1761" s="42"/>
      <c r="G1761" s="80"/>
    </row>
    <row r="1762" spans="3:7" s="37" customFormat="1" ht="23.25" x14ac:dyDescent="0.35">
      <c r="C1762" s="41"/>
      <c r="E1762" s="57"/>
      <c r="F1762" s="42"/>
      <c r="G1762" s="80"/>
    </row>
    <row r="1763" spans="3:7" s="37" customFormat="1" ht="23.25" x14ac:dyDescent="0.35">
      <c r="C1763" s="41"/>
      <c r="E1763" s="57"/>
      <c r="F1763" s="42"/>
      <c r="G1763" s="80"/>
    </row>
    <row r="1764" spans="3:7" s="37" customFormat="1" ht="23.25" x14ac:dyDescent="0.35">
      <c r="C1764" s="41"/>
      <c r="E1764" s="57"/>
      <c r="F1764" s="42"/>
      <c r="G1764" s="80"/>
    </row>
    <row r="1765" spans="3:7" s="37" customFormat="1" ht="23.25" x14ac:dyDescent="0.35">
      <c r="C1765" s="41"/>
      <c r="E1765" s="57"/>
      <c r="F1765" s="42"/>
      <c r="G1765" s="80"/>
    </row>
    <row r="1766" spans="3:7" s="37" customFormat="1" ht="23.25" x14ac:dyDescent="0.35">
      <c r="C1766" s="41"/>
      <c r="E1766" s="57"/>
      <c r="F1766" s="42"/>
      <c r="G1766" s="80"/>
    </row>
    <row r="1767" spans="3:7" s="37" customFormat="1" ht="23.25" x14ac:dyDescent="0.35">
      <c r="C1767" s="41"/>
      <c r="E1767" s="57"/>
      <c r="F1767" s="42"/>
      <c r="G1767" s="80"/>
    </row>
    <row r="1768" spans="3:7" s="37" customFormat="1" ht="23.25" x14ac:dyDescent="0.35">
      <c r="C1768" s="41"/>
      <c r="E1768" s="57"/>
      <c r="F1768" s="42"/>
      <c r="G1768" s="80"/>
    </row>
    <row r="1769" spans="3:7" s="37" customFormat="1" ht="23.25" x14ac:dyDescent="0.35">
      <c r="C1769" s="41"/>
      <c r="E1769" s="57"/>
      <c r="F1769" s="42"/>
      <c r="G1769" s="80"/>
    </row>
    <row r="1770" spans="3:7" s="37" customFormat="1" ht="23.25" x14ac:dyDescent="0.35">
      <c r="C1770" s="41"/>
      <c r="E1770" s="57"/>
      <c r="F1770" s="42"/>
      <c r="G1770" s="80"/>
    </row>
    <row r="1771" spans="3:7" s="37" customFormat="1" ht="23.25" x14ac:dyDescent="0.35">
      <c r="C1771" s="41"/>
      <c r="E1771" s="57"/>
      <c r="F1771" s="42"/>
      <c r="G1771" s="80"/>
    </row>
    <row r="1772" spans="3:7" s="37" customFormat="1" ht="23.25" x14ac:dyDescent="0.35">
      <c r="C1772" s="41"/>
      <c r="E1772" s="57"/>
      <c r="F1772" s="42"/>
      <c r="G1772" s="80"/>
    </row>
    <row r="1773" spans="3:7" s="37" customFormat="1" ht="23.25" x14ac:dyDescent="0.35">
      <c r="C1773" s="41"/>
      <c r="E1773" s="57"/>
      <c r="F1773" s="42"/>
      <c r="G1773" s="80"/>
    </row>
    <row r="1774" spans="3:7" s="37" customFormat="1" ht="23.25" x14ac:dyDescent="0.35">
      <c r="C1774" s="41"/>
      <c r="E1774" s="57"/>
      <c r="F1774" s="42"/>
      <c r="G1774" s="80"/>
    </row>
    <row r="1775" spans="3:7" s="37" customFormat="1" ht="23.25" x14ac:dyDescent="0.35">
      <c r="C1775" s="41"/>
      <c r="E1775" s="57"/>
      <c r="F1775" s="42"/>
      <c r="G1775" s="80"/>
    </row>
    <row r="1776" spans="3:7" s="37" customFormat="1" ht="23.25" x14ac:dyDescent="0.35">
      <c r="C1776" s="41"/>
      <c r="E1776" s="57"/>
      <c r="F1776" s="42"/>
      <c r="G1776" s="80"/>
    </row>
    <row r="1777" spans="3:7" s="37" customFormat="1" ht="23.25" x14ac:dyDescent="0.35">
      <c r="C1777" s="41"/>
      <c r="E1777" s="57"/>
      <c r="F1777" s="42"/>
      <c r="G1777" s="80"/>
    </row>
    <row r="1778" spans="3:7" s="37" customFormat="1" ht="23.25" x14ac:dyDescent="0.35">
      <c r="C1778" s="41"/>
      <c r="E1778" s="57"/>
      <c r="F1778" s="42"/>
      <c r="G1778" s="80"/>
    </row>
    <row r="1779" spans="3:7" s="37" customFormat="1" ht="23.25" x14ac:dyDescent="0.35">
      <c r="C1779" s="41"/>
      <c r="E1779" s="57"/>
      <c r="F1779" s="42"/>
      <c r="G1779" s="80"/>
    </row>
    <row r="1780" spans="3:7" s="37" customFormat="1" ht="23.25" x14ac:dyDescent="0.35">
      <c r="C1780" s="41"/>
      <c r="E1780" s="57"/>
      <c r="F1780" s="42"/>
      <c r="G1780" s="80"/>
    </row>
    <row r="1781" spans="3:7" s="37" customFormat="1" ht="23.25" x14ac:dyDescent="0.35">
      <c r="C1781" s="41"/>
      <c r="E1781" s="57"/>
      <c r="F1781" s="42"/>
      <c r="G1781" s="80"/>
    </row>
    <row r="1782" spans="3:7" s="37" customFormat="1" ht="23.25" x14ac:dyDescent="0.35">
      <c r="C1782" s="41"/>
      <c r="E1782" s="57"/>
      <c r="F1782" s="42"/>
      <c r="G1782" s="80"/>
    </row>
    <row r="1783" spans="3:7" s="37" customFormat="1" ht="23.25" x14ac:dyDescent="0.35">
      <c r="C1783" s="41"/>
      <c r="E1783" s="57"/>
      <c r="F1783" s="42"/>
      <c r="G1783" s="80"/>
    </row>
    <row r="1784" spans="3:7" s="37" customFormat="1" ht="23.25" x14ac:dyDescent="0.35">
      <c r="C1784" s="41"/>
      <c r="E1784" s="57"/>
      <c r="F1784" s="42"/>
      <c r="G1784" s="80"/>
    </row>
    <row r="1785" spans="3:7" s="37" customFormat="1" ht="23.25" x14ac:dyDescent="0.35">
      <c r="C1785" s="41"/>
      <c r="E1785" s="57"/>
      <c r="F1785" s="42"/>
      <c r="G1785" s="80"/>
    </row>
    <row r="1786" spans="3:7" s="37" customFormat="1" ht="23.25" x14ac:dyDescent="0.35">
      <c r="C1786" s="41"/>
      <c r="E1786" s="57"/>
      <c r="F1786" s="42"/>
      <c r="G1786" s="80"/>
    </row>
    <row r="1787" spans="3:7" s="37" customFormat="1" ht="23.25" x14ac:dyDescent="0.35">
      <c r="C1787" s="41"/>
      <c r="E1787" s="57"/>
      <c r="F1787" s="42"/>
      <c r="G1787" s="80"/>
    </row>
    <row r="1788" spans="3:7" s="37" customFormat="1" ht="23.25" x14ac:dyDescent="0.35">
      <c r="C1788" s="41"/>
      <c r="E1788" s="57"/>
      <c r="F1788" s="42"/>
      <c r="G1788" s="80"/>
    </row>
    <row r="1789" spans="3:7" s="37" customFormat="1" ht="23.25" x14ac:dyDescent="0.35">
      <c r="C1789" s="41"/>
      <c r="E1789" s="57"/>
      <c r="F1789" s="42"/>
      <c r="G1789" s="80"/>
    </row>
    <row r="1790" spans="3:7" s="37" customFormat="1" ht="23.25" x14ac:dyDescent="0.35">
      <c r="C1790" s="41"/>
      <c r="E1790" s="57"/>
      <c r="F1790" s="42"/>
      <c r="G1790" s="80"/>
    </row>
    <row r="1791" spans="3:7" s="37" customFormat="1" ht="23.25" x14ac:dyDescent="0.35">
      <c r="C1791" s="41"/>
      <c r="E1791" s="57"/>
      <c r="F1791" s="42"/>
      <c r="G1791" s="80"/>
    </row>
    <row r="1792" spans="3:7" s="37" customFormat="1" ht="23.25" x14ac:dyDescent="0.35">
      <c r="C1792" s="41"/>
      <c r="E1792" s="57"/>
      <c r="F1792" s="42"/>
      <c r="G1792" s="80"/>
    </row>
    <row r="1793" spans="3:7" s="37" customFormat="1" ht="23.25" x14ac:dyDescent="0.35">
      <c r="C1793" s="41"/>
      <c r="E1793" s="57"/>
      <c r="F1793" s="42"/>
      <c r="G1793" s="80"/>
    </row>
    <row r="1794" spans="3:7" s="37" customFormat="1" ht="23.25" x14ac:dyDescent="0.35">
      <c r="C1794" s="41"/>
      <c r="E1794" s="57"/>
      <c r="F1794" s="42"/>
      <c r="G1794" s="80"/>
    </row>
    <row r="1795" spans="3:7" s="37" customFormat="1" ht="23.25" x14ac:dyDescent="0.35">
      <c r="C1795" s="41"/>
      <c r="E1795" s="57"/>
      <c r="F1795" s="42"/>
      <c r="G1795" s="80"/>
    </row>
    <row r="1796" spans="3:7" s="37" customFormat="1" ht="23.25" x14ac:dyDescent="0.35">
      <c r="C1796" s="41"/>
      <c r="E1796" s="57"/>
      <c r="F1796" s="42"/>
      <c r="G1796" s="80"/>
    </row>
    <row r="1797" spans="3:7" s="37" customFormat="1" ht="23.25" x14ac:dyDescent="0.35">
      <c r="C1797" s="41"/>
      <c r="E1797" s="57"/>
      <c r="F1797" s="42"/>
      <c r="G1797" s="80"/>
    </row>
    <row r="1798" spans="3:7" s="37" customFormat="1" ht="23.25" x14ac:dyDescent="0.35">
      <c r="C1798" s="41"/>
      <c r="E1798" s="57"/>
      <c r="F1798" s="42"/>
      <c r="G1798" s="80"/>
    </row>
    <row r="1799" spans="3:7" s="37" customFormat="1" ht="23.25" x14ac:dyDescent="0.35">
      <c r="C1799" s="41"/>
      <c r="E1799" s="57"/>
      <c r="F1799" s="42"/>
      <c r="G1799" s="80"/>
    </row>
    <row r="1800" spans="3:7" s="37" customFormat="1" ht="23.25" x14ac:dyDescent="0.35">
      <c r="C1800" s="41"/>
      <c r="E1800" s="57"/>
      <c r="F1800" s="42"/>
      <c r="G1800" s="80"/>
    </row>
    <row r="1801" spans="3:7" s="37" customFormat="1" ht="23.25" x14ac:dyDescent="0.35">
      <c r="C1801" s="41"/>
      <c r="E1801" s="57"/>
      <c r="F1801" s="42"/>
      <c r="G1801" s="80"/>
    </row>
    <row r="1802" spans="3:7" s="37" customFormat="1" ht="23.25" x14ac:dyDescent="0.35">
      <c r="C1802" s="41"/>
      <c r="E1802" s="57"/>
      <c r="F1802" s="42"/>
      <c r="G1802" s="80"/>
    </row>
    <row r="1803" spans="3:7" s="37" customFormat="1" ht="23.25" x14ac:dyDescent="0.35">
      <c r="C1803" s="41"/>
      <c r="E1803" s="57"/>
      <c r="F1803" s="42"/>
      <c r="G1803" s="80"/>
    </row>
    <row r="1804" spans="3:7" s="37" customFormat="1" ht="23.25" x14ac:dyDescent="0.35">
      <c r="C1804" s="41"/>
      <c r="E1804" s="57"/>
      <c r="F1804" s="42"/>
      <c r="G1804" s="80"/>
    </row>
    <row r="1805" spans="3:7" s="37" customFormat="1" ht="23.25" x14ac:dyDescent="0.35">
      <c r="C1805" s="41"/>
      <c r="E1805" s="57"/>
      <c r="F1805" s="42"/>
      <c r="G1805" s="80"/>
    </row>
    <row r="1806" spans="3:7" s="37" customFormat="1" ht="23.25" x14ac:dyDescent="0.35">
      <c r="C1806" s="41"/>
      <c r="E1806" s="57"/>
      <c r="F1806" s="42"/>
      <c r="G1806" s="80"/>
    </row>
    <row r="1807" spans="3:7" s="37" customFormat="1" ht="23.25" x14ac:dyDescent="0.35">
      <c r="C1807" s="41"/>
      <c r="E1807" s="57"/>
      <c r="F1807" s="42"/>
      <c r="G1807" s="80"/>
    </row>
    <row r="1808" spans="3:7" s="37" customFormat="1" ht="23.25" x14ac:dyDescent="0.35">
      <c r="C1808" s="41"/>
      <c r="E1808" s="57"/>
      <c r="F1808" s="42"/>
      <c r="G1808" s="80"/>
    </row>
    <row r="1809" spans="1:65" s="37" customFormat="1" ht="23.25" x14ac:dyDescent="0.35">
      <c r="C1809" s="41"/>
      <c r="E1809" s="57"/>
      <c r="F1809" s="42"/>
      <c r="G1809" s="80"/>
    </row>
    <row r="1810" spans="1:65" s="37" customFormat="1" ht="23.25" x14ac:dyDescent="0.35">
      <c r="C1810" s="41"/>
      <c r="E1810" s="57"/>
      <c r="F1810" s="42"/>
      <c r="G1810" s="80"/>
    </row>
    <row r="1811" spans="1:65" s="37" customFormat="1" ht="23.25" x14ac:dyDescent="0.35">
      <c r="C1811" s="41"/>
      <c r="E1811" s="57"/>
      <c r="F1811" s="42"/>
      <c r="G1811" s="80"/>
    </row>
    <row r="1812" spans="1:65" s="37" customFormat="1" ht="23.25" x14ac:dyDescent="0.35">
      <c r="C1812" s="41"/>
      <c r="E1812" s="57"/>
      <c r="F1812" s="42"/>
      <c r="G1812" s="80"/>
    </row>
    <row r="1813" spans="1:65" s="37" customFormat="1" ht="23.25" x14ac:dyDescent="0.35">
      <c r="C1813" s="41"/>
      <c r="E1813" s="57"/>
      <c r="F1813" s="42"/>
      <c r="G1813" s="80"/>
    </row>
    <row r="1814" spans="1:65" s="37" customFormat="1" ht="23.25" x14ac:dyDescent="0.35">
      <c r="C1814" s="41"/>
      <c r="E1814" s="57"/>
      <c r="F1814" s="42"/>
      <c r="G1814" s="80"/>
    </row>
    <row r="1815" spans="1:65" s="37" customFormat="1" ht="23.25" x14ac:dyDescent="0.35">
      <c r="C1815" s="41"/>
      <c r="E1815" s="57"/>
      <c r="F1815" s="42"/>
      <c r="G1815" s="80"/>
    </row>
    <row r="1816" spans="1:65" s="37" customFormat="1" ht="23.25" x14ac:dyDescent="0.35">
      <c r="C1816" s="41"/>
      <c r="E1816" s="57"/>
      <c r="F1816" s="42"/>
      <c r="G1816" s="80"/>
    </row>
    <row r="1817" spans="1:65" s="37" customFormat="1" ht="23.25" x14ac:dyDescent="0.35">
      <c r="C1817" s="41"/>
      <c r="E1817" s="57"/>
      <c r="F1817" s="42"/>
      <c r="G1817" s="80"/>
    </row>
    <row r="1818" spans="1:65" s="37" customFormat="1" ht="23.25" x14ac:dyDescent="0.35">
      <c r="C1818" s="41"/>
      <c r="E1818" s="57"/>
      <c r="F1818" s="42"/>
      <c r="G1818" s="80"/>
      <c r="I1818" s="85"/>
      <c r="J1818" s="87"/>
      <c r="K1818" s="85"/>
    </row>
    <row r="1819" spans="1:65" s="40" customFormat="1" ht="23.25" x14ac:dyDescent="0.35">
      <c r="A1819" s="85"/>
      <c r="B1819" s="85"/>
      <c r="C1819" s="86"/>
      <c r="D1819" s="87"/>
      <c r="E1819" s="57"/>
      <c r="F1819" s="88"/>
      <c r="G1819" s="89"/>
      <c r="H1819" s="85"/>
      <c r="I1819" s="37"/>
      <c r="J1819" s="38"/>
      <c r="K1819" s="37"/>
      <c r="L1819" s="87"/>
      <c r="M1819" s="39"/>
      <c r="P1819" s="85"/>
      <c r="Q1819" s="85"/>
      <c r="R1819" s="85"/>
      <c r="S1819" s="85"/>
      <c r="T1819" s="85"/>
      <c r="U1819" s="85"/>
      <c r="V1819" s="85"/>
      <c r="W1819" s="85"/>
      <c r="X1819" s="85"/>
      <c r="Y1819" s="85"/>
      <c r="Z1819" s="85"/>
      <c r="AA1819" s="85"/>
      <c r="AB1819" s="85"/>
      <c r="AC1819" s="85"/>
      <c r="AD1819" s="85"/>
      <c r="AE1819" s="85"/>
      <c r="AF1819" s="85"/>
      <c r="AG1819" s="85"/>
      <c r="AH1819" s="85"/>
      <c r="AI1819" s="85"/>
      <c r="AJ1819" s="85"/>
      <c r="AK1819" s="85"/>
      <c r="AL1819" s="85"/>
      <c r="AM1819" s="85"/>
      <c r="AN1819" s="85"/>
      <c r="AO1819" s="85"/>
      <c r="AP1819" s="85"/>
      <c r="AQ1819" s="85"/>
      <c r="AR1819" s="85"/>
      <c r="AS1819" s="85"/>
      <c r="AT1819" s="85"/>
      <c r="AU1819" s="85"/>
      <c r="AV1819" s="85"/>
      <c r="AW1819" s="85"/>
      <c r="AX1819" s="85"/>
      <c r="AY1819" s="85"/>
      <c r="AZ1819" s="85"/>
      <c r="BA1819" s="85"/>
      <c r="BB1819" s="85"/>
      <c r="BC1819" s="85"/>
      <c r="BD1819" s="85"/>
      <c r="BE1819" s="85"/>
      <c r="BF1819" s="85"/>
      <c r="BG1819" s="85"/>
      <c r="BH1819" s="85"/>
      <c r="BI1819" s="85"/>
      <c r="BJ1819" s="85"/>
      <c r="BK1819" s="85"/>
      <c r="BL1819" s="85"/>
      <c r="BM1819" s="85"/>
    </row>
    <row r="1820" spans="1:65" s="40" customFormat="1" ht="23.25" x14ac:dyDescent="0.35">
      <c r="A1820" s="37"/>
      <c r="B1820" s="37"/>
      <c r="C1820" s="41"/>
      <c r="D1820" s="38"/>
      <c r="E1820" s="57"/>
      <c r="F1820" s="42"/>
      <c r="G1820" s="43"/>
      <c r="H1820" s="37"/>
      <c r="I1820" s="37"/>
      <c r="J1820" s="38"/>
      <c r="K1820" s="37"/>
      <c r="L1820" s="38"/>
      <c r="M1820" s="39"/>
      <c r="P1820" s="37"/>
      <c r="Q1820" s="37"/>
      <c r="R1820" s="37"/>
      <c r="S1820" s="37"/>
      <c r="T1820" s="37"/>
      <c r="U1820" s="37"/>
      <c r="V1820" s="37"/>
      <c r="W1820" s="37"/>
      <c r="X1820" s="37"/>
      <c r="Y1820" s="37"/>
      <c r="Z1820" s="37"/>
      <c r="AA1820" s="37"/>
      <c r="AB1820" s="37"/>
      <c r="AC1820" s="37"/>
      <c r="AD1820" s="37"/>
      <c r="AE1820" s="37"/>
      <c r="AF1820" s="37"/>
      <c r="AG1820" s="37"/>
      <c r="AH1820" s="37"/>
      <c r="AI1820" s="37"/>
      <c r="AJ1820" s="37"/>
      <c r="AK1820" s="37"/>
      <c r="AL1820" s="37"/>
      <c r="AM1820" s="37"/>
      <c r="AN1820" s="37"/>
      <c r="AO1820" s="37"/>
      <c r="AP1820" s="37"/>
      <c r="AQ1820" s="37"/>
      <c r="AR1820" s="37"/>
      <c r="AS1820" s="37"/>
      <c r="AT1820" s="37"/>
      <c r="AU1820" s="37"/>
      <c r="AV1820" s="37"/>
      <c r="AW1820" s="37"/>
      <c r="AX1820" s="37"/>
      <c r="AY1820" s="37"/>
      <c r="AZ1820" s="37"/>
      <c r="BA1820" s="37"/>
      <c r="BB1820" s="37"/>
      <c r="BC1820" s="37"/>
      <c r="BD1820" s="37"/>
      <c r="BE1820" s="37"/>
      <c r="BF1820" s="37"/>
      <c r="BG1820" s="37"/>
      <c r="BH1820" s="37"/>
      <c r="BI1820" s="37"/>
      <c r="BJ1820" s="37"/>
      <c r="BK1820" s="37"/>
      <c r="BL1820" s="37"/>
      <c r="BM1820" s="37"/>
    </row>
    <row r="1821" spans="1:65" s="40" customFormat="1" ht="23.25" x14ac:dyDescent="0.35">
      <c r="A1821" s="37"/>
      <c r="B1821" s="37"/>
      <c r="C1821" s="41"/>
      <c r="D1821" s="38"/>
      <c r="E1821" s="57"/>
      <c r="F1821" s="42"/>
      <c r="G1821" s="43"/>
      <c r="H1821" s="37"/>
      <c r="I1821" s="37"/>
      <c r="J1821" s="38"/>
      <c r="K1821" s="37"/>
      <c r="L1821" s="38"/>
      <c r="M1821" s="39"/>
      <c r="P1821" s="37"/>
      <c r="Q1821" s="37"/>
      <c r="R1821" s="37"/>
      <c r="S1821" s="37"/>
      <c r="T1821" s="37"/>
      <c r="U1821" s="37"/>
      <c r="V1821" s="37"/>
      <c r="W1821" s="37"/>
      <c r="X1821" s="37"/>
      <c r="Y1821" s="37"/>
      <c r="Z1821" s="37"/>
      <c r="AA1821" s="37"/>
      <c r="AB1821" s="37"/>
      <c r="AC1821" s="37"/>
      <c r="AD1821" s="37"/>
      <c r="AE1821" s="37"/>
      <c r="AF1821" s="37"/>
      <c r="AG1821" s="37"/>
      <c r="AH1821" s="37"/>
      <c r="AI1821" s="37"/>
      <c r="AJ1821" s="37"/>
      <c r="AK1821" s="37"/>
      <c r="AL1821" s="37"/>
      <c r="AM1821" s="37"/>
      <c r="AN1821" s="37"/>
      <c r="AO1821" s="37"/>
      <c r="AP1821" s="37"/>
      <c r="AQ1821" s="37"/>
      <c r="AR1821" s="37"/>
      <c r="AS1821" s="37"/>
      <c r="AT1821" s="37"/>
      <c r="AU1821" s="37"/>
      <c r="AV1821" s="37"/>
      <c r="AW1821" s="37"/>
      <c r="AX1821" s="37"/>
      <c r="AY1821" s="37"/>
      <c r="AZ1821" s="37"/>
      <c r="BA1821" s="37"/>
      <c r="BB1821" s="37"/>
      <c r="BC1821" s="37"/>
      <c r="BD1821" s="37"/>
      <c r="BE1821" s="37"/>
      <c r="BF1821" s="37"/>
      <c r="BG1821" s="37"/>
      <c r="BH1821" s="37"/>
      <c r="BI1821" s="37"/>
      <c r="BJ1821" s="37"/>
      <c r="BK1821" s="37"/>
      <c r="BL1821" s="37"/>
      <c r="BM1821" s="37"/>
    </row>
    <row r="1822" spans="1:65" s="40" customFormat="1" ht="23.25" x14ac:dyDescent="0.35">
      <c r="A1822" s="37"/>
      <c r="B1822" s="37"/>
      <c r="C1822" s="41"/>
      <c r="D1822" s="38"/>
      <c r="E1822" s="57"/>
      <c r="F1822" s="42"/>
      <c r="G1822" s="43"/>
      <c r="H1822" s="37"/>
      <c r="I1822" s="37"/>
      <c r="J1822" s="38"/>
      <c r="K1822" s="37"/>
      <c r="L1822" s="38"/>
      <c r="M1822" s="39"/>
      <c r="P1822" s="37"/>
      <c r="Q1822" s="37"/>
      <c r="R1822" s="37"/>
      <c r="S1822" s="37"/>
      <c r="T1822" s="37"/>
      <c r="U1822" s="37"/>
      <c r="V1822" s="37"/>
      <c r="W1822" s="37"/>
      <c r="X1822" s="37"/>
      <c r="Y1822" s="37"/>
      <c r="Z1822" s="37"/>
      <c r="AA1822" s="37"/>
      <c r="AB1822" s="37"/>
      <c r="AC1822" s="37"/>
      <c r="AD1822" s="37"/>
      <c r="AE1822" s="37"/>
      <c r="AF1822" s="37"/>
      <c r="AG1822" s="37"/>
      <c r="AH1822" s="37"/>
      <c r="AI1822" s="37"/>
      <c r="AJ1822" s="37"/>
      <c r="AK1822" s="37"/>
      <c r="AL1822" s="37"/>
      <c r="AM1822" s="37"/>
      <c r="AN1822" s="37"/>
      <c r="AO1822" s="37"/>
      <c r="AP1822" s="37"/>
      <c r="AQ1822" s="37"/>
      <c r="AR1822" s="37"/>
      <c r="AS1822" s="37"/>
      <c r="AT1822" s="37"/>
      <c r="AU1822" s="37"/>
      <c r="AV1822" s="37"/>
      <c r="AW1822" s="37"/>
      <c r="AX1822" s="37"/>
      <c r="AY1822" s="37"/>
      <c r="AZ1822" s="37"/>
      <c r="BA1822" s="37"/>
      <c r="BB1822" s="37"/>
      <c r="BC1822" s="37"/>
      <c r="BD1822" s="37"/>
      <c r="BE1822" s="37"/>
      <c r="BF1822" s="37"/>
      <c r="BG1822" s="37"/>
      <c r="BH1822" s="37"/>
      <c r="BI1822" s="37"/>
      <c r="BJ1822" s="37"/>
      <c r="BK1822" s="37"/>
      <c r="BL1822" s="37"/>
      <c r="BM1822" s="37"/>
    </row>
    <row r="1823" spans="1:65" s="40" customFormat="1" ht="23.25" x14ac:dyDescent="0.35">
      <c r="A1823" s="37"/>
      <c r="B1823" s="37"/>
      <c r="C1823" s="41"/>
      <c r="D1823" s="38"/>
      <c r="E1823" s="57"/>
      <c r="F1823" s="42"/>
      <c r="G1823" s="43"/>
      <c r="H1823" s="37"/>
      <c r="I1823" s="37"/>
      <c r="J1823" s="38"/>
      <c r="K1823" s="37"/>
      <c r="L1823" s="38"/>
      <c r="M1823" s="39"/>
      <c r="P1823" s="37"/>
      <c r="Q1823" s="37"/>
      <c r="R1823" s="37"/>
      <c r="S1823" s="37"/>
      <c r="T1823" s="37"/>
      <c r="U1823" s="37"/>
      <c r="V1823" s="37"/>
      <c r="W1823" s="37"/>
      <c r="X1823" s="37"/>
      <c r="Y1823" s="37"/>
      <c r="Z1823" s="37"/>
      <c r="AA1823" s="37"/>
      <c r="AB1823" s="37"/>
      <c r="AC1823" s="37"/>
      <c r="AD1823" s="37"/>
      <c r="AE1823" s="37"/>
      <c r="AF1823" s="37"/>
      <c r="AG1823" s="37"/>
      <c r="AH1823" s="37"/>
      <c r="AI1823" s="37"/>
      <c r="AJ1823" s="37"/>
      <c r="AK1823" s="37"/>
      <c r="AL1823" s="37"/>
      <c r="AM1823" s="37"/>
      <c r="AN1823" s="37"/>
      <c r="AO1823" s="37"/>
      <c r="AP1823" s="37"/>
      <c r="AQ1823" s="37"/>
      <c r="AR1823" s="37"/>
      <c r="AS1823" s="37"/>
      <c r="AT1823" s="37"/>
      <c r="AU1823" s="37"/>
      <c r="AV1823" s="37"/>
      <c r="AW1823" s="37"/>
      <c r="AX1823" s="37"/>
      <c r="AY1823" s="37"/>
      <c r="AZ1823" s="37"/>
      <c r="BA1823" s="37"/>
      <c r="BB1823" s="37"/>
      <c r="BC1823" s="37"/>
      <c r="BD1823" s="37"/>
      <c r="BE1823" s="37"/>
      <c r="BF1823" s="37"/>
      <c r="BG1823" s="37"/>
      <c r="BH1823" s="37"/>
      <c r="BI1823" s="37"/>
      <c r="BJ1823" s="37"/>
      <c r="BK1823" s="37"/>
      <c r="BL1823" s="37"/>
      <c r="BM1823" s="37"/>
    </row>
    <row r="1824" spans="1:65" s="40" customFormat="1" ht="23.25" x14ac:dyDescent="0.35">
      <c r="A1824" s="37"/>
      <c r="B1824" s="37"/>
      <c r="C1824" s="41"/>
      <c r="D1824" s="38"/>
      <c r="E1824" s="57"/>
      <c r="F1824" s="42"/>
      <c r="G1824" s="43"/>
      <c r="H1824" s="37"/>
      <c r="I1824" s="37"/>
      <c r="J1824" s="38"/>
      <c r="K1824" s="37"/>
      <c r="L1824" s="38"/>
      <c r="M1824" s="39"/>
      <c r="P1824" s="37"/>
      <c r="Q1824" s="37"/>
      <c r="R1824" s="37"/>
      <c r="S1824" s="37"/>
      <c r="T1824" s="37"/>
      <c r="U1824" s="37"/>
      <c r="V1824" s="37"/>
      <c r="W1824" s="37"/>
      <c r="X1824" s="37"/>
      <c r="Y1824" s="37"/>
      <c r="Z1824" s="37"/>
      <c r="AA1824" s="37"/>
      <c r="AB1824" s="37"/>
      <c r="AC1824" s="37"/>
      <c r="AD1824" s="37"/>
      <c r="AE1824" s="37"/>
      <c r="AF1824" s="37"/>
      <c r="AG1824" s="37"/>
      <c r="AH1824" s="37"/>
      <c r="AI1824" s="37"/>
      <c r="AJ1824" s="37"/>
      <c r="AK1824" s="37"/>
      <c r="AL1824" s="37"/>
      <c r="AM1824" s="37"/>
      <c r="AN1824" s="37"/>
      <c r="AO1824" s="37"/>
      <c r="AP1824" s="37"/>
      <c r="AQ1824" s="37"/>
      <c r="AR1824" s="37"/>
      <c r="AS1824" s="37"/>
      <c r="AT1824" s="37"/>
      <c r="AU1824" s="37"/>
      <c r="AV1824" s="37"/>
      <c r="AW1824" s="37"/>
      <c r="AX1824" s="37"/>
      <c r="AY1824" s="37"/>
      <c r="AZ1824" s="37"/>
      <c r="BA1824" s="37"/>
      <c r="BB1824" s="37"/>
      <c r="BC1824" s="37"/>
      <c r="BD1824" s="37"/>
      <c r="BE1824" s="37"/>
      <c r="BF1824" s="37"/>
      <c r="BG1824" s="37"/>
      <c r="BH1824" s="37"/>
      <c r="BI1824" s="37"/>
      <c r="BJ1824" s="37"/>
      <c r="BK1824" s="37"/>
      <c r="BL1824" s="37"/>
      <c r="BM1824" s="37"/>
    </row>
    <row r="1825" spans="1:65" s="40" customFormat="1" ht="23.25" x14ac:dyDescent="0.35">
      <c r="A1825" s="37"/>
      <c r="B1825" s="37"/>
      <c r="C1825" s="41"/>
      <c r="D1825" s="38"/>
      <c r="E1825" s="57"/>
      <c r="F1825" s="42"/>
      <c r="G1825" s="43"/>
      <c r="H1825" s="37"/>
      <c r="I1825" s="37"/>
      <c r="J1825" s="38"/>
      <c r="K1825" s="37"/>
      <c r="L1825" s="38"/>
      <c r="M1825" s="39"/>
      <c r="P1825" s="37"/>
      <c r="Q1825" s="37"/>
      <c r="R1825" s="37"/>
      <c r="S1825" s="37"/>
      <c r="T1825" s="37"/>
      <c r="U1825" s="37"/>
      <c r="V1825" s="37"/>
      <c r="W1825" s="37"/>
      <c r="X1825" s="37"/>
      <c r="Y1825" s="37"/>
      <c r="Z1825" s="37"/>
      <c r="AA1825" s="37"/>
      <c r="AB1825" s="37"/>
      <c r="AC1825" s="37"/>
      <c r="AD1825" s="37"/>
      <c r="AE1825" s="37"/>
      <c r="AF1825" s="37"/>
      <c r="AG1825" s="37"/>
      <c r="AH1825" s="37"/>
      <c r="AI1825" s="37"/>
      <c r="AJ1825" s="37"/>
      <c r="AK1825" s="37"/>
      <c r="AL1825" s="37"/>
      <c r="AM1825" s="37"/>
      <c r="AN1825" s="37"/>
      <c r="AO1825" s="37"/>
      <c r="AP1825" s="37"/>
      <c r="AQ1825" s="37"/>
      <c r="AR1825" s="37"/>
      <c r="AS1825" s="37"/>
      <c r="AT1825" s="37"/>
      <c r="AU1825" s="37"/>
      <c r="AV1825" s="37"/>
      <c r="AW1825" s="37"/>
      <c r="AX1825" s="37"/>
      <c r="AY1825" s="37"/>
      <c r="AZ1825" s="37"/>
      <c r="BA1825" s="37"/>
      <c r="BB1825" s="37"/>
      <c r="BC1825" s="37"/>
      <c r="BD1825" s="37"/>
      <c r="BE1825" s="37"/>
      <c r="BF1825" s="37"/>
      <c r="BG1825" s="37"/>
      <c r="BH1825" s="37"/>
      <c r="BI1825" s="37"/>
      <c r="BJ1825" s="37"/>
      <c r="BK1825" s="37"/>
      <c r="BL1825" s="37"/>
      <c r="BM1825" s="37"/>
    </row>
    <row r="1826" spans="1:65" s="40" customFormat="1" ht="23.25" x14ac:dyDescent="0.35">
      <c r="A1826" s="37"/>
      <c r="B1826" s="37"/>
      <c r="C1826" s="41"/>
      <c r="D1826" s="38"/>
      <c r="E1826" s="57"/>
      <c r="F1826" s="42"/>
      <c r="G1826" s="43"/>
      <c r="H1826" s="37"/>
      <c r="I1826" s="37"/>
      <c r="J1826" s="38"/>
      <c r="K1826" s="37"/>
      <c r="L1826" s="38"/>
      <c r="M1826" s="39"/>
      <c r="P1826" s="37"/>
      <c r="Q1826" s="37"/>
      <c r="R1826" s="37"/>
      <c r="S1826" s="37"/>
      <c r="T1826" s="37"/>
      <c r="U1826" s="37"/>
      <c r="V1826" s="37"/>
      <c r="W1826" s="37"/>
      <c r="X1826" s="37"/>
      <c r="Y1826" s="37"/>
      <c r="Z1826" s="37"/>
      <c r="AA1826" s="37"/>
      <c r="AB1826" s="37"/>
      <c r="AC1826" s="37"/>
      <c r="AD1826" s="37"/>
      <c r="AE1826" s="37"/>
      <c r="AF1826" s="37"/>
      <c r="AG1826" s="37"/>
      <c r="AH1826" s="37"/>
      <c r="AI1826" s="37"/>
      <c r="AJ1826" s="37"/>
      <c r="AK1826" s="37"/>
      <c r="AL1826" s="37"/>
      <c r="AM1826" s="37"/>
      <c r="AN1826" s="37"/>
      <c r="AO1826" s="37"/>
      <c r="AP1826" s="37"/>
      <c r="AQ1826" s="37"/>
      <c r="AR1826" s="37"/>
      <c r="AS1826" s="37"/>
      <c r="AT1826" s="37"/>
      <c r="AU1826" s="37"/>
      <c r="AV1826" s="37"/>
      <c r="AW1826" s="37"/>
      <c r="AX1826" s="37"/>
      <c r="AY1826" s="37"/>
      <c r="AZ1826" s="37"/>
      <c r="BA1826" s="37"/>
      <c r="BB1826" s="37"/>
      <c r="BC1826" s="37"/>
      <c r="BD1826" s="37"/>
      <c r="BE1826" s="37"/>
      <c r="BF1826" s="37"/>
      <c r="BG1826" s="37"/>
      <c r="BH1826" s="37"/>
      <c r="BI1826" s="37"/>
      <c r="BJ1826" s="37"/>
      <c r="BK1826" s="37"/>
      <c r="BL1826" s="37"/>
      <c r="BM1826" s="37"/>
    </row>
    <row r="1827" spans="1:65" s="40" customFormat="1" ht="23.25" x14ac:dyDescent="0.35">
      <c r="A1827" s="37"/>
      <c r="B1827" s="37"/>
      <c r="C1827" s="41"/>
      <c r="D1827" s="38"/>
      <c r="E1827" s="57"/>
      <c r="F1827" s="42"/>
      <c r="G1827" s="43"/>
      <c r="H1827" s="37"/>
      <c r="I1827" s="37"/>
      <c r="J1827" s="38"/>
      <c r="K1827" s="37"/>
      <c r="L1827" s="38"/>
      <c r="M1827" s="39"/>
      <c r="P1827" s="37"/>
      <c r="Q1827" s="37"/>
      <c r="R1827" s="37"/>
      <c r="S1827" s="37"/>
      <c r="T1827" s="37"/>
      <c r="U1827" s="37"/>
      <c r="V1827" s="37"/>
      <c r="W1827" s="37"/>
      <c r="X1827" s="37"/>
      <c r="Y1827" s="37"/>
      <c r="Z1827" s="37"/>
      <c r="AA1827" s="37"/>
      <c r="AB1827" s="37"/>
      <c r="AC1827" s="37"/>
      <c r="AD1827" s="37"/>
      <c r="AE1827" s="37"/>
      <c r="AF1827" s="37"/>
      <c r="AG1827" s="37"/>
      <c r="AH1827" s="37"/>
      <c r="AI1827" s="37"/>
      <c r="AJ1827" s="37"/>
      <c r="AK1827" s="37"/>
      <c r="AL1827" s="37"/>
      <c r="AM1827" s="37"/>
      <c r="AN1827" s="37"/>
      <c r="AO1827" s="37"/>
      <c r="AP1827" s="37"/>
      <c r="AQ1827" s="37"/>
      <c r="AR1827" s="37"/>
      <c r="AS1827" s="37"/>
      <c r="AT1827" s="37"/>
      <c r="AU1827" s="37"/>
      <c r="AV1827" s="37"/>
      <c r="AW1827" s="37"/>
      <c r="AX1827" s="37"/>
      <c r="AY1827" s="37"/>
      <c r="AZ1827" s="37"/>
      <c r="BA1827" s="37"/>
      <c r="BB1827" s="37"/>
      <c r="BC1827" s="37"/>
      <c r="BD1827" s="37"/>
      <c r="BE1827" s="37"/>
      <c r="BF1827" s="37"/>
      <c r="BG1827" s="37"/>
      <c r="BH1827" s="37"/>
      <c r="BI1827" s="37"/>
      <c r="BJ1827" s="37"/>
      <c r="BK1827" s="37"/>
      <c r="BL1827" s="37"/>
      <c r="BM1827" s="37"/>
    </row>
    <row r="1828" spans="1:65" s="40" customFormat="1" ht="23.25" x14ac:dyDescent="0.35">
      <c r="A1828" s="37"/>
      <c r="B1828" s="37"/>
      <c r="C1828" s="41"/>
      <c r="D1828" s="38"/>
      <c r="E1828" s="57"/>
      <c r="F1828" s="42"/>
      <c r="G1828" s="43"/>
      <c r="H1828" s="37"/>
      <c r="I1828" s="37"/>
      <c r="J1828" s="38"/>
      <c r="K1828" s="37"/>
      <c r="L1828" s="38"/>
      <c r="M1828" s="39"/>
      <c r="P1828" s="37"/>
      <c r="Q1828" s="37"/>
      <c r="R1828" s="37"/>
      <c r="S1828" s="37"/>
      <c r="T1828" s="37"/>
      <c r="U1828" s="37"/>
      <c r="V1828" s="37"/>
      <c r="W1828" s="37"/>
      <c r="X1828" s="37"/>
      <c r="Y1828" s="37"/>
      <c r="Z1828" s="37"/>
      <c r="AA1828" s="37"/>
      <c r="AB1828" s="37"/>
      <c r="AC1828" s="37"/>
      <c r="AD1828" s="37"/>
      <c r="AE1828" s="37"/>
      <c r="AF1828" s="37"/>
      <c r="AG1828" s="37"/>
      <c r="AH1828" s="37"/>
      <c r="AI1828" s="37"/>
      <c r="AJ1828" s="37"/>
      <c r="AK1828" s="37"/>
      <c r="AL1828" s="37"/>
      <c r="AM1828" s="37"/>
      <c r="AN1828" s="37"/>
      <c r="AO1828" s="37"/>
      <c r="AP1828" s="37"/>
      <c r="AQ1828" s="37"/>
      <c r="AR1828" s="37"/>
      <c r="AS1828" s="37"/>
      <c r="AT1828" s="37"/>
      <c r="AU1828" s="37"/>
      <c r="AV1828" s="37"/>
      <c r="AW1828" s="37"/>
      <c r="AX1828" s="37"/>
      <c r="AY1828" s="37"/>
      <c r="AZ1828" s="37"/>
      <c r="BA1828" s="37"/>
      <c r="BB1828" s="37"/>
      <c r="BC1828" s="37"/>
      <c r="BD1828" s="37"/>
      <c r="BE1828" s="37"/>
      <c r="BF1828" s="37"/>
      <c r="BG1828" s="37"/>
      <c r="BH1828" s="37"/>
      <c r="BI1828" s="37"/>
      <c r="BJ1828" s="37"/>
      <c r="BK1828" s="37"/>
      <c r="BL1828" s="37"/>
      <c r="BM1828" s="37"/>
    </row>
    <row r="1829" spans="1:65" s="40" customFormat="1" ht="23.25" x14ac:dyDescent="0.35">
      <c r="A1829" s="37"/>
      <c r="B1829" s="37"/>
      <c r="C1829" s="41"/>
      <c r="D1829" s="38"/>
      <c r="E1829" s="57"/>
      <c r="F1829" s="42"/>
      <c r="G1829" s="43"/>
      <c r="H1829" s="37"/>
      <c r="I1829" s="37"/>
      <c r="J1829" s="38"/>
      <c r="K1829" s="37"/>
      <c r="L1829" s="38"/>
      <c r="M1829" s="39"/>
      <c r="P1829" s="37"/>
      <c r="Q1829" s="37"/>
      <c r="R1829" s="37"/>
      <c r="S1829" s="37"/>
      <c r="T1829" s="37"/>
      <c r="U1829" s="37"/>
      <c r="V1829" s="37"/>
      <c r="W1829" s="37"/>
      <c r="X1829" s="37"/>
      <c r="Y1829" s="37"/>
      <c r="Z1829" s="37"/>
      <c r="AA1829" s="37"/>
      <c r="AB1829" s="37"/>
      <c r="AC1829" s="37"/>
      <c r="AD1829" s="37"/>
      <c r="AE1829" s="37"/>
      <c r="AF1829" s="37"/>
      <c r="AG1829" s="37"/>
      <c r="AH1829" s="37"/>
      <c r="AI1829" s="37"/>
      <c r="AJ1829" s="37"/>
      <c r="AK1829" s="37"/>
      <c r="AL1829" s="37"/>
      <c r="AM1829" s="37"/>
      <c r="AN1829" s="37"/>
      <c r="AO1829" s="37"/>
      <c r="AP1829" s="37"/>
      <c r="AQ1829" s="37"/>
      <c r="AR1829" s="37"/>
      <c r="AS1829" s="37"/>
      <c r="AT1829" s="37"/>
      <c r="AU1829" s="37"/>
      <c r="AV1829" s="37"/>
      <c r="AW1829" s="37"/>
      <c r="AX1829" s="37"/>
      <c r="AY1829" s="37"/>
      <c r="AZ1829" s="37"/>
      <c r="BA1829" s="37"/>
      <c r="BB1829" s="37"/>
      <c r="BC1829" s="37"/>
      <c r="BD1829" s="37"/>
      <c r="BE1829" s="37"/>
      <c r="BF1829" s="37"/>
      <c r="BG1829" s="37"/>
      <c r="BH1829" s="37"/>
      <c r="BI1829" s="37"/>
      <c r="BJ1829" s="37"/>
      <c r="BK1829" s="37"/>
      <c r="BL1829" s="37"/>
      <c r="BM1829" s="37"/>
    </row>
    <row r="1830" spans="1:65" s="40" customFormat="1" ht="23.25" x14ac:dyDescent="0.35">
      <c r="A1830" s="37"/>
      <c r="B1830" s="37"/>
      <c r="C1830" s="41"/>
      <c r="D1830" s="38"/>
      <c r="E1830" s="57"/>
      <c r="F1830" s="42"/>
      <c r="G1830" s="43"/>
      <c r="H1830" s="37"/>
      <c r="I1830" s="37"/>
      <c r="J1830" s="38"/>
      <c r="K1830" s="37"/>
      <c r="L1830" s="38"/>
      <c r="M1830" s="39"/>
      <c r="P1830" s="37"/>
      <c r="Q1830" s="37"/>
      <c r="R1830" s="37"/>
      <c r="S1830" s="37"/>
      <c r="T1830" s="37"/>
      <c r="U1830" s="37"/>
      <c r="V1830" s="37"/>
      <c r="W1830" s="37"/>
      <c r="X1830" s="37"/>
      <c r="Y1830" s="37"/>
      <c r="Z1830" s="37"/>
      <c r="AA1830" s="37"/>
      <c r="AB1830" s="37"/>
      <c r="AC1830" s="37"/>
      <c r="AD1830" s="37"/>
      <c r="AE1830" s="37"/>
      <c r="AF1830" s="37"/>
      <c r="AG1830" s="37"/>
      <c r="AH1830" s="37"/>
      <c r="AI1830" s="37"/>
      <c r="AJ1830" s="37"/>
      <c r="AK1830" s="37"/>
      <c r="AL1830" s="37"/>
      <c r="AM1830" s="37"/>
      <c r="AN1830" s="37"/>
      <c r="AO1830" s="37"/>
      <c r="AP1830" s="37"/>
      <c r="AQ1830" s="37"/>
      <c r="AR1830" s="37"/>
      <c r="AS1830" s="37"/>
      <c r="AT1830" s="37"/>
      <c r="AU1830" s="37"/>
      <c r="AV1830" s="37"/>
      <c r="AW1830" s="37"/>
      <c r="AX1830" s="37"/>
      <c r="AY1830" s="37"/>
      <c r="AZ1830" s="37"/>
      <c r="BA1830" s="37"/>
      <c r="BB1830" s="37"/>
      <c r="BC1830" s="37"/>
      <c r="BD1830" s="37"/>
      <c r="BE1830" s="37"/>
      <c r="BF1830" s="37"/>
      <c r="BG1830" s="37"/>
      <c r="BH1830" s="37"/>
      <c r="BI1830" s="37"/>
      <c r="BJ1830" s="37"/>
      <c r="BK1830" s="37"/>
      <c r="BL1830" s="37"/>
      <c r="BM1830" s="37"/>
    </row>
    <row r="1831" spans="1:65" s="40" customFormat="1" ht="23.25" x14ac:dyDescent="0.35">
      <c r="A1831" s="37"/>
      <c r="B1831" s="37"/>
      <c r="C1831" s="41"/>
      <c r="D1831" s="38"/>
      <c r="E1831" s="57"/>
      <c r="F1831" s="42"/>
      <c r="G1831" s="43"/>
      <c r="H1831" s="37"/>
      <c r="I1831" s="37"/>
      <c r="J1831" s="38"/>
      <c r="K1831" s="37"/>
      <c r="L1831" s="38"/>
      <c r="M1831" s="39"/>
      <c r="P1831" s="37"/>
      <c r="Q1831" s="37"/>
      <c r="R1831" s="37"/>
      <c r="S1831" s="37"/>
      <c r="T1831" s="37"/>
      <c r="U1831" s="37"/>
      <c r="V1831" s="37"/>
      <c r="W1831" s="37"/>
      <c r="X1831" s="37"/>
      <c r="Y1831" s="37"/>
      <c r="Z1831" s="37"/>
      <c r="AA1831" s="37"/>
      <c r="AB1831" s="37"/>
      <c r="AC1831" s="37"/>
      <c r="AD1831" s="37"/>
      <c r="AE1831" s="37"/>
      <c r="AF1831" s="37"/>
      <c r="AG1831" s="37"/>
      <c r="AH1831" s="37"/>
      <c r="AI1831" s="37"/>
      <c r="AJ1831" s="37"/>
      <c r="AK1831" s="37"/>
      <c r="AL1831" s="37"/>
      <c r="AM1831" s="37"/>
      <c r="AN1831" s="37"/>
      <c r="AO1831" s="37"/>
      <c r="AP1831" s="37"/>
      <c r="AQ1831" s="37"/>
      <c r="AR1831" s="37"/>
      <c r="AS1831" s="37"/>
      <c r="AT1831" s="37"/>
      <c r="AU1831" s="37"/>
      <c r="AV1831" s="37"/>
      <c r="AW1831" s="37"/>
      <c r="AX1831" s="37"/>
      <c r="AY1831" s="37"/>
      <c r="AZ1831" s="37"/>
      <c r="BA1831" s="37"/>
      <c r="BB1831" s="37"/>
      <c r="BC1831" s="37"/>
      <c r="BD1831" s="37"/>
      <c r="BE1831" s="37"/>
      <c r="BF1831" s="37"/>
      <c r="BG1831" s="37"/>
      <c r="BH1831" s="37"/>
      <c r="BI1831" s="37"/>
      <c r="BJ1831" s="37"/>
      <c r="BK1831" s="37"/>
      <c r="BL1831" s="37"/>
      <c r="BM1831" s="37"/>
    </row>
    <row r="1832" spans="1:65" s="40" customFormat="1" ht="23.25" x14ac:dyDescent="0.35">
      <c r="A1832" s="37"/>
      <c r="B1832" s="37"/>
      <c r="C1832" s="41"/>
      <c r="D1832" s="38"/>
      <c r="E1832" s="57"/>
      <c r="F1832" s="42"/>
      <c r="G1832" s="43"/>
      <c r="H1832" s="37"/>
      <c r="I1832" s="37"/>
      <c r="J1832" s="38"/>
      <c r="K1832" s="37"/>
      <c r="L1832" s="38"/>
      <c r="M1832" s="39"/>
      <c r="P1832" s="37"/>
      <c r="Q1832" s="37"/>
      <c r="R1832" s="37"/>
      <c r="S1832" s="37"/>
      <c r="T1832" s="37"/>
      <c r="U1832" s="37"/>
      <c r="V1832" s="37"/>
      <c r="W1832" s="37"/>
      <c r="X1832" s="37"/>
      <c r="Y1832" s="37"/>
      <c r="Z1832" s="37"/>
      <c r="AA1832" s="37"/>
      <c r="AB1832" s="37"/>
      <c r="AC1832" s="37"/>
      <c r="AD1832" s="37"/>
      <c r="AE1832" s="37"/>
      <c r="AF1832" s="37"/>
      <c r="AG1832" s="37"/>
      <c r="AH1832" s="37"/>
      <c r="AI1832" s="37"/>
      <c r="AJ1832" s="37"/>
      <c r="AK1832" s="37"/>
      <c r="AL1832" s="37"/>
      <c r="AM1832" s="37"/>
      <c r="AN1832" s="37"/>
      <c r="AO1832" s="37"/>
      <c r="AP1832" s="37"/>
      <c r="AQ1832" s="37"/>
      <c r="AR1832" s="37"/>
      <c r="AS1832" s="37"/>
      <c r="AT1832" s="37"/>
      <c r="AU1832" s="37"/>
      <c r="AV1832" s="37"/>
      <c r="AW1832" s="37"/>
      <c r="AX1832" s="37"/>
      <c r="AY1832" s="37"/>
      <c r="AZ1832" s="37"/>
      <c r="BA1832" s="37"/>
      <c r="BB1832" s="37"/>
      <c r="BC1832" s="37"/>
      <c r="BD1832" s="37"/>
      <c r="BE1832" s="37"/>
      <c r="BF1832" s="37"/>
      <c r="BG1832" s="37"/>
      <c r="BH1832" s="37"/>
      <c r="BI1832" s="37"/>
      <c r="BJ1832" s="37"/>
      <c r="BK1832" s="37"/>
      <c r="BL1832" s="37"/>
      <c r="BM1832" s="37"/>
    </row>
    <row r="1833" spans="1:65" s="40" customFormat="1" ht="23.25" x14ac:dyDescent="0.35">
      <c r="A1833" s="37"/>
      <c r="B1833" s="37"/>
      <c r="C1833" s="41"/>
      <c r="D1833" s="38"/>
      <c r="E1833" s="57"/>
      <c r="F1833" s="42"/>
      <c r="G1833" s="43"/>
      <c r="H1833" s="37"/>
      <c r="I1833" s="37"/>
      <c r="J1833" s="38"/>
      <c r="K1833" s="37"/>
      <c r="L1833" s="38"/>
      <c r="M1833" s="39"/>
      <c r="P1833" s="37"/>
      <c r="Q1833" s="37"/>
      <c r="R1833" s="37"/>
      <c r="S1833" s="37"/>
      <c r="T1833" s="37"/>
      <c r="U1833" s="37"/>
      <c r="V1833" s="37"/>
      <c r="W1833" s="37"/>
      <c r="X1833" s="37"/>
      <c r="Y1833" s="37"/>
      <c r="Z1833" s="37"/>
      <c r="AA1833" s="37"/>
      <c r="AB1833" s="37"/>
      <c r="AC1833" s="37"/>
      <c r="AD1833" s="37"/>
      <c r="AE1833" s="37"/>
      <c r="AF1833" s="37"/>
      <c r="AG1833" s="37"/>
      <c r="AH1833" s="37"/>
      <c r="AI1833" s="37"/>
      <c r="AJ1833" s="37"/>
      <c r="AK1833" s="37"/>
      <c r="AL1833" s="37"/>
      <c r="AM1833" s="37"/>
      <c r="AN1833" s="37"/>
      <c r="AO1833" s="37"/>
      <c r="AP1833" s="37"/>
      <c r="AQ1833" s="37"/>
      <c r="AR1833" s="37"/>
      <c r="AS1833" s="37"/>
      <c r="AT1833" s="37"/>
      <c r="AU1833" s="37"/>
      <c r="AV1833" s="37"/>
      <c r="AW1833" s="37"/>
      <c r="AX1833" s="37"/>
      <c r="AY1833" s="37"/>
      <c r="AZ1833" s="37"/>
      <c r="BA1833" s="37"/>
      <c r="BB1833" s="37"/>
      <c r="BC1833" s="37"/>
      <c r="BD1833" s="37"/>
      <c r="BE1833" s="37"/>
      <c r="BF1833" s="37"/>
      <c r="BG1833" s="37"/>
      <c r="BH1833" s="37"/>
      <c r="BI1833" s="37"/>
      <c r="BJ1833" s="37"/>
      <c r="BK1833" s="37"/>
      <c r="BL1833" s="37"/>
      <c r="BM1833" s="37"/>
    </row>
    <row r="1834" spans="1:65" s="40" customFormat="1" ht="23.25" x14ac:dyDescent="0.35">
      <c r="A1834" s="37"/>
      <c r="B1834" s="37"/>
      <c r="C1834" s="41"/>
      <c r="D1834" s="38"/>
      <c r="E1834" s="57"/>
      <c r="F1834" s="42"/>
      <c r="G1834" s="43"/>
      <c r="H1834" s="37"/>
      <c r="I1834" s="37"/>
      <c r="J1834" s="38"/>
      <c r="K1834" s="37"/>
      <c r="L1834" s="38"/>
      <c r="M1834" s="39"/>
      <c r="P1834" s="37"/>
      <c r="Q1834" s="37"/>
      <c r="R1834" s="37"/>
      <c r="S1834" s="37"/>
      <c r="T1834" s="37"/>
      <c r="U1834" s="37"/>
      <c r="V1834" s="37"/>
      <c r="W1834" s="37"/>
      <c r="X1834" s="37"/>
      <c r="Y1834" s="37"/>
      <c r="Z1834" s="37"/>
      <c r="AA1834" s="37"/>
      <c r="AB1834" s="37"/>
      <c r="AC1834" s="37"/>
      <c r="AD1834" s="37"/>
      <c r="AE1834" s="37"/>
      <c r="AF1834" s="37"/>
      <c r="AG1834" s="37"/>
      <c r="AH1834" s="37"/>
      <c r="AI1834" s="37"/>
      <c r="AJ1834" s="37"/>
      <c r="AK1834" s="37"/>
      <c r="AL1834" s="37"/>
      <c r="AM1834" s="37"/>
      <c r="AN1834" s="37"/>
      <c r="AO1834" s="37"/>
      <c r="AP1834" s="37"/>
      <c r="AQ1834" s="37"/>
      <c r="AR1834" s="37"/>
      <c r="AS1834" s="37"/>
      <c r="AT1834" s="37"/>
      <c r="AU1834" s="37"/>
      <c r="AV1834" s="37"/>
      <c r="AW1834" s="37"/>
      <c r="AX1834" s="37"/>
      <c r="AY1834" s="37"/>
      <c r="AZ1834" s="37"/>
      <c r="BA1834" s="37"/>
      <c r="BB1834" s="37"/>
      <c r="BC1834" s="37"/>
      <c r="BD1834" s="37"/>
      <c r="BE1834" s="37"/>
      <c r="BF1834" s="37"/>
      <c r="BG1834" s="37"/>
      <c r="BH1834" s="37"/>
      <c r="BI1834" s="37"/>
      <c r="BJ1834" s="37"/>
      <c r="BK1834" s="37"/>
      <c r="BL1834" s="37"/>
      <c r="BM1834" s="37"/>
    </row>
    <row r="1835" spans="1:65" s="40" customFormat="1" ht="23.25" x14ac:dyDescent="0.35">
      <c r="A1835" s="37"/>
      <c r="B1835" s="37"/>
      <c r="C1835" s="41"/>
      <c r="D1835" s="38"/>
      <c r="E1835" s="57"/>
      <c r="F1835" s="42"/>
      <c r="G1835" s="43"/>
      <c r="H1835" s="37"/>
      <c r="I1835" s="37"/>
      <c r="J1835" s="38"/>
      <c r="K1835" s="37"/>
      <c r="L1835" s="38"/>
      <c r="M1835" s="39"/>
      <c r="P1835" s="37"/>
      <c r="Q1835" s="37"/>
      <c r="R1835" s="37"/>
      <c r="S1835" s="37"/>
      <c r="T1835" s="37"/>
      <c r="U1835" s="37"/>
      <c r="V1835" s="37"/>
      <c r="W1835" s="37"/>
      <c r="X1835" s="37"/>
      <c r="Y1835" s="37"/>
      <c r="Z1835" s="37"/>
      <c r="AA1835" s="37"/>
      <c r="AB1835" s="37"/>
      <c r="AC1835" s="37"/>
      <c r="AD1835" s="37"/>
      <c r="AE1835" s="37"/>
      <c r="AF1835" s="37"/>
      <c r="AG1835" s="37"/>
      <c r="AH1835" s="37"/>
      <c r="AI1835" s="37"/>
      <c r="AJ1835" s="37"/>
      <c r="AK1835" s="37"/>
      <c r="AL1835" s="37"/>
      <c r="AM1835" s="37"/>
      <c r="AN1835" s="37"/>
      <c r="AO1835" s="37"/>
      <c r="AP1835" s="37"/>
      <c r="AQ1835" s="37"/>
      <c r="AR1835" s="37"/>
      <c r="AS1835" s="37"/>
      <c r="AT1835" s="37"/>
      <c r="AU1835" s="37"/>
      <c r="AV1835" s="37"/>
      <c r="AW1835" s="37"/>
      <c r="AX1835" s="37"/>
      <c r="AY1835" s="37"/>
      <c r="AZ1835" s="37"/>
      <c r="BA1835" s="37"/>
      <c r="BB1835" s="37"/>
      <c r="BC1835" s="37"/>
      <c r="BD1835" s="37"/>
      <c r="BE1835" s="37"/>
      <c r="BF1835" s="37"/>
      <c r="BG1835" s="37"/>
      <c r="BH1835" s="37"/>
      <c r="BI1835" s="37"/>
      <c r="BJ1835" s="37"/>
      <c r="BK1835" s="37"/>
      <c r="BL1835" s="37"/>
      <c r="BM1835" s="37"/>
    </row>
    <row r="1836" spans="1:65" s="40" customFormat="1" ht="23.25" x14ac:dyDescent="0.35">
      <c r="A1836" s="37"/>
      <c r="B1836" s="37"/>
      <c r="C1836" s="41"/>
      <c r="D1836" s="38"/>
      <c r="E1836" s="57"/>
      <c r="F1836" s="42"/>
      <c r="G1836" s="43"/>
      <c r="H1836" s="37"/>
      <c r="I1836" s="37"/>
      <c r="J1836" s="38"/>
      <c r="K1836" s="37"/>
      <c r="L1836" s="38"/>
      <c r="M1836" s="39"/>
      <c r="P1836" s="37"/>
      <c r="Q1836" s="37"/>
      <c r="R1836" s="37"/>
      <c r="S1836" s="37"/>
      <c r="T1836" s="37"/>
      <c r="U1836" s="37"/>
      <c r="V1836" s="37"/>
      <c r="W1836" s="37"/>
      <c r="X1836" s="37"/>
      <c r="Y1836" s="37"/>
      <c r="Z1836" s="37"/>
      <c r="AA1836" s="37"/>
      <c r="AB1836" s="37"/>
      <c r="AC1836" s="37"/>
      <c r="AD1836" s="37"/>
      <c r="AE1836" s="37"/>
      <c r="AF1836" s="37"/>
      <c r="AG1836" s="37"/>
      <c r="AH1836" s="37"/>
      <c r="AI1836" s="37"/>
      <c r="AJ1836" s="37"/>
      <c r="AK1836" s="37"/>
      <c r="AL1836" s="37"/>
      <c r="AM1836" s="37"/>
      <c r="AN1836" s="37"/>
      <c r="AO1836" s="37"/>
      <c r="AP1836" s="37"/>
      <c r="AQ1836" s="37"/>
      <c r="AR1836" s="37"/>
      <c r="AS1836" s="37"/>
      <c r="AT1836" s="37"/>
      <c r="AU1836" s="37"/>
      <c r="AV1836" s="37"/>
      <c r="AW1836" s="37"/>
      <c r="AX1836" s="37"/>
      <c r="AY1836" s="37"/>
      <c r="AZ1836" s="37"/>
      <c r="BA1836" s="37"/>
      <c r="BB1836" s="37"/>
      <c r="BC1836" s="37"/>
      <c r="BD1836" s="37"/>
      <c r="BE1836" s="37"/>
      <c r="BF1836" s="37"/>
      <c r="BG1836" s="37"/>
      <c r="BH1836" s="37"/>
      <c r="BI1836" s="37"/>
      <c r="BJ1836" s="37"/>
      <c r="BK1836" s="37"/>
      <c r="BL1836" s="37"/>
      <c r="BM1836" s="37"/>
    </row>
    <row r="1837" spans="1:65" s="40" customFormat="1" ht="23.25" x14ac:dyDescent="0.35">
      <c r="A1837" s="37"/>
      <c r="B1837" s="37"/>
      <c r="C1837" s="41"/>
      <c r="D1837" s="38"/>
      <c r="E1837" s="57"/>
      <c r="F1837" s="42"/>
      <c r="G1837" s="43"/>
      <c r="H1837" s="37"/>
      <c r="I1837" s="37"/>
      <c r="J1837" s="38"/>
      <c r="K1837" s="37"/>
      <c r="L1837" s="38"/>
      <c r="M1837" s="39"/>
      <c r="P1837" s="37"/>
      <c r="Q1837" s="37"/>
      <c r="R1837" s="37"/>
      <c r="S1837" s="37"/>
      <c r="T1837" s="37"/>
      <c r="U1837" s="37"/>
      <c r="V1837" s="37"/>
      <c r="W1837" s="37"/>
      <c r="X1837" s="37"/>
      <c r="Y1837" s="37"/>
      <c r="Z1837" s="37"/>
      <c r="AA1837" s="37"/>
      <c r="AB1837" s="37"/>
      <c r="AC1837" s="37"/>
      <c r="AD1837" s="37"/>
      <c r="AE1837" s="37"/>
      <c r="AF1837" s="37"/>
      <c r="AG1837" s="37"/>
      <c r="AH1837" s="37"/>
      <c r="AI1837" s="37"/>
      <c r="AJ1837" s="37"/>
      <c r="AK1837" s="37"/>
      <c r="AL1837" s="37"/>
      <c r="AM1837" s="37"/>
      <c r="AN1837" s="37"/>
      <c r="AO1837" s="37"/>
      <c r="AP1837" s="37"/>
      <c r="AQ1837" s="37"/>
      <c r="AR1837" s="37"/>
      <c r="AS1837" s="37"/>
      <c r="AT1837" s="37"/>
      <c r="AU1837" s="37"/>
      <c r="AV1837" s="37"/>
      <c r="AW1837" s="37"/>
      <c r="AX1837" s="37"/>
      <c r="AY1837" s="37"/>
      <c r="AZ1837" s="37"/>
      <c r="BA1837" s="37"/>
      <c r="BB1837" s="37"/>
      <c r="BC1837" s="37"/>
      <c r="BD1837" s="37"/>
      <c r="BE1837" s="37"/>
      <c r="BF1837" s="37"/>
      <c r="BG1837" s="37"/>
      <c r="BH1837" s="37"/>
      <c r="BI1837" s="37"/>
      <c r="BJ1837" s="37"/>
      <c r="BK1837" s="37"/>
      <c r="BL1837" s="37"/>
      <c r="BM1837" s="37"/>
    </row>
    <row r="1838" spans="1:65" s="40" customFormat="1" ht="23.25" x14ac:dyDescent="0.35">
      <c r="A1838" s="37"/>
      <c r="B1838" s="37"/>
      <c r="C1838" s="41"/>
      <c r="D1838" s="38"/>
      <c r="E1838" s="57"/>
      <c r="F1838" s="42"/>
      <c r="G1838" s="43"/>
      <c r="H1838" s="37"/>
      <c r="I1838" s="37"/>
      <c r="J1838" s="38"/>
      <c r="K1838" s="37"/>
      <c r="L1838" s="38"/>
      <c r="M1838" s="39"/>
      <c r="P1838" s="37"/>
      <c r="Q1838" s="37"/>
      <c r="R1838" s="37"/>
      <c r="S1838" s="37"/>
      <c r="T1838" s="37"/>
      <c r="U1838" s="37"/>
      <c r="V1838" s="37"/>
      <c r="W1838" s="37"/>
      <c r="X1838" s="37"/>
      <c r="Y1838" s="37"/>
      <c r="Z1838" s="37"/>
      <c r="AA1838" s="37"/>
      <c r="AB1838" s="37"/>
      <c r="AC1838" s="37"/>
      <c r="AD1838" s="37"/>
      <c r="AE1838" s="37"/>
      <c r="AF1838" s="37"/>
      <c r="AG1838" s="37"/>
      <c r="AH1838" s="37"/>
      <c r="AI1838" s="37"/>
      <c r="AJ1838" s="37"/>
      <c r="AK1838" s="37"/>
      <c r="AL1838" s="37"/>
      <c r="AM1838" s="37"/>
      <c r="AN1838" s="37"/>
      <c r="AO1838" s="37"/>
      <c r="AP1838" s="37"/>
      <c r="AQ1838" s="37"/>
      <c r="AR1838" s="37"/>
      <c r="AS1838" s="37"/>
      <c r="AT1838" s="37"/>
      <c r="AU1838" s="37"/>
      <c r="AV1838" s="37"/>
      <c r="AW1838" s="37"/>
      <c r="AX1838" s="37"/>
      <c r="AY1838" s="37"/>
      <c r="AZ1838" s="37"/>
      <c r="BA1838" s="37"/>
      <c r="BB1838" s="37"/>
      <c r="BC1838" s="37"/>
      <c r="BD1838" s="37"/>
      <c r="BE1838" s="37"/>
      <c r="BF1838" s="37"/>
      <c r="BG1838" s="37"/>
      <c r="BH1838" s="37"/>
      <c r="BI1838" s="37"/>
      <c r="BJ1838" s="37"/>
      <c r="BK1838" s="37"/>
      <c r="BL1838" s="37"/>
      <c r="BM1838" s="37"/>
    </row>
    <row r="1839" spans="1:65" s="40" customFormat="1" ht="23.25" x14ac:dyDescent="0.35">
      <c r="A1839" s="37"/>
      <c r="B1839" s="37"/>
      <c r="C1839" s="41"/>
      <c r="D1839" s="38"/>
      <c r="E1839" s="57"/>
      <c r="F1839" s="42"/>
      <c r="G1839" s="43"/>
      <c r="H1839" s="37"/>
      <c r="I1839" s="37"/>
      <c r="J1839" s="38"/>
      <c r="K1839" s="37"/>
      <c r="L1839" s="38"/>
      <c r="M1839" s="39"/>
      <c r="P1839" s="37"/>
      <c r="Q1839" s="37"/>
      <c r="R1839" s="37"/>
      <c r="S1839" s="37"/>
      <c r="T1839" s="37"/>
      <c r="U1839" s="37"/>
      <c r="V1839" s="37"/>
      <c r="W1839" s="37"/>
      <c r="X1839" s="37"/>
      <c r="Y1839" s="37"/>
      <c r="Z1839" s="37"/>
      <c r="AA1839" s="37"/>
      <c r="AB1839" s="37"/>
      <c r="AC1839" s="37"/>
      <c r="AD1839" s="37"/>
      <c r="AE1839" s="37"/>
      <c r="AF1839" s="37"/>
      <c r="AG1839" s="37"/>
      <c r="AH1839" s="37"/>
      <c r="AI1839" s="37"/>
      <c r="AJ1839" s="37"/>
      <c r="AK1839" s="37"/>
      <c r="AL1839" s="37"/>
      <c r="AM1839" s="37"/>
      <c r="AN1839" s="37"/>
      <c r="AO1839" s="37"/>
      <c r="AP1839" s="37"/>
      <c r="AQ1839" s="37"/>
      <c r="AR1839" s="37"/>
      <c r="AS1839" s="37"/>
      <c r="AT1839" s="37"/>
      <c r="AU1839" s="37"/>
      <c r="AV1839" s="37"/>
      <c r="AW1839" s="37"/>
      <c r="AX1839" s="37"/>
      <c r="AY1839" s="37"/>
      <c r="AZ1839" s="37"/>
      <c r="BA1839" s="37"/>
      <c r="BB1839" s="37"/>
      <c r="BC1839" s="37"/>
      <c r="BD1839" s="37"/>
      <c r="BE1839" s="37"/>
      <c r="BF1839" s="37"/>
      <c r="BG1839" s="37"/>
      <c r="BH1839" s="37"/>
      <c r="BI1839" s="37"/>
      <c r="BJ1839" s="37"/>
      <c r="BK1839" s="37"/>
      <c r="BL1839" s="37"/>
      <c r="BM1839" s="37"/>
    </row>
    <row r="1840" spans="1:65" s="40" customFormat="1" ht="23.25" x14ac:dyDescent="0.35">
      <c r="A1840" s="37"/>
      <c r="B1840" s="37"/>
      <c r="C1840" s="41"/>
      <c r="D1840" s="38"/>
      <c r="E1840" s="57"/>
      <c r="F1840" s="42"/>
      <c r="G1840" s="43"/>
      <c r="H1840" s="37"/>
      <c r="I1840" s="37"/>
      <c r="J1840" s="38"/>
      <c r="K1840" s="37"/>
      <c r="L1840" s="38"/>
      <c r="M1840" s="39"/>
      <c r="P1840" s="37"/>
      <c r="Q1840" s="37"/>
      <c r="R1840" s="37"/>
      <c r="S1840" s="37"/>
      <c r="T1840" s="37"/>
      <c r="U1840" s="37"/>
      <c r="V1840" s="37"/>
      <c r="W1840" s="37"/>
      <c r="X1840" s="37"/>
      <c r="Y1840" s="37"/>
      <c r="Z1840" s="37"/>
      <c r="AA1840" s="37"/>
      <c r="AB1840" s="37"/>
      <c r="AC1840" s="37"/>
      <c r="AD1840" s="37"/>
      <c r="AE1840" s="37"/>
      <c r="AF1840" s="37"/>
      <c r="AG1840" s="37"/>
      <c r="AH1840" s="37"/>
      <c r="AI1840" s="37"/>
      <c r="AJ1840" s="37"/>
      <c r="AK1840" s="37"/>
      <c r="AL1840" s="37"/>
      <c r="AM1840" s="37"/>
      <c r="AN1840" s="37"/>
      <c r="AO1840" s="37"/>
      <c r="AP1840" s="37"/>
      <c r="AQ1840" s="37"/>
      <c r="AR1840" s="37"/>
      <c r="AS1840" s="37"/>
      <c r="AT1840" s="37"/>
      <c r="AU1840" s="37"/>
      <c r="AV1840" s="37"/>
      <c r="AW1840" s="37"/>
      <c r="AX1840" s="37"/>
      <c r="AY1840" s="37"/>
      <c r="AZ1840" s="37"/>
      <c r="BA1840" s="37"/>
      <c r="BB1840" s="37"/>
      <c r="BC1840" s="37"/>
      <c r="BD1840" s="37"/>
      <c r="BE1840" s="37"/>
      <c r="BF1840" s="37"/>
      <c r="BG1840" s="37"/>
      <c r="BH1840" s="37"/>
      <c r="BI1840" s="37"/>
      <c r="BJ1840" s="37"/>
      <c r="BK1840" s="37"/>
      <c r="BL1840" s="37"/>
      <c r="BM1840" s="37"/>
    </row>
    <row r="1841" spans="1:65" s="40" customFormat="1" ht="23.25" x14ac:dyDescent="0.35">
      <c r="A1841" s="37"/>
      <c r="B1841" s="37"/>
      <c r="C1841" s="41"/>
      <c r="D1841" s="38"/>
      <c r="E1841" s="57"/>
      <c r="F1841" s="42"/>
      <c r="G1841" s="43"/>
      <c r="H1841" s="37"/>
      <c r="I1841" s="37"/>
      <c r="J1841" s="38"/>
      <c r="K1841" s="37"/>
      <c r="L1841" s="38"/>
      <c r="M1841" s="39"/>
      <c r="P1841" s="37"/>
      <c r="Q1841" s="37"/>
      <c r="R1841" s="37"/>
      <c r="S1841" s="37"/>
      <c r="T1841" s="37"/>
      <c r="U1841" s="37"/>
      <c r="V1841" s="37"/>
      <c r="W1841" s="37"/>
      <c r="X1841" s="37"/>
      <c r="Y1841" s="37"/>
      <c r="Z1841" s="37"/>
      <c r="AA1841" s="37"/>
      <c r="AB1841" s="37"/>
      <c r="AC1841" s="37"/>
      <c r="AD1841" s="37"/>
      <c r="AE1841" s="37"/>
      <c r="AF1841" s="37"/>
      <c r="AG1841" s="37"/>
      <c r="AH1841" s="37"/>
      <c r="AI1841" s="37"/>
      <c r="AJ1841" s="37"/>
      <c r="AK1841" s="37"/>
      <c r="AL1841" s="37"/>
      <c r="AM1841" s="37"/>
      <c r="AN1841" s="37"/>
      <c r="AO1841" s="37"/>
      <c r="AP1841" s="37"/>
      <c r="AQ1841" s="37"/>
      <c r="AR1841" s="37"/>
      <c r="AS1841" s="37"/>
      <c r="AT1841" s="37"/>
      <c r="AU1841" s="37"/>
      <c r="AV1841" s="37"/>
      <c r="AW1841" s="37"/>
      <c r="AX1841" s="37"/>
      <c r="AY1841" s="37"/>
      <c r="AZ1841" s="37"/>
      <c r="BA1841" s="37"/>
      <c r="BB1841" s="37"/>
      <c r="BC1841" s="37"/>
      <c r="BD1841" s="37"/>
      <c r="BE1841" s="37"/>
      <c r="BF1841" s="37"/>
      <c r="BG1841" s="37"/>
      <c r="BH1841" s="37"/>
      <c r="BI1841" s="37"/>
      <c r="BJ1841" s="37"/>
      <c r="BK1841" s="37"/>
      <c r="BL1841" s="37"/>
      <c r="BM1841" s="37"/>
    </row>
    <row r="1842" spans="1:65" s="40" customFormat="1" ht="23.25" x14ac:dyDescent="0.35">
      <c r="A1842" s="37"/>
      <c r="B1842" s="37"/>
      <c r="C1842" s="41"/>
      <c r="D1842" s="38"/>
      <c r="E1842" s="57"/>
      <c r="F1842" s="42"/>
      <c r="G1842" s="43"/>
      <c r="H1842" s="37"/>
      <c r="I1842" s="37"/>
      <c r="J1842" s="38"/>
      <c r="K1842" s="37"/>
      <c r="L1842" s="38"/>
      <c r="M1842" s="39"/>
      <c r="P1842" s="37"/>
      <c r="Q1842" s="37"/>
      <c r="R1842" s="37"/>
      <c r="S1842" s="37"/>
      <c r="T1842" s="37"/>
      <c r="U1842" s="37"/>
      <c r="V1842" s="37"/>
      <c r="W1842" s="37"/>
      <c r="X1842" s="37"/>
      <c r="Y1842" s="37"/>
      <c r="Z1842" s="37"/>
      <c r="AA1842" s="37"/>
      <c r="AB1842" s="37"/>
      <c r="AC1842" s="37"/>
      <c r="AD1842" s="37"/>
      <c r="AE1842" s="37"/>
      <c r="AF1842" s="37"/>
      <c r="AG1842" s="37"/>
      <c r="AH1842" s="37"/>
      <c r="AI1842" s="37"/>
      <c r="AJ1842" s="37"/>
      <c r="AK1842" s="37"/>
      <c r="AL1842" s="37"/>
      <c r="AM1842" s="37"/>
      <c r="AN1842" s="37"/>
      <c r="AO1842" s="37"/>
      <c r="AP1842" s="37"/>
      <c r="AQ1842" s="37"/>
      <c r="AR1842" s="37"/>
      <c r="AS1842" s="37"/>
      <c r="AT1842" s="37"/>
      <c r="AU1842" s="37"/>
      <c r="AV1842" s="37"/>
      <c r="AW1842" s="37"/>
      <c r="AX1842" s="37"/>
      <c r="AY1842" s="37"/>
      <c r="AZ1842" s="37"/>
      <c r="BA1842" s="37"/>
      <c r="BB1842" s="37"/>
      <c r="BC1842" s="37"/>
      <c r="BD1842" s="37"/>
      <c r="BE1842" s="37"/>
      <c r="BF1842" s="37"/>
      <c r="BG1842" s="37"/>
      <c r="BH1842" s="37"/>
      <c r="BI1842" s="37"/>
      <c r="BJ1842" s="37"/>
      <c r="BK1842" s="37"/>
      <c r="BL1842" s="37"/>
      <c r="BM1842" s="37"/>
    </row>
    <row r="1843" spans="1:65" s="40" customFormat="1" ht="23.25" x14ac:dyDescent="0.35">
      <c r="A1843" s="37"/>
      <c r="B1843" s="37"/>
      <c r="C1843" s="41"/>
      <c r="D1843" s="38"/>
      <c r="E1843" s="57"/>
      <c r="F1843" s="42"/>
      <c r="G1843" s="43"/>
      <c r="H1843" s="37"/>
      <c r="I1843" s="37"/>
      <c r="J1843" s="38"/>
      <c r="K1843" s="37"/>
      <c r="L1843" s="38"/>
      <c r="M1843" s="39"/>
      <c r="P1843" s="37"/>
      <c r="Q1843" s="37"/>
      <c r="R1843" s="37"/>
      <c r="S1843" s="37"/>
      <c r="T1843" s="37"/>
      <c r="U1843" s="37"/>
      <c r="V1843" s="37"/>
      <c r="W1843" s="37"/>
      <c r="X1843" s="37"/>
      <c r="Y1843" s="37"/>
      <c r="Z1843" s="37"/>
      <c r="AA1843" s="37"/>
      <c r="AB1843" s="37"/>
      <c r="AC1843" s="37"/>
      <c r="AD1843" s="37"/>
      <c r="AE1843" s="37"/>
      <c r="AF1843" s="37"/>
      <c r="AG1843" s="37"/>
      <c r="AH1843" s="37"/>
      <c r="AI1843" s="37"/>
      <c r="AJ1843" s="37"/>
      <c r="AK1843" s="37"/>
      <c r="AL1843" s="37"/>
      <c r="AM1843" s="37"/>
      <c r="AN1843" s="37"/>
      <c r="AO1843" s="37"/>
      <c r="AP1843" s="37"/>
      <c r="AQ1843" s="37"/>
      <c r="AR1843" s="37"/>
      <c r="AS1843" s="37"/>
      <c r="AT1843" s="37"/>
      <c r="AU1843" s="37"/>
      <c r="AV1843" s="37"/>
      <c r="AW1843" s="37"/>
      <c r="AX1843" s="37"/>
      <c r="AY1843" s="37"/>
      <c r="AZ1843" s="37"/>
      <c r="BA1843" s="37"/>
      <c r="BB1843" s="37"/>
      <c r="BC1843" s="37"/>
      <c r="BD1843" s="37"/>
      <c r="BE1843" s="37"/>
      <c r="BF1843" s="37"/>
      <c r="BG1843" s="37"/>
      <c r="BH1843" s="37"/>
      <c r="BI1843" s="37"/>
      <c r="BJ1843" s="37"/>
      <c r="BK1843" s="37"/>
      <c r="BL1843" s="37"/>
      <c r="BM1843" s="37"/>
    </row>
    <row r="1844" spans="1:65" s="40" customFormat="1" ht="23.25" x14ac:dyDescent="0.35">
      <c r="A1844" s="37"/>
      <c r="B1844" s="37"/>
      <c r="C1844" s="41"/>
      <c r="D1844" s="38"/>
      <c r="E1844" s="57"/>
      <c r="F1844" s="42"/>
      <c r="G1844" s="43"/>
      <c r="H1844" s="37"/>
      <c r="I1844" s="37"/>
      <c r="J1844" s="38"/>
      <c r="K1844" s="37"/>
      <c r="L1844" s="38"/>
      <c r="M1844" s="39"/>
      <c r="P1844" s="37"/>
      <c r="Q1844" s="37"/>
      <c r="R1844" s="37"/>
      <c r="S1844" s="37"/>
      <c r="T1844" s="37"/>
      <c r="U1844" s="37"/>
      <c r="V1844" s="37"/>
      <c r="W1844" s="37"/>
      <c r="X1844" s="37"/>
      <c r="Y1844" s="37"/>
      <c r="Z1844" s="37"/>
      <c r="AA1844" s="37"/>
      <c r="AB1844" s="37"/>
      <c r="AC1844" s="37"/>
      <c r="AD1844" s="37"/>
      <c r="AE1844" s="37"/>
      <c r="AF1844" s="37"/>
      <c r="AG1844" s="37"/>
      <c r="AH1844" s="37"/>
      <c r="AI1844" s="37"/>
      <c r="AJ1844" s="37"/>
      <c r="AK1844" s="37"/>
      <c r="AL1844" s="37"/>
      <c r="AM1844" s="37"/>
      <c r="AN1844" s="37"/>
      <c r="AO1844" s="37"/>
      <c r="AP1844" s="37"/>
      <c r="AQ1844" s="37"/>
      <c r="AR1844" s="37"/>
      <c r="AS1844" s="37"/>
      <c r="AT1844" s="37"/>
      <c r="AU1844" s="37"/>
      <c r="AV1844" s="37"/>
      <c r="AW1844" s="37"/>
      <c r="AX1844" s="37"/>
      <c r="AY1844" s="37"/>
      <c r="AZ1844" s="37"/>
      <c r="BA1844" s="37"/>
      <c r="BB1844" s="37"/>
      <c r="BC1844" s="37"/>
      <c r="BD1844" s="37"/>
      <c r="BE1844" s="37"/>
      <c r="BF1844" s="37"/>
      <c r="BG1844" s="37"/>
      <c r="BH1844" s="37"/>
      <c r="BI1844" s="37"/>
      <c r="BJ1844" s="37"/>
      <c r="BK1844" s="37"/>
      <c r="BL1844" s="37"/>
      <c r="BM1844" s="37"/>
    </row>
    <row r="1845" spans="1:65" s="40" customFormat="1" ht="23.25" x14ac:dyDescent="0.35">
      <c r="A1845" s="37"/>
      <c r="B1845" s="37"/>
      <c r="C1845" s="41"/>
      <c r="D1845" s="38"/>
      <c r="E1845" s="57"/>
      <c r="F1845" s="42"/>
      <c r="G1845" s="43"/>
      <c r="H1845" s="37"/>
      <c r="I1845" s="37"/>
      <c r="J1845" s="38"/>
      <c r="K1845" s="37"/>
      <c r="L1845" s="38"/>
      <c r="M1845" s="39"/>
      <c r="P1845" s="37"/>
      <c r="Q1845" s="37"/>
      <c r="R1845" s="37"/>
      <c r="S1845" s="37"/>
      <c r="T1845" s="37"/>
      <c r="U1845" s="37"/>
      <c r="V1845" s="37"/>
      <c r="W1845" s="37"/>
      <c r="X1845" s="37"/>
      <c r="Y1845" s="37"/>
      <c r="Z1845" s="37"/>
      <c r="AA1845" s="37"/>
      <c r="AB1845" s="37"/>
      <c r="AC1845" s="37"/>
      <c r="AD1845" s="37"/>
      <c r="AE1845" s="37"/>
      <c r="AF1845" s="37"/>
      <c r="AG1845" s="37"/>
      <c r="AH1845" s="37"/>
      <c r="AI1845" s="37"/>
      <c r="AJ1845" s="37"/>
      <c r="AK1845" s="37"/>
      <c r="AL1845" s="37"/>
      <c r="AM1845" s="37"/>
      <c r="AN1845" s="37"/>
      <c r="AO1845" s="37"/>
      <c r="AP1845" s="37"/>
      <c r="AQ1845" s="37"/>
      <c r="AR1845" s="37"/>
      <c r="AS1845" s="37"/>
      <c r="AT1845" s="37"/>
      <c r="AU1845" s="37"/>
      <c r="AV1845" s="37"/>
      <c r="AW1845" s="37"/>
      <c r="AX1845" s="37"/>
      <c r="AY1845" s="37"/>
      <c r="AZ1845" s="37"/>
      <c r="BA1845" s="37"/>
      <c r="BB1845" s="37"/>
      <c r="BC1845" s="37"/>
      <c r="BD1845" s="37"/>
      <c r="BE1845" s="37"/>
      <c r="BF1845" s="37"/>
      <c r="BG1845" s="37"/>
      <c r="BH1845" s="37"/>
      <c r="BI1845" s="37"/>
      <c r="BJ1845" s="37"/>
      <c r="BK1845" s="37"/>
      <c r="BL1845" s="37"/>
      <c r="BM1845" s="37"/>
    </row>
    <row r="1846" spans="1:65" s="40" customFormat="1" ht="23.25" x14ac:dyDescent="0.35">
      <c r="A1846" s="37"/>
      <c r="B1846" s="37"/>
      <c r="C1846" s="41"/>
      <c r="D1846" s="38"/>
      <c r="E1846" s="57"/>
      <c r="F1846" s="42"/>
      <c r="G1846" s="43"/>
      <c r="H1846" s="37"/>
      <c r="I1846" s="37"/>
      <c r="J1846" s="38"/>
      <c r="K1846" s="37"/>
      <c r="L1846" s="38"/>
      <c r="M1846" s="39"/>
      <c r="P1846" s="37"/>
      <c r="Q1846" s="37"/>
      <c r="R1846" s="37"/>
      <c r="S1846" s="37"/>
      <c r="T1846" s="37"/>
      <c r="U1846" s="37"/>
      <c r="V1846" s="37"/>
      <c r="W1846" s="37"/>
      <c r="X1846" s="37"/>
      <c r="Y1846" s="37"/>
      <c r="Z1846" s="37"/>
      <c r="AA1846" s="37"/>
      <c r="AB1846" s="37"/>
      <c r="AC1846" s="37"/>
      <c r="AD1846" s="37"/>
      <c r="AE1846" s="37"/>
      <c r="AF1846" s="37"/>
      <c r="AG1846" s="37"/>
      <c r="AH1846" s="37"/>
      <c r="AI1846" s="37"/>
      <c r="AJ1846" s="37"/>
      <c r="AK1846" s="37"/>
      <c r="AL1846" s="37"/>
      <c r="AM1846" s="37"/>
      <c r="AN1846" s="37"/>
      <c r="AO1846" s="37"/>
      <c r="AP1846" s="37"/>
      <c r="AQ1846" s="37"/>
      <c r="AR1846" s="37"/>
      <c r="AS1846" s="37"/>
      <c r="AT1846" s="37"/>
      <c r="AU1846" s="37"/>
      <c r="AV1846" s="37"/>
      <c r="AW1846" s="37"/>
      <c r="AX1846" s="37"/>
      <c r="AY1846" s="37"/>
      <c r="AZ1846" s="37"/>
      <c r="BA1846" s="37"/>
      <c r="BB1846" s="37"/>
      <c r="BC1846" s="37"/>
      <c r="BD1846" s="37"/>
      <c r="BE1846" s="37"/>
      <c r="BF1846" s="37"/>
      <c r="BG1846" s="37"/>
      <c r="BH1846" s="37"/>
      <c r="BI1846" s="37"/>
      <c r="BJ1846" s="37"/>
      <c r="BK1846" s="37"/>
      <c r="BL1846" s="37"/>
      <c r="BM1846" s="37"/>
    </row>
    <row r="1847" spans="1:65" s="40" customFormat="1" ht="23.25" x14ac:dyDescent="0.35">
      <c r="A1847" s="37"/>
      <c r="B1847" s="37"/>
      <c r="C1847" s="41"/>
      <c r="D1847" s="38"/>
      <c r="E1847" s="57"/>
      <c r="F1847" s="42"/>
      <c r="G1847" s="43"/>
      <c r="H1847" s="37"/>
      <c r="I1847" s="37"/>
      <c r="J1847" s="38"/>
      <c r="K1847" s="37"/>
      <c r="L1847" s="38"/>
      <c r="M1847" s="39"/>
      <c r="P1847" s="37"/>
      <c r="Q1847" s="37"/>
      <c r="R1847" s="37"/>
      <c r="S1847" s="37"/>
      <c r="T1847" s="37"/>
      <c r="U1847" s="37"/>
      <c r="V1847" s="37"/>
      <c r="W1847" s="37"/>
      <c r="X1847" s="37"/>
      <c r="Y1847" s="37"/>
      <c r="Z1847" s="37"/>
      <c r="AA1847" s="37"/>
      <c r="AB1847" s="37"/>
      <c r="AC1847" s="37"/>
      <c r="AD1847" s="37"/>
      <c r="AE1847" s="37"/>
      <c r="AF1847" s="37"/>
      <c r="AG1847" s="37"/>
      <c r="AH1847" s="37"/>
      <c r="AI1847" s="37"/>
      <c r="AJ1847" s="37"/>
      <c r="AK1847" s="37"/>
      <c r="AL1847" s="37"/>
      <c r="AM1847" s="37"/>
      <c r="AN1847" s="37"/>
      <c r="AO1847" s="37"/>
      <c r="AP1847" s="37"/>
      <c r="AQ1847" s="37"/>
      <c r="AR1847" s="37"/>
      <c r="AS1847" s="37"/>
      <c r="AT1847" s="37"/>
      <c r="AU1847" s="37"/>
      <c r="AV1847" s="37"/>
      <c r="AW1847" s="37"/>
      <c r="AX1847" s="37"/>
      <c r="AY1847" s="37"/>
      <c r="AZ1847" s="37"/>
      <c r="BA1847" s="37"/>
      <c r="BB1847" s="37"/>
      <c r="BC1847" s="37"/>
      <c r="BD1847" s="37"/>
      <c r="BE1847" s="37"/>
      <c r="BF1847" s="37"/>
      <c r="BG1847" s="37"/>
      <c r="BH1847" s="37"/>
      <c r="BI1847" s="37"/>
      <c r="BJ1847" s="37"/>
      <c r="BK1847" s="37"/>
      <c r="BL1847" s="37"/>
      <c r="BM1847" s="37"/>
    </row>
    <row r="1848" spans="1:65" s="40" customFormat="1" ht="23.25" x14ac:dyDescent="0.35">
      <c r="A1848" s="37"/>
      <c r="B1848" s="37"/>
      <c r="C1848" s="41"/>
      <c r="D1848" s="38"/>
      <c r="E1848" s="57"/>
      <c r="F1848" s="42"/>
      <c r="G1848" s="43"/>
      <c r="H1848" s="37"/>
      <c r="I1848" s="37"/>
      <c r="J1848" s="38"/>
      <c r="K1848" s="37"/>
      <c r="L1848" s="38"/>
      <c r="M1848" s="39"/>
      <c r="P1848" s="37"/>
      <c r="Q1848" s="37"/>
      <c r="R1848" s="37"/>
      <c r="S1848" s="37"/>
      <c r="T1848" s="37"/>
      <c r="U1848" s="37"/>
      <c r="V1848" s="37"/>
      <c r="W1848" s="37"/>
      <c r="X1848" s="37"/>
      <c r="Y1848" s="37"/>
      <c r="Z1848" s="37"/>
      <c r="AA1848" s="37"/>
      <c r="AB1848" s="37"/>
      <c r="AC1848" s="37"/>
      <c r="AD1848" s="37"/>
      <c r="AE1848" s="37"/>
      <c r="AF1848" s="37"/>
      <c r="AG1848" s="37"/>
      <c r="AH1848" s="37"/>
      <c r="AI1848" s="37"/>
      <c r="AJ1848" s="37"/>
      <c r="AK1848" s="37"/>
      <c r="AL1848" s="37"/>
      <c r="AM1848" s="37"/>
      <c r="AN1848" s="37"/>
      <c r="AO1848" s="37"/>
      <c r="AP1848" s="37"/>
      <c r="AQ1848" s="37"/>
      <c r="AR1848" s="37"/>
      <c r="AS1848" s="37"/>
      <c r="AT1848" s="37"/>
      <c r="AU1848" s="37"/>
      <c r="AV1848" s="37"/>
      <c r="AW1848" s="37"/>
      <c r="AX1848" s="37"/>
      <c r="AY1848" s="37"/>
      <c r="AZ1848" s="37"/>
      <c r="BA1848" s="37"/>
      <c r="BB1848" s="37"/>
      <c r="BC1848" s="37"/>
      <c r="BD1848" s="37"/>
      <c r="BE1848" s="37"/>
      <c r="BF1848" s="37"/>
      <c r="BG1848" s="37"/>
      <c r="BH1848" s="37"/>
      <c r="BI1848" s="37"/>
      <c r="BJ1848" s="37"/>
      <c r="BK1848" s="37"/>
      <c r="BL1848" s="37"/>
      <c r="BM1848" s="37"/>
    </row>
    <row r="1849" spans="1:65" s="40" customFormat="1" ht="23.25" x14ac:dyDescent="0.35">
      <c r="A1849" s="37"/>
      <c r="B1849" s="37"/>
      <c r="C1849" s="41"/>
      <c r="D1849" s="38"/>
      <c r="E1849" s="57"/>
      <c r="F1849" s="42"/>
      <c r="G1849" s="43"/>
      <c r="H1849" s="37"/>
      <c r="I1849" s="37"/>
      <c r="J1849" s="38"/>
      <c r="K1849" s="37"/>
      <c r="L1849" s="38"/>
      <c r="M1849" s="39"/>
      <c r="P1849" s="37"/>
      <c r="Q1849" s="37"/>
      <c r="R1849" s="37"/>
      <c r="S1849" s="37"/>
      <c r="T1849" s="37"/>
      <c r="U1849" s="37"/>
      <c r="V1849" s="37"/>
      <c r="W1849" s="37"/>
      <c r="X1849" s="37"/>
      <c r="Y1849" s="37"/>
      <c r="Z1849" s="37"/>
      <c r="AA1849" s="37"/>
      <c r="AB1849" s="37"/>
      <c r="AC1849" s="37"/>
      <c r="AD1849" s="37"/>
      <c r="AE1849" s="37"/>
      <c r="AF1849" s="37"/>
      <c r="AG1849" s="37"/>
      <c r="AH1849" s="37"/>
      <c r="AI1849" s="37"/>
      <c r="AJ1849" s="37"/>
      <c r="AK1849" s="37"/>
      <c r="AL1849" s="37"/>
      <c r="AM1849" s="37"/>
      <c r="AN1849" s="37"/>
      <c r="AO1849" s="37"/>
      <c r="AP1849" s="37"/>
      <c r="AQ1849" s="37"/>
      <c r="AR1849" s="37"/>
      <c r="AS1849" s="37"/>
      <c r="AT1849" s="37"/>
      <c r="AU1849" s="37"/>
      <c r="AV1849" s="37"/>
      <c r="AW1849" s="37"/>
      <c r="AX1849" s="37"/>
      <c r="AY1849" s="37"/>
      <c r="AZ1849" s="37"/>
      <c r="BA1849" s="37"/>
      <c r="BB1849" s="37"/>
      <c r="BC1849" s="37"/>
      <c r="BD1849" s="37"/>
      <c r="BE1849" s="37"/>
      <c r="BF1849" s="37"/>
      <c r="BG1849" s="37"/>
      <c r="BH1849" s="37"/>
      <c r="BI1849" s="37"/>
      <c r="BJ1849" s="37"/>
      <c r="BK1849" s="37"/>
      <c r="BL1849" s="37"/>
      <c r="BM1849" s="37"/>
    </row>
    <row r="1850" spans="1:65" s="40" customFormat="1" ht="23.25" x14ac:dyDescent="0.35">
      <c r="A1850" s="37"/>
      <c r="B1850" s="37"/>
      <c r="C1850" s="41"/>
      <c r="D1850" s="38"/>
      <c r="E1850" s="57"/>
      <c r="F1850" s="42"/>
      <c r="G1850" s="43"/>
      <c r="H1850" s="37"/>
      <c r="I1850" s="37"/>
      <c r="J1850" s="38"/>
      <c r="K1850" s="37"/>
      <c r="L1850" s="38"/>
      <c r="M1850" s="39"/>
      <c r="P1850" s="37"/>
      <c r="Q1850" s="37"/>
      <c r="R1850" s="37"/>
      <c r="S1850" s="37"/>
      <c r="T1850" s="37"/>
      <c r="U1850" s="37"/>
      <c r="V1850" s="37"/>
      <c r="W1850" s="37"/>
      <c r="X1850" s="37"/>
      <c r="Y1850" s="37"/>
      <c r="Z1850" s="37"/>
      <c r="AA1850" s="37"/>
      <c r="AB1850" s="37"/>
      <c r="AC1850" s="37"/>
      <c r="AD1850" s="37"/>
      <c r="AE1850" s="37"/>
      <c r="AF1850" s="37"/>
      <c r="AG1850" s="37"/>
      <c r="AH1850" s="37"/>
      <c r="AI1850" s="37"/>
      <c r="AJ1850" s="37"/>
      <c r="AK1850" s="37"/>
      <c r="AL1850" s="37"/>
      <c r="AM1850" s="37"/>
      <c r="AN1850" s="37"/>
      <c r="AO1850" s="37"/>
      <c r="AP1850" s="37"/>
      <c r="AQ1850" s="37"/>
      <c r="AR1850" s="37"/>
      <c r="AS1850" s="37"/>
      <c r="AT1850" s="37"/>
      <c r="AU1850" s="37"/>
      <c r="AV1850" s="37"/>
      <c r="AW1850" s="37"/>
      <c r="AX1850" s="37"/>
      <c r="AY1850" s="37"/>
      <c r="AZ1850" s="37"/>
      <c r="BA1850" s="37"/>
      <c r="BB1850" s="37"/>
      <c r="BC1850" s="37"/>
      <c r="BD1850" s="37"/>
      <c r="BE1850" s="37"/>
      <c r="BF1850" s="37"/>
      <c r="BG1850" s="37"/>
      <c r="BH1850" s="37"/>
      <c r="BI1850" s="37"/>
      <c r="BJ1850" s="37"/>
      <c r="BK1850" s="37"/>
      <c r="BL1850" s="37"/>
      <c r="BM1850" s="37"/>
    </row>
    <row r="1851" spans="1:65" s="40" customFormat="1" ht="23.25" x14ac:dyDescent="0.35">
      <c r="A1851" s="37"/>
      <c r="B1851" s="37"/>
      <c r="C1851" s="41"/>
      <c r="D1851" s="38"/>
      <c r="E1851" s="57"/>
      <c r="F1851" s="42"/>
      <c r="G1851" s="43"/>
      <c r="H1851" s="37"/>
      <c r="I1851" s="37"/>
      <c r="J1851" s="38"/>
      <c r="K1851" s="37"/>
      <c r="L1851" s="38"/>
      <c r="M1851" s="39"/>
      <c r="P1851" s="37"/>
      <c r="Q1851" s="37"/>
      <c r="R1851" s="37"/>
      <c r="S1851" s="37"/>
      <c r="T1851" s="37"/>
      <c r="U1851" s="37"/>
      <c r="V1851" s="37"/>
      <c r="W1851" s="37"/>
      <c r="X1851" s="37"/>
      <c r="Y1851" s="37"/>
      <c r="Z1851" s="37"/>
      <c r="AA1851" s="37"/>
      <c r="AB1851" s="37"/>
      <c r="AC1851" s="37"/>
      <c r="AD1851" s="37"/>
      <c r="AE1851" s="37"/>
      <c r="AF1851" s="37"/>
      <c r="AG1851" s="37"/>
      <c r="AH1851" s="37"/>
      <c r="AI1851" s="37"/>
      <c r="AJ1851" s="37"/>
      <c r="AK1851" s="37"/>
      <c r="AL1851" s="37"/>
      <c r="AM1851" s="37"/>
      <c r="AN1851" s="37"/>
      <c r="AO1851" s="37"/>
      <c r="AP1851" s="37"/>
      <c r="AQ1851" s="37"/>
      <c r="AR1851" s="37"/>
      <c r="AS1851" s="37"/>
      <c r="AT1851" s="37"/>
      <c r="AU1851" s="37"/>
      <c r="AV1851" s="37"/>
      <c r="AW1851" s="37"/>
      <c r="AX1851" s="37"/>
      <c r="AY1851" s="37"/>
      <c r="AZ1851" s="37"/>
      <c r="BA1851" s="37"/>
      <c r="BB1851" s="37"/>
      <c r="BC1851" s="37"/>
      <c r="BD1851" s="37"/>
      <c r="BE1851" s="37"/>
      <c r="BF1851" s="37"/>
      <c r="BG1851" s="37"/>
      <c r="BH1851" s="37"/>
      <c r="BI1851" s="37"/>
      <c r="BJ1851" s="37"/>
      <c r="BK1851" s="37"/>
      <c r="BL1851" s="37"/>
      <c r="BM1851" s="37"/>
    </row>
    <row r="1852" spans="1:65" s="40" customFormat="1" ht="23.25" x14ac:dyDescent="0.35">
      <c r="A1852" s="37"/>
      <c r="B1852" s="37"/>
      <c r="C1852" s="41"/>
      <c r="D1852" s="38"/>
      <c r="E1852" s="57"/>
      <c r="F1852" s="42"/>
      <c r="G1852" s="43"/>
      <c r="H1852" s="37"/>
      <c r="I1852" s="37"/>
      <c r="J1852" s="38"/>
      <c r="K1852" s="37"/>
      <c r="L1852" s="38"/>
      <c r="M1852" s="39"/>
      <c r="P1852" s="37"/>
      <c r="Q1852" s="37"/>
      <c r="R1852" s="37"/>
      <c r="S1852" s="37"/>
      <c r="T1852" s="37"/>
      <c r="U1852" s="37"/>
      <c r="V1852" s="37"/>
      <c r="W1852" s="37"/>
      <c r="X1852" s="37"/>
      <c r="Y1852" s="37"/>
      <c r="Z1852" s="37"/>
      <c r="AA1852" s="37"/>
      <c r="AB1852" s="37"/>
      <c r="AC1852" s="37"/>
      <c r="AD1852" s="37"/>
      <c r="AE1852" s="37"/>
      <c r="AF1852" s="37"/>
      <c r="AG1852" s="37"/>
      <c r="AH1852" s="37"/>
      <c r="AI1852" s="37"/>
      <c r="AJ1852" s="37"/>
      <c r="AK1852" s="37"/>
      <c r="AL1852" s="37"/>
      <c r="AM1852" s="37"/>
      <c r="AN1852" s="37"/>
      <c r="AO1852" s="37"/>
      <c r="AP1852" s="37"/>
      <c r="AQ1852" s="37"/>
      <c r="AR1852" s="37"/>
      <c r="AS1852" s="37"/>
      <c r="AT1852" s="37"/>
      <c r="AU1852" s="37"/>
      <c r="AV1852" s="37"/>
      <c r="AW1852" s="37"/>
      <c r="AX1852" s="37"/>
      <c r="AY1852" s="37"/>
      <c r="AZ1852" s="37"/>
      <c r="BA1852" s="37"/>
      <c r="BB1852" s="37"/>
      <c r="BC1852" s="37"/>
      <c r="BD1852" s="37"/>
      <c r="BE1852" s="37"/>
      <c r="BF1852" s="37"/>
      <c r="BG1852" s="37"/>
      <c r="BH1852" s="37"/>
      <c r="BI1852" s="37"/>
      <c r="BJ1852" s="37"/>
      <c r="BK1852" s="37"/>
      <c r="BL1852" s="37"/>
      <c r="BM1852" s="37"/>
    </row>
    <row r="1853" spans="1:65" s="40" customFormat="1" ht="23.25" x14ac:dyDescent="0.35">
      <c r="A1853" s="37"/>
      <c r="B1853" s="37"/>
      <c r="C1853" s="41"/>
      <c r="D1853" s="38"/>
      <c r="E1853" s="57"/>
      <c r="F1853" s="42"/>
      <c r="G1853" s="43"/>
      <c r="H1853" s="37"/>
      <c r="I1853" s="37"/>
      <c r="J1853" s="38"/>
      <c r="K1853" s="37"/>
      <c r="L1853" s="38"/>
      <c r="M1853" s="39"/>
      <c r="P1853" s="37"/>
      <c r="Q1853" s="37"/>
      <c r="R1853" s="37"/>
      <c r="S1853" s="37"/>
      <c r="T1853" s="37"/>
      <c r="U1853" s="37"/>
      <c r="V1853" s="37"/>
      <c r="W1853" s="37"/>
      <c r="X1853" s="37"/>
      <c r="Y1853" s="37"/>
      <c r="Z1853" s="37"/>
      <c r="AA1853" s="37"/>
      <c r="AB1853" s="37"/>
      <c r="AC1853" s="37"/>
      <c r="AD1853" s="37"/>
      <c r="AE1853" s="37"/>
      <c r="AF1853" s="37"/>
      <c r="AG1853" s="37"/>
      <c r="AH1853" s="37"/>
      <c r="AI1853" s="37"/>
      <c r="AJ1853" s="37"/>
      <c r="AK1853" s="37"/>
      <c r="AL1853" s="37"/>
      <c r="AM1853" s="37"/>
      <c r="AN1853" s="37"/>
      <c r="AO1853" s="37"/>
      <c r="AP1853" s="37"/>
      <c r="AQ1853" s="37"/>
      <c r="AR1853" s="37"/>
      <c r="AS1853" s="37"/>
      <c r="AT1853" s="37"/>
      <c r="AU1853" s="37"/>
      <c r="AV1853" s="37"/>
      <c r="AW1853" s="37"/>
      <c r="AX1853" s="37"/>
      <c r="AY1853" s="37"/>
      <c r="AZ1853" s="37"/>
      <c r="BA1853" s="37"/>
      <c r="BB1853" s="37"/>
      <c r="BC1853" s="37"/>
      <c r="BD1853" s="37"/>
      <c r="BE1853" s="37"/>
      <c r="BF1853" s="37"/>
      <c r="BG1853" s="37"/>
      <c r="BH1853" s="37"/>
      <c r="BI1853" s="37"/>
      <c r="BJ1853" s="37"/>
      <c r="BK1853" s="37"/>
      <c r="BL1853" s="37"/>
      <c r="BM1853" s="37"/>
    </row>
    <row r="1854" spans="1:65" s="40" customFormat="1" ht="23.25" x14ac:dyDescent="0.35">
      <c r="A1854" s="37"/>
      <c r="B1854" s="37"/>
      <c r="C1854" s="41"/>
      <c r="D1854" s="38"/>
      <c r="E1854" s="57"/>
      <c r="F1854" s="42"/>
      <c r="G1854" s="43"/>
      <c r="H1854" s="37"/>
      <c r="I1854" s="37"/>
      <c r="J1854" s="38"/>
      <c r="K1854" s="37"/>
      <c r="L1854" s="38"/>
      <c r="M1854" s="39"/>
      <c r="P1854" s="37"/>
      <c r="Q1854" s="37"/>
      <c r="R1854" s="37"/>
      <c r="S1854" s="37"/>
      <c r="T1854" s="37"/>
      <c r="U1854" s="37"/>
      <c r="V1854" s="37"/>
      <c r="W1854" s="37"/>
      <c r="X1854" s="37"/>
      <c r="Y1854" s="37"/>
      <c r="Z1854" s="37"/>
      <c r="AA1854" s="37"/>
      <c r="AB1854" s="37"/>
      <c r="AC1854" s="37"/>
      <c r="AD1854" s="37"/>
      <c r="AE1854" s="37"/>
      <c r="AF1854" s="37"/>
      <c r="AG1854" s="37"/>
      <c r="AH1854" s="37"/>
      <c r="AI1854" s="37"/>
      <c r="AJ1854" s="37"/>
      <c r="AK1854" s="37"/>
      <c r="AL1854" s="37"/>
      <c r="AM1854" s="37"/>
      <c r="AN1854" s="37"/>
      <c r="AO1854" s="37"/>
      <c r="AP1854" s="37"/>
      <c r="AQ1854" s="37"/>
      <c r="AR1854" s="37"/>
      <c r="AS1854" s="37"/>
      <c r="AT1854" s="37"/>
      <c r="AU1854" s="37"/>
      <c r="AV1854" s="37"/>
      <c r="AW1854" s="37"/>
      <c r="AX1854" s="37"/>
      <c r="AY1854" s="37"/>
      <c r="AZ1854" s="37"/>
      <c r="BA1854" s="37"/>
      <c r="BB1854" s="37"/>
      <c r="BC1854" s="37"/>
      <c r="BD1854" s="37"/>
      <c r="BE1854" s="37"/>
      <c r="BF1854" s="37"/>
      <c r="BG1854" s="37"/>
      <c r="BH1854" s="37"/>
      <c r="BI1854" s="37"/>
      <c r="BJ1854" s="37"/>
      <c r="BK1854" s="37"/>
      <c r="BL1854" s="37"/>
      <c r="BM1854" s="37"/>
    </row>
    <row r="1855" spans="1:65" s="40" customFormat="1" ht="23.25" x14ac:dyDescent="0.35">
      <c r="A1855" s="37"/>
      <c r="B1855" s="37"/>
      <c r="C1855" s="41"/>
      <c r="D1855" s="38"/>
      <c r="E1855" s="57"/>
      <c r="F1855" s="42"/>
      <c r="G1855" s="43"/>
      <c r="H1855" s="37"/>
      <c r="I1855" s="37"/>
      <c r="J1855" s="38"/>
      <c r="K1855" s="37"/>
      <c r="L1855" s="38"/>
      <c r="M1855" s="39"/>
      <c r="P1855" s="37"/>
      <c r="Q1855" s="37"/>
      <c r="R1855" s="37"/>
      <c r="S1855" s="37"/>
      <c r="T1855" s="37"/>
      <c r="U1855" s="37"/>
      <c r="V1855" s="37"/>
      <c r="W1855" s="37"/>
      <c r="X1855" s="37"/>
      <c r="Y1855" s="37"/>
      <c r="Z1855" s="37"/>
      <c r="AA1855" s="37"/>
      <c r="AB1855" s="37"/>
      <c r="AC1855" s="37"/>
      <c r="AD1855" s="37"/>
      <c r="AE1855" s="37"/>
      <c r="AF1855" s="37"/>
      <c r="AG1855" s="37"/>
      <c r="AH1855" s="37"/>
      <c r="AI1855" s="37"/>
      <c r="AJ1855" s="37"/>
      <c r="AK1855" s="37"/>
      <c r="AL1855" s="37"/>
      <c r="AM1855" s="37"/>
      <c r="AN1855" s="37"/>
      <c r="AO1855" s="37"/>
      <c r="AP1855" s="37"/>
      <c r="AQ1855" s="37"/>
      <c r="AR1855" s="37"/>
      <c r="AS1855" s="37"/>
      <c r="AT1855" s="37"/>
      <c r="AU1855" s="37"/>
      <c r="AV1855" s="37"/>
      <c r="AW1855" s="37"/>
      <c r="AX1855" s="37"/>
      <c r="AY1855" s="37"/>
      <c r="AZ1855" s="37"/>
      <c r="BA1855" s="37"/>
      <c r="BB1855" s="37"/>
      <c r="BC1855" s="37"/>
      <c r="BD1855" s="37"/>
      <c r="BE1855" s="37"/>
      <c r="BF1855" s="37"/>
      <c r="BG1855" s="37"/>
      <c r="BH1855" s="37"/>
      <c r="BI1855" s="37"/>
      <c r="BJ1855" s="37"/>
      <c r="BK1855" s="37"/>
      <c r="BL1855" s="37"/>
      <c r="BM1855" s="37"/>
    </row>
    <row r="1856" spans="1:65" s="40" customFormat="1" ht="23.25" x14ac:dyDescent="0.35">
      <c r="A1856" s="37"/>
      <c r="B1856" s="37"/>
      <c r="C1856" s="41"/>
      <c r="D1856" s="38"/>
      <c r="E1856" s="57"/>
      <c r="F1856" s="42"/>
      <c r="G1856" s="43"/>
      <c r="H1856" s="37"/>
      <c r="I1856" s="37"/>
      <c r="J1856" s="38"/>
      <c r="K1856" s="37"/>
      <c r="L1856" s="38"/>
      <c r="M1856" s="39"/>
      <c r="P1856" s="37"/>
      <c r="Q1856" s="37"/>
      <c r="R1856" s="37"/>
      <c r="S1856" s="37"/>
      <c r="T1856" s="37"/>
      <c r="U1856" s="37"/>
      <c r="V1856" s="37"/>
      <c r="W1856" s="37"/>
      <c r="X1856" s="37"/>
      <c r="Y1856" s="37"/>
      <c r="Z1856" s="37"/>
      <c r="AA1856" s="37"/>
      <c r="AB1856" s="37"/>
      <c r="AC1856" s="37"/>
      <c r="AD1856" s="37"/>
      <c r="AE1856" s="37"/>
      <c r="AF1856" s="37"/>
      <c r="AG1856" s="37"/>
      <c r="AH1856" s="37"/>
      <c r="AI1856" s="37"/>
      <c r="AJ1856" s="37"/>
      <c r="AK1856" s="37"/>
      <c r="AL1856" s="37"/>
      <c r="AM1856" s="37"/>
      <c r="AN1856" s="37"/>
      <c r="AO1856" s="37"/>
      <c r="AP1856" s="37"/>
      <c r="AQ1856" s="37"/>
      <c r="AR1856" s="37"/>
      <c r="AS1856" s="37"/>
      <c r="AT1856" s="37"/>
      <c r="AU1856" s="37"/>
      <c r="AV1856" s="37"/>
      <c r="AW1856" s="37"/>
      <c r="AX1856" s="37"/>
      <c r="AY1856" s="37"/>
      <c r="AZ1856" s="37"/>
      <c r="BA1856" s="37"/>
      <c r="BB1856" s="37"/>
      <c r="BC1856" s="37"/>
      <c r="BD1856" s="37"/>
      <c r="BE1856" s="37"/>
      <c r="BF1856" s="37"/>
      <c r="BG1856" s="37"/>
      <c r="BH1856" s="37"/>
      <c r="BI1856" s="37"/>
      <c r="BJ1856" s="37"/>
      <c r="BK1856" s="37"/>
      <c r="BL1856" s="37"/>
      <c r="BM1856" s="37"/>
    </row>
    <row r="1857" spans="1:65" s="40" customFormat="1" ht="23.25" x14ac:dyDescent="0.35">
      <c r="A1857" s="37"/>
      <c r="B1857" s="37"/>
      <c r="C1857" s="41"/>
      <c r="D1857" s="38"/>
      <c r="E1857" s="57"/>
      <c r="F1857" s="42"/>
      <c r="G1857" s="43"/>
      <c r="H1857" s="37"/>
      <c r="I1857" s="37"/>
      <c r="J1857" s="38"/>
      <c r="K1857" s="37"/>
      <c r="L1857" s="38"/>
      <c r="M1857" s="39"/>
      <c r="P1857" s="37"/>
      <c r="Q1857" s="37"/>
      <c r="R1857" s="37"/>
      <c r="S1857" s="37"/>
      <c r="T1857" s="37"/>
      <c r="U1857" s="37"/>
      <c r="V1857" s="37"/>
      <c r="W1857" s="37"/>
      <c r="X1857" s="37"/>
      <c r="Y1857" s="37"/>
      <c r="Z1857" s="37"/>
      <c r="AA1857" s="37"/>
      <c r="AB1857" s="37"/>
      <c r="AC1857" s="37"/>
      <c r="AD1857" s="37"/>
      <c r="AE1857" s="37"/>
      <c r="AF1857" s="37"/>
      <c r="AG1857" s="37"/>
      <c r="AH1857" s="37"/>
      <c r="AI1857" s="37"/>
      <c r="AJ1857" s="37"/>
      <c r="AK1857" s="37"/>
      <c r="AL1857" s="37"/>
      <c r="AM1857" s="37"/>
      <c r="AN1857" s="37"/>
      <c r="AO1857" s="37"/>
      <c r="AP1857" s="37"/>
      <c r="AQ1857" s="37"/>
      <c r="AR1857" s="37"/>
      <c r="AS1857" s="37"/>
      <c r="AT1857" s="37"/>
      <c r="AU1857" s="37"/>
      <c r="AV1857" s="37"/>
      <c r="AW1857" s="37"/>
      <c r="AX1857" s="37"/>
      <c r="AY1857" s="37"/>
      <c r="AZ1857" s="37"/>
      <c r="BA1857" s="37"/>
      <c r="BB1857" s="37"/>
      <c r="BC1857" s="37"/>
      <c r="BD1857" s="37"/>
      <c r="BE1857" s="37"/>
      <c r="BF1857" s="37"/>
      <c r="BG1857" s="37"/>
      <c r="BH1857" s="37"/>
      <c r="BI1857" s="37"/>
      <c r="BJ1857" s="37"/>
      <c r="BK1857" s="37"/>
      <c r="BL1857" s="37"/>
      <c r="BM1857" s="37"/>
    </row>
    <row r="1858" spans="1:65" s="40" customFormat="1" ht="23.25" x14ac:dyDescent="0.35">
      <c r="A1858" s="37"/>
      <c r="B1858" s="37"/>
      <c r="C1858" s="41"/>
      <c r="D1858" s="38"/>
      <c r="E1858" s="57"/>
      <c r="F1858" s="42"/>
      <c r="G1858" s="43"/>
      <c r="H1858" s="37"/>
      <c r="I1858" s="37"/>
      <c r="J1858" s="38"/>
      <c r="K1858" s="37"/>
      <c r="L1858" s="38"/>
      <c r="M1858" s="39"/>
      <c r="P1858" s="37"/>
      <c r="Q1858" s="37"/>
      <c r="R1858" s="37"/>
      <c r="S1858" s="37"/>
      <c r="T1858" s="37"/>
      <c r="U1858" s="37"/>
      <c r="V1858" s="37"/>
      <c r="W1858" s="37"/>
      <c r="X1858" s="37"/>
      <c r="Y1858" s="37"/>
      <c r="Z1858" s="37"/>
      <c r="AA1858" s="37"/>
      <c r="AB1858" s="37"/>
      <c r="AC1858" s="37"/>
      <c r="AD1858" s="37"/>
      <c r="AE1858" s="37"/>
      <c r="AF1858" s="37"/>
      <c r="AG1858" s="37"/>
      <c r="AH1858" s="37"/>
      <c r="AI1858" s="37"/>
      <c r="AJ1858" s="37"/>
      <c r="AK1858" s="37"/>
      <c r="AL1858" s="37"/>
      <c r="AM1858" s="37"/>
      <c r="AN1858" s="37"/>
      <c r="AO1858" s="37"/>
      <c r="AP1858" s="37"/>
      <c r="AQ1858" s="37"/>
      <c r="AR1858" s="37"/>
      <c r="AS1858" s="37"/>
      <c r="AT1858" s="37"/>
      <c r="AU1858" s="37"/>
      <c r="AV1858" s="37"/>
      <c r="AW1858" s="37"/>
      <c r="AX1858" s="37"/>
      <c r="AY1858" s="37"/>
      <c r="AZ1858" s="37"/>
      <c r="BA1858" s="37"/>
      <c r="BB1858" s="37"/>
      <c r="BC1858" s="37"/>
      <c r="BD1858" s="37"/>
      <c r="BE1858" s="37"/>
      <c r="BF1858" s="37"/>
      <c r="BG1858" s="37"/>
      <c r="BH1858" s="37"/>
      <c r="BI1858" s="37"/>
      <c r="BJ1858" s="37"/>
      <c r="BK1858" s="37"/>
      <c r="BL1858" s="37"/>
      <c r="BM1858" s="37"/>
    </row>
    <row r="1859" spans="1:65" s="40" customFormat="1" ht="23.25" x14ac:dyDescent="0.35">
      <c r="A1859" s="37"/>
      <c r="B1859" s="37"/>
      <c r="C1859" s="41"/>
      <c r="D1859" s="38"/>
      <c r="E1859" s="57"/>
      <c r="F1859" s="42"/>
      <c r="G1859" s="43"/>
      <c r="H1859" s="37"/>
      <c r="I1859" s="37"/>
      <c r="J1859" s="38"/>
      <c r="K1859" s="37"/>
      <c r="L1859" s="38"/>
      <c r="M1859" s="39"/>
      <c r="P1859" s="37"/>
      <c r="Q1859" s="37"/>
      <c r="R1859" s="37"/>
      <c r="S1859" s="37"/>
      <c r="T1859" s="37"/>
      <c r="U1859" s="37"/>
      <c r="V1859" s="37"/>
      <c r="W1859" s="37"/>
      <c r="X1859" s="37"/>
      <c r="Y1859" s="37"/>
      <c r="Z1859" s="37"/>
      <c r="AA1859" s="37"/>
      <c r="AB1859" s="37"/>
      <c r="AC1859" s="37"/>
      <c r="AD1859" s="37"/>
      <c r="AE1859" s="37"/>
      <c r="AF1859" s="37"/>
      <c r="AG1859" s="37"/>
      <c r="AH1859" s="37"/>
      <c r="AI1859" s="37"/>
      <c r="AJ1859" s="37"/>
      <c r="AK1859" s="37"/>
      <c r="AL1859" s="37"/>
      <c r="AM1859" s="37"/>
      <c r="AN1859" s="37"/>
      <c r="AO1859" s="37"/>
      <c r="AP1859" s="37"/>
      <c r="AQ1859" s="37"/>
      <c r="AR1859" s="37"/>
      <c r="AS1859" s="37"/>
      <c r="AT1859" s="37"/>
      <c r="AU1859" s="37"/>
      <c r="AV1859" s="37"/>
      <c r="AW1859" s="37"/>
      <c r="AX1859" s="37"/>
      <c r="AY1859" s="37"/>
      <c r="AZ1859" s="37"/>
      <c r="BA1859" s="37"/>
      <c r="BB1859" s="37"/>
      <c r="BC1859" s="37"/>
      <c r="BD1859" s="37"/>
      <c r="BE1859" s="37"/>
      <c r="BF1859" s="37"/>
      <c r="BG1859" s="37"/>
      <c r="BH1859" s="37"/>
      <c r="BI1859" s="37"/>
      <c r="BJ1859" s="37"/>
      <c r="BK1859" s="37"/>
      <c r="BL1859" s="37"/>
      <c r="BM1859" s="37"/>
    </row>
    <row r="1860" spans="1:65" s="40" customFormat="1" ht="23.25" x14ac:dyDescent="0.35">
      <c r="A1860" s="37"/>
      <c r="B1860" s="37"/>
      <c r="C1860" s="41"/>
      <c r="D1860" s="38"/>
      <c r="E1860" s="57"/>
      <c r="F1860" s="42"/>
      <c r="G1860" s="43"/>
      <c r="H1860" s="37"/>
      <c r="I1860" s="37"/>
      <c r="J1860" s="38"/>
      <c r="K1860" s="37"/>
      <c r="L1860" s="38"/>
      <c r="M1860" s="39"/>
      <c r="P1860" s="37"/>
      <c r="Q1860" s="37"/>
      <c r="R1860" s="37"/>
      <c r="S1860" s="37"/>
      <c r="T1860" s="37"/>
      <c r="U1860" s="37"/>
      <c r="V1860" s="37"/>
      <c r="W1860" s="37"/>
      <c r="X1860" s="37"/>
      <c r="Y1860" s="37"/>
      <c r="Z1860" s="37"/>
      <c r="AA1860" s="37"/>
      <c r="AB1860" s="37"/>
      <c r="AC1860" s="37"/>
      <c r="AD1860" s="37"/>
      <c r="AE1860" s="37"/>
      <c r="AF1860" s="37"/>
      <c r="AG1860" s="37"/>
      <c r="AH1860" s="37"/>
      <c r="AI1860" s="37"/>
      <c r="AJ1860" s="37"/>
      <c r="AK1860" s="37"/>
      <c r="AL1860" s="37"/>
      <c r="AM1860" s="37"/>
      <c r="AN1860" s="37"/>
      <c r="AO1860" s="37"/>
      <c r="AP1860" s="37"/>
      <c r="AQ1860" s="37"/>
      <c r="AR1860" s="37"/>
      <c r="AS1860" s="37"/>
      <c r="AT1860" s="37"/>
      <c r="AU1860" s="37"/>
      <c r="AV1860" s="37"/>
      <c r="AW1860" s="37"/>
      <c r="AX1860" s="37"/>
      <c r="AY1860" s="37"/>
      <c r="AZ1860" s="37"/>
      <c r="BA1860" s="37"/>
      <c r="BB1860" s="37"/>
      <c r="BC1860" s="37"/>
      <c r="BD1860" s="37"/>
      <c r="BE1860" s="37"/>
      <c r="BF1860" s="37"/>
      <c r="BG1860" s="37"/>
      <c r="BH1860" s="37"/>
      <c r="BI1860" s="37"/>
      <c r="BJ1860" s="37"/>
      <c r="BK1860" s="37"/>
      <c r="BL1860" s="37"/>
      <c r="BM1860" s="37"/>
    </row>
    <row r="1861" spans="1:65" s="40" customFormat="1" ht="23.25" x14ac:dyDescent="0.35">
      <c r="A1861" s="37"/>
      <c r="B1861" s="37"/>
      <c r="C1861" s="41"/>
      <c r="D1861" s="38"/>
      <c r="E1861" s="57"/>
      <c r="F1861" s="42"/>
      <c r="G1861" s="43"/>
      <c r="H1861" s="37"/>
      <c r="I1861" s="37"/>
      <c r="J1861" s="38"/>
      <c r="K1861" s="37"/>
      <c r="L1861" s="38"/>
      <c r="M1861" s="39"/>
      <c r="P1861" s="37"/>
      <c r="Q1861" s="37"/>
      <c r="R1861" s="37"/>
      <c r="S1861" s="37"/>
      <c r="T1861" s="37"/>
      <c r="U1861" s="37"/>
      <c r="V1861" s="37"/>
      <c r="W1861" s="37"/>
      <c r="X1861" s="37"/>
      <c r="Y1861" s="37"/>
      <c r="Z1861" s="37"/>
      <c r="AA1861" s="37"/>
      <c r="AB1861" s="37"/>
      <c r="AC1861" s="37"/>
      <c r="AD1861" s="37"/>
      <c r="AE1861" s="37"/>
      <c r="AF1861" s="37"/>
      <c r="AG1861" s="37"/>
      <c r="AH1861" s="37"/>
      <c r="AI1861" s="37"/>
      <c r="AJ1861" s="37"/>
      <c r="AK1861" s="37"/>
      <c r="AL1861" s="37"/>
      <c r="AM1861" s="37"/>
      <c r="AN1861" s="37"/>
      <c r="AO1861" s="37"/>
      <c r="AP1861" s="37"/>
      <c r="AQ1861" s="37"/>
      <c r="AR1861" s="37"/>
      <c r="AS1861" s="37"/>
      <c r="AT1861" s="37"/>
      <c r="AU1861" s="37"/>
      <c r="AV1861" s="37"/>
      <c r="AW1861" s="37"/>
      <c r="AX1861" s="37"/>
      <c r="AY1861" s="37"/>
      <c r="AZ1861" s="37"/>
      <c r="BA1861" s="37"/>
      <c r="BB1861" s="37"/>
      <c r="BC1861" s="37"/>
      <c r="BD1861" s="37"/>
      <c r="BE1861" s="37"/>
      <c r="BF1861" s="37"/>
      <c r="BG1861" s="37"/>
      <c r="BH1861" s="37"/>
      <c r="BI1861" s="37"/>
      <c r="BJ1861" s="37"/>
      <c r="BK1861" s="37"/>
      <c r="BL1861" s="37"/>
      <c r="BM1861" s="37"/>
    </row>
    <row r="1862" spans="1:65" s="40" customFormat="1" ht="23.25" x14ac:dyDescent="0.35">
      <c r="A1862" s="37"/>
      <c r="B1862" s="37"/>
      <c r="C1862" s="41"/>
      <c r="D1862" s="38"/>
      <c r="E1862" s="57"/>
      <c r="F1862" s="42"/>
      <c r="G1862" s="43"/>
      <c r="H1862" s="37"/>
      <c r="I1862" s="37"/>
      <c r="J1862" s="38"/>
      <c r="K1862" s="37"/>
      <c r="L1862" s="38"/>
      <c r="M1862" s="39"/>
      <c r="P1862" s="37"/>
      <c r="Q1862" s="37"/>
      <c r="R1862" s="37"/>
      <c r="S1862" s="37"/>
      <c r="T1862" s="37"/>
      <c r="U1862" s="37"/>
      <c r="V1862" s="37"/>
      <c r="W1862" s="37"/>
      <c r="X1862" s="37"/>
      <c r="Y1862" s="37"/>
      <c r="Z1862" s="37"/>
      <c r="AA1862" s="37"/>
      <c r="AB1862" s="37"/>
      <c r="AC1862" s="37"/>
      <c r="AD1862" s="37"/>
      <c r="AE1862" s="37"/>
      <c r="AF1862" s="37"/>
      <c r="AG1862" s="37"/>
      <c r="AH1862" s="37"/>
      <c r="AI1862" s="37"/>
      <c r="AJ1862" s="37"/>
      <c r="AK1862" s="37"/>
      <c r="AL1862" s="37"/>
      <c r="AM1862" s="37"/>
      <c r="AN1862" s="37"/>
      <c r="AO1862" s="37"/>
      <c r="AP1862" s="37"/>
      <c r="AQ1862" s="37"/>
      <c r="AR1862" s="37"/>
      <c r="AS1862" s="37"/>
      <c r="AT1862" s="37"/>
      <c r="AU1862" s="37"/>
      <c r="AV1862" s="37"/>
      <c r="AW1862" s="37"/>
      <c r="AX1862" s="37"/>
      <c r="AY1862" s="37"/>
      <c r="AZ1862" s="37"/>
      <c r="BA1862" s="37"/>
      <c r="BB1862" s="37"/>
      <c r="BC1862" s="37"/>
      <c r="BD1862" s="37"/>
      <c r="BE1862" s="37"/>
      <c r="BF1862" s="37"/>
      <c r="BG1862" s="37"/>
      <c r="BH1862" s="37"/>
      <c r="BI1862" s="37"/>
      <c r="BJ1862" s="37"/>
      <c r="BK1862" s="37"/>
      <c r="BL1862" s="37"/>
      <c r="BM1862" s="37"/>
    </row>
    <row r="1863" spans="1:65" s="40" customFormat="1" ht="23.25" x14ac:dyDescent="0.35">
      <c r="A1863" s="37"/>
      <c r="B1863" s="37"/>
      <c r="C1863" s="41"/>
      <c r="D1863" s="38"/>
      <c r="E1863" s="57"/>
      <c r="F1863" s="42"/>
      <c r="G1863" s="43"/>
      <c r="H1863" s="37"/>
      <c r="I1863" s="37"/>
      <c r="J1863" s="38"/>
      <c r="K1863" s="37"/>
      <c r="L1863" s="38"/>
      <c r="M1863" s="39"/>
      <c r="P1863" s="37"/>
      <c r="Q1863" s="37"/>
      <c r="R1863" s="37"/>
      <c r="S1863" s="37"/>
      <c r="T1863" s="37"/>
      <c r="U1863" s="37"/>
      <c r="V1863" s="37"/>
      <c r="W1863" s="37"/>
      <c r="X1863" s="37"/>
      <c r="Y1863" s="37"/>
      <c r="Z1863" s="37"/>
      <c r="AA1863" s="37"/>
      <c r="AB1863" s="37"/>
      <c r="AC1863" s="37"/>
      <c r="AD1863" s="37"/>
      <c r="AE1863" s="37"/>
      <c r="AF1863" s="37"/>
      <c r="AG1863" s="37"/>
      <c r="AH1863" s="37"/>
      <c r="AI1863" s="37"/>
      <c r="AJ1863" s="37"/>
      <c r="AK1863" s="37"/>
      <c r="AL1863" s="37"/>
      <c r="AM1863" s="37"/>
      <c r="AN1863" s="37"/>
      <c r="AO1863" s="37"/>
      <c r="AP1863" s="37"/>
      <c r="AQ1863" s="37"/>
      <c r="AR1863" s="37"/>
      <c r="AS1863" s="37"/>
      <c r="AT1863" s="37"/>
      <c r="AU1863" s="37"/>
      <c r="AV1863" s="37"/>
      <c r="AW1863" s="37"/>
      <c r="AX1863" s="37"/>
      <c r="AY1863" s="37"/>
      <c r="AZ1863" s="37"/>
      <c r="BA1863" s="37"/>
      <c r="BB1863" s="37"/>
      <c r="BC1863" s="37"/>
      <c r="BD1863" s="37"/>
      <c r="BE1863" s="37"/>
      <c r="BF1863" s="37"/>
      <c r="BG1863" s="37"/>
      <c r="BH1863" s="37"/>
      <c r="BI1863" s="37"/>
      <c r="BJ1863" s="37"/>
      <c r="BK1863" s="37"/>
      <c r="BL1863" s="37"/>
      <c r="BM1863" s="37"/>
    </row>
    <row r="1864" spans="1:65" s="40" customFormat="1" ht="23.25" x14ac:dyDescent="0.35">
      <c r="A1864" s="37"/>
      <c r="B1864" s="37"/>
      <c r="C1864" s="41"/>
      <c r="D1864" s="38"/>
      <c r="E1864" s="57"/>
      <c r="F1864" s="42"/>
      <c r="G1864" s="43"/>
      <c r="H1864" s="37"/>
      <c r="I1864" s="37"/>
      <c r="J1864" s="38"/>
      <c r="K1864" s="37"/>
      <c r="L1864" s="38"/>
      <c r="M1864" s="39"/>
      <c r="P1864" s="37"/>
      <c r="Q1864" s="37"/>
      <c r="R1864" s="37"/>
      <c r="S1864" s="37"/>
      <c r="T1864" s="37"/>
      <c r="U1864" s="37"/>
      <c r="V1864" s="37"/>
      <c r="W1864" s="37"/>
      <c r="X1864" s="37"/>
      <c r="Y1864" s="37"/>
      <c r="Z1864" s="37"/>
      <c r="AA1864" s="37"/>
      <c r="AB1864" s="37"/>
      <c r="AC1864" s="37"/>
      <c r="AD1864" s="37"/>
      <c r="AE1864" s="37"/>
      <c r="AF1864" s="37"/>
      <c r="AG1864" s="37"/>
      <c r="AH1864" s="37"/>
      <c r="AI1864" s="37"/>
      <c r="AJ1864" s="37"/>
      <c r="AK1864" s="37"/>
      <c r="AL1864" s="37"/>
      <c r="AM1864" s="37"/>
      <c r="AN1864" s="37"/>
      <c r="AO1864" s="37"/>
      <c r="AP1864" s="37"/>
      <c r="AQ1864" s="37"/>
      <c r="AR1864" s="37"/>
      <c r="AS1864" s="37"/>
      <c r="AT1864" s="37"/>
      <c r="AU1864" s="37"/>
      <c r="AV1864" s="37"/>
      <c r="AW1864" s="37"/>
      <c r="AX1864" s="37"/>
      <c r="AY1864" s="37"/>
      <c r="AZ1864" s="37"/>
      <c r="BA1864" s="37"/>
      <c r="BB1864" s="37"/>
      <c r="BC1864" s="37"/>
      <c r="BD1864" s="37"/>
      <c r="BE1864" s="37"/>
      <c r="BF1864" s="37"/>
      <c r="BG1864" s="37"/>
      <c r="BH1864" s="37"/>
      <c r="BI1864" s="37"/>
      <c r="BJ1864" s="37"/>
      <c r="BK1864" s="37"/>
      <c r="BL1864" s="37"/>
      <c r="BM1864" s="37"/>
    </row>
    <row r="1865" spans="1:65" s="40" customFormat="1" ht="23.25" x14ac:dyDescent="0.35">
      <c r="A1865" s="37"/>
      <c r="B1865" s="37"/>
      <c r="C1865" s="41"/>
      <c r="D1865" s="38"/>
      <c r="E1865" s="57"/>
      <c r="F1865" s="42"/>
      <c r="G1865" s="43"/>
      <c r="H1865" s="37"/>
      <c r="I1865" s="37"/>
      <c r="J1865" s="38"/>
      <c r="K1865" s="37"/>
      <c r="L1865" s="38"/>
      <c r="M1865" s="39"/>
      <c r="P1865" s="37"/>
      <c r="Q1865" s="37"/>
      <c r="R1865" s="37"/>
      <c r="S1865" s="37"/>
      <c r="T1865" s="37"/>
      <c r="U1865" s="37"/>
      <c r="V1865" s="37"/>
      <c r="W1865" s="37"/>
      <c r="X1865" s="37"/>
      <c r="Y1865" s="37"/>
      <c r="Z1865" s="37"/>
      <c r="AA1865" s="37"/>
      <c r="AB1865" s="37"/>
      <c r="AC1865" s="37"/>
      <c r="AD1865" s="37"/>
      <c r="AE1865" s="37"/>
      <c r="AF1865" s="37"/>
      <c r="AG1865" s="37"/>
      <c r="AH1865" s="37"/>
      <c r="AI1865" s="37"/>
      <c r="AJ1865" s="37"/>
      <c r="AK1865" s="37"/>
      <c r="AL1865" s="37"/>
      <c r="AM1865" s="37"/>
      <c r="AN1865" s="37"/>
      <c r="AO1865" s="37"/>
      <c r="AP1865" s="37"/>
      <c r="AQ1865" s="37"/>
      <c r="AR1865" s="37"/>
      <c r="AS1865" s="37"/>
      <c r="AT1865" s="37"/>
      <c r="AU1865" s="37"/>
      <c r="AV1865" s="37"/>
      <c r="AW1865" s="37"/>
      <c r="AX1865" s="37"/>
      <c r="AY1865" s="37"/>
      <c r="AZ1865" s="37"/>
      <c r="BA1865" s="37"/>
      <c r="BB1865" s="37"/>
      <c r="BC1865" s="37"/>
      <c r="BD1865" s="37"/>
      <c r="BE1865" s="37"/>
      <c r="BF1865" s="37"/>
      <c r="BG1865" s="37"/>
      <c r="BH1865" s="37"/>
      <c r="BI1865" s="37"/>
      <c r="BJ1865" s="37"/>
      <c r="BK1865" s="37"/>
      <c r="BL1865" s="37"/>
      <c r="BM1865" s="37"/>
    </row>
    <row r="1866" spans="1:65" s="40" customFormat="1" ht="23.25" x14ac:dyDescent="0.35">
      <c r="A1866" s="37"/>
      <c r="B1866" s="37"/>
      <c r="C1866" s="41"/>
      <c r="D1866" s="38"/>
      <c r="E1866" s="57"/>
      <c r="F1866" s="42"/>
      <c r="G1866" s="43"/>
      <c r="H1866" s="37"/>
      <c r="I1866" s="37"/>
      <c r="J1866" s="38"/>
      <c r="K1866" s="37"/>
      <c r="L1866" s="38"/>
      <c r="M1866" s="39"/>
      <c r="P1866" s="37"/>
      <c r="Q1866" s="37"/>
      <c r="R1866" s="37"/>
      <c r="S1866" s="37"/>
      <c r="T1866" s="37"/>
      <c r="U1866" s="37"/>
      <c r="V1866" s="37"/>
      <c r="W1866" s="37"/>
      <c r="X1866" s="37"/>
      <c r="Y1866" s="37"/>
      <c r="Z1866" s="37"/>
      <c r="AA1866" s="37"/>
      <c r="AB1866" s="37"/>
      <c r="AC1866" s="37"/>
      <c r="AD1866" s="37"/>
      <c r="AE1866" s="37"/>
      <c r="AF1866" s="37"/>
      <c r="AG1866" s="37"/>
      <c r="AH1866" s="37"/>
      <c r="AI1866" s="37"/>
      <c r="AJ1866" s="37"/>
      <c r="AK1866" s="37"/>
      <c r="AL1866" s="37"/>
      <c r="AM1866" s="37"/>
      <c r="AN1866" s="37"/>
      <c r="AO1866" s="37"/>
      <c r="AP1866" s="37"/>
      <c r="AQ1866" s="37"/>
      <c r="AR1866" s="37"/>
      <c r="AS1866" s="37"/>
      <c r="AT1866" s="37"/>
      <c r="AU1866" s="37"/>
      <c r="AV1866" s="37"/>
      <c r="AW1866" s="37"/>
      <c r="AX1866" s="37"/>
      <c r="AY1866" s="37"/>
      <c r="AZ1866" s="37"/>
      <c r="BA1866" s="37"/>
      <c r="BB1866" s="37"/>
      <c r="BC1866" s="37"/>
      <c r="BD1866" s="37"/>
      <c r="BE1866" s="37"/>
      <c r="BF1866" s="37"/>
      <c r="BG1866" s="37"/>
      <c r="BH1866" s="37"/>
      <c r="BI1866" s="37"/>
      <c r="BJ1866" s="37"/>
      <c r="BK1866" s="37"/>
      <c r="BL1866" s="37"/>
      <c r="BM1866" s="37"/>
    </row>
    <row r="1867" spans="1:65" s="40" customFormat="1" ht="23.25" x14ac:dyDescent="0.35">
      <c r="A1867" s="37"/>
      <c r="B1867" s="37"/>
      <c r="C1867" s="41"/>
      <c r="D1867" s="38"/>
      <c r="E1867" s="57"/>
      <c r="F1867" s="42"/>
      <c r="G1867" s="43"/>
      <c r="H1867" s="37"/>
      <c r="I1867" s="37"/>
      <c r="J1867" s="38"/>
      <c r="K1867" s="37"/>
      <c r="L1867" s="38"/>
      <c r="M1867" s="39"/>
      <c r="P1867" s="37"/>
      <c r="Q1867" s="37"/>
      <c r="R1867" s="37"/>
      <c r="S1867" s="37"/>
      <c r="T1867" s="37"/>
      <c r="U1867" s="37"/>
      <c r="V1867" s="37"/>
      <c r="W1867" s="37"/>
      <c r="X1867" s="37"/>
      <c r="Y1867" s="37"/>
      <c r="Z1867" s="37"/>
      <c r="AA1867" s="37"/>
      <c r="AB1867" s="37"/>
      <c r="AC1867" s="37"/>
      <c r="AD1867" s="37"/>
      <c r="AE1867" s="37"/>
      <c r="AF1867" s="37"/>
      <c r="AG1867" s="37"/>
      <c r="AH1867" s="37"/>
      <c r="AI1867" s="37"/>
      <c r="AJ1867" s="37"/>
      <c r="AK1867" s="37"/>
      <c r="AL1867" s="37"/>
      <c r="AM1867" s="37"/>
      <c r="AN1867" s="37"/>
      <c r="AO1867" s="37"/>
      <c r="AP1867" s="37"/>
      <c r="AQ1867" s="37"/>
      <c r="AR1867" s="37"/>
      <c r="AS1867" s="37"/>
      <c r="AT1867" s="37"/>
      <c r="AU1867" s="37"/>
      <c r="AV1867" s="37"/>
      <c r="AW1867" s="37"/>
      <c r="AX1867" s="37"/>
      <c r="AY1867" s="37"/>
      <c r="AZ1867" s="37"/>
      <c r="BA1867" s="37"/>
      <c r="BB1867" s="37"/>
      <c r="BC1867" s="37"/>
      <c r="BD1867" s="37"/>
      <c r="BE1867" s="37"/>
      <c r="BF1867" s="37"/>
      <c r="BG1867" s="37"/>
      <c r="BH1867" s="37"/>
      <c r="BI1867" s="37"/>
      <c r="BJ1867" s="37"/>
      <c r="BK1867" s="37"/>
      <c r="BL1867" s="37"/>
      <c r="BM1867" s="37"/>
    </row>
    <row r="1868" spans="1:65" s="40" customFormat="1" ht="23.25" x14ac:dyDescent="0.35">
      <c r="A1868" s="37"/>
      <c r="B1868" s="37"/>
      <c r="C1868" s="41"/>
      <c r="D1868" s="38"/>
      <c r="E1868" s="57"/>
      <c r="F1868" s="42"/>
      <c r="G1868" s="43"/>
      <c r="H1868" s="37"/>
      <c r="I1868" s="37"/>
      <c r="J1868" s="38"/>
      <c r="K1868" s="37"/>
      <c r="L1868" s="38"/>
      <c r="M1868" s="39"/>
      <c r="P1868" s="37"/>
      <c r="Q1868" s="37"/>
      <c r="R1868" s="37"/>
      <c r="S1868" s="37"/>
      <c r="T1868" s="37"/>
      <c r="U1868" s="37"/>
      <c r="V1868" s="37"/>
      <c r="W1868" s="37"/>
      <c r="X1868" s="37"/>
      <c r="Y1868" s="37"/>
      <c r="Z1868" s="37"/>
      <c r="AA1868" s="37"/>
      <c r="AB1868" s="37"/>
      <c r="AC1868" s="37"/>
      <c r="AD1868" s="37"/>
      <c r="AE1868" s="37"/>
      <c r="AF1868" s="37"/>
      <c r="AG1868" s="37"/>
      <c r="AH1868" s="37"/>
      <c r="AI1868" s="37"/>
      <c r="AJ1868" s="37"/>
      <c r="AK1868" s="37"/>
      <c r="AL1868" s="37"/>
      <c r="AM1868" s="37"/>
      <c r="AN1868" s="37"/>
      <c r="AO1868" s="37"/>
      <c r="AP1868" s="37"/>
      <c r="AQ1868" s="37"/>
      <c r="AR1868" s="37"/>
      <c r="AS1868" s="37"/>
      <c r="AT1868" s="37"/>
      <c r="AU1868" s="37"/>
      <c r="AV1868" s="37"/>
      <c r="AW1868" s="37"/>
      <c r="AX1868" s="37"/>
      <c r="AY1868" s="37"/>
      <c r="AZ1868" s="37"/>
      <c r="BA1868" s="37"/>
      <c r="BB1868" s="37"/>
      <c r="BC1868" s="37"/>
      <c r="BD1868" s="37"/>
      <c r="BE1868" s="37"/>
      <c r="BF1868" s="37"/>
      <c r="BG1868" s="37"/>
      <c r="BH1868" s="37"/>
      <c r="BI1868" s="37"/>
      <c r="BJ1868" s="37"/>
      <c r="BK1868" s="37"/>
      <c r="BL1868" s="37"/>
      <c r="BM1868" s="37"/>
    </row>
    <row r="1869" spans="1:65" s="40" customFormat="1" ht="23.25" x14ac:dyDescent="0.35">
      <c r="A1869" s="37"/>
      <c r="B1869" s="37"/>
      <c r="C1869" s="41"/>
      <c r="D1869" s="38"/>
      <c r="E1869" s="57"/>
      <c r="F1869" s="42"/>
      <c r="G1869" s="43"/>
      <c r="H1869" s="37"/>
      <c r="I1869" s="37"/>
      <c r="J1869" s="38"/>
      <c r="K1869" s="37"/>
      <c r="L1869" s="38"/>
      <c r="M1869" s="39"/>
      <c r="P1869" s="37"/>
      <c r="Q1869" s="37"/>
      <c r="R1869" s="37"/>
      <c r="S1869" s="37"/>
      <c r="T1869" s="37"/>
      <c r="U1869" s="37"/>
      <c r="V1869" s="37"/>
      <c r="W1869" s="37"/>
      <c r="X1869" s="37"/>
      <c r="Y1869" s="37"/>
      <c r="Z1869" s="37"/>
      <c r="AA1869" s="37"/>
      <c r="AB1869" s="37"/>
      <c r="AC1869" s="37"/>
      <c r="AD1869" s="37"/>
      <c r="AE1869" s="37"/>
      <c r="AF1869" s="37"/>
      <c r="AG1869" s="37"/>
      <c r="AH1869" s="37"/>
      <c r="AI1869" s="37"/>
      <c r="AJ1869" s="37"/>
      <c r="AK1869" s="37"/>
      <c r="AL1869" s="37"/>
      <c r="AM1869" s="37"/>
      <c r="AN1869" s="37"/>
      <c r="AO1869" s="37"/>
      <c r="AP1869" s="37"/>
      <c r="AQ1869" s="37"/>
      <c r="AR1869" s="37"/>
      <c r="AS1869" s="37"/>
      <c r="AT1869" s="37"/>
      <c r="AU1869" s="37"/>
      <c r="AV1869" s="37"/>
      <c r="AW1869" s="37"/>
      <c r="AX1869" s="37"/>
      <c r="AY1869" s="37"/>
      <c r="AZ1869" s="37"/>
      <c r="BA1869" s="37"/>
      <c r="BB1869" s="37"/>
      <c r="BC1869" s="37"/>
      <c r="BD1869" s="37"/>
      <c r="BE1869" s="37"/>
      <c r="BF1869" s="37"/>
      <c r="BG1869" s="37"/>
      <c r="BH1869" s="37"/>
      <c r="BI1869" s="37"/>
      <c r="BJ1869" s="37"/>
      <c r="BK1869" s="37"/>
      <c r="BL1869" s="37"/>
      <c r="BM1869" s="37"/>
    </row>
    <row r="1870" spans="1:65" s="40" customFormat="1" ht="23.25" x14ac:dyDescent="0.35">
      <c r="A1870" s="37"/>
      <c r="B1870" s="37"/>
      <c r="C1870" s="41"/>
      <c r="D1870" s="38"/>
      <c r="E1870" s="57"/>
      <c r="F1870" s="42"/>
      <c r="G1870" s="43"/>
      <c r="H1870" s="37"/>
      <c r="I1870" s="37"/>
      <c r="J1870" s="38"/>
      <c r="K1870" s="37"/>
      <c r="L1870" s="38"/>
      <c r="M1870" s="39"/>
      <c r="P1870" s="37"/>
      <c r="Q1870" s="37"/>
      <c r="R1870" s="37"/>
      <c r="S1870" s="37"/>
      <c r="T1870" s="37"/>
      <c r="U1870" s="37"/>
      <c r="V1870" s="37"/>
      <c r="W1870" s="37"/>
      <c r="X1870" s="37"/>
      <c r="Y1870" s="37"/>
      <c r="Z1870" s="37"/>
      <c r="AA1870" s="37"/>
      <c r="AB1870" s="37"/>
      <c r="AC1870" s="37"/>
      <c r="AD1870" s="37"/>
      <c r="AE1870" s="37"/>
      <c r="AF1870" s="37"/>
      <c r="AG1870" s="37"/>
      <c r="AH1870" s="37"/>
      <c r="AI1870" s="37"/>
      <c r="AJ1870" s="37"/>
      <c r="AK1870" s="37"/>
      <c r="AL1870" s="37"/>
      <c r="AM1870" s="37"/>
      <c r="AN1870" s="37"/>
      <c r="AO1870" s="37"/>
      <c r="AP1870" s="37"/>
      <c r="AQ1870" s="37"/>
      <c r="AR1870" s="37"/>
      <c r="AS1870" s="37"/>
      <c r="AT1870" s="37"/>
      <c r="AU1870" s="37"/>
      <c r="AV1870" s="37"/>
      <c r="AW1870" s="37"/>
      <c r="AX1870" s="37"/>
      <c r="AY1870" s="37"/>
      <c r="AZ1870" s="37"/>
      <c r="BA1870" s="37"/>
      <c r="BB1870" s="37"/>
      <c r="BC1870" s="37"/>
      <c r="BD1870" s="37"/>
      <c r="BE1870" s="37"/>
      <c r="BF1870" s="37"/>
      <c r="BG1870" s="37"/>
      <c r="BH1870" s="37"/>
      <c r="BI1870" s="37"/>
      <c r="BJ1870" s="37"/>
      <c r="BK1870" s="37"/>
      <c r="BL1870" s="37"/>
      <c r="BM1870" s="37"/>
    </row>
    <row r="1871" spans="1:65" s="40" customFormat="1" ht="23.25" x14ac:dyDescent="0.35">
      <c r="A1871" s="37"/>
      <c r="B1871" s="37"/>
      <c r="C1871" s="41"/>
      <c r="D1871" s="38"/>
      <c r="E1871" s="57"/>
      <c r="F1871" s="42"/>
      <c r="G1871" s="43"/>
      <c r="H1871" s="37"/>
      <c r="I1871" s="37"/>
      <c r="J1871" s="38"/>
      <c r="K1871" s="37"/>
      <c r="L1871" s="38"/>
      <c r="M1871" s="39"/>
      <c r="P1871" s="37"/>
      <c r="Q1871" s="37"/>
      <c r="R1871" s="37"/>
      <c r="S1871" s="37"/>
      <c r="T1871" s="37"/>
      <c r="U1871" s="37"/>
      <c r="V1871" s="37"/>
      <c r="W1871" s="37"/>
      <c r="X1871" s="37"/>
      <c r="Y1871" s="37"/>
      <c r="Z1871" s="37"/>
      <c r="AA1871" s="37"/>
      <c r="AB1871" s="37"/>
      <c r="AC1871" s="37"/>
      <c r="AD1871" s="37"/>
      <c r="AE1871" s="37"/>
      <c r="AF1871" s="37"/>
      <c r="AG1871" s="37"/>
      <c r="AH1871" s="37"/>
      <c r="AI1871" s="37"/>
      <c r="AJ1871" s="37"/>
      <c r="AK1871" s="37"/>
      <c r="AL1871" s="37"/>
      <c r="AM1871" s="37"/>
      <c r="AN1871" s="37"/>
      <c r="AO1871" s="37"/>
      <c r="AP1871" s="37"/>
      <c r="AQ1871" s="37"/>
      <c r="AR1871" s="37"/>
      <c r="AS1871" s="37"/>
      <c r="AT1871" s="37"/>
      <c r="AU1871" s="37"/>
      <c r="AV1871" s="37"/>
      <c r="AW1871" s="37"/>
      <c r="AX1871" s="37"/>
      <c r="AY1871" s="37"/>
      <c r="AZ1871" s="37"/>
      <c r="BA1871" s="37"/>
      <c r="BB1871" s="37"/>
      <c r="BC1871" s="37"/>
      <c r="BD1871" s="37"/>
      <c r="BE1871" s="37"/>
      <c r="BF1871" s="37"/>
      <c r="BG1871" s="37"/>
      <c r="BH1871" s="37"/>
      <c r="BI1871" s="37"/>
      <c r="BJ1871" s="37"/>
      <c r="BK1871" s="37"/>
      <c r="BL1871" s="37"/>
      <c r="BM1871" s="37"/>
    </row>
    <row r="1872" spans="1:65" s="40" customFormat="1" ht="23.25" x14ac:dyDescent="0.35">
      <c r="A1872" s="37"/>
      <c r="B1872" s="37"/>
      <c r="C1872" s="41"/>
      <c r="D1872" s="38"/>
      <c r="E1872" s="57"/>
      <c r="F1872" s="42"/>
      <c r="G1872" s="43"/>
      <c r="H1872" s="37"/>
      <c r="I1872" s="37"/>
      <c r="J1872" s="38"/>
      <c r="K1872" s="37"/>
      <c r="L1872" s="38"/>
      <c r="M1872" s="39"/>
      <c r="P1872" s="37"/>
      <c r="Q1872" s="37"/>
      <c r="R1872" s="37"/>
      <c r="S1872" s="37"/>
      <c r="T1872" s="37"/>
      <c r="U1872" s="37"/>
      <c r="V1872" s="37"/>
      <c r="W1872" s="37"/>
      <c r="X1872" s="37"/>
      <c r="Y1872" s="37"/>
      <c r="Z1872" s="37"/>
      <c r="AA1872" s="37"/>
      <c r="AB1872" s="37"/>
      <c r="AC1872" s="37"/>
      <c r="AD1872" s="37"/>
      <c r="AE1872" s="37"/>
      <c r="AF1872" s="37"/>
      <c r="AG1872" s="37"/>
      <c r="AH1872" s="37"/>
      <c r="AI1872" s="37"/>
      <c r="AJ1872" s="37"/>
      <c r="AK1872" s="37"/>
      <c r="AL1872" s="37"/>
      <c r="AM1872" s="37"/>
      <c r="AN1872" s="37"/>
      <c r="AO1872" s="37"/>
      <c r="AP1872" s="37"/>
      <c r="AQ1872" s="37"/>
      <c r="AR1872" s="37"/>
      <c r="AS1872" s="37"/>
      <c r="AT1872" s="37"/>
      <c r="AU1872" s="37"/>
      <c r="AV1872" s="37"/>
      <c r="AW1872" s="37"/>
      <c r="AX1872" s="37"/>
      <c r="AY1872" s="37"/>
      <c r="AZ1872" s="37"/>
      <c r="BA1872" s="37"/>
      <c r="BB1872" s="37"/>
      <c r="BC1872" s="37"/>
      <c r="BD1872" s="37"/>
      <c r="BE1872" s="37"/>
      <c r="BF1872" s="37"/>
      <c r="BG1872" s="37"/>
      <c r="BH1872" s="37"/>
      <c r="BI1872" s="37"/>
      <c r="BJ1872" s="37"/>
      <c r="BK1872" s="37"/>
      <c r="BL1872" s="37"/>
      <c r="BM1872" s="37"/>
    </row>
    <row r="1873" spans="1:65" s="40" customFormat="1" ht="23.25" x14ac:dyDescent="0.35">
      <c r="A1873" s="37"/>
      <c r="B1873" s="37"/>
      <c r="C1873" s="41"/>
      <c r="D1873" s="38"/>
      <c r="E1873" s="57"/>
      <c r="F1873" s="42"/>
      <c r="G1873" s="43"/>
      <c r="H1873" s="37"/>
      <c r="I1873" s="37"/>
      <c r="J1873" s="38"/>
      <c r="K1873" s="37"/>
      <c r="L1873" s="38"/>
      <c r="M1873" s="39"/>
      <c r="P1873" s="37"/>
      <c r="Q1873" s="37"/>
      <c r="R1873" s="37"/>
      <c r="S1873" s="37"/>
      <c r="T1873" s="37"/>
      <c r="U1873" s="37"/>
      <c r="V1873" s="37"/>
      <c r="W1873" s="37"/>
      <c r="X1873" s="37"/>
      <c r="Y1873" s="37"/>
      <c r="Z1873" s="37"/>
      <c r="AA1873" s="37"/>
      <c r="AB1873" s="37"/>
      <c r="AC1873" s="37"/>
      <c r="AD1873" s="37"/>
      <c r="AE1873" s="37"/>
      <c r="AF1873" s="37"/>
      <c r="AG1873" s="37"/>
      <c r="AH1873" s="37"/>
      <c r="AI1873" s="37"/>
      <c r="AJ1873" s="37"/>
      <c r="AK1873" s="37"/>
      <c r="AL1873" s="37"/>
      <c r="AM1873" s="37"/>
      <c r="AN1873" s="37"/>
      <c r="AO1873" s="37"/>
      <c r="AP1873" s="37"/>
      <c r="AQ1873" s="37"/>
      <c r="AR1873" s="37"/>
      <c r="AS1873" s="37"/>
      <c r="AT1873" s="37"/>
      <c r="AU1873" s="37"/>
      <c r="AV1873" s="37"/>
      <c r="AW1873" s="37"/>
      <c r="AX1873" s="37"/>
      <c r="AY1873" s="37"/>
      <c r="AZ1873" s="37"/>
      <c r="BA1873" s="37"/>
      <c r="BB1873" s="37"/>
      <c r="BC1873" s="37"/>
      <c r="BD1873" s="37"/>
      <c r="BE1873" s="37"/>
      <c r="BF1873" s="37"/>
      <c r="BG1873" s="37"/>
      <c r="BH1873" s="37"/>
      <c r="BI1873" s="37"/>
      <c r="BJ1873" s="37"/>
      <c r="BK1873" s="37"/>
      <c r="BL1873" s="37"/>
      <c r="BM1873" s="37"/>
    </row>
    <row r="1874" spans="1:65" s="40" customFormat="1" ht="23.25" x14ac:dyDescent="0.35">
      <c r="A1874" s="37"/>
      <c r="B1874" s="37"/>
      <c r="C1874" s="41"/>
      <c r="D1874" s="38"/>
      <c r="E1874" s="57"/>
      <c r="F1874" s="42"/>
      <c r="G1874" s="43"/>
      <c r="H1874" s="37"/>
      <c r="I1874" s="37"/>
      <c r="J1874" s="38"/>
      <c r="K1874" s="37"/>
      <c r="L1874" s="38"/>
      <c r="M1874" s="39"/>
      <c r="P1874" s="37"/>
      <c r="Q1874" s="37"/>
      <c r="R1874" s="37"/>
      <c r="S1874" s="37"/>
      <c r="T1874" s="37"/>
      <c r="U1874" s="37"/>
      <c r="V1874" s="37"/>
      <c r="W1874" s="37"/>
      <c r="X1874" s="37"/>
      <c r="Y1874" s="37"/>
      <c r="Z1874" s="37"/>
      <c r="AA1874" s="37"/>
      <c r="AB1874" s="37"/>
      <c r="AC1874" s="37"/>
      <c r="AD1874" s="37"/>
      <c r="AE1874" s="37"/>
      <c r="AF1874" s="37"/>
      <c r="AG1874" s="37"/>
      <c r="AH1874" s="37"/>
      <c r="AI1874" s="37"/>
      <c r="AJ1874" s="37"/>
      <c r="AK1874" s="37"/>
      <c r="AL1874" s="37"/>
      <c r="AM1874" s="37"/>
      <c r="AN1874" s="37"/>
      <c r="AO1874" s="37"/>
      <c r="AP1874" s="37"/>
      <c r="AQ1874" s="37"/>
      <c r="AR1874" s="37"/>
      <c r="AS1874" s="37"/>
      <c r="AT1874" s="37"/>
      <c r="AU1874" s="37"/>
      <c r="AV1874" s="37"/>
      <c r="AW1874" s="37"/>
      <c r="AX1874" s="37"/>
      <c r="AY1874" s="37"/>
      <c r="AZ1874" s="37"/>
      <c r="BA1874" s="37"/>
      <c r="BB1874" s="37"/>
      <c r="BC1874" s="37"/>
      <c r="BD1874" s="37"/>
      <c r="BE1874" s="37"/>
      <c r="BF1874" s="37"/>
      <c r="BG1874" s="37"/>
      <c r="BH1874" s="37"/>
      <c r="BI1874" s="37"/>
      <c r="BJ1874" s="37"/>
      <c r="BK1874" s="37"/>
      <c r="BL1874" s="37"/>
      <c r="BM1874" s="37"/>
    </row>
    <row r="1875" spans="1:65" s="40" customFormat="1" ht="23.25" x14ac:dyDescent="0.35">
      <c r="A1875" s="37"/>
      <c r="B1875" s="37"/>
      <c r="C1875" s="41"/>
      <c r="D1875" s="38"/>
      <c r="E1875" s="57"/>
      <c r="F1875" s="42"/>
      <c r="G1875" s="43"/>
      <c r="H1875" s="37"/>
      <c r="I1875" s="37"/>
      <c r="J1875" s="38"/>
      <c r="K1875" s="37"/>
      <c r="L1875" s="38"/>
      <c r="M1875" s="39"/>
      <c r="P1875" s="37"/>
      <c r="Q1875" s="37"/>
      <c r="R1875" s="37"/>
      <c r="S1875" s="37"/>
      <c r="T1875" s="37"/>
      <c r="U1875" s="37"/>
      <c r="V1875" s="37"/>
      <c r="W1875" s="37"/>
      <c r="X1875" s="37"/>
      <c r="Y1875" s="37"/>
      <c r="Z1875" s="37"/>
      <c r="AA1875" s="37"/>
      <c r="AB1875" s="37"/>
      <c r="AC1875" s="37"/>
      <c r="AD1875" s="37"/>
      <c r="AE1875" s="37"/>
      <c r="AF1875" s="37"/>
      <c r="AG1875" s="37"/>
      <c r="AH1875" s="37"/>
      <c r="AI1875" s="37"/>
      <c r="AJ1875" s="37"/>
      <c r="AK1875" s="37"/>
      <c r="AL1875" s="37"/>
      <c r="AM1875" s="37"/>
      <c r="AN1875" s="37"/>
      <c r="AO1875" s="37"/>
      <c r="AP1875" s="37"/>
      <c r="AQ1875" s="37"/>
      <c r="AR1875" s="37"/>
      <c r="AS1875" s="37"/>
      <c r="AT1875" s="37"/>
      <c r="AU1875" s="37"/>
      <c r="AV1875" s="37"/>
      <c r="AW1875" s="37"/>
      <c r="AX1875" s="37"/>
      <c r="AY1875" s="37"/>
      <c r="AZ1875" s="37"/>
      <c r="BA1875" s="37"/>
      <c r="BB1875" s="37"/>
      <c r="BC1875" s="37"/>
      <c r="BD1875" s="37"/>
      <c r="BE1875" s="37"/>
      <c r="BF1875" s="37"/>
      <c r="BG1875" s="37"/>
      <c r="BH1875" s="37"/>
      <c r="BI1875" s="37"/>
      <c r="BJ1875" s="37"/>
      <c r="BK1875" s="37"/>
      <c r="BL1875" s="37"/>
      <c r="BM1875" s="37"/>
    </row>
    <row r="1876" spans="1:65" s="40" customFormat="1" ht="23.25" x14ac:dyDescent="0.35">
      <c r="A1876" s="37"/>
      <c r="B1876" s="37"/>
      <c r="C1876" s="41"/>
      <c r="D1876" s="38"/>
      <c r="E1876" s="57"/>
      <c r="F1876" s="42"/>
      <c r="G1876" s="43"/>
      <c r="H1876" s="37"/>
      <c r="I1876" s="37"/>
      <c r="J1876" s="38"/>
      <c r="K1876" s="37"/>
      <c r="L1876" s="38"/>
      <c r="M1876" s="39"/>
      <c r="P1876" s="37"/>
      <c r="Q1876" s="37"/>
      <c r="R1876" s="37"/>
      <c r="S1876" s="37"/>
      <c r="T1876" s="37"/>
      <c r="U1876" s="37"/>
      <c r="V1876" s="37"/>
      <c r="W1876" s="37"/>
      <c r="X1876" s="37"/>
      <c r="Y1876" s="37"/>
      <c r="Z1876" s="37"/>
      <c r="AA1876" s="37"/>
      <c r="AB1876" s="37"/>
      <c r="AC1876" s="37"/>
      <c r="AD1876" s="37"/>
      <c r="AE1876" s="37"/>
      <c r="AF1876" s="37"/>
      <c r="AG1876" s="37"/>
      <c r="AH1876" s="37"/>
      <c r="AI1876" s="37"/>
      <c r="AJ1876" s="37"/>
      <c r="AK1876" s="37"/>
      <c r="AL1876" s="37"/>
      <c r="AM1876" s="37"/>
      <c r="AN1876" s="37"/>
      <c r="AO1876" s="37"/>
      <c r="AP1876" s="37"/>
      <c r="AQ1876" s="37"/>
      <c r="AR1876" s="37"/>
      <c r="AS1876" s="37"/>
      <c r="AT1876" s="37"/>
      <c r="AU1876" s="37"/>
      <c r="AV1876" s="37"/>
      <c r="AW1876" s="37"/>
      <c r="AX1876" s="37"/>
      <c r="AY1876" s="37"/>
      <c r="AZ1876" s="37"/>
      <c r="BA1876" s="37"/>
      <c r="BB1876" s="37"/>
      <c r="BC1876" s="37"/>
      <c r="BD1876" s="37"/>
      <c r="BE1876" s="37"/>
      <c r="BF1876" s="37"/>
      <c r="BG1876" s="37"/>
      <c r="BH1876" s="37"/>
      <c r="BI1876" s="37"/>
      <c r="BJ1876" s="37"/>
      <c r="BK1876" s="37"/>
      <c r="BL1876" s="37"/>
      <c r="BM1876" s="37"/>
    </row>
    <row r="1877" spans="1:65" s="40" customFormat="1" ht="23.25" x14ac:dyDescent="0.35">
      <c r="A1877" s="37"/>
      <c r="B1877" s="37"/>
      <c r="C1877" s="41"/>
      <c r="D1877" s="38"/>
      <c r="E1877" s="57"/>
      <c r="F1877" s="42"/>
      <c r="G1877" s="43"/>
      <c r="H1877" s="37"/>
      <c r="I1877" s="37"/>
      <c r="J1877" s="38"/>
      <c r="K1877" s="37"/>
      <c r="L1877" s="38"/>
      <c r="M1877" s="39"/>
      <c r="P1877" s="37"/>
      <c r="Q1877" s="37"/>
      <c r="R1877" s="37"/>
      <c r="S1877" s="37"/>
      <c r="T1877" s="37"/>
      <c r="U1877" s="37"/>
      <c r="V1877" s="37"/>
      <c r="W1877" s="37"/>
      <c r="X1877" s="37"/>
      <c r="Y1877" s="37"/>
      <c r="Z1877" s="37"/>
      <c r="AA1877" s="37"/>
      <c r="AB1877" s="37"/>
      <c r="AC1877" s="37"/>
      <c r="AD1877" s="37"/>
      <c r="AE1877" s="37"/>
      <c r="AF1877" s="37"/>
      <c r="AG1877" s="37"/>
      <c r="AH1877" s="37"/>
      <c r="AI1877" s="37"/>
      <c r="AJ1877" s="37"/>
      <c r="AK1877" s="37"/>
      <c r="AL1877" s="37"/>
      <c r="AM1877" s="37"/>
      <c r="AN1877" s="37"/>
      <c r="AO1877" s="37"/>
      <c r="AP1877" s="37"/>
      <c r="AQ1877" s="37"/>
      <c r="AR1877" s="37"/>
      <c r="AS1877" s="37"/>
      <c r="AT1877" s="37"/>
      <c r="AU1877" s="37"/>
      <c r="AV1877" s="37"/>
      <c r="AW1877" s="37"/>
      <c r="AX1877" s="37"/>
      <c r="AY1877" s="37"/>
      <c r="AZ1877" s="37"/>
      <c r="BA1877" s="37"/>
      <c r="BB1877" s="37"/>
      <c r="BC1877" s="37"/>
      <c r="BD1877" s="37"/>
      <c r="BE1877" s="37"/>
      <c r="BF1877" s="37"/>
      <c r="BG1877" s="37"/>
      <c r="BH1877" s="37"/>
      <c r="BI1877" s="37"/>
      <c r="BJ1877" s="37"/>
      <c r="BK1877" s="37"/>
      <c r="BL1877" s="37"/>
      <c r="BM1877" s="37"/>
    </row>
    <row r="1878" spans="1:65" s="40" customFormat="1" ht="23.25" x14ac:dyDescent="0.35">
      <c r="A1878" s="37"/>
      <c r="B1878" s="37"/>
      <c r="C1878" s="41"/>
      <c r="D1878" s="38"/>
      <c r="E1878" s="57"/>
      <c r="F1878" s="42"/>
      <c r="G1878" s="43"/>
      <c r="H1878" s="37"/>
      <c r="I1878" s="37"/>
      <c r="J1878" s="38"/>
      <c r="K1878" s="37"/>
      <c r="L1878" s="38"/>
      <c r="M1878" s="39"/>
      <c r="P1878" s="37"/>
      <c r="Q1878" s="37"/>
      <c r="R1878" s="37"/>
      <c r="S1878" s="37"/>
      <c r="T1878" s="37"/>
      <c r="U1878" s="37"/>
      <c r="V1878" s="37"/>
      <c r="W1878" s="37"/>
      <c r="X1878" s="37"/>
      <c r="Y1878" s="37"/>
      <c r="Z1878" s="37"/>
      <c r="AA1878" s="37"/>
      <c r="AB1878" s="37"/>
      <c r="AC1878" s="37"/>
      <c r="AD1878" s="37"/>
      <c r="AE1878" s="37"/>
      <c r="AF1878" s="37"/>
      <c r="AG1878" s="37"/>
      <c r="AH1878" s="37"/>
      <c r="AI1878" s="37"/>
      <c r="AJ1878" s="37"/>
      <c r="AK1878" s="37"/>
      <c r="AL1878" s="37"/>
      <c r="AM1878" s="37"/>
      <c r="AN1878" s="37"/>
      <c r="AO1878" s="37"/>
      <c r="AP1878" s="37"/>
      <c r="AQ1878" s="37"/>
      <c r="AR1878" s="37"/>
      <c r="AS1878" s="37"/>
      <c r="AT1878" s="37"/>
      <c r="AU1878" s="37"/>
      <c r="AV1878" s="37"/>
      <c r="AW1878" s="37"/>
      <c r="AX1878" s="37"/>
      <c r="AY1878" s="37"/>
      <c r="AZ1878" s="37"/>
      <c r="BA1878" s="37"/>
      <c r="BB1878" s="37"/>
      <c r="BC1878" s="37"/>
      <c r="BD1878" s="37"/>
      <c r="BE1878" s="37"/>
      <c r="BF1878" s="37"/>
      <c r="BG1878" s="37"/>
      <c r="BH1878" s="37"/>
      <c r="BI1878" s="37"/>
      <c r="BJ1878" s="37"/>
      <c r="BK1878" s="37"/>
      <c r="BL1878" s="37"/>
      <c r="BM1878" s="37"/>
    </row>
    <row r="1879" spans="1:65" s="40" customFormat="1" ht="23.25" x14ac:dyDescent="0.35">
      <c r="A1879" s="37"/>
      <c r="B1879" s="37"/>
      <c r="C1879" s="41"/>
      <c r="D1879" s="38"/>
      <c r="E1879" s="57"/>
      <c r="F1879" s="42"/>
      <c r="G1879" s="43"/>
      <c r="H1879" s="37"/>
      <c r="I1879" s="37"/>
      <c r="J1879" s="38"/>
      <c r="K1879" s="37"/>
      <c r="L1879" s="38"/>
      <c r="M1879" s="39"/>
      <c r="P1879" s="37"/>
      <c r="Q1879" s="37"/>
      <c r="R1879" s="37"/>
      <c r="S1879" s="37"/>
      <c r="T1879" s="37"/>
      <c r="U1879" s="37"/>
      <c r="V1879" s="37"/>
      <c r="W1879" s="37"/>
      <c r="X1879" s="37"/>
      <c r="Y1879" s="37"/>
      <c r="Z1879" s="37"/>
      <c r="AA1879" s="37"/>
      <c r="AB1879" s="37"/>
      <c r="AC1879" s="37"/>
      <c r="AD1879" s="37"/>
      <c r="AE1879" s="37"/>
      <c r="AF1879" s="37"/>
      <c r="AG1879" s="37"/>
      <c r="AH1879" s="37"/>
      <c r="AI1879" s="37"/>
      <c r="AJ1879" s="37"/>
      <c r="AK1879" s="37"/>
      <c r="AL1879" s="37"/>
      <c r="AM1879" s="37"/>
      <c r="AN1879" s="37"/>
      <c r="AO1879" s="37"/>
      <c r="AP1879" s="37"/>
      <c r="AQ1879" s="37"/>
      <c r="AR1879" s="37"/>
      <c r="AS1879" s="37"/>
      <c r="AT1879" s="37"/>
      <c r="AU1879" s="37"/>
      <c r="AV1879" s="37"/>
      <c r="AW1879" s="37"/>
      <c r="AX1879" s="37"/>
      <c r="AY1879" s="37"/>
      <c r="AZ1879" s="37"/>
      <c r="BA1879" s="37"/>
      <c r="BB1879" s="37"/>
      <c r="BC1879" s="37"/>
      <c r="BD1879" s="37"/>
      <c r="BE1879" s="37"/>
      <c r="BF1879" s="37"/>
      <c r="BG1879" s="37"/>
      <c r="BH1879" s="37"/>
      <c r="BI1879" s="37"/>
      <c r="BJ1879" s="37"/>
      <c r="BK1879" s="37"/>
      <c r="BL1879" s="37"/>
      <c r="BM1879" s="37"/>
    </row>
    <row r="1880" spans="1:65" s="40" customFormat="1" ht="23.25" x14ac:dyDescent="0.35">
      <c r="A1880" s="37"/>
      <c r="B1880" s="37"/>
      <c r="C1880" s="41"/>
      <c r="D1880" s="38"/>
      <c r="E1880" s="57"/>
      <c r="F1880" s="42"/>
      <c r="G1880" s="43"/>
      <c r="H1880" s="37"/>
      <c r="I1880" s="37"/>
      <c r="J1880" s="38"/>
      <c r="K1880" s="37"/>
      <c r="L1880" s="38"/>
      <c r="M1880" s="39"/>
      <c r="P1880" s="37"/>
      <c r="Q1880" s="37"/>
      <c r="R1880" s="37"/>
      <c r="S1880" s="37"/>
      <c r="T1880" s="37"/>
      <c r="U1880" s="37"/>
      <c r="V1880" s="37"/>
      <c r="W1880" s="37"/>
      <c r="X1880" s="37"/>
      <c r="Y1880" s="37"/>
      <c r="Z1880" s="37"/>
      <c r="AA1880" s="37"/>
      <c r="AB1880" s="37"/>
      <c r="AC1880" s="37"/>
      <c r="AD1880" s="37"/>
      <c r="AE1880" s="37"/>
      <c r="AF1880" s="37"/>
      <c r="AG1880" s="37"/>
      <c r="AH1880" s="37"/>
      <c r="AI1880" s="37"/>
      <c r="AJ1880" s="37"/>
      <c r="AK1880" s="37"/>
      <c r="AL1880" s="37"/>
      <c r="AM1880" s="37"/>
      <c r="AN1880" s="37"/>
      <c r="AO1880" s="37"/>
      <c r="AP1880" s="37"/>
      <c r="AQ1880" s="37"/>
      <c r="AR1880" s="37"/>
      <c r="AS1880" s="37"/>
      <c r="AT1880" s="37"/>
      <c r="AU1880" s="37"/>
      <c r="AV1880" s="37"/>
      <c r="AW1880" s="37"/>
      <c r="AX1880" s="37"/>
      <c r="AY1880" s="37"/>
      <c r="AZ1880" s="37"/>
      <c r="BA1880" s="37"/>
      <c r="BB1880" s="37"/>
      <c r="BC1880" s="37"/>
      <c r="BD1880" s="37"/>
      <c r="BE1880" s="37"/>
      <c r="BF1880" s="37"/>
      <c r="BG1880" s="37"/>
      <c r="BH1880" s="37"/>
      <c r="BI1880" s="37"/>
      <c r="BJ1880" s="37"/>
      <c r="BK1880" s="37"/>
      <c r="BL1880" s="37"/>
      <c r="BM1880" s="37"/>
    </row>
    <row r="1881" spans="1:65" s="40" customFormat="1" ht="23.25" x14ac:dyDescent="0.35">
      <c r="A1881" s="37"/>
      <c r="B1881" s="37"/>
      <c r="C1881" s="41"/>
      <c r="D1881" s="38"/>
      <c r="E1881" s="57"/>
      <c r="F1881" s="42"/>
      <c r="G1881" s="43"/>
      <c r="H1881" s="37"/>
      <c r="I1881" s="37"/>
      <c r="J1881" s="38"/>
      <c r="K1881" s="37"/>
      <c r="L1881" s="38"/>
      <c r="M1881" s="39"/>
      <c r="P1881" s="37"/>
      <c r="Q1881" s="37"/>
      <c r="R1881" s="37"/>
      <c r="S1881" s="37"/>
      <c r="T1881" s="37"/>
      <c r="U1881" s="37"/>
      <c r="V1881" s="37"/>
      <c r="W1881" s="37"/>
      <c r="X1881" s="37"/>
      <c r="Y1881" s="37"/>
      <c r="Z1881" s="37"/>
      <c r="AA1881" s="37"/>
      <c r="AB1881" s="37"/>
      <c r="AC1881" s="37"/>
      <c r="AD1881" s="37"/>
      <c r="AE1881" s="37"/>
      <c r="AF1881" s="37"/>
      <c r="AG1881" s="37"/>
      <c r="AH1881" s="37"/>
      <c r="AI1881" s="37"/>
      <c r="AJ1881" s="37"/>
      <c r="AK1881" s="37"/>
      <c r="AL1881" s="37"/>
      <c r="AM1881" s="37"/>
      <c r="AN1881" s="37"/>
      <c r="AO1881" s="37"/>
      <c r="AP1881" s="37"/>
      <c r="AQ1881" s="37"/>
      <c r="AR1881" s="37"/>
      <c r="AS1881" s="37"/>
      <c r="AT1881" s="37"/>
      <c r="AU1881" s="37"/>
      <c r="AV1881" s="37"/>
      <c r="AW1881" s="37"/>
      <c r="AX1881" s="37"/>
      <c r="AY1881" s="37"/>
      <c r="AZ1881" s="37"/>
      <c r="BA1881" s="37"/>
      <c r="BB1881" s="37"/>
      <c r="BC1881" s="37"/>
      <c r="BD1881" s="37"/>
      <c r="BE1881" s="37"/>
      <c r="BF1881" s="37"/>
      <c r="BG1881" s="37"/>
      <c r="BH1881" s="37"/>
      <c r="BI1881" s="37"/>
      <c r="BJ1881" s="37"/>
      <c r="BK1881" s="37"/>
      <c r="BL1881" s="37"/>
      <c r="BM1881" s="37"/>
    </row>
    <row r="1882" spans="1:65" s="40" customFormat="1" ht="23.25" x14ac:dyDescent="0.35">
      <c r="A1882" s="37"/>
      <c r="B1882" s="37"/>
      <c r="C1882" s="41"/>
      <c r="D1882" s="38"/>
      <c r="E1882" s="57"/>
      <c r="F1882" s="42"/>
      <c r="G1882" s="43"/>
      <c r="H1882" s="37"/>
      <c r="I1882" s="37"/>
      <c r="J1882" s="38"/>
      <c r="K1882" s="37"/>
      <c r="L1882" s="38"/>
      <c r="M1882" s="39"/>
      <c r="P1882" s="37"/>
      <c r="Q1882" s="37"/>
      <c r="R1882" s="37"/>
      <c r="S1882" s="37"/>
      <c r="T1882" s="37"/>
      <c r="U1882" s="37"/>
      <c r="V1882" s="37"/>
      <c r="W1882" s="37"/>
      <c r="X1882" s="37"/>
      <c r="Y1882" s="37"/>
      <c r="Z1882" s="37"/>
      <c r="AA1882" s="37"/>
      <c r="AB1882" s="37"/>
      <c r="AC1882" s="37"/>
      <c r="AD1882" s="37"/>
      <c r="AE1882" s="37"/>
      <c r="AF1882" s="37"/>
      <c r="AG1882" s="37"/>
      <c r="AH1882" s="37"/>
      <c r="AI1882" s="37"/>
      <c r="AJ1882" s="37"/>
      <c r="AK1882" s="37"/>
      <c r="AL1882" s="37"/>
      <c r="AM1882" s="37"/>
      <c r="AN1882" s="37"/>
      <c r="AO1882" s="37"/>
      <c r="AP1882" s="37"/>
      <c r="AQ1882" s="37"/>
      <c r="AR1882" s="37"/>
      <c r="AS1882" s="37"/>
      <c r="AT1882" s="37"/>
      <c r="AU1882" s="37"/>
      <c r="AV1882" s="37"/>
      <c r="AW1882" s="37"/>
      <c r="AX1882" s="37"/>
      <c r="AY1882" s="37"/>
      <c r="AZ1882" s="37"/>
      <c r="BA1882" s="37"/>
      <c r="BB1882" s="37"/>
      <c r="BC1882" s="37"/>
      <c r="BD1882" s="37"/>
      <c r="BE1882" s="37"/>
      <c r="BF1882" s="37"/>
      <c r="BG1882" s="37"/>
      <c r="BH1882" s="37"/>
      <c r="BI1882" s="37"/>
      <c r="BJ1882" s="37"/>
      <c r="BK1882" s="37"/>
      <c r="BL1882" s="37"/>
      <c r="BM1882" s="37"/>
    </row>
    <row r="1883" spans="1:65" s="40" customFormat="1" ht="23.25" x14ac:dyDescent="0.35">
      <c r="A1883" s="37"/>
      <c r="B1883" s="37"/>
      <c r="C1883" s="41"/>
      <c r="D1883" s="38"/>
      <c r="E1883" s="57"/>
      <c r="F1883" s="42"/>
      <c r="G1883" s="43"/>
      <c r="H1883" s="37"/>
      <c r="I1883" s="37"/>
      <c r="J1883" s="38"/>
      <c r="K1883" s="37"/>
      <c r="L1883" s="38"/>
      <c r="M1883" s="39"/>
      <c r="P1883" s="37"/>
      <c r="Q1883" s="37"/>
      <c r="R1883" s="37"/>
      <c r="S1883" s="37"/>
      <c r="T1883" s="37"/>
      <c r="U1883" s="37"/>
      <c r="V1883" s="37"/>
      <c r="W1883" s="37"/>
      <c r="X1883" s="37"/>
      <c r="Y1883" s="37"/>
      <c r="Z1883" s="37"/>
      <c r="AA1883" s="37"/>
      <c r="AB1883" s="37"/>
      <c r="AC1883" s="37"/>
      <c r="AD1883" s="37"/>
      <c r="AE1883" s="37"/>
      <c r="AF1883" s="37"/>
      <c r="AG1883" s="37"/>
      <c r="AH1883" s="37"/>
      <c r="AI1883" s="37"/>
      <c r="AJ1883" s="37"/>
      <c r="AK1883" s="37"/>
      <c r="AL1883" s="37"/>
      <c r="AM1883" s="37"/>
      <c r="AN1883" s="37"/>
      <c r="AO1883" s="37"/>
      <c r="AP1883" s="37"/>
      <c r="AQ1883" s="37"/>
      <c r="AR1883" s="37"/>
      <c r="AS1883" s="37"/>
      <c r="AT1883" s="37"/>
      <c r="AU1883" s="37"/>
      <c r="AV1883" s="37"/>
      <c r="AW1883" s="37"/>
      <c r="AX1883" s="37"/>
      <c r="AY1883" s="37"/>
      <c r="AZ1883" s="37"/>
      <c r="BA1883" s="37"/>
      <c r="BB1883" s="37"/>
      <c r="BC1883" s="37"/>
      <c r="BD1883" s="37"/>
      <c r="BE1883" s="37"/>
      <c r="BF1883" s="37"/>
      <c r="BG1883" s="37"/>
      <c r="BH1883" s="37"/>
      <c r="BI1883" s="37"/>
      <c r="BJ1883" s="37"/>
      <c r="BK1883" s="37"/>
      <c r="BL1883" s="37"/>
      <c r="BM1883" s="37"/>
    </row>
    <row r="1884" spans="1:65" s="40" customFormat="1" ht="23.25" x14ac:dyDescent="0.35">
      <c r="A1884" s="37"/>
      <c r="B1884" s="37"/>
      <c r="C1884" s="41"/>
      <c r="D1884" s="38"/>
      <c r="E1884" s="57"/>
      <c r="F1884" s="42"/>
      <c r="G1884" s="43"/>
      <c r="H1884" s="37"/>
      <c r="I1884" s="37"/>
      <c r="J1884" s="38"/>
      <c r="K1884" s="37"/>
      <c r="L1884" s="38"/>
      <c r="M1884" s="39"/>
      <c r="P1884" s="37"/>
      <c r="Q1884" s="37"/>
      <c r="R1884" s="37"/>
      <c r="S1884" s="37"/>
      <c r="T1884" s="37"/>
      <c r="U1884" s="37"/>
      <c r="V1884" s="37"/>
      <c r="W1884" s="37"/>
      <c r="X1884" s="37"/>
      <c r="Y1884" s="37"/>
      <c r="Z1884" s="37"/>
      <c r="AA1884" s="37"/>
      <c r="AB1884" s="37"/>
      <c r="AC1884" s="37"/>
      <c r="AD1884" s="37"/>
      <c r="AE1884" s="37"/>
      <c r="AF1884" s="37"/>
      <c r="AG1884" s="37"/>
      <c r="AH1884" s="37"/>
      <c r="AI1884" s="37"/>
      <c r="AJ1884" s="37"/>
      <c r="AK1884" s="37"/>
      <c r="AL1884" s="37"/>
      <c r="AM1884" s="37"/>
      <c r="AN1884" s="37"/>
      <c r="AO1884" s="37"/>
      <c r="AP1884" s="37"/>
      <c r="AQ1884" s="37"/>
      <c r="AR1884" s="37"/>
      <c r="AS1884" s="37"/>
      <c r="AT1884" s="37"/>
      <c r="AU1884" s="37"/>
      <c r="AV1884" s="37"/>
      <c r="AW1884" s="37"/>
      <c r="AX1884" s="37"/>
      <c r="AY1884" s="37"/>
      <c r="AZ1884" s="37"/>
      <c r="BA1884" s="37"/>
      <c r="BB1884" s="37"/>
      <c r="BC1884" s="37"/>
      <c r="BD1884" s="37"/>
      <c r="BE1884" s="37"/>
      <c r="BF1884" s="37"/>
      <c r="BG1884" s="37"/>
      <c r="BH1884" s="37"/>
      <c r="BI1884" s="37"/>
      <c r="BJ1884" s="37"/>
      <c r="BK1884" s="37"/>
      <c r="BL1884" s="37"/>
      <c r="BM1884" s="37"/>
    </row>
    <row r="1885" spans="1:65" s="40" customFormat="1" ht="23.25" x14ac:dyDescent="0.35">
      <c r="A1885" s="37"/>
      <c r="B1885" s="37"/>
      <c r="C1885" s="41"/>
      <c r="D1885" s="38"/>
      <c r="E1885" s="57"/>
      <c r="F1885" s="42"/>
      <c r="G1885" s="43"/>
      <c r="H1885" s="37"/>
      <c r="I1885" s="37"/>
      <c r="J1885" s="38"/>
      <c r="K1885" s="37"/>
      <c r="L1885" s="38"/>
      <c r="M1885" s="39"/>
      <c r="P1885" s="37"/>
      <c r="Q1885" s="37"/>
      <c r="R1885" s="37"/>
      <c r="S1885" s="37"/>
      <c r="T1885" s="37"/>
      <c r="U1885" s="37"/>
      <c r="V1885" s="37"/>
      <c r="W1885" s="37"/>
      <c r="X1885" s="37"/>
      <c r="Y1885" s="37"/>
      <c r="Z1885" s="37"/>
      <c r="AA1885" s="37"/>
      <c r="AB1885" s="37"/>
      <c r="AC1885" s="37"/>
      <c r="AD1885" s="37"/>
      <c r="AE1885" s="37"/>
      <c r="AF1885" s="37"/>
      <c r="AG1885" s="37"/>
      <c r="AH1885" s="37"/>
      <c r="AI1885" s="37"/>
      <c r="AJ1885" s="37"/>
      <c r="AK1885" s="37"/>
      <c r="AL1885" s="37"/>
      <c r="AM1885" s="37"/>
      <c r="AN1885" s="37"/>
      <c r="AO1885" s="37"/>
      <c r="AP1885" s="37"/>
      <c r="AQ1885" s="37"/>
      <c r="AR1885" s="37"/>
      <c r="AS1885" s="37"/>
      <c r="AT1885" s="37"/>
      <c r="AU1885" s="37"/>
      <c r="AV1885" s="37"/>
      <c r="AW1885" s="37"/>
      <c r="AX1885" s="37"/>
      <c r="AY1885" s="37"/>
      <c r="AZ1885" s="37"/>
      <c r="BA1885" s="37"/>
      <c r="BB1885" s="37"/>
      <c r="BC1885" s="37"/>
      <c r="BD1885" s="37"/>
      <c r="BE1885" s="37"/>
      <c r="BF1885" s="37"/>
      <c r="BG1885" s="37"/>
      <c r="BH1885" s="37"/>
      <c r="BI1885" s="37"/>
      <c r="BJ1885" s="37"/>
      <c r="BK1885" s="37"/>
      <c r="BL1885" s="37"/>
      <c r="BM1885" s="37"/>
    </row>
    <row r="1886" spans="1:65" s="40" customFormat="1" ht="23.25" x14ac:dyDescent="0.35">
      <c r="A1886" s="37"/>
      <c r="B1886" s="37"/>
      <c r="C1886" s="41"/>
      <c r="D1886" s="38"/>
      <c r="E1886" s="57"/>
      <c r="F1886" s="42"/>
      <c r="G1886" s="43"/>
      <c r="H1886" s="37"/>
      <c r="I1886" s="37"/>
      <c r="J1886" s="38"/>
      <c r="K1886" s="37"/>
      <c r="L1886" s="38"/>
      <c r="M1886" s="39"/>
      <c r="P1886" s="37"/>
      <c r="Q1886" s="37"/>
      <c r="R1886" s="37"/>
      <c r="S1886" s="37"/>
      <c r="T1886" s="37"/>
      <c r="U1886" s="37"/>
      <c r="V1886" s="37"/>
      <c r="W1886" s="37"/>
      <c r="X1886" s="37"/>
      <c r="Y1886" s="37"/>
      <c r="Z1886" s="37"/>
      <c r="AA1886" s="37"/>
      <c r="AB1886" s="37"/>
      <c r="AC1886" s="37"/>
      <c r="AD1886" s="37"/>
      <c r="AE1886" s="37"/>
      <c r="AF1886" s="37"/>
      <c r="AG1886" s="37"/>
      <c r="AH1886" s="37"/>
      <c r="AI1886" s="37"/>
      <c r="AJ1886" s="37"/>
      <c r="AK1886" s="37"/>
      <c r="AL1886" s="37"/>
      <c r="AM1886" s="37"/>
      <c r="AN1886" s="37"/>
      <c r="AO1886" s="37"/>
      <c r="AP1886" s="37"/>
      <c r="AQ1886" s="37"/>
      <c r="AR1886" s="37"/>
      <c r="AS1886" s="37"/>
      <c r="AT1886" s="37"/>
      <c r="AU1886" s="37"/>
      <c r="AV1886" s="37"/>
      <c r="AW1886" s="37"/>
      <c r="AX1886" s="37"/>
      <c r="AY1886" s="37"/>
      <c r="AZ1886" s="37"/>
      <c r="BA1886" s="37"/>
      <c r="BB1886" s="37"/>
      <c r="BC1886" s="37"/>
      <c r="BD1886" s="37"/>
      <c r="BE1886" s="37"/>
      <c r="BF1886" s="37"/>
      <c r="BG1886" s="37"/>
      <c r="BH1886" s="37"/>
      <c r="BI1886" s="37"/>
      <c r="BJ1886" s="37"/>
      <c r="BK1886" s="37"/>
      <c r="BL1886" s="37"/>
      <c r="BM1886" s="37"/>
    </row>
    <row r="1887" spans="1:65" s="40" customFormat="1" ht="23.25" x14ac:dyDescent="0.35">
      <c r="A1887" s="37"/>
      <c r="B1887" s="37"/>
      <c r="C1887" s="41"/>
      <c r="D1887" s="38"/>
      <c r="E1887" s="57"/>
      <c r="F1887" s="42"/>
      <c r="G1887" s="43"/>
      <c r="H1887" s="37"/>
      <c r="I1887" s="37"/>
      <c r="J1887" s="38"/>
      <c r="K1887" s="37"/>
      <c r="L1887" s="38"/>
      <c r="M1887" s="39"/>
      <c r="P1887" s="37"/>
      <c r="Q1887" s="37"/>
      <c r="R1887" s="37"/>
      <c r="S1887" s="37"/>
      <c r="T1887" s="37"/>
      <c r="U1887" s="37"/>
      <c r="V1887" s="37"/>
      <c r="W1887" s="37"/>
      <c r="X1887" s="37"/>
      <c r="Y1887" s="37"/>
      <c r="Z1887" s="37"/>
      <c r="AA1887" s="37"/>
      <c r="AB1887" s="37"/>
      <c r="AC1887" s="37"/>
      <c r="AD1887" s="37"/>
      <c r="AE1887" s="37"/>
      <c r="AF1887" s="37"/>
      <c r="AG1887" s="37"/>
      <c r="AH1887" s="37"/>
      <c r="AI1887" s="37"/>
      <c r="AJ1887" s="37"/>
      <c r="AK1887" s="37"/>
      <c r="AL1887" s="37"/>
      <c r="AM1887" s="37"/>
      <c r="AN1887" s="37"/>
      <c r="AO1887" s="37"/>
      <c r="AP1887" s="37"/>
      <c r="AQ1887" s="37"/>
      <c r="AR1887" s="37"/>
      <c r="AS1887" s="37"/>
      <c r="AT1887" s="37"/>
      <c r="AU1887" s="37"/>
      <c r="AV1887" s="37"/>
      <c r="AW1887" s="37"/>
      <c r="AX1887" s="37"/>
      <c r="AY1887" s="37"/>
      <c r="AZ1887" s="37"/>
      <c r="BA1887" s="37"/>
      <c r="BB1887" s="37"/>
      <c r="BC1887" s="37"/>
      <c r="BD1887" s="37"/>
      <c r="BE1887" s="37"/>
      <c r="BF1887" s="37"/>
      <c r="BG1887" s="37"/>
      <c r="BH1887" s="37"/>
      <c r="BI1887" s="37"/>
      <c r="BJ1887" s="37"/>
      <c r="BK1887" s="37"/>
      <c r="BL1887" s="37"/>
      <c r="BM1887" s="37"/>
    </row>
    <row r="1888" spans="1:65" s="40" customFormat="1" ht="23.25" x14ac:dyDescent="0.35">
      <c r="A1888" s="37"/>
      <c r="B1888" s="37"/>
      <c r="C1888" s="41"/>
      <c r="D1888" s="38"/>
      <c r="E1888" s="57"/>
      <c r="F1888" s="42"/>
      <c r="G1888" s="43"/>
      <c r="H1888" s="37"/>
      <c r="I1888" s="37"/>
      <c r="J1888" s="38"/>
      <c r="K1888" s="37"/>
      <c r="L1888" s="38"/>
      <c r="M1888" s="39"/>
      <c r="P1888" s="37"/>
      <c r="Q1888" s="37"/>
      <c r="R1888" s="37"/>
      <c r="S1888" s="37"/>
      <c r="T1888" s="37"/>
      <c r="U1888" s="37"/>
      <c r="V1888" s="37"/>
      <c r="W1888" s="37"/>
      <c r="X1888" s="37"/>
      <c r="Y1888" s="37"/>
      <c r="Z1888" s="37"/>
      <c r="AA1888" s="37"/>
      <c r="AB1888" s="37"/>
      <c r="AC1888" s="37"/>
      <c r="AD1888" s="37"/>
      <c r="AE1888" s="37"/>
      <c r="AF1888" s="37"/>
      <c r="AG1888" s="37"/>
      <c r="AH1888" s="37"/>
      <c r="AI1888" s="37"/>
      <c r="AJ1888" s="37"/>
      <c r="AK1888" s="37"/>
      <c r="AL1888" s="37"/>
      <c r="AM1888" s="37"/>
      <c r="AN1888" s="37"/>
      <c r="AO1888" s="37"/>
      <c r="AP1888" s="37"/>
      <c r="AQ1888" s="37"/>
      <c r="AR1888" s="37"/>
      <c r="AS1888" s="37"/>
      <c r="AT1888" s="37"/>
      <c r="AU1888" s="37"/>
      <c r="AV1888" s="37"/>
      <c r="AW1888" s="37"/>
      <c r="AX1888" s="37"/>
      <c r="AY1888" s="37"/>
      <c r="AZ1888" s="37"/>
      <c r="BA1888" s="37"/>
      <c r="BB1888" s="37"/>
      <c r="BC1888" s="37"/>
      <c r="BD1888" s="37"/>
      <c r="BE1888" s="37"/>
      <c r="BF1888" s="37"/>
      <c r="BG1888" s="37"/>
      <c r="BH1888" s="37"/>
      <c r="BI1888" s="37"/>
      <c r="BJ1888" s="37"/>
      <c r="BK1888" s="37"/>
      <c r="BL1888" s="37"/>
      <c r="BM1888" s="37"/>
    </row>
    <row r="1889" spans="1:65" s="40" customFormat="1" ht="23.25" x14ac:dyDescent="0.35">
      <c r="A1889" s="37"/>
      <c r="B1889" s="37"/>
      <c r="C1889" s="41"/>
      <c r="D1889" s="38"/>
      <c r="E1889" s="57"/>
      <c r="F1889" s="42"/>
      <c r="G1889" s="43"/>
      <c r="H1889" s="37"/>
      <c r="I1889" s="37"/>
      <c r="J1889" s="38"/>
      <c r="K1889" s="37"/>
      <c r="L1889" s="38"/>
      <c r="M1889" s="39"/>
      <c r="P1889" s="37"/>
      <c r="Q1889" s="37"/>
      <c r="R1889" s="37"/>
      <c r="S1889" s="37"/>
      <c r="T1889" s="37"/>
      <c r="U1889" s="37"/>
      <c r="V1889" s="37"/>
      <c r="W1889" s="37"/>
      <c r="X1889" s="37"/>
      <c r="Y1889" s="37"/>
      <c r="Z1889" s="37"/>
      <c r="AA1889" s="37"/>
      <c r="AB1889" s="37"/>
      <c r="AC1889" s="37"/>
      <c r="AD1889" s="37"/>
      <c r="AE1889" s="37"/>
      <c r="AF1889" s="37"/>
      <c r="AG1889" s="37"/>
      <c r="AH1889" s="37"/>
      <c r="AI1889" s="37"/>
      <c r="AJ1889" s="37"/>
      <c r="AK1889" s="37"/>
      <c r="AL1889" s="37"/>
      <c r="AM1889" s="37"/>
      <c r="AN1889" s="37"/>
      <c r="AO1889" s="37"/>
      <c r="AP1889" s="37"/>
      <c r="AQ1889" s="37"/>
      <c r="AR1889" s="37"/>
      <c r="AS1889" s="37"/>
      <c r="AT1889" s="37"/>
      <c r="AU1889" s="37"/>
      <c r="AV1889" s="37"/>
      <c r="AW1889" s="37"/>
      <c r="AX1889" s="37"/>
      <c r="AY1889" s="37"/>
      <c r="AZ1889" s="37"/>
      <c r="BA1889" s="37"/>
      <c r="BB1889" s="37"/>
      <c r="BC1889" s="37"/>
      <c r="BD1889" s="37"/>
      <c r="BE1889" s="37"/>
      <c r="BF1889" s="37"/>
      <c r="BG1889" s="37"/>
      <c r="BH1889" s="37"/>
      <c r="BI1889" s="37"/>
      <c r="BJ1889" s="37"/>
      <c r="BK1889" s="37"/>
      <c r="BL1889" s="37"/>
      <c r="BM1889" s="37"/>
    </row>
    <row r="1890" spans="1:65" s="40" customFormat="1" ht="23.25" x14ac:dyDescent="0.35">
      <c r="A1890" s="37"/>
      <c r="B1890" s="37"/>
      <c r="C1890" s="41"/>
      <c r="D1890" s="38"/>
      <c r="E1890" s="57"/>
      <c r="F1890" s="42"/>
      <c r="G1890" s="43"/>
      <c r="H1890" s="37"/>
      <c r="I1890" s="37"/>
      <c r="J1890" s="38"/>
      <c r="K1890" s="37"/>
      <c r="L1890" s="38"/>
      <c r="M1890" s="39"/>
      <c r="P1890" s="37"/>
      <c r="Q1890" s="37"/>
      <c r="R1890" s="37"/>
      <c r="S1890" s="37"/>
      <c r="T1890" s="37"/>
      <c r="U1890" s="37"/>
      <c r="V1890" s="37"/>
      <c r="W1890" s="37"/>
      <c r="X1890" s="37"/>
      <c r="Y1890" s="37"/>
      <c r="Z1890" s="37"/>
      <c r="AA1890" s="37"/>
      <c r="AB1890" s="37"/>
      <c r="AC1890" s="37"/>
      <c r="AD1890" s="37"/>
      <c r="AE1890" s="37"/>
      <c r="AF1890" s="37"/>
      <c r="AG1890" s="37"/>
      <c r="AH1890" s="37"/>
      <c r="AI1890" s="37"/>
      <c r="AJ1890" s="37"/>
      <c r="AK1890" s="37"/>
      <c r="AL1890" s="37"/>
      <c r="AM1890" s="37"/>
      <c r="AN1890" s="37"/>
      <c r="AO1890" s="37"/>
      <c r="AP1890" s="37"/>
      <c r="AQ1890" s="37"/>
      <c r="AR1890" s="37"/>
      <c r="AS1890" s="37"/>
      <c r="AT1890" s="37"/>
      <c r="AU1890" s="37"/>
      <c r="AV1890" s="37"/>
      <c r="AW1890" s="37"/>
      <c r="AX1890" s="37"/>
      <c r="AY1890" s="37"/>
      <c r="AZ1890" s="37"/>
      <c r="BA1890" s="37"/>
      <c r="BB1890" s="37"/>
      <c r="BC1890" s="37"/>
      <c r="BD1890" s="37"/>
      <c r="BE1890" s="37"/>
      <c r="BF1890" s="37"/>
      <c r="BG1890" s="37"/>
      <c r="BH1890" s="37"/>
      <c r="BI1890" s="37"/>
      <c r="BJ1890" s="37"/>
      <c r="BK1890" s="37"/>
      <c r="BL1890" s="37"/>
      <c r="BM1890" s="37"/>
    </row>
    <row r="1891" spans="1:65" s="40" customFormat="1" ht="23.25" x14ac:dyDescent="0.35">
      <c r="A1891" s="37"/>
      <c r="B1891" s="37"/>
      <c r="C1891" s="41"/>
      <c r="D1891" s="38"/>
      <c r="E1891" s="57"/>
      <c r="F1891" s="42"/>
      <c r="G1891" s="43"/>
      <c r="H1891" s="37"/>
      <c r="I1891" s="37"/>
      <c r="J1891" s="38"/>
      <c r="K1891" s="37"/>
      <c r="L1891" s="38"/>
      <c r="M1891" s="39"/>
      <c r="P1891" s="37"/>
      <c r="Q1891" s="37"/>
      <c r="R1891" s="37"/>
      <c r="S1891" s="37"/>
      <c r="T1891" s="37"/>
      <c r="U1891" s="37"/>
      <c r="V1891" s="37"/>
      <c r="W1891" s="37"/>
      <c r="X1891" s="37"/>
      <c r="Y1891" s="37"/>
      <c r="Z1891" s="37"/>
      <c r="AA1891" s="37"/>
      <c r="AB1891" s="37"/>
      <c r="AC1891" s="37"/>
      <c r="AD1891" s="37"/>
      <c r="AE1891" s="37"/>
      <c r="AF1891" s="37"/>
      <c r="AG1891" s="37"/>
      <c r="AH1891" s="37"/>
      <c r="AI1891" s="37"/>
      <c r="AJ1891" s="37"/>
      <c r="AK1891" s="37"/>
      <c r="AL1891" s="37"/>
      <c r="AM1891" s="37"/>
      <c r="AN1891" s="37"/>
      <c r="AO1891" s="37"/>
      <c r="AP1891" s="37"/>
      <c r="AQ1891" s="37"/>
      <c r="AR1891" s="37"/>
      <c r="AS1891" s="37"/>
      <c r="AT1891" s="37"/>
      <c r="AU1891" s="37"/>
      <c r="AV1891" s="37"/>
      <c r="AW1891" s="37"/>
      <c r="AX1891" s="37"/>
      <c r="AY1891" s="37"/>
      <c r="AZ1891" s="37"/>
      <c r="BA1891" s="37"/>
      <c r="BB1891" s="37"/>
      <c r="BC1891" s="37"/>
      <c r="BD1891" s="37"/>
      <c r="BE1891" s="37"/>
      <c r="BF1891" s="37"/>
      <c r="BG1891" s="37"/>
      <c r="BH1891" s="37"/>
      <c r="BI1891" s="37"/>
      <c r="BJ1891" s="37"/>
      <c r="BK1891" s="37"/>
      <c r="BL1891" s="37"/>
      <c r="BM1891" s="37"/>
    </row>
    <row r="1892" spans="1:65" s="40" customFormat="1" ht="23.25" x14ac:dyDescent="0.35">
      <c r="A1892" s="37"/>
      <c r="B1892" s="37"/>
      <c r="C1892" s="41"/>
      <c r="D1892" s="38"/>
      <c r="E1892" s="57"/>
      <c r="F1892" s="42"/>
      <c r="G1892" s="43"/>
      <c r="H1892" s="37"/>
      <c r="I1892" s="37"/>
      <c r="J1892" s="38"/>
      <c r="K1892" s="37"/>
      <c r="L1892" s="38"/>
      <c r="M1892" s="39"/>
      <c r="P1892" s="37"/>
      <c r="Q1892" s="37"/>
      <c r="R1892" s="37"/>
      <c r="S1892" s="37"/>
      <c r="T1892" s="37"/>
      <c r="U1892" s="37"/>
      <c r="V1892" s="37"/>
      <c r="W1892" s="37"/>
      <c r="X1892" s="37"/>
      <c r="Y1892" s="37"/>
      <c r="Z1892" s="37"/>
      <c r="AA1892" s="37"/>
      <c r="AB1892" s="37"/>
      <c r="AC1892" s="37"/>
      <c r="AD1892" s="37"/>
      <c r="AE1892" s="37"/>
      <c r="AF1892" s="37"/>
      <c r="AG1892" s="37"/>
      <c r="AH1892" s="37"/>
      <c r="AI1892" s="37"/>
      <c r="AJ1892" s="37"/>
      <c r="AK1892" s="37"/>
      <c r="AL1892" s="37"/>
      <c r="AM1892" s="37"/>
      <c r="AN1892" s="37"/>
      <c r="AO1892" s="37"/>
      <c r="AP1892" s="37"/>
      <c r="AQ1892" s="37"/>
      <c r="AR1892" s="37"/>
      <c r="AS1892" s="37"/>
      <c r="AT1892" s="37"/>
      <c r="AU1892" s="37"/>
      <c r="AV1892" s="37"/>
      <c r="AW1892" s="37"/>
      <c r="AX1892" s="37"/>
      <c r="AY1892" s="37"/>
      <c r="AZ1892" s="37"/>
      <c r="BA1892" s="37"/>
      <c r="BB1892" s="37"/>
      <c r="BC1892" s="37"/>
      <c r="BD1892" s="37"/>
      <c r="BE1892" s="37"/>
      <c r="BF1892" s="37"/>
      <c r="BG1892" s="37"/>
      <c r="BH1892" s="37"/>
      <c r="BI1892" s="37"/>
      <c r="BJ1892" s="37"/>
      <c r="BK1892" s="37"/>
      <c r="BL1892" s="37"/>
      <c r="BM1892" s="37"/>
    </row>
    <row r="1893" spans="1:65" s="40" customFormat="1" ht="23.25" x14ac:dyDescent="0.35">
      <c r="A1893" s="37"/>
      <c r="B1893" s="37"/>
      <c r="C1893" s="41"/>
      <c r="D1893" s="38"/>
      <c r="E1893" s="57"/>
      <c r="F1893" s="42"/>
      <c r="G1893" s="43"/>
      <c r="H1893" s="37"/>
      <c r="I1893" s="37"/>
      <c r="J1893" s="38"/>
      <c r="K1893" s="37"/>
      <c r="L1893" s="38"/>
      <c r="M1893" s="39"/>
      <c r="P1893" s="37"/>
      <c r="Q1893" s="37"/>
      <c r="R1893" s="37"/>
      <c r="S1893" s="37"/>
      <c r="T1893" s="37"/>
      <c r="U1893" s="37"/>
      <c r="V1893" s="37"/>
      <c r="W1893" s="37"/>
      <c r="X1893" s="37"/>
      <c r="Y1893" s="37"/>
      <c r="Z1893" s="37"/>
      <c r="AA1893" s="37"/>
      <c r="AB1893" s="37"/>
      <c r="AC1893" s="37"/>
      <c r="AD1893" s="37"/>
      <c r="AE1893" s="37"/>
      <c r="AF1893" s="37"/>
      <c r="AG1893" s="37"/>
      <c r="AH1893" s="37"/>
      <c r="AI1893" s="37"/>
      <c r="AJ1893" s="37"/>
      <c r="AK1893" s="37"/>
      <c r="AL1893" s="37"/>
      <c r="AM1893" s="37"/>
      <c r="AN1893" s="37"/>
      <c r="AO1893" s="37"/>
      <c r="AP1893" s="37"/>
      <c r="AQ1893" s="37"/>
      <c r="AR1893" s="37"/>
      <c r="AS1893" s="37"/>
      <c r="AT1893" s="37"/>
      <c r="AU1893" s="37"/>
      <c r="AV1893" s="37"/>
      <c r="AW1893" s="37"/>
      <c r="AX1893" s="37"/>
      <c r="AY1893" s="37"/>
      <c r="AZ1893" s="37"/>
      <c r="BA1893" s="37"/>
      <c r="BB1893" s="37"/>
      <c r="BC1893" s="37"/>
      <c r="BD1893" s="37"/>
      <c r="BE1893" s="37"/>
      <c r="BF1893" s="37"/>
      <c r="BG1893" s="37"/>
      <c r="BH1893" s="37"/>
      <c r="BI1893" s="37"/>
      <c r="BJ1893" s="37"/>
      <c r="BK1893" s="37"/>
      <c r="BL1893" s="37"/>
      <c r="BM1893" s="37"/>
    </row>
    <row r="1894" spans="1:65" s="40" customFormat="1" ht="23.25" x14ac:dyDescent="0.35">
      <c r="A1894" s="37"/>
      <c r="B1894" s="37"/>
      <c r="C1894" s="41"/>
      <c r="D1894" s="38"/>
      <c r="E1894" s="57"/>
      <c r="F1894" s="42"/>
      <c r="G1894" s="43"/>
      <c r="H1894" s="37"/>
      <c r="I1894" s="37"/>
      <c r="J1894" s="38"/>
      <c r="K1894" s="37"/>
      <c r="L1894" s="38"/>
      <c r="M1894" s="39"/>
      <c r="P1894" s="37"/>
      <c r="Q1894" s="37"/>
      <c r="R1894" s="37"/>
      <c r="S1894" s="37"/>
      <c r="T1894" s="37"/>
      <c r="U1894" s="37"/>
      <c r="V1894" s="37"/>
      <c r="W1894" s="37"/>
      <c r="X1894" s="37"/>
      <c r="Y1894" s="37"/>
      <c r="Z1894" s="37"/>
      <c r="AA1894" s="37"/>
      <c r="AB1894" s="37"/>
      <c r="AC1894" s="37"/>
      <c r="AD1894" s="37"/>
      <c r="AE1894" s="37"/>
      <c r="AF1894" s="37"/>
      <c r="AG1894" s="37"/>
      <c r="AH1894" s="37"/>
      <c r="AI1894" s="37"/>
      <c r="AJ1894" s="37"/>
      <c r="AK1894" s="37"/>
      <c r="AL1894" s="37"/>
      <c r="AM1894" s="37"/>
      <c r="AN1894" s="37"/>
      <c r="AO1894" s="37"/>
      <c r="AP1894" s="37"/>
      <c r="AQ1894" s="37"/>
      <c r="AR1894" s="37"/>
      <c r="AS1894" s="37"/>
      <c r="AT1894" s="37"/>
      <c r="AU1894" s="37"/>
      <c r="AV1894" s="37"/>
      <c r="AW1894" s="37"/>
      <c r="AX1894" s="37"/>
      <c r="AY1894" s="37"/>
      <c r="AZ1894" s="37"/>
      <c r="BA1894" s="37"/>
      <c r="BB1894" s="37"/>
      <c r="BC1894" s="37"/>
      <c r="BD1894" s="37"/>
      <c r="BE1894" s="37"/>
      <c r="BF1894" s="37"/>
      <c r="BG1894" s="37"/>
      <c r="BH1894" s="37"/>
      <c r="BI1894" s="37"/>
      <c r="BJ1894" s="37"/>
      <c r="BK1894" s="37"/>
      <c r="BL1894" s="37"/>
      <c r="BM1894" s="37"/>
    </row>
    <row r="1895" spans="1:65" s="40" customFormat="1" ht="23.25" x14ac:dyDescent="0.35">
      <c r="A1895" s="37"/>
      <c r="B1895" s="37"/>
      <c r="C1895" s="41"/>
      <c r="D1895" s="38"/>
      <c r="E1895" s="57"/>
      <c r="F1895" s="42"/>
      <c r="G1895" s="43"/>
      <c r="H1895" s="37"/>
      <c r="I1895" s="37"/>
      <c r="J1895" s="38"/>
      <c r="K1895" s="37"/>
      <c r="L1895" s="38"/>
      <c r="M1895" s="39"/>
      <c r="P1895" s="37"/>
      <c r="Q1895" s="37"/>
      <c r="R1895" s="37"/>
      <c r="S1895" s="37"/>
      <c r="T1895" s="37"/>
      <c r="U1895" s="37"/>
      <c r="V1895" s="37"/>
      <c r="W1895" s="37"/>
      <c r="X1895" s="37"/>
      <c r="Y1895" s="37"/>
      <c r="Z1895" s="37"/>
      <c r="AA1895" s="37"/>
      <c r="AB1895" s="37"/>
      <c r="AC1895" s="37"/>
      <c r="AD1895" s="37"/>
      <c r="AE1895" s="37"/>
      <c r="AF1895" s="37"/>
      <c r="AG1895" s="37"/>
      <c r="AH1895" s="37"/>
      <c r="AI1895" s="37"/>
      <c r="AJ1895" s="37"/>
      <c r="AK1895" s="37"/>
      <c r="AL1895" s="37"/>
      <c r="AM1895" s="37"/>
      <c r="AN1895" s="37"/>
      <c r="AO1895" s="37"/>
      <c r="AP1895" s="37"/>
      <c r="AQ1895" s="37"/>
      <c r="AR1895" s="37"/>
      <c r="AS1895" s="37"/>
      <c r="AT1895" s="37"/>
      <c r="AU1895" s="37"/>
      <c r="AV1895" s="37"/>
      <c r="AW1895" s="37"/>
      <c r="AX1895" s="37"/>
      <c r="AY1895" s="37"/>
      <c r="AZ1895" s="37"/>
      <c r="BA1895" s="37"/>
      <c r="BB1895" s="37"/>
      <c r="BC1895" s="37"/>
      <c r="BD1895" s="37"/>
      <c r="BE1895" s="37"/>
      <c r="BF1895" s="37"/>
      <c r="BG1895" s="37"/>
      <c r="BH1895" s="37"/>
      <c r="BI1895" s="37"/>
      <c r="BJ1895" s="37"/>
      <c r="BK1895" s="37"/>
      <c r="BL1895" s="37"/>
      <c r="BM1895" s="37"/>
    </row>
    <row r="1896" spans="1:65" s="40" customFormat="1" ht="23.25" x14ac:dyDescent="0.35">
      <c r="A1896" s="37"/>
      <c r="B1896" s="37"/>
      <c r="C1896" s="41"/>
      <c r="D1896" s="38"/>
      <c r="E1896" s="57"/>
      <c r="F1896" s="42"/>
      <c r="G1896" s="43"/>
      <c r="H1896" s="37"/>
      <c r="I1896" s="37"/>
      <c r="J1896" s="38"/>
      <c r="K1896" s="37"/>
      <c r="L1896" s="38"/>
      <c r="M1896" s="39"/>
      <c r="P1896" s="37"/>
      <c r="Q1896" s="37"/>
      <c r="R1896" s="37"/>
      <c r="S1896" s="37"/>
      <c r="T1896" s="37"/>
      <c r="U1896" s="37"/>
      <c r="V1896" s="37"/>
      <c r="W1896" s="37"/>
      <c r="X1896" s="37"/>
      <c r="Y1896" s="37"/>
      <c r="Z1896" s="37"/>
      <c r="AA1896" s="37"/>
      <c r="AB1896" s="37"/>
      <c r="AC1896" s="37"/>
      <c r="AD1896" s="37"/>
      <c r="AE1896" s="37"/>
      <c r="AF1896" s="37"/>
      <c r="AG1896" s="37"/>
      <c r="AH1896" s="37"/>
      <c r="AI1896" s="37"/>
      <c r="AJ1896" s="37"/>
      <c r="AK1896" s="37"/>
      <c r="AL1896" s="37"/>
      <c r="AM1896" s="37"/>
      <c r="AN1896" s="37"/>
      <c r="AO1896" s="37"/>
      <c r="AP1896" s="37"/>
      <c r="AQ1896" s="37"/>
      <c r="AR1896" s="37"/>
      <c r="AS1896" s="37"/>
      <c r="AT1896" s="37"/>
      <c r="AU1896" s="37"/>
      <c r="AV1896" s="37"/>
      <c r="AW1896" s="37"/>
      <c r="AX1896" s="37"/>
      <c r="AY1896" s="37"/>
      <c r="AZ1896" s="37"/>
      <c r="BA1896" s="37"/>
      <c r="BB1896" s="37"/>
      <c r="BC1896" s="37"/>
      <c r="BD1896" s="37"/>
      <c r="BE1896" s="37"/>
      <c r="BF1896" s="37"/>
      <c r="BG1896" s="37"/>
      <c r="BH1896" s="37"/>
      <c r="BI1896" s="37"/>
      <c r="BJ1896" s="37"/>
      <c r="BK1896" s="37"/>
      <c r="BL1896" s="37"/>
      <c r="BM1896" s="37"/>
    </row>
    <row r="1897" spans="1:65" s="40" customFormat="1" ht="23.25" x14ac:dyDescent="0.35">
      <c r="A1897" s="37"/>
      <c r="B1897" s="37"/>
      <c r="C1897" s="41"/>
      <c r="D1897" s="38"/>
      <c r="E1897" s="57"/>
      <c r="F1897" s="42"/>
      <c r="G1897" s="43"/>
      <c r="H1897" s="37"/>
      <c r="I1897" s="37"/>
      <c r="J1897" s="38"/>
      <c r="K1897" s="37"/>
      <c r="L1897" s="38"/>
      <c r="M1897" s="39"/>
      <c r="P1897" s="37"/>
      <c r="Q1897" s="37"/>
      <c r="R1897" s="37"/>
      <c r="S1897" s="37"/>
      <c r="T1897" s="37"/>
      <c r="U1897" s="37"/>
      <c r="V1897" s="37"/>
      <c r="W1897" s="37"/>
      <c r="X1897" s="37"/>
      <c r="Y1897" s="37"/>
      <c r="Z1897" s="37"/>
      <c r="AA1897" s="37"/>
      <c r="AB1897" s="37"/>
      <c r="AC1897" s="37"/>
      <c r="AD1897" s="37"/>
      <c r="AE1897" s="37"/>
      <c r="AF1897" s="37"/>
      <c r="AG1897" s="37"/>
      <c r="AH1897" s="37"/>
      <c r="AI1897" s="37"/>
      <c r="AJ1897" s="37"/>
      <c r="AK1897" s="37"/>
      <c r="AL1897" s="37"/>
      <c r="AM1897" s="37"/>
      <c r="AN1897" s="37"/>
      <c r="AO1897" s="37"/>
      <c r="AP1897" s="37"/>
      <c r="AQ1897" s="37"/>
      <c r="AR1897" s="37"/>
      <c r="AS1897" s="37"/>
      <c r="AT1897" s="37"/>
      <c r="AU1897" s="37"/>
      <c r="AV1897" s="37"/>
      <c r="AW1897" s="37"/>
      <c r="AX1897" s="37"/>
      <c r="AY1897" s="37"/>
      <c r="AZ1897" s="37"/>
      <c r="BA1897" s="37"/>
      <c r="BB1897" s="37"/>
      <c r="BC1897" s="37"/>
      <c r="BD1897" s="37"/>
      <c r="BE1897" s="37"/>
      <c r="BF1897" s="37"/>
      <c r="BG1897" s="37"/>
      <c r="BH1897" s="37"/>
      <c r="BI1897" s="37"/>
      <c r="BJ1897" s="37"/>
      <c r="BK1897" s="37"/>
      <c r="BL1897" s="37"/>
      <c r="BM1897" s="37"/>
    </row>
    <row r="1898" spans="1:65" s="40" customFormat="1" ht="23.25" x14ac:dyDescent="0.35">
      <c r="A1898" s="37"/>
      <c r="B1898" s="37"/>
      <c r="C1898" s="41"/>
      <c r="D1898" s="38"/>
      <c r="E1898" s="57"/>
      <c r="F1898" s="42"/>
      <c r="G1898" s="43"/>
      <c r="H1898" s="37"/>
      <c r="I1898" s="37"/>
      <c r="J1898" s="38"/>
      <c r="K1898" s="37"/>
      <c r="L1898" s="38"/>
      <c r="M1898" s="39"/>
      <c r="P1898" s="37"/>
      <c r="Q1898" s="37"/>
      <c r="R1898" s="37"/>
      <c r="S1898" s="37"/>
      <c r="T1898" s="37"/>
      <c r="U1898" s="37"/>
      <c r="V1898" s="37"/>
      <c r="W1898" s="37"/>
      <c r="X1898" s="37"/>
      <c r="Y1898" s="37"/>
      <c r="Z1898" s="37"/>
      <c r="AA1898" s="37"/>
      <c r="AB1898" s="37"/>
      <c r="AC1898" s="37"/>
      <c r="AD1898" s="37"/>
      <c r="AE1898" s="37"/>
      <c r="AF1898" s="37"/>
      <c r="AG1898" s="37"/>
      <c r="AH1898" s="37"/>
      <c r="AI1898" s="37"/>
      <c r="AJ1898" s="37"/>
      <c r="AK1898" s="37"/>
      <c r="AL1898" s="37"/>
      <c r="AM1898" s="37"/>
      <c r="AN1898" s="37"/>
      <c r="AO1898" s="37"/>
      <c r="AP1898" s="37"/>
      <c r="AQ1898" s="37"/>
      <c r="AR1898" s="37"/>
      <c r="AS1898" s="37"/>
      <c r="AT1898" s="37"/>
      <c r="AU1898" s="37"/>
      <c r="AV1898" s="37"/>
      <c r="AW1898" s="37"/>
      <c r="AX1898" s="37"/>
      <c r="AY1898" s="37"/>
      <c r="AZ1898" s="37"/>
      <c r="BA1898" s="37"/>
      <c r="BB1898" s="37"/>
      <c r="BC1898" s="37"/>
      <c r="BD1898" s="37"/>
      <c r="BE1898" s="37"/>
      <c r="BF1898" s="37"/>
      <c r="BG1898" s="37"/>
      <c r="BH1898" s="37"/>
      <c r="BI1898" s="37"/>
      <c r="BJ1898" s="37"/>
      <c r="BK1898" s="37"/>
      <c r="BL1898" s="37"/>
      <c r="BM1898" s="37"/>
    </row>
    <row r="1899" spans="1:65" s="40" customFormat="1" ht="23.25" x14ac:dyDescent="0.35">
      <c r="A1899" s="37"/>
      <c r="B1899" s="37"/>
      <c r="C1899" s="41"/>
      <c r="D1899" s="38"/>
      <c r="E1899" s="57"/>
      <c r="F1899" s="42"/>
      <c r="G1899" s="43"/>
      <c r="H1899" s="37"/>
      <c r="I1899" s="37"/>
      <c r="J1899" s="38"/>
      <c r="K1899" s="37"/>
      <c r="L1899" s="38"/>
      <c r="M1899" s="39"/>
      <c r="P1899" s="37"/>
      <c r="Q1899" s="37"/>
      <c r="R1899" s="37"/>
      <c r="S1899" s="37"/>
      <c r="T1899" s="37"/>
      <c r="U1899" s="37"/>
      <c r="V1899" s="37"/>
      <c r="W1899" s="37"/>
      <c r="X1899" s="37"/>
      <c r="Y1899" s="37"/>
      <c r="Z1899" s="37"/>
      <c r="AA1899" s="37"/>
      <c r="AB1899" s="37"/>
      <c r="AC1899" s="37"/>
      <c r="AD1899" s="37"/>
      <c r="AE1899" s="37"/>
      <c r="AF1899" s="37"/>
      <c r="AG1899" s="37"/>
      <c r="AH1899" s="37"/>
      <c r="AI1899" s="37"/>
      <c r="AJ1899" s="37"/>
      <c r="AK1899" s="37"/>
      <c r="AL1899" s="37"/>
      <c r="AM1899" s="37"/>
      <c r="AN1899" s="37"/>
      <c r="AO1899" s="37"/>
      <c r="AP1899" s="37"/>
      <c r="AQ1899" s="37"/>
      <c r="AR1899" s="37"/>
      <c r="AS1899" s="37"/>
      <c r="AT1899" s="37"/>
      <c r="AU1899" s="37"/>
      <c r="AV1899" s="37"/>
      <c r="AW1899" s="37"/>
      <c r="AX1899" s="37"/>
      <c r="AY1899" s="37"/>
      <c r="AZ1899" s="37"/>
      <c r="BA1899" s="37"/>
      <c r="BB1899" s="37"/>
      <c r="BC1899" s="37"/>
      <c r="BD1899" s="37"/>
      <c r="BE1899" s="37"/>
      <c r="BF1899" s="37"/>
      <c r="BG1899" s="37"/>
      <c r="BH1899" s="37"/>
      <c r="BI1899" s="37"/>
      <c r="BJ1899" s="37"/>
      <c r="BK1899" s="37"/>
      <c r="BL1899" s="37"/>
      <c r="BM1899" s="37"/>
    </row>
    <row r="1900" spans="1:65" s="40" customFormat="1" ht="23.25" x14ac:dyDescent="0.35">
      <c r="A1900" s="37"/>
      <c r="B1900" s="37"/>
      <c r="C1900" s="41"/>
      <c r="D1900" s="38"/>
      <c r="E1900" s="57"/>
      <c r="F1900" s="42"/>
      <c r="G1900" s="43"/>
      <c r="H1900" s="37"/>
      <c r="I1900" s="37"/>
      <c r="J1900" s="38"/>
      <c r="K1900" s="37"/>
      <c r="L1900" s="38"/>
      <c r="M1900" s="39"/>
      <c r="P1900" s="37"/>
      <c r="Q1900" s="37"/>
      <c r="R1900" s="37"/>
      <c r="S1900" s="37"/>
      <c r="T1900" s="37"/>
      <c r="U1900" s="37"/>
      <c r="V1900" s="37"/>
      <c r="W1900" s="37"/>
      <c r="X1900" s="37"/>
      <c r="Y1900" s="37"/>
      <c r="Z1900" s="37"/>
      <c r="AA1900" s="37"/>
      <c r="AB1900" s="37"/>
      <c r="AC1900" s="37"/>
      <c r="AD1900" s="37"/>
      <c r="AE1900" s="37"/>
      <c r="AF1900" s="37"/>
      <c r="AG1900" s="37"/>
      <c r="AH1900" s="37"/>
      <c r="AI1900" s="37"/>
      <c r="AJ1900" s="37"/>
      <c r="AK1900" s="37"/>
      <c r="AL1900" s="37"/>
      <c r="AM1900" s="37"/>
      <c r="AN1900" s="37"/>
      <c r="AO1900" s="37"/>
      <c r="AP1900" s="37"/>
      <c r="AQ1900" s="37"/>
      <c r="AR1900" s="37"/>
      <c r="AS1900" s="37"/>
      <c r="AT1900" s="37"/>
      <c r="AU1900" s="37"/>
      <c r="AV1900" s="37"/>
      <c r="AW1900" s="37"/>
      <c r="AX1900" s="37"/>
      <c r="AY1900" s="37"/>
      <c r="AZ1900" s="37"/>
      <c r="BA1900" s="37"/>
      <c r="BB1900" s="37"/>
      <c r="BC1900" s="37"/>
      <c r="BD1900" s="37"/>
      <c r="BE1900" s="37"/>
      <c r="BF1900" s="37"/>
      <c r="BG1900" s="37"/>
      <c r="BH1900" s="37"/>
      <c r="BI1900" s="37"/>
      <c r="BJ1900" s="37"/>
      <c r="BK1900" s="37"/>
      <c r="BL1900" s="37"/>
      <c r="BM1900" s="37"/>
    </row>
    <row r="1901" spans="1:65" s="40" customFormat="1" ht="23.25" x14ac:dyDescent="0.35">
      <c r="A1901" s="37"/>
      <c r="B1901" s="37"/>
      <c r="C1901" s="41"/>
      <c r="D1901" s="38"/>
      <c r="E1901" s="57"/>
      <c r="F1901" s="42"/>
      <c r="G1901" s="43"/>
      <c r="H1901" s="37"/>
      <c r="I1901" s="37"/>
      <c r="J1901" s="38"/>
      <c r="K1901" s="37"/>
      <c r="L1901" s="38"/>
      <c r="M1901" s="39"/>
      <c r="P1901" s="37"/>
      <c r="Q1901" s="37"/>
      <c r="R1901" s="37"/>
      <c r="S1901" s="37"/>
      <c r="T1901" s="37"/>
      <c r="U1901" s="37"/>
      <c r="V1901" s="37"/>
      <c r="W1901" s="37"/>
      <c r="X1901" s="37"/>
      <c r="Y1901" s="37"/>
      <c r="Z1901" s="37"/>
      <c r="AA1901" s="37"/>
      <c r="AB1901" s="37"/>
      <c r="AC1901" s="37"/>
      <c r="AD1901" s="37"/>
      <c r="AE1901" s="37"/>
      <c r="AF1901" s="37"/>
      <c r="AG1901" s="37"/>
      <c r="AH1901" s="37"/>
      <c r="AI1901" s="37"/>
      <c r="AJ1901" s="37"/>
      <c r="AK1901" s="37"/>
      <c r="AL1901" s="37"/>
      <c r="AM1901" s="37"/>
      <c r="AN1901" s="37"/>
      <c r="AO1901" s="37"/>
      <c r="AP1901" s="37"/>
      <c r="AQ1901" s="37"/>
      <c r="AR1901" s="37"/>
      <c r="AS1901" s="37"/>
      <c r="AT1901" s="37"/>
      <c r="AU1901" s="37"/>
      <c r="AV1901" s="37"/>
      <c r="AW1901" s="37"/>
      <c r="AX1901" s="37"/>
      <c r="AY1901" s="37"/>
      <c r="AZ1901" s="37"/>
      <c r="BA1901" s="37"/>
      <c r="BB1901" s="37"/>
      <c r="BC1901" s="37"/>
      <c r="BD1901" s="37"/>
      <c r="BE1901" s="37"/>
      <c r="BF1901" s="37"/>
      <c r="BG1901" s="37"/>
      <c r="BH1901" s="37"/>
      <c r="BI1901" s="37"/>
      <c r="BJ1901" s="37"/>
      <c r="BK1901" s="37"/>
      <c r="BL1901" s="37"/>
      <c r="BM1901" s="37"/>
    </row>
    <row r="1902" spans="1:65" s="40" customFormat="1" ht="23.25" x14ac:dyDescent="0.35">
      <c r="A1902" s="37"/>
      <c r="B1902" s="37"/>
      <c r="C1902" s="41"/>
      <c r="D1902" s="38"/>
      <c r="E1902" s="57"/>
      <c r="F1902" s="42"/>
      <c r="G1902" s="43"/>
      <c r="H1902" s="37"/>
      <c r="I1902" s="37"/>
      <c r="J1902" s="38"/>
      <c r="K1902" s="37"/>
      <c r="L1902" s="38"/>
      <c r="M1902" s="39"/>
      <c r="P1902" s="37"/>
      <c r="Q1902" s="37"/>
      <c r="R1902" s="37"/>
      <c r="S1902" s="37"/>
      <c r="T1902" s="37"/>
      <c r="U1902" s="37"/>
      <c r="V1902" s="37"/>
      <c r="W1902" s="37"/>
      <c r="X1902" s="37"/>
      <c r="Y1902" s="37"/>
      <c r="Z1902" s="37"/>
      <c r="AA1902" s="37"/>
      <c r="AB1902" s="37"/>
      <c r="AC1902" s="37"/>
      <c r="AD1902" s="37"/>
      <c r="AE1902" s="37"/>
      <c r="AF1902" s="37"/>
      <c r="AG1902" s="37"/>
      <c r="AH1902" s="37"/>
      <c r="AI1902" s="37"/>
      <c r="AJ1902" s="37"/>
      <c r="AK1902" s="37"/>
      <c r="AL1902" s="37"/>
      <c r="AM1902" s="37"/>
      <c r="AN1902" s="37"/>
      <c r="AO1902" s="37"/>
      <c r="AP1902" s="37"/>
      <c r="AQ1902" s="37"/>
      <c r="AR1902" s="37"/>
      <c r="AS1902" s="37"/>
      <c r="AT1902" s="37"/>
      <c r="AU1902" s="37"/>
      <c r="AV1902" s="37"/>
      <c r="AW1902" s="37"/>
      <c r="AX1902" s="37"/>
      <c r="AY1902" s="37"/>
      <c r="AZ1902" s="37"/>
      <c r="BA1902" s="37"/>
      <c r="BB1902" s="37"/>
      <c r="BC1902" s="37"/>
      <c r="BD1902" s="37"/>
      <c r="BE1902" s="37"/>
      <c r="BF1902" s="37"/>
      <c r="BG1902" s="37"/>
      <c r="BH1902" s="37"/>
      <c r="BI1902" s="37"/>
      <c r="BJ1902" s="37"/>
      <c r="BK1902" s="37"/>
      <c r="BL1902" s="37"/>
      <c r="BM1902" s="37"/>
    </row>
    <row r="1903" spans="1:65" s="40" customFormat="1" ht="23.25" x14ac:dyDescent="0.35">
      <c r="A1903" s="37"/>
      <c r="B1903" s="37"/>
      <c r="C1903" s="41"/>
      <c r="D1903" s="38"/>
      <c r="E1903" s="57"/>
      <c r="F1903" s="42"/>
      <c r="G1903" s="43"/>
      <c r="H1903" s="37"/>
      <c r="I1903" s="37"/>
      <c r="J1903" s="38"/>
      <c r="K1903" s="37"/>
      <c r="L1903" s="38"/>
      <c r="M1903" s="39"/>
      <c r="P1903" s="37"/>
      <c r="Q1903" s="37"/>
      <c r="R1903" s="37"/>
      <c r="S1903" s="37"/>
      <c r="T1903" s="37"/>
      <c r="U1903" s="37"/>
      <c r="V1903" s="37"/>
      <c r="W1903" s="37"/>
      <c r="X1903" s="37"/>
      <c r="Y1903" s="37"/>
      <c r="Z1903" s="37"/>
      <c r="AA1903" s="37"/>
      <c r="AB1903" s="37"/>
      <c r="AC1903" s="37"/>
      <c r="AD1903" s="37"/>
      <c r="AE1903" s="37"/>
      <c r="AF1903" s="37"/>
      <c r="AG1903" s="37"/>
      <c r="AH1903" s="37"/>
      <c r="AI1903" s="37"/>
      <c r="AJ1903" s="37"/>
      <c r="AK1903" s="37"/>
      <c r="AL1903" s="37"/>
      <c r="AM1903" s="37"/>
      <c r="AN1903" s="37"/>
      <c r="AO1903" s="37"/>
      <c r="AP1903" s="37"/>
      <c r="AQ1903" s="37"/>
      <c r="AR1903" s="37"/>
      <c r="AS1903" s="37"/>
      <c r="AT1903" s="37"/>
      <c r="AU1903" s="37"/>
      <c r="AV1903" s="37"/>
      <c r="AW1903" s="37"/>
      <c r="AX1903" s="37"/>
      <c r="AY1903" s="37"/>
      <c r="AZ1903" s="37"/>
      <c r="BA1903" s="37"/>
      <c r="BB1903" s="37"/>
      <c r="BC1903" s="37"/>
      <c r="BD1903" s="37"/>
      <c r="BE1903" s="37"/>
      <c r="BF1903" s="37"/>
      <c r="BG1903" s="37"/>
      <c r="BH1903" s="37"/>
      <c r="BI1903" s="37"/>
      <c r="BJ1903" s="37"/>
      <c r="BK1903" s="37"/>
      <c r="BL1903" s="37"/>
      <c r="BM1903" s="37"/>
    </row>
    <row r="1904" spans="1:65" s="40" customFormat="1" ht="23.25" x14ac:dyDescent="0.35">
      <c r="A1904" s="37"/>
      <c r="B1904" s="37"/>
      <c r="C1904" s="41"/>
      <c r="D1904" s="38"/>
      <c r="E1904" s="57"/>
      <c r="F1904" s="42"/>
      <c r="G1904" s="43"/>
      <c r="H1904" s="37"/>
      <c r="I1904" s="37"/>
      <c r="J1904" s="38"/>
      <c r="K1904" s="37"/>
      <c r="L1904" s="38"/>
      <c r="M1904" s="39"/>
      <c r="P1904" s="37"/>
      <c r="Q1904" s="37"/>
      <c r="R1904" s="37"/>
      <c r="S1904" s="37"/>
      <c r="T1904" s="37"/>
      <c r="U1904" s="37"/>
      <c r="V1904" s="37"/>
      <c r="W1904" s="37"/>
      <c r="X1904" s="37"/>
      <c r="Y1904" s="37"/>
      <c r="Z1904" s="37"/>
      <c r="AA1904" s="37"/>
      <c r="AB1904" s="37"/>
      <c r="AC1904" s="37"/>
      <c r="AD1904" s="37"/>
      <c r="AE1904" s="37"/>
      <c r="AF1904" s="37"/>
      <c r="AG1904" s="37"/>
      <c r="AH1904" s="37"/>
      <c r="AI1904" s="37"/>
      <c r="AJ1904" s="37"/>
      <c r="AK1904" s="37"/>
      <c r="AL1904" s="37"/>
      <c r="AM1904" s="37"/>
      <c r="AN1904" s="37"/>
      <c r="AO1904" s="37"/>
      <c r="AP1904" s="37"/>
      <c r="AQ1904" s="37"/>
      <c r="AR1904" s="37"/>
      <c r="AS1904" s="37"/>
      <c r="AT1904" s="37"/>
      <c r="AU1904" s="37"/>
      <c r="AV1904" s="37"/>
      <c r="AW1904" s="37"/>
      <c r="AX1904" s="37"/>
      <c r="AY1904" s="37"/>
      <c r="AZ1904" s="37"/>
      <c r="BA1904" s="37"/>
      <c r="BB1904" s="37"/>
      <c r="BC1904" s="37"/>
      <c r="BD1904" s="37"/>
      <c r="BE1904" s="37"/>
      <c r="BF1904" s="37"/>
      <c r="BG1904" s="37"/>
      <c r="BH1904" s="37"/>
      <c r="BI1904" s="37"/>
      <c r="BJ1904" s="37"/>
      <c r="BK1904" s="37"/>
      <c r="BL1904" s="37"/>
      <c r="BM1904" s="37"/>
    </row>
    <row r="1905" spans="1:65" s="40" customFormat="1" ht="23.25" x14ac:dyDescent="0.35">
      <c r="A1905" s="37"/>
      <c r="B1905" s="37"/>
      <c r="C1905" s="41"/>
      <c r="D1905" s="38"/>
      <c r="E1905" s="57"/>
      <c r="F1905" s="42"/>
      <c r="G1905" s="43"/>
      <c r="H1905" s="37"/>
      <c r="I1905" s="37"/>
      <c r="J1905" s="38"/>
      <c r="K1905" s="37"/>
      <c r="L1905" s="38"/>
      <c r="M1905" s="39"/>
      <c r="P1905" s="37"/>
      <c r="Q1905" s="37"/>
      <c r="R1905" s="37"/>
      <c r="S1905" s="37"/>
      <c r="T1905" s="37"/>
      <c r="U1905" s="37"/>
      <c r="V1905" s="37"/>
      <c r="W1905" s="37"/>
      <c r="X1905" s="37"/>
      <c r="Y1905" s="37"/>
      <c r="Z1905" s="37"/>
      <c r="AA1905" s="37"/>
      <c r="AB1905" s="37"/>
      <c r="AC1905" s="37"/>
      <c r="AD1905" s="37"/>
      <c r="AE1905" s="37"/>
      <c r="AF1905" s="37"/>
      <c r="AG1905" s="37"/>
      <c r="AH1905" s="37"/>
      <c r="AI1905" s="37"/>
      <c r="AJ1905" s="37"/>
      <c r="AK1905" s="37"/>
      <c r="AL1905" s="37"/>
      <c r="AM1905" s="37"/>
      <c r="AN1905" s="37"/>
      <c r="AO1905" s="37"/>
      <c r="AP1905" s="37"/>
      <c r="AQ1905" s="37"/>
      <c r="AR1905" s="37"/>
      <c r="AS1905" s="37"/>
      <c r="AT1905" s="37"/>
      <c r="AU1905" s="37"/>
      <c r="AV1905" s="37"/>
      <c r="AW1905" s="37"/>
      <c r="AX1905" s="37"/>
      <c r="AY1905" s="37"/>
      <c r="AZ1905" s="37"/>
      <c r="BA1905" s="37"/>
      <c r="BB1905" s="37"/>
      <c r="BC1905" s="37"/>
      <c r="BD1905" s="37"/>
      <c r="BE1905" s="37"/>
      <c r="BF1905" s="37"/>
      <c r="BG1905" s="37"/>
      <c r="BH1905" s="37"/>
      <c r="BI1905" s="37"/>
      <c r="BJ1905" s="37"/>
      <c r="BK1905" s="37"/>
      <c r="BL1905" s="37"/>
      <c r="BM1905" s="37"/>
    </row>
    <row r="1906" spans="1:65" s="40" customFormat="1" ht="23.25" x14ac:dyDescent="0.35">
      <c r="A1906" s="37"/>
      <c r="B1906" s="37"/>
      <c r="C1906" s="41"/>
      <c r="D1906" s="38"/>
      <c r="E1906" s="57"/>
      <c r="F1906" s="42"/>
      <c r="G1906" s="43"/>
      <c r="H1906" s="37"/>
      <c r="I1906" s="37"/>
      <c r="J1906" s="38"/>
      <c r="K1906" s="37"/>
      <c r="L1906" s="38"/>
      <c r="M1906" s="39"/>
      <c r="P1906" s="37"/>
      <c r="Q1906" s="37"/>
      <c r="R1906" s="37"/>
      <c r="S1906" s="37"/>
      <c r="T1906" s="37"/>
      <c r="U1906" s="37"/>
      <c r="V1906" s="37"/>
      <c r="W1906" s="37"/>
      <c r="X1906" s="37"/>
      <c r="Y1906" s="37"/>
      <c r="Z1906" s="37"/>
      <c r="AA1906" s="37"/>
      <c r="AB1906" s="37"/>
      <c r="AC1906" s="37"/>
      <c r="AD1906" s="37"/>
      <c r="AE1906" s="37"/>
      <c r="AF1906" s="37"/>
      <c r="AG1906" s="37"/>
      <c r="AH1906" s="37"/>
      <c r="AI1906" s="37"/>
      <c r="AJ1906" s="37"/>
      <c r="AK1906" s="37"/>
      <c r="AL1906" s="37"/>
      <c r="AM1906" s="37"/>
      <c r="AN1906" s="37"/>
      <c r="AO1906" s="37"/>
      <c r="AP1906" s="37"/>
      <c r="AQ1906" s="37"/>
      <c r="AR1906" s="37"/>
      <c r="AS1906" s="37"/>
      <c r="AT1906" s="37"/>
      <c r="AU1906" s="37"/>
      <c r="AV1906" s="37"/>
      <c r="AW1906" s="37"/>
      <c r="AX1906" s="37"/>
      <c r="AY1906" s="37"/>
      <c r="AZ1906" s="37"/>
      <c r="BA1906" s="37"/>
      <c r="BB1906" s="37"/>
      <c r="BC1906" s="37"/>
      <c r="BD1906" s="37"/>
      <c r="BE1906" s="37"/>
      <c r="BF1906" s="37"/>
      <c r="BG1906" s="37"/>
      <c r="BH1906" s="37"/>
      <c r="BI1906" s="37"/>
      <c r="BJ1906" s="37"/>
      <c r="BK1906" s="37"/>
      <c r="BL1906" s="37"/>
      <c r="BM1906" s="37"/>
    </row>
    <row r="1907" spans="1:65" s="40" customFormat="1" ht="23.25" x14ac:dyDescent="0.35">
      <c r="A1907" s="37"/>
      <c r="B1907" s="37"/>
      <c r="C1907" s="41"/>
      <c r="D1907" s="38"/>
      <c r="E1907" s="57"/>
      <c r="F1907" s="42"/>
      <c r="G1907" s="43"/>
      <c r="H1907" s="37"/>
      <c r="I1907" s="37"/>
      <c r="J1907" s="38"/>
      <c r="K1907" s="37"/>
      <c r="L1907" s="38"/>
      <c r="M1907" s="39"/>
      <c r="P1907" s="37"/>
      <c r="Q1907" s="37"/>
      <c r="R1907" s="37"/>
      <c r="S1907" s="37"/>
      <c r="T1907" s="37"/>
      <c r="U1907" s="37"/>
      <c r="V1907" s="37"/>
      <c r="W1907" s="37"/>
      <c r="X1907" s="37"/>
      <c r="Y1907" s="37"/>
      <c r="Z1907" s="37"/>
      <c r="AA1907" s="37"/>
      <c r="AB1907" s="37"/>
      <c r="AC1907" s="37"/>
      <c r="AD1907" s="37"/>
      <c r="AE1907" s="37"/>
      <c r="AF1907" s="37"/>
      <c r="AG1907" s="37"/>
      <c r="AH1907" s="37"/>
      <c r="AI1907" s="37"/>
      <c r="AJ1907" s="37"/>
      <c r="AK1907" s="37"/>
      <c r="AL1907" s="37"/>
      <c r="AM1907" s="37"/>
      <c r="AN1907" s="37"/>
      <c r="AO1907" s="37"/>
      <c r="AP1907" s="37"/>
      <c r="AQ1907" s="37"/>
      <c r="AR1907" s="37"/>
      <c r="AS1907" s="37"/>
      <c r="AT1907" s="37"/>
      <c r="AU1907" s="37"/>
      <c r="AV1907" s="37"/>
      <c r="AW1907" s="37"/>
      <c r="AX1907" s="37"/>
      <c r="AY1907" s="37"/>
      <c r="AZ1907" s="37"/>
      <c r="BA1907" s="37"/>
      <c r="BB1907" s="37"/>
      <c r="BC1907" s="37"/>
      <c r="BD1907" s="37"/>
      <c r="BE1907" s="37"/>
      <c r="BF1907" s="37"/>
      <c r="BG1907" s="37"/>
      <c r="BH1907" s="37"/>
      <c r="BI1907" s="37"/>
      <c r="BJ1907" s="37"/>
      <c r="BK1907" s="37"/>
      <c r="BL1907" s="37"/>
      <c r="BM1907" s="37"/>
    </row>
    <row r="1908" spans="1:65" s="40" customFormat="1" ht="23.25" x14ac:dyDescent="0.35">
      <c r="A1908" s="37"/>
      <c r="B1908" s="37"/>
      <c r="C1908" s="41"/>
      <c r="D1908" s="38"/>
      <c r="E1908" s="57"/>
      <c r="F1908" s="42"/>
      <c r="G1908" s="43"/>
      <c r="H1908" s="37"/>
      <c r="I1908" s="37"/>
      <c r="J1908" s="38"/>
      <c r="K1908" s="37"/>
      <c r="L1908" s="38"/>
      <c r="M1908" s="39"/>
      <c r="P1908" s="37"/>
      <c r="Q1908" s="37"/>
      <c r="R1908" s="37"/>
      <c r="S1908" s="37"/>
      <c r="T1908" s="37"/>
      <c r="U1908" s="37"/>
      <c r="V1908" s="37"/>
      <c r="W1908" s="37"/>
      <c r="X1908" s="37"/>
      <c r="Y1908" s="37"/>
      <c r="Z1908" s="37"/>
      <c r="AA1908" s="37"/>
      <c r="AB1908" s="37"/>
      <c r="AC1908" s="37"/>
      <c r="AD1908" s="37"/>
      <c r="AE1908" s="37"/>
      <c r="AF1908" s="37"/>
      <c r="AG1908" s="37"/>
      <c r="AH1908" s="37"/>
      <c r="AI1908" s="37"/>
      <c r="AJ1908" s="37"/>
      <c r="AK1908" s="37"/>
      <c r="AL1908" s="37"/>
      <c r="AM1908" s="37"/>
      <c r="AN1908" s="37"/>
      <c r="AO1908" s="37"/>
      <c r="AP1908" s="37"/>
      <c r="AQ1908" s="37"/>
      <c r="AR1908" s="37"/>
      <c r="AS1908" s="37"/>
      <c r="AT1908" s="37"/>
      <c r="AU1908" s="37"/>
      <c r="AV1908" s="37"/>
      <c r="AW1908" s="37"/>
      <c r="AX1908" s="37"/>
      <c r="AY1908" s="37"/>
      <c r="AZ1908" s="37"/>
      <c r="BA1908" s="37"/>
      <c r="BB1908" s="37"/>
      <c r="BC1908" s="37"/>
      <c r="BD1908" s="37"/>
      <c r="BE1908" s="37"/>
      <c r="BF1908" s="37"/>
      <c r="BG1908" s="37"/>
      <c r="BH1908" s="37"/>
      <c r="BI1908" s="37"/>
      <c r="BJ1908" s="37"/>
      <c r="BK1908" s="37"/>
      <c r="BL1908" s="37"/>
      <c r="BM1908" s="37"/>
    </row>
    <row r="1909" spans="1:65" s="40" customFormat="1" ht="23.25" x14ac:dyDescent="0.35">
      <c r="A1909" s="37"/>
      <c r="B1909" s="37"/>
      <c r="C1909" s="41"/>
      <c r="D1909" s="38"/>
      <c r="E1909" s="57"/>
      <c r="F1909" s="42"/>
      <c r="G1909" s="43"/>
      <c r="H1909" s="37"/>
      <c r="I1909" s="37"/>
      <c r="J1909" s="38"/>
      <c r="K1909" s="37"/>
      <c r="L1909" s="38"/>
      <c r="M1909" s="39"/>
      <c r="P1909" s="37"/>
      <c r="Q1909" s="37"/>
      <c r="R1909" s="37"/>
      <c r="S1909" s="37"/>
      <c r="T1909" s="37"/>
      <c r="U1909" s="37"/>
      <c r="V1909" s="37"/>
      <c r="W1909" s="37"/>
      <c r="X1909" s="37"/>
      <c r="Y1909" s="37"/>
      <c r="Z1909" s="37"/>
      <c r="AA1909" s="37"/>
      <c r="AB1909" s="37"/>
      <c r="AC1909" s="37"/>
      <c r="AD1909" s="37"/>
      <c r="AE1909" s="37"/>
      <c r="AF1909" s="37"/>
      <c r="AG1909" s="37"/>
      <c r="AH1909" s="37"/>
      <c r="AI1909" s="37"/>
      <c r="AJ1909" s="37"/>
      <c r="AK1909" s="37"/>
      <c r="AL1909" s="37"/>
      <c r="AM1909" s="37"/>
      <c r="AN1909" s="37"/>
      <c r="AO1909" s="37"/>
      <c r="AP1909" s="37"/>
      <c r="AQ1909" s="37"/>
      <c r="AR1909" s="37"/>
      <c r="AS1909" s="37"/>
      <c r="AT1909" s="37"/>
      <c r="AU1909" s="37"/>
      <c r="AV1909" s="37"/>
      <c r="AW1909" s="37"/>
      <c r="AX1909" s="37"/>
      <c r="AY1909" s="37"/>
      <c r="AZ1909" s="37"/>
      <c r="BA1909" s="37"/>
      <c r="BB1909" s="37"/>
      <c r="BC1909" s="37"/>
      <c r="BD1909" s="37"/>
      <c r="BE1909" s="37"/>
      <c r="BF1909" s="37"/>
      <c r="BG1909" s="37"/>
      <c r="BH1909" s="37"/>
      <c r="BI1909" s="37"/>
      <c r="BJ1909" s="37"/>
      <c r="BK1909" s="37"/>
      <c r="BL1909" s="37"/>
      <c r="BM1909" s="37"/>
    </row>
    <row r="1910" spans="1:65" s="40" customFormat="1" ht="23.25" x14ac:dyDescent="0.35">
      <c r="A1910" s="37"/>
      <c r="B1910" s="37"/>
      <c r="C1910" s="41"/>
      <c r="D1910" s="38"/>
      <c r="E1910" s="57"/>
      <c r="F1910" s="42"/>
      <c r="G1910" s="43"/>
      <c r="H1910" s="37"/>
      <c r="I1910" s="37"/>
      <c r="J1910" s="38"/>
      <c r="K1910" s="37"/>
      <c r="L1910" s="38"/>
      <c r="M1910" s="39"/>
      <c r="P1910" s="37"/>
      <c r="Q1910" s="37"/>
      <c r="R1910" s="37"/>
      <c r="S1910" s="37"/>
      <c r="T1910" s="37"/>
      <c r="U1910" s="37"/>
      <c r="V1910" s="37"/>
      <c r="W1910" s="37"/>
      <c r="X1910" s="37"/>
      <c r="Y1910" s="37"/>
      <c r="Z1910" s="37"/>
      <c r="AA1910" s="37"/>
      <c r="AB1910" s="37"/>
      <c r="AC1910" s="37"/>
      <c r="AD1910" s="37"/>
      <c r="AE1910" s="37"/>
      <c r="AF1910" s="37"/>
      <c r="AG1910" s="37"/>
      <c r="AH1910" s="37"/>
      <c r="AI1910" s="37"/>
      <c r="AJ1910" s="37"/>
      <c r="AK1910" s="37"/>
      <c r="AL1910" s="37"/>
      <c r="AM1910" s="37"/>
      <c r="AN1910" s="37"/>
      <c r="AO1910" s="37"/>
      <c r="AP1910" s="37"/>
      <c r="AQ1910" s="37"/>
      <c r="AR1910" s="37"/>
      <c r="AS1910" s="37"/>
      <c r="AT1910" s="37"/>
      <c r="AU1910" s="37"/>
      <c r="AV1910" s="37"/>
      <c r="AW1910" s="37"/>
      <c r="AX1910" s="37"/>
      <c r="AY1910" s="37"/>
      <c r="AZ1910" s="37"/>
      <c r="BA1910" s="37"/>
      <c r="BB1910" s="37"/>
      <c r="BC1910" s="37"/>
      <c r="BD1910" s="37"/>
      <c r="BE1910" s="37"/>
      <c r="BF1910" s="37"/>
      <c r="BG1910" s="37"/>
      <c r="BH1910" s="37"/>
      <c r="BI1910" s="37"/>
      <c r="BJ1910" s="37"/>
      <c r="BK1910" s="37"/>
      <c r="BL1910" s="37"/>
      <c r="BM1910" s="37"/>
    </row>
    <row r="1911" spans="1:65" s="40" customFormat="1" ht="23.25" x14ac:dyDescent="0.35">
      <c r="A1911" s="37"/>
      <c r="B1911" s="37"/>
      <c r="C1911" s="41"/>
      <c r="D1911" s="38"/>
      <c r="E1911" s="57"/>
      <c r="F1911" s="42"/>
      <c r="G1911" s="43"/>
      <c r="H1911" s="37"/>
      <c r="I1911" s="37"/>
      <c r="J1911" s="38"/>
      <c r="K1911" s="37"/>
      <c r="L1911" s="38"/>
      <c r="M1911" s="39"/>
      <c r="P1911" s="37"/>
      <c r="Q1911" s="37"/>
      <c r="R1911" s="37"/>
      <c r="S1911" s="37"/>
      <c r="T1911" s="37"/>
      <c r="U1911" s="37"/>
      <c r="V1911" s="37"/>
      <c r="W1911" s="37"/>
      <c r="X1911" s="37"/>
      <c r="Y1911" s="37"/>
      <c r="Z1911" s="37"/>
      <c r="AA1911" s="37"/>
      <c r="AB1911" s="37"/>
      <c r="AC1911" s="37"/>
      <c r="AD1911" s="37"/>
      <c r="AE1911" s="37"/>
      <c r="AF1911" s="37"/>
      <c r="AG1911" s="37"/>
      <c r="AH1911" s="37"/>
      <c r="AI1911" s="37"/>
      <c r="AJ1911" s="37"/>
      <c r="AK1911" s="37"/>
      <c r="AL1911" s="37"/>
      <c r="AM1911" s="37"/>
      <c r="AN1911" s="37"/>
      <c r="AO1911" s="37"/>
      <c r="AP1911" s="37"/>
      <c r="AQ1911" s="37"/>
      <c r="AR1911" s="37"/>
      <c r="AS1911" s="37"/>
      <c r="AT1911" s="37"/>
      <c r="AU1911" s="37"/>
      <c r="AV1911" s="37"/>
      <c r="AW1911" s="37"/>
      <c r="AX1911" s="37"/>
      <c r="AY1911" s="37"/>
      <c r="AZ1911" s="37"/>
      <c r="BA1911" s="37"/>
      <c r="BB1911" s="37"/>
      <c r="BC1911" s="37"/>
      <c r="BD1911" s="37"/>
      <c r="BE1911" s="37"/>
      <c r="BF1911" s="37"/>
      <c r="BG1911" s="37"/>
      <c r="BH1911" s="37"/>
      <c r="BI1911" s="37"/>
      <c r="BJ1911" s="37"/>
      <c r="BK1911" s="37"/>
      <c r="BL1911" s="37"/>
      <c r="BM1911" s="37"/>
    </row>
    <row r="1912" spans="1:65" s="40" customFormat="1" ht="23.25" x14ac:dyDescent="0.35">
      <c r="A1912" s="37"/>
      <c r="B1912" s="37"/>
      <c r="C1912" s="41"/>
      <c r="D1912" s="38"/>
      <c r="E1912" s="57"/>
      <c r="F1912" s="42"/>
      <c r="G1912" s="43"/>
      <c r="H1912" s="37"/>
      <c r="I1912" s="37"/>
      <c r="J1912" s="38"/>
      <c r="K1912" s="37"/>
      <c r="L1912" s="38"/>
      <c r="M1912" s="39"/>
      <c r="P1912" s="37"/>
      <c r="Q1912" s="37"/>
      <c r="R1912" s="37"/>
      <c r="S1912" s="37"/>
      <c r="T1912" s="37"/>
      <c r="U1912" s="37"/>
      <c r="V1912" s="37"/>
      <c r="W1912" s="37"/>
      <c r="X1912" s="37"/>
      <c r="Y1912" s="37"/>
      <c r="Z1912" s="37"/>
      <c r="AA1912" s="37"/>
      <c r="AB1912" s="37"/>
      <c r="AC1912" s="37"/>
      <c r="AD1912" s="37"/>
      <c r="AE1912" s="37"/>
      <c r="AF1912" s="37"/>
      <c r="AG1912" s="37"/>
      <c r="AH1912" s="37"/>
      <c r="AI1912" s="37"/>
      <c r="AJ1912" s="37"/>
      <c r="AK1912" s="37"/>
      <c r="AL1912" s="37"/>
      <c r="AM1912" s="37"/>
      <c r="AN1912" s="37"/>
      <c r="AO1912" s="37"/>
      <c r="AP1912" s="37"/>
      <c r="AQ1912" s="37"/>
      <c r="AR1912" s="37"/>
      <c r="AS1912" s="37"/>
      <c r="AT1912" s="37"/>
      <c r="AU1912" s="37"/>
      <c r="AV1912" s="37"/>
      <c r="AW1912" s="37"/>
      <c r="AX1912" s="37"/>
      <c r="AY1912" s="37"/>
      <c r="AZ1912" s="37"/>
      <c r="BA1912" s="37"/>
      <c r="BB1912" s="37"/>
      <c r="BC1912" s="37"/>
      <c r="BD1912" s="37"/>
      <c r="BE1912" s="37"/>
      <c r="BF1912" s="37"/>
      <c r="BG1912" s="37"/>
      <c r="BH1912" s="37"/>
      <c r="BI1912" s="37"/>
      <c r="BJ1912" s="37"/>
      <c r="BK1912" s="37"/>
      <c r="BL1912" s="37"/>
      <c r="BM1912" s="37"/>
    </row>
    <row r="1913" spans="1:65" s="40" customFormat="1" ht="23.25" x14ac:dyDescent="0.35">
      <c r="A1913" s="37"/>
      <c r="B1913" s="37"/>
      <c r="C1913" s="41"/>
      <c r="D1913" s="38"/>
      <c r="E1913" s="57"/>
      <c r="F1913" s="42"/>
      <c r="G1913" s="43"/>
      <c r="H1913" s="37"/>
      <c r="I1913" s="37"/>
      <c r="J1913" s="38"/>
      <c r="K1913" s="37"/>
      <c r="L1913" s="38"/>
      <c r="M1913" s="39"/>
      <c r="P1913" s="37"/>
      <c r="Q1913" s="37"/>
      <c r="R1913" s="37"/>
      <c r="S1913" s="37"/>
      <c r="T1913" s="37"/>
      <c r="U1913" s="37"/>
      <c r="V1913" s="37"/>
      <c r="W1913" s="37"/>
      <c r="X1913" s="37"/>
      <c r="Y1913" s="37"/>
      <c r="Z1913" s="37"/>
      <c r="AA1913" s="37"/>
      <c r="AB1913" s="37"/>
      <c r="AC1913" s="37"/>
      <c r="AD1913" s="37"/>
      <c r="AE1913" s="37"/>
      <c r="AF1913" s="37"/>
      <c r="AG1913" s="37"/>
      <c r="AH1913" s="37"/>
      <c r="AI1913" s="37"/>
      <c r="AJ1913" s="37"/>
      <c r="AK1913" s="37"/>
      <c r="AL1913" s="37"/>
      <c r="AM1913" s="37"/>
      <c r="AN1913" s="37"/>
      <c r="AO1913" s="37"/>
      <c r="AP1913" s="37"/>
      <c r="AQ1913" s="37"/>
      <c r="AR1913" s="37"/>
      <c r="AS1913" s="37"/>
      <c r="AT1913" s="37"/>
      <c r="AU1913" s="37"/>
      <c r="AV1913" s="37"/>
      <c r="AW1913" s="37"/>
      <c r="AX1913" s="37"/>
      <c r="AY1913" s="37"/>
      <c r="AZ1913" s="37"/>
      <c r="BA1913" s="37"/>
      <c r="BB1913" s="37"/>
      <c r="BC1913" s="37"/>
      <c r="BD1913" s="37"/>
      <c r="BE1913" s="37"/>
      <c r="BF1913" s="37"/>
      <c r="BG1913" s="37"/>
      <c r="BH1913" s="37"/>
      <c r="BI1913" s="37"/>
      <c r="BJ1913" s="37"/>
      <c r="BK1913" s="37"/>
      <c r="BL1913" s="37"/>
      <c r="BM1913" s="37"/>
    </row>
    <row r="1914" spans="1:65" s="40" customFormat="1" ht="23.25" x14ac:dyDescent="0.35">
      <c r="A1914" s="37"/>
      <c r="B1914" s="37"/>
      <c r="C1914" s="41"/>
      <c r="D1914" s="38"/>
      <c r="E1914" s="57"/>
      <c r="F1914" s="42"/>
      <c r="G1914" s="43"/>
      <c r="H1914" s="37"/>
      <c r="I1914" s="37"/>
      <c r="J1914" s="38"/>
      <c r="K1914" s="37"/>
      <c r="L1914" s="38"/>
      <c r="M1914" s="39"/>
      <c r="P1914" s="37"/>
      <c r="Q1914" s="37"/>
      <c r="R1914" s="37"/>
      <c r="S1914" s="37"/>
      <c r="T1914" s="37"/>
      <c r="U1914" s="37"/>
      <c r="V1914" s="37"/>
      <c r="W1914" s="37"/>
      <c r="X1914" s="37"/>
      <c r="Y1914" s="37"/>
      <c r="Z1914" s="37"/>
      <c r="AA1914" s="37"/>
      <c r="AB1914" s="37"/>
      <c r="AC1914" s="37"/>
      <c r="AD1914" s="37"/>
      <c r="AE1914" s="37"/>
      <c r="AF1914" s="37"/>
      <c r="AG1914" s="37"/>
      <c r="AH1914" s="37"/>
      <c r="AI1914" s="37"/>
      <c r="AJ1914" s="37"/>
      <c r="AK1914" s="37"/>
      <c r="AL1914" s="37"/>
      <c r="AM1914" s="37"/>
      <c r="AN1914" s="37"/>
      <c r="AO1914" s="37"/>
      <c r="AP1914" s="37"/>
      <c r="AQ1914" s="37"/>
      <c r="AR1914" s="37"/>
      <c r="AS1914" s="37"/>
      <c r="AT1914" s="37"/>
      <c r="AU1914" s="37"/>
      <c r="AV1914" s="37"/>
      <c r="AW1914" s="37"/>
      <c r="AX1914" s="37"/>
      <c r="AY1914" s="37"/>
      <c r="AZ1914" s="37"/>
      <c r="BA1914" s="37"/>
      <c r="BB1914" s="37"/>
      <c r="BC1914" s="37"/>
      <c r="BD1914" s="37"/>
      <c r="BE1914" s="37"/>
      <c r="BF1914" s="37"/>
      <c r="BG1914" s="37"/>
      <c r="BH1914" s="37"/>
      <c r="BI1914" s="37"/>
      <c r="BJ1914" s="37"/>
      <c r="BK1914" s="37"/>
      <c r="BL1914" s="37"/>
      <c r="BM1914" s="37"/>
    </row>
    <row r="1915" spans="1:65" s="40" customFormat="1" ht="23.25" x14ac:dyDescent="0.35">
      <c r="A1915" s="37"/>
      <c r="B1915" s="37"/>
      <c r="C1915" s="41"/>
      <c r="D1915" s="38"/>
      <c r="E1915" s="57"/>
      <c r="F1915" s="42"/>
      <c r="G1915" s="43"/>
      <c r="H1915" s="37"/>
      <c r="I1915" s="37"/>
      <c r="J1915" s="38"/>
      <c r="K1915" s="37"/>
      <c r="L1915" s="38"/>
      <c r="M1915" s="39"/>
      <c r="P1915" s="37"/>
      <c r="Q1915" s="37"/>
      <c r="R1915" s="37"/>
      <c r="S1915" s="37"/>
      <c r="T1915" s="37"/>
      <c r="U1915" s="37"/>
      <c r="V1915" s="37"/>
      <c r="W1915" s="37"/>
      <c r="X1915" s="37"/>
      <c r="Y1915" s="37"/>
      <c r="Z1915" s="37"/>
      <c r="AA1915" s="37"/>
      <c r="AB1915" s="37"/>
      <c r="AC1915" s="37"/>
      <c r="AD1915" s="37"/>
      <c r="AE1915" s="37"/>
      <c r="AF1915" s="37"/>
      <c r="AG1915" s="37"/>
      <c r="AH1915" s="37"/>
      <c r="AI1915" s="37"/>
      <c r="AJ1915" s="37"/>
      <c r="AK1915" s="37"/>
      <c r="AL1915" s="37"/>
      <c r="AM1915" s="37"/>
      <c r="AN1915" s="37"/>
      <c r="AO1915" s="37"/>
      <c r="AP1915" s="37"/>
      <c r="AQ1915" s="37"/>
      <c r="AR1915" s="37"/>
      <c r="AS1915" s="37"/>
      <c r="AT1915" s="37"/>
      <c r="AU1915" s="37"/>
      <c r="AV1915" s="37"/>
      <c r="AW1915" s="37"/>
      <c r="AX1915" s="37"/>
      <c r="AY1915" s="37"/>
      <c r="AZ1915" s="37"/>
      <c r="BA1915" s="37"/>
      <c r="BB1915" s="37"/>
      <c r="BC1915" s="37"/>
      <c r="BD1915" s="37"/>
      <c r="BE1915" s="37"/>
      <c r="BF1915" s="37"/>
      <c r="BG1915" s="37"/>
      <c r="BH1915" s="37"/>
      <c r="BI1915" s="37"/>
      <c r="BJ1915" s="37"/>
      <c r="BK1915" s="37"/>
      <c r="BL1915" s="37"/>
      <c r="BM1915" s="37"/>
    </row>
    <row r="1916" spans="1:65" s="40" customFormat="1" ht="23.25" x14ac:dyDescent="0.35">
      <c r="A1916" s="37"/>
      <c r="B1916" s="37"/>
      <c r="C1916" s="41"/>
      <c r="D1916" s="38"/>
      <c r="E1916" s="57"/>
      <c r="F1916" s="42"/>
      <c r="G1916" s="43"/>
      <c r="H1916" s="37"/>
      <c r="I1916" s="37"/>
      <c r="J1916" s="38"/>
      <c r="K1916" s="37"/>
      <c r="L1916" s="38"/>
      <c r="M1916" s="39"/>
      <c r="P1916" s="37"/>
      <c r="Q1916" s="37"/>
      <c r="R1916" s="37"/>
      <c r="S1916" s="37"/>
      <c r="T1916" s="37"/>
      <c r="U1916" s="37"/>
      <c r="V1916" s="37"/>
      <c r="W1916" s="37"/>
      <c r="X1916" s="37"/>
      <c r="Y1916" s="37"/>
      <c r="Z1916" s="37"/>
      <c r="AA1916" s="37"/>
      <c r="AB1916" s="37"/>
      <c r="AC1916" s="37"/>
      <c r="AD1916" s="37"/>
      <c r="AE1916" s="37"/>
      <c r="AF1916" s="37"/>
      <c r="AG1916" s="37"/>
      <c r="AH1916" s="37"/>
      <c r="AI1916" s="37"/>
      <c r="AJ1916" s="37"/>
      <c r="AK1916" s="37"/>
      <c r="AL1916" s="37"/>
      <c r="AM1916" s="37"/>
      <c r="AN1916" s="37"/>
      <c r="AO1916" s="37"/>
      <c r="AP1916" s="37"/>
      <c r="AQ1916" s="37"/>
      <c r="AR1916" s="37"/>
      <c r="AS1916" s="37"/>
      <c r="AT1916" s="37"/>
      <c r="AU1916" s="37"/>
      <c r="AV1916" s="37"/>
      <c r="AW1916" s="37"/>
      <c r="AX1916" s="37"/>
      <c r="AY1916" s="37"/>
      <c r="AZ1916" s="37"/>
      <c r="BA1916" s="37"/>
      <c r="BB1916" s="37"/>
      <c r="BC1916" s="37"/>
      <c r="BD1916" s="37"/>
      <c r="BE1916" s="37"/>
      <c r="BF1916" s="37"/>
      <c r="BG1916" s="37"/>
      <c r="BH1916" s="37"/>
      <c r="BI1916" s="37"/>
      <c r="BJ1916" s="37"/>
      <c r="BK1916" s="37"/>
      <c r="BL1916" s="37"/>
      <c r="BM1916" s="37"/>
    </row>
    <row r="1917" spans="1:65" s="40" customFormat="1" ht="23.25" x14ac:dyDescent="0.35">
      <c r="A1917" s="37"/>
      <c r="B1917" s="37"/>
      <c r="C1917" s="41"/>
      <c r="D1917" s="38"/>
      <c r="E1917" s="57"/>
      <c r="F1917" s="42"/>
      <c r="G1917" s="43"/>
      <c r="H1917" s="37"/>
      <c r="I1917" s="37"/>
      <c r="J1917" s="38"/>
      <c r="K1917" s="37"/>
      <c r="L1917" s="38"/>
      <c r="M1917" s="39"/>
      <c r="P1917" s="37"/>
      <c r="Q1917" s="37"/>
      <c r="R1917" s="37"/>
      <c r="S1917" s="37"/>
      <c r="T1917" s="37"/>
      <c r="U1917" s="37"/>
      <c r="V1917" s="37"/>
      <c r="W1917" s="37"/>
      <c r="X1917" s="37"/>
      <c r="Y1917" s="37"/>
      <c r="Z1917" s="37"/>
      <c r="AA1917" s="37"/>
      <c r="AB1917" s="37"/>
      <c r="AC1917" s="37"/>
      <c r="AD1917" s="37"/>
      <c r="AE1917" s="37"/>
      <c r="AF1917" s="37"/>
      <c r="AG1917" s="37"/>
      <c r="AH1917" s="37"/>
      <c r="AI1917" s="37"/>
      <c r="AJ1917" s="37"/>
      <c r="AK1917" s="37"/>
      <c r="AL1917" s="37"/>
      <c r="AM1917" s="37"/>
      <c r="AN1917" s="37"/>
      <c r="AO1917" s="37"/>
      <c r="AP1917" s="37"/>
      <c r="AQ1917" s="37"/>
      <c r="AR1917" s="37"/>
      <c r="AS1917" s="37"/>
      <c r="AT1917" s="37"/>
      <c r="AU1917" s="37"/>
      <c r="AV1917" s="37"/>
      <c r="AW1917" s="37"/>
      <c r="AX1917" s="37"/>
      <c r="AY1917" s="37"/>
      <c r="AZ1917" s="37"/>
      <c r="BA1917" s="37"/>
      <c r="BB1917" s="37"/>
      <c r="BC1917" s="37"/>
      <c r="BD1917" s="37"/>
      <c r="BE1917" s="37"/>
      <c r="BF1917" s="37"/>
      <c r="BG1917" s="37"/>
      <c r="BH1917" s="37"/>
      <c r="BI1917" s="37"/>
      <c r="BJ1917" s="37"/>
      <c r="BK1917" s="37"/>
      <c r="BL1917" s="37"/>
      <c r="BM1917" s="37"/>
    </row>
    <row r="1918" spans="1:65" s="40" customFormat="1" ht="23.25" x14ac:dyDescent="0.35">
      <c r="A1918" s="37"/>
      <c r="B1918" s="37"/>
      <c r="C1918" s="41"/>
      <c r="D1918" s="38"/>
      <c r="E1918" s="57"/>
      <c r="F1918" s="42"/>
      <c r="G1918" s="43"/>
      <c r="H1918" s="37"/>
      <c r="I1918" s="37"/>
      <c r="J1918" s="38"/>
      <c r="K1918" s="37"/>
      <c r="L1918" s="38"/>
      <c r="M1918" s="39"/>
      <c r="P1918" s="37"/>
      <c r="Q1918" s="37"/>
      <c r="R1918" s="37"/>
      <c r="S1918" s="37"/>
      <c r="T1918" s="37"/>
      <c r="U1918" s="37"/>
      <c r="V1918" s="37"/>
      <c r="W1918" s="37"/>
      <c r="X1918" s="37"/>
      <c r="Y1918" s="37"/>
      <c r="Z1918" s="37"/>
      <c r="AA1918" s="37"/>
      <c r="AB1918" s="37"/>
      <c r="AC1918" s="37"/>
      <c r="AD1918" s="37"/>
      <c r="AE1918" s="37"/>
      <c r="AF1918" s="37"/>
      <c r="AG1918" s="37"/>
      <c r="AH1918" s="37"/>
      <c r="AI1918" s="37"/>
      <c r="AJ1918" s="37"/>
      <c r="AK1918" s="37"/>
      <c r="AL1918" s="37"/>
      <c r="AM1918" s="37"/>
      <c r="AN1918" s="37"/>
      <c r="AO1918" s="37"/>
      <c r="AP1918" s="37"/>
      <c r="AQ1918" s="37"/>
      <c r="AR1918" s="37"/>
      <c r="AS1918" s="37"/>
      <c r="AT1918" s="37"/>
      <c r="AU1918" s="37"/>
      <c r="AV1918" s="37"/>
      <c r="AW1918" s="37"/>
      <c r="AX1918" s="37"/>
      <c r="AY1918" s="37"/>
      <c r="AZ1918" s="37"/>
      <c r="BA1918" s="37"/>
      <c r="BB1918" s="37"/>
      <c r="BC1918" s="37"/>
      <c r="BD1918" s="37"/>
      <c r="BE1918" s="37"/>
      <c r="BF1918" s="37"/>
      <c r="BG1918" s="37"/>
      <c r="BH1918" s="37"/>
      <c r="BI1918" s="37"/>
      <c r="BJ1918" s="37"/>
      <c r="BK1918" s="37"/>
      <c r="BL1918" s="37"/>
      <c r="BM1918" s="37"/>
    </row>
    <row r="1919" spans="1:65" s="40" customFormat="1" ht="23.25" x14ac:dyDescent="0.35">
      <c r="A1919" s="37"/>
      <c r="B1919" s="37"/>
      <c r="C1919" s="41"/>
      <c r="D1919" s="38"/>
      <c r="E1919" s="57"/>
      <c r="F1919" s="42"/>
      <c r="G1919" s="43"/>
      <c r="H1919" s="37"/>
      <c r="I1919" s="37"/>
      <c r="J1919" s="38"/>
      <c r="K1919" s="37"/>
      <c r="L1919" s="38"/>
      <c r="M1919" s="39"/>
      <c r="P1919" s="37"/>
      <c r="Q1919" s="37"/>
      <c r="R1919" s="37"/>
      <c r="S1919" s="37"/>
      <c r="T1919" s="37"/>
      <c r="U1919" s="37"/>
      <c r="V1919" s="37"/>
      <c r="W1919" s="37"/>
      <c r="X1919" s="37"/>
      <c r="Y1919" s="37"/>
      <c r="Z1919" s="37"/>
      <c r="AA1919" s="37"/>
      <c r="AB1919" s="37"/>
      <c r="AC1919" s="37"/>
      <c r="AD1919" s="37"/>
      <c r="AE1919" s="37"/>
      <c r="AF1919" s="37"/>
      <c r="AG1919" s="37"/>
      <c r="AH1919" s="37"/>
      <c r="AI1919" s="37"/>
      <c r="AJ1919" s="37"/>
      <c r="AK1919" s="37"/>
      <c r="AL1919" s="37"/>
      <c r="AM1919" s="37"/>
      <c r="AN1919" s="37"/>
      <c r="AO1919" s="37"/>
      <c r="AP1919" s="37"/>
      <c r="AQ1919" s="37"/>
      <c r="AR1919" s="37"/>
      <c r="AS1919" s="37"/>
      <c r="AT1919" s="37"/>
      <c r="AU1919" s="37"/>
      <c r="AV1919" s="37"/>
      <c r="AW1919" s="37"/>
      <c r="AX1919" s="37"/>
      <c r="AY1919" s="37"/>
      <c r="AZ1919" s="37"/>
      <c r="BA1919" s="37"/>
      <c r="BB1919" s="37"/>
      <c r="BC1919" s="37"/>
      <c r="BD1919" s="37"/>
      <c r="BE1919" s="37"/>
      <c r="BF1919" s="37"/>
      <c r="BG1919" s="37"/>
      <c r="BH1919" s="37"/>
      <c r="BI1919" s="37"/>
      <c r="BJ1919" s="37"/>
      <c r="BK1919" s="37"/>
      <c r="BL1919" s="37"/>
      <c r="BM1919" s="37"/>
    </row>
    <row r="1920" spans="1:65" s="40" customFormat="1" ht="23.25" x14ac:dyDescent="0.35">
      <c r="A1920" s="37"/>
      <c r="B1920" s="37"/>
      <c r="C1920" s="41"/>
      <c r="D1920" s="38"/>
      <c r="E1920" s="57"/>
      <c r="F1920" s="42"/>
      <c r="G1920" s="43"/>
      <c r="H1920" s="37"/>
      <c r="I1920" s="37"/>
      <c r="J1920" s="38"/>
      <c r="K1920" s="37"/>
      <c r="L1920" s="38"/>
      <c r="M1920" s="39"/>
      <c r="P1920" s="37"/>
      <c r="Q1920" s="37"/>
      <c r="R1920" s="37"/>
      <c r="S1920" s="37"/>
      <c r="T1920" s="37"/>
      <c r="U1920" s="37"/>
      <c r="V1920" s="37"/>
      <c r="W1920" s="37"/>
      <c r="X1920" s="37"/>
      <c r="Y1920" s="37"/>
      <c r="Z1920" s="37"/>
      <c r="AA1920" s="37"/>
      <c r="AB1920" s="37"/>
      <c r="AC1920" s="37"/>
      <c r="AD1920" s="37"/>
      <c r="AE1920" s="37"/>
      <c r="AF1920" s="37"/>
      <c r="AG1920" s="37"/>
      <c r="AH1920" s="37"/>
      <c r="AI1920" s="37"/>
      <c r="AJ1920" s="37"/>
      <c r="AK1920" s="37"/>
      <c r="AL1920" s="37"/>
      <c r="AM1920" s="37"/>
      <c r="AN1920" s="37"/>
      <c r="AO1920" s="37"/>
      <c r="AP1920" s="37"/>
      <c r="AQ1920" s="37"/>
      <c r="AR1920" s="37"/>
      <c r="AS1920" s="37"/>
      <c r="AT1920" s="37"/>
      <c r="AU1920" s="37"/>
      <c r="AV1920" s="37"/>
      <c r="AW1920" s="37"/>
      <c r="AX1920" s="37"/>
      <c r="AY1920" s="37"/>
      <c r="AZ1920" s="37"/>
      <c r="BA1920" s="37"/>
      <c r="BB1920" s="37"/>
      <c r="BC1920" s="37"/>
      <c r="BD1920" s="37"/>
      <c r="BE1920" s="37"/>
      <c r="BF1920" s="37"/>
      <c r="BG1920" s="37"/>
      <c r="BH1920" s="37"/>
      <c r="BI1920" s="37"/>
      <c r="BJ1920" s="37"/>
      <c r="BK1920" s="37"/>
      <c r="BL1920" s="37"/>
      <c r="BM1920" s="37"/>
    </row>
    <row r="1921" spans="1:65" s="40" customFormat="1" ht="23.25" x14ac:dyDescent="0.35">
      <c r="A1921" s="37"/>
      <c r="B1921" s="37"/>
      <c r="C1921" s="41"/>
      <c r="D1921" s="38"/>
      <c r="E1921" s="57"/>
      <c r="F1921" s="42"/>
      <c r="G1921" s="43"/>
      <c r="H1921" s="37"/>
      <c r="I1921" s="37"/>
      <c r="J1921" s="38"/>
      <c r="K1921" s="37"/>
      <c r="L1921" s="38"/>
      <c r="M1921" s="39"/>
      <c r="P1921" s="37"/>
      <c r="Q1921" s="37"/>
      <c r="R1921" s="37"/>
      <c r="S1921" s="37"/>
      <c r="T1921" s="37"/>
      <c r="U1921" s="37"/>
      <c r="V1921" s="37"/>
      <c r="W1921" s="37"/>
      <c r="X1921" s="37"/>
      <c r="Y1921" s="37"/>
      <c r="Z1921" s="37"/>
      <c r="AA1921" s="37"/>
      <c r="AB1921" s="37"/>
      <c r="AC1921" s="37"/>
      <c r="AD1921" s="37"/>
      <c r="AE1921" s="37"/>
      <c r="AF1921" s="37"/>
      <c r="AG1921" s="37"/>
      <c r="AH1921" s="37"/>
      <c r="AI1921" s="37"/>
      <c r="AJ1921" s="37"/>
      <c r="AK1921" s="37"/>
      <c r="AL1921" s="37"/>
      <c r="AM1921" s="37"/>
      <c r="AN1921" s="37"/>
      <c r="AO1921" s="37"/>
      <c r="AP1921" s="37"/>
      <c r="AQ1921" s="37"/>
      <c r="AR1921" s="37"/>
      <c r="AS1921" s="37"/>
      <c r="AT1921" s="37"/>
      <c r="AU1921" s="37"/>
      <c r="AV1921" s="37"/>
      <c r="AW1921" s="37"/>
      <c r="AX1921" s="37"/>
      <c r="AY1921" s="37"/>
      <c r="AZ1921" s="37"/>
      <c r="BA1921" s="37"/>
      <c r="BB1921" s="37"/>
      <c r="BC1921" s="37"/>
      <c r="BD1921" s="37"/>
      <c r="BE1921" s="37"/>
      <c r="BF1921" s="37"/>
      <c r="BG1921" s="37"/>
      <c r="BH1921" s="37"/>
      <c r="BI1921" s="37"/>
      <c r="BJ1921" s="37"/>
      <c r="BK1921" s="37"/>
      <c r="BL1921" s="37"/>
      <c r="BM1921" s="37"/>
    </row>
    <row r="1922" spans="1:65" s="40" customFormat="1" ht="23.25" x14ac:dyDescent="0.35">
      <c r="A1922" s="37"/>
      <c r="B1922" s="37"/>
      <c r="C1922" s="41"/>
      <c r="D1922" s="38"/>
      <c r="E1922" s="57"/>
      <c r="F1922" s="42"/>
      <c r="G1922" s="43"/>
      <c r="H1922" s="37"/>
      <c r="I1922" s="37"/>
      <c r="J1922" s="38"/>
      <c r="K1922" s="37"/>
      <c r="L1922" s="38"/>
      <c r="M1922" s="39"/>
      <c r="P1922" s="37"/>
      <c r="Q1922" s="37"/>
      <c r="R1922" s="37"/>
      <c r="S1922" s="37"/>
      <c r="T1922" s="37"/>
      <c r="U1922" s="37"/>
      <c r="V1922" s="37"/>
      <c r="W1922" s="37"/>
      <c r="X1922" s="37"/>
      <c r="Y1922" s="37"/>
      <c r="Z1922" s="37"/>
      <c r="AA1922" s="37"/>
      <c r="AB1922" s="37"/>
      <c r="AC1922" s="37"/>
      <c r="AD1922" s="37"/>
      <c r="AE1922" s="37"/>
      <c r="AF1922" s="37"/>
      <c r="AG1922" s="37"/>
      <c r="AH1922" s="37"/>
      <c r="AI1922" s="37"/>
      <c r="AJ1922" s="37"/>
      <c r="AK1922" s="37"/>
      <c r="AL1922" s="37"/>
      <c r="AM1922" s="37"/>
      <c r="AN1922" s="37"/>
      <c r="AO1922" s="37"/>
      <c r="AP1922" s="37"/>
      <c r="AQ1922" s="37"/>
      <c r="AR1922" s="37"/>
      <c r="AS1922" s="37"/>
      <c r="AT1922" s="37"/>
      <c r="AU1922" s="37"/>
      <c r="AV1922" s="37"/>
      <c r="AW1922" s="37"/>
      <c r="AX1922" s="37"/>
      <c r="AY1922" s="37"/>
      <c r="AZ1922" s="37"/>
      <c r="BA1922" s="37"/>
      <c r="BB1922" s="37"/>
      <c r="BC1922" s="37"/>
      <c r="BD1922" s="37"/>
      <c r="BE1922" s="37"/>
      <c r="BF1922" s="37"/>
      <c r="BG1922" s="37"/>
      <c r="BH1922" s="37"/>
      <c r="BI1922" s="37"/>
      <c r="BJ1922" s="37"/>
      <c r="BK1922" s="37"/>
      <c r="BL1922" s="37"/>
      <c r="BM1922" s="37"/>
    </row>
    <row r="1923" spans="1:65" s="40" customFormat="1" ht="23.25" x14ac:dyDescent="0.35">
      <c r="A1923" s="37"/>
      <c r="B1923" s="37"/>
      <c r="C1923" s="41"/>
      <c r="D1923" s="38"/>
      <c r="E1923" s="57"/>
      <c r="F1923" s="42"/>
      <c r="G1923" s="43"/>
      <c r="H1923" s="37"/>
      <c r="I1923" s="37"/>
      <c r="J1923" s="38"/>
      <c r="K1923" s="37"/>
      <c r="L1923" s="38"/>
      <c r="M1923" s="39"/>
      <c r="P1923" s="37"/>
      <c r="Q1923" s="37"/>
      <c r="R1923" s="37"/>
      <c r="S1923" s="37"/>
      <c r="T1923" s="37"/>
      <c r="U1923" s="37"/>
      <c r="V1923" s="37"/>
      <c r="W1923" s="37"/>
      <c r="X1923" s="37"/>
      <c r="Y1923" s="37"/>
      <c r="Z1923" s="37"/>
      <c r="AA1923" s="37"/>
      <c r="AB1923" s="37"/>
      <c r="AC1923" s="37"/>
      <c r="AD1923" s="37"/>
      <c r="AE1923" s="37"/>
      <c r="AF1923" s="37"/>
      <c r="AG1923" s="37"/>
      <c r="AH1923" s="37"/>
      <c r="AI1923" s="37"/>
      <c r="AJ1923" s="37"/>
      <c r="AK1923" s="37"/>
      <c r="AL1923" s="37"/>
      <c r="AM1923" s="37"/>
      <c r="AN1923" s="37"/>
      <c r="AO1923" s="37"/>
      <c r="AP1923" s="37"/>
      <c r="AQ1923" s="37"/>
      <c r="AR1923" s="37"/>
      <c r="AS1923" s="37"/>
      <c r="AT1923" s="37"/>
      <c r="AU1923" s="37"/>
      <c r="AV1923" s="37"/>
      <c r="AW1923" s="37"/>
      <c r="AX1923" s="37"/>
      <c r="AY1923" s="37"/>
      <c r="AZ1923" s="37"/>
      <c r="BA1923" s="37"/>
      <c r="BB1923" s="37"/>
      <c r="BC1923" s="37"/>
      <c r="BD1923" s="37"/>
      <c r="BE1923" s="37"/>
      <c r="BF1923" s="37"/>
      <c r="BG1923" s="37"/>
      <c r="BH1923" s="37"/>
      <c r="BI1923" s="37"/>
      <c r="BJ1923" s="37"/>
      <c r="BK1923" s="37"/>
      <c r="BL1923" s="37"/>
      <c r="BM1923" s="37"/>
    </row>
    <row r="1924" spans="1:65" s="40" customFormat="1" ht="23.25" x14ac:dyDescent="0.35">
      <c r="A1924" s="37"/>
      <c r="B1924" s="37"/>
      <c r="C1924" s="41"/>
      <c r="D1924" s="38"/>
      <c r="E1924" s="57"/>
      <c r="F1924" s="42"/>
      <c r="G1924" s="43"/>
      <c r="H1924" s="37"/>
      <c r="I1924" s="37"/>
      <c r="J1924" s="38"/>
      <c r="K1924" s="37"/>
      <c r="L1924" s="38"/>
      <c r="M1924" s="39"/>
      <c r="P1924" s="37"/>
      <c r="Q1924" s="37"/>
      <c r="R1924" s="37"/>
      <c r="S1924" s="37"/>
      <c r="T1924" s="37"/>
      <c r="U1924" s="37"/>
      <c r="V1924" s="37"/>
      <c r="W1924" s="37"/>
      <c r="X1924" s="37"/>
      <c r="Y1924" s="37"/>
      <c r="Z1924" s="37"/>
      <c r="AA1924" s="37"/>
      <c r="AB1924" s="37"/>
      <c r="AC1924" s="37"/>
      <c r="AD1924" s="37"/>
      <c r="AE1924" s="37"/>
      <c r="AF1924" s="37"/>
      <c r="AG1924" s="37"/>
      <c r="AH1924" s="37"/>
      <c r="AI1924" s="37"/>
      <c r="AJ1924" s="37"/>
      <c r="AK1924" s="37"/>
      <c r="AL1924" s="37"/>
      <c r="AM1924" s="37"/>
      <c r="AN1924" s="37"/>
      <c r="AO1924" s="37"/>
      <c r="AP1924" s="37"/>
      <c r="AQ1924" s="37"/>
      <c r="AR1924" s="37"/>
      <c r="AS1924" s="37"/>
      <c r="AT1924" s="37"/>
      <c r="AU1924" s="37"/>
      <c r="AV1924" s="37"/>
      <c r="AW1924" s="37"/>
      <c r="AX1924" s="37"/>
      <c r="AY1924" s="37"/>
      <c r="AZ1924" s="37"/>
      <c r="BA1924" s="37"/>
      <c r="BB1924" s="37"/>
      <c r="BC1924" s="37"/>
      <c r="BD1924" s="37"/>
      <c r="BE1924" s="37"/>
      <c r="BF1924" s="37"/>
      <c r="BG1924" s="37"/>
      <c r="BH1924" s="37"/>
      <c r="BI1924" s="37"/>
      <c r="BJ1924" s="37"/>
      <c r="BK1924" s="37"/>
      <c r="BL1924" s="37"/>
      <c r="BM1924" s="37"/>
    </row>
    <row r="1925" spans="1:65" s="40" customFormat="1" ht="23.25" x14ac:dyDescent="0.35">
      <c r="A1925" s="37"/>
      <c r="B1925" s="37"/>
      <c r="C1925" s="41"/>
      <c r="D1925" s="38"/>
      <c r="E1925" s="57"/>
      <c r="F1925" s="42"/>
      <c r="G1925" s="43"/>
      <c r="H1925" s="37"/>
      <c r="I1925" s="37"/>
      <c r="J1925" s="38"/>
      <c r="K1925" s="37"/>
      <c r="L1925" s="38"/>
      <c r="M1925" s="39"/>
      <c r="P1925" s="37"/>
      <c r="Q1925" s="37"/>
      <c r="R1925" s="37"/>
      <c r="S1925" s="37"/>
      <c r="T1925" s="37"/>
      <c r="U1925" s="37"/>
      <c r="V1925" s="37"/>
      <c r="W1925" s="37"/>
      <c r="X1925" s="37"/>
      <c r="Y1925" s="37"/>
      <c r="Z1925" s="37"/>
      <c r="AA1925" s="37"/>
      <c r="AB1925" s="37"/>
      <c r="AC1925" s="37"/>
      <c r="AD1925" s="37"/>
      <c r="AE1925" s="37"/>
      <c r="AF1925" s="37"/>
      <c r="AG1925" s="37"/>
      <c r="AH1925" s="37"/>
      <c r="AI1925" s="37"/>
      <c r="AJ1925" s="37"/>
      <c r="AK1925" s="37"/>
      <c r="AL1925" s="37"/>
      <c r="AM1925" s="37"/>
      <c r="AN1925" s="37"/>
      <c r="AO1925" s="37"/>
      <c r="AP1925" s="37"/>
      <c r="AQ1925" s="37"/>
      <c r="AR1925" s="37"/>
      <c r="AS1925" s="37"/>
      <c r="AT1925" s="37"/>
      <c r="AU1925" s="37"/>
      <c r="AV1925" s="37"/>
      <c r="AW1925" s="37"/>
      <c r="AX1925" s="37"/>
      <c r="AY1925" s="37"/>
      <c r="AZ1925" s="37"/>
      <c r="BA1925" s="37"/>
      <c r="BB1925" s="37"/>
      <c r="BC1925" s="37"/>
      <c r="BD1925" s="37"/>
      <c r="BE1925" s="37"/>
      <c r="BF1925" s="37"/>
      <c r="BG1925" s="37"/>
      <c r="BH1925" s="37"/>
      <c r="BI1925" s="37"/>
      <c r="BJ1925" s="37"/>
      <c r="BK1925" s="37"/>
      <c r="BL1925" s="37"/>
      <c r="BM1925" s="37"/>
    </row>
    <row r="1926" spans="1:65" s="40" customFormat="1" ht="23.25" x14ac:dyDescent="0.35">
      <c r="A1926" s="37"/>
      <c r="B1926" s="37"/>
      <c r="C1926" s="41"/>
      <c r="D1926" s="38"/>
      <c r="E1926" s="57"/>
      <c r="F1926" s="42"/>
      <c r="G1926" s="43"/>
      <c r="H1926" s="37"/>
      <c r="I1926" s="37"/>
      <c r="J1926" s="38"/>
      <c r="K1926" s="37"/>
      <c r="L1926" s="38"/>
      <c r="M1926" s="39"/>
      <c r="P1926" s="37"/>
      <c r="Q1926" s="37"/>
      <c r="R1926" s="37"/>
      <c r="S1926" s="37"/>
      <c r="T1926" s="37"/>
      <c r="U1926" s="37"/>
      <c r="V1926" s="37"/>
      <c r="W1926" s="37"/>
      <c r="X1926" s="37"/>
      <c r="Y1926" s="37"/>
      <c r="Z1926" s="37"/>
      <c r="AA1926" s="37"/>
      <c r="AB1926" s="37"/>
      <c r="AC1926" s="37"/>
      <c r="AD1926" s="37"/>
      <c r="AE1926" s="37"/>
      <c r="AF1926" s="37"/>
      <c r="AG1926" s="37"/>
      <c r="AH1926" s="37"/>
      <c r="AI1926" s="37"/>
      <c r="AJ1926" s="37"/>
      <c r="AK1926" s="37"/>
      <c r="AL1926" s="37"/>
      <c r="AM1926" s="37"/>
      <c r="AN1926" s="37"/>
      <c r="AO1926" s="37"/>
      <c r="AP1926" s="37"/>
      <c r="AQ1926" s="37"/>
      <c r="AR1926" s="37"/>
      <c r="AS1926" s="37"/>
      <c r="AT1926" s="37"/>
      <c r="AU1926" s="37"/>
      <c r="AV1926" s="37"/>
      <c r="AW1926" s="37"/>
      <c r="AX1926" s="37"/>
      <c r="AY1926" s="37"/>
      <c r="AZ1926" s="37"/>
      <c r="BA1926" s="37"/>
      <c r="BB1926" s="37"/>
      <c r="BC1926" s="37"/>
      <c r="BD1926" s="37"/>
      <c r="BE1926" s="37"/>
      <c r="BF1926" s="37"/>
      <c r="BG1926" s="37"/>
      <c r="BH1926" s="37"/>
      <c r="BI1926" s="37"/>
      <c r="BJ1926" s="37"/>
      <c r="BK1926" s="37"/>
      <c r="BL1926" s="37"/>
      <c r="BM1926" s="37"/>
    </row>
    <row r="1927" spans="1:65" s="40" customFormat="1" ht="23.25" x14ac:dyDescent="0.35">
      <c r="A1927" s="37"/>
      <c r="B1927" s="37"/>
      <c r="C1927" s="41"/>
      <c r="D1927" s="38"/>
      <c r="E1927" s="57"/>
      <c r="F1927" s="42"/>
      <c r="G1927" s="43"/>
      <c r="H1927" s="37"/>
      <c r="I1927" s="37"/>
      <c r="J1927" s="38"/>
      <c r="K1927" s="37"/>
      <c r="L1927" s="38"/>
      <c r="M1927" s="39"/>
      <c r="P1927" s="37"/>
      <c r="Q1927" s="37"/>
      <c r="R1927" s="37"/>
      <c r="S1927" s="37"/>
      <c r="T1927" s="37"/>
      <c r="U1927" s="37"/>
      <c r="V1927" s="37"/>
      <c r="W1927" s="37"/>
      <c r="X1927" s="37"/>
      <c r="Y1927" s="37"/>
      <c r="Z1927" s="37"/>
      <c r="AA1927" s="37"/>
      <c r="AB1927" s="37"/>
      <c r="AC1927" s="37"/>
      <c r="AD1927" s="37"/>
      <c r="AE1927" s="37"/>
      <c r="AF1927" s="37"/>
      <c r="AG1927" s="37"/>
      <c r="AH1927" s="37"/>
      <c r="AI1927" s="37"/>
      <c r="AJ1927" s="37"/>
      <c r="AK1927" s="37"/>
      <c r="AL1927" s="37"/>
      <c r="AM1927" s="37"/>
      <c r="AN1927" s="37"/>
      <c r="AO1927" s="37"/>
      <c r="AP1927" s="37"/>
      <c r="AQ1927" s="37"/>
      <c r="AR1927" s="37"/>
      <c r="AS1927" s="37"/>
      <c r="AT1927" s="37"/>
      <c r="AU1927" s="37"/>
      <c r="AV1927" s="37"/>
      <c r="AW1927" s="37"/>
      <c r="AX1927" s="37"/>
      <c r="AY1927" s="37"/>
      <c r="AZ1927" s="37"/>
      <c r="BA1927" s="37"/>
      <c r="BB1927" s="37"/>
      <c r="BC1927" s="37"/>
      <c r="BD1927" s="37"/>
      <c r="BE1927" s="37"/>
      <c r="BF1927" s="37"/>
      <c r="BG1927" s="37"/>
      <c r="BH1927" s="37"/>
      <c r="BI1927" s="37"/>
      <c r="BJ1927" s="37"/>
      <c r="BK1927" s="37"/>
      <c r="BL1927" s="37"/>
      <c r="BM1927" s="37"/>
    </row>
    <row r="1928" spans="1:65" s="40" customFormat="1" ht="23.25" x14ac:dyDescent="0.35">
      <c r="A1928" s="37"/>
      <c r="B1928" s="37"/>
      <c r="C1928" s="41"/>
      <c r="D1928" s="38"/>
      <c r="E1928" s="57"/>
      <c r="F1928" s="42"/>
      <c r="G1928" s="43"/>
      <c r="H1928" s="37"/>
      <c r="I1928" s="37"/>
      <c r="J1928" s="38"/>
      <c r="K1928" s="37"/>
      <c r="L1928" s="38"/>
      <c r="M1928" s="39"/>
      <c r="P1928" s="37"/>
      <c r="Q1928" s="37"/>
      <c r="R1928" s="37"/>
      <c r="S1928" s="37"/>
      <c r="T1928" s="37"/>
      <c r="U1928" s="37"/>
      <c r="V1928" s="37"/>
      <c r="W1928" s="37"/>
      <c r="X1928" s="37"/>
      <c r="Y1928" s="37"/>
      <c r="Z1928" s="37"/>
      <c r="AA1928" s="37"/>
      <c r="AB1928" s="37"/>
      <c r="AC1928" s="37"/>
      <c r="AD1928" s="37"/>
      <c r="AE1928" s="37"/>
      <c r="AF1928" s="37"/>
      <c r="AG1928" s="37"/>
      <c r="AH1928" s="37"/>
      <c r="AI1928" s="37"/>
      <c r="AJ1928" s="37"/>
      <c r="AK1928" s="37"/>
      <c r="AL1928" s="37"/>
      <c r="AM1928" s="37"/>
      <c r="AN1928" s="37"/>
      <c r="AO1928" s="37"/>
      <c r="AP1928" s="37"/>
      <c r="AQ1928" s="37"/>
      <c r="AR1928" s="37"/>
      <c r="AS1928" s="37"/>
      <c r="AT1928" s="37"/>
      <c r="AU1928" s="37"/>
      <c r="AV1928" s="37"/>
      <c r="AW1928" s="37"/>
      <c r="AX1928" s="37"/>
      <c r="AY1928" s="37"/>
      <c r="AZ1928" s="37"/>
      <c r="BA1928" s="37"/>
      <c r="BB1928" s="37"/>
      <c r="BC1928" s="37"/>
      <c r="BD1928" s="37"/>
      <c r="BE1928" s="37"/>
      <c r="BF1928" s="37"/>
      <c r="BG1928" s="37"/>
      <c r="BH1928" s="37"/>
      <c r="BI1928" s="37"/>
      <c r="BJ1928" s="37"/>
      <c r="BK1928" s="37"/>
      <c r="BL1928" s="37"/>
      <c r="BM1928" s="37"/>
    </row>
    <row r="1929" spans="1:65" s="40" customFormat="1" ht="23.25" x14ac:dyDescent="0.35">
      <c r="A1929" s="37"/>
      <c r="B1929" s="37"/>
      <c r="C1929" s="41"/>
      <c r="D1929" s="38"/>
      <c r="E1929" s="57"/>
      <c r="F1929" s="42"/>
      <c r="G1929" s="43"/>
      <c r="H1929" s="37"/>
      <c r="I1929" s="37"/>
      <c r="J1929" s="38"/>
      <c r="K1929" s="37"/>
      <c r="L1929" s="38"/>
      <c r="M1929" s="39"/>
      <c r="P1929" s="37"/>
      <c r="Q1929" s="37"/>
      <c r="R1929" s="37"/>
      <c r="S1929" s="37"/>
      <c r="T1929" s="37"/>
      <c r="U1929" s="37"/>
      <c r="V1929" s="37"/>
      <c r="W1929" s="37"/>
      <c r="X1929" s="37"/>
      <c r="Y1929" s="37"/>
      <c r="Z1929" s="37"/>
      <c r="AA1929" s="37"/>
      <c r="AB1929" s="37"/>
      <c r="AC1929" s="37"/>
      <c r="AD1929" s="37"/>
      <c r="AE1929" s="37"/>
      <c r="AF1929" s="37"/>
      <c r="AG1929" s="37"/>
      <c r="AH1929" s="37"/>
      <c r="AI1929" s="37"/>
      <c r="AJ1929" s="37"/>
      <c r="AK1929" s="37"/>
      <c r="AL1929" s="37"/>
      <c r="AM1929" s="37"/>
      <c r="AN1929" s="37"/>
      <c r="AO1929" s="37"/>
      <c r="AP1929" s="37"/>
      <c r="AQ1929" s="37"/>
      <c r="AR1929" s="37"/>
      <c r="AS1929" s="37"/>
      <c r="AT1929" s="37"/>
      <c r="AU1929" s="37"/>
      <c r="AV1929" s="37"/>
      <c r="AW1929" s="37"/>
      <c r="AX1929" s="37"/>
      <c r="AY1929" s="37"/>
      <c r="AZ1929" s="37"/>
      <c r="BA1929" s="37"/>
      <c r="BB1929" s="37"/>
      <c r="BC1929" s="37"/>
      <c r="BD1929" s="37"/>
      <c r="BE1929" s="37"/>
      <c r="BF1929" s="37"/>
      <c r="BG1929" s="37"/>
      <c r="BH1929" s="37"/>
      <c r="BI1929" s="37"/>
      <c r="BJ1929" s="37"/>
      <c r="BK1929" s="37"/>
      <c r="BL1929" s="37"/>
      <c r="BM1929" s="37"/>
    </row>
    <row r="1930" spans="1:65" s="40" customFormat="1" ht="23.25" x14ac:dyDescent="0.35">
      <c r="A1930" s="37"/>
      <c r="B1930" s="37"/>
      <c r="C1930" s="41"/>
      <c r="D1930" s="38"/>
      <c r="E1930" s="57"/>
      <c r="F1930" s="42"/>
      <c r="G1930" s="43"/>
      <c r="H1930" s="37"/>
      <c r="I1930" s="37"/>
      <c r="J1930" s="38"/>
      <c r="K1930" s="37"/>
      <c r="L1930" s="38"/>
      <c r="M1930" s="39"/>
      <c r="P1930" s="37"/>
      <c r="Q1930" s="37"/>
      <c r="R1930" s="37"/>
      <c r="S1930" s="37"/>
      <c r="T1930" s="37"/>
      <c r="U1930" s="37"/>
      <c r="V1930" s="37"/>
      <c r="W1930" s="37"/>
      <c r="X1930" s="37"/>
      <c r="Y1930" s="37"/>
      <c r="Z1930" s="37"/>
      <c r="AA1930" s="37"/>
      <c r="AB1930" s="37"/>
      <c r="AC1930" s="37"/>
      <c r="AD1930" s="37"/>
      <c r="AE1930" s="37"/>
      <c r="AF1930" s="37"/>
      <c r="AG1930" s="37"/>
      <c r="AH1930" s="37"/>
      <c r="AI1930" s="37"/>
      <c r="AJ1930" s="37"/>
      <c r="AK1930" s="37"/>
      <c r="AL1930" s="37"/>
      <c r="AM1930" s="37"/>
      <c r="AN1930" s="37"/>
      <c r="AO1930" s="37"/>
      <c r="AP1930" s="37"/>
      <c r="AQ1930" s="37"/>
      <c r="AR1930" s="37"/>
      <c r="AS1930" s="37"/>
      <c r="AT1930" s="37"/>
      <c r="AU1930" s="37"/>
      <c r="AV1930" s="37"/>
      <c r="AW1930" s="37"/>
      <c r="AX1930" s="37"/>
      <c r="AY1930" s="37"/>
      <c r="AZ1930" s="37"/>
      <c r="BA1930" s="37"/>
      <c r="BB1930" s="37"/>
      <c r="BC1930" s="37"/>
      <c r="BD1930" s="37"/>
      <c r="BE1930" s="37"/>
      <c r="BF1930" s="37"/>
      <c r="BG1930" s="37"/>
      <c r="BH1930" s="37"/>
      <c r="BI1930" s="37"/>
      <c r="BJ1930" s="37"/>
      <c r="BK1930" s="37"/>
      <c r="BL1930" s="37"/>
      <c r="BM1930" s="37"/>
    </row>
    <row r="1931" spans="1:65" s="40" customFormat="1" ht="23.25" x14ac:dyDescent="0.35">
      <c r="A1931" s="37"/>
      <c r="B1931" s="37"/>
      <c r="C1931" s="41"/>
      <c r="D1931" s="38"/>
      <c r="E1931" s="57"/>
      <c r="F1931" s="42"/>
      <c r="G1931" s="43"/>
      <c r="H1931" s="37"/>
      <c r="I1931" s="37"/>
      <c r="J1931" s="38"/>
      <c r="K1931" s="37"/>
      <c r="L1931" s="38"/>
      <c r="M1931" s="39"/>
      <c r="P1931" s="37"/>
      <c r="Q1931" s="37"/>
      <c r="R1931" s="37"/>
      <c r="S1931" s="37"/>
      <c r="T1931" s="37"/>
      <c r="U1931" s="37"/>
      <c r="V1931" s="37"/>
      <c r="W1931" s="37"/>
      <c r="X1931" s="37"/>
      <c r="Y1931" s="37"/>
      <c r="Z1931" s="37"/>
      <c r="AA1931" s="37"/>
      <c r="AB1931" s="37"/>
      <c r="AC1931" s="37"/>
      <c r="AD1931" s="37"/>
      <c r="AE1931" s="37"/>
      <c r="AF1931" s="37"/>
      <c r="AG1931" s="37"/>
      <c r="AH1931" s="37"/>
      <c r="AI1931" s="37"/>
      <c r="AJ1931" s="37"/>
      <c r="AK1931" s="37"/>
      <c r="AL1931" s="37"/>
      <c r="AM1931" s="37"/>
      <c r="AN1931" s="37"/>
      <c r="AO1931" s="37"/>
      <c r="AP1931" s="37"/>
      <c r="AQ1931" s="37"/>
      <c r="AR1931" s="37"/>
      <c r="AS1931" s="37"/>
      <c r="AT1931" s="37"/>
      <c r="AU1931" s="37"/>
      <c r="AV1931" s="37"/>
      <c r="AW1931" s="37"/>
      <c r="AX1931" s="37"/>
      <c r="AY1931" s="37"/>
      <c r="AZ1931" s="37"/>
      <c r="BA1931" s="37"/>
      <c r="BB1931" s="37"/>
      <c r="BC1931" s="37"/>
      <c r="BD1931" s="37"/>
      <c r="BE1931" s="37"/>
      <c r="BF1931" s="37"/>
      <c r="BG1931" s="37"/>
      <c r="BH1931" s="37"/>
      <c r="BI1931" s="37"/>
      <c r="BJ1931" s="37"/>
      <c r="BK1931" s="37"/>
      <c r="BL1931" s="37"/>
      <c r="BM1931" s="37"/>
    </row>
    <row r="1932" spans="1:65" s="40" customFormat="1" ht="23.25" x14ac:dyDescent="0.35">
      <c r="A1932" s="37"/>
      <c r="B1932" s="37"/>
      <c r="C1932" s="41"/>
      <c r="D1932" s="38"/>
      <c r="E1932" s="57"/>
      <c r="F1932" s="42"/>
      <c r="G1932" s="43"/>
      <c r="H1932" s="37"/>
      <c r="I1932" s="37"/>
      <c r="J1932" s="38"/>
      <c r="K1932" s="37"/>
      <c r="L1932" s="38"/>
      <c r="M1932" s="39"/>
      <c r="P1932" s="37"/>
      <c r="Q1932" s="37"/>
      <c r="R1932" s="37"/>
      <c r="S1932" s="37"/>
      <c r="T1932" s="37"/>
      <c r="U1932" s="37"/>
      <c r="V1932" s="37"/>
      <c r="W1932" s="37"/>
      <c r="X1932" s="37"/>
      <c r="Y1932" s="37"/>
      <c r="Z1932" s="37"/>
      <c r="AA1932" s="37"/>
      <c r="AB1932" s="37"/>
      <c r="AC1932" s="37"/>
      <c r="AD1932" s="37"/>
      <c r="AE1932" s="37"/>
      <c r="AF1932" s="37"/>
      <c r="AG1932" s="37"/>
      <c r="AH1932" s="37"/>
      <c r="AI1932" s="37"/>
      <c r="AJ1932" s="37"/>
      <c r="AK1932" s="37"/>
      <c r="AL1932" s="37"/>
      <c r="AM1932" s="37"/>
      <c r="AN1932" s="37"/>
      <c r="AO1932" s="37"/>
      <c r="AP1932" s="37"/>
      <c r="AQ1932" s="37"/>
      <c r="AR1932" s="37"/>
      <c r="AS1932" s="37"/>
      <c r="AT1932" s="37"/>
      <c r="AU1932" s="37"/>
      <c r="AV1932" s="37"/>
      <c r="AW1932" s="37"/>
      <c r="AX1932" s="37"/>
      <c r="AY1932" s="37"/>
      <c r="AZ1932" s="37"/>
      <c r="BA1932" s="37"/>
      <c r="BB1932" s="37"/>
      <c r="BC1932" s="37"/>
      <c r="BD1932" s="37"/>
      <c r="BE1932" s="37"/>
      <c r="BF1932" s="37"/>
      <c r="BG1932" s="37"/>
      <c r="BH1932" s="37"/>
      <c r="BI1932" s="37"/>
      <c r="BJ1932" s="37"/>
      <c r="BK1932" s="37"/>
      <c r="BL1932" s="37"/>
      <c r="BM1932" s="37"/>
    </row>
    <row r="1933" spans="1:65" s="40" customFormat="1" ht="23.25" x14ac:dyDescent="0.35">
      <c r="A1933" s="37"/>
      <c r="B1933" s="37"/>
      <c r="C1933" s="41"/>
      <c r="D1933" s="38"/>
      <c r="E1933" s="57"/>
      <c r="F1933" s="42"/>
      <c r="G1933" s="43"/>
      <c r="H1933" s="37"/>
      <c r="I1933" s="37"/>
      <c r="J1933" s="38"/>
      <c r="K1933" s="37"/>
      <c r="L1933" s="38"/>
      <c r="M1933" s="39"/>
      <c r="P1933" s="37"/>
      <c r="Q1933" s="37"/>
      <c r="R1933" s="37"/>
      <c r="S1933" s="37"/>
      <c r="T1933" s="37"/>
      <c r="U1933" s="37"/>
      <c r="V1933" s="37"/>
      <c r="W1933" s="37"/>
      <c r="X1933" s="37"/>
      <c r="Y1933" s="37"/>
      <c r="Z1933" s="37"/>
      <c r="AA1933" s="37"/>
      <c r="AB1933" s="37"/>
      <c r="AC1933" s="37"/>
      <c r="AD1933" s="37"/>
      <c r="AE1933" s="37"/>
      <c r="AF1933" s="37"/>
      <c r="AG1933" s="37"/>
      <c r="AH1933" s="37"/>
      <c r="AI1933" s="37"/>
      <c r="AJ1933" s="37"/>
      <c r="AK1933" s="37"/>
      <c r="AL1933" s="37"/>
      <c r="AM1933" s="37"/>
      <c r="AN1933" s="37"/>
      <c r="AO1933" s="37"/>
      <c r="AP1933" s="37"/>
      <c r="AQ1933" s="37"/>
      <c r="AR1933" s="37"/>
      <c r="AS1933" s="37"/>
      <c r="AT1933" s="37"/>
      <c r="AU1933" s="37"/>
      <c r="AV1933" s="37"/>
      <c r="AW1933" s="37"/>
      <c r="AX1933" s="37"/>
      <c r="AY1933" s="37"/>
      <c r="AZ1933" s="37"/>
      <c r="BA1933" s="37"/>
      <c r="BB1933" s="37"/>
      <c r="BC1933" s="37"/>
      <c r="BD1933" s="37"/>
      <c r="BE1933" s="37"/>
      <c r="BF1933" s="37"/>
      <c r="BG1933" s="37"/>
      <c r="BH1933" s="37"/>
      <c r="BI1933" s="37"/>
      <c r="BJ1933" s="37"/>
      <c r="BK1933" s="37"/>
      <c r="BL1933" s="37"/>
      <c r="BM1933" s="37"/>
    </row>
    <row r="1934" spans="1:65" s="40" customFormat="1" ht="23.25" x14ac:dyDescent="0.35">
      <c r="A1934" s="37"/>
      <c r="B1934" s="37"/>
      <c r="C1934" s="41"/>
      <c r="D1934" s="38"/>
      <c r="E1934" s="57"/>
      <c r="F1934" s="42"/>
      <c r="G1934" s="43"/>
      <c r="H1934" s="37"/>
      <c r="I1934" s="37"/>
      <c r="J1934" s="38"/>
      <c r="K1934" s="37"/>
      <c r="L1934" s="38"/>
      <c r="M1934" s="39"/>
      <c r="P1934" s="37"/>
      <c r="Q1934" s="37"/>
      <c r="R1934" s="37"/>
      <c r="S1934" s="37"/>
      <c r="T1934" s="37"/>
      <c r="U1934" s="37"/>
      <c r="V1934" s="37"/>
      <c r="W1934" s="37"/>
      <c r="X1934" s="37"/>
      <c r="Y1934" s="37"/>
      <c r="Z1934" s="37"/>
      <c r="AA1934" s="37"/>
      <c r="AB1934" s="37"/>
      <c r="AC1934" s="37"/>
      <c r="AD1934" s="37"/>
      <c r="AE1934" s="37"/>
      <c r="AF1934" s="37"/>
      <c r="AG1934" s="37"/>
      <c r="AH1934" s="37"/>
      <c r="AI1934" s="37"/>
      <c r="AJ1934" s="37"/>
      <c r="AK1934" s="37"/>
      <c r="AL1934" s="37"/>
      <c r="AM1934" s="37"/>
      <c r="AN1934" s="37"/>
      <c r="AO1934" s="37"/>
      <c r="AP1934" s="37"/>
      <c r="AQ1934" s="37"/>
      <c r="AR1934" s="37"/>
      <c r="AS1934" s="37"/>
      <c r="AT1934" s="37"/>
      <c r="AU1934" s="37"/>
      <c r="AV1934" s="37"/>
      <c r="AW1934" s="37"/>
      <c r="AX1934" s="37"/>
      <c r="AY1934" s="37"/>
      <c r="AZ1934" s="37"/>
      <c r="BA1934" s="37"/>
      <c r="BB1934" s="37"/>
      <c r="BC1934" s="37"/>
      <c r="BD1934" s="37"/>
      <c r="BE1934" s="37"/>
      <c r="BF1934" s="37"/>
      <c r="BG1934" s="37"/>
      <c r="BH1934" s="37"/>
      <c r="BI1934" s="37"/>
      <c r="BJ1934" s="37"/>
      <c r="BK1934" s="37"/>
      <c r="BL1934" s="37"/>
      <c r="BM1934" s="37"/>
    </row>
    <row r="1935" spans="1:65" s="40" customFormat="1" ht="23.25" x14ac:dyDescent="0.35">
      <c r="A1935" s="37"/>
      <c r="B1935" s="37"/>
      <c r="C1935" s="41"/>
      <c r="D1935" s="38"/>
      <c r="E1935" s="57"/>
      <c r="F1935" s="42"/>
      <c r="G1935" s="43"/>
      <c r="H1935" s="37"/>
      <c r="I1935" s="37"/>
      <c r="J1935" s="38"/>
      <c r="K1935" s="37"/>
      <c r="L1935" s="38"/>
      <c r="M1935" s="39"/>
      <c r="P1935" s="37"/>
      <c r="Q1935" s="37"/>
      <c r="R1935" s="37"/>
      <c r="S1935" s="37"/>
      <c r="T1935" s="37"/>
      <c r="U1935" s="37"/>
      <c r="V1935" s="37"/>
      <c r="W1935" s="37"/>
      <c r="X1935" s="37"/>
      <c r="Y1935" s="37"/>
      <c r="Z1935" s="37"/>
      <c r="AA1935" s="37"/>
      <c r="AB1935" s="37"/>
      <c r="AC1935" s="37"/>
      <c r="AD1935" s="37"/>
      <c r="AE1935" s="37"/>
      <c r="AF1935" s="37"/>
      <c r="AG1935" s="37"/>
      <c r="AH1935" s="37"/>
      <c r="AI1935" s="37"/>
      <c r="AJ1935" s="37"/>
      <c r="AK1935" s="37"/>
      <c r="AL1935" s="37"/>
      <c r="AM1935" s="37"/>
      <c r="AN1935" s="37"/>
      <c r="AO1935" s="37"/>
      <c r="AP1935" s="37"/>
      <c r="AQ1935" s="37"/>
      <c r="AR1935" s="37"/>
      <c r="AS1935" s="37"/>
      <c r="AT1935" s="37"/>
      <c r="AU1935" s="37"/>
      <c r="AV1935" s="37"/>
      <c r="AW1935" s="37"/>
      <c r="AX1935" s="37"/>
      <c r="AY1935" s="37"/>
      <c r="AZ1935" s="37"/>
      <c r="BA1935" s="37"/>
      <c r="BB1935" s="37"/>
      <c r="BC1935" s="37"/>
      <c r="BD1935" s="37"/>
      <c r="BE1935" s="37"/>
      <c r="BF1935" s="37"/>
      <c r="BG1935" s="37"/>
      <c r="BH1935" s="37"/>
      <c r="BI1935" s="37"/>
      <c r="BJ1935" s="37"/>
      <c r="BK1935" s="37"/>
      <c r="BL1935" s="37"/>
      <c r="BM1935" s="37"/>
    </row>
    <row r="1936" spans="1:65" s="40" customFormat="1" ht="23.25" x14ac:dyDescent="0.35">
      <c r="A1936" s="37"/>
      <c r="B1936" s="37"/>
      <c r="C1936" s="41"/>
      <c r="D1936" s="38"/>
      <c r="E1936" s="57"/>
      <c r="F1936" s="42"/>
      <c r="G1936" s="43"/>
      <c r="H1936" s="37"/>
      <c r="I1936" s="37"/>
      <c r="J1936" s="38"/>
      <c r="K1936" s="37"/>
      <c r="L1936" s="38"/>
      <c r="M1936" s="39"/>
      <c r="P1936" s="37"/>
      <c r="Q1936" s="37"/>
      <c r="R1936" s="37"/>
      <c r="S1936" s="37"/>
      <c r="T1936" s="37"/>
      <c r="U1936" s="37"/>
      <c r="V1936" s="37"/>
      <c r="W1936" s="37"/>
      <c r="X1936" s="37"/>
      <c r="Y1936" s="37"/>
      <c r="Z1936" s="37"/>
      <c r="AA1936" s="37"/>
      <c r="AB1936" s="37"/>
      <c r="AC1936" s="37"/>
      <c r="AD1936" s="37"/>
      <c r="AE1936" s="37"/>
      <c r="AF1936" s="37"/>
      <c r="AG1936" s="37"/>
      <c r="AH1936" s="37"/>
      <c r="AI1936" s="37"/>
      <c r="AJ1936" s="37"/>
      <c r="AK1936" s="37"/>
      <c r="AL1936" s="37"/>
      <c r="AM1936" s="37"/>
      <c r="AN1936" s="37"/>
      <c r="AO1936" s="37"/>
      <c r="AP1936" s="37"/>
      <c r="AQ1936" s="37"/>
      <c r="AR1936" s="37"/>
      <c r="AS1936" s="37"/>
      <c r="AT1936" s="37"/>
      <c r="AU1936" s="37"/>
      <c r="AV1936" s="37"/>
      <c r="AW1936" s="37"/>
      <c r="AX1936" s="37"/>
      <c r="AY1936" s="37"/>
      <c r="AZ1936" s="37"/>
      <c r="BA1936" s="37"/>
      <c r="BB1936" s="37"/>
      <c r="BC1936" s="37"/>
      <c r="BD1936" s="37"/>
      <c r="BE1936" s="37"/>
      <c r="BF1936" s="37"/>
      <c r="BG1936" s="37"/>
      <c r="BH1936" s="37"/>
      <c r="BI1936" s="37"/>
      <c r="BJ1936" s="37"/>
      <c r="BK1936" s="37"/>
      <c r="BL1936" s="37"/>
      <c r="BM1936" s="37"/>
    </row>
    <row r="1937" spans="1:65" s="40" customFormat="1" ht="23.25" x14ac:dyDescent="0.35">
      <c r="A1937" s="37"/>
      <c r="B1937" s="37"/>
      <c r="C1937" s="41"/>
      <c r="D1937" s="38"/>
      <c r="E1937" s="57"/>
      <c r="F1937" s="42"/>
      <c r="G1937" s="43"/>
      <c r="H1937" s="37"/>
      <c r="I1937" s="37"/>
      <c r="J1937" s="38"/>
      <c r="K1937" s="37"/>
      <c r="L1937" s="38"/>
      <c r="M1937" s="39"/>
      <c r="P1937" s="37"/>
      <c r="Q1937" s="37"/>
      <c r="R1937" s="37"/>
      <c r="S1937" s="37"/>
      <c r="T1937" s="37"/>
      <c r="U1937" s="37"/>
      <c r="V1937" s="37"/>
      <c r="W1937" s="37"/>
      <c r="X1937" s="37"/>
      <c r="Y1937" s="37"/>
      <c r="Z1937" s="37"/>
      <c r="AA1937" s="37"/>
      <c r="AB1937" s="37"/>
      <c r="AC1937" s="37"/>
      <c r="AD1937" s="37"/>
      <c r="AE1937" s="37"/>
      <c r="AF1937" s="37"/>
      <c r="AG1937" s="37"/>
      <c r="AH1937" s="37"/>
      <c r="AI1937" s="37"/>
      <c r="AJ1937" s="37"/>
      <c r="AK1937" s="37"/>
      <c r="AL1937" s="37"/>
      <c r="AM1937" s="37"/>
      <c r="AN1937" s="37"/>
      <c r="AO1937" s="37"/>
      <c r="AP1937" s="37"/>
      <c r="AQ1937" s="37"/>
      <c r="AR1937" s="37"/>
      <c r="AS1937" s="37"/>
      <c r="AT1937" s="37"/>
      <c r="AU1937" s="37"/>
      <c r="AV1937" s="37"/>
      <c r="AW1937" s="37"/>
      <c r="AX1937" s="37"/>
      <c r="AY1937" s="37"/>
      <c r="AZ1937" s="37"/>
      <c r="BA1937" s="37"/>
      <c r="BB1937" s="37"/>
      <c r="BC1937" s="37"/>
      <c r="BD1937" s="37"/>
      <c r="BE1937" s="37"/>
      <c r="BF1937" s="37"/>
      <c r="BG1937" s="37"/>
      <c r="BH1937" s="37"/>
      <c r="BI1937" s="37"/>
      <c r="BJ1937" s="37"/>
      <c r="BK1937" s="37"/>
      <c r="BL1937" s="37"/>
      <c r="BM1937" s="37"/>
    </row>
    <row r="1938" spans="1:65" s="40" customFormat="1" ht="23.25" x14ac:dyDescent="0.35">
      <c r="A1938" s="37"/>
      <c r="B1938" s="37"/>
      <c r="C1938" s="41"/>
      <c r="D1938" s="38"/>
      <c r="E1938" s="57"/>
      <c r="F1938" s="42"/>
      <c r="G1938" s="43"/>
      <c r="H1938" s="37"/>
      <c r="I1938" s="37"/>
      <c r="J1938" s="38"/>
      <c r="K1938" s="37"/>
      <c r="L1938" s="38"/>
      <c r="M1938" s="39"/>
      <c r="P1938" s="37"/>
      <c r="Q1938" s="37"/>
      <c r="R1938" s="37"/>
      <c r="S1938" s="37"/>
      <c r="T1938" s="37"/>
      <c r="U1938" s="37"/>
      <c r="V1938" s="37"/>
      <c r="W1938" s="37"/>
      <c r="X1938" s="37"/>
      <c r="Y1938" s="37"/>
      <c r="Z1938" s="37"/>
      <c r="AA1938" s="37"/>
      <c r="AB1938" s="37"/>
      <c r="AC1938" s="37"/>
      <c r="AD1938" s="37"/>
      <c r="AE1938" s="37"/>
      <c r="AF1938" s="37"/>
      <c r="AG1938" s="37"/>
      <c r="AH1938" s="37"/>
      <c r="AI1938" s="37"/>
      <c r="AJ1938" s="37"/>
      <c r="AK1938" s="37"/>
      <c r="AL1938" s="37"/>
      <c r="AM1938" s="37"/>
      <c r="AN1938" s="37"/>
      <c r="AO1938" s="37"/>
      <c r="AP1938" s="37"/>
      <c r="AQ1938" s="37"/>
      <c r="AR1938" s="37"/>
      <c r="AS1938" s="37"/>
      <c r="AT1938" s="37"/>
      <c r="AU1938" s="37"/>
      <c r="AV1938" s="37"/>
      <c r="AW1938" s="37"/>
      <c r="AX1938" s="37"/>
      <c r="AY1938" s="37"/>
      <c r="AZ1938" s="37"/>
      <c r="BA1938" s="37"/>
      <c r="BB1938" s="37"/>
      <c r="BC1938" s="37"/>
      <c r="BD1938" s="37"/>
      <c r="BE1938" s="37"/>
      <c r="BF1938" s="37"/>
      <c r="BG1938" s="37"/>
      <c r="BH1938" s="37"/>
      <c r="BI1938" s="37"/>
      <c r="BJ1938" s="37"/>
      <c r="BK1938" s="37"/>
      <c r="BL1938" s="37"/>
      <c r="BM1938" s="37"/>
    </row>
    <row r="1939" spans="1:65" s="40" customFormat="1" ht="23.25" x14ac:dyDescent="0.35">
      <c r="A1939" s="37"/>
      <c r="B1939" s="37"/>
      <c r="C1939" s="41"/>
      <c r="D1939" s="38"/>
      <c r="E1939" s="57"/>
      <c r="F1939" s="42"/>
      <c r="G1939" s="43"/>
      <c r="H1939" s="37"/>
      <c r="I1939" s="37"/>
      <c r="J1939" s="38"/>
      <c r="K1939" s="37"/>
      <c r="L1939" s="38"/>
      <c r="M1939" s="39"/>
      <c r="P1939" s="37"/>
      <c r="Q1939" s="37"/>
      <c r="R1939" s="37"/>
      <c r="S1939" s="37"/>
      <c r="T1939" s="37"/>
      <c r="U1939" s="37"/>
      <c r="V1939" s="37"/>
      <c r="W1939" s="37"/>
      <c r="X1939" s="37"/>
      <c r="Y1939" s="37"/>
      <c r="Z1939" s="37"/>
      <c r="AA1939" s="37"/>
      <c r="AB1939" s="37"/>
      <c r="AC1939" s="37"/>
      <c r="AD1939" s="37"/>
      <c r="AE1939" s="37"/>
      <c r="AF1939" s="37"/>
      <c r="AG1939" s="37"/>
      <c r="AH1939" s="37"/>
      <c r="AI1939" s="37"/>
      <c r="AJ1939" s="37"/>
      <c r="AK1939" s="37"/>
      <c r="AL1939" s="37"/>
      <c r="AM1939" s="37"/>
      <c r="AN1939" s="37"/>
      <c r="AO1939" s="37"/>
      <c r="AP1939" s="37"/>
      <c r="AQ1939" s="37"/>
      <c r="AR1939" s="37"/>
      <c r="AS1939" s="37"/>
      <c r="AT1939" s="37"/>
      <c r="AU1939" s="37"/>
      <c r="AV1939" s="37"/>
      <c r="AW1939" s="37"/>
      <c r="AX1939" s="37"/>
      <c r="AY1939" s="37"/>
      <c r="AZ1939" s="37"/>
      <c r="BA1939" s="37"/>
      <c r="BB1939" s="37"/>
      <c r="BC1939" s="37"/>
      <c r="BD1939" s="37"/>
      <c r="BE1939" s="37"/>
      <c r="BF1939" s="37"/>
      <c r="BG1939" s="37"/>
      <c r="BH1939" s="37"/>
      <c r="BI1939" s="37"/>
      <c r="BJ1939" s="37"/>
      <c r="BK1939" s="37"/>
      <c r="BL1939" s="37"/>
      <c r="BM1939" s="37"/>
    </row>
    <row r="1940" spans="1:65" s="40" customFormat="1" ht="23.25" x14ac:dyDescent="0.35">
      <c r="A1940" s="37"/>
      <c r="B1940" s="37"/>
      <c r="C1940" s="41"/>
      <c r="D1940" s="38"/>
      <c r="E1940" s="57"/>
      <c r="F1940" s="42"/>
      <c r="G1940" s="43"/>
      <c r="H1940" s="37"/>
      <c r="I1940" s="37"/>
      <c r="J1940" s="38"/>
      <c r="K1940" s="37"/>
      <c r="L1940" s="38"/>
      <c r="M1940" s="39"/>
      <c r="P1940" s="37"/>
      <c r="Q1940" s="37"/>
      <c r="R1940" s="37"/>
      <c r="S1940" s="37"/>
      <c r="T1940" s="37"/>
      <c r="U1940" s="37"/>
      <c r="V1940" s="37"/>
      <c r="W1940" s="37"/>
      <c r="X1940" s="37"/>
      <c r="Y1940" s="37"/>
      <c r="Z1940" s="37"/>
      <c r="AA1940" s="37"/>
      <c r="AB1940" s="37"/>
      <c r="AC1940" s="37"/>
      <c r="AD1940" s="37"/>
      <c r="AE1940" s="37"/>
      <c r="AF1940" s="37"/>
      <c r="AG1940" s="37"/>
      <c r="AH1940" s="37"/>
      <c r="AI1940" s="37"/>
      <c r="AJ1940" s="37"/>
      <c r="AK1940" s="37"/>
      <c r="AL1940" s="37"/>
      <c r="AM1940" s="37"/>
      <c r="AN1940" s="37"/>
      <c r="AO1940" s="37"/>
      <c r="AP1940" s="37"/>
      <c r="AQ1940" s="37"/>
      <c r="AR1940" s="37"/>
      <c r="AS1940" s="37"/>
      <c r="AT1940" s="37"/>
      <c r="AU1940" s="37"/>
      <c r="AV1940" s="37"/>
      <c r="AW1940" s="37"/>
      <c r="AX1940" s="37"/>
      <c r="AY1940" s="37"/>
      <c r="AZ1940" s="37"/>
      <c r="BA1940" s="37"/>
      <c r="BB1940" s="37"/>
      <c r="BC1940" s="37"/>
      <c r="BD1940" s="37"/>
      <c r="BE1940" s="37"/>
      <c r="BF1940" s="37"/>
      <c r="BG1940" s="37"/>
      <c r="BH1940" s="37"/>
      <c r="BI1940" s="37"/>
      <c r="BJ1940" s="37"/>
      <c r="BK1940" s="37"/>
      <c r="BL1940" s="37"/>
      <c r="BM1940" s="37"/>
    </row>
    <row r="1941" spans="1:65" s="40" customFormat="1" ht="23.25" x14ac:dyDescent="0.35">
      <c r="A1941" s="37"/>
      <c r="B1941" s="37"/>
      <c r="C1941" s="41"/>
      <c r="D1941" s="38"/>
      <c r="E1941" s="57"/>
      <c r="F1941" s="42"/>
      <c r="G1941" s="43"/>
      <c r="H1941" s="37"/>
      <c r="I1941" s="37"/>
      <c r="J1941" s="38"/>
      <c r="K1941" s="37"/>
      <c r="L1941" s="38"/>
      <c r="M1941" s="39"/>
      <c r="P1941" s="37"/>
      <c r="Q1941" s="37"/>
      <c r="R1941" s="37"/>
      <c r="S1941" s="37"/>
      <c r="T1941" s="37"/>
      <c r="U1941" s="37"/>
      <c r="V1941" s="37"/>
      <c r="W1941" s="37"/>
      <c r="X1941" s="37"/>
      <c r="Y1941" s="37"/>
      <c r="Z1941" s="37"/>
      <c r="AA1941" s="37"/>
      <c r="AB1941" s="37"/>
      <c r="AC1941" s="37"/>
      <c r="AD1941" s="37"/>
      <c r="AE1941" s="37"/>
      <c r="AF1941" s="37"/>
      <c r="AG1941" s="37"/>
      <c r="AH1941" s="37"/>
      <c r="AI1941" s="37"/>
      <c r="AJ1941" s="37"/>
      <c r="AK1941" s="37"/>
      <c r="AL1941" s="37"/>
      <c r="AM1941" s="37"/>
      <c r="AN1941" s="37"/>
      <c r="AO1941" s="37"/>
      <c r="AP1941" s="37"/>
      <c r="AQ1941" s="37"/>
      <c r="AR1941" s="37"/>
      <c r="AS1941" s="37"/>
      <c r="AT1941" s="37"/>
      <c r="AU1941" s="37"/>
      <c r="AV1941" s="37"/>
      <c r="AW1941" s="37"/>
      <c r="AX1941" s="37"/>
      <c r="AY1941" s="37"/>
      <c r="AZ1941" s="37"/>
      <c r="BA1941" s="37"/>
      <c r="BB1941" s="37"/>
      <c r="BC1941" s="37"/>
      <c r="BD1941" s="37"/>
      <c r="BE1941" s="37"/>
      <c r="BF1941" s="37"/>
      <c r="BG1941" s="37"/>
      <c r="BH1941" s="37"/>
      <c r="BI1941" s="37"/>
      <c r="BJ1941" s="37"/>
      <c r="BK1941" s="37"/>
      <c r="BL1941" s="37"/>
      <c r="BM1941" s="37"/>
    </row>
    <row r="1942" spans="1:65" s="40" customFormat="1" ht="23.25" x14ac:dyDescent="0.35">
      <c r="A1942" s="37"/>
      <c r="B1942" s="37"/>
      <c r="C1942" s="41"/>
      <c r="D1942" s="38"/>
      <c r="E1942" s="57"/>
      <c r="F1942" s="42"/>
      <c r="G1942" s="43"/>
      <c r="H1942" s="37"/>
      <c r="I1942" s="37"/>
      <c r="J1942" s="38"/>
      <c r="K1942" s="37"/>
      <c r="L1942" s="38"/>
      <c r="M1942" s="39"/>
      <c r="P1942" s="37"/>
      <c r="Q1942" s="37"/>
      <c r="R1942" s="37"/>
      <c r="S1942" s="37"/>
      <c r="T1942" s="37"/>
      <c r="U1942" s="37"/>
      <c r="V1942" s="37"/>
      <c r="W1942" s="37"/>
      <c r="X1942" s="37"/>
      <c r="Y1942" s="37"/>
      <c r="Z1942" s="37"/>
      <c r="AA1942" s="37"/>
      <c r="AB1942" s="37"/>
      <c r="AC1942" s="37"/>
      <c r="AD1942" s="37"/>
      <c r="AE1942" s="37"/>
      <c r="AF1942" s="37"/>
      <c r="AG1942" s="37"/>
      <c r="AH1942" s="37"/>
      <c r="AI1942" s="37"/>
      <c r="AJ1942" s="37"/>
      <c r="AK1942" s="37"/>
      <c r="AL1942" s="37"/>
      <c r="AM1942" s="37"/>
      <c r="AN1942" s="37"/>
      <c r="AO1942" s="37"/>
      <c r="AP1942" s="37"/>
      <c r="AQ1942" s="37"/>
      <c r="AR1942" s="37"/>
      <c r="AS1942" s="37"/>
      <c r="AT1942" s="37"/>
      <c r="AU1942" s="37"/>
      <c r="AV1942" s="37"/>
      <c r="AW1942" s="37"/>
      <c r="AX1942" s="37"/>
      <c r="AY1942" s="37"/>
      <c r="AZ1942" s="37"/>
      <c r="BA1942" s="37"/>
      <c r="BB1942" s="37"/>
      <c r="BC1942" s="37"/>
      <c r="BD1942" s="37"/>
      <c r="BE1942" s="37"/>
      <c r="BF1942" s="37"/>
      <c r="BG1942" s="37"/>
      <c r="BH1942" s="37"/>
      <c r="BI1942" s="37"/>
      <c r="BJ1942" s="37"/>
      <c r="BK1942" s="37"/>
      <c r="BL1942" s="37"/>
      <c r="BM1942" s="37"/>
    </row>
    <row r="1943" spans="1:65" s="40" customFormat="1" ht="23.25" x14ac:dyDescent="0.35">
      <c r="A1943" s="37"/>
      <c r="B1943" s="37"/>
      <c r="C1943" s="41"/>
      <c r="D1943" s="38"/>
      <c r="E1943" s="57"/>
      <c r="F1943" s="42"/>
      <c r="G1943" s="43"/>
      <c r="H1943" s="37"/>
      <c r="I1943" s="37"/>
      <c r="J1943" s="38"/>
      <c r="K1943" s="37"/>
      <c r="L1943" s="38"/>
      <c r="M1943" s="39"/>
      <c r="P1943" s="37"/>
      <c r="Q1943" s="37"/>
      <c r="R1943" s="37"/>
      <c r="S1943" s="37"/>
      <c r="T1943" s="37"/>
      <c r="U1943" s="37"/>
      <c r="V1943" s="37"/>
      <c r="W1943" s="37"/>
      <c r="X1943" s="37"/>
      <c r="Y1943" s="37"/>
      <c r="Z1943" s="37"/>
      <c r="AA1943" s="37"/>
      <c r="AB1943" s="37"/>
      <c r="AC1943" s="37"/>
      <c r="AD1943" s="37"/>
      <c r="AE1943" s="37"/>
      <c r="AF1943" s="37"/>
      <c r="AG1943" s="37"/>
      <c r="AH1943" s="37"/>
      <c r="AI1943" s="37"/>
      <c r="AJ1943" s="37"/>
      <c r="AK1943" s="37"/>
      <c r="AL1943" s="37"/>
      <c r="AM1943" s="37"/>
      <c r="AN1943" s="37"/>
      <c r="AO1943" s="37"/>
      <c r="AP1943" s="37"/>
      <c r="AQ1943" s="37"/>
      <c r="AR1943" s="37"/>
      <c r="AS1943" s="37"/>
      <c r="AT1943" s="37"/>
      <c r="AU1943" s="37"/>
      <c r="AV1943" s="37"/>
      <c r="AW1943" s="37"/>
      <c r="AX1943" s="37"/>
      <c r="AY1943" s="37"/>
      <c r="AZ1943" s="37"/>
      <c r="BA1943" s="37"/>
      <c r="BB1943" s="37"/>
      <c r="BC1943" s="37"/>
      <c r="BD1943" s="37"/>
      <c r="BE1943" s="37"/>
      <c r="BF1943" s="37"/>
      <c r="BG1943" s="37"/>
      <c r="BH1943" s="37"/>
      <c r="BI1943" s="37"/>
      <c r="BJ1943" s="37"/>
      <c r="BK1943" s="37"/>
      <c r="BL1943" s="37"/>
      <c r="BM1943" s="37"/>
    </row>
    <row r="1944" spans="1:65" s="40" customFormat="1" ht="23.25" x14ac:dyDescent="0.35">
      <c r="A1944" s="37"/>
      <c r="B1944" s="37"/>
      <c r="C1944" s="41"/>
      <c r="D1944" s="38"/>
      <c r="E1944" s="57"/>
      <c r="F1944" s="42"/>
      <c r="G1944" s="43"/>
      <c r="H1944" s="37"/>
      <c r="I1944" s="37"/>
      <c r="J1944" s="38"/>
      <c r="K1944" s="37"/>
      <c r="L1944" s="38"/>
      <c r="M1944" s="39"/>
      <c r="P1944" s="37"/>
      <c r="Q1944" s="37"/>
      <c r="R1944" s="37"/>
      <c r="S1944" s="37"/>
      <c r="T1944" s="37"/>
      <c r="U1944" s="37"/>
      <c r="V1944" s="37"/>
      <c r="W1944" s="37"/>
      <c r="X1944" s="37"/>
      <c r="Y1944" s="37"/>
      <c r="Z1944" s="37"/>
      <c r="AA1944" s="37"/>
      <c r="AB1944" s="37"/>
      <c r="AC1944" s="37"/>
      <c r="AD1944" s="37"/>
      <c r="AE1944" s="37"/>
      <c r="AF1944" s="37"/>
      <c r="AG1944" s="37"/>
      <c r="AH1944" s="37"/>
      <c r="AI1944" s="37"/>
      <c r="AJ1944" s="37"/>
      <c r="AK1944" s="37"/>
      <c r="AL1944" s="37"/>
      <c r="AM1944" s="37"/>
      <c r="AN1944" s="37"/>
      <c r="AO1944" s="37"/>
      <c r="AP1944" s="37"/>
      <c r="AQ1944" s="37"/>
      <c r="AR1944" s="37"/>
      <c r="AS1944" s="37"/>
      <c r="AT1944" s="37"/>
      <c r="AU1944" s="37"/>
      <c r="AV1944" s="37"/>
      <c r="AW1944" s="37"/>
      <c r="AX1944" s="37"/>
      <c r="AY1944" s="37"/>
      <c r="AZ1944" s="37"/>
      <c r="BA1944" s="37"/>
      <c r="BB1944" s="37"/>
      <c r="BC1944" s="37"/>
      <c r="BD1944" s="37"/>
      <c r="BE1944" s="37"/>
      <c r="BF1944" s="37"/>
      <c r="BG1944" s="37"/>
      <c r="BH1944" s="37"/>
      <c r="BI1944" s="37"/>
      <c r="BJ1944" s="37"/>
      <c r="BK1944" s="37"/>
      <c r="BL1944" s="37"/>
      <c r="BM1944" s="37"/>
    </row>
    <row r="1945" spans="1:65" s="40" customFormat="1" ht="23.25" x14ac:dyDescent="0.35">
      <c r="A1945" s="37"/>
      <c r="B1945" s="37"/>
      <c r="C1945" s="41"/>
      <c r="D1945" s="38"/>
      <c r="E1945" s="57"/>
      <c r="F1945" s="42"/>
      <c r="G1945" s="43"/>
      <c r="H1945" s="37"/>
      <c r="I1945" s="37"/>
      <c r="J1945" s="38"/>
      <c r="K1945" s="37"/>
      <c r="L1945" s="38"/>
      <c r="M1945" s="39"/>
      <c r="P1945" s="37"/>
      <c r="Q1945" s="37"/>
      <c r="R1945" s="37"/>
      <c r="S1945" s="37"/>
      <c r="T1945" s="37"/>
      <c r="U1945" s="37"/>
      <c r="V1945" s="37"/>
      <c r="W1945" s="37"/>
      <c r="X1945" s="37"/>
      <c r="Y1945" s="37"/>
      <c r="Z1945" s="37"/>
      <c r="AA1945" s="37"/>
      <c r="AB1945" s="37"/>
      <c r="AC1945" s="37"/>
      <c r="AD1945" s="37"/>
      <c r="AE1945" s="37"/>
      <c r="AF1945" s="37"/>
      <c r="AG1945" s="37"/>
      <c r="AH1945" s="37"/>
      <c r="AI1945" s="37"/>
      <c r="AJ1945" s="37"/>
      <c r="AK1945" s="37"/>
      <c r="AL1945" s="37"/>
      <c r="AM1945" s="37"/>
      <c r="AN1945" s="37"/>
      <c r="AO1945" s="37"/>
      <c r="AP1945" s="37"/>
      <c r="AQ1945" s="37"/>
      <c r="AR1945" s="37"/>
      <c r="AS1945" s="37"/>
      <c r="AT1945" s="37"/>
      <c r="AU1945" s="37"/>
      <c r="AV1945" s="37"/>
      <c r="AW1945" s="37"/>
      <c r="AX1945" s="37"/>
      <c r="AY1945" s="37"/>
      <c r="AZ1945" s="37"/>
      <c r="BA1945" s="37"/>
      <c r="BB1945" s="37"/>
      <c r="BC1945" s="37"/>
      <c r="BD1945" s="37"/>
      <c r="BE1945" s="37"/>
      <c r="BF1945" s="37"/>
      <c r="BG1945" s="37"/>
      <c r="BH1945" s="37"/>
      <c r="BI1945" s="37"/>
      <c r="BJ1945" s="37"/>
      <c r="BK1945" s="37"/>
      <c r="BL1945" s="37"/>
      <c r="BM1945" s="37"/>
    </row>
    <row r="1946" spans="1:65" s="40" customFormat="1" ht="23.25" x14ac:dyDescent="0.35">
      <c r="A1946" s="37"/>
      <c r="B1946" s="37"/>
      <c r="C1946" s="41"/>
      <c r="D1946" s="38"/>
      <c r="E1946" s="57"/>
      <c r="F1946" s="42"/>
      <c r="G1946" s="43"/>
      <c r="H1946" s="37"/>
      <c r="I1946" s="37"/>
      <c r="J1946" s="38"/>
      <c r="K1946" s="37"/>
      <c r="L1946" s="38"/>
      <c r="M1946" s="39"/>
      <c r="P1946" s="37"/>
      <c r="Q1946" s="37"/>
      <c r="R1946" s="37"/>
      <c r="S1946" s="37"/>
      <c r="T1946" s="37"/>
      <c r="U1946" s="37"/>
      <c r="V1946" s="37"/>
      <c r="W1946" s="37"/>
      <c r="X1946" s="37"/>
      <c r="Y1946" s="37"/>
      <c r="Z1946" s="37"/>
      <c r="AA1946" s="37"/>
      <c r="AB1946" s="37"/>
      <c r="AC1946" s="37"/>
      <c r="AD1946" s="37"/>
      <c r="AE1946" s="37"/>
      <c r="AF1946" s="37"/>
      <c r="AG1946" s="37"/>
      <c r="AH1946" s="37"/>
      <c r="AI1946" s="37"/>
      <c r="AJ1946" s="37"/>
      <c r="AK1946" s="37"/>
      <c r="AL1946" s="37"/>
      <c r="AM1946" s="37"/>
      <c r="AN1946" s="37"/>
      <c r="AO1946" s="37"/>
      <c r="AP1946" s="37"/>
      <c r="AQ1946" s="37"/>
      <c r="AR1946" s="37"/>
      <c r="AS1946" s="37"/>
      <c r="AT1946" s="37"/>
      <c r="AU1946" s="37"/>
      <c r="AV1946" s="37"/>
      <c r="AW1946" s="37"/>
      <c r="AX1946" s="37"/>
      <c r="AY1946" s="37"/>
      <c r="AZ1946" s="37"/>
      <c r="BA1946" s="37"/>
      <c r="BB1946" s="37"/>
      <c r="BC1946" s="37"/>
      <c r="BD1946" s="37"/>
      <c r="BE1946" s="37"/>
      <c r="BF1946" s="37"/>
      <c r="BG1946" s="37"/>
      <c r="BH1946" s="37"/>
      <c r="BI1946" s="37"/>
      <c r="BJ1946" s="37"/>
      <c r="BK1946" s="37"/>
      <c r="BL1946" s="37"/>
      <c r="BM1946" s="37"/>
    </row>
    <row r="1947" spans="1:65" s="40" customFormat="1" ht="23.25" x14ac:dyDescent="0.35">
      <c r="A1947" s="37"/>
      <c r="B1947" s="37"/>
      <c r="C1947" s="41"/>
      <c r="D1947" s="38"/>
      <c r="E1947" s="57"/>
      <c r="F1947" s="42"/>
      <c r="G1947" s="43"/>
      <c r="H1947" s="37"/>
      <c r="I1947" s="37"/>
      <c r="J1947" s="38"/>
      <c r="K1947" s="37"/>
      <c r="L1947" s="38"/>
      <c r="M1947" s="39"/>
      <c r="P1947" s="37"/>
      <c r="Q1947" s="37"/>
      <c r="R1947" s="37"/>
      <c r="S1947" s="37"/>
      <c r="T1947" s="37"/>
      <c r="U1947" s="37"/>
      <c r="V1947" s="37"/>
      <c r="W1947" s="37"/>
      <c r="X1947" s="37"/>
      <c r="Y1947" s="37"/>
      <c r="Z1947" s="37"/>
      <c r="AA1947" s="37"/>
      <c r="AB1947" s="37"/>
      <c r="AC1947" s="37"/>
      <c r="AD1947" s="37"/>
      <c r="AE1947" s="37"/>
      <c r="AF1947" s="37"/>
      <c r="AG1947" s="37"/>
      <c r="AH1947" s="37"/>
      <c r="AI1947" s="37"/>
      <c r="AJ1947" s="37"/>
      <c r="AK1947" s="37"/>
      <c r="AL1947" s="37"/>
      <c r="AM1947" s="37"/>
      <c r="AN1947" s="37"/>
      <c r="AO1947" s="37"/>
      <c r="AP1947" s="37"/>
      <c r="AQ1947" s="37"/>
      <c r="AR1947" s="37"/>
      <c r="AS1947" s="37"/>
      <c r="AT1947" s="37"/>
      <c r="AU1947" s="37"/>
      <c r="AV1947" s="37"/>
      <c r="AW1947" s="37"/>
      <c r="AX1947" s="37"/>
      <c r="AY1947" s="37"/>
      <c r="AZ1947" s="37"/>
      <c r="BA1947" s="37"/>
      <c r="BB1947" s="37"/>
      <c r="BC1947" s="37"/>
      <c r="BD1947" s="37"/>
      <c r="BE1947" s="37"/>
      <c r="BF1947" s="37"/>
      <c r="BG1947" s="37"/>
      <c r="BH1947" s="37"/>
      <c r="BI1947" s="37"/>
      <c r="BJ1947" s="37"/>
      <c r="BK1947" s="37"/>
      <c r="BL1947" s="37"/>
      <c r="BM1947" s="37"/>
    </row>
    <row r="1948" spans="1:65" s="40" customFormat="1" ht="23.25" x14ac:dyDescent="0.35">
      <c r="A1948" s="37"/>
      <c r="B1948" s="37"/>
      <c r="C1948" s="41"/>
      <c r="D1948" s="38"/>
      <c r="E1948" s="57"/>
      <c r="F1948" s="42"/>
      <c r="G1948" s="43"/>
      <c r="H1948" s="37"/>
      <c r="I1948" s="37"/>
      <c r="J1948" s="38"/>
      <c r="K1948" s="37"/>
      <c r="L1948" s="38"/>
      <c r="M1948" s="39"/>
      <c r="P1948" s="37"/>
      <c r="Q1948" s="37"/>
      <c r="R1948" s="37"/>
      <c r="S1948" s="37"/>
      <c r="T1948" s="37"/>
      <c r="U1948" s="37"/>
      <c r="V1948" s="37"/>
      <c r="W1948" s="37"/>
      <c r="X1948" s="37"/>
      <c r="Y1948" s="37"/>
      <c r="Z1948" s="37"/>
      <c r="AA1948" s="37"/>
      <c r="AB1948" s="37"/>
      <c r="AC1948" s="37"/>
      <c r="AD1948" s="37"/>
      <c r="AE1948" s="37"/>
      <c r="AF1948" s="37"/>
      <c r="AG1948" s="37"/>
      <c r="AH1948" s="37"/>
      <c r="AI1948" s="37"/>
      <c r="AJ1948" s="37"/>
      <c r="AK1948" s="37"/>
      <c r="AL1948" s="37"/>
      <c r="AM1948" s="37"/>
      <c r="AN1948" s="37"/>
      <c r="AO1948" s="37"/>
      <c r="AP1948" s="37"/>
      <c r="AQ1948" s="37"/>
      <c r="AR1948" s="37"/>
      <c r="AS1948" s="37"/>
      <c r="AT1948" s="37"/>
      <c r="AU1948" s="37"/>
      <c r="AV1948" s="37"/>
      <c r="AW1948" s="37"/>
      <c r="AX1948" s="37"/>
      <c r="AY1948" s="37"/>
      <c r="AZ1948" s="37"/>
      <c r="BA1948" s="37"/>
      <c r="BB1948" s="37"/>
      <c r="BC1948" s="37"/>
      <c r="BD1948" s="37"/>
      <c r="BE1948" s="37"/>
      <c r="BF1948" s="37"/>
      <c r="BG1948" s="37"/>
      <c r="BH1948" s="37"/>
      <c r="BI1948" s="37"/>
      <c r="BJ1948" s="37"/>
      <c r="BK1948" s="37"/>
      <c r="BL1948" s="37"/>
      <c r="BM1948" s="37"/>
    </row>
    <row r="1949" spans="1:65" s="40" customFormat="1" ht="23.25" x14ac:dyDescent="0.35">
      <c r="A1949" s="37"/>
      <c r="B1949" s="37"/>
      <c r="C1949" s="41"/>
      <c r="D1949" s="38"/>
      <c r="E1949" s="57"/>
      <c r="F1949" s="42"/>
      <c r="G1949" s="43"/>
      <c r="H1949" s="37"/>
      <c r="I1949" s="37"/>
      <c r="J1949" s="38"/>
      <c r="K1949" s="37"/>
      <c r="L1949" s="38"/>
      <c r="M1949" s="39"/>
      <c r="P1949" s="37"/>
      <c r="Q1949" s="37"/>
      <c r="R1949" s="37"/>
      <c r="S1949" s="37"/>
      <c r="T1949" s="37"/>
      <c r="U1949" s="37"/>
      <c r="V1949" s="37"/>
      <c r="W1949" s="37"/>
      <c r="X1949" s="37"/>
      <c r="Y1949" s="37"/>
      <c r="Z1949" s="37"/>
      <c r="AA1949" s="37"/>
      <c r="AB1949" s="37"/>
      <c r="AC1949" s="37"/>
      <c r="AD1949" s="37"/>
      <c r="AE1949" s="37"/>
      <c r="AF1949" s="37"/>
      <c r="AG1949" s="37"/>
      <c r="AH1949" s="37"/>
      <c r="AI1949" s="37"/>
      <c r="AJ1949" s="37"/>
      <c r="AK1949" s="37"/>
      <c r="AL1949" s="37"/>
      <c r="AM1949" s="37"/>
      <c r="AN1949" s="37"/>
      <c r="AO1949" s="37"/>
      <c r="AP1949" s="37"/>
      <c r="AQ1949" s="37"/>
      <c r="AR1949" s="37"/>
      <c r="AS1949" s="37"/>
      <c r="AT1949" s="37"/>
      <c r="AU1949" s="37"/>
      <c r="AV1949" s="37"/>
      <c r="AW1949" s="37"/>
      <c r="AX1949" s="37"/>
      <c r="AY1949" s="37"/>
      <c r="AZ1949" s="37"/>
      <c r="BA1949" s="37"/>
      <c r="BB1949" s="37"/>
      <c r="BC1949" s="37"/>
      <c r="BD1949" s="37"/>
      <c r="BE1949" s="37"/>
      <c r="BF1949" s="37"/>
      <c r="BG1949" s="37"/>
      <c r="BH1949" s="37"/>
      <c r="BI1949" s="37"/>
      <c r="BJ1949" s="37"/>
      <c r="BK1949" s="37"/>
      <c r="BL1949" s="37"/>
      <c r="BM1949" s="37"/>
    </row>
    <row r="1950" spans="1:65" s="40" customFormat="1" ht="23.25" x14ac:dyDescent="0.35">
      <c r="A1950" s="37"/>
      <c r="B1950" s="37"/>
      <c r="C1950" s="41"/>
      <c r="D1950" s="38"/>
      <c r="E1950" s="57"/>
      <c r="F1950" s="42"/>
      <c r="G1950" s="43"/>
      <c r="H1950" s="37"/>
      <c r="I1950" s="37"/>
      <c r="J1950" s="38"/>
      <c r="K1950" s="37"/>
      <c r="L1950" s="38"/>
      <c r="M1950" s="39"/>
      <c r="P1950" s="37"/>
      <c r="Q1950" s="37"/>
      <c r="R1950" s="37"/>
      <c r="S1950" s="37"/>
      <c r="T1950" s="37"/>
      <c r="U1950" s="37"/>
      <c r="V1950" s="37"/>
      <c r="W1950" s="37"/>
      <c r="X1950" s="37"/>
      <c r="Y1950" s="37"/>
      <c r="Z1950" s="37"/>
      <c r="AA1950" s="37"/>
      <c r="AB1950" s="37"/>
      <c r="AC1950" s="37"/>
      <c r="AD1950" s="37"/>
      <c r="AE1950" s="37"/>
      <c r="AF1950" s="37"/>
      <c r="AG1950" s="37"/>
      <c r="AH1950" s="37"/>
      <c r="AI1950" s="37"/>
      <c r="AJ1950" s="37"/>
      <c r="AK1950" s="37"/>
      <c r="AL1950" s="37"/>
      <c r="AM1950" s="37"/>
      <c r="AN1950" s="37"/>
      <c r="AO1950" s="37"/>
      <c r="AP1950" s="37"/>
      <c r="AQ1950" s="37"/>
      <c r="AR1950" s="37"/>
      <c r="AS1950" s="37"/>
      <c r="AT1950" s="37"/>
      <c r="AU1950" s="37"/>
      <c r="AV1950" s="37"/>
      <c r="AW1950" s="37"/>
      <c r="AX1950" s="37"/>
      <c r="AY1950" s="37"/>
      <c r="AZ1950" s="37"/>
      <c r="BA1950" s="37"/>
      <c r="BB1950" s="37"/>
      <c r="BC1950" s="37"/>
      <c r="BD1950" s="37"/>
      <c r="BE1950" s="37"/>
      <c r="BF1950" s="37"/>
      <c r="BG1950" s="37"/>
      <c r="BH1950" s="37"/>
      <c r="BI1950" s="37"/>
      <c r="BJ1950" s="37"/>
      <c r="BK1950" s="37"/>
      <c r="BL1950" s="37"/>
      <c r="BM1950" s="37"/>
    </row>
    <row r="1951" spans="1:65" s="40" customFormat="1" ht="23.25" x14ac:dyDescent="0.35">
      <c r="A1951" s="37"/>
      <c r="B1951" s="37"/>
      <c r="C1951" s="41"/>
      <c r="D1951" s="38"/>
      <c r="E1951" s="57"/>
      <c r="F1951" s="42"/>
      <c r="G1951" s="43"/>
      <c r="H1951" s="37"/>
      <c r="I1951" s="37"/>
      <c r="J1951" s="38"/>
      <c r="K1951" s="37"/>
      <c r="L1951" s="38"/>
      <c r="M1951" s="39"/>
      <c r="P1951" s="37"/>
      <c r="Q1951" s="37"/>
      <c r="R1951" s="37"/>
      <c r="S1951" s="37"/>
      <c r="T1951" s="37"/>
      <c r="U1951" s="37"/>
      <c r="V1951" s="37"/>
      <c r="W1951" s="37"/>
      <c r="X1951" s="37"/>
      <c r="Y1951" s="37"/>
      <c r="Z1951" s="37"/>
      <c r="AA1951" s="37"/>
      <c r="AB1951" s="37"/>
      <c r="AC1951" s="37"/>
      <c r="AD1951" s="37"/>
      <c r="AE1951" s="37"/>
      <c r="AF1951" s="37"/>
      <c r="AG1951" s="37"/>
      <c r="AH1951" s="37"/>
      <c r="AI1951" s="37"/>
      <c r="AJ1951" s="37"/>
      <c r="AK1951" s="37"/>
      <c r="AL1951" s="37"/>
      <c r="AM1951" s="37"/>
      <c r="AN1951" s="37"/>
      <c r="AO1951" s="37"/>
      <c r="AP1951" s="37"/>
      <c r="AQ1951" s="37"/>
      <c r="AR1951" s="37"/>
      <c r="AS1951" s="37"/>
      <c r="AT1951" s="37"/>
      <c r="AU1951" s="37"/>
      <c r="AV1951" s="37"/>
      <c r="AW1951" s="37"/>
      <c r="AX1951" s="37"/>
      <c r="AY1951" s="37"/>
      <c r="AZ1951" s="37"/>
      <c r="BA1951" s="37"/>
      <c r="BB1951" s="37"/>
      <c r="BC1951" s="37"/>
      <c r="BD1951" s="37"/>
      <c r="BE1951" s="37"/>
      <c r="BF1951" s="37"/>
      <c r="BG1951" s="37"/>
      <c r="BH1951" s="37"/>
      <c r="BI1951" s="37"/>
      <c r="BJ1951" s="37"/>
      <c r="BK1951" s="37"/>
      <c r="BL1951" s="37"/>
      <c r="BM1951" s="37"/>
    </row>
    <row r="1952" spans="1:65" s="40" customFormat="1" ht="23.25" x14ac:dyDescent="0.35">
      <c r="A1952" s="37"/>
      <c r="B1952" s="37"/>
      <c r="C1952" s="41"/>
      <c r="D1952" s="38"/>
      <c r="E1952" s="57"/>
      <c r="F1952" s="42"/>
      <c r="G1952" s="43"/>
      <c r="H1952" s="37"/>
      <c r="I1952" s="37"/>
      <c r="J1952" s="38"/>
      <c r="K1952" s="37"/>
      <c r="L1952" s="38"/>
      <c r="M1952" s="39"/>
      <c r="P1952" s="37"/>
      <c r="Q1952" s="37"/>
      <c r="R1952" s="37"/>
      <c r="S1952" s="37"/>
      <c r="T1952" s="37"/>
      <c r="U1952" s="37"/>
      <c r="V1952" s="37"/>
      <c r="W1952" s="37"/>
      <c r="X1952" s="37"/>
      <c r="Y1952" s="37"/>
      <c r="Z1952" s="37"/>
      <c r="AA1952" s="37"/>
      <c r="AB1952" s="37"/>
      <c r="AC1952" s="37"/>
      <c r="AD1952" s="37"/>
      <c r="AE1952" s="37"/>
      <c r="AF1952" s="37"/>
      <c r="AG1952" s="37"/>
      <c r="AH1952" s="37"/>
      <c r="AI1952" s="37"/>
      <c r="AJ1952" s="37"/>
      <c r="AK1952" s="37"/>
      <c r="AL1952" s="37"/>
      <c r="AM1952" s="37"/>
      <c r="AN1952" s="37"/>
      <c r="AO1952" s="37"/>
      <c r="AP1952" s="37"/>
      <c r="AQ1952" s="37"/>
      <c r="AR1952" s="37"/>
      <c r="AS1952" s="37"/>
      <c r="AT1952" s="37"/>
      <c r="AU1952" s="37"/>
      <c r="AV1952" s="37"/>
      <c r="AW1952" s="37"/>
      <c r="AX1952" s="37"/>
      <c r="AY1952" s="37"/>
      <c r="AZ1952" s="37"/>
      <c r="BA1952" s="37"/>
      <c r="BB1952" s="37"/>
      <c r="BC1952" s="37"/>
      <c r="BD1952" s="37"/>
      <c r="BE1952" s="37"/>
      <c r="BF1952" s="37"/>
      <c r="BG1952" s="37"/>
      <c r="BH1952" s="37"/>
      <c r="BI1952" s="37"/>
      <c r="BJ1952" s="37"/>
      <c r="BK1952" s="37"/>
      <c r="BL1952" s="37"/>
      <c r="BM1952" s="37"/>
    </row>
    <row r="1953" spans="1:65" s="40" customFormat="1" ht="23.25" x14ac:dyDescent="0.35">
      <c r="A1953" s="37"/>
      <c r="B1953" s="37"/>
      <c r="C1953" s="41"/>
      <c r="D1953" s="38"/>
      <c r="E1953" s="57"/>
      <c r="F1953" s="42"/>
      <c r="G1953" s="43"/>
      <c r="H1953" s="37"/>
      <c r="I1953" s="37"/>
      <c r="J1953" s="38"/>
      <c r="K1953" s="37"/>
      <c r="L1953" s="38"/>
      <c r="M1953" s="39"/>
      <c r="P1953" s="37"/>
      <c r="Q1953" s="37"/>
      <c r="R1953" s="37"/>
      <c r="S1953" s="37"/>
      <c r="T1953" s="37"/>
      <c r="U1953" s="37"/>
      <c r="V1953" s="37"/>
      <c r="W1953" s="37"/>
      <c r="X1953" s="37"/>
      <c r="Y1953" s="37"/>
      <c r="Z1953" s="37"/>
      <c r="AA1953" s="37"/>
      <c r="AB1953" s="37"/>
      <c r="AC1953" s="37"/>
      <c r="AD1953" s="37"/>
      <c r="AE1953" s="37"/>
      <c r="AF1953" s="37"/>
      <c r="AG1953" s="37"/>
      <c r="AH1953" s="37"/>
      <c r="AI1953" s="37"/>
      <c r="AJ1953" s="37"/>
      <c r="AK1953" s="37"/>
      <c r="AL1953" s="37"/>
      <c r="AM1953" s="37"/>
      <c r="AN1953" s="37"/>
      <c r="AO1953" s="37"/>
      <c r="AP1953" s="37"/>
      <c r="AQ1953" s="37"/>
      <c r="AR1953" s="37"/>
      <c r="AS1953" s="37"/>
      <c r="AT1953" s="37"/>
      <c r="AU1953" s="37"/>
      <c r="AV1953" s="37"/>
      <c r="AW1953" s="37"/>
      <c r="AX1953" s="37"/>
      <c r="AY1953" s="37"/>
      <c r="AZ1953" s="37"/>
      <c r="BA1953" s="37"/>
      <c r="BB1953" s="37"/>
      <c r="BC1953" s="37"/>
      <c r="BD1953" s="37"/>
      <c r="BE1953" s="37"/>
      <c r="BF1953" s="37"/>
      <c r="BG1953" s="37"/>
      <c r="BH1953" s="37"/>
      <c r="BI1953" s="37"/>
      <c r="BJ1953" s="37"/>
      <c r="BK1953" s="37"/>
      <c r="BL1953" s="37"/>
      <c r="BM1953" s="37"/>
    </row>
    <row r="1954" spans="1:65" s="40" customFormat="1" ht="23.25" x14ac:dyDescent="0.35">
      <c r="A1954" s="37"/>
      <c r="B1954" s="37"/>
      <c r="C1954" s="41"/>
      <c r="D1954" s="38"/>
      <c r="E1954" s="57"/>
      <c r="F1954" s="42"/>
      <c r="G1954" s="43"/>
      <c r="H1954" s="37"/>
      <c r="I1954" s="37"/>
      <c r="J1954" s="38"/>
      <c r="K1954" s="37"/>
      <c r="L1954" s="38"/>
      <c r="M1954" s="39"/>
      <c r="P1954" s="37"/>
      <c r="Q1954" s="37"/>
      <c r="R1954" s="37"/>
      <c r="S1954" s="37"/>
      <c r="T1954" s="37"/>
      <c r="U1954" s="37"/>
      <c r="V1954" s="37"/>
      <c r="W1954" s="37"/>
      <c r="X1954" s="37"/>
      <c r="Y1954" s="37"/>
      <c r="Z1954" s="37"/>
      <c r="AA1954" s="37"/>
      <c r="AB1954" s="37"/>
      <c r="AC1954" s="37"/>
      <c r="AD1954" s="37"/>
      <c r="AE1954" s="37"/>
      <c r="AF1954" s="37"/>
      <c r="AG1954" s="37"/>
      <c r="AH1954" s="37"/>
      <c r="AI1954" s="37"/>
      <c r="AJ1954" s="37"/>
      <c r="AK1954" s="37"/>
      <c r="AL1954" s="37"/>
      <c r="AM1954" s="37"/>
      <c r="AN1954" s="37"/>
      <c r="AO1954" s="37"/>
      <c r="AP1954" s="37"/>
      <c r="AQ1954" s="37"/>
      <c r="AR1954" s="37"/>
      <c r="AS1954" s="37"/>
      <c r="AT1954" s="37"/>
      <c r="AU1954" s="37"/>
      <c r="AV1954" s="37"/>
      <c r="AW1954" s="37"/>
      <c r="AX1954" s="37"/>
      <c r="AY1954" s="37"/>
      <c r="AZ1954" s="37"/>
      <c r="BA1954" s="37"/>
      <c r="BB1954" s="37"/>
      <c r="BC1954" s="37"/>
      <c r="BD1954" s="37"/>
      <c r="BE1954" s="37"/>
      <c r="BF1954" s="37"/>
      <c r="BG1954" s="37"/>
      <c r="BH1954" s="37"/>
      <c r="BI1954" s="37"/>
      <c r="BJ1954" s="37"/>
      <c r="BK1954" s="37"/>
      <c r="BL1954" s="37"/>
      <c r="BM1954" s="37"/>
    </row>
    <row r="1955" spans="1:65" s="40" customFormat="1" ht="23.25" x14ac:dyDescent="0.35">
      <c r="A1955" s="37"/>
      <c r="B1955" s="37"/>
      <c r="C1955" s="41"/>
      <c r="D1955" s="38"/>
      <c r="E1955" s="57"/>
      <c r="F1955" s="42"/>
      <c r="G1955" s="43"/>
      <c r="H1955" s="37"/>
      <c r="I1955" s="37"/>
      <c r="J1955" s="38"/>
      <c r="K1955" s="37"/>
      <c r="L1955" s="38"/>
      <c r="M1955" s="39"/>
      <c r="P1955" s="37"/>
      <c r="Q1955" s="37"/>
      <c r="R1955" s="37"/>
      <c r="S1955" s="37"/>
      <c r="T1955" s="37"/>
      <c r="U1955" s="37"/>
      <c r="V1955" s="37"/>
      <c r="W1955" s="37"/>
      <c r="X1955" s="37"/>
      <c r="Y1955" s="37"/>
      <c r="Z1955" s="37"/>
      <c r="AA1955" s="37"/>
      <c r="AB1955" s="37"/>
      <c r="AC1955" s="37"/>
      <c r="AD1955" s="37"/>
      <c r="AE1955" s="37"/>
      <c r="AF1955" s="37"/>
      <c r="AG1955" s="37"/>
      <c r="AH1955" s="37"/>
      <c r="AI1955" s="37"/>
      <c r="AJ1955" s="37"/>
      <c r="AK1955" s="37"/>
      <c r="AL1955" s="37"/>
      <c r="AM1955" s="37"/>
      <c r="AN1955" s="37"/>
      <c r="AO1955" s="37"/>
      <c r="AP1955" s="37"/>
      <c r="AQ1955" s="37"/>
      <c r="AR1955" s="37"/>
      <c r="AS1955" s="37"/>
      <c r="AT1955" s="37"/>
      <c r="AU1955" s="37"/>
      <c r="AV1955" s="37"/>
      <c r="AW1955" s="37"/>
      <c r="AX1955" s="37"/>
      <c r="AY1955" s="37"/>
      <c r="AZ1955" s="37"/>
      <c r="BA1955" s="37"/>
      <c r="BB1955" s="37"/>
      <c r="BC1955" s="37"/>
      <c r="BD1955" s="37"/>
      <c r="BE1955" s="37"/>
      <c r="BF1955" s="37"/>
      <c r="BG1955" s="37"/>
      <c r="BH1955" s="37"/>
      <c r="BI1955" s="37"/>
      <c r="BJ1955" s="37"/>
      <c r="BK1955" s="37"/>
      <c r="BL1955" s="37"/>
      <c r="BM1955" s="37"/>
    </row>
    <row r="1956" spans="1:65" s="40" customFormat="1" ht="23.25" x14ac:dyDescent="0.35">
      <c r="A1956" s="37"/>
      <c r="B1956" s="37"/>
      <c r="C1956" s="41"/>
      <c r="D1956" s="38"/>
      <c r="E1956" s="57"/>
      <c r="F1956" s="42"/>
      <c r="G1956" s="43"/>
      <c r="H1956" s="37"/>
      <c r="I1956" s="37"/>
      <c r="J1956" s="38"/>
      <c r="K1956" s="37"/>
      <c r="L1956" s="38"/>
      <c r="M1956" s="39"/>
      <c r="P1956" s="37"/>
      <c r="Q1956" s="37"/>
      <c r="R1956" s="37"/>
      <c r="S1956" s="37"/>
      <c r="T1956" s="37"/>
      <c r="U1956" s="37"/>
      <c r="V1956" s="37"/>
      <c r="W1956" s="37"/>
      <c r="X1956" s="37"/>
      <c r="Y1956" s="37"/>
      <c r="Z1956" s="37"/>
      <c r="AA1956" s="37"/>
      <c r="AB1956" s="37"/>
      <c r="AC1956" s="37"/>
      <c r="AD1956" s="37"/>
      <c r="AE1956" s="37"/>
      <c r="AF1956" s="37"/>
      <c r="AG1956" s="37"/>
      <c r="AH1956" s="37"/>
      <c r="AI1956" s="37"/>
      <c r="AJ1956" s="37"/>
      <c r="AK1956" s="37"/>
      <c r="AL1956" s="37"/>
      <c r="AM1956" s="37"/>
      <c r="AN1956" s="37"/>
      <c r="AO1956" s="37"/>
      <c r="AP1956" s="37"/>
      <c r="AQ1956" s="37"/>
      <c r="AR1956" s="37"/>
      <c r="AS1956" s="37"/>
      <c r="AT1956" s="37"/>
      <c r="AU1956" s="37"/>
      <c r="AV1956" s="37"/>
      <c r="AW1956" s="37"/>
      <c r="AX1956" s="37"/>
      <c r="AY1956" s="37"/>
      <c r="AZ1956" s="37"/>
      <c r="BA1956" s="37"/>
      <c r="BB1956" s="37"/>
      <c r="BC1956" s="37"/>
      <c r="BD1956" s="37"/>
      <c r="BE1956" s="37"/>
      <c r="BF1956" s="37"/>
      <c r="BG1956" s="37"/>
      <c r="BH1956" s="37"/>
      <c r="BI1956" s="37"/>
      <c r="BJ1956" s="37"/>
      <c r="BK1956" s="37"/>
      <c r="BL1956" s="37"/>
      <c r="BM1956" s="37"/>
    </row>
    <row r="1957" spans="1:65" s="40" customFormat="1" ht="23.25" x14ac:dyDescent="0.35">
      <c r="A1957" s="37"/>
      <c r="B1957" s="37"/>
      <c r="C1957" s="41"/>
      <c r="D1957" s="38"/>
      <c r="E1957" s="57"/>
      <c r="F1957" s="42"/>
      <c r="G1957" s="43"/>
      <c r="H1957" s="37"/>
      <c r="I1957" s="37"/>
      <c r="J1957" s="38"/>
      <c r="K1957" s="37"/>
      <c r="L1957" s="38"/>
      <c r="M1957" s="39"/>
      <c r="P1957" s="37"/>
      <c r="Q1957" s="37"/>
      <c r="R1957" s="37"/>
      <c r="S1957" s="37"/>
      <c r="T1957" s="37"/>
      <c r="U1957" s="37"/>
      <c r="V1957" s="37"/>
      <c r="W1957" s="37"/>
      <c r="X1957" s="37"/>
      <c r="Y1957" s="37"/>
      <c r="Z1957" s="37"/>
      <c r="AA1957" s="37"/>
      <c r="AB1957" s="37"/>
      <c r="AC1957" s="37"/>
      <c r="AD1957" s="37"/>
      <c r="AE1957" s="37"/>
      <c r="AF1957" s="37"/>
      <c r="AG1957" s="37"/>
      <c r="AH1957" s="37"/>
      <c r="AI1957" s="37"/>
      <c r="AJ1957" s="37"/>
      <c r="AK1957" s="37"/>
      <c r="AL1957" s="37"/>
      <c r="AM1957" s="37"/>
      <c r="AN1957" s="37"/>
      <c r="AO1957" s="37"/>
      <c r="AP1957" s="37"/>
      <c r="AQ1957" s="37"/>
      <c r="AR1957" s="37"/>
      <c r="AS1957" s="37"/>
      <c r="AT1957" s="37"/>
      <c r="AU1957" s="37"/>
      <c r="AV1957" s="37"/>
      <c r="AW1957" s="37"/>
      <c r="AX1957" s="37"/>
      <c r="AY1957" s="37"/>
      <c r="AZ1957" s="37"/>
      <c r="BA1957" s="37"/>
      <c r="BB1957" s="37"/>
      <c r="BC1957" s="37"/>
      <c r="BD1957" s="37"/>
      <c r="BE1957" s="37"/>
      <c r="BF1957" s="37"/>
      <c r="BG1957" s="37"/>
      <c r="BH1957" s="37"/>
      <c r="BI1957" s="37"/>
      <c r="BJ1957" s="37"/>
      <c r="BK1957" s="37"/>
      <c r="BL1957" s="37"/>
      <c r="BM1957" s="37"/>
    </row>
    <row r="1958" spans="1:65" s="40" customFormat="1" ht="23.25" x14ac:dyDescent="0.35">
      <c r="A1958" s="37"/>
      <c r="B1958" s="37"/>
      <c r="C1958" s="41"/>
      <c r="D1958" s="38"/>
      <c r="E1958" s="57"/>
      <c r="F1958" s="42"/>
      <c r="G1958" s="43"/>
      <c r="H1958" s="37"/>
      <c r="I1958" s="37"/>
      <c r="J1958" s="38"/>
      <c r="K1958" s="37"/>
      <c r="L1958" s="38"/>
      <c r="M1958" s="39"/>
      <c r="P1958" s="37"/>
      <c r="Q1958" s="37"/>
      <c r="R1958" s="37"/>
      <c r="S1958" s="37"/>
      <c r="T1958" s="37"/>
      <c r="U1958" s="37"/>
      <c r="V1958" s="37"/>
      <c r="W1958" s="37"/>
      <c r="X1958" s="37"/>
      <c r="Y1958" s="37"/>
      <c r="Z1958" s="37"/>
      <c r="AA1958" s="37"/>
      <c r="AB1958" s="37"/>
      <c r="AC1958" s="37"/>
      <c r="AD1958" s="37"/>
      <c r="AE1958" s="37"/>
      <c r="AF1958" s="37"/>
      <c r="AG1958" s="37"/>
      <c r="AH1958" s="37"/>
      <c r="AI1958" s="37"/>
      <c r="AJ1958" s="37"/>
      <c r="AK1958" s="37"/>
      <c r="AL1958" s="37"/>
      <c r="AM1958" s="37"/>
      <c r="AN1958" s="37"/>
      <c r="AO1958" s="37"/>
      <c r="AP1958" s="37"/>
      <c r="AQ1958" s="37"/>
      <c r="AR1958" s="37"/>
      <c r="AS1958" s="37"/>
      <c r="AT1958" s="37"/>
      <c r="AU1958" s="37"/>
      <c r="AV1958" s="37"/>
      <c r="AW1958" s="37"/>
      <c r="AX1958" s="37"/>
      <c r="AY1958" s="37"/>
      <c r="AZ1958" s="37"/>
      <c r="BA1958" s="37"/>
      <c r="BB1958" s="37"/>
      <c r="BC1958" s="37"/>
      <c r="BD1958" s="37"/>
      <c r="BE1958" s="37"/>
      <c r="BF1958" s="37"/>
      <c r="BG1958" s="37"/>
      <c r="BH1958" s="37"/>
      <c r="BI1958" s="37"/>
      <c r="BJ1958" s="37"/>
      <c r="BK1958" s="37"/>
      <c r="BL1958" s="37"/>
      <c r="BM1958" s="37"/>
    </row>
    <row r="1959" spans="1:65" s="40" customFormat="1" ht="23.25" x14ac:dyDescent="0.35">
      <c r="A1959" s="37"/>
      <c r="B1959" s="37"/>
      <c r="C1959" s="41"/>
      <c r="D1959" s="38"/>
      <c r="E1959" s="57"/>
      <c r="F1959" s="42"/>
      <c r="G1959" s="43"/>
      <c r="H1959" s="37"/>
      <c r="I1959" s="37"/>
      <c r="J1959" s="38"/>
      <c r="K1959" s="37"/>
      <c r="L1959" s="38"/>
      <c r="M1959" s="39"/>
      <c r="P1959" s="37"/>
      <c r="Q1959" s="37"/>
      <c r="R1959" s="37"/>
      <c r="S1959" s="37"/>
      <c r="T1959" s="37"/>
      <c r="U1959" s="37"/>
      <c r="V1959" s="37"/>
      <c r="W1959" s="37"/>
      <c r="X1959" s="37"/>
      <c r="Y1959" s="37"/>
      <c r="Z1959" s="37"/>
      <c r="AA1959" s="37"/>
      <c r="AB1959" s="37"/>
      <c r="AC1959" s="37"/>
      <c r="AD1959" s="37"/>
      <c r="AE1959" s="37"/>
      <c r="AF1959" s="37"/>
      <c r="AG1959" s="37"/>
      <c r="AH1959" s="37"/>
      <c r="AI1959" s="37"/>
      <c r="AJ1959" s="37"/>
      <c r="AK1959" s="37"/>
      <c r="AL1959" s="37"/>
      <c r="AM1959" s="37"/>
      <c r="AN1959" s="37"/>
      <c r="AO1959" s="37"/>
      <c r="AP1959" s="37"/>
      <c r="AQ1959" s="37"/>
      <c r="AR1959" s="37"/>
      <c r="AS1959" s="37"/>
      <c r="AT1959" s="37"/>
      <c r="AU1959" s="37"/>
      <c r="AV1959" s="37"/>
      <c r="AW1959" s="37"/>
      <c r="AX1959" s="37"/>
      <c r="AY1959" s="37"/>
      <c r="AZ1959" s="37"/>
      <c r="BA1959" s="37"/>
      <c r="BB1959" s="37"/>
      <c r="BC1959" s="37"/>
      <c r="BD1959" s="37"/>
      <c r="BE1959" s="37"/>
      <c r="BF1959" s="37"/>
      <c r="BG1959" s="37"/>
      <c r="BH1959" s="37"/>
      <c r="BI1959" s="37"/>
      <c r="BJ1959" s="37"/>
      <c r="BK1959" s="37"/>
      <c r="BL1959" s="37"/>
      <c r="BM1959" s="37"/>
    </row>
    <row r="1960" spans="1:65" s="40" customFormat="1" ht="23.25" x14ac:dyDescent="0.35">
      <c r="A1960" s="37"/>
      <c r="B1960" s="37"/>
      <c r="C1960" s="41"/>
      <c r="D1960" s="38"/>
      <c r="E1960" s="57"/>
      <c r="F1960" s="42"/>
      <c r="G1960" s="43"/>
      <c r="H1960" s="37"/>
      <c r="I1960" s="37"/>
      <c r="J1960" s="38"/>
      <c r="K1960" s="37"/>
      <c r="L1960" s="38"/>
      <c r="M1960" s="39"/>
      <c r="P1960" s="37"/>
      <c r="Q1960" s="37"/>
      <c r="R1960" s="37"/>
      <c r="S1960" s="37"/>
      <c r="T1960" s="37"/>
      <c r="U1960" s="37"/>
      <c r="V1960" s="37"/>
      <c r="W1960" s="37"/>
      <c r="X1960" s="37"/>
      <c r="Y1960" s="37"/>
      <c r="Z1960" s="37"/>
      <c r="AA1960" s="37"/>
      <c r="AB1960" s="37"/>
      <c r="AC1960" s="37"/>
      <c r="AD1960" s="37"/>
      <c r="AE1960" s="37"/>
      <c r="AF1960" s="37"/>
      <c r="AG1960" s="37"/>
      <c r="AH1960" s="37"/>
      <c r="AI1960" s="37"/>
      <c r="AJ1960" s="37"/>
      <c r="AK1960" s="37"/>
      <c r="AL1960" s="37"/>
      <c r="AM1960" s="37"/>
      <c r="AN1960" s="37"/>
      <c r="AO1960" s="37"/>
      <c r="AP1960" s="37"/>
      <c r="AQ1960" s="37"/>
      <c r="AR1960" s="37"/>
      <c r="AS1960" s="37"/>
      <c r="AT1960" s="37"/>
      <c r="AU1960" s="37"/>
      <c r="AV1960" s="37"/>
      <c r="AW1960" s="37"/>
      <c r="AX1960" s="37"/>
      <c r="AY1960" s="37"/>
      <c r="AZ1960" s="37"/>
      <c r="BA1960" s="37"/>
      <c r="BB1960" s="37"/>
      <c r="BC1960" s="37"/>
      <c r="BD1960" s="37"/>
      <c r="BE1960" s="37"/>
      <c r="BF1960" s="37"/>
      <c r="BG1960" s="37"/>
      <c r="BH1960" s="37"/>
      <c r="BI1960" s="37"/>
      <c r="BJ1960" s="37"/>
      <c r="BK1960" s="37"/>
      <c r="BL1960" s="37"/>
      <c r="BM1960" s="37"/>
    </row>
    <row r="1961" spans="1:65" s="40" customFormat="1" ht="23.25" x14ac:dyDescent="0.35">
      <c r="A1961" s="37"/>
      <c r="B1961" s="37"/>
      <c r="C1961" s="41"/>
      <c r="D1961" s="38"/>
      <c r="E1961" s="57"/>
      <c r="F1961" s="42"/>
      <c r="G1961" s="43"/>
      <c r="H1961" s="37"/>
      <c r="I1961" s="37"/>
      <c r="J1961" s="38"/>
      <c r="K1961" s="37"/>
      <c r="L1961" s="38"/>
      <c r="M1961" s="39"/>
      <c r="P1961" s="37"/>
      <c r="Q1961" s="37"/>
      <c r="R1961" s="37"/>
      <c r="S1961" s="37"/>
      <c r="T1961" s="37"/>
      <c r="U1961" s="37"/>
      <c r="V1961" s="37"/>
      <c r="W1961" s="37"/>
      <c r="X1961" s="37"/>
      <c r="Y1961" s="37"/>
      <c r="Z1961" s="37"/>
      <c r="AA1961" s="37"/>
      <c r="AB1961" s="37"/>
      <c r="AC1961" s="37"/>
      <c r="AD1961" s="37"/>
      <c r="AE1961" s="37"/>
      <c r="AF1961" s="37"/>
      <c r="AG1961" s="37"/>
      <c r="AH1961" s="37"/>
      <c r="AI1961" s="37"/>
      <c r="AJ1961" s="37"/>
      <c r="AK1961" s="37"/>
      <c r="AL1961" s="37"/>
      <c r="AM1961" s="37"/>
      <c r="AN1961" s="37"/>
      <c r="AO1961" s="37"/>
      <c r="AP1961" s="37"/>
      <c r="AQ1961" s="37"/>
      <c r="AR1961" s="37"/>
      <c r="AS1961" s="37"/>
      <c r="AT1961" s="37"/>
      <c r="AU1961" s="37"/>
      <c r="AV1961" s="37"/>
      <c r="AW1961" s="37"/>
      <c r="AX1961" s="37"/>
      <c r="AY1961" s="37"/>
      <c r="AZ1961" s="37"/>
      <c r="BA1961" s="37"/>
      <c r="BB1961" s="37"/>
      <c r="BC1961" s="37"/>
      <c r="BD1961" s="37"/>
      <c r="BE1961" s="37"/>
      <c r="BF1961" s="37"/>
      <c r="BG1961" s="37"/>
      <c r="BH1961" s="37"/>
      <c r="BI1961" s="37"/>
      <c r="BJ1961" s="37"/>
      <c r="BK1961" s="37"/>
      <c r="BL1961" s="37"/>
      <c r="BM1961" s="37"/>
    </row>
    <row r="1962" spans="1:65" s="40" customFormat="1" ht="23.25" x14ac:dyDescent="0.35">
      <c r="A1962" s="37"/>
      <c r="B1962" s="37"/>
      <c r="C1962" s="41"/>
      <c r="D1962" s="38"/>
      <c r="E1962" s="57"/>
      <c r="F1962" s="42"/>
      <c r="G1962" s="43"/>
      <c r="H1962" s="37"/>
      <c r="I1962" s="37"/>
      <c r="J1962" s="38"/>
      <c r="K1962" s="37"/>
      <c r="L1962" s="38"/>
      <c r="M1962" s="39"/>
      <c r="P1962" s="37"/>
      <c r="Q1962" s="37"/>
      <c r="R1962" s="37"/>
      <c r="S1962" s="37"/>
      <c r="T1962" s="37"/>
      <c r="U1962" s="37"/>
      <c r="V1962" s="37"/>
      <c r="W1962" s="37"/>
      <c r="X1962" s="37"/>
      <c r="Y1962" s="37"/>
      <c r="Z1962" s="37"/>
      <c r="AA1962" s="37"/>
      <c r="AB1962" s="37"/>
      <c r="AC1962" s="37"/>
      <c r="AD1962" s="37"/>
      <c r="AE1962" s="37"/>
      <c r="AF1962" s="37"/>
      <c r="AG1962" s="37"/>
      <c r="AH1962" s="37"/>
      <c r="AI1962" s="37"/>
      <c r="AJ1962" s="37"/>
      <c r="AK1962" s="37"/>
      <c r="AL1962" s="37"/>
      <c r="AM1962" s="37"/>
      <c r="AN1962" s="37"/>
      <c r="AO1962" s="37"/>
      <c r="AP1962" s="37"/>
      <c r="AQ1962" s="37"/>
      <c r="AR1962" s="37"/>
      <c r="AS1962" s="37"/>
      <c r="AT1962" s="37"/>
      <c r="AU1962" s="37"/>
      <c r="AV1962" s="37"/>
      <c r="AW1962" s="37"/>
      <c r="AX1962" s="37"/>
      <c r="AY1962" s="37"/>
      <c r="AZ1962" s="37"/>
      <c r="BA1962" s="37"/>
      <c r="BB1962" s="37"/>
      <c r="BC1962" s="37"/>
      <c r="BD1962" s="37"/>
      <c r="BE1962" s="37"/>
      <c r="BF1962" s="37"/>
      <c r="BG1962" s="37"/>
      <c r="BH1962" s="37"/>
      <c r="BI1962" s="37"/>
      <c r="BJ1962" s="37"/>
      <c r="BK1962" s="37"/>
      <c r="BL1962" s="37"/>
      <c r="BM1962" s="37"/>
    </row>
    <row r="1963" spans="1:65" s="40" customFormat="1" ht="23.25" x14ac:dyDescent="0.35">
      <c r="A1963" s="37"/>
      <c r="B1963" s="37"/>
      <c r="C1963" s="41"/>
      <c r="D1963" s="38"/>
      <c r="E1963" s="57"/>
      <c r="F1963" s="42"/>
      <c r="G1963" s="43"/>
      <c r="H1963" s="37"/>
      <c r="I1963" s="37"/>
      <c r="J1963" s="38"/>
      <c r="K1963" s="37"/>
      <c r="L1963" s="38"/>
      <c r="M1963" s="39"/>
      <c r="P1963" s="37"/>
      <c r="Q1963" s="37"/>
      <c r="R1963" s="37"/>
      <c r="S1963" s="37"/>
      <c r="T1963" s="37"/>
      <c r="U1963" s="37"/>
      <c r="V1963" s="37"/>
      <c r="W1963" s="37"/>
      <c r="X1963" s="37"/>
      <c r="Y1963" s="37"/>
      <c r="Z1963" s="37"/>
      <c r="AA1963" s="37"/>
      <c r="AB1963" s="37"/>
      <c r="AC1963" s="37"/>
      <c r="AD1963" s="37"/>
      <c r="AE1963" s="37"/>
      <c r="AF1963" s="37"/>
      <c r="AG1963" s="37"/>
      <c r="AH1963" s="37"/>
      <c r="AI1963" s="37"/>
      <c r="AJ1963" s="37"/>
      <c r="AK1963" s="37"/>
      <c r="AL1963" s="37"/>
      <c r="AM1963" s="37"/>
      <c r="AN1963" s="37"/>
      <c r="AO1963" s="37"/>
      <c r="AP1963" s="37"/>
      <c r="AQ1963" s="37"/>
      <c r="AR1963" s="37"/>
      <c r="AS1963" s="37"/>
      <c r="AT1963" s="37"/>
      <c r="AU1963" s="37"/>
      <c r="AV1963" s="37"/>
      <c r="AW1963" s="37"/>
      <c r="AX1963" s="37"/>
      <c r="AY1963" s="37"/>
      <c r="AZ1963" s="37"/>
      <c r="BA1963" s="37"/>
      <c r="BB1963" s="37"/>
      <c r="BC1963" s="37"/>
      <c r="BD1963" s="37"/>
      <c r="BE1963" s="37"/>
      <c r="BF1963" s="37"/>
      <c r="BG1963" s="37"/>
      <c r="BH1963" s="37"/>
      <c r="BI1963" s="37"/>
      <c r="BJ1963" s="37"/>
      <c r="BK1963" s="37"/>
      <c r="BL1963" s="37"/>
      <c r="BM1963" s="37"/>
    </row>
    <row r="1964" spans="1:65" s="40" customFormat="1" ht="23.25" x14ac:dyDescent="0.35">
      <c r="A1964" s="37"/>
      <c r="B1964" s="37"/>
      <c r="C1964" s="41"/>
      <c r="D1964" s="38"/>
      <c r="E1964" s="57"/>
      <c r="F1964" s="42"/>
      <c r="G1964" s="43"/>
      <c r="H1964" s="37"/>
      <c r="I1964" s="37"/>
      <c r="J1964" s="38"/>
      <c r="K1964" s="37"/>
      <c r="L1964" s="38"/>
      <c r="M1964" s="39"/>
      <c r="P1964" s="37"/>
      <c r="Q1964" s="37"/>
      <c r="R1964" s="37"/>
      <c r="S1964" s="37"/>
      <c r="T1964" s="37"/>
      <c r="U1964" s="37"/>
      <c r="V1964" s="37"/>
      <c r="W1964" s="37"/>
      <c r="X1964" s="37"/>
      <c r="Y1964" s="37"/>
      <c r="Z1964" s="37"/>
      <c r="AA1964" s="37"/>
      <c r="AB1964" s="37"/>
      <c r="AC1964" s="37"/>
      <c r="AD1964" s="37"/>
      <c r="AE1964" s="37"/>
      <c r="AF1964" s="37"/>
      <c r="AG1964" s="37"/>
      <c r="AH1964" s="37"/>
      <c r="AI1964" s="37"/>
      <c r="AJ1964" s="37"/>
      <c r="AK1964" s="37"/>
      <c r="AL1964" s="37"/>
      <c r="AM1964" s="37"/>
      <c r="AN1964" s="37"/>
      <c r="AO1964" s="37"/>
      <c r="AP1964" s="37"/>
      <c r="AQ1964" s="37"/>
      <c r="AR1964" s="37"/>
      <c r="AS1964" s="37"/>
      <c r="AT1964" s="37"/>
      <c r="AU1964" s="37"/>
      <c r="AV1964" s="37"/>
      <c r="AW1964" s="37"/>
      <c r="AX1964" s="37"/>
      <c r="AY1964" s="37"/>
      <c r="AZ1964" s="37"/>
      <c r="BA1964" s="37"/>
      <c r="BB1964" s="37"/>
      <c r="BC1964" s="37"/>
      <c r="BD1964" s="37"/>
      <c r="BE1964" s="37"/>
      <c r="BF1964" s="37"/>
      <c r="BG1964" s="37"/>
      <c r="BH1964" s="37"/>
      <c r="BI1964" s="37"/>
      <c r="BJ1964" s="37"/>
      <c r="BK1964" s="37"/>
      <c r="BL1964" s="37"/>
      <c r="BM1964" s="37"/>
    </row>
    <row r="1965" spans="1:65" s="40" customFormat="1" ht="23.25" x14ac:dyDescent="0.35">
      <c r="A1965" s="37"/>
      <c r="B1965" s="37"/>
      <c r="C1965" s="41"/>
      <c r="D1965" s="38"/>
      <c r="E1965" s="57"/>
      <c r="F1965" s="42"/>
      <c r="G1965" s="43"/>
      <c r="H1965" s="37"/>
      <c r="I1965" s="37"/>
      <c r="J1965" s="38"/>
      <c r="K1965" s="37"/>
      <c r="L1965" s="38"/>
      <c r="M1965" s="39"/>
      <c r="P1965" s="37"/>
      <c r="Q1965" s="37"/>
      <c r="R1965" s="37"/>
      <c r="S1965" s="37"/>
      <c r="T1965" s="37"/>
      <c r="U1965" s="37"/>
      <c r="V1965" s="37"/>
      <c r="W1965" s="37"/>
      <c r="X1965" s="37"/>
      <c r="Y1965" s="37"/>
      <c r="Z1965" s="37"/>
      <c r="AA1965" s="37"/>
      <c r="AB1965" s="37"/>
      <c r="AC1965" s="37"/>
      <c r="AD1965" s="37"/>
      <c r="AE1965" s="37"/>
      <c r="AF1965" s="37"/>
      <c r="AG1965" s="37"/>
      <c r="AH1965" s="37"/>
      <c r="AI1965" s="37"/>
      <c r="AJ1965" s="37"/>
      <c r="AK1965" s="37"/>
      <c r="AL1965" s="37"/>
      <c r="AM1965" s="37"/>
      <c r="AN1965" s="37"/>
      <c r="AO1965" s="37"/>
      <c r="AP1965" s="37"/>
      <c r="AQ1965" s="37"/>
      <c r="AR1965" s="37"/>
      <c r="AS1965" s="37"/>
      <c r="AT1965" s="37"/>
      <c r="AU1965" s="37"/>
      <c r="AV1965" s="37"/>
      <c r="AW1965" s="37"/>
      <c r="AX1965" s="37"/>
      <c r="AY1965" s="37"/>
      <c r="AZ1965" s="37"/>
      <c r="BA1965" s="37"/>
      <c r="BB1965" s="37"/>
      <c r="BC1965" s="37"/>
      <c r="BD1965" s="37"/>
      <c r="BE1965" s="37"/>
      <c r="BF1965" s="37"/>
      <c r="BG1965" s="37"/>
      <c r="BH1965" s="37"/>
      <c r="BI1965" s="37"/>
      <c r="BJ1965" s="37"/>
      <c r="BK1965" s="37"/>
      <c r="BL1965" s="37"/>
      <c r="BM1965" s="37"/>
    </row>
    <row r="1966" spans="1:65" s="40" customFormat="1" ht="23.25" x14ac:dyDescent="0.35">
      <c r="A1966" s="37"/>
      <c r="B1966" s="37"/>
      <c r="C1966" s="41"/>
      <c r="D1966" s="38"/>
      <c r="E1966" s="57"/>
      <c r="F1966" s="42"/>
      <c r="G1966" s="43"/>
      <c r="H1966" s="37"/>
      <c r="I1966" s="37"/>
      <c r="J1966" s="38"/>
      <c r="K1966" s="37"/>
      <c r="L1966" s="38"/>
      <c r="M1966" s="39"/>
      <c r="P1966" s="37"/>
      <c r="Q1966" s="37"/>
      <c r="R1966" s="37"/>
      <c r="S1966" s="37"/>
      <c r="T1966" s="37"/>
      <c r="U1966" s="37"/>
      <c r="V1966" s="37"/>
      <c r="W1966" s="37"/>
      <c r="X1966" s="37"/>
      <c r="Y1966" s="37"/>
      <c r="Z1966" s="37"/>
      <c r="AA1966" s="37"/>
      <c r="AB1966" s="37"/>
      <c r="AC1966" s="37"/>
      <c r="AD1966" s="37"/>
      <c r="AE1966" s="37"/>
      <c r="AF1966" s="37"/>
      <c r="AG1966" s="37"/>
      <c r="AH1966" s="37"/>
      <c r="AI1966" s="37"/>
      <c r="AJ1966" s="37"/>
      <c r="AK1966" s="37"/>
      <c r="AL1966" s="37"/>
      <c r="AM1966" s="37"/>
      <c r="AN1966" s="37"/>
      <c r="AO1966" s="37"/>
      <c r="AP1966" s="37"/>
      <c r="AQ1966" s="37"/>
      <c r="AR1966" s="37"/>
      <c r="AS1966" s="37"/>
      <c r="AT1966" s="37"/>
      <c r="AU1966" s="37"/>
      <c r="AV1966" s="37"/>
      <c r="AW1966" s="37"/>
      <c r="AX1966" s="37"/>
      <c r="AY1966" s="37"/>
      <c r="AZ1966" s="37"/>
      <c r="BA1966" s="37"/>
      <c r="BB1966" s="37"/>
      <c r="BC1966" s="37"/>
      <c r="BD1966" s="37"/>
      <c r="BE1966" s="37"/>
      <c r="BF1966" s="37"/>
      <c r="BG1966" s="37"/>
      <c r="BH1966" s="37"/>
      <c r="BI1966" s="37"/>
      <c r="BJ1966" s="37"/>
      <c r="BK1966" s="37"/>
      <c r="BL1966" s="37"/>
      <c r="BM1966" s="37"/>
    </row>
    <row r="1967" spans="1:65" s="40" customFormat="1" ht="23.25" x14ac:dyDescent="0.35">
      <c r="A1967" s="37"/>
      <c r="B1967" s="37"/>
      <c r="C1967" s="41"/>
      <c r="D1967" s="38"/>
      <c r="E1967" s="57"/>
      <c r="F1967" s="42"/>
      <c r="G1967" s="43"/>
      <c r="H1967" s="37"/>
      <c r="I1967" s="37"/>
      <c r="J1967" s="38"/>
      <c r="K1967" s="37"/>
      <c r="L1967" s="38"/>
      <c r="M1967" s="39"/>
      <c r="P1967" s="37"/>
      <c r="Q1967" s="37"/>
      <c r="R1967" s="37"/>
      <c r="S1967" s="37"/>
      <c r="T1967" s="37"/>
      <c r="U1967" s="37"/>
      <c r="V1967" s="37"/>
      <c r="W1967" s="37"/>
      <c r="X1967" s="37"/>
      <c r="Y1967" s="37"/>
      <c r="Z1967" s="37"/>
      <c r="AA1967" s="37"/>
      <c r="AB1967" s="37"/>
      <c r="AC1967" s="37"/>
      <c r="AD1967" s="37"/>
      <c r="AE1967" s="37"/>
      <c r="AF1967" s="37"/>
      <c r="AG1967" s="37"/>
      <c r="AH1967" s="37"/>
      <c r="AI1967" s="37"/>
      <c r="AJ1967" s="37"/>
      <c r="AK1967" s="37"/>
      <c r="AL1967" s="37"/>
      <c r="AM1967" s="37"/>
      <c r="AN1967" s="37"/>
      <c r="AO1967" s="37"/>
      <c r="AP1967" s="37"/>
      <c r="AQ1967" s="37"/>
      <c r="AR1967" s="37"/>
      <c r="AS1967" s="37"/>
      <c r="AT1967" s="37"/>
      <c r="AU1967" s="37"/>
      <c r="AV1967" s="37"/>
      <c r="AW1967" s="37"/>
      <c r="AX1967" s="37"/>
      <c r="AY1967" s="37"/>
      <c r="AZ1967" s="37"/>
      <c r="BA1967" s="37"/>
      <c r="BB1967" s="37"/>
      <c r="BC1967" s="37"/>
      <c r="BD1967" s="37"/>
      <c r="BE1967" s="37"/>
      <c r="BF1967" s="37"/>
      <c r="BG1967" s="37"/>
      <c r="BH1967" s="37"/>
      <c r="BI1967" s="37"/>
      <c r="BJ1967" s="37"/>
      <c r="BK1967" s="37"/>
      <c r="BL1967" s="37"/>
      <c r="BM1967" s="37"/>
    </row>
    <row r="1968" spans="1:65" s="40" customFormat="1" ht="23.25" x14ac:dyDescent="0.35">
      <c r="A1968" s="37"/>
      <c r="B1968" s="37"/>
      <c r="C1968" s="41"/>
      <c r="D1968" s="38"/>
      <c r="E1968" s="57"/>
      <c r="F1968" s="42"/>
      <c r="G1968" s="43"/>
      <c r="H1968" s="37"/>
      <c r="I1968" s="37"/>
      <c r="J1968" s="38"/>
      <c r="K1968" s="37"/>
      <c r="L1968" s="38"/>
      <c r="M1968" s="39"/>
      <c r="P1968" s="37"/>
      <c r="Q1968" s="37"/>
      <c r="R1968" s="37"/>
      <c r="S1968" s="37"/>
      <c r="T1968" s="37"/>
      <c r="U1968" s="37"/>
      <c r="V1968" s="37"/>
      <c r="W1968" s="37"/>
      <c r="X1968" s="37"/>
      <c r="Y1968" s="37"/>
      <c r="Z1968" s="37"/>
      <c r="AA1968" s="37"/>
      <c r="AB1968" s="37"/>
      <c r="AC1968" s="37"/>
      <c r="AD1968" s="37"/>
      <c r="AE1968" s="37"/>
      <c r="AF1968" s="37"/>
      <c r="AG1968" s="37"/>
      <c r="AH1968" s="37"/>
      <c r="AI1968" s="37"/>
      <c r="AJ1968" s="37"/>
      <c r="AK1968" s="37"/>
      <c r="AL1968" s="37"/>
      <c r="AM1968" s="37"/>
      <c r="AN1968" s="37"/>
      <c r="AO1968" s="37"/>
      <c r="AP1968" s="37"/>
      <c r="AQ1968" s="37"/>
      <c r="AR1968" s="37"/>
      <c r="AS1968" s="37"/>
      <c r="AT1968" s="37"/>
      <c r="AU1968" s="37"/>
      <c r="AV1968" s="37"/>
      <c r="AW1968" s="37"/>
      <c r="AX1968" s="37"/>
      <c r="AY1968" s="37"/>
      <c r="AZ1968" s="37"/>
      <c r="BA1968" s="37"/>
      <c r="BB1968" s="37"/>
      <c r="BC1968" s="37"/>
      <c r="BD1968" s="37"/>
      <c r="BE1968" s="37"/>
      <c r="BF1968" s="37"/>
      <c r="BG1968" s="37"/>
      <c r="BH1968" s="37"/>
      <c r="BI1968" s="37"/>
      <c r="BJ1968" s="37"/>
      <c r="BK1968" s="37"/>
      <c r="BL1968" s="37"/>
      <c r="BM1968" s="37"/>
    </row>
    <row r="1969" spans="1:65" s="40" customFormat="1" ht="23.25" x14ac:dyDescent="0.35">
      <c r="A1969" s="37"/>
      <c r="B1969" s="37"/>
      <c r="C1969" s="41"/>
      <c r="D1969" s="38"/>
      <c r="E1969" s="57"/>
      <c r="F1969" s="42"/>
      <c r="G1969" s="43"/>
      <c r="H1969" s="37"/>
      <c r="I1969" s="37"/>
      <c r="J1969" s="38"/>
      <c r="K1969" s="37"/>
      <c r="L1969" s="38"/>
      <c r="M1969" s="39"/>
      <c r="P1969" s="37"/>
      <c r="Q1969" s="37"/>
      <c r="R1969" s="37"/>
      <c r="S1969" s="37"/>
      <c r="T1969" s="37"/>
      <c r="U1969" s="37"/>
      <c r="V1969" s="37"/>
      <c r="W1969" s="37"/>
      <c r="X1969" s="37"/>
      <c r="Y1969" s="37"/>
      <c r="Z1969" s="37"/>
      <c r="AA1969" s="37"/>
      <c r="AB1969" s="37"/>
      <c r="AC1969" s="37"/>
      <c r="AD1969" s="37"/>
      <c r="AE1969" s="37"/>
      <c r="AF1969" s="37"/>
      <c r="AG1969" s="37"/>
      <c r="AH1969" s="37"/>
      <c r="AI1969" s="37"/>
      <c r="AJ1969" s="37"/>
      <c r="AK1969" s="37"/>
      <c r="AL1969" s="37"/>
      <c r="AM1969" s="37"/>
      <c r="AN1969" s="37"/>
      <c r="AO1969" s="37"/>
      <c r="AP1969" s="37"/>
      <c r="AQ1969" s="37"/>
      <c r="AR1969" s="37"/>
      <c r="AS1969" s="37"/>
      <c r="AT1969" s="37"/>
      <c r="AU1969" s="37"/>
      <c r="AV1969" s="37"/>
      <c r="AW1969" s="37"/>
      <c r="AX1969" s="37"/>
      <c r="AY1969" s="37"/>
      <c r="AZ1969" s="37"/>
      <c r="BA1969" s="37"/>
      <c r="BB1969" s="37"/>
      <c r="BC1969" s="37"/>
      <c r="BD1969" s="37"/>
      <c r="BE1969" s="37"/>
      <c r="BF1969" s="37"/>
      <c r="BG1969" s="37"/>
      <c r="BH1969" s="37"/>
      <c r="BI1969" s="37"/>
      <c r="BJ1969" s="37"/>
      <c r="BK1969" s="37"/>
      <c r="BL1969" s="37"/>
      <c r="BM1969" s="37"/>
    </row>
    <row r="1970" spans="1:65" s="40" customFormat="1" ht="23.25" x14ac:dyDescent="0.35">
      <c r="A1970" s="37"/>
      <c r="B1970" s="37"/>
      <c r="C1970" s="41"/>
      <c r="D1970" s="38"/>
      <c r="E1970" s="57"/>
      <c r="F1970" s="42"/>
      <c r="G1970" s="43"/>
      <c r="H1970" s="37"/>
      <c r="I1970" s="37"/>
      <c r="J1970" s="38"/>
      <c r="K1970" s="37"/>
      <c r="L1970" s="38"/>
      <c r="M1970" s="39"/>
      <c r="P1970" s="37"/>
      <c r="Q1970" s="37"/>
      <c r="R1970" s="37"/>
      <c r="S1970" s="37"/>
      <c r="T1970" s="37"/>
      <c r="U1970" s="37"/>
      <c r="V1970" s="37"/>
      <c r="W1970" s="37"/>
      <c r="X1970" s="37"/>
      <c r="Y1970" s="37"/>
      <c r="Z1970" s="37"/>
      <c r="AA1970" s="37"/>
      <c r="AB1970" s="37"/>
      <c r="AC1970" s="37"/>
      <c r="AD1970" s="37"/>
      <c r="AE1970" s="37"/>
      <c r="AF1970" s="37"/>
      <c r="AG1970" s="37"/>
      <c r="AH1970" s="37"/>
      <c r="AI1970" s="37"/>
      <c r="AJ1970" s="37"/>
      <c r="AK1970" s="37"/>
      <c r="AL1970" s="37"/>
      <c r="AM1970" s="37"/>
      <c r="AN1970" s="37"/>
      <c r="AO1970" s="37"/>
      <c r="AP1970" s="37"/>
      <c r="AQ1970" s="37"/>
      <c r="AR1970" s="37"/>
      <c r="AS1970" s="37"/>
      <c r="AT1970" s="37"/>
      <c r="AU1970" s="37"/>
      <c r="AV1970" s="37"/>
      <c r="AW1970" s="37"/>
      <c r="AX1970" s="37"/>
      <c r="AY1970" s="37"/>
      <c r="AZ1970" s="37"/>
      <c r="BA1970" s="37"/>
      <c r="BB1970" s="37"/>
      <c r="BC1970" s="37"/>
      <c r="BD1970" s="37"/>
      <c r="BE1970" s="37"/>
      <c r="BF1970" s="37"/>
      <c r="BG1970" s="37"/>
      <c r="BH1970" s="37"/>
      <c r="BI1970" s="37"/>
      <c r="BJ1970" s="37"/>
      <c r="BK1970" s="37"/>
      <c r="BL1970" s="37"/>
      <c r="BM1970" s="37"/>
    </row>
    <row r="1971" spans="1:65" s="40" customFormat="1" ht="23.25" x14ac:dyDescent="0.35">
      <c r="A1971" s="37"/>
      <c r="B1971" s="37"/>
      <c r="C1971" s="41"/>
      <c r="D1971" s="38"/>
      <c r="E1971" s="57"/>
      <c r="F1971" s="42"/>
      <c r="G1971" s="43"/>
      <c r="H1971" s="37"/>
      <c r="I1971" s="37"/>
      <c r="J1971" s="38"/>
      <c r="K1971" s="37"/>
      <c r="L1971" s="38"/>
      <c r="M1971" s="39"/>
      <c r="P1971" s="37"/>
      <c r="Q1971" s="37"/>
      <c r="R1971" s="37"/>
      <c r="S1971" s="37"/>
      <c r="T1971" s="37"/>
      <c r="U1971" s="37"/>
      <c r="V1971" s="37"/>
      <c r="W1971" s="37"/>
      <c r="X1971" s="37"/>
      <c r="Y1971" s="37"/>
      <c r="Z1971" s="37"/>
      <c r="AA1971" s="37"/>
      <c r="AB1971" s="37"/>
      <c r="AC1971" s="37"/>
      <c r="AD1971" s="37"/>
      <c r="AE1971" s="37"/>
      <c r="AF1971" s="37"/>
      <c r="AG1971" s="37"/>
      <c r="AH1971" s="37"/>
      <c r="AI1971" s="37"/>
      <c r="AJ1971" s="37"/>
      <c r="AK1971" s="37"/>
      <c r="AL1971" s="37"/>
      <c r="AM1971" s="37"/>
      <c r="AN1971" s="37"/>
      <c r="AO1971" s="37"/>
      <c r="AP1971" s="37"/>
      <c r="AQ1971" s="37"/>
      <c r="AR1971" s="37"/>
      <c r="AS1971" s="37"/>
      <c r="AT1971" s="37"/>
      <c r="AU1971" s="37"/>
      <c r="AV1971" s="37"/>
      <c r="AW1971" s="37"/>
      <c r="AX1971" s="37"/>
      <c r="AY1971" s="37"/>
      <c r="AZ1971" s="37"/>
      <c r="BA1971" s="37"/>
      <c r="BB1971" s="37"/>
      <c r="BC1971" s="37"/>
      <c r="BD1971" s="37"/>
      <c r="BE1971" s="37"/>
      <c r="BF1971" s="37"/>
      <c r="BG1971" s="37"/>
      <c r="BH1971" s="37"/>
      <c r="BI1971" s="37"/>
      <c r="BJ1971" s="37"/>
      <c r="BK1971" s="37"/>
      <c r="BL1971" s="37"/>
      <c r="BM1971" s="37"/>
    </row>
    <row r="1972" spans="1:65" s="40" customFormat="1" ht="23.25" x14ac:dyDescent="0.35">
      <c r="A1972" s="37"/>
      <c r="B1972" s="37"/>
      <c r="C1972" s="41"/>
      <c r="D1972" s="38"/>
      <c r="E1972" s="57"/>
      <c r="F1972" s="42"/>
      <c r="G1972" s="43"/>
      <c r="H1972" s="37"/>
      <c r="I1972" s="37"/>
      <c r="J1972" s="38"/>
      <c r="K1972" s="37"/>
      <c r="L1972" s="38"/>
      <c r="M1972" s="39"/>
      <c r="P1972" s="37"/>
      <c r="Q1972" s="37"/>
      <c r="R1972" s="37"/>
      <c r="S1972" s="37"/>
      <c r="T1972" s="37"/>
      <c r="U1972" s="37"/>
      <c r="V1972" s="37"/>
      <c r="W1972" s="37"/>
      <c r="X1972" s="37"/>
      <c r="Y1972" s="37"/>
      <c r="Z1972" s="37"/>
      <c r="AA1972" s="37"/>
      <c r="AB1972" s="37"/>
      <c r="AC1972" s="37"/>
      <c r="AD1972" s="37"/>
      <c r="AE1972" s="37"/>
      <c r="AF1972" s="37"/>
      <c r="AG1972" s="37"/>
      <c r="AH1972" s="37"/>
      <c r="AI1972" s="37"/>
      <c r="AJ1972" s="37"/>
      <c r="AK1972" s="37"/>
      <c r="AL1972" s="37"/>
      <c r="AM1972" s="37"/>
      <c r="AN1972" s="37"/>
      <c r="AO1972" s="37"/>
      <c r="AP1972" s="37"/>
      <c r="AQ1972" s="37"/>
      <c r="AR1972" s="37"/>
      <c r="AS1972" s="37"/>
      <c r="AT1972" s="37"/>
      <c r="AU1972" s="37"/>
      <c r="AV1972" s="37"/>
      <c r="AW1972" s="37"/>
      <c r="AX1972" s="37"/>
      <c r="AY1972" s="37"/>
      <c r="AZ1972" s="37"/>
      <c r="BA1972" s="37"/>
      <c r="BB1972" s="37"/>
      <c r="BC1972" s="37"/>
      <c r="BD1972" s="37"/>
      <c r="BE1972" s="37"/>
      <c r="BF1972" s="37"/>
      <c r="BG1972" s="37"/>
      <c r="BH1972" s="37"/>
      <c r="BI1972" s="37"/>
      <c r="BJ1972" s="37"/>
      <c r="BK1972" s="37"/>
      <c r="BL1972" s="37"/>
      <c r="BM1972" s="37"/>
    </row>
    <row r="1973" spans="1:65" s="40" customFormat="1" ht="23.25" x14ac:dyDescent="0.35">
      <c r="A1973" s="37"/>
      <c r="B1973" s="37"/>
      <c r="C1973" s="41"/>
      <c r="D1973" s="38"/>
      <c r="E1973" s="57"/>
      <c r="F1973" s="42"/>
      <c r="G1973" s="43"/>
      <c r="H1973" s="37"/>
      <c r="I1973" s="37"/>
      <c r="J1973" s="38"/>
      <c r="K1973" s="37"/>
      <c r="L1973" s="38"/>
      <c r="M1973" s="39"/>
      <c r="P1973" s="37"/>
      <c r="Q1973" s="37"/>
      <c r="R1973" s="37"/>
      <c r="S1973" s="37"/>
      <c r="T1973" s="37"/>
      <c r="U1973" s="37"/>
      <c r="V1973" s="37"/>
      <c r="W1973" s="37"/>
      <c r="X1973" s="37"/>
      <c r="Y1973" s="37"/>
      <c r="Z1973" s="37"/>
      <c r="AA1973" s="37"/>
      <c r="AB1973" s="37"/>
      <c r="AC1973" s="37"/>
      <c r="AD1973" s="37"/>
      <c r="AE1973" s="37"/>
      <c r="AF1973" s="37"/>
      <c r="AG1973" s="37"/>
      <c r="AH1973" s="37"/>
      <c r="AI1973" s="37"/>
      <c r="AJ1973" s="37"/>
      <c r="AK1973" s="37"/>
      <c r="AL1973" s="37"/>
      <c r="AM1973" s="37"/>
      <c r="AN1973" s="37"/>
      <c r="AO1973" s="37"/>
      <c r="AP1973" s="37"/>
      <c r="AQ1973" s="37"/>
      <c r="AR1973" s="37"/>
      <c r="AS1973" s="37"/>
      <c r="AT1973" s="37"/>
      <c r="AU1973" s="37"/>
      <c r="AV1973" s="37"/>
      <c r="AW1973" s="37"/>
      <c r="AX1973" s="37"/>
      <c r="AY1973" s="37"/>
      <c r="AZ1973" s="37"/>
      <c r="BA1973" s="37"/>
      <c r="BB1973" s="37"/>
      <c r="BC1973" s="37"/>
      <c r="BD1973" s="37"/>
      <c r="BE1973" s="37"/>
      <c r="BF1973" s="37"/>
      <c r="BG1973" s="37"/>
      <c r="BH1973" s="37"/>
      <c r="BI1973" s="37"/>
      <c r="BJ1973" s="37"/>
      <c r="BK1973" s="37"/>
      <c r="BL1973" s="37"/>
      <c r="BM1973" s="37"/>
    </row>
    <row r="1974" spans="1:65" s="40" customFormat="1" ht="23.25" x14ac:dyDescent="0.35">
      <c r="A1974" s="37"/>
      <c r="B1974" s="37"/>
      <c r="C1974" s="41"/>
      <c r="D1974" s="38"/>
      <c r="E1974" s="57"/>
      <c r="F1974" s="42"/>
      <c r="G1974" s="43"/>
      <c r="H1974" s="37"/>
      <c r="I1974" s="37"/>
      <c r="J1974" s="38"/>
      <c r="K1974" s="37"/>
      <c r="L1974" s="38"/>
      <c r="M1974" s="39"/>
      <c r="P1974" s="37"/>
      <c r="Q1974" s="37"/>
      <c r="R1974" s="37"/>
      <c r="S1974" s="37"/>
      <c r="T1974" s="37"/>
      <c r="U1974" s="37"/>
      <c r="V1974" s="37"/>
      <c r="W1974" s="37"/>
      <c r="X1974" s="37"/>
      <c r="Y1974" s="37"/>
      <c r="Z1974" s="37"/>
      <c r="AA1974" s="37"/>
      <c r="AB1974" s="37"/>
      <c r="AC1974" s="37"/>
      <c r="AD1974" s="37"/>
      <c r="AE1974" s="37"/>
      <c r="AF1974" s="37"/>
      <c r="AG1974" s="37"/>
      <c r="AH1974" s="37"/>
      <c r="AI1974" s="37"/>
      <c r="AJ1974" s="37"/>
      <c r="AK1974" s="37"/>
      <c r="AL1974" s="37"/>
      <c r="AM1974" s="37"/>
      <c r="AN1974" s="37"/>
      <c r="AO1974" s="37"/>
      <c r="AP1974" s="37"/>
      <c r="AQ1974" s="37"/>
      <c r="AR1974" s="37"/>
      <c r="AS1974" s="37"/>
      <c r="AT1974" s="37"/>
      <c r="AU1974" s="37"/>
      <c r="AV1974" s="37"/>
      <c r="AW1974" s="37"/>
      <c r="AX1974" s="37"/>
      <c r="AY1974" s="37"/>
      <c r="AZ1974" s="37"/>
      <c r="BA1974" s="37"/>
      <c r="BB1974" s="37"/>
      <c r="BC1974" s="37"/>
      <c r="BD1974" s="37"/>
      <c r="BE1974" s="37"/>
      <c r="BF1974" s="37"/>
      <c r="BG1974" s="37"/>
      <c r="BH1974" s="37"/>
      <c r="BI1974" s="37"/>
      <c r="BJ1974" s="37"/>
      <c r="BK1974" s="37"/>
      <c r="BL1974" s="37"/>
      <c r="BM1974" s="37"/>
    </row>
    <row r="1975" spans="1:65" s="40" customFormat="1" ht="23.25" x14ac:dyDescent="0.35">
      <c r="A1975" s="37"/>
      <c r="B1975" s="37"/>
      <c r="C1975" s="41"/>
      <c r="D1975" s="38"/>
      <c r="E1975" s="57"/>
      <c r="F1975" s="42"/>
      <c r="G1975" s="43"/>
      <c r="H1975" s="37"/>
      <c r="I1975" s="37"/>
      <c r="J1975" s="38"/>
      <c r="K1975" s="37"/>
      <c r="L1975" s="38"/>
      <c r="M1975" s="39"/>
      <c r="P1975" s="37"/>
      <c r="Q1975" s="37"/>
      <c r="R1975" s="37"/>
      <c r="S1975" s="37"/>
      <c r="T1975" s="37"/>
      <c r="U1975" s="37"/>
      <c r="V1975" s="37"/>
      <c r="W1975" s="37"/>
      <c r="X1975" s="37"/>
      <c r="Y1975" s="37"/>
      <c r="Z1975" s="37"/>
      <c r="AA1975" s="37"/>
      <c r="AB1975" s="37"/>
      <c r="AC1975" s="37"/>
      <c r="AD1975" s="37"/>
      <c r="AE1975" s="37"/>
      <c r="AF1975" s="37"/>
      <c r="AG1975" s="37"/>
      <c r="AH1975" s="37"/>
      <c r="AI1975" s="37"/>
      <c r="AJ1975" s="37"/>
      <c r="AK1975" s="37"/>
      <c r="AL1975" s="37"/>
      <c r="AM1975" s="37"/>
      <c r="AN1975" s="37"/>
      <c r="AO1975" s="37"/>
      <c r="AP1975" s="37"/>
      <c r="AQ1975" s="37"/>
      <c r="AR1975" s="37"/>
      <c r="AS1975" s="37"/>
      <c r="AT1975" s="37"/>
      <c r="AU1975" s="37"/>
      <c r="AV1975" s="37"/>
      <c r="AW1975" s="37"/>
      <c r="AX1975" s="37"/>
      <c r="AY1975" s="37"/>
      <c r="AZ1975" s="37"/>
      <c r="BA1975" s="37"/>
      <c r="BB1975" s="37"/>
      <c r="BC1975" s="37"/>
      <c r="BD1975" s="37"/>
      <c r="BE1975" s="37"/>
      <c r="BF1975" s="37"/>
      <c r="BG1975" s="37"/>
      <c r="BH1975" s="37"/>
      <c r="BI1975" s="37"/>
      <c r="BJ1975" s="37"/>
      <c r="BK1975" s="37"/>
      <c r="BL1975" s="37"/>
      <c r="BM1975" s="37"/>
    </row>
    <row r="1976" spans="1:65" s="40" customFormat="1" ht="23.25" x14ac:dyDescent="0.35">
      <c r="A1976" s="37"/>
      <c r="B1976" s="37"/>
      <c r="C1976" s="41"/>
      <c r="D1976" s="38"/>
      <c r="E1976" s="57"/>
      <c r="F1976" s="42"/>
      <c r="G1976" s="43"/>
      <c r="H1976" s="37"/>
      <c r="I1976" s="37"/>
      <c r="J1976" s="38"/>
      <c r="K1976" s="37"/>
      <c r="L1976" s="38"/>
      <c r="M1976" s="39"/>
      <c r="P1976" s="37"/>
      <c r="Q1976" s="37"/>
      <c r="R1976" s="37"/>
      <c r="S1976" s="37"/>
      <c r="T1976" s="37"/>
      <c r="U1976" s="37"/>
      <c r="V1976" s="37"/>
      <c r="W1976" s="37"/>
      <c r="X1976" s="37"/>
      <c r="Y1976" s="37"/>
      <c r="Z1976" s="37"/>
      <c r="AA1976" s="37"/>
      <c r="AB1976" s="37"/>
      <c r="AC1976" s="37"/>
      <c r="AD1976" s="37"/>
      <c r="AE1976" s="37"/>
      <c r="AF1976" s="37"/>
      <c r="AG1976" s="37"/>
      <c r="AH1976" s="37"/>
      <c r="AI1976" s="37"/>
      <c r="AJ1976" s="37"/>
      <c r="AK1976" s="37"/>
      <c r="AL1976" s="37"/>
      <c r="AM1976" s="37"/>
      <c r="AN1976" s="37"/>
      <c r="AO1976" s="37"/>
      <c r="AP1976" s="37"/>
      <c r="AQ1976" s="37"/>
      <c r="AR1976" s="37"/>
      <c r="AS1976" s="37"/>
      <c r="AT1976" s="37"/>
      <c r="AU1976" s="37"/>
      <c r="AV1976" s="37"/>
      <c r="AW1976" s="37"/>
      <c r="AX1976" s="37"/>
      <c r="AY1976" s="37"/>
      <c r="AZ1976" s="37"/>
      <c r="BA1976" s="37"/>
      <c r="BB1976" s="37"/>
      <c r="BC1976" s="37"/>
      <c r="BD1976" s="37"/>
      <c r="BE1976" s="37"/>
      <c r="BF1976" s="37"/>
      <c r="BG1976" s="37"/>
      <c r="BH1976" s="37"/>
      <c r="BI1976" s="37"/>
      <c r="BJ1976" s="37"/>
      <c r="BK1976" s="37"/>
      <c r="BL1976" s="37"/>
      <c r="BM1976" s="37"/>
    </row>
    <row r="1977" spans="1:65" s="40" customFormat="1" ht="23.25" x14ac:dyDescent="0.35">
      <c r="A1977" s="37"/>
      <c r="B1977" s="37"/>
      <c r="C1977" s="41"/>
      <c r="D1977" s="38"/>
      <c r="E1977" s="57"/>
      <c r="F1977" s="42"/>
      <c r="G1977" s="43"/>
      <c r="H1977" s="37"/>
      <c r="I1977" s="37"/>
      <c r="J1977" s="38"/>
      <c r="K1977" s="37"/>
      <c r="L1977" s="38"/>
      <c r="M1977" s="39"/>
      <c r="P1977" s="37"/>
      <c r="Q1977" s="37"/>
      <c r="R1977" s="37"/>
      <c r="S1977" s="37"/>
      <c r="T1977" s="37"/>
      <c r="U1977" s="37"/>
      <c r="V1977" s="37"/>
      <c r="W1977" s="37"/>
      <c r="X1977" s="37"/>
      <c r="Y1977" s="37"/>
      <c r="Z1977" s="37"/>
      <c r="AA1977" s="37"/>
      <c r="AB1977" s="37"/>
      <c r="AC1977" s="37"/>
      <c r="AD1977" s="37"/>
      <c r="AE1977" s="37"/>
      <c r="AF1977" s="37"/>
      <c r="AG1977" s="37"/>
      <c r="AH1977" s="37"/>
      <c r="AI1977" s="37"/>
      <c r="AJ1977" s="37"/>
      <c r="AK1977" s="37"/>
      <c r="AL1977" s="37"/>
      <c r="AM1977" s="37"/>
      <c r="AN1977" s="37"/>
      <c r="AO1977" s="37"/>
      <c r="AP1977" s="37"/>
      <c r="AQ1977" s="37"/>
      <c r="AR1977" s="37"/>
      <c r="AS1977" s="37"/>
      <c r="AT1977" s="37"/>
      <c r="AU1977" s="37"/>
      <c r="AV1977" s="37"/>
      <c r="AW1977" s="37"/>
      <c r="AX1977" s="37"/>
      <c r="AY1977" s="37"/>
      <c r="AZ1977" s="37"/>
      <c r="BA1977" s="37"/>
      <c r="BB1977" s="37"/>
      <c r="BC1977" s="37"/>
      <c r="BD1977" s="37"/>
      <c r="BE1977" s="37"/>
      <c r="BF1977" s="37"/>
      <c r="BG1977" s="37"/>
      <c r="BH1977" s="37"/>
      <c r="BI1977" s="37"/>
      <c r="BJ1977" s="37"/>
      <c r="BK1977" s="37"/>
      <c r="BL1977" s="37"/>
      <c r="BM1977" s="37"/>
    </row>
    <row r="1978" spans="1:65" s="40" customFormat="1" ht="23.25" x14ac:dyDescent="0.35">
      <c r="A1978" s="37"/>
      <c r="B1978" s="37"/>
      <c r="C1978" s="41"/>
      <c r="D1978" s="38"/>
      <c r="E1978" s="57"/>
      <c r="F1978" s="42"/>
      <c r="G1978" s="43"/>
      <c r="H1978" s="37"/>
      <c r="I1978" s="37"/>
      <c r="J1978" s="38"/>
      <c r="K1978" s="37"/>
      <c r="L1978" s="38"/>
      <c r="M1978" s="39"/>
      <c r="P1978" s="37"/>
      <c r="Q1978" s="37"/>
      <c r="R1978" s="37"/>
      <c r="S1978" s="37"/>
      <c r="T1978" s="37"/>
      <c r="U1978" s="37"/>
      <c r="V1978" s="37"/>
      <c r="W1978" s="37"/>
      <c r="X1978" s="37"/>
      <c r="Y1978" s="37"/>
      <c r="Z1978" s="37"/>
      <c r="AA1978" s="37"/>
      <c r="AB1978" s="37"/>
      <c r="AC1978" s="37"/>
      <c r="AD1978" s="37"/>
      <c r="AE1978" s="37"/>
      <c r="AF1978" s="37"/>
      <c r="AG1978" s="37"/>
      <c r="AH1978" s="37"/>
      <c r="AI1978" s="37"/>
      <c r="AJ1978" s="37"/>
      <c r="AK1978" s="37"/>
      <c r="AL1978" s="37"/>
      <c r="AM1978" s="37"/>
      <c r="AN1978" s="37"/>
      <c r="AO1978" s="37"/>
      <c r="AP1978" s="37"/>
      <c r="AQ1978" s="37"/>
      <c r="AR1978" s="37"/>
      <c r="AS1978" s="37"/>
      <c r="AT1978" s="37"/>
      <c r="AU1978" s="37"/>
      <c r="AV1978" s="37"/>
      <c r="AW1978" s="37"/>
      <c r="AX1978" s="37"/>
      <c r="AY1978" s="37"/>
      <c r="AZ1978" s="37"/>
      <c r="BA1978" s="37"/>
      <c r="BB1978" s="37"/>
      <c r="BC1978" s="37"/>
      <c r="BD1978" s="37"/>
      <c r="BE1978" s="37"/>
      <c r="BF1978" s="37"/>
      <c r="BG1978" s="37"/>
      <c r="BH1978" s="37"/>
      <c r="BI1978" s="37"/>
      <c r="BJ1978" s="37"/>
      <c r="BK1978" s="37"/>
      <c r="BL1978" s="37"/>
      <c r="BM1978" s="37"/>
    </row>
    <row r="1979" spans="1:65" s="40" customFormat="1" ht="23.25" x14ac:dyDescent="0.35">
      <c r="A1979" s="37"/>
      <c r="B1979" s="37"/>
      <c r="C1979" s="41"/>
      <c r="D1979" s="38"/>
      <c r="E1979" s="57"/>
      <c r="F1979" s="42"/>
      <c r="G1979" s="43"/>
      <c r="H1979" s="37"/>
      <c r="I1979" s="37"/>
      <c r="J1979" s="38"/>
      <c r="K1979" s="37"/>
      <c r="L1979" s="38"/>
      <c r="M1979" s="39"/>
      <c r="P1979" s="37"/>
      <c r="Q1979" s="37"/>
      <c r="R1979" s="37"/>
      <c r="S1979" s="37"/>
      <c r="T1979" s="37"/>
      <c r="U1979" s="37"/>
      <c r="V1979" s="37"/>
      <c r="W1979" s="37"/>
      <c r="X1979" s="37"/>
      <c r="Y1979" s="37"/>
      <c r="Z1979" s="37"/>
      <c r="AA1979" s="37"/>
      <c r="AB1979" s="37"/>
      <c r="AC1979" s="37"/>
      <c r="AD1979" s="37"/>
      <c r="AE1979" s="37"/>
      <c r="AF1979" s="37"/>
      <c r="AG1979" s="37"/>
      <c r="AH1979" s="37"/>
      <c r="AI1979" s="37"/>
      <c r="AJ1979" s="37"/>
      <c r="AK1979" s="37"/>
      <c r="AL1979" s="37"/>
      <c r="AM1979" s="37"/>
      <c r="AN1979" s="37"/>
      <c r="AO1979" s="37"/>
      <c r="AP1979" s="37"/>
      <c r="AQ1979" s="37"/>
      <c r="AR1979" s="37"/>
      <c r="AS1979" s="37"/>
      <c r="AT1979" s="37"/>
      <c r="AU1979" s="37"/>
      <c r="AV1979" s="37"/>
      <c r="AW1979" s="37"/>
      <c r="AX1979" s="37"/>
      <c r="AY1979" s="37"/>
      <c r="AZ1979" s="37"/>
      <c r="BA1979" s="37"/>
      <c r="BB1979" s="37"/>
      <c r="BC1979" s="37"/>
      <c r="BD1979" s="37"/>
      <c r="BE1979" s="37"/>
      <c r="BF1979" s="37"/>
      <c r="BG1979" s="37"/>
      <c r="BH1979" s="37"/>
      <c r="BI1979" s="37"/>
      <c r="BJ1979" s="37"/>
      <c r="BK1979" s="37"/>
      <c r="BL1979" s="37"/>
      <c r="BM1979" s="37"/>
    </row>
    <row r="1980" spans="1:65" s="40" customFormat="1" ht="23.25" x14ac:dyDescent="0.35">
      <c r="A1980" s="37"/>
      <c r="B1980" s="37"/>
      <c r="C1980" s="41"/>
      <c r="D1980" s="38"/>
      <c r="E1980" s="57"/>
      <c r="F1980" s="42"/>
      <c r="G1980" s="43"/>
      <c r="H1980" s="37"/>
      <c r="I1980" s="37"/>
      <c r="J1980" s="38"/>
      <c r="K1980" s="37"/>
      <c r="L1980" s="38"/>
      <c r="M1980" s="39"/>
      <c r="P1980" s="37"/>
      <c r="Q1980" s="37"/>
      <c r="R1980" s="37"/>
      <c r="S1980" s="37"/>
      <c r="T1980" s="37"/>
      <c r="U1980" s="37"/>
      <c r="V1980" s="37"/>
      <c r="W1980" s="37"/>
      <c r="X1980" s="37"/>
      <c r="Y1980" s="37"/>
      <c r="Z1980" s="37"/>
      <c r="AA1980" s="37"/>
      <c r="AB1980" s="37"/>
      <c r="AC1980" s="37"/>
      <c r="AD1980" s="37"/>
      <c r="AE1980" s="37"/>
      <c r="AF1980" s="37"/>
      <c r="AG1980" s="37"/>
      <c r="AH1980" s="37"/>
      <c r="AI1980" s="37"/>
      <c r="AJ1980" s="37"/>
      <c r="AK1980" s="37"/>
      <c r="AL1980" s="37"/>
      <c r="AM1980" s="37"/>
      <c r="AN1980" s="37"/>
      <c r="AO1980" s="37"/>
      <c r="AP1980" s="37"/>
      <c r="AQ1980" s="37"/>
      <c r="AR1980" s="37"/>
      <c r="AS1980" s="37"/>
      <c r="AT1980" s="37"/>
      <c r="AU1980" s="37"/>
      <c r="AV1980" s="37"/>
      <c r="AW1980" s="37"/>
      <c r="AX1980" s="37"/>
      <c r="AY1980" s="37"/>
      <c r="AZ1980" s="37"/>
      <c r="BA1980" s="37"/>
      <c r="BB1980" s="37"/>
      <c r="BC1980" s="37"/>
      <c r="BD1980" s="37"/>
      <c r="BE1980" s="37"/>
      <c r="BF1980" s="37"/>
      <c r="BG1980" s="37"/>
      <c r="BH1980" s="37"/>
      <c r="BI1980" s="37"/>
      <c r="BJ1980" s="37"/>
      <c r="BK1980" s="37"/>
      <c r="BL1980" s="37"/>
      <c r="BM1980" s="37"/>
    </row>
    <row r="1981" spans="1:65" s="40" customFormat="1" ht="23.25" x14ac:dyDescent="0.35">
      <c r="A1981" s="37"/>
      <c r="B1981" s="37"/>
      <c r="C1981" s="41"/>
      <c r="D1981" s="38"/>
      <c r="E1981" s="57"/>
      <c r="F1981" s="42"/>
      <c r="G1981" s="43"/>
      <c r="H1981" s="37"/>
      <c r="I1981" s="37"/>
      <c r="J1981" s="38"/>
      <c r="K1981" s="37"/>
      <c r="L1981" s="38"/>
      <c r="M1981" s="39"/>
      <c r="P1981" s="37"/>
      <c r="Q1981" s="37"/>
      <c r="R1981" s="37"/>
      <c r="S1981" s="37"/>
      <c r="T1981" s="37"/>
      <c r="U1981" s="37"/>
      <c r="V1981" s="37"/>
      <c r="W1981" s="37"/>
      <c r="X1981" s="37"/>
      <c r="Y1981" s="37"/>
      <c r="Z1981" s="37"/>
      <c r="AA1981" s="37"/>
      <c r="AB1981" s="37"/>
      <c r="AC1981" s="37"/>
      <c r="AD1981" s="37"/>
      <c r="AE1981" s="37"/>
      <c r="AF1981" s="37"/>
      <c r="AG1981" s="37"/>
      <c r="AH1981" s="37"/>
      <c r="AI1981" s="37"/>
      <c r="AJ1981" s="37"/>
      <c r="AK1981" s="37"/>
      <c r="AL1981" s="37"/>
      <c r="AM1981" s="37"/>
      <c r="AN1981" s="37"/>
      <c r="AO1981" s="37"/>
      <c r="AP1981" s="37"/>
      <c r="AQ1981" s="37"/>
      <c r="AR1981" s="37"/>
      <c r="AS1981" s="37"/>
      <c r="AT1981" s="37"/>
      <c r="AU1981" s="37"/>
      <c r="AV1981" s="37"/>
      <c r="AW1981" s="37"/>
      <c r="AX1981" s="37"/>
      <c r="AY1981" s="37"/>
      <c r="AZ1981" s="37"/>
      <c r="BA1981" s="37"/>
      <c r="BB1981" s="37"/>
      <c r="BC1981" s="37"/>
      <c r="BD1981" s="37"/>
      <c r="BE1981" s="37"/>
      <c r="BF1981" s="37"/>
      <c r="BG1981" s="37"/>
      <c r="BH1981" s="37"/>
      <c r="BI1981" s="37"/>
      <c r="BJ1981" s="37"/>
      <c r="BK1981" s="37"/>
      <c r="BL1981" s="37"/>
      <c r="BM1981" s="37"/>
    </row>
    <row r="1982" spans="1:65" s="40" customFormat="1" ht="23.25" x14ac:dyDescent="0.35">
      <c r="A1982" s="37"/>
      <c r="B1982" s="37"/>
      <c r="C1982" s="41"/>
      <c r="D1982" s="38"/>
      <c r="E1982" s="57"/>
      <c r="F1982" s="42"/>
      <c r="G1982" s="43"/>
      <c r="H1982" s="37"/>
      <c r="I1982" s="37"/>
      <c r="J1982" s="38"/>
      <c r="K1982" s="37"/>
      <c r="L1982" s="38"/>
      <c r="M1982" s="39"/>
      <c r="P1982" s="37"/>
      <c r="Q1982" s="37"/>
      <c r="R1982" s="37"/>
      <c r="S1982" s="37"/>
      <c r="T1982" s="37"/>
      <c r="U1982" s="37"/>
      <c r="V1982" s="37"/>
      <c r="W1982" s="37"/>
      <c r="X1982" s="37"/>
      <c r="Y1982" s="37"/>
      <c r="Z1982" s="37"/>
      <c r="AA1982" s="37"/>
      <c r="AB1982" s="37"/>
      <c r="AC1982" s="37"/>
      <c r="AD1982" s="37"/>
      <c r="AE1982" s="37"/>
      <c r="AF1982" s="37"/>
      <c r="AG1982" s="37"/>
      <c r="AH1982" s="37"/>
      <c r="AI1982" s="37"/>
      <c r="AJ1982" s="37"/>
      <c r="AK1982" s="37"/>
      <c r="AL1982" s="37"/>
      <c r="AM1982" s="37"/>
      <c r="AN1982" s="37"/>
      <c r="AO1982" s="37"/>
      <c r="AP1982" s="37"/>
      <c r="AQ1982" s="37"/>
      <c r="AR1982" s="37"/>
      <c r="AS1982" s="37"/>
      <c r="AT1982" s="37"/>
      <c r="AU1982" s="37"/>
      <c r="AV1982" s="37"/>
      <c r="AW1982" s="37"/>
      <c r="AX1982" s="37"/>
      <c r="AY1982" s="37"/>
      <c r="AZ1982" s="37"/>
      <c r="BA1982" s="37"/>
      <c r="BB1982" s="37"/>
      <c r="BC1982" s="37"/>
      <c r="BD1982" s="37"/>
      <c r="BE1982" s="37"/>
      <c r="BF1982" s="37"/>
      <c r="BG1982" s="37"/>
      <c r="BH1982" s="37"/>
      <c r="BI1982" s="37"/>
      <c r="BJ1982" s="37"/>
      <c r="BK1982" s="37"/>
      <c r="BL1982" s="37"/>
      <c r="BM1982" s="37"/>
    </row>
    <row r="1983" spans="1:65" s="40" customFormat="1" ht="23.25" x14ac:dyDescent="0.35">
      <c r="A1983" s="37"/>
      <c r="B1983" s="37"/>
      <c r="C1983" s="41"/>
      <c r="D1983" s="38"/>
      <c r="E1983" s="57"/>
      <c r="F1983" s="42"/>
      <c r="G1983" s="43"/>
      <c r="H1983" s="37"/>
      <c r="I1983" s="37"/>
      <c r="J1983" s="38"/>
      <c r="K1983" s="37"/>
      <c r="L1983" s="38"/>
      <c r="M1983" s="39"/>
      <c r="P1983" s="37"/>
      <c r="Q1983" s="37"/>
      <c r="R1983" s="37"/>
      <c r="S1983" s="37"/>
      <c r="T1983" s="37"/>
      <c r="U1983" s="37"/>
      <c r="V1983" s="37"/>
      <c r="W1983" s="37"/>
      <c r="X1983" s="37"/>
      <c r="Y1983" s="37"/>
      <c r="Z1983" s="37"/>
      <c r="AA1983" s="37"/>
      <c r="AB1983" s="37"/>
      <c r="AC1983" s="37"/>
      <c r="AD1983" s="37"/>
      <c r="AE1983" s="37"/>
      <c r="AF1983" s="37"/>
      <c r="AG1983" s="37"/>
      <c r="AH1983" s="37"/>
      <c r="AI1983" s="37"/>
      <c r="AJ1983" s="37"/>
      <c r="AK1983" s="37"/>
      <c r="AL1983" s="37"/>
      <c r="AM1983" s="37"/>
      <c r="AN1983" s="37"/>
      <c r="AO1983" s="37"/>
      <c r="AP1983" s="37"/>
      <c r="AQ1983" s="37"/>
      <c r="AR1983" s="37"/>
      <c r="AS1983" s="37"/>
      <c r="AT1983" s="37"/>
      <c r="AU1983" s="37"/>
      <c r="AV1983" s="37"/>
      <c r="AW1983" s="37"/>
      <c r="AX1983" s="37"/>
      <c r="AY1983" s="37"/>
      <c r="AZ1983" s="37"/>
      <c r="BA1983" s="37"/>
      <c r="BB1983" s="37"/>
      <c r="BC1983" s="37"/>
      <c r="BD1983" s="37"/>
      <c r="BE1983" s="37"/>
      <c r="BF1983" s="37"/>
      <c r="BG1983" s="37"/>
      <c r="BH1983" s="37"/>
      <c r="BI1983" s="37"/>
      <c r="BJ1983" s="37"/>
      <c r="BK1983" s="37"/>
      <c r="BL1983" s="37"/>
      <c r="BM1983" s="37"/>
    </row>
    <row r="1984" spans="1:65" s="40" customFormat="1" ht="23.25" x14ac:dyDescent="0.35">
      <c r="A1984" s="37"/>
      <c r="B1984" s="37"/>
      <c r="C1984" s="41"/>
      <c r="D1984" s="38"/>
      <c r="E1984" s="57"/>
      <c r="F1984" s="42"/>
      <c r="G1984" s="43"/>
      <c r="H1984" s="37"/>
      <c r="I1984" s="37"/>
      <c r="J1984" s="38"/>
      <c r="K1984" s="37"/>
      <c r="L1984" s="38"/>
      <c r="M1984" s="39"/>
      <c r="P1984" s="37"/>
      <c r="Q1984" s="37"/>
      <c r="R1984" s="37"/>
      <c r="S1984" s="37"/>
      <c r="T1984" s="37"/>
      <c r="U1984" s="37"/>
      <c r="V1984" s="37"/>
      <c r="W1984" s="37"/>
      <c r="X1984" s="37"/>
      <c r="Y1984" s="37"/>
      <c r="Z1984" s="37"/>
      <c r="AA1984" s="37"/>
      <c r="AB1984" s="37"/>
      <c r="AC1984" s="37"/>
      <c r="AD1984" s="37"/>
      <c r="AE1984" s="37"/>
      <c r="AF1984" s="37"/>
      <c r="AG1984" s="37"/>
      <c r="AH1984" s="37"/>
      <c r="AI1984" s="37"/>
      <c r="AJ1984" s="37"/>
      <c r="AK1984" s="37"/>
      <c r="AL1984" s="37"/>
      <c r="AM1984" s="37"/>
      <c r="AN1984" s="37"/>
      <c r="AO1984" s="37"/>
      <c r="AP1984" s="37"/>
      <c r="AQ1984" s="37"/>
      <c r="AR1984" s="37"/>
      <c r="AS1984" s="37"/>
      <c r="AT1984" s="37"/>
      <c r="AU1984" s="37"/>
      <c r="AV1984" s="37"/>
      <c r="AW1984" s="37"/>
      <c r="AX1984" s="37"/>
      <c r="AY1984" s="37"/>
      <c r="AZ1984" s="37"/>
      <c r="BA1984" s="37"/>
      <c r="BB1984" s="37"/>
      <c r="BC1984" s="37"/>
      <c r="BD1984" s="37"/>
      <c r="BE1984" s="37"/>
      <c r="BF1984" s="37"/>
      <c r="BG1984" s="37"/>
      <c r="BH1984" s="37"/>
      <c r="BI1984" s="37"/>
      <c r="BJ1984" s="37"/>
      <c r="BK1984" s="37"/>
      <c r="BL1984" s="37"/>
      <c r="BM1984" s="37"/>
    </row>
    <row r="1985" spans="1:65" s="40" customFormat="1" ht="23.25" x14ac:dyDescent="0.35">
      <c r="A1985" s="37"/>
      <c r="B1985" s="37"/>
      <c r="C1985" s="41"/>
      <c r="D1985" s="38"/>
      <c r="E1985" s="57"/>
      <c r="F1985" s="42"/>
      <c r="G1985" s="43"/>
      <c r="H1985" s="37"/>
      <c r="I1985" s="37"/>
      <c r="J1985" s="38"/>
      <c r="K1985" s="37"/>
      <c r="L1985" s="38"/>
      <c r="M1985" s="39"/>
      <c r="P1985" s="37"/>
      <c r="Q1985" s="37"/>
      <c r="R1985" s="37"/>
      <c r="S1985" s="37"/>
      <c r="T1985" s="37"/>
      <c r="U1985" s="37"/>
      <c r="V1985" s="37"/>
      <c r="W1985" s="37"/>
      <c r="X1985" s="37"/>
      <c r="Y1985" s="37"/>
      <c r="Z1985" s="37"/>
      <c r="AA1985" s="37"/>
      <c r="AB1985" s="37"/>
      <c r="AC1985" s="37"/>
      <c r="AD1985" s="37"/>
      <c r="AE1985" s="37"/>
      <c r="AF1985" s="37"/>
      <c r="AG1985" s="37"/>
      <c r="AH1985" s="37"/>
      <c r="AI1985" s="37"/>
      <c r="AJ1985" s="37"/>
      <c r="AK1985" s="37"/>
      <c r="AL1985" s="37"/>
      <c r="AM1985" s="37"/>
      <c r="AN1985" s="37"/>
      <c r="AO1985" s="37"/>
      <c r="AP1985" s="37"/>
      <c r="AQ1985" s="37"/>
      <c r="AR1985" s="37"/>
      <c r="AS1985" s="37"/>
      <c r="AT1985" s="37"/>
      <c r="AU1985" s="37"/>
      <c r="AV1985" s="37"/>
      <c r="AW1985" s="37"/>
      <c r="AX1985" s="37"/>
      <c r="AY1985" s="37"/>
      <c r="AZ1985" s="37"/>
      <c r="BA1985" s="37"/>
      <c r="BB1985" s="37"/>
      <c r="BC1985" s="37"/>
      <c r="BD1985" s="37"/>
      <c r="BE1985" s="37"/>
      <c r="BF1985" s="37"/>
      <c r="BG1985" s="37"/>
      <c r="BH1985" s="37"/>
      <c r="BI1985" s="37"/>
      <c r="BJ1985" s="37"/>
      <c r="BK1985" s="37"/>
      <c r="BL1985" s="37"/>
      <c r="BM1985" s="37"/>
    </row>
    <row r="1986" spans="1:65" s="40" customFormat="1" ht="23.25" x14ac:dyDescent="0.35">
      <c r="A1986" s="37"/>
      <c r="B1986" s="37"/>
      <c r="C1986" s="41"/>
      <c r="D1986" s="38"/>
      <c r="E1986" s="57"/>
      <c r="F1986" s="42"/>
      <c r="G1986" s="43"/>
      <c r="H1986" s="37"/>
      <c r="I1986" s="37"/>
      <c r="J1986" s="38"/>
      <c r="K1986" s="37"/>
      <c r="L1986" s="38"/>
      <c r="M1986" s="39"/>
      <c r="P1986" s="37"/>
      <c r="Q1986" s="37"/>
      <c r="R1986" s="37"/>
      <c r="S1986" s="37"/>
      <c r="T1986" s="37"/>
      <c r="U1986" s="37"/>
      <c r="V1986" s="37"/>
      <c r="W1986" s="37"/>
      <c r="X1986" s="37"/>
      <c r="Y1986" s="37"/>
      <c r="Z1986" s="37"/>
      <c r="AA1986" s="37"/>
      <c r="AB1986" s="37"/>
      <c r="AC1986" s="37"/>
      <c r="AD1986" s="37"/>
      <c r="AE1986" s="37"/>
      <c r="AF1986" s="37"/>
      <c r="AG1986" s="37"/>
      <c r="AH1986" s="37"/>
      <c r="AI1986" s="37"/>
      <c r="AJ1986" s="37"/>
      <c r="AK1986" s="37"/>
      <c r="AL1986" s="37"/>
      <c r="AM1986" s="37"/>
      <c r="AN1986" s="37"/>
      <c r="AO1986" s="37"/>
      <c r="AP1986" s="37"/>
      <c r="AQ1986" s="37"/>
      <c r="AR1986" s="37"/>
      <c r="AS1986" s="37"/>
      <c r="AT1986" s="37"/>
      <c r="AU1986" s="37"/>
      <c r="AV1986" s="37"/>
      <c r="AW1986" s="37"/>
      <c r="AX1986" s="37"/>
      <c r="AY1986" s="37"/>
      <c r="AZ1986" s="37"/>
      <c r="BA1986" s="37"/>
      <c r="BB1986" s="37"/>
      <c r="BC1986" s="37"/>
      <c r="BD1986" s="37"/>
      <c r="BE1986" s="37"/>
      <c r="BF1986" s="37"/>
      <c r="BG1986" s="37"/>
      <c r="BH1986" s="37"/>
      <c r="BI1986" s="37"/>
      <c r="BJ1986" s="37"/>
      <c r="BK1986" s="37"/>
      <c r="BL1986" s="37"/>
      <c r="BM1986" s="37"/>
    </row>
    <row r="1987" spans="1:65" s="40" customFormat="1" ht="23.25" x14ac:dyDescent="0.35">
      <c r="A1987" s="37"/>
      <c r="B1987" s="37"/>
      <c r="C1987" s="41"/>
      <c r="D1987" s="38"/>
      <c r="E1987" s="57"/>
      <c r="F1987" s="42"/>
      <c r="G1987" s="43"/>
      <c r="H1987" s="37"/>
      <c r="I1987" s="37"/>
      <c r="J1987" s="38"/>
      <c r="K1987" s="37"/>
      <c r="L1987" s="38"/>
      <c r="M1987" s="39"/>
      <c r="P1987" s="37"/>
      <c r="Q1987" s="37"/>
      <c r="R1987" s="37"/>
      <c r="S1987" s="37"/>
      <c r="T1987" s="37"/>
      <c r="U1987" s="37"/>
      <c r="V1987" s="37"/>
      <c r="W1987" s="37"/>
      <c r="X1987" s="37"/>
      <c r="Y1987" s="37"/>
      <c r="Z1987" s="37"/>
      <c r="AA1987" s="37"/>
      <c r="AB1987" s="37"/>
      <c r="AC1987" s="37"/>
      <c r="AD1987" s="37"/>
      <c r="AE1987" s="37"/>
      <c r="AF1987" s="37"/>
      <c r="AG1987" s="37"/>
      <c r="AH1987" s="37"/>
      <c r="AI1987" s="37"/>
      <c r="AJ1987" s="37"/>
      <c r="AK1987" s="37"/>
      <c r="AL1987" s="37"/>
      <c r="AM1987" s="37"/>
      <c r="AN1987" s="37"/>
      <c r="AO1987" s="37"/>
      <c r="AP1987" s="37"/>
      <c r="AQ1987" s="37"/>
      <c r="AR1987" s="37"/>
      <c r="AS1987" s="37"/>
      <c r="AT1987" s="37"/>
      <c r="AU1987" s="37"/>
      <c r="AV1987" s="37"/>
      <c r="AW1987" s="37"/>
      <c r="AX1987" s="37"/>
      <c r="AY1987" s="37"/>
      <c r="AZ1987" s="37"/>
      <c r="BA1987" s="37"/>
      <c r="BB1987" s="37"/>
      <c r="BC1987" s="37"/>
      <c r="BD1987" s="37"/>
      <c r="BE1987" s="37"/>
      <c r="BF1987" s="37"/>
      <c r="BG1987" s="37"/>
      <c r="BH1987" s="37"/>
      <c r="BI1987" s="37"/>
      <c r="BJ1987" s="37"/>
      <c r="BK1987" s="37"/>
      <c r="BL1987" s="37"/>
      <c r="BM1987" s="37"/>
    </row>
    <row r="1988" spans="1:65" s="40" customFormat="1" ht="23.25" x14ac:dyDescent="0.35">
      <c r="A1988" s="37"/>
      <c r="B1988" s="37"/>
      <c r="C1988" s="41"/>
      <c r="D1988" s="38"/>
      <c r="E1988" s="57"/>
      <c r="F1988" s="42"/>
      <c r="G1988" s="43"/>
      <c r="H1988" s="37"/>
      <c r="I1988" s="37"/>
      <c r="J1988" s="38"/>
      <c r="K1988" s="37"/>
      <c r="L1988" s="38"/>
      <c r="M1988" s="39"/>
      <c r="P1988" s="37"/>
      <c r="Q1988" s="37"/>
      <c r="R1988" s="37"/>
      <c r="S1988" s="37"/>
      <c r="T1988" s="37"/>
      <c r="U1988" s="37"/>
      <c r="V1988" s="37"/>
      <c r="W1988" s="37"/>
      <c r="X1988" s="37"/>
      <c r="Y1988" s="37"/>
      <c r="Z1988" s="37"/>
      <c r="AA1988" s="37"/>
      <c r="AB1988" s="37"/>
      <c r="AC1988" s="37"/>
      <c r="AD1988" s="37"/>
      <c r="AE1988" s="37"/>
      <c r="AF1988" s="37"/>
      <c r="AG1988" s="37"/>
      <c r="AH1988" s="37"/>
      <c r="AI1988" s="37"/>
      <c r="AJ1988" s="37"/>
      <c r="AK1988" s="37"/>
      <c r="AL1988" s="37"/>
      <c r="AM1988" s="37"/>
      <c r="AN1988" s="37"/>
      <c r="AO1988" s="37"/>
      <c r="AP1988" s="37"/>
      <c r="AQ1988" s="37"/>
      <c r="AR1988" s="37"/>
      <c r="AS1988" s="37"/>
      <c r="AT1988" s="37"/>
      <c r="AU1988" s="37"/>
      <c r="AV1988" s="37"/>
      <c r="AW1988" s="37"/>
      <c r="AX1988" s="37"/>
      <c r="AY1988" s="37"/>
      <c r="AZ1988" s="37"/>
      <c r="BA1988" s="37"/>
      <c r="BB1988" s="37"/>
      <c r="BC1988" s="37"/>
      <c r="BD1988" s="37"/>
      <c r="BE1988" s="37"/>
      <c r="BF1988" s="37"/>
      <c r="BG1988" s="37"/>
      <c r="BH1988" s="37"/>
      <c r="BI1988" s="37"/>
      <c r="BJ1988" s="37"/>
      <c r="BK1988" s="37"/>
      <c r="BL1988" s="37"/>
      <c r="BM1988" s="37"/>
    </row>
    <row r="1989" spans="1:65" s="40" customFormat="1" ht="23.25" x14ac:dyDescent="0.35">
      <c r="A1989" s="37"/>
      <c r="B1989" s="37"/>
      <c r="C1989" s="41"/>
      <c r="D1989" s="38"/>
      <c r="E1989" s="57"/>
      <c r="F1989" s="42"/>
      <c r="G1989" s="43"/>
      <c r="H1989" s="37"/>
      <c r="I1989" s="37"/>
      <c r="J1989" s="38"/>
      <c r="K1989" s="37"/>
      <c r="L1989" s="38"/>
      <c r="M1989" s="39"/>
      <c r="P1989" s="37"/>
      <c r="Q1989" s="37"/>
      <c r="R1989" s="37"/>
      <c r="S1989" s="37"/>
      <c r="T1989" s="37"/>
      <c r="U1989" s="37"/>
      <c r="V1989" s="37"/>
      <c r="W1989" s="37"/>
      <c r="X1989" s="37"/>
      <c r="Y1989" s="37"/>
      <c r="Z1989" s="37"/>
      <c r="AA1989" s="37"/>
      <c r="AB1989" s="37"/>
      <c r="AC1989" s="37"/>
      <c r="AD1989" s="37"/>
      <c r="AE1989" s="37"/>
      <c r="AF1989" s="37"/>
      <c r="AG1989" s="37"/>
      <c r="AH1989" s="37"/>
      <c r="AI1989" s="37"/>
      <c r="AJ1989" s="37"/>
      <c r="AK1989" s="37"/>
      <c r="AL1989" s="37"/>
      <c r="AM1989" s="37"/>
      <c r="AN1989" s="37"/>
      <c r="AO1989" s="37"/>
      <c r="AP1989" s="37"/>
      <c r="AQ1989" s="37"/>
      <c r="AR1989" s="37"/>
      <c r="AS1989" s="37"/>
      <c r="AT1989" s="37"/>
      <c r="AU1989" s="37"/>
      <c r="AV1989" s="37"/>
      <c r="AW1989" s="37"/>
      <c r="AX1989" s="37"/>
      <c r="AY1989" s="37"/>
      <c r="AZ1989" s="37"/>
      <c r="BA1989" s="37"/>
      <c r="BB1989" s="37"/>
      <c r="BC1989" s="37"/>
      <c r="BD1989" s="37"/>
      <c r="BE1989" s="37"/>
      <c r="BF1989" s="37"/>
      <c r="BG1989" s="37"/>
      <c r="BH1989" s="37"/>
      <c r="BI1989" s="37"/>
      <c r="BJ1989" s="37"/>
      <c r="BK1989" s="37"/>
      <c r="BL1989" s="37"/>
      <c r="BM1989" s="37"/>
    </row>
    <row r="1990" spans="1:65" s="40" customFormat="1" ht="23.25" x14ac:dyDescent="0.35">
      <c r="A1990" s="37"/>
      <c r="B1990" s="37"/>
      <c r="C1990" s="41"/>
      <c r="D1990" s="38"/>
      <c r="E1990" s="57"/>
      <c r="F1990" s="42"/>
      <c r="G1990" s="43"/>
      <c r="H1990" s="37"/>
      <c r="I1990" s="37"/>
      <c r="J1990" s="38"/>
      <c r="K1990" s="37"/>
      <c r="L1990" s="38"/>
      <c r="M1990" s="39"/>
      <c r="P1990" s="37"/>
      <c r="Q1990" s="37"/>
      <c r="R1990" s="37"/>
      <c r="S1990" s="37"/>
      <c r="T1990" s="37"/>
      <c r="U1990" s="37"/>
      <c r="V1990" s="37"/>
      <c r="W1990" s="37"/>
      <c r="X1990" s="37"/>
      <c r="Y1990" s="37"/>
      <c r="Z1990" s="37"/>
      <c r="AA1990" s="37"/>
      <c r="AB1990" s="37"/>
      <c r="AC1990" s="37"/>
      <c r="AD1990" s="37"/>
      <c r="AE1990" s="37"/>
      <c r="AF1990" s="37"/>
      <c r="AG1990" s="37"/>
      <c r="AH1990" s="37"/>
      <c r="AI1990" s="37"/>
      <c r="AJ1990" s="37"/>
      <c r="AK1990" s="37"/>
      <c r="AL1990" s="37"/>
      <c r="AM1990" s="37"/>
      <c r="AN1990" s="37"/>
      <c r="AO1990" s="37"/>
      <c r="AP1990" s="37"/>
      <c r="AQ1990" s="37"/>
      <c r="AR1990" s="37"/>
      <c r="AS1990" s="37"/>
      <c r="AT1990" s="37"/>
      <c r="AU1990" s="37"/>
      <c r="AV1990" s="37"/>
      <c r="AW1990" s="37"/>
      <c r="AX1990" s="37"/>
      <c r="AY1990" s="37"/>
      <c r="AZ1990" s="37"/>
      <c r="BA1990" s="37"/>
      <c r="BB1990" s="37"/>
      <c r="BC1990" s="37"/>
      <c r="BD1990" s="37"/>
      <c r="BE1990" s="37"/>
      <c r="BF1990" s="37"/>
      <c r="BG1990" s="37"/>
      <c r="BH1990" s="37"/>
      <c r="BI1990" s="37"/>
      <c r="BJ1990" s="37"/>
      <c r="BK1990" s="37"/>
      <c r="BL1990" s="37"/>
      <c r="BM1990" s="37"/>
    </row>
    <row r="1991" spans="1:65" s="40" customFormat="1" ht="23.25" x14ac:dyDescent="0.35">
      <c r="A1991" s="37"/>
      <c r="B1991" s="37"/>
      <c r="C1991" s="41"/>
      <c r="D1991" s="38"/>
      <c r="E1991" s="57"/>
      <c r="F1991" s="42"/>
      <c r="G1991" s="43"/>
      <c r="H1991" s="37"/>
      <c r="I1991" s="37"/>
      <c r="J1991" s="38"/>
      <c r="K1991" s="37"/>
      <c r="L1991" s="38"/>
      <c r="M1991" s="39"/>
      <c r="P1991" s="37"/>
      <c r="Q1991" s="37"/>
      <c r="R1991" s="37"/>
      <c r="S1991" s="37"/>
      <c r="T1991" s="37"/>
      <c r="U1991" s="37"/>
      <c r="V1991" s="37"/>
      <c r="W1991" s="37"/>
      <c r="X1991" s="37"/>
      <c r="Y1991" s="37"/>
      <c r="Z1991" s="37"/>
      <c r="AA1991" s="37"/>
      <c r="AB1991" s="37"/>
      <c r="AC1991" s="37"/>
      <c r="AD1991" s="37"/>
      <c r="AE1991" s="37"/>
      <c r="AF1991" s="37"/>
      <c r="AG1991" s="37"/>
      <c r="AH1991" s="37"/>
      <c r="AI1991" s="37"/>
      <c r="AJ1991" s="37"/>
      <c r="AK1991" s="37"/>
      <c r="AL1991" s="37"/>
      <c r="AM1991" s="37"/>
      <c r="AN1991" s="37"/>
      <c r="AO1991" s="37"/>
      <c r="AP1991" s="37"/>
      <c r="AQ1991" s="37"/>
      <c r="AR1991" s="37"/>
      <c r="AS1991" s="37"/>
      <c r="AT1991" s="37"/>
      <c r="AU1991" s="37"/>
      <c r="AV1991" s="37"/>
      <c r="AW1991" s="37"/>
      <c r="AX1991" s="37"/>
      <c r="AY1991" s="37"/>
      <c r="AZ1991" s="37"/>
      <c r="BA1991" s="37"/>
      <c r="BB1991" s="37"/>
      <c r="BC1991" s="37"/>
      <c r="BD1991" s="37"/>
      <c r="BE1991" s="37"/>
      <c r="BF1991" s="37"/>
      <c r="BG1991" s="37"/>
      <c r="BH1991" s="37"/>
      <c r="BI1991" s="37"/>
      <c r="BJ1991" s="37"/>
      <c r="BK1991" s="37"/>
      <c r="BL1991" s="37"/>
      <c r="BM1991" s="37"/>
    </row>
    <row r="1992" spans="1:65" s="40" customFormat="1" ht="23.25" x14ac:dyDescent="0.35">
      <c r="A1992" s="37"/>
      <c r="B1992" s="37"/>
      <c r="C1992" s="41"/>
      <c r="D1992" s="38"/>
      <c r="E1992" s="57"/>
      <c r="F1992" s="42"/>
      <c r="G1992" s="43"/>
      <c r="H1992" s="37"/>
      <c r="I1992" s="37"/>
      <c r="J1992" s="38"/>
      <c r="K1992" s="37"/>
      <c r="L1992" s="38"/>
      <c r="M1992" s="39"/>
      <c r="P1992" s="37"/>
      <c r="Q1992" s="37"/>
      <c r="R1992" s="37"/>
      <c r="S1992" s="37"/>
      <c r="T1992" s="37"/>
      <c r="U1992" s="37"/>
      <c r="V1992" s="37"/>
      <c r="W1992" s="37"/>
      <c r="X1992" s="37"/>
      <c r="Y1992" s="37"/>
      <c r="Z1992" s="37"/>
      <c r="AA1992" s="37"/>
      <c r="AB1992" s="37"/>
      <c r="AC1992" s="37"/>
      <c r="AD1992" s="37"/>
      <c r="AE1992" s="37"/>
      <c r="AF1992" s="37"/>
      <c r="AG1992" s="37"/>
      <c r="AH1992" s="37"/>
      <c r="AI1992" s="37"/>
      <c r="AJ1992" s="37"/>
      <c r="AK1992" s="37"/>
      <c r="AL1992" s="37"/>
      <c r="AM1992" s="37"/>
      <c r="AN1992" s="37"/>
      <c r="AO1992" s="37"/>
      <c r="AP1992" s="37"/>
      <c r="AQ1992" s="37"/>
      <c r="AR1992" s="37"/>
      <c r="AS1992" s="37"/>
      <c r="AT1992" s="37"/>
      <c r="AU1992" s="37"/>
      <c r="AV1992" s="37"/>
      <c r="AW1992" s="37"/>
      <c r="AX1992" s="37"/>
      <c r="AY1992" s="37"/>
      <c r="AZ1992" s="37"/>
      <c r="BA1992" s="37"/>
      <c r="BB1992" s="37"/>
      <c r="BC1992" s="37"/>
      <c r="BD1992" s="37"/>
      <c r="BE1992" s="37"/>
      <c r="BF1992" s="37"/>
      <c r="BG1992" s="37"/>
      <c r="BH1992" s="37"/>
      <c r="BI1992" s="37"/>
      <c r="BJ1992" s="37"/>
      <c r="BK1992" s="37"/>
      <c r="BL1992" s="37"/>
      <c r="BM1992" s="37"/>
    </row>
    <row r="1993" spans="1:65" s="40" customFormat="1" ht="23.25" x14ac:dyDescent="0.35">
      <c r="A1993" s="37"/>
      <c r="B1993" s="37"/>
      <c r="C1993" s="41"/>
      <c r="D1993" s="38"/>
      <c r="E1993" s="57"/>
      <c r="F1993" s="42"/>
      <c r="G1993" s="43"/>
      <c r="H1993" s="37"/>
      <c r="I1993" s="37"/>
      <c r="J1993" s="38"/>
      <c r="K1993" s="37"/>
      <c r="L1993" s="38"/>
      <c r="M1993" s="39"/>
      <c r="P1993" s="37"/>
      <c r="Q1993" s="37"/>
      <c r="R1993" s="37"/>
      <c r="S1993" s="37"/>
      <c r="T1993" s="37"/>
      <c r="U1993" s="37"/>
      <c r="V1993" s="37"/>
      <c r="W1993" s="37"/>
      <c r="X1993" s="37"/>
      <c r="Y1993" s="37"/>
      <c r="Z1993" s="37"/>
      <c r="AA1993" s="37"/>
      <c r="AB1993" s="37"/>
      <c r="AC1993" s="37"/>
      <c r="AD1993" s="37"/>
      <c r="AE1993" s="37"/>
      <c r="AF1993" s="37"/>
      <c r="AG1993" s="37"/>
      <c r="AH1993" s="37"/>
      <c r="AI1993" s="37"/>
      <c r="AJ1993" s="37"/>
      <c r="AK1993" s="37"/>
      <c r="AL1993" s="37"/>
      <c r="AM1993" s="37"/>
      <c r="AN1993" s="37"/>
      <c r="AO1993" s="37"/>
      <c r="AP1993" s="37"/>
      <c r="AQ1993" s="37"/>
      <c r="AR1993" s="37"/>
      <c r="AS1993" s="37"/>
      <c r="AT1993" s="37"/>
      <c r="AU1993" s="37"/>
      <c r="AV1993" s="37"/>
      <c r="AW1993" s="37"/>
      <c r="AX1993" s="37"/>
      <c r="AY1993" s="37"/>
      <c r="AZ1993" s="37"/>
      <c r="BA1993" s="37"/>
      <c r="BB1993" s="37"/>
      <c r="BC1993" s="37"/>
      <c r="BD1993" s="37"/>
      <c r="BE1993" s="37"/>
      <c r="BF1993" s="37"/>
      <c r="BG1993" s="37"/>
      <c r="BH1993" s="37"/>
      <c r="BI1993" s="37"/>
      <c r="BJ1993" s="37"/>
      <c r="BK1993" s="37"/>
      <c r="BL1993" s="37"/>
      <c r="BM1993" s="37"/>
    </row>
    <row r="1994" spans="1:65" s="40" customFormat="1" ht="23.25" x14ac:dyDescent="0.35">
      <c r="A1994" s="37"/>
      <c r="B1994" s="37"/>
      <c r="C1994" s="41"/>
      <c r="D1994" s="38"/>
      <c r="E1994" s="57"/>
      <c r="F1994" s="42"/>
      <c r="G1994" s="43"/>
      <c r="H1994" s="37"/>
      <c r="I1994" s="37"/>
      <c r="J1994" s="38"/>
      <c r="K1994" s="37"/>
      <c r="L1994" s="38"/>
      <c r="M1994" s="39"/>
      <c r="P1994" s="37"/>
      <c r="Q1994" s="37"/>
      <c r="R1994" s="37"/>
      <c r="S1994" s="37"/>
      <c r="T1994" s="37"/>
      <c r="U1994" s="37"/>
      <c r="V1994" s="37"/>
      <c r="W1994" s="37"/>
      <c r="X1994" s="37"/>
      <c r="Y1994" s="37"/>
      <c r="Z1994" s="37"/>
      <c r="AA1994" s="37"/>
      <c r="AB1994" s="37"/>
      <c r="AC1994" s="37"/>
      <c r="AD1994" s="37"/>
      <c r="AE1994" s="37"/>
      <c r="AF1994" s="37"/>
      <c r="AG1994" s="37"/>
      <c r="AH1994" s="37"/>
      <c r="AI1994" s="37"/>
      <c r="AJ1994" s="37"/>
      <c r="AK1994" s="37"/>
      <c r="AL1994" s="37"/>
      <c r="AM1994" s="37"/>
      <c r="AN1994" s="37"/>
      <c r="AO1994" s="37"/>
      <c r="AP1994" s="37"/>
      <c r="AQ1994" s="37"/>
      <c r="AR1994" s="37"/>
      <c r="AS1994" s="37"/>
      <c r="AT1994" s="37"/>
      <c r="AU1994" s="37"/>
      <c r="AV1994" s="37"/>
      <c r="AW1994" s="37"/>
      <c r="AX1994" s="37"/>
      <c r="AY1994" s="37"/>
      <c r="AZ1994" s="37"/>
      <c r="BA1994" s="37"/>
      <c r="BB1994" s="37"/>
      <c r="BC1994" s="37"/>
      <c r="BD1994" s="37"/>
      <c r="BE1994" s="37"/>
      <c r="BF1994" s="37"/>
      <c r="BG1994" s="37"/>
      <c r="BH1994" s="37"/>
      <c r="BI1994" s="37"/>
      <c r="BJ1994" s="37"/>
      <c r="BK1994" s="37"/>
      <c r="BL1994" s="37"/>
      <c r="BM1994" s="37"/>
    </row>
    <row r="1995" spans="1:65" s="40" customFormat="1" ht="23.25" x14ac:dyDescent="0.35">
      <c r="A1995" s="37"/>
      <c r="B1995" s="37"/>
      <c r="C1995" s="41"/>
      <c r="D1995" s="38"/>
      <c r="E1995" s="57"/>
      <c r="F1995" s="42"/>
      <c r="G1995" s="43"/>
      <c r="H1995" s="37"/>
      <c r="I1995" s="37"/>
      <c r="J1995" s="38"/>
      <c r="K1995" s="37"/>
      <c r="L1995" s="38"/>
      <c r="M1995" s="39"/>
      <c r="P1995" s="37"/>
      <c r="Q1995" s="37"/>
      <c r="R1995" s="37"/>
      <c r="S1995" s="37"/>
      <c r="T1995" s="37"/>
      <c r="U1995" s="37"/>
      <c r="V1995" s="37"/>
      <c r="W1995" s="37"/>
      <c r="X1995" s="37"/>
      <c r="Y1995" s="37"/>
      <c r="Z1995" s="37"/>
      <c r="AA1995" s="37"/>
      <c r="AB1995" s="37"/>
      <c r="AC1995" s="37"/>
      <c r="AD1995" s="37"/>
      <c r="AE1995" s="37"/>
      <c r="AF1995" s="37"/>
      <c r="AG1995" s="37"/>
      <c r="AH1995" s="37"/>
      <c r="AI1995" s="37"/>
      <c r="AJ1995" s="37"/>
      <c r="AK1995" s="37"/>
      <c r="AL1995" s="37"/>
      <c r="AM1995" s="37"/>
      <c r="AN1995" s="37"/>
      <c r="AO1995" s="37"/>
      <c r="AP1995" s="37"/>
      <c r="AQ1995" s="37"/>
      <c r="AR1995" s="37"/>
      <c r="AS1995" s="37"/>
      <c r="AT1995" s="37"/>
      <c r="AU1995" s="37"/>
      <c r="AV1995" s="37"/>
      <c r="AW1995" s="37"/>
      <c r="AX1995" s="37"/>
      <c r="AY1995" s="37"/>
      <c r="AZ1995" s="37"/>
      <c r="BA1995" s="37"/>
      <c r="BB1995" s="37"/>
      <c r="BC1995" s="37"/>
      <c r="BD1995" s="37"/>
      <c r="BE1995" s="37"/>
      <c r="BF1995" s="37"/>
      <c r="BG1995" s="37"/>
      <c r="BH1995" s="37"/>
      <c r="BI1995" s="37"/>
      <c r="BJ1995" s="37"/>
      <c r="BK1995" s="37"/>
      <c r="BL1995" s="37"/>
      <c r="BM1995" s="37"/>
    </row>
    <row r="1996" spans="1:65" s="40" customFormat="1" ht="23.25" x14ac:dyDescent="0.35">
      <c r="A1996" s="37"/>
      <c r="B1996" s="37"/>
      <c r="C1996" s="41"/>
      <c r="D1996" s="38"/>
      <c r="E1996" s="57"/>
      <c r="F1996" s="42"/>
      <c r="G1996" s="43"/>
      <c r="H1996" s="37"/>
      <c r="I1996" s="37"/>
      <c r="J1996" s="38"/>
      <c r="K1996" s="37"/>
      <c r="L1996" s="38"/>
      <c r="M1996" s="39"/>
      <c r="P1996" s="37"/>
      <c r="Q1996" s="37"/>
      <c r="R1996" s="37"/>
      <c r="S1996" s="37"/>
      <c r="T1996" s="37"/>
      <c r="U1996" s="37"/>
      <c r="V1996" s="37"/>
      <c r="W1996" s="37"/>
      <c r="X1996" s="37"/>
      <c r="Y1996" s="37"/>
      <c r="Z1996" s="37"/>
      <c r="AA1996" s="37"/>
      <c r="AB1996" s="37"/>
      <c r="AC1996" s="37"/>
      <c r="AD1996" s="37"/>
      <c r="AE1996" s="37"/>
      <c r="AF1996" s="37"/>
      <c r="AG1996" s="37"/>
      <c r="AH1996" s="37"/>
      <c r="AI1996" s="37"/>
      <c r="AJ1996" s="37"/>
      <c r="AK1996" s="37"/>
      <c r="AL1996" s="37"/>
      <c r="AM1996" s="37"/>
      <c r="AN1996" s="37"/>
      <c r="AO1996" s="37"/>
      <c r="AP1996" s="37"/>
      <c r="AQ1996" s="37"/>
      <c r="AR1996" s="37"/>
      <c r="AS1996" s="37"/>
      <c r="AT1996" s="37"/>
      <c r="AU1996" s="37"/>
      <c r="AV1996" s="37"/>
      <c r="AW1996" s="37"/>
      <c r="AX1996" s="37"/>
      <c r="AY1996" s="37"/>
      <c r="AZ1996" s="37"/>
      <c r="BA1996" s="37"/>
      <c r="BB1996" s="37"/>
      <c r="BC1996" s="37"/>
      <c r="BD1996" s="37"/>
      <c r="BE1996" s="37"/>
      <c r="BF1996" s="37"/>
      <c r="BG1996" s="37"/>
      <c r="BH1996" s="37"/>
      <c r="BI1996" s="37"/>
      <c r="BJ1996" s="37"/>
      <c r="BK1996" s="37"/>
      <c r="BL1996" s="37"/>
      <c r="BM1996" s="37"/>
    </row>
    <row r="1997" spans="1:65" s="40" customFormat="1" ht="23.25" x14ac:dyDescent="0.35">
      <c r="A1997" s="37"/>
      <c r="B1997" s="37"/>
      <c r="C1997" s="41"/>
      <c r="D1997" s="38"/>
      <c r="E1997" s="57"/>
      <c r="F1997" s="42"/>
      <c r="G1997" s="43"/>
      <c r="H1997" s="37"/>
      <c r="I1997" s="37"/>
      <c r="J1997" s="38"/>
      <c r="K1997" s="37"/>
      <c r="L1997" s="38"/>
      <c r="M1997" s="39"/>
      <c r="P1997" s="37"/>
      <c r="Q1997" s="37"/>
      <c r="R1997" s="37"/>
      <c r="S1997" s="37"/>
      <c r="T1997" s="37"/>
      <c r="U1997" s="37"/>
      <c r="V1997" s="37"/>
      <c r="W1997" s="37"/>
      <c r="X1997" s="37"/>
      <c r="Y1997" s="37"/>
      <c r="Z1997" s="37"/>
      <c r="AA1997" s="37"/>
      <c r="AB1997" s="37"/>
      <c r="AC1997" s="37"/>
      <c r="AD1997" s="37"/>
      <c r="AE1997" s="37"/>
      <c r="AF1997" s="37"/>
      <c r="AG1997" s="37"/>
      <c r="AH1997" s="37"/>
      <c r="AI1997" s="37"/>
      <c r="AJ1997" s="37"/>
      <c r="AK1997" s="37"/>
      <c r="AL1997" s="37"/>
      <c r="AM1997" s="37"/>
      <c r="AN1997" s="37"/>
      <c r="AO1997" s="37"/>
      <c r="AP1997" s="37"/>
      <c r="AQ1997" s="37"/>
      <c r="AR1997" s="37"/>
      <c r="AS1997" s="37"/>
      <c r="AT1997" s="37"/>
      <c r="AU1997" s="37"/>
      <c r="AV1997" s="37"/>
      <c r="AW1997" s="37"/>
      <c r="AX1997" s="37"/>
      <c r="AY1997" s="37"/>
      <c r="AZ1997" s="37"/>
      <c r="BA1997" s="37"/>
      <c r="BB1997" s="37"/>
      <c r="BC1997" s="37"/>
      <c r="BD1997" s="37"/>
      <c r="BE1997" s="37"/>
      <c r="BF1997" s="37"/>
      <c r="BG1997" s="37"/>
      <c r="BH1997" s="37"/>
      <c r="BI1997" s="37"/>
      <c r="BJ1997" s="37"/>
      <c r="BK1997" s="37"/>
      <c r="BL1997" s="37"/>
      <c r="BM1997" s="37"/>
    </row>
    <row r="1998" spans="1:65" s="40" customFormat="1" ht="23.25" x14ac:dyDescent="0.35">
      <c r="A1998" s="37"/>
      <c r="B1998" s="37"/>
      <c r="C1998" s="41"/>
      <c r="D1998" s="38"/>
      <c r="E1998" s="57"/>
      <c r="F1998" s="42"/>
      <c r="G1998" s="43"/>
      <c r="H1998" s="37"/>
      <c r="I1998" s="37"/>
      <c r="J1998" s="38"/>
      <c r="K1998" s="37"/>
      <c r="L1998" s="38"/>
      <c r="M1998" s="39"/>
      <c r="P1998" s="37"/>
      <c r="Q1998" s="37"/>
      <c r="R1998" s="37"/>
      <c r="S1998" s="37"/>
      <c r="T1998" s="37"/>
      <c r="U1998" s="37"/>
      <c r="V1998" s="37"/>
      <c r="W1998" s="37"/>
      <c r="X1998" s="37"/>
      <c r="Y1998" s="37"/>
      <c r="Z1998" s="37"/>
      <c r="AA1998" s="37"/>
      <c r="AB1998" s="37"/>
      <c r="AC1998" s="37"/>
      <c r="AD1998" s="37"/>
      <c r="AE1998" s="37"/>
      <c r="AF1998" s="37"/>
      <c r="AG1998" s="37"/>
      <c r="AH1998" s="37"/>
      <c r="AI1998" s="37"/>
      <c r="AJ1998" s="37"/>
      <c r="AK1998" s="37"/>
      <c r="AL1998" s="37"/>
      <c r="AM1998" s="37"/>
      <c r="AN1998" s="37"/>
      <c r="AO1998" s="37"/>
      <c r="AP1998" s="37"/>
      <c r="AQ1998" s="37"/>
      <c r="AR1998" s="37"/>
      <c r="AS1998" s="37"/>
      <c r="AT1998" s="37"/>
      <c r="AU1998" s="37"/>
      <c r="AV1998" s="37"/>
      <c r="AW1998" s="37"/>
      <c r="AX1998" s="37"/>
      <c r="AY1998" s="37"/>
      <c r="AZ1998" s="37"/>
      <c r="BA1998" s="37"/>
      <c r="BB1998" s="37"/>
      <c r="BC1998" s="37"/>
      <c r="BD1998" s="37"/>
      <c r="BE1998" s="37"/>
      <c r="BF1998" s="37"/>
      <c r="BG1998" s="37"/>
      <c r="BH1998" s="37"/>
      <c r="BI1998" s="37"/>
      <c r="BJ1998" s="37"/>
      <c r="BK1998" s="37"/>
      <c r="BL1998" s="37"/>
      <c r="BM1998" s="37"/>
    </row>
    <row r="1999" spans="1:65" s="40" customFormat="1" ht="23.25" x14ac:dyDescent="0.35">
      <c r="A1999" s="37"/>
      <c r="B1999" s="37"/>
      <c r="C1999" s="41"/>
      <c r="D1999" s="38"/>
      <c r="E1999" s="57"/>
      <c r="F1999" s="42"/>
      <c r="G1999" s="43"/>
      <c r="H1999" s="37"/>
      <c r="I1999" s="37"/>
      <c r="J1999" s="38"/>
      <c r="K1999" s="37"/>
      <c r="L1999" s="38"/>
      <c r="M1999" s="39"/>
      <c r="P1999" s="37"/>
      <c r="Q1999" s="37"/>
      <c r="R1999" s="37"/>
      <c r="S1999" s="37"/>
      <c r="T1999" s="37"/>
      <c r="U1999" s="37"/>
      <c r="V1999" s="37"/>
      <c r="W1999" s="37"/>
      <c r="X1999" s="37"/>
      <c r="Y1999" s="37"/>
      <c r="Z1999" s="37"/>
      <c r="AA1999" s="37"/>
      <c r="AB1999" s="37"/>
      <c r="AC1999" s="37"/>
      <c r="AD1999" s="37"/>
      <c r="AE1999" s="37"/>
      <c r="AF1999" s="37"/>
      <c r="AG1999" s="37"/>
      <c r="AH1999" s="37"/>
      <c r="AI1999" s="37"/>
      <c r="AJ1999" s="37"/>
      <c r="AK1999" s="37"/>
      <c r="AL1999" s="37"/>
      <c r="AM1999" s="37"/>
      <c r="AN1999" s="37"/>
      <c r="AO1999" s="37"/>
      <c r="AP1999" s="37"/>
      <c r="AQ1999" s="37"/>
      <c r="AR1999" s="37"/>
      <c r="AS1999" s="37"/>
      <c r="AT1999" s="37"/>
      <c r="AU1999" s="37"/>
      <c r="AV1999" s="37"/>
      <c r="AW1999" s="37"/>
      <c r="AX1999" s="37"/>
      <c r="AY1999" s="37"/>
      <c r="AZ1999" s="37"/>
      <c r="BA1999" s="37"/>
      <c r="BB1999" s="37"/>
      <c r="BC1999" s="37"/>
      <c r="BD1999" s="37"/>
      <c r="BE1999" s="37"/>
      <c r="BF1999" s="37"/>
      <c r="BG1999" s="37"/>
      <c r="BH1999" s="37"/>
      <c r="BI1999" s="37"/>
      <c r="BJ1999" s="37"/>
      <c r="BK1999" s="37"/>
      <c r="BL1999" s="37"/>
      <c r="BM1999" s="37"/>
    </row>
    <row r="2000" spans="1:65" s="40" customFormat="1" ht="23.25" x14ac:dyDescent="0.35">
      <c r="A2000" s="37"/>
      <c r="B2000" s="37"/>
      <c r="C2000" s="41"/>
      <c r="D2000" s="38"/>
      <c r="E2000" s="57"/>
      <c r="F2000" s="42"/>
      <c r="G2000" s="43"/>
      <c r="H2000" s="37"/>
      <c r="I2000" s="37"/>
      <c r="J2000" s="38"/>
      <c r="K2000" s="37"/>
      <c r="L2000" s="38"/>
      <c r="M2000" s="39"/>
      <c r="P2000" s="37"/>
      <c r="Q2000" s="37"/>
      <c r="R2000" s="37"/>
      <c r="S2000" s="37"/>
      <c r="T2000" s="37"/>
      <c r="U2000" s="37"/>
      <c r="V2000" s="37"/>
      <c r="W2000" s="37"/>
      <c r="X2000" s="37"/>
      <c r="Y2000" s="37"/>
      <c r="Z2000" s="37"/>
      <c r="AA2000" s="37"/>
      <c r="AB2000" s="37"/>
      <c r="AC2000" s="37"/>
      <c r="AD2000" s="37"/>
      <c r="AE2000" s="37"/>
      <c r="AF2000" s="37"/>
      <c r="AG2000" s="37"/>
      <c r="AH2000" s="37"/>
      <c r="AI2000" s="37"/>
      <c r="AJ2000" s="37"/>
      <c r="AK2000" s="37"/>
      <c r="AL2000" s="37"/>
      <c r="AM2000" s="37"/>
      <c r="AN2000" s="37"/>
      <c r="AO2000" s="37"/>
      <c r="AP2000" s="37"/>
      <c r="AQ2000" s="37"/>
      <c r="AR2000" s="37"/>
      <c r="AS2000" s="37"/>
      <c r="AT2000" s="37"/>
      <c r="AU2000" s="37"/>
      <c r="AV2000" s="37"/>
      <c r="AW2000" s="37"/>
      <c r="AX2000" s="37"/>
      <c r="AY2000" s="37"/>
      <c r="AZ2000" s="37"/>
      <c r="BA2000" s="37"/>
      <c r="BB2000" s="37"/>
      <c r="BC2000" s="37"/>
      <c r="BD2000" s="37"/>
      <c r="BE2000" s="37"/>
      <c r="BF2000" s="37"/>
      <c r="BG2000" s="37"/>
      <c r="BH2000" s="37"/>
      <c r="BI2000" s="37"/>
      <c r="BJ2000" s="37"/>
      <c r="BK2000" s="37"/>
      <c r="BL2000" s="37"/>
      <c r="BM2000" s="37"/>
    </row>
    <row r="2001" spans="1:65" s="40" customFormat="1" ht="23.25" x14ac:dyDescent="0.35">
      <c r="A2001" s="37"/>
      <c r="B2001" s="37"/>
      <c r="C2001" s="41"/>
      <c r="D2001" s="38"/>
      <c r="E2001" s="57"/>
      <c r="F2001" s="42"/>
      <c r="G2001" s="43"/>
      <c r="H2001" s="37"/>
      <c r="I2001" s="37"/>
      <c r="J2001" s="38"/>
      <c r="K2001" s="37"/>
      <c r="L2001" s="38"/>
      <c r="M2001" s="39"/>
      <c r="P2001" s="37"/>
      <c r="Q2001" s="37"/>
      <c r="R2001" s="37"/>
      <c r="S2001" s="37"/>
      <c r="T2001" s="37"/>
      <c r="U2001" s="37"/>
      <c r="V2001" s="37"/>
      <c r="W2001" s="37"/>
      <c r="X2001" s="37"/>
      <c r="Y2001" s="37"/>
      <c r="Z2001" s="37"/>
      <c r="AA2001" s="37"/>
      <c r="AB2001" s="37"/>
      <c r="AC2001" s="37"/>
      <c r="AD2001" s="37"/>
      <c r="AE2001" s="37"/>
      <c r="AF2001" s="37"/>
      <c r="AG2001" s="37"/>
      <c r="AH2001" s="37"/>
      <c r="AI2001" s="37"/>
      <c r="AJ2001" s="37"/>
      <c r="AK2001" s="37"/>
      <c r="AL2001" s="37"/>
      <c r="AM2001" s="37"/>
      <c r="AN2001" s="37"/>
      <c r="AO2001" s="37"/>
      <c r="AP2001" s="37"/>
      <c r="AQ2001" s="37"/>
      <c r="AR2001" s="37"/>
      <c r="AS2001" s="37"/>
      <c r="AT2001" s="37"/>
      <c r="AU2001" s="37"/>
      <c r="AV2001" s="37"/>
      <c r="AW2001" s="37"/>
      <c r="AX2001" s="37"/>
      <c r="AY2001" s="37"/>
      <c r="AZ2001" s="37"/>
      <c r="BA2001" s="37"/>
      <c r="BB2001" s="37"/>
      <c r="BC2001" s="37"/>
      <c r="BD2001" s="37"/>
      <c r="BE2001" s="37"/>
      <c r="BF2001" s="37"/>
      <c r="BG2001" s="37"/>
      <c r="BH2001" s="37"/>
      <c r="BI2001" s="37"/>
      <c r="BJ2001" s="37"/>
      <c r="BK2001" s="37"/>
      <c r="BL2001" s="37"/>
      <c r="BM2001" s="37"/>
    </row>
    <row r="2002" spans="1:65" s="40" customFormat="1" ht="23.25" x14ac:dyDescent="0.35">
      <c r="A2002" s="37"/>
      <c r="B2002" s="37"/>
      <c r="C2002" s="41"/>
      <c r="D2002" s="38"/>
      <c r="E2002" s="57"/>
      <c r="F2002" s="42"/>
      <c r="G2002" s="43"/>
      <c r="H2002" s="37"/>
      <c r="I2002" s="37"/>
      <c r="J2002" s="38"/>
      <c r="K2002" s="37"/>
      <c r="L2002" s="38"/>
      <c r="M2002" s="39"/>
      <c r="P2002" s="37"/>
      <c r="Q2002" s="37"/>
      <c r="R2002" s="37"/>
      <c r="S2002" s="37"/>
      <c r="T2002" s="37"/>
      <c r="U2002" s="37"/>
      <c r="V2002" s="37"/>
      <c r="W2002" s="37"/>
      <c r="X2002" s="37"/>
      <c r="Y2002" s="37"/>
      <c r="Z2002" s="37"/>
      <c r="AA2002" s="37"/>
      <c r="AB2002" s="37"/>
      <c r="AC2002" s="37"/>
      <c r="AD2002" s="37"/>
      <c r="AE2002" s="37"/>
      <c r="AF2002" s="37"/>
      <c r="AG2002" s="37"/>
      <c r="AH2002" s="37"/>
      <c r="AI2002" s="37"/>
      <c r="AJ2002" s="37"/>
      <c r="AK2002" s="37"/>
      <c r="AL2002" s="37"/>
      <c r="AM2002" s="37"/>
      <c r="AN2002" s="37"/>
      <c r="AO2002" s="37"/>
      <c r="AP2002" s="37"/>
      <c r="AQ2002" s="37"/>
      <c r="AR2002" s="37"/>
      <c r="AS2002" s="37"/>
      <c r="AT2002" s="37"/>
      <c r="AU2002" s="37"/>
      <c r="AV2002" s="37"/>
      <c r="AW2002" s="37"/>
      <c r="AX2002" s="37"/>
      <c r="AY2002" s="37"/>
      <c r="AZ2002" s="37"/>
      <c r="BA2002" s="37"/>
      <c r="BB2002" s="37"/>
      <c r="BC2002" s="37"/>
      <c r="BD2002" s="37"/>
      <c r="BE2002" s="37"/>
      <c r="BF2002" s="37"/>
      <c r="BG2002" s="37"/>
      <c r="BH2002" s="37"/>
      <c r="BI2002" s="37"/>
      <c r="BJ2002" s="37"/>
      <c r="BK2002" s="37"/>
      <c r="BL2002" s="37"/>
      <c r="BM2002" s="37"/>
    </row>
    <row r="2003" spans="1:65" s="40" customFormat="1" ht="23.25" x14ac:dyDescent="0.35">
      <c r="A2003" s="37"/>
      <c r="B2003" s="37"/>
      <c r="C2003" s="41"/>
      <c r="D2003" s="38"/>
      <c r="E2003" s="57"/>
      <c r="F2003" s="42"/>
      <c r="G2003" s="43"/>
      <c r="H2003" s="37"/>
      <c r="I2003" s="37"/>
      <c r="J2003" s="38"/>
      <c r="K2003" s="37"/>
      <c r="L2003" s="38"/>
      <c r="M2003" s="39"/>
      <c r="P2003" s="37"/>
      <c r="Q2003" s="37"/>
      <c r="R2003" s="37"/>
      <c r="S2003" s="37"/>
      <c r="T2003" s="37"/>
      <c r="U2003" s="37"/>
      <c r="V2003" s="37"/>
      <c r="W2003" s="37"/>
      <c r="X2003" s="37"/>
      <c r="Y2003" s="37"/>
      <c r="Z2003" s="37"/>
      <c r="AA2003" s="37"/>
      <c r="AB2003" s="37"/>
      <c r="AC2003" s="37"/>
      <c r="AD2003" s="37"/>
      <c r="AE2003" s="37"/>
      <c r="AF2003" s="37"/>
      <c r="AG2003" s="37"/>
      <c r="AH2003" s="37"/>
      <c r="AI2003" s="37"/>
      <c r="AJ2003" s="37"/>
      <c r="AK2003" s="37"/>
      <c r="AL2003" s="37"/>
      <c r="AM2003" s="37"/>
      <c r="AN2003" s="37"/>
      <c r="AO2003" s="37"/>
      <c r="AP2003" s="37"/>
      <c r="AQ2003" s="37"/>
      <c r="AR2003" s="37"/>
      <c r="AS2003" s="37"/>
      <c r="AT2003" s="37"/>
      <c r="AU2003" s="37"/>
      <c r="AV2003" s="37"/>
      <c r="AW2003" s="37"/>
      <c r="AX2003" s="37"/>
      <c r="AY2003" s="37"/>
      <c r="AZ2003" s="37"/>
      <c r="BA2003" s="37"/>
      <c r="BB2003" s="37"/>
      <c r="BC2003" s="37"/>
      <c r="BD2003" s="37"/>
      <c r="BE2003" s="37"/>
      <c r="BF2003" s="37"/>
      <c r="BG2003" s="37"/>
      <c r="BH2003" s="37"/>
      <c r="BI2003" s="37"/>
      <c r="BJ2003" s="37"/>
      <c r="BK2003" s="37"/>
      <c r="BL2003" s="37"/>
      <c r="BM2003" s="37"/>
    </row>
    <row r="2004" spans="1:65" s="40" customFormat="1" ht="23.25" x14ac:dyDescent="0.35">
      <c r="A2004" s="37"/>
      <c r="B2004" s="37"/>
      <c r="C2004" s="41"/>
      <c r="D2004" s="38"/>
      <c r="E2004" s="57"/>
      <c r="F2004" s="42"/>
      <c r="G2004" s="43"/>
      <c r="H2004" s="37"/>
      <c r="I2004" s="37"/>
      <c r="J2004" s="38"/>
      <c r="K2004" s="37"/>
      <c r="L2004" s="38"/>
      <c r="M2004" s="39"/>
      <c r="P2004" s="37"/>
      <c r="Q2004" s="37"/>
      <c r="R2004" s="37"/>
      <c r="S2004" s="37"/>
      <c r="T2004" s="37"/>
      <c r="U2004" s="37"/>
      <c r="V2004" s="37"/>
      <c r="W2004" s="37"/>
      <c r="X2004" s="37"/>
      <c r="Y2004" s="37"/>
      <c r="Z2004" s="37"/>
      <c r="AA2004" s="37"/>
      <c r="AB2004" s="37"/>
      <c r="AC2004" s="37"/>
      <c r="AD2004" s="37"/>
      <c r="AE2004" s="37"/>
      <c r="AF2004" s="37"/>
      <c r="AG2004" s="37"/>
      <c r="AH2004" s="37"/>
      <c r="AI2004" s="37"/>
      <c r="AJ2004" s="37"/>
      <c r="AK2004" s="37"/>
      <c r="AL2004" s="37"/>
      <c r="AM2004" s="37"/>
      <c r="AN2004" s="37"/>
      <c r="AO2004" s="37"/>
      <c r="AP2004" s="37"/>
      <c r="AQ2004" s="37"/>
      <c r="AR2004" s="37"/>
      <c r="AS2004" s="37"/>
      <c r="AT2004" s="37"/>
      <c r="AU2004" s="37"/>
      <c r="AV2004" s="37"/>
      <c r="AW2004" s="37"/>
      <c r="AX2004" s="37"/>
      <c r="AY2004" s="37"/>
      <c r="AZ2004" s="37"/>
      <c r="BA2004" s="37"/>
      <c r="BB2004" s="37"/>
      <c r="BC2004" s="37"/>
      <c r="BD2004" s="37"/>
      <c r="BE2004" s="37"/>
      <c r="BF2004" s="37"/>
      <c r="BG2004" s="37"/>
      <c r="BH2004" s="37"/>
      <c r="BI2004" s="37"/>
      <c r="BJ2004" s="37"/>
      <c r="BK2004" s="37"/>
      <c r="BL2004" s="37"/>
      <c r="BM2004" s="37"/>
    </row>
    <row r="2005" spans="1:65" s="40" customFormat="1" ht="23.25" x14ac:dyDescent="0.35">
      <c r="A2005" s="37"/>
      <c r="B2005" s="37"/>
      <c r="C2005" s="41"/>
      <c r="D2005" s="38"/>
      <c r="E2005" s="57"/>
      <c r="F2005" s="42"/>
      <c r="G2005" s="43"/>
      <c r="H2005" s="37"/>
      <c r="I2005" s="37"/>
      <c r="J2005" s="38"/>
      <c r="K2005" s="37"/>
      <c r="L2005" s="38"/>
      <c r="M2005" s="39"/>
      <c r="P2005" s="37"/>
      <c r="Q2005" s="37"/>
      <c r="R2005" s="37"/>
      <c r="S2005" s="37"/>
      <c r="T2005" s="37"/>
      <c r="U2005" s="37"/>
      <c r="V2005" s="37"/>
      <c r="W2005" s="37"/>
      <c r="X2005" s="37"/>
      <c r="Y2005" s="37"/>
      <c r="Z2005" s="37"/>
      <c r="AA2005" s="37"/>
      <c r="AB2005" s="37"/>
      <c r="AC2005" s="37"/>
      <c r="AD2005" s="37"/>
      <c r="AE2005" s="37"/>
      <c r="AF2005" s="37"/>
      <c r="AG2005" s="37"/>
      <c r="AH2005" s="37"/>
      <c r="AI2005" s="37"/>
      <c r="AJ2005" s="37"/>
      <c r="AK2005" s="37"/>
      <c r="AL2005" s="37"/>
      <c r="AM2005" s="37"/>
      <c r="AN2005" s="37"/>
      <c r="AO2005" s="37"/>
      <c r="AP2005" s="37"/>
      <c r="AQ2005" s="37"/>
      <c r="AR2005" s="37"/>
      <c r="AS2005" s="37"/>
      <c r="AT2005" s="37"/>
      <c r="AU2005" s="37"/>
      <c r="AV2005" s="37"/>
      <c r="AW2005" s="37"/>
      <c r="AX2005" s="37"/>
      <c r="AY2005" s="37"/>
      <c r="AZ2005" s="37"/>
      <c r="BA2005" s="37"/>
      <c r="BB2005" s="37"/>
      <c r="BC2005" s="37"/>
      <c r="BD2005" s="37"/>
      <c r="BE2005" s="37"/>
      <c r="BF2005" s="37"/>
      <c r="BG2005" s="37"/>
      <c r="BH2005" s="37"/>
      <c r="BI2005" s="37"/>
      <c r="BJ2005" s="37"/>
      <c r="BK2005" s="37"/>
      <c r="BL2005" s="37"/>
      <c r="BM2005" s="37"/>
    </row>
    <row r="2006" spans="1:65" s="40" customFormat="1" ht="23.25" x14ac:dyDescent="0.35">
      <c r="A2006" s="37"/>
      <c r="B2006" s="37"/>
      <c r="C2006" s="41"/>
      <c r="D2006" s="38"/>
      <c r="E2006" s="57"/>
      <c r="F2006" s="42"/>
      <c r="G2006" s="43"/>
      <c r="H2006" s="37"/>
      <c r="I2006" s="37"/>
      <c r="J2006" s="38"/>
      <c r="K2006" s="37"/>
      <c r="L2006" s="38"/>
      <c r="M2006" s="39"/>
      <c r="P2006" s="37"/>
      <c r="Q2006" s="37"/>
      <c r="R2006" s="37"/>
      <c r="S2006" s="37"/>
      <c r="T2006" s="37"/>
      <c r="U2006" s="37"/>
      <c r="V2006" s="37"/>
      <c r="W2006" s="37"/>
      <c r="X2006" s="37"/>
      <c r="Y2006" s="37"/>
      <c r="Z2006" s="37"/>
      <c r="AA2006" s="37"/>
      <c r="AB2006" s="37"/>
      <c r="AC2006" s="37"/>
      <c r="AD2006" s="37"/>
      <c r="AE2006" s="37"/>
      <c r="AF2006" s="37"/>
      <c r="AG2006" s="37"/>
      <c r="AH2006" s="37"/>
      <c r="AI2006" s="37"/>
      <c r="AJ2006" s="37"/>
      <c r="AK2006" s="37"/>
      <c r="AL2006" s="37"/>
      <c r="AM2006" s="37"/>
      <c r="AN2006" s="37"/>
      <c r="AO2006" s="37"/>
      <c r="AP2006" s="37"/>
      <c r="AQ2006" s="37"/>
      <c r="AR2006" s="37"/>
      <c r="AS2006" s="37"/>
      <c r="AT2006" s="37"/>
      <c r="AU2006" s="37"/>
      <c r="AV2006" s="37"/>
      <c r="AW2006" s="37"/>
      <c r="AX2006" s="37"/>
      <c r="AY2006" s="37"/>
      <c r="AZ2006" s="37"/>
      <c r="BA2006" s="37"/>
      <c r="BB2006" s="37"/>
      <c r="BC2006" s="37"/>
      <c r="BD2006" s="37"/>
      <c r="BE2006" s="37"/>
      <c r="BF2006" s="37"/>
      <c r="BG2006" s="37"/>
      <c r="BH2006" s="37"/>
      <c r="BI2006" s="37"/>
      <c r="BJ2006" s="37"/>
      <c r="BK2006" s="37"/>
      <c r="BL2006" s="37"/>
      <c r="BM2006" s="37"/>
    </row>
    <row r="2007" spans="1:65" s="40" customFormat="1" ht="23.25" x14ac:dyDescent="0.35">
      <c r="A2007" s="37"/>
      <c r="B2007" s="37"/>
      <c r="C2007" s="41"/>
      <c r="D2007" s="38"/>
      <c r="E2007" s="57"/>
      <c r="F2007" s="42"/>
      <c r="G2007" s="43"/>
      <c r="H2007" s="37"/>
      <c r="I2007" s="37"/>
      <c r="J2007" s="38"/>
      <c r="K2007" s="37"/>
      <c r="L2007" s="38"/>
      <c r="M2007" s="39"/>
      <c r="P2007" s="37"/>
      <c r="Q2007" s="37"/>
      <c r="R2007" s="37"/>
      <c r="S2007" s="37"/>
      <c r="T2007" s="37"/>
      <c r="U2007" s="37"/>
      <c r="V2007" s="37"/>
      <c r="W2007" s="37"/>
      <c r="X2007" s="37"/>
      <c r="Y2007" s="37"/>
      <c r="Z2007" s="37"/>
      <c r="AA2007" s="37"/>
      <c r="AB2007" s="37"/>
      <c r="AC2007" s="37"/>
      <c r="AD2007" s="37"/>
      <c r="AE2007" s="37"/>
      <c r="AF2007" s="37"/>
      <c r="AG2007" s="37"/>
      <c r="AH2007" s="37"/>
      <c r="AI2007" s="37"/>
      <c r="AJ2007" s="37"/>
      <c r="AK2007" s="37"/>
      <c r="AL2007" s="37"/>
      <c r="AM2007" s="37"/>
      <c r="AN2007" s="37"/>
      <c r="AO2007" s="37"/>
      <c r="AP2007" s="37"/>
      <c r="AQ2007" s="37"/>
      <c r="AR2007" s="37"/>
      <c r="AS2007" s="37"/>
      <c r="AT2007" s="37"/>
      <c r="AU2007" s="37"/>
      <c r="AV2007" s="37"/>
      <c r="AW2007" s="37"/>
      <c r="AX2007" s="37"/>
      <c r="AY2007" s="37"/>
      <c r="AZ2007" s="37"/>
      <c r="BA2007" s="37"/>
      <c r="BB2007" s="37"/>
      <c r="BC2007" s="37"/>
      <c r="BD2007" s="37"/>
      <c r="BE2007" s="37"/>
      <c r="BF2007" s="37"/>
      <c r="BG2007" s="37"/>
      <c r="BH2007" s="37"/>
      <c r="BI2007" s="37"/>
      <c r="BJ2007" s="37"/>
      <c r="BK2007" s="37"/>
      <c r="BL2007" s="37"/>
      <c r="BM2007" s="37"/>
    </row>
    <row r="2008" spans="1:65" s="40" customFormat="1" ht="23.25" x14ac:dyDescent="0.35">
      <c r="A2008" s="37"/>
      <c r="B2008" s="37"/>
      <c r="C2008" s="41"/>
      <c r="D2008" s="38"/>
      <c r="E2008" s="57"/>
      <c r="F2008" s="42"/>
      <c r="G2008" s="43"/>
      <c r="H2008" s="37"/>
      <c r="I2008" s="37"/>
      <c r="J2008" s="38"/>
      <c r="K2008" s="37"/>
      <c r="L2008" s="38"/>
      <c r="M2008" s="39"/>
      <c r="P2008" s="37"/>
      <c r="Q2008" s="37"/>
      <c r="R2008" s="37"/>
      <c r="S2008" s="37"/>
      <c r="T2008" s="37"/>
      <c r="U2008" s="37"/>
      <c r="V2008" s="37"/>
      <c r="W2008" s="37"/>
      <c r="X2008" s="37"/>
      <c r="Y2008" s="37"/>
      <c r="Z2008" s="37"/>
      <c r="AA2008" s="37"/>
      <c r="AB2008" s="37"/>
      <c r="AC2008" s="37"/>
      <c r="AD2008" s="37"/>
      <c r="AE2008" s="37"/>
      <c r="AF2008" s="37"/>
      <c r="AG2008" s="37"/>
      <c r="AH2008" s="37"/>
      <c r="AI2008" s="37"/>
      <c r="AJ2008" s="37"/>
      <c r="AK2008" s="37"/>
      <c r="AL2008" s="37"/>
      <c r="AM2008" s="37"/>
      <c r="AN2008" s="37"/>
      <c r="AO2008" s="37"/>
      <c r="AP2008" s="37"/>
      <c r="AQ2008" s="37"/>
      <c r="AR2008" s="37"/>
      <c r="AS2008" s="37"/>
      <c r="AT2008" s="37"/>
      <c r="AU2008" s="37"/>
      <c r="AV2008" s="37"/>
      <c r="AW2008" s="37"/>
      <c r="AX2008" s="37"/>
      <c r="AY2008" s="37"/>
      <c r="AZ2008" s="37"/>
      <c r="BA2008" s="37"/>
      <c r="BB2008" s="37"/>
      <c r="BC2008" s="37"/>
      <c r="BD2008" s="37"/>
      <c r="BE2008" s="37"/>
      <c r="BF2008" s="37"/>
      <c r="BG2008" s="37"/>
      <c r="BH2008" s="37"/>
      <c r="BI2008" s="37"/>
      <c r="BJ2008" s="37"/>
      <c r="BK2008" s="37"/>
      <c r="BL2008" s="37"/>
      <c r="BM2008" s="37"/>
    </row>
    <row r="2009" spans="1:65" s="40" customFormat="1" ht="23.25" x14ac:dyDescent="0.35">
      <c r="A2009" s="37"/>
      <c r="B2009" s="37"/>
      <c r="C2009" s="41"/>
      <c r="D2009" s="38"/>
      <c r="E2009" s="57"/>
      <c r="F2009" s="42"/>
      <c r="G2009" s="43"/>
      <c r="H2009" s="37"/>
      <c r="I2009" s="37"/>
      <c r="J2009" s="38"/>
      <c r="K2009" s="37"/>
      <c r="L2009" s="38"/>
      <c r="M2009" s="39"/>
      <c r="P2009" s="37"/>
      <c r="Q2009" s="37"/>
      <c r="R2009" s="37"/>
      <c r="S2009" s="37"/>
      <c r="T2009" s="37"/>
      <c r="U2009" s="37"/>
      <c r="V2009" s="37"/>
      <c r="W2009" s="37"/>
      <c r="X2009" s="37"/>
      <c r="Y2009" s="37"/>
      <c r="Z2009" s="37"/>
      <c r="AA2009" s="37"/>
      <c r="AB2009" s="37"/>
      <c r="AC2009" s="37"/>
      <c r="AD2009" s="37"/>
      <c r="AE2009" s="37"/>
      <c r="AF2009" s="37"/>
      <c r="AG2009" s="37"/>
      <c r="AH2009" s="37"/>
      <c r="AI2009" s="37"/>
      <c r="AJ2009" s="37"/>
      <c r="AK2009" s="37"/>
      <c r="AL2009" s="37"/>
      <c r="AM2009" s="37"/>
      <c r="AN2009" s="37"/>
      <c r="AO2009" s="37"/>
      <c r="AP2009" s="37"/>
      <c r="AQ2009" s="37"/>
      <c r="AR2009" s="37"/>
      <c r="AS2009" s="37"/>
      <c r="AT2009" s="37"/>
      <c r="AU2009" s="37"/>
      <c r="AV2009" s="37"/>
      <c r="AW2009" s="37"/>
      <c r="AX2009" s="37"/>
      <c r="AY2009" s="37"/>
      <c r="AZ2009" s="37"/>
      <c r="BA2009" s="37"/>
      <c r="BB2009" s="37"/>
      <c r="BC2009" s="37"/>
      <c r="BD2009" s="37"/>
      <c r="BE2009" s="37"/>
      <c r="BF2009" s="37"/>
      <c r="BG2009" s="37"/>
      <c r="BH2009" s="37"/>
      <c r="BI2009" s="37"/>
      <c r="BJ2009" s="37"/>
      <c r="BK2009" s="37"/>
      <c r="BL2009" s="37"/>
      <c r="BM2009" s="37"/>
    </row>
    <row r="2010" spans="1:65" s="40" customFormat="1" ht="23.25" x14ac:dyDescent="0.35">
      <c r="A2010" s="37"/>
      <c r="B2010" s="37"/>
      <c r="C2010" s="41"/>
      <c r="D2010" s="38"/>
      <c r="E2010" s="57"/>
      <c r="F2010" s="42"/>
      <c r="G2010" s="43"/>
      <c r="H2010" s="37"/>
      <c r="I2010" s="37"/>
      <c r="J2010" s="38"/>
      <c r="K2010" s="37"/>
      <c r="L2010" s="38"/>
      <c r="M2010" s="39"/>
      <c r="P2010" s="37"/>
      <c r="Q2010" s="37"/>
      <c r="R2010" s="37"/>
      <c r="S2010" s="37"/>
      <c r="T2010" s="37"/>
      <c r="U2010" s="37"/>
      <c r="V2010" s="37"/>
      <c r="W2010" s="37"/>
      <c r="X2010" s="37"/>
      <c r="Y2010" s="37"/>
      <c r="Z2010" s="37"/>
      <c r="AA2010" s="37"/>
      <c r="AB2010" s="37"/>
      <c r="AC2010" s="37"/>
      <c r="AD2010" s="37"/>
      <c r="AE2010" s="37"/>
      <c r="AF2010" s="37"/>
      <c r="AG2010" s="37"/>
      <c r="AH2010" s="37"/>
      <c r="AI2010" s="37"/>
      <c r="AJ2010" s="37"/>
      <c r="AK2010" s="37"/>
      <c r="AL2010" s="37"/>
      <c r="AM2010" s="37"/>
      <c r="AN2010" s="37"/>
      <c r="AO2010" s="37"/>
      <c r="AP2010" s="37"/>
      <c r="AQ2010" s="37"/>
      <c r="AR2010" s="37"/>
      <c r="AS2010" s="37"/>
      <c r="AT2010" s="37"/>
      <c r="AU2010" s="37"/>
      <c r="AV2010" s="37"/>
      <c r="AW2010" s="37"/>
      <c r="AX2010" s="37"/>
      <c r="AY2010" s="37"/>
      <c r="AZ2010" s="37"/>
      <c r="BA2010" s="37"/>
      <c r="BB2010" s="37"/>
      <c r="BC2010" s="37"/>
      <c r="BD2010" s="37"/>
      <c r="BE2010" s="37"/>
      <c r="BF2010" s="37"/>
      <c r="BG2010" s="37"/>
      <c r="BH2010" s="37"/>
      <c r="BI2010" s="37"/>
      <c r="BJ2010" s="37"/>
      <c r="BK2010" s="37"/>
      <c r="BL2010" s="37"/>
      <c r="BM2010" s="37"/>
    </row>
    <row r="2011" spans="1:65" s="40" customFormat="1" ht="23.25" x14ac:dyDescent="0.35">
      <c r="A2011" s="37"/>
      <c r="B2011" s="37"/>
      <c r="C2011" s="41"/>
      <c r="D2011" s="38"/>
      <c r="E2011" s="57"/>
      <c r="F2011" s="42"/>
      <c r="G2011" s="43"/>
      <c r="H2011" s="37"/>
      <c r="I2011" s="37"/>
      <c r="J2011" s="38"/>
      <c r="K2011" s="37"/>
      <c r="L2011" s="38"/>
      <c r="M2011" s="39"/>
      <c r="P2011" s="37"/>
      <c r="Q2011" s="37"/>
      <c r="R2011" s="37"/>
      <c r="S2011" s="37"/>
      <c r="T2011" s="37"/>
      <c r="U2011" s="37"/>
      <c r="V2011" s="37"/>
      <c r="W2011" s="37"/>
      <c r="X2011" s="37"/>
      <c r="Y2011" s="37"/>
      <c r="Z2011" s="37"/>
      <c r="AA2011" s="37"/>
      <c r="AB2011" s="37"/>
      <c r="AC2011" s="37"/>
      <c r="AD2011" s="37"/>
      <c r="AE2011" s="37"/>
      <c r="AF2011" s="37"/>
      <c r="AG2011" s="37"/>
      <c r="AH2011" s="37"/>
      <c r="AI2011" s="37"/>
      <c r="AJ2011" s="37"/>
      <c r="AK2011" s="37"/>
      <c r="AL2011" s="37"/>
      <c r="AM2011" s="37"/>
      <c r="AN2011" s="37"/>
      <c r="AO2011" s="37"/>
      <c r="AP2011" s="37"/>
      <c r="AQ2011" s="37"/>
      <c r="AR2011" s="37"/>
      <c r="AS2011" s="37"/>
      <c r="AT2011" s="37"/>
      <c r="AU2011" s="37"/>
      <c r="AV2011" s="37"/>
      <c r="AW2011" s="37"/>
      <c r="AX2011" s="37"/>
      <c r="AY2011" s="37"/>
      <c r="AZ2011" s="37"/>
      <c r="BA2011" s="37"/>
      <c r="BB2011" s="37"/>
      <c r="BC2011" s="37"/>
      <c r="BD2011" s="37"/>
      <c r="BE2011" s="37"/>
      <c r="BF2011" s="37"/>
      <c r="BG2011" s="37"/>
      <c r="BH2011" s="37"/>
      <c r="BI2011" s="37"/>
      <c r="BJ2011" s="37"/>
      <c r="BK2011" s="37"/>
      <c r="BL2011" s="37"/>
      <c r="BM2011" s="37"/>
    </row>
    <row r="2012" spans="1:65" s="40" customFormat="1" ht="23.25" x14ac:dyDescent="0.35">
      <c r="A2012" s="37"/>
      <c r="B2012" s="37"/>
      <c r="C2012" s="41"/>
      <c r="D2012" s="38"/>
      <c r="E2012" s="57"/>
      <c r="F2012" s="42"/>
      <c r="G2012" s="43"/>
      <c r="H2012" s="37"/>
      <c r="I2012" s="37"/>
      <c r="J2012" s="38"/>
      <c r="K2012" s="37"/>
      <c r="L2012" s="38"/>
      <c r="M2012" s="39"/>
      <c r="P2012" s="37"/>
      <c r="Q2012" s="37"/>
      <c r="R2012" s="37"/>
      <c r="S2012" s="37"/>
      <c r="T2012" s="37"/>
      <c r="U2012" s="37"/>
      <c r="V2012" s="37"/>
      <c r="W2012" s="37"/>
      <c r="X2012" s="37"/>
      <c r="Y2012" s="37"/>
      <c r="Z2012" s="37"/>
      <c r="AA2012" s="37"/>
      <c r="AB2012" s="37"/>
      <c r="AC2012" s="37"/>
      <c r="AD2012" s="37"/>
      <c r="AE2012" s="37"/>
      <c r="AF2012" s="37"/>
      <c r="AG2012" s="37"/>
      <c r="AH2012" s="37"/>
      <c r="AI2012" s="37"/>
      <c r="AJ2012" s="37"/>
      <c r="AK2012" s="37"/>
      <c r="AL2012" s="37"/>
      <c r="AM2012" s="37"/>
      <c r="AN2012" s="37"/>
      <c r="AO2012" s="37"/>
      <c r="AP2012" s="37"/>
      <c r="AQ2012" s="37"/>
      <c r="AR2012" s="37"/>
      <c r="AS2012" s="37"/>
      <c r="AT2012" s="37"/>
      <c r="AU2012" s="37"/>
      <c r="AV2012" s="37"/>
      <c r="AW2012" s="37"/>
      <c r="AX2012" s="37"/>
      <c r="AY2012" s="37"/>
      <c r="AZ2012" s="37"/>
      <c r="BA2012" s="37"/>
      <c r="BB2012" s="37"/>
      <c r="BC2012" s="37"/>
      <c r="BD2012" s="37"/>
      <c r="BE2012" s="37"/>
      <c r="BF2012" s="37"/>
      <c r="BG2012" s="37"/>
      <c r="BH2012" s="37"/>
      <c r="BI2012" s="37"/>
      <c r="BJ2012" s="37"/>
      <c r="BK2012" s="37"/>
      <c r="BL2012" s="37"/>
      <c r="BM2012" s="37"/>
    </row>
    <row r="2013" spans="1:65" s="40" customFormat="1" ht="23.25" x14ac:dyDescent="0.35">
      <c r="A2013" s="37"/>
      <c r="B2013" s="37"/>
      <c r="C2013" s="41"/>
      <c r="D2013" s="38"/>
      <c r="E2013" s="57"/>
      <c r="F2013" s="42"/>
      <c r="G2013" s="43"/>
      <c r="H2013" s="37"/>
      <c r="I2013" s="37"/>
      <c r="J2013" s="38"/>
      <c r="K2013" s="37"/>
      <c r="L2013" s="38"/>
      <c r="M2013" s="39"/>
      <c r="P2013" s="37"/>
      <c r="Q2013" s="37"/>
      <c r="R2013" s="37"/>
      <c r="S2013" s="37"/>
      <c r="T2013" s="37"/>
      <c r="U2013" s="37"/>
      <c r="V2013" s="37"/>
      <c r="W2013" s="37"/>
      <c r="X2013" s="37"/>
      <c r="Y2013" s="37"/>
      <c r="Z2013" s="37"/>
      <c r="AA2013" s="37"/>
      <c r="AB2013" s="37"/>
      <c r="AC2013" s="37"/>
      <c r="AD2013" s="37"/>
      <c r="AE2013" s="37"/>
      <c r="AF2013" s="37"/>
      <c r="AG2013" s="37"/>
      <c r="AH2013" s="37"/>
      <c r="AI2013" s="37"/>
      <c r="AJ2013" s="37"/>
      <c r="AK2013" s="37"/>
      <c r="AL2013" s="37"/>
      <c r="AM2013" s="37"/>
      <c r="AN2013" s="37"/>
      <c r="AO2013" s="37"/>
      <c r="AP2013" s="37"/>
      <c r="AQ2013" s="37"/>
      <c r="AR2013" s="37"/>
      <c r="AS2013" s="37"/>
      <c r="AT2013" s="37"/>
      <c r="AU2013" s="37"/>
      <c r="AV2013" s="37"/>
      <c r="AW2013" s="37"/>
      <c r="AX2013" s="37"/>
      <c r="AY2013" s="37"/>
      <c r="AZ2013" s="37"/>
      <c r="BA2013" s="37"/>
      <c r="BB2013" s="37"/>
      <c r="BC2013" s="37"/>
      <c r="BD2013" s="37"/>
      <c r="BE2013" s="37"/>
      <c r="BF2013" s="37"/>
      <c r="BG2013" s="37"/>
      <c r="BH2013" s="37"/>
      <c r="BI2013" s="37"/>
      <c r="BJ2013" s="37"/>
      <c r="BK2013" s="37"/>
      <c r="BL2013" s="37"/>
      <c r="BM2013" s="37"/>
    </row>
    <row r="2014" spans="1:65" s="40" customFormat="1" ht="23.25" x14ac:dyDescent="0.35">
      <c r="A2014" s="37"/>
      <c r="B2014" s="37"/>
      <c r="C2014" s="41"/>
      <c r="D2014" s="38"/>
      <c r="E2014" s="57"/>
      <c r="F2014" s="42"/>
      <c r="G2014" s="43"/>
      <c r="H2014" s="37"/>
      <c r="I2014" s="37"/>
      <c r="J2014" s="38"/>
      <c r="K2014" s="37"/>
      <c r="L2014" s="38"/>
      <c r="M2014" s="39"/>
      <c r="P2014" s="37"/>
      <c r="Q2014" s="37"/>
      <c r="R2014" s="37"/>
      <c r="S2014" s="37"/>
      <c r="T2014" s="37"/>
      <c r="U2014" s="37"/>
      <c r="V2014" s="37"/>
      <c r="W2014" s="37"/>
      <c r="X2014" s="37"/>
      <c r="Y2014" s="37"/>
      <c r="Z2014" s="37"/>
      <c r="AA2014" s="37"/>
      <c r="AB2014" s="37"/>
      <c r="AC2014" s="37"/>
      <c r="AD2014" s="37"/>
      <c r="AE2014" s="37"/>
      <c r="AF2014" s="37"/>
      <c r="AG2014" s="37"/>
      <c r="AH2014" s="37"/>
      <c r="AI2014" s="37"/>
      <c r="AJ2014" s="37"/>
      <c r="AK2014" s="37"/>
      <c r="AL2014" s="37"/>
      <c r="AM2014" s="37"/>
      <c r="AN2014" s="37"/>
      <c r="AO2014" s="37"/>
      <c r="AP2014" s="37"/>
      <c r="AQ2014" s="37"/>
      <c r="AR2014" s="37"/>
      <c r="AS2014" s="37"/>
      <c r="AT2014" s="37"/>
      <c r="AU2014" s="37"/>
      <c r="AV2014" s="37"/>
      <c r="AW2014" s="37"/>
      <c r="AX2014" s="37"/>
      <c r="AY2014" s="37"/>
      <c r="AZ2014" s="37"/>
      <c r="BA2014" s="37"/>
      <c r="BB2014" s="37"/>
      <c r="BC2014" s="37"/>
      <c r="BD2014" s="37"/>
      <c r="BE2014" s="37"/>
      <c r="BF2014" s="37"/>
      <c r="BG2014" s="37"/>
      <c r="BH2014" s="37"/>
      <c r="BI2014" s="37"/>
      <c r="BJ2014" s="37"/>
      <c r="BK2014" s="37"/>
      <c r="BL2014" s="37"/>
      <c r="BM2014" s="37"/>
    </row>
    <row r="2015" spans="1:65" s="40" customFormat="1" ht="23.25" x14ac:dyDescent="0.35">
      <c r="A2015" s="37"/>
      <c r="B2015" s="37"/>
      <c r="C2015" s="41"/>
      <c r="D2015" s="38"/>
      <c r="E2015" s="57"/>
      <c r="F2015" s="42"/>
      <c r="G2015" s="43"/>
      <c r="H2015" s="37"/>
      <c r="I2015" s="37"/>
      <c r="J2015" s="38"/>
      <c r="K2015" s="37"/>
      <c r="L2015" s="38"/>
      <c r="M2015" s="39"/>
      <c r="P2015" s="37"/>
      <c r="Q2015" s="37"/>
      <c r="R2015" s="37"/>
      <c r="S2015" s="37"/>
      <c r="T2015" s="37"/>
      <c r="U2015" s="37"/>
      <c r="V2015" s="37"/>
      <c r="W2015" s="37"/>
      <c r="X2015" s="37"/>
      <c r="Y2015" s="37"/>
      <c r="Z2015" s="37"/>
      <c r="AA2015" s="37"/>
      <c r="AB2015" s="37"/>
      <c r="AC2015" s="37"/>
      <c r="AD2015" s="37"/>
      <c r="AE2015" s="37"/>
      <c r="AF2015" s="37"/>
      <c r="AG2015" s="37"/>
      <c r="AH2015" s="37"/>
      <c r="AI2015" s="37"/>
      <c r="AJ2015" s="37"/>
      <c r="AK2015" s="37"/>
      <c r="AL2015" s="37"/>
      <c r="AM2015" s="37"/>
      <c r="AN2015" s="37"/>
      <c r="AO2015" s="37"/>
      <c r="AP2015" s="37"/>
      <c r="AQ2015" s="37"/>
      <c r="AR2015" s="37"/>
      <c r="AS2015" s="37"/>
      <c r="AT2015" s="37"/>
      <c r="AU2015" s="37"/>
      <c r="AV2015" s="37"/>
      <c r="AW2015" s="37"/>
      <c r="AX2015" s="37"/>
      <c r="AY2015" s="37"/>
      <c r="AZ2015" s="37"/>
      <c r="BA2015" s="37"/>
      <c r="BB2015" s="37"/>
      <c r="BC2015" s="37"/>
      <c r="BD2015" s="37"/>
      <c r="BE2015" s="37"/>
      <c r="BF2015" s="37"/>
      <c r="BG2015" s="37"/>
      <c r="BH2015" s="37"/>
      <c r="BI2015" s="37"/>
      <c r="BJ2015" s="37"/>
      <c r="BK2015" s="37"/>
      <c r="BL2015" s="37"/>
      <c r="BM2015" s="37"/>
    </row>
    <row r="2016" spans="1:65" s="40" customFormat="1" ht="23.25" x14ac:dyDescent="0.35">
      <c r="A2016" s="37"/>
      <c r="B2016" s="37"/>
      <c r="C2016" s="41"/>
      <c r="D2016" s="38"/>
      <c r="E2016" s="57"/>
      <c r="F2016" s="42"/>
      <c r="G2016" s="43"/>
      <c r="H2016" s="37"/>
      <c r="I2016" s="37"/>
      <c r="J2016" s="38"/>
      <c r="K2016" s="37"/>
      <c r="L2016" s="38"/>
      <c r="M2016" s="39"/>
      <c r="P2016" s="37"/>
      <c r="Q2016" s="37"/>
      <c r="R2016" s="37"/>
      <c r="S2016" s="37"/>
      <c r="T2016" s="37"/>
      <c r="U2016" s="37"/>
      <c r="V2016" s="37"/>
      <c r="W2016" s="37"/>
      <c r="X2016" s="37"/>
      <c r="Y2016" s="37"/>
      <c r="Z2016" s="37"/>
      <c r="AA2016" s="37"/>
      <c r="AB2016" s="37"/>
      <c r="AC2016" s="37"/>
      <c r="AD2016" s="37"/>
      <c r="AE2016" s="37"/>
      <c r="AF2016" s="37"/>
      <c r="AG2016" s="37"/>
      <c r="AH2016" s="37"/>
      <c r="AI2016" s="37"/>
      <c r="AJ2016" s="37"/>
      <c r="AK2016" s="37"/>
      <c r="AL2016" s="37"/>
      <c r="AM2016" s="37"/>
      <c r="AN2016" s="37"/>
      <c r="AO2016" s="37"/>
      <c r="AP2016" s="37"/>
      <c r="AQ2016" s="37"/>
      <c r="AR2016" s="37"/>
      <c r="AS2016" s="37"/>
      <c r="AT2016" s="37"/>
      <c r="AU2016" s="37"/>
      <c r="AV2016" s="37"/>
      <c r="AW2016" s="37"/>
      <c r="AX2016" s="37"/>
      <c r="AY2016" s="37"/>
      <c r="AZ2016" s="37"/>
      <c r="BA2016" s="37"/>
      <c r="BB2016" s="37"/>
      <c r="BC2016" s="37"/>
      <c r="BD2016" s="37"/>
      <c r="BE2016" s="37"/>
      <c r="BF2016" s="37"/>
      <c r="BG2016" s="37"/>
      <c r="BH2016" s="37"/>
      <c r="BI2016" s="37"/>
      <c r="BJ2016" s="37"/>
      <c r="BK2016" s="37"/>
      <c r="BL2016" s="37"/>
      <c r="BM2016" s="37"/>
    </row>
    <row r="2017" spans="1:65" s="40" customFormat="1" ht="23.25" x14ac:dyDescent="0.35">
      <c r="A2017" s="37"/>
      <c r="B2017" s="37"/>
      <c r="C2017" s="41"/>
      <c r="D2017" s="38"/>
      <c r="E2017" s="57"/>
      <c r="F2017" s="42"/>
      <c r="G2017" s="43"/>
      <c r="H2017" s="37"/>
      <c r="I2017" s="37"/>
      <c r="J2017" s="38"/>
      <c r="K2017" s="37"/>
      <c r="L2017" s="38"/>
      <c r="M2017" s="39"/>
      <c r="P2017" s="37"/>
      <c r="Q2017" s="37"/>
      <c r="R2017" s="37"/>
      <c r="S2017" s="37"/>
      <c r="T2017" s="37"/>
      <c r="U2017" s="37"/>
      <c r="V2017" s="37"/>
      <c r="W2017" s="37"/>
      <c r="X2017" s="37"/>
      <c r="Y2017" s="37"/>
      <c r="Z2017" s="37"/>
      <c r="AA2017" s="37"/>
      <c r="AB2017" s="37"/>
      <c r="AC2017" s="37"/>
      <c r="AD2017" s="37"/>
      <c r="AE2017" s="37"/>
      <c r="AF2017" s="37"/>
      <c r="AG2017" s="37"/>
      <c r="AH2017" s="37"/>
      <c r="AI2017" s="37"/>
      <c r="AJ2017" s="37"/>
      <c r="AK2017" s="37"/>
      <c r="AL2017" s="37"/>
      <c r="AM2017" s="37"/>
      <c r="AN2017" s="37"/>
      <c r="AO2017" s="37"/>
      <c r="AP2017" s="37"/>
      <c r="AQ2017" s="37"/>
      <c r="AR2017" s="37"/>
      <c r="AS2017" s="37"/>
      <c r="AT2017" s="37"/>
      <c r="AU2017" s="37"/>
      <c r="AV2017" s="37"/>
      <c r="AW2017" s="37"/>
      <c r="AX2017" s="37"/>
      <c r="AY2017" s="37"/>
      <c r="AZ2017" s="37"/>
      <c r="BA2017" s="37"/>
      <c r="BB2017" s="37"/>
      <c r="BC2017" s="37"/>
      <c r="BD2017" s="37"/>
      <c r="BE2017" s="37"/>
      <c r="BF2017" s="37"/>
      <c r="BG2017" s="37"/>
      <c r="BH2017" s="37"/>
      <c r="BI2017" s="37"/>
      <c r="BJ2017" s="37"/>
      <c r="BK2017" s="37"/>
      <c r="BL2017" s="37"/>
      <c r="BM2017" s="37"/>
    </row>
    <row r="2018" spans="1:65" s="40" customFormat="1" ht="23.25" x14ac:dyDescent="0.35">
      <c r="A2018" s="37"/>
      <c r="B2018" s="37"/>
      <c r="C2018" s="41"/>
      <c r="D2018" s="38"/>
      <c r="E2018" s="57"/>
      <c r="F2018" s="42"/>
      <c r="G2018" s="43"/>
      <c r="H2018" s="37"/>
      <c r="I2018" s="37"/>
      <c r="J2018" s="38"/>
      <c r="K2018" s="37"/>
      <c r="L2018" s="38"/>
      <c r="M2018" s="39"/>
      <c r="P2018" s="37"/>
      <c r="Q2018" s="37"/>
      <c r="R2018" s="37"/>
      <c r="S2018" s="37"/>
      <c r="T2018" s="37"/>
      <c r="U2018" s="37"/>
      <c r="V2018" s="37"/>
      <c r="W2018" s="37"/>
      <c r="X2018" s="37"/>
      <c r="Y2018" s="37"/>
      <c r="Z2018" s="37"/>
      <c r="AA2018" s="37"/>
      <c r="AB2018" s="37"/>
      <c r="AC2018" s="37"/>
      <c r="AD2018" s="37"/>
      <c r="AE2018" s="37"/>
      <c r="AF2018" s="37"/>
      <c r="AG2018" s="37"/>
      <c r="AH2018" s="37"/>
      <c r="AI2018" s="37"/>
      <c r="AJ2018" s="37"/>
      <c r="AK2018" s="37"/>
      <c r="AL2018" s="37"/>
      <c r="AM2018" s="37"/>
      <c r="AN2018" s="37"/>
      <c r="AO2018" s="37"/>
      <c r="AP2018" s="37"/>
      <c r="AQ2018" s="37"/>
      <c r="AR2018" s="37"/>
      <c r="AS2018" s="37"/>
      <c r="AT2018" s="37"/>
      <c r="AU2018" s="37"/>
      <c r="AV2018" s="37"/>
      <c r="AW2018" s="37"/>
      <c r="AX2018" s="37"/>
      <c r="AY2018" s="37"/>
      <c r="AZ2018" s="37"/>
      <c r="BA2018" s="37"/>
      <c r="BB2018" s="37"/>
      <c r="BC2018" s="37"/>
      <c r="BD2018" s="37"/>
      <c r="BE2018" s="37"/>
      <c r="BF2018" s="37"/>
      <c r="BG2018" s="37"/>
      <c r="BH2018" s="37"/>
      <c r="BI2018" s="37"/>
      <c r="BJ2018" s="37"/>
      <c r="BK2018" s="37"/>
      <c r="BL2018" s="37"/>
      <c r="BM2018" s="37"/>
    </row>
    <row r="2019" spans="1:65" s="40" customFormat="1" ht="23.25" x14ac:dyDescent="0.35">
      <c r="A2019" s="37"/>
      <c r="B2019" s="37"/>
      <c r="C2019" s="41"/>
      <c r="D2019" s="38"/>
      <c r="E2019" s="57"/>
      <c r="F2019" s="42"/>
      <c r="G2019" s="43"/>
      <c r="H2019" s="37"/>
      <c r="I2019" s="37"/>
      <c r="J2019" s="38"/>
      <c r="K2019" s="37"/>
      <c r="L2019" s="38"/>
      <c r="M2019" s="39"/>
      <c r="P2019" s="37"/>
      <c r="Q2019" s="37"/>
      <c r="R2019" s="37"/>
      <c r="S2019" s="37"/>
      <c r="T2019" s="37"/>
      <c r="U2019" s="37"/>
      <c r="V2019" s="37"/>
      <c r="W2019" s="37"/>
      <c r="X2019" s="37"/>
      <c r="Y2019" s="37"/>
      <c r="Z2019" s="37"/>
      <c r="AA2019" s="37"/>
      <c r="AB2019" s="37"/>
      <c r="AC2019" s="37"/>
      <c r="AD2019" s="37"/>
      <c r="AE2019" s="37"/>
      <c r="AF2019" s="37"/>
      <c r="AG2019" s="37"/>
      <c r="AH2019" s="37"/>
      <c r="AI2019" s="37"/>
      <c r="AJ2019" s="37"/>
      <c r="AK2019" s="37"/>
      <c r="AL2019" s="37"/>
      <c r="AM2019" s="37"/>
      <c r="AN2019" s="37"/>
      <c r="AO2019" s="37"/>
      <c r="AP2019" s="37"/>
      <c r="AQ2019" s="37"/>
      <c r="AR2019" s="37"/>
      <c r="AS2019" s="37"/>
      <c r="AT2019" s="37"/>
      <c r="AU2019" s="37"/>
      <c r="AV2019" s="37"/>
      <c r="AW2019" s="37"/>
      <c r="AX2019" s="37"/>
      <c r="AY2019" s="37"/>
      <c r="AZ2019" s="37"/>
      <c r="BA2019" s="37"/>
      <c r="BB2019" s="37"/>
      <c r="BC2019" s="37"/>
      <c r="BD2019" s="37"/>
      <c r="BE2019" s="37"/>
      <c r="BF2019" s="37"/>
      <c r="BG2019" s="37"/>
      <c r="BH2019" s="37"/>
      <c r="BI2019" s="37"/>
      <c r="BJ2019" s="37"/>
      <c r="BK2019" s="37"/>
      <c r="BL2019" s="37"/>
      <c r="BM2019" s="37"/>
    </row>
    <row r="2020" spans="1:65" s="40" customFormat="1" ht="23.25" x14ac:dyDescent="0.35">
      <c r="A2020" s="37"/>
      <c r="B2020" s="37"/>
      <c r="C2020" s="41"/>
      <c r="D2020" s="38"/>
      <c r="E2020" s="57"/>
      <c r="F2020" s="42"/>
      <c r="G2020" s="43"/>
      <c r="H2020" s="37"/>
      <c r="I2020" s="37"/>
      <c r="J2020" s="38"/>
      <c r="K2020" s="37"/>
      <c r="L2020" s="38"/>
      <c r="M2020" s="39"/>
      <c r="P2020" s="37"/>
      <c r="Q2020" s="37"/>
      <c r="R2020" s="37"/>
      <c r="S2020" s="37"/>
      <c r="T2020" s="37"/>
      <c r="U2020" s="37"/>
      <c r="V2020" s="37"/>
      <c r="W2020" s="37"/>
      <c r="X2020" s="37"/>
      <c r="Y2020" s="37"/>
      <c r="Z2020" s="37"/>
      <c r="AA2020" s="37"/>
      <c r="AB2020" s="37"/>
      <c r="AC2020" s="37"/>
      <c r="AD2020" s="37"/>
      <c r="AE2020" s="37"/>
      <c r="AF2020" s="37"/>
      <c r="AG2020" s="37"/>
      <c r="AH2020" s="37"/>
      <c r="AI2020" s="37"/>
      <c r="AJ2020" s="37"/>
      <c r="AK2020" s="37"/>
      <c r="AL2020" s="37"/>
      <c r="AM2020" s="37"/>
      <c r="AN2020" s="37"/>
      <c r="AO2020" s="37"/>
      <c r="AP2020" s="37"/>
      <c r="AQ2020" s="37"/>
      <c r="AR2020" s="37"/>
      <c r="AS2020" s="37"/>
      <c r="AT2020" s="37"/>
      <c r="AU2020" s="37"/>
      <c r="AV2020" s="37"/>
      <c r="AW2020" s="37"/>
      <c r="AX2020" s="37"/>
      <c r="AY2020" s="37"/>
      <c r="AZ2020" s="37"/>
      <c r="BA2020" s="37"/>
      <c r="BB2020" s="37"/>
      <c r="BC2020" s="37"/>
      <c r="BD2020" s="37"/>
      <c r="BE2020" s="37"/>
      <c r="BF2020" s="37"/>
      <c r="BG2020" s="37"/>
      <c r="BH2020" s="37"/>
      <c r="BI2020" s="37"/>
      <c r="BJ2020" s="37"/>
      <c r="BK2020" s="37"/>
      <c r="BL2020" s="37"/>
      <c r="BM2020" s="37"/>
    </row>
    <row r="2021" spans="1:65" s="40" customFormat="1" ht="23.25" x14ac:dyDescent="0.35">
      <c r="A2021" s="37"/>
      <c r="B2021" s="37"/>
      <c r="C2021" s="41"/>
      <c r="D2021" s="38"/>
      <c r="E2021" s="57"/>
      <c r="F2021" s="42"/>
      <c r="G2021" s="43"/>
      <c r="H2021" s="37"/>
      <c r="I2021" s="37"/>
      <c r="J2021" s="38"/>
      <c r="K2021" s="37"/>
      <c r="L2021" s="38"/>
      <c r="M2021" s="39"/>
      <c r="P2021" s="37"/>
      <c r="Q2021" s="37"/>
      <c r="R2021" s="37"/>
      <c r="S2021" s="37"/>
      <c r="T2021" s="37"/>
      <c r="U2021" s="37"/>
      <c r="V2021" s="37"/>
      <c r="W2021" s="37"/>
      <c r="X2021" s="37"/>
      <c r="Y2021" s="37"/>
      <c r="Z2021" s="37"/>
      <c r="AA2021" s="37"/>
      <c r="AB2021" s="37"/>
      <c r="AC2021" s="37"/>
      <c r="AD2021" s="37"/>
      <c r="AE2021" s="37"/>
      <c r="AF2021" s="37"/>
      <c r="AG2021" s="37"/>
      <c r="AH2021" s="37"/>
      <c r="AI2021" s="37"/>
      <c r="AJ2021" s="37"/>
      <c r="AK2021" s="37"/>
      <c r="AL2021" s="37"/>
      <c r="AM2021" s="37"/>
      <c r="AN2021" s="37"/>
      <c r="AO2021" s="37"/>
      <c r="AP2021" s="37"/>
      <c r="AQ2021" s="37"/>
      <c r="AR2021" s="37"/>
      <c r="AS2021" s="37"/>
      <c r="AT2021" s="37"/>
      <c r="AU2021" s="37"/>
      <c r="AV2021" s="37"/>
      <c r="AW2021" s="37"/>
      <c r="AX2021" s="37"/>
      <c r="AY2021" s="37"/>
      <c r="AZ2021" s="37"/>
      <c r="BA2021" s="37"/>
      <c r="BB2021" s="37"/>
      <c r="BC2021" s="37"/>
      <c r="BD2021" s="37"/>
      <c r="BE2021" s="37"/>
      <c r="BF2021" s="37"/>
      <c r="BG2021" s="37"/>
      <c r="BH2021" s="37"/>
      <c r="BI2021" s="37"/>
      <c r="BJ2021" s="37"/>
      <c r="BK2021" s="37"/>
      <c r="BL2021" s="37"/>
      <c r="BM2021" s="37"/>
    </row>
    <row r="2022" spans="1:65" s="40" customFormat="1" ht="23.25" x14ac:dyDescent="0.35">
      <c r="A2022" s="37"/>
      <c r="B2022" s="37"/>
      <c r="C2022" s="41"/>
      <c r="D2022" s="38"/>
      <c r="E2022" s="57"/>
      <c r="F2022" s="42"/>
      <c r="G2022" s="43"/>
      <c r="H2022" s="37"/>
      <c r="I2022" s="37"/>
      <c r="J2022" s="38"/>
      <c r="K2022" s="37"/>
      <c r="L2022" s="38"/>
      <c r="M2022" s="39"/>
      <c r="P2022" s="37"/>
      <c r="Q2022" s="37"/>
      <c r="R2022" s="37"/>
      <c r="S2022" s="37"/>
      <c r="T2022" s="37"/>
      <c r="U2022" s="37"/>
      <c r="V2022" s="37"/>
      <c r="W2022" s="37"/>
      <c r="X2022" s="37"/>
      <c r="Y2022" s="37"/>
      <c r="Z2022" s="37"/>
      <c r="AA2022" s="37"/>
      <c r="AB2022" s="37"/>
      <c r="AC2022" s="37"/>
      <c r="AD2022" s="37"/>
      <c r="AE2022" s="37"/>
      <c r="AF2022" s="37"/>
      <c r="AG2022" s="37"/>
      <c r="AH2022" s="37"/>
      <c r="AI2022" s="37"/>
      <c r="AJ2022" s="37"/>
      <c r="AK2022" s="37"/>
      <c r="AL2022" s="37"/>
      <c r="AM2022" s="37"/>
      <c r="AN2022" s="37"/>
      <c r="AO2022" s="37"/>
      <c r="AP2022" s="37"/>
      <c r="AQ2022" s="37"/>
      <c r="AR2022" s="37"/>
      <c r="AS2022" s="37"/>
      <c r="AT2022" s="37"/>
      <c r="AU2022" s="37"/>
      <c r="AV2022" s="37"/>
      <c r="AW2022" s="37"/>
      <c r="AX2022" s="37"/>
      <c r="AY2022" s="37"/>
      <c r="AZ2022" s="37"/>
      <c r="BA2022" s="37"/>
      <c r="BB2022" s="37"/>
      <c r="BC2022" s="37"/>
      <c r="BD2022" s="37"/>
      <c r="BE2022" s="37"/>
      <c r="BF2022" s="37"/>
      <c r="BG2022" s="37"/>
      <c r="BH2022" s="37"/>
      <c r="BI2022" s="37"/>
      <c r="BJ2022" s="37"/>
      <c r="BK2022" s="37"/>
      <c r="BL2022" s="37"/>
      <c r="BM2022" s="37"/>
    </row>
    <row r="2023" spans="1:65" s="40" customFormat="1" ht="23.25" x14ac:dyDescent="0.35">
      <c r="A2023" s="37"/>
      <c r="B2023" s="37"/>
      <c r="C2023" s="41"/>
      <c r="D2023" s="38"/>
      <c r="E2023" s="57"/>
      <c r="F2023" s="42"/>
      <c r="G2023" s="43"/>
      <c r="H2023" s="37"/>
      <c r="I2023" s="37"/>
      <c r="J2023" s="38"/>
      <c r="K2023" s="37"/>
      <c r="L2023" s="38"/>
      <c r="M2023" s="39"/>
      <c r="P2023" s="37"/>
      <c r="Q2023" s="37"/>
      <c r="R2023" s="37"/>
      <c r="S2023" s="37"/>
      <c r="T2023" s="37"/>
      <c r="U2023" s="37"/>
      <c r="V2023" s="37"/>
      <c r="W2023" s="37"/>
      <c r="X2023" s="37"/>
      <c r="Y2023" s="37"/>
      <c r="Z2023" s="37"/>
      <c r="AA2023" s="37"/>
      <c r="AB2023" s="37"/>
      <c r="AC2023" s="37"/>
      <c r="AD2023" s="37"/>
      <c r="AE2023" s="37"/>
      <c r="AF2023" s="37"/>
      <c r="AG2023" s="37"/>
      <c r="AH2023" s="37"/>
      <c r="AI2023" s="37"/>
      <c r="AJ2023" s="37"/>
      <c r="AK2023" s="37"/>
      <c r="AL2023" s="37"/>
      <c r="AM2023" s="37"/>
      <c r="AN2023" s="37"/>
      <c r="AO2023" s="37"/>
      <c r="AP2023" s="37"/>
      <c r="AQ2023" s="37"/>
      <c r="AR2023" s="37"/>
      <c r="AS2023" s="37"/>
      <c r="AT2023" s="37"/>
      <c r="AU2023" s="37"/>
      <c r="AV2023" s="37"/>
      <c r="AW2023" s="37"/>
      <c r="AX2023" s="37"/>
      <c r="AY2023" s="37"/>
      <c r="AZ2023" s="37"/>
      <c r="BA2023" s="37"/>
      <c r="BB2023" s="37"/>
      <c r="BC2023" s="37"/>
      <c r="BD2023" s="37"/>
      <c r="BE2023" s="37"/>
      <c r="BF2023" s="37"/>
      <c r="BG2023" s="37"/>
      <c r="BH2023" s="37"/>
      <c r="BI2023" s="37"/>
      <c r="BJ2023" s="37"/>
      <c r="BK2023" s="37"/>
      <c r="BL2023" s="37"/>
      <c r="BM2023" s="37"/>
    </row>
    <row r="2024" spans="1:65" s="40" customFormat="1" ht="23.25" x14ac:dyDescent="0.35">
      <c r="A2024" s="37"/>
      <c r="B2024" s="37"/>
      <c r="C2024" s="41"/>
      <c r="D2024" s="38"/>
      <c r="E2024" s="57"/>
      <c r="F2024" s="42"/>
      <c r="G2024" s="43"/>
      <c r="H2024" s="37"/>
      <c r="I2024" s="37"/>
      <c r="J2024" s="38"/>
      <c r="K2024" s="37"/>
      <c r="L2024" s="38"/>
      <c r="M2024" s="39"/>
      <c r="P2024" s="37"/>
      <c r="Q2024" s="37"/>
      <c r="R2024" s="37"/>
      <c r="S2024" s="37"/>
      <c r="T2024" s="37"/>
      <c r="U2024" s="37"/>
      <c r="V2024" s="37"/>
      <c r="W2024" s="37"/>
      <c r="X2024" s="37"/>
      <c r="Y2024" s="37"/>
      <c r="Z2024" s="37"/>
      <c r="AA2024" s="37"/>
      <c r="AB2024" s="37"/>
      <c r="AC2024" s="37"/>
      <c r="AD2024" s="37"/>
      <c r="AE2024" s="37"/>
      <c r="AF2024" s="37"/>
      <c r="AG2024" s="37"/>
      <c r="AH2024" s="37"/>
      <c r="AI2024" s="37"/>
      <c r="AJ2024" s="37"/>
      <c r="AK2024" s="37"/>
      <c r="AL2024" s="37"/>
      <c r="AM2024" s="37"/>
      <c r="AN2024" s="37"/>
      <c r="AO2024" s="37"/>
      <c r="AP2024" s="37"/>
      <c r="AQ2024" s="37"/>
      <c r="AR2024" s="37"/>
      <c r="AS2024" s="37"/>
      <c r="AT2024" s="37"/>
      <c r="AU2024" s="37"/>
      <c r="AV2024" s="37"/>
      <c r="AW2024" s="37"/>
      <c r="AX2024" s="37"/>
      <c r="AY2024" s="37"/>
      <c r="AZ2024" s="37"/>
      <c r="BA2024" s="37"/>
      <c r="BB2024" s="37"/>
      <c r="BC2024" s="37"/>
      <c r="BD2024" s="37"/>
      <c r="BE2024" s="37"/>
      <c r="BF2024" s="37"/>
      <c r="BG2024" s="37"/>
      <c r="BH2024" s="37"/>
      <c r="BI2024" s="37"/>
      <c r="BJ2024" s="37"/>
      <c r="BK2024" s="37"/>
      <c r="BL2024" s="37"/>
      <c r="BM2024" s="37"/>
    </row>
    <row r="2025" spans="1:65" s="40" customFormat="1" ht="23.25" x14ac:dyDescent="0.35">
      <c r="A2025" s="37"/>
      <c r="B2025" s="37"/>
      <c r="C2025" s="41"/>
      <c r="D2025" s="38"/>
      <c r="E2025" s="57"/>
      <c r="F2025" s="42"/>
      <c r="G2025" s="43"/>
      <c r="H2025" s="37"/>
      <c r="I2025" s="37"/>
      <c r="J2025" s="38"/>
      <c r="K2025" s="37"/>
      <c r="L2025" s="38"/>
      <c r="M2025" s="39"/>
      <c r="P2025" s="37"/>
      <c r="Q2025" s="37"/>
      <c r="R2025" s="37"/>
      <c r="S2025" s="37"/>
      <c r="T2025" s="37"/>
      <c r="U2025" s="37"/>
      <c r="V2025" s="37"/>
      <c r="W2025" s="37"/>
      <c r="X2025" s="37"/>
      <c r="Y2025" s="37"/>
      <c r="Z2025" s="37"/>
      <c r="AA2025" s="37"/>
      <c r="AB2025" s="37"/>
      <c r="AC2025" s="37"/>
      <c r="AD2025" s="37"/>
      <c r="AE2025" s="37"/>
      <c r="AF2025" s="37"/>
      <c r="AG2025" s="37"/>
      <c r="AH2025" s="37"/>
      <c r="AI2025" s="37"/>
      <c r="AJ2025" s="37"/>
      <c r="AK2025" s="37"/>
      <c r="AL2025" s="37"/>
      <c r="AM2025" s="37"/>
      <c r="AN2025" s="37"/>
      <c r="AO2025" s="37"/>
      <c r="AP2025" s="37"/>
      <c r="AQ2025" s="37"/>
      <c r="AR2025" s="37"/>
      <c r="AS2025" s="37"/>
      <c r="AT2025" s="37"/>
      <c r="AU2025" s="37"/>
      <c r="AV2025" s="37"/>
      <c r="AW2025" s="37"/>
      <c r="AX2025" s="37"/>
      <c r="AY2025" s="37"/>
      <c r="AZ2025" s="37"/>
      <c r="BA2025" s="37"/>
      <c r="BB2025" s="37"/>
      <c r="BC2025" s="37"/>
      <c r="BD2025" s="37"/>
      <c r="BE2025" s="37"/>
      <c r="BF2025" s="37"/>
      <c r="BG2025" s="37"/>
      <c r="BH2025" s="37"/>
      <c r="BI2025" s="37"/>
      <c r="BJ2025" s="37"/>
      <c r="BK2025" s="37"/>
      <c r="BL2025" s="37"/>
      <c r="BM2025" s="37"/>
    </row>
    <row r="2026" spans="1:65" s="40" customFormat="1" ht="23.25" x14ac:dyDescent="0.35">
      <c r="A2026" s="37"/>
      <c r="B2026" s="37"/>
      <c r="C2026" s="41"/>
      <c r="D2026" s="38"/>
      <c r="E2026" s="57"/>
      <c r="F2026" s="42"/>
      <c r="G2026" s="43"/>
      <c r="H2026" s="37"/>
      <c r="I2026" s="37"/>
      <c r="J2026" s="38"/>
      <c r="K2026" s="37"/>
      <c r="L2026" s="38"/>
      <c r="M2026" s="39"/>
      <c r="P2026" s="37"/>
      <c r="Q2026" s="37"/>
      <c r="R2026" s="37"/>
      <c r="S2026" s="37"/>
      <c r="T2026" s="37"/>
      <c r="U2026" s="37"/>
      <c r="V2026" s="37"/>
      <c r="W2026" s="37"/>
      <c r="X2026" s="37"/>
      <c r="Y2026" s="37"/>
      <c r="Z2026" s="37"/>
      <c r="AA2026" s="37"/>
      <c r="AB2026" s="37"/>
      <c r="AC2026" s="37"/>
      <c r="AD2026" s="37"/>
      <c r="AE2026" s="37"/>
      <c r="AF2026" s="37"/>
      <c r="AG2026" s="37"/>
      <c r="AH2026" s="37"/>
      <c r="AI2026" s="37"/>
      <c r="AJ2026" s="37"/>
      <c r="AK2026" s="37"/>
      <c r="AL2026" s="37"/>
      <c r="AM2026" s="37"/>
      <c r="AN2026" s="37"/>
      <c r="AO2026" s="37"/>
      <c r="AP2026" s="37"/>
      <c r="AQ2026" s="37"/>
      <c r="AR2026" s="37"/>
      <c r="AS2026" s="37"/>
      <c r="AT2026" s="37"/>
      <c r="AU2026" s="37"/>
      <c r="AV2026" s="37"/>
      <c r="AW2026" s="37"/>
      <c r="AX2026" s="37"/>
      <c r="AY2026" s="37"/>
      <c r="AZ2026" s="37"/>
      <c r="BA2026" s="37"/>
      <c r="BB2026" s="37"/>
      <c r="BC2026" s="37"/>
      <c r="BD2026" s="37"/>
      <c r="BE2026" s="37"/>
      <c r="BF2026" s="37"/>
      <c r="BG2026" s="37"/>
      <c r="BH2026" s="37"/>
      <c r="BI2026" s="37"/>
      <c r="BJ2026" s="37"/>
      <c r="BK2026" s="37"/>
      <c r="BL2026" s="37"/>
      <c r="BM2026" s="37"/>
    </row>
    <row r="2027" spans="1:65" s="40" customFormat="1" ht="23.25" x14ac:dyDescent="0.35">
      <c r="A2027" s="37"/>
      <c r="B2027" s="37"/>
      <c r="C2027" s="41"/>
      <c r="D2027" s="38"/>
      <c r="E2027" s="57"/>
      <c r="F2027" s="42"/>
      <c r="G2027" s="43"/>
      <c r="H2027" s="37"/>
      <c r="I2027" s="37"/>
      <c r="J2027" s="38"/>
      <c r="K2027" s="37"/>
      <c r="L2027" s="38"/>
      <c r="M2027" s="39"/>
      <c r="P2027" s="37"/>
      <c r="Q2027" s="37"/>
      <c r="R2027" s="37"/>
      <c r="S2027" s="37"/>
      <c r="T2027" s="37"/>
      <c r="U2027" s="37"/>
      <c r="V2027" s="37"/>
      <c r="W2027" s="37"/>
      <c r="X2027" s="37"/>
      <c r="Y2027" s="37"/>
      <c r="Z2027" s="37"/>
      <c r="AA2027" s="37"/>
      <c r="AB2027" s="37"/>
      <c r="AC2027" s="37"/>
      <c r="AD2027" s="37"/>
      <c r="AE2027" s="37"/>
      <c r="AF2027" s="37"/>
      <c r="AG2027" s="37"/>
      <c r="AH2027" s="37"/>
      <c r="AI2027" s="37"/>
      <c r="AJ2027" s="37"/>
      <c r="AK2027" s="37"/>
      <c r="AL2027" s="37"/>
      <c r="AM2027" s="37"/>
      <c r="AN2027" s="37"/>
      <c r="AO2027" s="37"/>
      <c r="AP2027" s="37"/>
      <c r="AQ2027" s="37"/>
      <c r="AR2027" s="37"/>
      <c r="AS2027" s="37"/>
      <c r="AT2027" s="37"/>
      <c r="AU2027" s="37"/>
      <c r="AV2027" s="37"/>
      <c r="AW2027" s="37"/>
      <c r="AX2027" s="37"/>
      <c r="AY2027" s="37"/>
      <c r="AZ2027" s="37"/>
      <c r="BA2027" s="37"/>
      <c r="BB2027" s="37"/>
      <c r="BC2027" s="37"/>
      <c r="BD2027" s="37"/>
      <c r="BE2027" s="37"/>
      <c r="BF2027" s="37"/>
      <c r="BG2027" s="37"/>
      <c r="BH2027" s="37"/>
      <c r="BI2027" s="37"/>
      <c r="BJ2027" s="37"/>
      <c r="BK2027" s="37"/>
      <c r="BL2027" s="37"/>
      <c r="BM2027" s="37"/>
    </row>
    <row r="2028" spans="1:65" s="40" customFormat="1" ht="23.25" x14ac:dyDescent="0.35">
      <c r="A2028" s="37"/>
      <c r="B2028" s="37"/>
      <c r="C2028" s="41"/>
      <c r="D2028" s="38"/>
      <c r="E2028" s="57"/>
      <c r="F2028" s="42"/>
      <c r="G2028" s="43"/>
      <c r="H2028" s="37"/>
      <c r="I2028" s="37"/>
      <c r="J2028" s="38"/>
      <c r="K2028" s="37"/>
      <c r="L2028" s="38"/>
      <c r="M2028" s="39"/>
      <c r="P2028" s="37"/>
      <c r="Q2028" s="37"/>
      <c r="R2028" s="37"/>
      <c r="S2028" s="37"/>
      <c r="T2028" s="37"/>
      <c r="U2028" s="37"/>
      <c r="V2028" s="37"/>
      <c r="W2028" s="37"/>
      <c r="X2028" s="37"/>
      <c r="Y2028" s="37"/>
      <c r="Z2028" s="37"/>
      <c r="AA2028" s="37"/>
      <c r="AB2028" s="37"/>
      <c r="AC2028" s="37"/>
      <c r="AD2028" s="37"/>
      <c r="AE2028" s="37"/>
      <c r="AF2028" s="37"/>
      <c r="AG2028" s="37"/>
      <c r="AH2028" s="37"/>
      <c r="AI2028" s="37"/>
      <c r="AJ2028" s="37"/>
      <c r="AK2028" s="37"/>
      <c r="AL2028" s="37"/>
      <c r="AM2028" s="37"/>
      <c r="AN2028" s="37"/>
      <c r="AO2028" s="37"/>
      <c r="AP2028" s="37"/>
      <c r="AQ2028" s="37"/>
      <c r="AR2028" s="37"/>
      <c r="AS2028" s="37"/>
      <c r="AT2028" s="37"/>
      <c r="AU2028" s="37"/>
      <c r="AV2028" s="37"/>
      <c r="AW2028" s="37"/>
      <c r="AX2028" s="37"/>
      <c r="AY2028" s="37"/>
      <c r="AZ2028" s="37"/>
      <c r="BA2028" s="37"/>
      <c r="BB2028" s="37"/>
      <c r="BC2028" s="37"/>
      <c r="BD2028" s="37"/>
      <c r="BE2028" s="37"/>
      <c r="BF2028" s="37"/>
      <c r="BG2028" s="37"/>
      <c r="BH2028" s="37"/>
      <c r="BI2028" s="37"/>
      <c r="BJ2028" s="37"/>
      <c r="BK2028" s="37"/>
      <c r="BL2028" s="37"/>
      <c r="BM2028" s="37"/>
    </row>
    <row r="2029" spans="1:65" s="40" customFormat="1" ht="23.25" x14ac:dyDescent="0.35">
      <c r="A2029" s="37"/>
      <c r="B2029" s="37"/>
      <c r="C2029" s="41"/>
      <c r="D2029" s="38"/>
      <c r="E2029" s="57"/>
      <c r="F2029" s="42"/>
      <c r="G2029" s="43"/>
      <c r="H2029" s="37"/>
      <c r="I2029" s="37"/>
      <c r="J2029" s="38"/>
      <c r="K2029" s="37"/>
      <c r="L2029" s="38"/>
      <c r="M2029" s="39"/>
      <c r="P2029" s="37"/>
      <c r="Q2029" s="37"/>
      <c r="R2029" s="37"/>
      <c r="S2029" s="37"/>
      <c r="T2029" s="37"/>
      <c r="U2029" s="37"/>
      <c r="V2029" s="37"/>
      <c r="W2029" s="37"/>
      <c r="X2029" s="37"/>
      <c r="Y2029" s="37"/>
      <c r="Z2029" s="37"/>
      <c r="AA2029" s="37"/>
      <c r="AB2029" s="37"/>
      <c r="AC2029" s="37"/>
      <c r="AD2029" s="37"/>
      <c r="AE2029" s="37"/>
      <c r="AF2029" s="37"/>
      <c r="AG2029" s="37"/>
      <c r="AH2029" s="37"/>
      <c r="AI2029" s="37"/>
      <c r="AJ2029" s="37"/>
      <c r="AK2029" s="37"/>
      <c r="AL2029" s="37"/>
      <c r="AM2029" s="37"/>
      <c r="AN2029" s="37"/>
      <c r="AO2029" s="37"/>
      <c r="AP2029" s="37"/>
      <c r="AQ2029" s="37"/>
      <c r="AR2029" s="37"/>
      <c r="AS2029" s="37"/>
      <c r="AT2029" s="37"/>
      <c r="AU2029" s="37"/>
      <c r="AV2029" s="37"/>
      <c r="AW2029" s="37"/>
      <c r="AX2029" s="37"/>
      <c r="AY2029" s="37"/>
      <c r="AZ2029" s="37"/>
      <c r="BA2029" s="37"/>
      <c r="BB2029" s="37"/>
      <c r="BC2029" s="37"/>
      <c r="BD2029" s="37"/>
      <c r="BE2029" s="37"/>
      <c r="BF2029" s="37"/>
      <c r="BG2029" s="37"/>
      <c r="BH2029" s="37"/>
      <c r="BI2029" s="37"/>
      <c r="BJ2029" s="37"/>
      <c r="BK2029" s="37"/>
      <c r="BL2029" s="37"/>
      <c r="BM2029" s="37"/>
    </row>
    <row r="2030" spans="1:65" s="40" customFormat="1" ht="23.25" x14ac:dyDescent="0.35">
      <c r="A2030" s="37"/>
      <c r="B2030" s="37"/>
      <c r="C2030" s="41"/>
      <c r="D2030" s="38"/>
      <c r="E2030" s="57"/>
      <c r="F2030" s="42"/>
      <c r="G2030" s="43"/>
      <c r="H2030" s="37"/>
      <c r="I2030" s="37"/>
      <c r="J2030" s="38"/>
      <c r="K2030" s="37"/>
      <c r="L2030" s="38"/>
      <c r="M2030" s="39"/>
      <c r="P2030" s="37"/>
      <c r="Q2030" s="37"/>
      <c r="R2030" s="37"/>
      <c r="S2030" s="37"/>
      <c r="T2030" s="37"/>
      <c r="U2030" s="37"/>
      <c r="V2030" s="37"/>
      <c r="W2030" s="37"/>
      <c r="X2030" s="37"/>
      <c r="Y2030" s="37"/>
      <c r="Z2030" s="37"/>
      <c r="AA2030" s="37"/>
      <c r="AB2030" s="37"/>
      <c r="AC2030" s="37"/>
      <c r="AD2030" s="37"/>
      <c r="AE2030" s="37"/>
      <c r="AF2030" s="37"/>
      <c r="AG2030" s="37"/>
      <c r="AH2030" s="37"/>
      <c r="AI2030" s="37"/>
      <c r="AJ2030" s="37"/>
      <c r="AK2030" s="37"/>
      <c r="AL2030" s="37"/>
      <c r="AM2030" s="37"/>
      <c r="AN2030" s="37"/>
      <c r="AO2030" s="37"/>
      <c r="AP2030" s="37"/>
      <c r="AQ2030" s="37"/>
      <c r="AR2030" s="37"/>
      <c r="AS2030" s="37"/>
      <c r="AT2030" s="37"/>
      <c r="AU2030" s="37"/>
      <c r="AV2030" s="37"/>
      <c r="AW2030" s="37"/>
      <c r="AX2030" s="37"/>
      <c r="AY2030" s="37"/>
      <c r="AZ2030" s="37"/>
      <c r="BA2030" s="37"/>
      <c r="BB2030" s="37"/>
      <c r="BC2030" s="37"/>
      <c r="BD2030" s="37"/>
      <c r="BE2030" s="37"/>
      <c r="BF2030" s="37"/>
      <c r="BG2030" s="37"/>
      <c r="BH2030" s="37"/>
      <c r="BI2030" s="37"/>
      <c r="BJ2030" s="37"/>
      <c r="BK2030" s="37"/>
      <c r="BL2030" s="37"/>
      <c r="BM2030" s="37"/>
    </row>
    <row r="2031" spans="1:65" s="40" customFormat="1" ht="23.25" x14ac:dyDescent="0.35">
      <c r="A2031" s="37"/>
      <c r="B2031" s="37"/>
      <c r="C2031" s="41"/>
      <c r="D2031" s="38"/>
      <c r="E2031" s="57"/>
      <c r="F2031" s="42"/>
      <c r="G2031" s="43"/>
      <c r="H2031" s="37"/>
      <c r="I2031" s="37"/>
      <c r="J2031" s="38"/>
      <c r="K2031" s="37"/>
      <c r="L2031" s="38"/>
      <c r="M2031" s="39"/>
      <c r="P2031" s="37"/>
      <c r="Q2031" s="37"/>
      <c r="R2031" s="37"/>
      <c r="S2031" s="37"/>
      <c r="T2031" s="37"/>
      <c r="U2031" s="37"/>
      <c r="V2031" s="37"/>
      <c r="W2031" s="37"/>
      <c r="X2031" s="37"/>
      <c r="Y2031" s="37"/>
      <c r="Z2031" s="37"/>
      <c r="AA2031" s="37"/>
      <c r="AB2031" s="37"/>
      <c r="AC2031" s="37"/>
      <c r="AD2031" s="37"/>
      <c r="AE2031" s="37"/>
      <c r="AF2031" s="37"/>
      <c r="AG2031" s="37"/>
      <c r="AH2031" s="37"/>
      <c r="AI2031" s="37"/>
      <c r="AJ2031" s="37"/>
      <c r="AK2031" s="37"/>
      <c r="AL2031" s="37"/>
      <c r="AM2031" s="37"/>
      <c r="AN2031" s="37"/>
      <c r="AO2031" s="37"/>
      <c r="AP2031" s="37"/>
      <c r="AQ2031" s="37"/>
      <c r="AR2031" s="37"/>
      <c r="AS2031" s="37"/>
      <c r="AT2031" s="37"/>
      <c r="AU2031" s="37"/>
      <c r="AV2031" s="37"/>
      <c r="AW2031" s="37"/>
      <c r="AX2031" s="37"/>
      <c r="AY2031" s="37"/>
      <c r="AZ2031" s="37"/>
      <c r="BA2031" s="37"/>
      <c r="BB2031" s="37"/>
      <c r="BC2031" s="37"/>
      <c r="BD2031" s="37"/>
      <c r="BE2031" s="37"/>
      <c r="BF2031" s="37"/>
      <c r="BG2031" s="37"/>
      <c r="BH2031" s="37"/>
      <c r="BI2031" s="37"/>
      <c r="BJ2031" s="37"/>
      <c r="BK2031" s="37"/>
      <c r="BL2031" s="37"/>
      <c r="BM2031" s="37"/>
    </row>
    <row r="2032" spans="1:65" s="40" customFormat="1" ht="23.25" x14ac:dyDescent="0.35">
      <c r="A2032" s="37"/>
      <c r="B2032" s="37"/>
      <c r="C2032" s="41"/>
      <c r="D2032" s="38"/>
      <c r="E2032" s="57"/>
      <c r="F2032" s="42"/>
      <c r="G2032" s="43"/>
      <c r="H2032" s="37"/>
      <c r="I2032" s="37"/>
      <c r="J2032" s="38"/>
      <c r="K2032" s="37"/>
      <c r="L2032" s="38"/>
      <c r="M2032" s="39"/>
      <c r="P2032" s="37"/>
      <c r="Q2032" s="37"/>
      <c r="R2032" s="37"/>
      <c r="S2032" s="37"/>
      <c r="T2032" s="37"/>
      <c r="U2032" s="37"/>
      <c r="V2032" s="37"/>
      <c r="W2032" s="37"/>
      <c r="X2032" s="37"/>
      <c r="Y2032" s="37"/>
      <c r="Z2032" s="37"/>
      <c r="AA2032" s="37"/>
      <c r="AB2032" s="37"/>
      <c r="AC2032" s="37"/>
      <c r="AD2032" s="37"/>
      <c r="AE2032" s="37"/>
      <c r="AF2032" s="37"/>
      <c r="AG2032" s="37"/>
      <c r="AH2032" s="37"/>
      <c r="AI2032" s="37"/>
      <c r="AJ2032" s="37"/>
      <c r="AK2032" s="37"/>
      <c r="AL2032" s="37"/>
      <c r="AM2032" s="37"/>
      <c r="AN2032" s="37"/>
      <c r="AO2032" s="37"/>
      <c r="AP2032" s="37"/>
      <c r="AQ2032" s="37"/>
      <c r="AR2032" s="37"/>
      <c r="AS2032" s="37"/>
      <c r="AT2032" s="37"/>
      <c r="AU2032" s="37"/>
      <c r="AV2032" s="37"/>
      <c r="AW2032" s="37"/>
      <c r="AX2032" s="37"/>
      <c r="AY2032" s="37"/>
      <c r="AZ2032" s="37"/>
      <c r="BA2032" s="37"/>
      <c r="BB2032" s="37"/>
      <c r="BC2032" s="37"/>
      <c r="BD2032" s="37"/>
      <c r="BE2032" s="37"/>
      <c r="BF2032" s="37"/>
      <c r="BG2032" s="37"/>
      <c r="BH2032" s="37"/>
      <c r="BI2032" s="37"/>
      <c r="BJ2032" s="37"/>
      <c r="BK2032" s="37"/>
      <c r="BL2032" s="37"/>
      <c r="BM2032" s="37"/>
    </row>
    <row r="2033" spans="1:65" s="40" customFormat="1" ht="23.25" x14ac:dyDescent="0.35">
      <c r="A2033" s="37"/>
      <c r="B2033" s="37"/>
      <c r="C2033" s="41"/>
      <c r="D2033" s="38"/>
      <c r="E2033" s="57"/>
      <c r="F2033" s="42"/>
      <c r="G2033" s="43"/>
      <c r="H2033" s="37"/>
      <c r="I2033" s="37"/>
      <c r="J2033" s="38"/>
      <c r="K2033" s="37"/>
      <c r="L2033" s="38"/>
      <c r="M2033" s="39"/>
      <c r="P2033" s="37"/>
      <c r="Q2033" s="37"/>
      <c r="R2033" s="37"/>
      <c r="S2033" s="37"/>
      <c r="T2033" s="37"/>
      <c r="U2033" s="37"/>
      <c r="V2033" s="37"/>
      <c r="W2033" s="37"/>
      <c r="X2033" s="37"/>
      <c r="Y2033" s="37"/>
      <c r="Z2033" s="37"/>
      <c r="AA2033" s="37"/>
      <c r="AB2033" s="37"/>
      <c r="AC2033" s="37"/>
      <c r="AD2033" s="37"/>
      <c r="AE2033" s="37"/>
      <c r="AF2033" s="37"/>
      <c r="AG2033" s="37"/>
      <c r="AH2033" s="37"/>
      <c r="AI2033" s="37"/>
      <c r="AJ2033" s="37"/>
      <c r="AK2033" s="37"/>
      <c r="AL2033" s="37"/>
      <c r="AM2033" s="37"/>
      <c r="AN2033" s="37"/>
      <c r="AO2033" s="37"/>
      <c r="AP2033" s="37"/>
      <c r="AQ2033" s="37"/>
      <c r="AR2033" s="37"/>
      <c r="AS2033" s="37"/>
      <c r="AT2033" s="37"/>
      <c r="AU2033" s="37"/>
      <c r="AV2033" s="37"/>
      <c r="AW2033" s="37"/>
      <c r="AX2033" s="37"/>
      <c r="AY2033" s="37"/>
      <c r="AZ2033" s="37"/>
      <c r="BA2033" s="37"/>
      <c r="BB2033" s="37"/>
      <c r="BC2033" s="37"/>
      <c r="BD2033" s="37"/>
      <c r="BE2033" s="37"/>
      <c r="BF2033" s="37"/>
      <c r="BG2033" s="37"/>
      <c r="BH2033" s="37"/>
      <c r="BI2033" s="37"/>
      <c r="BJ2033" s="37"/>
      <c r="BK2033" s="37"/>
      <c r="BL2033" s="37"/>
      <c r="BM2033" s="37"/>
    </row>
    <row r="2034" spans="1:65" s="40" customFormat="1" ht="23.25" x14ac:dyDescent="0.35">
      <c r="A2034" s="37"/>
      <c r="B2034" s="37"/>
      <c r="C2034" s="41"/>
      <c r="D2034" s="38"/>
      <c r="E2034" s="57"/>
      <c r="F2034" s="42"/>
      <c r="G2034" s="43"/>
      <c r="H2034" s="37"/>
      <c r="I2034" s="37"/>
      <c r="J2034" s="38"/>
      <c r="K2034" s="37"/>
      <c r="L2034" s="38"/>
      <c r="M2034" s="39"/>
      <c r="P2034" s="37"/>
      <c r="Q2034" s="37"/>
      <c r="R2034" s="37"/>
      <c r="S2034" s="37"/>
      <c r="T2034" s="37"/>
      <c r="U2034" s="37"/>
      <c r="V2034" s="37"/>
      <c r="W2034" s="37"/>
      <c r="X2034" s="37"/>
      <c r="Y2034" s="37"/>
      <c r="Z2034" s="37"/>
      <c r="AA2034" s="37"/>
      <c r="AB2034" s="37"/>
      <c r="AC2034" s="37"/>
      <c r="AD2034" s="37"/>
      <c r="AE2034" s="37"/>
      <c r="AF2034" s="37"/>
      <c r="AG2034" s="37"/>
      <c r="AH2034" s="37"/>
      <c r="AI2034" s="37"/>
      <c r="AJ2034" s="37"/>
      <c r="AK2034" s="37"/>
      <c r="AL2034" s="37"/>
      <c r="AM2034" s="37"/>
      <c r="AN2034" s="37"/>
      <c r="AO2034" s="37"/>
      <c r="AP2034" s="37"/>
      <c r="AQ2034" s="37"/>
      <c r="AR2034" s="37"/>
      <c r="AS2034" s="37"/>
      <c r="AT2034" s="37"/>
      <c r="AU2034" s="37"/>
      <c r="AV2034" s="37"/>
      <c r="AW2034" s="37"/>
      <c r="AX2034" s="37"/>
      <c r="AY2034" s="37"/>
      <c r="AZ2034" s="37"/>
      <c r="BA2034" s="37"/>
      <c r="BB2034" s="37"/>
      <c r="BC2034" s="37"/>
      <c r="BD2034" s="37"/>
      <c r="BE2034" s="37"/>
      <c r="BF2034" s="37"/>
      <c r="BG2034" s="37"/>
      <c r="BH2034" s="37"/>
      <c r="BI2034" s="37"/>
      <c r="BJ2034" s="37"/>
      <c r="BK2034" s="37"/>
      <c r="BL2034" s="37"/>
      <c r="BM2034" s="37"/>
    </row>
    <row r="2035" spans="1:65" s="40" customFormat="1" ht="23.25" x14ac:dyDescent="0.35">
      <c r="A2035" s="37"/>
      <c r="B2035" s="37"/>
      <c r="C2035" s="41"/>
      <c r="D2035" s="38"/>
      <c r="E2035" s="57"/>
      <c r="F2035" s="42"/>
      <c r="G2035" s="43"/>
      <c r="H2035" s="37"/>
      <c r="I2035" s="37"/>
      <c r="J2035" s="38"/>
      <c r="K2035" s="37"/>
      <c r="L2035" s="38"/>
      <c r="M2035" s="39"/>
      <c r="P2035" s="37"/>
      <c r="Q2035" s="37"/>
      <c r="R2035" s="37"/>
      <c r="S2035" s="37"/>
      <c r="T2035" s="37"/>
      <c r="U2035" s="37"/>
      <c r="V2035" s="37"/>
      <c r="W2035" s="37"/>
      <c r="X2035" s="37"/>
      <c r="Y2035" s="37"/>
      <c r="Z2035" s="37"/>
      <c r="AA2035" s="37"/>
      <c r="AB2035" s="37"/>
      <c r="AC2035" s="37"/>
      <c r="AD2035" s="37"/>
      <c r="AE2035" s="37"/>
      <c r="AF2035" s="37"/>
      <c r="AG2035" s="37"/>
      <c r="AH2035" s="37"/>
      <c r="AI2035" s="37"/>
      <c r="AJ2035" s="37"/>
      <c r="AK2035" s="37"/>
      <c r="AL2035" s="37"/>
      <c r="AM2035" s="37"/>
      <c r="AN2035" s="37"/>
      <c r="AO2035" s="37"/>
      <c r="AP2035" s="37"/>
      <c r="AQ2035" s="37"/>
      <c r="AR2035" s="37"/>
      <c r="AS2035" s="37"/>
      <c r="AT2035" s="37"/>
      <c r="AU2035" s="37"/>
      <c r="AV2035" s="37"/>
      <c r="AW2035" s="37"/>
      <c r="AX2035" s="37"/>
      <c r="AY2035" s="37"/>
      <c r="AZ2035" s="37"/>
      <c r="BA2035" s="37"/>
      <c r="BB2035" s="37"/>
      <c r="BC2035" s="37"/>
      <c r="BD2035" s="37"/>
      <c r="BE2035" s="37"/>
      <c r="BF2035" s="37"/>
      <c r="BG2035" s="37"/>
      <c r="BH2035" s="37"/>
      <c r="BI2035" s="37"/>
      <c r="BJ2035" s="37"/>
      <c r="BK2035" s="37"/>
      <c r="BL2035" s="37"/>
      <c r="BM2035" s="37"/>
    </row>
    <row r="2036" spans="1:65" s="40" customFormat="1" ht="23.25" x14ac:dyDescent="0.35">
      <c r="A2036" s="37"/>
      <c r="B2036" s="37"/>
      <c r="C2036" s="41"/>
      <c r="D2036" s="38"/>
      <c r="E2036" s="57"/>
      <c r="F2036" s="42"/>
      <c r="G2036" s="43"/>
      <c r="H2036" s="37"/>
      <c r="I2036" s="37"/>
      <c r="J2036" s="38"/>
      <c r="K2036" s="37"/>
      <c r="L2036" s="38"/>
      <c r="M2036" s="39"/>
      <c r="P2036" s="37"/>
      <c r="Q2036" s="37"/>
      <c r="R2036" s="37"/>
      <c r="S2036" s="37"/>
      <c r="T2036" s="37"/>
      <c r="U2036" s="37"/>
      <c r="V2036" s="37"/>
      <c r="W2036" s="37"/>
      <c r="X2036" s="37"/>
      <c r="Y2036" s="37"/>
      <c r="Z2036" s="37"/>
      <c r="AA2036" s="37"/>
      <c r="AB2036" s="37"/>
      <c r="AC2036" s="37"/>
      <c r="AD2036" s="37"/>
      <c r="AE2036" s="37"/>
      <c r="AF2036" s="37"/>
      <c r="AG2036" s="37"/>
      <c r="AH2036" s="37"/>
      <c r="AI2036" s="37"/>
      <c r="AJ2036" s="37"/>
      <c r="AK2036" s="37"/>
      <c r="AL2036" s="37"/>
      <c r="AM2036" s="37"/>
      <c r="AN2036" s="37"/>
      <c r="AO2036" s="37"/>
      <c r="AP2036" s="37"/>
      <c r="AQ2036" s="37"/>
      <c r="AR2036" s="37"/>
      <c r="AS2036" s="37"/>
      <c r="AT2036" s="37"/>
      <c r="AU2036" s="37"/>
      <c r="AV2036" s="37"/>
      <c r="AW2036" s="37"/>
      <c r="AX2036" s="37"/>
      <c r="AY2036" s="37"/>
      <c r="AZ2036" s="37"/>
      <c r="BA2036" s="37"/>
      <c r="BB2036" s="37"/>
      <c r="BC2036" s="37"/>
      <c r="BD2036" s="37"/>
      <c r="BE2036" s="37"/>
      <c r="BF2036" s="37"/>
      <c r="BG2036" s="37"/>
      <c r="BH2036" s="37"/>
      <c r="BI2036" s="37"/>
      <c r="BJ2036" s="37"/>
      <c r="BK2036" s="37"/>
      <c r="BL2036" s="37"/>
      <c r="BM2036" s="37"/>
    </row>
    <row r="2037" spans="1:65" s="40" customFormat="1" ht="23.25" x14ac:dyDescent="0.35">
      <c r="A2037" s="37"/>
      <c r="B2037" s="37"/>
      <c r="C2037" s="41"/>
      <c r="D2037" s="38"/>
      <c r="E2037" s="57"/>
      <c r="F2037" s="42"/>
      <c r="G2037" s="43"/>
      <c r="H2037" s="37"/>
      <c r="I2037" s="37"/>
      <c r="J2037" s="38"/>
      <c r="K2037" s="37"/>
      <c r="L2037" s="38"/>
      <c r="M2037" s="39"/>
      <c r="P2037" s="37"/>
      <c r="Q2037" s="37"/>
      <c r="R2037" s="37"/>
      <c r="S2037" s="37"/>
      <c r="T2037" s="37"/>
      <c r="U2037" s="37"/>
      <c r="V2037" s="37"/>
      <c r="W2037" s="37"/>
      <c r="X2037" s="37"/>
      <c r="Y2037" s="37"/>
      <c r="Z2037" s="37"/>
      <c r="AA2037" s="37"/>
      <c r="AB2037" s="37"/>
      <c r="AC2037" s="37"/>
      <c r="AD2037" s="37"/>
      <c r="AE2037" s="37"/>
      <c r="AF2037" s="37"/>
      <c r="AG2037" s="37"/>
      <c r="AH2037" s="37"/>
      <c r="AI2037" s="37"/>
      <c r="AJ2037" s="37"/>
      <c r="AK2037" s="37"/>
      <c r="AL2037" s="37"/>
      <c r="AM2037" s="37"/>
      <c r="AN2037" s="37"/>
      <c r="AO2037" s="37"/>
      <c r="AP2037" s="37"/>
      <c r="AQ2037" s="37"/>
      <c r="AR2037" s="37"/>
      <c r="AS2037" s="37"/>
      <c r="AT2037" s="37"/>
      <c r="AU2037" s="37"/>
      <c r="AV2037" s="37"/>
      <c r="AW2037" s="37"/>
      <c r="AX2037" s="37"/>
      <c r="AY2037" s="37"/>
      <c r="AZ2037" s="37"/>
      <c r="BA2037" s="37"/>
      <c r="BB2037" s="37"/>
      <c r="BC2037" s="37"/>
      <c r="BD2037" s="37"/>
      <c r="BE2037" s="37"/>
      <c r="BF2037" s="37"/>
      <c r="BG2037" s="37"/>
      <c r="BH2037" s="37"/>
      <c r="BI2037" s="37"/>
      <c r="BJ2037" s="37"/>
      <c r="BK2037" s="37"/>
      <c r="BL2037" s="37"/>
      <c r="BM2037" s="37"/>
    </row>
    <row r="2038" spans="1:65" s="40" customFormat="1" ht="23.25" x14ac:dyDescent="0.35">
      <c r="A2038" s="37"/>
      <c r="B2038" s="37"/>
      <c r="C2038" s="41"/>
      <c r="D2038" s="38"/>
      <c r="E2038" s="57"/>
      <c r="F2038" s="42"/>
      <c r="G2038" s="43"/>
      <c r="H2038" s="37"/>
      <c r="I2038" s="37"/>
      <c r="J2038" s="38"/>
      <c r="K2038" s="37"/>
      <c r="L2038" s="38"/>
      <c r="M2038" s="39"/>
      <c r="P2038" s="37"/>
      <c r="Q2038" s="37"/>
      <c r="R2038" s="37"/>
      <c r="S2038" s="37"/>
      <c r="T2038" s="37"/>
      <c r="U2038" s="37"/>
      <c r="V2038" s="37"/>
      <c r="W2038" s="37"/>
      <c r="X2038" s="37"/>
      <c r="Y2038" s="37"/>
      <c r="Z2038" s="37"/>
      <c r="AA2038" s="37"/>
      <c r="AB2038" s="37"/>
      <c r="AC2038" s="37"/>
      <c r="AD2038" s="37"/>
      <c r="AE2038" s="37"/>
      <c r="AF2038" s="37"/>
      <c r="AG2038" s="37"/>
      <c r="AH2038" s="37"/>
      <c r="AI2038" s="37"/>
      <c r="AJ2038" s="37"/>
      <c r="AK2038" s="37"/>
      <c r="AL2038" s="37"/>
      <c r="AM2038" s="37"/>
      <c r="AN2038" s="37"/>
      <c r="AO2038" s="37"/>
      <c r="AP2038" s="37"/>
      <c r="AQ2038" s="37"/>
      <c r="AR2038" s="37"/>
      <c r="AS2038" s="37"/>
      <c r="AT2038" s="37"/>
      <c r="AU2038" s="37"/>
      <c r="AV2038" s="37"/>
      <c r="AW2038" s="37"/>
      <c r="AX2038" s="37"/>
      <c r="AY2038" s="37"/>
      <c r="AZ2038" s="37"/>
      <c r="BA2038" s="37"/>
      <c r="BB2038" s="37"/>
      <c r="BC2038" s="37"/>
      <c r="BD2038" s="37"/>
      <c r="BE2038" s="37"/>
      <c r="BF2038" s="37"/>
      <c r="BG2038" s="37"/>
      <c r="BH2038" s="37"/>
      <c r="BI2038" s="37"/>
      <c r="BJ2038" s="37"/>
      <c r="BK2038" s="37"/>
      <c r="BL2038" s="37"/>
      <c r="BM2038" s="37"/>
    </row>
    <row r="2039" spans="1:65" s="40" customFormat="1" ht="23.25" x14ac:dyDescent="0.35">
      <c r="A2039" s="37"/>
      <c r="B2039" s="37"/>
      <c r="C2039" s="41"/>
      <c r="D2039" s="38"/>
      <c r="E2039" s="57"/>
      <c r="F2039" s="42"/>
      <c r="G2039" s="43"/>
      <c r="H2039" s="37"/>
      <c r="I2039" s="37"/>
      <c r="J2039" s="38"/>
      <c r="K2039" s="37"/>
      <c r="L2039" s="38"/>
      <c r="M2039" s="39"/>
      <c r="P2039" s="37"/>
      <c r="Q2039" s="37"/>
      <c r="R2039" s="37"/>
      <c r="S2039" s="37"/>
      <c r="T2039" s="37"/>
      <c r="U2039" s="37"/>
      <c r="V2039" s="37"/>
      <c r="W2039" s="37"/>
      <c r="X2039" s="37"/>
      <c r="Y2039" s="37"/>
      <c r="Z2039" s="37"/>
      <c r="AA2039" s="37"/>
      <c r="AB2039" s="37"/>
      <c r="AC2039" s="37"/>
      <c r="AD2039" s="37"/>
      <c r="AE2039" s="37"/>
      <c r="AF2039" s="37"/>
      <c r="AG2039" s="37"/>
      <c r="AH2039" s="37"/>
      <c r="AI2039" s="37"/>
      <c r="AJ2039" s="37"/>
      <c r="AK2039" s="37"/>
      <c r="AL2039" s="37"/>
      <c r="AM2039" s="37"/>
      <c r="AN2039" s="37"/>
      <c r="AO2039" s="37"/>
      <c r="AP2039" s="37"/>
      <c r="AQ2039" s="37"/>
      <c r="AR2039" s="37"/>
      <c r="AS2039" s="37"/>
      <c r="AT2039" s="37"/>
      <c r="AU2039" s="37"/>
      <c r="AV2039" s="37"/>
      <c r="AW2039" s="37"/>
      <c r="AX2039" s="37"/>
      <c r="AY2039" s="37"/>
      <c r="AZ2039" s="37"/>
      <c r="BA2039" s="37"/>
      <c r="BB2039" s="37"/>
      <c r="BC2039" s="37"/>
      <c r="BD2039" s="37"/>
      <c r="BE2039" s="37"/>
      <c r="BF2039" s="37"/>
      <c r="BG2039" s="37"/>
      <c r="BH2039" s="37"/>
      <c r="BI2039" s="37"/>
      <c r="BJ2039" s="37"/>
      <c r="BK2039" s="37"/>
      <c r="BL2039" s="37"/>
      <c r="BM2039" s="37"/>
    </row>
    <row r="2040" spans="1:65" s="40" customFormat="1" ht="23.25" x14ac:dyDescent="0.35">
      <c r="A2040" s="37"/>
      <c r="B2040" s="37"/>
      <c r="C2040" s="41"/>
      <c r="D2040" s="38"/>
      <c r="E2040" s="57"/>
      <c r="F2040" s="42"/>
      <c r="G2040" s="43"/>
      <c r="H2040" s="37"/>
      <c r="I2040" s="37"/>
      <c r="J2040" s="38"/>
      <c r="K2040" s="37"/>
      <c r="L2040" s="38"/>
      <c r="M2040" s="39"/>
      <c r="P2040" s="37"/>
      <c r="Q2040" s="37"/>
      <c r="R2040" s="37"/>
      <c r="S2040" s="37"/>
      <c r="T2040" s="37"/>
      <c r="U2040" s="37"/>
      <c r="V2040" s="37"/>
      <c r="W2040" s="37"/>
      <c r="X2040" s="37"/>
      <c r="Y2040" s="37"/>
      <c r="Z2040" s="37"/>
      <c r="AA2040" s="37"/>
      <c r="AB2040" s="37"/>
      <c r="AC2040" s="37"/>
      <c r="AD2040" s="37"/>
      <c r="AE2040" s="37"/>
      <c r="AF2040" s="37"/>
      <c r="AG2040" s="37"/>
      <c r="AH2040" s="37"/>
      <c r="AI2040" s="37"/>
      <c r="AJ2040" s="37"/>
      <c r="AK2040" s="37"/>
      <c r="AL2040" s="37"/>
      <c r="AM2040" s="37"/>
      <c r="AN2040" s="37"/>
      <c r="AO2040" s="37"/>
      <c r="AP2040" s="37"/>
      <c r="AQ2040" s="37"/>
      <c r="AR2040" s="37"/>
      <c r="AS2040" s="37"/>
      <c r="AT2040" s="37"/>
      <c r="AU2040" s="37"/>
      <c r="AV2040" s="37"/>
      <c r="AW2040" s="37"/>
      <c r="AX2040" s="37"/>
      <c r="AY2040" s="37"/>
      <c r="AZ2040" s="37"/>
      <c r="BA2040" s="37"/>
      <c r="BB2040" s="37"/>
      <c r="BC2040" s="37"/>
      <c r="BD2040" s="37"/>
      <c r="BE2040" s="37"/>
      <c r="BF2040" s="37"/>
      <c r="BG2040" s="37"/>
      <c r="BH2040" s="37"/>
      <c r="BI2040" s="37"/>
      <c r="BJ2040" s="37"/>
      <c r="BK2040" s="37"/>
      <c r="BL2040" s="37"/>
      <c r="BM2040" s="37"/>
    </row>
    <row r="2041" spans="1:65" s="40" customFormat="1" ht="23.25" x14ac:dyDescent="0.35">
      <c r="A2041" s="37"/>
      <c r="B2041" s="37"/>
      <c r="C2041" s="41"/>
      <c r="D2041" s="38"/>
      <c r="E2041" s="57"/>
      <c r="F2041" s="42"/>
      <c r="G2041" s="43"/>
      <c r="H2041" s="37"/>
      <c r="I2041" s="37"/>
      <c r="J2041" s="38"/>
      <c r="K2041" s="37"/>
      <c r="L2041" s="38"/>
      <c r="M2041" s="39"/>
      <c r="P2041" s="37"/>
      <c r="Q2041" s="37"/>
      <c r="R2041" s="37"/>
      <c r="S2041" s="37"/>
      <c r="T2041" s="37"/>
      <c r="U2041" s="37"/>
      <c r="V2041" s="37"/>
      <c r="W2041" s="37"/>
      <c r="X2041" s="37"/>
      <c r="Y2041" s="37"/>
      <c r="Z2041" s="37"/>
      <c r="AA2041" s="37"/>
      <c r="AB2041" s="37"/>
      <c r="AC2041" s="37"/>
      <c r="AD2041" s="37"/>
      <c r="AE2041" s="37"/>
      <c r="AF2041" s="37"/>
      <c r="AG2041" s="37"/>
      <c r="AH2041" s="37"/>
      <c r="AI2041" s="37"/>
      <c r="AJ2041" s="37"/>
      <c r="AK2041" s="37"/>
      <c r="AL2041" s="37"/>
      <c r="AM2041" s="37"/>
      <c r="AN2041" s="37"/>
      <c r="AO2041" s="37"/>
      <c r="AP2041" s="37"/>
      <c r="AQ2041" s="37"/>
      <c r="AR2041" s="37"/>
      <c r="AS2041" s="37"/>
      <c r="AT2041" s="37"/>
      <c r="AU2041" s="37"/>
      <c r="AV2041" s="37"/>
      <c r="AW2041" s="37"/>
      <c r="AX2041" s="37"/>
      <c r="AY2041" s="37"/>
      <c r="AZ2041" s="37"/>
      <c r="BA2041" s="37"/>
      <c r="BB2041" s="37"/>
      <c r="BC2041" s="37"/>
      <c r="BD2041" s="37"/>
      <c r="BE2041" s="37"/>
      <c r="BF2041" s="37"/>
      <c r="BG2041" s="37"/>
      <c r="BH2041" s="37"/>
      <c r="BI2041" s="37"/>
      <c r="BJ2041" s="37"/>
      <c r="BK2041" s="37"/>
      <c r="BL2041" s="37"/>
      <c r="BM2041" s="37"/>
    </row>
    <row r="2042" spans="1:65" s="40" customFormat="1" ht="23.25" x14ac:dyDescent="0.35">
      <c r="A2042" s="37"/>
      <c r="B2042" s="37"/>
      <c r="C2042" s="41"/>
      <c r="D2042" s="38"/>
      <c r="E2042" s="57"/>
      <c r="F2042" s="42"/>
      <c r="G2042" s="43"/>
      <c r="H2042" s="37"/>
      <c r="I2042" s="37"/>
      <c r="J2042" s="38"/>
      <c r="K2042" s="37"/>
      <c r="L2042" s="38"/>
      <c r="M2042" s="39"/>
      <c r="P2042" s="37"/>
      <c r="Q2042" s="37"/>
      <c r="R2042" s="37"/>
      <c r="S2042" s="37"/>
      <c r="T2042" s="37"/>
      <c r="U2042" s="37"/>
      <c r="V2042" s="37"/>
      <c r="W2042" s="37"/>
      <c r="X2042" s="37"/>
      <c r="Y2042" s="37"/>
      <c r="Z2042" s="37"/>
      <c r="AA2042" s="37"/>
      <c r="AB2042" s="37"/>
      <c r="AC2042" s="37"/>
      <c r="AD2042" s="37"/>
      <c r="AE2042" s="37"/>
      <c r="AF2042" s="37"/>
      <c r="AG2042" s="37"/>
      <c r="AH2042" s="37"/>
      <c r="AI2042" s="37"/>
      <c r="AJ2042" s="37"/>
      <c r="AK2042" s="37"/>
      <c r="AL2042" s="37"/>
      <c r="AM2042" s="37"/>
      <c r="AN2042" s="37"/>
      <c r="AO2042" s="37"/>
      <c r="AP2042" s="37"/>
      <c r="AQ2042" s="37"/>
      <c r="AR2042" s="37"/>
      <c r="AS2042" s="37"/>
      <c r="AT2042" s="37"/>
      <c r="AU2042" s="37"/>
      <c r="AV2042" s="37"/>
      <c r="AW2042" s="37"/>
      <c r="AX2042" s="37"/>
      <c r="AY2042" s="37"/>
      <c r="AZ2042" s="37"/>
      <c r="BA2042" s="37"/>
      <c r="BB2042" s="37"/>
      <c r="BC2042" s="37"/>
      <c r="BD2042" s="37"/>
      <c r="BE2042" s="37"/>
      <c r="BF2042" s="37"/>
      <c r="BG2042" s="37"/>
      <c r="BH2042" s="37"/>
      <c r="BI2042" s="37"/>
      <c r="BJ2042" s="37"/>
      <c r="BK2042" s="37"/>
      <c r="BL2042" s="37"/>
      <c r="BM2042" s="37"/>
    </row>
    <row r="2043" spans="1:65" s="40" customFormat="1" ht="23.25" x14ac:dyDescent="0.35">
      <c r="A2043" s="37"/>
      <c r="B2043" s="37"/>
      <c r="C2043" s="41"/>
      <c r="D2043" s="38"/>
      <c r="E2043" s="57"/>
      <c r="F2043" s="42"/>
      <c r="G2043" s="43"/>
      <c r="H2043" s="37"/>
      <c r="I2043" s="37"/>
      <c r="J2043" s="38"/>
      <c r="K2043" s="37"/>
      <c r="L2043" s="38"/>
      <c r="M2043" s="39"/>
      <c r="P2043" s="37"/>
      <c r="Q2043" s="37"/>
      <c r="R2043" s="37"/>
      <c r="S2043" s="37"/>
      <c r="T2043" s="37"/>
      <c r="U2043" s="37"/>
      <c r="V2043" s="37"/>
      <c r="W2043" s="37"/>
      <c r="X2043" s="37"/>
      <c r="Y2043" s="37"/>
      <c r="Z2043" s="37"/>
      <c r="AA2043" s="37"/>
      <c r="AB2043" s="37"/>
      <c r="AC2043" s="37"/>
      <c r="AD2043" s="37"/>
      <c r="AE2043" s="37"/>
      <c r="AF2043" s="37"/>
      <c r="AG2043" s="37"/>
      <c r="AH2043" s="37"/>
      <c r="AI2043" s="37"/>
      <c r="AJ2043" s="37"/>
      <c r="AK2043" s="37"/>
      <c r="AL2043" s="37"/>
      <c r="AM2043" s="37"/>
      <c r="AN2043" s="37"/>
      <c r="AO2043" s="37"/>
      <c r="AP2043" s="37"/>
      <c r="AQ2043" s="37"/>
      <c r="AR2043" s="37"/>
      <c r="AS2043" s="37"/>
      <c r="AT2043" s="37"/>
      <c r="AU2043" s="37"/>
      <c r="AV2043" s="37"/>
      <c r="AW2043" s="37"/>
      <c r="AX2043" s="37"/>
      <c r="AY2043" s="37"/>
      <c r="AZ2043" s="37"/>
      <c r="BA2043" s="37"/>
      <c r="BB2043" s="37"/>
      <c r="BC2043" s="37"/>
      <c r="BD2043" s="37"/>
      <c r="BE2043" s="37"/>
      <c r="BF2043" s="37"/>
      <c r="BG2043" s="37"/>
      <c r="BH2043" s="37"/>
      <c r="BI2043" s="37"/>
      <c r="BJ2043" s="37"/>
      <c r="BK2043" s="37"/>
      <c r="BL2043" s="37"/>
      <c r="BM2043" s="37"/>
    </row>
    <row r="2044" spans="1:65" s="40" customFormat="1" ht="23.25" x14ac:dyDescent="0.35">
      <c r="A2044" s="37"/>
      <c r="B2044" s="37"/>
      <c r="C2044" s="41"/>
      <c r="D2044" s="38"/>
      <c r="E2044" s="57"/>
      <c r="F2044" s="42"/>
      <c r="G2044" s="43"/>
      <c r="H2044" s="37"/>
      <c r="I2044" s="37"/>
      <c r="J2044" s="38"/>
      <c r="K2044" s="37"/>
      <c r="L2044" s="38"/>
      <c r="M2044" s="39"/>
      <c r="P2044" s="37"/>
      <c r="Q2044" s="37"/>
      <c r="R2044" s="37"/>
      <c r="S2044" s="37"/>
      <c r="T2044" s="37"/>
      <c r="U2044" s="37"/>
      <c r="V2044" s="37"/>
      <c r="W2044" s="37"/>
      <c r="X2044" s="37"/>
      <c r="Y2044" s="37"/>
      <c r="Z2044" s="37"/>
      <c r="AA2044" s="37"/>
      <c r="AB2044" s="37"/>
      <c r="AC2044" s="37"/>
      <c r="AD2044" s="37"/>
      <c r="AE2044" s="37"/>
      <c r="AF2044" s="37"/>
      <c r="AG2044" s="37"/>
      <c r="AH2044" s="37"/>
      <c r="AI2044" s="37"/>
      <c r="AJ2044" s="37"/>
      <c r="AK2044" s="37"/>
      <c r="AL2044" s="37"/>
      <c r="AM2044" s="37"/>
      <c r="AN2044" s="37"/>
      <c r="AO2044" s="37"/>
      <c r="AP2044" s="37"/>
      <c r="AQ2044" s="37"/>
      <c r="AR2044" s="37"/>
      <c r="AS2044" s="37"/>
      <c r="AT2044" s="37"/>
      <c r="AU2044" s="37"/>
      <c r="AV2044" s="37"/>
      <c r="AW2044" s="37"/>
      <c r="AX2044" s="37"/>
      <c r="AY2044" s="37"/>
      <c r="AZ2044" s="37"/>
      <c r="BA2044" s="37"/>
      <c r="BB2044" s="37"/>
      <c r="BC2044" s="37"/>
      <c r="BD2044" s="37"/>
      <c r="BE2044" s="37"/>
      <c r="BF2044" s="37"/>
      <c r="BG2044" s="37"/>
      <c r="BH2044" s="37"/>
      <c r="BI2044" s="37"/>
      <c r="BJ2044" s="37"/>
      <c r="BK2044" s="37"/>
      <c r="BL2044" s="37"/>
      <c r="BM2044" s="37"/>
    </row>
    <row r="2045" spans="1:65" s="40" customFormat="1" ht="23.25" x14ac:dyDescent="0.35">
      <c r="A2045" s="37"/>
      <c r="B2045" s="37"/>
      <c r="C2045" s="41"/>
      <c r="D2045" s="38"/>
      <c r="E2045" s="57"/>
      <c r="F2045" s="42"/>
      <c r="G2045" s="43"/>
      <c r="H2045" s="37"/>
      <c r="I2045" s="37"/>
      <c r="J2045" s="38"/>
      <c r="K2045" s="37"/>
      <c r="L2045" s="38"/>
      <c r="M2045" s="39"/>
      <c r="P2045" s="37"/>
      <c r="Q2045" s="37"/>
      <c r="R2045" s="37"/>
      <c r="S2045" s="37"/>
      <c r="T2045" s="37"/>
      <c r="U2045" s="37"/>
      <c r="V2045" s="37"/>
      <c r="W2045" s="37"/>
      <c r="X2045" s="37"/>
      <c r="Y2045" s="37"/>
      <c r="Z2045" s="37"/>
      <c r="AA2045" s="37"/>
      <c r="AB2045" s="37"/>
      <c r="AC2045" s="37"/>
      <c r="AD2045" s="37"/>
      <c r="AE2045" s="37"/>
      <c r="AF2045" s="37"/>
      <c r="AG2045" s="37"/>
      <c r="AH2045" s="37"/>
      <c r="AI2045" s="37"/>
      <c r="AJ2045" s="37"/>
      <c r="AK2045" s="37"/>
      <c r="AL2045" s="37"/>
      <c r="AM2045" s="37"/>
      <c r="AN2045" s="37"/>
      <c r="AO2045" s="37"/>
      <c r="AP2045" s="37"/>
      <c r="AQ2045" s="37"/>
      <c r="AR2045" s="37"/>
      <c r="AS2045" s="37"/>
      <c r="AT2045" s="37"/>
      <c r="AU2045" s="37"/>
      <c r="AV2045" s="37"/>
      <c r="AW2045" s="37"/>
      <c r="AX2045" s="37"/>
      <c r="AY2045" s="37"/>
      <c r="AZ2045" s="37"/>
      <c r="BA2045" s="37"/>
      <c r="BB2045" s="37"/>
      <c r="BC2045" s="37"/>
      <c r="BD2045" s="37"/>
      <c r="BE2045" s="37"/>
      <c r="BF2045" s="37"/>
      <c r="BG2045" s="37"/>
      <c r="BH2045" s="37"/>
      <c r="BI2045" s="37"/>
      <c r="BJ2045" s="37"/>
      <c r="BK2045" s="37"/>
      <c r="BL2045" s="37"/>
      <c r="BM2045" s="37"/>
    </row>
    <row r="2046" spans="1:65" s="40" customFormat="1" ht="23.25" x14ac:dyDescent="0.35">
      <c r="A2046" s="37"/>
      <c r="B2046" s="37"/>
      <c r="C2046" s="41"/>
      <c r="D2046" s="38"/>
      <c r="E2046" s="57"/>
      <c r="F2046" s="42"/>
      <c r="G2046" s="43"/>
      <c r="H2046" s="37"/>
      <c r="I2046" s="37"/>
      <c r="J2046" s="38"/>
      <c r="K2046" s="37"/>
      <c r="L2046" s="38"/>
      <c r="M2046" s="39"/>
      <c r="P2046" s="37"/>
      <c r="Q2046" s="37"/>
      <c r="R2046" s="37"/>
      <c r="S2046" s="37"/>
      <c r="T2046" s="37"/>
      <c r="U2046" s="37"/>
      <c r="V2046" s="37"/>
      <c r="W2046" s="37"/>
      <c r="X2046" s="37"/>
      <c r="Y2046" s="37"/>
      <c r="Z2046" s="37"/>
      <c r="AA2046" s="37"/>
      <c r="AB2046" s="37"/>
      <c r="AC2046" s="37"/>
      <c r="AD2046" s="37"/>
      <c r="AE2046" s="37"/>
      <c r="AF2046" s="37"/>
      <c r="AG2046" s="37"/>
      <c r="AH2046" s="37"/>
      <c r="AI2046" s="37"/>
      <c r="AJ2046" s="37"/>
      <c r="AK2046" s="37"/>
      <c r="AL2046" s="37"/>
      <c r="AM2046" s="37"/>
      <c r="AN2046" s="37"/>
      <c r="AO2046" s="37"/>
      <c r="AP2046" s="37"/>
      <c r="AQ2046" s="37"/>
      <c r="AR2046" s="37"/>
      <c r="AS2046" s="37"/>
      <c r="AT2046" s="37"/>
      <c r="AU2046" s="37"/>
      <c r="AV2046" s="37"/>
      <c r="AW2046" s="37"/>
      <c r="AX2046" s="37"/>
      <c r="AY2046" s="37"/>
      <c r="AZ2046" s="37"/>
      <c r="BA2046" s="37"/>
      <c r="BB2046" s="37"/>
      <c r="BC2046" s="37"/>
      <c r="BD2046" s="37"/>
      <c r="BE2046" s="37"/>
      <c r="BF2046" s="37"/>
      <c r="BG2046" s="37"/>
      <c r="BH2046" s="37"/>
      <c r="BI2046" s="37"/>
      <c r="BJ2046" s="37"/>
      <c r="BK2046" s="37"/>
      <c r="BL2046" s="37"/>
      <c r="BM2046" s="37"/>
    </row>
    <row r="2047" spans="1:65" s="40" customFormat="1" ht="23.25" x14ac:dyDescent="0.35">
      <c r="A2047" s="37"/>
      <c r="B2047" s="37"/>
      <c r="C2047" s="41"/>
      <c r="D2047" s="38"/>
      <c r="E2047" s="57"/>
      <c r="F2047" s="42"/>
      <c r="G2047" s="43"/>
      <c r="H2047" s="37"/>
      <c r="I2047" s="37"/>
      <c r="J2047" s="38"/>
      <c r="K2047" s="37"/>
      <c r="L2047" s="38"/>
      <c r="M2047" s="39"/>
      <c r="P2047" s="37"/>
      <c r="Q2047" s="37"/>
      <c r="R2047" s="37"/>
      <c r="S2047" s="37"/>
      <c r="T2047" s="37"/>
      <c r="U2047" s="37"/>
      <c r="V2047" s="37"/>
      <c r="W2047" s="37"/>
      <c r="X2047" s="37"/>
      <c r="Y2047" s="37"/>
      <c r="Z2047" s="37"/>
      <c r="AA2047" s="37"/>
      <c r="AB2047" s="37"/>
      <c r="AC2047" s="37"/>
      <c r="AD2047" s="37"/>
      <c r="AE2047" s="37"/>
      <c r="AF2047" s="37"/>
      <c r="AG2047" s="37"/>
      <c r="AH2047" s="37"/>
      <c r="AI2047" s="37"/>
      <c r="AJ2047" s="37"/>
      <c r="AK2047" s="37"/>
      <c r="AL2047" s="37"/>
      <c r="AM2047" s="37"/>
      <c r="AN2047" s="37"/>
      <c r="AO2047" s="37"/>
      <c r="AP2047" s="37"/>
      <c r="AQ2047" s="37"/>
      <c r="AR2047" s="37"/>
      <c r="AS2047" s="37"/>
      <c r="AT2047" s="37"/>
      <c r="AU2047" s="37"/>
      <c r="AV2047" s="37"/>
      <c r="AW2047" s="37"/>
      <c r="AX2047" s="37"/>
      <c r="AY2047" s="37"/>
      <c r="AZ2047" s="37"/>
      <c r="BA2047" s="37"/>
      <c r="BB2047" s="37"/>
      <c r="BC2047" s="37"/>
      <c r="BD2047" s="37"/>
      <c r="BE2047" s="37"/>
      <c r="BF2047" s="37"/>
      <c r="BG2047" s="37"/>
      <c r="BH2047" s="37"/>
      <c r="BI2047" s="37"/>
      <c r="BJ2047" s="37"/>
      <c r="BK2047" s="37"/>
      <c r="BL2047" s="37"/>
      <c r="BM2047" s="37"/>
    </row>
    <row r="2048" spans="1:65" s="40" customFormat="1" ht="23.25" x14ac:dyDescent="0.35">
      <c r="A2048" s="37"/>
      <c r="B2048" s="37"/>
      <c r="C2048" s="41"/>
      <c r="D2048" s="38"/>
      <c r="E2048" s="57"/>
      <c r="F2048" s="42"/>
      <c r="G2048" s="43"/>
      <c r="H2048" s="37"/>
      <c r="I2048" s="37"/>
      <c r="J2048" s="38"/>
      <c r="K2048" s="37"/>
      <c r="L2048" s="38"/>
      <c r="M2048" s="39"/>
      <c r="P2048" s="37"/>
      <c r="Q2048" s="37"/>
      <c r="R2048" s="37"/>
      <c r="S2048" s="37"/>
      <c r="T2048" s="37"/>
      <c r="U2048" s="37"/>
      <c r="V2048" s="37"/>
      <c r="W2048" s="37"/>
      <c r="X2048" s="37"/>
      <c r="Y2048" s="37"/>
      <c r="Z2048" s="37"/>
      <c r="AA2048" s="37"/>
      <c r="AB2048" s="37"/>
      <c r="AC2048" s="37"/>
      <c r="AD2048" s="37"/>
      <c r="AE2048" s="37"/>
      <c r="AF2048" s="37"/>
      <c r="AG2048" s="37"/>
      <c r="AH2048" s="37"/>
      <c r="AI2048" s="37"/>
      <c r="AJ2048" s="37"/>
      <c r="AK2048" s="37"/>
      <c r="AL2048" s="37"/>
      <c r="AM2048" s="37"/>
      <c r="AN2048" s="37"/>
      <c r="AO2048" s="37"/>
      <c r="AP2048" s="37"/>
      <c r="AQ2048" s="37"/>
      <c r="AR2048" s="37"/>
      <c r="AS2048" s="37"/>
      <c r="AT2048" s="37"/>
      <c r="AU2048" s="37"/>
      <c r="AV2048" s="37"/>
      <c r="AW2048" s="37"/>
      <c r="AX2048" s="37"/>
      <c r="AY2048" s="37"/>
      <c r="AZ2048" s="37"/>
      <c r="BA2048" s="37"/>
      <c r="BB2048" s="37"/>
      <c r="BC2048" s="37"/>
      <c r="BD2048" s="37"/>
      <c r="BE2048" s="37"/>
      <c r="BF2048" s="37"/>
      <c r="BG2048" s="37"/>
      <c r="BH2048" s="37"/>
      <c r="BI2048" s="37"/>
      <c r="BJ2048" s="37"/>
      <c r="BK2048" s="37"/>
      <c r="BL2048" s="37"/>
      <c r="BM2048" s="37"/>
    </row>
    <row r="2049" spans="1:65" s="40" customFormat="1" ht="23.25" x14ac:dyDescent="0.35">
      <c r="A2049" s="37"/>
      <c r="B2049" s="37"/>
      <c r="C2049" s="41"/>
      <c r="D2049" s="38"/>
      <c r="E2049" s="57"/>
      <c r="F2049" s="42"/>
      <c r="G2049" s="43"/>
      <c r="H2049" s="37"/>
      <c r="I2049" s="37"/>
      <c r="J2049" s="38"/>
      <c r="K2049" s="37"/>
      <c r="L2049" s="38"/>
      <c r="M2049" s="39"/>
      <c r="P2049" s="37"/>
      <c r="Q2049" s="37"/>
      <c r="R2049" s="37"/>
      <c r="S2049" s="37"/>
      <c r="T2049" s="37"/>
      <c r="U2049" s="37"/>
      <c r="V2049" s="37"/>
      <c r="W2049" s="37"/>
      <c r="X2049" s="37"/>
      <c r="Y2049" s="37"/>
      <c r="Z2049" s="37"/>
      <c r="AA2049" s="37"/>
      <c r="AB2049" s="37"/>
      <c r="AC2049" s="37"/>
      <c r="AD2049" s="37"/>
      <c r="AE2049" s="37"/>
      <c r="AF2049" s="37"/>
      <c r="AG2049" s="37"/>
      <c r="AH2049" s="37"/>
      <c r="AI2049" s="37"/>
      <c r="AJ2049" s="37"/>
      <c r="AK2049" s="37"/>
      <c r="AL2049" s="37"/>
      <c r="AM2049" s="37"/>
      <c r="AN2049" s="37"/>
      <c r="AO2049" s="37"/>
      <c r="AP2049" s="37"/>
      <c r="AQ2049" s="37"/>
      <c r="AR2049" s="37"/>
      <c r="AS2049" s="37"/>
      <c r="AT2049" s="37"/>
      <c r="AU2049" s="37"/>
      <c r="AV2049" s="37"/>
      <c r="AW2049" s="37"/>
      <c r="AX2049" s="37"/>
      <c r="AY2049" s="37"/>
      <c r="AZ2049" s="37"/>
      <c r="BA2049" s="37"/>
      <c r="BB2049" s="37"/>
      <c r="BC2049" s="37"/>
      <c r="BD2049" s="37"/>
      <c r="BE2049" s="37"/>
      <c r="BF2049" s="37"/>
      <c r="BG2049" s="37"/>
      <c r="BH2049" s="37"/>
      <c r="BI2049" s="37"/>
      <c r="BJ2049" s="37"/>
      <c r="BK2049" s="37"/>
      <c r="BL2049" s="37"/>
      <c r="BM2049" s="37"/>
    </row>
    <row r="2050" spans="1:65" s="40" customFormat="1" ht="23.25" x14ac:dyDescent="0.35">
      <c r="A2050" s="37"/>
      <c r="B2050" s="37"/>
      <c r="C2050" s="41"/>
      <c r="D2050" s="38"/>
      <c r="E2050" s="57"/>
      <c r="F2050" s="42"/>
      <c r="G2050" s="43"/>
      <c r="H2050" s="37"/>
      <c r="I2050" s="37"/>
      <c r="J2050" s="38"/>
      <c r="K2050" s="37"/>
      <c r="L2050" s="38"/>
      <c r="M2050" s="39"/>
      <c r="P2050" s="37"/>
      <c r="Q2050" s="37"/>
      <c r="R2050" s="37"/>
      <c r="S2050" s="37"/>
      <c r="T2050" s="37"/>
      <c r="U2050" s="37"/>
      <c r="V2050" s="37"/>
      <c r="W2050" s="37"/>
      <c r="X2050" s="37"/>
      <c r="Y2050" s="37"/>
      <c r="Z2050" s="37"/>
      <c r="AA2050" s="37"/>
      <c r="AB2050" s="37"/>
      <c r="AC2050" s="37"/>
      <c r="AD2050" s="37"/>
      <c r="AE2050" s="37"/>
      <c r="AF2050" s="37"/>
      <c r="AG2050" s="37"/>
      <c r="AH2050" s="37"/>
      <c r="AI2050" s="37"/>
      <c r="AJ2050" s="37"/>
      <c r="AK2050" s="37"/>
      <c r="AL2050" s="37"/>
      <c r="AM2050" s="37"/>
      <c r="AN2050" s="37"/>
      <c r="AO2050" s="37"/>
      <c r="AP2050" s="37"/>
      <c r="AQ2050" s="37"/>
      <c r="AR2050" s="37"/>
      <c r="AS2050" s="37"/>
      <c r="AT2050" s="37"/>
      <c r="AU2050" s="37"/>
      <c r="AV2050" s="37"/>
      <c r="AW2050" s="37"/>
      <c r="AX2050" s="37"/>
      <c r="AY2050" s="37"/>
      <c r="AZ2050" s="37"/>
      <c r="BA2050" s="37"/>
      <c r="BB2050" s="37"/>
      <c r="BC2050" s="37"/>
      <c r="BD2050" s="37"/>
      <c r="BE2050" s="37"/>
      <c r="BF2050" s="37"/>
      <c r="BG2050" s="37"/>
      <c r="BH2050" s="37"/>
      <c r="BI2050" s="37"/>
      <c r="BJ2050" s="37"/>
      <c r="BK2050" s="37"/>
      <c r="BL2050" s="37"/>
      <c r="BM2050" s="37"/>
    </row>
    <row r="2051" spans="1:65" s="40" customFormat="1" ht="23.25" x14ac:dyDescent="0.35">
      <c r="A2051" s="37"/>
      <c r="B2051" s="37"/>
      <c r="C2051" s="41"/>
      <c r="D2051" s="38"/>
      <c r="E2051" s="57"/>
      <c r="F2051" s="42"/>
      <c r="G2051" s="43"/>
      <c r="H2051" s="37"/>
      <c r="I2051" s="37"/>
      <c r="J2051" s="38"/>
      <c r="K2051" s="37"/>
      <c r="L2051" s="38"/>
      <c r="M2051" s="39"/>
      <c r="P2051" s="37"/>
      <c r="Q2051" s="37"/>
      <c r="R2051" s="37"/>
      <c r="S2051" s="37"/>
      <c r="T2051" s="37"/>
      <c r="U2051" s="37"/>
      <c r="V2051" s="37"/>
      <c r="W2051" s="37"/>
      <c r="X2051" s="37"/>
      <c r="Y2051" s="37"/>
      <c r="Z2051" s="37"/>
      <c r="AA2051" s="37"/>
      <c r="AB2051" s="37"/>
      <c r="AC2051" s="37"/>
      <c r="AD2051" s="37"/>
      <c r="AE2051" s="37"/>
      <c r="AF2051" s="37"/>
      <c r="AG2051" s="37"/>
      <c r="AH2051" s="37"/>
      <c r="AI2051" s="37"/>
      <c r="AJ2051" s="37"/>
      <c r="AK2051" s="37"/>
      <c r="AL2051" s="37"/>
      <c r="AM2051" s="37"/>
      <c r="AN2051" s="37"/>
      <c r="AO2051" s="37"/>
      <c r="AP2051" s="37"/>
      <c r="AQ2051" s="37"/>
      <c r="AR2051" s="37"/>
      <c r="AS2051" s="37"/>
      <c r="AT2051" s="37"/>
      <c r="AU2051" s="37"/>
      <c r="AV2051" s="37"/>
      <c r="AW2051" s="37"/>
      <c r="AX2051" s="37"/>
      <c r="AY2051" s="37"/>
      <c r="AZ2051" s="37"/>
      <c r="BA2051" s="37"/>
      <c r="BB2051" s="37"/>
      <c r="BC2051" s="37"/>
      <c r="BD2051" s="37"/>
      <c r="BE2051" s="37"/>
      <c r="BF2051" s="37"/>
      <c r="BG2051" s="37"/>
      <c r="BH2051" s="37"/>
      <c r="BI2051" s="37"/>
      <c r="BJ2051" s="37"/>
      <c r="BK2051" s="37"/>
      <c r="BL2051" s="37"/>
      <c r="BM2051" s="37"/>
    </row>
    <row r="2052" spans="1:65" s="40" customFormat="1" ht="23.25" x14ac:dyDescent="0.35">
      <c r="A2052" s="37"/>
      <c r="B2052" s="37"/>
      <c r="C2052" s="41"/>
      <c r="D2052" s="38"/>
      <c r="E2052" s="57"/>
      <c r="F2052" s="42"/>
      <c r="G2052" s="43"/>
      <c r="H2052" s="37"/>
      <c r="I2052" s="37"/>
      <c r="J2052" s="38"/>
      <c r="K2052" s="37"/>
      <c r="L2052" s="38"/>
      <c r="M2052" s="39"/>
      <c r="P2052" s="37"/>
      <c r="Q2052" s="37"/>
      <c r="R2052" s="37"/>
      <c r="S2052" s="37"/>
      <c r="T2052" s="37"/>
      <c r="U2052" s="37"/>
      <c r="V2052" s="37"/>
      <c r="W2052" s="37"/>
      <c r="X2052" s="37"/>
      <c r="Y2052" s="37"/>
      <c r="Z2052" s="37"/>
      <c r="AA2052" s="37"/>
      <c r="AB2052" s="37"/>
      <c r="AC2052" s="37"/>
      <c r="AD2052" s="37"/>
      <c r="AE2052" s="37"/>
      <c r="AF2052" s="37"/>
      <c r="AG2052" s="37"/>
      <c r="AH2052" s="37"/>
      <c r="AI2052" s="37"/>
      <c r="AJ2052" s="37"/>
      <c r="AK2052" s="37"/>
      <c r="AL2052" s="37"/>
      <c r="AM2052" s="37"/>
      <c r="AN2052" s="37"/>
      <c r="AO2052" s="37"/>
      <c r="AP2052" s="37"/>
      <c r="AQ2052" s="37"/>
      <c r="AR2052" s="37"/>
      <c r="AS2052" s="37"/>
      <c r="AT2052" s="37"/>
      <c r="AU2052" s="37"/>
      <c r="AV2052" s="37"/>
      <c r="AW2052" s="37"/>
      <c r="AX2052" s="37"/>
      <c r="AY2052" s="37"/>
      <c r="AZ2052" s="37"/>
      <c r="BA2052" s="37"/>
      <c r="BB2052" s="37"/>
      <c r="BC2052" s="37"/>
      <c r="BD2052" s="37"/>
      <c r="BE2052" s="37"/>
      <c r="BF2052" s="37"/>
      <c r="BG2052" s="37"/>
      <c r="BH2052" s="37"/>
      <c r="BI2052" s="37"/>
      <c r="BJ2052" s="37"/>
      <c r="BK2052" s="37"/>
      <c r="BL2052" s="37"/>
      <c r="BM2052" s="37"/>
    </row>
    <row r="2053" spans="1:65" s="40" customFormat="1" ht="23.25" x14ac:dyDescent="0.35">
      <c r="A2053" s="37"/>
      <c r="B2053" s="37"/>
      <c r="C2053" s="41"/>
      <c r="D2053" s="38"/>
      <c r="E2053" s="57"/>
      <c r="F2053" s="42"/>
      <c r="G2053" s="43"/>
      <c r="H2053" s="37"/>
      <c r="I2053" s="37"/>
      <c r="J2053" s="38"/>
      <c r="K2053" s="37"/>
      <c r="L2053" s="38"/>
      <c r="M2053" s="39"/>
      <c r="P2053" s="37"/>
      <c r="Q2053" s="37"/>
      <c r="R2053" s="37"/>
      <c r="S2053" s="37"/>
      <c r="T2053" s="37"/>
      <c r="U2053" s="37"/>
      <c r="V2053" s="37"/>
      <c r="W2053" s="37"/>
      <c r="X2053" s="37"/>
      <c r="Y2053" s="37"/>
      <c r="Z2053" s="37"/>
      <c r="AA2053" s="37"/>
      <c r="AB2053" s="37"/>
      <c r="AC2053" s="37"/>
      <c r="AD2053" s="37"/>
      <c r="AE2053" s="37"/>
      <c r="AF2053" s="37"/>
      <c r="AG2053" s="37"/>
      <c r="AH2053" s="37"/>
      <c r="AI2053" s="37"/>
      <c r="AJ2053" s="37"/>
      <c r="AK2053" s="37"/>
      <c r="AL2053" s="37"/>
      <c r="AM2053" s="37"/>
      <c r="AN2053" s="37"/>
      <c r="AO2053" s="37"/>
      <c r="AP2053" s="37"/>
      <c r="AQ2053" s="37"/>
      <c r="AR2053" s="37"/>
      <c r="AS2053" s="37"/>
      <c r="AT2053" s="37"/>
      <c r="AU2053" s="37"/>
      <c r="AV2053" s="37"/>
      <c r="AW2053" s="37"/>
      <c r="AX2053" s="37"/>
      <c r="AY2053" s="37"/>
      <c r="AZ2053" s="37"/>
      <c r="BA2053" s="37"/>
      <c r="BB2053" s="37"/>
      <c r="BC2053" s="37"/>
      <c r="BD2053" s="37"/>
      <c r="BE2053" s="37"/>
      <c r="BF2053" s="37"/>
      <c r="BG2053" s="37"/>
      <c r="BH2053" s="37"/>
      <c r="BI2053" s="37"/>
      <c r="BJ2053" s="37"/>
      <c r="BK2053" s="37"/>
      <c r="BL2053" s="37"/>
      <c r="BM2053" s="37"/>
    </row>
    <row r="2054" spans="1:65" s="40" customFormat="1" ht="23.25" x14ac:dyDescent="0.35">
      <c r="A2054" s="37"/>
      <c r="B2054" s="37"/>
      <c r="C2054" s="41"/>
      <c r="D2054" s="38"/>
      <c r="E2054" s="57"/>
      <c r="F2054" s="42"/>
      <c r="G2054" s="43"/>
      <c r="H2054" s="37"/>
      <c r="I2054" s="37"/>
      <c r="J2054" s="38"/>
      <c r="K2054" s="37"/>
      <c r="L2054" s="38"/>
      <c r="M2054" s="39"/>
      <c r="P2054" s="37"/>
      <c r="Q2054" s="37"/>
      <c r="R2054" s="37"/>
      <c r="S2054" s="37"/>
      <c r="T2054" s="37"/>
      <c r="U2054" s="37"/>
      <c r="V2054" s="37"/>
      <c r="W2054" s="37"/>
      <c r="X2054" s="37"/>
      <c r="Y2054" s="37"/>
      <c r="Z2054" s="37"/>
      <c r="AA2054" s="37"/>
      <c r="AB2054" s="37"/>
      <c r="AC2054" s="37"/>
      <c r="AD2054" s="37"/>
      <c r="AE2054" s="37"/>
      <c r="AF2054" s="37"/>
      <c r="AG2054" s="37"/>
      <c r="AH2054" s="37"/>
      <c r="AI2054" s="37"/>
      <c r="AJ2054" s="37"/>
      <c r="AK2054" s="37"/>
      <c r="AL2054" s="37"/>
      <c r="AM2054" s="37"/>
      <c r="AN2054" s="37"/>
      <c r="AO2054" s="37"/>
      <c r="AP2054" s="37"/>
      <c r="AQ2054" s="37"/>
      <c r="AR2054" s="37"/>
      <c r="AS2054" s="37"/>
      <c r="AT2054" s="37"/>
      <c r="AU2054" s="37"/>
      <c r="AV2054" s="37"/>
      <c r="AW2054" s="37"/>
      <c r="AX2054" s="37"/>
      <c r="AY2054" s="37"/>
      <c r="AZ2054" s="37"/>
      <c r="BA2054" s="37"/>
      <c r="BB2054" s="37"/>
      <c r="BC2054" s="37"/>
      <c r="BD2054" s="37"/>
      <c r="BE2054" s="37"/>
      <c r="BF2054" s="37"/>
      <c r="BG2054" s="37"/>
      <c r="BH2054" s="37"/>
      <c r="BI2054" s="37"/>
      <c r="BJ2054" s="37"/>
      <c r="BK2054" s="37"/>
      <c r="BL2054" s="37"/>
      <c r="BM2054" s="37"/>
    </row>
    <row r="2055" spans="1:65" s="40" customFormat="1" ht="23.25" x14ac:dyDescent="0.35">
      <c r="A2055" s="37"/>
      <c r="B2055" s="37"/>
      <c r="C2055" s="41"/>
      <c r="D2055" s="38"/>
      <c r="E2055" s="57"/>
      <c r="F2055" s="42"/>
      <c r="G2055" s="43"/>
      <c r="H2055" s="37"/>
      <c r="I2055" s="37"/>
      <c r="J2055" s="38"/>
      <c r="K2055" s="37"/>
      <c r="L2055" s="38"/>
      <c r="M2055" s="39"/>
      <c r="P2055" s="37"/>
      <c r="Q2055" s="37"/>
      <c r="R2055" s="37"/>
      <c r="S2055" s="37"/>
      <c r="T2055" s="37"/>
      <c r="U2055" s="37"/>
      <c r="V2055" s="37"/>
      <c r="W2055" s="37"/>
      <c r="X2055" s="37"/>
      <c r="Y2055" s="37"/>
      <c r="Z2055" s="37"/>
      <c r="AA2055" s="37"/>
      <c r="AB2055" s="37"/>
      <c r="AC2055" s="37"/>
      <c r="AD2055" s="37"/>
      <c r="AE2055" s="37"/>
      <c r="AF2055" s="37"/>
      <c r="AG2055" s="37"/>
      <c r="AH2055" s="37"/>
      <c r="AI2055" s="37"/>
      <c r="AJ2055" s="37"/>
      <c r="AK2055" s="37"/>
      <c r="AL2055" s="37"/>
      <c r="AM2055" s="37"/>
      <c r="AN2055" s="37"/>
      <c r="AO2055" s="37"/>
      <c r="AP2055" s="37"/>
      <c r="AQ2055" s="37"/>
      <c r="AR2055" s="37"/>
      <c r="AS2055" s="37"/>
      <c r="AT2055" s="37"/>
      <c r="AU2055" s="37"/>
      <c r="AV2055" s="37"/>
      <c r="AW2055" s="37"/>
      <c r="AX2055" s="37"/>
      <c r="AY2055" s="37"/>
      <c r="AZ2055" s="37"/>
      <c r="BA2055" s="37"/>
      <c r="BB2055" s="37"/>
      <c r="BC2055" s="37"/>
      <c r="BD2055" s="37"/>
      <c r="BE2055" s="37"/>
      <c r="BF2055" s="37"/>
      <c r="BG2055" s="37"/>
      <c r="BH2055" s="37"/>
      <c r="BI2055" s="37"/>
      <c r="BJ2055" s="37"/>
      <c r="BK2055" s="37"/>
      <c r="BL2055" s="37"/>
      <c r="BM2055" s="37"/>
    </row>
    <row r="2056" spans="1:65" s="40" customFormat="1" ht="23.25" x14ac:dyDescent="0.35">
      <c r="A2056" s="37"/>
      <c r="B2056" s="37"/>
      <c r="C2056" s="41"/>
      <c r="D2056" s="38"/>
      <c r="E2056" s="57"/>
      <c r="F2056" s="42"/>
      <c r="G2056" s="43"/>
      <c r="H2056" s="37"/>
      <c r="I2056" s="37"/>
      <c r="J2056" s="38"/>
      <c r="K2056" s="37"/>
      <c r="L2056" s="38"/>
      <c r="M2056" s="39"/>
      <c r="P2056" s="37"/>
      <c r="Q2056" s="37"/>
      <c r="R2056" s="37"/>
      <c r="S2056" s="37"/>
      <c r="T2056" s="37"/>
      <c r="U2056" s="37"/>
      <c r="V2056" s="37"/>
      <c r="W2056" s="37"/>
      <c r="X2056" s="37"/>
      <c r="Y2056" s="37"/>
      <c r="Z2056" s="37"/>
      <c r="AA2056" s="37"/>
      <c r="AB2056" s="37"/>
      <c r="AC2056" s="37"/>
      <c r="AD2056" s="37"/>
      <c r="AE2056" s="37"/>
      <c r="AF2056" s="37"/>
      <c r="AG2056" s="37"/>
      <c r="AH2056" s="37"/>
      <c r="AI2056" s="37"/>
      <c r="AJ2056" s="37"/>
      <c r="AK2056" s="37"/>
      <c r="AL2056" s="37"/>
      <c r="AM2056" s="37"/>
      <c r="AN2056" s="37"/>
      <c r="AO2056" s="37"/>
      <c r="AP2056" s="37"/>
      <c r="AQ2056" s="37"/>
      <c r="AR2056" s="37"/>
      <c r="AS2056" s="37"/>
      <c r="AT2056" s="37"/>
      <c r="AU2056" s="37"/>
      <c r="AV2056" s="37"/>
      <c r="AW2056" s="37"/>
      <c r="AX2056" s="37"/>
      <c r="AY2056" s="37"/>
      <c r="AZ2056" s="37"/>
      <c r="BA2056" s="37"/>
      <c r="BB2056" s="37"/>
      <c r="BC2056" s="37"/>
      <c r="BD2056" s="37"/>
      <c r="BE2056" s="37"/>
      <c r="BF2056" s="37"/>
      <c r="BG2056" s="37"/>
      <c r="BH2056" s="37"/>
      <c r="BI2056" s="37"/>
      <c r="BJ2056" s="37"/>
      <c r="BK2056" s="37"/>
      <c r="BL2056" s="37"/>
      <c r="BM2056" s="37"/>
    </row>
    <row r="2057" spans="1:65" s="40" customFormat="1" ht="23.25" x14ac:dyDescent="0.35">
      <c r="A2057" s="37"/>
      <c r="B2057" s="37"/>
      <c r="C2057" s="41"/>
      <c r="D2057" s="38"/>
      <c r="E2057" s="57"/>
      <c r="F2057" s="42"/>
      <c r="G2057" s="43"/>
      <c r="H2057" s="37"/>
      <c r="I2057" s="37"/>
      <c r="J2057" s="38"/>
      <c r="K2057" s="37"/>
      <c r="L2057" s="38"/>
      <c r="M2057" s="39"/>
      <c r="P2057" s="37"/>
      <c r="Q2057" s="37"/>
      <c r="R2057" s="37"/>
      <c r="S2057" s="37"/>
      <c r="T2057" s="37"/>
      <c r="U2057" s="37"/>
      <c r="V2057" s="37"/>
      <c r="W2057" s="37"/>
      <c r="X2057" s="37"/>
      <c r="Y2057" s="37"/>
      <c r="Z2057" s="37"/>
      <c r="AA2057" s="37"/>
      <c r="AB2057" s="37"/>
      <c r="AC2057" s="37"/>
      <c r="AD2057" s="37"/>
      <c r="AE2057" s="37"/>
      <c r="AF2057" s="37"/>
      <c r="AG2057" s="37"/>
      <c r="AH2057" s="37"/>
      <c r="AI2057" s="37"/>
      <c r="AJ2057" s="37"/>
      <c r="AK2057" s="37"/>
      <c r="AL2057" s="37"/>
      <c r="AM2057" s="37"/>
      <c r="AN2057" s="37"/>
      <c r="AO2057" s="37"/>
      <c r="AP2057" s="37"/>
      <c r="AQ2057" s="37"/>
      <c r="AR2057" s="37"/>
      <c r="AS2057" s="37"/>
      <c r="AT2057" s="37"/>
      <c r="AU2057" s="37"/>
      <c r="AV2057" s="37"/>
      <c r="AW2057" s="37"/>
      <c r="AX2057" s="37"/>
      <c r="AY2057" s="37"/>
      <c r="AZ2057" s="37"/>
      <c r="BA2057" s="37"/>
      <c r="BB2057" s="37"/>
      <c r="BC2057" s="37"/>
      <c r="BD2057" s="37"/>
      <c r="BE2057" s="37"/>
      <c r="BF2057" s="37"/>
      <c r="BG2057" s="37"/>
      <c r="BH2057" s="37"/>
      <c r="BI2057" s="37"/>
      <c r="BJ2057" s="37"/>
      <c r="BK2057" s="37"/>
      <c r="BL2057" s="37"/>
      <c r="BM2057" s="37"/>
    </row>
    <row r="2058" spans="1:65" s="40" customFormat="1" ht="23.25" x14ac:dyDescent="0.35">
      <c r="A2058" s="37"/>
      <c r="B2058" s="37"/>
      <c r="C2058" s="41"/>
      <c r="D2058" s="38"/>
      <c r="E2058" s="57"/>
      <c r="F2058" s="42"/>
      <c r="G2058" s="43"/>
      <c r="H2058" s="37"/>
      <c r="I2058" s="37"/>
      <c r="J2058" s="38"/>
      <c r="K2058" s="37"/>
      <c r="L2058" s="38"/>
      <c r="M2058" s="39"/>
      <c r="P2058" s="37"/>
      <c r="Q2058" s="37"/>
      <c r="R2058" s="37"/>
      <c r="S2058" s="37"/>
      <c r="T2058" s="37"/>
      <c r="U2058" s="37"/>
      <c r="V2058" s="37"/>
      <c r="W2058" s="37"/>
      <c r="X2058" s="37"/>
      <c r="Y2058" s="37"/>
      <c r="Z2058" s="37"/>
      <c r="AA2058" s="37"/>
      <c r="AB2058" s="37"/>
      <c r="AC2058" s="37"/>
      <c r="AD2058" s="37"/>
      <c r="AE2058" s="37"/>
      <c r="AF2058" s="37"/>
      <c r="AG2058" s="37"/>
      <c r="AH2058" s="37"/>
      <c r="AI2058" s="37"/>
      <c r="AJ2058" s="37"/>
      <c r="AK2058" s="37"/>
      <c r="AL2058" s="37"/>
      <c r="AM2058" s="37"/>
      <c r="AN2058" s="37"/>
      <c r="AO2058" s="37"/>
      <c r="AP2058" s="37"/>
      <c r="AQ2058" s="37"/>
      <c r="AR2058" s="37"/>
      <c r="AS2058" s="37"/>
      <c r="AT2058" s="37"/>
      <c r="AU2058" s="37"/>
      <c r="AV2058" s="37"/>
      <c r="AW2058" s="37"/>
      <c r="AX2058" s="37"/>
      <c r="AY2058" s="37"/>
      <c r="AZ2058" s="37"/>
      <c r="BA2058" s="37"/>
      <c r="BB2058" s="37"/>
      <c r="BC2058" s="37"/>
      <c r="BD2058" s="37"/>
      <c r="BE2058" s="37"/>
      <c r="BF2058" s="37"/>
      <c r="BG2058" s="37"/>
      <c r="BH2058" s="37"/>
      <c r="BI2058" s="37"/>
      <c r="BJ2058" s="37"/>
      <c r="BK2058" s="37"/>
      <c r="BL2058" s="37"/>
      <c r="BM2058" s="37"/>
    </row>
    <row r="2059" spans="1:65" s="40" customFormat="1" ht="23.25" x14ac:dyDescent="0.35">
      <c r="A2059" s="37"/>
      <c r="B2059" s="37"/>
      <c r="C2059" s="41"/>
      <c r="D2059" s="38"/>
      <c r="E2059" s="57"/>
      <c r="F2059" s="42"/>
      <c r="G2059" s="43"/>
      <c r="H2059" s="37"/>
      <c r="I2059" s="37"/>
      <c r="J2059" s="38"/>
      <c r="K2059" s="37"/>
      <c r="L2059" s="38"/>
      <c r="M2059" s="39"/>
      <c r="P2059" s="37"/>
      <c r="Q2059" s="37"/>
      <c r="R2059" s="37"/>
      <c r="S2059" s="37"/>
      <c r="T2059" s="37"/>
      <c r="U2059" s="37"/>
      <c r="V2059" s="37"/>
      <c r="W2059" s="37"/>
      <c r="X2059" s="37"/>
      <c r="Y2059" s="37"/>
      <c r="Z2059" s="37"/>
      <c r="AA2059" s="37"/>
      <c r="AB2059" s="37"/>
      <c r="AC2059" s="37"/>
      <c r="AD2059" s="37"/>
      <c r="AE2059" s="37"/>
      <c r="AF2059" s="37"/>
      <c r="AG2059" s="37"/>
      <c r="AH2059" s="37"/>
      <c r="AI2059" s="37"/>
      <c r="AJ2059" s="37"/>
      <c r="AK2059" s="37"/>
      <c r="AL2059" s="37"/>
      <c r="AM2059" s="37"/>
      <c r="AN2059" s="37"/>
      <c r="AO2059" s="37"/>
      <c r="AP2059" s="37"/>
      <c r="AQ2059" s="37"/>
      <c r="AR2059" s="37"/>
      <c r="AS2059" s="37"/>
      <c r="AT2059" s="37"/>
      <c r="AU2059" s="37"/>
      <c r="AV2059" s="37"/>
      <c r="AW2059" s="37"/>
      <c r="AX2059" s="37"/>
      <c r="AY2059" s="37"/>
      <c r="AZ2059" s="37"/>
      <c r="BA2059" s="37"/>
      <c r="BB2059" s="37"/>
      <c r="BC2059" s="37"/>
      <c r="BD2059" s="37"/>
      <c r="BE2059" s="37"/>
      <c r="BF2059" s="37"/>
      <c r="BG2059" s="37"/>
      <c r="BH2059" s="37"/>
      <c r="BI2059" s="37"/>
      <c r="BJ2059" s="37"/>
      <c r="BK2059" s="37"/>
      <c r="BL2059" s="37"/>
      <c r="BM2059" s="37"/>
    </row>
    <row r="2060" spans="1:65" s="40" customFormat="1" ht="23.25" x14ac:dyDescent="0.35">
      <c r="A2060" s="37"/>
      <c r="B2060" s="37"/>
      <c r="C2060" s="41"/>
      <c r="D2060" s="38"/>
      <c r="E2060" s="57"/>
      <c r="F2060" s="42"/>
      <c r="G2060" s="43"/>
      <c r="H2060" s="37"/>
      <c r="I2060" s="37"/>
      <c r="J2060" s="38"/>
      <c r="K2060" s="37"/>
      <c r="L2060" s="38"/>
      <c r="M2060" s="39"/>
      <c r="P2060" s="37"/>
      <c r="Q2060" s="37"/>
      <c r="R2060" s="37"/>
      <c r="S2060" s="37"/>
      <c r="T2060" s="37"/>
      <c r="U2060" s="37"/>
      <c r="V2060" s="37"/>
      <c r="W2060" s="37"/>
      <c r="X2060" s="37"/>
      <c r="Y2060" s="37"/>
      <c r="Z2060" s="37"/>
      <c r="AA2060" s="37"/>
      <c r="AB2060" s="37"/>
      <c r="AC2060" s="37"/>
      <c r="AD2060" s="37"/>
      <c r="AE2060" s="37"/>
      <c r="AF2060" s="37"/>
      <c r="AG2060" s="37"/>
      <c r="AH2060" s="37"/>
      <c r="AI2060" s="37"/>
      <c r="AJ2060" s="37"/>
      <c r="AK2060" s="37"/>
      <c r="AL2060" s="37"/>
      <c r="AM2060" s="37"/>
      <c r="AN2060" s="37"/>
      <c r="AO2060" s="37"/>
      <c r="AP2060" s="37"/>
      <c r="AQ2060" s="37"/>
      <c r="AR2060" s="37"/>
      <c r="AS2060" s="37"/>
      <c r="AT2060" s="37"/>
      <c r="AU2060" s="37"/>
      <c r="AV2060" s="37"/>
      <c r="AW2060" s="37"/>
      <c r="AX2060" s="37"/>
      <c r="AY2060" s="37"/>
      <c r="AZ2060" s="37"/>
      <c r="BA2060" s="37"/>
      <c r="BB2060" s="37"/>
      <c r="BC2060" s="37"/>
      <c r="BD2060" s="37"/>
      <c r="BE2060" s="37"/>
      <c r="BF2060" s="37"/>
      <c r="BG2060" s="37"/>
      <c r="BH2060" s="37"/>
      <c r="BI2060" s="37"/>
      <c r="BJ2060" s="37"/>
      <c r="BK2060" s="37"/>
      <c r="BL2060" s="37"/>
      <c r="BM2060" s="37"/>
    </row>
    <row r="2061" spans="1:65" s="40" customFormat="1" ht="23.25" x14ac:dyDescent="0.35">
      <c r="A2061" s="37"/>
      <c r="B2061" s="37"/>
      <c r="C2061" s="41"/>
      <c r="D2061" s="38"/>
      <c r="E2061" s="57"/>
      <c r="F2061" s="42"/>
      <c r="G2061" s="43"/>
      <c r="H2061" s="37"/>
      <c r="I2061" s="37"/>
      <c r="J2061" s="38"/>
      <c r="K2061" s="37"/>
      <c r="L2061" s="38"/>
      <c r="M2061" s="39"/>
      <c r="P2061" s="37"/>
      <c r="Q2061" s="37"/>
      <c r="R2061" s="37"/>
      <c r="S2061" s="37"/>
      <c r="T2061" s="37"/>
      <c r="U2061" s="37"/>
      <c r="V2061" s="37"/>
      <c r="W2061" s="37"/>
      <c r="X2061" s="37"/>
      <c r="Y2061" s="37"/>
      <c r="Z2061" s="37"/>
      <c r="AA2061" s="37"/>
      <c r="AB2061" s="37"/>
      <c r="AC2061" s="37"/>
      <c r="AD2061" s="37"/>
      <c r="AE2061" s="37"/>
      <c r="AF2061" s="37"/>
      <c r="AG2061" s="37"/>
      <c r="AH2061" s="37"/>
      <c r="AI2061" s="37"/>
      <c r="AJ2061" s="37"/>
      <c r="AK2061" s="37"/>
      <c r="AL2061" s="37"/>
      <c r="AM2061" s="37"/>
      <c r="AN2061" s="37"/>
      <c r="AO2061" s="37"/>
      <c r="AP2061" s="37"/>
      <c r="AQ2061" s="37"/>
      <c r="AR2061" s="37"/>
      <c r="AS2061" s="37"/>
      <c r="AT2061" s="37"/>
      <c r="AU2061" s="37"/>
      <c r="AV2061" s="37"/>
      <c r="AW2061" s="37"/>
      <c r="AX2061" s="37"/>
      <c r="AY2061" s="37"/>
      <c r="AZ2061" s="37"/>
      <c r="BA2061" s="37"/>
      <c r="BB2061" s="37"/>
      <c r="BC2061" s="37"/>
      <c r="BD2061" s="37"/>
      <c r="BE2061" s="37"/>
      <c r="BF2061" s="37"/>
      <c r="BG2061" s="37"/>
      <c r="BH2061" s="37"/>
      <c r="BI2061" s="37"/>
      <c r="BJ2061" s="37"/>
      <c r="BK2061" s="37"/>
      <c r="BL2061" s="37"/>
      <c r="BM2061" s="37"/>
    </row>
    <row r="2062" spans="1:65" s="40" customFormat="1" ht="23.25" x14ac:dyDescent="0.35">
      <c r="A2062" s="37"/>
      <c r="B2062" s="37"/>
      <c r="C2062" s="41"/>
      <c r="D2062" s="38"/>
      <c r="E2062" s="57"/>
      <c r="F2062" s="42"/>
      <c r="G2062" s="43"/>
      <c r="H2062" s="37"/>
      <c r="I2062" s="37"/>
      <c r="J2062" s="38"/>
      <c r="K2062" s="37"/>
      <c r="L2062" s="38"/>
      <c r="M2062" s="39"/>
      <c r="P2062" s="37"/>
      <c r="Q2062" s="37"/>
      <c r="R2062" s="37"/>
      <c r="S2062" s="37"/>
      <c r="T2062" s="37"/>
      <c r="U2062" s="37"/>
      <c r="V2062" s="37"/>
      <c r="W2062" s="37"/>
      <c r="X2062" s="37"/>
      <c r="Y2062" s="37"/>
      <c r="Z2062" s="37"/>
      <c r="AA2062" s="37"/>
      <c r="AB2062" s="37"/>
      <c r="AC2062" s="37"/>
      <c r="AD2062" s="37"/>
      <c r="AE2062" s="37"/>
      <c r="AF2062" s="37"/>
      <c r="AG2062" s="37"/>
      <c r="AH2062" s="37"/>
      <c r="AI2062" s="37"/>
      <c r="AJ2062" s="37"/>
      <c r="AK2062" s="37"/>
      <c r="AL2062" s="37"/>
      <c r="AM2062" s="37"/>
      <c r="AN2062" s="37"/>
      <c r="AO2062" s="37"/>
      <c r="AP2062" s="37"/>
      <c r="AQ2062" s="37"/>
      <c r="AR2062" s="37"/>
      <c r="AS2062" s="37"/>
      <c r="AT2062" s="37"/>
      <c r="AU2062" s="37"/>
      <c r="AV2062" s="37"/>
      <c r="AW2062" s="37"/>
      <c r="AX2062" s="37"/>
      <c r="AY2062" s="37"/>
      <c r="AZ2062" s="37"/>
      <c r="BA2062" s="37"/>
      <c r="BB2062" s="37"/>
      <c r="BC2062" s="37"/>
      <c r="BD2062" s="37"/>
      <c r="BE2062" s="37"/>
      <c r="BF2062" s="37"/>
      <c r="BG2062" s="37"/>
      <c r="BH2062" s="37"/>
      <c r="BI2062" s="37"/>
      <c r="BJ2062" s="37"/>
      <c r="BK2062" s="37"/>
      <c r="BL2062" s="37"/>
      <c r="BM2062" s="37"/>
    </row>
    <row r="2063" spans="1:65" s="40" customFormat="1" ht="23.25" x14ac:dyDescent="0.35">
      <c r="A2063" s="37"/>
      <c r="B2063" s="37"/>
      <c r="C2063" s="41"/>
      <c r="D2063" s="38"/>
      <c r="E2063" s="57"/>
      <c r="F2063" s="42"/>
      <c r="G2063" s="43"/>
      <c r="H2063" s="37"/>
      <c r="I2063" s="37"/>
      <c r="J2063" s="38"/>
      <c r="K2063" s="37"/>
      <c r="L2063" s="38"/>
      <c r="M2063" s="39"/>
      <c r="P2063" s="37"/>
      <c r="Q2063" s="37"/>
      <c r="R2063" s="37"/>
      <c r="S2063" s="37"/>
      <c r="T2063" s="37"/>
      <c r="U2063" s="37"/>
      <c r="V2063" s="37"/>
      <c r="W2063" s="37"/>
      <c r="X2063" s="37"/>
      <c r="Y2063" s="37"/>
      <c r="Z2063" s="37"/>
      <c r="AA2063" s="37"/>
      <c r="AB2063" s="37"/>
      <c r="AC2063" s="37"/>
      <c r="AD2063" s="37"/>
      <c r="AE2063" s="37"/>
      <c r="AF2063" s="37"/>
      <c r="AG2063" s="37"/>
      <c r="AH2063" s="37"/>
      <c r="AI2063" s="37"/>
      <c r="AJ2063" s="37"/>
      <c r="AK2063" s="37"/>
      <c r="AL2063" s="37"/>
      <c r="AM2063" s="37"/>
      <c r="AN2063" s="37"/>
      <c r="AO2063" s="37"/>
      <c r="AP2063" s="37"/>
      <c r="AQ2063" s="37"/>
      <c r="AR2063" s="37"/>
      <c r="AS2063" s="37"/>
      <c r="AT2063" s="37"/>
      <c r="AU2063" s="37"/>
      <c r="AV2063" s="37"/>
      <c r="AW2063" s="37"/>
      <c r="AX2063" s="37"/>
      <c r="AY2063" s="37"/>
      <c r="AZ2063" s="37"/>
      <c r="BA2063" s="37"/>
      <c r="BB2063" s="37"/>
      <c r="BC2063" s="37"/>
      <c r="BD2063" s="37"/>
      <c r="BE2063" s="37"/>
      <c r="BF2063" s="37"/>
      <c r="BG2063" s="37"/>
      <c r="BH2063" s="37"/>
      <c r="BI2063" s="37"/>
      <c r="BJ2063" s="37"/>
      <c r="BK2063" s="37"/>
      <c r="BL2063" s="37"/>
      <c r="BM2063" s="37"/>
    </row>
    <row r="2064" spans="1:65" s="40" customFormat="1" ht="23.25" x14ac:dyDescent="0.35">
      <c r="A2064" s="37"/>
      <c r="B2064" s="37"/>
      <c r="C2064" s="41"/>
      <c r="D2064" s="38"/>
      <c r="E2064" s="57"/>
      <c r="F2064" s="42"/>
      <c r="G2064" s="43"/>
      <c r="H2064" s="37"/>
      <c r="I2064" s="37"/>
      <c r="J2064" s="38"/>
      <c r="K2064" s="37"/>
      <c r="L2064" s="38"/>
      <c r="M2064" s="39"/>
      <c r="P2064" s="37"/>
      <c r="Q2064" s="37"/>
      <c r="R2064" s="37"/>
      <c r="S2064" s="37"/>
      <c r="T2064" s="37"/>
      <c r="U2064" s="37"/>
      <c r="V2064" s="37"/>
      <c r="W2064" s="37"/>
      <c r="X2064" s="37"/>
      <c r="Y2064" s="37"/>
      <c r="Z2064" s="37"/>
      <c r="AA2064" s="37"/>
      <c r="AB2064" s="37"/>
      <c r="AC2064" s="37"/>
      <c r="AD2064" s="37"/>
      <c r="AE2064" s="37"/>
      <c r="AF2064" s="37"/>
      <c r="AG2064" s="37"/>
      <c r="AH2064" s="37"/>
      <c r="AI2064" s="37"/>
      <c r="AJ2064" s="37"/>
      <c r="AK2064" s="37"/>
      <c r="AL2064" s="37"/>
      <c r="AM2064" s="37"/>
      <c r="AN2064" s="37"/>
      <c r="AO2064" s="37"/>
      <c r="AP2064" s="37"/>
      <c r="AQ2064" s="37"/>
      <c r="AR2064" s="37"/>
      <c r="AS2064" s="37"/>
      <c r="AT2064" s="37"/>
      <c r="AU2064" s="37"/>
      <c r="AV2064" s="37"/>
      <c r="AW2064" s="37"/>
      <c r="AX2064" s="37"/>
      <c r="AY2064" s="37"/>
      <c r="AZ2064" s="37"/>
      <c r="BA2064" s="37"/>
      <c r="BB2064" s="37"/>
      <c r="BC2064" s="37"/>
      <c r="BD2064" s="37"/>
      <c r="BE2064" s="37"/>
      <c r="BF2064" s="37"/>
      <c r="BG2064" s="37"/>
      <c r="BH2064" s="37"/>
      <c r="BI2064" s="37"/>
      <c r="BJ2064" s="37"/>
      <c r="BK2064" s="37"/>
      <c r="BL2064" s="37"/>
      <c r="BM2064" s="37"/>
    </row>
    <row r="2065" spans="1:65" s="40" customFormat="1" ht="23.25" x14ac:dyDescent="0.35">
      <c r="A2065" s="37"/>
      <c r="B2065" s="37"/>
      <c r="C2065" s="41"/>
      <c r="D2065" s="38"/>
      <c r="E2065" s="57"/>
      <c r="F2065" s="42"/>
      <c r="G2065" s="43"/>
      <c r="H2065" s="37"/>
      <c r="I2065" s="37"/>
      <c r="J2065" s="38"/>
      <c r="K2065" s="37"/>
      <c r="L2065" s="38"/>
      <c r="M2065" s="39"/>
      <c r="P2065" s="37"/>
      <c r="Q2065" s="37"/>
      <c r="R2065" s="37"/>
      <c r="S2065" s="37"/>
      <c r="T2065" s="37"/>
      <c r="U2065" s="37"/>
      <c r="V2065" s="37"/>
      <c r="W2065" s="37"/>
      <c r="X2065" s="37"/>
      <c r="Y2065" s="37"/>
      <c r="Z2065" s="37"/>
      <c r="AA2065" s="37"/>
      <c r="AB2065" s="37"/>
      <c r="AC2065" s="37"/>
      <c r="AD2065" s="37"/>
      <c r="AE2065" s="37"/>
      <c r="AF2065" s="37"/>
      <c r="AG2065" s="37"/>
      <c r="AH2065" s="37"/>
      <c r="AI2065" s="37"/>
      <c r="AJ2065" s="37"/>
      <c r="AK2065" s="37"/>
      <c r="AL2065" s="37"/>
      <c r="AM2065" s="37"/>
      <c r="AN2065" s="37"/>
      <c r="AO2065" s="37"/>
      <c r="AP2065" s="37"/>
      <c r="AQ2065" s="37"/>
      <c r="AR2065" s="37"/>
      <c r="AS2065" s="37"/>
      <c r="AT2065" s="37"/>
      <c r="AU2065" s="37"/>
      <c r="AV2065" s="37"/>
      <c r="AW2065" s="37"/>
      <c r="AX2065" s="37"/>
      <c r="AY2065" s="37"/>
      <c r="AZ2065" s="37"/>
      <c r="BA2065" s="37"/>
      <c r="BB2065" s="37"/>
      <c r="BC2065" s="37"/>
      <c r="BD2065" s="37"/>
      <c r="BE2065" s="37"/>
      <c r="BF2065" s="37"/>
      <c r="BG2065" s="37"/>
      <c r="BH2065" s="37"/>
      <c r="BI2065" s="37"/>
      <c r="BJ2065" s="37"/>
      <c r="BK2065" s="37"/>
      <c r="BL2065" s="37"/>
      <c r="BM2065" s="37"/>
    </row>
    <row r="2066" spans="1:65" s="40" customFormat="1" ht="23.25" x14ac:dyDescent="0.35">
      <c r="A2066" s="37"/>
      <c r="B2066" s="37"/>
      <c r="C2066" s="41"/>
      <c r="D2066" s="38"/>
      <c r="E2066" s="57"/>
      <c r="F2066" s="42"/>
      <c r="G2066" s="43"/>
      <c r="H2066" s="37"/>
      <c r="I2066" s="37"/>
      <c r="J2066" s="38"/>
      <c r="K2066" s="37"/>
      <c r="L2066" s="38"/>
      <c r="M2066" s="39"/>
      <c r="P2066" s="37"/>
      <c r="Q2066" s="37"/>
      <c r="R2066" s="37"/>
      <c r="S2066" s="37"/>
      <c r="T2066" s="37"/>
      <c r="U2066" s="37"/>
      <c r="V2066" s="37"/>
      <c r="W2066" s="37"/>
      <c r="X2066" s="37"/>
      <c r="Y2066" s="37"/>
      <c r="Z2066" s="37"/>
      <c r="AA2066" s="37"/>
      <c r="AB2066" s="37"/>
      <c r="AC2066" s="37"/>
      <c r="AD2066" s="37"/>
      <c r="AE2066" s="37"/>
      <c r="AF2066" s="37"/>
      <c r="AG2066" s="37"/>
      <c r="AH2066" s="37"/>
      <c r="AI2066" s="37"/>
      <c r="AJ2066" s="37"/>
      <c r="AK2066" s="37"/>
      <c r="AL2066" s="37"/>
      <c r="AM2066" s="37"/>
      <c r="AN2066" s="37"/>
      <c r="AO2066" s="37"/>
      <c r="AP2066" s="37"/>
      <c r="AQ2066" s="37"/>
      <c r="AR2066" s="37"/>
      <c r="AS2066" s="37"/>
      <c r="AT2066" s="37"/>
      <c r="AU2066" s="37"/>
      <c r="AV2066" s="37"/>
      <c r="AW2066" s="37"/>
      <c r="AX2066" s="37"/>
      <c r="AY2066" s="37"/>
      <c r="AZ2066" s="37"/>
      <c r="BA2066" s="37"/>
      <c r="BB2066" s="37"/>
      <c r="BC2066" s="37"/>
      <c r="BD2066" s="37"/>
      <c r="BE2066" s="37"/>
      <c r="BF2066" s="37"/>
      <c r="BG2066" s="37"/>
      <c r="BH2066" s="37"/>
      <c r="BI2066" s="37"/>
      <c r="BJ2066" s="37"/>
      <c r="BK2066" s="37"/>
      <c r="BL2066" s="37"/>
      <c r="BM2066" s="37"/>
    </row>
    <row r="2067" spans="1:65" s="40" customFormat="1" ht="23.25" x14ac:dyDescent="0.35">
      <c r="A2067" s="37"/>
      <c r="B2067" s="37"/>
      <c r="C2067" s="41"/>
      <c r="D2067" s="38"/>
      <c r="E2067" s="57"/>
      <c r="F2067" s="42"/>
      <c r="G2067" s="43"/>
      <c r="H2067" s="37"/>
      <c r="I2067" s="37"/>
      <c r="J2067" s="38"/>
      <c r="K2067" s="37"/>
      <c r="L2067" s="38"/>
      <c r="M2067" s="39"/>
      <c r="P2067" s="37"/>
      <c r="Q2067" s="37"/>
      <c r="R2067" s="37"/>
      <c r="S2067" s="37"/>
      <c r="T2067" s="37"/>
      <c r="U2067" s="37"/>
      <c r="V2067" s="37"/>
      <c r="W2067" s="37"/>
      <c r="X2067" s="37"/>
      <c r="Y2067" s="37"/>
      <c r="Z2067" s="37"/>
      <c r="AA2067" s="37"/>
      <c r="AB2067" s="37"/>
      <c r="AC2067" s="37"/>
      <c r="AD2067" s="37"/>
      <c r="AE2067" s="37"/>
      <c r="AF2067" s="37"/>
      <c r="AG2067" s="37"/>
      <c r="AH2067" s="37"/>
      <c r="AI2067" s="37"/>
      <c r="AJ2067" s="37"/>
      <c r="AK2067" s="37"/>
      <c r="AL2067" s="37"/>
      <c r="AM2067" s="37"/>
      <c r="AN2067" s="37"/>
      <c r="AO2067" s="37"/>
      <c r="AP2067" s="37"/>
      <c r="AQ2067" s="37"/>
      <c r="AR2067" s="37"/>
      <c r="AS2067" s="37"/>
      <c r="AT2067" s="37"/>
      <c r="AU2067" s="37"/>
      <c r="AV2067" s="37"/>
      <c r="AW2067" s="37"/>
      <c r="AX2067" s="37"/>
      <c r="AY2067" s="37"/>
      <c r="AZ2067" s="37"/>
      <c r="BA2067" s="37"/>
      <c r="BB2067" s="37"/>
      <c r="BC2067" s="37"/>
      <c r="BD2067" s="37"/>
      <c r="BE2067" s="37"/>
      <c r="BF2067" s="37"/>
      <c r="BG2067" s="37"/>
      <c r="BH2067" s="37"/>
      <c r="BI2067" s="37"/>
      <c r="BJ2067" s="37"/>
      <c r="BK2067" s="37"/>
      <c r="BL2067" s="37"/>
      <c r="BM2067" s="37"/>
    </row>
    <row r="2068" spans="1:65" s="40" customFormat="1" ht="23.25" x14ac:dyDescent="0.35">
      <c r="A2068" s="37"/>
      <c r="B2068" s="37"/>
      <c r="C2068" s="41"/>
      <c r="D2068" s="38"/>
      <c r="E2068" s="57"/>
      <c r="F2068" s="42"/>
      <c r="G2068" s="43"/>
      <c r="H2068" s="37"/>
      <c r="I2068" s="37"/>
      <c r="J2068" s="38"/>
      <c r="K2068" s="37"/>
      <c r="L2068" s="38"/>
      <c r="M2068" s="39"/>
      <c r="P2068" s="37"/>
      <c r="Q2068" s="37"/>
      <c r="R2068" s="37"/>
      <c r="S2068" s="37"/>
      <c r="T2068" s="37"/>
      <c r="U2068" s="37"/>
      <c r="V2068" s="37"/>
      <c r="W2068" s="37"/>
      <c r="X2068" s="37"/>
      <c r="Y2068" s="37"/>
      <c r="Z2068" s="37"/>
      <c r="AA2068" s="37"/>
      <c r="AB2068" s="37"/>
      <c r="AC2068" s="37"/>
      <c r="AD2068" s="37"/>
      <c r="AE2068" s="37"/>
      <c r="AF2068" s="37"/>
      <c r="AG2068" s="37"/>
      <c r="AH2068" s="37"/>
      <c r="AI2068" s="37"/>
      <c r="AJ2068" s="37"/>
      <c r="AK2068" s="37"/>
      <c r="AL2068" s="37"/>
      <c r="AM2068" s="37"/>
      <c r="AN2068" s="37"/>
      <c r="AO2068" s="37"/>
      <c r="AP2068" s="37"/>
      <c r="AQ2068" s="37"/>
      <c r="AR2068" s="37"/>
      <c r="AS2068" s="37"/>
      <c r="AT2068" s="37"/>
      <c r="AU2068" s="37"/>
      <c r="AV2068" s="37"/>
      <c r="AW2068" s="37"/>
      <c r="AX2068" s="37"/>
      <c r="AY2068" s="37"/>
      <c r="AZ2068" s="37"/>
      <c r="BA2068" s="37"/>
      <c r="BB2068" s="37"/>
      <c r="BC2068" s="37"/>
      <c r="BD2068" s="37"/>
      <c r="BE2068" s="37"/>
      <c r="BF2068" s="37"/>
      <c r="BG2068" s="37"/>
      <c r="BH2068" s="37"/>
      <c r="BI2068" s="37"/>
      <c r="BJ2068" s="37"/>
      <c r="BK2068" s="37"/>
      <c r="BL2068" s="37"/>
      <c r="BM2068" s="37"/>
    </row>
    <row r="2069" spans="1:65" s="40" customFormat="1" ht="23.25" x14ac:dyDescent="0.35">
      <c r="A2069" s="37"/>
      <c r="B2069" s="37"/>
      <c r="C2069" s="41"/>
      <c r="D2069" s="38"/>
      <c r="E2069" s="57"/>
      <c r="F2069" s="42"/>
      <c r="G2069" s="43"/>
      <c r="H2069" s="37"/>
      <c r="I2069" s="37"/>
      <c r="J2069" s="38"/>
      <c r="K2069" s="37"/>
      <c r="L2069" s="38"/>
      <c r="M2069" s="39"/>
      <c r="P2069" s="37"/>
      <c r="Q2069" s="37"/>
      <c r="R2069" s="37"/>
      <c r="S2069" s="37"/>
      <c r="T2069" s="37"/>
      <c r="U2069" s="37"/>
      <c r="V2069" s="37"/>
      <c r="W2069" s="37"/>
      <c r="X2069" s="37"/>
      <c r="Y2069" s="37"/>
      <c r="Z2069" s="37"/>
      <c r="AA2069" s="37"/>
      <c r="AB2069" s="37"/>
      <c r="AC2069" s="37"/>
      <c r="AD2069" s="37"/>
      <c r="AE2069" s="37"/>
      <c r="AF2069" s="37"/>
      <c r="AG2069" s="37"/>
      <c r="AH2069" s="37"/>
      <c r="AI2069" s="37"/>
      <c r="AJ2069" s="37"/>
      <c r="AK2069" s="37"/>
      <c r="AL2069" s="37"/>
      <c r="AM2069" s="37"/>
      <c r="AN2069" s="37"/>
      <c r="AO2069" s="37"/>
      <c r="AP2069" s="37"/>
      <c r="AQ2069" s="37"/>
      <c r="AR2069" s="37"/>
      <c r="AS2069" s="37"/>
      <c r="AT2069" s="37"/>
      <c r="AU2069" s="37"/>
      <c r="AV2069" s="37"/>
      <c r="AW2069" s="37"/>
      <c r="AX2069" s="37"/>
      <c r="AY2069" s="37"/>
      <c r="AZ2069" s="37"/>
      <c r="BA2069" s="37"/>
      <c r="BB2069" s="37"/>
      <c r="BC2069" s="37"/>
      <c r="BD2069" s="37"/>
      <c r="BE2069" s="37"/>
      <c r="BF2069" s="37"/>
      <c r="BG2069" s="37"/>
      <c r="BH2069" s="37"/>
      <c r="BI2069" s="37"/>
      <c r="BJ2069" s="37"/>
      <c r="BK2069" s="37"/>
      <c r="BL2069" s="37"/>
      <c r="BM2069" s="37"/>
    </row>
    <row r="2070" spans="1:65" s="40" customFormat="1" ht="23.25" x14ac:dyDescent="0.35">
      <c r="A2070" s="37"/>
      <c r="B2070" s="37"/>
      <c r="C2070" s="41"/>
      <c r="D2070" s="38"/>
      <c r="E2070" s="57"/>
      <c r="F2070" s="42"/>
      <c r="G2070" s="43"/>
      <c r="H2070" s="37"/>
      <c r="I2070" s="37"/>
      <c r="J2070" s="38"/>
      <c r="K2070" s="37"/>
      <c r="L2070" s="38"/>
      <c r="M2070" s="39"/>
      <c r="P2070" s="37"/>
      <c r="Q2070" s="37"/>
      <c r="R2070" s="37"/>
      <c r="S2070" s="37"/>
      <c r="T2070" s="37"/>
      <c r="U2070" s="37"/>
      <c r="V2070" s="37"/>
      <c r="W2070" s="37"/>
      <c r="X2070" s="37"/>
      <c r="Y2070" s="37"/>
      <c r="Z2070" s="37"/>
      <c r="AA2070" s="37"/>
      <c r="AB2070" s="37"/>
      <c r="AC2070" s="37"/>
      <c r="AD2070" s="37"/>
      <c r="AE2070" s="37"/>
      <c r="AF2070" s="37"/>
      <c r="AG2070" s="37"/>
      <c r="AH2070" s="37"/>
      <c r="AI2070" s="37"/>
      <c r="AJ2070" s="37"/>
      <c r="AK2070" s="37"/>
      <c r="AL2070" s="37"/>
      <c r="AM2070" s="37"/>
      <c r="AN2070" s="37"/>
      <c r="AO2070" s="37"/>
      <c r="AP2070" s="37"/>
      <c r="AQ2070" s="37"/>
      <c r="AR2070" s="37"/>
      <c r="AS2070" s="37"/>
      <c r="AT2070" s="37"/>
      <c r="AU2070" s="37"/>
      <c r="AV2070" s="37"/>
      <c r="AW2070" s="37"/>
      <c r="AX2070" s="37"/>
      <c r="AY2070" s="37"/>
      <c r="AZ2070" s="37"/>
      <c r="BA2070" s="37"/>
      <c r="BB2070" s="37"/>
      <c r="BC2070" s="37"/>
      <c r="BD2070" s="37"/>
      <c r="BE2070" s="37"/>
      <c r="BF2070" s="37"/>
      <c r="BG2070" s="37"/>
      <c r="BH2070" s="37"/>
      <c r="BI2070" s="37"/>
      <c r="BJ2070" s="37"/>
      <c r="BK2070" s="37"/>
      <c r="BL2070" s="37"/>
      <c r="BM2070" s="37"/>
    </row>
    <row r="2071" spans="1:65" s="40" customFormat="1" ht="23.25" x14ac:dyDescent="0.35">
      <c r="A2071" s="37"/>
      <c r="B2071" s="37"/>
      <c r="C2071" s="41"/>
      <c r="D2071" s="38"/>
      <c r="E2071" s="57"/>
      <c r="F2071" s="42"/>
      <c r="G2071" s="43"/>
      <c r="H2071" s="37"/>
      <c r="I2071" s="37"/>
      <c r="J2071" s="38"/>
      <c r="K2071" s="37"/>
      <c r="L2071" s="38"/>
      <c r="M2071" s="39"/>
      <c r="P2071" s="37"/>
      <c r="Q2071" s="37"/>
      <c r="R2071" s="37"/>
      <c r="S2071" s="37"/>
      <c r="T2071" s="37"/>
      <c r="U2071" s="37"/>
      <c r="V2071" s="37"/>
      <c r="W2071" s="37"/>
      <c r="X2071" s="37"/>
      <c r="Y2071" s="37"/>
      <c r="Z2071" s="37"/>
      <c r="AA2071" s="37"/>
      <c r="AB2071" s="37"/>
      <c r="AC2071" s="37"/>
      <c r="AD2071" s="37"/>
      <c r="AE2071" s="37"/>
      <c r="AF2071" s="37"/>
      <c r="AG2071" s="37"/>
      <c r="AH2071" s="37"/>
      <c r="AI2071" s="37"/>
      <c r="AJ2071" s="37"/>
      <c r="AK2071" s="37"/>
      <c r="AL2071" s="37"/>
      <c r="AM2071" s="37"/>
      <c r="AN2071" s="37"/>
      <c r="AO2071" s="37"/>
      <c r="AP2071" s="37"/>
      <c r="AQ2071" s="37"/>
      <c r="AR2071" s="37"/>
      <c r="AS2071" s="37"/>
      <c r="AT2071" s="37"/>
      <c r="AU2071" s="37"/>
      <c r="AV2071" s="37"/>
      <c r="AW2071" s="37"/>
      <c r="AX2071" s="37"/>
      <c r="AY2071" s="37"/>
      <c r="AZ2071" s="37"/>
      <c r="BA2071" s="37"/>
      <c r="BB2071" s="37"/>
      <c r="BC2071" s="37"/>
      <c r="BD2071" s="37"/>
      <c r="BE2071" s="37"/>
      <c r="BF2071" s="37"/>
      <c r="BG2071" s="37"/>
      <c r="BH2071" s="37"/>
      <c r="BI2071" s="37"/>
      <c r="BJ2071" s="37"/>
      <c r="BK2071" s="37"/>
      <c r="BL2071" s="37"/>
      <c r="BM2071" s="37"/>
    </row>
    <row r="2072" spans="1:65" s="40" customFormat="1" ht="23.25" x14ac:dyDescent="0.35">
      <c r="A2072" s="37"/>
      <c r="B2072" s="37"/>
      <c r="C2072" s="41"/>
      <c r="D2072" s="38"/>
      <c r="E2072" s="57"/>
      <c r="F2072" s="42"/>
      <c r="G2072" s="43"/>
      <c r="H2072" s="37"/>
      <c r="I2072" s="37"/>
      <c r="J2072" s="38"/>
      <c r="K2072" s="37"/>
      <c r="L2072" s="38"/>
      <c r="M2072" s="39"/>
      <c r="P2072" s="37"/>
      <c r="Q2072" s="37"/>
      <c r="R2072" s="37"/>
      <c r="S2072" s="37"/>
      <c r="T2072" s="37"/>
      <c r="U2072" s="37"/>
      <c r="V2072" s="37"/>
      <c r="W2072" s="37"/>
      <c r="X2072" s="37"/>
      <c r="Y2072" s="37"/>
      <c r="Z2072" s="37"/>
      <c r="AA2072" s="37"/>
      <c r="AB2072" s="37"/>
      <c r="AC2072" s="37"/>
      <c r="AD2072" s="37"/>
      <c r="AE2072" s="37"/>
      <c r="AF2072" s="37"/>
      <c r="AG2072" s="37"/>
      <c r="AH2072" s="37"/>
      <c r="AI2072" s="37"/>
      <c r="AJ2072" s="37"/>
      <c r="AK2072" s="37"/>
      <c r="AL2072" s="37"/>
      <c r="AM2072" s="37"/>
      <c r="AN2072" s="37"/>
      <c r="AO2072" s="37"/>
      <c r="AP2072" s="37"/>
      <c r="AQ2072" s="37"/>
      <c r="AR2072" s="37"/>
      <c r="AS2072" s="37"/>
      <c r="AT2072" s="37"/>
      <c r="AU2072" s="37"/>
      <c r="AV2072" s="37"/>
      <c r="AW2072" s="37"/>
      <c r="AX2072" s="37"/>
      <c r="AY2072" s="37"/>
      <c r="AZ2072" s="37"/>
      <c r="BA2072" s="37"/>
      <c r="BB2072" s="37"/>
      <c r="BC2072" s="37"/>
      <c r="BD2072" s="37"/>
      <c r="BE2072" s="37"/>
      <c r="BF2072" s="37"/>
      <c r="BG2072" s="37"/>
      <c r="BH2072" s="37"/>
      <c r="BI2072" s="37"/>
      <c r="BJ2072" s="37"/>
      <c r="BK2072" s="37"/>
      <c r="BL2072" s="37"/>
      <c r="BM2072" s="37"/>
    </row>
    <row r="2073" spans="1:65" s="40" customFormat="1" ht="23.25" x14ac:dyDescent="0.35">
      <c r="A2073" s="37"/>
      <c r="B2073" s="37"/>
      <c r="C2073" s="41"/>
      <c r="D2073" s="38"/>
      <c r="E2073" s="57"/>
      <c r="F2073" s="42"/>
      <c r="G2073" s="43"/>
      <c r="H2073" s="37"/>
      <c r="I2073" s="37"/>
      <c r="J2073" s="38"/>
      <c r="K2073" s="37"/>
      <c r="L2073" s="38"/>
      <c r="M2073" s="39"/>
      <c r="P2073" s="37"/>
      <c r="Q2073" s="37"/>
      <c r="R2073" s="37"/>
      <c r="S2073" s="37"/>
      <c r="T2073" s="37"/>
      <c r="U2073" s="37"/>
      <c r="V2073" s="37"/>
      <c r="W2073" s="37"/>
      <c r="X2073" s="37"/>
      <c r="Y2073" s="37"/>
      <c r="Z2073" s="37"/>
      <c r="AA2073" s="37"/>
      <c r="AB2073" s="37"/>
      <c r="AC2073" s="37"/>
      <c r="AD2073" s="37"/>
      <c r="AE2073" s="37"/>
      <c r="AF2073" s="37"/>
      <c r="AG2073" s="37"/>
      <c r="AH2073" s="37"/>
      <c r="AI2073" s="37"/>
      <c r="AJ2073" s="37"/>
      <c r="AK2073" s="37"/>
      <c r="AL2073" s="37"/>
      <c r="AM2073" s="37"/>
      <c r="AN2073" s="37"/>
      <c r="AO2073" s="37"/>
      <c r="AP2073" s="37"/>
      <c r="AQ2073" s="37"/>
      <c r="AR2073" s="37"/>
      <c r="AS2073" s="37"/>
      <c r="AT2073" s="37"/>
      <c r="AU2073" s="37"/>
      <c r="AV2073" s="37"/>
      <c r="AW2073" s="37"/>
      <c r="AX2073" s="37"/>
      <c r="AY2073" s="37"/>
      <c r="AZ2073" s="37"/>
      <c r="BA2073" s="37"/>
      <c r="BB2073" s="37"/>
      <c r="BC2073" s="37"/>
      <c r="BD2073" s="37"/>
      <c r="BE2073" s="37"/>
      <c r="BF2073" s="37"/>
      <c r="BG2073" s="37"/>
      <c r="BH2073" s="37"/>
      <c r="BI2073" s="37"/>
      <c r="BJ2073" s="37"/>
      <c r="BK2073" s="37"/>
      <c r="BL2073" s="37"/>
      <c r="BM2073" s="37"/>
    </row>
    <row r="2074" spans="1:65" s="40" customFormat="1" ht="23.25" x14ac:dyDescent="0.35">
      <c r="A2074" s="37"/>
      <c r="B2074" s="37"/>
      <c r="C2074" s="41"/>
      <c r="D2074" s="38"/>
      <c r="E2074" s="57"/>
      <c r="F2074" s="42"/>
      <c r="G2074" s="43"/>
      <c r="H2074" s="37"/>
      <c r="I2074" s="37"/>
      <c r="J2074" s="38"/>
      <c r="K2074" s="37"/>
      <c r="L2074" s="38"/>
      <c r="M2074" s="39"/>
      <c r="P2074" s="37"/>
      <c r="Q2074" s="37"/>
      <c r="R2074" s="37"/>
      <c r="S2074" s="37"/>
      <c r="T2074" s="37"/>
      <c r="U2074" s="37"/>
      <c r="V2074" s="37"/>
      <c r="W2074" s="37"/>
      <c r="X2074" s="37"/>
      <c r="Y2074" s="37"/>
      <c r="Z2074" s="37"/>
      <c r="AA2074" s="37"/>
      <c r="AB2074" s="37"/>
      <c r="AC2074" s="37"/>
      <c r="AD2074" s="37"/>
      <c r="AE2074" s="37"/>
      <c r="AF2074" s="37"/>
      <c r="AG2074" s="37"/>
      <c r="AH2074" s="37"/>
      <c r="AI2074" s="37"/>
      <c r="AJ2074" s="37"/>
      <c r="AK2074" s="37"/>
      <c r="AL2074" s="37"/>
      <c r="AM2074" s="37"/>
      <c r="AN2074" s="37"/>
      <c r="AO2074" s="37"/>
      <c r="AP2074" s="37"/>
      <c r="AQ2074" s="37"/>
      <c r="AR2074" s="37"/>
      <c r="AS2074" s="37"/>
      <c r="AT2074" s="37"/>
      <c r="AU2074" s="37"/>
      <c r="AV2074" s="37"/>
      <c r="AW2074" s="37"/>
      <c r="AX2074" s="37"/>
      <c r="AY2074" s="37"/>
      <c r="AZ2074" s="37"/>
      <c r="BA2074" s="37"/>
      <c r="BB2074" s="37"/>
      <c r="BC2074" s="37"/>
      <c r="BD2074" s="37"/>
      <c r="BE2074" s="37"/>
      <c r="BF2074" s="37"/>
      <c r="BG2074" s="37"/>
      <c r="BH2074" s="37"/>
      <c r="BI2074" s="37"/>
      <c r="BJ2074" s="37"/>
      <c r="BK2074" s="37"/>
      <c r="BL2074" s="37"/>
      <c r="BM2074" s="37"/>
    </row>
    <row r="2075" spans="1:65" s="40" customFormat="1" ht="23.25" x14ac:dyDescent="0.35">
      <c r="A2075" s="37"/>
      <c r="B2075" s="37"/>
      <c r="C2075" s="41"/>
      <c r="D2075" s="38"/>
      <c r="E2075" s="57"/>
      <c r="F2075" s="42"/>
      <c r="G2075" s="43"/>
      <c r="H2075" s="37"/>
      <c r="I2075" s="37"/>
      <c r="J2075" s="38"/>
      <c r="K2075" s="37"/>
      <c r="L2075" s="38"/>
      <c r="M2075" s="39"/>
      <c r="P2075" s="37"/>
      <c r="Q2075" s="37"/>
      <c r="R2075" s="37"/>
      <c r="S2075" s="37"/>
      <c r="T2075" s="37"/>
      <c r="U2075" s="37"/>
      <c r="V2075" s="37"/>
      <c r="W2075" s="37"/>
      <c r="X2075" s="37"/>
      <c r="Y2075" s="37"/>
      <c r="Z2075" s="37"/>
      <c r="AA2075" s="37"/>
      <c r="AB2075" s="37"/>
      <c r="AC2075" s="37"/>
      <c r="AD2075" s="37"/>
      <c r="AE2075" s="37"/>
      <c r="AF2075" s="37"/>
      <c r="AG2075" s="37"/>
      <c r="AH2075" s="37"/>
      <c r="AI2075" s="37"/>
      <c r="AJ2075" s="37"/>
      <c r="AK2075" s="37"/>
      <c r="AL2075" s="37"/>
      <c r="AM2075" s="37"/>
      <c r="AN2075" s="37"/>
      <c r="AO2075" s="37"/>
      <c r="AP2075" s="37"/>
      <c r="AQ2075" s="37"/>
      <c r="AR2075" s="37"/>
      <c r="AS2075" s="37"/>
      <c r="AT2075" s="37"/>
      <c r="AU2075" s="37"/>
      <c r="AV2075" s="37"/>
      <c r="AW2075" s="37"/>
      <c r="AX2075" s="37"/>
      <c r="AY2075" s="37"/>
      <c r="AZ2075" s="37"/>
      <c r="BA2075" s="37"/>
      <c r="BB2075" s="37"/>
      <c r="BC2075" s="37"/>
      <c r="BD2075" s="37"/>
      <c r="BE2075" s="37"/>
      <c r="BF2075" s="37"/>
      <c r="BG2075" s="37"/>
      <c r="BH2075" s="37"/>
      <c r="BI2075" s="37"/>
      <c r="BJ2075" s="37"/>
      <c r="BK2075" s="37"/>
      <c r="BL2075" s="37"/>
      <c r="BM2075" s="37"/>
    </row>
    <row r="2076" spans="1:65" s="40" customFormat="1" ht="23.25" x14ac:dyDescent="0.35">
      <c r="A2076" s="37"/>
      <c r="B2076" s="37"/>
      <c r="C2076" s="41"/>
      <c r="D2076" s="38"/>
      <c r="E2076" s="57"/>
      <c r="F2076" s="42"/>
      <c r="G2076" s="43"/>
      <c r="H2076" s="37"/>
      <c r="I2076" s="37"/>
      <c r="J2076" s="38"/>
      <c r="K2076" s="37"/>
      <c r="L2076" s="38"/>
      <c r="M2076" s="39"/>
      <c r="P2076" s="37"/>
      <c r="Q2076" s="37"/>
      <c r="R2076" s="37"/>
      <c r="S2076" s="37"/>
      <c r="T2076" s="37"/>
      <c r="U2076" s="37"/>
      <c r="V2076" s="37"/>
      <c r="W2076" s="37"/>
      <c r="X2076" s="37"/>
      <c r="Y2076" s="37"/>
      <c r="Z2076" s="37"/>
      <c r="AA2076" s="37"/>
      <c r="AB2076" s="37"/>
      <c r="AC2076" s="37"/>
      <c r="AD2076" s="37"/>
      <c r="AE2076" s="37"/>
      <c r="AF2076" s="37"/>
      <c r="AG2076" s="37"/>
      <c r="AH2076" s="37"/>
      <c r="AI2076" s="37"/>
      <c r="AJ2076" s="37"/>
      <c r="AK2076" s="37"/>
      <c r="AL2076" s="37"/>
      <c r="AM2076" s="37"/>
      <c r="AN2076" s="37"/>
      <c r="AO2076" s="37"/>
      <c r="AP2076" s="37"/>
      <c r="AQ2076" s="37"/>
      <c r="AR2076" s="37"/>
      <c r="AS2076" s="37"/>
      <c r="AT2076" s="37"/>
      <c r="AU2076" s="37"/>
      <c r="AV2076" s="37"/>
      <c r="AW2076" s="37"/>
      <c r="AX2076" s="37"/>
      <c r="AY2076" s="37"/>
      <c r="AZ2076" s="37"/>
      <c r="BA2076" s="37"/>
      <c r="BB2076" s="37"/>
      <c r="BC2076" s="37"/>
      <c r="BD2076" s="37"/>
      <c r="BE2076" s="37"/>
      <c r="BF2076" s="37"/>
      <c r="BG2076" s="37"/>
      <c r="BH2076" s="37"/>
      <c r="BI2076" s="37"/>
      <c r="BJ2076" s="37"/>
      <c r="BK2076" s="37"/>
      <c r="BL2076" s="37"/>
      <c r="BM2076" s="37"/>
    </row>
    <row r="2077" spans="1:65" s="40" customFormat="1" ht="23.25" x14ac:dyDescent="0.35">
      <c r="A2077" s="37"/>
      <c r="B2077" s="37"/>
      <c r="C2077" s="41"/>
      <c r="D2077" s="38"/>
      <c r="E2077" s="57"/>
      <c r="F2077" s="42"/>
      <c r="G2077" s="43"/>
      <c r="H2077" s="37"/>
      <c r="I2077" s="37"/>
      <c r="J2077" s="38"/>
      <c r="K2077" s="37"/>
      <c r="L2077" s="38"/>
      <c r="M2077" s="39"/>
      <c r="P2077" s="37"/>
      <c r="Q2077" s="37"/>
      <c r="R2077" s="37"/>
      <c r="S2077" s="37"/>
      <c r="T2077" s="37"/>
      <c r="U2077" s="37"/>
      <c r="V2077" s="37"/>
      <c r="W2077" s="37"/>
      <c r="X2077" s="37"/>
      <c r="Y2077" s="37"/>
      <c r="Z2077" s="37"/>
      <c r="AA2077" s="37"/>
      <c r="AB2077" s="37"/>
      <c r="AC2077" s="37"/>
      <c r="AD2077" s="37"/>
      <c r="AE2077" s="37"/>
      <c r="AF2077" s="37"/>
      <c r="AG2077" s="37"/>
      <c r="AH2077" s="37"/>
      <c r="AI2077" s="37"/>
      <c r="AJ2077" s="37"/>
      <c r="AK2077" s="37"/>
      <c r="AL2077" s="37"/>
      <c r="AM2077" s="37"/>
      <c r="AN2077" s="37"/>
      <c r="AO2077" s="37"/>
      <c r="AP2077" s="37"/>
      <c r="AQ2077" s="37"/>
      <c r="AR2077" s="37"/>
      <c r="AS2077" s="37"/>
      <c r="AT2077" s="37"/>
      <c r="AU2077" s="37"/>
      <c r="AV2077" s="37"/>
      <c r="AW2077" s="37"/>
      <c r="AX2077" s="37"/>
      <c r="AY2077" s="37"/>
      <c r="AZ2077" s="37"/>
      <c r="BA2077" s="37"/>
      <c r="BB2077" s="37"/>
      <c r="BC2077" s="37"/>
      <c r="BD2077" s="37"/>
      <c r="BE2077" s="37"/>
      <c r="BF2077" s="37"/>
      <c r="BG2077" s="37"/>
      <c r="BH2077" s="37"/>
      <c r="BI2077" s="37"/>
      <c r="BJ2077" s="37"/>
      <c r="BK2077" s="37"/>
      <c r="BL2077" s="37"/>
      <c r="BM2077" s="37"/>
    </row>
    <row r="2078" spans="1:65" s="40" customFormat="1" ht="23.25" x14ac:dyDescent="0.35">
      <c r="A2078" s="37"/>
      <c r="B2078" s="37"/>
      <c r="C2078" s="41"/>
      <c r="D2078" s="38"/>
      <c r="E2078" s="57"/>
      <c r="F2078" s="42"/>
      <c r="G2078" s="43"/>
      <c r="H2078" s="37"/>
      <c r="I2078" s="37"/>
      <c r="J2078" s="38"/>
      <c r="K2078" s="37"/>
      <c r="L2078" s="38"/>
      <c r="M2078" s="39"/>
      <c r="P2078" s="37"/>
      <c r="Q2078" s="37"/>
      <c r="R2078" s="37"/>
      <c r="S2078" s="37"/>
      <c r="T2078" s="37"/>
      <c r="U2078" s="37"/>
      <c r="V2078" s="37"/>
      <c r="W2078" s="37"/>
      <c r="X2078" s="37"/>
      <c r="Y2078" s="37"/>
      <c r="Z2078" s="37"/>
      <c r="AA2078" s="37"/>
      <c r="AB2078" s="37"/>
      <c r="AC2078" s="37"/>
      <c r="AD2078" s="37"/>
      <c r="AE2078" s="37"/>
      <c r="AF2078" s="37"/>
      <c r="AG2078" s="37"/>
      <c r="AH2078" s="37"/>
      <c r="AI2078" s="37"/>
      <c r="AJ2078" s="37"/>
      <c r="AK2078" s="37"/>
      <c r="AL2078" s="37"/>
      <c r="AM2078" s="37"/>
      <c r="AN2078" s="37"/>
      <c r="AO2078" s="37"/>
      <c r="AP2078" s="37"/>
      <c r="AQ2078" s="37"/>
      <c r="AR2078" s="37"/>
      <c r="AS2078" s="37"/>
      <c r="AT2078" s="37"/>
      <c r="AU2078" s="37"/>
      <c r="AV2078" s="37"/>
      <c r="AW2078" s="37"/>
      <c r="AX2078" s="37"/>
      <c r="AY2078" s="37"/>
      <c r="AZ2078" s="37"/>
      <c r="BA2078" s="37"/>
      <c r="BB2078" s="37"/>
      <c r="BC2078" s="37"/>
      <c r="BD2078" s="37"/>
      <c r="BE2078" s="37"/>
      <c r="BF2078" s="37"/>
      <c r="BG2078" s="37"/>
      <c r="BH2078" s="37"/>
      <c r="BI2078" s="37"/>
      <c r="BJ2078" s="37"/>
      <c r="BK2078" s="37"/>
      <c r="BL2078" s="37"/>
      <c r="BM2078" s="37"/>
    </row>
    <row r="2079" spans="1:65" s="40" customFormat="1" ht="23.25" x14ac:dyDescent="0.35">
      <c r="A2079" s="37"/>
      <c r="B2079" s="37"/>
      <c r="C2079" s="41"/>
      <c r="D2079" s="38"/>
      <c r="E2079" s="57"/>
      <c r="F2079" s="42"/>
      <c r="G2079" s="43"/>
      <c r="H2079" s="37"/>
      <c r="I2079" s="37"/>
      <c r="J2079" s="38"/>
      <c r="K2079" s="37"/>
      <c r="L2079" s="38"/>
      <c r="M2079" s="39"/>
      <c r="P2079" s="37"/>
      <c r="Q2079" s="37"/>
      <c r="R2079" s="37"/>
      <c r="S2079" s="37"/>
      <c r="T2079" s="37"/>
      <c r="U2079" s="37"/>
      <c r="V2079" s="37"/>
      <c r="W2079" s="37"/>
      <c r="X2079" s="37"/>
      <c r="Y2079" s="37"/>
      <c r="Z2079" s="37"/>
      <c r="AA2079" s="37"/>
      <c r="AB2079" s="37"/>
      <c r="AC2079" s="37"/>
      <c r="AD2079" s="37"/>
      <c r="AE2079" s="37"/>
      <c r="AF2079" s="37"/>
      <c r="AG2079" s="37"/>
      <c r="AH2079" s="37"/>
      <c r="AI2079" s="37"/>
      <c r="AJ2079" s="37"/>
      <c r="AK2079" s="37"/>
      <c r="AL2079" s="37"/>
      <c r="AM2079" s="37"/>
      <c r="AN2079" s="37"/>
      <c r="AO2079" s="37"/>
      <c r="AP2079" s="37"/>
      <c r="AQ2079" s="37"/>
      <c r="AR2079" s="37"/>
      <c r="AS2079" s="37"/>
      <c r="AT2079" s="37"/>
      <c r="AU2079" s="37"/>
      <c r="AV2079" s="37"/>
      <c r="AW2079" s="37"/>
      <c r="AX2079" s="37"/>
      <c r="AY2079" s="37"/>
      <c r="AZ2079" s="37"/>
      <c r="BA2079" s="37"/>
      <c r="BB2079" s="37"/>
      <c r="BC2079" s="37"/>
      <c r="BD2079" s="37"/>
      <c r="BE2079" s="37"/>
      <c r="BF2079" s="37"/>
      <c r="BG2079" s="37"/>
      <c r="BH2079" s="37"/>
      <c r="BI2079" s="37"/>
      <c r="BJ2079" s="37"/>
      <c r="BK2079" s="37"/>
      <c r="BL2079" s="37"/>
      <c r="BM2079" s="37"/>
    </row>
    <row r="2080" spans="1:65" s="40" customFormat="1" ht="23.25" x14ac:dyDescent="0.35">
      <c r="A2080" s="37"/>
      <c r="B2080" s="37"/>
      <c r="C2080" s="41"/>
      <c r="D2080" s="38"/>
      <c r="E2080" s="57"/>
      <c r="F2080" s="42"/>
      <c r="G2080" s="43"/>
      <c r="H2080" s="37"/>
      <c r="I2080" s="37"/>
      <c r="J2080" s="38"/>
      <c r="K2080" s="37"/>
      <c r="L2080" s="38"/>
      <c r="M2080" s="39"/>
      <c r="P2080" s="37"/>
      <c r="Q2080" s="37"/>
      <c r="R2080" s="37"/>
      <c r="S2080" s="37"/>
      <c r="T2080" s="37"/>
      <c r="U2080" s="37"/>
      <c r="V2080" s="37"/>
      <c r="W2080" s="37"/>
      <c r="X2080" s="37"/>
      <c r="Y2080" s="37"/>
      <c r="Z2080" s="37"/>
      <c r="AA2080" s="37"/>
      <c r="AB2080" s="37"/>
      <c r="AC2080" s="37"/>
      <c r="AD2080" s="37"/>
      <c r="AE2080" s="37"/>
      <c r="AF2080" s="37"/>
      <c r="AG2080" s="37"/>
      <c r="AH2080" s="37"/>
      <c r="AI2080" s="37"/>
      <c r="AJ2080" s="37"/>
      <c r="AK2080" s="37"/>
      <c r="AL2080" s="37"/>
      <c r="AM2080" s="37"/>
      <c r="AN2080" s="37"/>
      <c r="AO2080" s="37"/>
      <c r="AP2080" s="37"/>
      <c r="AQ2080" s="37"/>
      <c r="AR2080" s="37"/>
      <c r="AS2080" s="37"/>
      <c r="AT2080" s="37"/>
      <c r="AU2080" s="37"/>
      <c r="AV2080" s="37"/>
      <c r="AW2080" s="37"/>
      <c r="AX2080" s="37"/>
      <c r="AY2080" s="37"/>
      <c r="AZ2080" s="37"/>
      <c r="BA2080" s="37"/>
      <c r="BB2080" s="37"/>
      <c r="BC2080" s="37"/>
      <c r="BD2080" s="37"/>
      <c r="BE2080" s="37"/>
      <c r="BF2080" s="37"/>
      <c r="BG2080" s="37"/>
      <c r="BH2080" s="37"/>
      <c r="BI2080" s="37"/>
      <c r="BJ2080" s="37"/>
      <c r="BK2080" s="37"/>
      <c r="BL2080" s="37"/>
      <c r="BM2080" s="37"/>
    </row>
    <row r="2081" spans="1:65" s="40" customFormat="1" ht="23.25" x14ac:dyDescent="0.35">
      <c r="A2081" s="37"/>
      <c r="B2081" s="37"/>
      <c r="C2081" s="41"/>
      <c r="D2081" s="38"/>
      <c r="E2081" s="57"/>
      <c r="F2081" s="42"/>
      <c r="G2081" s="43"/>
      <c r="H2081" s="37"/>
      <c r="I2081" s="37"/>
      <c r="J2081" s="38"/>
      <c r="K2081" s="37"/>
      <c r="L2081" s="38"/>
      <c r="M2081" s="39"/>
      <c r="P2081" s="37"/>
      <c r="Q2081" s="37"/>
      <c r="R2081" s="37"/>
      <c r="S2081" s="37"/>
      <c r="T2081" s="37"/>
      <c r="U2081" s="37"/>
      <c r="V2081" s="37"/>
      <c r="W2081" s="37"/>
      <c r="X2081" s="37"/>
      <c r="Y2081" s="37"/>
      <c r="Z2081" s="37"/>
      <c r="AA2081" s="37"/>
      <c r="AB2081" s="37"/>
      <c r="AC2081" s="37"/>
      <c r="AD2081" s="37"/>
      <c r="AE2081" s="37"/>
      <c r="AF2081" s="37"/>
      <c r="AG2081" s="37"/>
      <c r="AH2081" s="37"/>
      <c r="AI2081" s="37"/>
      <c r="AJ2081" s="37"/>
      <c r="AK2081" s="37"/>
      <c r="AL2081" s="37"/>
      <c r="AM2081" s="37"/>
      <c r="AN2081" s="37"/>
      <c r="AO2081" s="37"/>
      <c r="AP2081" s="37"/>
      <c r="AQ2081" s="37"/>
      <c r="AR2081" s="37"/>
      <c r="AS2081" s="37"/>
      <c r="AT2081" s="37"/>
      <c r="AU2081" s="37"/>
      <c r="AV2081" s="37"/>
      <c r="AW2081" s="37"/>
      <c r="AX2081" s="37"/>
      <c r="AY2081" s="37"/>
      <c r="AZ2081" s="37"/>
      <c r="BA2081" s="37"/>
      <c r="BB2081" s="37"/>
      <c r="BC2081" s="37"/>
      <c r="BD2081" s="37"/>
      <c r="BE2081" s="37"/>
      <c r="BF2081" s="37"/>
      <c r="BG2081" s="37"/>
      <c r="BH2081" s="37"/>
      <c r="BI2081" s="37"/>
      <c r="BJ2081" s="37"/>
      <c r="BK2081" s="37"/>
      <c r="BL2081" s="37"/>
      <c r="BM2081" s="37"/>
    </row>
    <row r="2082" spans="1:65" s="40" customFormat="1" ht="23.25" x14ac:dyDescent="0.35">
      <c r="A2082" s="37"/>
      <c r="B2082" s="37"/>
      <c r="C2082" s="41"/>
      <c r="D2082" s="38"/>
      <c r="E2082" s="57"/>
      <c r="F2082" s="42"/>
      <c r="G2082" s="43"/>
      <c r="H2082" s="37"/>
      <c r="I2082" s="37"/>
      <c r="J2082" s="38"/>
      <c r="K2082" s="37"/>
      <c r="L2082" s="38"/>
      <c r="M2082" s="39"/>
      <c r="P2082" s="37"/>
      <c r="Q2082" s="37"/>
      <c r="R2082" s="37"/>
      <c r="S2082" s="37"/>
      <c r="T2082" s="37"/>
      <c r="U2082" s="37"/>
      <c r="V2082" s="37"/>
      <c r="W2082" s="37"/>
      <c r="X2082" s="37"/>
      <c r="Y2082" s="37"/>
      <c r="Z2082" s="37"/>
      <c r="AA2082" s="37"/>
      <c r="AB2082" s="37"/>
      <c r="AC2082" s="37"/>
      <c r="AD2082" s="37"/>
      <c r="AE2082" s="37"/>
      <c r="AF2082" s="37"/>
      <c r="AG2082" s="37"/>
      <c r="AH2082" s="37"/>
      <c r="AI2082" s="37"/>
      <c r="AJ2082" s="37"/>
      <c r="AK2082" s="37"/>
      <c r="AL2082" s="37"/>
      <c r="AM2082" s="37"/>
      <c r="AN2082" s="37"/>
      <c r="AO2082" s="37"/>
      <c r="AP2082" s="37"/>
      <c r="AQ2082" s="37"/>
      <c r="AR2082" s="37"/>
      <c r="AS2082" s="37"/>
      <c r="AT2082" s="37"/>
      <c r="AU2082" s="37"/>
      <c r="AV2082" s="37"/>
      <c r="AW2082" s="37"/>
      <c r="AX2082" s="37"/>
      <c r="AY2082" s="37"/>
      <c r="AZ2082" s="37"/>
      <c r="BA2082" s="37"/>
      <c r="BB2082" s="37"/>
      <c r="BC2082" s="37"/>
      <c r="BD2082" s="37"/>
      <c r="BE2082" s="37"/>
      <c r="BF2082" s="37"/>
      <c r="BG2082" s="37"/>
      <c r="BH2082" s="37"/>
      <c r="BI2082" s="37"/>
      <c r="BJ2082" s="37"/>
      <c r="BK2082" s="37"/>
      <c r="BL2082" s="37"/>
      <c r="BM2082" s="37"/>
    </row>
    <row r="2083" spans="1:65" s="40" customFormat="1" ht="23.25" x14ac:dyDescent="0.35">
      <c r="A2083" s="37"/>
      <c r="B2083" s="37"/>
      <c r="C2083" s="41"/>
      <c r="D2083" s="38"/>
      <c r="E2083" s="57"/>
      <c r="F2083" s="42"/>
      <c r="G2083" s="43"/>
      <c r="H2083" s="37"/>
      <c r="I2083" s="37"/>
      <c r="J2083" s="38"/>
      <c r="K2083" s="37"/>
      <c r="L2083" s="38"/>
      <c r="M2083" s="39"/>
      <c r="P2083" s="37"/>
      <c r="Q2083" s="37"/>
      <c r="R2083" s="37"/>
      <c r="S2083" s="37"/>
      <c r="T2083" s="37"/>
      <c r="U2083" s="37"/>
      <c r="V2083" s="37"/>
      <c r="W2083" s="37"/>
      <c r="X2083" s="37"/>
      <c r="Y2083" s="37"/>
      <c r="Z2083" s="37"/>
      <c r="AA2083" s="37"/>
      <c r="AB2083" s="37"/>
      <c r="AC2083" s="37"/>
      <c r="AD2083" s="37"/>
      <c r="AE2083" s="37"/>
      <c r="AF2083" s="37"/>
      <c r="AG2083" s="37"/>
      <c r="AH2083" s="37"/>
      <c r="AI2083" s="37"/>
      <c r="AJ2083" s="37"/>
      <c r="AK2083" s="37"/>
      <c r="AL2083" s="37"/>
      <c r="AM2083" s="37"/>
      <c r="AN2083" s="37"/>
      <c r="AO2083" s="37"/>
      <c r="AP2083" s="37"/>
      <c r="AQ2083" s="37"/>
      <c r="AR2083" s="37"/>
      <c r="AS2083" s="37"/>
      <c r="AT2083" s="37"/>
      <c r="AU2083" s="37"/>
      <c r="AV2083" s="37"/>
      <c r="AW2083" s="37"/>
      <c r="AX2083" s="37"/>
      <c r="AY2083" s="37"/>
      <c r="AZ2083" s="37"/>
      <c r="BA2083" s="37"/>
      <c r="BB2083" s="37"/>
      <c r="BC2083" s="37"/>
      <c r="BD2083" s="37"/>
      <c r="BE2083" s="37"/>
      <c r="BF2083" s="37"/>
      <c r="BG2083" s="37"/>
      <c r="BH2083" s="37"/>
      <c r="BI2083" s="37"/>
      <c r="BJ2083" s="37"/>
      <c r="BK2083" s="37"/>
      <c r="BL2083" s="37"/>
      <c r="BM2083" s="37"/>
    </row>
    <row r="2084" spans="1:65" s="40" customFormat="1" ht="23.25" x14ac:dyDescent="0.35">
      <c r="A2084" s="37"/>
      <c r="B2084" s="37"/>
      <c r="C2084" s="41"/>
      <c r="D2084" s="38"/>
      <c r="E2084" s="57"/>
      <c r="F2084" s="42"/>
      <c r="G2084" s="43"/>
      <c r="H2084" s="37"/>
      <c r="I2084" s="37"/>
      <c r="J2084" s="38"/>
      <c r="K2084" s="37"/>
      <c r="L2084" s="38"/>
      <c r="M2084" s="39"/>
      <c r="P2084" s="37"/>
      <c r="Q2084" s="37"/>
      <c r="R2084" s="37"/>
      <c r="S2084" s="37"/>
      <c r="T2084" s="37"/>
      <c r="U2084" s="37"/>
      <c r="V2084" s="37"/>
      <c r="W2084" s="37"/>
      <c r="X2084" s="37"/>
      <c r="Y2084" s="37"/>
      <c r="Z2084" s="37"/>
      <c r="AA2084" s="37"/>
      <c r="AB2084" s="37"/>
      <c r="AC2084" s="37"/>
      <c r="AD2084" s="37"/>
      <c r="AE2084" s="37"/>
      <c r="AF2084" s="37"/>
      <c r="AG2084" s="37"/>
      <c r="AH2084" s="37"/>
      <c r="AI2084" s="37"/>
      <c r="AJ2084" s="37"/>
      <c r="AK2084" s="37"/>
      <c r="AL2084" s="37"/>
      <c r="AM2084" s="37"/>
      <c r="AN2084" s="37"/>
      <c r="AO2084" s="37"/>
      <c r="AP2084" s="37"/>
      <c r="AQ2084" s="37"/>
      <c r="AR2084" s="37"/>
      <c r="AS2084" s="37"/>
      <c r="AT2084" s="37"/>
      <c r="AU2084" s="37"/>
      <c r="AV2084" s="37"/>
      <c r="AW2084" s="37"/>
      <c r="AX2084" s="37"/>
      <c r="AY2084" s="37"/>
      <c r="AZ2084" s="37"/>
      <c r="BA2084" s="37"/>
      <c r="BB2084" s="37"/>
      <c r="BC2084" s="37"/>
      <c r="BD2084" s="37"/>
      <c r="BE2084" s="37"/>
      <c r="BF2084" s="37"/>
      <c r="BG2084" s="37"/>
      <c r="BH2084" s="37"/>
      <c r="BI2084" s="37"/>
      <c r="BJ2084" s="37"/>
      <c r="BK2084" s="37"/>
      <c r="BL2084" s="37"/>
      <c r="BM2084" s="37"/>
    </row>
    <row r="2085" spans="1:65" s="40" customFormat="1" ht="23.25" x14ac:dyDescent="0.35">
      <c r="A2085" s="37"/>
      <c r="B2085" s="37"/>
      <c r="C2085" s="41"/>
      <c r="D2085" s="38"/>
      <c r="E2085" s="57"/>
      <c r="F2085" s="42"/>
      <c r="G2085" s="43"/>
      <c r="H2085" s="37"/>
      <c r="I2085" s="37"/>
      <c r="J2085" s="38"/>
      <c r="K2085" s="37"/>
      <c r="L2085" s="38"/>
      <c r="M2085" s="39"/>
      <c r="P2085" s="37"/>
      <c r="Q2085" s="37"/>
      <c r="R2085" s="37"/>
      <c r="S2085" s="37"/>
      <c r="T2085" s="37"/>
      <c r="U2085" s="37"/>
      <c r="V2085" s="37"/>
      <c r="W2085" s="37"/>
      <c r="X2085" s="37"/>
      <c r="Y2085" s="37"/>
      <c r="Z2085" s="37"/>
      <c r="AA2085" s="37"/>
      <c r="AB2085" s="37"/>
      <c r="AC2085" s="37"/>
      <c r="AD2085" s="37"/>
      <c r="AE2085" s="37"/>
      <c r="AF2085" s="37"/>
      <c r="AG2085" s="37"/>
      <c r="AH2085" s="37"/>
      <c r="AI2085" s="37"/>
      <c r="AJ2085" s="37"/>
      <c r="AK2085" s="37"/>
      <c r="AL2085" s="37"/>
      <c r="AM2085" s="37"/>
      <c r="AN2085" s="37"/>
      <c r="AO2085" s="37"/>
      <c r="AP2085" s="37"/>
      <c r="AQ2085" s="37"/>
      <c r="AR2085" s="37"/>
      <c r="AS2085" s="37"/>
      <c r="AT2085" s="37"/>
      <c r="AU2085" s="37"/>
      <c r="AV2085" s="37"/>
      <c r="AW2085" s="37"/>
      <c r="AX2085" s="37"/>
      <c r="AY2085" s="37"/>
      <c r="AZ2085" s="37"/>
      <c r="BA2085" s="37"/>
      <c r="BB2085" s="37"/>
      <c r="BC2085" s="37"/>
      <c r="BD2085" s="37"/>
      <c r="BE2085" s="37"/>
      <c r="BF2085" s="37"/>
      <c r="BG2085" s="37"/>
      <c r="BH2085" s="37"/>
      <c r="BI2085" s="37"/>
      <c r="BJ2085" s="37"/>
      <c r="BK2085" s="37"/>
      <c r="BL2085" s="37"/>
      <c r="BM2085" s="37"/>
    </row>
    <row r="2086" spans="1:65" s="40" customFormat="1" ht="23.25" x14ac:dyDescent="0.35">
      <c r="A2086" s="37"/>
      <c r="B2086" s="37"/>
      <c r="C2086" s="41"/>
      <c r="D2086" s="38"/>
      <c r="E2086" s="57"/>
      <c r="F2086" s="42"/>
      <c r="G2086" s="43"/>
      <c r="H2086" s="37"/>
      <c r="I2086" s="37"/>
      <c r="J2086" s="38"/>
      <c r="K2086" s="37"/>
      <c r="L2086" s="38"/>
      <c r="M2086" s="39"/>
      <c r="P2086" s="37"/>
      <c r="Q2086" s="37"/>
      <c r="R2086" s="37"/>
      <c r="S2086" s="37"/>
      <c r="T2086" s="37"/>
      <c r="U2086" s="37"/>
      <c r="V2086" s="37"/>
      <c r="W2086" s="37"/>
      <c r="X2086" s="37"/>
      <c r="Y2086" s="37"/>
      <c r="Z2086" s="37"/>
      <c r="AA2086" s="37"/>
      <c r="AB2086" s="37"/>
      <c r="AC2086" s="37"/>
      <c r="AD2086" s="37"/>
      <c r="AE2086" s="37"/>
      <c r="AF2086" s="37"/>
      <c r="AG2086" s="37"/>
      <c r="AH2086" s="37"/>
      <c r="AI2086" s="37"/>
      <c r="AJ2086" s="37"/>
      <c r="AK2086" s="37"/>
      <c r="AL2086" s="37"/>
      <c r="AM2086" s="37"/>
      <c r="AN2086" s="37"/>
      <c r="AO2086" s="37"/>
      <c r="AP2086" s="37"/>
      <c r="AQ2086" s="37"/>
      <c r="AR2086" s="37"/>
      <c r="AS2086" s="37"/>
      <c r="AT2086" s="37"/>
      <c r="AU2086" s="37"/>
      <c r="AV2086" s="37"/>
      <c r="AW2086" s="37"/>
      <c r="AX2086" s="37"/>
      <c r="AY2086" s="37"/>
      <c r="AZ2086" s="37"/>
      <c r="BA2086" s="37"/>
      <c r="BB2086" s="37"/>
      <c r="BC2086" s="37"/>
      <c r="BD2086" s="37"/>
      <c r="BE2086" s="37"/>
      <c r="BF2086" s="37"/>
      <c r="BG2086" s="37"/>
      <c r="BH2086" s="37"/>
      <c r="BI2086" s="37"/>
      <c r="BJ2086" s="37"/>
      <c r="BK2086" s="37"/>
      <c r="BL2086" s="37"/>
      <c r="BM2086" s="37"/>
    </row>
    <row r="2087" spans="1:65" s="40" customFormat="1" ht="23.25" x14ac:dyDescent="0.35">
      <c r="A2087" s="37"/>
      <c r="B2087" s="37"/>
      <c r="C2087" s="41"/>
      <c r="D2087" s="38"/>
      <c r="E2087" s="57"/>
      <c r="F2087" s="42"/>
      <c r="G2087" s="43"/>
      <c r="H2087" s="37"/>
      <c r="I2087" s="37"/>
      <c r="J2087" s="38"/>
      <c r="K2087" s="37"/>
      <c r="L2087" s="38"/>
      <c r="M2087" s="39"/>
      <c r="P2087" s="37"/>
      <c r="Q2087" s="37"/>
      <c r="R2087" s="37"/>
      <c r="S2087" s="37"/>
      <c r="T2087" s="37"/>
      <c r="U2087" s="37"/>
      <c r="V2087" s="37"/>
      <c r="W2087" s="37"/>
      <c r="X2087" s="37"/>
      <c r="Y2087" s="37"/>
      <c r="Z2087" s="37"/>
      <c r="AA2087" s="37"/>
      <c r="AB2087" s="37"/>
      <c r="AC2087" s="37"/>
      <c r="AD2087" s="37"/>
      <c r="AE2087" s="37"/>
      <c r="AF2087" s="37"/>
      <c r="AG2087" s="37"/>
      <c r="AH2087" s="37"/>
      <c r="AI2087" s="37"/>
      <c r="AJ2087" s="37"/>
      <c r="AK2087" s="37"/>
      <c r="AL2087" s="37"/>
      <c r="AM2087" s="37"/>
      <c r="AN2087" s="37"/>
      <c r="AO2087" s="37"/>
      <c r="AP2087" s="37"/>
      <c r="AQ2087" s="37"/>
      <c r="AR2087" s="37"/>
      <c r="AS2087" s="37"/>
      <c r="AT2087" s="37"/>
      <c r="AU2087" s="37"/>
      <c r="AV2087" s="37"/>
      <c r="AW2087" s="37"/>
      <c r="AX2087" s="37"/>
      <c r="AY2087" s="37"/>
      <c r="AZ2087" s="37"/>
      <c r="BA2087" s="37"/>
      <c r="BB2087" s="37"/>
      <c r="BC2087" s="37"/>
      <c r="BD2087" s="37"/>
      <c r="BE2087" s="37"/>
      <c r="BF2087" s="37"/>
      <c r="BG2087" s="37"/>
      <c r="BH2087" s="37"/>
      <c r="BI2087" s="37"/>
      <c r="BJ2087" s="37"/>
      <c r="BK2087" s="37"/>
      <c r="BL2087" s="37"/>
      <c r="BM2087" s="37"/>
    </row>
    <row r="2088" spans="1:65" s="40" customFormat="1" ht="23.25" x14ac:dyDescent="0.35">
      <c r="A2088" s="37"/>
      <c r="B2088" s="37"/>
      <c r="C2088" s="41"/>
      <c r="D2088" s="38"/>
      <c r="E2088" s="57"/>
      <c r="F2088" s="42"/>
      <c r="G2088" s="43"/>
      <c r="H2088" s="37"/>
      <c r="I2088" s="37"/>
      <c r="J2088" s="38"/>
      <c r="K2088" s="37"/>
      <c r="L2088" s="38"/>
      <c r="M2088" s="39"/>
      <c r="P2088" s="37"/>
      <c r="Q2088" s="37"/>
      <c r="R2088" s="37"/>
      <c r="S2088" s="37"/>
      <c r="T2088" s="37"/>
      <c r="U2088" s="37"/>
      <c r="V2088" s="37"/>
      <c r="W2088" s="37"/>
      <c r="X2088" s="37"/>
      <c r="Y2088" s="37"/>
      <c r="Z2088" s="37"/>
      <c r="AA2088" s="37"/>
      <c r="AB2088" s="37"/>
      <c r="AC2088" s="37"/>
      <c r="AD2088" s="37"/>
      <c r="AE2088" s="37"/>
      <c r="AF2088" s="37"/>
      <c r="AG2088" s="37"/>
      <c r="AH2088" s="37"/>
      <c r="AI2088" s="37"/>
      <c r="AJ2088" s="37"/>
      <c r="AK2088" s="37"/>
      <c r="AL2088" s="37"/>
      <c r="AM2088" s="37"/>
      <c r="AN2088" s="37"/>
      <c r="AO2088" s="37"/>
      <c r="AP2088" s="37"/>
      <c r="AQ2088" s="37"/>
      <c r="AR2088" s="37"/>
      <c r="AS2088" s="37"/>
      <c r="AT2088" s="37"/>
      <c r="AU2088" s="37"/>
      <c r="AV2088" s="37"/>
      <c r="AW2088" s="37"/>
      <c r="AX2088" s="37"/>
      <c r="AY2088" s="37"/>
      <c r="AZ2088" s="37"/>
      <c r="BA2088" s="37"/>
      <c r="BB2088" s="37"/>
      <c r="BC2088" s="37"/>
      <c r="BD2088" s="37"/>
      <c r="BE2088" s="37"/>
      <c r="BF2088" s="37"/>
      <c r="BG2088" s="37"/>
      <c r="BH2088" s="37"/>
      <c r="BI2088" s="37"/>
      <c r="BJ2088" s="37"/>
      <c r="BK2088" s="37"/>
      <c r="BL2088" s="37"/>
      <c r="BM2088" s="37"/>
    </row>
    <row r="2089" spans="1:65" s="40" customFormat="1" ht="23.25" x14ac:dyDescent="0.35">
      <c r="A2089" s="37"/>
      <c r="B2089" s="37"/>
      <c r="C2089" s="41"/>
      <c r="D2089" s="38"/>
      <c r="E2089" s="57"/>
      <c r="F2089" s="42"/>
      <c r="G2089" s="43"/>
      <c r="H2089" s="37"/>
      <c r="I2089" s="37"/>
      <c r="J2089" s="38"/>
      <c r="K2089" s="37"/>
      <c r="L2089" s="38"/>
      <c r="M2089" s="39"/>
      <c r="P2089" s="37"/>
      <c r="Q2089" s="37"/>
      <c r="R2089" s="37"/>
      <c r="S2089" s="37"/>
      <c r="T2089" s="37"/>
      <c r="U2089" s="37"/>
      <c r="V2089" s="37"/>
      <c r="W2089" s="37"/>
      <c r="X2089" s="37"/>
      <c r="Y2089" s="37"/>
      <c r="Z2089" s="37"/>
      <c r="AA2089" s="37"/>
      <c r="AB2089" s="37"/>
      <c r="AC2089" s="37"/>
      <c r="AD2089" s="37"/>
      <c r="AE2089" s="37"/>
      <c r="AF2089" s="37"/>
      <c r="AG2089" s="37"/>
      <c r="AH2089" s="37"/>
      <c r="AI2089" s="37"/>
      <c r="AJ2089" s="37"/>
      <c r="AK2089" s="37"/>
      <c r="AL2089" s="37"/>
      <c r="AM2089" s="37"/>
      <c r="AN2089" s="37"/>
      <c r="AO2089" s="37"/>
      <c r="AP2089" s="37"/>
      <c r="AQ2089" s="37"/>
      <c r="AR2089" s="37"/>
      <c r="AS2089" s="37"/>
      <c r="AT2089" s="37"/>
      <c r="AU2089" s="37"/>
      <c r="AV2089" s="37"/>
      <c r="AW2089" s="37"/>
      <c r="AX2089" s="37"/>
      <c r="AY2089" s="37"/>
      <c r="AZ2089" s="37"/>
      <c r="BA2089" s="37"/>
      <c r="BB2089" s="37"/>
      <c r="BC2089" s="37"/>
      <c r="BD2089" s="37"/>
      <c r="BE2089" s="37"/>
      <c r="BF2089" s="37"/>
      <c r="BG2089" s="37"/>
      <c r="BH2089" s="37"/>
      <c r="BI2089" s="37"/>
      <c r="BJ2089" s="37"/>
      <c r="BK2089" s="37"/>
      <c r="BL2089" s="37"/>
      <c r="BM2089" s="37"/>
    </row>
    <row r="2090" spans="1:65" s="40" customFormat="1" ht="23.25" x14ac:dyDescent="0.35">
      <c r="A2090" s="37"/>
      <c r="B2090" s="37"/>
      <c r="C2090" s="41"/>
      <c r="D2090" s="38"/>
      <c r="E2090" s="57"/>
      <c r="F2090" s="42"/>
      <c r="G2090" s="43"/>
      <c r="H2090" s="37"/>
      <c r="I2090" s="37"/>
      <c r="J2090" s="38"/>
      <c r="K2090" s="37"/>
      <c r="L2090" s="38"/>
      <c r="M2090" s="39"/>
      <c r="P2090" s="37"/>
      <c r="Q2090" s="37"/>
      <c r="R2090" s="37"/>
      <c r="S2090" s="37"/>
      <c r="T2090" s="37"/>
      <c r="U2090" s="37"/>
      <c r="V2090" s="37"/>
      <c r="W2090" s="37"/>
      <c r="X2090" s="37"/>
      <c r="Y2090" s="37"/>
      <c r="Z2090" s="37"/>
      <c r="AA2090" s="37"/>
      <c r="AB2090" s="37"/>
      <c r="AC2090" s="37"/>
      <c r="AD2090" s="37"/>
      <c r="AE2090" s="37"/>
      <c r="AF2090" s="37"/>
      <c r="AG2090" s="37"/>
      <c r="AH2090" s="37"/>
      <c r="AI2090" s="37"/>
      <c r="AJ2090" s="37"/>
      <c r="AK2090" s="37"/>
      <c r="AL2090" s="37"/>
      <c r="AM2090" s="37"/>
      <c r="AN2090" s="37"/>
      <c r="AO2090" s="37"/>
      <c r="AP2090" s="37"/>
      <c r="AQ2090" s="37"/>
      <c r="AR2090" s="37"/>
      <c r="AS2090" s="37"/>
      <c r="AT2090" s="37"/>
      <c r="AU2090" s="37"/>
      <c r="AV2090" s="37"/>
      <c r="AW2090" s="37"/>
      <c r="AX2090" s="37"/>
      <c r="AY2090" s="37"/>
      <c r="AZ2090" s="37"/>
      <c r="BA2090" s="37"/>
      <c r="BB2090" s="37"/>
      <c r="BC2090" s="37"/>
      <c r="BD2090" s="37"/>
      <c r="BE2090" s="37"/>
      <c r="BF2090" s="37"/>
      <c r="BG2090" s="37"/>
      <c r="BH2090" s="37"/>
      <c r="BI2090" s="37"/>
      <c r="BJ2090" s="37"/>
      <c r="BK2090" s="37"/>
      <c r="BL2090" s="37"/>
      <c r="BM2090" s="37"/>
    </row>
    <row r="2091" spans="1:65" s="40" customFormat="1" ht="23.25" x14ac:dyDescent="0.35">
      <c r="A2091" s="37"/>
      <c r="B2091" s="37"/>
      <c r="C2091" s="41"/>
      <c r="D2091" s="38"/>
      <c r="E2091" s="57"/>
      <c r="F2091" s="42"/>
      <c r="G2091" s="43"/>
      <c r="H2091" s="37"/>
      <c r="I2091" s="37"/>
      <c r="J2091" s="38"/>
      <c r="K2091" s="37"/>
      <c r="L2091" s="38"/>
      <c r="M2091" s="39"/>
      <c r="P2091" s="37"/>
      <c r="Q2091" s="37"/>
      <c r="R2091" s="37"/>
      <c r="S2091" s="37"/>
      <c r="T2091" s="37"/>
      <c r="U2091" s="37"/>
      <c r="V2091" s="37"/>
      <c r="W2091" s="37"/>
      <c r="X2091" s="37"/>
      <c r="Y2091" s="37"/>
      <c r="Z2091" s="37"/>
      <c r="AA2091" s="37"/>
      <c r="AB2091" s="37"/>
      <c r="AC2091" s="37"/>
      <c r="AD2091" s="37"/>
      <c r="AE2091" s="37"/>
      <c r="AF2091" s="37"/>
      <c r="AG2091" s="37"/>
      <c r="AH2091" s="37"/>
      <c r="AI2091" s="37"/>
      <c r="AJ2091" s="37"/>
      <c r="AK2091" s="37"/>
      <c r="AL2091" s="37"/>
      <c r="AM2091" s="37"/>
      <c r="AN2091" s="37"/>
      <c r="AO2091" s="37"/>
      <c r="AP2091" s="37"/>
      <c r="AQ2091" s="37"/>
      <c r="AR2091" s="37"/>
      <c r="AS2091" s="37"/>
      <c r="AT2091" s="37"/>
      <c r="AU2091" s="37"/>
      <c r="AV2091" s="37"/>
      <c r="AW2091" s="37"/>
      <c r="AX2091" s="37"/>
      <c r="AY2091" s="37"/>
      <c r="AZ2091" s="37"/>
      <c r="BA2091" s="37"/>
      <c r="BB2091" s="37"/>
      <c r="BC2091" s="37"/>
      <c r="BD2091" s="37"/>
      <c r="BE2091" s="37"/>
      <c r="BF2091" s="37"/>
      <c r="BG2091" s="37"/>
      <c r="BH2091" s="37"/>
      <c r="BI2091" s="37"/>
      <c r="BJ2091" s="37"/>
      <c r="BK2091" s="37"/>
      <c r="BL2091" s="37"/>
      <c r="BM2091" s="37"/>
    </row>
    <row r="2092" spans="1:65" s="40" customFormat="1" ht="23.25" x14ac:dyDescent="0.35">
      <c r="A2092" s="37"/>
      <c r="B2092" s="37"/>
      <c r="C2092" s="41"/>
      <c r="D2092" s="38"/>
      <c r="E2092" s="57"/>
      <c r="F2092" s="42"/>
      <c r="G2092" s="43"/>
      <c r="H2092" s="37"/>
      <c r="I2092" s="37"/>
      <c r="J2092" s="38"/>
      <c r="K2092" s="37"/>
      <c r="L2092" s="38"/>
      <c r="M2092" s="39"/>
      <c r="P2092" s="37"/>
      <c r="Q2092" s="37"/>
      <c r="R2092" s="37"/>
      <c r="S2092" s="37"/>
      <c r="T2092" s="37"/>
      <c r="U2092" s="37"/>
      <c r="V2092" s="37"/>
      <c r="W2092" s="37"/>
      <c r="X2092" s="37"/>
      <c r="Y2092" s="37"/>
      <c r="Z2092" s="37"/>
      <c r="AA2092" s="37"/>
      <c r="AB2092" s="37"/>
      <c r="AC2092" s="37"/>
      <c r="AD2092" s="37"/>
      <c r="AE2092" s="37"/>
      <c r="AF2092" s="37"/>
      <c r="AG2092" s="37"/>
      <c r="AH2092" s="37"/>
      <c r="AI2092" s="37"/>
      <c r="AJ2092" s="37"/>
      <c r="AK2092" s="37"/>
      <c r="AL2092" s="37"/>
      <c r="AM2092" s="37"/>
      <c r="AN2092" s="37"/>
      <c r="AO2092" s="37"/>
      <c r="AP2092" s="37"/>
      <c r="AQ2092" s="37"/>
      <c r="AR2092" s="37"/>
      <c r="AS2092" s="37"/>
      <c r="AT2092" s="37"/>
      <c r="AU2092" s="37"/>
      <c r="AV2092" s="37"/>
      <c r="AW2092" s="37"/>
      <c r="AX2092" s="37"/>
      <c r="AY2092" s="37"/>
      <c r="AZ2092" s="37"/>
      <c r="BA2092" s="37"/>
      <c r="BB2092" s="37"/>
      <c r="BC2092" s="37"/>
      <c r="BD2092" s="37"/>
      <c r="BE2092" s="37"/>
      <c r="BF2092" s="37"/>
      <c r="BG2092" s="37"/>
      <c r="BH2092" s="37"/>
      <c r="BI2092" s="37"/>
      <c r="BJ2092" s="37"/>
      <c r="BK2092" s="37"/>
      <c r="BL2092" s="37"/>
      <c r="BM2092" s="37"/>
    </row>
    <row r="2093" spans="1:65" s="40" customFormat="1" ht="23.25" x14ac:dyDescent="0.35">
      <c r="A2093" s="37"/>
      <c r="B2093" s="37"/>
      <c r="C2093" s="41"/>
      <c r="D2093" s="38"/>
      <c r="E2093" s="57"/>
      <c r="F2093" s="42"/>
      <c r="G2093" s="43"/>
      <c r="H2093" s="37"/>
      <c r="I2093" s="37"/>
      <c r="J2093" s="38"/>
      <c r="K2093" s="37"/>
      <c r="L2093" s="38"/>
      <c r="M2093" s="39"/>
      <c r="P2093" s="37"/>
      <c r="Q2093" s="37"/>
      <c r="R2093" s="37"/>
      <c r="S2093" s="37"/>
      <c r="T2093" s="37"/>
      <c r="U2093" s="37"/>
      <c r="V2093" s="37"/>
      <c r="W2093" s="37"/>
      <c r="X2093" s="37"/>
      <c r="Y2093" s="37"/>
      <c r="Z2093" s="37"/>
      <c r="AA2093" s="37"/>
      <c r="AB2093" s="37"/>
      <c r="AC2093" s="37"/>
      <c r="AD2093" s="37"/>
      <c r="AE2093" s="37"/>
      <c r="AF2093" s="37"/>
      <c r="AG2093" s="37"/>
      <c r="AH2093" s="37"/>
      <c r="AI2093" s="37"/>
      <c r="AJ2093" s="37"/>
      <c r="AK2093" s="37"/>
      <c r="AL2093" s="37"/>
      <c r="AM2093" s="37"/>
      <c r="AN2093" s="37"/>
      <c r="AO2093" s="37"/>
      <c r="AP2093" s="37"/>
      <c r="AQ2093" s="37"/>
      <c r="AR2093" s="37"/>
      <c r="AS2093" s="37"/>
      <c r="AT2093" s="37"/>
      <c r="AU2093" s="37"/>
      <c r="AV2093" s="37"/>
      <c r="AW2093" s="37"/>
      <c r="AX2093" s="37"/>
      <c r="AY2093" s="37"/>
      <c r="AZ2093" s="37"/>
      <c r="BA2093" s="37"/>
      <c r="BB2093" s="37"/>
      <c r="BC2093" s="37"/>
      <c r="BD2093" s="37"/>
      <c r="BE2093" s="37"/>
      <c r="BF2093" s="37"/>
      <c r="BG2093" s="37"/>
      <c r="BH2093" s="37"/>
      <c r="BI2093" s="37"/>
      <c r="BJ2093" s="37"/>
      <c r="BK2093" s="37"/>
      <c r="BL2093" s="37"/>
      <c r="BM2093" s="37"/>
    </row>
    <row r="2094" spans="1:65" s="40" customFormat="1" ht="23.25" x14ac:dyDescent="0.35">
      <c r="A2094" s="37"/>
      <c r="B2094" s="37"/>
      <c r="C2094" s="41"/>
      <c r="D2094" s="38"/>
      <c r="E2094" s="57"/>
      <c r="F2094" s="42"/>
      <c r="G2094" s="43"/>
      <c r="H2094" s="37"/>
      <c r="I2094" s="37"/>
      <c r="J2094" s="38"/>
      <c r="K2094" s="37"/>
      <c r="L2094" s="38"/>
      <c r="M2094" s="39"/>
      <c r="P2094" s="37"/>
      <c r="Q2094" s="37"/>
      <c r="R2094" s="37"/>
      <c r="S2094" s="37"/>
      <c r="T2094" s="37"/>
      <c r="U2094" s="37"/>
      <c r="V2094" s="37"/>
      <c r="W2094" s="37"/>
      <c r="X2094" s="37"/>
      <c r="Y2094" s="37"/>
      <c r="Z2094" s="37"/>
      <c r="AA2094" s="37"/>
      <c r="AB2094" s="37"/>
      <c r="AC2094" s="37"/>
      <c r="AD2094" s="37"/>
      <c r="AE2094" s="37"/>
      <c r="AF2094" s="37"/>
      <c r="AG2094" s="37"/>
      <c r="AH2094" s="37"/>
      <c r="AI2094" s="37"/>
      <c r="AJ2094" s="37"/>
      <c r="AK2094" s="37"/>
      <c r="AL2094" s="37"/>
      <c r="AM2094" s="37"/>
      <c r="AN2094" s="37"/>
      <c r="AO2094" s="37"/>
      <c r="AP2094" s="37"/>
      <c r="AQ2094" s="37"/>
      <c r="AR2094" s="37"/>
      <c r="AS2094" s="37"/>
      <c r="AT2094" s="37"/>
      <c r="AU2094" s="37"/>
      <c r="AV2094" s="37"/>
      <c r="AW2094" s="37"/>
      <c r="AX2094" s="37"/>
      <c r="AY2094" s="37"/>
      <c r="AZ2094" s="37"/>
      <c r="BA2094" s="37"/>
      <c r="BB2094" s="37"/>
      <c r="BC2094" s="37"/>
      <c r="BD2094" s="37"/>
      <c r="BE2094" s="37"/>
      <c r="BF2094" s="37"/>
      <c r="BG2094" s="37"/>
      <c r="BH2094" s="37"/>
      <c r="BI2094" s="37"/>
      <c r="BJ2094" s="37"/>
      <c r="BK2094" s="37"/>
      <c r="BL2094" s="37"/>
      <c r="BM2094" s="37"/>
    </row>
    <row r="2095" spans="1:65" s="40" customFormat="1" ht="23.25" x14ac:dyDescent="0.35">
      <c r="A2095" s="37"/>
      <c r="B2095" s="37"/>
      <c r="C2095" s="41"/>
      <c r="D2095" s="38"/>
      <c r="E2095" s="57"/>
      <c r="F2095" s="42"/>
      <c r="G2095" s="43"/>
      <c r="H2095" s="37"/>
      <c r="I2095" s="37"/>
      <c r="J2095" s="38"/>
      <c r="K2095" s="37"/>
      <c r="L2095" s="38"/>
      <c r="M2095" s="39"/>
      <c r="P2095" s="37"/>
      <c r="Q2095" s="37"/>
      <c r="R2095" s="37"/>
      <c r="S2095" s="37"/>
      <c r="T2095" s="37"/>
      <c r="U2095" s="37"/>
      <c r="V2095" s="37"/>
      <c r="W2095" s="37"/>
      <c r="X2095" s="37"/>
      <c r="Y2095" s="37"/>
      <c r="Z2095" s="37"/>
      <c r="AA2095" s="37"/>
      <c r="AB2095" s="37"/>
      <c r="AC2095" s="37"/>
      <c r="AD2095" s="37"/>
      <c r="AE2095" s="37"/>
      <c r="AF2095" s="37"/>
      <c r="AG2095" s="37"/>
      <c r="AH2095" s="37"/>
      <c r="AI2095" s="37"/>
      <c r="AJ2095" s="37"/>
      <c r="AK2095" s="37"/>
      <c r="AL2095" s="37"/>
      <c r="AM2095" s="37"/>
      <c r="AN2095" s="37"/>
      <c r="AO2095" s="37"/>
      <c r="AP2095" s="37"/>
      <c r="AQ2095" s="37"/>
      <c r="AR2095" s="37"/>
      <c r="AS2095" s="37"/>
      <c r="AT2095" s="37"/>
      <c r="AU2095" s="37"/>
      <c r="AV2095" s="37"/>
      <c r="AW2095" s="37"/>
      <c r="AX2095" s="37"/>
      <c r="AY2095" s="37"/>
      <c r="AZ2095" s="37"/>
      <c r="BA2095" s="37"/>
      <c r="BB2095" s="37"/>
      <c r="BC2095" s="37"/>
      <c r="BD2095" s="37"/>
      <c r="BE2095" s="37"/>
      <c r="BF2095" s="37"/>
      <c r="BG2095" s="37"/>
      <c r="BH2095" s="37"/>
      <c r="BI2095" s="37"/>
      <c r="BJ2095" s="37"/>
      <c r="BK2095" s="37"/>
      <c r="BL2095" s="37"/>
      <c r="BM2095" s="37"/>
    </row>
    <row r="2096" spans="1:65" s="40" customFormat="1" ht="23.25" x14ac:dyDescent="0.35">
      <c r="A2096" s="37"/>
      <c r="B2096" s="37"/>
      <c r="C2096" s="41"/>
      <c r="D2096" s="38"/>
      <c r="E2096" s="57"/>
      <c r="F2096" s="42"/>
      <c r="G2096" s="43"/>
      <c r="H2096" s="37"/>
      <c r="I2096" s="37"/>
      <c r="J2096" s="38"/>
      <c r="K2096" s="37"/>
      <c r="L2096" s="38"/>
      <c r="M2096" s="39"/>
      <c r="P2096" s="37"/>
      <c r="Q2096" s="37"/>
      <c r="R2096" s="37"/>
      <c r="S2096" s="37"/>
      <c r="T2096" s="37"/>
      <c r="U2096" s="37"/>
      <c r="V2096" s="37"/>
      <c r="W2096" s="37"/>
      <c r="X2096" s="37"/>
      <c r="Y2096" s="37"/>
      <c r="Z2096" s="37"/>
      <c r="AA2096" s="37"/>
      <c r="AB2096" s="37"/>
      <c r="AC2096" s="37"/>
      <c r="AD2096" s="37"/>
      <c r="AE2096" s="37"/>
      <c r="AF2096" s="37"/>
      <c r="AG2096" s="37"/>
      <c r="AH2096" s="37"/>
      <c r="AI2096" s="37"/>
      <c r="AJ2096" s="37"/>
      <c r="AK2096" s="37"/>
      <c r="AL2096" s="37"/>
      <c r="AM2096" s="37"/>
      <c r="AN2096" s="37"/>
      <c r="AO2096" s="37"/>
      <c r="AP2096" s="37"/>
      <c r="AQ2096" s="37"/>
      <c r="AR2096" s="37"/>
      <c r="AS2096" s="37"/>
      <c r="AT2096" s="37"/>
      <c r="AU2096" s="37"/>
      <c r="AV2096" s="37"/>
      <c r="AW2096" s="37"/>
      <c r="AX2096" s="37"/>
      <c r="AY2096" s="37"/>
      <c r="AZ2096" s="37"/>
      <c r="BA2096" s="37"/>
      <c r="BB2096" s="37"/>
      <c r="BC2096" s="37"/>
      <c r="BD2096" s="37"/>
      <c r="BE2096" s="37"/>
      <c r="BF2096" s="37"/>
      <c r="BG2096" s="37"/>
      <c r="BH2096" s="37"/>
      <c r="BI2096" s="37"/>
      <c r="BJ2096" s="37"/>
      <c r="BK2096" s="37"/>
      <c r="BL2096" s="37"/>
      <c r="BM2096" s="37"/>
    </row>
    <row r="2097" spans="1:65" s="40" customFormat="1" ht="23.25" x14ac:dyDescent="0.35">
      <c r="A2097" s="37"/>
      <c r="B2097" s="37"/>
      <c r="C2097" s="41"/>
      <c r="D2097" s="38"/>
      <c r="E2097" s="57"/>
      <c r="F2097" s="42"/>
      <c r="G2097" s="43"/>
      <c r="H2097" s="37"/>
      <c r="I2097" s="37"/>
      <c r="J2097" s="38"/>
      <c r="K2097" s="37"/>
      <c r="L2097" s="38"/>
      <c r="M2097" s="39"/>
      <c r="P2097" s="37"/>
      <c r="Q2097" s="37"/>
      <c r="R2097" s="37"/>
      <c r="S2097" s="37"/>
      <c r="T2097" s="37"/>
      <c r="U2097" s="37"/>
      <c r="V2097" s="37"/>
      <c r="W2097" s="37"/>
      <c r="X2097" s="37"/>
      <c r="Y2097" s="37"/>
      <c r="Z2097" s="37"/>
      <c r="AA2097" s="37"/>
      <c r="AB2097" s="37"/>
      <c r="AC2097" s="37"/>
      <c r="AD2097" s="37"/>
      <c r="AE2097" s="37"/>
      <c r="AF2097" s="37"/>
      <c r="AG2097" s="37"/>
      <c r="AH2097" s="37"/>
      <c r="AI2097" s="37"/>
      <c r="AJ2097" s="37"/>
      <c r="AK2097" s="37"/>
      <c r="AL2097" s="37"/>
      <c r="AM2097" s="37"/>
      <c r="AN2097" s="37"/>
      <c r="AO2097" s="37"/>
      <c r="AP2097" s="37"/>
      <c r="AQ2097" s="37"/>
      <c r="AR2097" s="37"/>
      <c r="AS2097" s="37"/>
      <c r="AT2097" s="37"/>
      <c r="AU2097" s="37"/>
      <c r="AV2097" s="37"/>
      <c r="AW2097" s="37"/>
      <c r="AX2097" s="37"/>
      <c r="AY2097" s="37"/>
      <c r="AZ2097" s="37"/>
      <c r="BA2097" s="37"/>
      <c r="BB2097" s="37"/>
      <c r="BC2097" s="37"/>
      <c r="BD2097" s="37"/>
      <c r="BE2097" s="37"/>
      <c r="BF2097" s="37"/>
      <c r="BG2097" s="37"/>
      <c r="BH2097" s="37"/>
      <c r="BI2097" s="37"/>
      <c r="BJ2097" s="37"/>
      <c r="BK2097" s="37"/>
      <c r="BL2097" s="37"/>
      <c r="BM2097" s="37"/>
    </row>
    <row r="2098" spans="1:65" s="40" customFormat="1" ht="23.25" x14ac:dyDescent="0.35">
      <c r="A2098" s="37"/>
      <c r="B2098" s="37"/>
      <c r="C2098" s="41"/>
      <c r="D2098" s="38"/>
      <c r="E2098" s="57"/>
      <c r="F2098" s="42"/>
      <c r="G2098" s="43"/>
      <c r="H2098" s="37"/>
      <c r="I2098" s="37"/>
      <c r="J2098" s="38"/>
      <c r="K2098" s="37"/>
      <c r="L2098" s="38"/>
      <c r="M2098" s="39"/>
      <c r="P2098" s="37"/>
      <c r="Q2098" s="37"/>
      <c r="R2098" s="37"/>
      <c r="S2098" s="37"/>
      <c r="T2098" s="37"/>
      <c r="U2098" s="37"/>
      <c r="V2098" s="37"/>
      <c r="W2098" s="37"/>
      <c r="X2098" s="37"/>
      <c r="Y2098" s="37"/>
      <c r="Z2098" s="37"/>
      <c r="AA2098" s="37"/>
      <c r="AB2098" s="37"/>
      <c r="AC2098" s="37"/>
      <c r="AD2098" s="37"/>
      <c r="AE2098" s="37"/>
      <c r="AF2098" s="37"/>
      <c r="AG2098" s="37"/>
      <c r="AH2098" s="37"/>
      <c r="AI2098" s="37"/>
      <c r="AJ2098" s="37"/>
      <c r="AK2098" s="37"/>
      <c r="AL2098" s="37"/>
      <c r="AM2098" s="37"/>
      <c r="AN2098" s="37"/>
      <c r="AO2098" s="37"/>
      <c r="AP2098" s="37"/>
      <c r="AQ2098" s="37"/>
      <c r="AR2098" s="37"/>
      <c r="AS2098" s="37"/>
      <c r="AT2098" s="37"/>
      <c r="AU2098" s="37"/>
      <c r="AV2098" s="37"/>
      <c r="AW2098" s="37"/>
      <c r="AX2098" s="37"/>
      <c r="AY2098" s="37"/>
      <c r="AZ2098" s="37"/>
      <c r="BA2098" s="37"/>
      <c r="BB2098" s="37"/>
      <c r="BC2098" s="37"/>
      <c r="BD2098" s="37"/>
      <c r="BE2098" s="37"/>
      <c r="BF2098" s="37"/>
      <c r="BG2098" s="37"/>
      <c r="BH2098" s="37"/>
      <c r="BI2098" s="37"/>
      <c r="BJ2098" s="37"/>
      <c r="BK2098" s="37"/>
      <c r="BL2098" s="37"/>
      <c r="BM2098" s="37"/>
    </row>
    <row r="2099" spans="1:65" s="40" customFormat="1" ht="23.25" x14ac:dyDescent="0.35">
      <c r="A2099" s="37"/>
      <c r="B2099" s="37"/>
      <c r="C2099" s="41"/>
      <c r="D2099" s="38"/>
      <c r="E2099" s="57"/>
      <c r="F2099" s="42"/>
      <c r="G2099" s="43"/>
      <c r="H2099" s="37"/>
      <c r="I2099" s="37"/>
      <c r="J2099" s="38"/>
      <c r="K2099" s="37"/>
      <c r="L2099" s="38"/>
      <c r="M2099" s="39"/>
      <c r="P2099" s="37"/>
      <c r="Q2099" s="37"/>
      <c r="R2099" s="37"/>
      <c r="S2099" s="37"/>
      <c r="T2099" s="37"/>
      <c r="U2099" s="37"/>
      <c r="V2099" s="37"/>
      <c r="W2099" s="37"/>
      <c r="X2099" s="37"/>
      <c r="Y2099" s="37"/>
      <c r="Z2099" s="37"/>
      <c r="AA2099" s="37"/>
      <c r="AB2099" s="37"/>
      <c r="AC2099" s="37"/>
      <c r="AD2099" s="37"/>
      <c r="AE2099" s="37"/>
      <c r="AF2099" s="37"/>
      <c r="AG2099" s="37"/>
      <c r="AH2099" s="37"/>
      <c r="AI2099" s="37"/>
      <c r="AJ2099" s="37"/>
      <c r="AK2099" s="37"/>
      <c r="AL2099" s="37"/>
      <c r="AM2099" s="37"/>
      <c r="AN2099" s="37"/>
      <c r="AO2099" s="37"/>
      <c r="AP2099" s="37"/>
      <c r="AQ2099" s="37"/>
      <c r="AR2099" s="37"/>
      <c r="AS2099" s="37"/>
      <c r="AT2099" s="37"/>
      <c r="AU2099" s="37"/>
      <c r="AV2099" s="37"/>
      <c r="AW2099" s="37"/>
      <c r="AX2099" s="37"/>
      <c r="AY2099" s="37"/>
      <c r="AZ2099" s="37"/>
      <c r="BA2099" s="37"/>
      <c r="BB2099" s="37"/>
      <c r="BC2099" s="37"/>
      <c r="BD2099" s="37"/>
      <c r="BE2099" s="37"/>
      <c r="BF2099" s="37"/>
      <c r="BG2099" s="37"/>
      <c r="BH2099" s="37"/>
      <c r="BI2099" s="37"/>
      <c r="BJ2099" s="37"/>
      <c r="BK2099" s="37"/>
      <c r="BL2099" s="37"/>
      <c r="BM2099" s="37"/>
    </row>
    <row r="2100" spans="1:65" s="40" customFormat="1" ht="23.25" x14ac:dyDescent="0.35">
      <c r="A2100" s="37"/>
      <c r="B2100" s="37"/>
      <c r="C2100" s="41"/>
      <c r="D2100" s="38"/>
      <c r="E2100" s="57"/>
      <c r="F2100" s="42"/>
      <c r="G2100" s="43"/>
      <c r="H2100" s="37"/>
      <c r="I2100" s="37"/>
      <c r="J2100" s="38"/>
      <c r="K2100" s="37"/>
      <c r="L2100" s="38"/>
      <c r="M2100" s="39"/>
      <c r="P2100" s="37"/>
      <c r="Q2100" s="37"/>
      <c r="R2100" s="37"/>
      <c r="S2100" s="37"/>
      <c r="T2100" s="37"/>
      <c r="U2100" s="37"/>
      <c r="V2100" s="37"/>
      <c r="W2100" s="37"/>
      <c r="X2100" s="37"/>
      <c r="Y2100" s="37"/>
      <c r="Z2100" s="37"/>
      <c r="AA2100" s="37"/>
      <c r="AB2100" s="37"/>
      <c r="AC2100" s="37"/>
      <c r="AD2100" s="37"/>
      <c r="AE2100" s="37"/>
      <c r="AF2100" s="37"/>
      <c r="AG2100" s="37"/>
      <c r="AH2100" s="37"/>
      <c r="AI2100" s="37"/>
      <c r="AJ2100" s="37"/>
      <c r="AK2100" s="37"/>
      <c r="AL2100" s="37"/>
      <c r="AM2100" s="37"/>
      <c r="AN2100" s="37"/>
      <c r="AO2100" s="37"/>
      <c r="AP2100" s="37"/>
      <c r="AQ2100" s="37"/>
      <c r="AR2100" s="37"/>
      <c r="AS2100" s="37"/>
      <c r="AT2100" s="37"/>
      <c r="AU2100" s="37"/>
      <c r="AV2100" s="37"/>
      <c r="AW2100" s="37"/>
      <c r="AX2100" s="37"/>
      <c r="AY2100" s="37"/>
      <c r="AZ2100" s="37"/>
      <c r="BA2100" s="37"/>
      <c r="BB2100" s="37"/>
      <c r="BC2100" s="37"/>
      <c r="BD2100" s="37"/>
      <c r="BE2100" s="37"/>
      <c r="BF2100" s="37"/>
      <c r="BG2100" s="37"/>
      <c r="BH2100" s="37"/>
      <c r="BI2100" s="37"/>
      <c r="BJ2100" s="37"/>
      <c r="BK2100" s="37"/>
      <c r="BL2100" s="37"/>
      <c r="BM2100" s="37"/>
    </row>
    <row r="2101" spans="1:65" s="40" customFormat="1" ht="23.25" x14ac:dyDescent="0.35">
      <c r="A2101" s="37"/>
      <c r="B2101" s="37"/>
      <c r="C2101" s="41"/>
      <c r="D2101" s="38"/>
      <c r="E2101" s="57"/>
      <c r="F2101" s="42"/>
      <c r="G2101" s="43"/>
      <c r="H2101" s="37"/>
      <c r="I2101" s="37"/>
      <c r="J2101" s="38"/>
      <c r="K2101" s="37"/>
      <c r="L2101" s="38"/>
      <c r="M2101" s="39"/>
      <c r="P2101" s="37"/>
      <c r="Q2101" s="37"/>
      <c r="R2101" s="37"/>
      <c r="S2101" s="37"/>
      <c r="T2101" s="37"/>
      <c r="U2101" s="37"/>
      <c r="V2101" s="37"/>
      <c r="W2101" s="37"/>
      <c r="X2101" s="37"/>
      <c r="Y2101" s="37"/>
      <c r="Z2101" s="37"/>
      <c r="AA2101" s="37"/>
      <c r="AB2101" s="37"/>
      <c r="AC2101" s="37"/>
      <c r="AD2101" s="37"/>
      <c r="AE2101" s="37"/>
      <c r="AF2101" s="37"/>
      <c r="AG2101" s="37"/>
      <c r="AH2101" s="37"/>
      <c r="AI2101" s="37"/>
      <c r="AJ2101" s="37"/>
      <c r="AK2101" s="37"/>
      <c r="AL2101" s="37"/>
      <c r="AM2101" s="37"/>
      <c r="AN2101" s="37"/>
      <c r="AO2101" s="37"/>
      <c r="AP2101" s="37"/>
      <c r="AQ2101" s="37"/>
      <c r="AR2101" s="37"/>
      <c r="AS2101" s="37"/>
      <c r="AT2101" s="37"/>
      <c r="AU2101" s="37"/>
      <c r="AV2101" s="37"/>
      <c r="AW2101" s="37"/>
      <c r="AX2101" s="37"/>
      <c r="AY2101" s="37"/>
      <c r="AZ2101" s="37"/>
      <c r="BA2101" s="37"/>
      <c r="BB2101" s="37"/>
      <c r="BC2101" s="37"/>
      <c r="BD2101" s="37"/>
      <c r="BE2101" s="37"/>
      <c r="BF2101" s="37"/>
      <c r="BG2101" s="37"/>
      <c r="BH2101" s="37"/>
      <c r="BI2101" s="37"/>
      <c r="BJ2101" s="37"/>
      <c r="BK2101" s="37"/>
      <c r="BL2101" s="37"/>
      <c r="BM2101" s="37"/>
    </row>
    <row r="2102" spans="1:65" s="40" customFormat="1" ht="23.25" x14ac:dyDescent="0.35">
      <c r="A2102" s="37"/>
      <c r="B2102" s="37"/>
      <c r="C2102" s="41"/>
      <c r="D2102" s="38"/>
      <c r="E2102" s="57"/>
      <c r="F2102" s="42"/>
      <c r="G2102" s="43"/>
      <c r="H2102" s="37"/>
      <c r="I2102" s="37"/>
      <c r="J2102" s="38"/>
      <c r="K2102" s="37"/>
      <c r="L2102" s="38"/>
      <c r="M2102" s="39"/>
      <c r="P2102" s="37"/>
      <c r="Q2102" s="37"/>
      <c r="R2102" s="37"/>
      <c r="S2102" s="37"/>
      <c r="T2102" s="37"/>
      <c r="U2102" s="37"/>
      <c r="V2102" s="37"/>
      <c r="W2102" s="37"/>
      <c r="X2102" s="37"/>
      <c r="Y2102" s="37"/>
      <c r="Z2102" s="37"/>
      <c r="AA2102" s="37"/>
      <c r="AB2102" s="37"/>
      <c r="AC2102" s="37"/>
      <c r="AD2102" s="37"/>
      <c r="AE2102" s="37"/>
      <c r="AF2102" s="37"/>
      <c r="AG2102" s="37"/>
      <c r="AH2102" s="37"/>
      <c r="AI2102" s="37"/>
      <c r="AJ2102" s="37"/>
      <c r="AK2102" s="37"/>
      <c r="AL2102" s="37"/>
      <c r="AM2102" s="37"/>
      <c r="AN2102" s="37"/>
      <c r="AO2102" s="37"/>
      <c r="AP2102" s="37"/>
      <c r="AQ2102" s="37"/>
      <c r="AR2102" s="37"/>
      <c r="AS2102" s="37"/>
      <c r="AT2102" s="37"/>
      <c r="AU2102" s="37"/>
      <c r="AV2102" s="37"/>
      <c r="AW2102" s="37"/>
      <c r="AX2102" s="37"/>
      <c r="AY2102" s="37"/>
      <c r="AZ2102" s="37"/>
      <c r="BA2102" s="37"/>
      <c r="BB2102" s="37"/>
      <c r="BC2102" s="37"/>
      <c r="BD2102" s="37"/>
      <c r="BE2102" s="37"/>
      <c r="BF2102" s="37"/>
      <c r="BG2102" s="37"/>
      <c r="BH2102" s="37"/>
      <c r="BI2102" s="37"/>
      <c r="BJ2102" s="37"/>
      <c r="BK2102" s="37"/>
      <c r="BL2102" s="37"/>
      <c r="BM2102" s="37"/>
    </row>
    <row r="2103" spans="1:65" s="40" customFormat="1" ht="23.25" x14ac:dyDescent="0.35">
      <c r="A2103" s="37"/>
      <c r="B2103" s="37"/>
      <c r="C2103" s="41"/>
      <c r="D2103" s="38"/>
      <c r="E2103" s="57"/>
      <c r="F2103" s="42"/>
      <c r="G2103" s="43"/>
      <c r="H2103" s="37"/>
      <c r="I2103" s="37"/>
      <c r="J2103" s="38"/>
      <c r="K2103" s="37"/>
      <c r="L2103" s="38"/>
      <c r="M2103" s="39"/>
      <c r="P2103" s="37"/>
      <c r="Q2103" s="37"/>
      <c r="R2103" s="37"/>
      <c r="S2103" s="37"/>
      <c r="T2103" s="37"/>
      <c r="U2103" s="37"/>
      <c r="V2103" s="37"/>
      <c r="W2103" s="37"/>
      <c r="X2103" s="37"/>
      <c r="Y2103" s="37"/>
      <c r="Z2103" s="37"/>
      <c r="AA2103" s="37"/>
      <c r="AB2103" s="37"/>
      <c r="AC2103" s="37"/>
      <c r="AD2103" s="37"/>
      <c r="AE2103" s="37"/>
      <c r="AF2103" s="37"/>
      <c r="AG2103" s="37"/>
      <c r="AH2103" s="37"/>
      <c r="AI2103" s="37"/>
      <c r="AJ2103" s="37"/>
      <c r="AK2103" s="37"/>
      <c r="AL2103" s="37"/>
      <c r="AM2103" s="37"/>
      <c r="AN2103" s="37"/>
      <c r="AO2103" s="37"/>
      <c r="AP2103" s="37"/>
      <c r="AQ2103" s="37"/>
      <c r="AR2103" s="37"/>
      <c r="AS2103" s="37"/>
      <c r="AT2103" s="37"/>
      <c r="AU2103" s="37"/>
      <c r="AV2103" s="37"/>
      <c r="AW2103" s="37"/>
      <c r="AX2103" s="37"/>
      <c r="AY2103" s="37"/>
      <c r="AZ2103" s="37"/>
      <c r="BA2103" s="37"/>
      <c r="BB2103" s="37"/>
      <c r="BC2103" s="37"/>
      <c r="BD2103" s="37"/>
      <c r="BE2103" s="37"/>
      <c r="BF2103" s="37"/>
      <c r="BG2103" s="37"/>
      <c r="BH2103" s="37"/>
      <c r="BI2103" s="37"/>
      <c r="BJ2103" s="37"/>
      <c r="BK2103" s="37"/>
      <c r="BL2103" s="37"/>
      <c r="BM2103" s="37"/>
    </row>
    <row r="2104" spans="1:65" s="40" customFormat="1" ht="23.25" x14ac:dyDescent="0.35">
      <c r="A2104" s="37"/>
      <c r="B2104" s="37"/>
      <c r="C2104" s="41"/>
      <c r="D2104" s="38"/>
      <c r="E2104" s="57"/>
      <c r="F2104" s="42"/>
      <c r="G2104" s="43"/>
      <c r="H2104" s="37"/>
      <c r="I2104" s="37"/>
      <c r="J2104" s="38"/>
      <c r="K2104" s="37"/>
      <c r="L2104" s="38"/>
      <c r="M2104" s="39"/>
      <c r="P2104" s="37"/>
      <c r="Q2104" s="37"/>
      <c r="R2104" s="37"/>
      <c r="S2104" s="37"/>
      <c r="T2104" s="37"/>
      <c r="U2104" s="37"/>
      <c r="V2104" s="37"/>
      <c r="W2104" s="37"/>
      <c r="X2104" s="37"/>
      <c r="Y2104" s="37"/>
      <c r="Z2104" s="37"/>
      <c r="AA2104" s="37"/>
      <c r="AB2104" s="37"/>
      <c r="AC2104" s="37"/>
      <c r="AD2104" s="37"/>
      <c r="AE2104" s="37"/>
      <c r="AF2104" s="37"/>
      <c r="AG2104" s="37"/>
      <c r="AH2104" s="37"/>
      <c r="AI2104" s="37"/>
      <c r="AJ2104" s="37"/>
      <c r="AK2104" s="37"/>
      <c r="AL2104" s="37"/>
      <c r="AM2104" s="37"/>
      <c r="AN2104" s="37"/>
      <c r="AO2104" s="37"/>
      <c r="AP2104" s="37"/>
      <c r="AQ2104" s="37"/>
      <c r="AR2104" s="37"/>
      <c r="AS2104" s="37"/>
      <c r="AT2104" s="37"/>
      <c r="AU2104" s="37"/>
      <c r="AV2104" s="37"/>
      <c r="AW2104" s="37"/>
      <c r="AX2104" s="37"/>
      <c r="AY2104" s="37"/>
      <c r="AZ2104" s="37"/>
      <c r="BA2104" s="37"/>
      <c r="BB2104" s="37"/>
      <c r="BC2104" s="37"/>
      <c r="BD2104" s="37"/>
      <c r="BE2104" s="37"/>
      <c r="BF2104" s="37"/>
      <c r="BG2104" s="37"/>
      <c r="BH2104" s="37"/>
      <c r="BI2104" s="37"/>
      <c r="BJ2104" s="37"/>
      <c r="BK2104" s="37"/>
      <c r="BL2104" s="37"/>
      <c r="BM2104" s="37"/>
    </row>
    <row r="2105" spans="1:65" s="40" customFormat="1" ht="23.25" x14ac:dyDescent="0.35">
      <c r="A2105" s="37"/>
      <c r="B2105" s="37"/>
      <c r="C2105" s="41"/>
      <c r="D2105" s="38"/>
      <c r="E2105" s="57"/>
      <c r="F2105" s="42"/>
      <c r="G2105" s="43"/>
      <c r="H2105" s="37"/>
      <c r="I2105" s="37"/>
      <c r="J2105" s="38"/>
      <c r="K2105" s="37"/>
      <c r="L2105" s="38"/>
      <c r="M2105" s="39"/>
      <c r="P2105" s="37"/>
      <c r="Q2105" s="37"/>
      <c r="R2105" s="37"/>
      <c r="S2105" s="37"/>
      <c r="T2105" s="37"/>
      <c r="U2105" s="37"/>
      <c r="V2105" s="37"/>
      <c r="W2105" s="37"/>
      <c r="X2105" s="37"/>
      <c r="Y2105" s="37"/>
      <c r="Z2105" s="37"/>
      <c r="AA2105" s="37"/>
      <c r="AB2105" s="37"/>
      <c r="AC2105" s="37"/>
      <c r="AD2105" s="37"/>
      <c r="AE2105" s="37"/>
      <c r="AF2105" s="37"/>
      <c r="AG2105" s="37"/>
      <c r="AH2105" s="37"/>
      <c r="AI2105" s="37"/>
      <c r="AJ2105" s="37"/>
      <c r="AK2105" s="37"/>
      <c r="AL2105" s="37"/>
      <c r="AM2105" s="37"/>
      <c r="AN2105" s="37"/>
      <c r="AO2105" s="37"/>
      <c r="AP2105" s="37"/>
      <c r="AQ2105" s="37"/>
      <c r="AR2105" s="37"/>
      <c r="AS2105" s="37"/>
      <c r="AT2105" s="37"/>
      <c r="AU2105" s="37"/>
      <c r="AV2105" s="37"/>
      <c r="AW2105" s="37"/>
      <c r="AX2105" s="37"/>
      <c r="AY2105" s="37"/>
      <c r="AZ2105" s="37"/>
      <c r="BA2105" s="37"/>
      <c r="BB2105" s="37"/>
      <c r="BC2105" s="37"/>
      <c r="BD2105" s="37"/>
      <c r="BE2105" s="37"/>
      <c r="BF2105" s="37"/>
      <c r="BG2105" s="37"/>
      <c r="BH2105" s="37"/>
      <c r="BI2105" s="37"/>
      <c r="BJ2105" s="37"/>
      <c r="BK2105" s="37"/>
      <c r="BL2105" s="37"/>
      <c r="BM2105" s="37"/>
    </row>
    <row r="2106" spans="1:65" s="40" customFormat="1" ht="23.25" x14ac:dyDescent="0.35">
      <c r="A2106" s="37"/>
      <c r="B2106" s="37"/>
      <c r="C2106" s="41"/>
      <c r="D2106" s="38"/>
      <c r="E2106" s="57"/>
      <c r="F2106" s="42"/>
      <c r="G2106" s="43"/>
      <c r="H2106" s="37"/>
      <c r="I2106" s="37"/>
      <c r="J2106" s="38"/>
      <c r="K2106" s="37"/>
      <c r="L2106" s="38"/>
      <c r="M2106" s="39"/>
      <c r="P2106" s="37"/>
      <c r="Q2106" s="37"/>
      <c r="R2106" s="37"/>
      <c r="S2106" s="37"/>
      <c r="T2106" s="37"/>
      <c r="U2106" s="37"/>
      <c r="V2106" s="37"/>
      <c r="W2106" s="37"/>
      <c r="X2106" s="37"/>
      <c r="Y2106" s="37"/>
      <c r="Z2106" s="37"/>
      <c r="AA2106" s="37"/>
      <c r="AB2106" s="37"/>
      <c r="AC2106" s="37"/>
      <c r="AD2106" s="37"/>
      <c r="AE2106" s="37"/>
      <c r="AF2106" s="37"/>
      <c r="AG2106" s="37"/>
      <c r="AH2106" s="37"/>
      <c r="AI2106" s="37"/>
      <c r="AJ2106" s="37"/>
      <c r="AK2106" s="37"/>
      <c r="AL2106" s="37"/>
      <c r="AM2106" s="37"/>
      <c r="AN2106" s="37"/>
      <c r="AO2106" s="37"/>
      <c r="AP2106" s="37"/>
      <c r="AQ2106" s="37"/>
      <c r="AR2106" s="37"/>
      <c r="AS2106" s="37"/>
      <c r="AT2106" s="37"/>
      <c r="AU2106" s="37"/>
      <c r="AV2106" s="37"/>
      <c r="AW2106" s="37"/>
      <c r="AX2106" s="37"/>
      <c r="AY2106" s="37"/>
      <c r="AZ2106" s="37"/>
      <c r="BA2106" s="37"/>
      <c r="BB2106" s="37"/>
      <c r="BC2106" s="37"/>
      <c r="BD2106" s="37"/>
      <c r="BE2106" s="37"/>
      <c r="BF2106" s="37"/>
      <c r="BG2106" s="37"/>
      <c r="BH2106" s="37"/>
      <c r="BI2106" s="37"/>
      <c r="BJ2106" s="37"/>
      <c r="BK2106" s="37"/>
      <c r="BL2106" s="37"/>
      <c r="BM2106" s="37"/>
    </row>
    <row r="2107" spans="1:65" s="40" customFormat="1" ht="23.25" x14ac:dyDescent="0.35">
      <c r="A2107" s="37"/>
      <c r="B2107" s="37"/>
      <c r="C2107" s="41"/>
      <c r="D2107" s="38"/>
      <c r="E2107" s="57"/>
      <c r="F2107" s="42"/>
      <c r="G2107" s="43"/>
      <c r="H2107" s="37"/>
      <c r="I2107" s="37"/>
      <c r="J2107" s="38"/>
      <c r="K2107" s="37"/>
      <c r="L2107" s="38"/>
      <c r="M2107" s="39"/>
      <c r="P2107" s="37"/>
      <c r="Q2107" s="37"/>
      <c r="R2107" s="37"/>
      <c r="S2107" s="37"/>
      <c r="T2107" s="37"/>
      <c r="U2107" s="37"/>
      <c r="V2107" s="37"/>
      <c r="W2107" s="37"/>
      <c r="X2107" s="37"/>
      <c r="Y2107" s="37"/>
      <c r="Z2107" s="37"/>
      <c r="AA2107" s="37"/>
      <c r="AB2107" s="37"/>
      <c r="AC2107" s="37"/>
      <c r="AD2107" s="37"/>
      <c r="AE2107" s="37"/>
      <c r="AF2107" s="37"/>
      <c r="AG2107" s="37"/>
      <c r="AH2107" s="37"/>
      <c r="AI2107" s="37"/>
      <c r="AJ2107" s="37"/>
      <c r="AK2107" s="37"/>
      <c r="AL2107" s="37"/>
      <c r="AM2107" s="37"/>
      <c r="AN2107" s="37"/>
      <c r="AO2107" s="37"/>
      <c r="AP2107" s="37"/>
      <c r="AQ2107" s="37"/>
      <c r="AR2107" s="37"/>
      <c r="AS2107" s="37"/>
      <c r="AT2107" s="37"/>
      <c r="AU2107" s="37"/>
      <c r="AV2107" s="37"/>
      <c r="AW2107" s="37"/>
      <c r="AX2107" s="37"/>
      <c r="AY2107" s="37"/>
      <c r="AZ2107" s="37"/>
      <c r="BA2107" s="37"/>
      <c r="BB2107" s="37"/>
      <c r="BC2107" s="37"/>
      <c r="BD2107" s="37"/>
      <c r="BE2107" s="37"/>
      <c r="BF2107" s="37"/>
      <c r="BG2107" s="37"/>
      <c r="BH2107" s="37"/>
      <c r="BI2107" s="37"/>
      <c r="BJ2107" s="37"/>
      <c r="BK2107" s="37"/>
      <c r="BL2107" s="37"/>
      <c r="BM2107" s="37"/>
    </row>
    <row r="2108" spans="1:65" s="40" customFormat="1" ht="23.25" x14ac:dyDescent="0.35">
      <c r="A2108" s="37"/>
      <c r="B2108" s="37"/>
      <c r="C2108" s="41"/>
      <c r="D2108" s="38"/>
      <c r="E2108" s="57"/>
      <c r="F2108" s="42"/>
      <c r="G2108" s="43"/>
      <c r="H2108" s="37"/>
      <c r="I2108" s="37"/>
      <c r="J2108" s="38"/>
      <c r="K2108" s="37"/>
      <c r="L2108" s="38"/>
      <c r="M2108" s="39"/>
      <c r="P2108" s="37"/>
      <c r="Q2108" s="37"/>
      <c r="R2108" s="37"/>
      <c r="S2108" s="37"/>
      <c r="T2108" s="37"/>
      <c r="U2108" s="37"/>
      <c r="V2108" s="37"/>
      <c r="W2108" s="37"/>
      <c r="X2108" s="37"/>
      <c r="Y2108" s="37"/>
      <c r="Z2108" s="37"/>
      <c r="AA2108" s="37"/>
      <c r="AB2108" s="37"/>
      <c r="AC2108" s="37"/>
      <c r="AD2108" s="37"/>
      <c r="AE2108" s="37"/>
      <c r="AF2108" s="37"/>
      <c r="AG2108" s="37"/>
      <c r="AH2108" s="37"/>
      <c r="AI2108" s="37"/>
      <c r="AJ2108" s="37"/>
      <c r="AK2108" s="37"/>
      <c r="AL2108" s="37"/>
      <c r="AM2108" s="37"/>
      <c r="AN2108" s="37"/>
      <c r="AO2108" s="37"/>
      <c r="AP2108" s="37"/>
      <c r="AQ2108" s="37"/>
      <c r="AR2108" s="37"/>
      <c r="AS2108" s="37"/>
      <c r="AT2108" s="37"/>
      <c r="AU2108" s="37"/>
      <c r="AV2108" s="37"/>
      <c r="AW2108" s="37"/>
      <c r="AX2108" s="37"/>
      <c r="AY2108" s="37"/>
      <c r="AZ2108" s="37"/>
      <c r="BA2108" s="37"/>
      <c r="BB2108" s="37"/>
      <c r="BC2108" s="37"/>
      <c r="BD2108" s="37"/>
      <c r="BE2108" s="37"/>
      <c r="BF2108" s="37"/>
      <c r="BG2108" s="37"/>
      <c r="BH2108" s="37"/>
      <c r="BI2108" s="37"/>
      <c r="BJ2108" s="37"/>
      <c r="BK2108" s="37"/>
      <c r="BL2108" s="37"/>
      <c r="BM2108" s="37"/>
    </row>
    <row r="2109" spans="1:65" s="40" customFormat="1" ht="23.25" x14ac:dyDescent="0.35">
      <c r="A2109" s="37"/>
      <c r="B2109" s="37"/>
      <c r="C2109" s="41"/>
      <c r="D2109" s="38"/>
      <c r="E2109" s="57"/>
      <c r="F2109" s="42"/>
      <c r="G2109" s="43"/>
      <c r="H2109" s="37"/>
      <c r="I2109" s="37"/>
      <c r="J2109" s="38"/>
      <c r="K2109" s="37"/>
      <c r="L2109" s="38"/>
      <c r="M2109" s="39"/>
      <c r="P2109" s="37"/>
      <c r="Q2109" s="37"/>
      <c r="R2109" s="37"/>
      <c r="S2109" s="37"/>
      <c r="T2109" s="37"/>
      <c r="U2109" s="37"/>
      <c r="V2109" s="37"/>
      <c r="W2109" s="37"/>
      <c r="X2109" s="37"/>
      <c r="Y2109" s="37"/>
      <c r="Z2109" s="37"/>
      <c r="AA2109" s="37"/>
      <c r="AB2109" s="37"/>
      <c r="AC2109" s="37"/>
      <c r="AD2109" s="37"/>
      <c r="AE2109" s="37"/>
      <c r="AF2109" s="37"/>
      <c r="AG2109" s="37"/>
      <c r="AH2109" s="37"/>
      <c r="AI2109" s="37"/>
      <c r="AJ2109" s="37"/>
      <c r="AK2109" s="37"/>
      <c r="AL2109" s="37"/>
      <c r="AM2109" s="37"/>
      <c r="AN2109" s="37"/>
      <c r="AO2109" s="37"/>
      <c r="AP2109" s="37"/>
      <c r="AQ2109" s="37"/>
      <c r="AR2109" s="37"/>
      <c r="AS2109" s="37"/>
      <c r="AT2109" s="37"/>
      <c r="AU2109" s="37"/>
      <c r="AV2109" s="37"/>
      <c r="AW2109" s="37"/>
      <c r="AX2109" s="37"/>
      <c r="AY2109" s="37"/>
      <c r="AZ2109" s="37"/>
      <c r="BA2109" s="37"/>
      <c r="BB2109" s="37"/>
      <c r="BC2109" s="37"/>
      <c r="BD2109" s="37"/>
      <c r="BE2109" s="37"/>
      <c r="BF2109" s="37"/>
      <c r="BG2109" s="37"/>
      <c r="BH2109" s="37"/>
      <c r="BI2109" s="37"/>
      <c r="BJ2109" s="37"/>
      <c r="BK2109" s="37"/>
      <c r="BL2109" s="37"/>
      <c r="BM2109" s="37"/>
    </row>
    <row r="2110" spans="1:65" s="40" customFormat="1" ht="23.25" x14ac:dyDescent="0.35">
      <c r="A2110" s="37"/>
      <c r="B2110" s="37"/>
      <c r="C2110" s="41"/>
      <c r="D2110" s="38"/>
      <c r="E2110" s="57"/>
      <c r="F2110" s="42"/>
      <c r="G2110" s="43"/>
      <c r="H2110" s="37"/>
      <c r="I2110" s="37"/>
      <c r="J2110" s="38"/>
      <c r="K2110" s="37"/>
      <c r="L2110" s="38"/>
      <c r="M2110" s="39"/>
      <c r="P2110" s="37"/>
      <c r="Q2110" s="37"/>
      <c r="R2110" s="37"/>
      <c r="S2110" s="37"/>
      <c r="T2110" s="37"/>
      <c r="U2110" s="37"/>
      <c r="V2110" s="37"/>
      <c r="W2110" s="37"/>
      <c r="X2110" s="37"/>
      <c r="Y2110" s="37"/>
      <c r="Z2110" s="37"/>
      <c r="AA2110" s="37"/>
      <c r="AB2110" s="37"/>
      <c r="AC2110" s="37"/>
      <c r="AD2110" s="37"/>
      <c r="AE2110" s="37"/>
      <c r="AF2110" s="37"/>
      <c r="AG2110" s="37"/>
      <c r="AH2110" s="37"/>
      <c r="AI2110" s="37"/>
      <c r="AJ2110" s="37"/>
      <c r="AK2110" s="37"/>
      <c r="AL2110" s="37"/>
      <c r="AM2110" s="37"/>
      <c r="AN2110" s="37"/>
      <c r="AO2110" s="37"/>
      <c r="AP2110" s="37"/>
      <c r="AQ2110" s="37"/>
      <c r="AR2110" s="37"/>
      <c r="AS2110" s="37"/>
      <c r="AT2110" s="37"/>
      <c r="AU2110" s="37"/>
      <c r="AV2110" s="37"/>
      <c r="AW2110" s="37"/>
      <c r="AX2110" s="37"/>
      <c r="AY2110" s="37"/>
      <c r="AZ2110" s="37"/>
      <c r="BA2110" s="37"/>
      <c r="BB2110" s="37"/>
      <c r="BC2110" s="37"/>
      <c r="BD2110" s="37"/>
      <c r="BE2110" s="37"/>
      <c r="BF2110" s="37"/>
      <c r="BG2110" s="37"/>
      <c r="BH2110" s="37"/>
      <c r="BI2110" s="37"/>
      <c r="BJ2110" s="37"/>
      <c r="BK2110" s="37"/>
      <c r="BL2110" s="37"/>
      <c r="BM2110" s="37"/>
    </row>
    <row r="2111" spans="1:65" s="40" customFormat="1" ht="23.25" x14ac:dyDescent="0.35">
      <c r="A2111" s="37"/>
      <c r="B2111" s="37"/>
      <c r="C2111" s="41"/>
      <c r="D2111" s="38"/>
      <c r="E2111" s="57"/>
      <c r="F2111" s="42"/>
      <c r="G2111" s="43"/>
      <c r="H2111" s="37"/>
      <c r="I2111" s="37"/>
      <c r="J2111" s="38"/>
      <c r="K2111" s="37"/>
      <c r="L2111" s="38"/>
      <c r="M2111" s="39"/>
      <c r="P2111" s="37"/>
      <c r="Q2111" s="37"/>
      <c r="R2111" s="37"/>
      <c r="S2111" s="37"/>
      <c r="T2111" s="37"/>
      <c r="U2111" s="37"/>
      <c r="V2111" s="37"/>
      <c r="W2111" s="37"/>
      <c r="X2111" s="37"/>
      <c r="Y2111" s="37"/>
      <c r="Z2111" s="37"/>
      <c r="AA2111" s="37"/>
      <c r="AB2111" s="37"/>
      <c r="AC2111" s="37"/>
      <c r="AD2111" s="37"/>
      <c r="AE2111" s="37"/>
      <c r="AF2111" s="37"/>
      <c r="AG2111" s="37"/>
      <c r="AH2111" s="37"/>
      <c r="AI2111" s="37"/>
      <c r="AJ2111" s="37"/>
      <c r="AK2111" s="37"/>
      <c r="AL2111" s="37"/>
      <c r="AM2111" s="37"/>
      <c r="AN2111" s="37"/>
      <c r="AO2111" s="37"/>
      <c r="AP2111" s="37"/>
      <c r="AQ2111" s="37"/>
      <c r="AR2111" s="37"/>
      <c r="AS2111" s="37"/>
      <c r="AT2111" s="37"/>
      <c r="AU2111" s="37"/>
      <c r="AV2111" s="37"/>
      <c r="AW2111" s="37"/>
      <c r="AX2111" s="37"/>
      <c r="AY2111" s="37"/>
      <c r="AZ2111" s="37"/>
      <c r="BA2111" s="37"/>
      <c r="BB2111" s="37"/>
      <c r="BC2111" s="37"/>
      <c r="BD2111" s="37"/>
      <c r="BE2111" s="37"/>
      <c r="BF2111" s="37"/>
      <c r="BG2111" s="37"/>
      <c r="BH2111" s="37"/>
      <c r="BI2111" s="37"/>
      <c r="BJ2111" s="37"/>
      <c r="BK2111" s="37"/>
      <c r="BL2111" s="37"/>
      <c r="BM2111" s="37"/>
    </row>
    <row r="2112" spans="1:65" s="40" customFormat="1" ht="23.25" x14ac:dyDescent="0.35">
      <c r="A2112" s="37"/>
      <c r="B2112" s="37"/>
      <c r="C2112" s="41"/>
      <c r="D2112" s="38"/>
      <c r="E2112" s="57"/>
      <c r="F2112" s="42"/>
      <c r="G2112" s="43"/>
      <c r="H2112" s="37"/>
      <c r="I2112" s="37"/>
      <c r="J2112" s="38"/>
      <c r="K2112" s="37"/>
      <c r="L2112" s="38"/>
      <c r="M2112" s="39"/>
      <c r="P2112" s="37"/>
      <c r="Q2112" s="37"/>
      <c r="R2112" s="37"/>
      <c r="S2112" s="37"/>
      <c r="T2112" s="37"/>
      <c r="U2112" s="37"/>
      <c r="V2112" s="37"/>
      <c r="W2112" s="37"/>
      <c r="X2112" s="37"/>
      <c r="Y2112" s="37"/>
      <c r="Z2112" s="37"/>
      <c r="AA2112" s="37"/>
      <c r="AB2112" s="37"/>
      <c r="AC2112" s="37"/>
      <c r="AD2112" s="37"/>
      <c r="AE2112" s="37"/>
      <c r="AF2112" s="37"/>
      <c r="AG2112" s="37"/>
      <c r="AH2112" s="37"/>
      <c r="AI2112" s="37"/>
      <c r="AJ2112" s="37"/>
      <c r="AK2112" s="37"/>
      <c r="AL2112" s="37"/>
      <c r="AM2112" s="37"/>
      <c r="AN2112" s="37"/>
      <c r="AO2112" s="37"/>
      <c r="AP2112" s="37"/>
      <c r="AQ2112" s="37"/>
      <c r="AR2112" s="37"/>
      <c r="AS2112" s="37"/>
      <c r="AT2112" s="37"/>
      <c r="AU2112" s="37"/>
      <c r="AV2112" s="37"/>
      <c r="AW2112" s="37"/>
      <c r="AX2112" s="37"/>
      <c r="AY2112" s="37"/>
      <c r="AZ2112" s="37"/>
      <c r="BA2112" s="37"/>
      <c r="BB2112" s="37"/>
      <c r="BC2112" s="37"/>
      <c r="BD2112" s="37"/>
      <c r="BE2112" s="37"/>
      <c r="BF2112" s="37"/>
      <c r="BG2112" s="37"/>
      <c r="BH2112" s="37"/>
      <c r="BI2112" s="37"/>
      <c r="BJ2112" s="37"/>
      <c r="BK2112" s="37"/>
      <c r="BL2112" s="37"/>
      <c r="BM2112" s="37"/>
    </row>
    <row r="2113" spans="1:65" s="40" customFormat="1" ht="23.25" x14ac:dyDescent="0.35">
      <c r="A2113" s="37"/>
      <c r="B2113" s="37"/>
      <c r="C2113" s="41"/>
      <c r="D2113" s="38"/>
      <c r="E2113" s="57"/>
      <c r="F2113" s="42"/>
      <c r="G2113" s="43"/>
      <c r="H2113" s="37"/>
      <c r="I2113" s="37"/>
      <c r="J2113" s="38"/>
      <c r="K2113" s="37"/>
      <c r="L2113" s="38"/>
      <c r="M2113" s="39"/>
      <c r="P2113" s="37"/>
      <c r="Q2113" s="37"/>
      <c r="R2113" s="37"/>
      <c r="S2113" s="37"/>
      <c r="T2113" s="37"/>
      <c r="U2113" s="37"/>
      <c r="V2113" s="37"/>
      <c r="W2113" s="37"/>
      <c r="X2113" s="37"/>
      <c r="Y2113" s="37"/>
      <c r="Z2113" s="37"/>
      <c r="AA2113" s="37"/>
      <c r="AB2113" s="37"/>
      <c r="AC2113" s="37"/>
      <c r="AD2113" s="37"/>
      <c r="AE2113" s="37"/>
      <c r="AF2113" s="37"/>
      <c r="AG2113" s="37"/>
      <c r="AH2113" s="37"/>
      <c r="AI2113" s="37"/>
      <c r="AJ2113" s="37"/>
      <c r="AK2113" s="37"/>
      <c r="AL2113" s="37"/>
      <c r="AM2113" s="37"/>
      <c r="AN2113" s="37"/>
      <c r="AO2113" s="37"/>
      <c r="AP2113" s="37"/>
      <c r="AQ2113" s="37"/>
      <c r="AR2113" s="37"/>
      <c r="AS2113" s="37"/>
      <c r="AT2113" s="37"/>
      <c r="AU2113" s="37"/>
      <c r="AV2113" s="37"/>
      <c r="AW2113" s="37"/>
      <c r="AX2113" s="37"/>
      <c r="AY2113" s="37"/>
      <c r="AZ2113" s="37"/>
      <c r="BA2113" s="37"/>
      <c r="BB2113" s="37"/>
      <c r="BC2113" s="37"/>
      <c r="BD2113" s="37"/>
      <c r="BE2113" s="37"/>
      <c r="BF2113" s="37"/>
      <c r="BG2113" s="37"/>
      <c r="BH2113" s="37"/>
      <c r="BI2113" s="37"/>
      <c r="BJ2113" s="37"/>
      <c r="BK2113" s="37"/>
      <c r="BL2113" s="37"/>
      <c r="BM2113" s="37"/>
    </row>
    <row r="2114" spans="1:65" s="40" customFormat="1" ht="23.25" x14ac:dyDescent="0.35">
      <c r="A2114" s="37"/>
      <c r="B2114" s="37"/>
      <c r="C2114" s="41"/>
      <c r="D2114" s="38"/>
      <c r="E2114" s="57"/>
      <c r="F2114" s="42"/>
      <c r="G2114" s="43"/>
      <c r="H2114" s="37"/>
      <c r="I2114" s="37"/>
      <c r="J2114" s="38"/>
      <c r="K2114" s="37"/>
      <c r="L2114" s="38"/>
      <c r="M2114" s="39"/>
      <c r="P2114" s="37"/>
      <c r="Q2114" s="37"/>
      <c r="R2114" s="37"/>
      <c r="S2114" s="37"/>
      <c r="T2114" s="37"/>
      <c r="U2114" s="37"/>
      <c r="V2114" s="37"/>
      <c r="W2114" s="37"/>
      <c r="X2114" s="37"/>
      <c r="Y2114" s="37"/>
      <c r="Z2114" s="37"/>
      <c r="AA2114" s="37"/>
      <c r="AB2114" s="37"/>
      <c r="AC2114" s="37"/>
      <c r="AD2114" s="37"/>
      <c r="AE2114" s="37"/>
      <c r="AF2114" s="37"/>
      <c r="AG2114" s="37"/>
      <c r="AH2114" s="37"/>
      <c r="AI2114" s="37"/>
      <c r="AJ2114" s="37"/>
      <c r="AK2114" s="37"/>
      <c r="AL2114" s="37"/>
      <c r="AM2114" s="37"/>
      <c r="AN2114" s="37"/>
      <c r="AO2114" s="37"/>
      <c r="AP2114" s="37"/>
      <c r="AQ2114" s="37"/>
      <c r="AR2114" s="37"/>
      <c r="AS2114" s="37"/>
      <c r="AT2114" s="37"/>
      <c r="AU2114" s="37"/>
      <c r="AV2114" s="37"/>
      <c r="AW2114" s="37"/>
      <c r="AX2114" s="37"/>
      <c r="AY2114" s="37"/>
      <c r="AZ2114" s="37"/>
      <c r="BA2114" s="37"/>
      <c r="BB2114" s="37"/>
      <c r="BC2114" s="37"/>
      <c r="BD2114" s="37"/>
      <c r="BE2114" s="37"/>
      <c r="BF2114" s="37"/>
      <c r="BG2114" s="37"/>
      <c r="BH2114" s="37"/>
      <c r="BI2114" s="37"/>
      <c r="BJ2114" s="37"/>
      <c r="BK2114" s="37"/>
      <c r="BL2114" s="37"/>
      <c r="BM2114" s="37"/>
    </row>
    <row r="2115" spans="1:65" s="40" customFormat="1" ht="23.25" x14ac:dyDescent="0.35">
      <c r="A2115" s="37"/>
      <c r="B2115" s="37"/>
      <c r="C2115" s="41"/>
      <c r="D2115" s="38"/>
      <c r="E2115" s="57"/>
      <c r="F2115" s="42"/>
      <c r="G2115" s="43"/>
      <c r="H2115" s="37"/>
      <c r="I2115" s="37"/>
      <c r="J2115" s="38"/>
      <c r="K2115" s="37"/>
      <c r="L2115" s="38"/>
      <c r="M2115" s="39"/>
      <c r="P2115" s="37"/>
      <c r="Q2115" s="37"/>
      <c r="R2115" s="37"/>
      <c r="S2115" s="37"/>
      <c r="T2115" s="37"/>
      <c r="U2115" s="37"/>
      <c r="V2115" s="37"/>
      <c r="W2115" s="37"/>
      <c r="X2115" s="37"/>
      <c r="Y2115" s="37"/>
      <c r="Z2115" s="37"/>
      <c r="AA2115" s="37"/>
      <c r="AB2115" s="37"/>
      <c r="AC2115" s="37"/>
      <c r="AD2115" s="37"/>
      <c r="AE2115" s="37"/>
      <c r="AF2115" s="37"/>
      <c r="AG2115" s="37"/>
      <c r="AH2115" s="37"/>
      <c r="AI2115" s="37"/>
      <c r="AJ2115" s="37"/>
      <c r="AK2115" s="37"/>
      <c r="AL2115" s="37"/>
      <c r="AM2115" s="37"/>
      <c r="AN2115" s="37"/>
      <c r="AO2115" s="37"/>
      <c r="AP2115" s="37"/>
      <c r="AQ2115" s="37"/>
      <c r="AR2115" s="37"/>
      <c r="AS2115" s="37"/>
      <c r="AT2115" s="37"/>
      <c r="AU2115" s="37"/>
      <c r="AV2115" s="37"/>
      <c r="AW2115" s="37"/>
      <c r="AX2115" s="37"/>
      <c r="AY2115" s="37"/>
      <c r="AZ2115" s="37"/>
      <c r="BA2115" s="37"/>
      <c r="BB2115" s="37"/>
      <c r="BC2115" s="37"/>
      <c r="BD2115" s="37"/>
      <c r="BE2115" s="37"/>
      <c r="BF2115" s="37"/>
      <c r="BG2115" s="37"/>
      <c r="BH2115" s="37"/>
      <c r="BI2115" s="37"/>
      <c r="BJ2115" s="37"/>
      <c r="BK2115" s="37"/>
      <c r="BL2115" s="37"/>
      <c r="BM2115" s="37"/>
    </row>
    <row r="2116" spans="1:65" s="40" customFormat="1" ht="23.25" x14ac:dyDescent="0.35">
      <c r="A2116" s="37"/>
      <c r="B2116" s="37"/>
      <c r="C2116" s="41"/>
      <c r="D2116" s="38"/>
      <c r="E2116" s="57"/>
      <c r="F2116" s="42"/>
      <c r="G2116" s="43"/>
      <c r="H2116" s="37"/>
      <c r="I2116" s="37"/>
      <c r="J2116" s="38"/>
      <c r="K2116" s="37"/>
      <c r="L2116" s="38"/>
      <c r="M2116" s="39"/>
      <c r="P2116" s="37"/>
      <c r="Q2116" s="37"/>
      <c r="R2116" s="37"/>
      <c r="S2116" s="37"/>
      <c r="T2116" s="37"/>
      <c r="U2116" s="37"/>
      <c r="V2116" s="37"/>
      <c r="W2116" s="37"/>
      <c r="X2116" s="37"/>
      <c r="Y2116" s="37"/>
      <c r="Z2116" s="37"/>
      <c r="AA2116" s="37"/>
      <c r="AB2116" s="37"/>
      <c r="AC2116" s="37"/>
      <c r="AD2116" s="37"/>
      <c r="AE2116" s="37"/>
      <c r="AF2116" s="37"/>
      <c r="AG2116" s="37"/>
      <c r="AH2116" s="37"/>
      <c r="AI2116" s="37"/>
      <c r="AJ2116" s="37"/>
      <c r="AK2116" s="37"/>
      <c r="AL2116" s="37"/>
      <c r="AM2116" s="37"/>
      <c r="AN2116" s="37"/>
      <c r="AO2116" s="37"/>
      <c r="AP2116" s="37"/>
      <c r="AQ2116" s="37"/>
      <c r="AR2116" s="37"/>
      <c r="AS2116" s="37"/>
      <c r="AT2116" s="37"/>
      <c r="AU2116" s="37"/>
      <c r="AV2116" s="37"/>
      <c r="AW2116" s="37"/>
      <c r="AX2116" s="37"/>
      <c r="AY2116" s="37"/>
      <c r="AZ2116" s="37"/>
      <c r="BA2116" s="37"/>
      <c r="BB2116" s="37"/>
      <c r="BC2116" s="37"/>
      <c r="BD2116" s="37"/>
      <c r="BE2116" s="37"/>
      <c r="BF2116" s="37"/>
      <c r="BG2116" s="37"/>
      <c r="BH2116" s="37"/>
      <c r="BI2116" s="37"/>
      <c r="BJ2116" s="37"/>
      <c r="BK2116" s="37"/>
      <c r="BL2116" s="37"/>
      <c r="BM2116" s="37"/>
    </row>
    <row r="2117" spans="1:65" s="40" customFormat="1" ht="23.25" x14ac:dyDescent="0.35">
      <c r="A2117" s="37"/>
      <c r="B2117" s="37"/>
      <c r="C2117" s="41"/>
      <c r="D2117" s="38"/>
      <c r="E2117" s="57"/>
      <c r="F2117" s="42"/>
      <c r="G2117" s="43"/>
      <c r="H2117" s="37"/>
      <c r="I2117" s="37"/>
      <c r="J2117" s="38"/>
      <c r="K2117" s="37"/>
      <c r="L2117" s="38"/>
      <c r="M2117" s="39"/>
      <c r="P2117" s="37"/>
      <c r="Q2117" s="37"/>
      <c r="R2117" s="37"/>
      <c r="S2117" s="37"/>
      <c r="T2117" s="37"/>
      <c r="U2117" s="37"/>
      <c r="V2117" s="37"/>
      <c r="W2117" s="37"/>
      <c r="X2117" s="37"/>
      <c r="Y2117" s="37"/>
      <c r="Z2117" s="37"/>
      <c r="AA2117" s="37"/>
      <c r="AB2117" s="37"/>
      <c r="AC2117" s="37"/>
      <c r="AD2117" s="37"/>
      <c r="AE2117" s="37"/>
      <c r="AF2117" s="37"/>
      <c r="AG2117" s="37"/>
      <c r="AH2117" s="37"/>
      <c r="AI2117" s="37"/>
      <c r="AJ2117" s="37"/>
      <c r="AK2117" s="37"/>
      <c r="AL2117" s="37"/>
      <c r="AM2117" s="37"/>
      <c r="AN2117" s="37"/>
      <c r="AO2117" s="37"/>
      <c r="AP2117" s="37"/>
      <c r="AQ2117" s="37"/>
      <c r="AR2117" s="37"/>
      <c r="AS2117" s="37"/>
      <c r="AT2117" s="37"/>
      <c r="AU2117" s="37"/>
      <c r="AV2117" s="37"/>
      <c r="AW2117" s="37"/>
      <c r="AX2117" s="37"/>
      <c r="AY2117" s="37"/>
      <c r="AZ2117" s="37"/>
      <c r="BA2117" s="37"/>
      <c r="BB2117" s="37"/>
      <c r="BC2117" s="37"/>
      <c r="BD2117" s="37"/>
      <c r="BE2117" s="37"/>
      <c r="BF2117" s="37"/>
      <c r="BG2117" s="37"/>
      <c r="BH2117" s="37"/>
      <c r="BI2117" s="37"/>
      <c r="BJ2117" s="37"/>
      <c r="BK2117" s="37"/>
      <c r="BL2117" s="37"/>
      <c r="BM2117" s="37"/>
    </row>
    <row r="2118" spans="1:65" s="40" customFormat="1" ht="23.25" x14ac:dyDescent="0.35">
      <c r="A2118" s="37"/>
      <c r="B2118" s="37"/>
      <c r="C2118" s="41"/>
      <c r="D2118" s="38"/>
      <c r="E2118" s="57"/>
      <c r="F2118" s="42"/>
      <c r="G2118" s="43"/>
      <c r="H2118" s="37"/>
      <c r="I2118" s="37"/>
      <c r="J2118" s="38"/>
      <c r="K2118" s="37"/>
      <c r="L2118" s="38"/>
      <c r="M2118" s="39"/>
      <c r="P2118" s="37"/>
      <c r="Q2118" s="37"/>
      <c r="R2118" s="37"/>
      <c r="S2118" s="37"/>
      <c r="T2118" s="37"/>
      <c r="U2118" s="37"/>
      <c r="V2118" s="37"/>
      <c r="W2118" s="37"/>
      <c r="X2118" s="37"/>
      <c r="Y2118" s="37"/>
      <c r="Z2118" s="37"/>
      <c r="AA2118" s="37"/>
      <c r="AB2118" s="37"/>
      <c r="AC2118" s="37"/>
      <c r="AD2118" s="37"/>
      <c r="AE2118" s="37"/>
      <c r="AF2118" s="37"/>
      <c r="AG2118" s="37"/>
      <c r="AH2118" s="37"/>
      <c r="AI2118" s="37"/>
      <c r="AJ2118" s="37"/>
      <c r="AK2118" s="37"/>
      <c r="AL2118" s="37"/>
      <c r="AM2118" s="37"/>
      <c r="AN2118" s="37"/>
      <c r="AO2118" s="37"/>
      <c r="AP2118" s="37"/>
      <c r="AQ2118" s="37"/>
      <c r="AR2118" s="37"/>
      <c r="AS2118" s="37"/>
      <c r="AT2118" s="37"/>
      <c r="AU2118" s="37"/>
      <c r="AV2118" s="37"/>
      <c r="AW2118" s="37"/>
      <c r="AX2118" s="37"/>
      <c r="AY2118" s="37"/>
      <c r="AZ2118" s="37"/>
      <c r="BA2118" s="37"/>
      <c r="BB2118" s="37"/>
      <c r="BC2118" s="37"/>
      <c r="BD2118" s="37"/>
      <c r="BE2118" s="37"/>
      <c r="BF2118" s="37"/>
      <c r="BG2118" s="37"/>
      <c r="BH2118" s="37"/>
      <c r="BI2118" s="37"/>
      <c r="BJ2118" s="37"/>
      <c r="BK2118" s="37"/>
      <c r="BL2118" s="37"/>
      <c r="BM2118" s="37"/>
    </row>
    <row r="2119" spans="1:65" s="40" customFormat="1" ht="23.25" x14ac:dyDescent="0.35">
      <c r="A2119" s="37"/>
      <c r="B2119" s="37"/>
      <c r="C2119" s="41"/>
      <c r="D2119" s="38"/>
      <c r="E2119" s="57"/>
      <c r="F2119" s="42"/>
      <c r="G2119" s="43"/>
      <c r="H2119" s="37"/>
      <c r="I2119" s="37"/>
      <c r="J2119" s="38"/>
      <c r="K2119" s="37"/>
      <c r="L2119" s="38"/>
      <c r="M2119" s="39"/>
      <c r="P2119" s="37"/>
      <c r="Q2119" s="37"/>
      <c r="R2119" s="37"/>
      <c r="S2119" s="37"/>
      <c r="T2119" s="37"/>
      <c r="U2119" s="37"/>
      <c r="V2119" s="37"/>
      <c r="W2119" s="37"/>
      <c r="X2119" s="37"/>
      <c r="Y2119" s="37"/>
      <c r="Z2119" s="37"/>
      <c r="AA2119" s="37"/>
      <c r="AB2119" s="37"/>
      <c r="AC2119" s="37"/>
      <c r="AD2119" s="37"/>
      <c r="AE2119" s="37"/>
      <c r="AF2119" s="37"/>
      <c r="AG2119" s="37"/>
      <c r="AH2119" s="37"/>
      <c r="AI2119" s="37"/>
      <c r="AJ2119" s="37"/>
      <c r="AK2119" s="37"/>
      <c r="AL2119" s="37"/>
      <c r="AM2119" s="37"/>
      <c r="AN2119" s="37"/>
      <c r="AO2119" s="37"/>
      <c r="AP2119" s="37"/>
      <c r="AQ2119" s="37"/>
      <c r="AR2119" s="37"/>
      <c r="AS2119" s="37"/>
      <c r="AT2119" s="37"/>
      <c r="AU2119" s="37"/>
      <c r="AV2119" s="37"/>
      <c r="AW2119" s="37"/>
      <c r="AX2119" s="37"/>
      <c r="AY2119" s="37"/>
      <c r="AZ2119" s="37"/>
      <c r="BA2119" s="37"/>
      <c r="BB2119" s="37"/>
      <c r="BC2119" s="37"/>
      <c r="BD2119" s="37"/>
      <c r="BE2119" s="37"/>
      <c r="BF2119" s="37"/>
      <c r="BG2119" s="37"/>
      <c r="BH2119" s="37"/>
      <c r="BI2119" s="37"/>
      <c r="BJ2119" s="37"/>
      <c r="BK2119" s="37"/>
      <c r="BL2119" s="37"/>
      <c r="BM2119" s="37"/>
    </row>
    <row r="2120" spans="1:65" s="40" customFormat="1" ht="23.25" x14ac:dyDescent="0.35">
      <c r="A2120" s="37"/>
      <c r="B2120" s="37"/>
      <c r="C2120" s="41"/>
      <c r="D2120" s="38"/>
      <c r="E2120" s="57"/>
      <c r="F2120" s="42"/>
      <c r="G2120" s="43"/>
      <c r="H2120" s="37"/>
      <c r="I2120" s="37"/>
      <c r="J2120" s="38"/>
      <c r="K2120" s="37"/>
      <c r="L2120" s="38"/>
      <c r="M2120" s="39"/>
      <c r="P2120" s="37"/>
      <c r="Q2120" s="37"/>
      <c r="R2120" s="37"/>
      <c r="S2120" s="37"/>
      <c r="T2120" s="37"/>
      <c r="U2120" s="37"/>
      <c r="V2120" s="37"/>
      <c r="W2120" s="37"/>
      <c r="X2120" s="37"/>
      <c r="Y2120" s="37"/>
      <c r="Z2120" s="37"/>
      <c r="AA2120" s="37"/>
      <c r="AB2120" s="37"/>
      <c r="AC2120" s="37"/>
      <c r="AD2120" s="37"/>
      <c r="AE2120" s="37"/>
      <c r="AF2120" s="37"/>
      <c r="AG2120" s="37"/>
      <c r="AH2120" s="37"/>
      <c r="AI2120" s="37"/>
      <c r="AJ2120" s="37"/>
      <c r="AK2120" s="37"/>
      <c r="AL2120" s="37"/>
      <c r="AM2120" s="37"/>
      <c r="AN2120" s="37"/>
      <c r="AO2120" s="37"/>
      <c r="AP2120" s="37"/>
      <c r="AQ2120" s="37"/>
      <c r="AR2120" s="37"/>
      <c r="AS2120" s="37"/>
      <c r="AT2120" s="37"/>
      <c r="AU2120" s="37"/>
      <c r="AV2120" s="37"/>
      <c r="AW2120" s="37"/>
      <c r="AX2120" s="37"/>
      <c r="AY2120" s="37"/>
      <c r="AZ2120" s="37"/>
      <c r="BA2120" s="37"/>
      <c r="BB2120" s="37"/>
      <c r="BC2120" s="37"/>
      <c r="BD2120" s="37"/>
      <c r="BE2120" s="37"/>
      <c r="BF2120" s="37"/>
      <c r="BG2120" s="37"/>
      <c r="BH2120" s="37"/>
      <c r="BI2120" s="37"/>
      <c r="BJ2120" s="37"/>
      <c r="BK2120" s="37"/>
      <c r="BL2120" s="37"/>
      <c r="BM2120" s="37"/>
    </row>
    <row r="2121" spans="1:65" s="40" customFormat="1" ht="23.25" x14ac:dyDescent="0.35">
      <c r="A2121" s="37"/>
      <c r="B2121" s="37"/>
      <c r="C2121" s="41"/>
      <c r="D2121" s="38"/>
      <c r="E2121" s="57"/>
      <c r="F2121" s="42"/>
      <c r="G2121" s="43"/>
      <c r="H2121" s="37"/>
      <c r="I2121" s="37"/>
      <c r="J2121" s="38"/>
      <c r="K2121" s="37"/>
      <c r="L2121" s="38"/>
      <c r="M2121" s="39"/>
      <c r="P2121" s="37"/>
      <c r="Q2121" s="37"/>
      <c r="R2121" s="37"/>
      <c r="S2121" s="37"/>
      <c r="T2121" s="37"/>
      <c r="U2121" s="37"/>
      <c r="V2121" s="37"/>
      <c r="W2121" s="37"/>
      <c r="X2121" s="37"/>
      <c r="Y2121" s="37"/>
      <c r="Z2121" s="37"/>
      <c r="AA2121" s="37"/>
      <c r="AB2121" s="37"/>
      <c r="AC2121" s="37"/>
      <c r="AD2121" s="37"/>
      <c r="AE2121" s="37"/>
      <c r="AF2121" s="37"/>
      <c r="AG2121" s="37"/>
      <c r="AH2121" s="37"/>
      <c r="AI2121" s="37"/>
      <c r="AJ2121" s="37"/>
      <c r="AK2121" s="37"/>
      <c r="AL2121" s="37"/>
      <c r="AM2121" s="37"/>
      <c r="AN2121" s="37"/>
      <c r="AO2121" s="37"/>
      <c r="AP2121" s="37"/>
      <c r="AQ2121" s="37"/>
      <c r="AR2121" s="37"/>
      <c r="AS2121" s="37"/>
      <c r="AT2121" s="37"/>
      <c r="AU2121" s="37"/>
      <c r="AV2121" s="37"/>
      <c r="AW2121" s="37"/>
      <c r="AX2121" s="37"/>
      <c r="AY2121" s="37"/>
      <c r="AZ2121" s="37"/>
      <c r="BA2121" s="37"/>
      <c r="BB2121" s="37"/>
      <c r="BC2121" s="37"/>
      <c r="BD2121" s="37"/>
      <c r="BE2121" s="37"/>
      <c r="BF2121" s="37"/>
      <c r="BG2121" s="37"/>
      <c r="BH2121" s="37"/>
      <c r="BI2121" s="37"/>
      <c r="BJ2121" s="37"/>
      <c r="BK2121" s="37"/>
      <c r="BL2121" s="37"/>
      <c r="BM2121" s="37"/>
    </row>
    <row r="2122" spans="1:65" s="40" customFormat="1" ht="23.25" x14ac:dyDescent="0.35">
      <c r="A2122" s="37"/>
      <c r="B2122" s="37"/>
      <c r="C2122" s="41"/>
      <c r="D2122" s="38"/>
      <c r="E2122" s="57"/>
      <c r="F2122" s="42"/>
      <c r="G2122" s="43"/>
      <c r="H2122" s="37"/>
      <c r="I2122" s="37"/>
      <c r="J2122" s="38"/>
      <c r="K2122" s="37"/>
      <c r="L2122" s="38"/>
      <c r="M2122" s="39"/>
      <c r="P2122" s="37"/>
      <c r="Q2122" s="37"/>
      <c r="R2122" s="37"/>
      <c r="S2122" s="37"/>
      <c r="T2122" s="37"/>
      <c r="U2122" s="37"/>
      <c r="V2122" s="37"/>
      <c r="W2122" s="37"/>
      <c r="X2122" s="37"/>
      <c r="Y2122" s="37"/>
      <c r="Z2122" s="37"/>
      <c r="AA2122" s="37"/>
      <c r="AB2122" s="37"/>
      <c r="AC2122" s="37"/>
      <c r="AD2122" s="37"/>
      <c r="AE2122" s="37"/>
      <c r="AF2122" s="37"/>
      <c r="AG2122" s="37"/>
      <c r="AH2122" s="37"/>
      <c r="AI2122" s="37"/>
      <c r="AJ2122" s="37"/>
      <c r="AK2122" s="37"/>
      <c r="AL2122" s="37"/>
      <c r="AM2122" s="37"/>
      <c r="AN2122" s="37"/>
      <c r="AO2122" s="37"/>
      <c r="AP2122" s="37"/>
      <c r="AQ2122" s="37"/>
      <c r="AR2122" s="37"/>
      <c r="AS2122" s="37"/>
      <c r="AT2122" s="37"/>
      <c r="AU2122" s="37"/>
      <c r="AV2122" s="37"/>
      <c r="AW2122" s="37"/>
      <c r="AX2122" s="37"/>
      <c r="AY2122" s="37"/>
      <c r="AZ2122" s="37"/>
      <c r="BA2122" s="37"/>
      <c r="BB2122" s="37"/>
      <c r="BC2122" s="37"/>
      <c r="BD2122" s="37"/>
      <c r="BE2122" s="37"/>
      <c r="BF2122" s="37"/>
      <c r="BG2122" s="37"/>
      <c r="BH2122" s="37"/>
      <c r="BI2122" s="37"/>
      <c r="BJ2122" s="37"/>
      <c r="BK2122" s="37"/>
      <c r="BL2122" s="37"/>
      <c r="BM2122" s="37"/>
    </row>
    <row r="2123" spans="1:65" s="40" customFormat="1" ht="23.25" x14ac:dyDescent="0.35">
      <c r="A2123" s="37"/>
      <c r="B2123" s="37"/>
      <c r="C2123" s="41"/>
      <c r="D2123" s="38"/>
      <c r="E2123" s="57"/>
      <c r="F2123" s="42"/>
      <c r="G2123" s="43"/>
      <c r="H2123" s="37"/>
      <c r="I2123" s="37"/>
      <c r="J2123" s="38"/>
      <c r="K2123" s="37"/>
      <c r="L2123" s="38"/>
      <c r="M2123" s="39"/>
      <c r="P2123" s="37"/>
      <c r="Q2123" s="37"/>
      <c r="R2123" s="37"/>
      <c r="S2123" s="37"/>
      <c r="T2123" s="37"/>
      <c r="U2123" s="37"/>
      <c r="V2123" s="37"/>
      <c r="W2123" s="37"/>
      <c r="X2123" s="37"/>
      <c r="Y2123" s="37"/>
      <c r="Z2123" s="37"/>
      <c r="AA2123" s="37"/>
      <c r="AB2123" s="37"/>
      <c r="AC2123" s="37"/>
      <c r="AD2123" s="37"/>
      <c r="AE2123" s="37"/>
      <c r="AF2123" s="37"/>
      <c r="AG2123" s="37"/>
      <c r="AH2123" s="37"/>
      <c r="AI2123" s="37"/>
      <c r="AJ2123" s="37"/>
      <c r="AK2123" s="37"/>
      <c r="AL2123" s="37"/>
      <c r="AM2123" s="37"/>
      <c r="AN2123" s="37"/>
      <c r="AO2123" s="37"/>
      <c r="AP2123" s="37"/>
      <c r="AQ2123" s="37"/>
      <c r="AR2123" s="37"/>
      <c r="AS2123" s="37"/>
      <c r="AT2123" s="37"/>
      <c r="AU2123" s="37"/>
      <c r="AV2123" s="37"/>
      <c r="AW2123" s="37"/>
      <c r="AX2123" s="37"/>
      <c r="AY2123" s="37"/>
      <c r="AZ2123" s="37"/>
      <c r="BA2123" s="37"/>
      <c r="BB2123" s="37"/>
      <c r="BC2123" s="37"/>
      <c r="BD2123" s="37"/>
      <c r="BE2123" s="37"/>
      <c r="BF2123" s="37"/>
      <c r="BG2123" s="37"/>
      <c r="BH2123" s="37"/>
      <c r="BI2123" s="37"/>
      <c r="BJ2123" s="37"/>
      <c r="BK2123" s="37"/>
      <c r="BL2123" s="37"/>
      <c r="BM2123" s="37"/>
    </row>
    <row r="2124" spans="1:65" s="40" customFormat="1" ht="23.25" x14ac:dyDescent="0.35">
      <c r="A2124" s="37"/>
      <c r="B2124" s="37"/>
      <c r="C2124" s="41"/>
      <c r="D2124" s="38"/>
      <c r="E2124" s="57"/>
      <c r="F2124" s="42"/>
      <c r="G2124" s="43"/>
      <c r="H2124" s="37"/>
      <c r="I2124" s="37"/>
      <c r="J2124" s="38"/>
      <c r="K2124" s="37"/>
      <c r="L2124" s="38"/>
      <c r="M2124" s="39"/>
      <c r="P2124" s="37"/>
      <c r="Q2124" s="37"/>
      <c r="R2124" s="37"/>
      <c r="S2124" s="37"/>
      <c r="T2124" s="37"/>
      <c r="U2124" s="37"/>
      <c r="V2124" s="37"/>
      <c r="W2124" s="37"/>
      <c r="X2124" s="37"/>
      <c r="Y2124" s="37"/>
      <c r="Z2124" s="37"/>
      <c r="AA2124" s="37"/>
      <c r="AB2124" s="37"/>
      <c r="AC2124" s="37"/>
      <c r="AD2124" s="37"/>
      <c r="AE2124" s="37"/>
      <c r="AF2124" s="37"/>
      <c r="AG2124" s="37"/>
      <c r="AH2124" s="37"/>
      <c r="AI2124" s="37"/>
      <c r="AJ2124" s="37"/>
      <c r="AK2124" s="37"/>
      <c r="AL2124" s="37"/>
      <c r="AM2124" s="37"/>
      <c r="AN2124" s="37"/>
      <c r="AO2124" s="37"/>
      <c r="AP2124" s="37"/>
      <c r="AQ2124" s="37"/>
      <c r="AR2124" s="37"/>
      <c r="AS2124" s="37"/>
      <c r="AT2124" s="37"/>
      <c r="AU2124" s="37"/>
      <c r="AV2124" s="37"/>
      <c r="AW2124" s="37"/>
      <c r="AX2124" s="37"/>
      <c r="AY2124" s="37"/>
      <c r="AZ2124" s="37"/>
      <c r="BA2124" s="37"/>
      <c r="BB2124" s="37"/>
      <c r="BC2124" s="37"/>
      <c r="BD2124" s="37"/>
      <c r="BE2124" s="37"/>
      <c r="BF2124" s="37"/>
      <c r="BG2124" s="37"/>
      <c r="BH2124" s="37"/>
      <c r="BI2124" s="37"/>
      <c r="BJ2124" s="37"/>
      <c r="BK2124" s="37"/>
      <c r="BL2124" s="37"/>
      <c r="BM2124" s="37"/>
    </row>
    <row r="2125" spans="1:65" s="40" customFormat="1" ht="23.25" x14ac:dyDescent="0.35">
      <c r="A2125" s="37"/>
      <c r="B2125" s="37"/>
      <c r="C2125" s="41"/>
      <c r="D2125" s="38"/>
      <c r="E2125" s="57"/>
      <c r="F2125" s="42"/>
      <c r="G2125" s="43"/>
      <c r="H2125" s="37"/>
      <c r="I2125" s="37"/>
      <c r="J2125" s="38"/>
      <c r="K2125" s="37"/>
      <c r="L2125" s="38"/>
      <c r="M2125" s="39"/>
      <c r="P2125" s="37"/>
      <c r="Q2125" s="37"/>
      <c r="R2125" s="37"/>
      <c r="S2125" s="37"/>
      <c r="T2125" s="37"/>
      <c r="U2125" s="37"/>
      <c r="V2125" s="37"/>
      <c r="W2125" s="37"/>
      <c r="X2125" s="37"/>
      <c r="Y2125" s="37"/>
      <c r="Z2125" s="37"/>
      <c r="AA2125" s="37"/>
      <c r="AB2125" s="37"/>
      <c r="AC2125" s="37"/>
      <c r="AD2125" s="37"/>
      <c r="AE2125" s="37"/>
      <c r="AF2125" s="37"/>
      <c r="AG2125" s="37"/>
      <c r="AH2125" s="37"/>
      <c r="AI2125" s="37"/>
      <c r="AJ2125" s="37"/>
      <c r="AK2125" s="37"/>
      <c r="AL2125" s="37"/>
      <c r="AM2125" s="37"/>
      <c r="AN2125" s="37"/>
      <c r="AO2125" s="37"/>
      <c r="AP2125" s="37"/>
      <c r="AQ2125" s="37"/>
      <c r="AR2125" s="37"/>
      <c r="AS2125" s="37"/>
      <c r="AT2125" s="37"/>
      <c r="AU2125" s="37"/>
      <c r="AV2125" s="37"/>
      <c r="AW2125" s="37"/>
      <c r="AX2125" s="37"/>
      <c r="AY2125" s="37"/>
      <c r="AZ2125" s="37"/>
      <c r="BA2125" s="37"/>
      <c r="BB2125" s="37"/>
      <c r="BC2125" s="37"/>
      <c r="BD2125" s="37"/>
      <c r="BE2125" s="37"/>
      <c r="BF2125" s="37"/>
      <c r="BG2125" s="37"/>
      <c r="BH2125" s="37"/>
      <c r="BI2125" s="37"/>
      <c r="BJ2125" s="37"/>
      <c r="BK2125" s="37"/>
      <c r="BL2125" s="37"/>
      <c r="BM2125" s="37"/>
    </row>
    <row r="2126" spans="1:65" s="40" customFormat="1" ht="23.25" x14ac:dyDescent="0.35">
      <c r="A2126" s="37"/>
      <c r="B2126" s="37"/>
      <c r="C2126" s="41"/>
      <c r="D2126" s="38"/>
      <c r="E2126" s="57"/>
      <c r="F2126" s="42"/>
      <c r="G2126" s="43"/>
      <c r="H2126" s="37"/>
      <c r="I2126" s="37"/>
      <c r="J2126" s="38"/>
      <c r="K2126" s="37"/>
      <c r="L2126" s="38"/>
      <c r="M2126" s="39"/>
      <c r="P2126" s="37"/>
      <c r="Q2126" s="37"/>
      <c r="R2126" s="37"/>
      <c r="S2126" s="37"/>
      <c r="T2126" s="37"/>
      <c r="U2126" s="37"/>
      <c r="V2126" s="37"/>
      <c r="W2126" s="37"/>
      <c r="X2126" s="37"/>
      <c r="Y2126" s="37"/>
      <c r="Z2126" s="37"/>
      <c r="AA2126" s="37"/>
      <c r="AB2126" s="37"/>
      <c r="AC2126" s="37"/>
      <c r="AD2126" s="37"/>
      <c r="AE2126" s="37"/>
      <c r="AF2126" s="37"/>
      <c r="AG2126" s="37"/>
      <c r="AH2126" s="37"/>
      <c r="AI2126" s="37"/>
      <c r="AJ2126" s="37"/>
      <c r="AK2126" s="37"/>
      <c r="AL2126" s="37"/>
      <c r="AM2126" s="37"/>
      <c r="AN2126" s="37"/>
      <c r="AO2126" s="37"/>
      <c r="AP2126" s="37"/>
      <c r="AQ2126" s="37"/>
      <c r="AR2126" s="37"/>
      <c r="AS2126" s="37"/>
      <c r="AT2126" s="37"/>
      <c r="AU2126" s="37"/>
      <c r="AV2126" s="37"/>
      <c r="AW2126" s="37"/>
      <c r="AX2126" s="37"/>
      <c r="AY2126" s="37"/>
      <c r="AZ2126" s="37"/>
      <c r="BA2126" s="37"/>
      <c r="BB2126" s="37"/>
      <c r="BC2126" s="37"/>
      <c r="BD2126" s="37"/>
      <c r="BE2126" s="37"/>
      <c r="BF2126" s="37"/>
      <c r="BG2126" s="37"/>
      <c r="BH2126" s="37"/>
      <c r="BI2126" s="37"/>
      <c r="BJ2126" s="37"/>
      <c r="BK2126" s="37"/>
      <c r="BL2126" s="37"/>
      <c r="BM2126" s="37"/>
    </row>
    <row r="2127" spans="1:65" s="40" customFormat="1" ht="23.25" x14ac:dyDescent="0.35">
      <c r="A2127" s="37"/>
      <c r="B2127" s="37"/>
      <c r="C2127" s="41"/>
      <c r="D2127" s="38"/>
      <c r="E2127" s="57"/>
      <c r="F2127" s="42"/>
      <c r="G2127" s="43"/>
      <c r="H2127" s="37"/>
      <c r="I2127" s="37"/>
      <c r="J2127" s="38"/>
      <c r="K2127" s="37"/>
      <c r="L2127" s="38"/>
      <c r="M2127" s="39"/>
      <c r="P2127" s="37"/>
      <c r="Q2127" s="37"/>
      <c r="R2127" s="37"/>
      <c r="S2127" s="37"/>
      <c r="T2127" s="37"/>
      <c r="U2127" s="37"/>
      <c r="V2127" s="37"/>
      <c r="W2127" s="37"/>
      <c r="X2127" s="37"/>
      <c r="Y2127" s="37"/>
      <c r="Z2127" s="37"/>
      <c r="AA2127" s="37"/>
      <c r="AB2127" s="37"/>
      <c r="AC2127" s="37"/>
      <c r="AD2127" s="37"/>
      <c r="AE2127" s="37"/>
      <c r="AF2127" s="37"/>
      <c r="AG2127" s="37"/>
      <c r="AH2127" s="37"/>
      <c r="AI2127" s="37"/>
      <c r="AJ2127" s="37"/>
      <c r="AK2127" s="37"/>
      <c r="AL2127" s="37"/>
      <c r="AM2127" s="37"/>
      <c r="AN2127" s="37"/>
      <c r="AO2127" s="37"/>
      <c r="AP2127" s="37"/>
      <c r="AQ2127" s="37"/>
      <c r="AR2127" s="37"/>
      <c r="AS2127" s="37"/>
      <c r="AT2127" s="37"/>
      <c r="AU2127" s="37"/>
      <c r="AV2127" s="37"/>
      <c r="AW2127" s="37"/>
      <c r="AX2127" s="37"/>
      <c r="AY2127" s="37"/>
      <c r="AZ2127" s="37"/>
      <c r="BA2127" s="37"/>
      <c r="BB2127" s="37"/>
      <c r="BC2127" s="37"/>
      <c r="BD2127" s="37"/>
      <c r="BE2127" s="37"/>
      <c r="BF2127" s="37"/>
      <c r="BG2127" s="37"/>
      <c r="BH2127" s="37"/>
      <c r="BI2127" s="37"/>
      <c r="BJ2127" s="37"/>
      <c r="BK2127" s="37"/>
      <c r="BL2127" s="37"/>
      <c r="BM2127" s="37"/>
    </row>
    <row r="2128" spans="1:65" s="40" customFormat="1" ht="23.25" x14ac:dyDescent="0.35">
      <c r="A2128" s="37"/>
      <c r="B2128" s="37"/>
      <c r="C2128" s="41"/>
      <c r="D2128" s="38"/>
      <c r="E2128" s="57"/>
      <c r="F2128" s="42"/>
      <c r="G2128" s="43"/>
      <c r="H2128" s="37"/>
      <c r="I2128" s="37"/>
      <c r="J2128" s="38"/>
      <c r="K2128" s="37"/>
      <c r="L2128" s="38"/>
      <c r="M2128" s="39"/>
      <c r="P2128" s="37"/>
      <c r="Q2128" s="37"/>
      <c r="R2128" s="37"/>
      <c r="S2128" s="37"/>
      <c r="T2128" s="37"/>
      <c r="U2128" s="37"/>
      <c r="V2128" s="37"/>
      <c r="W2128" s="37"/>
      <c r="X2128" s="37"/>
      <c r="Y2128" s="37"/>
      <c r="Z2128" s="37"/>
      <c r="AA2128" s="37"/>
      <c r="AB2128" s="37"/>
      <c r="AC2128" s="37"/>
      <c r="AD2128" s="37"/>
      <c r="AE2128" s="37"/>
      <c r="AF2128" s="37"/>
      <c r="AG2128" s="37"/>
      <c r="AH2128" s="37"/>
      <c r="AI2128" s="37"/>
      <c r="AJ2128" s="37"/>
      <c r="AK2128" s="37"/>
      <c r="AL2128" s="37"/>
      <c r="AM2128" s="37"/>
      <c r="AN2128" s="37"/>
      <c r="AO2128" s="37"/>
      <c r="AP2128" s="37"/>
      <c r="AQ2128" s="37"/>
      <c r="AR2128" s="37"/>
      <c r="AS2128" s="37"/>
      <c r="AT2128" s="37"/>
      <c r="AU2128" s="37"/>
      <c r="AV2128" s="37"/>
      <c r="AW2128" s="37"/>
      <c r="AX2128" s="37"/>
      <c r="AY2128" s="37"/>
      <c r="AZ2128" s="37"/>
      <c r="BA2128" s="37"/>
      <c r="BB2128" s="37"/>
      <c r="BC2128" s="37"/>
      <c r="BD2128" s="37"/>
      <c r="BE2128" s="37"/>
      <c r="BF2128" s="37"/>
      <c r="BG2128" s="37"/>
      <c r="BH2128" s="37"/>
      <c r="BI2128" s="37"/>
      <c r="BJ2128" s="37"/>
      <c r="BK2128" s="37"/>
      <c r="BL2128" s="37"/>
      <c r="BM2128" s="37"/>
    </row>
    <row r="2129" spans="1:65" s="40" customFormat="1" ht="23.25" x14ac:dyDescent="0.35">
      <c r="A2129" s="37"/>
      <c r="B2129" s="37"/>
      <c r="C2129" s="41"/>
      <c r="D2129" s="38"/>
      <c r="E2129" s="57"/>
      <c r="F2129" s="42"/>
      <c r="G2129" s="43"/>
      <c r="H2129" s="37"/>
      <c r="I2129" s="37"/>
      <c r="J2129" s="38"/>
      <c r="K2129" s="37"/>
      <c r="L2129" s="38"/>
      <c r="M2129" s="39"/>
      <c r="P2129" s="37"/>
      <c r="Q2129" s="37"/>
      <c r="R2129" s="37"/>
      <c r="S2129" s="37"/>
      <c r="T2129" s="37"/>
      <c r="U2129" s="37"/>
      <c r="V2129" s="37"/>
      <c r="W2129" s="37"/>
      <c r="X2129" s="37"/>
      <c r="Y2129" s="37"/>
      <c r="Z2129" s="37"/>
      <c r="AA2129" s="37"/>
      <c r="AB2129" s="37"/>
      <c r="AC2129" s="37"/>
      <c r="AD2129" s="37"/>
      <c r="AE2129" s="37"/>
      <c r="AF2129" s="37"/>
      <c r="AG2129" s="37"/>
      <c r="AH2129" s="37"/>
      <c r="AI2129" s="37"/>
      <c r="AJ2129" s="37"/>
      <c r="AK2129" s="37"/>
      <c r="AL2129" s="37"/>
      <c r="AM2129" s="37"/>
      <c r="AN2129" s="37"/>
      <c r="AO2129" s="37"/>
      <c r="AP2129" s="37"/>
      <c r="AQ2129" s="37"/>
      <c r="AR2129" s="37"/>
      <c r="AS2129" s="37"/>
      <c r="AT2129" s="37"/>
      <c r="AU2129" s="37"/>
      <c r="AV2129" s="37"/>
      <c r="AW2129" s="37"/>
      <c r="AX2129" s="37"/>
      <c r="AY2129" s="37"/>
      <c r="AZ2129" s="37"/>
      <c r="BA2129" s="37"/>
      <c r="BB2129" s="37"/>
      <c r="BC2129" s="37"/>
      <c r="BD2129" s="37"/>
      <c r="BE2129" s="37"/>
      <c r="BF2129" s="37"/>
      <c r="BG2129" s="37"/>
      <c r="BH2129" s="37"/>
      <c r="BI2129" s="37"/>
      <c r="BJ2129" s="37"/>
      <c r="BK2129" s="37"/>
      <c r="BL2129" s="37"/>
      <c r="BM2129" s="37"/>
    </row>
    <row r="2130" spans="1:65" s="40" customFormat="1" ht="23.25" x14ac:dyDescent="0.35">
      <c r="A2130" s="37"/>
      <c r="B2130" s="37"/>
      <c r="C2130" s="41"/>
      <c r="D2130" s="38"/>
      <c r="E2130" s="57"/>
      <c r="F2130" s="42"/>
      <c r="G2130" s="43"/>
      <c r="H2130" s="37"/>
      <c r="I2130" s="37"/>
      <c r="J2130" s="38"/>
      <c r="K2130" s="37"/>
      <c r="L2130" s="38"/>
      <c r="M2130" s="39"/>
      <c r="P2130" s="37"/>
      <c r="Q2130" s="37"/>
      <c r="R2130" s="37"/>
      <c r="S2130" s="37"/>
      <c r="T2130" s="37"/>
      <c r="U2130" s="37"/>
      <c r="V2130" s="37"/>
      <c r="W2130" s="37"/>
      <c r="X2130" s="37"/>
      <c r="Y2130" s="37"/>
      <c r="Z2130" s="37"/>
      <c r="AA2130" s="37"/>
      <c r="AB2130" s="37"/>
      <c r="AC2130" s="37"/>
      <c r="AD2130" s="37"/>
      <c r="AE2130" s="37"/>
      <c r="AF2130" s="37"/>
      <c r="AG2130" s="37"/>
      <c r="AH2130" s="37"/>
      <c r="AI2130" s="37"/>
      <c r="AJ2130" s="37"/>
      <c r="AK2130" s="37"/>
      <c r="AL2130" s="37"/>
      <c r="AM2130" s="37"/>
      <c r="AN2130" s="37"/>
      <c r="AO2130" s="37"/>
      <c r="AP2130" s="37"/>
      <c r="AQ2130" s="37"/>
      <c r="AR2130" s="37"/>
      <c r="AS2130" s="37"/>
      <c r="AT2130" s="37"/>
      <c r="AU2130" s="37"/>
      <c r="AV2130" s="37"/>
      <c r="AW2130" s="37"/>
      <c r="AX2130" s="37"/>
      <c r="AY2130" s="37"/>
      <c r="AZ2130" s="37"/>
      <c r="BA2130" s="37"/>
      <c r="BB2130" s="37"/>
      <c r="BC2130" s="37"/>
      <c r="BD2130" s="37"/>
      <c r="BE2130" s="37"/>
      <c r="BF2130" s="37"/>
      <c r="BG2130" s="37"/>
      <c r="BH2130" s="37"/>
      <c r="BI2130" s="37"/>
      <c r="BJ2130" s="37"/>
      <c r="BK2130" s="37"/>
      <c r="BL2130" s="37"/>
      <c r="BM2130" s="37"/>
    </row>
    <row r="2131" spans="1:65" s="40" customFormat="1" ht="23.25" x14ac:dyDescent="0.35">
      <c r="A2131" s="37"/>
      <c r="B2131" s="37"/>
      <c r="C2131" s="41"/>
      <c r="D2131" s="38"/>
      <c r="E2131" s="57"/>
      <c r="F2131" s="42"/>
      <c r="G2131" s="43"/>
      <c r="H2131" s="37"/>
      <c r="I2131" s="37"/>
      <c r="J2131" s="38"/>
      <c r="K2131" s="37"/>
      <c r="L2131" s="38"/>
      <c r="M2131" s="39"/>
      <c r="P2131" s="37"/>
      <c r="Q2131" s="37"/>
      <c r="R2131" s="37"/>
      <c r="S2131" s="37"/>
      <c r="T2131" s="37"/>
      <c r="U2131" s="37"/>
      <c r="V2131" s="37"/>
      <c r="W2131" s="37"/>
      <c r="X2131" s="37"/>
      <c r="Y2131" s="37"/>
      <c r="Z2131" s="37"/>
      <c r="AA2131" s="37"/>
      <c r="AB2131" s="37"/>
      <c r="AC2131" s="37"/>
      <c r="AD2131" s="37"/>
      <c r="AE2131" s="37"/>
      <c r="AF2131" s="37"/>
      <c r="AG2131" s="37"/>
      <c r="AH2131" s="37"/>
      <c r="AI2131" s="37"/>
      <c r="AJ2131" s="37"/>
      <c r="AK2131" s="37"/>
      <c r="AL2131" s="37"/>
      <c r="AM2131" s="37"/>
      <c r="AN2131" s="37"/>
      <c r="AO2131" s="37"/>
      <c r="AP2131" s="37"/>
      <c r="AQ2131" s="37"/>
      <c r="AR2131" s="37"/>
      <c r="AS2131" s="37"/>
      <c r="AT2131" s="37"/>
      <c r="AU2131" s="37"/>
      <c r="AV2131" s="37"/>
      <c r="AW2131" s="37"/>
      <c r="AX2131" s="37"/>
      <c r="AY2131" s="37"/>
      <c r="AZ2131" s="37"/>
      <c r="BA2131" s="37"/>
      <c r="BB2131" s="37"/>
      <c r="BC2131" s="37"/>
      <c r="BD2131" s="37"/>
      <c r="BE2131" s="37"/>
      <c r="BF2131" s="37"/>
      <c r="BG2131" s="37"/>
      <c r="BH2131" s="37"/>
      <c r="BI2131" s="37"/>
      <c r="BJ2131" s="37"/>
      <c r="BK2131" s="37"/>
      <c r="BL2131" s="37"/>
      <c r="BM2131" s="37"/>
    </row>
    <row r="2132" spans="1:65" s="40" customFormat="1" ht="23.25" x14ac:dyDescent="0.35">
      <c r="A2132" s="37"/>
      <c r="B2132" s="37"/>
      <c r="C2132" s="41"/>
      <c r="D2132" s="38"/>
      <c r="E2132" s="57"/>
      <c r="F2132" s="42"/>
      <c r="G2132" s="43"/>
      <c r="H2132" s="37"/>
      <c r="I2132" s="37"/>
      <c r="J2132" s="38"/>
      <c r="K2132" s="37"/>
      <c r="L2132" s="38"/>
      <c r="M2132" s="39"/>
      <c r="P2132" s="37"/>
      <c r="Q2132" s="37"/>
      <c r="R2132" s="37"/>
      <c r="S2132" s="37"/>
      <c r="T2132" s="37"/>
      <c r="U2132" s="37"/>
      <c r="V2132" s="37"/>
      <c r="W2132" s="37"/>
      <c r="X2132" s="37"/>
      <c r="Y2132" s="37"/>
      <c r="Z2132" s="37"/>
      <c r="AA2132" s="37"/>
      <c r="AB2132" s="37"/>
      <c r="AC2132" s="37"/>
      <c r="AD2132" s="37"/>
      <c r="AE2132" s="37"/>
      <c r="AF2132" s="37"/>
      <c r="AG2132" s="37"/>
      <c r="AH2132" s="37"/>
      <c r="AI2132" s="37"/>
      <c r="AJ2132" s="37"/>
      <c r="AK2132" s="37"/>
      <c r="AL2132" s="37"/>
      <c r="AM2132" s="37"/>
      <c r="AN2132" s="37"/>
      <c r="AO2132" s="37"/>
      <c r="AP2132" s="37"/>
      <c r="AQ2132" s="37"/>
      <c r="AR2132" s="37"/>
      <c r="AS2132" s="37"/>
      <c r="AT2132" s="37"/>
      <c r="AU2132" s="37"/>
      <c r="AV2132" s="37"/>
      <c r="AW2132" s="37"/>
      <c r="AX2132" s="37"/>
      <c r="AY2132" s="37"/>
      <c r="AZ2132" s="37"/>
      <c r="BA2132" s="37"/>
      <c r="BB2132" s="37"/>
      <c r="BC2132" s="37"/>
      <c r="BD2132" s="37"/>
      <c r="BE2132" s="37"/>
      <c r="BF2132" s="37"/>
      <c r="BG2132" s="37"/>
      <c r="BH2132" s="37"/>
      <c r="BI2132" s="37"/>
      <c r="BJ2132" s="37"/>
      <c r="BK2132" s="37"/>
      <c r="BL2132" s="37"/>
      <c r="BM2132" s="37"/>
    </row>
    <row r="2133" spans="1:65" s="40" customFormat="1" ht="23.25" x14ac:dyDescent="0.35">
      <c r="A2133" s="37"/>
      <c r="B2133" s="37"/>
      <c r="C2133" s="41"/>
      <c r="D2133" s="38"/>
      <c r="E2133" s="57"/>
      <c r="F2133" s="42"/>
      <c r="G2133" s="43"/>
      <c r="H2133" s="37"/>
      <c r="I2133" s="37"/>
      <c r="J2133" s="38"/>
      <c r="K2133" s="37"/>
      <c r="L2133" s="38"/>
      <c r="M2133" s="39"/>
      <c r="P2133" s="37"/>
      <c r="Q2133" s="37"/>
      <c r="R2133" s="37"/>
      <c r="S2133" s="37"/>
      <c r="T2133" s="37"/>
      <c r="U2133" s="37"/>
      <c r="V2133" s="37"/>
      <c r="W2133" s="37"/>
      <c r="X2133" s="37"/>
      <c r="Y2133" s="37"/>
      <c r="Z2133" s="37"/>
      <c r="AA2133" s="37"/>
      <c r="AB2133" s="37"/>
      <c r="AC2133" s="37"/>
      <c r="AD2133" s="37"/>
      <c r="AE2133" s="37"/>
      <c r="AF2133" s="37"/>
      <c r="AG2133" s="37"/>
      <c r="AH2133" s="37"/>
      <c r="AI2133" s="37"/>
      <c r="AJ2133" s="37"/>
      <c r="AK2133" s="37"/>
      <c r="AL2133" s="37"/>
      <c r="AM2133" s="37"/>
      <c r="AN2133" s="37"/>
      <c r="AO2133" s="37"/>
      <c r="AP2133" s="37"/>
      <c r="AQ2133" s="37"/>
      <c r="AR2133" s="37"/>
      <c r="AS2133" s="37"/>
      <c r="AT2133" s="37"/>
      <c r="AU2133" s="37"/>
      <c r="AV2133" s="37"/>
      <c r="AW2133" s="37"/>
      <c r="AX2133" s="37"/>
      <c r="AY2133" s="37"/>
      <c r="AZ2133" s="37"/>
      <c r="BA2133" s="37"/>
      <c r="BB2133" s="37"/>
      <c r="BC2133" s="37"/>
      <c r="BD2133" s="37"/>
      <c r="BE2133" s="37"/>
      <c r="BF2133" s="37"/>
      <c r="BG2133" s="37"/>
      <c r="BH2133" s="37"/>
      <c r="BI2133" s="37"/>
      <c r="BJ2133" s="37"/>
      <c r="BK2133" s="37"/>
      <c r="BL2133" s="37"/>
      <c r="BM2133" s="37"/>
    </row>
    <row r="2134" spans="1:65" s="40" customFormat="1" ht="23.25" x14ac:dyDescent="0.35">
      <c r="A2134" s="37"/>
      <c r="B2134" s="37"/>
      <c r="C2134" s="41"/>
      <c r="D2134" s="38"/>
      <c r="E2134" s="57"/>
      <c r="F2134" s="42"/>
      <c r="G2134" s="43"/>
      <c r="H2134" s="37"/>
      <c r="I2134" s="37"/>
      <c r="J2134" s="38"/>
      <c r="K2134" s="37"/>
      <c r="L2134" s="38"/>
      <c r="M2134" s="39"/>
      <c r="P2134" s="37"/>
      <c r="Q2134" s="37"/>
      <c r="R2134" s="37"/>
      <c r="S2134" s="37"/>
      <c r="T2134" s="37"/>
      <c r="U2134" s="37"/>
      <c r="V2134" s="37"/>
      <c r="W2134" s="37"/>
      <c r="X2134" s="37"/>
      <c r="Y2134" s="37"/>
      <c r="Z2134" s="37"/>
      <c r="AA2134" s="37"/>
      <c r="AB2134" s="37"/>
      <c r="AC2134" s="37"/>
      <c r="AD2134" s="37"/>
      <c r="AE2134" s="37"/>
      <c r="AF2134" s="37"/>
      <c r="AG2134" s="37"/>
      <c r="AH2134" s="37"/>
      <c r="AI2134" s="37"/>
      <c r="AJ2134" s="37"/>
      <c r="AK2134" s="37"/>
      <c r="AL2134" s="37"/>
      <c r="AM2134" s="37"/>
      <c r="AN2134" s="37"/>
      <c r="AO2134" s="37"/>
      <c r="AP2134" s="37"/>
      <c r="AQ2134" s="37"/>
      <c r="AR2134" s="37"/>
      <c r="AS2134" s="37"/>
      <c r="AT2134" s="37"/>
      <c r="AU2134" s="37"/>
      <c r="AV2134" s="37"/>
      <c r="AW2134" s="37"/>
      <c r="AX2134" s="37"/>
      <c r="AY2134" s="37"/>
      <c r="AZ2134" s="37"/>
      <c r="BA2134" s="37"/>
      <c r="BB2134" s="37"/>
      <c r="BC2134" s="37"/>
      <c r="BD2134" s="37"/>
      <c r="BE2134" s="37"/>
      <c r="BF2134" s="37"/>
      <c r="BG2134" s="37"/>
      <c r="BH2134" s="37"/>
      <c r="BI2134" s="37"/>
      <c r="BJ2134" s="37"/>
      <c r="BK2134" s="37"/>
      <c r="BL2134" s="37"/>
      <c r="BM2134" s="37"/>
    </row>
    <row r="2135" spans="1:65" s="40" customFormat="1" ht="23.25" x14ac:dyDescent="0.35">
      <c r="A2135" s="37"/>
      <c r="B2135" s="37"/>
      <c r="C2135" s="41"/>
      <c r="D2135" s="38"/>
      <c r="E2135" s="57"/>
      <c r="F2135" s="42"/>
      <c r="G2135" s="43"/>
      <c r="H2135" s="37"/>
      <c r="I2135" s="37"/>
      <c r="J2135" s="38"/>
      <c r="K2135" s="37"/>
      <c r="L2135" s="38"/>
      <c r="M2135" s="39"/>
      <c r="P2135" s="37"/>
      <c r="Q2135" s="37"/>
      <c r="R2135" s="37"/>
      <c r="S2135" s="37"/>
      <c r="T2135" s="37"/>
      <c r="U2135" s="37"/>
      <c r="V2135" s="37"/>
      <c r="W2135" s="37"/>
      <c r="X2135" s="37"/>
      <c r="Y2135" s="37"/>
      <c r="Z2135" s="37"/>
      <c r="AA2135" s="37"/>
      <c r="AB2135" s="37"/>
      <c r="AC2135" s="37"/>
      <c r="AD2135" s="37"/>
      <c r="AE2135" s="37"/>
      <c r="AF2135" s="37"/>
      <c r="AG2135" s="37"/>
      <c r="AH2135" s="37"/>
      <c r="AI2135" s="37"/>
      <c r="AJ2135" s="37"/>
      <c r="AK2135" s="37"/>
      <c r="AL2135" s="37"/>
      <c r="AM2135" s="37"/>
      <c r="AN2135" s="37"/>
      <c r="AO2135" s="37"/>
      <c r="AP2135" s="37"/>
      <c r="AQ2135" s="37"/>
      <c r="AR2135" s="37"/>
      <c r="AS2135" s="37"/>
      <c r="AT2135" s="37"/>
      <c r="AU2135" s="37"/>
      <c r="AV2135" s="37"/>
      <c r="AW2135" s="37"/>
      <c r="AX2135" s="37"/>
      <c r="AY2135" s="37"/>
      <c r="AZ2135" s="37"/>
      <c r="BA2135" s="37"/>
      <c r="BB2135" s="37"/>
      <c r="BC2135" s="37"/>
      <c r="BD2135" s="37"/>
      <c r="BE2135" s="37"/>
      <c r="BF2135" s="37"/>
      <c r="BG2135" s="37"/>
      <c r="BH2135" s="37"/>
      <c r="BI2135" s="37"/>
      <c r="BJ2135" s="37"/>
      <c r="BK2135" s="37"/>
      <c r="BL2135" s="37"/>
      <c r="BM2135" s="37"/>
    </row>
    <row r="2136" spans="1:65" s="40" customFormat="1" ht="23.25" x14ac:dyDescent="0.35">
      <c r="A2136" s="37"/>
      <c r="B2136" s="37"/>
      <c r="C2136" s="41"/>
      <c r="D2136" s="38"/>
      <c r="E2136" s="57"/>
      <c r="F2136" s="42"/>
      <c r="G2136" s="43"/>
      <c r="H2136" s="37"/>
      <c r="I2136" s="37"/>
      <c r="J2136" s="38"/>
      <c r="K2136" s="37"/>
      <c r="L2136" s="38"/>
      <c r="M2136" s="39"/>
      <c r="P2136" s="37"/>
      <c r="Q2136" s="37"/>
      <c r="R2136" s="37"/>
      <c r="S2136" s="37"/>
      <c r="T2136" s="37"/>
      <c r="U2136" s="37"/>
      <c r="V2136" s="37"/>
      <c r="W2136" s="37"/>
      <c r="X2136" s="37"/>
      <c r="Y2136" s="37"/>
      <c r="Z2136" s="37"/>
      <c r="AA2136" s="37"/>
      <c r="AB2136" s="37"/>
      <c r="AC2136" s="37"/>
      <c r="AD2136" s="37"/>
      <c r="AE2136" s="37"/>
      <c r="AF2136" s="37"/>
      <c r="AG2136" s="37"/>
      <c r="AH2136" s="37"/>
      <c r="AI2136" s="37"/>
      <c r="AJ2136" s="37"/>
      <c r="AK2136" s="37"/>
      <c r="AL2136" s="37"/>
      <c r="AM2136" s="37"/>
      <c r="AN2136" s="37"/>
      <c r="AO2136" s="37"/>
      <c r="AP2136" s="37"/>
      <c r="AQ2136" s="37"/>
      <c r="AR2136" s="37"/>
      <c r="AS2136" s="37"/>
      <c r="AT2136" s="37"/>
      <c r="AU2136" s="37"/>
      <c r="AV2136" s="37"/>
      <c r="AW2136" s="37"/>
      <c r="AX2136" s="37"/>
      <c r="AY2136" s="37"/>
      <c r="AZ2136" s="37"/>
      <c r="BA2136" s="37"/>
      <c r="BB2136" s="37"/>
      <c r="BC2136" s="37"/>
      <c r="BD2136" s="37"/>
      <c r="BE2136" s="37"/>
      <c r="BF2136" s="37"/>
      <c r="BG2136" s="37"/>
      <c r="BH2136" s="37"/>
      <c r="BI2136" s="37"/>
      <c r="BJ2136" s="37"/>
      <c r="BK2136" s="37"/>
      <c r="BL2136" s="37"/>
      <c r="BM2136" s="37"/>
    </row>
    <row r="2137" spans="1:65" s="40" customFormat="1" ht="23.25" x14ac:dyDescent="0.35">
      <c r="A2137" s="37"/>
      <c r="B2137" s="37"/>
      <c r="C2137" s="41"/>
      <c r="D2137" s="38"/>
      <c r="E2137" s="57"/>
      <c r="F2137" s="42"/>
      <c r="G2137" s="43"/>
      <c r="H2137" s="37"/>
      <c r="I2137" s="37"/>
      <c r="J2137" s="38"/>
      <c r="K2137" s="37"/>
      <c r="L2137" s="38"/>
      <c r="M2137" s="39"/>
      <c r="P2137" s="37"/>
      <c r="Q2137" s="37"/>
      <c r="R2137" s="37"/>
      <c r="S2137" s="37"/>
      <c r="T2137" s="37"/>
      <c r="U2137" s="37"/>
      <c r="V2137" s="37"/>
      <c r="W2137" s="37"/>
      <c r="X2137" s="37"/>
      <c r="Y2137" s="37"/>
      <c r="Z2137" s="37"/>
      <c r="AA2137" s="37"/>
      <c r="AB2137" s="37"/>
      <c r="AC2137" s="37"/>
      <c r="AD2137" s="37"/>
      <c r="AE2137" s="37"/>
      <c r="AF2137" s="37"/>
      <c r="AG2137" s="37"/>
      <c r="AH2137" s="37"/>
      <c r="AI2137" s="37"/>
      <c r="AJ2137" s="37"/>
      <c r="AK2137" s="37"/>
      <c r="AL2137" s="37"/>
      <c r="AM2137" s="37"/>
      <c r="AN2137" s="37"/>
      <c r="AO2137" s="37"/>
      <c r="AP2137" s="37"/>
      <c r="AQ2137" s="37"/>
      <c r="AR2137" s="37"/>
      <c r="AS2137" s="37"/>
      <c r="AT2137" s="37"/>
      <c r="AU2137" s="37"/>
      <c r="AV2137" s="37"/>
      <c r="AW2137" s="37"/>
      <c r="AX2137" s="37"/>
      <c r="AY2137" s="37"/>
      <c r="AZ2137" s="37"/>
      <c r="BA2137" s="37"/>
      <c r="BB2137" s="37"/>
      <c r="BC2137" s="37"/>
      <c r="BD2137" s="37"/>
      <c r="BE2137" s="37"/>
      <c r="BF2137" s="37"/>
      <c r="BG2137" s="37"/>
      <c r="BH2137" s="37"/>
      <c r="BI2137" s="37"/>
      <c r="BJ2137" s="37"/>
      <c r="BK2137" s="37"/>
      <c r="BL2137" s="37"/>
      <c r="BM2137" s="37"/>
    </row>
    <row r="2138" spans="1:65" s="40" customFormat="1" ht="23.25" x14ac:dyDescent="0.35">
      <c r="A2138" s="37"/>
      <c r="B2138" s="37"/>
      <c r="C2138" s="41"/>
      <c r="D2138" s="38"/>
      <c r="E2138" s="57"/>
      <c r="F2138" s="42"/>
      <c r="G2138" s="43"/>
      <c r="H2138" s="37"/>
      <c r="I2138" s="37"/>
      <c r="J2138" s="38"/>
      <c r="K2138" s="37"/>
      <c r="L2138" s="38"/>
      <c r="M2138" s="39"/>
      <c r="P2138" s="37"/>
      <c r="Q2138" s="37"/>
      <c r="R2138" s="37"/>
      <c r="S2138" s="37"/>
      <c r="T2138" s="37"/>
      <c r="U2138" s="37"/>
      <c r="V2138" s="37"/>
      <c r="W2138" s="37"/>
      <c r="X2138" s="37"/>
      <c r="Y2138" s="37"/>
      <c r="Z2138" s="37"/>
      <c r="AA2138" s="37"/>
      <c r="AB2138" s="37"/>
      <c r="AC2138" s="37"/>
      <c r="AD2138" s="37"/>
      <c r="AE2138" s="37"/>
      <c r="AF2138" s="37"/>
      <c r="AG2138" s="37"/>
      <c r="AH2138" s="37"/>
      <c r="AI2138" s="37"/>
      <c r="AJ2138" s="37"/>
      <c r="AK2138" s="37"/>
      <c r="AL2138" s="37"/>
      <c r="AM2138" s="37"/>
      <c r="AN2138" s="37"/>
      <c r="AO2138" s="37"/>
      <c r="AP2138" s="37"/>
      <c r="AQ2138" s="37"/>
      <c r="AR2138" s="37"/>
      <c r="AS2138" s="37"/>
      <c r="AT2138" s="37"/>
      <c r="AU2138" s="37"/>
      <c r="AV2138" s="37"/>
      <c r="AW2138" s="37"/>
      <c r="AX2138" s="37"/>
      <c r="AY2138" s="37"/>
      <c r="AZ2138" s="37"/>
      <c r="BA2138" s="37"/>
      <c r="BB2138" s="37"/>
      <c r="BC2138" s="37"/>
      <c r="BD2138" s="37"/>
      <c r="BE2138" s="37"/>
      <c r="BF2138" s="37"/>
      <c r="BG2138" s="37"/>
      <c r="BH2138" s="37"/>
      <c r="BI2138" s="37"/>
      <c r="BJ2138" s="37"/>
      <c r="BK2138" s="37"/>
      <c r="BL2138" s="37"/>
      <c r="BM2138" s="37"/>
    </row>
    <row r="2139" spans="1:65" s="40" customFormat="1" ht="23.25" x14ac:dyDescent="0.35">
      <c r="A2139" s="37"/>
      <c r="B2139" s="37"/>
      <c r="C2139" s="41"/>
      <c r="D2139" s="38"/>
      <c r="E2139" s="57"/>
      <c r="F2139" s="42"/>
      <c r="G2139" s="43"/>
      <c r="H2139" s="37"/>
      <c r="I2139" s="37"/>
      <c r="J2139" s="38"/>
      <c r="K2139" s="37"/>
      <c r="L2139" s="38"/>
      <c r="M2139" s="39"/>
      <c r="P2139" s="37"/>
      <c r="Q2139" s="37"/>
      <c r="R2139" s="37"/>
      <c r="S2139" s="37"/>
      <c r="T2139" s="37"/>
      <c r="U2139" s="37"/>
      <c r="V2139" s="37"/>
      <c r="W2139" s="37"/>
      <c r="X2139" s="37"/>
      <c r="Y2139" s="37"/>
      <c r="Z2139" s="37"/>
      <c r="AA2139" s="37"/>
      <c r="AB2139" s="37"/>
      <c r="AC2139" s="37"/>
      <c r="AD2139" s="37"/>
      <c r="AE2139" s="37"/>
      <c r="AF2139" s="37"/>
      <c r="AG2139" s="37"/>
      <c r="AH2139" s="37"/>
      <c r="AI2139" s="37"/>
      <c r="AJ2139" s="37"/>
      <c r="AK2139" s="37"/>
      <c r="AL2139" s="37"/>
      <c r="AM2139" s="37"/>
      <c r="AN2139" s="37"/>
      <c r="AO2139" s="37"/>
      <c r="AP2139" s="37"/>
      <c r="AQ2139" s="37"/>
      <c r="AR2139" s="37"/>
      <c r="AS2139" s="37"/>
      <c r="AT2139" s="37"/>
      <c r="AU2139" s="37"/>
      <c r="AV2139" s="37"/>
      <c r="AW2139" s="37"/>
      <c r="AX2139" s="37"/>
      <c r="AY2139" s="37"/>
      <c r="AZ2139" s="37"/>
      <c r="BA2139" s="37"/>
      <c r="BB2139" s="37"/>
      <c r="BC2139" s="37"/>
      <c r="BD2139" s="37"/>
      <c r="BE2139" s="37"/>
      <c r="BF2139" s="37"/>
      <c r="BG2139" s="37"/>
      <c r="BH2139" s="37"/>
      <c r="BI2139" s="37"/>
      <c r="BJ2139" s="37"/>
      <c r="BK2139" s="37"/>
      <c r="BL2139" s="37"/>
      <c r="BM2139" s="37"/>
    </row>
    <row r="2140" spans="1:65" s="40" customFormat="1" ht="23.25" x14ac:dyDescent="0.35">
      <c r="A2140" s="37"/>
      <c r="B2140" s="37"/>
      <c r="C2140" s="41"/>
      <c r="D2140" s="38"/>
      <c r="E2140" s="57"/>
      <c r="F2140" s="42"/>
      <c r="G2140" s="43"/>
      <c r="H2140" s="37"/>
      <c r="I2140" s="37"/>
      <c r="J2140" s="38"/>
      <c r="K2140" s="37"/>
      <c r="L2140" s="38"/>
      <c r="M2140" s="39"/>
      <c r="P2140" s="37"/>
      <c r="Q2140" s="37"/>
      <c r="R2140" s="37"/>
      <c r="S2140" s="37"/>
      <c r="T2140" s="37"/>
      <c r="U2140" s="37"/>
      <c r="V2140" s="37"/>
      <c r="W2140" s="37"/>
      <c r="X2140" s="37"/>
      <c r="Y2140" s="37"/>
      <c r="Z2140" s="37"/>
      <c r="AA2140" s="37"/>
      <c r="AB2140" s="37"/>
      <c r="AC2140" s="37"/>
      <c r="AD2140" s="37"/>
      <c r="AE2140" s="37"/>
      <c r="AF2140" s="37"/>
      <c r="AG2140" s="37"/>
      <c r="AH2140" s="37"/>
      <c r="AI2140" s="37"/>
      <c r="AJ2140" s="37"/>
      <c r="AK2140" s="37"/>
      <c r="AL2140" s="37"/>
      <c r="AM2140" s="37"/>
      <c r="AN2140" s="37"/>
      <c r="AO2140" s="37"/>
      <c r="AP2140" s="37"/>
      <c r="AQ2140" s="37"/>
      <c r="AR2140" s="37"/>
      <c r="AS2140" s="37"/>
      <c r="AT2140" s="37"/>
      <c r="AU2140" s="37"/>
      <c r="AV2140" s="37"/>
      <c r="AW2140" s="37"/>
      <c r="AX2140" s="37"/>
      <c r="AY2140" s="37"/>
      <c r="AZ2140" s="37"/>
      <c r="BA2140" s="37"/>
      <c r="BB2140" s="37"/>
      <c r="BC2140" s="37"/>
      <c r="BD2140" s="37"/>
      <c r="BE2140" s="37"/>
      <c r="BF2140" s="37"/>
      <c r="BG2140" s="37"/>
      <c r="BH2140" s="37"/>
      <c r="BI2140" s="37"/>
      <c r="BJ2140" s="37"/>
      <c r="BK2140" s="37"/>
      <c r="BL2140" s="37"/>
      <c r="BM2140" s="37"/>
    </row>
    <row r="2141" spans="1:65" s="40" customFormat="1" ht="23.25" x14ac:dyDescent="0.35">
      <c r="A2141" s="37"/>
      <c r="B2141" s="37"/>
      <c r="C2141" s="41"/>
      <c r="D2141" s="38"/>
      <c r="E2141" s="57"/>
      <c r="F2141" s="42"/>
      <c r="G2141" s="43"/>
      <c r="H2141" s="37"/>
      <c r="I2141" s="37"/>
      <c r="J2141" s="38"/>
      <c r="K2141" s="37"/>
      <c r="L2141" s="38"/>
      <c r="M2141" s="39"/>
      <c r="P2141" s="37"/>
      <c r="Q2141" s="37"/>
      <c r="R2141" s="37"/>
      <c r="S2141" s="37"/>
      <c r="T2141" s="37"/>
      <c r="U2141" s="37"/>
      <c r="V2141" s="37"/>
      <c r="W2141" s="37"/>
      <c r="X2141" s="37"/>
      <c r="Y2141" s="37"/>
      <c r="Z2141" s="37"/>
      <c r="AA2141" s="37"/>
      <c r="AB2141" s="37"/>
      <c r="AC2141" s="37"/>
      <c r="AD2141" s="37"/>
      <c r="AE2141" s="37"/>
      <c r="AF2141" s="37"/>
      <c r="AG2141" s="37"/>
      <c r="AH2141" s="37"/>
      <c r="AI2141" s="37"/>
      <c r="AJ2141" s="37"/>
      <c r="AK2141" s="37"/>
      <c r="AL2141" s="37"/>
      <c r="AM2141" s="37"/>
      <c r="AN2141" s="37"/>
      <c r="AO2141" s="37"/>
      <c r="AP2141" s="37"/>
      <c r="AQ2141" s="37"/>
      <c r="AR2141" s="37"/>
      <c r="AS2141" s="37"/>
      <c r="AT2141" s="37"/>
      <c r="AU2141" s="37"/>
      <c r="AV2141" s="37"/>
      <c r="AW2141" s="37"/>
      <c r="AX2141" s="37"/>
      <c r="AY2141" s="37"/>
      <c r="AZ2141" s="37"/>
      <c r="BA2141" s="37"/>
      <c r="BB2141" s="37"/>
      <c r="BC2141" s="37"/>
      <c r="BD2141" s="37"/>
      <c r="BE2141" s="37"/>
      <c r="BF2141" s="37"/>
      <c r="BG2141" s="37"/>
      <c r="BH2141" s="37"/>
      <c r="BI2141" s="37"/>
      <c r="BJ2141" s="37"/>
      <c r="BK2141" s="37"/>
      <c r="BL2141" s="37"/>
      <c r="BM2141" s="37"/>
    </row>
    <row r="2142" spans="1:65" s="40" customFormat="1" ht="23.25" x14ac:dyDescent="0.35">
      <c r="A2142" s="37"/>
      <c r="B2142" s="37"/>
      <c r="C2142" s="41"/>
      <c r="D2142" s="38"/>
      <c r="E2142" s="57"/>
      <c r="F2142" s="42"/>
      <c r="G2142" s="43"/>
      <c r="H2142" s="37"/>
      <c r="I2142" s="37"/>
      <c r="J2142" s="38"/>
      <c r="K2142" s="37"/>
      <c r="L2142" s="38"/>
      <c r="M2142" s="39"/>
      <c r="P2142" s="37"/>
      <c r="Q2142" s="37"/>
      <c r="R2142" s="37"/>
      <c r="S2142" s="37"/>
      <c r="T2142" s="37"/>
      <c r="U2142" s="37"/>
      <c r="V2142" s="37"/>
      <c r="W2142" s="37"/>
      <c r="X2142" s="37"/>
      <c r="Y2142" s="37"/>
      <c r="Z2142" s="37"/>
      <c r="AA2142" s="37"/>
      <c r="AB2142" s="37"/>
      <c r="AC2142" s="37"/>
      <c r="AD2142" s="37"/>
      <c r="AE2142" s="37"/>
      <c r="AF2142" s="37"/>
      <c r="AG2142" s="37"/>
      <c r="AH2142" s="37"/>
      <c r="AI2142" s="37"/>
      <c r="AJ2142" s="37"/>
      <c r="AK2142" s="37"/>
      <c r="AL2142" s="37"/>
      <c r="AM2142" s="37"/>
      <c r="AN2142" s="37"/>
      <c r="AO2142" s="37"/>
      <c r="AP2142" s="37"/>
      <c r="AQ2142" s="37"/>
      <c r="AR2142" s="37"/>
      <c r="AS2142" s="37"/>
      <c r="AT2142" s="37"/>
      <c r="AU2142" s="37"/>
      <c r="AV2142" s="37"/>
      <c r="AW2142" s="37"/>
      <c r="AX2142" s="37"/>
      <c r="AY2142" s="37"/>
      <c r="AZ2142" s="37"/>
      <c r="BA2142" s="37"/>
      <c r="BB2142" s="37"/>
      <c r="BC2142" s="37"/>
      <c r="BD2142" s="37"/>
      <c r="BE2142" s="37"/>
      <c r="BF2142" s="37"/>
      <c r="BG2142" s="37"/>
      <c r="BH2142" s="37"/>
      <c r="BI2142" s="37"/>
      <c r="BJ2142" s="37"/>
      <c r="BK2142" s="37"/>
      <c r="BL2142" s="37"/>
      <c r="BM2142" s="37"/>
    </row>
    <row r="2143" spans="1:65" s="40" customFormat="1" ht="23.25" x14ac:dyDescent="0.35">
      <c r="A2143" s="37"/>
      <c r="B2143" s="37"/>
      <c r="C2143" s="41"/>
      <c r="D2143" s="38"/>
      <c r="E2143" s="57"/>
      <c r="F2143" s="42"/>
      <c r="G2143" s="43"/>
      <c r="H2143" s="37"/>
      <c r="I2143" s="37"/>
      <c r="J2143" s="38"/>
      <c r="K2143" s="37"/>
      <c r="L2143" s="38"/>
      <c r="M2143" s="39"/>
      <c r="P2143" s="37"/>
      <c r="Q2143" s="37"/>
      <c r="R2143" s="37"/>
      <c r="S2143" s="37"/>
      <c r="T2143" s="37"/>
      <c r="U2143" s="37"/>
      <c r="V2143" s="37"/>
      <c r="W2143" s="37"/>
      <c r="X2143" s="37"/>
      <c r="Y2143" s="37"/>
      <c r="Z2143" s="37"/>
      <c r="AA2143" s="37"/>
      <c r="AB2143" s="37"/>
      <c r="AC2143" s="37"/>
      <c r="AD2143" s="37"/>
      <c r="AE2143" s="37"/>
      <c r="AF2143" s="37"/>
      <c r="AG2143" s="37"/>
      <c r="AH2143" s="37"/>
      <c r="AI2143" s="37"/>
      <c r="AJ2143" s="37"/>
      <c r="AK2143" s="37"/>
      <c r="AL2143" s="37"/>
      <c r="AM2143" s="37"/>
      <c r="AN2143" s="37"/>
      <c r="AO2143" s="37"/>
      <c r="AP2143" s="37"/>
      <c r="AQ2143" s="37"/>
      <c r="AR2143" s="37"/>
      <c r="AS2143" s="37"/>
      <c r="AT2143" s="37"/>
      <c r="AU2143" s="37"/>
      <c r="AV2143" s="37"/>
      <c r="AW2143" s="37"/>
      <c r="AX2143" s="37"/>
      <c r="AY2143" s="37"/>
      <c r="AZ2143" s="37"/>
      <c r="BA2143" s="37"/>
      <c r="BB2143" s="37"/>
      <c r="BC2143" s="37"/>
      <c r="BD2143" s="37"/>
      <c r="BE2143" s="37"/>
      <c r="BF2143" s="37"/>
      <c r="BG2143" s="37"/>
      <c r="BH2143" s="37"/>
      <c r="BI2143" s="37"/>
      <c r="BJ2143" s="37"/>
      <c r="BK2143" s="37"/>
      <c r="BL2143" s="37"/>
      <c r="BM2143" s="37"/>
    </row>
    <row r="2144" spans="1:65" s="40" customFormat="1" ht="23.25" x14ac:dyDescent="0.35">
      <c r="A2144" s="37"/>
      <c r="B2144" s="37"/>
      <c r="C2144" s="41"/>
      <c r="D2144" s="38"/>
      <c r="E2144" s="57"/>
      <c r="F2144" s="42"/>
      <c r="G2144" s="43"/>
      <c r="H2144" s="37"/>
      <c r="I2144" s="37"/>
      <c r="J2144" s="38"/>
      <c r="K2144" s="37"/>
      <c r="L2144" s="38"/>
      <c r="M2144" s="39"/>
      <c r="P2144" s="37"/>
      <c r="Q2144" s="37"/>
      <c r="R2144" s="37"/>
      <c r="S2144" s="37"/>
      <c r="T2144" s="37"/>
      <c r="U2144" s="37"/>
      <c r="V2144" s="37"/>
      <c r="W2144" s="37"/>
      <c r="X2144" s="37"/>
      <c r="Y2144" s="37"/>
      <c r="Z2144" s="37"/>
      <c r="AA2144" s="37"/>
      <c r="AB2144" s="37"/>
      <c r="AC2144" s="37"/>
      <c r="AD2144" s="37"/>
      <c r="AE2144" s="37"/>
      <c r="AF2144" s="37"/>
      <c r="AG2144" s="37"/>
      <c r="AH2144" s="37"/>
      <c r="AI2144" s="37"/>
      <c r="AJ2144" s="37"/>
      <c r="AK2144" s="37"/>
      <c r="AL2144" s="37"/>
      <c r="AM2144" s="37"/>
      <c r="AN2144" s="37"/>
      <c r="AO2144" s="37"/>
      <c r="AP2144" s="37"/>
      <c r="AQ2144" s="37"/>
      <c r="AR2144" s="37"/>
      <c r="AS2144" s="37"/>
      <c r="AT2144" s="37"/>
      <c r="AU2144" s="37"/>
      <c r="AV2144" s="37"/>
      <c r="AW2144" s="37"/>
      <c r="AX2144" s="37"/>
      <c r="AY2144" s="37"/>
      <c r="AZ2144" s="37"/>
      <c r="BA2144" s="37"/>
      <c r="BB2144" s="37"/>
      <c r="BC2144" s="37"/>
      <c r="BD2144" s="37"/>
      <c r="BE2144" s="37"/>
      <c r="BF2144" s="37"/>
      <c r="BG2144" s="37"/>
      <c r="BH2144" s="37"/>
      <c r="BI2144" s="37"/>
      <c r="BJ2144" s="37"/>
      <c r="BK2144" s="37"/>
      <c r="BL2144" s="37"/>
      <c r="BM2144" s="37"/>
    </row>
    <row r="2145" spans="1:65" s="40" customFormat="1" ht="23.25" x14ac:dyDescent="0.35">
      <c r="A2145" s="37"/>
      <c r="B2145" s="37"/>
      <c r="C2145" s="41"/>
      <c r="D2145" s="38"/>
      <c r="E2145" s="57"/>
      <c r="F2145" s="42"/>
      <c r="G2145" s="43"/>
      <c r="H2145" s="37"/>
      <c r="I2145" s="37"/>
      <c r="J2145" s="38"/>
      <c r="K2145" s="37"/>
      <c r="L2145" s="38"/>
      <c r="M2145" s="39"/>
      <c r="P2145" s="37"/>
      <c r="Q2145" s="37"/>
      <c r="R2145" s="37"/>
      <c r="S2145" s="37"/>
      <c r="T2145" s="37"/>
      <c r="U2145" s="37"/>
      <c r="V2145" s="37"/>
      <c r="W2145" s="37"/>
      <c r="X2145" s="37"/>
      <c r="Y2145" s="37"/>
      <c r="Z2145" s="37"/>
      <c r="AA2145" s="37"/>
      <c r="AB2145" s="37"/>
      <c r="AC2145" s="37"/>
      <c r="AD2145" s="37"/>
      <c r="AE2145" s="37"/>
      <c r="AF2145" s="37"/>
      <c r="AG2145" s="37"/>
      <c r="AH2145" s="37"/>
      <c r="AI2145" s="37"/>
      <c r="AJ2145" s="37"/>
      <c r="AK2145" s="37"/>
      <c r="AL2145" s="37"/>
      <c r="AM2145" s="37"/>
      <c r="AN2145" s="37"/>
      <c r="AO2145" s="37"/>
      <c r="AP2145" s="37"/>
      <c r="AQ2145" s="37"/>
      <c r="AR2145" s="37"/>
      <c r="AS2145" s="37"/>
      <c r="AT2145" s="37"/>
      <c r="AU2145" s="37"/>
      <c r="AV2145" s="37"/>
      <c r="AW2145" s="37"/>
      <c r="AX2145" s="37"/>
      <c r="AY2145" s="37"/>
      <c r="AZ2145" s="37"/>
      <c r="BA2145" s="37"/>
      <c r="BB2145" s="37"/>
      <c r="BC2145" s="37"/>
      <c r="BD2145" s="37"/>
      <c r="BE2145" s="37"/>
      <c r="BF2145" s="37"/>
      <c r="BG2145" s="37"/>
      <c r="BH2145" s="37"/>
      <c r="BI2145" s="37"/>
      <c r="BJ2145" s="37"/>
      <c r="BK2145" s="37"/>
      <c r="BL2145" s="37"/>
      <c r="BM2145" s="37"/>
    </row>
    <row r="2146" spans="1:65" s="40" customFormat="1" ht="23.25" x14ac:dyDescent="0.35">
      <c r="A2146" s="37"/>
      <c r="B2146" s="37"/>
      <c r="C2146" s="41"/>
      <c r="D2146" s="38"/>
      <c r="E2146" s="57"/>
      <c r="F2146" s="42"/>
      <c r="G2146" s="43"/>
      <c r="H2146" s="37"/>
      <c r="I2146" s="37"/>
      <c r="J2146" s="38"/>
      <c r="K2146" s="37"/>
      <c r="L2146" s="38"/>
      <c r="M2146" s="39"/>
      <c r="P2146" s="37"/>
      <c r="Q2146" s="37"/>
      <c r="R2146" s="37"/>
      <c r="S2146" s="37"/>
      <c r="T2146" s="37"/>
      <c r="U2146" s="37"/>
      <c r="V2146" s="37"/>
      <c r="W2146" s="37"/>
      <c r="X2146" s="37"/>
      <c r="Y2146" s="37"/>
      <c r="Z2146" s="37"/>
      <c r="AA2146" s="37"/>
      <c r="AB2146" s="37"/>
      <c r="AC2146" s="37"/>
      <c r="AD2146" s="37"/>
      <c r="AE2146" s="37"/>
      <c r="AF2146" s="37"/>
      <c r="AG2146" s="37"/>
      <c r="AH2146" s="37"/>
      <c r="AI2146" s="37"/>
      <c r="AJ2146" s="37"/>
      <c r="AK2146" s="37"/>
      <c r="AL2146" s="37"/>
      <c r="AM2146" s="37"/>
      <c r="AN2146" s="37"/>
      <c r="AO2146" s="37"/>
      <c r="AP2146" s="37"/>
      <c r="AQ2146" s="37"/>
      <c r="AR2146" s="37"/>
      <c r="AS2146" s="37"/>
      <c r="AT2146" s="37"/>
      <c r="AU2146" s="37"/>
      <c r="AV2146" s="37"/>
      <c r="AW2146" s="37"/>
      <c r="AX2146" s="37"/>
      <c r="AY2146" s="37"/>
      <c r="AZ2146" s="37"/>
      <c r="BA2146" s="37"/>
      <c r="BB2146" s="37"/>
      <c r="BC2146" s="37"/>
      <c r="BD2146" s="37"/>
      <c r="BE2146" s="37"/>
      <c r="BF2146" s="37"/>
      <c r="BG2146" s="37"/>
      <c r="BH2146" s="37"/>
      <c r="BI2146" s="37"/>
      <c r="BJ2146" s="37"/>
      <c r="BK2146" s="37"/>
      <c r="BL2146" s="37"/>
      <c r="BM2146" s="37"/>
    </row>
    <row r="2147" spans="1:65" s="40" customFormat="1" ht="23.25" x14ac:dyDescent="0.35">
      <c r="A2147" s="37"/>
      <c r="B2147" s="37"/>
      <c r="C2147" s="41"/>
      <c r="D2147" s="38"/>
      <c r="E2147" s="57"/>
      <c r="F2147" s="42"/>
      <c r="G2147" s="43"/>
      <c r="H2147" s="37"/>
      <c r="I2147" s="37"/>
      <c r="J2147" s="38"/>
      <c r="K2147" s="37"/>
      <c r="L2147" s="38"/>
      <c r="M2147" s="39"/>
      <c r="P2147" s="37"/>
      <c r="Q2147" s="37"/>
      <c r="R2147" s="37"/>
      <c r="S2147" s="37"/>
      <c r="T2147" s="37"/>
      <c r="U2147" s="37"/>
      <c r="V2147" s="37"/>
      <c r="W2147" s="37"/>
      <c r="X2147" s="37"/>
      <c r="Y2147" s="37"/>
      <c r="Z2147" s="37"/>
      <c r="AA2147" s="37"/>
      <c r="AB2147" s="37"/>
      <c r="AC2147" s="37"/>
      <c r="AD2147" s="37"/>
      <c r="AE2147" s="37"/>
      <c r="AF2147" s="37"/>
      <c r="AG2147" s="37"/>
      <c r="AH2147" s="37"/>
      <c r="AI2147" s="37"/>
      <c r="AJ2147" s="37"/>
      <c r="AK2147" s="37"/>
      <c r="AL2147" s="37"/>
      <c r="AM2147" s="37"/>
      <c r="AN2147" s="37"/>
      <c r="AO2147" s="37"/>
      <c r="AP2147" s="37"/>
      <c r="AQ2147" s="37"/>
      <c r="AR2147" s="37"/>
      <c r="AS2147" s="37"/>
      <c r="AT2147" s="37"/>
      <c r="AU2147" s="37"/>
      <c r="AV2147" s="37"/>
      <c r="AW2147" s="37"/>
      <c r="AX2147" s="37"/>
      <c r="AY2147" s="37"/>
      <c r="AZ2147" s="37"/>
      <c r="BA2147" s="37"/>
      <c r="BB2147" s="37"/>
      <c r="BC2147" s="37"/>
      <c r="BD2147" s="37"/>
      <c r="BE2147" s="37"/>
      <c r="BF2147" s="37"/>
      <c r="BG2147" s="37"/>
      <c r="BH2147" s="37"/>
      <c r="BI2147" s="37"/>
      <c r="BJ2147" s="37"/>
      <c r="BK2147" s="37"/>
      <c r="BL2147" s="37"/>
      <c r="BM2147" s="37"/>
    </row>
    <row r="2148" spans="1:65" s="40" customFormat="1" ht="23.25" x14ac:dyDescent="0.35">
      <c r="A2148" s="37"/>
      <c r="B2148" s="37"/>
      <c r="C2148" s="41"/>
      <c r="D2148" s="38"/>
      <c r="E2148" s="57"/>
      <c r="F2148" s="42"/>
      <c r="G2148" s="43"/>
      <c r="H2148" s="37"/>
      <c r="I2148" s="37"/>
      <c r="J2148" s="38"/>
      <c r="K2148" s="37"/>
      <c r="L2148" s="38"/>
      <c r="M2148" s="39"/>
      <c r="P2148" s="37"/>
      <c r="Q2148" s="37"/>
      <c r="R2148" s="37"/>
      <c r="S2148" s="37"/>
      <c r="T2148" s="37"/>
      <c r="U2148" s="37"/>
      <c r="V2148" s="37"/>
      <c r="W2148" s="37"/>
      <c r="X2148" s="37"/>
      <c r="Y2148" s="37"/>
      <c r="Z2148" s="37"/>
      <c r="AA2148" s="37"/>
      <c r="AB2148" s="37"/>
      <c r="AC2148" s="37"/>
      <c r="AD2148" s="37"/>
      <c r="AE2148" s="37"/>
      <c r="AF2148" s="37"/>
      <c r="AG2148" s="37"/>
      <c r="AH2148" s="37"/>
      <c r="AI2148" s="37"/>
      <c r="AJ2148" s="37"/>
      <c r="AK2148" s="37"/>
      <c r="AL2148" s="37"/>
      <c r="AM2148" s="37"/>
      <c r="AN2148" s="37"/>
      <c r="AO2148" s="37"/>
      <c r="AP2148" s="37"/>
      <c r="AQ2148" s="37"/>
      <c r="AR2148" s="37"/>
      <c r="AS2148" s="37"/>
      <c r="AT2148" s="37"/>
      <c r="AU2148" s="37"/>
      <c r="AV2148" s="37"/>
      <c r="AW2148" s="37"/>
      <c r="AX2148" s="37"/>
      <c r="AY2148" s="37"/>
      <c r="AZ2148" s="37"/>
      <c r="BA2148" s="37"/>
      <c r="BB2148" s="37"/>
      <c r="BC2148" s="37"/>
      <c r="BD2148" s="37"/>
      <c r="BE2148" s="37"/>
      <c r="BF2148" s="37"/>
      <c r="BG2148" s="37"/>
      <c r="BH2148" s="37"/>
      <c r="BI2148" s="37"/>
      <c r="BJ2148" s="37"/>
      <c r="BK2148" s="37"/>
      <c r="BL2148" s="37"/>
      <c r="BM2148" s="37"/>
    </row>
    <row r="2149" spans="1:65" s="40" customFormat="1" ht="23.25" x14ac:dyDescent="0.35">
      <c r="A2149" s="37"/>
      <c r="B2149" s="37"/>
      <c r="C2149" s="41"/>
      <c r="D2149" s="38"/>
      <c r="E2149" s="57"/>
      <c r="F2149" s="42"/>
      <c r="G2149" s="43"/>
      <c r="H2149" s="37"/>
      <c r="I2149" s="37"/>
      <c r="J2149" s="38"/>
      <c r="K2149" s="37"/>
      <c r="L2149" s="38"/>
      <c r="M2149" s="39"/>
      <c r="P2149" s="37"/>
      <c r="Q2149" s="37"/>
      <c r="R2149" s="37"/>
      <c r="S2149" s="37"/>
      <c r="T2149" s="37"/>
      <c r="U2149" s="37"/>
      <c r="V2149" s="37"/>
      <c r="W2149" s="37"/>
      <c r="X2149" s="37"/>
      <c r="Y2149" s="37"/>
      <c r="Z2149" s="37"/>
      <c r="AA2149" s="37"/>
      <c r="AB2149" s="37"/>
      <c r="AC2149" s="37"/>
      <c r="AD2149" s="37"/>
      <c r="AE2149" s="37"/>
      <c r="AF2149" s="37"/>
      <c r="AG2149" s="37"/>
      <c r="AH2149" s="37"/>
      <c r="AI2149" s="37"/>
      <c r="AJ2149" s="37"/>
      <c r="AK2149" s="37"/>
      <c r="AL2149" s="37"/>
      <c r="AM2149" s="37"/>
      <c r="AN2149" s="37"/>
      <c r="AO2149" s="37"/>
      <c r="AP2149" s="37"/>
      <c r="AQ2149" s="37"/>
      <c r="AR2149" s="37"/>
      <c r="AS2149" s="37"/>
      <c r="AT2149" s="37"/>
      <c r="AU2149" s="37"/>
      <c r="AV2149" s="37"/>
      <c r="AW2149" s="37"/>
      <c r="AX2149" s="37"/>
      <c r="AY2149" s="37"/>
      <c r="AZ2149" s="37"/>
      <c r="BA2149" s="37"/>
      <c r="BB2149" s="37"/>
      <c r="BC2149" s="37"/>
      <c r="BD2149" s="37"/>
      <c r="BE2149" s="37"/>
      <c r="BF2149" s="37"/>
      <c r="BG2149" s="37"/>
      <c r="BH2149" s="37"/>
      <c r="BI2149" s="37"/>
      <c r="BJ2149" s="37"/>
      <c r="BK2149" s="37"/>
      <c r="BL2149" s="37"/>
      <c r="BM2149" s="37"/>
    </row>
    <row r="2150" spans="1:65" s="40" customFormat="1" ht="23.25" x14ac:dyDescent="0.35">
      <c r="A2150" s="37"/>
      <c r="B2150" s="37"/>
      <c r="C2150" s="41"/>
      <c r="D2150" s="38"/>
      <c r="E2150" s="57"/>
      <c r="F2150" s="42"/>
      <c r="G2150" s="43"/>
      <c r="H2150" s="37"/>
      <c r="I2150" s="37"/>
      <c r="J2150" s="38"/>
      <c r="K2150" s="37"/>
      <c r="L2150" s="38"/>
      <c r="M2150" s="39"/>
      <c r="P2150" s="37"/>
      <c r="Q2150" s="37"/>
      <c r="R2150" s="37"/>
      <c r="S2150" s="37"/>
      <c r="T2150" s="37"/>
      <c r="U2150" s="37"/>
      <c r="V2150" s="37"/>
      <c r="W2150" s="37"/>
      <c r="X2150" s="37"/>
      <c r="Y2150" s="37"/>
      <c r="Z2150" s="37"/>
      <c r="AA2150" s="37"/>
      <c r="AB2150" s="37"/>
      <c r="AC2150" s="37"/>
      <c r="AD2150" s="37"/>
      <c r="AE2150" s="37"/>
      <c r="AF2150" s="37"/>
      <c r="AG2150" s="37"/>
      <c r="AH2150" s="37"/>
      <c r="AI2150" s="37"/>
      <c r="AJ2150" s="37"/>
      <c r="AK2150" s="37"/>
      <c r="AL2150" s="37"/>
      <c r="AM2150" s="37"/>
      <c r="AN2150" s="37"/>
      <c r="AO2150" s="37"/>
      <c r="AP2150" s="37"/>
      <c r="AQ2150" s="37"/>
      <c r="AR2150" s="37"/>
      <c r="AS2150" s="37"/>
      <c r="AT2150" s="37"/>
      <c r="AU2150" s="37"/>
      <c r="AV2150" s="37"/>
      <c r="AW2150" s="37"/>
      <c r="AX2150" s="37"/>
      <c r="AY2150" s="37"/>
      <c r="AZ2150" s="37"/>
      <c r="BA2150" s="37"/>
      <c r="BB2150" s="37"/>
      <c r="BC2150" s="37"/>
      <c r="BD2150" s="37"/>
      <c r="BE2150" s="37"/>
      <c r="BF2150" s="37"/>
      <c r="BG2150" s="37"/>
      <c r="BH2150" s="37"/>
      <c r="BI2150" s="37"/>
      <c r="BJ2150" s="37"/>
      <c r="BK2150" s="37"/>
      <c r="BL2150" s="37"/>
      <c r="BM2150" s="37"/>
    </row>
    <row r="2151" spans="1:65" s="40" customFormat="1" ht="23.25" x14ac:dyDescent="0.35">
      <c r="A2151" s="37"/>
      <c r="B2151" s="37"/>
      <c r="C2151" s="41"/>
      <c r="D2151" s="38"/>
      <c r="E2151" s="57"/>
      <c r="F2151" s="42"/>
      <c r="G2151" s="43"/>
      <c r="H2151" s="37"/>
      <c r="I2151" s="37"/>
      <c r="J2151" s="38"/>
      <c r="K2151" s="37"/>
      <c r="L2151" s="38"/>
      <c r="M2151" s="39"/>
      <c r="P2151" s="37"/>
      <c r="Q2151" s="37"/>
      <c r="R2151" s="37"/>
      <c r="S2151" s="37"/>
      <c r="T2151" s="37"/>
      <c r="U2151" s="37"/>
      <c r="V2151" s="37"/>
      <c r="W2151" s="37"/>
      <c r="X2151" s="37"/>
      <c r="Y2151" s="37"/>
      <c r="Z2151" s="37"/>
      <c r="AA2151" s="37"/>
      <c r="AB2151" s="37"/>
      <c r="AC2151" s="37"/>
      <c r="AD2151" s="37"/>
      <c r="AE2151" s="37"/>
      <c r="AF2151" s="37"/>
      <c r="AG2151" s="37"/>
      <c r="AH2151" s="37"/>
      <c r="AI2151" s="37"/>
      <c r="AJ2151" s="37"/>
      <c r="AK2151" s="37"/>
      <c r="AL2151" s="37"/>
      <c r="AM2151" s="37"/>
      <c r="AN2151" s="37"/>
      <c r="AO2151" s="37"/>
      <c r="AP2151" s="37"/>
      <c r="AQ2151" s="37"/>
      <c r="AR2151" s="37"/>
      <c r="AS2151" s="37"/>
      <c r="AT2151" s="37"/>
      <c r="AU2151" s="37"/>
      <c r="AV2151" s="37"/>
      <c r="AW2151" s="37"/>
      <c r="AX2151" s="37"/>
      <c r="AY2151" s="37"/>
      <c r="AZ2151" s="37"/>
      <c r="BA2151" s="37"/>
      <c r="BB2151" s="37"/>
      <c r="BC2151" s="37"/>
      <c r="BD2151" s="37"/>
      <c r="BE2151" s="37"/>
      <c r="BF2151" s="37"/>
      <c r="BG2151" s="37"/>
      <c r="BH2151" s="37"/>
      <c r="BI2151" s="37"/>
      <c r="BJ2151" s="37"/>
      <c r="BK2151" s="37"/>
      <c r="BL2151" s="37"/>
      <c r="BM2151" s="37"/>
    </row>
    <row r="2152" spans="1:65" s="40" customFormat="1" ht="23.25" x14ac:dyDescent="0.35">
      <c r="A2152" s="37"/>
      <c r="B2152" s="37"/>
      <c r="C2152" s="41"/>
      <c r="D2152" s="38"/>
      <c r="E2152" s="57"/>
      <c r="F2152" s="42"/>
      <c r="G2152" s="43"/>
      <c r="H2152" s="37"/>
      <c r="I2152" s="37"/>
      <c r="J2152" s="38"/>
      <c r="K2152" s="37"/>
      <c r="L2152" s="38"/>
      <c r="M2152" s="39"/>
      <c r="P2152" s="37"/>
      <c r="Q2152" s="37"/>
      <c r="R2152" s="37"/>
      <c r="S2152" s="37"/>
      <c r="T2152" s="37"/>
      <c r="U2152" s="37"/>
      <c r="V2152" s="37"/>
      <c r="W2152" s="37"/>
      <c r="X2152" s="37"/>
      <c r="Y2152" s="37"/>
      <c r="Z2152" s="37"/>
      <c r="AA2152" s="37"/>
      <c r="AB2152" s="37"/>
      <c r="AC2152" s="37"/>
      <c r="AD2152" s="37"/>
      <c r="AE2152" s="37"/>
      <c r="AF2152" s="37"/>
      <c r="AG2152" s="37"/>
      <c r="AH2152" s="37"/>
      <c r="AI2152" s="37"/>
      <c r="AJ2152" s="37"/>
      <c r="AK2152" s="37"/>
      <c r="AL2152" s="37"/>
      <c r="AM2152" s="37"/>
      <c r="AN2152" s="37"/>
      <c r="AO2152" s="37"/>
      <c r="AP2152" s="37"/>
      <c r="AQ2152" s="37"/>
      <c r="AR2152" s="37"/>
      <c r="AS2152" s="37"/>
      <c r="AT2152" s="37"/>
      <c r="AU2152" s="37"/>
      <c r="AV2152" s="37"/>
      <c r="AW2152" s="37"/>
      <c r="AX2152" s="37"/>
      <c r="AY2152" s="37"/>
      <c r="AZ2152" s="37"/>
      <c r="BA2152" s="37"/>
      <c r="BB2152" s="37"/>
      <c r="BC2152" s="37"/>
      <c r="BD2152" s="37"/>
      <c r="BE2152" s="37"/>
      <c r="BF2152" s="37"/>
      <c r="BG2152" s="37"/>
      <c r="BH2152" s="37"/>
      <c r="BI2152" s="37"/>
      <c r="BJ2152" s="37"/>
      <c r="BK2152" s="37"/>
      <c r="BL2152" s="37"/>
      <c r="BM2152" s="37"/>
    </row>
    <row r="2153" spans="1:65" s="40" customFormat="1" ht="23.25" x14ac:dyDescent="0.35">
      <c r="A2153" s="37"/>
      <c r="B2153" s="37"/>
      <c r="C2153" s="41"/>
      <c r="D2153" s="38"/>
      <c r="E2153" s="57"/>
      <c r="F2153" s="42"/>
      <c r="G2153" s="43"/>
      <c r="H2153" s="37"/>
      <c r="I2153" s="37"/>
      <c r="J2153" s="38"/>
      <c r="K2153" s="37"/>
      <c r="L2153" s="38"/>
      <c r="M2153" s="39"/>
      <c r="P2153" s="37"/>
      <c r="Q2153" s="37"/>
      <c r="R2153" s="37"/>
      <c r="S2153" s="37"/>
      <c r="T2153" s="37"/>
      <c r="U2153" s="37"/>
      <c r="V2153" s="37"/>
      <c r="W2153" s="37"/>
      <c r="X2153" s="37"/>
      <c r="Y2153" s="37"/>
      <c r="Z2153" s="37"/>
      <c r="AA2153" s="37"/>
      <c r="AB2153" s="37"/>
      <c r="AC2153" s="37"/>
      <c r="AD2153" s="37"/>
      <c r="AE2153" s="37"/>
      <c r="AF2153" s="37"/>
      <c r="AG2153" s="37"/>
      <c r="AH2153" s="37"/>
      <c r="AI2153" s="37"/>
      <c r="AJ2153" s="37"/>
      <c r="AK2153" s="37"/>
      <c r="AL2153" s="37"/>
      <c r="AM2153" s="37"/>
      <c r="AN2153" s="37"/>
      <c r="AO2153" s="37"/>
      <c r="AP2153" s="37"/>
      <c r="AQ2153" s="37"/>
      <c r="AR2153" s="37"/>
      <c r="AS2153" s="37"/>
      <c r="AT2153" s="37"/>
      <c r="AU2153" s="37"/>
      <c r="AV2153" s="37"/>
      <c r="AW2153" s="37"/>
      <c r="AX2153" s="37"/>
      <c r="AY2153" s="37"/>
      <c r="AZ2153" s="37"/>
      <c r="BA2153" s="37"/>
      <c r="BB2153" s="37"/>
      <c r="BC2153" s="37"/>
      <c r="BD2153" s="37"/>
      <c r="BE2153" s="37"/>
      <c r="BF2153" s="37"/>
      <c r="BG2153" s="37"/>
      <c r="BH2153" s="37"/>
      <c r="BI2153" s="37"/>
      <c r="BJ2153" s="37"/>
      <c r="BK2153" s="37"/>
      <c r="BL2153" s="37"/>
      <c r="BM2153" s="37"/>
    </row>
    <row r="2154" spans="1:65" s="40" customFormat="1" ht="23.25" x14ac:dyDescent="0.35">
      <c r="A2154" s="37"/>
      <c r="B2154" s="37"/>
      <c r="C2154" s="41"/>
      <c r="D2154" s="38"/>
      <c r="E2154" s="57"/>
      <c r="F2154" s="42"/>
      <c r="G2154" s="43"/>
      <c r="H2154" s="37"/>
      <c r="I2154" s="37"/>
      <c r="J2154" s="38"/>
      <c r="K2154" s="37"/>
      <c r="L2154" s="38"/>
      <c r="M2154" s="39"/>
      <c r="P2154" s="37"/>
      <c r="Q2154" s="37"/>
      <c r="R2154" s="37"/>
      <c r="S2154" s="37"/>
      <c r="T2154" s="37"/>
      <c r="U2154" s="37"/>
      <c r="V2154" s="37"/>
      <c r="W2154" s="37"/>
      <c r="X2154" s="37"/>
      <c r="Y2154" s="37"/>
      <c r="Z2154" s="37"/>
      <c r="AA2154" s="37"/>
      <c r="AB2154" s="37"/>
      <c r="AC2154" s="37"/>
      <c r="AD2154" s="37"/>
      <c r="AE2154" s="37"/>
      <c r="AF2154" s="37"/>
      <c r="AG2154" s="37"/>
      <c r="AH2154" s="37"/>
      <c r="AI2154" s="37"/>
      <c r="AJ2154" s="37"/>
      <c r="AK2154" s="37"/>
      <c r="AL2154" s="37"/>
      <c r="AM2154" s="37"/>
      <c r="AN2154" s="37"/>
      <c r="AO2154" s="37"/>
      <c r="AP2154" s="37"/>
      <c r="AQ2154" s="37"/>
      <c r="AR2154" s="37"/>
      <c r="AS2154" s="37"/>
      <c r="AT2154" s="37"/>
      <c r="AU2154" s="37"/>
      <c r="AV2154" s="37"/>
      <c r="AW2154" s="37"/>
      <c r="AX2154" s="37"/>
      <c r="AY2154" s="37"/>
      <c r="AZ2154" s="37"/>
      <c r="BA2154" s="37"/>
      <c r="BB2154" s="37"/>
      <c r="BC2154" s="37"/>
      <c r="BD2154" s="37"/>
      <c r="BE2154" s="37"/>
      <c r="BF2154" s="37"/>
      <c r="BG2154" s="37"/>
      <c r="BH2154" s="37"/>
      <c r="BI2154" s="37"/>
      <c r="BJ2154" s="37"/>
      <c r="BK2154" s="37"/>
      <c r="BL2154" s="37"/>
      <c r="BM2154" s="37"/>
    </row>
    <row r="2155" spans="1:65" s="40" customFormat="1" ht="23.25" x14ac:dyDescent="0.35">
      <c r="A2155" s="37"/>
      <c r="B2155" s="37"/>
      <c r="C2155" s="41"/>
      <c r="D2155" s="38"/>
      <c r="E2155" s="57"/>
      <c r="F2155" s="42"/>
      <c r="G2155" s="43"/>
      <c r="H2155" s="37"/>
      <c r="I2155" s="37"/>
      <c r="J2155" s="38"/>
      <c r="K2155" s="37"/>
      <c r="L2155" s="38"/>
      <c r="M2155" s="39"/>
      <c r="P2155" s="37"/>
      <c r="Q2155" s="37"/>
      <c r="R2155" s="37"/>
      <c r="S2155" s="37"/>
      <c r="T2155" s="37"/>
      <c r="U2155" s="37"/>
      <c r="V2155" s="37"/>
      <c r="W2155" s="37"/>
      <c r="X2155" s="37"/>
      <c r="Y2155" s="37"/>
      <c r="Z2155" s="37"/>
      <c r="AA2155" s="37"/>
      <c r="AB2155" s="37"/>
      <c r="AC2155" s="37"/>
      <c r="AD2155" s="37"/>
      <c r="AE2155" s="37"/>
      <c r="AF2155" s="37"/>
      <c r="AG2155" s="37"/>
      <c r="AH2155" s="37"/>
      <c r="AI2155" s="37"/>
      <c r="AJ2155" s="37"/>
      <c r="AK2155" s="37"/>
      <c r="AL2155" s="37"/>
      <c r="AM2155" s="37"/>
      <c r="AN2155" s="37"/>
      <c r="AO2155" s="37"/>
      <c r="AP2155" s="37"/>
      <c r="AQ2155" s="37"/>
      <c r="AR2155" s="37"/>
      <c r="AS2155" s="37"/>
      <c r="AT2155" s="37"/>
      <c r="AU2155" s="37"/>
      <c r="AV2155" s="37"/>
      <c r="AW2155" s="37"/>
      <c r="AX2155" s="37"/>
      <c r="AY2155" s="37"/>
      <c r="AZ2155" s="37"/>
      <c r="BA2155" s="37"/>
      <c r="BB2155" s="37"/>
      <c r="BC2155" s="37"/>
      <c r="BD2155" s="37"/>
      <c r="BE2155" s="37"/>
      <c r="BF2155" s="37"/>
      <c r="BG2155" s="37"/>
      <c r="BH2155" s="37"/>
      <c r="BI2155" s="37"/>
      <c r="BJ2155" s="37"/>
      <c r="BK2155" s="37"/>
      <c r="BL2155" s="37"/>
      <c r="BM2155" s="37"/>
    </row>
    <row r="2156" spans="1:65" s="40" customFormat="1" ht="23.25" x14ac:dyDescent="0.35">
      <c r="A2156" s="37"/>
      <c r="B2156" s="37"/>
      <c r="C2156" s="41"/>
      <c r="D2156" s="38"/>
      <c r="E2156" s="57"/>
      <c r="F2156" s="42"/>
      <c r="G2156" s="43"/>
      <c r="H2156" s="37"/>
      <c r="I2156" s="37"/>
      <c r="J2156" s="38"/>
      <c r="K2156" s="37"/>
      <c r="L2156" s="38"/>
      <c r="M2156" s="39"/>
      <c r="P2156" s="37"/>
      <c r="Q2156" s="37"/>
      <c r="R2156" s="37"/>
      <c r="S2156" s="37"/>
      <c r="T2156" s="37"/>
      <c r="U2156" s="37"/>
      <c r="V2156" s="37"/>
      <c r="W2156" s="37"/>
      <c r="X2156" s="37"/>
      <c r="Y2156" s="37"/>
      <c r="Z2156" s="37"/>
      <c r="AA2156" s="37"/>
      <c r="AB2156" s="37"/>
      <c r="AC2156" s="37"/>
      <c r="AD2156" s="37"/>
      <c r="AE2156" s="37"/>
      <c r="AF2156" s="37"/>
      <c r="AG2156" s="37"/>
      <c r="AH2156" s="37"/>
      <c r="AI2156" s="37"/>
      <c r="AJ2156" s="37"/>
      <c r="AK2156" s="37"/>
      <c r="AL2156" s="37"/>
      <c r="AM2156" s="37"/>
      <c r="AN2156" s="37"/>
      <c r="AO2156" s="37"/>
      <c r="AP2156" s="37"/>
      <c r="AQ2156" s="37"/>
      <c r="AR2156" s="37"/>
      <c r="AS2156" s="37"/>
      <c r="AT2156" s="37"/>
      <c r="AU2156" s="37"/>
      <c r="AV2156" s="37"/>
      <c r="AW2156" s="37"/>
      <c r="AX2156" s="37"/>
      <c r="AY2156" s="37"/>
      <c r="AZ2156" s="37"/>
      <c r="BA2156" s="37"/>
      <c r="BB2156" s="37"/>
      <c r="BC2156" s="37"/>
      <c r="BD2156" s="37"/>
      <c r="BE2156" s="37"/>
      <c r="BF2156" s="37"/>
      <c r="BG2156" s="37"/>
      <c r="BH2156" s="37"/>
      <c r="BI2156" s="37"/>
      <c r="BJ2156" s="37"/>
      <c r="BK2156" s="37"/>
      <c r="BL2156" s="37"/>
      <c r="BM2156" s="37"/>
    </row>
    <row r="2157" spans="1:65" s="40" customFormat="1" ht="23.25" x14ac:dyDescent="0.35">
      <c r="A2157" s="37"/>
      <c r="B2157" s="37"/>
      <c r="C2157" s="41"/>
      <c r="D2157" s="38"/>
      <c r="E2157" s="57"/>
      <c r="F2157" s="42"/>
      <c r="G2157" s="43"/>
      <c r="H2157" s="37"/>
      <c r="I2157" s="37"/>
      <c r="J2157" s="38"/>
      <c r="K2157" s="37"/>
      <c r="L2157" s="38"/>
      <c r="M2157" s="39"/>
      <c r="P2157" s="37"/>
      <c r="Q2157" s="37"/>
      <c r="R2157" s="37"/>
      <c r="S2157" s="37"/>
      <c r="T2157" s="37"/>
      <c r="U2157" s="37"/>
      <c r="V2157" s="37"/>
      <c r="W2157" s="37"/>
      <c r="X2157" s="37"/>
      <c r="Y2157" s="37"/>
      <c r="Z2157" s="37"/>
      <c r="AA2157" s="37"/>
      <c r="AB2157" s="37"/>
      <c r="AC2157" s="37"/>
      <c r="AD2157" s="37"/>
      <c r="AE2157" s="37"/>
      <c r="AF2157" s="37"/>
      <c r="AG2157" s="37"/>
      <c r="AH2157" s="37"/>
      <c r="AI2157" s="37"/>
      <c r="AJ2157" s="37"/>
      <c r="AK2157" s="37"/>
      <c r="AL2157" s="37"/>
      <c r="AM2157" s="37"/>
      <c r="AN2157" s="37"/>
      <c r="AO2157" s="37"/>
      <c r="AP2157" s="37"/>
      <c r="AQ2157" s="37"/>
      <c r="AR2157" s="37"/>
      <c r="AS2157" s="37"/>
      <c r="AT2157" s="37"/>
      <c r="AU2157" s="37"/>
      <c r="AV2157" s="37"/>
      <c r="AW2157" s="37"/>
      <c r="AX2157" s="37"/>
      <c r="AY2157" s="37"/>
      <c r="AZ2157" s="37"/>
      <c r="BA2157" s="37"/>
      <c r="BB2157" s="37"/>
      <c r="BC2157" s="37"/>
      <c r="BD2157" s="37"/>
      <c r="BE2157" s="37"/>
      <c r="BF2157" s="37"/>
      <c r="BG2157" s="37"/>
      <c r="BH2157" s="37"/>
      <c r="BI2157" s="37"/>
      <c r="BJ2157" s="37"/>
      <c r="BK2157" s="37"/>
      <c r="BL2157" s="37"/>
      <c r="BM2157" s="37"/>
    </row>
    <row r="2158" spans="1:65" s="40" customFormat="1" ht="23.25" x14ac:dyDescent="0.35">
      <c r="A2158" s="37"/>
      <c r="B2158" s="37"/>
      <c r="C2158" s="41"/>
      <c r="D2158" s="38"/>
      <c r="E2158" s="57"/>
      <c r="F2158" s="42"/>
      <c r="G2158" s="43"/>
      <c r="H2158" s="37"/>
      <c r="I2158" s="37"/>
      <c r="J2158" s="38"/>
      <c r="K2158" s="37"/>
      <c r="L2158" s="38"/>
      <c r="M2158" s="39"/>
      <c r="P2158" s="37"/>
      <c r="Q2158" s="37"/>
      <c r="R2158" s="37"/>
      <c r="S2158" s="37"/>
      <c r="T2158" s="37"/>
      <c r="U2158" s="37"/>
      <c r="V2158" s="37"/>
      <c r="W2158" s="37"/>
      <c r="X2158" s="37"/>
      <c r="Y2158" s="37"/>
      <c r="Z2158" s="37"/>
      <c r="AA2158" s="37"/>
      <c r="AB2158" s="37"/>
      <c r="AC2158" s="37"/>
      <c r="AD2158" s="37"/>
      <c r="AE2158" s="37"/>
      <c r="AF2158" s="37"/>
      <c r="AG2158" s="37"/>
      <c r="AH2158" s="37"/>
      <c r="AI2158" s="37"/>
      <c r="AJ2158" s="37"/>
      <c r="AK2158" s="37"/>
      <c r="AL2158" s="37"/>
      <c r="AM2158" s="37"/>
      <c r="AN2158" s="37"/>
      <c r="AO2158" s="37"/>
      <c r="AP2158" s="37"/>
      <c r="AQ2158" s="37"/>
      <c r="AR2158" s="37"/>
      <c r="AS2158" s="37"/>
      <c r="AT2158" s="37"/>
      <c r="AU2158" s="37"/>
      <c r="AV2158" s="37"/>
      <c r="AW2158" s="37"/>
      <c r="AX2158" s="37"/>
      <c r="AY2158" s="37"/>
      <c r="AZ2158" s="37"/>
      <c r="BA2158" s="37"/>
      <c r="BB2158" s="37"/>
      <c r="BC2158" s="37"/>
      <c r="BD2158" s="37"/>
      <c r="BE2158" s="37"/>
      <c r="BF2158" s="37"/>
      <c r="BG2158" s="37"/>
      <c r="BH2158" s="37"/>
      <c r="BI2158" s="37"/>
      <c r="BJ2158" s="37"/>
      <c r="BK2158" s="37"/>
      <c r="BL2158" s="37"/>
      <c r="BM2158" s="37"/>
    </row>
    <row r="2159" spans="1:65" s="40" customFormat="1" ht="23.25" x14ac:dyDescent="0.35">
      <c r="A2159" s="37"/>
      <c r="B2159" s="37"/>
      <c r="C2159" s="41"/>
      <c r="D2159" s="38"/>
      <c r="E2159" s="57"/>
      <c r="F2159" s="42"/>
      <c r="G2159" s="43"/>
      <c r="H2159" s="37"/>
      <c r="I2159" s="37"/>
      <c r="J2159" s="38"/>
      <c r="K2159" s="37"/>
      <c r="L2159" s="38"/>
      <c r="M2159" s="39"/>
      <c r="P2159" s="37"/>
      <c r="Q2159" s="37"/>
      <c r="R2159" s="37"/>
      <c r="S2159" s="37"/>
      <c r="T2159" s="37"/>
      <c r="U2159" s="37"/>
      <c r="V2159" s="37"/>
      <c r="W2159" s="37"/>
      <c r="X2159" s="37"/>
      <c r="Y2159" s="37"/>
      <c r="Z2159" s="37"/>
      <c r="AA2159" s="37"/>
      <c r="AB2159" s="37"/>
      <c r="AC2159" s="37"/>
      <c r="AD2159" s="37"/>
      <c r="AE2159" s="37"/>
      <c r="AF2159" s="37"/>
      <c r="AG2159" s="37"/>
      <c r="AH2159" s="37"/>
      <c r="AI2159" s="37"/>
      <c r="AJ2159" s="37"/>
      <c r="AK2159" s="37"/>
      <c r="AL2159" s="37"/>
      <c r="AM2159" s="37"/>
      <c r="AN2159" s="37"/>
      <c r="AO2159" s="37"/>
      <c r="AP2159" s="37"/>
      <c r="AQ2159" s="37"/>
      <c r="AR2159" s="37"/>
      <c r="AS2159" s="37"/>
      <c r="AT2159" s="37"/>
      <c r="AU2159" s="37"/>
      <c r="AV2159" s="37"/>
      <c r="AW2159" s="37"/>
      <c r="AX2159" s="37"/>
      <c r="AY2159" s="37"/>
      <c r="AZ2159" s="37"/>
      <c r="BA2159" s="37"/>
      <c r="BB2159" s="37"/>
      <c r="BC2159" s="37"/>
      <c r="BD2159" s="37"/>
      <c r="BE2159" s="37"/>
      <c r="BF2159" s="37"/>
      <c r="BG2159" s="37"/>
      <c r="BH2159" s="37"/>
      <c r="BI2159" s="37"/>
      <c r="BJ2159" s="37"/>
      <c r="BK2159" s="37"/>
      <c r="BL2159" s="37"/>
      <c r="BM2159" s="37"/>
    </row>
    <row r="2160" spans="1:65" s="40" customFormat="1" ht="23.25" x14ac:dyDescent="0.35">
      <c r="A2160" s="37"/>
      <c r="B2160" s="37"/>
      <c r="C2160" s="41"/>
      <c r="D2160" s="38"/>
      <c r="E2160" s="57"/>
      <c r="F2160" s="42"/>
      <c r="G2160" s="43"/>
      <c r="H2160" s="37"/>
      <c r="I2160" s="37"/>
      <c r="J2160" s="38"/>
      <c r="K2160" s="37"/>
      <c r="L2160" s="38"/>
      <c r="M2160" s="39"/>
      <c r="P2160" s="37"/>
      <c r="Q2160" s="37"/>
      <c r="R2160" s="37"/>
      <c r="S2160" s="37"/>
      <c r="T2160" s="37"/>
      <c r="U2160" s="37"/>
      <c r="V2160" s="37"/>
      <c r="W2160" s="37"/>
      <c r="X2160" s="37"/>
      <c r="Y2160" s="37"/>
      <c r="Z2160" s="37"/>
      <c r="AA2160" s="37"/>
      <c r="AB2160" s="37"/>
      <c r="AC2160" s="37"/>
      <c r="AD2160" s="37"/>
      <c r="AE2160" s="37"/>
      <c r="AF2160" s="37"/>
      <c r="AG2160" s="37"/>
      <c r="AH2160" s="37"/>
      <c r="AI2160" s="37"/>
      <c r="AJ2160" s="37"/>
      <c r="AK2160" s="37"/>
      <c r="AL2160" s="37"/>
      <c r="AM2160" s="37"/>
      <c r="AN2160" s="37"/>
      <c r="AO2160" s="37"/>
      <c r="AP2160" s="37"/>
      <c r="AQ2160" s="37"/>
      <c r="AR2160" s="37"/>
      <c r="AS2160" s="37"/>
      <c r="AT2160" s="37"/>
      <c r="AU2160" s="37"/>
      <c r="AV2160" s="37"/>
      <c r="AW2160" s="37"/>
      <c r="AX2160" s="37"/>
      <c r="AY2160" s="37"/>
      <c r="AZ2160" s="37"/>
      <c r="BA2160" s="37"/>
      <c r="BB2160" s="37"/>
      <c r="BC2160" s="37"/>
      <c r="BD2160" s="37"/>
      <c r="BE2160" s="37"/>
      <c r="BF2160" s="37"/>
      <c r="BG2160" s="37"/>
      <c r="BH2160" s="37"/>
      <c r="BI2160" s="37"/>
      <c r="BJ2160" s="37"/>
      <c r="BK2160" s="37"/>
      <c r="BL2160" s="37"/>
      <c r="BM2160" s="37"/>
    </row>
    <row r="2161" spans="1:65" s="40" customFormat="1" ht="23.25" x14ac:dyDescent="0.35">
      <c r="A2161" s="37"/>
      <c r="B2161" s="37"/>
      <c r="C2161" s="41"/>
      <c r="D2161" s="38"/>
      <c r="E2161" s="57"/>
      <c r="F2161" s="42"/>
      <c r="G2161" s="43"/>
      <c r="H2161" s="37"/>
      <c r="I2161" s="37"/>
      <c r="J2161" s="38"/>
      <c r="K2161" s="37"/>
      <c r="L2161" s="38"/>
      <c r="M2161" s="39"/>
      <c r="P2161" s="37"/>
      <c r="Q2161" s="37"/>
      <c r="R2161" s="37"/>
      <c r="S2161" s="37"/>
      <c r="T2161" s="37"/>
      <c r="U2161" s="37"/>
      <c r="V2161" s="37"/>
      <c r="W2161" s="37"/>
      <c r="X2161" s="37"/>
      <c r="Y2161" s="37"/>
      <c r="Z2161" s="37"/>
      <c r="AA2161" s="37"/>
      <c r="AB2161" s="37"/>
      <c r="AC2161" s="37"/>
      <c r="AD2161" s="37"/>
      <c r="AE2161" s="37"/>
      <c r="AF2161" s="37"/>
      <c r="AG2161" s="37"/>
      <c r="AH2161" s="37"/>
      <c r="AI2161" s="37"/>
      <c r="AJ2161" s="37"/>
      <c r="AK2161" s="37"/>
      <c r="AL2161" s="37"/>
      <c r="AM2161" s="37"/>
      <c r="AN2161" s="37"/>
      <c r="AO2161" s="37"/>
      <c r="AP2161" s="37"/>
      <c r="AQ2161" s="37"/>
      <c r="AR2161" s="37"/>
      <c r="AS2161" s="37"/>
      <c r="AT2161" s="37"/>
      <c r="AU2161" s="37"/>
      <c r="AV2161" s="37"/>
      <c r="AW2161" s="37"/>
      <c r="AX2161" s="37"/>
      <c r="AY2161" s="37"/>
      <c r="AZ2161" s="37"/>
      <c r="BA2161" s="37"/>
      <c r="BB2161" s="37"/>
      <c r="BC2161" s="37"/>
      <c r="BD2161" s="37"/>
      <c r="BE2161" s="37"/>
      <c r="BF2161" s="37"/>
      <c r="BG2161" s="37"/>
      <c r="BH2161" s="37"/>
      <c r="BI2161" s="37"/>
      <c r="BJ2161" s="37"/>
      <c r="BK2161" s="37"/>
      <c r="BL2161" s="37"/>
      <c r="BM2161" s="37"/>
    </row>
    <row r="2162" spans="1:65" s="40" customFormat="1" ht="23.25" x14ac:dyDescent="0.35">
      <c r="A2162" s="37"/>
      <c r="B2162" s="37"/>
      <c r="C2162" s="41"/>
      <c r="D2162" s="38"/>
      <c r="E2162" s="57"/>
      <c r="F2162" s="42"/>
      <c r="G2162" s="43"/>
      <c r="H2162" s="37"/>
      <c r="I2162" s="37"/>
      <c r="J2162" s="38"/>
      <c r="K2162" s="37"/>
      <c r="L2162" s="38"/>
      <c r="M2162" s="39"/>
      <c r="P2162" s="37"/>
      <c r="Q2162" s="37"/>
      <c r="R2162" s="37"/>
      <c r="S2162" s="37"/>
      <c r="T2162" s="37"/>
      <c r="U2162" s="37"/>
      <c r="V2162" s="37"/>
      <c r="W2162" s="37"/>
      <c r="X2162" s="37"/>
      <c r="Y2162" s="37"/>
      <c r="Z2162" s="37"/>
      <c r="AA2162" s="37"/>
      <c r="AB2162" s="37"/>
      <c r="AC2162" s="37"/>
      <c r="AD2162" s="37"/>
      <c r="AE2162" s="37"/>
      <c r="AF2162" s="37"/>
      <c r="AG2162" s="37"/>
      <c r="AH2162" s="37"/>
      <c r="AI2162" s="37"/>
      <c r="AJ2162" s="37"/>
      <c r="AK2162" s="37"/>
      <c r="AL2162" s="37"/>
      <c r="AM2162" s="37"/>
      <c r="AN2162" s="37"/>
      <c r="AO2162" s="37"/>
      <c r="AP2162" s="37"/>
      <c r="AQ2162" s="37"/>
      <c r="AR2162" s="37"/>
      <c r="AS2162" s="37"/>
      <c r="AT2162" s="37"/>
      <c r="AU2162" s="37"/>
      <c r="AV2162" s="37"/>
      <c r="AW2162" s="37"/>
      <c r="AX2162" s="37"/>
      <c r="AY2162" s="37"/>
      <c r="AZ2162" s="37"/>
      <c r="BA2162" s="37"/>
      <c r="BB2162" s="37"/>
      <c r="BC2162" s="37"/>
      <c r="BD2162" s="37"/>
      <c r="BE2162" s="37"/>
      <c r="BF2162" s="37"/>
      <c r="BG2162" s="37"/>
      <c r="BH2162" s="37"/>
      <c r="BI2162" s="37"/>
      <c r="BJ2162" s="37"/>
      <c r="BK2162" s="37"/>
      <c r="BL2162" s="37"/>
      <c r="BM2162" s="37"/>
    </row>
    <row r="2163" spans="1:65" s="40" customFormat="1" ht="23.25" x14ac:dyDescent="0.35">
      <c r="A2163" s="37"/>
      <c r="B2163" s="37"/>
      <c r="C2163" s="41"/>
      <c r="D2163" s="38"/>
      <c r="E2163" s="57"/>
      <c r="F2163" s="42"/>
      <c r="G2163" s="43"/>
      <c r="H2163" s="37"/>
      <c r="I2163" s="37"/>
      <c r="J2163" s="38"/>
      <c r="K2163" s="37"/>
      <c r="L2163" s="38"/>
      <c r="M2163" s="39"/>
      <c r="P2163" s="37"/>
      <c r="Q2163" s="37"/>
      <c r="R2163" s="37"/>
      <c r="S2163" s="37"/>
      <c r="T2163" s="37"/>
      <c r="U2163" s="37"/>
      <c r="V2163" s="37"/>
      <c r="W2163" s="37"/>
      <c r="X2163" s="37"/>
      <c r="Y2163" s="37"/>
      <c r="Z2163" s="37"/>
      <c r="AA2163" s="37"/>
      <c r="AB2163" s="37"/>
      <c r="AC2163" s="37"/>
      <c r="AD2163" s="37"/>
      <c r="AE2163" s="37"/>
      <c r="AF2163" s="37"/>
      <c r="AG2163" s="37"/>
      <c r="AH2163" s="37"/>
      <c r="AI2163" s="37"/>
      <c r="AJ2163" s="37"/>
      <c r="AK2163" s="37"/>
      <c r="AL2163" s="37"/>
      <c r="AM2163" s="37"/>
      <c r="AN2163" s="37"/>
      <c r="AO2163" s="37"/>
      <c r="AP2163" s="37"/>
      <c r="AQ2163" s="37"/>
      <c r="AR2163" s="37"/>
      <c r="AS2163" s="37"/>
      <c r="AT2163" s="37"/>
      <c r="AU2163" s="37"/>
      <c r="AV2163" s="37"/>
      <c r="AW2163" s="37"/>
      <c r="AX2163" s="37"/>
      <c r="AY2163" s="37"/>
      <c r="AZ2163" s="37"/>
      <c r="BA2163" s="37"/>
      <c r="BB2163" s="37"/>
      <c r="BC2163" s="37"/>
      <c r="BD2163" s="37"/>
      <c r="BE2163" s="37"/>
      <c r="BF2163" s="37"/>
      <c r="BG2163" s="37"/>
      <c r="BH2163" s="37"/>
      <c r="BI2163" s="37"/>
      <c r="BJ2163" s="37"/>
      <c r="BK2163" s="37"/>
      <c r="BL2163" s="37"/>
      <c r="BM2163" s="37"/>
    </row>
    <row r="2164" spans="1:65" s="40" customFormat="1" ht="23.25" x14ac:dyDescent="0.35">
      <c r="A2164" s="37"/>
      <c r="B2164" s="37"/>
      <c r="C2164" s="41"/>
      <c r="D2164" s="38"/>
      <c r="E2164" s="57"/>
      <c r="F2164" s="42"/>
      <c r="G2164" s="43"/>
      <c r="H2164" s="37"/>
      <c r="I2164" s="37"/>
      <c r="J2164" s="38"/>
      <c r="K2164" s="37"/>
      <c r="L2164" s="38"/>
      <c r="M2164" s="39"/>
      <c r="P2164" s="37"/>
      <c r="Q2164" s="37"/>
      <c r="R2164" s="37"/>
      <c r="S2164" s="37"/>
      <c r="T2164" s="37"/>
      <c r="U2164" s="37"/>
      <c r="V2164" s="37"/>
      <c r="W2164" s="37"/>
      <c r="X2164" s="37"/>
      <c r="Y2164" s="37"/>
      <c r="Z2164" s="37"/>
      <c r="AA2164" s="37"/>
      <c r="AB2164" s="37"/>
      <c r="AC2164" s="37"/>
      <c r="AD2164" s="37"/>
      <c r="AE2164" s="37"/>
      <c r="AF2164" s="37"/>
      <c r="AG2164" s="37"/>
      <c r="AH2164" s="37"/>
      <c r="AI2164" s="37"/>
      <c r="AJ2164" s="37"/>
      <c r="AK2164" s="37"/>
      <c r="AL2164" s="37"/>
      <c r="AM2164" s="37"/>
      <c r="AN2164" s="37"/>
      <c r="AO2164" s="37"/>
      <c r="AP2164" s="37"/>
      <c r="AQ2164" s="37"/>
      <c r="AR2164" s="37"/>
      <c r="AS2164" s="37"/>
      <c r="AT2164" s="37"/>
      <c r="AU2164" s="37"/>
      <c r="AV2164" s="37"/>
      <c r="AW2164" s="37"/>
      <c r="AX2164" s="37"/>
      <c r="AY2164" s="37"/>
      <c r="AZ2164" s="37"/>
      <c r="BA2164" s="37"/>
      <c r="BB2164" s="37"/>
      <c r="BC2164" s="37"/>
      <c r="BD2164" s="37"/>
      <c r="BE2164" s="37"/>
      <c r="BF2164" s="37"/>
      <c r="BG2164" s="37"/>
      <c r="BH2164" s="37"/>
      <c r="BI2164" s="37"/>
      <c r="BJ2164" s="37"/>
      <c r="BK2164" s="37"/>
      <c r="BL2164" s="37"/>
      <c r="BM2164" s="37"/>
    </row>
    <row r="2165" spans="1:65" s="40" customFormat="1" ht="23.25" x14ac:dyDescent="0.35">
      <c r="A2165" s="37"/>
      <c r="B2165" s="37"/>
      <c r="C2165" s="41"/>
      <c r="D2165" s="38"/>
      <c r="E2165" s="57"/>
      <c r="F2165" s="42"/>
      <c r="G2165" s="43"/>
      <c r="H2165" s="37"/>
      <c r="I2165" s="37"/>
      <c r="J2165" s="38"/>
      <c r="K2165" s="37"/>
      <c r="L2165" s="38"/>
      <c r="M2165" s="39"/>
      <c r="P2165" s="37"/>
      <c r="Q2165" s="37"/>
      <c r="R2165" s="37"/>
      <c r="S2165" s="37"/>
      <c r="T2165" s="37"/>
      <c r="U2165" s="37"/>
      <c r="V2165" s="37"/>
      <c r="W2165" s="37"/>
      <c r="X2165" s="37"/>
      <c r="Y2165" s="37"/>
      <c r="Z2165" s="37"/>
      <c r="AA2165" s="37"/>
      <c r="AB2165" s="37"/>
      <c r="AC2165" s="37"/>
      <c r="AD2165" s="37"/>
      <c r="AE2165" s="37"/>
      <c r="AF2165" s="37"/>
      <c r="AG2165" s="37"/>
      <c r="AH2165" s="37"/>
      <c r="AI2165" s="37"/>
      <c r="AJ2165" s="37"/>
      <c r="AK2165" s="37"/>
      <c r="AL2165" s="37"/>
      <c r="AM2165" s="37"/>
      <c r="AN2165" s="37"/>
      <c r="AO2165" s="37"/>
      <c r="AP2165" s="37"/>
      <c r="AQ2165" s="37"/>
      <c r="AR2165" s="37"/>
      <c r="AS2165" s="37"/>
      <c r="AT2165" s="37"/>
      <c r="AU2165" s="37"/>
      <c r="AV2165" s="37"/>
      <c r="AW2165" s="37"/>
      <c r="AX2165" s="37"/>
      <c r="AY2165" s="37"/>
      <c r="AZ2165" s="37"/>
      <c r="BA2165" s="37"/>
      <c r="BB2165" s="37"/>
      <c r="BC2165" s="37"/>
      <c r="BD2165" s="37"/>
      <c r="BE2165" s="37"/>
      <c r="BF2165" s="37"/>
      <c r="BG2165" s="37"/>
      <c r="BH2165" s="37"/>
      <c r="BI2165" s="37"/>
      <c r="BJ2165" s="37"/>
      <c r="BK2165" s="37"/>
      <c r="BL2165" s="37"/>
      <c r="BM2165" s="37"/>
    </row>
    <row r="2166" spans="1:65" s="40" customFormat="1" ht="23.25" x14ac:dyDescent="0.35">
      <c r="A2166" s="37"/>
      <c r="B2166" s="37"/>
      <c r="C2166" s="41"/>
      <c r="D2166" s="38"/>
      <c r="E2166" s="57"/>
      <c r="F2166" s="42"/>
      <c r="G2166" s="43"/>
      <c r="H2166" s="37"/>
      <c r="I2166" s="37"/>
      <c r="J2166" s="38"/>
      <c r="K2166" s="37"/>
      <c r="L2166" s="38"/>
      <c r="M2166" s="39"/>
      <c r="P2166" s="37"/>
      <c r="Q2166" s="37"/>
      <c r="R2166" s="37"/>
      <c r="S2166" s="37"/>
      <c r="T2166" s="37"/>
      <c r="U2166" s="37"/>
      <c r="V2166" s="37"/>
      <c r="W2166" s="37"/>
      <c r="X2166" s="37"/>
      <c r="Y2166" s="37"/>
      <c r="Z2166" s="37"/>
      <c r="AA2166" s="37"/>
      <c r="AB2166" s="37"/>
      <c r="AC2166" s="37"/>
      <c r="AD2166" s="37"/>
      <c r="AE2166" s="37"/>
      <c r="AF2166" s="37"/>
      <c r="AG2166" s="37"/>
      <c r="AH2166" s="37"/>
      <c r="AI2166" s="37"/>
      <c r="AJ2166" s="37"/>
      <c r="AK2166" s="37"/>
      <c r="AL2166" s="37"/>
      <c r="AM2166" s="37"/>
      <c r="AN2166" s="37"/>
      <c r="AO2166" s="37"/>
      <c r="AP2166" s="37"/>
      <c r="AQ2166" s="37"/>
      <c r="AR2166" s="37"/>
      <c r="AS2166" s="37"/>
      <c r="AT2166" s="37"/>
      <c r="AU2166" s="37"/>
      <c r="AV2166" s="37"/>
      <c r="AW2166" s="37"/>
      <c r="AX2166" s="37"/>
      <c r="AY2166" s="37"/>
      <c r="AZ2166" s="37"/>
      <c r="BA2166" s="37"/>
      <c r="BB2166" s="37"/>
      <c r="BC2166" s="37"/>
      <c r="BD2166" s="37"/>
      <c r="BE2166" s="37"/>
      <c r="BF2166" s="37"/>
      <c r="BG2166" s="37"/>
      <c r="BH2166" s="37"/>
      <c r="BI2166" s="37"/>
      <c r="BJ2166" s="37"/>
      <c r="BK2166" s="37"/>
      <c r="BL2166" s="37"/>
      <c r="BM2166" s="37"/>
    </row>
    <row r="2167" spans="1:65" s="40" customFormat="1" ht="23.25" x14ac:dyDescent="0.35">
      <c r="A2167" s="37"/>
      <c r="B2167" s="37"/>
      <c r="C2167" s="41"/>
      <c r="D2167" s="38"/>
      <c r="E2167" s="57"/>
      <c r="F2167" s="42"/>
      <c r="G2167" s="43"/>
      <c r="H2167" s="37"/>
      <c r="I2167" s="37"/>
      <c r="J2167" s="38"/>
      <c r="K2167" s="37"/>
      <c r="L2167" s="38"/>
      <c r="M2167" s="39"/>
      <c r="P2167" s="37"/>
      <c r="Q2167" s="37"/>
      <c r="R2167" s="37"/>
      <c r="S2167" s="37"/>
      <c r="T2167" s="37"/>
      <c r="U2167" s="37"/>
      <c r="V2167" s="37"/>
      <c r="W2167" s="37"/>
      <c r="X2167" s="37"/>
      <c r="Y2167" s="37"/>
      <c r="Z2167" s="37"/>
      <c r="AA2167" s="37"/>
      <c r="AB2167" s="37"/>
      <c r="AC2167" s="37"/>
      <c r="AD2167" s="37"/>
      <c r="AE2167" s="37"/>
      <c r="AF2167" s="37"/>
      <c r="AG2167" s="37"/>
      <c r="AH2167" s="37"/>
      <c r="AI2167" s="37"/>
      <c r="AJ2167" s="37"/>
      <c r="AK2167" s="37"/>
      <c r="AL2167" s="37"/>
      <c r="AM2167" s="37"/>
      <c r="AN2167" s="37"/>
      <c r="AO2167" s="37"/>
      <c r="AP2167" s="37"/>
      <c r="AQ2167" s="37"/>
      <c r="AR2167" s="37"/>
      <c r="AS2167" s="37"/>
      <c r="AT2167" s="37"/>
      <c r="AU2167" s="37"/>
      <c r="AV2167" s="37"/>
      <c r="AW2167" s="37"/>
      <c r="AX2167" s="37"/>
      <c r="AY2167" s="37"/>
      <c r="AZ2167" s="37"/>
      <c r="BA2167" s="37"/>
      <c r="BB2167" s="37"/>
      <c r="BC2167" s="37"/>
      <c r="BD2167" s="37"/>
      <c r="BE2167" s="37"/>
      <c r="BF2167" s="37"/>
      <c r="BG2167" s="37"/>
      <c r="BH2167" s="37"/>
      <c r="BI2167" s="37"/>
      <c r="BJ2167" s="37"/>
      <c r="BK2167" s="37"/>
      <c r="BL2167" s="37"/>
      <c r="BM2167" s="37"/>
    </row>
    <row r="2168" spans="1:65" s="40" customFormat="1" ht="23.25" x14ac:dyDescent="0.35">
      <c r="A2168" s="37"/>
      <c r="B2168" s="37"/>
      <c r="C2168" s="41"/>
      <c r="D2168" s="38"/>
      <c r="E2168" s="57"/>
      <c r="F2168" s="42"/>
      <c r="G2168" s="43"/>
      <c r="H2168" s="37"/>
      <c r="I2168" s="37"/>
      <c r="J2168" s="38"/>
      <c r="K2168" s="37"/>
      <c r="L2168" s="38"/>
      <c r="M2168" s="39"/>
      <c r="P2168" s="37"/>
      <c r="Q2168" s="37"/>
      <c r="R2168" s="37"/>
      <c r="S2168" s="37"/>
      <c r="T2168" s="37"/>
      <c r="U2168" s="37"/>
      <c r="V2168" s="37"/>
      <c r="W2168" s="37"/>
      <c r="X2168" s="37"/>
      <c r="Y2168" s="37"/>
      <c r="Z2168" s="37"/>
      <c r="AA2168" s="37"/>
      <c r="AB2168" s="37"/>
      <c r="AC2168" s="37"/>
      <c r="AD2168" s="37"/>
      <c r="AE2168" s="37"/>
      <c r="AF2168" s="37"/>
      <c r="AG2168" s="37"/>
      <c r="AH2168" s="37"/>
      <c r="AI2168" s="37"/>
      <c r="AJ2168" s="37"/>
      <c r="AK2168" s="37"/>
      <c r="AL2168" s="37"/>
      <c r="AM2168" s="37"/>
      <c r="AN2168" s="37"/>
      <c r="AO2168" s="37"/>
      <c r="AP2168" s="37"/>
      <c r="AQ2168" s="37"/>
      <c r="AR2168" s="37"/>
      <c r="AS2168" s="37"/>
      <c r="AT2168" s="37"/>
      <c r="AU2168" s="37"/>
      <c r="AV2168" s="37"/>
      <c r="AW2168" s="37"/>
      <c r="AX2168" s="37"/>
      <c r="AY2168" s="37"/>
      <c r="AZ2168" s="37"/>
      <c r="BA2168" s="37"/>
      <c r="BB2168" s="37"/>
      <c r="BC2168" s="37"/>
      <c r="BD2168" s="37"/>
      <c r="BE2168" s="37"/>
      <c r="BF2168" s="37"/>
      <c r="BG2168" s="37"/>
      <c r="BH2168" s="37"/>
      <c r="BI2168" s="37"/>
      <c r="BJ2168" s="37"/>
      <c r="BK2168" s="37"/>
      <c r="BL2168" s="37"/>
      <c r="BM2168" s="37"/>
    </row>
    <row r="2169" spans="1:65" s="40" customFormat="1" ht="23.25" x14ac:dyDescent="0.35">
      <c r="A2169" s="37"/>
      <c r="B2169" s="37"/>
      <c r="C2169" s="41"/>
      <c r="D2169" s="38"/>
      <c r="E2169" s="57"/>
      <c r="F2169" s="42"/>
      <c r="G2169" s="43"/>
      <c r="H2169" s="37"/>
      <c r="I2169" s="37"/>
      <c r="J2169" s="38"/>
      <c r="K2169" s="37"/>
      <c r="L2169" s="38"/>
      <c r="M2169" s="39"/>
      <c r="P2169" s="37"/>
      <c r="Q2169" s="37"/>
      <c r="R2169" s="37"/>
      <c r="S2169" s="37"/>
      <c r="T2169" s="37"/>
      <c r="U2169" s="37"/>
      <c r="V2169" s="37"/>
      <c r="W2169" s="37"/>
      <c r="X2169" s="37"/>
      <c r="Y2169" s="37"/>
      <c r="Z2169" s="37"/>
      <c r="AA2169" s="37"/>
      <c r="AB2169" s="37"/>
      <c r="AC2169" s="37"/>
      <c r="AD2169" s="37"/>
      <c r="AE2169" s="37"/>
      <c r="AF2169" s="37"/>
      <c r="AG2169" s="37"/>
      <c r="AH2169" s="37"/>
      <c r="AI2169" s="37"/>
      <c r="AJ2169" s="37"/>
      <c r="AK2169" s="37"/>
      <c r="AL2169" s="37"/>
      <c r="AM2169" s="37"/>
      <c r="AN2169" s="37"/>
      <c r="AO2169" s="37"/>
      <c r="AP2169" s="37"/>
      <c r="AQ2169" s="37"/>
      <c r="AR2169" s="37"/>
      <c r="AS2169" s="37"/>
      <c r="AT2169" s="37"/>
      <c r="AU2169" s="37"/>
      <c r="AV2169" s="37"/>
      <c r="AW2169" s="37"/>
      <c r="AX2169" s="37"/>
      <c r="AY2169" s="37"/>
      <c r="AZ2169" s="37"/>
      <c r="BA2169" s="37"/>
      <c r="BB2169" s="37"/>
      <c r="BC2169" s="37"/>
      <c r="BD2169" s="37"/>
      <c r="BE2169" s="37"/>
      <c r="BF2169" s="37"/>
      <c r="BG2169" s="37"/>
      <c r="BH2169" s="37"/>
      <c r="BI2169" s="37"/>
      <c r="BJ2169" s="37"/>
      <c r="BK2169" s="37"/>
      <c r="BL2169" s="37"/>
      <c r="BM2169" s="37"/>
    </row>
    <row r="2170" spans="1:65" s="40" customFormat="1" ht="23.25" x14ac:dyDescent="0.35">
      <c r="A2170" s="37"/>
      <c r="B2170" s="37"/>
      <c r="C2170" s="41"/>
      <c r="D2170" s="38"/>
      <c r="E2170" s="57"/>
      <c r="F2170" s="42"/>
      <c r="G2170" s="43"/>
      <c r="H2170" s="37"/>
      <c r="I2170" s="37"/>
      <c r="J2170" s="38"/>
      <c r="K2170" s="37"/>
      <c r="L2170" s="38"/>
      <c r="M2170" s="39"/>
      <c r="P2170" s="37"/>
      <c r="Q2170" s="37"/>
      <c r="R2170" s="37"/>
      <c r="S2170" s="37"/>
      <c r="T2170" s="37"/>
      <c r="U2170" s="37"/>
      <c r="V2170" s="37"/>
      <c r="W2170" s="37"/>
      <c r="X2170" s="37"/>
      <c r="Y2170" s="37"/>
      <c r="Z2170" s="37"/>
      <c r="AA2170" s="37"/>
      <c r="AB2170" s="37"/>
      <c r="AC2170" s="37"/>
      <c r="AD2170" s="37"/>
      <c r="AE2170" s="37"/>
      <c r="AF2170" s="37"/>
      <c r="AG2170" s="37"/>
      <c r="AH2170" s="37"/>
      <c r="AI2170" s="37"/>
      <c r="AJ2170" s="37"/>
      <c r="AK2170" s="37"/>
      <c r="AL2170" s="37"/>
      <c r="AM2170" s="37"/>
      <c r="AN2170" s="37"/>
      <c r="AO2170" s="37"/>
      <c r="AP2170" s="37"/>
      <c r="AQ2170" s="37"/>
      <c r="AR2170" s="37"/>
      <c r="AS2170" s="37"/>
      <c r="AT2170" s="37"/>
      <c r="AU2170" s="37"/>
      <c r="AV2170" s="37"/>
      <c r="AW2170" s="37"/>
      <c r="AX2170" s="37"/>
      <c r="AY2170" s="37"/>
      <c r="AZ2170" s="37"/>
      <c r="BA2170" s="37"/>
      <c r="BB2170" s="37"/>
      <c r="BC2170" s="37"/>
      <c r="BD2170" s="37"/>
      <c r="BE2170" s="37"/>
      <c r="BF2170" s="37"/>
      <c r="BG2170" s="37"/>
      <c r="BH2170" s="37"/>
      <c r="BI2170" s="37"/>
      <c r="BJ2170" s="37"/>
      <c r="BK2170" s="37"/>
      <c r="BL2170" s="37"/>
      <c r="BM2170" s="37"/>
    </row>
    <row r="2171" spans="1:65" s="40" customFormat="1" ht="23.25" x14ac:dyDescent="0.35">
      <c r="A2171" s="37"/>
      <c r="B2171" s="37"/>
      <c r="C2171" s="41"/>
      <c r="D2171" s="38"/>
      <c r="E2171" s="57"/>
      <c r="F2171" s="42"/>
      <c r="G2171" s="43"/>
      <c r="H2171" s="37"/>
      <c r="I2171" s="37"/>
      <c r="J2171" s="38"/>
      <c r="K2171" s="37"/>
      <c r="L2171" s="38"/>
      <c r="M2171" s="39"/>
      <c r="P2171" s="37"/>
      <c r="Q2171" s="37"/>
      <c r="R2171" s="37"/>
      <c r="S2171" s="37"/>
      <c r="T2171" s="37"/>
      <c r="U2171" s="37"/>
      <c r="V2171" s="37"/>
      <c r="W2171" s="37"/>
      <c r="X2171" s="37"/>
      <c r="Y2171" s="37"/>
      <c r="Z2171" s="37"/>
      <c r="AA2171" s="37"/>
      <c r="AB2171" s="37"/>
      <c r="AC2171" s="37"/>
      <c r="AD2171" s="37"/>
      <c r="AE2171" s="37"/>
      <c r="AF2171" s="37"/>
      <c r="AG2171" s="37"/>
      <c r="AH2171" s="37"/>
      <c r="AI2171" s="37"/>
      <c r="AJ2171" s="37"/>
      <c r="AK2171" s="37"/>
      <c r="AL2171" s="37"/>
      <c r="AM2171" s="37"/>
      <c r="AN2171" s="37"/>
      <c r="AO2171" s="37"/>
      <c r="AP2171" s="37"/>
      <c r="AQ2171" s="37"/>
      <c r="AR2171" s="37"/>
      <c r="AS2171" s="37"/>
      <c r="AT2171" s="37"/>
      <c r="AU2171" s="37"/>
      <c r="AV2171" s="37"/>
      <c r="AW2171" s="37"/>
      <c r="AX2171" s="37"/>
      <c r="AY2171" s="37"/>
      <c r="AZ2171" s="37"/>
      <c r="BA2171" s="37"/>
      <c r="BB2171" s="37"/>
      <c r="BC2171" s="37"/>
      <c r="BD2171" s="37"/>
      <c r="BE2171" s="37"/>
      <c r="BF2171" s="37"/>
      <c r="BG2171" s="37"/>
      <c r="BH2171" s="37"/>
      <c r="BI2171" s="37"/>
      <c r="BJ2171" s="37"/>
      <c r="BK2171" s="37"/>
      <c r="BL2171" s="37"/>
      <c r="BM2171" s="37"/>
    </row>
    <row r="2172" spans="1:65" s="40" customFormat="1" ht="23.25" x14ac:dyDescent="0.35">
      <c r="A2172" s="37"/>
      <c r="B2172" s="37"/>
      <c r="C2172" s="41"/>
      <c r="D2172" s="38"/>
      <c r="E2172" s="57"/>
      <c r="F2172" s="42"/>
      <c r="G2172" s="43"/>
      <c r="H2172" s="37"/>
      <c r="I2172" s="37"/>
      <c r="J2172" s="38"/>
      <c r="K2172" s="37"/>
      <c r="L2172" s="38"/>
      <c r="M2172" s="39"/>
      <c r="P2172" s="37"/>
      <c r="Q2172" s="37"/>
      <c r="R2172" s="37"/>
      <c r="S2172" s="37"/>
      <c r="T2172" s="37"/>
      <c r="U2172" s="37"/>
      <c r="V2172" s="37"/>
      <c r="W2172" s="37"/>
      <c r="X2172" s="37"/>
      <c r="Y2172" s="37"/>
      <c r="Z2172" s="37"/>
      <c r="AA2172" s="37"/>
      <c r="AB2172" s="37"/>
      <c r="AC2172" s="37"/>
      <c r="AD2172" s="37"/>
      <c r="AE2172" s="37"/>
      <c r="AF2172" s="37"/>
      <c r="AG2172" s="37"/>
      <c r="AH2172" s="37"/>
      <c r="AI2172" s="37"/>
      <c r="AJ2172" s="37"/>
      <c r="AK2172" s="37"/>
      <c r="AL2172" s="37"/>
      <c r="AM2172" s="37"/>
      <c r="AN2172" s="37"/>
      <c r="AO2172" s="37"/>
      <c r="AP2172" s="37"/>
      <c r="AQ2172" s="37"/>
      <c r="AR2172" s="37"/>
      <c r="AS2172" s="37"/>
      <c r="AT2172" s="37"/>
      <c r="AU2172" s="37"/>
      <c r="AV2172" s="37"/>
      <c r="AW2172" s="37"/>
      <c r="AX2172" s="37"/>
      <c r="AY2172" s="37"/>
      <c r="AZ2172" s="37"/>
      <c r="BA2172" s="37"/>
      <c r="BB2172" s="37"/>
      <c r="BC2172" s="37"/>
      <c r="BD2172" s="37"/>
      <c r="BE2172" s="37"/>
      <c r="BF2172" s="37"/>
      <c r="BG2172" s="37"/>
      <c r="BH2172" s="37"/>
      <c r="BI2172" s="37"/>
      <c r="BJ2172" s="37"/>
      <c r="BK2172" s="37"/>
      <c r="BL2172" s="37"/>
      <c r="BM2172" s="37"/>
    </row>
    <row r="2173" spans="1:65" s="40" customFormat="1" ht="23.25" x14ac:dyDescent="0.35">
      <c r="A2173" s="37"/>
      <c r="B2173" s="37"/>
      <c r="C2173" s="41"/>
      <c r="D2173" s="38"/>
      <c r="E2173" s="57"/>
      <c r="F2173" s="42"/>
      <c r="G2173" s="43"/>
      <c r="H2173" s="37"/>
      <c r="I2173" s="37"/>
      <c r="J2173" s="38"/>
      <c r="K2173" s="37"/>
      <c r="L2173" s="38"/>
      <c r="M2173" s="39"/>
      <c r="P2173" s="37"/>
      <c r="Q2173" s="37"/>
      <c r="R2173" s="37"/>
      <c r="S2173" s="37"/>
      <c r="T2173" s="37"/>
      <c r="U2173" s="37"/>
      <c r="V2173" s="37"/>
      <c r="W2173" s="37"/>
      <c r="X2173" s="37"/>
      <c r="Y2173" s="37"/>
      <c r="Z2173" s="37"/>
      <c r="AA2173" s="37"/>
      <c r="AB2173" s="37"/>
      <c r="AC2173" s="37"/>
      <c r="AD2173" s="37"/>
      <c r="AE2173" s="37"/>
      <c r="AF2173" s="37"/>
      <c r="AG2173" s="37"/>
      <c r="AH2173" s="37"/>
      <c r="AI2173" s="37"/>
      <c r="AJ2173" s="37"/>
      <c r="AK2173" s="37"/>
      <c r="AL2173" s="37"/>
      <c r="AM2173" s="37"/>
      <c r="AN2173" s="37"/>
      <c r="AO2173" s="37"/>
      <c r="AP2173" s="37"/>
      <c r="AQ2173" s="37"/>
      <c r="AR2173" s="37"/>
      <c r="AS2173" s="37"/>
      <c r="AT2173" s="37"/>
      <c r="AU2173" s="37"/>
      <c r="AV2173" s="37"/>
      <c r="AW2173" s="37"/>
      <c r="AX2173" s="37"/>
      <c r="AY2173" s="37"/>
      <c r="AZ2173" s="37"/>
      <c r="BA2173" s="37"/>
      <c r="BB2173" s="37"/>
      <c r="BC2173" s="37"/>
      <c r="BD2173" s="37"/>
      <c r="BE2173" s="37"/>
      <c r="BF2173" s="37"/>
      <c r="BG2173" s="37"/>
      <c r="BH2173" s="37"/>
      <c r="BI2173" s="37"/>
      <c r="BJ2173" s="37"/>
      <c r="BK2173" s="37"/>
      <c r="BL2173" s="37"/>
      <c r="BM2173" s="37"/>
    </row>
    <row r="2174" spans="1:65" s="40" customFormat="1" ht="23.25" x14ac:dyDescent="0.35">
      <c r="A2174" s="37"/>
      <c r="B2174" s="37"/>
      <c r="C2174" s="41"/>
      <c r="D2174" s="38"/>
      <c r="E2174" s="57"/>
      <c r="F2174" s="42"/>
      <c r="G2174" s="43"/>
      <c r="H2174" s="37"/>
      <c r="I2174" s="37"/>
      <c r="J2174" s="38"/>
      <c r="K2174" s="37"/>
      <c r="L2174" s="38"/>
      <c r="M2174" s="39"/>
      <c r="P2174" s="37"/>
      <c r="Q2174" s="37"/>
      <c r="R2174" s="37"/>
      <c r="S2174" s="37"/>
      <c r="T2174" s="37"/>
      <c r="U2174" s="37"/>
      <c r="V2174" s="37"/>
      <c r="W2174" s="37"/>
      <c r="X2174" s="37"/>
      <c r="Y2174" s="37"/>
      <c r="Z2174" s="37"/>
      <c r="AA2174" s="37"/>
      <c r="AB2174" s="37"/>
      <c r="AC2174" s="37"/>
      <c r="AD2174" s="37"/>
      <c r="AE2174" s="37"/>
      <c r="AF2174" s="37"/>
      <c r="AG2174" s="37"/>
      <c r="AH2174" s="37"/>
      <c r="AI2174" s="37"/>
      <c r="AJ2174" s="37"/>
      <c r="AK2174" s="37"/>
      <c r="AL2174" s="37"/>
      <c r="AM2174" s="37"/>
      <c r="AN2174" s="37"/>
      <c r="AO2174" s="37"/>
      <c r="AP2174" s="37"/>
      <c r="AQ2174" s="37"/>
      <c r="AR2174" s="37"/>
      <c r="AS2174" s="37"/>
      <c r="AT2174" s="37"/>
      <c r="AU2174" s="37"/>
      <c r="AV2174" s="37"/>
      <c r="AW2174" s="37"/>
      <c r="AX2174" s="37"/>
      <c r="AY2174" s="37"/>
      <c r="AZ2174" s="37"/>
      <c r="BA2174" s="37"/>
      <c r="BB2174" s="37"/>
      <c r="BC2174" s="37"/>
      <c r="BD2174" s="37"/>
      <c r="BE2174" s="37"/>
      <c r="BF2174" s="37"/>
      <c r="BG2174" s="37"/>
      <c r="BH2174" s="37"/>
      <c r="BI2174" s="37"/>
      <c r="BJ2174" s="37"/>
      <c r="BK2174" s="37"/>
      <c r="BL2174" s="37"/>
      <c r="BM2174" s="37"/>
    </row>
    <row r="2175" spans="1:65" s="40" customFormat="1" ht="23.25" x14ac:dyDescent="0.35">
      <c r="A2175" s="37"/>
      <c r="B2175" s="37"/>
      <c r="C2175" s="41"/>
      <c r="D2175" s="38"/>
      <c r="E2175" s="57"/>
      <c r="F2175" s="42"/>
      <c r="G2175" s="43"/>
      <c r="H2175" s="37"/>
      <c r="I2175" s="37"/>
      <c r="J2175" s="38"/>
      <c r="K2175" s="37"/>
      <c r="L2175" s="38"/>
      <c r="M2175" s="39"/>
      <c r="P2175" s="37"/>
      <c r="Q2175" s="37"/>
      <c r="R2175" s="37"/>
      <c r="S2175" s="37"/>
      <c r="T2175" s="37"/>
      <c r="U2175" s="37"/>
      <c r="V2175" s="37"/>
      <c r="W2175" s="37"/>
      <c r="X2175" s="37"/>
      <c r="Y2175" s="37"/>
      <c r="Z2175" s="37"/>
      <c r="AA2175" s="37"/>
      <c r="AB2175" s="37"/>
      <c r="AC2175" s="37"/>
      <c r="AD2175" s="37"/>
      <c r="AE2175" s="37"/>
      <c r="AF2175" s="37"/>
      <c r="AG2175" s="37"/>
      <c r="AH2175" s="37"/>
      <c r="AI2175" s="37"/>
      <c r="AJ2175" s="37"/>
      <c r="AK2175" s="37"/>
      <c r="AL2175" s="37"/>
      <c r="AM2175" s="37"/>
      <c r="AN2175" s="37"/>
      <c r="AO2175" s="37"/>
      <c r="AP2175" s="37"/>
      <c r="AQ2175" s="37"/>
      <c r="AR2175" s="37"/>
      <c r="AS2175" s="37"/>
      <c r="AT2175" s="37"/>
      <c r="AU2175" s="37"/>
      <c r="AV2175" s="37"/>
      <c r="AW2175" s="37"/>
      <c r="AX2175" s="37"/>
      <c r="AY2175" s="37"/>
      <c r="AZ2175" s="37"/>
      <c r="BA2175" s="37"/>
      <c r="BB2175" s="37"/>
      <c r="BC2175" s="37"/>
      <c r="BD2175" s="37"/>
      <c r="BE2175" s="37"/>
      <c r="BF2175" s="37"/>
      <c r="BG2175" s="37"/>
      <c r="BH2175" s="37"/>
      <c r="BI2175" s="37"/>
      <c r="BJ2175" s="37"/>
      <c r="BK2175" s="37"/>
      <c r="BL2175" s="37"/>
      <c r="BM2175" s="37"/>
    </row>
    <row r="2176" spans="1:65" s="40" customFormat="1" ht="23.25" x14ac:dyDescent="0.35">
      <c r="A2176" s="37"/>
      <c r="B2176" s="37"/>
      <c r="C2176" s="41"/>
      <c r="D2176" s="38"/>
      <c r="E2176" s="57"/>
      <c r="F2176" s="42"/>
      <c r="G2176" s="43"/>
      <c r="H2176" s="37"/>
      <c r="I2176" s="37"/>
      <c r="J2176" s="38"/>
      <c r="K2176" s="37"/>
      <c r="L2176" s="38"/>
      <c r="M2176" s="39"/>
      <c r="P2176" s="37"/>
      <c r="Q2176" s="37"/>
      <c r="R2176" s="37"/>
      <c r="S2176" s="37"/>
      <c r="T2176" s="37"/>
      <c r="U2176" s="37"/>
      <c r="V2176" s="37"/>
      <c r="W2176" s="37"/>
      <c r="X2176" s="37"/>
      <c r="Y2176" s="37"/>
      <c r="Z2176" s="37"/>
      <c r="AA2176" s="37"/>
      <c r="AB2176" s="37"/>
      <c r="AC2176" s="37"/>
      <c r="AD2176" s="37"/>
      <c r="AE2176" s="37"/>
      <c r="AF2176" s="37"/>
      <c r="AG2176" s="37"/>
      <c r="AH2176" s="37"/>
      <c r="AI2176" s="37"/>
      <c r="AJ2176" s="37"/>
      <c r="AK2176" s="37"/>
      <c r="AL2176" s="37"/>
      <c r="AM2176" s="37"/>
      <c r="AN2176" s="37"/>
      <c r="AO2176" s="37"/>
      <c r="AP2176" s="37"/>
      <c r="AQ2176" s="37"/>
      <c r="AR2176" s="37"/>
      <c r="AS2176" s="37"/>
      <c r="AT2176" s="37"/>
      <c r="AU2176" s="37"/>
      <c r="AV2176" s="37"/>
      <c r="AW2176" s="37"/>
      <c r="AX2176" s="37"/>
      <c r="AY2176" s="37"/>
      <c r="AZ2176" s="37"/>
      <c r="BA2176" s="37"/>
      <c r="BB2176" s="37"/>
      <c r="BC2176" s="37"/>
      <c r="BD2176" s="37"/>
      <c r="BE2176" s="37"/>
      <c r="BF2176" s="37"/>
      <c r="BG2176" s="37"/>
      <c r="BH2176" s="37"/>
      <c r="BI2176" s="37"/>
      <c r="BJ2176" s="37"/>
      <c r="BK2176" s="37"/>
      <c r="BL2176" s="37"/>
      <c r="BM2176" s="37"/>
    </row>
    <row r="2177" spans="1:65" s="40" customFormat="1" ht="23.25" x14ac:dyDescent="0.35">
      <c r="A2177" s="37"/>
      <c r="B2177" s="37"/>
      <c r="C2177" s="41"/>
      <c r="D2177" s="38"/>
      <c r="E2177" s="57"/>
      <c r="F2177" s="42"/>
      <c r="G2177" s="43"/>
      <c r="H2177" s="37"/>
      <c r="I2177" s="37"/>
      <c r="J2177" s="38"/>
      <c r="K2177" s="37"/>
      <c r="L2177" s="38"/>
      <c r="M2177" s="39"/>
      <c r="P2177" s="37"/>
      <c r="Q2177" s="37"/>
      <c r="R2177" s="37"/>
      <c r="S2177" s="37"/>
      <c r="T2177" s="37"/>
      <c r="U2177" s="37"/>
      <c r="V2177" s="37"/>
      <c r="W2177" s="37"/>
      <c r="X2177" s="37"/>
      <c r="Y2177" s="37"/>
      <c r="Z2177" s="37"/>
      <c r="AA2177" s="37"/>
      <c r="AB2177" s="37"/>
      <c r="AC2177" s="37"/>
      <c r="AD2177" s="37"/>
      <c r="AE2177" s="37"/>
      <c r="AF2177" s="37"/>
      <c r="AG2177" s="37"/>
      <c r="AH2177" s="37"/>
      <c r="AI2177" s="37"/>
      <c r="AJ2177" s="37"/>
      <c r="AK2177" s="37"/>
      <c r="AL2177" s="37"/>
      <c r="AM2177" s="37"/>
      <c r="AN2177" s="37"/>
      <c r="AO2177" s="37"/>
      <c r="AP2177" s="37"/>
      <c r="AQ2177" s="37"/>
      <c r="AR2177" s="37"/>
      <c r="AS2177" s="37"/>
      <c r="AT2177" s="37"/>
      <c r="AU2177" s="37"/>
      <c r="AV2177" s="37"/>
      <c r="AW2177" s="37"/>
      <c r="AX2177" s="37"/>
      <c r="AY2177" s="37"/>
      <c r="AZ2177" s="37"/>
      <c r="BA2177" s="37"/>
      <c r="BB2177" s="37"/>
      <c r="BC2177" s="37"/>
      <c r="BD2177" s="37"/>
      <c r="BE2177" s="37"/>
      <c r="BF2177" s="37"/>
      <c r="BG2177" s="37"/>
      <c r="BH2177" s="37"/>
      <c r="BI2177" s="37"/>
      <c r="BJ2177" s="37"/>
      <c r="BK2177" s="37"/>
      <c r="BL2177" s="37"/>
      <c r="BM2177" s="37"/>
    </row>
    <row r="2178" spans="1:65" s="40" customFormat="1" ht="23.25" x14ac:dyDescent="0.35">
      <c r="A2178" s="37"/>
      <c r="B2178" s="37"/>
      <c r="C2178" s="41"/>
      <c r="D2178" s="38"/>
      <c r="E2178" s="57"/>
      <c r="F2178" s="42"/>
      <c r="G2178" s="43"/>
      <c r="H2178" s="37"/>
      <c r="I2178" s="37"/>
      <c r="J2178" s="38"/>
      <c r="K2178" s="37"/>
      <c r="L2178" s="38"/>
      <c r="M2178" s="39"/>
      <c r="P2178" s="37"/>
      <c r="Q2178" s="37"/>
      <c r="R2178" s="37"/>
      <c r="S2178" s="37"/>
      <c r="T2178" s="37"/>
      <c r="U2178" s="37"/>
      <c r="V2178" s="37"/>
      <c r="W2178" s="37"/>
      <c r="X2178" s="37"/>
      <c r="Y2178" s="37"/>
      <c r="Z2178" s="37"/>
      <c r="AA2178" s="37"/>
      <c r="AB2178" s="37"/>
      <c r="AC2178" s="37"/>
      <c r="AD2178" s="37"/>
      <c r="AE2178" s="37"/>
      <c r="AF2178" s="37"/>
      <c r="AG2178" s="37"/>
      <c r="AH2178" s="37"/>
      <c r="AI2178" s="37"/>
      <c r="AJ2178" s="37"/>
      <c r="AK2178" s="37"/>
      <c r="AL2178" s="37"/>
      <c r="AM2178" s="37"/>
      <c r="AN2178" s="37"/>
      <c r="AO2178" s="37"/>
      <c r="AP2178" s="37"/>
      <c r="AQ2178" s="37"/>
      <c r="AR2178" s="37"/>
      <c r="AS2178" s="37"/>
      <c r="AT2178" s="37"/>
      <c r="AU2178" s="37"/>
      <c r="AV2178" s="37"/>
      <c r="AW2178" s="37"/>
      <c r="AX2178" s="37"/>
      <c r="AY2178" s="37"/>
      <c r="AZ2178" s="37"/>
      <c r="BA2178" s="37"/>
      <c r="BB2178" s="37"/>
      <c r="BC2178" s="37"/>
      <c r="BD2178" s="37"/>
      <c r="BE2178" s="37"/>
      <c r="BF2178" s="37"/>
      <c r="BG2178" s="37"/>
      <c r="BH2178" s="37"/>
      <c r="BI2178" s="37"/>
      <c r="BJ2178" s="37"/>
      <c r="BK2178" s="37"/>
      <c r="BL2178" s="37"/>
      <c r="BM2178" s="37"/>
    </row>
    <row r="2179" spans="1:65" s="40" customFormat="1" ht="23.25" x14ac:dyDescent="0.35">
      <c r="A2179" s="37"/>
      <c r="B2179" s="37"/>
      <c r="C2179" s="41"/>
      <c r="D2179" s="38"/>
      <c r="E2179" s="57"/>
      <c r="F2179" s="42"/>
      <c r="G2179" s="43"/>
      <c r="H2179" s="37"/>
      <c r="I2179" s="37"/>
      <c r="J2179" s="38"/>
      <c r="K2179" s="37"/>
      <c r="L2179" s="38"/>
      <c r="M2179" s="39"/>
      <c r="P2179" s="37"/>
      <c r="Q2179" s="37"/>
      <c r="R2179" s="37"/>
      <c r="S2179" s="37"/>
      <c r="T2179" s="37"/>
      <c r="U2179" s="37"/>
      <c r="V2179" s="37"/>
      <c r="W2179" s="37"/>
      <c r="X2179" s="37"/>
      <c r="Y2179" s="37"/>
      <c r="Z2179" s="37"/>
      <c r="AA2179" s="37"/>
      <c r="AB2179" s="37"/>
      <c r="AC2179" s="37"/>
      <c r="AD2179" s="37"/>
      <c r="AE2179" s="37"/>
      <c r="AF2179" s="37"/>
      <c r="AG2179" s="37"/>
      <c r="AH2179" s="37"/>
      <c r="AI2179" s="37"/>
      <c r="AJ2179" s="37"/>
      <c r="AK2179" s="37"/>
      <c r="AL2179" s="37"/>
      <c r="AM2179" s="37"/>
      <c r="AN2179" s="37"/>
      <c r="AO2179" s="37"/>
      <c r="AP2179" s="37"/>
      <c r="AQ2179" s="37"/>
      <c r="AR2179" s="37"/>
      <c r="AS2179" s="37"/>
      <c r="AT2179" s="37"/>
      <c r="AU2179" s="37"/>
      <c r="AV2179" s="37"/>
      <c r="AW2179" s="37"/>
      <c r="AX2179" s="37"/>
      <c r="AY2179" s="37"/>
      <c r="AZ2179" s="37"/>
      <c r="BA2179" s="37"/>
      <c r="BB2179" s="37"/>
      <c r="BC2179" s="37"/>
      <c r="BD2179" s="37"/>
      <c r="BE2179" s="37"/>
      <c r="BF2179" s="37"/>
      <c r="BG2179" s="37"/>
      <c r="BH2179" s="37"/>
      <c r="BI2179" s="37"/>
      <c r="BJ2179" s="37"/>
      <c r="BK2179" s="37"/>
      <c r="BL2179" s="37"/>
      <c r="BM2179" s="37"/>
    </row>
    <row r="2180" spans="1:65" s="40" customFormat="1" ht="23.25" x14ac:dyDescent="0.35">
      <c r="A2180" s="37"/>
      <c r="B2180" s="37"/>
      <c r="C2180" s="41"/>
      <c r="D2180" s="38"/>
      <c r="E2180" s="57"/>
      <c r="F2180" s="42"/>
      <c r="G2180" s="43"/>
      <c r="H2180" s="37"/>
      <c r="I2180" s="37"/>
      <c r="J2180" s="38"/>
      <c r="K2180" s="37"/>
      <c r="L2180" s="38"/>
      <c r="M2180" s="39"/>
      <c r="P2180" s="37"/>
      <c r="Q2180" s="37"/>
      <c r="R2180" s="37"/>
      <c r="S2180" s="37"/>
      <c r="T2180" s="37"/>
      <c r="U2180" s="37"/>
      <c r="V2180" s="37"/>
      <c r="W2180" s="37"/>
      <c r="X2180" s="37"/>
      <c r="Y2180" s="37"/>
      <c r="Z2180" s="37"/>
      <c r="AA2180" s="37"/>
      <c r="AB2180" s="37"/>
      <c r="AC2180" s="37"/>
      <c r="AD2180" s="37"/>
      <c r="AE2180" s="37"/>
      <c r="AF2180" s="37"/>
      <c r="AG2180" s="37"/>
      <c r="AH2180" s="37"/>
      <c r="AI2180" s="37"/>
      <c r="AJ2180" s="37"/>
      <c r="AK2180" s="37"/>
      <c r="AL2180" s="37"/>
      <c r="AM2180" s="37"/>
      <c r="AN2180" s="37"/>
      <c r="AO2180" s="37"/>
      <c r="AP2180" s="37"/>
      <c r="AQ2180" s="37"/>
      <c r="AR2180" s="37"/>
      <c r="AS2180" s="37"/>
      <c r="AT2180" s="37"/>
      <c r="AU2180" s="37"/>
      <c r="AV2180" s="37"/>
      <c r="AW2180" s="37"/>
      <c r="AX2180" s="37"/>
      <c r="AY2180" s="37"/>
      <c r="AZ2180" s="37"/>
      <c r="BA2180" s="37"/>
      <c r="BB2180" s="37"/>
      <c r="BC2180" s="37"/>
      <c r="BD2180" s="37"/>
      <c r="BE2180" s="37"/>
      <c r="BF2180" s="37"/>
      <c r="BG2180" s="37"/>
      <c r="BH2180" s="37"/>
      <c r="BI2180" s="37"/>
      <c r="BJ2180" s="37"/>
      <c r="BK2180" s="37"/>
      <c r="BL2180" s="37"/>
      <c r="BM2180" s="37"/>
    </row>
    <row r="2181" spans="1:65" s="40" customFormat="1" ht="23.25" x14ac:dyDescent="0.35">
      <c r="A2181" s="37"/>
      <c r="B2181" s="37"/>
      <c r="C2181" s="41"/>
      <c r="D2181" s="38"/>
      <c r="E2181" s="57"/>
      <c r="F2181" s="42"/>
      <c r="G2181" s="43"/>
      <c r="H2181" s="37"/>
      <c r="I2181" s="37"/>
      <c r="J2181" s="38"/>
      <c r="K2181" s="37"/>
      <c r="L2181" s="38"/>
      <c r="M2181" s="39"/>
      <c r="P2181" s="37"/>
      <c r="Q2181" s="37"/>
      <c r="R2181" s="37"/>
      <c r="S2181" s="37"/>
      <c r="T2181" s="37"/>
      <c r="U2181" s="37"/>
      <c r="V2181" s="37"/>
      <c r="W2181" s="37"/>
      <c r="X2181" s="37"/>
      <c r="Y2181" s="37"/>
      <c r="Z2181" s="37"/>
      <c r="AA2181" s="37"/>
      <c r="AB2181" s="37"/>
      <c r="AC2181" s="37"/>
      <c r="AD2181" s="37"/>
      <c r="AE2181" s="37"/>
      <c r="AF2181" s="37"/>
      <c r="AG2181" s="37"/>
      <c r="AH2181" s="37"/>
      <c r="AI2181" s="37"/>
      <c r="AJ2181" s="37"/>
      <c r="AK2181" s="37"/>
      <c r="AL2181" s="37"/>
      <c r="AM2181" s="37"/>
      <c r="AN2181" s="37"/>
      <c r="AO2181" s="37"/>
      <c r="AP2181" s="37"/>
      <c r="AQ2181" s="37"/>
      <c r="AR2181" s="37"/>
      <c r="AS2181" s="37"/>
      <c r="AT2181" s="37"/>
      <c r="AU2181" s="37"/>
      <c r="AV2181" s="37"/>
      <c r="AW2181" s="37"/>
      <c r="AX2181" s="37"/>
      <c r="AY2181" s="37"/>
      <c r="AZ2181" s="37"/>
      <c r="BA2181" s="37"/>
      <c r="BB2181" s="37"/>
      <c r="BC2181" s="37"/>
      <c r="BD2181" s="37"/>
      <c r="BE2181" s="37"/>
      <c r="BF2181" s="37"/>
      <c r="BG2181" s="37"/>
      <c r="BH2181" s="37"/>
      <c r="BI2181" s="37"/>
      <c r="BJ2181" s="37"/>
      <c r="BK2181" s="37"/>
      <c r="BL2181" s="37"/>
      <c r="BM2181" s="37"/>
    </row>
    <row r="2182" spans="1:65" s="40" customFormat="1" ht="23.25" x14ac:dyDescent="0.35">
      <c r="A2182" s="37"/>
      <c r="B2182" s="37"/>
      <c r="C2182" s="41"/>
      <c r="D2182" s="38"/>
      <c r="E2182" s="57"/>
      <c r="F2182" s="42"/>
      <c r="G2182" s="43"/>
      <c r="H2182" s="37"/>
      <c r="I2182" s="37"/>
      <c r="J2182" s="38"/>
      <c r="K2182" s="37"/>
      <c r="L2182" s="38"/>
      <c r="M2182" s="39"/>
      <c r="P2182" s="37"/>
      <c r="Q2182" s="37"/>
      <c r="R2182" s="37"/>
      <c r="S2182" s="37"/>
      <c r="T2182" s="37"/>
      <c r="U2182" s="37"/>
      <c r="V2182" s="37"/>
      <c r="W2182" s="37"/>
      <c r="X2182" s="37"/>
      <c r="Y2182" s="37"/>
      <c r="Z2182" s="37"/>
      <c r="AA2182" s="37"/>
      <c r="AB2182" s="37"/>
      <c r="AC2182" s="37"/>
      <c r="AD2182" s="37"/>
      <c r="AE2182" s="37"/>
      <c r="AF2182" s="37"/>
      <c r="AG2182" s="37"/>
      <c r="AH2182" s="37"/>
      <c r="AI2182" s="37"/>
      <c r="AJ2182" s="37"/>
      <c r="AK2182" s="37"/>
      <c r="AL2182" s="37"/>
      <c r="AM2182" s="37"/>
      <c r="AN2182" s="37"/>
      <c r="AO2182" s="37"/>
      <c r="AP2182" s="37"/>
      <c r="AQ2182" s="37"/>
      <c r="AR2182" s="37"/>
      <c r="AS2182" s="37"/>
      <c r="AT2182" s="37"/>
      <c r="AU2182" s="37"/>
      <c r="AV2182" s="37"/>
      <c r="AW2182" s="37"/>
      <c r="AX2182" s="37"/>
      <c r="AY2182" s="37"/>
      <c r="AZ2182" s="37"/>
      <c r="BA2182" s="37"/>
      <c r="BB2182" s="37"/>
      <c r="BC2182" s="37"/>
      <c r="BD2182" s="37"/>
      <c r="BE2182" s="37"/>
      <c r="BF2182" s="37"/>
      <c r="BG2182" s="37"/>
      <c r="BH2182" s="37"/>
      <c r="BI2182" s="37"/>
      <c r="BJ2182" s="37"/>
      <c r="BK2182" s="37"/>
      <c r="BL2182" s="37"/>
      <c r="BM2182" s="37"/>
    </row>
    <row r="2183" spans="1:65" s="40" customFormat="1" ht="23.25" x14ac:dyDescent="0.35">
      <c r="A2183" s="37"/>
      <c r="B2183" s="37"/>
      <c r="C2183" s="41"/>
      <c r="D2183" s="38"/>
      <c r="E2183" s="57"/>
      <c r="F2183" s="42"/>
      <c r="G2183" s="43"/>
      <c r="H2183" s="37"/>
      <c r="I2183" s="37"/>
      <c r="J2183" s="38"/>
      <c r="K2183" s="37"/>
      <c r="L2183" s="38"/>
      <c r="M2183" s="39"/>
      <c r="P2183" s="37"/>
      <c r="Q2183" s="37"/>
      <c r="R2183" s="37"/>
      <c r="S2183" s="37"/>
      <c r="T2183" s="37"/>
      <c r="U2183" s="37"/>
      <c r="V2183" s="37"/>
      <c r="W2183" s="37"/>
      <c r="X2183" s="37"/>
      <c r="Y2183" s="37"/>
      <c r="Z2183" s="37"/>
      <c r="AA2183" s="37"/>
      <c r="AB2183" s="37"/>
      <c r="AC2183" s="37"/>
      <c r="AD2183" s="37"/>
      <c r="AE2183" s="37"/>
      <c r="AF2183" s="37"/>
      <c r="AG2183" s="37"/>
      <c r="AH2183" s="37"/>
      <c r="AI2183" s="37"/>
      <c r="AJ2183" s="37"/>
      <c r="AK2183" s="37"/>
      <c r="AL2183" s="37"/>
      <c r="AM2183" s="37"/>
      <c r="AN2183" s="37"/>
      <c r="AO2183" s="37"/>
      <c r="AP2183" s="37"/>
      <c r="AQ2183" s="37"/>
      <c r="AR2183" s="37"/>
      <c r="AS2183" s="37"/>
      <c r="AT2183" s="37"/>
      <c r="AU2183" s="37"/>
      <c r="AV2183" s="37"/>
      <c r="AW2183" s="37"/>
      <c r="AX2183" s="37"/>
      <c r="AY2183" s="37"/>
      <c r="AZ2183" s="37"/>
      <c r="BA2183" s="37"/>
      <c r="BB2183" s="37"/>
      <c r="BC2183" s="37"/>
      <c r="BD2183" s="37"/>
      <c r="BE2183" s="37"/>
      <c r="BF2183" s="37"/>
      <c r="BG2183" s="37"/>
      <c r="BH2183" s="37"/>
      <c r="BI2183" s="37"/>
      <c r="BJ2183" s="37"/>
      <c r="BK2183" s="37"/>
      <c r="BL2183" s="37"/>
      <c r="BM2183" s="37"/>
    </row>
    <row r="2184" spans="1:65" s="40" customFormat="1" ht="23.25" x14ac:dyDescent="0.35">
      <c r="A2184" s="37"/>
      <c r="B2184" s="37"/>
      <c r="C2184" s="41"/>
      <c r="D2184" s="38"/>
      <c r="E2184" s="57"/>
      <c r="F2184" s="42"/>
      <c r="G2184" s="43"/>
      <c r="H2184" s="37"/>
      <c r="I2184" s="37"/>
      <c r="J2184" s="38"/>
      <c r="K2184" s="37"/>
      <c r="L2184" s="38"/>
      <c r="M2184" s="39"/>
      <c r="P2184" s="37"/>
      <c r="Q2184" s="37"/>
      <c r="R2184" s="37"/>
      <c r="S2184" s="37"/>
      <c r="T2184" s="37"/>
      <c r="U2184" s="37"/>
      <c r="V2184" s="37"/>
      <c r="W2184" s="37"/>
      <c r="X2184" s="37"/>
      <c r="Y2184" s="37"/>
      <c r="Z2184" s="37"/>
      <c r="AA2184" s="37"/>
      <c r="AB2184" s="37"/>
      <c r="AC2184" s="37"/>
      <c r="AD2184" s="37"/>
      <c r="AE2184" s="37"/>
      <c r="AF2184" s="37"/>
      <c r="AG2184" s="37"/>
      <c r="AH2184" s="37"/>
      <c r="AI2184" s="37"/>
      <c r="AJ2184" s="37"/>
      <c r="AK2184" s="37"/>
      <c r="AL2184" s="37"/>
      <c r="AM2184" s="37"/>
      <c r="AN2184" s="37"/>
      <c r="AO2184" s="37"/>
      <c r="AP2184" s="37"/>
      <c r="AQ2184" s="37"/>
      <c r="AR2184" s="37"/>
      <c r="AS2184" s="37"/>
      <c r="AT2184" s="37"/>
      <c r="AU2184" s="37"/>
      <c r="AV2184" s="37"/>
      <c r="AW2184" s="37"/>
      <c r="AX2184" s="37"/>
      <c r="AY2184" s="37"/>
      <c r="AZ2184" s="37"/>
      <c r="BA2184" s="37"/>
      <c r="BB2184" s="37"/>
      <c r="BC2184" s="37"/>
      <c r="BD2184" s="37"/>
      <c r="BE2184" s="37"/>
      <c r="BF2184" s="37"/>
      <c r="BG2184" s="37"/>
      <c r="BH2184" s="37"/>
      <c r="BI2184" s="37"/>
      <c r="BJ2184" s="37"/>
      <c r="BK2184" s="37"/>
      <c r="BL2184" s="37"/>
      <c r="BM2184" s="37"/>
    </row>
    <row r="2185" spans="1:65" s="40" customFormat="1" ht="23.25" x14ac:dyDescent="0.35">
      <c r="A2185" s="37"/>
      <c r="B2185" s="37"/>
      <c r="C2185" s="41"/>
      <c r="D2185" s="38"/>
      <c r="E2185" s="57"/>
      <c r="F2185" s="42"/>
      <c r="G2185" s="43"/>
      <c r="H2185" s="37"/>
      <c r="I2185" s="37"/>
      <c r="J2185" s="38"/>
      <c r="K2185" s="37"/>
      <c r="L2185" s="38"/>
      <c r="M2185" s="39"/>
      <c r="P2185" s="37"/>
      <c r="Q2185" s="37"/>
      <c r="R2185" s="37"/>
      <c r="S2185" s="37"/>
      <c r="T2185" s="37"/>
      <c r="U2185" s="37"/>
      <c r="V2185" s="37"/>
      <c r="W2185" s="37"/>
      <c r="X2185" s="37"/>
      <c r="Y2185" s="37"/>
      <c r="Z2185" s="37"/>
      <c r="AA2185" s="37"/>
      <c r="AB2185" s="37"/>
      <c r="AC2185" s="37"/>
      <c r="AD2185" s="37"/>
      <c r="AE2185" s="37"/>
      <c r="AF2185" s="37"/>
      <c r="AG2185" s="37"/>
      <c r="AH2185" s="37"/>
      <c r="AI2185" s="37"/>
      <c r="AJ2185" s="37"/>
      <c r="AK2185" s="37"/>
      <c r="AL2185" s="37"/>
      <c r="AM2185" s="37"/>
      <c r="AN2185" s="37"/>
      <c r="AO2185" s="37"/>
      <c r="AP2185" s="37"/>
      <c r="AQ2185" s="37"/>
      <c r="AR2185" s="37"/>
      <c r="AS2185" s="37"/>
      <c r="AT2185" s="37"/>
      <c r="AU2185" s="37"/>
      <c r="AV2185" s="37"/>
      <c r="AW2185" s="37"/>
      <c r="AX2185" s="37"/>
      <c r="AY2185" s="37"/>
      <c r="AZ2185" s="37"/>
      <c r="BA2185" s="37"/>
      <c r="BB2185" s="37"/>
      <c r="BC2185" s="37"/>
      <c r="BD2185" s="37"/>
      <c r="BE2185" s="37"/>
      <c r="BF2185" s="37"/>
      <c r="BG2185" s="37"/>
      <c r="BH2185" s="37"/>
      <c r="BI2185" s="37"/>
      <c r="BJ2185" s="37"/>
      <c r="BK2185" s="37"/>
      <c r="BL2185" s="37"/>
      <c r="BM2185" s="37"/>
    </row>
    <row r="2186" spans="1:65" s="40" customFormat="1" ht="23.25" x14ac:dyDescent="0.35">
      <c r="A2186" s="37"/>
      <c r="B2186" s="37"/>
      <c r="C2186" s="41"/>
      <c r="D2186" s="38"/>
      <c r="E2186" s="57"/>
      <c r="F2186" s="42"/>
      <c r="G2186" s="43"/>
      <c r="H2186" s="37"/>
      <c r="I2186" s="37"/>
      <c r="J2186" s="38"/>
      <c r="K2186" s="37"/>
      <c r="L2186" s="38"/>
      <c r="M2186" s="39"/>
      <c r="P2186" s="37"/>
      <c r="Q2186" s="37"/>
      <c r="R2186" s="37"/>
      <c r="S2186" s="37"/>
      <c r="T2186" s="37"/>
      <c r="U2186" s="37"/>
      <c r="V2186" s="37"/>
      <c r="W2186" s="37"/>
      <c r="X2186" s="37"/>
      <c r="Y2186" s="37"/>
      <c r="Z2186" s="37"/>
      <c r="AA2186" s="37"/>
      <c r="AB2186" s="37"/>
      <c r="AC2186" s="37"/>
      <c r="AD2186" s="37"/>
      <c r="AE2186" s="37"/>
      <c r="AF2186" s="37"/>
      <c r="AG2186" s="37"/>
      <c r="AH2186" s="37"/>
      <c r="AI2186" s="37"/>
      <c r="AJ2186" s="37"/>
      <c r="AK2186" s="37"/>
      <c r="AL2186" s="37"/>
      <c r="AM2186" s="37"/>
      <c r="AN2186" s="37"/>
      <c r="AO2186" s="37"/>
      <c r="AP2186" s="37"/>
      <c r="AQ2186" s="37"/>
      <c r="AR2186" s="37"/>
      <c r="AS2186" s="37"/>
      <c r="AT2186" s="37"/>
      <c r="AU2186" s="37"/>
      <c r="AV2186" s="37"/>
      <c r="AW2186" s="37"/>
      <c r="AX2186" s="37"/>
      <c r="AY2186" s="37"/>
      <c r="AZ2186" s="37"/>
      <c r="BA2186" s="37"/>
      <c r="BB2186" s="37"/>
      <c r="BC2186" s="37"/>
      <c r="BD2186" s="37"/>
      <c r="BE2186" s="37"/>
      <c r="BF2186" s="37"/>
      <c r="BG2186" s="37"/>
      <c r="BH2186" s="37"/>
      <c r="BI2186" s="37"/>
      <c r="BJ2186" s="37"/>
      <c r="BK2186" s="37"/>
      <c r="BL2186" s="37"/>
      <c r="BM2186" s="37"/>
    </row>
    <row r="2187" spans="1:65" s="40" customFormat="1" ht="23.25" x14ac:dyDescent="0.35">
      <c r="A2187" s="37"/>
      <c r="B2187" s="37"/>
      <c r="C2187" s="41"/>
      <c r="D2187" s="38"/>
      <c r="E2187" s="57"/>
      <c r="F2187" s="42"/>
      <c r="G2187" s="43"/>
      <c r="H2187" s="37"/>
      <c r="I2187" s="37"/>
      <c r="J2187" s="38"/>
      <c r="K2187" s="37"/>
      <c r="L2187" s="38"/>
      <c r="M2187" s="39"/>
      <c r="P2187" s="37"/>
      <c r="Q2187" s="37"/>
      <c r="R2187" s="37"/>
      <c r="S2187" s="37"/>
      <c r="T2187" s="37"/>
      <c r="U2187" s="37"/>
      <c r="V2187" s="37"/>
      <c r="W2187" s="37"/>
      <c r="X2187" s="37"/>
      <c r="Y2187" s="37"/>
      <c r="Z2187" s="37"/>
      <c r="AA2187" s="37"/>
      <c r="AB2187" s="37"/>
      <c r="AC2187" s="37"/>
      <c r="AD2187" s="37"/>
      <c r="AE2187" s="37"/>
      <c r="AF2187" s="37"/>
      <c r="AG2187" s="37"/>
      <c r="AH2187" s="37"/>
      <c r="AI2187" s="37"/>
      <c r="AJ2187" s="37"/>
      <c r="AK2187" s="37"/>
      <c r="AL2187" s="37"/>
      <c r="AM2187" s="37"/>
      <c r="AN2187" s="37"/>
      <c r="AO2187" s="37"/>
      <c r="AP2187" s="37"/>
      <c r="AQ2187" s="37"/>
      <c r="AR2187" s="37"/>
      <c r="AS2187" s="37"/>
      <c r="AT2187" s="37"/>
      <c r="AU2187" s="37"/>
      <c r="AV2187" s="37"/>
      <c r="AW2187" s="37"/>
      <c r="AX2187" s="37"/>
      <c r="AY2187" s="37"/>
      <c r="AZ2187" s="37"/>
      <c r="BA2187" s="37"/>
      <c r="BB2187" s="37"/>
      <c r="BC2187" s="37"/>
      <c r="BD2187" s="37"/>
      <c r="BE2187" s="37"/>
      <c r="BF2187" s="37"/>
      <c r="BG2187" s="37"/>
      <c r="BH2187" s="37"/>
      <c r="BI2187" s="37"/>
      <c r="BJ2187" s="37"/>
      <c r="BK2187" s="37"/>
      <c r="BL2187" s="37"/>
      <c r="BM2187" s="37"/>
    </row>
    <row r="2188" spans="1:65" s="40" customFormat="1" ht="23.25" x14ac:dyDescent="0.35">
      <c r="A2188" s="37"/>
      <c r="B2188" s="37"/>
      <c r="C2188" s="41"/>
      <c r="D2188" s="38"/>
      <c r="E2188" s="57"/>
      <c r="F2188" s="42"/>
      <c r="G2188" s="43"/>
      <c r="H2188" s="37"/>
      <c r="I2188" s="37"/>
      <c r="J2188" s="38"/>
      <c r="K2188" s="37"/>
      <c r="L2188" s="38"/>
      <c r="M2188" s="39"/>
      <c r="P2188" s="37"/>
      <c r="Q2188" s="37"/>
      <c r="R2188" s="37"/>
      <c r="S2188" s="37"/>
      <c r="T2188" s="37"/>
      <c r="U2188" s="37"/>
      <c r="V2188" s="37"/>
      <c r="W2188" s="37"/>
      <c r="X2188" s="37"/>
      <c r="Y2188" s="37"/>
      <c r="Z2188" s="37"/>
      <c r="AA2188" s="37"/>
      <c r="AB2188" s="37"/>
      <c r="AC2188" s="37"/>
      <c r="AD2188" s="37"/>
      <c r="AE2188" s="37"/>
      <c r="AF2188" s="37"/>
      <c r="AG2188" s="37"/>
      <c r="AH2188" s="37"/>
      <c r="AI2188" s="37"/>
      <c r="AJ2188" s="37"/>
      <c r="AK2188" s="37"/>
      <c r="AL2188" s="37"/>
      <c r="AM2188" s="37"/>
      <c r="AN2188" s="37"/>
      <c r="AO2188" s="37"/>
      <c r="AP2188" s="37"/>
      <c r="AQ2188" s="37"/>
      <c r="AR2188" s="37"/>
      <c r="AS2188" s="37"/>
      <c r="AT2188" s="37"/>
      <c r="AU2188" s="37"/>
      <c r="AV2188" s="37"/>
      <c r="AW2188" s="37"/>
      <c r="AX2188" s="37"/>
      <c r="AY2188" s="37"/>
      <c r="AZ2188" s="37"/>
      <c r="BA2188" s="37"/>
      <c r="BB2188" s="37"/>
      <c r="BC2188" s="37"/>
      <c r="BD2188" s="37"/>
      <c r="BE2188" s="37"/>
      <c r="BF2188" s="37"/>
      <c r="BG2188" s="37"/>
      <c r="BH2188" s="37"/>
      <c r="BI2188" s="37"/>
      <c r="BJ2188" s="37"/>
      <c r="BK2188" s="37"/>
      <c r="BL2188" s="37"/>
      <c r="BM2188" s="37"/>
    </row>
    <row r="2189" spans="1:65" s="40" customFormat="1" ht="23.25" x14ac:dyDescent="0.35">
      <c r="A2189" s="37"/>
      <c r="B2189" s="37"/>
      <c r="C2189" s="41"/>
      <c r="D2189" s="38"/>
      <c r="E2189" s="57"/>
      <c r="F2189" s="42"/>
      <c r="G2189" s="43"/>
      <c r="H2189" s="37"/>
      <c r="I2189" s="37"/>
      <c r="J2189" s="38"/>
      <c r="K2189" s="37"/>
      <c r="L2189" s="38"/>
      <c r="M2189" s="39"/>
      <c r="P2189" s="37"/>
      <c r="Q2189" s="37"/>
      <c r="R2189" s="37"/>
      <c r="S2189" s="37"/>
      <c r="T2189" s="37"/>
      <c r="U2189" s="37"/>
      <c r="V2189" s="37"/>
      <c r="W2189" s="37"/>
      <c r="X2189" s="37"/>
      <c r="Y2189" s="37"/>
      <c r="Z2189" s="37"/>
      <c r="AA2189" s="37"/>
      <c r="AB2189" s="37"/>
      <c r="AC2189" s="37"/>
      <c r="AD2189" s="37"/>
      <c r="AE2189" s="37"/>
      <c r="AF2189" s="37"/>
      <c r="AG2189" s="37"/>
      <c r="AH2189" s="37"/>
      <c r="AI2189" s="37"/>
      <c r="AJ2189" s="37"/>
      <c r="AK2189" s="37"/>
      <c r="AL2189" s="37"/>
      <c r="AM2189" s="37"/>
      <c r="AN2189" s="37"/>
      <c r="AO2189" s="37"/>
      <c r="AP2189" s="37"/>
      <c r="AQ2189" s="37"/>
      <c r="AR2189" s="37"/>
      <c r="AS2189" s="37"/>
      <c r="AT2189" s="37"/>
      <c r="AU2189" s="37"/>
      <c r="AV2189" s="37"/>
      <c r="AW2189" s="37"/>
      <c r="AX2189" s="37"/>
      <c r="AY2189" s="37"/>
      <c r="AZ2189" s="37"/>
      <c r="BA2189" s="37"/>
      <c r="BB2189" s="37"/>
      <c r="BC2189" s="37"/>
      <c r="BD2189" s="37"/>
      <c r="BE2189" s="37"/>
      <c r="BF2189" s="37"/>
      <c r="BG2189" s="37"/>
      <c r="BH2189" s="37"/>
      <c r="BI2189" s="37"/>
      <c r="BJ2189" s="37"/>
      <c r="BK2189" s="37"/>
      <c r="BL2189" s="37"/>
      <c r="BM2189" s="37"/>
    </row>
    <row r="2190" spans="1:65" s="40" customFormat="1" ht="23.25" x14ac:dyDescent="0.35">
      <c r="A2190" s="37"/>
      <c r="B2190" s="37"/>
      <c r="C2190" s="41"/>
      <c r="D2190" s="38"/>
      <c r="E2190" s="57"/>
      <c r="F2190" s="42"/>
      <c r="G2190" s="43"/>
      <c r="H2190" s="37"/>
      <c r="I2190" s="37"/>
      <c r="J2190" s="38"/>
      <c r="K2190" s="37"/>
      <c r="L2190" s="38"/>
      <c r="M2190" s="39"/>
      <c r="P2190" s="37"/>
      <c r="Q2190" s="37"/>
      <c r="R2190" s="37"/>
      <c r="S2190" s="37"/>
      <c r="T2190" s="37"/>
      <c r="U2190" s="37"/>
      <c r="V2190" s="37"/>
      <c r="W2190" s="37"/>
      <c r="X2190" s="37"/>
      <c r="Y2190" s="37"/>
      <c r="Z2190" s="37"/>
      <c r="AA2190" s="37"/>
      <c r="AB2190" s="37"/>
      <c r="AC2190" s="37"/>
      <c r="AD2190" s="37"/>
      <c r="AE2190" s="37"/>
      <c r="AF2190" s="37"/>
      <c r="AG2190" s="37"/>
      <c r="AH2190" s="37"/>
      <c r="AI2190" s="37"/>
      <c r="AJ2190" s="37"/>
      <c r="AK2190" s="37"/>
      <c r="AL2190" s="37"/>
      <c r="AM2190" s="37"/>
      <c r="AN2190" s="37"/>
      <c r="AO2190" s="37"/>
      <c r="AP2190" s="37"/>
      <c r="AQ2190" s="37"/>
      <c r="AR2190" s="37"/>
      <c r="AS2190" s="37"/>
      <c r="AT2190" s="37"/>
      <c r="AU2190" s="37"/>
      <c r="AV2190" s="37"/>
      <c r="AW2190" s="37"/>
      <c r="AX2190" s="37"/>
      <c r="AY2190" s="37"/>
      <c r="AZ2190" s="37"/>
      <c r="BA2190" s="37"/>
      <c r="BB2190" s="37"/>
      <c r="BC2190" s="37"/>
      <c r="BD2190" s="37"/>
      <c r="BE2190" s="37"/>
      <c r="BF2190" s="37"/>
      <c r="BG2190" s="37"/>
      <c r="BH2190" s="37"/>
      <c r="BI2190" s="37"/>
      <c r="BJ2190" s="37"/>
      <c r="BK2190" s="37"/>
      <c r="BL2190" s="37"/>
      <c r="BM2190" s="37"/>
    </row>
    <row r="2191" spans="1:65" s="40" customFormat="1" ht="23.25" x14ac:dyDescent="0.35">
      <c r="A2191" s="37"/>
      <c r="B2191" s="37"/>
      <c r="C2191" s="41"/>
      <c r="D2191" s="38"/>
      <c r="E2191" s="57"/>
      <c r="F2191" s="42"/>
      <c r="G2191" s="43"/>
      <c r="H2191" s="37"/>
      <c r="I2191" s="37"/>
      <c r="J2191" s="38"/>
      <c r="K2191" s="37"/>
      <c r="L2191" s="38"/>
      <c r="M2191" s="39"/>
      <c r="P2191" s="37"/>
      <c r="Q2191" s="37"/>
      <c r="R2191" s="37"/>
      <c r="S2191" s="37"/>
      <c r="T2191" s="37"/>
      <c r="U2191" s="37"/>
      <c r="V2191" s="37"/>
      <c r="W2191" s="37"/>
      <c r="X2191" s="37"/>
      <c r="Y2191" s="37"/>
      <c r="Z2191" s="37"/>
      <c r="AA2191" s="37"/>
      <c r="AB2191" s="37"/>
      <c r="AC2191" s="37"/>
      <c r="AD2191" s="37"/>
      <c r="AE2191" s="37"/>
      <c r="AF2191" s="37"/>
      <c r="AG2191" s="37"/>
      <c r="AH2191" s="37"/>
      <c r="AI2191" s="37"/>
      <c r="AJ2191" s="37"/>
      <c r="AK2191" s="37"/>
      <c r="AL2191" s="37"/>
      <c r="AM2191" s="37"/>
      <c r="AN2191" s="37"/>
      <c r="AO2191" s="37"/>
      <c r="AP2191" s="37"/>
      <c r="AQ2191" s="37"/>
      <c r="AR2191" s="37"/>
      <c r="AS2191" s="37"/>
      <c r="AT2191" s="37"/>
      <c r="AU2191" s="37"/>
      <c r="AV2191" s="37"/>
      <c r="AW2191" s="37"/>
      <c r="AX2191" s="37"/>
      <c r="AY2191" s="37"/>
      <c r="AZ2191" s="37"/>
      <c r="BA2191" s="37"/>
      <c r="BB2191" s="37"/>
      <c r="BC2191" s="37"/>
      <c r="BD2191" s="37"/>
      <c r="BE2191" s="37"/>
      <c r="BF2191" s="37"/>
      <c r="BG2191" s="37"/>
      <c r="BH2191" s="37"/>
      <c r="BI2191" s="37"/>
      <c r="BJ2191" s="37"/>
      <c r="BK2191" s="37"/>
      <c r="BL2191" s="37"/>
      <c r="BM2191" s="37"/>
    </row>
    <row r="2192" spans="1:65" s="40" customFormat="1" ht="23.25" x14ac:dyDescent="0.35">
      <c r="A2192" s="37"/>
      <c r="B2192" s="37"/>
      <c r="C2192" s="41"/>
      <c r="D2192" s="38"/>
      <c r="E2192" s="57"/>
      <c r="F2192" s="42"/>
      <c r="G2192" s="43"/>
      <c r="H2192" s="37"/>
      <c r="I2192" s="37"/>
      <c r="J2192" s="38"/>
      <c r="K2192" s="37"/>
      <c r="L2192" s="38"/>
      <c r="M2192" s="39"/>
      <c r="P2192" s="37"/>
      <c r="Q2192" s="37"/>
      <c r="R2192" s="37"/>
      <c r="S2192" s="37"/>
      <c r="T2192" s="37"/>
      <c r="U2192" s="37"/>
      <c r="V2192" s="37"/>
      <c r="W2192" s="37"/>
      <c r="X2192" s="37"/>
      <c r="Y2192" s="37"/>
      <c r="Z2192" s="37"/>
      <c r="AA2192" s="37"/>
      <c r="AB2192" s="37"/>
      <c r="AC2192" s="37"/>
      <c r="AD2192" s="37"/>
      <c r="AE2192" s="37"/>
      <c r="AF2192" s="37"/>
      <c r="AG2192" s="37"/>
      <c r="AH2192" s="37"/>
      <c r="AI2192" s="37"/>
      <c r="AJ2192" s="37"/>
      <c r="AK2192" s="37"/>
      <c r="AL2192" s="37"/>
      <c r="AM2192" s="37"/>
      <c r="AN2192" s="37"/>
      <c r="AO2192" s="37"/>
      <c r="AP2192" s="37"/>
      <c r="AQ2192" s="37"/>
      <c r="AR2192" s="37"/>
      <c r="AS2192" s="37"/>
      <c r="AT2192" s="37"/>
      <c r="AU2192" s="37"/>
      <c r="AV2192" s="37"/>
      <c r="AW2192" s="37"/>
      <c r="AX2192" s="37"/>
      <c r="AY2192" s="37"/>
      <c r="AZ2192" s="37"/>
      <c r="BA2192" s="37"/>
      <c r="BB2192" s="37"/>
      <c r="BC2192" s="37"/>
      <c r="BD2192" s="37"/>
      <c r="BE2192" s="37"/>
      <c r="BF2192" s="37"/>
      <c r="BG2192" s="37"/>
      <c r="BH2192" s="37"/>
      <c r="BI2192" s="37"/>
      <c r="BJ2192" s="37"/>
      <c r="BK2192" s="37"/>
      <c r="BL2192" s="37"/>
      <c r="BM2192" s="37"/>
    </row>
    <row r="2193" spans="1:65" s="40" customFormat="1" ht="23.25" x14ac:dyDescent="0.35">
      <c r="A2193" s="37"/>
      <c r="B2193" s="37"/>
      <c r="C2193" s="41"/>
      <c r="D2193" s="38"/>
      <c r="E2193" s="57"/>
      <c r="F2193" s="42"/>
      <c r="G2193" s="43"/>
      <c r="H2193" s="37"/>
      <c r="I2193" s="37"/>
      <c r="J2193" s="38"/>
      <c r="K2193" s="37"/>
      <c r="L2193" s="38"/>
      <c r="M2193" s="39"/>
      <c r="P2193" s="37"/>
      <c r="Q2193" s="37"/>
      <c r="R2193" s="37"/>
      <c r="S2193" s="37"/>
      <c r="T2193" s="37"/>
      <c r="U2193" s="37"/>
      <c r="V2193" s="37"/>
      <c r="W2193" s="37"/>
      <c r="X2193" s="37"/>
      <c r="Y2193" s="37"/>
      <c r="Z2193" s="37"/>
      <c r="AA2193" s="37"/>
      <c r="AB2193" s="37"/>
      <c r="AC2193" s="37"/>
      <c r="AD2193" s="37"/>
      <c r="AE2193" s="37"/>
      <c r="AF2193" s="37"/>
      <c r="AG2193" s="37"/>
      <c r="AH2193" s="37"/>
      <c r="AI2193" s="37"/>
      <c r="AJ2193" s="37"/>
      <c r="AK2193" s="37"/>
      <c r="AL2193" s="37"/>
      <c r="AM2193" s="37"/>
      <c r="AN2193" s="37"/>
      <c r="AO2193" s="37"/>
      <c r="AP2193" s="37"/>
      <c r="AQ2193" s="37"/>
      <c r="AR2193" s="37"/>
      <c r="AS2193" s="37"/>
      <c r="AT2193" s="37"/>
      <c r="AU2193" s="37"/>
      <c r="AV2193" s="37"/>
      <c r="AW2193" s="37"/>
      <c r="AX2193" s="37"/>
      <c r="AY2193" s="37"/>
      <c r="AZ2193" s="37"/>
      <c r="BA2193" s="37"/>
      <c r="BB2193" s="37"/>
      <c r="BC2193" s="37"/>
      <c r="BD2193" s="37"/>
      <c r="BE2193" s="37"/>
      <c r="BF2193" s="37"/>
      <c r="BG2193" s="37"/>
      <c r="BH2193" s="37"/>
      <c r="BI2193" s="37"/>
      <c r="BJ2193" s="37"/>
      <c r="BK2193" s="37"/>
      <c r="BL2193" s="37"/>
      <c r="BM2193" s="37"/>
    </row>
    <row r="2194" spans="1:65" s="40" customFormat="1" ht="23.25" x14ac:dyDescent="0.35">
      <c r="A2194" s="37"/>
      <c r="B2194" s="37"/>
      <c r="C2194" s="41"/>
      <c r="D2194" s="38"/>
      <c r="E2194" s="57"/>
      <c r="F2194" s="42"/>
      <c r="G2194" s="43"/>
      <c r="H2194" s="37"/>
      <c r="I2194" s="37"/>
      <c r="J2194" s="38"/>
      <c r="K2194" s="37"/>
      <c r="L2194" s="38"/>
      <c r="M2194" s="39"/>
      <c r="P2194" s="37"/>
      <c r="Q2194" s="37"/>
      <c r="R2194" s="37"/>
      <c r="S2194" s="37"/>
      <c r="T2194" s="37"/>
      <c r="U2194" s="37"/>
      <c r="V2194" s="37"/>
      <c r="W2194" s="37"/>
      <c r="X2194" s="37"/>
      <c r="Y2194" s="37"/>
      <c r="Z2194" s="37"/>
      <c r="AA2194" s="37"/>
      <c r="AB2194" s="37"/>
      <c r="AC2194" s="37"/>
      <c r="AD2194" s="37"/>
      <c r="AE2194" s="37"/>
      <c r="AF2194" s="37"/>
      <c r="AG2194" s="37"/>
      <c r="AH2194" s="37"/>
      <c r="AI2194" s="37"/>
      <c r="AJ2194" s="37"/>
      <c r="AK2194" s="37"/>
      <c r="AL2194" s="37"/>
      <c r="AM2194" s="37"/>
      <c r="AN2194" s="37"/>
      <c r="AO2194" s="37"/>
      <c r="AP2194" s="37"/>
      <c r="AQ2194" s="37"/>
      <c r="AR2194" s="37"/>
      <c r="AS2194" s="37"/>
      <c r="AT2194" s="37"/>
      <c r="AU2194" s="37"/>
      <c r="AV2194" s="37"/>
      <c r="AW2194" s="37"/>
      <c r="AX2194" s="37"/>
      <c r="AY2194" s="37"/>
      <c r="AZ2194" s="37"/>
      <c r="BA2194" s="37"/>
      <c r="BB2194" s="37"/>
      <c r="BC2194" s="37"/>
      <c r="BD2194" s="37"/>
      <c r="BE2194" s="37"/>
      <c r="BF2194" s="37"/>
      <c r="BG2194" s="37"/>
      <c r="BH2194" s="37"/>
      <c r="BI2194" s="37"/>
      <c r="BJ2194" s="37"/>
      <c r="BK2194" s="37"/>
      <c r="BL2194" s="37"/>
      <c r="BM2194" s="37"/>
    </row>
    <row r="2195" spans="1:65" s="40" customFormat="1" ht="23.25" x14ac:dyDescent="0.35">
      <c r="A2195" s="37"/>
      <c r="B2195" s="37"/>
      <c r="C2195" s="41"/>
      <c r="D2195" s="38"/>
      <c r="E2195" s="57"/>
      <c r="F2195" s="42"/>
      <c r="G2195" s="43"/>
      <c r="H2195" s="37"/>
      <c r="I2195" s="37"/>
      <c r="J2195" s="38"/>
      <c r="K2195" s="37"/>
      <c r="L2195" s="38"/>
      <c r="M2195" s="39"/>
      <c r="P2195" s="37"/>
      <c r="Q2195" s="37"/>
      <c r="R2195" s="37"/>
      <c r="S2195" s="37"/>
      <c r="T2195" s="37"/>
      <c r="U2195" s="37"/>
      <c r="V2195" s="37"/>
      <c r="W2195" s="37"/>
      <c r="X2195" s="37"/>
      <c r="Y2195" s="37"/>
      <c r="Z2195" s="37"/>
      <c r="AA2195" s="37"/>
      <c r="AB2195" s="37"/>
      <c r="AC2195" s="37"/>
      <c r="AD2195" s="37"/>
      <c r="AE2195" s="37"/>
      <c r="AF2195" s="37"/>
      <c r="AG2195" s="37"/>
      <c r="AH2195" s="37"/>
      <c r="AI2195" s="37"/>
      <c r="AJ2195" s="37"/>
      <c r="AK2195" s="37"/>
      <c r="AL2195" s="37"/>
      <c r="AM2195" s="37"/>
      <c r="AN2195" s="37"/>
      <c r="AO2195" s="37"/>
      <c r="AP2195" s="37"/>
      <c r="AQ2195" s="37"/>
      <c r="AR2195" s="37"/>
      <c r="AS2195" s="37"/>
      <c r="AT2195" s="37"/>
      <c r="AU2195" s="37"/>
      <c r="AV2195" s="37"/>
      <c r="AW2195" s="37"/>
      <c r="AX2195" s="37"/>
      <c r="AY2195" s="37"/>
      <c r="AZ2195" s="37"/>
      <c r="BA2195" s="37"/>
      <c r="BB2195" s="37"/>
      <c r="BC2195" s="37"/>
      <c r="BD2195" s="37"/>
      <c r="BE2195" s="37"/>
      <c r="BF2195" s="37"/>
      <c r="BG2195" s="37"/>
      <c r="BH2195" s="37"/>
      <c r="BI2195" s="37"/>
      <c r="BJ2195" s="37"/>
      <c r="BK2195" s="37"/>
      <c r="BL2195" s="37"/>
      <c r="BM2195" s="37"/>
    </row>
    <row r="2196" spans="1:65" s="40" customFormat="1" ht="23.25" x14ac:dyDescent="0.35">
      <c r="A2196" s="37"/>
      <c r="B2196" s="37"/>
      <c r="C2196" s="41"/>
      <c r="D2196" s="38"/>
      <c r="E2196" s="57"/>
      <c r="F2196" s="42"/>
      <c r="G2196" s="43"/>
      <c r="H2196" s="37"/>
      <c r="I2196" s="37"/>
      <c r="J2196" s="38"/>
      <c r="K2196" s="37"/>
      <c r="L2196" s="38"/>
      <c r="M2196" s="39"/>
      <c r="P2196" s="37"/>
      <c r="Q2196" s="37"/>
      <c r="R2196" s="37"/>
      <c r="S2196" s="37"/>
      <c r="T2196" s="37"/>
      <c r="U2196" s="37"/>
      <c r="V2196" s="37"/>
      <c r="W2196" s="37"/>
      <c r="X2196" s="37"/>
      <c r="Y2196" s="37"/>
      <c r="Z2196" s="37"/>
      <c r="AA2196" s="37"/>
      <c r="AB2196" s="37"/>
      <c r="AC2196" s="37"/>
      <c r="AD2196" s="37"/>
      <c r="AE2196" s="37"/>
      <c r="AF2196" s="37"/>
      <c r="AG2196" s="37"/>
      <c r="AH2196" s="37"/>
      <c r="AI2196" s="37"/>
      <c r="AJ2196" s="37"/>
      <c r="AK2196" s="37"/>
      <c r="AL2196" s="37"/>
      <c r="AM2196" s="37"/>
      <c r="AN2196" s="37"/>
      <c r="AO2196" s="37"/>
      <c r="AP2196" s="37"/>
      <c r="AQ2196" s="37"/>
      <c r="AR2196" s="37"/>
      <c r="AS2196" s="37"/>
      <c r="AT2196" s="37"/>
      <c r="AU2196" s="37"/>
      <c r="AV2196" s="37"/>
      <c r="AW2196" s="37"/>
      <c r="AX2196" s="37"/>
      <c r="AY2196" s="37"/>
      <c r="AZ2196" s="37"/>
      <c r="BA2196" s="37"/>
      <c r="BB2196" s="37"/>
      <c r="BC2196" s="37"/>
      <c r="BD2196" s="37"/>
      <c r="BE2196" s="37"/>
      <c r="BF2196" s="37"/>
      <c r="BG2196" s="37"/>
      <c r="BH2196" s="37"/>
      <c r="BI2196" s="37"/>
      <c r="BJ2196" s="37"/>
      <c r="BK2196" s="37"/>
      <c r="BL2196" s="37"/>
      <c r="BM2196" s="37"/>
    </row>
    <row r="2197" spans="1:65" s="40" customFormat="1" ht="23.25" x14ac:dyDescent="0.35">
      <c r="A2197" s="37"/>
      <c r="B2197" s="37"/>
      <c r="C2197" s="41"/>
      <c r="D2197" s="38"/>
      <c r="E2197" s="57"/>
      <c r="F2197" s="42"/>
      <c r="G2197" s="43"/>
      <c r="H2197" s="37"/>
      <c r="I2197" s="37"/>
      <c r="J2197" s="38"/>
      <c r="K2197" s="37"/>
      <c r="L2197" s="38"/>
      <c r="M2197" s="39"/>
      <c r="P2197" s="37"/>
      <c r="Q2197" s="37"/>
      <c r="R2197" s="37"/>
      <c r="S2197" s="37"/>
      <c r="T2197" s="37"/>
      <c r="U2197" s="37"/>
      <c r="V2197" s="37"/>
      <c r="W2197" s="37"/>
      <c r="X2197" s="37"/>
      <c r="Y2197" s="37"/>
      <c r="Z2197" s="37"/>
      <c r="AA2197" s="37"/>
      <c r="AB2197" s="37"/>
      <c r="AC2197" s="37"/>
      <c r="AD2197" s="37"/>
      <c r="AE2197" s="37"/>
      <c r="AF2197" s="37"/>
      <c r="AG2197" s="37"/>
      <c r="AH2197" s="37"/>
      <c r="AI2197" s="37"/>
      <c r="AJ2197" s="37"/>
      <c r="AK2197" s="37"/>
      <c r="AL2197" s="37"/>
      <c r="AM2197" s="37"/>
      <c r="AN2197" s="37"/>
      <c r="AO2197" s="37"/>
      <c r="AP2197" s="37"/>
      <c r="AQ2197" s="37"/>
      <c r="AR2197" s="37"/>
      <c r="AS2197" s="37"/>
      <c r="AT2197" s="37"/>
      <c r="AU2197" s="37"/>
      <c r="AV2197" s="37"/>
      <c r="AW2197" s="37"/>
      <c r="AX2197" s="37"/>
      <c r="AY2197" s="37"/>
      <c r="AZ2197" s="37"/>
      <c r="BA2197" s="37"/>
      <c r="BB2197" s="37"/>
      <c r="BC2197" s="37"/>
      <c r="BD2197" s="37"/>
      <c r="BE2197" s="37"/>
      <c r="BF2197" s="37"/>
      <c r="BG2197" s="37"/>
      <c r="BH2197" s="37"/>
      <c r="BI2197" s="37"/>
      <c r="BJ2197" s="37"/>
      <c r="BK2197" s="37"/>
      <c r="BL2197" s="37"/>
      <c r="BM2197" s="37"/>
    </row>
    <row r="2198" spans="1:65" s="40" customFormat="1" ht="23.25" x14ac:dyDescent="0.35">
      <c r="A2198" s="37"/>
      <c r="B2198" s="37"/>
      <c r="C2198" s="41"/>
      <c r="D2198" s="38"/>
      <c r="E2198" s="57"/>
      <c r="F2198" s="42"/>
      <c r="G2198" s="43"/>
      <c r="H2198" s="37"/>
      <c r="I2198" s="37"/>
      <c r="J2198" s="38"/>
      <c r="K2198" s="37"/>
      <c r="L2198" s="38"/>
      <c r="M2198" s="39"/>
      <c r="P2198" s="37"/>
      <c r="Q2198" s="37"/>
      <c r="R2198" s="37"/>
      <c r="S2198" s="37"/>
      <c r="T2198" s="37"/>
      <c r="U2198" s="37"/>
      <c r="V2198" s="37"/>
      <c r="W2198" s="37"/>
      <c r="X2198" s="37"/>
      <c r="Y2198" s="37"/>
      <c r="Z2198" s="37"/>
      <c r="AA2198" s="37"/>
      <c r="AB2198" s="37"/>
      <c r="AC2198" s="37"/>
      <c r="AD2198" s="37"/>
      <c r="AE2198" s="37"/>
      <c r="AF2198" s="37"/>
      <c r="AG2198" s="37"/>
      <c r="AH2198" s="37"/>
      <c r="AI2198" s="37"/>
      <c r="AJ2198" s="37"/>
      <c r="AK2198" s="37"/>
      <c r="AL2198" s="37"/>
      <c r="AM2198" s="37"/>
      <c r="AN2198" s="37"/>
      <c r="AO2198" s="37"/>
      <c r="AP2198" s="37"/>
      <c r="AQ2198" s="37"/>
      <c r="AR2198" s="37"/>
      <c r="AS2198" s="37"/>
      <c r="AT2198" s="37"/>
      <c r="AU2198" s="37"/>
      <c r="AV2198" s="37"/>
      <c r="AW2198" s="37"/>
      <c r="AX2198" s="37"/>
      <c r="AY2198" s="37"/>
      <c r="AZ2198" s="37"/>
      <c r="BA2198" s="37"/>
      <c r="BB2198" s="37"/>
      <c r="BC2198" s="37"/>
      <c r="BD2198" s="37"/>
      <c r="BE2198" s="37"/>
      <c r="BF2198" s="37"/>
      <c r="BG2198" s="37"/>
      <c r="BH2198" s="37"/>
      <c r="BI2198" s="37"/>
      <c r="BJ2198" s="37"/>
      <c r="BK2198" s="37"/>
      <c r="BL2198" s="37"/>
      <c r="BM2198" s="37"/>
    </row>
    <row r="2199" spans="1:65" s="40" customFormat="1" ht="23.25" x14ac:dyDescent="0.35">
      <c r="A2199" s="37"/>
      <c r="B2199" s="37"/>
      <c r="C2199" s="41"/>
      <c r="D2199" s="38"/>
      <c r="E2199" s="57"/>
      <c r="F2199" s="42"/>
      <c r="G2199" s="43"/>
      <c r="H2199" s="37"/>
      <c r="I2199" s="37"/>
      <c r="J2199" s="38"/>
      <c r="K2199" s="37"/>
      <c r="L2199" s="38"/>
      <c r="M2199" s="39"/>
      <c r="P2199" s="37"/>
      <c r="Q2199" s="37"/>
      <c r="R2199" s="37"/>
      <c r="S2199" s="37"/>
      <c r="T2199" s="37"/>
      <c r="U2199" s="37"/>
      <c r="V2199" s="37"/>
      <c r="W2199" s="37"/>
      <c r="X2199" s="37"/>
      <c r="Y2199" s="37"/>
      <c r="Z2199" s="37"/>
      <c r="AA2199" s="37"/>
      <c r="AB2199" s="37"/>
      <c r="AC2199" s="37"/>
      <c r="AD2199" s="37"/>
      <c r="AE2199" s="37"/>
      <c r="AF2199" s="37"/>
      <c r="AG2199" s="37"/>
      <c r="AH2199" s="37"/>
      <c r="AI2199" s="37"/>
      <c r="AJ2199" s="37"/>
      <c r="AK2199" s="37"/>
      <c r="AL2199" s="37"/>
      <c r="AM2199" s="37"/>
      <c r="AN2199" s="37"/>
      <c r="AO2199" s="37"/>
      <c r="AP2199" s="37"/>
      <c r="AQ2199" s="37"/>
      <c r="AR2199" s="37"/>
      <c r="AS2199" s="37"/>
      <c r="AT2199" s="37"/>
      <c r="AU2199" s="37"/>
      <c r="AV2199" s="37"/>
      <c r="AW2199" s="37"/>
      <c r="AX2199" s="37"/>
      <c r="AY2199" s="37"/>
      <c r="AZ2199" s="37"/>
      <c r="BA2199" s="37"/>
      <c r="BB2199" s="37"/>
      <c r="BC2199" s="37"/>
      <c r="BD2199" s="37"/>
      <c r="BE2199" s="37"/>
      <c r="BF2199" s="37"/>
      <c r="BG2199" s="37"/>
      <c r="BH2199" s="37"/>
      <c r="BI2199" s="37"/>
      <c r="BJ2199" s="37"/>
      <c r="BK2199" s="37"/>
      <c r="BL2199" s="37"/>
      <c r="BM2199" s="37"/>
    </row>
    <row r="2200" spans="1:65" s="40" customFormat="1" ht="23.25" x14ac:dyDescent="0.35">
      <c r="A2200" s="37"/>
      <c r="B2200" s="37"/>
      <c r="C2200" s="41"/>
      <c r="D2200" s="38"/>
      <c r="E2200" s="57"/>
      <c r="F2200" s="42"/>
      <c r="G2200" s="43"/>
      <c r="H2200" s="37"/>
      <c r="I2200" s="37"/>
      <c r="J2200" s="38"/>
      <c r="K2200" s="37"/>
      <c r="L2200" s="38"/>
      <c r="M2200" s="39"/>
      <c r="P2200" s="37"/>
      <c r="Q2200" s="37"/>
      <c r="R2200" s="37"/>
      <c r="S2200" s="37"/>
      <c r="T2200" s="37"/>
      <c r="U2200" s="37"/>
      <c r="V2200" s="37"/>
      <c r="W2200" s="37"/>
      <c r="X2200" s="37"/>
      <c r="Y2200" s="37"/>
      <c r="Z2200" s="37"/>
      <c r="AA2200" s="37"/>
      <c r="AB2200" s="37"/>
      <c r="AC2200" s="37"/>
      <c r="AD2200" s="37"/>
      <c r="AE2200" s="37"/>
      <c r="AF2200" s="37"/>
      <c r="AG2200" s="37"/>
      <c r="AH2200" s="37"/>
      <c r="AI2200" s="37"/>
      <c r="AJ2200" s="37"/>
      <c r="AK2200" s="37"/>
      <c r="AL2200" s="37"/>
      <c r="AM2200" s="37"/>
      <c r="AN2200" s="37"/>
      <c r="AO2200" s="37"/>
      <c r="AP2200" s="37"/>
      <c r="AQ2200" s="37"/>
      <c r="AR2200" s="37"/>
      <c r="AS2200" s="37"/>
      <c r="AT2200" s="37"/>
      <c r="AU2200" s="37"/>
      <c r="AV2200" s="37"/>
      <c r="AW2200" s="37"/>
      <c r="AX2200" s="37"/>
      <c r="AY2200" s="37"/>
      <c r="AZ2200" s="37"/>
      <c r="BA2200" s="37"/>
      <c r="BB2200" s="37"/>
      <c r="BC2200" s="37"/>
      <c r="BD2200" s="37"/>
      <c r="BE2200" s="37"/>
      <c r="BF2200" s="37"/>
      <c r="BG2200" s="37"/>
      <c r="BH2200" s="37"/>
      <c r="BI2200" s="37"/>
      <c r="BJ2200" s="37"/>
      <c r="BK2200" s="37"/>
      <c r="BL2200" s="37"/>
      <c r="BM2200" s="37"/>
    </row>
    <row r="2201" spans="1:65" s="40" customFormat="1" ht="23.25" x14ac:dyDescent="0.35">
      <c r="A2201" s="37"/>
      <c r="B2201" s="37"/>
      <c r="C2201" s="41"/>
      <c r="D2201" s="38"/>
      <c r="E2201" s="57"/>
      <c r="F2201" s="42"/>
      <c r="G2201" s="43"/>
      <c r="H2201" s="37"/>
      <c r="I2201" s="37"/>
      <c r="J2201" s="38"/>
      <c r="K2201" s="37"/>
      <c r="L2201" s="38"/>
      <c r="M2201" s="39"/>
      <c r="P2201" s="37"/>
      <c r="Q2201" s="37"/>
      <c r="R2201" s="37"/>
      <c r="S2201" s="37"/>
      <c r="T2201" s="37"/>
      <c r="U2201" s="37"/>
      <c r="V2201" s="37"/>
      <c r="W2201" s="37"/>
      <c r="X2201" s="37"/>
      <c r="Y2201" s="37"/>
      <c r="Z2201" s="37"/>
      <c r="AA2201" s="37"/>
      <c r="AB2201" s="37"/>
      <c r="AC2201" s="37"/>
      <c r="AD2201" s="37"/>
      <c r="AE2201" s="37"/>
      <c r="AF2201" s="37"/>
      <c r="AG2201" s="37"/>
      <c r="AH2201" s="37"/>
      <c r="AI2201" s="37"/>
      <c r="AJ2201" s="37"/>
      <c r="AK2201" s="37"/>
      <c r="AL2201" s="37"/>
      <c r="AM2201" s="37"/>
      <c r="AN2201" s="37"/>
      <c r="AO2201" s="37"/>
      <c r="AP2201" s="37"/>
      <c r="AQ2201" s="37"/>
      <c r="AR2201" s="37"/>
      <c r="AS2201" s="37"/>
      <c r="AT2201" s="37"/>
      <c r="AU2201" s="37"/>
      <c r="AV2201" s="37"/>
      <c r="AW2201" s="37"/>
      <c r="AX2201" s="37"/>
      <c r="AY2201" s="37"/>
      <c r="AZ2201" s="37"/>
      <c r="BA2201" s="37"/>
      <c r="BB2201" s="37"/>
      <c r="BC2201" s="37"/>
      <c r="BD2201" s="37"/>
      <c r="BE2201" s="37"/>
      <c r="BF2201" s="37"/>
      <c r="BG2201" s="37"/>
      <c r="BH2201" s="37"/>
      <c r="BI2201" s="37"/>
      <c r="BJ2201" s="37"/>
      <c r="BK2201" s="37"/>
      <c r="BL2201" s="37"/>
      <c r="BM2201" s="37"/>
    </row>
    <row r="2202" spans="1:65" s="40" customFormat="1" ht="23.25" x14ac:dyDescent="0.35">
      <c r="A2202" s="37"/>
      <c r="B2202" s="37"/>
      <c r="C2202" s="41"/>
      <c r="D2202" s="38"/>
      <c r="E2202" s="57"/>
      <c r="F2202" s="42"/>
      <c r="G2202" s="43"/>
      <c r="H2202" s="37"/>
      <c r="I2202" s="37"/>
      <c r="J2202" s="38"/>
      <c r="K2202" s="37"/>
      <c r="L2202" s="38"/>
      <c r="M2202" s="39"/>
      <c r="P2202" s="37"/>
      <c r="Q2202" s="37"/>
      <c r="R2202" s="37"/>
      <c r="S2202" s="37"/>
      <c r="T2202" s="37"/>
      <c r="U2202" s="37"/>
      <c r="V2202" s="37"/>
      <c r="W2202" s="37"/>
      <c r="X2202" s="37"/>
      <c r="Y2202" s="37"/>
      <c r="Z2202" s="37"/>
      <c r="AA2202" s="37"/>
      <c r="AB2202" s="37"/>
      <c r="AC2202" s="37"/>
      <c r="AD2202" s="37"/>
      <c r="AE2202" s="37"/>
      <c r="AF2202" s="37"/>
      <c r="AG2202" s="37"/>
      <c r="AH2202" s="37"/>
      <c r="AI2202" s="37"/>
      <c r="AJ2202" s="37"/>
      <c r="AK2202" s="37"/>
      <c r="AL2202" s="37"/>
      <c r="AM2202" s="37"/>
      <c r="AN2202" s="37"/>
      <c r="AO2202" s="37"/>
      <c r="AP2202" s="37"/>
      <c r="AQ2202" s="37"/>
      <c r="AR2202" s="37"/>
      <c r="AS2202" s="37"/>
      <c r="AT2202" s="37"/>
      <c r="AU2202" s="37"/>
      <c r="AV2202" s="37"/>
      <c r="AW2202" s="37"/>
      <c r="AX2202" s="37"/>
      <c r="AY2202" s="37"/>
      <c r="AZ2202" s="37"/>
      <c r="BA2202" s="37"/>
      <c r="BB2202" s="37"/>
      <c r="BC2202" s="37"/>
      <c r="BD2202" s="37"/>
      <c r="BE2202" s="37"/>
      <c r="BF2202" s="37"/>
      <c r="BG2202" s="37"/>
      <c r="BH2202" s="37"/>
      <c r="BI2202" s="37"/>
      <c r="BJ2202" s="37"/>
      <c r="BK2202" s="37"/>
      <c r="BL2202" s="37"/>
      <c r="BM2202" s="37"/>
    </row>
    <row r="2203" spans="1:65" s="40" customFormat="1" ht="23.25" x14ac:dyDescent="0.35">
      <c r="A2203" s="37"/>
      <c r="B2203" s="37"/>
      <c r="C2203" s="41"/>
      <c r="D2203" s="38"/>
      <c r="E2203" s="57"/>
      <c r="F2203" s="42"/>
      <c r="G2203" s="43"/>
      <c r="H2203" s="37"/>
      <c r="I2203" s="37"/>
      <c r="J2203" s="38"/>
      <c r="K2203" s="37"/>
      <c r="L2203" s="38"/>
      <c r="M2203" s="39"/>
      <c r="P2203" s="37"/>
      <c r="Q2203" s="37"/>
      <c r="R2203" s="37"/>
      <c r="S2203" s="37"/>
      <c r="T2203" s="37"/>
      <c r="U2203" s="37"/>
      <c r="V2203" s="37"/>
      <c r="W2203" s="37"/>
      <c r="X2203" s="37"/>
      <c r="Y2203" s="37"/>
      <c r="Z2203" s="37"/>
      <c r="AA2203" s="37"/>
      <c r="AB2203" s="37"/>
      <c r="AC2203" s="37"/>
      <c r="AD2203" s="37"/>
      <c r="AE2203" s="37"/>
      <c r="AF2203" s="37"/>
      <c r="AG2203" s="37"/>
      <c r="AH2203" s="37"/>
      <c r="AI2203" s="37"/>
      <c r="AJ2203" s="37"/>
      <c r="AK2203" s="37"/>
      <c r="AL2203" s="37"/>
      <c r="AM2203" s="37"/>
      <c r="AN2203" s="37"/>
      <c r="AO2203" s="37"/>
      <c r="AP2203" s="37"/>
      <c r="AQ2203" s="37"/>
      <c r="AR2203" s="37"/>
      <c r="AS2203" s="37"/>
      <c r="AT2203" s="37"/>
      <c r="AU2203" s="37"/>
      <c r="AV2203" s="37"/>
      <c r="AW2203" s="37"/>
      <c r="AX2203" s="37"/>
      <c r="AY2203" s="37"/>
      <c r="AZ2203" s="37"/>
      <c r="BA2203" s="37"/>
      <c r="BB2203" s="37"/>
      <c r="BC2203" s="37"/>
      <c r="BD2203" s="37"/>
      <c r="BE2203" s="37"/>
      <c r="BF2203" s="37"/>
      <c r="BG2203" s="37"/>
      <c r="BH2203" s="37"/>
      <c r="BI2203" s="37"/>
      <c r="BJ2203" s="37"/>
      <c r="BK2203" s="37"/>
      <c r="BL2203" s="37"/>
      <c r="BM2203" s="37"/>
    </row>
    <row r="2204" spans="1:65" s="40" customFormat="1" ht="23.25" x14ac:dyDescent="0.35">
      <c r="A2204" s="37"/>
      <c r="B2204" s="37"/>
      <c r="C2204" s="41"/>
      <c r="D2204" s="38"/>
      <c r="E2204" s="57"/>
      <c r="F2204" s="42"/>
      <c r="G2204" s="43"/>
      <c r="H2204" s="37"/>
      <c r="I2204" s="37"/>
      <c r="J2204" s="38"/>
      <c r="K2204" s="37"/>
      <c r="L2204" s="38"/>
      <c r="M2204" s="39"/>
      <c r="P2204" s="37"/>
      <c r="Q2204" s="37"/>
      <c r="R2204" s="37"/>
      <c r="S2204" s="37"/>
      <c r="T2204" s="37"/>
      <c r="U2204" s="37"/>
      <c r="V2204" s="37"/>
      <c r="W2204" s="37"/>
      <c r="X2204" s="37"/>
      <c r="Y2204" s="37"/>
      <c r="Z2204" s="37"/>
      <c r="AA2204" s="37"/>
      <c r="AB2204" s="37"/>
      <c r="AC2204" s="37"/>
      <c r="AD2204" s="37"/>
      <c r="AE2204" s="37"/>
      <c r="AF2204" s="37"/>
      <c r="AG2204" s="37"/>
      <c r="AH2204" s="37"/>
      <c r="AI2204" s="37"/>
      <c r="AJ2204" s="37"/>
      <c r="AK2204" s="37"/>
      <c r="AL2204" s="37"/>
      <c r="AM2204" s="37"/>
      <c r="AN2204" s="37"/>
      <c r="AO2204" s="37"/>
      <c r="AP2204" s="37"/>
      <c r="AQ2204" s="37"/>
      <c r="AR2204" s="37"/>
      <c r="AS2204" s="37"/>
      <c r="AT2204" s="37"/>
      <c r="AU2204" s="37"/>
      <c r="AV2204" s="37"/>
      <c r="AW2204" s="37"/>
      <c r="AX2204" s="37"/>
      <c r="AY2204" s="37"/>
      <c r="AZ2204" s="37"/>
      <c r="BA2204" s="37"/>
      <c r="BB2204" s="37"/>
      <c r="BC2204" s="37"/>
      <c r="BD2204" s="37"/>
      <c r="BE2204" s="37"/>
      <c r="BF2204" s="37"/>
      <c r="BG2204" s="37"/>
      <c r="BH2204" s="37"/>
      <c r="BI2204" s="37"/>
      <c r="BJ2204" s="37"/>
      <c r="BK2204" s="37"/>
      <c r="BL2204" s="37"/>
      <c r="BM2204" s="37"/>
    </row>
    <row r="2205" spans="1:65" s="40" customFormat="1" ht="23.25" x14ac:dyDescent="0.35">
      <c r="A2205" s="37"/>
      <c r="B2205" s="37"/>
      <c r="C2205" s="41"/>
      <c r="D2205" s="38"/>
      <c r="E2205" s="57"/>
      <c r="F2205" s="42"/>
      <c r="G2205" s="43"/>
      <c r="H2205" s="37"/>
      <c r="I2205" s="37"/>
      <c r="J2205" s="38"/>
      <c r="K2205" s="37"/>
      <c r="L2205" s="38"/>
      <c r="M2205" s="39"/>
      <c r="P2205" s="37"/>
      <c r="Q2205" s="37"/>
      <c r="R2205" s="37"/>
      <c r="S2205" s="37"/>
      <c r="T2205" s="37"/>
      <c r="U2205" s="37"/>
      <c r="V2205" s="37"/>
      <c r="W2205" s="37"/>
      <c r="X2205" s="37"/>
      <c r="Y2205" s="37"/>
      <c r="Z2205" s="37"/>
      <c r="AA2205" s="37"/>
      <c r="AB2205" s="37"/>
      <c r="AC2205" s="37"/>
      <c r="AD2205" s="37"/>
      <c r="AE2205" s="37"/>
      <c r="AF2205" s="37"/>
      <c r="AG2205" s="37"/>
      <c r="AH2205" s="37"/>
      <c r="AI2205" s="37"/>
      <c r="AJ2205" s="37"/>
      <c r="AK2205" s="37"/>
      <c r="AL2205" s="37"/>
      <c r="AM2205" s="37"/>
      <c r="AN2205" s="37"/>
      <c r="AO2205" s="37"/>
      <c r="AP2205" s="37"/>
      <c r="AQ2205" s="37"/>
      <c r="AR2205" s="37"/>
      <c r="AS2205" s="37"/>
      <c r="AT2205" s="37"/>
      <c r="AU2205" s="37"/>
      <c r="AV2205" s="37"/>
      <c r="AW2205" s="37"/>
      <c r="AX2205" s="37"/>
      <c r="AY2205" s="37"/>
      <c r="AZ2205" s="37"/>
      <c r="BA2205" s="37"/>
      <c r="BB2205" s="37"/>
      <c r="BC2205" s="37"/>
      <c r="BD2205" s="37"/>
      <c r="BE2205" s="37"/>
      <c r="BF2205" s="37"/>
      <c r="BG2205" s="37"/>
      <c r="BH2205" s="37"/>
      <c r="BI2205" s="37"/>
      <c r="BJ2205" s="37"/>
      <c r="BK2205" s="37"/>
      <c r="BL2205" s="37"/>
      <c r="BM2205" s="37"/>
    </row>
    <row r="2206" spans="1:65" s="40" customFormat="1" ht="23.25" x14ac:dyDescent="0.35">
      <c r="A2206" s="37"/>
      <c r="B2206" s="37"/>
      <c r="C2206" s="41"/>
      <c r="D2206" s="38"/>
      <c r="E2206" s="57"/>
      <c r="F2206" s="42"/>
      <c r="G2206" s="43"/>
      <c r="H2206" s="37"/>
      <c r="I2206" s="37"/>
      <c r="J2206" s="38"/>
      <c r="K2206" s="37"/>
      <c r="L2206" s="38"/>
      <c r="M2206" s="39"/>
      <c r="P2206" s="37"/>
      <c r="Q2206" s="37"/>
      <c r="R2206" s="37"/>
      <c r="S2206" s="37"/>
      <c r="T2206" s="37"/>
      <c r="U2206" s="37"/>
      <c r="V2206" s="37"/>
      <c r="W2206" s="37"/>
      <c r="X2206" s="37"/>
      <c r="Y2206" s="37"/>
      <c r="Z2206" s="37"/>
      <c r="AA2206" s="37"/>
      <c r="AB2206" s="37"/>
      <c r="AC2206" s="37"/>
      <c r="AD2206" s="37"/>
      <c r="AE2206" s="37"/>
      <c r="AF2206" s="37"/>
      <c r="AG2206" s="37"/>
      <c r="AH2206" s="37"/>
      <c r="AI2206" s="37"/>
      <c r="AJ2206" s="37"/>
      <c r="AK2206" s="37"/>
      <c r="AL2206" s="37"/>
      <c r="AM2206" s="37"/>
      <c r="AN2206" s="37"/>
      <c r="AO2206" s="37"/>
      <c r="AP2206" s="37"/>
      <c r="AQ2206" s="37"/>
      <c r="AR2206" s="37"/>
      <c r="AS2206" s="37"/>
      <c r="AT2206" s="37"/>
      <c r="AU2206" s="37"/>
      <c r="AV2206" s="37"/>
      <c r="AW2206" s="37"/>
      <c r="AX2206" s="37"/>
      <c r="AY2206" s="37"/>
      <c r="AZ2206" s="37"/>
      <c r="BA2206" s="37"/>
      <c r="BB2206" s="37"/>
      <c r="BC2206" s="37"/>
      <c r="BD2206" s="37"/>
      <c r="BE2206" s="37"/>
      <c r="BF2206" s="37"/>
      <c r="BG2206" s="37"/>
      <c r="BH2206" s="37"/>
      <c r="BI2206" s="37"/>
      <c r="BJ2206" s="37"/>
      <c r="BK2206" s="37"/>
      <c r="BL2206" s="37"/>
      <c r="BM2206" s="37"/>
    </row>
    <row r="2207" spans="1:65" s="40" customFormat="1" ht="23.25" x14ac:dyDescent="0.35">
      <c r="A2207" s="37"/>
      <c r="B2207" s="37"/>
      <c r="C2207" s="41"/>
      <c r="D2207" s="38"/>
      <c r="E2207" s="57"/>
      <c r="F2207" s="42"/>
      <c r="G2207" s="43"/>
      <c r="H2207" s="37"/>
      <c r="I2207" s="37"/>
      <c r="J2207" s="38"/>
      <c r="K2207" s="37"/>
      <c r="L2207" s="38"/>
      <c r="M2207" s="39"/>
      <c r="P2207" s="37"/>
      <c r="Q2207" s="37"/>
      <c r="R2207" s="37"/>
      <c r="S2207" s="37"/>
      <c r="T2207" s="37"/>
      <c r="U2207" s="37"/>
      <c r="V2207" s="37"/>
      <c r="W2207" s="37"/>
      <c r="X2207" s="37"/>
      <c r="Y2207" s="37"/>
      <c r="Z2207" s="37"/>
      <c r="AA2207" s="37"/>
      <c r="AB2207" s="37"/>
      <c r="AC2207" s="37"/>
      <c r="AD2207" s="37"/>
      <c r="AE2207" s="37"/>
      <c r="AF2207" s="37"/>
      <c r="AG2207" s="37"/>
      <c r="AH2207" s="37"/>
      <c r="AI2207" s="37"/>
      <c r="AJ2207" s="37"/>
      <c r="AK2207" s="37"/>
      <c r="AL2207" s="37"/>
      <c r="AM2207" s="37"/>
      <c r="AN2207" s="37"/>
      <c r="AO2207" s="37"/>
      <c r="AP2207" s="37"/>
      <c r="AQ2207" s="37"/>
      <c r="AR2207" s="37"/>
      <c r="AS2207" s="37"/>
      <c r="AT2207" s="37"/>
      <c r="AU2207" s="37"/>
      <c r="AV2207" s="37"/>
      <c r="AW2207" s="37"/>
      <c r="AX2207" s="37"/>
      <c r="AY2207" s="37"/>
      <c r="AZ2207" s="37"/>
      <c r="BA2207" s="37"/>
      <c r="BB2207" s="37"/>
      <c r="BC2207" s="37"/>
      <c r="BD2207" s="37"/>
      <c r="BE2207" s="37"/>
      <c r="BF2207" s="37"/>
      <c r="BG2207" s="37"/>
      <c r="BH2207" s="37"/>
      <c r="BI2207" s="37"/>
      <c r="BJ2207" s="37"/>
      <c r="BK2207" s="37"/>
      <c r="BL2207" s="37"/>
      <c r="BM2207" s="37"/>
    </row>
    <row r="2208" spans="1:65" s="40" customFormat="1" ht="23.25" x14ac:dyDescent="0.35">
      <c r="A2208" s="37"/>
      <c r="B2208" s="37"/>
      <c r="C2208" s="41"/>
      <c r="D2208" s="38"/>
      <c r="E2208" s="57"/>
      <c r="F2208" s="42"/>
      <c r="G2208" s="43"/>
      <c r="H2208" s="37"/>
      <c r="I2208" s="37"/>
      <c r="J2208" s="38"/>
      <c r="K2208" s="37"/>
      <c r="L2208" s="38"/>
      <c r="M2208" s="39"/>
      <c r="P2208" s="37"/>
      <c r="Q2208" s="37"/>
      <c r="R2208" s="37"/>
      <c r="S2208" s="37"/>
      <c r="T2208" s="37"/>
      <c r="U2208" s="37"/>
      <c r="V2208" s="37"/>
      <c r="W2208" s="37"/>
      <c r="X2208" s="37"/>
      <c r="Y2208" s="37"/>
      <c r="Z2208" s="37"/>
      <c r="AA2208" s="37"/>
      <c r="AB2208" s="37"/>
      <c r="AC2208" s="37"/>
      <c r="AD2208" s="37"/>
      <c r="AE2208" s="37"/>
      <c r="AF2208" s="37"/>
      <c r="AG2208" s="37"/>
      <c r="AH2208" s="37"/>
      <c r="AI2208" s="37"/>
      <c r="AJ2208" s="37"/>
      <c r="AK2208" s="37"/>
      <c r="AL2208" s="37"/>
      <c r="AM2208" s="37"/>
      <c r="AN2208" s="37"/>
      <c r="AO2208" s="37"/>
      <c r="AP2208" s="37"/>
      <c r="AQ2208" s="37"/>
      <c r="AR2208" s="37"/>
      <c r="AS2208" s="37"/>
      <c r="AT2208" s="37"/>
      <c r="AU2208" s="37"/>
      <c r="AV2208" s="37"/>
      <c r="AW2208" s="37"/>
      <c r="AX2208" s="37"/>
      <c r="AY2208" s="37"/>
      <c r="AZ2208" s="37"/>
      <c r="BA2208" s="37"/>
      <c r="BB2208" s="37"/>
      <c r="BC2208" s="37"/>
      <c r="BD2208" s="37"/>
      <c r="BE2208" s="37"/>
      <c r="BF2208" s="37"/>
      <c r="BG2208" s="37"/>
      <c r="BH2208" s="37"/>
      <c r="BI2208" s="37"/>
      <c r="BJ2208" s="37"/>
      <c r="BK2208" s="37"/>
      <c r="BL2208" s="37"/>
      <c r="BM2208" s="37"/>
    </row>
    <row r="2209" spans="1:65" s="40" customFormat="1" ht="23.25" x14ac:dyDescent="0.35">
      <c r="A2209" s="37"/>
      <c r="B2209" s="37"/>
      <c r="C2209" s="41"/>
      <c r="D2209" s="38"/>
      <c r="E2209" s="57"/>
      <c r="F2209" s="42"/>
      <c r="G2209" s="43"/>
      <c r="H2209" s="37"/>
      <c r="I2209" s="37"/>
      <c r="J2209" s="38"/>
      <c r="K2209" s="37"/>
      <c r="L2209" s="38"/>
      <c r="M2209" s="39"/>
      <c r="P2209" s="37"/>
      <c r="Q2209" s="37"/>
      <c r="R2209" s="37"/>
      <c r="S2209" s="37"/>
      <c r="T2209" s="37"/>
      <c r="U2209" s="37"/>
      <c r="V2209" s="37"/>
      <c r="W2209" s="37"/>
      <c r="X2209" s="37"/>
      <c r="Y2209" s="37"/>
      <c r="Z2209" s="37"/>
      <c r="AA2209" s="37"/>
      <c r="AB2209" s="37"/>
      <c r="AC2209" s="37"/>
      <c r="AD2209" s="37"/>
      <c r="AE2209" s="37"/>
      <c r="AF2209" s="37"/>
      <c r="AG2209" s="37"/>
      <c r="AH2209" s="37"/>
      <c r="AI2209" s="37"/>
      <c r="AJ2209" s="37"/>
      <c r="AK2209" s="37"/>
      <c r="AL2209" s="37"/>
      <c r="AM2209" s="37"/>
      <c r="AN2209" s="37"/>
      <c r="AO2209" s="37"/>
      <c r="AP2209" s="37"/>
      <c r="AQ2209" s="37"/>
      <c r="AR2209" s="37"/>
      <c r="AS2209" s="37"/>
      <c r="AT2209" s="37"/>
      <c r="AU2209" s="37"/>
      <c r="AV2209" s="37"/>
      <c r="AW2209" s="37"/>
      <c r="AX2209" s="37"/>
      <c r="AY2209" s="37"/>
      <c r="AZ2209" s="37"/>
      <c r="BA2209" s="37"/>
      <c r="BB2209" s="37"/>
      <c r="BC2209" s="37"/>
      <c r="BD2209" s="37"/>
      <c r="BE2209" s="37"/>
      <c r="BF2209" s="37"/>
      <c r="BG2209" s="37"/>
      <c r="BH2209" s="37"/>
      <c r="BI2209" s="37"/>
      <c r="BJ2209" s="37"/>
      <c r="BK2209" s="37"/>
      <c r="BL2209" s="37"/>
      <c r="BM2209" s="37"/>
    </row>
    <row r="2210" spans="1:65" s="40" customFormat="1" ht="23.25" x14ac:dyDescent="0.35">
      <c r="A2210" s="37"/>
      <c r="B2210" s="37"/>
      <c r="C2210" s="41"/>
      <c r="D2210" s="38"/>
      <c r="E2210" s="57"/>
      <c r="F2210" s="42"/>
      <c r="G2210" s="43"/>
      <c r="H2210" s="37"/>
      <c r="I2210" s="37"/>
      <c r="J2210" s="38"/>
      <c r="K2210" s="37"/>
      <c r="L2210" s="38"/>
      <c r="M2210" s="39"/>
      <c r="P2210" s="37"/>
      <c r="Q2210" s="37"/>
      <c r="R2210" s="37"/>
      <c r="S2210" s="37"/>
      <c r="T2210" s="37"/>
      <c r="U2210" s="37"/>
      <c r="V2210" s="37"/>
      <c r="W2210" s="37"/>
      <c r="X2210" s="37"/>
      <c r="Y2210" s="37"/>
      <c r="Z2210" s="37"/>
      <c r="AA2210" s="37"/>
      <c r="AB2210" s="37"/>
      <c r="AC2210" s="37"/>
      <c r="AD2210" s="37"/>
      <c r="AE2210" s="37"/>
      <c r="AF2210" s="37"/>
      <c r="AG2210" s="37"/>
      <c r="AH2210" s="37"/>
      <c r="AI2210" s="37"/>
      <c r="AJ2210" s="37"/>
      <c r="AK2210" s="37"/>
      <c r="AL2210" s="37"/>
      <c r="AM2210" s="37"/>
      <c r="AN2210" s="37"/>
      <c r="AO2210" s="37"/>
      <c r="AP2210" s="37"/>
      <c r="AQ2210" s="37"/>
      <c r="AR2210" s="37"/>
      <c r="AS2210" s="37"/>
      <c r="AT2210" s="37"/>
      <c r="AU2210" s="37"/>
      <c r="AV2210" s="37"/>
      <c r="AW2210" s="37"/>
      <c r="AX2210" s="37"/>
      <c r="AY2210" s="37"/>
      <c r="AZ2210" s="37"/>
      <c r="BA2210" s="37"/>
      <c r="BB2210" s="37"/>
      <c r="BC2210" s="37"/>
      <c r="BD2210" s="37"/>
      <c r="BE2210" s="37"/>
      <c r="BF2210" s="37"/>
      <c r="BG2210" s="37"/>
      <c r="BH2210" s="37"/>
      <c r="BI2210" s="37"/>
      <c r="BJ2210" s="37"/>
      <c r="BK2210" s="37"/>
      <c r="BL2210" s="37"/>
      <c r="BM2210" s="37"/>
    </row>
    <row r="2211" spans="1:65" s="40" customFormat="1" ht="23.25" x14ac:dyDescent="0.35">
      <c r="A2211" s="37"/>
      <c r="B2211" s="37"/>
      <c r="C2211" s="41"/>
      <c r="D2211" s="38"/>
      <c r="E2211" s="57"/>
      <c r="F2211" s="42"/>
      <c r="G2211" s="43"/>
      <c r="H2211" s="37"/>
      <c r="I2211" s="37"/>
      <c r="J2211" s="38"/>
      <c r="K2211" s="37"/>
      <c r="L2211" s="38"/>
      <c r="M2211" s="39"/>
      <c r="P2211" s="37"/>
      <c r="Q2211" s="37"/>
      <c r="R2211" s="37"/>
      <c r="S2211" s="37"/>
      <c r="T2211" s="37"/>
      <c r="U2211" s="37"/>
      <c r="V2211" s="37"/>
      <c r="W2211" s="37"/>
      <c r="X2211" s="37"/>
      <c r="Y2211" s="37"/>
      <c r="Z2211" s="37"/>
      <c r="AA2211" s="37"/>
      <c r="AB2211" s="37"/>
      <c r="AC2211" s="37"/>
      <c r="AD2211" s="37"/>
      <c r="AE2211" s="37"/>
      <c r="AF2211" s="37"/>
      <c r="AG2211" s="37"/>
      <c r="AH2211" s="37"/>
      <c r="AI2211" s="37"/>
      <c r="AJ2211" s="37"/>
      <c r="AK2211" s="37"/>
      <c r="AL2211" s="37"/>
      <c r="AM2211" s="37"/>
      <c r="AN2211" s="37"/>
      <c r="AO2211" s="37"/>
      <c r="AP2211" s="37"/>
      <c r="AQ2211" s="37"/>
      <c r="AR2211" s="37"/>
      <c r="AS2211" s="37"/>
      <c r="AT2211" s="37"/>
      <c r="AU2211" s="37"/>
      <c r="AV2211" s="37"/>
      <c r="AW2211" s="37"/>
      <c r="AX2211" s="37"/>
      <c r="AY2211" s="37"/>
      <c r="AZ2211" s="37"/>
      <c r="BA2211" s="37"/>
      <c r="BB2211" s="37"/>
      <c r="BC2211" s="37"/>
      <c r="BD2211" s="37"/>
      <c r="BE2211" s="37"/>
      <c r="BF2211" s="37"/>
      <c r="BG2211" s="37"/>
      <c r="BH2211" s="37"/>
      <c r="BI2211" s="37"/>
      <c r="BJ2211" s="37"/>
      <c r="BK2211" s="37"/>
      <c r="BL2211" s="37"/>
      <c r="BM2211" s="37"/>
    </row>
    <row r="2212" spans="1:65" s="40" customFormat="1" ht="23.25" x14ac:dyDescent="0.35">
      <c r="A2212" s="37"/>
      <c r="B2212" s="37"/>
      <c r="C2212" s="41"/>
      <c r="D2212" s="38"/>
      <c r="E2212" s="57"/>
      <c r="F2212" s="42"/>
      <c r="G2212" s="43"/>
      <c r="H2212" s="37"/>
      <c r="I2212" s="37"/>
      <c r="J2212" s="38"/>
      <c r="K2212" s="37"/>
      <c r="L2212" s="38"/>
      <c r="M2212" s="39"/>
      <c r="P2212" s="37"/>
      <c r="Q2212" s="37"/>
      <c r="R2212" s="37"/>
      <c r="S2212" s="37"/>
      <c r="T2212" s="37"/>
      <c r="U2212" s="37"/>
      <c r="V2212" s="37"/>
      <c r="W2212" s="37"/>
      <c r="X2212" s="37"/>
      <c r="Y2212" s="37"/>
      <c r="Z2212" s="37"/>
      <c r="AA2212" s="37"/>
      <c r="AB2212" s="37"/>
      <c r="AC2212" s="37"/>
      <c r="AD2212" s="37"/>
      <c r="AE2212" s="37"/>
      <c r="AF2212" s="37"/>
      <c r="AG2212" s="37"/>
      <c r="AH2212" s="37"/>
      <c r="AI2212" s="37"/>
      <c r="AJ2212" s="37"/>
      <c r="AK2212" s="37"/>
      <c r="AL2212" s="37"/>
      <c r="AM2212" s="37"/>
      <c r="AN2212" s="37"/>
      <c r="AO2212" s="37"/>
      <c r="AP2212" s="37"/>
      <c r="AQ2212" s="37"/>
      <c r="AR2212" s="37"/>
      <c r="AS2212" s="37"/>
      <c r="AT2212" s="37"/>
      <c r="AU2212" s="37"/>
      <c r="AV2212" s="37"/>
      <c r="AW2212" s="37"/>
      <c r="AX2212" s="37"/>
      <c r="AY2212" s="37"/>
      <c r="AZ2212" s="37"/>
      <c r="BA2212" s="37"/>
      <c r="BB2212" s="37"/>
      <c r="BC2212" s="37"/>
      <c r="BD2212" s="37"/>
      <c r="BE2212" s="37"/>
      <c r="BF2212" s="37"/>
      <c r="BG2212" s="37"/>
      <c r="BH2212" s="37"/>
      <c r="BI2212" s="37"/>
      <c r="BJ2212" s="37"/>
      <c r="BK2212" s="37"/>
      <c r="BL2212" s="37"/>
      <c r="BM2212" s="37"/>
    </row>
    <row r="2213" spans="1:65" s="40" customFormat="1" ht="23.25" x14ac:dyDescent="0.35">
      <c r="A2213" s="37"/>
      <c r="B2213" s="37"/>
      <c r="C2213" s="41"/>
      <c r="D2213" s="38"/>
      <c r="E2213" s="57"/>
      <c r="F2213" s="42"/>
      <c r="G2213" s="43"/>
      <c r="H2213" s="37"/>
      <c r="I2213" s="37"/>
      <c r="J2213" s="38"/>
      <c r="K2213" s="37"/>
      <c r="L2213" s="38"/>
      <c r="M2213" s="39"/>
      <c r="P2213" s="37"/>
      <c r="Q2213" s="37"/>
      <c r="R2213" s="37"/>
      <c r="S2213" s="37"/>
      <c r="T2213" s="37"/>
      <c r="U2213" s="37"/>
      <c r="V2213" s="37"/>
      <c r="W2213" s="37"/>
      <c r="X2213" s="37"/>
      <c r="Y2213" s="37"/>
      <c r="Z2213" s="37"/>
      <c r="AA2213" s="37"/>
      <c r="AB2213" s="37"/>
      <c r="AC2213" s="37"/>
      <c r="AD2213" s="37"/>
      <c r="AE2213" s="37"/>
      <c r="AF2213" s="37"/>
      <c r="AG2213" s="37"/>
      <c r="AH2213" s="37"/>
      <c r="AI2213" s="37"/>
      <c r="AJ2213" s="37"/>
      <c r="AK2213" s="37"/>
      <c r="AL2213" s="37"/>
      <c r="AM2213" s="37"/>
      <c r="AN2213" s="37"/>
      <c r="AO2213" s="37"/>
      <c r="AP2213" s="37"/>
      <c r="AQ2213" s="37"/>
      <c r="AR2213" s="37"/>
      <c r="AS2213" s="37"/>
      <c r="AT2213" s="37"/>
      <c r="AU2213" s="37"/>
      <c r="AV2213" s="37"/>
      <c r="AW2213" s="37"/>
      <c r="AX2213" s="37"/>
      <c r="AY2213" s="37"/>
      <c r="AZ2213" s="37"/>
      <c r="BA2213" s="37"/>
      <c r="BB2213" s="37"/>
      <c r="BC2213" s="37"/>
      <c r="BD2213" s="37"/>
      <c r="BE2213" s="37"/>
      <c r="BF2213" s="37"/>
      <c r="BG2213" s="37"/>
      <c r="BH2213" s="37"/>
      <c r="BI2213" s="37"/>
      <c r="BJ2213" s="37"/>
      <c r="BK2213" s="37"/>
      <c r="BL2213" s="37"/>
      <c r="BM2213" s="37"/>
    </row>
    <row r="2214" spans="1:65" s="40" customFormat="1" ht="23.25" x14ac:dyDescent="0.35">
      <c r="A2214" s="37"/>
      <c r="B2214" s="37"/>
      <c r="C2214" s="41"/>
      <c r="D2214" s="38"/>
      <c r="E2214" s="57"/>
      <c r="F2214" s="42"/>
      <c r="G2214" s="43"/>
      <c r="H2214" s="37"/>
      <c r="I2214" s="37"/>
      <c r="J2214" s="38"/>
      <c r="K2214" s="37"/>
      <c r="L2214" s="38"/>
      <c r="M2214" s="39"/>
      <c r="P2214" s="37"/>
      <c r="Q2214" s="37"/>
      <c r="R2214" s="37"/>
      <c r="S2214" s="37"/>
      <c r="T2214" s="37"/>
      <c r="U2214" s="37"/>
      <c r="V2214" s="37"/>
      <c r="W2214" s="37"/>
      <c r="X2214" s="37"/>
      <c r="Y2214" s="37"/>
      <c r="Z2214" s="37"/>
      <c r="AA2214" s="37"/>
      <c r="AB2214" s="37"/>
      <c r="AC2214" s="37"/>
      <c r="AD2214" s="37"/>
      <c r="AE2214" s="37"/>
      <c r="AF2214" s="37"/>
      <c r="AG2214" s="37"/>
      <c r="AH2214" s="37"/>
      <c r="AI2214" s="37"/>
      <c r="AJ2214" s="37"/>
      <c r="AK2214" s="37"/>
      <c r="AL2214" s="37"/>
      <c r="AM2214" s="37"/>
      <c r="AN2214" s="37"/>
      <c r="AO2214" s="37"/>
      <c r="AP2214" s="37"/>
      <c r="AQ2214" s="37"/>
      <c r="AR2214" s="37"/>
      <c r="AS2214" s="37"/>
      <c r="AT2214" s="37"/>
      <c r="AU2214" s="37"/>
      <c r="AV2214" s="37"/>
      <c r="AW2214" s="37"/>
      <c r="AX2214" s="37"/>
      <c r="AY2214" s="37"/>
      <c r="AZ2214" s="37"/>
      <c r="BA2214" s="37"/>
      <c r="BB2214" s="37"/>
      <c r="BC2214" s="37"/>
      <c r="BD2214" s="37"/>
      <c r="BE2214" s="37"/>
      <c r="BF2214" s="37"/>
      <c r="BG2214" s="37"/>
      <c r="BH2214" s="37"/>
      <c r="BI2214" s="37"/>
      <c r="BJ2214" s="37"/>
      <c r="BK2214" s="37"/>
      <c r="BL2214" s="37"/>
      <c r="BM2214" s="37"/>
    </row>
    <row r="2215" spans="1:65" s="40" customFormat="1" ht="23.25" x14ac:dyDescent="0.35">
      <c r="A2215" s="37"/>
      <c r="B2215" s="37"/>
      <c r="C2215" s="41"/>
      <c r="D2215" s="38"/>
      <c r="E2215" s="57"/>
      <c r="F2215" s="42"/>
      <c r="G2215" s="43"/>
      <c r="H2215" s="37"/>
      <c r="I2215" s="37"/>
      <c r="J2215" s="38"/>
      <c r="K2215" s="37"/>
      <c r="L2215" s="38"/>
      <c r="M2215" s="39"/>
      <c r="P2215" s="37"/>
      <c r="Q2215" s="37"/>
      <c r="R2215" s="37"/>
      <c r="S2215" s="37"/>
      <c r="T2215" s="37"/>
      <c r="U2215" s="37"/>
      <c r="V2215" s="37"/>
      <c r="W2215" s="37"/>
      <c r="X2215" s="37"/>
      <c r="Y2215" s="37"/>
      <c r="Z2215" s="37"/>
      <c r="AA2215" s="37"/>
      <c r="AB2215" s="37"/>
      <c r="AC2215" s="37"/>
      <c r="AD2215" s="37"/>
      <c r="AE2215" s="37"/>
      <c r="AF2215" s="37"/>
      <c r="AG2215" s="37"/>
      <c r="AH2215" s="37"/>
      <c r="AI2215" s="37"/>
      <c r="AJ2215" s="37"/>
      <c r="AK2215" s="37"/>
      <c r="AL2215" s="37"/>
      <c r="AM2215" s="37"/>
      <c r="AN2215" s="37"/>
      <c r="AO2215" s="37"/>
      <c r="AP2215" s="37"/>
      <c r="AQ2215" s="37"/>
      <c r="AR2215" s="37"/>
      <c r="AS2215" s="37"/>
      <c r="AT2215" s="37"/>
      <c r="AU2215" s="37"/>
      <c r="AV2215" s="37"/>
      <c r="AW2215" s="37"/>
      <c r="AX2215" s="37"/>
      <c r="AY2215" s="37"/>
      <c r="AZ2215" s="37"/>
      <c r="BA2215" s="37"/>
      <c r="BB2215" s="37"/>
      <c r="BC2215" s="37"/>
      <c r="BD2215" s="37"/>
      <c r="BE2215" s="37"/>
      <c r="BF2215" s="37"/>
      <c r="BG2215" s="37"/>
      <c r="BH2215" s="37"/>
      <c r="BI2215" s="37"/>
      <c r="BJ2215" s="37"/>
      <c r="BK2215" s="37"/>
      <c r="BL2215" s="37"/>
      <c r="BM2215" s="37"/>
    </row>
    <row r="2216" spans="1:65" s="40" customFormat="1" ht="23.25" x14ac:dyDescent="0.35">
      <c r="A2216" s="37"/>
      <c r="B2216" s="37"/>
      <c r="C2216" s="41"/>
      <c r="D2216" s="38"/>
      <c r="E2216" s="57"/>
      <c r="F2216" s="42"/>
      <c r="G2216" s="43"/>
      <c r="H2216" s="37"/>
      <c r="I2216" s="37"/>
      <c r="J2216" s="38"/>
      <c r="K2216" s="37"/>
      <c r="L2216" s="38"/>
      <c r="M2216" s="39"/>
      <c r="P2216" s="37"/>
      <c r="Q2216" s="37"/>
      <c r="R2216" s="37"/>
      <c r="S2216" s="37"/>
      <c r="T2216" s="37"/>
      <c r="U2216" s="37"/>
      <c r="V2216" s="37"/>
      <c r="W2216" s="37"/>
      <c r="X2216" s="37"/>
      <c r="Y2216" s="37"/>
      <c r="Z2216" s="37"/>
      <c r="AA2216" s="37"/>
      <c r="AB2216" s="37"/>
      <c r="AC2216" s="37"/>
      <c r="AD2216" s="37"/>
      <c r="AE2216" s="37"/>
      <c r="AF2216" s="37"/>
      <c r="AG2216" s="37"/>
      <c r="AH2216" s="37"/>
      <c r="AI2216" s="37"/>
      <c r="AJ2216" s="37"/>
      <c r="AK2216" s="37"/>
      <c r="AL2216" s="37"/>
      <c r="AM2216" s="37"/>
      <c r="AN2216" s="37"/>
      <c r="AO2216" s="37"/>
      <c r="AP2216" s="37"/>
      <c r="AQ2216" s="37"/>
      <c r="AR2216" s="37"/>
      <c r="AS2216" s="37"/>
      <c r="AT2216" s="37"/>
      <c r="AU2216" s="37"/>
      <c r="AV2216" s="37"/>
      <c r="AW2216" s="37"/>
      <c r="AX2216" s="37"/>
      <c r="AY2216" s="37"/>
      <c r="AZ2216" s="37"/>
      <c r="BA2216" s="37"/>
      <c r="BB2216" s="37"/>
      <c r="BC2216" s="37"/>
      <c r="BD2216" s="37"/>
      <c r="BE2216" s="37"/>
      <c r="BF2216" s="37"/>
      <c r="BG2216" s="37"/>
      <c r="BH2216" s="37"/>
      <c r="BI2216" s="37"/>
      <c r="BJ2216" s="37"/>
      <c r="BK2216" s="37"/>
      <c r="BL2216" s="37"/>
      <c r="BM2216" s="37"/>
    </row>
    <row r="2217" spans="1:65" s="40" customFormat="1" ht="23.25" x14ac:dyDescent="0.35">
      <c r="A2217" s="37"/>
      <c r="B2217" s="37"/>
      <c r="C2217" s="41"/>
      <c r="D2217" s="38"/>
      <c r="E2217" s="57"/>
      <c r="F2217" s="42"/>
      <c r="G2217" s="43"/>
      <c r="H2217" s="37"/>
      <c r="I2217" s="37"/>
      <c r="J2217" s="38"/>
      <c r="K2217" s="37"/>
      <c r="L2217" s="38"/>
      <c r="M2217" s="39"/>
      <c r="P2217" s="37"/>
      <c r="Q2217" s="37"/>
      <c r="R2217" s="37"/>
      <c r="S2217" s="37"/>
      <c r="T2217" s="37"/>
      <c r="U2217" s="37"/>
      <c r="V2217" s="37"/>
      <c r="W2217" s="37"/>
      <c r="X2217" s="37"/>
      <c r="Y2217" s="37"/>
      <c r="Z2217" s="37"/>
      <c r="AA2217" s="37"/>
      <c r="AB2217" s="37"/>
      <c r="AC2217" s="37"/>
      <c r="AD2217" s="37"/>
      <c r="AE2217" s="37"/>
      <c r="AF2217" s="37"/>
      <c r="AG2217" s="37"/>
      <c r="AH2217" s="37"/>
      <c r="AI2217" s="37"/>
      <c r="AJ2217" s="37"/>
      <c r="AK2217" s="37"/>
      <c r="AL2217" s="37"/>
      <c r="AM2217" s="37"/>
      <c r="AN2217" s="37"/>
      <c r="AO2217" s="37"/>
      <c r="AP2217" s="37"/>
      <c r="AQ2217" s="37"/>
      <c r="AR2217" s="37"/>
      <c r="AS2217" s="37"/>
      <c r="AT2217" s="37"/>
      <c r="AU2217" s="37"/>
      <c r="AV2217" s="37"/>
      <c r="AW2217" s="37"/>
      <c r="AX2217" s="37"/>
      <c r="AY2217" s="37"/>
      <c r="AZ2217" s="37"/>
      <c r="BA2217" s="37"/>
      <c r="BB2217" s="37"/>
      <c r="BC2217" s="37"/>
      <c r="BD2217" s="37"/>
      <c r="BE2217" s="37"/>
      <c r="BF2217" s="37"/>
      <c r="BG2217" s="37"/>
      <c r="BH2217" s="37"/>
      <c r="BI2217" s="37"/>
      <c r="BJ2217" s="37"/>
      <c r="BK2217" s="37"/>
      <c r="BL2217" s="37"/>
      <c r="BM2217" s="37"/>
    </row>
    <row r="2218" spans="1:65" s="40" customFormat="1" ht="23.25" x14ac:dyDescent="0.35">
      <c r="A2218" s="37"/>
      <c r="B2218" s="37"/>
      <c r="C2218" s="41"/>
      <c r="D2218" s="38"/>
      <c r="E2218" s="57"/>
      <c r="F2218" s="42"/>
      <c r="G2218" s="43"/>
      <c r="H2218" s="37"/>
      <c r="I2218" s="37"/>
      <c r="J2218" s="38"/>
      <c r="K2218" s="37"/>
      <c r="L2218" s="38"/>
      <c r="M2218" s="39"/>
      <c r="P2218" s="37"/>
      <c r="Q2218" s="37"/>
      <c r="R2218" s="37"/>
      <c r="S2218" s="37"/>
      <c r="T2218" s="37"/>
      <c r="U2218" s="37"/>
      <c r="V2218" s="37"/>
      <c r="W2218" s="37"/>
      <c r="X2218" s="37"/>
      <c r="Y2218" s="37"/>
      <c r="Z2218" s="37"/>
      <c r="AA2218" s="37"/>
      <c r="AB2218" s="37"/>
      <c r="AC2218" s="37"/>
      <c r="AD2218" s="37"/>
      <c r="AE2218" s="37"/>
      <c r="AF2218" s="37"/>
      <c r="AG2218" s="37"/>
      <c r="AH2218" s="37"/>
      <c r="AI2218" s="37"/>
      <c r="AJ2218" s="37"/>
      <c r="AK2218" s="37"/>
      <c r="AL2218" s="37"/>
      <c r="AM2218" s="37"/>
      <c r="AN2218" s="37"/>
      <c r="AO2218" s="37"/>
      <c r="AP2218" s="37"/>
      <c r="AQ2218" s="37"/>
      <c r="AR2218" s="37"/>
      <c r="AS2218" s="37"/>
      <c r="AT2218" s="37"/>
      <c r="AU2218" s="37"/>
      <c r="AV2218" s="37"/>
      <c r="AW2218" s="37"/>
      <c r="AX2218" s="37"/>
      <c r="AY2218" s="37"/>
      <c r="AZ2218" s="37"/>
      <c r="BA2218" s="37"/>
      <c r="BB2218" s="37"/>
      <c r="BC2218" s="37"/>
      <c r="BD2218" s="37"/>
      <c r="BE2218" s="37"/>
      <c r="BF2218" s="37"/>
      <c r="BG2218" s="37"/>
      <c r="BH2218" s="37"/>
      <c r="BI2218" s="37"/>
      <c r="BJ2218" s="37"/>
      <c r="BK2218" s="37"/>
      <c r="BL2218" s="37"/>
      <c r="BM2218" s="37"/>
    </row>
    <row r="2219" spans="1:65" s="40" customFormat="1" ht="23.25" x14ac:dyDescent="0.35">
      <c r="A2219" s="37"/>
      <c r="B2219" s="37"/>
      <c r="C2219" s="41"/>
      <c r="D2219" s="38"/>
      <c r="E2219" s="57"/>
      <c r="F2219" s="42"/>
      <c r="G2219" s="43"/>
      <c r="H2219" s="37"/>
      <c r="I2219" s="37"/>
      <c r="J2219" s="38"/>
      <c r="K2219" s="37"/>
      <c r="L2219" s="38"/>
      <c r="M2219" s="39"/>
      <c r="P2219" s="37"/>
      <c r="Q2219" s="37"/>
      <c r="R2219" s="37"/>
      <c r="S2219" s="37"/>
      <c r="T2219" s="37"/>
      <c r="U2219" s="37"/>
      <c r="V2219" s="37"/>
      <c r="W2219" s="37"/>
      <c r="X2219" s="37"/>
      <c r="Y2219" s="37"/>
      <c r="Z2219" s="37"/>
      <c r="AA2219" s="37"/>
      <c r="AB2219" s="37"/>
      <c r="AC2219" s="37"/>
      <c r="AD2219" s="37"/>
      <c r="AE2219" s="37"/>
      <c r="AF2219" s="37"/>
      <c r="AG2219" s="37"/>
      <c r="AH2219" s="37"/>
      <c r="AI2219" s="37"/>
      <c r="AJ2219" s="37"/>
      <c r="AK2219" s="37"/>
      <c r="AL2219" s="37"/>
      <c r="AM2219" s="37"/>
      <c r="AN2219" s="37"/>
      <c r="AO2219" s="37"/>
      <c r="AP2219" s="37"/>
      <c r="AQ2219" s="37"/>
      <c r="AR2219" s="37"/>
      <c r="AS2219" s="37"/>
      <c r="AT2219" s="37"/>
      <c r="AU2219" s="37"/>
      <c r="AV2219" s="37"/>
      <c r="AW2219" s="37"/>
      <c r="AX2219" s="37"/>
      <c r="AY2219" s="37"/>
      <c r="AZ2219" s="37"/>
      <c r="BA2219" s="37"/>
      <c r="BB2219" s="37"/>
      <c r="BC2219" s="37"/>
      <c r="BD2219" s="37"/>
      <c r="BE2219" s="37"/>
      <c r="BF2219" s="37"/>
      <c r="BG2219" s="37"/>
      <c r="BH2219" s="37"/>
      <c r="BI2219" s="37"/>
      <c r="BJ2219" s="37"/>
      <c r="BK2219" s="37"/>
      <c r="BL2219" s="37"/>
      <c r="BM2219" s="37"/>
    </row>
    <row r="2220" spans="1:65" s="40" customFormat="1" ht="23.25" x14ac:dyDescent="0.35">
      <c r="A2220" s="37"/>
      <c r="B2220" s="37"/>
      <c r="C2220" s="41"/>
      <c r="D2220" s="38"/>
      <c r="E2220" s="57"/>
      <c r="F2220" s="42"/>
      <c r="G2220" s="43"/>
      <c r="H2220" s="37"/>
      <c r="I2220" s="37"/>
      <c r="J2220" s="38"/>
      <c r="K2220" s="37"/>
      <c r="L2220" s="38"/>
      <c r="M2220" s="39"/>
      <c r="P2220" s="37"/>
      <c r="Q2220" s="37"/>
      <c r="R2220" s="37"/>
      <c r="S2220" s="37"/>
      <c r="T2220" s="37"/>
      <c r="U2220" s="37"/>
      <c r="V2220" s="37"/>
      <c r="W2220" s="37"/>
      <c r="X2220" s="37"/>
      <c r="Y2220" s="37"/>
      <c r="Z2220" s="37"/>
      <c r="AA2220" s="37"/>
      <c r="AB2220" s="37"/>
      <c r="AC2220" s="37"/>
      <c r="AD2220" s="37"/>
      <c r="AE2220" s="37"/>
      <c r="AF2220" s="37"/>
      <c r="AG2220" s="37"/>
      <c r="AH2220" s="37"/>
      <c r="AI2220" s="37"/>
      <c r="AJ2220" s="37"/>
      <c r="AK2220" s="37"/>
      <c r="AL2220" s="37"/>
      <c r="AM2220" s="37"/>
      <c r="AN2220" s="37"/>
      <c r="AO2220" s="37"/>
      <c r="AP2220" s="37"/>
      <c r="AQ2220" s="37"/>
      <c r="AR2220" s="37"/>
      <c r="AS2220" s="37"/>
      <c r="AT2220" s="37"/>
      <c r="AU2220" s="37"/>
      <c r="AV2220" s="37"/>
      <c r="AW2220" s="37"/>
      <c r="AX2220" s="37"/>
      <c r="AY2220" s="37"/>
      <c r="AZ2220" s="37"/>
      <c r="BA2220" s="37"/>
      <c r="BB2220" s="37"/>
      <c r="BC2220" s="37"/>
      <c r="BD2220" s="37"/>
      <c r="BE2220" s="37"/>
      <c r="BF2220" s="37"/>
      <c r="BG2220" s="37"/>
      <c r="BH2220" s="37"/>
      <c r="BI2220" s="37"/>
      <c r="BJ2220" s="37"/>
      <c r="BK2220" s="37"/>
      <c r="BL2220" s="37"/>
      <c r="BM2220" s="37"/>
    </row>
    <row r="2221" spans="1:65" s="40" customFormat="1" ht="23.25" x14ac:dyDescent="0.35">
      <c r="A2221" s="37"/>
      <c r="B2221" s="37"/>
      <c r="C2221" s="41"/>
      <c r="D2221" s="38"/>
      <c r="E2221" s="57"/>
      <c r="F2221" s="42"/>
      <c r="G2221" s="43"/>
      <c r="H2221" s="37"/>
      <c r="I2221" s="37"/>
      <c r="J2221" s="38"/>
      <c r="K2221" s="37"/>
      <c r="L2221" s="38"/>
      <c r="M2221" s="39"/>
      <c r="P2221" s="37"/>
      <c r="Q2221" s="37"/>
      <c r="R2221" s="37"/>
      <c r="S2221" s="37"/>
      <c r="T2221" s="37"/>
      <c r="U2221" s="37"/>
      <c r="V2221" s="37"/>
      <c r="W2221" s="37"/>
      <c r="X2221" s="37"/>
      <c r="Y2221" s="37"/>
      <c r="Z2221" s="37"/>
      <c r="AA2221" s="37"/>
      <c r="AB2221" s="37"/>
      <c r="AC2221" s="37"/>
      <c r="AD2221" s="37"/>
      <c r="AE2221" s="37"/>
      <c r="AF2221" s="37"/>
      <c r="AG2221" s="37"/>
      <c r="AH2221" s="37"/>
      <c r="AI2221" s="37"/>
      <c r="AJ2221" s="37"/>
      <c r="AK2221" s="37"/>
      <c r="AL2221" s="37"/>
      <c r="AM2221" s="37"/>
      <c r="AN2221" s="37"/>
      <c r="AO2221" s="37"/>
      <c r="AP2221" s="37"/>
      <c r="AQ2221" s="37"/>
      <c r="AR2221" s="37"/>
      <c r="AS2221" s="37"/>
      <c r="AT2221" s="37"/>
      <c r="AU2221" s="37"/>
      <c r="AV2221" s="37"/>
      <c r="AW2221" s="37"/>
      <c r="AX2221" s="37"/>
      <c r="AY2221" s="37"/>
      <c r="AZ2221" s="37"/>
      <c r="BA2221" s="37"/>
      <c r="BB2221" s="37"/>
      <c r="BC2221" s="37"/>
      <c r="BD2221" s="37"/>
      <c r="BE2221" s="37"/>
      <c r="BF2221" s="37"/>
      <c r="BG2221" s="37"/>
      <c r="BH2221" s="37"/>
      <c r="BI2221" s="37"/>
      <c r="BJ2221" s="37"/>
      <c r="BK2221" s="37"/>
      <c r="BL2221" s="37"/>
      <c r="BM2221" s="37"/>
    </row>
    <row r="2222" spans="1:65" s="40" customFormat="1" ht="23.25" x14ac:dyDescent="0.35">
      <c r="A2222" s="37"/>
      <c r="B2222" s="37"/>
      <c r="C2222" s="41"/>
      <c r="D2222" s="38"/>
      <c r="E2222" s="57"/>
      <c r="F2222" s="42"/>
      <c r="G2222" s="43"/>
      <c r="H2222" s="37"/>
      <c r="I2222" s="37"/>
      <c r="J2222" s="38"/>
      <c r="K2222" s="37"/>
      <c r="L2222" s="38"/>
      <c r="M2222" s="39"/>
      <c r="P2222" s="37"/>
      <c r="Q2222" s="37"/>
      <c r="R2222" s="37"/>
      <c r="S2222" s="37"/>
      <c r="T2222" s="37"/>
      <c r="U2222" s="37"/>
      <c r="V2222" s="37"/>
      <c r="W2222" s="37"/>
      <c r="X2222" s="37"/>
      <c r="Y2222" s="37"/>
      <c r="Z2222" s="37"/>
      <c r="AA2222" s="37"/>
      <c r="AB2222" s="37"/>
      <c r="AC2222" s="37"/>
      <c r="AD2222" s="37"/>
      <c r="AE2222" s="37"/>
      <c r="AF2222" s="37"/>
      <c r="AG2222" s="37"/>
      <c r="AH2222" s="37"/>
      <c r="AI2222" s="37"/>
      <c r="AJ2222" s="37"/>
      <c r="AK2222" s="37"/>
      <c r="AL2222" s="37"/>
      <c r="AM2222" s="37"/>
      <c r="AN2222" s="37"/>
      <c r="AO2222" s="37"/>
      <c r="AP2222" s="37"/>
      <c r="AQ2222" s="37"/>
      <c r="AR2222" s="37"/>
      <c r="AS2222" s="37"/>
      <c r="AT2222" s="37"/>
      <c r="AU2222" s="37"/>
      <c r="AV2222" s="37"/>
      <c r="AW2222" s="37"/>
      <c r="AX2222" s="37"/>
      <c r="AY2222" s="37"/>
      <c r="AZ2222" s="37"/>
      <c r="BA2222" s="37"/>
      <c r="BB2222" s="37"/>
      <c r="BC2222" s="37"/>
      <c r="BD2222" s="37"/>
      <c r="BE2222" s="37"/>
      <c r="BF2222" s="37"/>
      <c r="BG2222" s="37"/>
      <c r="BH2222" s="37"/>
      <c r="BI2222" s="37"/>
      <c r="BJ2222" s="37"/>
      <c r="BK2222" s="37"/>
      <c r="BL2222" s="37"/>
      <c r="BM2222" s="37"/>
    </row>
    <row r="2223" spans="1:65" s="40" customFormat="1" ht="23.25" x14ac:dyDescent="0.35">
      <c r="A2223" s="37"/>
      <c r="B2223" s="37"/>
      <c r="C2223" s="41"/>
      <c r="D2223" s="38"/>
      <c r="E2223" s="57"/>
      <c r="F2223" s="42"/>
      <c r="G2223" s="43"/>
      <c r="H2223" s="37"/>
      <c r="I2223" s="37"/>
      <c r="J2223" s="38"/>
      <c r="K2223" s="37"/>
      <c r="L2223" s="38"/>
      <c r="M2223" s="39"/>
      <c r="P2223" s="37"/>
      <c r="Q2223" s="37"/>
      <c r="R2223" s="37"/>
      <c r="S2223" s="37"/>
      <c r="T2223" s="37"/>
      <c r="U2223" s="37"/>
      <c r="V2223" s="37"/>
      <c r="W2223" s="37"/>
      <c r="X2223" s="37"/>
      <c r="Y2223" s="37"/>
      <c r="Z2223" s="37"/>
      <c r="AA2223" s="37"/>
      <c r="AB2223" s="37"/>
      <c r="AC2223" s="37"/>
      <c r="AD2223" s="37"/>
      <c r="AE2223" s="37"/>
      <c r="AF2223" s="37"/>
      <c r="AG2223" s="37"/>
      <c r="AH2223" s="37"/>
      <c r="AI2223" s="37"/>
      <c r="AJ2223" s="37"/>
      <c r="AK2223" s="37"/>
      <c r="AL2223" s="37"/>
      <c r="AM2223" s="37"/>
      <c r="AN2223" s="37"/>
      <c r="AO2223" s="37"/>
      <c r="AP2223" s="37"/>
      <c r="AQ2223" s="37"/>
      <c r="AR2223" s="37"/>
      <c r="AS2223" s="37"/>
      <c r="AT2223" s="37"/>
      <c r="AU2223" s="37"/>
      <c r="AV2223" s="37"/>
      <c r="AW2223" s="37"/>
      <c r="AX2223" s="37"/>
      <c r="AY2223" s="37"/>
      <c r="AZ2223" s="37"/>
      <c r="BA2223" s="37"/>
      <c r="BB2223" s="37"/>
      <c r="BC2223" s="37"/>
      <c r="BD2223" s="37"/>
      <c r="BE2223" s="37"/>
      <c r="BF2223" s="37"/>
      <c r="BG2223" s="37"/>
      <c r="BH2223" s="37"/>
      <c r="BI2223" s="37"/>
      <c r="BJ2223" s="37"/>
      <c r="BK2223" s="37"/>
      <c r="BL2223" s="37"/>
      <c r="BM2223" s="37"/>
    </row>
    <row r="2224" spans="1:65" s="40" customFormat="1" ht="23.25" x14ac:dyDescent="0.35">
      <c r="A2224" s="37"/>
      <c r="B2224" s="37"/>
      <c r="C2224" s="41"/>
      <c r="D2224" s="38"/>
      <c r="E2224" s="57"/>
      <c r="F2224" s="42"/>
      <c r="G2224" s="43"/>
      <c r="H2224" s="37"/>
      <c r="I2224" s="37"/>
      <c r="J2224" s="38"/>
      <c r="K2224" s="37"/>
      <c r="L2224" s="38"/>
      <c r="M2224" s="39"/>
      <c r="P2224" s="37"/>
      <c r="Q2224" s="37"/>
      <c r="R2224" s="37"/>
      <c r="S2224" s="37"/>
      <c r="T2224" s="37"/>
      <c r="U2224" s="37"/>
      <c r="V2224" s="37"/>
      <c r="W2224" s="37"/>
      <c r="X2224" s="37"/>
      <c r="Y2224" s="37"/>
      <c r="Z2224" s="37"/>
      <c r="AA2224" s="37"/>
      <c r="AB2224" s="37"/>
      <c r="AC2224" s="37"/>
      <c r="AD2224" s="37"/>
      <c r="AE2224" s="37"/>
      <c r="AF2224" s="37"/>
      <c r="AG2224" s="37"/>
      <c r="AH2224" s="37"/>
      <c r="AI2224" s="37"/>
      <c r="AJ2224" s="37"/>
      <c r="AK2224" s="37"/>
      <c r="AL2224" s="37"/>
      <c r="AM2224" s="37"/>
      <c r="AN2224" s="37"/>
      <c r="AO2224" s="37"/>
      <c r="AP2224" s="37"/>
      <c r="AQ2224" s="37"/>
      <c r="AR2224" s="37"/>
      <c r="AS2224" s="37"/>
      <c r="AT2224" s="37"/>
      <c r="AU2224" s="37"/>
      <c r="AV2224" s="37"/>
      <c r="AW2224" s="37"/>
      <c r="AX2224" s="37"/>
      <c r="AY2224" s="37"/>
      <c r="AZ2224" s="37"/>
      <c r="BA2224" s="37"/>
      <c r="BB2224" s="37"/>
      <c r="BC2224" s="37"/>
      <c r="BD2224" s="37"/>
      <c r="BE2224" s="37"/>
      <c r="BF2224" s="37"/>
      <c r="BG2224" s="37"/>
      <c r="BH2224" s="37"/>
      <c r="BI2224" s="37"/>
      <c r="BJ2224" s="37"/>
      <c r="BK2224" s="37"/>
      <c r="BL2224" s="37"/>
      <c r="BM2224" s="37"/>
    </row>
    <row r="2225" spans="1:65" s="40" customFormat="1" ht="23.25" x14ac:dyDescent="0.35">
      <c r="A2225" s="37"/>
      <c r="B2225" s="37"/>
      <c r="C2225" s="41"/>
      <c r="D2225" s="38"/>
      <c r="E2225" s="57"/>
      <c r="F2225" s="42"/>
      <c r="G2225" s="43"/>
      <c r="H2225" s="37"/>
      <c r="I2225" s="37"/>
      <c r="J2225" s="38"/>
      <c r="K2225" s="37"/>
      <c r="L2225" s="38"/>
      <c r="M2225" s="39"/>
      <c r="P2225" s="37"/>
      <c r="Q2225" s="37"/>
      <c r="R2225" s="37"/>
      <c r="S2225" s="37"/>
      <c r="T2225" s="37"/>
      <c r="U2225" s="37"/>
      <c r="V2225" s="37"/>
      <c r="W2225" s="37"/>
      <c r="X2225" s="37"/>
      <c r="Y2225" s="37"/>
      <c r="Z2225" s="37"/>
      <c r="AA2225" s="37"/>
      <c r="AB2225" s="37"/>
      <c r="AC2225" s="37"/>
      <c r="AD2225" s="37"/>
      <c r="AE2225" s="37"/>
      <c r="AF2225" s="37"/>
      <c r="AG2225" s="37"/>
      <c r="AH2225" s="37"/>
      <c r="AI2225" s="37"/>
      <c r="AJ2225" s="37"/>
      <c r="AK2225" s="37"/>
      <c r="AL2225" s="37"/>
      <c r="AM2225" s="37"/>
      <c r="AN2225" s="37"/>
      <c r="AO2225" s="37"/>
      <c r="AP2225" s="37"/>
      <c r="AQ2225" s="37"/>
      <c r="AR2225" s="37"/>
      <c r="AS2225" s="37"/>
      <c r="AT2225" s="37"/>
      <c r="AU2225" s="37"/>
      <c r="AV2225" s="37"/>
      <c r="AW2225" s="37"/>
      <c r="AX2225" s="37"/>
      <c r="AY2225" s="37"/>
      <c r="AZ2225" s="37"/>
      <c r="BA2225" s="37"/>
      <c r="BB2225" s="37"/>
      <c r="BC2225" s="37"/>
      <c r="BD2225" s="37"/>
      <c r="BE2225" s="37"/>
      <c r="BF2225" s="37"/>
      <c r="BG2225" s="37"/>
      <c r="BH2225" s="37"/>
      <c r="BI2225" s="37"/>
      <c r="BJ2225" s="37"/>
      <c r="BK2225" s="37"/>
      <c r="BL2225" s="37"/>
      <c r="BM2225" s="37"/>
    </row>
    <row r="2226" spans="1:65" s="40" customFormat="1" ht="23.25" x14ac:dyDescent="0.35">
      <c r="A2226" s="37"/>
      <c r="B2226" s="37"/>
      <c r="C2226" s="41"/>
      <c r="D2226" s="38"/>
      <c r="E2226" s="57"/>
      <c r="F2226" s="42"/>
      <c r="G2226" s="43"/>
      <c r="H2226" s="37"/>
      <c r="I2226" s="37"/>
      <c r="J2226" s="38"/>
      <c r="K2226" s="37"/>
      <c r="L2226" s="38"/>
      <c r="M2226" s="39"/>
      <c r="P2226" s="37"/>
      <c r="Q2226" s="37"/>
      <c r="R2226" s="37"/>
      <c r="S2226" s="37"/>
      <c r="T2226" s="37"/>
      <c r="U2226" s="37"/>
      <c r="V2226" s="37"/>
      <c r="W2226" s="37"/>
      <c r="X2226" s="37"/>
      <c r="Y2226" s="37"/>
      <c r="Z2226" s="37"/>
      <c r="AA2226" s="37"/>
      <c r="AB2226" s="37"/>
      <c r="AC2226" s="37"/>
      <c r="AD2226" s="37"/>
      <c r="AE2226" s="37"/>
      <c r="AF2226" s="37"/>
      <c r="AG2226" s="37"/>
      <c r="AH2226" s="37"/>
      <c r="AI2226" s="37"/>
      <c r="AJ2226" s="37"/>
      <c r="AK2226" s="37"/>
      <c r="AL2226" s="37"/>
      <c r="AM2226" s="37"/>
      <c r="AN2226" s="37"/>
      <c r="AO2226" s="37"/>
      <c r="AP2226" s="37"/>
      <c r="AQ2226" s="37"/>
      <c r="AR2226" s="37"/>
      <c r="AS2226" s="37"/>
      <c r="AT2226" s="37"/>
      <c r="AU2226" s="37"/>
      <c r="AV2226" s="37"/>
      <c r="AW2226" s="37"/>
      <c r="AX2226" s="37"/>
      <c r="AY2226" s="37"/>
      <c r="AZ2226" s="37"/>
      <c r="BA2226" s="37"/>
      <c r="BB2226" s="37"/>
      <c r="BC2226" s="37"/>
      <c r="BD2226" s="37"/>
      <c r="BE2226" s="37"/>
      <c r="BF2226" s="37"/>
      <c r="BG2226" s="37"/>
      <c r="BH2226" s="37"/>
      <c r="BI2226" s="37"/>
      <c r="BJ2226" s="37"/>
      <c r="BK2226" s="37"/>
      <c r="BL2226" s="37"/>
      <c r="BM2226" s="37"/>
    </row>
    <row r="2227" spans="1:65" s="40" customFormat="1" ht="23.25" x14ac:dyDescent="0.35">
      <c r="A2227" s="37"/>
      <c r="B2227" s="37"/>
      <c r="C2227" s="41"/>
      <c r="D2227" s="38"/>
      <c r="E2227" s="57"/>
      <c r="F2227" s="42"/>
      <c r="G2227" s="43"/>
      <c r="H2227" s="37"/>
      <c r="I2227" s="37"/>
      <c r="J2227" s="38"/>
      <c r="K2227" s="37"/>
      <c r="L2227" s="38"/>
      <c r="M2227" s="39"/>
      <c r="P2227" s="37"/>
      <c r="Q2227" s="37"/>
      <c r="R2227" s="37"/>
      <c r="S2227" s="37"/>
      <c r="T2227" s="37"/>
      <c r="U2227" s="37"/>
      <c r="V2227" s="37"/>
      <c r="W2227" s="37"/>
      <c r="X2227" s="37"/>
      <c r="Y2227" s="37"/>
      <c r="Z2227" s="37"/>
      <c r="AA2227" s="37"/>
      <c r="AB2227" s="37"/>
      <c r="AC2227" s="37"/>
      <c r="AD2227" s="37"/>
      <c r="AE2227" s="37"/>
      <c r="AF2227" s="37"/>
      <c r="AG2227" s="37"/>
      <c r="AH2227" s="37"/>
      <c r="AI2227" s="37"/>
      <c r="AJ2227" s="37"/>
      <c r="AK2227" s="37"/>
      <c r="AL2227" s="37"/>
      <c r="AM2227" s="37"/>
      <c r="AN2227" s="37"/>
      <c r="AO2227" s="37"/>
      <c r="AP2227" s="37"/>
      <c r="AQ2227" s="37"/>
      <c r="AR2227" s="37"/>
      <c r="AS2227" s="37"/>
      <c r="AT2227" s="37"/>
      <c r="AU2227" s="37"/>
      <c r="AV2227" s="37"/>
      <c r="AW2227" s="37"/>
      <c r="AX2227" s="37"/>
      <c r="AY2227" s="37"/>
      <c r="AZ2227" s="37"/>
      <c r="BA2227" s="37"/>
      <c r="BB2227" s="37"/>
      <c r="BC2227" s="37"/>
      <c r="BD2227" s="37"/>
      <c r="BE2227" s="37"/>
      <c r="BF2227" s="37"/>
      <c r="BG2227" s="37"/>
      <c r="BH2227" s="37"/>
      <c r="BI2227" s="37"/>
      <c r="BJ2227" s="37"/>
      <c r="BK2227" s="37"/>
      <c r="BL2227" s="37"/>
      <c r="BM2227" s="37"/>
    </row>
    <row r="2228" spans="1:65" s="40" customFormat="1" ht="23.25" x14ac:dyDescent="0.35">
      <c r="A2228" s="37"/>
      <c r="B2228" s="37"/>
      <c r="C2228" s="41"/>
      <c r="D2228" s="38"/>
      <c r="E2228" s="57"/>
      <c r="F2228" s="42"/>
      <c r="G2228" s="43"/>
      <c r="H2228" s="37"/>
      <c r="I2228" s="37"/>
      <c r="J2228" s="38"/>
      <c r="K2228" s="37"/>
      <c r="L2228" s="38"/>
      <c r="M2228" s="39"/>
      <c r="P2228" s="37"/>
      <c r="Q2228" s="37"/>
      <c r="R2228" s="37"/>
      <c r="S2228" s="37"/>
      <c r="T2228" s="37"/>
      <c r="U2228" s="37"/>
      <c r="V2228" s="37"/>
      <c r="W2228" s="37"/>
      <c r="X2228" s="37"/>
      <c r="Y2228" s="37"/>
      <c r="Z2228" s="37"/>
      <c r="AA2228" s="37"/>
      <c r="AB2228" s="37"/>
      <c r="AC2228" s="37"/>
      <c r="AD2228" s="37"/>
      <c r="AE2228" s="37"/>
      <c r="AF2228" s="37"/>
      <c r="AG2228" s="37"/>
      <c r="AH2228" s="37"/>
      <c r="AI2228" s="37"/>
      <c r="AJ2228" s="37"/>
      <c r="AK2228" s="37"/>
      <c r="AL2228" s="37"/>
      <c r="AM2228" s="37"/>
      <c r="AN2228" s="37"/>
      <c r="AO2228" s="37"/>
      <c r="AP2228" s="37"/>
      <c r="AQ2228" s="37"/>
      <c r="AR2228" s="37"/>
      <c r="AS2228" s="37"/>
      <c r="AT2228" s="37"/>
      <c r="AU2228" s="37"/>
      <c r="AV2228" s="37"/>
      <c r="AW2228" s="37"/>
      <c r="AX2228" s="37"/>
      <c r="AY2228" s="37"/>
      <c r="AZ2228" s="37"/>
      <c r="BA2228" s="37"/>
      <c r="BB2228" s="37"/>
      <c r="BC2228" s="37"/>
      <c r="BD2228" s="37"/>
      <c r="BE2228" s="37"/>
      <c r="BF2228" s="37"/>
      <c r="BG2228" s="37"/>
      <c r="BH2228" s="37"/>
      <c r="BI2228" s="37"/>
      <c r="BJ2228" s="37"/>
      <c r="BK2228" s="37"/>
      <c r="BL2228" s="37"/>
      <c r="BM2228" s="37"/>
    </row>
    <row r="2229" spans="1:65" s="40" customFormat="1" ht="23.25" x14ac:dyDescent="0.35">
      <c r="A2229" s="37"/>
      <c r="B2229" s="37"/>
      <c r="C2229" s="41"/>
      <c r="D2229" s="38"/>
      <c r="E2229" s="57"/>
      <c r="F2229" s="42"/>
      <c r="G2229" s="43"/>
      <c r="H2229" s="37"/>
      <c r="I2229" s="37"/>
      <c r="J2229" s="38"/>
      <c r="K2229" s="37"/>
      <c r="L2229" s="38"/>
      <c r="M2229" s="39"/>
      <c r="P2229" s="37"/>
      <c r="Q2229" s="37"/>
      <c r="R2229" s="37"/>
      <c r="S2229" s="37"/>
      <c r="T2229" s="37"/>
      <c r="U2229" s="37"/>
      <c r="V2229" s="37"/>
      <c r="W2229" s="37"/>
      <c r="X2229" s="37"/>
      <c r="Y2229" s="37"/>
      <c r="Z2229" s="37"/>
      <c r="AA2229" s="37"/>
      <c r="AB2229" s="37"/>
      <c r="AC2229" s="37"/>
      <c r="AD2229" s="37"/>
      <c r="AE2229" s="37"/>
      <c r="AF2229" s="37"/>
      <c r="AG2229" s="37"/>
      <c r="AH2229" s="37"/>
      <c r="AI2229" s="37"/>
      <c r="AJ2229" s="37"/>
      <c r="AK2229" s="37"/>
      <c r="AL2229" s="37"/>
      <c r="AM2229" s="37"/>
      <c r="AN2229" s="37"/>
      <c r="AO2229" s="37"/>
      <c r="AP2229" s="37"/>
      <c r="AQ2229" s="37"/>
      <c r="AR2229" s="37"/>
      <c r="AS2229" s="37"/>
      <c r="AT2229" s="37"/>
      <c r="AU2229" s="37"/>
      <c r="AV2229" s="37"/>
      <c r="AW2229" s="37"/>
      <c r="AX2229" s="37"/>
      <c r="AY2229" s="37"/>
      <c r="AZ2229" s="37"/>
      <c r="BA2229" s="37"/>
      <c r="BB2229" s="37"/>
      <c r="BC2229" s="37"/>
      <c r="BD2229" s="37"/>
      <c r="BE2229" s="37"/>
      <c r="BF2229" s="37"/>
      <c r="BG2229" s="37"/>
      <c r="BH2229" s="37"/>
      <c r="BI2229" s="37"/>
      <c r="BJ2229" s="37"/>
      <c r="BK2229" s="37"/>
      <c r="BL2229" s="37"/>
      <c r="BM2229" s="37"/>
    </row>
    <row r="2230" spans="1:65" s="40" customFormat="1" ht="23.25" x14ac:dyDescent="0.35">
      <c r="A2230" s="37"/>
      <c r="B2230" s="37"/>
      <c r="C2230" s="41"/>
      <c r="D2230" s="38"/>
      <c r="E2230" s="57"/>
      <c r="F2230" s="42"/>
      <c r="G2230" s="43"/>
      <c r="H2230" s="37"/>
      <c r="I2230" s="37"/>
      <c r="J2230" s="38"/>
      <c r="K2230" s="37"/>
      <c r="L2230" s="38"/>
      <c r="M2230" s="39"/>
      <c r="P2230" s="37"/>
      <c r="Q2230" s="37"/>
      <c r="R2230" s="37"/>
      <c r="S2230" s="37"/>
      <c r="T2230" s="37"/>
      <c r="U2230" s="37"/>
      <c r="V2230" s="37"/>
      <c r="W2230" s="37"/>
      <c r="X2230" s="37"/>
      <c r="Y2230" s="37"/>
      <c r="Z2230" s="37"/>
      <c r="AA2230" s="37"/>
      <c r="AB2230" s="37"/>
      <c r="AC2230" s="37"/>
      <c r="AD2230" s="37"/>
      <c r="AE2230" s="37"/>
      <c r="AF2230" s="37"/>
      <c r="AG2230" s="37"/>
      <c r="AH2230" s="37"/>
      <c r="AI2230" s="37"/>
      <c r="AJ2230" s="37"/>
      <c r="AK2230" s="37"/>
      <c r="AL2230" s="37"/>
      <c r="AM2230" s="37"/>
      <c r="AN2230" s="37"/>
      <c r="AO2230" s="37"/>
      <c r="AP2230" s="37"/>
      <c r="AQ2230" s="37"/>
      <c r="AR2230" s="37"/>
      <c r="AS2230" s="37"/>
      <c r="AT2230" s="37"/>
      <c r="AU2230" s="37"/>
      <c r="AV2230" s="37"/>
      <c r="AW2230" s="37"/>
      <c r="AX2230" s="37"/>
      <c r="AY2230" s="37"/>
      <c r="AZ2230" s="37"/>
      <c r="BA2230" s="37"/>
      <c r="BB2230" s="37"/>
      <c r="BC2230" s="37"/>
      <c r="BD2230" s="37"/>
      <c r="BE2230" s="37"/>
      <c r="BF2230" s="37"/>
      <c r="BG2230" s="37"/>
      <c r="BH2230" s="37"/>
      <c r="BI2230" s="37"/>
      <c r="BJ2230" s="37"/>
      <c r="BK2230" s="37"/>
      <c r="BL2230" s="37"/>
      <c r="BM2230" s="37"/>
    </row>
    <row r="2231" spans="1:65" s="40" customFormat="1" ht="23.25" x14ac:dyDescent="0.35">
      <c r="A2231" s="37"/>
      <c r="B2231" s="37"/>
      <c r="C2231" s="41"/>
      <c r="D2231" s="38"/>
      <c r="E2231" s="57"/>
      <c r="F2231" s="42"/>
      <c r="G2231" s="43"/>
      <c r="H2231" s="37"/>
      <c r="I2231" s="37"/>
      <c r="J2231" s="38"/>
      <c r="K2231" s="37"/>
      <c r="L2231" s="38"/>
      <c r="M2231" s="39"/>
      <c r="P2231" s="37"/>
      <c r="Q2231" s="37"/>
      <c r="R2231" s="37"/>
      <c r="S2231" s="37"/>
      <c r="T2231" s="37"/>
      <c r="U2231" s="37"/>
      <c r="V2231" s="37"/>
      <c r="W2231" s="37"/>
      <c r="X2231" s="37"/>
      <c r="Y2231" s="37"/>
      <c r="Z2231" s="37"/>
      <c r="AA2231" s="37"/>
      <c r="AB2231" s="37"/>
      <c r="AC2231" s="37"/>
      <c r="AD2231" s="37"/>
      <c r="AE2231" s="37"/>
      <c r="AF2231" s="37"/>
      <c r="AG2231" s="37"/>
      <c r="AH2231" s="37"/>
      <c r="AI2231" s="37"/>
      <c r="AJ2231" s="37"/>
      <c r="AK2231" s="37"/>
      <c r="AL2231" s="37"/>
      <c r="AM2231" s="37"/>
      <c r="AN2231" s="37"/>
      <c r="AO2231" s="37"/>
      <c r="AP2231" s="37"/>
      <c r="AQ2231" s="37"/>
      <c r="AR2231" s="37"/>
      <c r="AS2231" s="37"/>
      <c r="AT2231" s="37"/>
      <c r="AU2231" s="37"/>
      <c r="AV2231" s="37"/>
      <c r="AW2231" s="37"/>
      <c r="AX2231" s="37"/>
      <c r="AY2231" s="37"/>
      <c r="AZ2231" s="37"/>
      <c r="BA2231" s="37"/>
      <c r="BB2231" s="37"/>
      <c r="BC2231" s="37"/>
      <c r="BD2231" s="37"/>
      <c r="BE2231" s="37"/>
      <c r="BF2231" s="37"/>
      <c r="BG2231" s="37"/>
      <c r="BH2231" s="37"/>
      <c r="BI2231" s="37"/>
      <c r="BJ2231" s="37"/>
      <c r="BK2231" s="37"/>
      <c r="BL2231" s="37"/>
      <c r="BM2231" s="37"/>
    </row>
    <row r="2232" spans="1:65" s="40" customFormat="1" ht="23.25" x14ac:dyDescent="0.35">
      <c r="A2232" s="37"/>
      <c r="B2232" s="37"/>
      <c r="C2232" s="41"/>
      <c r="D2232" s="38"/>
      <c r="E2232" s="57"/>
      <c r="F2232" s="42"/>
      <c r="G2232" s="43"/>
      <c r="H2232" s="37"/>
      <c r="I2232" s="37"/>
      <c r="J2232" s="38"/>
      <c r="K2232" s="37"/>
      <c r="L2232" s="38"/>
      <c r="M2232" s="39"/>
      <c r="P2232" s="37"/>
      <c r="Q2232" s="37"/>
      <c r="R2232" s="37"/>
      <c r="S2232" s="37"/>
      <c r="T2232" s="37"/>
      <c r="U2232" s="37"/>
      <c r="V2232" s="37"/>
      <c r="W2232" s="37"/>
      <c r="X2232" s="37"/>
      <c r="Y2232" s="37"/>
      <c r="Z2232" s="37"/>
      <c r="AA2232" s="37"/>
      <c r="AB2232" s="37"/>
      <c r="AC2232" s="37"/>
      <c r="AD2232" s="37"/>
      <c r="AE2232" s="37"/>
      <c r="AF2232" s="37"/>
      <c r="AG2232" s="37"/>
      <c r="AH2232" s="37"/>
      <c r="AI2232" s="37"/>
      <c r="AJ2232" s="37"/>
      <c r="AK2232" s="37"/>
      <c r="AL2232" s="37"/>
      <c r="AM2232" s="37"/>
      <c r="AN2232" s="37"/>
      <c r="AO2232" s="37"/>
      <c r="AP2232" s="37"/>
      <c r="AQ2232" s="37"/>
      <c r="AR2232" s="37"/>
      <c r="AS2232" s="37"/>
      <c r="AT2232" s="37"/>
      <c r="AU2232" s="37"/>
      <c r="AV2232" s="37"/>
      <c r="AW2232" s="37"/>
      <c r="AX2232" s="37"/>
      <c r="AY2232" s="37"/>
      <c r="AZ2232" s="37"/>
      <c r="BA2232" s="37"/>
      <c r="BB2232" s="37"/>
      <c r="BC2232" s="37"/>
      <c r="BD2232" s="37"/>
      <c r="BE2232" s="37"/>
      <c r="BF2232" s="37"/>
      <c r="BG2232" s="37"/>
      <c r="BH2232" s="37"/>
      <c r="BI2232" s="37"/>
      <c r="BJ2232" s="37"/>
      <c r="BK2232" s="37"/>
      <c r="BL2232" s="37"/>
      <c r="BM2232" s="37"/>
    </row>
    <row r="2233" spans="1:65" s="40" customFormat="1" ht="23.25" x14ac:dyDescent="0.35">
      <c r="A2233" s="37"/>
      <c r="B2233" s="37"/>
      <c r="C2233" s="41"/>
      <c r="D2233" s="38"/>
      <c r="E2233" s="57"/>
      <c r="F2233" s="42"/>
      <c r="G2233" s="43"/>
      <c r="H2233" s="37"/>
      <c r="I2233" s="37"/>
      <c r="J2233" s="38"/>
      <c r="K2233" s="37"/>
      <c r="L2233" s="38"/>
      <c r="M2233" s="39"/>
      <c r="P2233" s="37"/>
      <c r="Q2233" s="37"/>
      <c r="R2233" s="37"/>
      <c r="S2233" s="37"/>
      <c r="T2233" s="37"/>
      <c r="U2233" s="37"/>
      <c r="V2233" s="37"/>
      <c r="W2233" s="37"/>
      <c r="X2233" s="37"/>
      <c r="Y2233" s="37"/>
      <c r="Z2233" s="37"/>
      <c r="AA2233" s="37"/>
      <c r="AB2233" s="37"/>
      <c r="AC2233" s="37"/>
      <c r="AD2233" s="37"/>
      <c r="AE2233" s="37"/>
      <c r="AF2233" s="37"/>
      <c r="AG2233" s="37"/>
      <c r="AH2233" s="37"/>
      <c r="AI2233" s="37"/>
      <c r="AJ2233" s="37"/>
      <c r="AK2233" s="37"/>
      <c r="AL2233" s="37"/>
      <c r="AM2233" s="37"/>
      <c r="AN2233" s="37"/>
      <c r="AO2233" s="37"/>
      <c r="AP2233" s="37"/>
      <c r="AQ2233" s="37"/>
      <c r="AR2233" s="37"/>
      <c r="AS2233" s="37"/>
      <c r="AT2233" s="37"/>
      <c r="AU2233" s="37"/>
      <c r="AV2233" s="37"/>
      <c r="AW2233" s="37"/>
      <c r="AX2233" s="37"/>
      <c r="AY2233" s="37"/>
      <c r="AZ2233" s="37"/>
      <c r="BA2233" s="37"/>
      <c r="BB2233" s="37"/>
      <c r="BC2233" s="37"/>
      <c r="BD2233" s="37"/>
      <c r="BE2233" s="37"/>
      <c r="BF2233" s="37"/>
      <c r="BG2233" s="37"/>
      <c r="BH2233" s="37"/>
      <c r="BI2233" s="37"/>
      <c r="BJ2233" s="37"/>
      <c r="BK2233" s="37"/>
      <c r="BL2233" s="37"/>
      <c r="BM2233" s="37"/>
    </row>
    <row r="2234" spans="1:65" s="40" customFormat="1" ht="23.25" x14ac:dyDescent="0.35">
      <c r="A2234" s="37"/>
      <c r="B2234" s="37"/>
      <c r="C2234" s="41"/>
      <c r="D2234" s="38"/>
      <c r="E2234" s="57"/>
      <c r="F2234" s="42"/>
      <c r="G2234" s="43"/>
      <c r="H2234" s="37"/>
      <c r="I2234" s="37"/>
      <c r="J2234" s="38"/>
      <c r="K2234" s="37"/>
      <c r="L2234" s="38"/>
      <c r="M2234" s="39"/>
      <c r="P2234" s="37"/>
      <c r="Q2234" s="37"/>
      <c r="R2234" s="37"/>
      <c r="S2234" s="37"/>
      <c r="T2234" s="37"/>
      <c r="U2234" s="37"/>
      <c r="V2234" s="37"/>
      <c r="W2234" s="37"/>
      <c r="X2234" s="37"/>
      <c r="Y2234" s="37"/>
      <c r="Z2234" s="37"/>
      <c r="AA2234" s="37"/>
      <c r="AB2234" s="37"/>
      <c r="AC2234" s="37"/>
      <c r="AD2234" s="37"/>
      <c r="AE2234" s="37"/>
      <c r="AF2234" s="37"/>
      <c r="AG2234" s="37"/>
      <c r="AH2234" s="37"/>
      <c r="AI2234" s="37"/>
      <c r="AJ2234" s="37"/>
      <c r="AK2234" s="37"/>
      <c r="AL2234" s="37"/>
      <c r="AM2234" s="37"/>
      <c r="AN2234" s="37"/>
      <c r="AO2234" s="37"/>
      <c r="AP2234" s="37"/>
      <c r="AQ2234" s="37"/>
      <c r="AR2234" s="37"/>
      <c r="AS2234" s="37"/>
      <c r="AT2234" s="37"/>
      <c r="AU2234" s="37"/>
      <c r="AV2234" s="37"/>
      <c r="AW2234" s="37"/>
      <c r="AX2234" s="37"/>
      <c r="AY2234" s="37"/>
      <c r="AZ2234" s="37"/>
      <c r="BA2234" s="37"/>
      <c r="BB2234" s="37"/>
      <c r="BC2234" s="37"/>
      <c r="BD2234" s="37"/>
      <c r="BE2234" s="37"/>
      <c r="BF2234" s="37"/>
      <c r="BG2234" s="37"/>
      <c r="BH2234" s="37"/>
      <c r="BI2234" s="37"/>
      <c r="BJ2234" s="37"/>
      <c r="BK2234" s="37"/>
      <c r="BL2234" s="37"/>
      <c r="BM2234" s="37"/>
    </row>
    <row r="2235" spans="1:65" s="40" customFormat="1" ht="23.25" x14ac:dyDescent="0.35">
      <c r="A2235" s="37"/>
      <c r="B2235" s="37"/>
      <c r="C2235" s="41"/>
      <c r="D2235" s="38"/>
      <c r="E2235" s="57"/>
      <c r="F2235" s="42"/>
      <c r="G2235" s="43"/>
      <c r="H2235" s="37"/>
      <c r="I2235" s="37"/>
      <c r="J2235" s="38"/>
      <c r="K2235" s="37"/>
      <c r="L2235" s="38"/>
      <c r="M2235" s="39"/>
      <c r="P2235" s="37"/>
      <c r="Q2235" s="37"/>
      <c r="R2235" s="37"/>
      <c r="S2235" s="37"/>
      <c r="T2235" s="37"/>
      <c r="U2235" s="37"/>
      <c r="V2235" s="37"/>
      <c r="W2235" s="37"/>
      <c r="X2235" s="37"/>
      <c r="Y2235" s="37"/>
      <c r="Z2235" s="37"/>
      <c r="AA2235" s="37"/>
      <c r="AB2235" s="37"/>
      <c r="AC2235" s="37"/>
      <c r="AD2235" s="37"/>
      <c r="AE2235" s="37"/>
      <c r="AF2235" s="37"/>
      <c r="AG2235" s="37"/>
      <c r="AH2235" s="37"/>
      <c r="AI2235" s="37"/>
      <c r="AJ2235" s="37"/>
      <c r="AK2235" s="37"/>
      <c r="AL2235" s="37"/>
      <c r="AM2235" s="37"/>
      <c r="AN2235" s="37"/>
      <c r="AO2235" s="37"/>
      <c r="AP2235" s="37"/>
      <c r="AQ2235" s="37"/>
      <c r="AR2235" s="37"/>
      <c r="AS2235" s="37"/>
      <c r="AT2235" s="37"/>
      <c r="AU2235" s="37"/>
      <c r="AV2235" s="37"/>
      <c r="AW2235" s="37"/>
      <c r="AX2235" s="37"/>
      <c r="AY2235" s="37"/>
      <c r="AZ2235" s="37"/>
      <c r="BA2235" s="37"/>
      <c r="BB2235" s="37"/>
      <c r="BC2235" s="37"/>
      <c r="BD2235" s="37"/>
      <c r="BE2235" s="37"/>
      <c r="BF2235" s="37"/>
      <c r="BG2235" s="37"/>
      <c r="BH2235" s="37"/>
      <c r="BI2235" s="37"/>
      <c r="BJ2235" s="37"/>
      <c r="BK2235" s="37"/>
      <c r="BL2235" s="37"/>
      <c r="BM2235" s="37"/>
    </row>
    <row r="2236" spans="1:65" s="40" customFormat="1" ht="23.25" x14ac:dyDescent="0.35">
      <c r="A2236" s="37"/>
      <c r="B2236" s="37"/>
      <c r="C2236" s="41"/>
      <c r="D2236" s="38"/>
      <c r="E2236" s="57"/>
      <c r="F2236" s="42"/>
      <c r="G2236" s="43"/>
      <c r="H2236" s="37"/>
      <c r="I2236" s="37"/>
      <c r="J2236" s="38"/>
      <c r="K2236" s="37"/>
      <c r="L2236" s="38"/>
      <c r="M2236" s="39"/>
      <c r="P2236" s="37"/>
      <c r="Q2236" s="37"/>
      <c r="R2236" s="37"/>
      <c r="S2236" s="37"/>
      <c r="T2236" s="37"/>
      <c r="U2236" s="37"/>
      <c r="V2236" s="37"/>
      <c r="W2236" s="37"/>
      <c r="X2236" s="37"/>
      <c r="Y2236" s="37"/>
      <c r="Z2236" s="37"/>
      <c r="AA2236" s="37"/>
      <c r="AB2236" s="37"/>
      <c r="AC2236" s="37"/>
      <c r="AD2236" s="37"/>
      <c r="AE2236" s="37"/>
      <c r="AF2236" s="37"/>
      <c r="AG2236" s="37"/>
      <c r="AH2236" s="37"/>
      <c r="AI2236" s="37"/>
      <c r="AJ2236" s="37"/>
      <c r="AK2236" s="37"/>
      <c r="AL2236" s="37"/>
      <c r="AM2236" s="37"/>
      <c r="AN2236" s="37"/>
      <c r="AO2236" s="37"/>
      <c r="AP2236" s="37"/>
      <c r="AQ2236" s="37"/>
      <c r="AR2236" s="37"/>
      <c r="AS2236" s="37"/>
      <c r="AT2236" s="37"/>
      <c r="AU2236" s="37"/>
      <c r="AV2236" s="37"/>
      <c r="AW2236" s="37"/>
      <c r="AX2236" s="37"/>
      <c r="AY2236" s="37"/>
      <c r="AZ2236" s="37"/>
      <c r="BA2236" s="37"/>
      <c r="BB2236" s="37"/>
      <c r="BC2236" s="37"/>
      <c r="BD2236" s="37"/>
      <c r="BE2236" s="37"/>
      <c r="BF2236" s="37"/>
      <c r="BG2236" s="37"/>
      <c r="BH2236" s="37"/>
      <c r="BI2236" s="37"/>
      <c r="BJ2236" s="37"/>
      <c r="BK2236" s="37"/>
      <c r="BL2236" s="37"/>
      <c r="BM2236" s="37"/>
    </row>
    <row r="2237" spans="1:65" s="40" customFormat="1" ht="23.25" x14ac:dyDescent="0.35">
      <c r="A2237" s="37"/>
      <c r="B2237" s="37"/>
      <c r="C2237" s="41"/>
      <c r="D2237" s="38"/>
      <c r="E2237" s="57"/>
      <c r="F2237" s="42"/>
      <c r="G2237" s="43"/>
      <c r="H2237" s="37"/>
      <c r="I2237" s="37"/>
      <c r="J2237" s="38"/>
      <c r="K2237" s="37"/>
      <c r="L2237" s="38"/>
      <c r="M2237" s="39"/>
      <c r="P2237" s="37"/>
      <c r="Q2237" s="37"/>
      <c r="R2237" s="37"/>
      <c r="S2237" s="37"/>
      <c r="T2237" s="37"/>
      <c r="U2237" s="37"/>
      <c r="V2237" s="37"/>
      <c r="W2237" s="37"/>
      <c r="X2237" s="37"/>
      <c r="Y2237" s="37"/>
      <c r="Z2237" s="37"/>
      <c r="AA2237" s="37"/>
      <c r="AB2237" s="37"/>
      <c r="AC2237" s="37"/>
      <c r="AD2237" s="37"/>
      <c r="AE2237" s="37"/>
      <c r="AF2237" s="37"/>
      <c r="AG2237" s="37"/>
      <c r="AH2237" s="37"/>
      <c r="AI2237" s="37"/>
      <c r="AJ2237" s="37"/>
      <c r="AK2237" s="37"/>
      <c r="AL2237" s="37"/>
      <c r="AM2237" s="37"/>
      <c r="AN2237" s="37"/>
      <c r="AO2237" s="37"/>
      <c r="AP2237" s="37"/>
      <c r="AQ2237" s="37"/>
      <c r="AR2237" s="37"/>
      <c r="AS2237" s="37"/>
      <c r="AT2237" s="37"/>
      <c r="AU2237" s="37"/>
      <c r="AV2237" s="37"/>
      <c r="AW2237" s="37"/>
      <c r="AX2237" s="37"/>
      <c r="AY2237" s="37"/>
      <c r="AZ2237" s="37"/>
      <c r="BA2237" s="37"/>
      <c r="BB2237" s="37"/>
      <c r="BC2237" s="37"/>
      <c r="BD2237" s="37"/>
      <c r="BE2237" s="37"/>
      <c r="BF2237" s="37"/>
      <c r="BG2237" s="37"/>
      <c r="BH2237" s="37"/>
      <c r="BI2237" s="37"/>
      <c r="BJ2237" s="37"/>
      <c r="BK2237" s="37"/>
      <c r="BL2237" s="37"/>
      <c r="BM2237" s="37"/>
    </row>
    <row r="2238" spans="1:65" s="40" customFormat="1" ht="23.25" x14ac:dyDescent="0.35">
      <c r="A2238" s="37"/>
      <c r="B2238" s="37"/>
      <c r="C2238" s="41"/>
      <c r="D2238" s="38"/>
      <c r="E2238" s="57"/>
      <c r="F2238" s="42"/>
      <c r="G2238" s="43"/>
      <c r="H2238" s="37"/>
      <c r="I2238" s="37"/>
      <c r="J2238" s="38"/>
      <c r="K2238" s="37"/>
      <c r="L2238" s="38"/>
      <c r="M2238" s="39"/>
      <c r="P2238" s="37"/>
      <c r="Q2238" s="37"/>
      <c r="R2238" s="37"/>
      <c r="S2238" s="37"/>
      <c r="T2238" s="37"/>
      <c r="U2238" s="37"/>
      <c r="V2238" s="37"/>
      <c r="W2238" s="37"/>
      <c r="X2238" s="37"/>
      <c r="Y2238" s="37"/>
      <c r="Z2238" s="37"/>
      <c r="AA2238" s="37"/>
      <c r="AB2238" s="37"/>
      <c r="AC2238" s="37"/>
      <c r="AD2238" s="37"/>
      <c r="AE2238" s="37"/>
      <c r="AF2238" s="37"/>
      <c r="AG2238" s="37"/>
      <c r="AH2238" s="37"/>
      <c r="AI2238" s="37"/>
      <c r="AJ2238" s="37"/>
      <c r="AK2238" s="37"/>
      <c r="AL2238" s="37"/>
      <c r="AM2238" s="37"/>
      <c r="AN2238" s="37"/>
      <c r="AO2238" s="37"/>
      <c r="AP2238" s="37"/>
      <c r="AQ2238" s="37"/>
      <c r="AR2238" s="37"/>
      <c r="AS2238" s="37"/>
      <c r="AT2238" s="37"/>
      <c r="AU2238" s="37"/>
      <c r="AV2238" s="37"/>
      <c r="AW2238" s="37"/>
      <c r="AX2238" s="37"/>
      <c r="AY2238" s="37"/>
      <c r="AZ2238" s="37"/>
      <c r="BA2238" s="37"/>
      <c r="BB2238" s="37"/>
      <c r="BC2238" s="37"/>
      <c r="BD2238" s="37"/>
      <c r="BE2238" s="37"/>
      <c r="BF2238" s="37"/>
      <c r="BG2238" s="37"/>
      <c r="BH2238" s="37"/>
      <c r="BI2238" s="37"/>
      <c r="BJ2238" s="37"/>
      <c r="BK2238" s="37"/>
      <c r="BL2238" s="37"/>
      <c r="BM2238" s="37"/>
    </row>
    <row r="2239" spans="1:65" s="40" customFormat="1" ht="23.25" x14ac:dyDescent="0.35">
      <c r="A2239" s="37"/>
      <c r="B2239" s="37"/>
      <c r="C2239" s="41"/>
      <c r="D2239" s="38"/>
      <c r="E2239" s="57"/>
      <c r="F2239" s="42"/>
      <c r="G2239" s="43"/>
      <c r="H2239" s="37"/>
      <c r="I2239" s="37"/>
      <c r="J2239" s="38"/>
      <c r="K2239" s="37"/>
      <c r="L2239" s="38"/>
      <c r="M2239" s="39"/>
      <c r="P2239" s="37"/>
      <c r="Q2239" s="37"/>
      <c r="R2239" s="37"/>
      <c r="S2239" s="37"/>
      <c r="T2239" s="37"/>
      <c r="U2239" s="37"/>
      <c r="V2239" s="37"/>
      <c r="W2239" s="37"/>
      <c r="X2239" s="37"/>
      <c r="Y2239" s="37"/>
      <c r="Z2239" s="37"/>
      <c r="AA2239" s="37"/>
      <c r="AB2239" s="37"/>
      <c r="AC2239" s="37"/>
      <c r="AD2239" s="37"/>
      <c r="AE2239" s="37"/>
      <c r="AF2239" s="37"/>
      <c r="AG2239" s="37"/>
      <c r="AH2239" s="37"/>
      <c r="AI2239" s="37"/>
      <c r="AJ2239" s="37"/>
      <c r="AK2239" s="37"/>
      <c r="AL2239" s="37"/>
      <c r="AM2239" s="37"/>
      <c r="AN2239" s="37"/>
      <c r="AO2239" s="37"/>
      <c r="AP2239" s="37"/>
      <c r="AQ2239" s="37"/>
      <c r="AR2239" s="37"/>
      <c r="AS2239" s="37"/>
      <c r="AT2239" s="37"/>
      <c r="AU2239" s="37"/>
      <c r="AV2239" s="37"/>
      <c r="AW2239" s="37"/>
      <c r="AX2239" s="37"/>
      <c r="AY2239" s="37"/>
      <c r="AZ2239" s="37"/>
      <c r="BA2239" s="37"/>
      <c r="BB2239" s="37"/>
      <c r="BC2239" s="37"/>
      <c r="BD2239" s="37"/>
      <c r="BE2239" s="37"/>
      <c r="BF2239" s="37"/>
      <c r="BG2239" s="37"/>
      <c r="BH2239" s="37"/>
      <c r="BI2239" s="37"/>
      <c r="BJ2239" s="37"/>
      <c r="BK2239" s="37"/>
      <c r="BL2239" s="37"/>
      <c r="BM2239" s="37"/>
    </row>
    <row r="2240" spans="1:65" s="40" customFormat="1" ht="23.25" x14ac:dyDescent="0.35">
      <c r="A2240" s="37"/>
      <c r="B2240" s="37"/>
      <c r="C2240" s="41"/>
      <c r="D2240" s="38"/>
      <c r="E2240" s="57"/>
      <c r="F2240" s="42"/>
      <c r="G2240" s="43"/>
      <c r="H2240" s="37"/>
      <c r="I2240" s="37"/>
      <c r="J2240" s="38"/>
      <c r="K2240" s="37"/>
      <c r="L2240" s="38"/>
      <c r="M2240" s="39"/>
      <c r="P2240" s="37"/>
      <c r="Q2240" s="37"/>
      <c r="R2240" s="37"/>
      <c r="S2240" s="37"/>
      <c r="T2240" s="37"/>
      <c r="U2240" s="37"/>
      <c r="V2240" s="37"/>
      <c r="W2240" s="37"/>
      <c r="X2240" s="37"/>
      <c r="Y2240" s="37"/>
      <c r="Z2240" s="37"/>
      <c r="AA2240" s="37"/>
      <c r="AB2240" s="37"/>
      <c r="AC2240" s="37"/>
      <c r="AD2240" s="37"/>
      <c r="AE2240" s="37"/>
      <c r="AF2240" s="37"/>
      <c r="AG2240" s="37"/>
      <c r="AH2240" s="37"/>
      <c r="AI2240" s="37"/>
      <c r="AJ2240" s="37"/>
      <c r="AK2240" s="37"/>
      <c r="AL2240" s="37"/>
      <c r="AM2240" s="37"/>
      <c r="AN2240" s="37"/>
      <c r="AO2240" s="37"/>
      <c r="AP2240" s="37"/>
      <c r="AQ2240" s="37"/>
      <c r="AR2240" s="37"/>
      <c r="AS2240" s="37"/>
      <c r="AT2240" s="37"/>
      <c r="AU2240" s="37"/>
      <c r="AV2240" s="37"/>
      <c r="AW2240" s="37"/>
      <c r="AX2240" s="37"/>
      <c r="AY2240" s="37"/>
      <c r="AZ2240" s="37"/>
      <c r="BA2240" s="37"/>
      <c r="BB2240" s="37"/>
      <c r="BC2240" s="37"/>
      <c r="BD2240" s="37"/>
      <c r="BE2240" s="37"/>
      <c r="BF2240" s="37"/>
      <c r="BG2240" s="37"/>
      <c r="BH2240" s="37"/>
      <c r="BI2240" s="37"/>
      <c r="BJ2240" s="37"/>
      <c r="BK2240" s="37"/>
      <c r="BL2240" s="37"/>
      <c r="BM2240" s="37"/>
    </row>
    <row r="2241" spans="1:65" s="40" customFormat="1" ht="23.25" x14ac:dyDescent="0.35">
      <c r="A2241" s="37"/>
      <c r="B2241" s="37"/>
      <c r="C2241" s="41"/>
      <c r="D2241" s="38"/>
      <c r="E2241" s="57"/>
      <c r="F2241" s="42"/>
      <c r="G2241" s="43"/>
      <c r="H2241" s="37"/>
      <c r="I2241" s="37"/>
      <c r="J2241" s="38"/>
      <c r="K2241" s="37"/>
      <c r="L2241" s="38"/>
      <c r="M2241" s="39"/>
      <c r="P2241" s="37"/>
      <c r="Q2241" s="37"/>
      <c r="R2241" s="37"/>
      <c r="S2241" s="37"/>
      <c r="T2241" s="37"/>
      <c r="U2241" s="37"/>
      <c r="V2241" s="37"/>
      <c r="W2241" s="37"/>
      <c r="X2241" s="37"/>
      <c r="Y2241" s="37"/>
      <c r="Z2241" s="37"/>
      <c r="AA2241" s="37"/>
      <c r="AB2241" s="37"/>
      <c r="AC2241" s="37"/>
      <c r="AD2241" s="37"/>
      <c r="AE2241" s="37"/>
      <c r="AF2241" s="37"/>
      <c r="AG2241" s="37"/>
      <c r="AH2241" s="37"/>
      <c r="AI2241" s="37"/>
      <c r="AJ2241" s="37"/>
      <c r="AK2241" s="37"/>
      <c r="AL2241" s="37"/>
      <c r="AM2241" s="37"/>
      <c r="AN2241" s="37"/>
      <c r="AO2241" s="37"/>
      <c r="AP2241" s="37"/>
      <c r="AQ2241" s="37"/>
      <c r="AR2241" s="37"/>
      <c r="AS2241" s="37"/>
      <c r="AT2241" s="37"/>
      <c r="AU2241" s="37"/>
      <c r="AV2241" s="37"/>
      <c r="AW2241" s="37"/>
      <c r="AX2241" s="37"/>
      <c r="AY2241" s="37"/>
      <c r="AZ2241" s="37"/>
      <c r="BA2241" s="37"/>
      <c r="BB2241" s="37"/>
      <c r="BC2241" s="37"/>
      <c r="BD2241" s="37"/>
      <c r="BE2241" s="37"/>
      <c r="BF2241" s="37"/>
      <c r="BG2241" s="37"/>
      <c r="BH2241" s="37"/>
      <c r="BI2241" s="37"/>
      <c r="BJ2241" s="37"/>
      <c r="BK2241" s="37"/>
      <c r="BL2241" s="37"/>
      <c r="BM2241" s="37"/>
    </row>
    <row r="2242" spans="1:65" s="40" customFormat="1" ht="23.25" x14ac:dyDescent="0.35">
      <c r="A2242" s="37"/>
      <c r="B2242" s="37"/>
      <c r="C2242" s="41"/>
      <c r="D2242" s="38"/>
      <c r="E2242" s="57"/>
      <c r="F2242" s="42"/>
      <c r="G2242" s="43"/>
      <c r="H2242" s="37"/>
      <c r="I2242" s="37"/>
      <c r="J2242" s="38"/>
      <c r="K2242" s="37"/>
      <c r="L2242" s="38"/>
      <c r="M2242" s="39"/>
      <c r="P2242" s="37"/>
      <c r="Q2242" s="37"/>
      <c r="R2242" s="37"/>
      <c r="S2242" s="37"/>
      <c r="T2242" s="37"/>
      <c r="U2242" s="37"/>
      <c r="V2242" s="37"/>
      <c r="W2242" s="37"/>
      <c r="X2242" s="37"/>
      <c r="Y2242" s="37"/>
      <c r="Z2242" s="37"/>
      <c r="AA2242" s="37"/>
      <c r="AB2242" s="37"/>
      <c r="AC2242" s="37"/>
      <c r="AD2242" s="37"/>
      <c r="AE2242" s="37"/>
      <c r="AF2242" s="37"/>
      <c r="AG2242" s="37"/>
      <c r="AH2242" s="37"/>
      <c r="AI2242" s="37"/>
      <c r="AJ2242" s="37"/>
      <c r="AK2242" s="37"/>
      <c r="AL2242" s="37"/>
      <c r="AM2242" s="37"/>
      <c r="AN2242" s="37"/>
      <c r="AO2242" s="37"/>
      <c r="AP2242" s="37"/>
      <c r="AQ2242" s="37"/>
      <c r="AR2242" s="37"/>
      <c r="AS2242" s="37"/>
      <c r="AT2242" s="37"/>
      <c r="AU2242" s="37"/>
      <c r="AV2242" s="37"/>
      <c r="AW2242" s="37"/>
      <c r="AX2242" s="37"/>
      <c r="AY2242" s="37"/>
      <c r="AZ2242" s="37"/>
      <c r="BA2242" s="37"/>
      <c r="BB2242" s="37"/>
      <c r="BC2242" s="37"/>
      <c r="BD2242" s="37"/>
      <c r="BE2242" s="37"/>
      <c r="BF2242" s="37"/>
      <c r="BG2242" s="37"/>
      <c r="BH2242" s="37"/>
      <c r="BI2242" s="37"/>
      <c r="BJ2242" s="37"/>
      <c r="BK2242" s="37"/>
      <c r="BL2242" s="37"/>
      <c r="BM2242" s="37"/>
    </row>
    <row r="2243" spans="1:65" s="40" customFormat="1" ht="23.25" x14ac:dyDescent="0.35">
      <c r="A2243" s="37"/>
      <c r="B2243" s="37"/>
      <c r="C2243" s="41"/>
      <c r="D2243" s="38"/>
      <c r="E2243" s="57"/>
      <c r="F2243" s="42"/>
      <c r="G2243" s="43"/>
      <c r="H2243" s="37"/>
      <c r="I2243" s="37"/>
      <c r="J2243" s="38"/>
      <c r="K2243" s="37"/>
      <c r="L2243" s="38"/>
      <c r="M2243" s="39"/>
      <c r="P2243" s="37"/>
      <c r="Q2243" s="37"/>
      <c r="R2243" s="37"/>
      <c r="S2243" s="37"/>
      <c r="T2243" s="37"/>
      <c r="U2243" s="37"/>
      <c r="V2243" s="37"/>
      <c r="W2243" s="37"/>
      <c r="X2243" s="37"/>
      <c r="Y2243" s="37"/>
      <c r="Z2243" s="37"/>
      <c r="AA2243" s="37"/>
      <c r="AB2243" s="37"/>
      <c r="AC2243" s="37"/>
      <c r="AD2243" s="37"/>
      <c r="AE2243" s="37"/>
      <c r="AF2243" s="37"/>
      <c r="AG2243" s="37"/>
      <c r="AH2243" s="37"/>
      <c r="AI2243" s="37"/>
      <c r="AJ2243" s="37"/>
      <c r="AK2243" s="37"/>
      <c r="AL2243" s="37"/>
      <c r="AM2243" s="37"/>
      <c r="AN2243" s="37"/>
      <c r="AO2243" s="37"/>
      <c r="AP2243" s="37"/>
      <c r="AQ2243" s="37"/>
      <c r="AR2243" s="37"/>
      <c r="AS2243" s="37"/>
      <c r="AT2243" s="37"/>
      <c r="AU2243" s="37"/>
      <c r="AV2243" s="37"/>
      <c r="AW2243" s="37"/>
      <c r="AX2243" s="37"/>
      <c r="AY2243" s="37"/>
      <c r="AZ2243" s="37"/>
      <c r="BA2243" s="37"/>
      <c r="BB2243" s="37"/>
      <c r="BC2243" s="37"/>
      <c r="BD2243" s="37"/>
      <c r="BE2243" s="37"/>
      <c r="BF2243" s="37"/>
      <c r="BG2243" s="37"/>
      <c r="BH2243" s="37"/>
      <c r="BI2243" s="37"/>
      <c r="BJ2243" s="37"/>
      <c r="BK2243" s="37"/>
      <c r="BL2243" s="37"/>
      <c r="BM2243" s="37"/>
    </row>
    <row r="2244" spans="1:65" s="40" customFormat="1" ht="23.25" x14ac:dyDescent="0.35">
      <c r="A2244" s="37"/>
      <c r="B2244" s="37"/>
      <c r="C2244" s="41"/>
      <c r="D2244" s="38"/>
      <c r="E2244" s="57"/>
      <c r="F2244" s="42"/>
      <c r="G2244" s="43"/>
      <c r="H2244" s="37"/>
      <c r="I2244" s="37"/>
      <c r="J2244" s="38"/>
      <c r="K2244" s="37"/>
      <c r="L2244" s="38"/>
      <c r="M2244" s="39"/>
      <c r="P2244" s="37"/>
      <c r="Q2244" s="37"/>
      <c r="R2244" s="37"/>
      <c r="S2244" s="37"/>
      <c r="T2244" s="37"/>
      <c r="U2244" s="37"/>
      <c r="V2244" s="37"/>
      <c r="W2244" s="37"/>
      <c r="X2244" s="37"/>
      <c r="Y2244" s="37"/>
      <c r="Z2244" s="37"/>
      <c r="AA2244" s="37"/>
      <c r="AB2244" s="37"/>
      <c r="AC2244" s="37"/>
      <c r="AD2244" s="37"/>
      <c r="AE2244" s="37"/>
      <c r="AF2244" s="37"/>
      <c r="AG2244" s="37"/>
      <c r="AH2244" s="37"/>
      <c r="AI2244" s="37"/>
      <c r="AJ2244" s="37"/>
      <c r="AK2244" s="37"/>
      <c r="AL2244" s="37"/>
      <c r="AM2244" s="37"/>
      <c r="AN2244" s="37"/>
      <c r="AO2244" s="37"/>
      <c r="AP2244" s="37"/>
      <c r="AQ2244" s="37"/>
      <c r="AR2244" s="37"/>
      <c r="AS2244" s="37"/>
      <c r="AT2244" s="37"/>
      <c r="AU2244" s="37"/>
      <c r="AV2244" s="37"/>
      <c r="AW2244" s="37"/>
      <c r="AX2244" s="37"/>
      <c r="AY2244" s="37"/>
      <c r="AZ2244" s="37"/>
      <c r="BA2244" s="37"/>
      <c r="BB2244" s="37"/>
      <c r="BC2244" s="37"/>
      <c r="BD2244" s="37"/>
      <c r="BE2244" s="37"/>
      <c r="BF2244" s="37"/>
      <c r="BG2244" s="37"/>
      <c r="BH2244" s="37"/>
      <c r="BI2244" s="37"/>
      <c r="BJ2244" s="37"/>
      <c r="BK2244" s="37"/>
      <c r="BL2244" s="37"/>
      <c r="BM2244" s="37"/>
    </row>
    <row r="2245" spans="1:65" s="40" customFormat="1" ht="23.25" x14ac:dyDescent="0.35">
      <c r="A2245" s="37"/>
      <c r="B2245" s="37"/>
      <c r="C2245" s="41"/>
      <c r="D2245" s="38"/>
      <c r="E2245" s="57"/>
      <c r="F2245" s="42"/>
      <c r="G2245" s="43"/>
      <c r="H2245" s="37"/>
      <c r="I2245" s="37"/>
      <c r="J2245" s="38"/>
      <c r="K2245" s="37"/>
      <c r="L2245" s="38"/>
      <c r="M2245" s="39"/>
      <c r="P2245" s="37"/>
      <c r="Q2245" s="37"/>
      <c r="R2245" s="37"/>
      <c r="S2245" s="37"/>
      <c r="T2245" s="37"/>
      <c r="U2245" s="37"/>
      <c r="V2245" s="37"/>
      <c r="W2245" s="37"/>
      <c r="X2245" s="37"/>
      <c r="Y2245" s="37"/>
      <c r="Z2245" s="37"/>
      <c r="AA2245" s="37"/>
      <c r="AB2245" s="37"/>
      <c r="AC2245" s="37"/>
      <c r="AD2245" s="37"/>
      <c r="AE2245" s="37"/>
      <c r="AF2245" s="37"/>
      <c r="AG2245" s="37"/>
      <c r="AH2245" s="37"/>
      <c r="AI2245" s="37"/>
      <c r="AJ2245" s="37"/>
      <c r="AK2245" s="37"/>
      <c r="AL2245" s="37"/>
      <c r="AM2245" s="37"/>
      <c r="AN2245" s="37"/>
      <c r="AO2245" s="37"/>
      <c r="AP2245" s="37"/>
      <c r="AQ2245" s="37"/>
      <c r="AR2245" s="37"/>
      <c r="AS2245" s="37"/>
      <c r="AT2245" s="37"/>
      <c r="AU2245" s="37"/>
      <c r="AV2245" s="37"/>
      <c r="AW2245" s="37"/>
      <c r="AX2245" s="37"/>
      <c r="AY2245" s="37"/>
      <c r="AZ2245" s="37"/>
      <c r="BA2245" s="37"/>
      <c r="BB2245" s="37"/>
      <c r="BC2245" s="37"/>
      <c r="BD2245" s="37"/>
      <c r="BE2245" s="37"/>
      <c r="BF2245" s="37"/>
      <c r="BG2245" s="37"/>
      <c r="BH2245" s="37"/>
      <c r="BI2245" s="37"/>
      <c r="BJ2245" s="37"/>
      <c r="BK2245" s="37"/>
      <c r="BL2245" s="37"/>
      <c r="BM2245" s="37"/>
    </row>
    <row r="2246" spans="1:65" s="40" customFormat="1" ht="23.25" x14ac:dyDescent="0.35">
      <c r="A2246" s="37"/>
      <c r="B2246" s="37"/>
      <c r="C2246" s="41"/>
      <c r="D2246" s="38"/>
      <c r="E2246" s="57"/>
      <c r="F2246" s="42"/>
      <c r="G2246" s="43"/>
      <c r="H2246" s="37"/>
      <c r="I2246" s="37"/>
      <c r="J2246" s="38"/>
      <c r="K2246" s="37"/>
      <c r="L2246" s="38"/>
      <c r="M2246" s="39"/>
      <c r="P2246" s="37"/>
      <c r="Q2246" s="37"/>
      <c r="R2246" s="37"/>
      <c r="S2246" s="37"/>
      <c r="T2246" s="37"/>
      <c r="U2246" s="37"/>
      <c r="V2246" s="37"/>
      <c r="W2246" s="37"/>
      <c r="X2246" s="37"/>
      <c r="Y2246" s="37"/>
      <c r="Z2246" s="37"/>
      <c r="AA2246" s="37"/>
      <c r="AB2246" s="37"/>
      <c r="AC2246" s="37"/>
      <c r="AD2246" s="37"/>
      <c r="AE2246" s="37"/>
      <c r="AF2246" s="37"/>
      <c r="AG2246" s="37"/>
      <c r="AH2246" s="37"/>
      <c r="AI2246" s="37"/>
      <c r="AJ2246" s="37"/>
      <c r="AK2246" s="37"/>
      <c r="AL2246" s="37"/>
      <c r="AM2246" s="37"/>
      <c r="AN2246" s="37"/>
      <c r="AO2246" s="37"/>
      <c r="AP2246" s="37"/>
      <c r="AQ2246" s="37"/>
      <c r="AR2246" s="37"/>
      <c r="AS2246" s="37"/>
      <c r="AT2246" s="37"/>
      <c r="AU2246" s="37"/>
      <c r="AV2246" s="37"/>
      <c r="AW2246" s="37"/>
      <c r="AX2246" s="37"/>
      <c r="AY2246" s="37"/>
      <c r="AZ2246" s="37"/>
      <c r="BA2246" s="37"/>
      <c r="BB2246" s="37"/>
      <c r="BC2246" s="37"/>
      <c r="BD2246" s="37"/>
      <c r="BE2246" s="37"/>
      <c r="BF2246" s="37"/>
      <c r="BG2246" s="37"/>
      <c r="BH2246" s="37"/>
      <c r="BI2246" s="37"/>
      <c r="BJ2246" s="37"/>
      <c r="BK2246" s="37"/>
      <c r="BL2246" s="37"/>
      <c r="BM2246" s="37"/>
    </row>
    <row r="2247" spans="1:65" s="40" customFormat="1" ht="23.25" x14ac:dyDescent="0.35">
      <c r="A2247" s="37"/>
      <c r="B2247" s="37"/>
      <c r="C2247" s="41"/>
      <c r="D2247" s="38"/>
      <c r="E2247" s="57"/>
      <c r="F2247" s="42"/>
      <c r="G2247" s="43"/>
      <c r="H2247" s="37"/>
      <c r="I2247" s="37"/>
      <c r="J2247" s="38"/>
      <c r="K2247" s="37"/>
      <c r="L2247" s="38"/>
      <c r="M2247" s="39"/>
      <c r="P2247" s="37"/>
      <c r="Q2247" s="37"/>
      <c r="R2247" s="37"/>
      <c r="S2247" s="37"/>
      <c r="T2247" s="37"/>
      <c r="U2247" s="37"/>
      <c r="V2247" s="37"/>
      <c r="W2247" s="37"/>
      <c r="X2247" s="37"/>
      <c r="Y2247" s="37"/>
      <c r="Z2247" s="37"/>
      <c r="AA2247" s="37"/>
      <c r="AB2247" s="37"/>
      <c r="AC2247" s="37"/>
      <c r="AD2247" s="37"/>
      <c r="AE2247" s="37"/>
      <c r="AF2247" s="37"/>
      <c r="AG2247" s="37"/>
      <c r="AH2247" s="37"/>
      <c r="AI2247" s="37"/>
      <c r="AJ2247" s="37"/>
      <c r="AK2247" s="37"/>
      <c r="AL2247" s="37"/>
      <c r="AM2247" s="37"/>
      <c r="AN2247" s="37"/>
      <c r="AO2247" s="37"/>
      <c r="AP2247" s="37"/>
      <c r="AQ2247" s="37"/>
      <c r="AR2247" s="37"/>
      <c r="AS2247" s="37"/>
      <c r="AT2247" s="37"/>
      <c r="AU2247" s="37"/>
      <c r="AV2247" s="37"/>
      <c r="AW2247" s="37"/>
      <c r="AX2247" s="37"/>
      <c r="AY2247" s="37"/>
      <c r="AZ2247" s="37"/>
      <c r="BA2247" s="37"/>
      <c r="BB2247" s="37"/>
      <c r="BC2247" s="37"/>
      <c r="BD2247" s="37"/>
      <c r="BE2247" s="37"/>
      <c r="BF2247" s="37"/>
      <c r="BG2247" s="37"/>
      <c r="BH2247" s="37"/>
      <c r="BI2247" s="37"/>
      <c r="BJ2247" s="37"/>
      <c r="BK2247" s="37"/>
      <c r="BL2247" s="37"/>
      <c r="BM2247" s="37"/>
    </row>
    <row r="2248" spans="1:65" s="40" customFormat="1" ht="23.25" x14ac:dyDescent="0.35">
      <c r="A2248" s="37"/>
      <c r="B2248" s="37"/>
      <c r="C2248" s="41"/>
      <c r="D2248" s="38"/>
      <c r="E2248" s="57"/>
      <c r="F2248" s="42"/>
      <c r="G2248" s="43"/>
      <c r="H2248" s="37"/>
      <c r="I2248" s="37"/>
      <c r="J2248" s="38"/>
      <c r="K2248" s="37"/>
      <c r="L2248" s="38"/>
      <c r="M2248" s="39"/>
      <c r="P2248" s="37"/>
      <c r="Q2248" s="37"/>
      <c r="R2248" s="37"/>
      <c r="S2248" s="37"/>
      <c r="T2248" s="37"/>
      <c r="U2248" s="37"/>
      <c r="V2248" s="37"/>
      <c r="W2248" s="37"/>
      <c r="X2248" s="37"/>
      <c r="Y2248" s="37"/>
      <c r="Z2248" s="37"/>
      <c r="AA2248" s="37"/>
      <c r="AB2248" s="37"/>
      <c r="AC2248" s="37"/>
      <c r="AD2248" s="37"/>
      <c r="AE2248" s="37"/>
      <c r="AF2248" s="37"/>
      <c r="AG2248" s="37"/>
      <c r="AH2248" s="37"/>
      <c r="AI2248" s="37"/>
      <c r="AJ2248" s="37"/>
      <c r="AK2248" s="37"/>
      <c r="AL2248" s="37"/>
      <c r="AM2248" s="37"/>
      <c r="AN2248" s="37"/>
      <c r="AO2248" s="37"/>
      <c r="AP2248" s="37"/>
      <c r="AQ2248" s="37"/>
      <c r="AR2248" s="37"/>
      <c r="AS2248" s="37"/>
      <c r="AT2248" s="37"/>
      <c r="AU2248" s="37"/>
      <c r="AV2248" s="37"/>
      <c r="AW2248" s="37"/>
      <c r="AX2248" s="37"/>
      <c r="AY2248" s="37"/>
      <c r="AZ2248" s="37"/>
      <c r="BA2248" s="37"/>
      <c r="BB2248" s="37"/>
      <c r="BC2248" s="37"/>
      <c r="BD2248" s="37"/>
      <c r="BE2248" s="37"/>
      <c r="BF2248" s="37"/>
      <c r="BG2248" s="37"/>
      <c r="BH2248" s="37"/>
      <c r="BI2248" s="37"/>
      <c r="BJ2248" s="37"/>
      <c r="BK2248" s="37"/>
      <c r="BL2248" s="37"/>
      <c r="BM2248" s="37"/>
    </row>
    <row r="2249" spans="1:65" s="40" customFormat="1" ht="23.25" x14ac:dyDescent="0.35">
      <c r="A2249" s="37"/>
      <c r="B2249" s="37"/>
      <c r="C2249" s="41"/>
      <c r="D2249" s="38"/>
      <c r="E2249" s="57"/>
      <c r="F2249" s="42"/>
      <c r="G2249" s="43"/>
      <c r="H2249" s="37"/>
      <c r="I2249" s="37"/>
      <c r="J2249" s="38"/>
      <c r="K2249" s="37"/>
      <c r="L2249" s="38"/>
      <c r="M2249" s="39"/>
      <c r="P2249" s="37"/>
      <c r="Q2249" s="37"/>
      <c r="R2249" s="37"/>
      <c r="S2249" s="37"/>
      <c r="T2249" s="37"/>
      <c r="U2249" s="37"/>
      <c r="V2249" s="37"/>
      <c r="W2249" s="37"/>
      <c r="X2249" s="37"/>
      <c r="Y2249" s="37"/>
      <c r="Z2249" s="37"/>
      <c r="AA2249" s="37"/>
      <c r="AB2249" s="37"/>
      <c r="AC2249" s="37"/>
      <c r="AD2249" s="37"/>
      <c r="AE2249" s="37"/>
      <c r="AF2249" s="37"/>
      <c r="AG2249" s="37"/>
      <c r="AH2249" s="37"/>
      <c r="AI2249" s="37"/>
      <c r="AJ2249" s="37"/>
      <c r="AK2249" s="37"/>
      <c r="AL2249" s="37"/>
      <c r="AM2249" s="37"/>
      <c r="AN2249" s="37"/>
      <c r="AO2249" s="37"/>
      <c r="AP2249" s="37"/>
      <c r="AQ2249" s="37"/>
      <c r="AR2249" s="37"/>
      <c r="AS2249" s="37"/>
      <c r="AT2249" s="37"/>
      <c r="AU2249" s="37"/>
      <c r="AV2249" s="37"/>
      <c r="AW2249" s="37"/>
      <c r="AX2249" s="37"/>
      <c r="AY2249" s="37"/>
      <c r="AZ2249" s="37"/>
      <c r="BA2249" s="37"/>
      <c r="BB2249" s="37"/>
      <c r="BC2249" s="37"/>
      <c r="BD2249" s="37"/>
      <c r="BE2249" s="37"/>
      <c r="BF2249" s="37"/>
      <c r="BG2249" s="37"/>
      <c r="BH2249" s="37"/>
      <c r="BI2249" s="37"/>
      <c r="BJ2249" s="37"/>
      <c r="BK2249" s="37"/>
      <c r="BL2249" s="37"/>
      <c r="BM2249" s="37"/>
    </row>
    <row r="2250" spans="1:65" s="40" customFormat="1" ht="23.25" x14ac:dyDescent="0.35">
      <c r="A2250" s="37"/>
      <c r="B2250" s="37"/>
      <c r="C2250" s="41"/>
      <c r="D2250" s="38"/>
      <c r="E2250" s="57"/>
      <c r="F2250" s="42"/>
      <c r="G2250" s="43"/>
      <c r="H2250" s="37"/>
      <c r="I2250" s="37"/>
      <c r="J2250" s="38"/>
      <c r="K2250" s="37"/>
      <c r="L2250" s="38"/>
      <c r="M2250" s="39"/>
      <c r="P2250" s="37"/>
      <c r="Q2250" s="37"/>
      <c r="R2250" s="37"/>
      <c r="S2250" s="37"/>
      <c r="T2250" s="37"/>
      <c r="U2250" s="37"/>
      <c r="V2250" s="37"/>
      <c r="W2250" s="37"/>
      <c r="X2250" s="37"/>
      <c r="Y2250" s="37"/>
      <c r="Z2250" s="37"/>
      <c r="AA2250" s="37"/>
      <c r="AB2250" s="37"/>
      <c r="AC2250" s="37"/>
      <c r="AD2250" s="37"/>
      <c r="AE2250" s="37"/>
      <c r="AF2250" s="37"/>
      <c r="AG2250" s="37"/>
      <c r="AH2250" s="37"/>
      <c r="AI2250" s="37"/>
      <c r="AJ2250" s="37"/>
      <c r="AK2250" s="37"/>
      <c r="AL2250" s="37"/>
      <c r="AM2250" s="37"/>
      <c r="AN2250" s="37"/>
      <c r="AO2250" s="37"/>
      <c r="AP2250" s="37"/>
      <c r="AQ2250" s="37"/>
      <c r="AR2250" s="37"/>
      <c r="AS2250" s="37"/>
      <c r="AT2250" s="37"/>
      <c r="AU2250" s="37"/>
      <c r="AV2250" s="37"/>
      <c r="AW2250" s="37"/>
      <c r="AX2250" s="37"/>
      <c r="AY2250" s="37"/>
      <c r="AZ2250" s="37"/>
      <c r="BA2250" s="37"/>
      <c r="BB2250" s="37"/>
      <c r="BC2250" s="37"/>
      <c r="BD2250" s="37"/>
      <c r="BE2250" s="37"/>
      <c r="BF2250" s="37"/>
      <c r="BG2250" s="37"/>
      <c r="BH2250" s="37"/>
      <c r="BI2250" s="37"/>
      <c r="BJ2250" s="37"/>
      <c r="BK2250" s="37"/>
      <c r="BL2250" s="37"/>
      <c r="BM2250" s="37"/>
    </row>
    <row r="2251" spans="1:65" s="40" customFormat="1" ht="23.25" x14ac:dyDescent="0.35">
      <c r="A2251" s="37"/>
      <c r="B2251" s="37"/>
      <c r="C2251" s="41"/>
      <c r="D2251" s="38"/>
      <c r="E2251" s="57"/>
      <c r="F2251" s="42"/>
      <c r="G2251" s="43"/>
      <c r="H2251" s="37"/>
      <c r="I2251" s="37"/>
      <c r="J2251" s="38"/>
      <c r="K2251" s="37"/>
      <c r="L2251" s="38"/>
      <c r="M2251" s="39"/>
      <c r="P2251" s="37"/>
      <c r="Q2251" s="37"/>
      <c r="R2251" s="37"/>
      <c r="S2251" s="37"/>
      <c r="T2251" s="37"/>
      <c r="U2251" s="37"/>
      <c r="V2251" s="37"/>
      <c r="W2251" s="37"/>
      <c r="X2251" s="37"/>
      <c r="Y2251" s="37"/>
      <c r="Z2251" s="37"/>
      <c r="AA2251" s="37"/>
      <c r="AB2251" s="37"/>
      <c r="AC2251" s="37"/>
      <c r="AD2251" s="37"/>
      <c r="AE2251" s="37"/>
      <c r="AF2251" s="37"/>
      <c r="AG2251" s="37"/>
      <c r="AH2251" s="37"/>
      <c r="AI2251" s="37"/>
      <c r="AJ2251" s="37"/>
      <c r="AK2251" s="37"/>
      <c r="AL2251" s="37"/>
      <c r="AM2251" s="37"/>
      <c r="AN2251" s="37"/>
      <c r="AO2251" s="37"/>
      <c r="AP2251" s="37"/>
      <c r="AQ2251" s="37"/>
      <c r="AR2251" s="37"/>
      <c r="AS2251" s="37"/>
      <c r="AT2251" s="37"/>
      <c r="AU2251" s="37"/>
      <c r="AV2251" s="37"/>
      <c r="AW2251" s="37"/>
      <c r="AX2251" s="37"/>
      <c r="AY2251" s="37"/>
      <c r="AZ2251" s="37"/>
      <c r="BA2251" s="37"/>
      <c r="BB2251" s="37"/>
      <c r="BC2251" s="37"/>
      <c r="BD2251" s="37"/>
      <c r="BE2251" s="37"/>
      <c r="BF2251" s="37"/>
      <c r="BG2251" s="37"/>
      <c r="BH2251" s="37"/>
      <c r="BI2251" s="37"/>
      <c r="BJ2251" s="37"/>
      <c r="BK2251" s="37"/>
      <c r="BL2251" s="37"/>
      <c r="BM2251" s="37"/>
    </row>
    <row r="2252" spans="1:65" s="40" customFormat="1" ht="23.25" x14ac:dyDescent="0.35">
      <c r="A2252" s="37"/>
      <c r="B2252" s="37"/>
      <c r="C2252" s="41"/>
      <c r="D2252" s="38"/>
      <c r="E2252" s="57"/>
      <c r="F2252" s="42"/>
      <c r="G2252" s="43"/>
      <c r="H2252" s="37"/>
      <c r="I2252" s="37"/>
      <c r="J2252" s="38"/>
      <c r="K2252" s="37"/>
      <c r="L2252" s="38"/>
      <c r="M2252" s="39"/>
      <c r="P2252" s="37"/>
      <c r="Q2252" s="37"/>
      <c r="R2252" s="37"/>
      <c r="S2252" s="37"/>
      <c r="T2252" s="37"/>
      <c r="U2252" s="37"/>
      <c r="V2252" s="37"/>
      <c r="W2252" s="37"/>
      <c r="X2252" s="37"/>
      <c r="Y2252" s="37"/>
      <c r="Z2252" s="37"/>
      <c r="AA2252" s="37"/>
      <c r="AB2252" s="37"/>
      <c r="AC2252" s="37"/>
      <c r="AD2252" s="37"/>
      <c r="AE2252" s="37"/>
      <c r="AF2252" s="37"/>
      <c r="AG2252" s="37"/>
      <c r="AH2252" s="37"/>
      <c r="AI2252" s="37"/>
      <c r="AJ2252" s="37"/>
      <c r="AK2252" s="37"/>
      <c r="AL2252" s="37"/>
      <c r="AM2252" s="37"/>
      <c r="AN2252" s="37"/>
      <c r="AO2252" s="37"/>
      <c r="AP2252" s="37"/>
      <c r="AQ2252" s="37"/>
      <c r="AR2252" s="37"/>
      <c r="AS2252" s="37"/>
      <c r="AT2252" s="37"/>
      <c r="AU2252" s="37"/>
      <c r="AV2252" s="37"/>
      <c r="AW2252" s="37"/>
      <c r="AX2252" s="37"/>
      <c r="AY2252" s="37"/>
      <c r="AZ2252" s="37"/>
      <c r="BA2252" s="37"/>
      <c r="BB2252" s="37"/>
      <c r="BC2252" s="37"/>
      <c r="BD2252" s="37"/>
      <c r="BE2252" s="37"/>
      <c r="BF2252" s="37"/>
      <c r="BG2252" s="37"/>
      <c r="BH2252" s="37"/>
      <c r="BI2252" s="37"/>
      <c r="BJ2252" s="37"/>
      <c r="BK2252" s="37"/>
      <c r="BL2252" s="37"/>
      <c r="BM2252" s="37"/>
    </row>
    <row r="2253" spans="1:65" s="40" customFormat="1" ht="23.25" x14ac:dyDescent="0.35">
      <c r="A2253" s="37"/>
      <c r="B2253" s="37"/>
      <c r="C2253" s="41"/>
      <c r="D2253" s="38"/>
      <c r="E2253" s="57"/>
      <c r="F2253" s="42"/>
      <c r="G2253" s="43"/>
      <c r="H2253" s="37"/>
      <c r="I2253" s="37"/>
      <c r="J2253" s="38"/>
      <c r="K2253" s="37"/>
      <c r="L2253" s="38"/>
      <c r="M2253" s="39"/>
      <c r="P2253" s="37"/>
      <c r="Q2253" s="37"/>
      <c r="R2253" s="37"/>
      <c r="S2253" s="37"/>
      <c r="T2253" s="37"/>
      <c r="U2253" s="37"/>
      <c r="V2253" s="37"/>
      <c r="W2253" s="37"/>
      <c r="X2253" s="37"/>
      <c r="Y2253" s="37"/>
      <c r="Z2253" s="37"/>
      <c r="AA2253" s="37"/>
      <c r="AB2253" s="37"/>
      <c r="AC2253" s="37"/>
      <c r="AD2253" s="37"/>
      <c r="AE2253" s="37"/>
      <c r="AF2253" s="37"/>
      <c r="AG2253" s="37"/>
      <c r="AH2253" s="37"/>
      <c r="AI2253" s="37"/>
      <c r="AJ2253" s="37"/>
      <c r="AK2253" s="37"/>
      <c r="AL2253" s="37"/>
      <c r="AM2253" s="37"/>
      <c r="AN2253" s="37"/>
      <c r="AO2253" s="37"/>
      <c r="AP2253" s="37"/>
      <c r="AQ2253" s="37"/>
      <c r="AR2253" s="37"/>
      <c r="AS2253" s="37"/>
      <c r="AT2253" s="37"/>
      <c r="AU2253" s="37"/>
      <c r="AV2253" s="37"/>
      <c r="AW2253" s="37"/>
      <c r="AX2253" s="37"/>
      <c r="AY2253" s="37"/>
      <c r="AZ2253" s="37"/>
      <c r="BA2253" s="37"/>
      <c r="BB2253" s="37"/>
      <c r="BC2253" s="37"/>
      <c r="BD2253" s="37"/>
      <c r="BE2253" s="37"/>
      <c r="BF2253" s="37"/>
      <c r="BG2253" s="37"/>
      <c r="BH2253" s="37"/>
      <c r="BI2253" s="37"/>
      <c r="BJ2253" s="37"/>
      <c r="BK2253" s="37"/>
      <c r="BL2253" s="37"/>
      <c r="BM2253" s="37"/>
    </row>
    <row r="2254" spans="1:65" s="40" customFormat="1" ht="23.25" x14ac:dyDescent="0.35">
      <c r="A2254" s="37"/>
      <c r="B2254" s="37"/>
      <c r="C2254" s="41"/>
      <c r="D2254" s="38"/>
      <c r="E2254" s="57"/>
      <c r="F2254" s="42"/>
      <c r="G2254" s="43"/>
      <c r="H2254" s="37"/>
      <c r="I2254" s="37"/>
      <c r="J2254" s="38"/>
      <c r="K2254" s="37"/>
      <c r="L2254" s="38"/>
      <c r="M2254" s="39"/>
      <c r="P2254" s="37"/>
      <c r="Q2254" s="37"/>
      <c r="R2254" s="37"/>
      <c r="S2254" s="37"/>
      <c r="T2254" s="37"/>
      <c r="U2254" s="37"/>
      <c r="V2254" s="37"/>
      <c r="W2254" s="37"/>
      <c r="X2254" s="37"/>
      <c r="Y2254" s="37"/>
      <c r="Z2254" s="37"/>
      <c r="AA2254" s="37"/>
      <c r="AB2254" s="37"/>
      <c r="AC2254" s="37"/>
      <c r="AD2254" s="37"/>
      <c r="AE2254" s="37"/>
      <c r="AF2254" s="37"/>
      <c r="AG2254" s="37"/>
      <c r="AH2254" s="37"/>
      <c r="AI2254" s="37"/>
      <c r="AJ2254" s="37"/>
      <c r="AK2254" s="37"/>
      <c r="AL2254" s="37"/>
      <c r="AM2254" s="37"/>
      <c r="AN2254" s="37"/>
      <c r="AO2254" s="37"/>
      <c r="AP2254" s="37"/>
      <c r="AQ2254" s="37"/>
      <c r="AR2254" s="37"/>
      <c r="AS2254" s="37"/>
      <c r="AT2254" s="37"/>
      <c r="AU2254" s="37"/>
      <c r="AV2254" s="37"/>
      <c r="AW2254" s="37"/>
      <c r="AX2254" s="37"/>
      <c r="AY2254" s="37"/>
      <c r="AZ2254" s="37"/>
      <c r="BA2254" s="37"/>
      <c r="BB2254" s="37"/>
      <c r="BC2254" s="37"/>
      <c r="BD2254" s="37"/>
      <c r="BE2254" s="37"/>
      <c r="BF2254" s="37"/>
      <c r="BG2254" s="37"/>
      <c r="BH2254" s="37"/>
      <c r="BI2254" s="37"/>
      <c r="BJ2254" s="37"/>
      <c r="BK2254" s="37"/>
      <c r="BL2254" s="37"/>
      <c r="BM2254" s="37"/>
    </row>
    <row r="2255" spans="1:65" s="40" customFormat="1" ht="23.25" x14ac:dyDescent="0.35">
      <c r="A2255" s="37"/>
      <c r="B2255" s="37"/>
      <c r="C2255" s="41"/>
      <c r="D2255" s="38"/>
      <c r="E2255" s="57"/>
      <c r="F2255" s="42"/>
      <c r="G2255" s="43"/>
      <c r="H2255" s="37"/>
      <c r="I2255" s="37"/>
      <c r="J2255" s="38"/>
      <c r="K2255" s="37"/>
      <c r="L2255" s="38"/>
      <c r="M2255" s="39"/>
      <c r="P2255" s="37"/>
      <c r="Q2255" s="37"/>
      <c r="R2255" s="37"/>
      <c r="S2255" s="37"/>
      <c r="T2255" s="37"/>
      <c r="U2255" s="37"/>
      <c r="V2255" s="37"/>
      <c r="W2255" s="37"/>
      <c r="X2255" s="37"/>
      <c r="Y2255" s="37"/>
      <c r="Z2255" s="37"/>
      <c r="AA2255" s="37"/>
      <c r="AB2255" s="37"/>
      <c r="AC2255" s="37"/>
      <c r="AD2255" s="37"/>
      <c r="AE2255" s="37"/>
      <c r="AF2255" s="37"/>
      <c r="AG2255" s="37"/>
      <c r="AH2255" s="37"/>
      <c r="AI2255" s="37"/>
      <c r="AJ2255" s="37"/>
      <c r="AK2255" s="37"/>
      <c r="AL2255" s="37"/>
      <c r="AM2255" s="37"/>
      <c r="AN2255" s="37"/>
      <c r="AO2255" s="37"/>
      <c r="AP2255" s="37"/>
      <c r="AQ2255" s="37"/>
      <c r="AR2255" s="37"/>
      <c r="AS2255" s="37"/>
      <c r="AT2255" s="37"/>
      <c r="AU2255" s="37"/>
      <c r="AV2255" s="37"/>
      <c r="AW2255" s="37"/>
      <c r="AX2255" s="37"/>
      <c r="AY2255" s="37"/>
      <c r="AZ2255" s="37"/>
      <c r="BA2255" s="37"/>
      <c r="BB2255" s="37"/>
      <c r="BC2255" s="37"/>
      <c r="BD2255" s="37"/>
      <c r="BE2255" s="37"/>
      <c r="BF2255" s="37"/>
      <c r="BG2255" s="37"/>
      <c r="BH2255" s="37"/>
      <c r="BI2255" s="37"/>
      <c r="BJ2255" s="37"/>
      <c r="BK2255" s="37"/>
      <c r="BL2255" s="37"/>
      <c r="BM2255" s="37"/>
    </row>
    <row r="2256" spans="1:65" s="40" customFormat="1" ht="23.25" x14ac:dyDescent="0.35">
      <c r="A2256" s="37"/>
      <c r="B2256" s="37"/>
      <c r="C2256" s="41"/>
      <c r="D2256" s="38"/>
      <c r="E2256" s="57"/>
      <c r="F2256" s="42"/>
      <c r="G2256" s="43"/>
      <c r="H2256" s="37"/>
      <c r="I2256" s="37"/>
      <c r="J2256" s="38"/>
      <c r="K2256" s="37"/>
      <c r="L2256" s="38"/>
      <c r="M2256" s="39"/>
      <c r="P2256" s="37"/>
      <c r="Q2256" s="37"/>
      <c r="R2256" s="37"/>
      <c r="S2256" s="37"/>
      <c r="T2256" s="37"/>
      <c r="U2256" s="37"/>
      <c r="V2256" s="37"/>
      <c r="W2256" s="37"/>
      <c r="X2256" s="37"/>
      <c r="Y2256" s="37"/>
      <c r="Z2256" s="37"/>
      <c r="AA2256" s="37"/>
      <c r="AB2256" s="37"/>
      <c r="AC2256" s="37"/>
      <c r="AD2256" s="37"/>
      <c r="AE2256" s="37"/>
      <c r="AF2256" s="37"/>
      <c r="AG2256" s="37"/>
      <c r="AH2256" s="37"/>
      <c r="AI2256" s="37"/>
      <c r="AJ2256" s="37"/>
      <c r="AK2256" s="37"/>
      <c r="AL2256" s="37"/>
      <c r="AM2256" s="37"/>
      <c r="AN2256" s="37"/>
      <c r="AO2256" s="37"/>
      <c r="AP2256" s="37"/>
      <c r="AQ2256" s="37"/>
      <c r="AR2256" s="37"/>
      <c r="AS2256" s="37"/>
      <c r="AT2256" s="37"/>
      <c r="AU2256" s="37"/>
      <c r="AV2256" s="37"/>
      <c r="AW2256" s="37"/>
      <c r="AX2256" s="37"/>
      <c r="AY2256" s="37"/>
      <c r="AZ2256" s="37"/>
      <c r="BA2256" s="37"/>
      <c r="BB2256" s="37"/>
      <c r="BC2256" s="37"/>
      <c r="BD2256" s="37"/>
      <c r="BE2256" s="37"/>
      <c r="BF2256" s="37"/>
      <c r="BG2256" s="37"/>
      <c r="BH2256" s="37"/>
      <c r="BI2256" s="37"/>
      <c r="BJ2256" s="37"/>
      <c r="BK2256" s="37"/>
      <c r="BL2256" s="37"/>
      <c r="BM2256" s="37"/>
    </row>
    <row r="2257" spans="1:65" s="40" customFormat="1" ht="23.25" x14ac:dyDescent="0.35">
      <c r="A2257" s="37"/>
      <c r="B2257" s="37"/>
      <c r="C2257" s="41"/>
      <c r="D2257" s="38"/>
      <c r="E2257" s="57"/>
      <c r="F2257" s="42"/>
      <c r="G2257" s="43"/>
      <c r="H2257" s="37"/>
      <c r="I2257" s="37"/>
      <c r="J2257" s="38"/>
      <c r="K2257" s="37"/>
      <c r="L2257" s="38"/>
      <c r="M2257" s="39"/>
      <c r="P2257" s="37"/>
      <c r="Q2257" s="37"/>
      <c r="R2257" s="37"/>
      <c r="S2257" s="37"/>
      <c r="T2257" s="37"/>
      <c r="U2257" s="37"/>
      <c r="V2257" s="37"/>
      <c r="W2257" s="37"/>
      <c r="X2257" s="37"/>
      <c r="Y2257" s="37"/>
      <c r="Z2257" s="37"/>
      <c r="AA2257" s="37"/>
      <c r="AB2257" s="37"/>
      <c r="AC2257" s="37"/>
      <c r="AD2257" s="37"/>
      <c r="AE2257" s="37"/>
      <c r="AF2257" s="37"/>
      <c r="AG2257" s="37"/>
      <c r="AH2257" s="37"/>
      <c r="AI2257" s="37"/>
      <c r="AJ2257" s="37"/>
      <c r="AK2257" s="37"/>
      <c r="AL2257" s="37"/>
      <c r="AM2257" s="37"/>
      <c r="AN2257" s="37"/>
      <c r="AO2257" s="37"/>
      <c r="AP2257" s="37"/>
      <c r="AQ2257" s="37"/>
      <c r="AR2257" s="37"/>
      <c r="AS2257" s="37"/>
      <c r="AT2257" s="37"/>
      <c r="AU2257" s="37"/>
      <c r="AV2257" s="37"/>
      <c r="AW2257" s="37"/>
      <c r="AX2257" s="37"/>
      <c r="AY2257" s="37"/>
      <c r="AZ2257" s="37"/>
      <c r="BA2257" s="37"/>
      <c r="BB2257" s="37"/>
      <c r="BC2257" s="37"/>
      <c r="BD2257" s="37"/>
      <c r="BE2257" s="37"/>
      <c r="BF2257" s="37"/>
      <c r="BG2257" s="37"/>
      <c r="BH2257" s="37"/>
      <c r="BI2257" s="37"/>
      <c r="BJ2257" s="37"/>
      <c r="BK2257" s="37"/>
      <c r="BL2257" s="37"/>
      <c r="BM2257" s="37"/>
    </row>
    <row r="2258" spans="1:65" s="40" customFormat="1" ht="23.25" x14ac:dyDescent="0.35">
      <c r="A2258" s="37"/>
      <c r="B2258" s="37"/>
      <c r="C2258" s="41"/>
      <c r="D2258" s="38"/>
      <c r="E2258" s="57"/>
      <c r="F2258" s="42"/>
      <c r="G2258" s="43"/>
      <c r="H2258" s="37"/>
      <c r="I2258" s="37"/>
      <c r="J2258" s="38"/>
      <c r="K2258" s="37"/>
      <c r="L2258" s="38"/>
      <c r="M2258" s="39"/>
      <c r="P2258" s="37"/>
      <c r="Q2258" s="37"/>
      <c r="R2258" s="37"/>
      <c r="S2258" s="37"/>
      <c r="T2258" s="37"/>
      <c r="U2258" s="37"/>
      <c r="V2258" s="37"/>
      <c r="W2258" s="37"/>
      <c r="X2258" s="37"/>
      <c r="Y2258" s="37"/>
      <c r="Z2258" s="37"/>
      <c r="AA2258" s="37"/>
      <c r="AB2258" s="37"/>
      <c r="AC2258" s="37"/>
      <c r="AD2258" s="37"/>
      <c r="AE2258" s="37"/>
      <c r="AF2258" s="37"/>
      <c r="AG2258" s="37"/>
      <c r="AH2258" s="37"/>
      <c r="AI2258" s="37"/>
      <c r="AJ2258" s="37"/>
      <c r="AK2258" s="37"/>
      <c r="AL2258" s="37"/>
      <c r="AM2258" s="37"/>
      <c r="AN2258" s="37"/>
      <c r="AO2258" s="37"/>
      <c r="AP2258" s="37"/>
      <c r="AQ2258" s="37"/>
      <c r="AR2258" s="37"/>
      <c r="AS2258" s="37"/>
      <c r="AT2258" s="37"/>
      <c r="AU2258" s="37"/>
      <c r="AV2258" s="37"/>
      <c r="AW2258" s="37"/>
      <c r="AX2258" s="37"/>
      <c r="AY2258" s="37"/>
      <c r="AZ2258" s="37"/>
      <c r="BA2258" s="37"/>
      <c r="BB2258" s="37"/>
      <c r="BC2258" s="37"/>
      <c r="BD2258" s="37"/>
      <c r="BE2258" s="37"/>
      <c r="BF2258" s="37"/>
      <c r="BG2258" s="37"/>
      <c r="BH2258" s="37"/>
      <c r="BI2258" s="37"/>
      <c r="BJ2258" s="37"/>
      <c r="BK2258" s="37"/>
      <c r="BL2258" s="37"/>
      <c r="BM2258" s="37"/>
    </row>
    <row r="2259" spans="1:65" s="40" customFormat="1" ht="23.25" x14ac:dyDescent="0.35">
      <c r="A2259" s="37"/>
      <c r="B2259" s="37"/>
      <c r="C2259" s="41"/>
      <c r="D2259" s="38"/>
      <c r="E2259" s="57"/>
      <c r="F2259" s="42"/>
      <c r="G2259" s="43"/>
      <c r="H2259" s="37"/>
      <c r="I2259" s="37"/>
      <c r="J2259" s="38"/>
      <c r="K2259" s="37"/>
      <c r="L2259" s="38"/>
      <c r="M2259" s="39"/>
      <c r="P2259" s="37"/>
      <c r="Q2259" s="37"/>
      <c r="R2259" s="37"/>
      <c r="S2259" s="37"/>
      <c r="T2259" s="37"/>
      <c r="U2259" s="37"/>
      <c r="V2259" s="37"/>
      <c r="W2259" s="37"/>
      <c r="X2259" s="37"/>
      <c r="Y2259" s="37"/>
      <c r="Z2259" s="37"/>
      <c r="AA2259" s="37"/>
      <c r="AB2259" s="37"/>
      <c r="AC2259" s="37"/>
      <c r="AD2259" s="37"/>
      <c r="AE2259" s="37"/>
      <c r="AF2259" s="37"/>
      <c r="AG2259" s="37"/>
      <c r="AH2259" s="37"/>
      <c r="AI2259" s="37"/>
      <c r="AJ2259" s="37"/>
      <c r="AK2259" s="37"/>
      <c r="AL2259" s="37"/>
      <c r="AM2259" s="37"/>
      <c r="AN2259" s="37"/>
      <c r="AO2259" s="37"/>
      <c r="AP2259" s="37"/>
      <c r="AQ2259" s="37"/>
      <c r="AR2259" s="37"/>
      <c r="AS2259" s="37"/>
      <c r="AT2259" s="37"/>
      <c r="AU2259" s="37"/>
      <c r="AV2259" s="37"/>
      <c r="AW2259" s="37"/>
      <c r="AX2259" s="37"/>
      <c r="AY2259" s="37"/>
      <c r="AZ2259" s="37"/>
      <c r="BA2259" s="37"/>
      <c r="BB2259" s="37"/>
      <c r="BC2259" s="37"/>
      <c r="BD2259" s="37"/>
      <c r="BE2259" s="37"/>
      <c r="BF2259" s="37"/>
      <c r="BG2259" s="37"/>
      <c r="BH2259" s="37"/>
      <c r="BI2259" s="37"/>
      <c r="BJ2259" s="37"/>
      <c r="BK2259" s="37"/>
      <c r="BL2259" s="37"/>
      <c r="BM2259" s="37"/>
    </row>
    <row r="2260" spans="1:65" s="40" customFormat="1" ht="23.25" x14ac:dyDescent="0.35">
      <c r="A2260" s="37"/>
      <c r="B2260" s="37"/>
      <c r="C2260" s="41"/>
      <c r="D2260" s="38"/>
      <c r="E2260" s="57"/>
      <c r="F2260" s="42"/>
      <c r="G2260" s="43"/>
      <c r="H2260" s="37"/>
      <c r="I2260" s="37"/>
      <c r="J2260" s="38"/>
      <c r="K2260" s="37"/>
      <c r="L2260" s="38"/>
      <c r="M2260" s="39"/>
      <c r="P2260" s="37"/>
      <c r="Q2260" s="37"/>
      <c r="R2260" s="37"/>
      <c r="S2260" s="37"/>
      <c r="T2260" s="37"/>
      <c r="U2260" s="37"/>
      <c r="V2260" s="37"/>
      <c r="W2260" s="37"/>
      <c r="X2260" s="37"/>
      <c r="Y2260" s="37"/>
      <c r="Z2260" s="37"/>
      <c r="AA2260" s="37"/>
      <c r="AB2260" s="37"/>
      <c r="AC2260" s="37"/>
      <c r="AD2260" s="37"/>
      <c r="AE2260" s="37"/>
      <c r="AF2260" s="37"/>
      <c r="AG2260" s="37"/>
      <c r="AH2260" s="37"/>
      <c r="AI2260" s="37"/>
      <c r="AJ2260" s="37"/>
      <c r="AK2260" s="37"/>
      <c r="AL2260" s="37"/>
      <c r="AM2260" s="37"/>
      <c r="AN2260" s="37"/>
      <c r="AO2260" s="37"/>
      <c r="AP2260" s="37"/>
      <c r="AQ2260" s="37"/>
      <c r="AR2260" s="37"/>
      <c r="AS2260" s="37"/>
      <c r="AT2260" s="37"/>
      <c r="AU2260" s="37"/>
      <c r="AV2260" s="37"/>
      <c r="AW2260" s="37"/>
      <c r="AX2260" s="37"/>
      <c r="AY2260" s="37"/>
      <c r="AZ2260" s="37"/>
      <c r="BA2260" s="37"/>
      <c r="BB2260" s="37"/>
      <c r="BC2260" s="37"/>
      <c r="BD2260" s="37"/>
      <c r="BE2260" s="37"/>
      <c r="BF2260" s="37"/>
      <c r="BG2260" s="37"/>
      <c r="BH2260" s="37"/>
      <c r="BI2260" s="37"/>
      <c r="BJ2260" s="37"/>
      <c r="BK2260" s="37"/>
      <c r="BL2260" s="37"/>
      <c r="BM2260" s="37"/>
    </row>
    <row r="2261" spans="1:65" s="40" customFormat="1" ht="23.25" x14ac:dyDescent="0.35">
      <c r="A2261" s="37"/>
      <c r="B2261" s="37"/>
      <c r="C2261" s="41"/>
      <c r="D2261" s="38"/>
      <c r="E2261" s="57"/>
      <c r="F2261" s="42"/>
      <c r="G2261" s="43"/>
      <c r="H2261" s="37"/>
      <c r="I2261" s="37"/>
      <c r="J2261" s="38"/>
      <c r="K2261" s="37"/>
      <c r="L2261" s="38"/>
      <c r="M2261" s="39"/>
      <c r="P2261" s="37"/>
      <c r="Q2261" s="37"/>
      <c r="R2261" s="37"/>
      <c r="S2261" s="37"/>
      <c r="T2261" s="37"/>
      <c r="U2261" s="37"/>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7"/>
      <c r="AR2261" s="37"/>
      <c r="AS2261" s="37"/>
      <c r="AT2261" s="37"/>
      <c r="AU2261" s="37"/>
      <c r="AV2261" s="37"/>
      <c r="AW2261" s="37"/>
      <c r="AX2261" s="37"/>
      <c r="AY2261" s="37"/>
      <c r="AZ2261" s="37"/>
      <c r="BA2261" s="37"/>
      <c r="BB2261" s="37"/>
      <c r="BC2261" s="37"/>
      <c r="BD2261" s="37"/>
      <c r="BE2261" s="37"/>
      <c r="BF2261" s="37"/>
      <c r="BG2261" s="37"/>
      <c r="BH2261" s="37"/>
      <c r="BI2261" s="37"/>
      <c r="BJ2261" s="37"/>
      <c r="BK2261" s="37"/>
      <c r="BL2261" s="37"/>
      <c r="BM2261" s="37"/>
    </row>
    <row r="2262" spans="1:65" s="40" customFormat="1" ht="23.25" x14ac:dyDescent="0.35">
      <c r="A2262" s="37"/>
      <c r="B2262" s="37"/>
      <c r="C2262" s="41"/>
      <c r="D2262" s="38"/>
      <c r="E2262" s="57"/>
      <c r="F2262" s="42"/>
      <c r="G2262" s="43"/>
      <c r="H2262" s="37"/>
      <c r="I2262" s="37"/>
      <c r="J2262" s="38"/>
      <c r="K2262" s="37"/>
      <c r="L2262" s="38"/>
      <c r="M2262" s="39"/>
      <c r="P2262" s="37"/>
      <c r="Q2262" s="37"/>
      <c r="R2262" s="37"/>
      <c r="S2262" s="37"/>
      <c r="T2262" s="37"/>
      <c r="U2262" s="37"/>
      <c r="V2262" s="37"/>
      <c r="W2262" s="37"/>
      <c r="X2262" s="37"/>
      <c r="Y2262" s="37"/>
      <c r="Z2262" s="37"/>
      <c r="AA2262" s="37"/>
      <c r="AB2262" s="37"/>
      <c r="AC2262" s="37"/>
      <c r="AD2262" s="37"/>
      <c r="AE2262" s="37"/>
      <c r="AF2262" s="37"/>
      <c r="AG2262" s="37"/>
      <c r="AH2262" s="37"/>
      <c r="AI2262" s="37"/>
      <c r="AJ2262" s="37"/>
      <c r="AK2262" s="37"/>
      <c r="AL2262" s="37"/>
      <c r="AM2262" s="37"/>
      <c r="AN2262" s="37"/>
      <c r="AO2262" s="37"/>
      <c r="AP2262" s="37"/>
      <c r="AQ2262" s="37"/>
      <c r="AR2262" s="37"/>
      <c r="AS2262" s="37"/>
      <c r="AT2262" s="37"/>
      <c r="AU2262" s="37"/>
      <c r="AV2262" s="37"/>
      <c r="AW2262" s="37"/>
      <c r="AX2262" s="37"/>
      <c r="AY2262" s="37"/>
      <c r="AZ2262" s="37"/>
      <c r="BA2262" s="37"/>
      <c r="BB2262" s="37"/>
      <c r="BC2262" s="37"/>
      <c r="BD2262" s="37"/>
      <c r="BE2262" s="37"/>
      <c r="BF2262" s="37"/>
      <c r="BG2262" s="37"/>
      <c r="BH2262" s="37"/>
      <c r="BI2262" s="37"/>
      <c r="BJ2262" s="37"/>
      <c r="BK2262" s="37"/>
      <c r="BL2262" s="37"/>
      <c r="BM2262" s="37"/>
    </row>
    <row r="2263" spans="1:65" s="40" customFormat="1" ht="23.25" x14ac:dyDescent="0.35">
      <c r="A2263" s="37"/>
      <c r="B2263" s="37"/>
      <c r="C2263" s="41"/>
      <c r="D2263" s="38"/>
      <c r="E2263" s="57"/>
      <c r="F2263" s="42"/>
      <c r="G2263" s="43"/>
      <c r="H2263" s="37"/>
      <c r="I2263" s="37"/>
      <c r="J2263" s="38"/>
      <c r="K2263" s="37"/>
      <c r="L2263" s="38"/>
      <c r="M2263" s="39"/>
      <c r="P2263" s="37"/>
      <c r="Q2263" s="37"/>
      <c r="R2263" s="37"/>
      <c r="S2263" s="37"/>
      <c r="T2263" s="37"/>
      <c r="U2263" s="37"/>
      <c r="V2263" s="37"/>
      <c r="W2263" s="37"/>
      <c r="X2263" s="37"/>
      <c r="Y2263" s="37"/>
      <c r="Z2263" s="37"/>
      <c r="AA2263" s="37"/>
      <c r="AB2263" s="37"/>
      <c r="AC2263" s="37"/>
      <c r="AD2263" s="37"/>
      <c r="AE2263" s="37"/>
      <c r="AF2263" s="37"/>
      <c r="AG2263" s="37"/>
      <c r="AH2263" s="37"/>
      <c r="AI2263" s="37"/>
      <c r="AJ2263" s="37"/>
      <c r="AK2263" s="37"/>
      <c r="AL2263" s="37"/>
      <c r="AM2263" s="37"/>
      <c r="AN2263" s="37"/>
      <c r="AO2263" s="37"/>
      <c r="AP2263" s="37"/>
      <c r="AQ2263" s="37"/>
      <c r="AR2263" s="37"/>
      <c r="AS2263" s="37"/>
      <c r="AT2263" s="37"/>
      <c r="AU2263" s="37"/>
      <c r="AV2263" s="37"/>
      <c r="AW2263" s="37"/>
      <c r="AX2263" s="37"/>
      <c r="AY2263" s="37"/>
      <c r="AZ2263" s="37"/>
      <c r="BA2263" s="37"/>
      <c r="BB2263" s="37"/>
      <c r="BC2263" s="37"/>
      <c r="BD2263" s="37"/>
      <c r="BE2263" s="37"/>
      <c r="BF2263" s="37"/>
      <c r="BG2263" s="37"/>
      <c r="BH2263" s="37"/>
      <c r="BI2263" s="37"/>
      <c r="BJ2263" s="37"/>
      <c r="BK2263" s="37"/>
      <c r="BL2263" s="37"/>
      <c r="BM2263" s="37"/>
    </row>
    <row r="2264" spans="1:65" s="40" customFormat="1" ht="23.25" x14ac:dyDescent="0.35">
      <c r="A2264" s="37"/>
      <c r="B2264" s="37"/>
      <c r="C2264" s="41"/>
      <c r="D2264" s="38"/>
      <c r="E2264" s="57"/>
      <c r="F2264" s="42"/>
      <c r="G2264" s="43"/>
      <c r="H2264" s="37"/>
      <c r="I2264" s="37"/>
      <c r="J2264" s="38"/>
      <c r="K2264" s="37"/>
      <c r="L2264" s="38"/>
      <c r="M2264" s="39"/>
      <c r="P2264" s="37"/>
      <c r="Q2264" s="37"/>
      <c r="R2264" s="37"/>
      <c r="S2264" s="37"/>
      <c r="T2264" s="37"/>
      <c r="U2264" s="37"/>
      <c r="V2264" s="37"/>
      <c r="W2264" s="37"/>
      <c r="X2264" s="37"/>
      <c r="Y2264" s="37"/>
      <c r="Z2264" s="37"/>
      <c r="AA2264" s="37"/>
      <c r="AB2264" s="37"/>
      <c r="AC2264" s="37"/>
      <c r="AD2264" s="37"/>
      <c r="AE2264" s="37"/>
      <c r="AF2264" s="37"/>
      <c r="AG2264" s="37"/>
      <c r="AH2264" s="37"/>
      <c r="AI2264" s="37"/>
      <c r="AJ2264" s="37"/>
      <c r="AK2264" s="37"/>
      <c r="AL2264" s="37"/>
      <c r="AM2264" s="37"/>
      <c r="AN2264" s="37"/>
      <c r="AO2264" s="37"/>
      <c r="AP2264" s="37"/>
      <c r="AQ2264" s="37"/>
      <c r="AR2264" s="37"/>
      <c r="AS2264" s="37"/>
      <c r="AT2264" s="37"/>
      <c r="AU2264" s="37"/>
      <c r="AV2264" s="37"/>
      <c r="AW2264" s="37"/>
      <c r="AX2264" s="37"/>
      <c r="AY2264" s="37"/>
      <c r="AZ2264" s="37"/>
      <c r="BA2264" s="37"/>
      <c r="BB2264" s="37"/>
      <c r="BC2264" s="37"/>
      <c r="BD2264" s="37"/>
      <c r="BE2264" s="37"/>
      <c r="BF2264" s="37"/>
      <c r="BG2264" s="37"/>
      <c r="BH2264" s="37"/>
      <c r="BI2264" s="37"/>
      <c r="BJ2264" s="37"/>
      <c r="BK2264" s="37"/>
      <c r="BL2264" s="37"/>
      <c r="BM2264" s="37"/>
    </row>
    <row r="2265" spans="1:65" s="40" customFormat="1" ht="23.25" x14ac:dyDescent="0.35">
      <c r="A2265" s="37"/>
      <c r="B2265" s="37"/>
      <c r="C2265" s="41"/>
      <c r="D2265" s="38"/>
      <c r="E2265" s="57"/>
      <c r="F2265" s="42"/>
      <c r="G2265" s="43"/>
      <c r="H2265" s="37"/>
      <c r="I2265" s="37"/>
      <c r="J2265" s="38"/>
      <c r="K2265" s="37"/>
      <c r="L2265" s="38"/>
      <c r="M2265" s="39"/>
      <c r="P2265" s="37"/>
      <c r="Q2265" s="37"/>
      <c r="R2265" s="37"/>
      <c r="S2265" s="37"/>
      <c r="T2265" s="37"/>
      <c r="U2265" s="37"/>
      <c r="V2265" s="37"/>
      <c r="W2265" s="37"/>
      <c r="X2265" s="37"/>
      <c r="Y2265" s="37"/>
      <c r="Z2265" s="37"/>
      <c r="AA2265" s="37"/>
      <c r="AB2265" s="37"/>
      <c r="AC2265" s="37"/>
      <c r="AD2265" s="37"/>
      <c r="AE2265" s="37"/>
      <c r="AF2265" s="37"/>
      <c r="AG2265" s="37"/>
      <c r="AH2265" s="37"/>
      <c r="AI2265" s="37"/>
      <c r="AJ2265" s="37"/>
      <c r="AK2265" s="37"/>
      <c r="AL2265" s="37"/>
      <c r="AM2265" s="37"/>
      <c r="AN2265" s="37"/>
      <c r="AO2265" s="37"/>
      <c r="AP2265" s="37"/>
      <c r="AQ2265" s="37"/>
      <c r="AR2265" s="37"/>
      <c r="AS2265" s="37"/>
      <c r="AT2265" s="37"/>
      <c r="AU2265" s="37"/>
      <c r="AV2265" s="37"/>
      <c r="AW2265" s="37"/>
      <c r="AX2265" s="37"/>
      <c r="AY2265" s="37"/>
      <c r="AZ2265" s="37"/>
      <c r="BA2265" s="37"/>
      <c r="BB2265" s="37"/>
      <c r="BC2265" s="37"/>
      <c r="BD2265" s="37"/>
      <c r="BE2265" s="37"/>
      <c r="BF2265" s="37"/>
      <c r="BG2265" s="37"/>
      <c r="BH2265" s="37"/>
      <c r="BI2265" s="37"/>
      <c r="BJ2265" s="37"/>
      <c r="BK2265" s="37"/>
      <c r="BL2265" s="37"/>
      <c r="BM2265" s="37"/>
    </row>
    <row r="2266" spans="1:65" s="40" customFormat="1" ht="23.25" x14ac:dyDescent="0.35">
      <c r="A2266" s="37"/>
      <c r="B2266" s="37"/>
      <c r="C2266" s="41"/>
      <c r="D2266" s="38"/>
      <c r="E2266" s="57"/>
      <c r="F2266" s="42"/>
      <c r="G2266" s="43"/>
      <c r="H2266" s="37"/>
      <c r="I2266" s="37"/>
      <c r="J2266" s="38"/>
      <c r="K2266" s="37"/>
      <c r="L2266" s="38"/>
      <c r="M2266" s="39"/>
      <c r="P2266" s="37"/>
      <c r="Q2266" s="37"/>
      <c r="R2266" s="37"/>
      <c r="S2266" s="37"/>
      <c r="T2266" s="37"/>
      <c r="U2266" s="37"/>
      <c r="V2266" s="37"/>
      <c r="W2266" s="37"/>
      <c r="X2266" s="37"/>
      <c r="Y2266" s="37"/>
      <c r="Z2266" s="37"/>
      <c r="AA2266" s="37"/>
      <c r="AB2266" s="37"/>
      <c r="AC2266" s="37"/>
      <c r="AD2266" s="37"/>
      <c r="AE2266" s="37"/>
      <c r="AF2266" s="37"/>
      <c r="AG2266" s="37"/>
      <c r="AH2266" s="37"/>
      <c r="AI2266" s="37"/>
      <c r="AJ2266" s="37"/>
      <c r="AK2266" s="37"/>
      <c r="AL2266" s="37"/>
      <c r="AM2266" s="37"/>
      <c r="AN2266" s="37"/>
      <c r="AO2266" s="37"/>
      <c r="AP2266" s="37"/>
      <c r="AQ2266" s="37"/>
      <c r="AR2266" s="37"/>
      <c r="AS2266" s="37"/>
      <c r="AT2266" s="37"/>
      <c r="AU2266" s="37"/>
      <c r="AV2266" s="37"/>
      <c r="AW2266" s="37"/>
      <c r="AX2266" s="37"/>
      <c r="AY2266" s="37"/>
      <c r="AZ2266" s="37"/>
      <c r="BA2266" s="37"/>
      <c r="BB2266" s="37"/>
      <c r="BC2266" s="37"/>
      <c r="BD2266" s="37"/>
      <c r="BE2266" s="37"/>
      <c r="BF2266" s="37"/>
      <c r="BG2266" s="37"/>
      <c r="BH2266" s="37"/>
      <c r="BI2266" s="37"/>
      <c r="BJ2266" s="37"/>
      <c r="BK2266" s="37"/>
      <c r="BL2266" s="37"/>
      <c r="BM2266" s="37"/>
    </row>
    <row r="2267" spans="1:65" s="40" customFormat="1" ht="23.25" x14ac:dyDescent="0.35">
      <c r="A2267" s="37"/>
      <c r="B2267" s="37"/>
      <c r="C2267" s="41"/>
      <c r="D2267" s="38"/>
      <c r="E2267" s="57"/>
      <c r="F2267" s="42"/>
      <c r="G2267" s="43"/>
      <c r="H2267" s="37"/>
      <c r="I2267" s="37"/>
      <c r="J2267" s="38"/>
      <c r="K2267" s="37"/>
      <c r="L2267" s="38"/>
      <c r="M2267" s="39"/>
      <c r="P2267" s="37"/>
      <c r="Q2267" s="37"/>
      <c r="R2267" s="37"/>
      <c r="S2267" s="37"/>
      <c r="T2267" s="37"/>
      <c r="U2267" s="37"/>
      <c r="V2267" s="37"/>
      <c r="W2267" s="37"/>
      <c r="X2267" s="37"/>
      <c r="Y2267" s="37"/>
      <c r="Z2267" s="37"/>
      <c r="AA2267" s="37"/>
      <c r="AB2267" s="37"/>
      <c r="AC2267" s="37"/>
      <c r="AD2267" s="37"/>
      <c r="AE2267" s="37"/>
      <c r="AF2267" s="37"/>
      <c r="AG2267" s="37"/>
      <c r="AH2267" s="37"/>
      <c r="AI2267" s="37"/>
      <c r="AJ2267" s="37"/>
      <c r="AK2267" s="37"/>
      <c r="AL2267" s="37"/>
      <c r="AM2267" s="37"/>
      <c r="AN2267" s="37"/>
      <c r="AO2267" s="37"/>
      <c r="AP2267" s="37"/>
      <c r="AQ2267" s="37"/>
      <c r="AR2267" s="37"/>
      <c r="AS2267" s="37"/>
      <c r="AT2267" s="37"/>
      <c r="AU2267" s="37"/>
      <c r="AV2267" s="37"/>
      <c r="AW2267" s="37"/>
      <c r="AX2267" s="37"/>
      <c r="AY2267" s="37"/>
      <c r="AZ2267" s="37"/>
      <c r="BA2267" s="37"/>
      <c r="BB2267" s="37"/>
      <c r="BC2267" s="37"/>
      <c r="BD2267" s="37"/>
      <c r="BE2267" s="37"/>
      <c r="BF2267" s="37"/>
      <c r="BG2267" s="37"/>
      <c r="BH2267" s="37"/>
      <c r="BI2267" s="37"/>
      <c r="BJ2267" s="37"/>
      <c r="BK2267" s="37"/>
      <c r="BL2267" s="37"/>
      <c r="BM2267" s="37"/>
    </row>
    <row r="2268" spans="1:65" s="40" customFormat="1" ht="23.25" x14ac:dyDescent="0.35">
      <c r="A2268" s="37"/>
      <c r="B2268" s="37"/>
      <c r="C2268" s="41"/>
      <c r="D2268" s="38"/>
      <c r="E2268" s="57"/>
      <c r="F2268" s="42"/>
      <c r="G2268" s="43"/>
      <c r="H2268" s="37"/>
      <c r="I2268" s="37"/>
      <c r="J2268" s="38"/>
      <c r="K2268" s="37"/>
      <c r="L2268" s="38"/>
      <c r="M2268" s="39"/>
      <c r="P2268" s="37"/>
      <c r="Q2268" s="37"/>
      <c r="R2268" s="37"/>
      <c r="S2268" s="37"/>
      <c r="T2268" s="37"/>
      <c r="U2268" s="37"/>
      <c r="V2268" s="37"/>
      <c r="W2268" s="37"/>
      <c r="X2268" s="37"/>
      <c r="Y2268" s="37"/>
      <c r="Z2268" s="37"/>
      <c r="AA2268" s="37"/>
      <c r="AB2268" s="37"/>
      <c r="AC2268" s="37"/>
      <c r="AD2268" s="37"/>
      <c r="AE2268" s="37"/>
      <c r="AF2268" s="37"/>
      <c r="AG2268" s="37"/>
      <c r="AH2268" s="37"/>
      <c r="AI2268" s="37"/>
      <c r="AJ2268" s="37"/>
      <c r="AK2268" s="37"/>
      <c r="AL2268" s="37"/>
      <c r="AM2268" s="37"/>
      <c r="AN2268" s="37"/>
      <c r="AO2268" s="37"/>
      <c r="AP2268" s="37"/>
      <c r="AQ2268" s="37"/>
      <c r="AR2268" s="37"/>
      <c r="AS2268" s="37"/>
      <c r="AT2268" s="37"/>
      <c r="AU2268" s="37"/>
      <c r="AV2268" s="37"/>
      <c r="AW2268" s="37"/>
      <c r="AX2268" s="37"/>
      <c r="AY2268" s="37"/>
      <c r="AZ2268" s="37"/>
      <c r="BA2268" s="37"/>
      <c r="BB2268" s="37"/>
      <c r="BC2268" s="37"/>
      <c r="BD2268" s="37"/>
      <c r="BE2268" s="37"/>
      <c r="BF2268" s="37"/>
      <c r="BG2268" s="37"/>
      <c r="BH2268" s="37"/>
      <c r="BI2268" s="37"/>
      <c r="BJ2268" s="37"/>
      <c r="BK2268" s="37"/>
      <c r="BL2268" s="37"/>
      <c r="BM2268" s="37"/>
    </row>
    <row r="2269" spans="1:65" s="40" customFormat="1" ht="23.25" x14ac:dyDescent="0.35">
      <c r="A2269" s="37"/>
      <c r="B2269" s="37"/>
      <c r="C2269" s="41"/>
      <c r="D2269" s="38"/>
      <c r="E2269" s="57"/>
      <c r="F2269" s="42"/>
      <c r="G2269" s="43"/>
      <c r="H2269" s="37"/>
      <c r="I2269" s="37"/>
      <c r="J2269" s="38"/>
      <c r="K2269" s="37"/>
      <c r="L2269" s="38"/>
      <c r="M2269" s="39"/>
      <c r="P2269" s="37"/>
      <c r="Q2269" s="37"/>
      <c r="R2269" s="37"/>
      <c r="S2269" s="37"/>
      <c r="T2269" s="37"/>
      <c r="U2269" s="37"/>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7"/>
      <c r="AR2269" s="37"/>
      <c r="AS2269" s="37"/>
      <c r="AT2269" s="37"/>
      <c r="AU2269" s="37"/>
      <c r="AV2269" s="37"/>
      <c r="AW2269" s="37"/>
      <c r="AX2269" s="37"/>
      <c r="AY2269" s="37"/>
      <c r="AZ2269" s="37"/>
      <c r="BA2269" s="37"/>
      <c r="BB2269" s="37"/>
      <c r="BC2269" s="37"/>
      <c r="BD2269" s="37"/>
      <c r="BE2269" s="37"/>
      <c r="BF2269" s="37"/>
      <c r="BG2269" s="37"/>
      <c r="BH2269" s="37"/>
      <c r="BI2269" s="37"/>
      <c r="BJ2269" s="37"/>
      <c r="BK2269" s="37"/>
      <c r="BL2269" s="37"/>
      <c r="BM2269" s="37"/>
    </row>
    <row r="2270" spans="1:65" s="40" customFormat="1" ht="23.25" x14ac:dyDescent="0.35">
      <c r="A2270" s="37"/>
      <c r="B2270" s="37"/>
      <c r="C2270" s="41"/>
      <c r="D2270" s="38"/>
      <c r="E2270" s="57"/>
      <c r="F2270" s="42"/>
      <c r="G2270" s="43"/>
      <c r="H2270" s="37"/>
      <c r="I2270" s="37"/>
      <c r="J2270" s="38"/>
      <c r="K2270" s="37"/>
      <c r="L2270" s="38"/>
      <c r="M2270" s="39"/>
      <c r="P2270" s="37"/>
      <c r="Q2270" s="37"/>
      <c r="R2270" s="37"/>
      <c r="S2270" s="37"/>
      <c r="T2270" s="37"/>
      <c r="U2270" s="37"/>
      <c r="V2270" s="37"/>
      <c r="W2270" s="37"/>
      <c r="X2270" s="37"/>
      <c r="Y2270" s="37"/>
      <c r="Z2270" s="37"/>
      <c r="AA2270" s="37"/>
      <c r="AB2270" s="37"/>
      <c r="AC2270" s="37"/>
      <c r="AD2270" s="37"/>
      <c r="AE2270" s="37"/>
      <c r="AF2270" s="37"/>
      <c r="AG2270" s="37"/>
      <c r="AH2270" s="37"/>
      <c r="AI2270" s="37"/>
      <c r="AJ2270" s="37"/>
      <c r="AK2270" s="37"/>
      <c r="AL2270" s="37"/>
      <c r="AM2270" s="37"/>
      <c r="AN2270" s="37"/>
      <c r="AO2270" s="37"/>
      <c r="AP2270" s="37"/>
      <c r="AQ2270" s="37"/>
      <c r="AR2270" s="37"/>
      <c r="AS2270" s="37"/>
      <c r="AT2270" s="37"/>
      <c r="AU2270" s="37"/>
      <c r="AV2270" s="37"/>
      <c r="AW2270" s="37"/>
      <c r="AX2270" s="37"/>
      <c r="AY2270" s="37"/>
      <c r="AZ2270" s="37"/>
      <c r="BA2270" s="37"/>
      <c r="BB2270" s="37"/>
      <c r="BC2270" s="37"/>
      <c r="BD2270" s="37"/>
      <c r="BE2270" s="37"/>
      <c r="BF2270" s="37"/>
      <c r="BG2270" s="37"/>
      <c r="BH2270" s="37"/>
      <c r="BI2270" s="37"/>
      <c r="BJ2270" s="37"/>
      <c r="BK2270" s="37"/>
      <c r="BL2270" s="37"/>
      <c r="BM2270" s="37"/>
    </row>
    <row r="2271" spans="1:65" s="40" customFormat="1" ht="23.25" x14ac:dyDescent="0.35">
      <c r="A2271" s="37"/>
      <c r="B2271" s="37"/>
      <c r="C2271" s="41"/>
      <c r="D2271" s="38"/>
      <c r="E2271" s="57"/>
      <c r="F2271" s="42"/>
      <c r="G2271" s="43"/>
      <c r="H2271" s="37"/>
      <c r="I2271" s="37"/>
      <c r="J2271" s="38"/>
      <c r="K2271" s="37"/>
      <c r="L2271" s="38"/>
      <c r="M2271" s="39"/>
      <c r="P2271" s="37"/>
      <c r="Q2271" s="37"/>
      <c r="R2271" s="37"/>
      <c r="S2271" s="37"/>
      <c r="T2271" s="37"/>
      <c r="U2271" s="37"/>
      <c r="V2271" s="37"/>
      <c r="W2271" s="37"/>
      <c r="X2271" s="37"/>
      <c r="Y2271" s="37"/>
      <c r="Z2271" s="37"/>
      <c r="AA2271" s="37"/>
      <c r="AB2271" s="37"/>
      <c r="AC2271" s="37"/>
      <c r="AD2271" s="37"/>
      <c r="AE2271" s="37"/>
      <c r="AF2271" s="37"/>
      <c r="AG2271" s="37"/>
      <c r="AH2271" s="37"/>
      <c r="AI2271" s="37"/>
      <c r="AJ2271" s="37"/>
      <c r="AK2271" s="37"/>
      <c r="AL2271" s="37"/>
      <c r="AM2271" s="37"/>
      <c r="AN2271" s="37"/>
      <c r="AO2271" s="37"/>
      <c r="AP2271" s="37"/>
      <c r="AQ2271" s="37"/>
      <c r="AR2271" s="37"/>
      <c r="AS2271" s="37"/>
      <c r="AT2271" s="37"/>
      <c r="AU2271" s="37"/>
      <c r="AV2271" s="37"/>
      <c r="AW2271" s="37"/>
      <c r="AX2271" s="37"/>
      <c r="AY2271" s="37"/>
      <c r="AZ2271" s="37"/>
      <c r="BA2271" s="37"/>
      <c r="BB2271" s="37"/>
      <c r="BC2271" s="37"/>
      <c r="BD2271" s="37"/>
      <c r="BE2271" s="37"/>
      <c r="BF2271" s="37"/>
      <c r="BG2271" s="37"/>
      <c r="BH2271" s="37"/>
      <c r="BI2271" s="37"/>
      <c r="BJ2271" s="37"/>
      <c r="BK2271" s="37"/>
      <c r="BL2271" s="37"/>
      <c r="BM2271" s="37"/>
    </row>
    <row r="2272" spans="1:65" s="40" customFormat="1" ht="23.25" x14ac:dyDescent="0.35">
      <c r="A2272" s="37"/>
      <c r="B2272" s="37"/>
      <c r="C2272" s="41"/>
      <c r="D2272" s="38"/>
      <c r="E2272" s="57"/>
      <c r="F2272" s="42"/>
      <c r="G2272" s="43"/>
      <c r="H2272" s="37"/>
      <c r="I2272" s="37"/>
      <c r="J2272" s="38"/>
      <c r="K2272" s="37"/>
      <c r="L2272" s="38"/>
      <c r="M2272" s="39"/>
      <c r="P2272" s="37"/>
      <c r="Q2272" s="37"/>
      <c r="R2272" s="37"/>
      <c r="S2272" s="37"/>
      <c r="T2272" s="37"/>
      <c r="U2272" s="37"/>
      <c r="V2272" s="37"/>
      <c r="W2272" s="37"/>
      <c r="X2272" s="37"/>
      <c r="Y2272" s="37"/>
      <c r="Z2272" s="37"/>
      <c r="AA2272" s="37"/>
      <c r="AB2272" s="37"/>
      <c r="AC2272" s="37"/>
      <c r="AD2272" s="37"/>
      <c r="AE2272" s="37"/>
      <c r="AF2272" s="37"/>
      <c r="AG2272" s="37"/>
      <c r="AH2272" s="37"/>
      <c r="AI2272" s="37"/>
      <c r="AJ2272" s="37"/>
      <c r="AK2272" s="37"/>
      <c r="AL2272" s="37"/>
      <c r="AM2272" s="37"/>
      <c r="AN2272" s="37"/>
      <c r="AO2272" s="37"/>
      <c r="AP2272" s="37"/>
      <c r="AQ2272" s="37"/>
      <c r="AR2272" s="37"/>
      <c r="AS2272" s="37"/>
      <c r="AT2272" s="37"/>
      <c r="AU2272" s="37"/>
      <c r="AV2272" s="37"/>
      <c r="AW2272" s="37"/>
      <c r="AX2272" s="37"/>
      <c r="AY2272" s="37"/>
      <c r="AZ2272" s="37"/>
      <c r="BA2272" s="37"/>
      <c r="BB2272" s="37"/>
      <c r="BC2272" s="37"/>
      <c r="BD2272" s="37"/>
      <c r="BE2272" s="37"/>
      <c r="BF2272" s="37"/>
      <c r="BG2272" s="37"/>
      <c r="BH2272" s="37"/>
      <c r="BI2272" s="37"/>
      <c r="BJ2272" s="37"/>
      <c r="BK2272" s="37"/>
      <c r="BL2272" s="37"/>
      <c r="BM2272" s="37"/>
    </row>
    <row r="2273" spans="1:65" s="40" customFormat="1" ht="23.25" x14ac:dyDescent="0.35">
      <c r="A2273" s="37"/>
      <c r="B2273" s="37"/>
      <c r="C2273" s="41"/>
      <c r="D2273" s="38"/>
      <c r="E2273" s="57"/>
      <c r="F2273" s="42"/>
      <c r="G2273" s="43"/>
      <c r="H2273" s="37"/>
      <c r="I2273" s="37"/>
      <c r="J2273" s="38"/>
      <c r="K2273" s="37"/>
      <c r="L2273" s="38"/>
      <c r="M2273" s="39"/>
      <c r="P2273" s="37"/>
      <c r="Q2273" s="37"/>
      <c r="R2273" s="37"/>
      <c r="S2273" s="37"/>
      <c r="T2273" s="37"/>
      <c r="U2273" s="37"/>
      <c r="V2273" s="37"/>
      <c r="W2273" s="37"/>
      <c r="X2273" s="37"/>
      <c r="Y2273" s="37"/>
      <c r="Z2273" s="37"/>
      <c r="AA2273" s="37"/>
      <c r="AB2273" s="37"/>
      <c r="AC2273" s="37"/>
      <c r="AD2273" s="37"/>
      <c r="AE2273" s="37"/>
      <c r="AF2273" s="37"/>
      <c r="AG2273" s="37"/>
      <c r="AH2273" s="37"/>
      <c r="AI2273" s="37"/>
      <c r="AJ2273" s="37"/>
      <c r="AK2273" s="37"/>
      <c r="AL2273" s="37"/>
      <c r="AM2273" s="37"/>
      <c r="AN2273" s="37"/>
      <c r="AO2273" s="37"/>
      <c r="AP2273" s="37"/>
      <c r="AQ2273" s="37"/>
      <c r="AR2273" s="37"/>
      <c r="AS2273" s="37"/>
      <c r="AT2273" s="37"/>
      <c r="AU2273" s="37"/>
      <c r="AV2273" s="37"/>
      <c r="AW2273" s="37"/>
      <c r="AX2273" s="37"/>
      <c r="AY2273" s="37"/>
      <c r="AZ2273" s="37"/>
      <c r="BA2273" s="37"/>
      <c r="BB2273" s="37"/>
      <c r="BC2273" s="37"/>
      <c r="BD2273" s="37"/>
      <c r="BE2273" s="37"/>
      <c r="BF2273" s="37"/>
      <c r="BG2273" s="37"/>
      <c r="BH2273" s="37"/>
      <c r="BI2273" s="37"/>
      <c r="BJ2273" s="37"/>
      <c r="BK2273" s="37"/>
      <c r="BL2273" s="37"/>
      <c r="BM2273" s="37"/>
    </row>
    <row r="2274" spans="1:65" s="40" customFormat="1" ht="23.25" x14ac:dyDescent="0.35">
      <c r="A2274" s="37"/>
      <c r="B2274" s="37"/>
      <c r="C2274" s="41"/>
      <c r="D2274" s="38"/>
      <c r="E2274" s="57"/>
      <c r="F2274" s="42"/>
      <c r="G2274" s="43"/>
      <c r="H2274" s="37"/>
      <c r="I2274" s="37"/>
      <c r="J2274" s="38"/>
      <c r="K2274" s="37"/>
      <c r="L2274" s="38"/>
      <c r="M2274" s="39"/>
      <c r="P2274" s="37"/>
      <c r="Q2274" s="37"/>
      <c r="R2274" s="37"/>
      <c r="S2274" s="37"/>
      <c r="T2274" s="37"/>
      <c r="U2274" s="37"/>
      <c r="V2274" s="37"/>
      <c r="W2274" s="37"/>
      <c r="X2274" s="37"/>
      <c r="Y2274" s="37"/>
      <c r="Z2274" s="37"/>
      <c r="AA2274" s="37"/>
      <c r="AB2274" s="37"/>
      <c r="AC2274" s="37"/>
      <c r="AD2274" s="37"/>
      <c r="AE2274" s="37"/>
      <c r="AF2274" s="37"/>
      <c r="AG2274" s="37"/>
      <c r="AH2274" s="37"/>
      <c r="AI2274" s="37"/>
      <c r="AJ2274" s="37"/>
      <c r="AK2274" s="37"/>
      <c r="AL2274" s="37"/>
      <c r="AM2274" s="37"/>
      <c r="AN2274" s="37"/>
      <c r="AO2274" s="37"/>
      <c r="AP2274" s="37"/>
      <c r="AQ2274" s="37"/>
      <c r="AR2274" s="37"/>
      <c r="AS2274" s="37"/>
      <c r="AT2274" s="37"/>
      <c r="AU2274" s="37"/>
      <c r="AV2274" s="37"/>
      <c r="AW2274" s="37"/>
      <c r="AX2274" s="37"/>
      <c r="AY2274" s="37"/>
      <c r="AZ2274" s="37"/>
      <c r="BA2274" s="37"/>
      <c r="BB2274" s="37"/>
      <c r="BC2274" s="37"/>
      <c r="BD2274" s="37"/>
      <c r="BE2274" s="37"/>
      <c r="BF2274" s="37"/>
      <c r="BG2274" s="37"/>
      <c r="BH2274" s="37"/>
      <c r="BI2274" s="37"/>
      <c r="BJ2274" s="37"/>
      <c r="BK2274" s="37"/>
      <c r="BL2274" s="37"/>
      <c r="BM2274" s="37"/>
    </row>
    <row r="2275" spans="1:65" s="40" customFormat="1" ht="23.25" x14ac:dyDescent="0.35">
      <c r="A2275" s="37"/>
      <c r="B2275" s="37"/>
      <c r="C2275" s="41"/>
      <c r="D2275" s="38"/>
      <c r="E2275" s="57"/>
      <c r="F2275" s="42"/>
      <c r="G2275" s="43"/>
      <c r="H2275" s="37"/>
      <c r="I2275" s="37"/>
      <c r="J2275" s="38"/>
      <c r="K2275" s="37"/>
      <c r="L2275" s="38"/>
      <c r="M2275" s="39"/>
      <c r="P2275" s="37"/>
      <c r="Q2275" s="37"/>
      <c r="R2275" s="37"/>
      <c r="S2275" s="37"/>
      <c r="T2275" s="37"/>
      <c r="U2275" s="37"/>
      <c r="V2275" s="37"/>
      <c r="W2275" s="37"/>
      <c r="X2275" s="37"/>
      <c r="Y2275" s="37"/>
      <c r="Z2275" s="37"/>
      <c r="AA2275" s="37"/>
      <c r="AB2275" s="37"/>
      <c r="AC2275" s="37"/>
      <c r="AD2275" s="37"/>
      <c r="AE2275" s="37"/>
      <c r="AF2275" s="37"/>
      <c r="AG2275" s="37"/>
      <c r="AH2275" s="37"/>
      <c r="AI2275" s="37"/>
      <c r="AJ2275" s="37"/>
      <c r="AK2275" s="37"/>
      <c r="AL2275" s="37"/>
      <c r="AM2275" s="37"/>
      <c r="AN2275" s="37"/>
      <c r="AO2275" s="37"/>
      <c r="AP2275" s="37"/>
      <c r="AQ2275" s="37"/>
      <c r="AR2275" s="37"/>
      <c r="AS2275" s="37"/>
      <c r="AT2275" s="37"/>
      <c r="AU2275" s="37"/>
      <c r="AV2275" s="37"/>
      <c r="AW2275" s="37"/>
      <c r="AX2275" s="37"/>
      <c r="AY2275" s="37"/>
      <c r="AZ2275" s="37"/>
      <c r="BA2275" s="37"/>
      <c r="BB2275" s="37"/>
      <c r="BC2275" s="37"/>
      <c r="BD2275" s="37"/>
      <c r="BE2275" s="37"/>
      <c r="BF2275" s="37"/>
      <c r="BG2275" s="37"/>
      <c r="BH2275" s="37"/>
      <c r="BI2275" s="37"/>
      <c r="BJ2275" s="37"/>
      <c r="BK2275" s="37"/>
      <c r="BL2275" s="37"/>
      <c r="BM2275" s="37"/>
    </row>
    <row r="2276" spans="1:65" s="40" customFormat="1" ht="23.25" x14ac:dyDescent="0.35">
      <c r="A2276" s="37"/>
      <c r="B2276" s="37"/>
      <c r="C2276" s="41"/>
      <c r="D2276" s="38"/>
      <c r="E2276" s="57"/>
      <c r="F2276" s="42"/>
      <c r="G2276" s="43"/>
      <c r="H2276" s="37"/>
      <c r="I2276" s="37"/>
      <c r="J2276" s="38"/>
      <c r="K2276" s="37"/>
      <c r="L2276" s="38"/>
      <c r="M2276" s="39"/>
      <c r="P2276" s="37"/>
      <c r="Q2276" s="37"/>
      <c r="R2276" s="37"/>
      <c r="S2276" s="37"/>
      <c r="T2276" s="37"/>
      <c r="U2276" s="37"/>
      <c r="V2276" s="37"/>
      <c r="W2276" s="37"/>
      <c r="X2276" s="37"/>
      <c r="Y2276" s="37"/>
      <c r="Z2276" s="37"/>
      <c r="AA2276" s="37"/>
      <c r="AB2276" s="37"/>
      <c r="AC2276" s="37"/>
      <c r="AD2276" s="37"/>
      <c r="AE2276" s="37"/>
      <c r="AF2276" s="37"/>
      <c r="AG2276" s="37"/>
      <c r="AH2276" s="37"/>
      <c r="AI2276" s="37"/>
      <c r="AJ2276" s="37"/>
      <c r="AK2276" s="37"/>
      <c r="AL2276" s="37"/>
      <c r="AM2276" s="37"/>
      <c r="AN2276" s="37"/>
      <c r="AO2276" s="37"/>
      <c r="AP2276" s="37"/>
      <c r="AQ2276" s="37"/>
      <c r="AR2276" s="37"/>
      <c r="AS2276" s="37"/>
      <c r="AT2276" s="37"/>
      <c r="AU2276" s="37"/>
      <c r="AV2276" s="37"/>
      <c r="AW2276" s="37"/>
      <c r="AX2276" s="37"/>
      <c r="AY2276" s="37"/>
      <c r="AZ2276" s="37"/>
      <c r="BA2276" s="37"/>
      <c r="BB2276" s="37"/>
      <c r="BC2276" s="37"/>
      <c r="BD2276" s="37"/>
      <c r="BE2276" s="37"/>
      <c r="BF2276" s="37"/>
      <c r="BG2276" s="37"/>
      <c r="BH2276" s="37"/>
      <c r="BI2276" s="37"/>
      <c r="BJ2276" s="37"/>
      <c r="BK2276" s="37"/>
      <c r="BL2276" s="37"/>
      <c r="BM2276" s="37"/>
    </row>
    <row r="2277" spans="1:65" s="40" customFormat="1" ht="23.25" x14ac:dyDescent="0.35">
      <c r="A2277" s="37"/>
      <c r="B2277" s="37"/>
      <c r="C2277" s="41"/>
      <c r="D2277" s="38"/>
      <c r="E2277" s="57"/>
      <c r="F2277" s="42"/>
      <c r="G2277" s="43"/>
      <c r="H2277" s="37"/>
      <c r="I2277" s="37"/>
      <c r="J2277" s="38"/>
      <c r="K2277" s="37"/>
      <c r="L2277" s="38"/>
      <c r="M2277" s="39"/>
      <c r="P2277" s="37"/>
      <c r="Q2277" s="37"/>
      <c r="R2277" s="37"/>
      <c r="S2277" s="37"/>
      <c r="T2277" s="37"/>
      <c r="U2277" s="37"/>
      <c r="V2277" s="37"/>
      <c r="W2277" s="37"/>
      <c r="X2277" s="37"/>
      <c r="Y2277" s="37"/>
      <c r="Z2277" s="37"/>
      <c r="AA2277" s="37"/>
      <c r="AB2277" s="37"/>
      <c r="AC2277" s="37"/>
      <c r="AD2277" s="37"/>
      <c r="AE2277" s="37"/>
      <c r="AF2277" s="37"/>
      <c r="AG2277" s="37"/>
      <c r="AH2277" s="37"/>
      <c r="AI2277" s="37"/>
      <c r="AJ2277" s="37"/>
      <c r="AK2277" s="37"/>
      <c r="AL2277" s="37"/>
      <c r="AM2277" s="37"/>
      <c r="AN2277" s="37"/>
      <c r="AO2277" s="37"/>
      <c r="AP2277" s="37"/>
      <c r="AQ2277" s="37"/>
      <c r="AR2277" s="37"/>
      <c r="AS2277" s="37"/>
      <c r="AT2277" s="37"/>
      <c r="AU2277" s="37"/>
      <c r="AV2277" s="37"/>
      <c r="AW2277" s="37"/>
      <c r="AX2277" s="37"/>
      <c r="AY2277" s="37"/>
      <c r="AZ2277" s="37"/>
      <c r="BA2277" s="37"/>
      <c r="BB2277" s="37"/>
      <c r="BC2277" s="37"/>
      <c r="BD2277" s="37"/>
      <c r="BE2277" s="37"/>
      <c r="BF2277" s="37"/>
      <c r="BG2277" s="37"/>
      <c r="BH2277" s="37"/>
      <c r="BI2277" s="37"/>
      <c r="BJ2277" s="37"/>
      <c r="BK2277" s="37"/>
      <c r="BL2277" s="37"/>
      <c r="BM2277" s="37"/>
    </row>
    <row r="2278" spans="1:65" s="40" customFormat="1" ht="23.25" x14ac:dyDescent="0.35">
      <c r="A2278" s="37"/>
      <c r="B2278" s="37"/>
      <c r="C2278" s="41"/>
      <c r="D2278" s="38"/>
      <c r="E2278" s="57"/>
      <c r="F2278" s="42"/>
      <c r="G2278" s="43"/>
      <c r="H2278" s="37"/>
      <c r="I2278" s="37"/>
      <c r="J2278" s="38"/>
      <c r="K2278" s="37"/>
      <c r="L2278" s="38"/>
      <c r="M2278" s="39"/>
      <c r="P2278" s="37"/>
      <c r="Q2278" s="37"/>
      <c r="R2278" s="37"/>
      <c r="S2278" s="37"/>
      <c r="T2278" s="37"/>
      <c r="U2278" s="37"/>
      <c r="V2278" s="37"/>
      <c r="W2278" s="37"/>
      <c r="X2278" s="37"/>
      <c r="Y2278" s="37"/>
      <c r="Z2278" s="37"/>
      <c r="AA2278" s="37"/>
      <c r="AB2278" s="37"/>
      <c r="AC2278" s="37"/>
      <c r="AD2278" s="37"/>
      <c r="AE2278" s="37"/>
      <c r="AF2278" s="37"/>
      <c r="AG2278" s="37"/>
      <c r="AH2278" s="37"/>
      <c r="AI2278" s="37"/>
      <c r="AJ2278" s="37"/>
      <c r="AK2278" s="37"/>
      <c r="AL2278" s="37"/>
      <c r="AM2278" s="37"/>
      <c r="AN2278" s="37"/>
      <c r="AO2278" s="37"/>
      <c r="AP2278" s="37"/>
      <c r="AQ2278" s="37"/>
      <c r="AR2278" s="37"/>
      <c r="AS2278" s="37"/>
      <c r="AT2278" s="37"/>
      <c r="AU2278" s="37"/>
      <c r="AV2278" s="37"/>
      <c r="AW2278" s="37"/>
      <c r="AX2278" s="37"/>
      <c r="AY2278" s="37"/>
      <c r="AZ2278" s="37"/>
      <c r="BA2278" s="37"/>
      <c r="BB2278" s="37"/>
      <c r="BC2278" s="37"/>
      <c r="BD2278" s="37"/>
      <c r="BE2278" s="37"/>
      <c r="BF2278" s="37"/>
      <c r="BG2278" s="37"/>
      <c r="BH2278" s="37"/>
      <c r="BI2278" s="37"/>
      <c r="BJ2278" s="37"/>
      <c r="BK2278" s="37"/>
      <c r="BL2278" s="37"/>
      <c r="BM2278" s="37"/>
    </row>
    <row r="2279" spans="1:65" s="40" customFormat="1" ht="23.25" x14ac:dyDescent="0.35">
      <c r="A2279" s="37"/>
      <c r="B2279" s="37"/>
      <c r="C2279" s="41"/>
      <c r="D2279" s="38"/>
      <c r="E2279" s="57"/>
      <c r="F2279" s="42"/>
      <c r="G2279" s="43"/>
      <c r="H2279" s="37"/>
      <c r="I2279" s="37"/>
      <c r="J2279" s="38"/>
      <c r="K2279" s="37"/>
      <c r="L2279" s="38"/>
      <c r="M2279" s="39"/>
      <c r="P2279" s="37"/>
      <c r="Q2279" s="37"/>
      <c r="R2279" s="37"/>
      <c r="S2279" s="37"/>
      <c r="T2279" s="37"/>
      <c r="U2279" s="37"/>
      <c r="V2279" s="37"/>
      <c r="W2279" s="37"/>
      <c r="X2279" s="37"/>
      <c r="Y2279" s="37"/>
      <c r="Z2279" s="37"/>
      <c r="AA2279" s="37"/>
      <c r="AB2279" s="37"/>
      <c r="AC2279" s="37"/>
      <c r="AD2279" s="37"/>
      <c r="AE2279" s="37"/>
      <c r="AF2279" s="37"/>
      <c r="AG2279" s="37"/>
      <c r="AH2279" s="37"/>
      <c r="AI2279" s="37"/>
      <c r="AJ2279" s="37"/>
      <c r="AK2279" s="37"/>
      <c r="AL2279" s="37"/>
      <c r="AM2279" s="37"/>
      <c r="AN2279" s="37"/>
      <c r="AO2279" s="37"/>
      <c r="AP2279" s="37"/>
      <c r="AQ2279" s="37"/>
      <c r="AR2279" s="37"/>
      <c r="AS2279" s="37"/>
      <c r="AT2279" s="37"/>
      <c r="AU2279" s="37"/>
      <c r="AV2279" s="37"/>
      <c r="AW2279" s="37"/>
      <c r="AX2279" s="37"/>
      <c r="AY2279" s="37"/>
      <c r="AZ2279" s="37"/>
      <c r="BA2279" s="37"/>
      <c r="BB2279" s="37"/>
      <c r="BC2279" s="37"/>
      <c r="BD2279" s="37"/>
      <c r="BE2279" s="37"/>
      <c r="BF2279" s="37"/>
      <c r="BG2279" s="37"/>
      <c r="BH2279" s="37"/>
      <c r="BI2279" s="37"/>
      <c r="BJ2279" s="37"/>
      <c r="BK2279" s="37"/>
      <c r="BL2279" s="37"/>
      <c r="BM2279" s="37"/>
    </row>
    <row r="2280" spans="1:65" s="40" customFormat="1" ht="23.25" x14ac:dyDescent="0.35">
      <c r="A2280" s="37"/>
      <c r="B2280" s="37"/>
      <c r="C2280" s="41"/>
      <c r="D2280" s="38"/>
      <c r="E2280" s="57"/>
      <c r="F2280" s="42"/>
      <c r="G2280" s="43"/>
      <c r="H2280" s="37"/>
      <c r="I2280" s="37"/>
      <c r="J2280" s="38"/>
      <c r="K2280" s="37"/>
      <c r="L2280" s="38"/>
      <c r="M2280" s="39"/>
      <c r="P2280" s="37"/>
      <c r="Q2280" s="37"/>
      <c r="R2280" s="37"/>
      <c r="S2280" s="37"/>
      <c r="T2280" s="37"/>
      <c r="U2280" s="37"/>
      <c r="V2280" s="37"/>
      <c r="W2280" s="37"/>
      <c r="X2280" s="37"/>
      <c r="Y2280" s="37"/>
      <c r="Z2280" s="37"/>
      <c r="AA2280" s="37"/>
      <c r="AB2280" s="37"/>
      <c r="AC2280" s="37"/>
      <c r="AD2280" s="37"/>
      <c r="AE2280" s="37"/>
      <c r="AF2280" s="37"/>
      <c r="AG2280" s="37"/>
      <c r="AH2280" s="37"/>
      <c r="AI2280" s="37"/>
      <c r="AJ2280" s="37"/>
      <c r="AK2280" s="37"/>
      <c r="AL2280" s="37"/>
      <c r="AM2280" s="37"/>
      <c r="AN2280" s="37"/>
      <c r="AO2280" s="37"/>
      <c r="AP2280" s="37"/>
      <c r="AQ2280" s="37"/>
      <c r="AR2280" s="37"/>
      <c r="AS2280" s="37"/>
      <c r="AT2280" s="37"/>
      <c r="AU2280" s="37"/>
      <c r="AV2280" s="37"/>
      <c r="AW2280" s="37"/>
      <c r="AX2280" s="37"/>
      <c r="AY2280" s="37"/>
      <c r="AZ2280" s="37"/>
      <c r="BA2280" s="37"/>
      <c r="BB2280" s="37"/>
      <c r="BC2280" s="37"/>
      <c r="BD2280" s="37"/>
      <c r="BE2280" s="37"/>
      <c r="BF2280" s="37"/>
      <c r="BG2280" s="37"/>
      <c r="BH2280" s="37"/>
      <c r="BI2280" s="37"/>
      <c r="BJ2280" s="37"/>
      <c r="BK2280" s="37"/>
      <c r="BL2280" s="37"/>
      <c r="BM2280" s="37"/>
    </row>
    <row r="2281" spans="1:65" s="40" customFormat="1" ht="23.25" x14ac:dyDescent="0.35">
      <c r="A2281" s="37"/>
      <c r="B2281" s="37"/>
      <c r="C2281" s="41"/>
      <c r="D2281" s="38"/>
      <c r="E2281" s="57"/>
      <c r="F2281" s="42"/>
      <c r="G2281" s="43"/>
      <c r="H2281" s="37"/>
      <c r="I2281" s="37"/>
      <c r="J2281" s="38"/>
      <c r="K2281" s="37"/>
      <c r="L2281" s="38"/>
      <c r="M2281" s="39"/>
      <c r="P2281" s="37"/>
      <c r="Q2281" s="37"/>
      <c r="R2281" s="37"/>
      <c r="S2281" s="37"/>
      <c r="T2281" s="37"/>
      <c r="U2281" s="37"/>
      <c r="V2281" s="37"/>
      <c r="W2281" s="37"/>
      <c r="X2281" s="37"/>
      <c r="Y2281" s="37"/>
      <c r="Z2281" s="37"/>
      <c r="AA2281" s="37"/>
      <c r="AB2281" s="37"/>
      <c r="AC2281" s="37"/>
      <c r="AD2281" s="37"/>
      <c r="AE2281" s="37"/>
      <c r="AF2281" s="37"/>
      <c r="AG2281" s="37"/>
      <c r="AH2281" s="37"/>
      <c r="AI2281" s="37"/>
      <c r="AJ2281" s="37"/>
      <c r="AK2281" s="37"/>
      <c r="AL2281" s="37"/>
      <c r="AM2281" s="37"/>
      <c r="AN2281" s="37"/>
      <c r="AO2281" s="37"/>
      <c r="AP2281" s="37"/>
      <c r="AQ2281" s="37"/>
      <c r="AR2281" s="37"/>
      <c r="AS2281" s="37"/>
      <c r="AT2281" s="37"/>
      <c r="AU2281" s="37"/>
      <c r="AV2281" s="37"/>
      <c r="AW2281" s="37"/>
      <c r="AX2281" s="37"/>
      <c r="AY2281" s="37"/>
      <c r="AZ2281" s="37"/>
      <c r="BA2281" s="37"/>
      <c r="BB2281" s="37"/>
      <c r="BC2281" s="37"/>
      <c r="BD2281" s="37"/>
      <c r="BE2281" s="37"/>
      <c r="BF2281" s="37"/>
      <c r="BG2281" s="37"/>
      <c r="BH2281" s="37"/>
      <c r="BI2281" s="37"/>
      <c r="BJ2281" s="37"/>
      <c r="BK2281" s="37"/>
      <c r="BL2281" s="37"/>
      <c r="BM2281" s="37"/>
    </row>
    <row r="2282" spans="1:65" s="40" customFormat="1" ht="23.25" x14ac:dyDescent="0.35">
      <c r="A2282" s="37"/>
      <c r="B2282" s="37"/>
      <c r="C2282" s="41"/>
      <c r="D2282" s="38"/>
      <c r="E2282" s="57"/>
      <c r="F2282" s="42"/>
      <c r="G2282" s="43"/>
      <c r="H2282" s="37"/>
      <c r="I2282" s="37"/>
      <c r="J2282" s="38"/>
      <c r="K2282" s="37"/>
      <c r="L2282" s="38"/>
      <c r="M2282" s="39"/>
      <c r="P2282" s="37"/>
      <c r="Q2282" s="37"/>
      <c r="R2282" s="37"/>
      <c r="S2282" s="37"/>
      <c r="T2282" s="37"/>
      <c r="U2282" s="37"/>
      <c r="V2282" s="37"/>
      <c r="W2282" s="37"/>
      <c r="X2282" s="37"/>
      <c r="Y2282" s="37"/>
      <c r="Z2282" s="37"/>
      <c r="AA2282" s="37"/>
      <c r="AB2282" s="37"/>
      <c r="AC2282" s="37"/>
      <c r="AD2282" s="37"/>
      <c r="AE2282" s="37"/>
      <c r="AF2282" s="37"/>
      <c r="AG2282" s="37"/>
      <c r="AH2282" s="37"/>
      <c r="AI2282" s="37"/>
      <c r="AJ2282" s="37"/>
      <c r="AK2282" s="37"/>
      <c r="AL2282" s="37"/>
      <c r="AM2282" s="37"/>
      <c r="AN2282" s="37"/>
      <c r="AO2282" s="37"/>
      <c r="AP2282" s="37"/>
      <c r="AQ2282" s="37"/>
      <c r="AR2282" s="37"/>
      <c r="AS2282" s="37"/>
      <c r="AT2282" s="37"/>
      <c r="AU2282" s="37"/>
      <c r="AV2282" s="37"/>
      <c r="AW2282" s="37"/>
      <c r="AX2282" s="37"/>
      <c r="AY2282" s="37"/>
      <c r="AZ2282" s="37"/>
      <c r="BA2282" s="37"/>
      <c r="BB2282" s="37"/>
      <c r="BC2282" s="37"/>
      <c r="BD2282" s="37"/>
      <c r="BE2282" s="37"/>
      <c r="BF2282" s="37"/>
      <c r="BG2282" s="37"/>
      <c r="BH2282" s="37"/>
      <c r="BI2282" s="37"/>
      <c r="BJ2282" s="37"/>
      <c r="BK2282" s="37"/>
      <c r="BL2282" s="37"/>
      <c r="BM2282" s="37"/>
    </row>
    <row r="2283" spans="1:65" s="40" customFormat="1" ht="23.25" x14ac:dyDescent="0.35">
      <c r="A2283" s="37"/>
      <c r="B2283" s="37"/>
      <c r="C2283" s="41"/>
      <c r="D2283" s="38"/>
      <c r="E2283" s="57"/>
      <c r="F2283" s="42"/>
      <c r="G2283" s="43"/>
      <c r="H2283" s="37"/>
      <c r="I2283" s="37"/>
      <c r="J2283" s="38"/>
      <c r="K2283" s="37"/>
      <c r="L2283" s="38"/>
      <c r="M2283" s="39"/>
      <c r="P2283" s="37"/>
      <c r="Q2283" s="37"/>
      <c r="R2283" s="37"/>
      <c r="S2283" s="37"/>
      <c r="T2283" s="37"/>
      <c r="U2283" s="37"/>
      <c r="V2283" s="37"/>
      <c r="W2283" s="37"/>
      <c r="X2283" s="37"/>
      <c r="Y2283" s="37"/>
      <c r="Z2283" s="37"/>
      <c r="AA2283" s="37"/>
      <c r="AB2283" s="37"/>
      <c r="AC2283" s="37"/>
      <c r="AD2283" s="37"/>
      <c r="AE2283" s="37"/>
      <c r="AF2283" s="37"/>
      <c r="AG2283" s="37"/>
      <c r="AH2283" s="37"/>
      <c r="AI2283" s="37"/>
      <c r="AJ2283" s="37"/>
      <c r="AK2283" s="37"/>
      <c r="AL2283" s="37"/>
      <c r="AM2283" s="37"/>
      <c r="AN2283" s="37"/>
      <c r="AO2283" s="37"/>
      <c r="AP2283" s="37"/>
      <c r="AQ2283" s="37"/>
      <c r="AR2283" s="37"/>
      <c r="AS2283" s="37"/>
      <c r="AT2283" s="37"/>
      <c r="AU2283" s="37"/>
      <c r="AV2283" s="37"/>
      <c r="AW2283" s="37"/>
      <c r="AX2283" s="37"/>
      <c r="AY2283" s="37"/>
      <c r="AZ2283" s="37"/>
      <c r="BA2283" s="37"/>
      <c r="BB2283" s="37"/>
      <c r="BC2283" s="37"/>
      <c r="BD2283" s="37"/>
      <c r="BE2283" s="37"/>
      <c r="BF2283" s="37"/>
      <c r="BG2283" s="37"/>
      <c r="BH2283" s="37"/>
      <c r="BI2283" s="37"/>
      <c r="BJ2283" s="37"/>
      <c r="BK2283" s="37"/>
      <c r="BL2283" s="37"/>
      <c r="BM2283" s="37"/>
    </row>
    <row r="2284" spans="1:65" s="40" customFormat="1" ht="23.25" x14ac:dyDescent="0.35">
      <c r="A2284" s="37"/>
      <c r="B2284" s="37"/>
      <c r="C2284" s="41"/>
      <c r="D2284" s="38"/>
      <c r="E2284" s="57"/>
      <c r="F2284" s="42"/>
      <c r="G2284" s="43"/>
      <c r="H2284" s="37"/>
      <c r="I2284" s="37"/>
      <c r="J2284" s="38"/>
      <c r="K2284" s="37"/>
      <c r="L2284" s="38"/>
      <c r="M2284" s="39"/>
      <c r="P2284" s="37"/>
      <c r="Q2284" s="37"/>
      <c r="R2284" s="37"/>
      <c r="S2284" s="37"/>
      <c r="T2284" s="37"/>
      <c r="U2284" s="37"/>
      <c r="V2284" s="37"/>
      <c r="W2284" s="37"/>
      <c r="X2284" s="37"/>
      <c r="Y2284" s="37"/>
      <c r="Z2284" s="37"/>
      <c r="AA2284" s="37"/>
      <c r="AB2284" s="37"/>
      <c r="AC2284" s="37"/>
      <c r="AD2284" s="37"/>
      <c r="AE2284" s="37"/>
      <c r="AF2284" s="37"/>
      <c r="AG2284" s="37"/>
      <c r="AH2284" s="37"/>
      <c r="AI2284" s="37"/>
      <c r="AJ2284" s="37"/>
      <c r="AK2284" s="37"/>
      <c r="AL2284" s="37"/>
      <c r="AM2284" s="37"/>
      <c r="AN2284" s="37"/>
      <c r="AO2284" s="37"/>
      <c r="AP2284" s="37"/>
      <c r="AQ2284" s="37"/>
      <c r="AR2284" s="37"/>
      <c r="AS2284" s="37"/>
      <c r="AT2284" s="37"/>
      <c r="AU2284" s="37"/>
      <c r="AV2284" s="37"/>
      <c r="AW2284" s="37"/>
      <c r="AX2284" s="37"/>
      <c r="AY2284" s="37"/>
      <c r="AZ2284" s="37"/>
      <c r="BA2284" s="37"/>
      <c r="BB2284" s="37"/>
      <c r="BC2284" s="37"/>
      <c r="BD2284" s="37"/>
      <c r="BE2284" s="37"/>
      <c r="BF2284" s="37"/>
      <c r="BG2284" s="37"/>
      <c r="BH2284" s="37"/>
      <c r="BI2284" s="37"/>
      <c r="BJ2284" s="37"/>
      <c r="BK2284" s="37"/>
      <c r="BL2284" s="37"/>
      <c r="BM2284" s="37"/>
    </row>
    <row r="2285" spans="1:65" s="40" customFormat="1" ht="23.25" x14ac:dyDescent="0.35">
      <c r="A2285" s="37"/>
      <c r="B2285" s="37"/>
      <c r="C2285" s="41"/>
      <c r="D2285" s="38"/>
      <c r="E2285" s="57"/>
      <c r="F2285" s="42"/>
      <c r="G2285" s="43"/>
      <c r="H2285" s="37"/>
      <c r="I2285" s="37"/>
      <c r="J2285" s="38"/>
      <c r="K2285" s="37"/>
      <c r="L2285" s="38"/>
      <c r="M2285" s="39"/>
      <c r="P2285" s="37"/>
      <c r="Q2285" s="37"/>
      <c r="R2285" s="37"/>
      <c r="S2285" s="37"/>
      <c r="T2285" s="37"/>
      <c r="U2285" s="37"/>
      <c r="V2285" s="37"/>
      <c r="W2285" s="37"/>
      <c r="X2285" s="37"/>
      <c r="Y2285" s="37"/>
      <c r="Z2285" s="37"/>
      <c r="AA2285" s="37"/>
      <c r="AB2285" s="37"/>
      <c r="AC2285" s="37"/>
      <c r="AD2285" s="37"/>
      <c r="AE2285" s="37"/>
      <c r="AF2285" s="37"/>
      <c r="AG2285" s="37"/>
      <c r="AH2285" s="37"/>
      <c r="AI2285" s="37"/>
      <c r="AJ2285" s="37"/>
      <c r="AK2285" s="37"/>
      <c r="AL2285" s="37"/>
      <c r="AM2285" s="37"/>
      <c r="AN2285" s="37"/>
      <c r="AO2285" s="37"/>
      <c r="AP2285" s="37"/>
      <c r="AQ2285" s="37"/>
      <c r="AR2285" s="37"/>
      <c r="AS2285" s="37"/>
      <c r="AT2285" s="37"/>
      <c r="AU2285" s="37"/>
      <c r="AV2285" s="37"/>
      <c r="AW2285" s="37"/>
      <c r="AX2285" s="37"/>
      <c r="AY2285" s="37"/>
      <c r="AZ2285" s="37"/>
      <c r="BA2285" s="37"/>
      <c r="BB2285" s="37"/>
      <c r="BC2285" s="37"/>
      <c r="BD2285" s="37"/>
      <c r="BE2285" s="37"/>
      <c r="BF2285" s="37"/>
      <c r="BG2285" s="37"/>
      <c r="BH2285" s="37"/>
      <c r="BI2285" s="37"/>
      <c r="BJ2285" s="37"/>
      <c r="BK2285" s="37"/>
      <c r="BL2285" s="37"/>
      <c r="BM2285" s="37"/>
    </row>
    <row r="2286" spans="1:65" s="40" customFormat="1" ht="23.25" x14ac:dyDescent="0.35">
      <c r="A2286" s="37"/>
      <c r="B2286" s="37"/>
      <c r="C2286" s="41"/>
      <c r="D2286" s="38"/>
      <c r="E2286" s="57"/>
      <c r="F2286" s="42"/>
      <c r="G2286" s="43"/>
      <c r="H2286" s="37"/>
      <c r="I2286" s="37"/>
      <c r="J2286" s="38"/>
      <c r="K2286" s="37"/>
      <c r="L2286" s="38"/>
      <c r="M2286" s="39"/>
      <c r="P2286" s="37"/>
      <c r="Q2286" s="37"/>
      <c r="R2286" s="37"/>
      <c r="S2286" s="37"/>
      <c r="T2286" s="37"/>
      <c r="U2286" s="37"/>
      <c r="V2286" s="37"/>
      <c r="W2286" s="37"/>
      <c r="X2286" s="37"/>
      <c r="Y2286" s="37"/>
      <c r="Z2286" s="37"/>
      <c r="AA2286" s="37"/>
      <c r="AB2286" s="37"/>
      <c r="AC2286" s="37"/>
      <c r="AD2286" s="37"/>
      <c r="AE2286" s="37"/>
      <c r="AF2286" s="37"/>
      <c r="AG2286" s="37"/>
      <c r="AH2286" s="37"/>
      <c r="AI2286" s="37"/>
      <c r="AJ2286" s="37"/>
      <c r="AK2286" s="37"/>
      <c r="AL2286" s="37"/>
      <c r="AM2286" s="37"/>
      <c r="AN2286" s="37"/>
      <c r="AO2286" s="37"/>
      <c r="AP2286" s="37"/>
      <c r="AQ2286" s="37"/>
      <c r="AR2286" s="37"/>
      <c r="AS2286" s="37"/>
      <c r="AT2286" s="37"/>
      <c r="AU2286" s="37"/>
      <c r="AV2286" s="37"/>
      <c r="AW2286" s="37"/>
      <c r="AX2286" s="37"/>
      <c r="AY2286" s="37"/>
      <c r="AZ2286" s="37"/>
      <c r="BA2286" s="37"/>
      <c r="BB2286" s="37"/>
      <c r="BC2286" s="37"/>
      <c r="BD2286" s="37"/>
      <c r="BE2286" s="37"/>
      <c r="BF2286" s="37"/>
      <c r="BG2286" s="37"/>
      <c r="BH2286" s="37"/>
      <c r="BI2286" s="37"/>
      <c r="BJ2286" s="37"/>
      <c r="BK2286" s="37"/>
      <c r="BL2286" s="37"/>
      <c r="BM2286" s="37"/>
    </row>
    <row r="2287" spans="1:65" s="40" customFormat="1" ht="23.25" x14ac:dyDescent="0.35">
      <c r="A2287" s="37"/>
      <c r="B2287" s="37"/>
      <c r="C2287" s="41"/>
      <c r="D2287" s="38"/>
      <c r="E2287" s="57"/>
      <c r="F2287" s="42"/>
      <c r="G2287" s="43"/>
      <c r="H2287" s="37"/>
      <c r="I2287" s="37"/>
      <c r="J2287" s="38"/>
      <c r="K2287" s="37"/>
      <c r="L2287" s="38"/>
      <c r="M2287" s="39"/>
      <c r="P2287" s="37"/>
      <c r="Q2287" s="37"/>
      <c r="R2287" s="37"/>
      <c r="S2287" s="37"/>
      <c r="T2287" s="37"/>
      <c r="U2287" s="37"/>
      <c r="V2287" s="37"/>
      <c r="W2287" s="37"/>
      <c r="X2287" s="37"/>
      <c r="Y2287" s="37"/>
      <c r="Z2287" s="37"/>
      <c r="AA2287" s="37"/>
      <c r="AB2287" s="37"/>
      <c r="AC2287" s="37"/>
      <c r="AD2287" s="37"/>
      <c r="AE2287" s="37"/>
      <c r="AF2287" s="37"/>
      <c r="AG2287" s="37"/>
      <c r="AH2287" s="37"/>
      <c r="AI2287" s="37"/>
      <c r="AJ2287" s="37"/>
      <c r="AK2287" s="37"/>
      <c r="AL2287" s="37"/>
      <c r="AM2287" s="37"/>
      <c r="AN2287" s="37"/>
      <c r="AO2287" s="37"/>
      <c r="AP2287" s="37"/>
      <c r="AQ2287" s="37"/>
      <c r="AR2287" s="37"/>
      <c r="AS2287" s="37"/>
      <c r="AT2287" s="37"/>
      <c r="AU2287" s="37"/>
      <c r="AV2287" s="37"/>
      <c r="AW2287" s="37"/>
      <c r="AX2287" s="37"/>
      <c r="AY2287" s="37"/>
      <c r="AZ2287" s="37"/>
      <c r="BA2287" s="37"/>
      <c r="BB2287" s="37"/>
      <c r="BC2287" s="37"/>
      <c r="BD2287" s="37"/>
      <c r="BE2287" s="37"/>
      <c r="BF2287" s="37"/>
      <c r="BG2287" s="37"/>
      <c r="BH2287" s="37"/>
      <c r="BI2287" s="37"/>
      <c r="BJ2287" s="37"/>
      <c r="BK2287" s="37"/>
      <c r="BL2287" s="37"/>
      <c r="BM2287" s="37"/>
    </row>
    <row r="2288" spans="1:65" s="40" customFormat="1" ht="23.25" x14ac:dyDescent="0.35">
      <c r="A2288" s="37"/>
      <c r="B2288" s="37"/>
      <c r="C2288" s="41"/>
      <c r="D2288" s="38"/>
      <c r="E2288" s="57"/>
      <c r="F2288" s="42"/>
      <c r="G2288" s="43"/>
      <c r="H2288" s="37"/>
      <c r="I2288" s="37"/>
      <c r="J2288" s="38"/>
      <c r="K2288" s="37"/>
      <c r="L2288" s="38"/>
      <c r="M2288" s="39"/>
      <c r="P2288" s="37"/>
      <c r="Q2288" s="37"/>
      <c r="R2288" s="37"/>
      <c r="S2288" s="37"/>
      <c r="T2288" s="37"/>
      <c r="U2288" s="37"/>
      <c r="V2288" s="37"/>
      <c r="W2288" s="37"/>
      <c r="X2288" s="37"/>
      <c r="Y2288" s="37"/>
      <c r="Z2288" s="37"/>
      <c r="AA2288" s="37"/>
      <c r="AB2288" s="37"/>
      <c r="AC2288" s="37"/>
      <c r="AD2288" s="37"/>
      <c r="AE2288" s="37"/>
      <c r="AF2288" s="37"/>
      <c r="AG2288" s="37"/>
      <c r="AH2288" s="37"/>
      <c r="AI2288" s="37"/>
      <c r="AJ2288" s="37"/>
      <c r="AK2288" s="37"/>
      <c r="AL2288" s="37"/>
      <c r="AM2288" s="37"/>
      <c r="AN2288" s="37"/>
      <c r="AO2288" s="37"/>
      <c r="AP2288" s="37"/>
      <c r="AQ2288" s="37"/>
      <c r="AR2288" s="37"/>
      <c r="AS2288" s="37"/>
      <c r="AT2288" s="37"/>
      <c r="AU2288" s="37"/>
      <c r="AV2288" s="37"/>
      <c r="AW2288" s="37"/>
      <c r="AX2288" s="37"/>
      <c r="AY2288" s="37"/>
      <c r="AZ2288" s="37"/>
      <c r="BA2288" s="37"/>
      <c r="BB2288" s="37"/>
      <c r="BC2288" s="37"/>
      <c r="BD2288" s="37"/>
      <c r="BE2288" s="37"/>
      <c r="BF2288" s="37"/>
      <c r="BG2288" s="37"/>
      <c r="BH2288" s="37"/>
      <c r="BI2288" s="37"/>
      <c r="BJ2288" s="37"/>
      <c r="BK2288" s="37"/>
      <c r="BL2288" s="37"/>
      <c r="BM2288" s="37"/>
    </row>
    <row r="2289" spans="1:65" s="40" customFormat="1" ht="23.25" x14ac:dyDescent="0.35">
      <c r="A2289" s="37"/>
      <c r="B2289" s="37"/>
      <c r="C2289" s="41"/>
      <c r="D2289" s="38"/>
      <c r="E2289" s="57"/>
      <c r="F2289" s="42"/>
      <c r="G2289" s="43"/>
      <c r="H2289" s="37"/>
      <c r="I2289" s="37"/>
      <c r="J2289" s="38"/>
      <c r="K2289" s="37"/>
      <c r="L2289" s="38"/>
      <c r="M2289" s="39"/>
      <c r="P2289" s="37"/>
      <c r="Q2289" s="37"/>
      <c r="R2289" s="37"/>
      <c r="S2289" s="37"/>
      <c r="T2289" s="37"/>
      <c r="U2289" s="37"/>
      <c r="V2289" s="37"/>
      <c r="W2289" s="37"/>
      <c r="X2289" s="37"/>
      <c r="Y2289" s="37"/>
      <c r="Z2289" s="37"/>
      <c r="AA2289" s="37"/>
      <c r="AB2289" s="37"/>
      <c r="AC2289" s="37"/>
      <c r="AD2289" s="37"/>
      <c r="AE2289" s="37"/>
      <c r="AF2289" s="37"/>
      <c r="AG2289" s="37"/>
      <c r="AH2289" s="37"/>
      <c r="AI2289" s="37"/>
      <c r="AJ2289" s="37"/>
      <c r="AK2289" s="37"/>
      <c r="AL2289" s="37"/>
      <c r="AM2289" s="37"/>
      <c r="AN2289" s="37"/>
      <c r="AO2289" s="37"/>
      <c r="AP2289" s="37"/>
      <c r="AQ2289" s="37"/>
      <c r="AR2289" s="37"/>
      <c r="AS2289" s="37"/>
      <c r="AT2289" s="37"/>
      <c r="AU2289" s="37"/>
      <c r="AV2289" s="37"/>
      <c r="AW2289" s="37"/>
      <c r="AX2289" s="37"/>
      <c r="AY2289" s="37"/>
      <c r="AZ2289" s="37"/>
      <c r="BA2289" s="37"/>
      <c r="BB2289" s="37"/>
      <c r="BC2289" s="37"/>
      <c r="BD2289" s="37"/>
      <c r="BE2289" s="37"/>
      <c r="BF2289" s="37"/>
      <c r="BG2289" s="37"/>
      <c r="BH2289" s="37"/>
      <c r="BI2289" s="37"/>
      <c r="BJ2289" s="37"/>
      <c r="BK2289" s="37"/>
      <c r="BL2289" s="37"/>
      <c r="BM2289" s="37"/>
    </row>
    <row r="2290" spans="1:65" s="40" customFormat="1" ht="23.25" x14ac:dyDescent="0.35">
      <c r="A2290" s="37"/>
      <c r="B2290" s="37"/>
      <c r="C2290" s="41"/>
      <c r="D2290" s="38"/>
      <c r="E2290" s="57"/>
      <c r="F2290" s="42"/>
      <c r="G2290" s="43"/>
      <c r="H2290" s="37"/>
      <c r="I2290" s="37"/>
      <c r="J2290" s="38"/>
      <c r="K2290" s="37"/>
      <c r="L2290" s="38"/>
      <c r="M2290" s="39"/>
      <c r="P2290" s="37"/>
      <c r="Q2290" s="37"/>
      <c r="R2290" s="37"/>
      <c r="S2290" s="37"/>
      <c r="T2290" s="37"/>
      <c r="U2290" s="37"/>
      <c r="V2290" s="37"/>
      <c r="W2290" s="37"/>
      <c r="X2290" s="37"/>
      <c r="Y2290" s="37"/>
      <c r="Z2290" s="37"/>
      <c r="AA2290" s="37"/>
      <c r="AB2290" s="37"/>
      <c r="AC2290" s="37"/>
      <c r="AD2290" s="37"/>
      <c r="AE2290" s="37"/>
      <c r="AF2290" s="37"/>
      <c r="AG2290" s="37"/>
      <c r="AH2290" s="37"/>
      <c r="AI2290" s="37"/>
      <c r="AJ2290" s="37"/>
      <c r="AK2290" s="37"/>
      <c r="AL2290" s="37"/>
      <c r="AM2290" s="37"/>
      <c r="AN2290" s="37"/>
      <c r="AO2290" s="37"/>
      <c r="AP2290" s="37"/>
      <c r="AQ2290" s="37"/>
      <c r="AR2290" s="37"/>
      <c r="AS2290" s="37"/>
      <c r="AT2290" s="37"/>
      <c r="AU2290" s="37"/>
      <c r="AV2290" s="37"/>
      <c r="AW2290" s="37"/>
      <c r="AX2290" s="37"/>
      <c r="AY2290" s="37"/>
      <c r="AZ2290" s="37"/>
      <c r="BA2290" s="37"/>
      <c r="BB2290" s="37"/>
      <c r="BC2290" s="37"/>
      <c r="BD2290" s="37"/>
      <c r="BE2290" s="37"/>
      <c r="BF2290" s="37"/>
      <c r="BG2290" s="37"/>
      <c r="BH2290" s="37"/>
      <c r="BI2290" s="37"/>
      <c r="BJ2290" s="37"/>
      <c r="BK2290" s="37"/>
      <c r="BL2290" s="37"/>
      <c r="BM2290" s="37"/>
    </row>
    <row r="2291" spans="1:65" s="40" customFormat="1" ht="23.25" x14ac:dyDescent="0.35">
      <c r="A2291" s="37"/>
      <c r="B2291" s="37"/>
      <c r="C2291" s="41"/>
      <c r="D2291" s="38"/>
      <c r="E2291" s="57"/>
      <c r="F2291" s="42"/>
      <c r="G2291" s="43"/>
      <c r="H2291" s="37"/>
      <c r="I2291" s="37"/>
      <c r="J2291" s="38"/>
      <c r="K2291" s="37"/>
      <c r="L2291" s="38"/>
      <c r="M2291" s="39"/>
      <c r="P2291" s="37"/>
      <c r="Q2291" s="37"/>
      <c r="R2291" s="37"/>
      <c r="S2291" s="37"/>
      <c r="T2291" s="37"/>
      <c r="U2291" s="37"/>
      <c r="V2291" s="37"/>
      <c r="W2291" s="37"/>
      <c r="X2291" s="37"/>
      <c r="Y2291" s="37"/>
      <c r="Z2291" s="37"/>
      <c r="AA2291" s="37"/>
      <c r="AB2291" s="37"/>
      <c r="AC2291" s="37"/>
      <c r="AD2291" s="37"/>
      <c r="AE2291" s="37"/>
      <c r="AF2291" s="37"/>
      <c r="AG2291" s="37"/>
      <c r="AH2291" s="37"/>
      <c r="AI2291" s="37"/>
      <c r="AJ2291" s="37"/>
      <c r="AK2291" s="37"/>
      <c r="AL2291" s="37"/>
      <c r="AM2291" s="37"/>
      <c r="AN2291" s="37"/>
      <c r="AO2291" s="37"/>
      <c r="AP2291" s="37"/>
      <c r="AQ2291" s="37"/>
      <c r="AR2291" s="37"/>
      <c r="AS2291" s="37"/>
      <c r="AT2291" s="37"/>
      <c r="AU2291" s="37"/>
      <c r="AV2291" s="37"/>
      <c r="AW2291" s="37"/>
      <c r="AX2291" s="37"/>
      <c r="AY2291" s="37"/>
      <c r="AZ2291" s="37"/>
      <c r="BA2291" s="37"/>
      <c r="BB2291" s="37"/>
      <c r="BC2291" s="37"/>
      <c r="BD2291" s="37"/>
      <c r="BE2291" s="37"/>
      <c r="BF2291" s="37"/>
      <c r="BG2291" s="37"/>
      <c r="BH2291" s="37"/>
      <c r="BI2291" s="37"/>
      <c r="BJ2291" s="37"/>
      <c r="BK2291" s="37"/>
      <c r="BL2291" s="37"/>
      <c r="BM2291" s="37"/>
    </row>
    <row r="2292" spans="1:65" s="40" customFormat="1" ht="23.25" x14ac:dyDescent="0.35">
      <c r="A2292" s="37"/>
      <c r="B2292" s="37"/>
      <c r="C2292" s="41"/>
      <c r="D2292" s="38"/>
      <c r="E2292" s="57"/>
      <c r="F2292" s="42"/>
      <c r="G2292" s="43"/>
      <c r="H2292" s="37"/>
      <c r="I2292" s="37"/>
      <c r="J2292" s="38"/>
      <c r="K2292" s="37"/>
      <c r="L2292" s="38"/>
      <c r="M2292" s="39"/>
      <c r="P2292" s="37"/>
      <c r="Q2292" s="37"/>
      <c r="R2292" s="37"/>
      <c r="S2292" s="37"/>
      <c r="T2292" s="37"/>
      <c r="U2292" s="37"/>
      <c r="V2292" s="37"/>
      <c r="W2292" s="37"/>
      <c r="X2292" s="37"/>
      <c r="Y2292" s="37"/>
      <c r="Z2292" s="37"/>
      <c r="AA2292" s="37"/>
      <c r="AB2292" s="37"/>
      <c r="AC2292" s="37"/>
      <c r="AD2292" s="37"/>
      <c r="AE2292" s="37"/>
      <c r="AF2292" s="37"/>
      <c r="AG2292" s="37"/>
      <c r="AH2292" s="37"/>
      <c r="AI2292" s="37"/>
      <c r="AJ2292" s="37"/>
      <c r="AK2292" s="37"/>
      <c r="AL2292" s="37"/>
      <c r="AM2292" s="37"/>
      <c r="AN2292" s="37"/>
      <c r="AO2292" s="37"/>
      <c r="AP2292" s="37"/>
      <c r="AQ2292" s="37"/>
      <c r="AR2292" s="37"/>
      <c r="AS2292" s="37"/>
      <c r="AT2292" s="37"/>
      <c r="AU2292" s="37"/>
      <c r="AV2292" s="37"/>
      <c r="AW2292" s="37"/>
      <c r="AX2292" s="37"/>
      <c r="AY2292" s="37"/>
      <c r="AZ2292" s="37"/>
      <c r="BA2292" s="37"/>
      <c r="BB2292" s="37"/>
      <c r="BC2292" s="37"/>
      <c r="BD2292" s="37"/>
      <c r="BE2292" s="37"/>
      <c r="BF2292" s="37"/>
      <c r="BG2292" s="37"/>
      <c r="BH2292" s="37"/>
      <c r="BI2292" s="37"/>
      <c r="BJ2292" s="37"/>
      <c r="BK2292" s="37"/>
      <c r="BL2292" s="37"/>
      <c r="BM2292" s="37"/>
    </row>
    <row r="2293" spans="1:65" s="40" customFormat="1" ht="23.25" x14ac:dyDescent="0.35">
      <c r="A2293" s="37"/>
      <c r="B2293" s="37"/>
      <c r="C2293" s="41"/>
      <c r="D2293" s="38"/>
      <c r="E2293" s="57"/>
      <c r="F2293" s="42"/>
      <c r="G2293" s="43"/>
      <c r="H2293" s="37"/>
      <c r="I2293" s="37"/>
      <c r="J2293" s="38"/>
      <c r="K2293" s="37"/>
      <c r="L2293" s="38"/>
      <c r="M2293" s="39"/>
      <c r="P2293" s="37"/>
      <c r="Q2293" s="37"/>
      <c r="R2293" s="37"/>
      <c r="S2293" s="37"/>
      <c r="T2293" s="37"/>
      <c r="U2293" s="37"/>
      <c r="V2293" s="37"/>
      <c r="W2293" s="37"/>
      <c r="X2293" s="37"/>
      <c r="Y2293" s="37"/>
      <c r="Z2293" s="37"/>
      <c r="AA2293" s="37"/>
      <c r="AB2293" s="37"/>
      <c r="AC2293" s="37"/>
      <c r="AD2293" s="37"/>
      <c r="AE2293" s="37"/>
      <c r="AF2293" s="37"/>
      <c r="AG2293" s="37"/>
      <c r="AH2293" s="37"/>
      <c r="AI2293" s="37"/>
      <c r="AJ2293" s="37"/>
      <c r="AK2293" s="37"/>
      <c r="AL2293" s="37"/>
      <c r="AM2293" s="37"/>
      <c r="AN2293" s="37"/>
      <c r="AO2293" s="37"/>
      <c r="AP2293" s="37"/>
      <c r="AQ2293" s="37"/>
      <c r="AR2293" s="37"/>
      <c r="AS2293" s="37"/>
      <c r="AT2293" s="37"/>
      <c r="AU2293" s="37"/>
      <c r="AV2293" s="37"/>
      <c r="AW2293" s="37"/>
      <c r="AX2293" s="37"/>
      <c r="AY2293" s="37"/>
      <c r="AZ2293" s="37"/>
      <c r="BA2293" s="37"/>
      <c r="BB2293" s="37"/>
      <c r="BC2293" s="37"/>
      <c r="BD2293" s="37"/>
      <c r="BE2293" s="37"/>
      <c r="BF2293" s="37"/>
      <c r="BG2293" s="37"/>
      <c r="BH2293" s="37"/>
      <c r="BI2293" s="37"/>
      <c r="BJ2293" s="37"/>
      <c r="BK2293" s="37"/>
      <c r="BL2293" s="37"/>
      <c r="BM2293" s="37"/>
    </row>
    <row r="2294" spans="1:65" s="40" customFormat="1" ht="23.25" x14ac:dyDescent="0.35">
      <c r="A2294" s="37"/>
      <c r="B2294" s="37"/>
      <c r="C2294" s="41"/>
      <c r="D2294" s="38"/>
      <c r="E2294" s="57"/>
      <c r="F2294" s="42"/>
      <c r="G2294" s="43"/>
      <c r="H2294" s="37"/>
      <c r="I2294" s="37"/>
      <c r="J2294" s="38"/>
      <c r="K2294" s="37"/>
      <c r="L2294" s="38"/>
      <c r="M2294" s="39"/>
      <c r="P2294" s="37"/>
      <c r="Q2294" s="37"/>
      <c r="R2294" s="37"/>
      <c r="S2294" s="37"/>
      <c r="T2294" s="37"/>
      <c r="U2294" s="37"/>
      <c r="V2294" s="37"/>
      <c r="W2294" s="37"/>
      <c r="X2294" s="37"/>
      <c r="Y2294" s="37"/>
      <c r="Z2294" s="37"/>
      <c r="AA2294" s="37"/>
      <c r="AB2294" s="37"/>
      <c r="AC2294" s="37"/>
      <c r="AD2294" s="37"/>
      <c r="AE2294" s="37"/>
      <c r="AF2294" s="37"/>
      <c r="AG2294" s="37"/>
      <c r="AH2294" s="37"/>
      <c r="AI2294" s="37"/>
      <c r="AJ2294" s="37"/>
      <c r="AK2294" s="37"/>
      <c r="AL2294" s="37"/>
      <c r="AM2294" s="37"/>
      <c r="AN2294" s="37"/>
      <c r="AO2294" s="37"/>
      <c r="AP2294" s="37"/>
      <c r="AQ2294" s="37"/>
      <c r="AR2294" s="37"/>
      <c r="AS2294" s="37"/>
      <c r="AT2294" s="37"/>
      <c r="AU2294" s="37"/>
      <c r="AV2294" s="37"/>
      <c r="AW2294" s="37"/>
      <c r="AX2294" s="37"/>
      <c r="AY2294" s="37"/>
      <c r="AZ2294" s="37"/>
      <c r="BA2294" s="37"/>
      <c r="BB2294" s="37"/>
      <c r="BC2294" s="37"/>
      <c r="BD2294" s="37"/>
      <c r="BE2294" s="37"/>
      <c r="BF2294" s="37"/>
      <c r="BG2294" s="37"/>
      <c r="BH2294" s="37"/>
      <c r="BI2294" s="37"/>
      <c r="BJ2294" s="37"/>
      <c r="BK2294" s="37"/>
      <c r="BL2294" s="37"/>
      <c r="BM2294" s="37"/>
    </row>
    <row r="2295" spans="1:65" s="40" customFormat="1" ht="23.25" x14ac:dyDescent="0.35">
      <c r="A2295" s="37"/>
      <c r="B2295" s="37"/>
      <c r="C2295" s="41"/>
      <c r="D2295" s="38"/>
      <c r="E2295" s="57"/>
      <c r="F2295" s="42"/>
      <c r="G2295" s="43"/>
      <c r="H2295" s="37"/>
      <c r="I2295" s="37"/>
      <c r="J2295" s="38"/>
      <c r="K2295" s="37"/>
      <c r="L2295" s="38"/>
      <c r="M2295" s="39"/>
      <c r="P2295" s="37"/>
      <c r="Q2295" s="37"/>
      <c r="R2295" s="37"/>
      <c r="S2295" s="37"/>
      <c r="T2295" s="37"/>
      <c r="U2295" s="37"/>
      <c r="V2295" s="37"/>
      <c r="W2295" s="37"/>
      <c r="X2295" s="37"/>
      <c r="Y2295" s="37"/>
      <c r="Z2295" s="37"/>
      <c r="AA2295" s="37"/>
      <c r="AB2295" s="37"/>
      <c r="AC2295" s="37"/>
      <c r="AD2295" s="37"/>
      <c r="AE2295" s="37"/>
      <c r="AF2295" s="37"/>
      <c r="AG2295" s="37"/>
      <c r="AH2295" s="37"/>
      <c r="AI2295" s="37"/>
      <c r="AJ2295" s="37"/>
      <c r="AK2295" s="37"/>
      <c r="AL2295" s="37"/>
      <c r="AM2295" s="37"/>
      <c r="AN2295" s="37"/>
      <c r="AO2295" s="37"/>
      <c r="AP2295" s="37"/>
      <c r="AQ2295" s="37"/>
      <c r="AR2295" s="37"/>
      <c r="AS2295" s="37"/>
      <c r="AT2295" s="37"/>
      <c r="AU2295" s="37"/>
      <c r="AV2295" s="37"/>
      <c r="AW2295" s="37"/>
      <c r="AX2295" s="37"/>
      <c r="AY2295" s="37"/>
      <c r="AZ2295" s="37"/>
      <c r="BA2295" s="37"/>
      <c r="BB2295" s="37"/>
      <c r="BC2295" s="37"/>
      <c r="BD2295" s="37"/>
      <c r="BE2295" s="37"/>
      <c r="BF2295" s="37"/>
      <c r="BG2295" s="37"/>
      <c r="BH2295" s="37"/>
      <c r="BI2295" s="37"/>
      <c r="BJ2295" s="37"/>
      <c r="BK2295" s="37"/>
      <c r="BL2295" s="37"/>
      <c r="BM2295" s="37"/>
    </row>
    <row r="2296" spans="1:65" s="40" customFormat="1" ht="23.25" x14ac:dyDescent="0.35">
      <c r="A2296" s="37"/>
      <c r="B2296" s="37"/>
      <c r="C2296" s="41"/>
      <c r="D2296" s="38"/>
      <c r="E2296" s="57"/>
      <c r="F2296" s="42"/>
      <c r="G2296" s="43"/>
      <c r="H2296" s="37"/>
      <c r="I2296" s="37"/>
      <c r="J2296" s="38"/>
      <c r="K2296" s="37"/>
      <c r="L2296" s="38"/>
      <c r="M2296" s="39"/>
      <c r="P2296" s="37"/>
      <c r="Q2296" s="37"/>
      <c r="R2296" s="37"/>
      <c r="S2296" s="37"/>
      <c r="T2296" s="37"/>
      <c r="U2296" s="37"/>
      <c r="V2296" s="37"/>
      <c r="W2296" s="37"/>
      <c r="X2296" s="37"/>
      <c r="Y2296" s="37"/>
      <c r="Z2296" s="37"/>
      <c r="AA2296" s="37"/>
      <c r="AB2296" s="37"/>
      <c r="AC2296" s="37"/>
      <c r="AD2296" s="37"/>
      <c r="AE2296" s="37"/>
      <c r="AF2296" s="37"/>
      <c r="AG2296" s="37"/>
      <c r="AH2296" s="37"/>
      <c r="AI2296" s="37"/>
      <c r="AJ2296" s="37"/>
      <c r="AK2296" s="37"/>
      <c r="AL2296" s="37"/>
      <c r="AM2296" s="37"/>
      <c r="AN2296" s="37"/>
      <c r="AO2296" s="37"/>
      <c r="AP2296" s="37"/>
      <c r="AQ2296" s="37"/>
      <c r="AR2296" s="37"/>
      <c r="AS2296" s="37"/>
      <c r="AT2296" s="37"/>
      <c r="AU2296" s="37"/>
      <c r="AV2296" s="37"/>
      <c r="AW2296" s="37"/>
      <c r="AX2296" s="37"/>
      <c r="AY2296" s="37"/>
      <c r="AZ2296" s="37"/>
      <c r="BA2296" s="37"/>
      <c r="BB2296" s="37"/>
      <c r="BC2296" s="37"/>
      <c r="BD2296" s="37"/>
      <c r="BE2296" s="37"/>
      <c r="BF2296" s="37"/>
      <c r="BG2296" s="37"/>
      <c r="BH2296" s="37"/>
      <c r="BI2296" s="37"/>
      <c r="BJ2296" s="37"/>
      <c r="BK2296" s="37"/>
      <c r="BL2296" s="37"/>
      <c r="BM2296" s="37"/>
    </row>
    <row r="2297" spans="1:65" s="40" customFormat="1" ht="23.25" x14ac:dyDescent="0.35">
      <c r="A2297" s="37"/>
      <c r="B2297" s="37"/>
      <c r="C2297" s="41"/>
      <c r="D2297" s="38"/>
      <c r="E2297" s="57"/>
      <c r="F2297" s="42"/>
      <c r="G2297" s="43"/>
      <c r="H2297" s="37"/>
      <c r="I2297" s="37"/>
      <c r="J2297" s="38"/>
      <c r="K2297" s="37"/>
      <c r="L2297" s="38"/>
      <c r="M2297" s="39"/>
      <c r="P2297" s="37"/>
      <c r="Q2297" s="37"/>
      <c r="R2297" s="37"/>
      <c r="S2297" s="37"/>
      <c r="T2297" s="37"/>
      <c r="U2297" s="37"/>
      <c r="V2297" s="37"/>
      <c r="W2297" s="37"/>
      <c r="X2297" s="37"/>
      <c r="Y2297" s="37"/>
      <c r="Z2297" s="37"/>
      <c r="AA2297" s="37"/>
      <c r="AB2297" s="37"/>
      <c r="AC2297" s="37"/>
      <c r="AD2297" s="37"/>
      <c r="AE2297" s="37"/>
      <c r="AF2297" s="37"/>
      <c r="AG2297" s="37"/>
      <c r="AH2297" s="37"/>
      <c r="AI2297" s="37"/>
      <c r="AJ2297" s="37"/>
      <c r="AK2297" s="37"/>
      <c r="AL2297" s="37"/>
      <c r="AM2297" s="37"/>
      <c r="AN2297" s="37"/>
      <c r="AO2297" s="37"/>
      <c r="AP2297" s="37"/>
      <c r="AQ2297" s="37"/>
      <c r="AR2297" s="37"/>
      <c r="AS2297" s="37"/>
      <c r="AT2297" s="37"/>
      <c r="AU2297" s="37"/>
      <c r="AV2297" s="37"/>
      <c r="AW2297" s="37"/>
      <c r="AX2297" s="37"/>
      <c r="AY2297" s="37"/>
      <c r="AZ2297" s="37"/>
      <c r="BA2297" s="37"/>
      <c r="BB2297" s="37"/>
      <c r="BC2297" s="37"/>
      <c r="BD2297" s="37"/>
      <c r="BE2297" s="37"/>
      <c r="BF2297" s="37"/>
      <c r="BG2297" s="37"/>
      <c r="BH2297" s="37"/>
      <c r="BI2297" s="37"/>
      <c r="BJ2297" s="37"/>
      <c r="BK2297" s="37"/>
      <c r="BL2297" s="37"/>
      <c r="BM2297" s="37"/>
    </row>
    <row r="2298" spans="1:65" s="40" customFormat="1" ht="23.25" x14ac:dyDescent="0.35">
      <c r="A2298" s="37"/>
      <c r="B2298" s="37"/>
      <c r="C2298" s="41"/>
      <c r="D2298" s="38"/>
      <c r="E2298" s="57"/>
      <c r="F2298" s="42"/>
      <c r="G2298" s="43"/>
      <c r="H2298" s="37"/>
      <c r="I2298" s="37"/>
      <c r="J2298" s="38"/>
      <c r="K2298" s="37"/>
      <c r="L2298" s="38"/>
      <c r="M2298" s="39"/>
      <c r="P2298" s="37"/>
      <c r="Q2298" s="37"/>
      <c r="R2298" s="37"/>
      <c r="S2298" s="37"/>
      <c r="T2298" s="37"/>
      <c r="U2298" s="37"/>
      <c r="V2298" s="37"/>
      <c r="W2298" s="37"/>
      <c r="X2298" s="37"/>
      <c r="Y2298" s="37"/>
      <c r="Z2298" s="37"/>
      <c r="AA2298" s="37"/>
      <c r="AB2298" s="37"/>
      <c r="AC2298" s="37"/>
      <c r="AD2298" s="37"/>
      <c r="AE2298" s="37"/>
      <c r="AF2298" s="37"/>
      <c r="AG2298" s="37"/>
      <c r="AH2298" s="37"/>
      <c r="AI2298" s="37"/>
      <c r="AJ2298" s="37"/>
      <c r="AK2298" s="37"/>
      <c r="AL2298" s="37"/>
      <c r="AM2298" s="37"/>
      <c r="AN2298" s="37"/>
      <c r="AO2298" s="37"/>
      <c r="AP2298" s="37"/>
      <c r="AQ2298" s="37"/>
      <c r="AR2298" s="37"/>
      <c r="AS2298" s="37"/>
      <c r="AT2298" s="37"/>
      <c r="AU2298" s="37"/>
      <c r="AV2298" s="37"/>
      <c r="AW2298" s="37"/>
      <c r="AX2298" s="37"/>
      <c r="AY2298" s="37"/>
      <c r="AZ2298" s="37"/>
      <c r="BA2298" s="37"/>
      <c r="BB2298" s="37"/>
      <c r="BC2298" s="37"/>
      <c r="BD2298" s="37"/>
      <c r="BE2298" s="37"/>
      <c r="BF2298" s="37"/>
      <c r="BG2298" s="37"/>
      <c r="BH2298" s="37"/>
      <c r="BI2298" s="37"/>
      <c r="BJ2298" s="37"/>
      <c r="BK2298" s="37"/>
      <c r="BL2298" s="37"/>
      <c r="BM2298" s="37"/>
    </row>
    <row r="2299" spans="1:65" s="40" customFormat="1" ht="23.25" x14ac:dyDescent="0.35">
      <c r="A2299" s="37"/>
      <c r="B2299" s="37"/>
      <c r="C2299" s="41"/>
      <c r="D2299" s="38"/>
      <c r="E2299" s="57"/>
      <c r="F2299" s="42"/>
      <c r="G2299" s="43"/>
      <c r="H2299" s="37"/>
      <c r="I2299" s="37"/>
      <c r="J2299" s="38"/>
      <c r="K2299" s="37"/>
      <c r="L2299" s="38"/>
      <c r="M2299" s="39"/>
      <c r="P2299" s="37"/>
      <c r="Q2299" s="37"/>
      <c r="R2299" s="37"/>
      <c r="S2299" s="37"/>
      <c r="T2299" s="37"/>
      <c r="U2299" s="37"/>
      <c r="V2299" s="37"/>
      <c r="W2299" s="37"/>
      <c r="X2299" s="37"/>
      <c r="Y2299" s="37"/>
      <c r="Z2299" s="37"/>
      <c r="AA2299" s="37"/>
      <c r="AB2299" s="37"/>
      <c r="AC2299" s="37"/>
      <c r="AD2299" s="37"/>
      <c r="AE2299" s="37"/>
      <c r="AF2299" s="37"/>
      <c r="AG2299" s="37"/>
      <c r="AH2299" s="37"/>
      <c r="AI2299" s="37"/>
      <c r="AJ2299" s="37"/>
      <c r="AK2299" s="37"/>
      <c r="AL2299" s="37"/>
      <c r="AM2299" s="37"/>
      <c r="AN2299" s="37"/>
      <c r="AO2299" s="37"/>
      <c r="AP2299" s="37"/>
      <c r="AQ2299" s="37"/>
      <c r="AR2299" s="37"/>
      <c r="AS2299" s="37"/>
      <c r="AT2299" s="37"/>
      <c r="AU2299" s="37"/>
      <c r="AV2299" s="37"/>
      <c r="AW2299" s="37"/>
      <c r="AX2299" s="37"/>
      <c r="AY2299" s="37"/>
      <c r="AZ2299" s="37"/>
      <c r="BA2299" s="37"/>
      <c r="BB2299" s="37"/>
      <c r="BC2299" s="37"/>
      <c r="BD2299" s="37"/>
      <c r="BE2299" s="37"/>
      <c r="BF2299" s="37"/>
      <c r="BG2299" s="37"/>
      <c r="BH2299" s="37"/>
      <c r="BI2299" s="37"/>
      <c r="BJ2299" s="37"/>
      <c r="BK2299" s="37"/>
      <c r="BL2299" s="37"/>
      <c r="BM2299" s="37"/>
    </row>
    <row r="2300" spans="1:65" s="40" customFormat="1" ht="23.25" x14ac:dyDescent="0.35">
      <c r="A2300" s="37"/>
      <c r="B2300" s="37"/>
      <c r="C2300" s="41"/>
      <c r="D2300" s="38"/>
      <c r="E2300" s="57"/>
      <c r="F2300" s="42"/>
      <c r="G2300" s="43"/>
      <c r="H2300" s="37"/>
      <c r="I2300" s="37"/>
      <c r="J2300" s="38"/>
      <c r="K2300" s="37"/>
      <c r="L2300" s="38"/>
      <c r="M2300" s="39"/>
      <c r="P2300" s="37"/>
      <c r="Q2300" s="37"/>
      <c r="R2300" s="37"/>
      <c r="S2300" s="37"/>
      <c r="T2300" s="37"/>
      <c r="U2300" s="37"/>
      <c r="V2300" s="37"/>
      <c r="W2300" s="37"/>
      <c r="X2300" s="37"/>
      <c r="Y2300" s="37"/>
      <c r="Z2300" s="37"/>
      <c r="AA2300" s="37"/>
      <c r="AB2300" s="37"/>
      <c r="AC2300" s="37"/>
      <c r="AD2300" s="37"/>
      <c r="AE2300" s="37"/>
      <c r="AF2300" s="37"/>
      <c r="AG2300" s="37"/>
      <c r="AH2300" s="37"/>
      <c r="AI2300" s="37"/>
      <c r="AJ2300" s="37"/>
      <c r="AK2300" s="37"/>
      <c r="AL2300" s="37"/>
      <c r="AM2300" s="37"/>
      <c r="AN2300" s="37"/>
      <c r="AO2300" s="37"/>
      <c r="AP2300" s="37"/>
      <c r="AQ2300" s="37"/>
      <c r="AR2300" s="37"/>
      <c r="AS2300" s="37"/>
      <c r="AT2300" s="37"/>
      <c r="AU2300" s="37"/>
      <c r="AV2300" s="37"/>
      <c r="AW2300" s="37"/>
      <c r="AX2300" s="37"/>
      <c r="AY2300" s="37"/>
      <c r="AZ2300" s="37"/>
      <c r="BA2300" s="37"/>
      <c r="BB2300" s="37"/>
      <c r="BC2300" s="37"/>
      <c r="BD2300" s="37"/>
      <c r="BE2300" s="37"/>
      <c r="BF2300" s="37"/>
      <c r="BG2300" s="37"/>
      <c r="BH2300" s="37"/>
      <c r="BI2300" s="37"/>
      <c r="BJ2300" s="37"/>
      <c r="BK2300" s="37"/>
      <c r="BL2300" s="37"/>
      <c r="BM2300" s="37"/>
    </row>
    <row r="2301" spans="1:65" s="40" customFormat="1" ht="23.25" x14ac:dyDescent="0.35">
      <c r="A2301" s="37"/>
      <c r="B2301" s="37"/>
      <c r="C2301" s="41"/>
      <c r="D2301" s="38"/>
      <c r="E2301" s="57"/>
      <c r="F2301" s="42"/>
      <c r="G2301" s="43"/>
      <c r="H2301" s="37"/>
      <c r="I2301" s="37"/>
      <c r="J2301" s="38"/>
      <c r="K2301" s="37"/>
      <c r="L2301" s="38"/>
      <c r="M2301" s="39"/>
      <c r="P2301" s="37"/>
      <c r="Q2301" s="37"/>
      <c r="R2301" s="37"/>
      <c r="S2301" s="37"/>
      <c r="T2301" s="37"/>
      <c r="U2301" s="37"/>
      <c r="V2301" s="37"/>
      <c r="W2301" s="37"/>
      <c r="X2301" s="37"/>
      <c r="Y2301" s="37"/>
      <c r="Z2301" s="37"/>
      <c r="AA2301" s="37"/>
      <c r="AB2301" s="37"/>
      <c r="AC2301" s="37"/>
      <c r="AD2301" s="37"/>
      <c r="AE2301" s="37"/>
      <c r="AF2301" s="37"/>
      <c r="AG2301" s="37"/>
      <c r="AH2301" s="37"/>
      <c r="AI2301" s="37"/>
      <c r="AJ2301" s="37"/>
      <c r="AK2301" s="37"/>
      <c r="AL2301" s="37"/>
      <c r="AM2301" s="37"/>
      <c r="AN2301" s="37"/>
      <c r="AO2301" s="37"/>
      <c r="AP2301" s="37"/>
      <c r="AQ2301" s="37"/>
      <c r="AR2301" s="37"/>
      <c r="AS2301" s="37"/>
      <c r="AT2301" s="37"/>
      <c r="AU2301" s="37"/>
      <c r="AV2301" s="37"/>
      <c r="AW2301" s="37"/>
      <c r="AX2301" s="37"/>
      <c r="AY2301" s="37"/>
      <c r="AZ2301" s="37"/>
      <c r="BA2301" s="37"/>
      <c r="BB2301" s="37"/>
      <c r="BC2301" s="37"/>
      <c r="BD2301" s="37"/>
      <c r="BE2301" s="37"/>
      <c r="BF2301" s="37"/>
      <c r="BG2301" s="37"/>
      <c r="BH2301" s="37"/>
      <c r="BI2301" s="37"/>
      <c r="BJ2301" s="37"/>
      <c r="BK2301" s="37"/>
      <c r="BL2301" s="37"/>
      <c r="BM2301" s="37"/>
    </row>
    <row r="2302" spans="1:65" s="40" customFormat="1" ht="23.25" x14ac:dyDescent="0.35">
      <c r="A2302" s="37"/>
      <c r="B2302" s="37"/>
      <c r="C2302" s="41"/>
      <c r="D2302" s="38"/>
      <c r="E2302" s="57"/>
      <c r="F2302" s="42"/>
      <c r="G2302" s="43"/>
      <c r="H2302" s="37"/>
      <c r="I2302" s="37"/>
      <c r="J2302" s="38"/>
      <c r="K2302" s="37"/>
      <c r="L2302" s="38"/>
      <c r="M2302" s="39"/>
      <c r="P2302" s="37"/>
      <c r="Q2302" s="37"/>
      <c r="R2302" s="37"/>
      <c r="S2302" s="37"/>
      <c r="T2302" s="37"/>
      <c r="U2302" s="37"/>
      <c r="V2302" s="37"/>
      <c r="W2302" s="37"/>
      <c r="X2302" s="37"/>
      <c r="Y2302" s="37"/>
      <c r="Z2302" s="37"/>
      <c r="AA2302" s="37"/>
      <c r="AB2302" s="37"/>
      <c r="AC2302" s="37"/>
      <c r="AD2302" s="37"/>
      <c r="AE2302" s="37"/>
      <c r="AF2302" s="37"/>
      <c r="AG2302" s="37"/>
      <c r="AH2302" s="37"/>
      <c r="AI2302" s="37"/>
      <c r="AJ2302" s="37"/>
      <c r="AK2302" s="37"/>
      <c r="AL2302" s="37"/>
      <c r="AM2302" s="37"/>
      <c r="AN2302" s="37"/>
      <c r="AO2302" s="37"/>
      <c r="AP2302" s="37"/>
      <c r="AQ2302" s="37"/>
      <c r="AR2302" s="37"/>
      <c r="AS2302" s="37"/>
      <c r="AT2302" s="37"/>
      <c r="AU2302" s="37"/>
      <c r="AV2302" s="37"/>
      <c r="AW2302" s="37"/>
      <c r="AX2302" s="37"/>
      <c r="AY2302" s="37"/>
      <c r="AZ2302" s="37"/>
      <c r="BA2302" s="37"/>
      <c r="BB2302" s="37"/>
      <c r="BC2302" s="37"/>
      <c r="BD2302" s="37"/>
      <c r="BE2302" s="37"/>
      <c r="BF2302" s="37"/>
      <c r="BG2302" s="37"/>
      <c r="BH2302" s="37"/>
      <c r="BI2302" s="37"/>
      <c r="BJ2302" s="37"/>
      <c r="BK2302" s="37"/>
      <c r="BL2302" s="37"/>
      <c r="BM2302" s="37"/>
    </row>
    <row r="2303" spans="1:65" s="40" customFormat="1" ht="23.25" x14ac:dyDescent="0.35">
      <c r="A2303" s="37"/>
      <c r="B2303" s="37"/>
      <c r="C2303" s="41"/>
      <c r="D2303" s="38"/>
      <c r="E2303" s="57"/>
      <c r="F2303" s="42"/>
      <c r="G2303" s="43"/>
      <c r="H2303" s="37"/>
      <c r="I2303" s="37"/>
      <c r="J2303" s="38"/>
      <c r="K2303" s="37"/>
      <c r="L2303" s="38"/>
      <c r="M2303" s="39"/>
      <c r="P2303" s="37"/>
      <c r="Q2303" s="37"/>
      <c r="R2303" s="37"/>
      <c r="S2303" s="37"/>
      <c r="T2303" s="37"/>
      <c r="U2303" s="37"/>
      <c r="V2303" s="37"/>
      <c r="W2303" s="37"/>
      <c r="X2303" s="37"/>
      <c r="Y2303" s="37"/>
      <c r="Z2303" s="37"/>
      <c r="AA2303" s="37"/>
      <c r="AB2303" s="37"/>
      <c r="AC2303" s="37"/>
      <c r="AD2303" s="37"/>
      <c r="AE2303" s="37"/>
      <c r="AF2303" s="37"/>
      <c r="AG2303" s="37"/>
      <c r="AH2303" s="37"/>
      <c r="AI2303" s="37"/>
      <c r="AJ2303" s="37"/>
      <c r="AK2303" s="37"/>
      <c r="AL2303" s="37"/>
      <c r="AM2303" s="37"/>
      <c r="AN2303" s="37"/>
      <c r="AO2303" s="37"/>
      <c r="AP2303" s="37"/>
      <c r="AQ2303" s="37"/>
      <c r="AR2303" s="37"/>
      <c r="AS2303" s="37"/>
      <c r="AT2303" s="37"/>
      <c r="AU2303" s="37"/>
      <c r="AV2303" s="37"/>
      <c r="AW2303" s="37"/>
      <c r="AX2303" s="37"/>
      <c r="AY2303" s="37"/>
      <c r="AZ2303" s="37"/>
      <c r="BA2303" s="37"/>
      <c r="BB2303" s="37"/>
      <c r="BC2303" s="37"/>
      <c r="BD2303" s="37"/>
      <c r="BE2303" s="37"/>
      <c r="BF2303" s="37"/>
      <c r="BG2303" s="37"/>
      <c r="BH2303" s="37"/>
      <c r="BI2303" s="37"/>
      <c r="BJ2303" s="37"/>
      <c r="BK2303" s="37"/>
      <c r="BL2303" s="37"/>
      <c r="BM2303" s="37"/>
    </row>
    <row r="2304" spans="1:65" s="40" customFormat="1" ht="23.25" x14ac:dyDescent="0.35">
      <c r="A2304" s="37"/>
      <c r="B2304" s="37"/>
      <c r="C2304" s="41"/>
      <c r="D2304" s="38"/>
      <c r="E2304" s="57"/>
      <c r="F2304" s="42"/>
      <c r="G2304" s="43"/>
      <c r="H2304" s="37"/>
      <c r="I2304" s="37"/>
      <c r="J2304" s="38"/>
      <c r="K2304" s="37"/>
      <c r="L2304" s="38"/>
      <c r="M2304" s="39"/>
      <c r="P2304" s="37"/>
      <c r="Q2304" s="37"/>
      <c r="R2304" s="37"/>
      <c r="S2304" s="37"/>
      <c r="T2304" s="37"/>
      <c r="U2304" s="37"/>
      <c r="V2304" s="37"/>
      <c r="W2304" s="37"/>
      <c r="X2304" s="37"/>
      <c r="Y2304" s="37"/>
      <c r="Z2304" s="37"/>
      <c r="AA2304" s="37"/>
      <c r="AB2304" s="37"/>
      <c r="AC2304" s="37"/>
      <c r="AD2304" s="37"/>
      <c r="AE2304" s="37"/>
      <c r="AF2304" s="37"/>
      <c r="AG2304" s="37"/>
      <c r="AH2304" s="37"/>
      <c r="AI2304" s="37"/>
      <c r="AJ2304" s="37"/>
      <c r="AK2304" s="37"/>
      <c r="AL2304" s="37"/>
      <c r="AM2304" s="37"/>
      <c r="AN2304" s="37"/>
      <c r="AO2304" s="37"/>
      <c r="AP2304" s="37"/>
      <c r="AQ2304" s="37"/>
      <c r="AR2304" s="37"/>
      <c r="AS2304" s="37"/>
      <c r="AT2304" s="37"/>
      <c r="AU2304" s="37"/>
      <c r="AV2304" s="37"/>
      <c r="AW2304" s="37"/>
      <c r="AX2304" s="37"/>
      <c r="AY2304" s="37"/>
      <c r="AZ2304" s="37"/>
      <c r="BA2304" s="37"/>
      <c r="BB2304" s="37"/>
      <c r="BC2304" s="37"/>
      <c r="BD2304" s="37"/>
      <c r="BE2304" s="37"/>
      <c r="BF2304" s="37"/>
      <c r="BG2304" s="37"/>
      <c r="BH2304" s="37"/>
      <c r="BI2304" s="37"/>
      <c r="BJ2304" s="37"/>
      <c r="BK2304" s="37"/>
      <c r="BL2304" s="37"/>
      <c r="BM2304" s="37"/>
    </row>
    <row r="2305" spans="1:65" s="40" customFormat="1" ht="23.25" x14ac:dyDescent="0.35">
      <c r="A2305" s="37"/>
      <c r="B2305" s="37"/>
      <c r="C2305" s="41"/>
      <c r="D2305" s="38"/>
      <c r="E2305" s="57"/>
      <c r="F2305" s="42"/>
      <c r="G2305" s="43"/>
      <c r="H2305" s="37"/>
      <c r="I2305" s="37"/>
      <c r="J2305" s="38"/>
      <c r="K2305" s="37"/>
      <c r="L2305" s="38"/>
      <c r="M2305" s="39"/>
      <c r="P2305" s="37"/>
      <c r="Q2305" s="37"/>
      <c r="R2305" s="37"/>
      <c r="S2305" s="37"/>
      <c r="T2305" s="37"/>
      <c r="U2305" s="37"/>
      <c r="V2305" s="37"/>
      <c r="W2305" s="37"/>
      <c r="X2305" s="37"/>
      <c r="Y2305" s="37"/>
      <c r="Z2305" s="37"/>
      <c r="AA2305" s="37"/>
      <c r="AB2305" s="37"/>
      <c r="AC2305" s="37"/>
      <c r="AD2305" s="37"/>
      <c r="AE2305" s="37"/>
      <c r="AF2305" s="37"/>
      <c r="AG2305" s="37"/>
      <c r="AH2305" s="37"/>
      <c r="AI2305" s="37"/>
      <c r="AJ2305" s="37"/>
      <c r="AK2305" s="37"/>
      <c r="AL2305" s="37"/>
      <c r="AM2305" s="37"/>
      <c r="AN2305" s="37"/>
      <c r="AO2305" s="37"/>
      <c r="AP2305" s="37"/>
      <c r="AQ2305" s="37"/>
      <c r="AR2305" s="37"/>
      <c r="AS2305" s="37"/>
      <c r="AT2305" s="37"/>
      <c r="AU2305" s="37"/>
      <c r="AV2305" s="37"/>
      <c r="AW2305" s="37"/>
      <c r="AX2305" s="37"/>
      <c r="AY2305" s="37"/>
      <c r="AZ2305" s="37"/>
      <c r="BA2305" s="37"/>
      <c r="BB2305" s="37"/>
      <c r="BC2305" s="37"/>
      <c r="BD2305" s="37"/>
      <c r="BE2305" s="37"/>
      <c r="BF2305" s="37"/>
      <c r="BG2305" s="37"/>
      <c r="BH2305" s="37"/>
      <c r="BI2305" s="37"/>
      <c r="BJ2305" s="37"/>
      <c r="BK2305" s="37"/>
      <c r="BL2305" s="37"/>
      <c r="BM2305" s="37"/>
    </row>
    <row r="2306" spans="1:65" s="40" customFormat="1" ht="23.25" x14ac:dyDescent="0.35">
      <c r="A2306" s="37"/>
      <c r="B2306" s="37"/>
      <c r="C2306" s="41"/>
      <c r="D2306" s="38"/>
      <c r="E2306" s="57"/>
      <c r="F2306" s="42"/>
      <c r="G2306" s="43"/>
      <c r="H2306" s="37"/>
      <c r="I2306" s="37"/>
      <c r="J2306" s="38"/>
      <c r="K2306" s="37"/>
      <c r="L2306" s="38"/>
      <c r="M2306" s="39"/>
      <c r="P2306" s="37"/>
      <c r="Q2306" s="37"/>
      <c r="R2306" s="37"/>
      <c r="S2306" s="37"/>
      <c r="T2306" s="37"/>
      <c r="U2306" s="37"/>
      <c r="V2306" s="37"/>
      <c r="W2306" s="37"/>
      <c r="X2306" s="37"/>
      <c r="Y2306" s="37"/>
      <c r="Z2306" s="37"/>
      <c r="AA2306" s="37"/>
      <c r="AB2306" s="37"/>
      <c r="AC2306" s="37"/>
      <c r="AD2306" s="37"/>
      <c r="AE2306" s="37"/>
      <c r="AF2306" s="37"/>
      <c r="AG2306" s="37"/>
      <c r="AH2306" s="37"/>
      <c r="AI2306" s="37"/>
      <c r="AJ2306" s="37"/>
      <c r="AK2306" s="37"/>
      <c r="AL2306" s="37"/>
      <c r="AM2306" s="37"/>
      <c r="AN2306" s="37"/>
      <c r="AO2306" s="37"/>
      <c r="AP2306" s="37"/>
      <c r="AQ2306" s="37"/>
      <c r="AR2306" s="37"/>
      <c r="AS2306" s="37"/>
      <c r="AT2306" s="37"/>
      <c r="AU2306" s="37"/>
      <c r="AV2306" s="37"/>
      <c r="AW2306" s="37"/>
      <c r="AX2306" s="37"/>
      <c r="AY2306" s="37"/>
      <c r="AZ2306" s="37"/>
      <c r="BA2306" s="37"/>
      <c r="BB2306" s="37"/>
      <c r="BC2306" s="37"/>
      <c r="BD2306" s="37"/>
      <c r="BE2306" s="37"/>
      <c r="BF2306" s="37"/>
      <c r="BG2306" s="37"/>
      <c r="BH2306" s="37"/>
      <c r="BI2306" s="37"/>
      <c r="BJ2306" s="37"/>
      <c r="BK2306" s="37"/>
      <c r="BL2306" s="37"/>
      <c r="BM2306" s="37"/>
    </row>
    <row r="2307" spans="1:65" s="40" customFormat="1" ht="23.25" x14ac:dyDescent="0.35">
      <c r="A2307" s="37"/>
      <c r="B2307" s="37"/>
      <c r="C2307" s="41"/>
      <c r="D2307" s="38"/>
      <c r="E2307" s="57"/>
      <c r="F2307" s="42"/>
      <c r="G2307" s="43"/>
      <c r="H2307" s="37"/>
      <c r="I2307" s="37"/>
      <c r="J2307" s="38"/>
      <c r="K2307" s="37"/>
      <c r="L2307" s="38"/>
      <c r="M2307" s="39"/>
      <c r="P2307" s="37"/>
      <c r="Q2307" s="37"/>
      <c r="R2307" s="37"/>
      <c r="S2307" s="37"/>
      <c r="T2307" s="37"/>
      <c r="U2307" s="37"/>
      <c r="V2307" s="37"/>
      <c r="W2307" s="37"/>
      <c r="X2307" s="37"/>
      <c r="Y2307" s="37"/>
      <c r="Z2307" s="37"/>
      <c r="AA2307" s="37"/>
      <c r="AB2307" s="37"/>
      <c r="AC2307" s="37"/>
      <c r="AD2307" s="37"/>
      <c r="AE2307" s="37"/>
      <c r="AF2307" s="37"/>
      <c r="AG2307" s="37"/>
      <c r="AH2307" s="37"/>
      <c r="AI2307" s="37"/>
      <c r="AJ2307" s="37"/>
      <c r="AK2307" s="37"/>
      <c r="AL2307" s="37"/>
      <c r="AM2307" s="37"/>
      <c r="AN2307" s="37"/>
      <c r="AO2307" s="37"/>
      <c r="AP2307" s="37"/>
      <c r="AQ2307" s="37"/>
      <c r="AR2307" s="37"/>
      <c r="AS2307" s="37"/>
      <c r="AT2307" s="37"/>
      <c r="AU2307" s="37"/>
      <c r="AV2307" s="37"/>
      <c r="AW2307" s="37"/>
      <c r="AX2307" s="37"/>
      <c r="AY2307" s="37"/>
      <c r="AZ2307" s="37"/>
      <c r="BA2307" s="37"/>
      <c r="BB2307" s="37"/>
      <c r="BC2307" s="37"/>
      <c r="BD2307" s="37"/>
      <c r="BE2307" s="37"/>
      <c r="BF2307" s="37"/>
      <c r="BG2307" s="37"/>
      <c r="BH2307" s="37"/>
      <c r="BI2307" s="37"/>
      <c r="BJ2307" s="37"/>
      <c r="BK2307" s="37"/>
      <c r="BL2307" s="37"/>
      <c r="BM2307" s="37"/>
    </row>
    <row r="2308" spans="1:65" s="40" customFormat="1" ht="23.25" x14ac:dyDescent="0.35">
      <c r="A2308" s="37"/>
      <c r="B2308" s="37"/>
      <c r="C2308" s="41"/>
      <c r="D2308" s="38"/>
      <c r="E2308" s="57"/>
      <c r="F2308" s="42"/>
      <c r="G2308" s="43"/>
      <c r="H2308" s="37"/>
      <c r="I2308" s="37"/>
      <c r="J2308" s="38"/>
      <c r="K2308" s="37"/>
      <c r="L2308" s="38"/>
      <c r="M2308" s="39"/>
      <c r="P2308" s="37"/>
      <c r="Q2308" s="37"/>
      <c r="R2308" s="37"/>
      <c r="S2308" s="37"/>
      <c r="T2308" s="37"/>
      <c r="U2308" s="37"/>
      <c r="V2308" s="37"/>
      <c r="W2308" s="37"/>
      <c r="X2308" s="37"/>
      <c r="Y2308" s="37"/>
      <c r="Z2308" s="37"/>
      <c r="AA2308" s="37"/>
      <c r="AB2308" s="37"/>
      <c r="AC2308" s="37"/>
      <c r="AD2308" s="37"/>
      <c r="AE2308" s="37"/>
      <c r="AF2308" s="37"/>
      <c r="AG2308" s="37"/>
      <c r="AH2308" s="37"/>
      <c r="AI2308" s="37"/>
      <c r="AJ2308" s="37"/>
      <c r="AK2308" s="37"/>
      <c r="AL2308" s="37"/>
      <c r="AM2308" s="37"/>
      <c r="AN2308" s="37"/>
      <c r="AO2308" s="37"/>
      <c r="AP2308" s="37"/>
      <c r="AQ2308" s="37"/>
      <c r="AR2308" s="37"/>
      <c r="AS2308" s="37"/>
      <c r="AT2308" s="37"/>
      <c r="AU2308" s="37"/>
      <c r="AV2308" s="37"/>
      <c r="AW2308" s="37"/>
      <c r="AX2308" s="37"/>
      <c r="AY2308" s="37"/>
      <c r="AZ2308" s="37"/>
      <c r="BA2308" s="37"/>
      <c r="BB2308" s="37"/>
      <c r="BC2308" s="37"/>
      <c r="BD2308" s="37"/>
      <c r="BE2308" s="37"/>
      <c r="BF2308" s="37"/>
      <c r="BG2308" s="37"/>
      <c r="BH2308" s="37"/>
      <c r="BI2308" s="37"/>
      <c r="BJ2308" s="37"/>
      <c r="BK2308" s="37"/>
      <c r="BL2308" s="37"/>
      <c r="BM2308" s="37"/>
    </row>
    <row r="2309" spans="1:65" s="40" customFormat="1" ht="23.25" x14ac:dyDescent="0.35">
      <c r="A2309" s="37"/>
      <c r="B2309" s="37"/>
      <c r="C2309" s="41"/>
      <c r="D2309" s="38"/>
      <c r="E2309" s="57"/>
      <c r="F2309" s="42"/>
      <c r="G2309" s="43"/>
      <c r="H2309" s="37"/>
      <c r="I2309" s="37"/>
      <c r="J2309" s="38"/>
      <c r="K2309" s="37"/>
      <c r="L2309" s="38"/>
      <c r="M2309" s="39"/>
      <c r="P2309" s="37"/>
      <c r="Q2309" s="37"/>
      <c r="R2309" s="37"/>
      <c r="S2309" s="37"/>
      <c r="T2309" s="37"/>
      <c r="U2309" s="37"/>
      <c r="V2309" s="37"/>
      <c r="W2309" s="37"/>
      <c r="X2309" s="37"/>
      <c r="Y2309" s="37"/>
      <c r="Z2309" s="37"/>
      <c r="AA2309" s="37"/>
      <c r="AB2309" s="37"/>
      <c r="AC2309" s="37"/>
      <c r="AD2309" s="37"/>
      <c r="AE2309" s="37"/>
      <c r="AF2309" s="37"/>
      <c r="AG2309" s="37"/>
      <c r="AH2309" s="37"/>
      <c r="AI2309" s="37"/>
      <c r="AJ2309" s="37"/>
      <c r="AK2309" s="37"/>
      <c r="AL2309" s="37"/>
      <c r="AM2309" s="37"/>
      <c r="AN2309" s="37"/>
      <c r="AO2309" s="37"/>
      <c r="AP2309" s="37"/>
      <c r="AQ2309" s="37"/>
      <c r="AR2309" s="37"/>
      <c r="AS2309" s="37"/>
      <c r="AT2309" s="37"/>
      <c r="AU2309" s="37"/>
      <c r="AV2309" s="37"/>
      <c r="AW2309" s="37"/>
      <c r="AX2309" s="37"/>
      <c r="AY2309" s="37"/>
      <c r="AZ2309" s="37"/>
      <c r="BA2309" s="37"/>
      <c r="BB2309" s="37"/>
      <c r="BC2309" s="37"/>
      <c r="BD2309" s="37"/>
      <c r="BE2309" s="37"/>
      <c r="BF2309" s="37"/>
      <c r="BG2309" s="37"/>
      <c r="BH2309" s="37"/>
      <c r="BI2309" s="37"/>
      <c r="BJ2309" s="37"/>
      <c r="BK2309" s="37"/>
      <c r="BL2309" s="37"/>
      <c r="BM2309" s="37"/>
    </row>
    <row r="2310" spans="1:65" s="40" customFormat="1" ht="23.25" x14ac:dyDescent="0.35">
      <c r="A2310" s="37"/>
      <c r="B2310" s="37"/>
      <c r="C2310" s="41"/>
      <c r="D2310" s="38"/>
      <c r="E2310" s="57"/>
      <c r="F2310" s="42"/>
      <c r="G2310" s="43"/>
      <c r="H2310" s="37"/>
      <c r="I2310" s="37"/>
      <c r="J2310" s="38"/>
      <c r="K2310" s="37"/>
      <c r="L2310" s="38"/>
      <c r="M2310" s="39"/>
      <c r="P2310" s="37"/>
      <c r="Q2310" s="37"/>
      <c r="R2310" s="37"/>
      <c r="S2310" s="37"/>
      <c r="T2310" s="37"/>
      <c r="U2310" s="37"/>
      <c r="V2310" s="37"/>
      <c r="W2310" s="37"/>
      <c r="X2310" s="37"/>
      <c r="Y2310" s="37"/>
      <c r="Z2310" s="37"/>
      <c r="AA2310" s="37"/>
      <c r="AB2310" s="37"/>
      <c r="AC2310" s="37"/>
      <c r="AD2310" s="37"/>
      <c r="AE2310" s="37"/>
      <c r="AF2310" s="37"/>
      <c r="AG2310" s="37"/>
      <c r="AH2310" s="37"/>
      <c r="AI2310" s="37"/>
      <c r="AJ2310" s="37"/>
      <c r="AK2310" s="37"/>
      <c r="AL2310" s="37"/>
      <c r="AM2310" s="37"/>
      <c r="AN2310" s="37"/>
      <c r="AO2310" s="37"/>
      <c r="AP2310" s="37"/>
      <c r="AQ2310" s="37"/>
      <c r="AR2310" s="37"/>
      <c r="AS2310" s="37"/>
      <c r="AT2310" s="37"/>
      <c r="AU2310" s="37"/>
      <c r="AV2310" s="37"/>
      <c r="AW2310" s="37"/>
      <c r="AX2310" s="37"/>
      <c r="AY2310" s="37"/>
      <c r="AZ2310" s="37"/>
      <c r="BA2310" s="37"/>
      <c r="BB2310" s="37"/>
      <c r="BC2310" s="37"/>
      <c r="BD2310" s="37"/>
      <c r="BE2310" s="37"/>
      <c r="BF2310" s="37"/>
      <c r="BG2310" s="37"/>
      <c r="BH2310" s="37"/>
      <c r="BI2310" s="37"/>
      <c r="BJ2310" s="37"/>
      <c r="BK2310" s="37"/>
      <c r="BL2310" s="37"/>
      <c r="BM2310" s="37"/>
    </row>
    <row r="2311" spans="1:65" s="40" customFormat="1" ht="23.25" x14ac:dyDescent="0.35">
      <c r="A2311" s="37"/>
      <c r="B2311" s="37"/>
      <c r="C2311" s="41"/>
      <c r="D2311" s="38"/>
      <c r="E2311" s="57"/>
      <c r="F2311" s="42"/>
      <c r="G2311" s="43"/>
      <c r="H2311" s="37"/>
      <c r="I2311" s="37"/>
      <c r="J2311" s="38"/>
      <c r="K2311" s="37"/>
      <c r="L2311" s="38"/>
      <c r="M2311" s="39"/>
      <c r="P2311" s="37"/>
      <c r="Q2311" s="37"/>
      <c r="R2311" s="37"/>
      <c r="S2311" s="37"/>
      <c r="T2311" s="37"/>
      <c r="U2311" s="37"/>
      <c r="V2311" s="37"/>
      <c r="W2311" s="37"/>
      <c r="X2311" s="37"/>
      <c r="Y2311" s="37"/>
      <c r="Z2311" s="37"/>
      <c r="AA2311" s="37"/>
      <c r="AB2311" s="37"/>
      <c r="AC2311" s="37"/>
      <c r="AD2311" s="37"/>
      <c r="AE2311" s="37"/>
      <c r="AF2311" s="37"/>
      <c r="AG2311" s="37"/>
      <c r="AH2311" s="37"/>
      <c r="AI2311" s="37"/>
      <c r="AJ2311" s="37"/>
      <c r="AK2311" s="37"/>
      <c r="AL2311" s="37"/>
      <c r="AM2311" s="37"/>
      <c r="AN2311" s="37"/>
      <c r="AO2311" s="37"/>
      <c r="AP2311" s="37"/>
      <c r="AQ2311" s="37"/>
      <c r="AR2311" s="37"/>
      <c r="AS2311" s="37"/>
      <c r="AT2311" s="37"/>
      <c r="AU2311" s="37"/>
      <c r="AV2311" s="37"/>
      <c r="AW2311" s="37"/>
      <c r="AX2311" s="37"/>
      <c r="AY2311" s="37"/>
      <c r="AZ2311" s="37"/>
      <c r="BA2311" s="37"/>
      <c r="BB2311" s="37"/>
      <c r="BC2311" s="37"/>
      <c r="BD2311" s="37"/>
      <c r="BE2311" s="37"/>
      <c r="BF2311" s="37"/>
      <c r="BG2311" s="37"/>
      <c r="BH2311" s="37"/>
      <c r="BI2311" s="37"/>
      <c r="BJ2311" s="37"/>
      <c r="BK2311" s="37"/>
      <c r="BL2311" s="37"/>
      <c r="BM2311" s="37"/>
    </row>
    <row r="2312" spans="1:65" s="40" customFormat="1" ht="23.25" x14ac:dyDescent="0.35">
      <c r="A2312" s="37"/>
      <c r="B2312" s="37"/>
      <c r="C2312" s="41"/>
      <c r="D2312" s="38"/>
      <c r="E2312" s="57"/>
      <c r="F2312" s="42"/>
      <c r="G2312" s="43"/>
      <c r="H2312" s="37"/>
      <c r="I2312" s="37"/>
      <c r="J2312" s="38"/>
      <c r="K2312" s="37"/>
      <c r="L2312" s="38"/>
      <c r="M2312" s="39"/>
      <c r="P2312" s="37"/>
      <c r="Q2312" s="37"/>
      <c r="R2312" s="37"/>
      <c r="S2312" s="37"/>
      <c r="T2312" s="37"/>
      <c r="U2312" s="37"/>
      <c r="V2312" s="37"/>
      <c r="W2312" s="37"/>
      <c r="X2312" s="37"/>
      <c r="Y2312" s="37"/>
      <c r="Z2312" s="37"/>
      <c r="AA2312" s="37"/>
      <c r="AB2312" s="37"/>
      <c r="AC2312" s="37"/>
      <c r="AD2312" s="37"/>
      <c r="AE2312" s="37"/>
      <c r="AF2312" s="37"/>
      <c r="AG2312" s="37"/>
      <c r="AH2312" s="37"/>
      <c r="AI2312" s="37"/>
      <c r="AJ2312" s="37"/>
      <c r="AK2312" s="37"/>
      <c r="AL2312" s="37"/>
      <c r="AM2312" s="37"/>
      <c r="AN2312" s="37"/>
      <c r="AO2312" s="37"/>
      <c r="AP2312" s="37"/>
      <c r="AQ2312" s="37"/>
      <c r="AR2312" s="37"/>
      <c r="AS2312" s="37"/>
      <c r="AT2312" s="37"/>
      <c r="AU2312" s="37"/>
      <c r="AV2312" s="37"/>
      <c r="AW2312" s="37"/>
      <c r="AX2312" s="37"/>
      <c r="AY2312" s="37"/>
      <c r="AZ2312" s="37"/>
      <c r="BA2312" s="37"/>
      <c r="BB2312" s="37"/>
      <c r="BC2312" s="37"/>
      <c r="BD2312" s="37"/>
      <c r="BE2312" s="37"/>
      <c r="BF2312" s="37"/>
      <c r="BG2312" s="37"/>
      <c r="BH2312" s="37"/>
      <c r="BI2312" s="37"/>
      <c r="BJ2312" s="37"/>
      <c r="BK2312" s="37"/>
      <c r="BL2312" s="37"/>
      <c r="BM2312" s="37"/>
    </row>
    <row r="2313" spans="1:65" s="40" customFormat="1" ht="23.25" x14ac:dyDescent="0.35">
      <c r="A2313" s="37"/>
      <c r="B2313" s="37"/>
      <c r="C2313" s="41"/>
      <c r="D2313" s="38"/>
      <c r="E2313" s="57"/>
      <c r="F2313" s="42"/>
      <c r="G2313" s="43"/>
      <c r="H2313" s="37"/>
      <c r="I2313" s="37"/>
      <c r="J2313" s="38"/>
      <c r="K2313" s="37"/>
      <c r="L2313" s="38"/>
      <c r="M2313" s="39"/>
      <c r="P2313" s="37"/>
      <c r="Q2313" s="37"/>
      <c r="R2313" s="37"/>
      <c r="S2313" s="37"/>
      <c r="T2313" s="37"/>
      <c r="U2313" s="37"/>
      <c r="V2313" s="37"/>
      <c r="W2313" s="37"/>
      <c r="X2313" s="37"/>
      <c r="Y2313" s="37"/>
      <c r="Z2313" s="37"/>
      <c r="AA2313" s="37"/>
      <c r="AB2313" s="37"/>
      <c r="AC2313" s="37"/>
      <c r="AD2313" s="37"/>
      <c r="AE2313" s="37"/>
      <c r="AF2313" s="37"/>
      <c r="AG2313" s="37"/>
      <c r="AH2313" s="37"/>
      <c r="AI2313" s="37"/>
      <c r="AJ2313" s="37"/>
      <c r="AK2313" s="37"/>
      <c r="AL2313" s="37"/>
      <c r="AM2313" s="37"/>
      <c r="AN2313" s="37"/>
      <c r="AO2313" s="37"/>
      <c r="AP2313" s="37"/>
      <c r="AQ2313" s="37"/>
      <c r="AR2313" s="37"/>
      <c r="AS2313" s="37"/>
      <c r="AT2313" s="37"/>
      <c r="AU2313" s="37"/>
      <c r="AV2313" s="37"/>
      <c r="AW2313" s="37"/>
      <c r="AX2313" s="37"/>
      <c r="AY2313" s="37"/>
      <c r="AZ2313" s="37"/>
      <c r="BA2313" s="37"/>
      <c r="BB2313" s="37"/>
      <c r="BC2313" s="37"/>
      <c r="BD2313" s="37"/>
      <c r="BE2313" s="37"/>
      <c r="BF2313" s="37"/>
      <c r="BG2313" s="37"/>
      <c r="BH2313" s="37"/>
      <c r="BI2313" s="37"/>
      <c r="BJ2313" s="37"/>
      <c r="BK2313" s="37"/>
      <c r="BL2313" s="37"/>
      <c r="BM2313" s="37"/>
    </row>
    <row r="2314" spans="1:65" s="40" customFormat="1" ht="23.25" x14ac:dyDescent="0.35">
      <c r="A2314" s="37"/>
      <c r="B2314" s="37"/>
      <c r="C2314" s="41"/>
      <c r="D2314" s="38"/>
      <c r="E2314" s="57"/>
      <c r="F2314" s="42"/>
      <c r="G2314" s="43"/>
      <c r="H2314" s="37"/>
      <c r="I2314" s="37"/>
      <c r="J2314" s="38"/>
      <c r="K2314" s="37"/>
      <c r="L2314" s="38"/>
      <c r="M2314" s="39"/>
      <c r="P2314" s="37"/>
      <c r="Q2314" s="37"/>
      <c r="R2314" s="37"/>
      <c r="S2314" s="37"/>
      <c r="T2314" s="37"/>
      <c r="U2314" s="37"/>
      <c r="V2314" s="37"/>
      <c r="W2314" s="37"/>
      <c r="X2314" s="37"/>
      <c r="Y2314" s="37"/>
      <c r="Z2314" s="37"/>
      <c r="AA2314" s="37"/>
      <c r="AB2314" s="37"/>
      <c r="AC2314" s="37"/>
      <c r="AD2314" s="37"/>
      <c r="AE2314" s="37"/>
      <c r="AF2314" s="37"/>
      <c r="AG2314" s="37"/>
      <c r="AH2314" s="37"/>
      <c r="AI2314" s="37"/>
      <c r="AJ2314" s="37"/>
      <c r="AK2314" s="37"/>
      <c r="AL2314" s="37"/>
      <c r="AM2314" s="37"/>
      <c r="AN2314" s="37"/>
      <c r="AO2314" s="37"/>
      <c r="AP2314" s="37"/>
      <c r="AQ2314" s="37"/>
      <c r="AR2314" s="37"/>
      <c r="AS2314" s="37"/>
      <c r="AT2314" s="37"/>
      <c r="AU2314" s="37"/>
      <c r="AV2314" s="37"/>
      <c r="AW2314" s="37"/>
      <c r="AX2314" s="37"/>
      <c r="AY2314" s="37"/>
      <c r="AZ2314" s="37"/>
      <c r="BA2314" s="37"/>
      <c r="BB2314" s="37"/>
      <c r="BC2314" s="37"/>
      <c r="BD2314" s="37"/>
      <c r="BE2314" s="37"/>
      <c r="BF2314" s="37"/>
      <c r="BG2314" s="37"/>
      <c r="BH2314" s="37"/>
      <c r="BI2314" s="37"/>
      <c r="BJ2314" s="37"/>
      <c r="BK2314" s="37"/>
      <c r="BL2314" s="37"/>
      <c r="BM2314" s="37"/>
    </row>
    <row r="2315" spans="1:65" s="40" customFormat="1" ht="23.25" x14ac:dyDescent="0.35">
      <c r="A2315" s="37"/>
      <c r="B2315" s="37"/>
      <c r="C2315" s="41"/>
      <c r="D2315" s="38"/>
      <c r="E2315" s="57"/>
      <c r="F2315" s="42"/>
      <c r="G2315" s="43"/>
      <c r="H2315" s="37"/>
      <c r="I2315" s="37"/>
      <c r="J2315" s="38"/>
      <c r="K2315" s="37"/>
      <c r="L2315" s="38"/>
      <c r="M2315" s="39"/>
      <c r="P2315" s="37"/>
      <c r="Q2315" s="37"/>
      <c r="R2315" s="37"/>
      <c r="S2315" s="37"/>
      <c r="T2315" s="37"/>
      <c r="U2315" s="37"/>
      <c r="V2315" s="37"/>
      <c r="W2315" s="37"/>
      <c r="X2315" s="37"/>
      <c r="Y2315" s="37"/>
      <c r="Z2315" s="37"/>
      <c r="AA2315" s="37"/>
      <c r="AB2315" s="37"/>
      <c r="AC2315" s="37"/>
      <c r="AD2315" s="37"/>
      <c r="AE2315" s="37"/>
      <c r="AF2315" s="37"/>
      <c r="AG2315" s="37"/>
      <c r="AH2315" s="37"/>
      <c r="AI2315" s="37"/>
      <c r="AJ2315" s="37"/>
      <c r="AK2315" s="37"/>
      <c r="AL2315" s="37"/>
      <c r="AM2315" s="37"/>
      <c r="AN2315" s="37"/>
      <c r="AO2315" s="37"/>
      <c r="AP2315" s="37"/>
      <c r="AQ2315" s="37"/>
      <c r="AR2315" s="37"/>
      <c r="AS2315" s="37"/>
      <c r="AT2315" s="37"/>
      <c r="AU2315" s="37"/>
      <c r="AV2315" s="37"/>
      <c r="AW2315" s="37"/>
      <c r="AX2315" s="37"/>
      <c r="AY2315" s="37"/>
      <c r="AZ2315" s="37"/>
      <c r="BA2315" s="37"/>
      <c r="BB2315" s="37"/>
      <c r="BC2315" s="37"/>
      <c r="BD2315" s="37"/>
      <c r="BE2315" s="37"/>
      <c r="BF2315" s="37"/>
      <c r="BG2315" s="37"/>
      <c r="BH2315" s="37"/>
      <c r="BI2315" s="37"/>
      <c r="BJ2315" s="37"/>
      <c r="BK2315" s="37"/>
      <c r="BL2315" s="37"/>
      <c r="BM2315" s="37"/>
    </row>
    <row r="2316" spans="1:65" s="40" customFormat="1" ht="23.25" x14ac:dyDescent="0.35">
      <c r="A2316" s="37"/>
      <c r="B2316" s="37"/>
      <c r="C2316" s="41"/>
      <c r="D2316" s="38"/>
      <c r="E2316" s="57"/>
      <c r="F2316" s="42"/>
      <c r="G2316" s="43"/>
      <c r="H2316" s="37"/>
      <c r="I2316" s="37"/>
      <c r="J2316" s="38"/>
      <c r="K2316" s="37"/>
      <c r="L2316" s="38"/>
      <c r="M2316" s="39"/>
      <c r="P2316" s="37"/>
      <c r="Q2316" s="37"/>
      <c r="R2316" s="37"/>
      <c r="S2316" s="37"/>
      <c r="T2316" s="37"/>
      <c r="U2316" s="37"/>
      <c r="V2316" s="37"/>
      <c r="W2316" s="37"/>
      <c r="X2316" s="37"/>
      <c r="Y2316" s="37"/>
      <c r="Z2316" s="37"/>
      <c r="AA2316" s="37"/>
      <c r="AB2316" s="37"/>
      <c r="AC2316" s="37"/>
      <c r="AD2316" s="37"/>
      <c r="AE2316" s="37"/>
      <c r="AF2316" s="37"/>
      <c r="AG2316" s="37"/>
      <c r="AH2316" s="37"/>
      <c r="AI2316" s="37"/>
      <c r="AJ2316" s="37"/>
      <c r="AK2316" s="37"/>
      <c r="AL2316" s="37"/>
      <c r="AM2316" s="37"/>
      <c r="AN2316" s="37"/>
      <c r="AO2316" s="37"/>
      <c r="AP2316" s="37"/>
      <c r="AQ2316" s="37"/>
      <c r="AR2316" s="37"/>
      <c r="AS2316" s="37"/>
      <c r="AT2316" s="37"/>
      <c r="AU2316" s="37"/>
      <c r="AV2316" s="37"/>
      <c r="AW2316" s="37"/>
      <c r="AX2316" s="37"/>
      <c r="AY2316" s="37"/>
      <c r="AZ2316" s="37"/>
      <c r="BA2316" s="37"/>
      <c r="BB2316" s="37"/>
      <c r="BC2316" s="37"/>
      <c r="BD2316" s="37"/>
      <c r="BE2316" s="37"/>
      <c r="BF2316" s="37"/>
      <c r="BG2316" s="37"/>
      <c r="BH2316" s="37"/>
      <c r="BI2316" s="37"/>
      <c r="BJ2316" s="37"/>
      <c r="BK2316" s="37"/>
      <c r="BL2316" s="37"/>
      <c r="BM2316" s="37"/>
    </row>
    <row r="2317" spans="1:65" s="40" customFormat="1" ht="23.25" x14ac:dyDescent="0.35">
      <c r="A2317" s="37"/>
      <c r="B2317" s="37"/>
      <c r="C2317" s="41"/>
      <c r="D2317" s="38"/>
      <c r="E2317" s="57"/>
      <c r="F2317" s="42"/>
      <c r="G2317" s="43"/>
      <c r="H2317" s="37"/>
      <c r="I2317" s="37"/>
      <c r="J2317" s="38"/>
      <c r="K2317" s="37"/>
      <c r="L2317" s="38"/>
      <c r="M2317" s="39"/>
      <c r="P2317" s="37"/>
      <c r="Q2317" s="37"/>
      <c r="R2317" s="37"/>
      <c r="S2317" s="37"/>
      <c r="T2317" s="37"/>
      <c r="U2317" s="37"/>
      <c r="V2317" s="37"/>
      <c r="W2317" s="37"/>
      <c r="X2317" s="37"/>
      <c r="Y2317" s="37"/>
      <c r="Z2317" s="37"/>
      <c r="AA2317" s="37"/>
      <c r="AB2317" s="37"/>
      <c r="AC2317" s="37"/>
      <c r="AD2317" s="37"/>
      <c r="AE2317" s="37"/>
      <c r="AF2317" s="37"/>
      <c r="AG2317" s="37"/>
      <c r="AH2317" s="37"/>
      <c r="AI2317" s="37"/>
      <c r="AJ2317" s="37"/>
      <c r="AK2317" s="37"/>
      <c r="AL2317" s="37"/>
      <c r="AM2317" s="37"/>
      <c r="AN2317" s="37"/>
      <c r="AO2317" s="37"/>
      <c r="AP2317" s="37"/>
      <c r="AQ2317" s="37"/>
      <c r="AR2317" s="37"/>
      <c r="AS2317" s="37"/>
      <c r="AT2317" s="37"/>
      <c r="AU2317" s="37"/>
      <c r="AV2317" s="37"/>
      <c r="AW2317" s="37"/>
      <c r="AX2317" s="37"/>
      <c r="AY2317" s="37"/>
      <c r="AZ2317" s="37"/>
      <c r="BA2317" s="37"/>
      <c r="BB2317" s="37"/>
      <c r="BC2317" s="37"/>
      <c r="BD2317" s="37"/>
      <c r="BE2317" s="37"/>
      <c r="BF2317" s="37"/>
      <c r="BG2317" s="37"/>
      <c r="BH2317" s="37"/>
      <c r="BI2317" s="37"/>
      <c r="BJ2317" s="37"/>
      <c r="BK2317" s="37"/>
      <c r="BL2317" s="37"/>
      <c r="BM2317" s="37"/>
    </row>
    <row r="2318" spans="1:65" s="40" customFormat="1" ht="23.25" x14ac:dyDescent="0.35">
      <c r="A2318" s="37"/>
      <c r="B2318" s="37"/>
      <c r="C2318" s="41"/>
      <c r="D2318" s="38"/>
      <c r="E2318" s="57"/>
      <c r="F2318" s="42"/>
      <c r="G2318" s="43"/>
      <c r="H2318" s="37"/>
      <c r="I2318" s="37"/>
      <c r="J2318" s="38"/>
      <c r="K2318" s="37"/>
      <c r="L2318" s="38"/>
      <c r="M2318" s="39"/>
      <c r="P2318" s="37"/>
      <c r="Q2318" s="37"/>
      <c r="R2318" s="37"/>
      <c r="S2318" s="37"/>
      <c r="T2318" s="37"/>
      <c r="U2318" s="37"/>
      <c r="V2318" s="37"/>
      <c r="W2318" s="37"/>
      <c r="X2318" s="37"/>
      <c r="Y2318" s="37"/>
      <c r="Z2318" s="37"/>
      <c r="AA2318" s="37"/>
      <c r="AB2318" s="37"/>
      <c r="AC2318" s="37"/>
      <c r="AD2318" s="37"/>
      <c r="AE2318" s="37"/>
      <c r="AF2318" s="37"/>
      <c r="AG2318" s="37"/>
      <c r="AH2318" s="37"/>
      <c r="AI2318" s="37"/>
      <c r="AJ2318" s="37"/>
      <c r="AK2318" s="37"/>
      <c r="AL2318" s="37"/>
      <c r="AM2318" s="37"/>
      <c r="AN2318" s="37"/>
      <c r="AO2318" s="37"/>
      <c r="AP2318" s="37"/>
      <c r="AQ2318" s="37"/>
      <c r="AR2318" s="37"/>
      <c r="AS2318" s="37"/>
      <c r="AT2318" s="37"/>
      <c r="AU2318" s="37"/>
      <c r="AV2318" s="37"/>
      <c r="AW2318" s="37"/>
      <c r="AX2318" s="37"/>
      <c r="AY2318" s="37"/>
      <c r="AZ2318" s="37"/>
      <c r="BA2318" s="37"/>
      <c r="BB2318" s="37"/>
      <c r="BC2318" s="37"/>
      <c r="BD2318" s="37"/>
      <c r="BE2318" s="37"/>
      <c r="BF2318" s="37"/>
      <c r="BG2318" s="37"/>
      <c r="BH2318" s="37"/>
      <c r="BI2318" s="37"/>
      <c r="BJ2318" s="37"/>
      <c r="BK2318" s="37"/>
      <c r="BL2318" s="37"/>
      <c r="BM2318" s="37"/>
    </row>
    <row r="2319" spans="1:65" s="40" customFormat="1" ht="23.25" x14ac:dyDescent="0.35">
      <c r="A2319" s="37"/>
      <c r="B2319" s="37"/>
      <c r="C2319" s="41"/>
      <c r="D2319" s="38"/>
      <c r="E2319" s="57"/>
      <c r="F2319" s="42"/>
      <c r="G2319" s="43"/>
      <c r="H2319" s="37"/>
      <c r="I2319" s="37"/>
      <c r="J2319" s="38"/>
      <c r="K2319" s="37"/>
      <c r="L2319" s="38"/>
      <c r="M2319" s="39"/>
      <c r="P2319" s="37"/>
      <c r="Q2319" s="37"/>
      <c r="R2319" s="37"/>
      <c r="S2319" s="37"/>
      <c r="T2319" s="37"/>
      <c r="U2319" s="37"/>
      <c r="V2319" s="37"/>
      <c r="W2319" s="37"/>
      <c r="X2319" s="37"/>
      <c r="Y2319" s="37"/>
      <c r="Z2319" s="37"/>
      <c r="AA2319" s="37"/>
      <c r="AB2319" s="37"/>
      <c r="AC2319" s="37"/>
      <c r="AD2319" s="37"/>
      <c r="AE2319" s="37"/>
      <c r="AF2319" s="37"/>
      <c r="AG2319" s="37"/>
      <c r="AH2319" s="37"/>
      <c r="AI2319" s="37"/>
      <c r="AJ2319" s="37"/>
      <c r="AK2319" s="37"/>
      <c r="AL2319" s="37"/>
      <c r="AM2319" s="37"/>
      <c r="AN2319" s="37"/>
      <c r="AO2319" s="37"/>
      <c r="AP2319" s="37"/>
      <c r="AQ2319" s="37"/>
      <c r="AR2319" s="37"/>
      <c r="AS2319" s="37"/>
      <c r="AT2319" s="37"/>
      <c r="AU2319" s="37"/>
      <c r="AV2319" s="37"/>
      <c r="AW2319" s="37"/>
      <c r="AX2319" s="37"/>
      <c r="AY2319" s="37"/>
      <c r="AZ2319" s="37"/>
      <c r="BA2319" s="37"/>
      <c r="BB2319" s="37"/>
      <c r="BC2319" s="37"/>
      <c r="BD2319" s="37"/>
      <c r="BE2319" s="37"/>
      <c r="BF2319" s="37"/>
      <c r="BG2319" s="37"/>
      <c r="BH2319" s="37"/>
      <c r="BI2319" s="37"/>
      <c r="BJ2319" s="37"/>
      <c r="BK2319" s="37"/>
      <c r="BL2319" s="37"/>
      <c r="BM2319" s="37"/>
    </row>
    <row r="2320" spans="1:65" s="40" customFormat="1" ht="23.25" x14ac:dyDescent="0.35">
      <c r="A2320" s="37"/>
      <c r="B2320" s="37"/>
      <c r="C2320" s="41"/>
      <c r="D2320" s="38"/>
      <c r="E2320" s="57"/>
      <c r="F2320" s="42"/>
      <c r="G2320" s="43"/>
      <c r="H2320" s="37"/>
      <c r="I2320" s="37"/>
      <c r="J2320" s="38"/>
      <c r="K2320" s="37"/>
      <c r="L2320" s="38"/>
      <c r="M2320" s="39"/>
      <c r="P2320" s="37"/>
      <c r="Q2320" s="37"/>
      <c r="R2320" s="37"/>
      <c r="S2320" s="37"/>
      <c r="T2320" s="37"/>
      <c r="U2320" s="37"/>
      <c r="V2320" s="37"/>
      <c r="W2320" s="37"/>
      <c r="X2320" s="37"/>
      <c r="Y2320" s="37"/>
      <c r="Z2320" s="37"/>
      <c r="AA2320" s="37"/>
      <c r="AB2320" s="37"/>
      <c r="AC2320" s="37"/>
      <c r="AD2320" s="37"/>
      <c r="AE2320" s="37"/>
      <c r="AF2320" s="37"/>
      <c r="AG2320" s="37"/>
      <c r="AH2320" s="37"/>
      <c r="AI2320" s="37"/>
      <c r="AJ2320" s="37"/>
      <c r="AK2320" s="37"/>
      <c r="AL2320" s="37"/>
      <c r="AM2320" s="37"/>
      <c r="AN2320" s="37"/>
      <c r="AO2320" s="37"/>
      <c r="AP2320" s="37"/>
      <c r="AQ2320" s="37"/>
      <c r="AR2320" s="37"/>
      <c r="AS2320" s="37"/>
      <c r="AT2320" s="37"/>
      <c r="AU2320" s="37"/>
      <c r="AV2320" s="37"/>
      <c r="AW2320" s="37"/>
      <c r="AX2320" s="37"/>
      <c r="AY2320" s="37"/>
      <c r="AZ2320" s="37"/>
      <c r="BA2320" s="37"/>
      <c r="BB2320" s="37"/>
      <c r="BC2320" s="37"/>
      <c r="BD2320" s="37"/>
      <c r="BE2320" s="37"/>
      <c r="BF2320" s="37"/>
      <c r="BG2320" s="37"/>
      <c r="BH2320" s="37"/>
      <c r="BI2320" s="37"/>
      <c r="BJ2320" s="37"/>
      <c r="BK2320" s="37"/>
      <c r="BL2320" s="37"/>
      <c r="BM2320" s="37"/>
    </row>
    <row r="2321" spans="1:65" s="40" customFormat="1" ht="23.25" x14ac:dyDescent="0.35">
      <c r="A2321" s="37"/>
      <c r="B2321" s="37"/>
      <c r="C2321" s="41"/>
      <c r="D2321" s="38"/>
      <c r="E2321" s="57"/>
      <c r="F2321" s="42"/>
      <c r="G2321" s="43"/>
      <c r="H2321" s="37"/>
      <c r="I2321" s="37"/>
      <c r="J2321" s="38"/>
      <c r="K2321" s="37"/>
      <c r="L2321" s="38"/>
      <c r="M2321" s="39"/>
      <c r="P2321" s="37"/>
      <c r="Q2321" s="37"/>
      <c r="R2321" s="37"/>
      <c r="S2321" s="37"/>
      <c r="T2321" s="37"/>
      <c r="U2321" s="37"/>
      <c r="V2321" s="37"/>
      <c r="W2321" s="37"/>
      <c r="X2321" s="37"/>
      <c r="Y2321" s="37"/>
      <c r="Z2321" s="37"/>
      <c r="AA2321" s="37"/>
      <c r="AB2321" s="37"/>
      <c r="AC2321" s="37"/>
      <c r="AD2321" s="37"/>
      <c r="AE2321" s="37"/>
      <c r="AF2321" s="37"/>
      <c r="AG2321" s="37"/>
      <c r="AH2321" s="37"/>
      <c r="AI2321" s="37"/>
      <c r="AJ2321" s="37"/>
      <c r="AK2321" s="37"/>
      <c r="AL2321" s="37"/>
      <c r="AM2321" s="37"/>
      <c r="AN2321" s="37"/>
      <c r="AO2321" s="37"/>
      <c r="AP2321" s="37"/>
      <c r="AQ2321" s="37"/>
      <c r="AR2321" s="37"/>
      <c r="AS2321" s="37"/>
      <c r="AT2321" s="37"/>
      <c r="AU2321" s="37"/>
      <c r="AV2321" s="37"/>
      <c r="AW2321" s="37"/>
      <c r="AX2321" s="37"/>
      <c r="AY2321" s="37"/>
      <c r="AZ2321" s="37"/>
      <c r="BA2321" s="37"/>
      <c r="BB2321" s="37"/>
      <c r="BC2321" s="37"/>
      <c r="BD2321" s="37"/>
      <c r="BE2321" s="37"/>
      <c r="BF2321" s="37"/>
      <c r="BG2321" s="37"/>
      <c r="BH2321" s="37"/>
      <c r="BI2321" s="37"/>
      <c r="BJ2321" s="37"/>
      <c r="BK2321" s="37"/>
      <c r="BL2321" s="37"/>
      <c r="BM2321" s="37"/>
    </row>
    <row r="2322" spans="1:65" s="40" customFormat="1" ht="23.25" x14ac:dyDescent="0.35">
      <c r="A2322" s="37"/>
      <c r="B2322" s="37"/>
      <c r="C2322" s="41"/>
      <c r="D2322" s="38"/>
      <c r="E2322" s="57"/>
      <c r="F2322" s="42"/>
      <c r="G2322" s="43"/>
      <c r="H2322" s="37"/>
      <c r="I2322" s="37"/>
      <c r="J2322" s="38"/>
      <c r="K2322" s="37"/>
      <c r="L2322" s="38"/>
      <c r="M2322" s="39"/>
      <c r="P2322" s="37"/>
      <c r="Q2322" s="37"/>
      <c r="R2322" s="37"/>
      <c r="S2322" s="37"/>
      <c r="T2322" s="37"/>
      <c r="U2322" s="37"/>
      <c r="V2322" s="37"/>
      <c r="W2322" s="37"/>
      <c r="X2322" s="37"/>
      <c r="Y2322" s="37"/>
      <c r="Z2322" s="37"/>
      <c r="AA2322" s="37"/>
      <c r="AB2322" s="37"/>
      <c r="AC2322" s="37"/>
      <c r="AD2322" s="37"/>
      <c r="AE2322" s="37"/>
      <c r="AF2322" s="37"/>
      <c r="AG2322" s="37"/>
      <c r="AH2322" s="37"/>
      <c r="AI2322" s="37"/>
      <c r="AJ2322" s="37"/>
      <c r="AK2322" s="37"/>
      <c r="AL2322" s="37"/>
      <c r="AM2322" s="37"/>
      <c r="AN2322" s="37"/>
      <c r="AO2322" s="37"/>
      <c r="AP2322" s="37"/>
      <c r="AQ2322" s="37"/>
      <c r="AR2322" s="37"/>
      <c r="AS2322" s="37"/>
      <c r="AT2322" s="37"/>
      <c r="AU2322" s="37"/>
      <c r="AV2322" s="37"/>
      <c r="AW2322" s="37"/>
      <c r="AX2322" s="37"/>
      <c r="AY2322" s="37"/>
      <c r="AZ2322" s="37"/>
      <c r="BA2322" s="37"/>
      <c r="BB2322" s="37"/>
      <c r="BC2322" s="37"/>
      <c r="BD2322" s="37"/>
      <c r="BE2322" s="37"/>
      <c r="BF2322" s="37"/>
      <c r="BG2322" s="37"/>
      <c r="BH2322" s="37"/>
      <c r="BI2322" s="37"/>
      <c r="BJ2322" s="37"/>
      <c r="BK2322" s="37"/>
      <c r="BL2322" s="37"/>
      <c r="BM2322" s="37"/>
    </row>
    <row r="2323" spans="1:65" s="40" customFormat="1" ht="23.25" x14ac:dyDescent="0.35">
      <c r="A2323" s="37"/>
      <c r="B2323" s="37"/>
      <c r="C2323" s="41"/>
      <c r="D2323" s="38"/>
      <c r="E2323" s="57"/>
      <c r="F2323" s="42"/>
      <c r="G2323" s="43"/>
      <c r="H2323" s="37"/>
      <c r="I2323" s="37"/>
      <c r="J2323" s="38"/>
      <c r="K2323" s="37"/>
      <c r="L2323" s="38"/>
      <c r="M2323" s="39"/>
      <c r="P2323" s="37"/>
      <c r="Q2323" s="37"/>
      <c r="R2323" s="37"/>
      <c r="S2323" s="37"/>
      <c r="T2323" s="37"/>
      <c r="U2323" s="37"/>
      <c r="V2323" s="37"/>
      <c r="W2323" s="37"/>
      <c r="X2323" s="37"/>
      <c r="Y2323" s="37"/>
      <c r="Z2323" s="37"/>
      <c r="AA2323" s="37"/>
      <c r="AB2323" s="37"/>
      <c r="AC2323" s="37"/>
      <c r="AD2323" s="37"/>
      <c r="AE2323" s="37"/>
      <c r="AF2323" s="37"/>
      <c r="AG2323" s="37"/>
      <c r="AH2323" s="37"/>
      <c r="AI2323" s="37"/>
      <c r="AJ2323" s="37"/>
      <c r="AK2323" s="37"/>
      <c r="AL2323" s="37"/>
      <c r="AM2323" s="37"/>
      <c r="AN2323" s="37"/>
      <c r="AO2323" s="37"/>
      <c r="AP2323" s="37"/>
      <c r="AQ2323" s="37"/>
      <c r="AR2323" s="37"/>
      <c r="AS2323" s="37"/>
      <c r="AT2323" s="37"/>
      <c r="AU2323" s="37"/>
      <c r="AV2323" s="37"/>
      <c r="AW2323" s="37"/>
      <c r="AX2323" s="37"/>
      <c r="AY2323" s="37"/>
      <c r="AZ2323" s="37"/>
      <c r="BA2323" s="37"/>
      <c r="BB2323" s="37"/>
      <c r="BC2323" s="37"/>
      <c r="BD2323" s="37"/>
      <c r="BE2323" s="37"/>
      <c r="BF2323" s="37"/>
      <c r="BG2323" s="37"/>
      <c r="BH2323" s="37"/>
      <c r="BI2323" s="37"/>
      <c r="BJ2323" s="37"/>
      <c r="BK2323" s="37"/>
      <c r="BL2323" s="37"/>
      <c r="BM2323" s="37"/>
    </row>
    <row r="2324" spans="1:65" s="40" customFormat="1" ht="23.25" x14ac:dyDescent="0.35">
      <c r="A2324" s="37"/>
      <c r="B2324" s="37"/>
      <c r="C2324" s="41"/>
      <c r="D2324" s="38"/>
      <c r="E2324" s="57"/>
      <c r="F2324" s="42"/>
      <c r="G2324" s="43"/>
      <c r="H2324" s="37"/>
      <c r="I2324" s="37"/>
      <c r="J2324" s="38"/>
      <c r="K2324" s="37"/>
      <c r="L2324" s="38"/>
      <c r="M2324" s="39"/>
      <c r="P2324" s="37"/>
      <c r="Q2324" s="37"/>
      <c r="R2324" s="37"/>
      <c r="S2324" s="37"/>
      <c r="T2324" s="37"/>
      <c r="U2324" s="37"/>
      <c r="V2324" s="37"/>
      <c r="W2324" s="37"/>
      <c r="X2324" s="37"/>
      <c r="Y2324" s="37"/>
      <c r="Z2324" s="37"/>
      <c r="AA2324" s="37"/>
      <c r="AB2324" s="37"/>
      <c r="AC2324" s="37"/>
      <c r="AD2324" s="37"/>
      <c r="AE2324" s="37"/>
      <c r="AF2324" s="37"/>
      <c r="AG2324" s="37"/>
      <c r="AH2324" s="37"/>
      <c r="AI2324" s="37"/>
      <c r="AJ2324" s="37"/>
      <c r="AK2324" s="37"/>
      <c r="AL2324" s="37"/>
      <c r="AM2324" s="37"/>
      <c r="AN2324" s="37"/>
      <c r="AO2324" s="37"/>
      <c r="AP2324" s="37"/>
      <c r="AQ2324" s="37"/>
      <c r="AR2324" s="37"/>
      <c r="AS2324" s="37"/>
      <c r="AT2324" s="37"/>
      <c r="AU2324" s="37"/>
      <c r="AV2324" s="37"/>
      <c r="AW2324" s="37"/>
      <c r="AX2324" s="37"/>
      <c r="AY2324" s="37"/>
      <c r="AZ2324" s="37"/>
      <c r="BA2324" s="37"/>
      <c r="BB2324" s="37"/>
      <c r="BC2324" s="37"/>
      <c r="BD2324" s="37"/>
      <c r="BE2324" s="37"/>
      <c r="BF2324" s="37"/>
      <c r="BG2324" s="37"/>
      <c r="BH2324" s="37"/>
      <c r="BI2324" s="37"/>
      <c r="BJ2324" s="37"/>
      <c r="BK2324" s="37"/>
      <c r="BL2324" s="37"/>
      <c r="BM2324" s="37"/>
    </row>
    <row r="2325" spans="1:65" s="40" customFormat="1" ht="23.25" x14ac:dyDescent="0.35">
      <c r="A2325" s="37"/>
      <c r="B2325" s="37"/>
      <c r="C2325" s="41"/>
      <c r="D2325" s="38"/>
      <c r="E2325" s="57"/>
      <c r="F2325" s="42"/>
      <c r="G2325" s="43"/>
      <c r="H2325" s="37"/>
      <c r="I2325" s="37"/>
      <c r="J2325" s="38"/>
      <c r="K2325" s="37"/>
      <c r="L2325" s="38"/>
      <c r="M2325" s="39"/>
      <c r="P2325" s="37"/>
      <c r="Q2325" s="37"/>
      <c r="R2325" s="37"/>
      <c r="S2325" s="37"/>
      <c r="T2325" s="37"/>
      <c r="U2325" s="37"/>
      <c r="V2325" s="37"/>
      <c r="W2325" s="37"/>
      <c r="X2325" s="37"/>
      <c r="Y2325" s="37"/>
      <c r="Z2325" s="37"/>
      <c r="AA2325" s="37"/>
      <c r="AB2325" s="37"/>
      <c r="AC2325" s="37"/>
      <c r="AD2325" s="37"/>
      <c r="AE2325" s="37"/>
      <c r="AF2325" s="37"/>
      <c r="AG2325" s="37"/>
      <c r="AH2325" s="37"/>
      <c r="AI2325" s="37"/>
      <c r="AJ2325" s="37"/>
      <c r="AK2325" s="37"/>
      <c r="AL2325" s="37"/>
      <c r="AM2325" s="37"/>
      <c r="AN2325" s="37"/>
      <c r="AO2325" s="37"/>
      <c r="AP2325" s="37"/>
      <c r="AQ2325" s="37"/>
      <c r="AR2325" s="37"/>
      <c r="AS2325" s="37"/>
      <c r="AT2325" s="37"/>
      <c r="AU2325" s="37"/>
      <c r="AV2325" s="37"/>
      <c r="AW2325" s="37"/>
      <c r="AX2325" s="37"/>
      <c r="AY2325" s="37"/>
      <c r="AZ2325" s="37"/>
      <c r="BA2325" s="37"/>
      <c r="BB2325" s="37"/>
      <c r="BC2325" s="37"/>
      <c r="BD2325" s="37"/>
      <c r="BE2325" s="37"/>
      <c r="BF2325" s="37"/>
      <c r="BG2325" s="37"/>
      <c r="BH2325" s="37"/>
      <c r="BI2325" s="37"/>
      <c r="BJ2325" s="37"/>
      <c r="BK2325" s="37"/>
      <c r="BL2325" s="37"/>
      <c r="BM2325" s="37"/>
    </row>
    <row r="2326" spans="1:65" s="40" customFormat="1" ht="23.25" x14ac:dyDescent="0.35">
      <c r="A2326" s="37"/>
      <c r="B2326" s="37"/>
      <c r="C2326" s="41"/>
      <c r="D2326" s="38"/>
      <c r="E2326" s="57"/>
      <c r="F2326" s="42"/>
      <c r="G2326" s="43"/>
      <c r="H2326" s="37"/>
      <c r="I2326" s="37"/>
      <c r="J2326" s="38"/>
      <c r="K2326" s="37"/>
      <c r="L2326" s="38"/>
      <c r="M2326" s="39"/>
      <c r="P2326" s="37"/>
      <c r="Q2326" s="37"/>
      <c r="R2326" s="37"/>
      <c r="S2326" s="37"/>
      <c r="T2326" s="37"/>
      <c r="U2326" s="37"/>
      <c r="V2326" s="37"/>
      <c r="W2326" s="37"/>
      <c r="X2326" s="37"/>
      <c r="Y2326" s="37"/>
      <c r="Z2326" s="37"/>
      <c r="AA2326" s="37"/>
      <c r="AB2326" s="37"/>
      <c r="AC2326" s="37"/>
      <c r="AD2326" s="37"/>
      <c r="AE2326" s="37"/>
      <c r="AF2326" s="37"/>
      <c r="AG2326" s="37"/>
      <c r="AH2326" s="37"/>
      <c r="AI2326" s="37"/>
      <c r="AJ2326" s="37"/>
      <c r="AK2326" s="37"/>
      <c r="AL2326" s="37"/>
      <c r="AM2326" s="37"/>
      <c r="AN2326" s="37"/>
      <c r="AO2326" s="37"/>
      <c r="AP2326" s="37"/>
      <c r="AQ2326" s="37"/>
      <c r="AR2326" s="37"/>
      <c r="AS2326" s="37"/>
      <c r="AT2326" s="37"/>
      <c r="AU2326" s="37"/>
      <c r="AV2326" s="37"/>
      <c r="AW2326" s="37"/>
      <c r="AX2326" s="37"/>
      <c r="AY2326" s="37"/>
      <c r="AZ2326" s="37"/>
      <c r="BA2326" s="37"/>
      <c r="BB2326" s="37"/>
      <c r="BC2326" s="37"/>
      <c r="BD2326" s="37"/>
      <c r="BE2326" s="37"/>
      <c r="BF2326" s="37"/>
      <c r="BG2326" s="37"/>
      <c r="BH2326" s="37"/>
      <c r="BI2326" s="37"/>
      <c r="BJ2326" s="37"/>
      <c r="BK2326" s="37"/>
      <c r="BL2326" s="37"/>
      <c r="BM2326" s="37"/>
    </row>
    <row r="2327" spans="1:65" s="40" customFormat="1" ht="23.25" x14ac:dyDescent="0.35">
      <c r="A2327" s="37"/>
      <c r="B2327" s="37"/>
      <c r="C2327" s="41"/>
      <c r="D2327" s="38"/>
      <c r="E2327" s="57"/>
      <c r="F2327" s="42"/>
      <c r="G2327" s="43"/>
      <c r="H2327" s="37"/>
      <c r="I2327" s="37"/>
      <c r="J2327" s="38"/>
      <c r="K2327" s="37"/>
      <c r="L2327" s="38"/>
      <c r="M2327" s="39"/>
      <c r="P2327" s="37"/>
      <c r="Q2327" s="37"/>
      <c r="R2327" s="37"/>
      <c r="S2327" s="37"/>
      <c r="T2327" s="37"/>
      <c r="U2327" s="37"/>
      <c r="V2327" s="37"/>
      <c r="W2327" s="37"/>
      <c r="X2327" s="37"/>
      <c r="Y2327" s="37"/>
      <c r="Z2327" s="37"/>
      <c r="AA2327" s="37"/>
      <c r="AB2327" s="37"/>
      <c r="AC2327" s="37"/>
      <c r="AD2327" s="37"/>
      <c r="AE2327" s="37"/>
      <c r="AF2327" s="37"/>
      <c r="AG2327" s="37"/>
      <c r="AH2327" s="37"/>
      <c r="AI2327" s="37"/>
      <c r="AJ2327" s="37"/>
      <c r="AK2327" s="37"/>
      <c r="AL2327" s="37"/>
      <c r="AM2327" s="37"/>
      <c r="AN2327" s="37"/>
      <c r="AO2327" s="37"/>
      <c r="AP2327" s="37"/>
      <c r="AQ2327" s="37"/>
      <c r="AR2327" s="37"/>
      <c r="AS2327" s="37"/>
      <c r="AT2327" s="37"/>
      <c r="AU2327" s="37"/>
      <c r="AV2327" s="37"/>
      <c r="AW2327" s="37"/>
      <c r="AX2327" s="37"/>
      <c r="AY2327" s="37"/>
      <c r="AZ2327" s="37"/>
      <c r="BA2327" s="37"/>
      <c r="BB2327" s="37"/>
      <c r="BC2327" s="37"/>
      <c r="BD2327" s="37"/>
      <c r="BE2327" s="37"/>
      <c r="BF2327" s="37"/>
      <c r="BG2327" s="37"/>
      <c r="BH2327" s="37"/>
      <c r="BI2327" s="37"/>
      <c r="BJ2327" s="37"/>
      <c r="BK2327" s="37"/>
      <c r="BL2327" s="37"/>
      <c r="BM2327" s="37"/>
    </row>
    <row r="2328" spans="1:65" s="40" customFormat="1" ht="23.25" x14ac:dyDescent="0.35">
      <c r="A2328" s="37"/>
      <c r="B2328" s="37"/>
      <c r="C2328" s="41"/>
      <c r="D2328" s="38"/>
      <c r="E2328" s="57"/>
      <c r="F2328" s="42"/>
      <c r="G2328" s="43"/>
      <c r="H2328" s="37"/>
      <c r="I2328" s="37"/>
      <c r="J2328" s="38"/>
      <c r="K2328" s="37"/>
      <c r="L2328" s="38"/>
      <c r="M2328" s="39"/>
      <c r="P2328" s="37"/>
      <c r="Q2328" s="37"/>
      <c r="R2328" s="37"/>
      <c r="S2328" s="37"/>
      <c r="T2328" s="37"/>
      <c r="U2328" s="37"/>
      <c r="V2328" s="37"/>
      <c r="W2328" s="37"/>
      <c r="X2328" s="37"/>
      <c r="Y2328" s="37"/>
      <c r="Z2328" s="37"/>
      <c r="AA2328" s="37"/>
      <c r="AB2328" s="37"/>
      <c r="AC2328" s="37"/>
      <c r="AD2328" s="37"/>
      <c r="AE2328" s="37"/>
      <c r="AF2328" s="37"/>
      <c r="AG2328" s="37"/>
      <c r="AH2328" s="37"/>
      <c r="AI2328" s="37"/>
      <c r="AJ2328" s="37"/>
      <c r="AK2328" s="37"/>
      <c r="AL2328" s="37"/>
      <c r="AM2328" s="37"/>
      <c r="AN2328" s="37"/>
      <c r="AO2328" s="37"/>
      <c r="AP2328" s="37"/>
      <c r="AQ2328" s="37"/>
      <c r="AR2328" s="37"/>
      <c r="AS2328" s="37"/>
      <c r="AT2328" s="37"/>
      <c r="AU2328" s="37"/>
      <c r="AV2328" s="37"/>
      <c r="AW2328" s="37"/>
      <c r="AX2328" s="37"/>
      <c r="AY2328" s="37"/>
      <c r="AZ2328" s="37"/>
      <c r="BA2328" s="37"/>
      <c r="BB2328" s="37"/>
      <c r="BC2328" s="37"/>
      <c r="BD2328" s="37"/>
      <c r="BE2328" s="37"/>
      <c r="BF2328" s="37"/>
      <c r="BG2328" s="37"/>
      <c r="BH2328" s="37"/>
      <c r="BI2328" s="37"/>
      <c r="BJ2328" s="37"/>
      <c r="BK2328" s="37"/>
      <c r="BL2328" s="37"/>
      <c r="BM2328" s="37"/>
    </row>
    <row r="2329" spans="1:65" s="40" customFormat="1" ht="23.25" x14ac:dyDescent="0.35">
      <c r="A2329" s="37"/>
      <c r="B2329" s="37"/>
      <c r="C2329" s="41"/>
      <c r="D2329" s="38"/>
      <c r="E2329" s="57"/>
      <c r="F2329" s="42"/>
      <c r="G2329" s="43"/>
      <c r="H2329" s="37"/>
      <c r="I2329" s="37"/>
      <c r="J2329" s="38"/>
      <c r="K2329" s="37"/>
      <c r="L2329" s="38"/>
      <c r="M2329" s="39"/>
      <c r="P2329" s="37"/>
      <c r="Q2329" s="37"/>
      <c r="R2329" s="37"/>
      <c r="S2329" s="37"/>
      <c r="T2329" s="37"/>
      <c r="U2329" s="37"/>
      <c r="V2329" s="37"/>
      <c r="W2329" s="37"/>
      <c r="X2329" s="37"/>
      <c r="Y2329" s="37"/>
      <c r="Z2329" s="37"/>
      <c r="AA2329" s="37"/>
      <c r="AB2329" s="37"/>
      <c r="AC2329" s="37"/>
      <c r="AD2329" s="37"/>
      <c r="AE2329" s="37"/>
      <c r="AF2329" s="37"/>
      <c r="AG2329" s="37"/>
      <c r="AH2329" s="37"/>
      <c r="AI2329" s="37"/>
      <c r="AJ2329" s="37"/>
      <c r="AK2329" s="37"/>
      <c r="AL2329" s="37"/>
      <c r="AM2329" s="37"/>
      <c r="AN2329" s="37"/>
      <c r="AO2329" s="37"/>
      <c r="AP2329" s="37"/>
      <c r="AQ2329" s="37"/>
      <c r="AR2329" s="37"/>
      <c r="AS2329" s="37"/>
      <c r="AT2329" s="37"/>
      <c r="AU2329" s="37"/>
      <c r="AV2329" s="37"/>
      <c r="AW2329" s="37"/>
      <c r="AX2329" s="37"/>
      <c r="AY2329" s="37"/>
      <c r="AZ2329" s="37"/>
      <c r="BA2329" s="37"/>
      <c r="BB2329" s="37"/>
      <c r="BC2329" s="37"/>
      <c r="BD2329" s="37"/>
      <c r="BE2329" s="37"/>
      <c r="BF2329" s="37"/>
      <c r="BG2329" s="37"/>
      <c r="BH2329" s="37"/>
      <c r="BI2329" s="37"/>
      <c r="BJ2329" s="37"/>
      <c r="BK2329" s="37"/>
      <c r="BL2329" s="37"/>
      <c r="BM2329" s="37"/>
    </row>
    <row r="2330" spans="1:65" s="40" customFormat="1" ht="23.25" x14ac:dyDescent="0.35">
      <c r="A2330" s="37"/>
      <c r="B2330" s="37"/>
      <c r="C2330" s="41"/>
      <c r="D2330" s="38"/>
      <c r="E2330" s="57"/>
      <c r="F2330" s="42"/>
      <c r="G2330" s="43"/>
      <c r="H2330" s="37"/>
      <c r="I2330" s="37"/>
      <c r="J2330" s="38"/>
      <c r="K2330" s="37"/>
      <c r="L2330" s="38"/>
      <c r="M2330" s="39"/>
      <c r="P2330" s="37"/>
      <c r="Q2330" s="37"/>
      <c r="R2330" s="37"/>
      <c r="S2330" s="37"/>
      <c r="T2330" s="37"/>
      <c r="U2330" s="37"/>
      <c r="V2330" s="37"/>
      <c r="W2330" s="37"/>
      <c r="X2330" s="37"/>
      <c r="Y2330" s="37"/>
      <c r="Z2330" s="37"/>
      <c r="AA2330" s="37"/>
      <c r="AB2330" s="37"/>
      <c r="AC2330" s="37"/>
      <c r="AD2330" s="37"/>
      <c r="AE2330" s="37"/>
      <c r="AF2330" s="37"/>
      <c r="AG2330" s="37"/>
      <c r="AH2330" s="37"/>
      <c r="AI2330" s="37"/>
      <c r="AJ2330" s="37"/>
      <c r="AK2330" s="37"/>
      <c r="AL2330" s="37"/>
      <c r="AM2330" s="37"/>
      <c r="AN2330" s="37"/>
      <c r="AO2330" s="37"/>
      <c r="AP2330" s="37"/>
      <c r="AQ2330" s="37"/>
      <c r="AR2330" s="37"/>
      <c r="AS2330" s="37"/>
      <c r="AT2330" s="37"/>
      <c r="AU2330" s="37"/>
      <c r="AV2330" s="37"/>
      <c r="AW2330" s="37"/>
      <c r="AX2330" s="37"/>
      <c r="AY2330" s="37"/>
      <c r="AZ2330" s="37"/>
      <c r="BA2330" s="37"/>
      <c r="BB2330" s="37"/>
      <c r="BC2330" s="37"/>
      <c r="BD2330" s="37"/>
      <c r="BE2330" s="37"/>
      <c r="BF2330" s="37"/>
      <c r="BG2330" s="37"/>
      <c r="BH2330" s="37"/>
      <c r="BI2330" s="37"/>
      <c r="BJ2330" s="37"/>
      <c r="BK2330" s="37"/>
      <c r="BL2330" s="37"/>
      <c r="BM2330" s="37"/>
    </row>
    <row r="2331" spans="1:65" s="40" customFormat="1" ht="23.25" x14ac:dyDescent="0.35">
      <c r="A2331" s="37"/>
      <c r="B2331" s="37"/>
      <c r="C2331" s="41"/>
      <c r="D2331" s="38"/>
      <c r="E2331" s="57"/>
      <c r="F2331" s="42"/>
      <c r="G2331" s="43"/>
      <c r="H2331" s="37"/>
      <c r="I2331" s="37"/>
      <c r="J2331" s="38"/>
      <c r="K2331" s="37"/>
      <c r="L2331" s="38"/>
      <c r="M2331" s="39"/>
      <c r="P2331" s="37"/>
      <c r="Q2331" s="37"/>
      <c r="R2331" s="37"/>
      <c r="S2331" s="37"/>
      <c r="T2331" s="37"/>
      <c r="U2331" s="37"/>
      <c r="V2331" s="37"/>
      <c r="W2331" s="37"/>
      <c r="X2331" s="37"/>
      <c r="Y2331" s="37"/>
      <c r="Z2331" s="37"/>
      <c r="AA2331" s="37"/>
      <c r="AB2331" s="37"/>
      <c r="AC2331" s="37"/>
      <c r="AD2331" s="37"/>
      <c r="AE2331" s="37"/>
      <c r="AF2331" s="37"/>
      <c r="AG2331" s="37"/>
      <c r="AH2331" s="37"/>
      <c r="AI2331" s="37"/>
      <c r="AJ2331" s="37"/>
      <c r="AK2331" s="37"/>
      <c r="AL2331" s="37"/>
      <c r="AM2331" s="37"/>
      <c r="AN2331" s="37"/>
      <c r="AO2331" s="37"/>
      <c r="AP2331" s="37"/>
      <c r="AQ2331" s="37"/>
      <c r="AR2331" s="37"/>
      <c r="AS2331" s="37"/>
      <c r="AT2331" s="37"/>
      <c r="AU2331" s="37"/>
      <c r="AV2331" s="37"/>
      <c r="AW2331" s="37"/>
      <c r="AX2331" s="37"/>
      <c r="AY2331" s="37"/>
      <c r="AZ2331" s="37"/>
      <c r="BA2331" s="37"/>
      <c r="BB2331" s="37"/>
      <c r="BC2331" s="37"/>
      <c r="BD2331" s="37"/>
      <c r="BE2331" s="37"/>
      <c r="BF2331" s="37"/>
      <c r="BG2331" s="37"/>
      <c r="BH2331" s="37"/>
      <c r="BI2331" s="37"/>
      <c r="BJ2331" s="37"/>
      <c r="BK2331" s="37"/>
      <c r="BL2331" s="37"/>
      <c r="BM2331" s="37"/>
    </row>
    <row r="2332" spans="1:65" s="40" customFormat="1" ht="23.25" x14ac:dyDescent="0.35">
      <c r="A2332" s="37"/>
      <c r="B2332" s="37"/>
      <c r="C2332" s="41"/>
      <c r="D2332" s="38"/>
      <c r="E2332" s="57"/>
      <c r="F2332" s="42"/>
      <c r="G2332" s="43"/>
      <c r="H2332" s="37"/>
      <c r="I2332" s="37"/>
      <c r="J2332" s="38"/>
      <c r="K2332" s="37"/>
      <c r="L2332" s="38"/>
      <c r="M2332" s="39"/>
      <c r="P2332" s="37"/>
      <c r="Q2332" s="37"/>
      <c r="R2332" s="37"/>
      <c r="S2332" s="37"/>
      <c r="T2332" s="37"/>
      <c r="U2332" s="37"/>
      <c r="V2332" s="37"/>
      <c r="W2332" s="37"/>
      <c r="X2332" s="37"/>
      <c r="Y2332" s="37"/>
      <c r="Z2332" s="37"/>
      <c r="AA2332" s="37"/>
      <c r="AB2332" s="37"/>
      <c r="AC2332" s="37"/>
      <c r="AD2332" s="37"/>
      <c r="AE2332" s="37"/>
      <c r="AF2332" s="37"/>
      <c r="AG2332" s="37"/>
      <c r="AH2332" s="37"/>
      <c r="AI2332" s="37"/>
      <c r="AJ2332" s="37"/>
      <c r="AK2332" s="37"/>
      <c r="AL2332" s="37"/>
      <c r="AM2332" s="37"/>
      <c r="AN2332" s="37"/>
      <c r="AO2332" s="37"/>
      <c r="AP2332" s="37"/>
      <c r="AQ2332" s="37"/>
      <c r="AR2332" s="37"/>
      <c r="AS2332" s="37"/>
      <c r="AT2332" s="37"/>
      <c r="AU2332" s="37"/>
      <c r="AV2332" s="37"/>
      <c r="AW2332" s="37"/>
      <c r="AX2332" s="37"/>
      <c r="AY2332" s="37"/>
      <c r="AZ2332" s="37"/>
      <c r="BA2332" s="37"/>
      <c r="BB2332" s="37"/>
      <c r="BC2332" s="37"/>
      <c r="BD2332" s="37"/>
      <c r="BE2332" s="37"/>
      <c r="BF2332" s="37"/>
      <c r="BG2332" s="37"/>
      <c r="BH2332" s="37"/>
      <c r="BI2332" s="37"/>
      <c r="BJ2332" s="37"/>
      <c r="BK2332" s="37"/>
      <c r="BL2332" s="37"/>
      <c r="BM2332" s="37"/>
    </row>
    <row r="2333" spans="1:65" s="40" customFormat="1" ht="23.25" x14ac:dyDescent="0.35">
      <c r="A2333" s="37"/>
      <c r="B2333" s="37"/>
      <c r="C2333" s="41"/>
      <c r="D2333" s="38"/>
      <c r="E2333" s="57"/>
      <c r="F2333" s="42"/>
      <c r="G2333" s="43"/>
      <c r="H2333" s="37"/>
      <c r="I2333" s="37"/>
      <c r="J2333" s="38"/>
      <c r="K2333" s="37"/>
      <c r="L2333" s="38"/>
      <c r="M2333" s="39"/>
      <c r="P2333" s="37"/>
      <c r="Q2333" s="37"/>
      <c r="R2333" s="37"/>
      <c r="S2333" s="37"/>
      <c r="T2333" s="37"/>
      <c r="U2333" s="37"/>
      <c r="V2333" s="37"/>
      <c r="W2333" s="37"/>
      <c r="X2333" s="37"/>
      <c r="Y2333" s="37"/>
      <c r="Z2333" s="37"/>
      <c r="AA2333" s="37"/>
      <c r="AB2333" s="37"/>
      <c r="AC2333" s="37"/>
      <c r="AD2333" s="37"/>
      <c r="AE2333" s="37"/>
      <c r="AF2333" s="37"/>
      <c r="AG2333" s="37"/>
      <c r="AH2333" s="37"/>
      <c r="AI2333" s="37"/>
      <c r="AJ2333" s="37"/>
      <c r="AK2333" s="37"/>
      <c r="AL2333" s="37"/>
      <c r="AM2333" s="37"/>
      <c r="AN2333" s="37"/>
      <c r="AO2333" s="37"/>
      <c r="AP2333" s="37"/>
      <c r="AQ2333" s="37"/>
      <c r="AR2333" s="37"/>
      <c r="AS2333" s="37"/>
      <c r="AT2333" s="37"/>
      <c r="AU2333" s="37"/>
      <c r="AV2333" s="37"/>
      <c r="AW2333" s="37"/>
      <c r="AX2333" s="37"/>
      <c r="AY2333" s="37"/>
      <c r="AZ2333" s="37"/>
      <c r="BA2333" s="37"/>
      <c r="BB2333" s="37"/>
      <c r="BC2333" s="37"/>
      <c r="BD2333" s="37"/>
      <c r="BE2333" s="37"/>
      <c r="BF2333" s="37"/>
      <c r="BG2333" s="37"/>
      <c r="BH2333" s="37"/>
      <c r="BI2333" s="37"/>
      <c r="BJ2333" s="37"/>
      <c r="BK2333" s="37"/>
      <c r="BL2333" s="37"/>
      <c r="BM2333" s="37"/>
    </row>
    <row r="2334" spans="1:65" s="40" customFormat="1" ht="23.25" x14ac:dyDescent="0.35">
      <c r="A2334" s="37"/>
      <c r="B2334" s="37"/>
      <c r="C2334" s="41"/>
      <c r="D2334" s="38"/>
      <c r="E2334" s="57"/>
      <c r="F2334" s="42"/>
      <c r="G2334" s="43"/>
      <c r="H2334" s="37"/>
      <c r="I2334" s="37"/>
      <c r="J2334" s="38"/>
      <c r="K2334" s="37"/>
      <c r="L2334" s="38"/>
      <c r="M2334" s="39"/>
      <c r="P2334" s="37"/>
      <c r="Q2334" s="37"/>
      <c r="R2334" s="37"/>
      <c r="S2334" s="37"/>
      <c r="T2334" s="37"/>
      <c r="U2334" s="37"/>
      <c r="V2334" s="37"/>
      <c r="W2334" s="37"/>
      <c r="X2334" s="37"/>
      <c r="Y2334" s="37"/>
      <c r="Z2334" s="37"/>
      <c r="AA2334" s="37"/>
      <c r="AB2334" s="37"/>
      <c r="AC2334" s="37"/>
      <c r="AD2334" s="37"/>
      <c r="AE2334" s="37"/>
      <c r="AF2334" s="37"/>
      <c r="AG2334" s="37"/>
      <c r="AH2334" s="37"/>
      <c r="AI2334" s="37"/>
      <c r="AJ2334" s="37"/>
      <c r="AK2334" s="37"/>
      <c r="AL2334" s="37"/>
      <c r="AM2334" s="37"/>
      <c r="AN2334" s="37"/>
      <c r="AO2334" s="37"/>
      <c r="AP2334" s="37"/>
      <c r="AQ2334" s="37"/>
      <c r="AR2334" s="37"/>
      <c r="AS2334" s="37"/>
      <c r="AT2334" s="37"/>
      <c r="AU2334" s="37"/>
      <c r="AV2334" s="37"/>
      <c r="AW2334" s="37"/>
      <c r="AX2334" s="37"/>
      <c r="AY2334" s="37"/>
      <c r="AZ2334" s="37"/>
      <c r="BA2334" s="37"/>
      <c r="BB2334" s="37"/>
      <c r="BC2334" s="37"/>
      <c r="BD2334" s="37"/>
      <c r="BE2334" s="37"/>
      <c r="BF2334" s="37"/>
      <c r="BG2334" s="37"/>
      <c r="BH2334" s="37"/>
      <c r="BI2334" s="37"/>
      <c r="BJ2334" s="37"/>
      <c r="BK2334" s="37"/>
      <c r="BL2334" s="37"/>
      <c r="BM2334" s="37"/>
    </row>
    <row r="2335" spans="1:65" s="40" customFormat="1" ht="23.25" x14ac:dyDescent="0.35">
      <c r="A2335" s="37"/>
      <c r="B2335" s="37"/>
      <c r="C2335" s="41"/>
      <c r="D2335" s="38"/>
      <c r="E2335" s="57"/>
      <c r="F2335" s="42"/>
      <c r="G2335" s="43"/>
      <c r="H2335" s="37"/>
      <c r="I2335" s="37"/>
      <c r="J2335" s="38"/>
      <c r="K2335" s="37"/>
      <c r="L2335" s="38"/>
      <c r="M2335" s="39"/>
      <c r="P2335" s="37"/>
      <c r="Q2335" s="37"/>
      <c r="R2335" s="37"/>
      <c r="S2335" s="37"/>
      <c r="T2335" s="37"/>
      <c r="U2335" s="37"/>
      <c r="V2335" s="37"/>
      <c r="W2335" s="37"/>
      <c r="X2335" s="37"/>
      <c r="Y2335" s="37"/>
      <c r="Z2335" s="37"/>
      <c r="AA2335" s="37"/>
      <c r="AB2335" s="37"/>
      <c r="AC2335" s="37"/>
      <c r="AD2335" s="37"/>
      <c r="AE2335" s="37"/>
      <c r="AF2335" s="37"/>
      <c r="AG2335" s="37"/>
      <c r="AH2335" s="37"/>
      <c r="AI2335" s="37"/>
      <c r="AJ2335" s="37"/>
      <c r="AK2335" s="37"/>
      <c r="AL2335" s="37"/>
      <c r="AM2335" s="37"/>
      <c r="AN2335" s="37"/>
      <c r="AO2335" s="37"/>
      <c r="AP2335" s="37"/>
      <c r="AQ2335" s="37"/>
      <c r="AR2335" s="37"/>
      <c r="AS2335" s="37"/>
      <c r="AT2335" s="37"/>
      <c r="AU2335" s="37"/>
      <c r="AV2335" s="37"/>
      <c r="AW2335" s="37"/>
      <c r="AX2335" s="37"/>
      <c r="AY2335" s="37"/>
      <c r="AZ2335" s="37"/>
      <c r="BA2335" s="37"/>
      <c r="BB2335" s="37"/>
      <c r="BC2335" s="37"/>
      <c r="BD2335" s="37"/>
      <c r="BE2335" s="37"/>
      <c r="BF2335" s="37"/>
      <c r="BG2335" s="37"/>
      <c r="BH2335" s="37"/>
      <c r="BI2335" s="37"/>
      <c r="BJ2335" s="37"/>
      <c r="BK2335" s="37"/>
      <c r="BL2335" s="37"/>
      <c r="BM2335" s="37"/>
    </row>
    <row r="2336" spans="1:65" s="40" customFormat="1" ht="23.25" x14ac:dyDescent="0.35">
      <c r="A2336" s="37"/>
      <c r="B2336" s="37"/>
      <c r="C2336" s="41"/>
      <c r="D2336" s="38"/>
      <c r="E2336" s="57"/>
      <c r="F2336" s="42"/>
      <c r="G2336" s="43"/>
      <c r="H2336" s="37"/>
      <c r="I2336" s="37"/>
      <c r="J2336" s="38"/>
      <c r="K2336" s="37"/>
      <c r="L2336" s="38"/>
      <c r="M2336" s="39"/>
      <c r="P2336" s="37"/>
      <c r="Q2336" s="37"/>
      <c r="R2336" s="37"/>
      <c r="S2336" s="37"/>
      <c r="T2336" s="37"/>
      <c r="U2336" s="37"/>
      <c r="V2336" s="37"/>
      <c r="W2336" s="37"/>
      <c r="X2336" s="37"/>
      <c r="Y2336" s="37"/>
      <c r="Z2336" s="37"/>
      <c r="AA2336" s="37"/>
      <c r="AB2336" s="37"/>
      <c r="AC2336" s="37"/>
      <c r="AD2336" s="37"/>
      <c r="AE2336" s="37"/>
      <c r="AF2336" s="37"/>
      <c r="AG2336" s="37"/>
      <c r="AH2336" s="37"/>
      <c r="AI2336" s="37"/>
      <c r="AJ2336" s="37"/>
      <c r="AK2336" s="37"/>
      <c r="AL2336" s="37"/>
      <c r="AM2336" s="37"/>
      <c r="AN2336" s="37"/>
      <c r="AO2336" s="37"/>
      <c r="AP2336" s="37"/>
      <c r="AQ2336" s="37"/>
      <c r="AR2336" s="37"/>
      <c r="AS2336" s="37"/>
      <c r="AT2336" s="37"/>
      <c r="AU2336" s="37"/>
      <c r="AV2336" s="37"/>
      <c r="AW2336" s="37"/>
      <c r="AX2336" s="37"/>
      <c r="AY2336" s="37"/>
      <c r="AZ2336" s="37"/>
      <c r="BA2336" s="37"/>
      <c r="BB2336" s="37"/>
      <c r="BC2336" s="37"/>
      <c r="BD2336" s="37"/>
      <c r="BE2336" s="37"/>
      <c r="BF2336" s="37"/>
      <c r="BG2336" s="37"/>
      <c r="BH2336" s="37"/>
      <c r="BI2336" s="37"/>
      <c r="BJ2336" s="37"/>
      <c r="BK2336" s="37"/>
      <c r="BL2336" s="37"/>
      <c r="BM2336" s="37"/>
    </row>
    <row r="2337" spans="1:65" s="40" customFormat="1" ht="23.25" x14ac:dyDescent="0.35">
      <c r="A2337" s="37"/>
      <c r="B2337" s="37"/>
      <c r="C2337" s="41"/>
      <c r="D2337" s="38"/>
      <c r="E2337" s="57"/>
      <c r="F2337" s="42"/>
      <c r="G2337" s="43"/>
      <c r="H2337" s="37"/>
      <c r="I2337" s="37"/>
      <c r="J2337" s="38"/>
      <c r="K2337" s="37"/>
      <c r="L2337" s="38"/>
      <c r="M2337" s="39"/>
      <c r="P2337" s="37"/>
      <c r="Q2337" s="37"/>
      <c r="R2337" s="37"/>
      <c r="S2337" s="37"/>
      <c r="T2337" s="37"/>
      <c r="U2337" s="37"/>
      <c r="V2337" s="37"/>
      <c r="W2337" s="37"/>
      <c r="X2337" s="37"/>
      <c r="Y2337" s="37"/>
      <c r="Z2337" s="37"/>
      <c r="AA2337" s="37"/>
      <c r="AB2337" s="37"/>
      <c r="AC2337" s="37"/>
      <c r="AD2337" s="37"/>
      <c r="AE2337" s="37"/>
      <c r="AF2337" s="37"/>
      <c r="AG2337" s="37"/>
      <c r="AH2337" s="37"/>
      <c r="AI2337" s="37"/>
      <c r="AJ2337" s="37"/>
      <c r="AK2337" s="37"/>
      <c r="AL2337" s="37"/>
      <c r="AM2337" s="37"/>
      <c r="AN2337" s="37"/>
      <c r="AO2337" s="37"/>
      <c r="AP2337" s="37"/>
      <c r="AQ2337" s="37"/>
      <c r="AR2337" s="37"/>
      <c r="AS2337" s="37"/>
      <c r="AT2337" s="37"/>
      <c r="AU2337" s="37"/>
      <c r="AV2337" s="37"/>
      <c r="AW2337" s="37"/>
      <c r="AX2337" s="37"/>
      <c r="AY2337" s="37"/>
      <c r="AZ2337" s="37"/>
      <c r="BA2337" s="37"/>
      <c r="BB2337" s="37"/>
      <c r="BC2337" s="37"/>
      <c r="BD2337" s="37"/>
      <c r="BE2337" s="37"/>
      <c r="BF2337" s="37"/>
      <c r="BG2337" s="37"/>
      <c r="BH2337" s="37"/>
      <c r="BI2337" s="37"/>
      <c r="BJ2337" s="37"/>
      <c r="BK2337" s="37"/>
      <c r="BL2337" s="37"/>
      <c r="BM2337" s="37"/>
    </row>
    <row r="2338" spans="1:65" s="40" customFormat="1" ht="23.25" x14ac:dyDescent="0.35">
      <c r="A2338" s="37"/>
      <c r="B2338" s="37"/>
      <c r="C2338" s="41"/>
      <c r="D2338" s="38"/>
      <c r="E2338" s="57"/>
      <c r="F2338" s="42"/>
      <c r="G2338" s="43"/>
      <c r="H2338" s="37"/>
      <c r="I2338" s="37"/>
      <c r="J2338" s="38"/>
      <c r="K2338" s="37"/>
      <c r="L2338" s="38"/>
      <c r="M2338" s="39"/>
      <c r="P2338" s="37"/>
      <c r="Q2338" s="37"/>
      <c r="R2338" s="37"/>
      <c r="S2338" s="37"/>
      <c r="T2338" s="37"/>
      <c r="U2338" s="37"/>
      <c r="V2338" s="37"/>
      <c r="W2338" s="37"/>
      <c r="X2338" s="37"/>
      <c r="Y2338" s="37"/>
      <c r="Z2338" s="37"/>
      <c r="AA2338" s="37"/>
      <c r="AB2338" s="37"/>
      <c r="AC2338" s="37"/>
      <c r="AD2338" s="37"/>
      <c r="AE2338" s="37"/>
      <c r="AF2338" s="37"/>
      <c r="AG2338" s="37"/>
      <c r="AH2338" s="37"/>
      <c r="AI2338" s="37"/>
      <c r="AJ2338" s="37"/>
      <c r="AK2338" s="37"/>
      <c r="AL2338" s="37"/>
      <c r="AM2338" s="37"/>
      <c r="AN2338" s="37"/>
      <c r="AO2338" s="37"/>
      <c r="AP2338" s="37"/>
      <c r="AQ2338" s="37"/>
      <c r="AR2338" s="37"/>
      <c r="AS2338" s="37"/>
      <c r="AT2338" s="37"/>
      <c r="AU2338" s="37"/>
      <c r="AV2338" s="37"/>
      <c r="AW2338" s="37"/>
      <c r="AX2338" s="37"/>
      <c r="AY2338" s="37"/>
      <c r="AZ2338" s="37"/>
      <c r="BA2338" s="37"/>
      <c r="BB2338" s="37"/>
      <c r="BC2338" s="37"/>
      <c r="BD2338" s="37"/>
      <c r="BE2338" s="37"/>
      <c r="BF2338" s="37"/>
      <c r="BG2338" s="37"/>
      <c r="BH2338" s="37"/>
      <c r="BI2338" s="37"/>
      <c r="BJ2338" s="37"/>
      <c r="BK2338" s="37"/>
      <c r="BL2338" s="37"/>
      <c r="BM2338" s="37"/>
    </row>
    <row r="2339" spans="1:65" s="40" customFormat="1" ht="23.25" x14ac:dyDescent="0.35">
      <c r="A2339" s="37"/>
      <c r="B2339" s="37"/>
      <c r="C2339" s="41"/>
      <c r="D2339" s="38"/>
      <c r="E2339" s="57"/>
      <c r="F2339" s="42"/>
      <c r="G2339" s="43"/>
      <c r="H2339" s="37"/>
      <c r="I2339" s="37"/>
      <c r="J2339" s="38"/>
      <c r="K2339" s="37"/>
      <c r="L2339" s="38"/>
      <c r="M2339" s="39"/>
      <c r="P2339" s="37"/>
      <c r="Q2339" s="37"/>
      <c r="R2339" s="37"/>
      <c r="S2339" s="37"/>
      <c r="T2339" s="37"/>
      <c r="U2339" s="37"/>
      <c r="V2339" s="37"/>
      <c r="W2339" s="37"/>
      <c r="X2339" s="37"/>
      <c r="Y2339" s="37"/>
      <c r="Z2339" s="37"/>
      <c r="AA2339" s="37"/>
      <c r="AB2339" s="37"/>
      <c r="AC2339" s="37"/>
      <c r="AD2339" s="37"/>
      <c r="AE2339" s="37"/>
      <c r="AF2339" s="37"/>
      <c r="AG2339" s="37"/>
      <c r="AH2339" s="37"/>
      <c r="AI2339" s="37"/>
      <c r="AJ2339" s="37"/>
      <c r="AK2339" s="37"/>
      <c r="AL2339" s="37"/>
      <c r="AM2339" s="37"/>
      <c r="AN2339" s="37"/>
      <c r="AO2339" s="37"/>
      <c r="AP2339" s="37"/>
      <c r="AQ2339" s="37"/>
      <c r="AR2339" s="37"/>
      <c r="AS2339" s="37"/>
      <c r="AT2339" s="37"/>
      <c r="AU2339" s="37"/>
      <c r="AV2339" s="37"/>
      <c r="AW2339" s="37"/>
      <c r="AX2339" s="37"/>
      <c r="AY2339" s="37"/>
      <c r="AZ2339" s="37"/>
      <c r="BA2339" s="37"/>
      <c r="BB2339" s="37"/>
      <c r="BC2339" s="37"/>
      <c r="BD2339" s="37"/>
      <c r="BE2339" s="37"/>
      <c r="BF2339" s="37"/>
      <c r="BG2339" s="37"/>
      <c r="BH2339" s="37"/>
      <c r="BI2339" s="37"/>
      <c r="BJ2339" s="37"/>
      <c r="BK2339" s="37"/>
      <c r="BL2339" s="37"/>
      <c r="BM2339" s="37"/>
    </row>
    <row r="2340" spans="1:65" s="40" customFormat="1" ht="23.25" x14ac:dyDescent="0.35">
      <c r="A2340" s="37"/>
      <c r="B2340" s="37"/>
      <c r="C2340" s="41"/>
      <c r="D2340" s="38"/>
      <c r="E2340" s="57"/>
      <c r="F2340" s="42"/>
      <c r="G2340" s="43"/>
      <c r="H2340" s="37"/>
      <c r="I2340" s="37"/>
      <c r="J2340" s="38"/>
      <c r="K2340" s="37"/>
      <c r="L2340" s="38"/>
      <c r="M2340" s="39"/>
      <c r="P2340" s="37"/>
      <c r="Q2340" s="37"/>
      <c r="R2340" s="37"/>
      <c r="S2340" s="37"/>
      <c r="T2340" s="37"/>
      <c r="U2340" s="37"/>
      <c r="V2340" s="37"/>
      <c r="W2340" s="37"/>
      <c r="X2340" s="37"/>
      <c r="Y2340" s="37"/>
      <c r="Z2340" s="37"/>
      <c r="AA2340" s="37"/>
      <c r="AB2340" s="37"/>
      <c r="AC2340" s="37"/>
      <c r="AD2340" s="37"/>
      <c r="AE2340" s="37"/>
      <c r="AF2340" s="37"/>
      <c r="AG2340" s="37"/>
      <c r="AH2340" s="37"/>
      <c r="AI2340" s="37"/>
      <c r="AJ2340" s="37"/>
      <c r="AK2340" s="37"/>
      <c r="AL2340" s="37"/>
      <c r="AM2340" s="37"/>
      <c r="AN2340" s="37"/>
      <c r="AO2340" s="37"/>
      <c r="AP2340" s="37"/>
      <c r="AQ2340" s="37"/>
      <c r="AR2340" s="37"/>
      <c r="AS2340" s="37"/>
      <c r="AT2340" s="37"/>
      <c r="AU2340" s="37"/>
      <c r="AV2340" s="37"/>
      <c r="AW2340" s="37"/>
      <c r="AX2340" s="37"/>
      <c r="AY2340" s="37"/>
      <c r="AZ2340" s="37"/>
      <c r="BA2340" s="37"/>
      <c r="BB2340" s="37"/>
      <c r="BC2340" s="37"/>
      <c r="BD2340" s="37"/>
      <c r="BE2340" s="37"/>
      <c r="BF2340" s="37"/>
      <c r="BG2340" s="37"/>
      <c r="BH2340" s="37"/>
      <c r="BI2340" s="37"/>
      <c r="BJ2340" s="37"/>
      <c r="BK2340" s="37"/>
      <c r="BL2340" s="37"/>
      <c r="BM2340" s="37"/>
    </row>
    <row r="2341" spans="1:65" s="40" customFormat="1" ht="23.25" x14ac:dyDescent="0.35">
      <c r="A2341" s="37"/>
      <c r="B2341" s="37"/>
      <c r="C2341" s="41"/>
      <c r="D2341" s="38"/>
      <c r="E2341" s="57"/>
      <c r="F2341" s="42"/>
      <c r="G2341" s="43"/>
      <c r="H2341" s="37"/>
      <c r="I2341" s="37"/>
      <c r="J2341" s="38"/>
      <c r="K2341" s="37"/>
      <c r="L2341" s="38"/>
      <c r="M2341" s="39"/>
      <c r="P2341" s="37"/>
      <c r="Q2341" s="37"/>
      <c r="R2341" s="37"/>
      <c r="S2341" s="37"/>
      <c r="T2341" s="37"/>
      <c r="U2341" s="37"/>
      <c r="V2341" s="37"/>
      <c r="W2341" s="37"/>
      <c r="X2341" s="37"/>
      <c r="Y2341" s="37"/>
      <c r="Z2341" s="37"/>
      <c r="AA2341" s="37"/>
      <c r="AB2341" s="37"/>
      <c r="AC2341" s="37"/>
      <c r="AD2341" s="37"/>
      <c r="AE2341" s="37"/>
      <c r="AF2341" s="37"/>
      <c r="AG2341" s="37"/>
      <c r="AH2341" s="37"/>
      <c r="AI2341" s="37"/>
      <c r="AJ2341" s="37"/>
      <c r="AK2341" s="37"/>
      <c r="AL2341" s="37"/>
      <c r="AM2341" s="37"/>
      <c r="AN2341" s="37"/>
      <c r="AO2341" s="37"/>
      <c r="AP2341" s="37"/>
      <c r="AQ2341" s="37"/>
      <c r="AR2341" s="37"/>
      <c r="AS2341" s="37"/>
      <c r="AT2341" s="37"/>
      <c r="AU2341" s="37"/>
      <c r="AV2341" s="37"/>
      <c r="AW2341" s="37"/>
      <c r="AX2341" s="37"/>
      <c r="AY2341" s="37"/>
      <c r="AZ2341" s="37"/>
      <c r="BA2341" s="37"/>
      <c r="BB2341" s="37"/>
      <c r="BC2341" s="37"/>
      <c r="BD2341" s="37"/>
      <c r="BE2341" s="37"/>
      <c r="BF2341" s="37"/>
      <c r="BG2341" s="37"/>
      <c r="BH2341" s="37"/>
      <c r="BI2341" s="37"/>
      <c r="BJ2341" s="37"/>
      <c r="BK2341" s="37"/>
      <c r="BL2341" s="37"/>
      <c r="BM2341" s="37"/>
    </row>
    <row r="2342" spans="1:65" s="40" customFormat="1" ht="23.25" x14ac:dyDescent="0.35">
      <c r="A2342" s="37"/>
      <c r="B2342" s="37"/>
      <c r="C2342" s="41"/>
      <c r="D2342" s="38"/>
      <c r="E2342" s="57"/>
      <c r="F2342" s="42"/>
      <c r="G2342" s="43"/>
      <c r="H2342" s="37"/>
      <c r="I2342" s="37"/>
      <c r="J2342" s="38"/>
      <c r="K2342" s="37"/>
      <c r="L2342" s="38"/>
      <c r="M2342" s="39"/>
      <c r="P2342" s="37"/>
      <c r="Q2342" s="37"/>
      <c r="R2342" s="37"/>
      <c r="S2342" s="37"/>
      <c r="T2342" s="37"/>
      <c r="U2342" s="37"/>
      <c r="V2342" s="37"/>
      <c r="W2342" s="37"/>
      <c r="X2342" s="37"/>
      <c r="Y2342" s="37"/>
      <c r="Z2342" s="37"/>
      <c r="AA2342" s="37"/>
      <c r="AB2342" s="37"/>
      <c r="AC2342" s="37"/>
      <c r="AD2342" s="37"/>
      <c r="AE2342" s="37"/>
      <c r="AF2342" s="37"/>
      <c r="AG2342" s="37"/>
      <c r="AH2342" s="37"/>
      <c r="AI2342" s="37"/>
      <c r="AJ2342" s="37"/>
      <c r="AK2342" s="37"/>
      <c r="AL2342" s="37"/>
      <c r="AM2342" s="37"/>
      <c r="AN2342" s="37"/>
      <c r="AO2342" s="37"/>
      <c r="AP2342" s="37"/>
      <c r="AQ2342" s="37"/>
      <c r="AR2342" s="37"/>
      <c r="AS2342" s="37"/>
      <c r="AT2342" s="37"/>
      <c r="AU2342" s="37"/>
      <c r="AV2342" s="37"/>
      <c r="AW2342" s="37"/>
      <c r="AX2342" s="37"/>
      <c r="AY2342" s="37"/>
      <c r="AZ2342" s="37"/>
      <c r="BA2342" s="37"/>
      <c r="BB2342" s="37"/>
      <c r="BC2342" s="37"/>
      <c r="BD2342" s="37"/>
      <c r="BE2342" s="37"/>
      <c r="BF2342" s="37"/>
      <c r="BG2342" s="37"/>
      <c r="BH2342" s="37"/>
      <c r="BI2342" s="37"/>
      <c r="BJ2342" s="37"/>
      <c r="BK2342" s="37"/>
      <c r="BL2342" s="37"/>
      <c r="BM2342" s="37"/>
    </row>
    <row r="2343" spans="1:65" s="40" customFormat="1" ht="23.25" x14ac:dyDescent="0.35">
      <c r="A2343" s="37"/>
      <c r="B2343" s="37"/>
      <c r="C2343" s="41"/>
      <c r="D2343" s="38"/>
      <c r="E2343" s="57"/>
      <c r="F2343" s="42"/>
      <c r="G2343" s="43"/>
      <c r="H2343" s="37"/>
      <c r="I2343" s="37"/>
      <c r="J2343" s="38"/>
      <c r="K2343" s="37"/>
      <c r="L2343" s="38"/>
      <c r="M2343" s="39"/>
      <c r="P2343" s="37"/>
      <c r="Q2343" s="37"/>
      <c r="R2343" s="37"/>
      <c r="S2343" s="37"/>
      <c r="T2343" s="37"/>
      <c r="U2343" s="37"/>
      <c r="V2343" s="37"/>
      <c r="W2343" s="37"/>
      <c r="X2343" s="37"/>
      <c r="Y2343" s="37"/>
      <c r="Z2343" s="37"/>
      <c r="AA2343" s="37"/>
      <c r="AB2343" s="37"/>
      <c r="AC2343" s="37"/>
      <c r="AD2343" s="37"/>
      <c r="AE2343" s="37"/>
      <c r="AF2343" s="37"/>
      <c r="AG2343" s="37"/>
      <c r="AH2343" s="37"/>
      <c r="AI2343" s="37"/>
      <c r="AJ2343" s="37"/>
      <c r="AK2343" s="37"/>
      <c r="AL2343" s="37"/>
      <c r="AM2343" s="37"/>
      <c r="AN2343" s="37"/>
      <c r="AO2343" s="37"/>
      <c r="AP2343" s="37"/>
      <c r="AQ2343" s="37"/>
      <c r="AR2343" s="37"/>
      <c r="AS2343" s="37"/>
      <c r="AT2343" s="37"/>
      <c r="AU2343" s="37"/>
      <c r="AV2343" s="37"/>
      <c r="AW2343" s="37"/>
      <c r="AX2343" s="37"/>
      <c r="AY2343" s="37"/>
      <c r="AZ2343" s="37"/>
      <c r="BA2343" s="37"/>
      <c r="BB2343" s="37"/>
      <c r="BC2343" s="37"/>
      <c r="BD2343" s="37"/>
      <c r="BE2343" s="37"/>
      <c r="BF2343" s="37"/>
      <c r="BG2343" s="37"/>
      <c r="BH2343" s="37"/>
      <c r="BI2343" s="37"/>
      <c r="BJ2343" s="37"/>
      <c r="BK2343" s="37"/>
      <c r="BL2343" s="37"/>
      <c r="BM2343" s="37"/>
    </row>
    <row r="2344" spans="1:65" s="40" customFormat="1" ht="23.25" x14ac:dyDescent="0.35">
      <c r="A2344" s="37"/>
      <c r="B2344" s="37"/>
      <c r="C2344" s="41"/>
      <c r="D2344" s="38"/>
      <c r="E2344" s="57"/>
      <c r="F2344" s="42"/>
      <c r="G2344" s="43"/>
      <c r="H2344" s="37"/>
      <c r="I2344" s="37"/>
      <c r="J2344" s="38"/>
      <c r="K2344" s="37"/>
      <c r="L2344" s="38"/>
      <c r="M2344" s="39"/>
      <c r="P2344" s="37"/>
      <c r="Q2344" s="37"/>
      <c r="R2344" s="37"/>
      <c r="S2344" s="37"/>
      <c r="T2344" s="37"/>
      <c r="U2344" s="37"/>
      <c r="V2344" s="37"/>
      <c r="W2344" s="37"/>
      <c r="X2344" s="37"/>
      <c r="Y2344" s="37"/>
      <c r="Z2344" s="37"/>
      <c r="AA2344" s="37"/>
      <c r="AB2344" s="37"/>
      <c r="AC2344" s="37"/>
      <c r="AD2344" s="37"/>
      <c r="AE2344" s="37"/>
      <c r="AF2344" s="37"/>
      <c r="AG2344" s="37"/>
      <c r="AH2344" s="37"/>
      <c r="AI2344" s="37"/>
      <c r="AJ2344" s="37"/>
      <c r="AK2344" s="37"/>
      <c r="AL2344" s="37"/>
      <c r="AM2344" s="37"/>
      <c r="AN2344" s="37"/>
      <c r="AO2344" s="37"/>
      <c r="AP2344" s="37"/>
      <c r="AQ2344" s="37"/>
      <c r="AR2344" s="37"/>
      <c r="AS2344" s="37"/>
      <c r="AT2344" s="37"/>
      <c r="AU2344" s="37"/>
      <c r="AV2344" s="37"/>
      <c r="AW2344" s="37"/>
      <c r="AX2344" s="37"/>
      <c r="AY2344" s="37"/>
      <c r="AZ2344" s="37"/>
      <c r="BA2344" s="37"/>
      <c r="BB2344" s="37"/>
      <c r="BC2344" s="37"/>
      <c r="BD2344" s="37"/>
      <c r="BE2344" s="37"/>
      <c r="BF2344" s="37"/>
      <c r="BG2344" s="37"/>
      <c r="BH2344" s="37"/>
      <c r="BI2344" s="37"/>
      <c r="BJ2344" s="37"/>
      <c r="BK2344" s="37"/>
      <c r="BL2344" s="37"/>
      <c r="BM2344" s="37"/>
    </row>
    <row r="2345" spans="1:65" s="40" customFormat="1" ht="23.25" x14ac:dyDescent="0.35">
      <c r="A2345" s="37"/>
      <c r="B2345" s="37"/>
      <c r="C2345" s="41"/>
      <c r="D2345" s="38"/>
      <c r="E2345" s="57"/>
      <c r="F2345" s="42"/>
      <c r="G2345" s="43"/>
      <c r="H2345" s="37"/>
      <c r="I2345" s="37"/>
      <c r="J2345" s="38"/>
      <c r="K2345" s="37"/>
      <c r="L2345" s="38"/>
      <c r="M2345" s="39"/>
      <c r="P2345" s="37"/>
      <c r="Q2345" s="37"/>
      <c r="R2345" s="37"/>
      <c r="S2345" s="37"/>
      <c r="T2345" s="37"/>
      <c r="U2345" s="37"/>
      <c r="V2345" s="37"/>
      <c r="W2345" s="37"/>
      <c r="X2345" s="37"/>
      <c r="Y2345" s="37"/>
      <c r="Z2345" s="37"/>
      <c r="AA2345" s="37"/>
      <c r="AB2345" s="37"/>
      <c r="AC2345" s="37"/>
      <c r="AD2345" s="37"/>
      <c r="AE2345" s="37"/>
      <c r="AF2345" s="37"/>
      <c r="AG2345" s="37"/>
      <c r="AH2345" s="37"/>
      <c r="AI2345" s="37"/>
      <c r="AJ2345" s="37"/>
      <c r="AK2345" s="37"/>
      <c r="AL2345" s="37"/>
      <c r="AM2345" s="37"/>
      <c r="AN2345" s="37"/>
      <c r="AO2345" s="37"/>
      <c r="AP2345" s="37"/>
      <c r="AQ2345" s="37"/>
      <c r="AR2345" s="37"/>
      <c r="AS2345" s="37"/>
      <c r="AT2345" s="37"/>
      <c r="AU2345" s="37"/>
      <c r="AV2345" s="37"/>
      <c r="AW2345" s="37"/>
      <c r="AX2345" s="37"/>
      <c r="AY2345" s="37"/>
      <c r="AZ2345" s="37"/>
      <c r="BA2345" s="37"/>
      <c r="BB2345" s="37"/>
      <c r="BC2345" s="37"/>
      <c r="BD2345" s="37"/>
      <c r="BE2345" s="37"/>
      <c r="BF2345" s="37"/>
      <c r="BG2345" s="37"/>
      <c r="BH2345" s="37"/>
      <c r="BI2345" s="37"/>
      <c r="BJ2345" s="37"/>
      <c r="BK2345" s="37"/>
      <c r="BL2345" s="37"/>
      <c r="BM2345" s="37"/>
    </row>
    <row r="2346" spans="1:65" s="40" customFormat="1" ht="23.25" x14ac:dyDescent="0.35">
      <c r="A2346" s="37"/>
      <c r="B2346" s="37"/>
      <c r="C2346" s="41"/>
      <c r="D2346" s="38"/>
      <c r="E2346" s="57"/>
      <c r="F2346" s="42"/>
      <c r="G2346" s="43"/>
      <c r="H2346" s="37"/>
      <c r="I2346" s="37"/>
      <c r="J2346" s="38"/>
      <c r="K2346" s="37"/>
      <c r="L2346" s="38"/>
      <c r="M2346" s="39"/>
      <c r="P2346" s="37"/>
      <c r="Q2346" s="37"/>
      <c r="R2346" s="37"/>
      <c r="S2346" s="37"/>
      <c r="T2346" s="37"/>
      <c r="U2346" s="37"/>
      <c r="V2346" s="37"/>
      <c r="W2346" s="37"/>
      <c r="X2346" s="37"/>
      <c r="Y2346" s="37"/>
      <c r="Z2346" s="37"/>
      <c r="AA2346" s="37"/>
      <c r="AB2346" s="37"/>
      <c r="AC2346" s="37"/>
      <c r="AD2346" s="37"/>
      <c r="AE2346" s="37"/>
      <c r="AF2346" s="37"/>
      <c r="AG2346" s="37"/>
      <c r="AH2346" s="37"/>
      <c r="AI2346" s="37"/>
      <c r="AJ2346" s="37"/>
      <c r="AK2346" s="37"/>
      <c r="AL2346" s="37"/>
      <c r="AM2346" s="37"/>
      <c r="AN2346" s="37"/>
      <c r="AO2346" s="37"/>
      <c r="AP2346" s="37"/>
      <c r="AQ2346" s="37"/>
      <c r="AR2346" s="37"/>
      <c r="AS2346" s="37"/>
      <c r="AT2346" s="37"/>
      <c r="AU2346" s="37"/>
      <c r="AV2346" s="37"/>
      <c r="AW2346" s="37"/>
      <c r="AX2346" s="37"/>
      <c r="AY2346" s="37"/>
      <c r="AZ2346" s="37"/>
      <c r="BA2346" s="37"/>
      <c r="BB2346" s="37"/>
      <c r="BC2346" s="37"/>
      <c r="BD2346" s="37"/>
      <c r="BE2346" s="37"/>
      <c r="BF2346" s="37"/>
      <c r="BG2346" s="37"/>
      <c r="BH2346" s="37"/>
      <c r="BI2346" s="37"/>
      <c r="BJ2346" s="37"/>
      <c r="BK2346" s="37"/>
      <c r="BL2346" s="37"/>
      <c r="BM2346" s="37"/>
    </row>
    <row r="2347" spans="1:65" s="40" customFormat="1" ht="23.25" x14ac:dyDescent="0.35">
      <c r="A2347" s="37"/>
      <c r="B2347" s="37"/>
      <c r="C2347" s="41"/>
      <c r="D2347" s="38"/>
      <c r="E2347" s="57"/>
      <c r="F2347" s="42"/>
      <c r="G2347" s="43"/>
      <c r="H2347" s="37"/>
      <c r="I2347" s="37"/>
      <c r="J2347" s="38"/>
      <c r="K2347" s="37"/>
      <c r="L2347" s="38"/>
      <c r="M2347" s="39"/>
      <c r="P2347" s="37"/>
      <c r="Q2347" s="37"/>
      <c r="R2347" s="37"/>
      <c r="S2347" s="37"/>
      <c r="T2347" s="37"/>
      <c r="U2347" s="37"/>
      <c r="V2347" s="37"/>
      <c r="W2347" s="37"/>
      <c r="X2347" s="37"/>
      <c r="Y2347" s="37"/>
      <c r="Z2347" s="37"/>
      <c r="AA2347" s="37"/>
      <c r="AB2347" s="37"/>
      <c r="AC2347" s="37"/>
      <c r="AD2347" s="37"/>
      <c r="AE2347" s="37"/>
      <c r="AF2347" s="37"/>
      <c r="AG2347" s="37"/>
      <c r="AH2347" s="37"/>
      <c r="AI2347" s="37"/>
      <c r="AJ2347" s="37"/>
      <c r="AK2347" s="37"/>
      <c r="AL2347" s="37"/>
      <c r="AM2347" s="37"/>
      <c r="AN2347" s="37"/>
      <c r="AO2347" s="37"/>
      <c r="AP2347" s="37"/>
      <c r="AQ2347" s="37"/>
      <c r="AR2347" s="37"/>
      <c r="AS2347" s="37"/>
      <c r="AT2347" s="37"/>
      <c r="AU2347" s="37"/>
      <c r="AV2347" s="37"/>
      <c r="AW2347" s="37"/>
      <c r="AX2347" s="37"/>
      <c r="AY2347" s="37"/>
      <c r="AZ2347" s="37"/>
      <c r="BA2347" s="37"/>
      <c r="BB2347" s="37"/>
      <c r="BC2347" s="37"/>
      <c r="BD2347" s="37"/>
      <c r="BE2347" s="37"/>
      <c r="BF2347" s="37"/>
      <c r="BG2347" s="37"/>
      <c r="BH2347" s="37"/>
      <c r="BI2347" s="37"/>
      <c r="BJ2347" s="37"/>
      <c r="BK2347" s="37"/>
      <c r="BL2347" s="37"/>
      <c r="BM2347" s="37"/>
    </row>
    <row r="2348" spans="1:65" s="40" customFormat="1" ht="23.25" x14ac:dyDescent="0.35">
      <c r="A2348" s="37"/>
      <c r="B2348" s="37"/>
      <c r="C2348" s="41"/>
      <c r="D2348" s="38"/>
      <c r="E2348" s="57"/>
      <c r="F2348" s="42"/>
      <c r="G2348" s="43"/>
      <c r="H2348" s="37"/>
      <c r="I2348" s="37"/>
      <c r="J2348" s="38"/>
      <c r="K2348" s="37"/>
      <c r="L2348" s="38"/>
      <c r="M2348" s="39"/>
      <c r="P2348" s="37"/>
      <c r="Q2348" s="37"/>
      <c r="R2348" s="37"/>
      <c r="S2348" s="37"/>
      <c r="T2348" s="37"/>
      <c r="U2348" s="37"/>
      <c r="V2348" s="37"/>
      <c r="W2348" s="37"/>
      <c r="X2348" s="37"/>
      <c r="Y2348" s="37"/>
      <c r="Z2348" s="37"/>
      <c r="AA2348" s="37"/>
      <c r="AB2348" s="37"/>
      <c r="AC2348" s="37"/>
      <c r="AD2348" s="37"/>
      <c r="AE2348" s="37"/>
      <c r="AF2348" s="37"/>
      <c r="AG2348" s="37"/>
      <c r="AH2348" s="37"/>
      <c r="AI2348" s="37"/>
      <c r="AJ2348" s="37"/>
      <c r="AK2348" s="37"/>
      <c r="AL2348" s="37"/>
      <c r="AM2348" s="37"/>
      <c r="AN2348" s="37"/>
      <c r="AO2348" s="37"/>
      <c r="AP2348" s="37"/>
      <c r="AQ2348" s="37"/>
      <c r="AR2348" s="37"/>
      <c r="AS2348" s="37"/>
      <c r="AT2348" s="37"/>
      <c r="AU2348" s="37"/>
      <c r="AV2348" s="37"/>
      <c r="AW2348" s="37"/>
      <c r="AX2348" s="37"/>
      <c r="AY2348" s="37"/>
      <c r="AZ2348" s="37"/>
      <c r="BA2348" s="37"/>
      <c r="BB2348" s="37"/>
      <c r="BC2348" s="37"/>
      <c r="BD2348" s="37"/>
      <c r="BE2348" s="37"/>
      <c r="BF2348" s="37"/>
      <c r="BG2348" s="37"/>
      <c r="BH2348" s="37"/>
      <c r="BI2348" s="37"/>
      <c r="BJ2348" s="37"/>
      <c r="BK2348" s="37"/>
      <c r="BL2348" s="37"/>
      <c r="BM2348" s="37"/>
    </row>
    <row r="2349" spans="1:65" s="40" customFormat="1" ht="23.25" x14ac:dyDescent="0.35">
      <c r="A2349" s="37"/>
      <c r="B2349" s="37"/>
      <c r="C2349" s="41"/>
      <c r="D2349" s="38"/>
      <c r="E2349" s="57"/>
      <c r="F2349" s="42"/>
      <c r="G2349" s="43"/>
      <c r="H2349" s="37"/>
      <c r="I2349" s="37"/>
      <c r="J2349" s="38"/>
      <c r="K2349" s="37"/>
      <c r="L2349" s="38"/>
      <c r="M2349" s="39"/>
      <c r="P2349" s="37"/>
      <c r="Q2349" s="37"/>
      <c r="R2349" s="37"/>
      <c r="S2349" s="37"/>
      <c r="T2349" s="37"/>
      <c r="U2349" s="37"/>
      <c r="V2349" s="37"/>
      <c r="W2349" s="37"/>
      <c r="X2349" s="37"/>
      <c r="Y2349" s="37"/>
      <c r="Z2349" s="37"/>
      <c r="AA2349" s="37"/>
      <c r="AB2349" s="37"/>
      <c r="AC2349" s="37"/>
      <c r="AD2349" s="37"/>
      <c r="AE2349" s="37"/>
      <c r="AF2349" s="37"/>
      <c r="AG2349" s="37"/>
      <c r="AH2349" s="37"/>
      <c r="AI2349" s="37"/>
      <c r="AJ2349" s="37"/>
      <c r="AK2349" s="37"/>
      <c r="AL2349" s="37"/>
      <c r="AM2349" s="37"/>
      <c r="AN2349" s="37"/>
      <c r="AO2349" s="37"/>
      <c r="AP2349" s="37"/>
      <c r="AQ2349" s="37"/>
      <c r="AR2349" s="37"/>
      <c r="AS2349" s="37"/>
      <c r="AT2349" s="37"/>
      <c r="AU2349" s="37"/>
      <c r="AV2349" s="37"/>
      <c r="AW2349" s="37"/>
      <c r="AX2349" s="37"/>
      <c r="AY2349" s="37"/>
      <c r="AZ2349" s="37"/>
      <c r="BA2349" s="37"/>
      <c r="BB2349" s="37"/>
      <c r="BC2349" s="37"/>
      <c r="BD2349" s="37"/>
      <c r="BE2349" s="37"/>
      <c r="BF2349" s="37"/>
      <c r="BG2349" s="37"/>
      <c r="BH2349" s="37"/>
      <c r="BI2349" s="37"/>
      <c r="BJ2349" s="37"/>
      <c r="BK2349" s="37"/>
      <c r="BL2349" s="37"/>
      <c r="BM2349" s="37"/>
    </row>
    <row r="2350" spans="1:65" s="40" customFormat="1" ht="23.25" x14ac:dyDescent="0.35">
      <c r="A2350" s="37"/>
      <c r="B2350" s="37"/>
      <c r="C2350" s="41"/>
      <c r="D2350" s="38"/>
      <c r="E2350" s="57"/>
      <c r="F2350" s="42"/>
      <c r="G2350" s="43"/>
      <c r="H2350" s="37"/>
      <c r="I2350" s="37"/>
      <c r="J2350" s="38"/>
      <c r="K2350" s="37"/>
      <c r="L2350" s="38"/>
      <c r="M2350" s="39"/>
      <c r="P2350" s="37"/>
      <c r="Q2350" s="37"/>
      <c r="R2350" s="37"/>
      <c r="S2350" s="37"/>
      <c r="T2350" s="37"/>
      <c r="U2350" s="37"/>
      <c r="V2350" s="37"/>
      <c r="W2350" s="37"/>
      <c r="X2350" s="37"/>
      <c r="Y2350" s="37"/>
      <c r="Z2350" s="37"/>
      <c r="AA2350" s="37"/>
      <c r="AB2350" s="37"/>
      <c r="AC2350" s="37"/>
      <c r="AD2350" s="37"/>
      <c r="AE2350" s="37"/>
      <c r="AF2350" s="37"/>
      <c r="AG2350" s="37"/>
      <c r="AH2350" s="37"/>
      <c r="AI2350" s="37"/>
      <c r="AJ2350" s="37"/>
      <c r="AK2350" s="37"/>
      <c r="AL2350" s="37"/>
      <c r="AM2350" s="37"/>
      <c r="AN2350" s="37"/>
      <c r="AO2350" s="37"/>
      <c r="AP2350" s="37"/>
      <c r="AQ2350" s="37"/>
      <c r="AR2350" s="37"/>
      <c r="AS2350" s="37"/>
      <c r="AT2350" s="37"/>
      <c r="AU2350" s="37"/>
      <c r="AV2350" s="37"/>
      <c r="AW2350" s="37"/>
      <c r="AX2350" s="37"/>
      <c r="AY2350" s="37"/>
      <c r="AZ2350" s="37"/>
      <c r="BA2350" s="37"/>
      <c r="BB2350" s="37"/>
      <c r="BC2350" s="37"/>
      <c r="BD2350" s="37"/>
      <c r="BE2350" s="37"/>
      <c r="BF2350" s="37"/>
      <c r="BG2350" s="37"/>
      <c r="BH2350" s="37"/>
      <c r="BI2350" s="37"/>
      <c r="BJ2350" s="37"/>
      <c r="BK2350" s="37"/>
      <c r="BL2350" s="37"/>
      <c r="BM2350" s="37"/>
    </row>
    <row r="2351" spans="1:65" s="40" customFormat="1" ht="23.25" x14ac:dyDescent="0.35">
      <c r="A2351" s="37"/>
      <c r="B2351" s="37"/>
      <c r="C2351" s="41"/>
      <c r="D2351" s="38"/>
      <c r="E2351" s="57"/>
      <c r="F2351" s="42"/>
      <c r="G2351" s="43"/>
      <c r="H2351" s="37"/>
      <c r="I2351" s="37"/>
      <c r="J2351" s="38"/>
      <c r="K2351" s="37"/>
      <c r="L2351" s="38"/>
      <c r="M2351" s="39"/>
      <c r="P2351" s="37"/>
      <c r="Q2351" s="37"/>
      <c r="R2351" s="37"/>
      <c r="S2351" s="37"/>
      <c r="T2351" s="37"/>
      <c r="U2351" s="37"/>
      <c r="V2351" s="37"/>
      <c r="W2351" s="37"/>
      <c r="X2351" s="37"/>
      <c r="Y2351" s="37"/>
      <c r="Z2351" s="37"/>
      <c r="AA2351" s="37"/>
      <c r="AB2351" s="37"/>
      <c r="AC2351" s="37"/>
      <c r="AD2351" s="37"/>
      <c r="AE2351" s="37"/>
      <c r="AF2351" s="37"/>
      <c r="AG2351" s="37"/>
      <c r="AH2351" s="37"/>
      <c r="AI2351" s="37"/>
      <c r="AJ2351" s="37"/>
      <c r="AK2351" s="37"/>
      <c r="AL2351" s="37"/>
      <c r="AM2351" s="37"/>
      <c r="AN2351" s="37"/>
      <c r="AO2351" s="37"/>
      <c r="AP2351" s="37"/>
      <c r="AQ2351" s="37"/>
      <c r="AR2351" s="37"/>
      <c r="AS2351" s="37"/>
      <c r="AT2351" s="37"/>
      <c r="AU2351" s="37"/>
      <c r="AV2351" s="37"/>
      <c r="AW2351" s="37"/>
      <c r="AX2351" s="37"/>
      <c r="AY2351" s="37"/>
      <c r="AZ2351" s="37"/>
      <c r="BA2351" s="37"/>
      <c r="BB2351" s="37"/>
      <c r="BC2351" s="37"/>
      <c r="BD2351" s="37"/>
      <c r="BE2351" s="37"/>
      <c r="BF2351" s="37"/>
      <c r="BG2351" s="37"/>
      <c r="BH2351" s="37"/>
      <c r="BI2351" s="37"/>
      <c r="BJ2351" s="37"/>
      <c r="BK2351" s="37"/>
      <c r="BL2351" s="37"/>
      <c r="BM2351" s="37"/>
    </row>
    <row r="2352" spans="1:65" s="40" customFormat="1" ht="23.25" x14ac:dyDescent="0.35">
      <c r="A2352" s="37"/>
      <c r="B2352" s="37"/>
      <c r="C2352" s="41"/>
      <c r="D2352" s="38"/>
      <c r="E2352" s="57"/>
      <c r="F2352" s="42"/>
      <c r="G2352" s="43"/>
      <c r="H2352" s="37"/>
      <c r="I2352" s="37"/>
      <c r="J2352" s="38"/>
      <c r="K2352" s="37"/>
      <c r="L2352" s="38"/>
      <c r="M2352" s="39"/>
      <c r="P2352" s="37"/>
      <c r="Q2352" s="37"/>
      <c r="R2352" s="37"/>
      <c r="S2352" s="37"/>
      <c r="T2352" s="37"/>
      <c r="U2352" s="37"/>
      <c r="V2352" s="37"/>
      <c r="W2352" s="37"/>
      <c r="X2352" s="37"/>
      <c r="Y2352" s="37"/>
      <c r="Z2352" s="37"/>
      <c r="AA2352" s="37"/>
      <c r="AB2352" s="37"/>
      <c r="AC2352" s="37"/>
      <c r="AD2352" s="37"/>
      <c r="AE2352" s="37"/>
      <c r="AF2352" s="37"/>
      <c r="AG2352" s="37"/>
      <c r="AH2352" s="37"/>
      <c r="AI2352" s="37"/>
      <c r="AJ2352" s="37"/>
      <c r="AK2352" s="37"/>
      <c r="AL2352" s="37"/>
      <c r="AM2352" s="37"/>
      <c r="AN2352" s="37"/>
      <c r="AO2352" s="37"/>
      <c r="AP2352" s="37"/>
      <c r="AQ2352" s="37"/>
      <c r="AR2352" s="37"/>
      <c r="AS2352" s="37"/>
      <c r="AT2352" s="37"/>
      <c r="AU2352" s="37"/>
      <c r="AV2352" s="37"/>
      <c r="AW2352" s="37"/>
      <c r="AX2352" s="37"/>
      <c r="AY2352" s="37"/>
      <c r="AZ2352" s="37"/>
      <c r="BA2352" s="37"/>
      <c r="BB2352" s="37"/>
      <c r="BC2352" s="37"/>
      <c r="BD2352" s="37"/>
      <c r="BE2352" s="37"/>
      <c r="BF2352" s="37"/>
      <c r="BG2352" s="37"/>
      <c r="BH2352" s="37"/>
      <c r="BI2352" s="37"/>
      <c r="BJ2352" s="37"/>
      <c r="BK2352" s="37"/>
      <c r="BL2352" s="37"/>
      <c r="BM2352" s="37"/>
    </row>
    <row r="2353" spans="1:65" s="40" customFormat="1" ht="23.25" x14ac:dyDescent="0.35">
      <c r="A2353" s="37"/>
      <c r="B2353" s="37"/>
      <c r="C2353" s="41"/>
      <c r="D2353" s="38"/>
      <c r="E2353" s="57"/>
      <c r="F2353" s="42"/>
      <c r="G2353" s="43"/>
      <c r="H2353" s="37"/>
      <c r="I2353" s="37"/>
      <c r="J2353" s="38"/>
      <c r="K2353" s="37"/>
      <c r="L2353" s="38"/>
      <c r="M2353" s="39"/>
      <c r="P2353" s="37"/>
      <c r="Q2353" s="37"/>
      <c r="R2353" s="37"/>
      <c r="S2353" s="37"/>
      <c r="T2353" s="37"/>
      <c r="U2353" s="37"/>
      <c r="V2353" s="37"/>
      <c r="W2353" s="37"/>
      <c r="X2353" s="37"/>
      <c r="Y2353" s="37"/>
      <c r="Z2353" s="37"/>
      <c r="AA2353" s="37"/>
      <c r="AB2353" s="37"/>
      <c r="AC2353" s="37"/>
      <c r="AD2353" s="37"/>
      <c r="AE2353" s="37"/>
      <c r="AF2353" s="37"/>
      <c r="AG2353" s="37"/>
      <c r="AH2353" s="37"/>
      <c r="AI2353" s="37"/>
      <c r="AJ2353" s="37"/>
      <c r="AK2353" s="37"/>
      <c r="AL2353" s="37"/>
      <c r="AM2353" s="37"/>
      <c r="AN2353" s="37"/>
      <c r="AO2353" s="37"/>
      <c r="AP2353" s="37"/>
      <c r="AQ2353" s="37"/>
      <c r="AR2353" s="37"/>
      <c r="AS2353" s="37"/>
      <c r="AT2353" s="37"/>
      <c r="AU2353" s="37"/>
      <c r="AV2353" s="37"/>
      <c r="AW2353" s="37"/>
      <c r="AX2353" s="37"/>
      <c r="AY2353" s="37"/>
      <c r="AZ2353" s="37"/>
      <c r="BA2353" s="37"/>
      <c r="BB2353" s="37"/>
      <c r="BC2353" s="37"/>
      <c r="BD2353" s="37"/>
      <c r="BE2353" s="37"/>
      <c r="BF2353" s="37"/>
      <c r="BG2353" s="37"/>
      <c r="BH2353" s="37"/>
      <c r="BI2353" s="37"/>
      <c r="BJ2353" s="37"/>
      <c r="BK2353" s="37"/>
      <c r="BL2353" s="37"/>
      <c r="BM2353" s="37"/>
    </row>
    <row r="2354" spans="1:65" s="40" customFormat="1" ht="23.25" x14ac:dyDescent="0.35">
      <c r="A2354" s="37"/>
      <c r="B2354" s="37"/>
      <c r="C2354" s="41"/>
      <c r="D2354" s="38"/>
      <c r="E2354" s="57"/>
      <c r="F2354" s="42"/>
      <c r="G2354" s="43"/>
      <c r="H2354" s="37"/>
      <c r="I2354" s="37"/>
      <c r="J2354" s="38"/>
      <c r="K2354" s="37"/>
      <c r="L2354" s="38"/>
      <c r="M2354" s="39"/>
      <c r="P2354" s="37"/>
      <c r="Q2354" s="37"/>
      <c r="R2354" s="37"/>
      <c r="S2354" s="37"/>
      <c r="T2354" s="37"/>
      <c r="U2354" s="37"/>
      <c r="V2354" s="37"/>
      <c r="W2354" s="37"/>
      <c r="X2354" s="37"/>
      <c r="Y2354" s="37"/>
      <c r="Z2354" s="37"/>
      <c r="AA2354" s="37"/>
      <c r="AB2354" s="37"/>
      <c r="AC2354" s="37"/>
      <c r="AD2354" s="37"/>
      <c r="AE2354" s="37"/>
      <c r="AF2354" s="37"/>
      <c r="AG2354" s="37"/>
      <c r="AH2354" s="37"/>
      <c r="AI2354" s="37"/>
      <c r="AJ2354" s="37"/>
      <c r="AK2354" s="37"/>
      <c r="AL2354" s="37"/>
      <c r="AM2354" s="37"/>
      <c r="AN2354" s="37"/>
      <c r="AO2354" s="37"/>
      <c r="AP2354" s="37"/>
      <c r="AQ2354" s="37"/>
      <c r="AR2354" s="37"/>
      <c r="AS2354" s="37"/>
      <c r="AT2354" s="37"/>
      <c r="AU2354" s="37"/>
      <c r="AV2354" s="37"/>
      <c r="AW2354" s="37"/>
      <c r="AX2354" s="37"/>
      <c r="AY2354" s="37"/>
      <c r="AZ2354" s="37"/>
      <c r="BA2354" s="37"/>
      <c r="BB2354" s="37"/>
      <c r="BC2354" s="37"/>
      <c r="BD2354" s="37"/>
      <c r="BE2354" s="37"/>
      <c r="BF2354" s="37"/>
      <c r="BG2354" s="37"/>
      <c r="BH2354" s="37"/>
      <c r="BI2354" s="37"/>
      <c r="BJ2354" s="37"/>
      <c r="BK2354" s="37"/>
      <c r="BL2354" s="37"/>
      <c r="BM2354" s="37"/>
    </row>
    <row r="2355" spans="1:65" s="40" customFormat="1" ht="23.25" x14ac:dyDescent="0.35">
      <c r="A2355" s="37"/>
      <c r="B2355" s="37"/>
      <c r="C2355" s="41"/>
      <c r="D2355" s="38"/>
      <c r="E2355" s="57"/>
      <c r="F2355" s="42"/>
      <c r="G2355" s="43"/>
      <c r="H2355" s="37"/>
      <c r="I2355" s="37"/>
      <c r="J2355" s="38"/>
      <c r="K2355" s="37"/>
      <c r="L2355" s="38"/>
      <c r="M2355" s="39"/>
      <c r="P2355" s="37"/>
      <c r="Q2355" s="37"/>
      <c r="R2355" s="37"/>
      <c r="S2355" s="37"/>
      <c r="T2355" s="37"/>
      <c r="U2355" s="37"/>
      <c r="V2355" s="37"/>
      <c r="W2355" s="37"/>
      <c r="X2355" s="37"/>
      <c r="Y2355" s="37"/>
      <c r="Z2355" s="37"/>
      <c r="AA2355" s="37"/>
      <c r="AB2355" s="37"/>
      <c r="AC2355" s="37"/>
      <c r="AD2355" s="37"/>
      <c r="AE2355" s="37"/>
      <c r="AF2355" s="37"/>
      <c r="AG2355" s="37"/>
      <c r="AH2355" s="37"/>
      <c r="AI2355" s="37"/>
      <c r="AJ2355" s="37"/>
      <c r="AK2355" s="37"/>
      <c r="AL2355" s="37"/>
      <c r="AM2355" s="37"/>
      <c r="AN2355" s="37"/>
      <c r="AO2355" s="37"/>
      <c r="AP2355" s="37"/>
      <c r="AQ2355" s="37"/>
      <c r="AR2355" s="37"/>
      <c r="AS2355" s="37"/>
      <c r="AT2355" s="37"/>
      <c r="AU2355" s="37"/>
      <c r="AV2355" s="37"/>
      <c r="AW2355" s="37"/>
      <c r="AX2355" s="37"/>
      <c r="AY2355" s="37"/>
      <c r="AZ2355" s="37"/>
      <c r="BA2355" s="37"/>
      <c r="BB2355" s="37"/>
      <c r="BC2355" s="37"/>
      <c r="BD2355" s="37"/>
      <c r="BE2355" s="37"/>
      <c r="BF2355" s="37"/>
      <c r="BG2355" s="37"/>
      <c r="BH2355" s="37"/>
      <c r="BI2355" s="37"/>
      <c r="BJ2355" s="37"/>
      <c r="BK2355" s="37"/>
      <c r="BL2355" s="37"/>
      <c r="BM2355" s="37"/>
    </row>
    <row r="2356" spans="1:65" s="40" customFormat="1" ht="23.25" x14ac:dyDescent="0.35">
      <c r="A2356" s="37"/>
      <c r="B2356" s="37"/>
      <c r="C2356" s="41"/>
      <c r="D2356" s="38"/>
      <c r="E2356" s="57"/>
      <c r="F2356" s="42"/>
      <c r="G2356" s="43"/>
      <c r="H2356" s="37"/>
      <c r="I2356" s="37"/>
      <c r="J2356" s="38"/>
      <c r="K2356" s="37"/>
      <c r="L2356" s="38"/>
      <c r="M2356" s="39"/>
      <c r="P2356" s="37"/>
      <c r="Q2356" s="37"/>
      <c r="R2356" s="37"/>
      <c r="S2356" s="37"/>
      <c r="T2356" s="37"/>
      <c r="U2356" s="37"/>
      <c r="V2356" s="37"/>
      <c r="W2356" s="37"/>
      <c r="X2356" s="37"/>
      <c r="Y2356" s="37"/>
      <c r="Z2356" s="37"/>
      <c r="AA2356" s="37"/>
      <c r="AB2356" s="37"/>
      <c r="AC2356" s="37"/>
      <c r="AD2356" s="37"/>
      <c r="AE2356" s="37"/>
      <c r="AF2356" s="37"/>
      <c r="AG2356" s="37"/>
      <c r="AH2356" s="37"/>
      <c r="AI2356" s="37"/>
      <c r="AJ2356" s="37"/>
      <c r="AK2356" s="37"/>
      <c r="AL2356" s="37"/>
      <c r="AM2356" s="37"/>
      <c r="AN2356" s="37"/>
      <c r="AO2356" s="37"/>
      <c r="AP2356" s="37"/>
      <c r="AQ2356" s="37"/>
      <c r="AR2356" s="37"/>
      <c r="AS2356" s="37"/>
      <c r="AT2356" s="37"/>
      <c r="AU2356" s="37"/>
      <c r="AV2356" s="37"/>
      <c r="AW2356" s="37"/>
      <c r="AX2356" s="37"/>
      <c r="AY2356" s="37"/>
      <c r="AZ2356" s="37"/>
      <c r="BA2356" s="37"/>
      <c r="BB2356" s="37"/>
      <c r="BC2356" s="37"/>
      <c r="BD2356" s="37"/>
      <c r="BE2356" s="37"/>
      <c r="BF2356" s="37"/>
      <c r="BG2356" s="37"/>
      <c r="BH2356" s="37"/>
      <c r="BI2356" s="37"/>
      <c r="BJ2356" s="37"/>
      <c r="BK2356" s="37"/>
      <c r="BL2356" s="37"/>
      <c r="BM2356" s="37"/>
    </row>
    <row r="2357" spans="1:65" s="40" customFormat="1" ht="23.25" x14ac:dyDescent="0.35">
      <c r="A2357" s="37"/>
      <c r="B2357" s="37"/>
      <c r="C2357" s="41"/>
      <c r="D2357" s="38"/>
      <c r="E2357" s="57"/>
      <c r="F2357" s="42"/>
      <c r="G2357" s="43"/>
      <c r="H2357" s="37"/>
      <c r="I2357" s="37"/>
      <c r="J2357" s="38"/>
      <c r="K2357" s="37"/>
      <c r="L2357" s="38"/>
      <c r="M2357" s="39"/>
      <c r="P2357" s="37"/>
      <c r="Q2357" s="37"/>
      <c r="R2357" s="37"/>
      <c r="S2357" s="37"/>
      <c r="T2357" s="37"/>
      <c r="U2357" s="37"/>
      <c r="V2357" s="37"/>
      <c r="W2357" s="37"/>
      <c r="X2357" s="37"/>
      <c r="Y2357" s="37"/>
      <c r="Z2357" s="37"/>
      <c r="AA2357" s="37"/>
      <c r="AB2357" s="37"/>
      <c r="AC2357" s="37"/>
      <c r="AD2357" s="37"/>
      <c r="AE2357" s="37"/>
      <c r="AF2357" s="37"/>
      <c r="AG2357" s="37"/>
      <c r="AH2357" s="37"/>
      <c r="AI2357" s="37"/>
      <c r="AJ2357" s="37"/>
      <c r="AK2357" s="37"/>
      <c r="AL2357" s="37"/>
      <c r="AM2357" s="37"/>
      <c r="AN2357" s="37"/>
      <c r="AO2357" s="37"/>
      <c r="AP2357" s="37"/>
      <c r="AQ2357" s="37"/>
      <c r="AR2357" s="37"/>
      <c r="AS2357" s="37"/>
      <c r="AT2357" s="37"/>
      <c r="AU2357" s="37"/>
      <c r="AV2357" s="37"/>
      <c r="AW2357" s="37"/>
      <c r="AX2357" s="37"/>
      <c r="AY2357" s="37"/>
      <c r="AZ2357" s="37"/>
      <c r="BA2357" s="37"/>
      <c r="BB2357" s="37"/>
      <c r="BC2357" s="37"/>
      <c r="BD2357" s="37"/>
      <c r="BE2357" s="37"/>
      <c r="BF2357" s="37"/>
      <c r="BG2357" s="37"/>
      <c r="BH2357" s="37"/>
      <c r="BI2357" s="37"/>
      <c r="BJ2357" s="37"/>
      <c r="BK2357" s="37"/>
      <c r="BL2357" s="37"/>
      <c r="BM2357" s="37"/>
    </row>
    <row r="2358" spans="1:65" s="40" customFormat="1" ht="23.25" x14ac:dyDescent="0.35">
      <c r="A2358" s="37"/>
      <c r="B2358" s="37"/>
      <c r="C2358" s="41"/>
      <c r="D2358" s="38"/>
      <c r="E2358" s="57"/>
      <c r="F2358" s="42"/>
      <c r="G2358" s="43"/>
      <c r="H2358" s="37"/>
      <c r="I2358" s="37"/>
      <c r="J2358" s="38"/>
      <c r="K2358" s="37"/>
      <c r="L2358" s="38"/>
      <c r="M2358" s="39"/>
      <c r="P2358" s="37"/>
      <c r="Q2358" s="37"/>
      <c r="R2358" s="37"/>
      <c r="S2358" s="37"/>
      <c r="T2358" s="37"/>
      <c r="U2358" s="37"/>
      <c r="V2358" s="37"/>
      <c r="W2358" s="37"/>
      <c r="X2358" s="37"/>
      <c r="Y2358" s="37"/>
      <c r="Z2358" s="37"/>
      <c r="AA2358" s="37"/>
      <c r="AB2358" s="37"/>
      <c r="AC2358" s="37"/>
      <c r="AD2358" s="37"/>
      <c r="AE2358" s="37"/>
      <c r="AF2358" s="37"/>
      <c r="AG2358" s="37"/>
      <c r="AH2358" s="37"/>
      <c r="AI2358" s="37"/>
      <c r="AJ2358" s="37"/>
      <c r="AK2358" s="37"/>
      <c r="AL2358" s="37"/>
      <c r="AM2358" s="37"/>
      <c r="AN2358" s="37"/>
      <c r="AO2358" s="37"/>
      <c r="AP2358" s="37"/>
      <c r="AQ2358" s="37"/>
      <c r="AR2358" s="37"/>
      <c r="AS2358" s="37"/>
      <c r="AT2358" s="37"/>
      <c r="AU2358" s="37"/>
      <c r="AV2358" s="37"/>
      <c r="AW2358" s="37"/>
      <c r="AX2358" s="37"/>
      <c r="AY2358" s="37"/>
      <c r="AZ2358" s="37"/>
      <c r="BA2358" s="37"/>
      <c r="BB2358" s="37"/>
      <c r="BC2358" s="37"/>
      <c r="BD2358" s="37"/>
      <c r="BE2358" s="37"/>
      <c r="BF2358" s="37"/>
      <c r="BG2358" s="37"/>
      <c r="BH2358" s="37"/>
      <c r="BI2358" s="37"/>
      <c r="BJ2358" s="37"/>
      <c r="BK2358" s="37"/>
      <c r="BL2358" s="37"/>
      <c r="BM2358" s="37"/>
    </row>
    <row r="2359" spans="1:65" s="40" customFormat="1" ht="23.25" x14ac:dyDescent="0.35">
      <c r="A2359" s="37"/>
      <c r="B2359" s="37"/>
      <c r="C2359" s="41"/>
      <c r="D2359" s="38"/>
      <c r="E2359" s="57"/>
      <c r="F2359" s="42"/>
      <c r="G2359" s="43"/>
      <c r="H2359" s="37"/>
      <c r="I2359" s="37"/>
      <c r="J2359" s="38"/>
      <c r="K2359" s="37"/>
      <c r="L2359" s="38"/>
      <c r="M2359" s="39"/>
      <c r="P2359" s="37"/>
      <c r="Q2359" s="37"/>
      <c r="R2359" s="37"/>
      <c r="S2359" s="37"/>
      <c r="T2359" s="37"/>
      <c r="U2359" s="37"/>
      <c r="V2359" s="37"/>
      <c r="W2359" s="37"/>
      <c r="X2359" s="37"/>
      <c r="Y2359" s="37"/>
      <c r="Z2359" s="37"/>
      <c r="AA2359" s="37"/>
      <c r="AB2359" s="37"/>
      <c r="AC2359" s="37"/>
      <c r="AD2359" s="37"/>
      <c r="AE2359" s="37"/>
      <c r="AF2359" s="37"/>
      <c r="AG2359" s="37"/>
      <c r="AH2359" s="37"/>
      <c r="AI2359" s="37"/>
      <c r="AJ2359" s="37"/>
      <c r="AK2359" s="37"/>
      <c r="AL2359" s="37"/>
      <c r="AM2359" s="37"/>
      <c r="AN2359" s="37"/>
      <c r="AO2359" s="37"/>
      <c r="AP2359" s="37"/>
      <c r="AQ2359" s="37"/>
      <c r="AR2359" s="37"/>
      <c r="AS2359" s="37"/>
      <c r="AT2359" s="37"/>
      <c r="AU2359" s="37"/>
      <c r="AV2359" s="37"/>
      <c r="AW2359" s="37"/>
      <c r="AX2359" s="37"/>
      <c r="AY2359" s="37"/>
      <c r="AZ2359" s="37"/>
      <c r="BA2359" s="37"/>
      <c r="BB2359" s="37"/>
      <c r="BC2359" s="37"/>
      <c r="BD2359" s="37"/>
      <c r="BE2359" s="37"/>
      <c r="BF2359" s="37"/>
      <c r="BG2359" s="37"/>
      <c r="BH2359" s="37"/>
      <c r="BI2359" s="37"/>
      <c r="BJ2359" s="37"/>
      <c r="BK2359" s="37"/>
      <c r="BL2359" s="37"/>
      <c r="BM2359" s="37"/>
    </row>
    <row r="2360" spans="1:65" s="40" customFormat="1" ht="23.25" x14ac:dyDescent="0.35">
      <c r="A2360" s="37"/>
      <c r="B2360" s="37"/>
      <c r="C2360" s="41"/>
      <c r="D2360" s="38"/>
      <c r="E2360" s="57"/>
      <c r="F2360" s="42"/>
      <c r="G2360" s="43"/>
      <c r="H2360" s="37"/>
      <c r="I2360" s="37"/>
      <c r="J2360" s="38"/>
      <c r="K2360" s="37"/>
      <c r="L2360" s="38"/>
      <c r="M2360" s="39"/>
      <c r="P2360" s="37"/>
      <c r="Q2360" s="37"/>
      <c r="R2360" s="37"/>
      <c r="S2360" s="37"/>
      <c r="T2360" s="37"/>
      <c r="U2360" s="37"/>
      <c r="V2360" s="37"/>
      <c r="W2360" s="37"/>
      <c r="X2360" s="37"/>
      <c r="Y2360" s="37"/>
      <c r="Z2360" s="37"/>
      <c r="AA2360" s="37"/>
      <c r="AB2360" s="37"/>
      <c r="AC2360" s="37"/>
      <c r="AD2360" s="37"/>
      <c r="AE2360" s="37"/>
      <c r="AF2360" s="37"/>
      <c r="AG2360" s="37"/>
      <c r="AH2360" s="37"/>
      <c r="AI2360" s="37"/>
      <c r="AJ2360" s="37"/>
      <c r="AK2360" s="37"/>
      <c r="AL2360" s="37"/>
      <c r="AM2360" s="37"/>
      <c r="AN2360" s="37"/>
      <c r="AO2360" s="37"/>
      <c r="AP2360" s="37"/>
      <c r="AQ2360" s="37"/>
      <c r="AR2360" s="37"/>
      <c r="AS2360" s="37"/>
      <c r="AT2360" s="37"/>
      <c r="AU2360" s="37"/>
      <c r="AV2360" s="37"/>
      <c r="AW2360" s="37"/>
      <c r="AX2360" s="37"/>
      <c r="AY2360" s="37"/>
      <c r="AZ2360" s="37"/>
      <c r="BA2360" s="37"/>
      <c r="BB2360" s="37"/>
      <c r="BC2360" s="37"/>
      <c r="BD2360" s="37"/>
      <c r="BE2360" s="37"/>
      <c r="BF2360" s="37"/>
      <c r="BG2360" s="37"/>
      <c r="BH2360" s="37"/>
      <c r="BI2360" s="37"/>
      <c r="BJ2360" s="37"/>
      <c r="BK2360" s="37"/>
      <c r="BL2360" s="37"/>
      <c r="BM2360" s="37"/>
    </row>
    <row r="2361" spans="1:65" s="40" customFormat="1" ht="23.25" x14ac:dyDescent="0.35">
      <c r="A2361" s="37"/>
      <c r="B2361" s="37"/>
      <c r="C2361" s="41"/>
      <c r="D2361" s="38"/>
      <c r="E2361" s="57"/>
      <c r="F2361" s="42"/>
      <c r="G2361" s="43"/>
      <c r="H2361" s="37"/>
      <c r="I2361" s="37"/>
      <c r="J2361" s="38"/>
      <c r="K2361" s="37"/>
      <c r="L2361" s="38"/>
      <c r="M2361" s="39"/>
      <c r="P2361" s="37"/>
      <c r="Q2361" s="37"/>
      <c r="R2361" s="37"/>
      <c r="S2361" s="37"/>
      <c r="T2361" s="37"/>
      <c r="U2361" s="37"/>
      <c r="V2361" s="37"/>
      <c r="W2361" s="37"/>
      <c r="X2361" s="37"/>
      <c r="Y2361" s="37"/>
      <c r="Z2361" s="37"/>
      <c r="AA2361" s="37"/>
      <c r="AB2361" s="37"/>
      <c r="AC2361" s="37"/>
      <c r="AD2361" s="37"/>
      <c r="AE2361" s="37"/>
      <c r="AF2361" s="37"/>
      <c r="AG2361" s="37"/>
      <c r="AH2361" s="37"/>
      <c r="AI2361" s="37"/>
      <c r="AJ2361" s="37"/>
      <c r="AK2361" s="37"/>
      <c r="AL2361" s="37"/>
      <c r="AM2361" s="37"/>
      <c r="AN2361" s="37"/>
      <c r="AO2361" s="37"/>
      <c r="AP2361" s="37"/>
      <c r="AQ2361" s="37"/>
      <c r="AR2361" s="37"/>
      <c r="AS2361" s="37"/>
      <c r="AT2361" s="37"/>
      <c r="AU2361" s="37"/>
      <c r="AV2361" s="37"/>
      <c r="AW2361" s="37"/>
      <c r="AX2361" s="37"/>
      <c r="AY2361" s="37"/>
      <c r="AZ2361" s="37"/>
      <c r="BA2361" s="37"/>
      <c r="BB2361" s="37"/>
      <c r="BC2361" s="37"/>
      <c r="BD2361" s="37"/>
      <c r="BE2361" s="37"/>
      <c r="BF2361" s="37"/>
      <c r="BG2361" s="37"/>
      <c r="BH2361" s="37"/>
      <c r="BI2361" s="37"/>
      <c r="BJ2361" s="37"/>
      <c r="BK2361" s="37"/>
      <c r="BL2361" s="37"/>
      <c r="BM2361" s="37"/>
    </row>
    <row r="2362" spans="1:65" s="40" customFormat="1" ht="23.25" x14ac:dyDescent="0.35">
      <c r="A2362" s="37"/>
      <c r="B2362" s="37"/>
      <c r="C2362" s="41"/>
      <c r="D2362" s="38"/>
      <c r="E2362" s="57"/>
      <c r="F2362" s="42"/>
      <c r="G2362" s="43"/>
      <c r="H2362" s="37"/>
      <c r="I2362" s="37"/>
      <c r="J2362" s="38"/>
      <c r="K2362" s="37"/>
      <c r="L2362" s="38"/>
      <c r="M2362" s="39"/>
      <c r="P2362" s="37"/>
      <c r="Q2362" s="37"/>
      <c r="R2362" s="37"/>
      <c r="S2362" s="37"/>
      <c r="T2362" s="37"/>
      <c r="U2362" s="37"/>
      <c r="V2362" s="37"/>
      <c r="W2362" s="37"/>
      <c r="X2362" s="37"/>
      <c r="Y2362" s="37"/>
      <c r="Z2362" s="37"/>
      <c r="AA2362" s="37"/>
      <c r="AB2362" s="37"/>
      <c r="AC2362" s="37"/>
      <c r="AD2362" s="37"/>
      <c r="AE2362" s="37"/>
      <c r="AF2362" s="37"/>
      <c r="AG2362" s="37"/>
      <c r="AH2362" s="37"/>
      <c r="AI2362" s="37"/>
      <c r="AJ2362" s="37"/>
      <c r="AK2362" s="37"/>
      <c r="AL2362" s="37"/>
      <c r="AM2362" s="37"/>
      <c r="AN2362" s="37"/>
      <c r="AO2362" s="37"/>
      <c r="AP2362" s="37"/>
      <c r="AQ2362" s="37"/>
      <c r="AR2362" s="37"/>
      <c r="AS2362" s="37"/>
      <c r="AT2362" s="37"/>
      <c r="AU2362" s="37"/>
      <c r="AV2362" s="37"/>
      <c r="AW2362" s="37"/>
      <c r="AX2362" s="37"/>
      <c r="AY2362" s="37"/>
      <c r="AZ2362" s="37"/>
      <c r="BA2362" s="37"/>
      <c r="BB2362" s="37"/>
      <c r="BC2362" s="37"/>
      <c r="BD2362" s="37"/>
      <c r="BE2362" s="37"/>
      <c r="BF2362" s="37"/>
      <c r="BG2362" s="37"/>
      <c r="BH2362" s="37"/>
      <c r="BI2362" s="37"/>
      <c r="BJ2362" s="37"/>
      <c r="BK2362" s="37"/>
      <c r="BL2362" s="37"/>
      <c r="BM2362" s="37"/>
    </row>
    <row r="2363" spans="1:65" s="40" customFormat="1" ht="23.25" x14ac:dyDescent="0.35">
      <c r="A2363" s="37"/>
      <c r="B2363" s="37"/>
      <c r="C2363" s="41"/>
      <c r="D2363" s="38"/>
      <c r="E2363" s="57"/>
      <c r="F2363" s="42"/>
      <c r="G2363" s="43"/>
      <c r="H2363" s="37"/>
      <c r="I2363" s="37"/>
      <c r="J2363" s="38"/>
      <c r="K2363" s="37"/>
      <c r="L2363" s="38"/>
      <c r="M2363" s="39"/>
      <c r="P2363" s="37"/>
      <c r="Q2363" s="37"/>
      <c r="R2363" s="37"/>
      <c r="S2363" s="37"/>
      <c r="T2363" s="37"/>
      <c r="U2363" s="37"/>
      <c r="V2363" s="37"/>
      <c r="W2363" s="37"/>
      <c r="X2363" s="37"/>
      <c r="Y2363" s="37"/>
      <c r="Z2363" s="37"/>
      <c r="AA2363" s="37"/>
      <c r="AB2363" s="37"/>
      <c r="AC2363" s="37"/>
      <c r="AD2363" s="37"/>
      <c r="AE2363" s="37"/>
      <c r="AF2363" s="37"/>
      <c r="AG2363" s="37"/>
      <c r="AH2363" s="37"/>
      <c r="AI2363" s="37"/>
      <c r="AJ2363" s="37"/>
      <c r="AK2363" s="37"/>
      <c r="AL2363" s="37"/>
      <c r="AM2363" s="37"/>
      <c r="AN2363" s="37"/>
      <c r="AO2363" s="37"/>
      <c r="AP2363" s="37"/>
      <c r="AQ2363" s="37"/>
      <c r="AR2363" s="37"/>
      <c r="AS2363" s="37"/>
      <c r="AT2363" s="37"/>
      <c r="AU2363" s="37"/>
      <c r="AV2363" s="37"/>
      <c r="AW2363" s="37"/>
      <c r="AX2363" s="37"/>
      <c r="AY2363" s="37"/>
      <c r="AZ2363" s="37"/>
      <c r="BA2363" s="37"/>
      <c r="BB2363" s="37"/>
      <c r="BC2363" s="37"/>
      <c r="BD2363" s="37"/>
      <c r="BE2363" s="37"/>
      <c r="BF2363" s="37"/>
      <c r="BG2363" s="37"/>
      <c r="BH2363" s="37"/>
      <c r="BI2363" s="37"/>
      <c r="BJ2363" s="37"/>
      <c r="BK2363" s="37"/>
      <c r="BL2363" s="37"/>
      <c r="BM2363" s="37"/>
    </row>
    <row r="2364" spans="1:65" s="40" customFormat="1" ht="23.25" x14ac:dyDescent="0.35">
      <c r="A2364" s="37"/>
      <c r="B2364" s="37"/>
      <c r="C2364" s="41"/>
      <c r="D2364" s="38"/>
      <c r="E2364" s="57"/>
      <c r="F2364" s="42"/>
      <c r="G2364" s="43"/>
      <c r="H2364" s="37"/>
      <c r="I2364" s="37"/>
      <c r="J2364" s="38"/>
      <c r="K2364" s="37"/>
      <c r="L2364" s="38"/>
      <c r="M2364" s="39"/>
      <c r="P2364" s="37"/>
      <c r="Q2364" s="37"/>
      <c r="R2364" s="37"/>
      <c r="S2364" s="37"/>
      <c r="T2364" s="37"/>
      <c r="U2364" s="37"/>
      <c r="V2364" s="37"/>
      <c r="W2364" s="37"/>
      <c r="X2364" s="37"/>
      <c r="Y2364" s="37"/>
      <c r="Z2364" s="37"/>
      <c r="AA2364" s="37"/>
      <c r="AB2364" s="37"/>
      <c r="AC2364" s="37"/>
      <c r="AD2364" s="37"/>
      <c r="AE2364" s="37"/>
      <c r="AF2364" s="37"/>
      <c r="AG2364" s="37"/>
      <c r="AH2364" s="37"/>
      <c r="AI2364" s="37"/>
      <c r="AJ2364" s="37"/>
      <c r="AK2364" s="37"/>
      <c r="AL2364" s="37"/>
      <c r="AM2364" s="37"/>
      <c r="AN2364" s="37"/>
      <c r="AO2364" s="37"/>
      <c r="AP2364" s="37"/>
      <c r="AQ2364" s="37"/>
      <c r="AR2364" s="37"/>
      <c r="AS2364" s="37"/>
      <c r="AT2364" s="37"/>
      <c r="AU2364" s="37"/>
      <c r="AV2364" s="37"/>
      <c r="AW2364" s="37"/>
      <c r="AX2364" s="37"/>
      <c r="AY2364" s="37"/>
      <c r="AZ2364" s="37"/>
      <c r="BA2364" s="37"/>
      <c r="BB2364" s="37"/>
      <c r="BC2364" s="37"/>
      <c r="BD2364" s="37"/>
      <c r="BE2364" s="37"/>
      <c r="BF2364" s="37"/>
      <c r="BG2364" s="37"/>
      <c r="BH2364" s="37"/>
      <c r="BI2364" s="37"/>
      <c r="BJ2364" s="37"/>
      <c r="BK2364" s="37"/>
      <c r="BL2364" s="37"/>
      <c r="BM2364" s="37"/>
    </row>
    <row r="2365" spans="1:65" s="40" customFormat="1" ht="23.25" x14ac:dyDescent="0.35">
      <c r="A2365" s="37"/>
      <c r="B2365" s="37"/>
      <c r="C2365" s="41"/>
      <c r="D2365" s="38"/>
      <c r="E2365" s="57"/>
      <c r="F2365" s="42"/>
      <c r="G2365" s="43"/>
      <c r="H2365" s="37"/>
      <c r="I2365" s="37"/>
      <c r="J2365" s="38"/>
      <c r="K2365" s="37"/>
      <c r="L2365" s="38"/>
      <c r="M2365" s="39"/>
      <c r="P2365" s="37"/>
      <c r="Q2365" s="37"/>
      <c r="R2365" s="37"/>
      <c r="S2365" s="37"/>
      <c r="T2365" s="37"/>
      <c r="U2365" s="37"/>
      <c r="V2365" s="37"/>
      <c r="W2365" s="37"/>
      <c r="X2365" s="37"/>
      <c r="Y2365" s="37"/>
      <c r="Z2365" s="37"/>
      <c r="AA2365" s="37"/>
      <c r="AB2365" s="37"/>
      <c r="AC2365" s="37"/>
      <c r="AD2365" s="37"/>
      <c r="AE2365" s="37"/>
      <c r="AF2365" s="37"/>
      <c r="AG2365" s="37"/>
      <c r="AH2365" s="37"/>
      <c r="AI2365" s="37"/>
      <c r="AJ2365" s="37"/>
      <c r="AK2365" s="37"/>
      <c r="AL2365" s="37"/>
      <c r="AM2365" s="37"/>
      <c r="AN2365" s="37"/>
      <c r="AO2365" s="37"/>
      <c r="AP2365" s="37"/>
      <c r="AQ2365" s="37"/>
      <c r="AR2365" s="37"/>
      <c r="AS2365" s="37"/>
      <c r="AT2365" s="37"/>
      <c r="AU2365" s="37"/>
      <c r="AV2365" s="37"/>
      <c r="AW2365" s="37"/>
      <c r="AX2365" s="37"/>
      <c r="AY2365" s="37"/>
      <c r="AZ2365" s="37"/>
      <c r="BA2365" s="37"/>
      <c r="BB2365" s="37"/>
      <c r="BC2365" s="37"/>
      <c r="BD2365" s="37"/>
      <c r="BE2365" s="37"/>
      <c r="BF2365" s="37"/>
      <c r="BG2365" s="37"/>
      <c r="BH2365" s="37"/>
      <c r="BI2365" s="37"/>
      <c r="BJ2365" s="37"/>
      <c r="BK2365" s="37"/>
      <c r="BL2365" s="37"/>
      <c r="BM2365" s="37"/>
    </row>
    <row r="2366" spans="1:65" s="40" customFormat="1" ht="23.25" x14ac:dyDescent="0.35">
      <c r="A2366" s="37"/>
      <c r="B2366" s="37"/>
      <c r="C2366" s="41"/>
      <c r="D2366" s="38"/>
      <c r="E2366" s="57"/>
      <c r="F2366" s="42"/>
      <c r="G2366" s="43"/>
      <c r="H2366" s="37"/>
      <c r="I2366" s="37"/>
      <c r="J2366" s="38"/>
      <c r="K2366" s="37"/>
      <c r="L2366" s="38"/>
      <c r="M2366" s="39"/>
      <c r="P2366" s="37"/>
      <c r="Q2366" s="37"/>
      <c r="R2366" s="37"/>
      <c r="S2366" s="37"/>
      <c r="T2366" s="37"/>
      <c r="U2366" s="37"/>
      <c r="V2366" s="37"/>
      <c r="W2366" s="37"/>
      <c r="X2366" s="37"/>
      <c r="Y2366" s="37"/>
      <c r="Z2366" s="37"/>
      <c r="AA2366" s="37"/>
      <c r="AB2366" s="37"/>
      <c r="AC2366" s="37"/>
      <c r="AD2366" s="37"/>
      <c r="AE2366" s="37"/>
      <c r="AF2366" s="37"/>
      <c r="AG2366" s="37"/>
      <c r="AH2366" s="37"/>
      <c r="AI2366" s="37"/>
      <c r="AJ2366" s="37"/>
      <c r="AK2366" s="37"/>
      <c r="AL2366" s="37"/>
      <c r="AM2366" s="37"/>
      <c r="AN2366" s="37"/>
      <c r="AO2366" s="37"/>
      <c r="AP2366" s="37"/>
      <c r="AQ2366" s="37"/>
      <c r="AR2366" s="37"/>
      <c r="AS2366" s="37"/>
      <c r="AT2366" s="37"/>
      <c r="AU2366" s="37"/>
      <c r="AV2366" s="37"/>
      <c r="AW2366" s="37"/>
      <c r="AX2366" s="37"/>
      <c r="AY2366" s="37"/>
      <c r="AZ2366" s="37"/>
      <c r="BA2366" s="37"/>
      <c r="BB2366" s="37"/>
      <c r="BC2366" s="37"/>
      <c r="BD2366" s="37"/>
      <c r="BE2366" s="37"/>
      <c r="BF2366" s="37"/>
      <c r="BG2366" s="37"/>
      <c r="BH2366" s="37"/>
      <c r="BI2366" s="37"/>
      <c r="BJ2366" s="37"/>
      <c r="BK2366" s="37"/>
      <c r="BL2366" s="37"/>
      <c r="BM2366" s="37"/>
    </row>
    <row r="2367" spans="1:65" s="40" customFormat="1" ht="23.25" x14ac:dyDescent="0.35">
      <c r="A2367" s="37"/>
      <c r="B2367" s="37"/>
      <c r="C2367" s="41"/>
      <c r="D2367" s="38"/>
      <c r="E2367" s="57"/>
      <c r="F2367" s="42"/>
      <c r="G2367" s="43"/>
      <c r="H2367" s="37"/>
      <c r="I2367" s="37"/>
      <c r="J2367" s="38"/>
      <c r="K2367" s="37"/>
      <c r="L2367" s="38"/>
      <c r="M2367" s="39"/>
      <c r="P2367" s="37"/>
      <c r="Q2367" s="37"/>
      <c r="R2367" s="37"/>
      <c r="S2367" s="37"/>
      <c r="T2367" s="37"/>
      <c r="U2367" s="37"/>
      <c r="V2367" s="37"/>
      <c r="W2367" s="37"/>
      <c r="X2367" s="37"/>
      <c r="Y2367" s="37"/>
      <c r="Z2367" s="37"/>
      <c r="AA2367" s="37"/>
      <c r="AB2367" s="37"/>
      <c r="AC2367" s="37"/>
      <c r="AD2367" s="37"/>
      <c r="AE2367" s="37"/>
      <c r="AF2367" s="37"/>
      <c r="AG2367" s="37"/>
      <c r="AH2367" s="37"/>
      <c r="AI2367" s="37"/>
      <c r="AJ2367" s="37"/>
      <c r="AK2367" s="37"/>
      <c r="AL2367" s="37"/>
      <c r="AM2367" s="37"/>
      <c r="AN2367" s="37"/>
      <c r="AO2367" s="37"/>
      <c r="AP2367" s="37"/>
      <c r="AQ2367" s="37"/>
      <c r="AR2367" s="37"/>
      <c r="AS2367" s="37"/>
      <c r="AT2367" s="37"/>
      <c r="AU2367" s="37"/>
      <c r="AV2367" s="37"/>
      <c r="AW2367" s="37"/>
      <c r="AX2367" s="37"/>
      <c r="AY2367" s="37"/>
      <c r="AZ2367" s="37"/>
      <c r="BA2367" s="37"/>
      <c r="BB2367" s="37"/>
      <c r="BC2367" s="37"/>
      <c r="BD2367" s="37"/>
      <c r="BE2367" s="37"/>
      <c r="BF2367" s="37"/>
      <c r="BG2367" s="37"/>
      <c r="BH2367" s="37"/>
      <c r="BI2367" s="37"/>
      <c r="BJ2367" s="37"/>
      <c r="BK2367" s="37"/>
      <c r="BL2367" s="37"/>
      <c r="BM2367" s="37"/>
    </row>
    <row r="2368" spans="1:65" s="40" customFormat="1" ht="23.25" x14ac:dyDescent="0.35">
      <c r="A2368" s="37"/>
      <c r="B2368" s="37"/>
      <c r="C2368" s="41"/>
      <c r="D2368" s="38"/>
      <c r="E2368" s="57"/>
      <c r="F2368" s="42"/>
      <c r="G2368" s="43"/>
      <c r="H2368" s="37"/>
      <c r="I2368" s="37"/>
      <c r="J2368" s="38"/>
      <c r="K2368" s="37"/>
      <c r="L2368" s="38"/>
      <c r="M2368" s="39"/>
      <c r="P2368" s="37"/>
      <c r="Q2368" s="37"/>
      <c r="R2368" s="37"/>
      <c r="S2368" s="37"/>
      <c r="T2368" s="37"/>
      <c r="U2368" s="37"/>
      <c r="V2368" s="37"/>
      <c r="W2368" s="37"/>
      <c r="X2368" s="37"/>
      <c r="Y2368" s="37"/>
      <c r="Z2368" s="37"/>
      <c r="AA2368" s="37"/>
      <c r="AB2368" s="37"/>
      <c r="AC2368" s="37"/>
      <c r="AD2368" s="37"/>
      <c r="AE2368" s="37"/>
      <c r="AF2368" s="37"/>
      <c r="AG2368" s="37"/>
      <c r="AH2368" s="37"/>
      <c r="AI2368" s="37"/>
      <c r="AJ2368" s="37"/>
      <c r="AK2368" s="37"/>
      <c r="AL2368" s="37"/>
      <c r="AM2368" s="37"/>
      <c r="AN2368" s="37"/>
      <c r="AO2368" s="37"/>
      <c r="AP2368" s="37"/>
      <c r="AQ2368" s="37"/>
      <c r="AR2368" s="37"/>
      <c r="AS2368" s="37"/>
      <c r="AT2368" s="37"/>
      <c r="AU2368" s="37"/>
      <c r="AV2368" s="37"/>
      <c r="AW2368" s="37"/>
      <c r="AX2368" s="37"/>
      <c r="AY2368" s="37"/>
      <c r="AZ2368" s="37"/>
      <c r="BA2368" s="37"/>
      <c r="BB2368" s="37"/>
      <c r="BC2368" s="37"/>
      <c r="BD2368" s="37"/>
      <c r="BE2368" s="37"/>
      <c r="BF2368" s="37"/>
      <c r="BG2368" s="37"/>
      <c r="BH2368" s="37"/>
      <c r="BI2368" s="37"/>
      <c r="BJ2368" s="37"/>
      <c r="BK2368" s="37"/>
      <c r="BL2368" s="37"/>
      <c r="BM2368" s="37"/>
    </row>
    <row r="2369" spans="1:65" s="40" customFormat="1" ht="23.25" x14ac:dyDescent="0.35">
      <c r="A2369" s="37"/>
      <c r="B2369" s="37"/>
      <c r="C2369" s="41"/>
      <c r="D2369" s="38"/>
      <c r="E2369" s="57"/>
      <c r="F2369" s="42"/>
      <c r="G2369" s="43"/>
      <c r="H2369" s="37"/>
      <c r="I2369" s="37"/>
      <c r="J2369" s="38"/>
      <c r="K2369" s="37"/>
      <c r="L2369" s="38"/>
      <c r="M2369" s="39"/>
      <c r="P2369" s="37"/>
      <c r="Q2369" s="37"/>
      <c r="R2369" s="37"/>
      <c r="S2369" s="37"/>
      <c r="T2369" s="37"/>
      <c r="U2369" s="37"/>
      <c r="V2369" s="37"/>
      <c r="W2369" s="37"/>
      <c r="X2369" s="37"/>
      <c r="Y2369" s="37"/>
      <c r="Z2369" s="37"/>
      <c r="AA2369" s="37"/>
      <c r="AB2369" s="37"/>
      <c r="AC2369" s="37"/>
      <c r="AD2369" s="37"/>
      <c r="AE2369" s="37"/>
      <c r="AF2369" s="37"/>
      <c r="AG2369" s="37"/>
      <c r="AH2369" s="37"/>
      <c r="AI2369" s="37"/>
      <c r="AJ2369" s="37"/>
      <c r="AK2369" s="37"/>
      <c r="AL2369" s="37"/>
      <c r="AM2369" s="37"/>
      <c r="AN2369" s="37"/>
      <c r="AO2369" s="37"/>
      <c r="AP2369" s="37"/>
      <c r="AQ2369" s="37"/>
      <c r="AR2369" s="37"/>
      <c r="AS2369" s="37"/>
      <c r="AT2369" s="37"/>
      <c r="AU2369" s="37"/>
      <c r="AV2369" s="37"/>
      <c r="AW2369" s="37"/>
      <c r="AX2369" s="37"/>
      <c r="AY2369" s="37"/>
      <c r="AZ2369" s="37"/>
      <c r="BA2369" s="37"/>
      <c r="BB2369" s="37"/>
      <c r="BC2369" s="37"/>
      <c r="BD2369" s="37"/>
      <c r="BE2369" s="37"/>
      <c r="BF2369" s="37"/>
      <c r="BG2369" s="37"/>
      <c r="BH2369" s="37"/>
      <c r="BI2369" s="37"/>
      <c r="BJ2369" s="37"/>
      <c r="BK2369" s="37"/>
      <c r="BL2369" s="37"/>
      <c r="BM2369" s="37"/>
    </row>
    <row r="2370" spans="1:65" s="40" customFormat="1" ht="23.25" x14ac:dyDescent="0.35">
      <c r="A2370" s="37"/>
      <c r="B2370" s="37"/>
      <c r="C2370" s="41"/>
      <c r="D2370" s="38"/>
      <c r="E2370" s="57"/>
      <c r="F2370" s="42"/>
      <c r="G2370" s="43"/>
      <c r="H2370" s="37"/>
      <c r="I2370" s="37"/>
      <c r="J2370" s="38"/>
      <c r="K2370" s="37"/>
      <c r="L2370" s="38"/>
      <c r="M2370" s="39"/>
      <c r="P2370" s="37"/>
      <c r="Q2370" s="37"/>
      <c r="R2370" s="37"/>
      <c r="S2370" s="37"/>
      <c r="T2370" s="37"/>
      <c r="U2370" s="37"/>
      <c r="V2370" s="37"/>
      <c r="W2370" s="37"/>
      <c r="X2370" s="37"/>
      <c r="Y2370" s="37"/>
      <c r="Z2370" s="37"/>
      <c r="AA2370" s="37"/>
      <c r="AB2370" s="37"/>
      <c r="AC2370" s="37"/>
      <c r="AD2370" s="37"/>
      <c r="AE2370" s="37"/>
      <c r="AF2370" s="37"/>
      <c r="AG2370" s="37"/>
      <c r="AH2370" s="37"/>
      <c r="AI2370" s="37"/>
      <c r="AJ2370" s="37"/>
      <c r="AK2370" s="37"/>
      <c r="AL2370" s="37"/>
      <c r="AM2370" s="37"/>
      <c r="AN2370" s="37"/>
      <c r="AO2370" s="37"/>
      <c r="AP2370" s="37"/>
      <c r="AQ2370" s="37"/>
      <c r="AR2370" s="37"/>
      <c r="AS2370" s="37"/>
      <c r="AT2370" s="37"/>
      <c r="AU2370" s="37"/>
      <c r="AV2370" s="37"/>
      <c r="AW2370" s="37"/>
      <c r="AX2370" s="37"/>
      <c r="AY2370" s="37"/>
      <c r="AZ2370" s="37"/>
      <c r="BA2370" s="37"/>
      <c r="BB2370" s="37"/>
      <c r="BC2370" s="37"/>
      <c r="BD2370" s="37"/>
      <c r="BE2370" s="37"/>
      <c r="BF2370" s="37"/>
      <c r="BG2370" s="37"/>
      <c r="BH2370" s="37"/>
      <c r="BI2370" s="37"/>
      <c r="BJ2370" s="37"/>
      <c r="BK2370" s="37"/>
      <c r="BL2370" s="37"/>
      <c r="BM2370" s="37"/>
    </row>
    <row r="2371" spans="1:65" s="40" customFormat="1" ht="23.25" x14ac:dyDescent="0.35">
      <c r="A2371" s="37"/>
      <c r="B2371" s="37"/>
      <c r="C2371" s="41"/>
      <c r="D2371" s="38"/>
      <c r="E2371" s="57"/>
      <c r="F2371" s="42"/>
      <c r="G2371" s="43"/>
      <c r="H2371" s="37"/>
      <c r="I2371" s="37"/>
      <c r="J2371" s="38"/>
      <c r="K2371" s="37"/>
      <c r="L2371" s="38"/>
      <c r="M2371" s="39"/>
      <c r="P2371" s="37"/>
      <c r="Q2371" s="37"/>
      <c r="R2371" s="37"/>
      <c r="S2371" s="37"/>
      <c r="T2371" s="37"/>
      <c r="U2371" s="37"/>
      <c r="V2371" s="37"/>
      <c r="W2371" s="37"/>
      <c r="X2371" s="37"/>
      <c r="Y2371" s="37"/>
      <c r="Z2371" s="37"/>
      <c r="AA2371" s="37"/>
      <c r="AB2371" s="37"/>
      <c r="AC2371" s="37"/>
      <c r="AD2371" s="37"/>
      <c r="AE2371" s="37"/>
      <c r="AF2371" s="37"/>
      <c r="AG2371" s="37"/>
      <c r="AH2371" s="37"/>
      <c r="AI2371" s="37"/>
      <c r="AJ2371" s="37"/>
      <c r="AK2371" s="37"/>
      <c r="AL2371" s="37"/>
      <c r="AM2371" s="37"/>
      <c r="AN2371" s="37"/>
      <c r="AO2371" s="37"/>
      <c r="AP2371" s="37"/>
      <c r="AQ2371" s="37"/>
      <c r="AR2371" s="37"/>
      <c r="AS2371" s="37"/>
      <c r="AT2371" s="37"/>
      <c r="AU2371" s="37"/>
      <c r="AV2371" s="37"/>
      <c r="AW2371" s="37"/>
      <c r="AX2371" s="37"/>
      <c r="AY2371" s="37"/>
      <c r="AZ2371" s="37"/>
      <c r="BA2371" s="37"/>
      <c r="BB2371" s="37"/>
      <c r="BC2371" s="37"/>
      <c r="BD2371" s="37"/>
      <c r="BE2371" s="37"/>
      <c r="BF2371" s="37"/>
      <c r="BG2371" s="37"/>
      <c r="BH2371" s="37"/>
      <c r="BI2371" s="37"/>
      <c r="BJ2371" s="37"/>
      <c r="BK2371" s="37"/>
      <c r="BL2371" s="37"/>
      <c r="BM2371" s="37"/>
    </row>
    <row r="2372" spans="1:65" s="40" customFormat="1" ht="23.25" x14ac:dyDescent="0.35">
      <c r="A2372" s="37"/>
      <c r="B2372" s="37"/>
      <c r="C2372" s="41"/>
      <c r="D2372" s="38"/>
      <c r="E2372" s="57"/>
      <c r="F2372" s="42"/>
      <c r="G2372" s="43"/>
      <c r="H2372" s="37"/>
      <c r="I2372" s="37"/>
      <c r="J2372" s="38"/>
      <c r="K2372" s="37"/>
      <c r="L2372" s="38"/>
      <c r="M2372" s="39"/>
      <c r="P2372" s="37"/>
      <c r="Q2372" s="37"/>
      <c r="R2372" s="37"/>
      <c r="S2372" s="37"/>
      <c r="T2372" s="37"/>
      <c r="U2372" s="37"/>
      <c r="V2372" s="37"/>
      <c r="W2372" s="37"/>
      <c r="X2372" s="37"/>
      <c r="Y2372" s="37"/>
      <c r="Z2372" s="37"/>
      <c r="AA2372" s="37"/>
      <c r="AB2372" s="37"/>
      <c r="AC2372" s="37"/>
      <c r="AD2372" s="37"/>
      <c r="AE2372" s="37"/>
      <c r="AF2372" s="37"/>
      <c r="AG2372" s="37"/>
      <c r="AH2372" s="37"/>
      <c r="AI2372" s="37"/>
      <c r="AJ2372" s="37"/>
      <c r="AK2372" s="37"/>
      <c r="AL2372" s="37"/>
      <c r="AM2372" s="37"/>
      <c r="AN2372" s="37"/>
      <c r="AO2372" s="37"/>
      <c r="AP2372" s="37"/>
      <c r="AQ2372" s="37"/>
      <c r="AR2372" s="37"/>
      <c r="AS2372" s="37"/>
      <c r="AT2372" s="37"/>
      <c r="AU2372" s="37"/>
      <c r="AV2372" s="37"/>
      <c r="AW2372" s="37"/>
      <c r="AX2372" s="37"/>
      <c r="AY2372" s="37"/>
      <c r="AZ2372" s="37"/>
      <c r="BA2372" s="37"/>
      <c r="BB2372" s="37"/>
      <c r="BC2372" s="37"/>
      <c r="BD2372" s="37"/>
      <c r="BE2372" s="37"/>
      <c r="BF2372" s="37"/>
      <c r="BG2372" s="37"/>
      <c r="BH2372" s="37"/>
      <c r="BI2372" s="37"/>
      <c r="BJ2372" s="37"/>
      <c r="BK2372" s="37"/>
      <c r="BL2372" s="37"/>
      <c r="BM2372" s="37"/>
    </row>
    <row r="2373" spans="1:65" s="40" customFormat="1" ht="23.25" x14ac:dyDescent="0.35">
      <c r="A2373" s="37"/>
      <c r="B2373" s="37"/>
      <c r="C2373" s="41"/>
      <c r="D2373" s="38"/>
      <c r="E2373" s="57"/>
      <c r="F2373" s="42"/>
      <c r="G2373" s="43"/>
      <c r="H2373" s="37"/>
      <c r="I2373" s="37"/>
      <c r="J2373" s="38"/>
      <c r="K2373" s="37"/>
      <c r="L2373" s="38"/>
      <c r="M2373" s="39"/>
      <c r="P2373" s="37"/>
      <c r="Q2373" s="37"/>
      <c r="R2373" s="37"/>
      <c r="S2373" s="37"/>
      <c r="T2373" s="37"/>
      <c r="U2373" s="37"/>
      <c r="V2373" s="37"/>
      <c r="W2373" s="37"/>
      <c r="X2373" s="37"/>
      <c r="Y2373" s="37"/>
      <c r="Z2373" s="37"/>
      <c r="AA2373" s="37"/>
      <c r="AB2373" s="37"/>
      <c r="AC2373" s="37"/>
      <c r="AD2373" s="37"/>
      <c r="AE2373" s="37"/>
      <c r="AF2373" s="37"/>
      <c r="AG2373" s="37"/>
      <c r="AH2373" s="37"/>
      <c r="AI2373" s="37"/>
      <c r="AJ2373" s="37"/>
      <c r="AK2373" s="37"/>
      <c r="AL2373" s="37"/>
      <c r="AM2373" s="37"/>
      <c r="AN2373" s="37"/>
      <c r="AO2373" s="37"/>
      <c r="AP2373" s="37"/>
      <c r="AQ2373" s="37"/>
      <c r="AR2373" s="37"/>
      <c r="AS2373" s="37"/>
      <c r="AT2373" s="37"/>
      <c r="AU2373" s="37"/>
      <c r="AV2373" s="37"/>
      <c r="AW2373" s="37"/>
      <c r="AX2373" s="37"/>
      <c r="AY2373" s="37"/>
      <c r="AZ2373" s="37"/>
      <c r="BA2373" s="37"/>
      <c r="BB2373" s="37"/>
      <c r="BC2373" s="37"/>
      <c r="BD2373" s="37"/>
      <c r="BE2373" s="37"/>
      <c r="BF2373" s="37"/>
      <c r="BG2373" s="37"/>
      <c r="BH2373" s="37"/>
      <c r="BI2373" s="37"/>
      <c r="BJ2373" s="37"/>
      <c r="BK2373" s="37"/>
      <c r="BL2373" s="37"/>
      <c r="BM2373" s="37"/>
    </row>
    <row r="2374" spans="1:65" s="40" customFormat="1" ht="23.25" x14ac:dyDescent="0.35">
      <c r="A2374" s="37"/>
      <c r="B2374" s="37"/>
      <c r="C2374" s="41"/>
      <c r="D2374" s="38"/>
      <c r="E2374" s="57"/>
      <c r="F2374" s="42"/>
      <c r="G2374" s="43"/>
      <c r="H2374" s="37"/>
      <c r="I2374" s="37"/>
      <c r="J2374" s="38"/>
      <c r="K2374" s="37"/>
      <c r="L2374" s="38"/>
      <c r="M2374" s="39"/>
      <c r="P2374" s="37"/>
      <c r="Q2374" s="37"/>
      <c r="R2374" s="37"/>
      <c r="S2374" s="37"/>
      <c r="T2374" s="37"/>
      <c r="U2374" s="37"/>
      <c r="V2374" s="37"/>
      <c r="W2374" s="37"/>
      <c r="X2374" s="37"/>
      <c r="Y2374" s="37"/>
      <c r="Z2374" s="37"/>
      <c r="AA2374" s="37"/>
      <c r="AB2374" s="37"/>
      <c r="AC2374" s="37"/>
      <c r="AD2374" s="37"/>
      <c r="AE2374" s="37"/>
      <c r="AF2374" s="37"/>
      <c r="AG2374" s="37"/>
      <c r="AH2374" s="37"/>
      <c r="AI2374" s="37"/>
      <c r="AJ2374" s="37"/>
      <c r="AK2374" s="37"/>
      <c r="AL2374" s="37"/>
      <c r="AM2374" s="37"/>
      <c r="AN2374" s="37"/>
      <c r="AO2374" s="37"/>
      <c r="AP2374" s="37"/>
      <c r="AQ2374" s="37"/>
      <c r="AR2374" s="37"/>
      <c r="AS2374" s="37"/>
      <c r="AT2374" s="37"/>
      <c r="AU2374" s="37"/>
      <c r="AV2374" s="37"/>
      <c r="AW2374" s="37"/>
      <c r="AX2374" s="37"/>
      <c r="AY2374" s="37"/>
      <c r="AZ2374" s="37"/>
      <c r="BA2374" s="37"/>
      <c r="BB2374" s="37"/>
      <c r="BC2374" s="37"/>
      <c r="BD2374" s="37"/>
      <c r="BE2374" s="37"/>
      <c r="BF2374" s="37"/>
      <c r="BG2374" s="37"/>
      <c r="BH2374" s="37"/>
      <c r="BI2374" s="37"/>
      <c r="BJ2374" s="37"/>
      <c r="BK2374" s="37"/>
      <c r="BL2374" s="37"/>
      <c r="BM2374" s="37"/>
    </row>
    <row r="2375" spans="1:65" s="40" customFormat="1" ht="23.25" x14ac:dyDescent="0.35">
      <c r="A2375" s="37"/>
      <c r="B2375" s="37"/>
      <c r="C2375" s="41"/>
      <c r="D2375" s="38"/>
      <c r="E2375" s="57"/>
      <c r="F2375" s="42"/>
      <c r="G2375" s="43"/>
      <c r="H2375" s="37"/>
      <c r="I2375" s="37"/>
      <c r="J2375" s="38"/>
      <c r="K2375" s="37"/>
      <c r="L2375" s="38"/>
      <c r="M2375" s="39"/>
      <c r="P2375" s="37"/>
      <c r="Q2375" s="37"/>
      <c r="R2375" s="37"/>
      <c r="S2375" s="37"/>
      <c r="T2375" s="37"/>
      <c r="U2375" s="37"/>
      <c r="V2375" s="37"/>
      <c r="W2375" s="37"/>
      <c r="X2375" s="37"/>
      <c r="Y2375" s="37"/>
      <c r="Z2375" s="37"/>
      <c r="AA2375" s="37"/>
      <c r="AB2375" s="37"/>
      <c r="AC2375" s="37"/>
      <c r="AD2375" s="37"/>
      <c r="AE2375" s="37"/>
      <c r="AF2375" s="37"/>
      <c r="AG2375" s="37"/>
      <c r="AH2375" s="37"/>
      <c r="AI2375" s="37"/>
      <c r="AJ2375" s="37"/>
      <c r="AK2375" s="37"/>
      <c r="AL2375" s="37"/>
      <c r="AM2375" s="37"/>
      <c r="AN2375" s="37"/>
      <c r="AO2375" s="37"/>
      <c r="AP2375" s="37"/>
      <c r="AQ2375" s="37"/>
      <c r="AR2375" s="37"/>
      <c r="AS2375" s="37"/>
      <c r="AT2375" s="37"/>
      <c r="AU2375" s="37"/>
      <c r="AV2375" s="37"/>
      <c r="AW2375" s="37"/>
      <c r="AX2375" s="37"/>
      <c r="AY2375" s="37"/>
      <c r="AZ2375" s="37"/>
      <c r="BA2375" s="37"/>
      <c r="BB2375" s="37"/>
      <c r="BC2375" s="37"/>
      <c r="BD2375" s="37"/>
      <c r="BE2375" s="37"/>
      <c r="BF2375" s="37"/>
      <c r="BG2375" s="37"/>
      <c r="BH2375" s="37"/>
      <c r="BI2375" s="37"/>
      <c r="BJ2375" s="37"/>
      <c r="BK2375" s="37"/>
      <c r="BL2375" s="37"/>
      <c r="BM2375" s="37"/>
    </row>
    <row r="2376" spans="1:65" s="40" customFormat="1" ht="23.25" x14ac:dyDescent="0.35">
      <c r="A2376" s="37"/>
      <c r="B2376" s="37"/>
      <c r="C2376" s="41"/>
      <c r="D2376" s="38"/>
      <c r="E2376" s="57"/>
      <c r="F2376" s="42"/>
      <c r="G2376" s="43"/>
      <c r="H2376" s="37"/>
      <c r="I2376" s="37"/>
      <c r="J2376" s="38"/>
      <c r="K2376" s="37"/>
      <c r="L2376" s="38"/>
      <c r="M2376" s="39"/>
      <c r="P2376" s="37"/>
      <c r="Q2376" s="37"/>
      <c r="R2376" s="37"/>
      <c r="S2376" s="37"/>
      <c r="T2376" s="37"/>
      <c r="U2376" s="37"/>
      <c r="V2376" s="37"/>
      <c r="W2376" s="37"/>
      <c r="X2376" s="37"/>
      <c r="Y2376" s="37"/>
      <c r="Z2376" s="37"/>
      <c r="AA2376" s="37"/>
      <c r="AB2376" s="37"/>
      <c r="AC2376" s="37"/>
      <c r="AD2376" s="37"/>
      <c r="AE2376" s="37"/>
      <c r="AF2376" s="37"/>
      <c r="AG2376" s="37"/>
      <c r="AH2376" s="37"/>
      <c r="AI2376" s="37"/>
      <c r="AJ2376" s="37"/>
      <c r="AK2376" s="37"/>
      <c r="AL2376" s="37"/>
      <c r="AM2376" s="37"/>
      <c r="AN2376" s="37"/>
      <c r="AO2376" s="37"/>
      <c r="AP2376" s="37"/>
      <c r="AQ2376" s="37"/>
      <c r="AR2376" s="37"/>
      <c r="AS2376" s="37"/>
      <c r="AT2376" s="37"/>
      <c r="AU2376" s="37"/>
      <c r="AV2376" s="37"/>
      <c r="AW2376" s="37"/>
      <c r="AX2376" s="37"/>
      <c r="AY2376" s="37"/>
      <c r="AZ2376" s="37"/>
      <c r="BA2376" s="37"/>
      <c r="BB2376" s="37"/>
      <c r="BC2376" s="37"/>
      <c r="BD2376" s="37"/>
      <c r="BE2376" s="37"/>
      <c r="BF2376" s="37"/>
      <c r="BG2376" s="37"/>
      <c r="BH2376" s="37"/>
      <c r="BI2376" s="37"/>
      <c r="BJ2376" s="37"/>
      <c r="BK2376" s="37"/>
      <c r="BL2376" s="37"/>
      <c r="BM2376" s="37"/>
    </row>
    <row r="2377" spans="1:65" s="40" customFormat="1" ht="23.25" x14ac:dyDescent="0.35">
      <c r="A2377" s="37"/>
      <c r="B2377" s="37"/>
      <c r="C2377" s="41"/>
      <c r="D2377" s="38"/>
      <c r="E2377" s="57"/>
      <c r="F2377" s="42"/>
      <c r="G2377" s="43"/>
      <c r="H2377" s="37"/>
      <c r="I2377" s="37"/>
      <c r="J2377" s="38"/>
      <c r="K2377" s="37"/>
      <c r="L2377" s="38"/>
      <c r="M2377" s="39"/>
      <c r="P2377" s="37"/>
      <c r="Q2377" s="37"/>
      <c r="R2377" s="37"/>
      <c r="S2377" s="37"/>
      <c r="T2377" s="37"/>
      <c r="U2377" s="37"/>
      <c r="V2377" s="37"/>
      <c r="W2377" s="37"/>
      <c r="X2377" s="37"/>
      <c r="Y2377" s="37"/>
      <c r="Z2377" s="37"/>
      <c r="AA2377" s="37"/>
      <c r="AB2377" s="37"/>
      <c r="AC2377" s="37"/>
      <c r="AD2377" s="37"/>
      <c r="AE2377" s="37"/>
      <c r="AF2377" s="37"/>
      <c r="AG2377" s="37"/>
      <c r="AH2377" s="37"/>
      <c r="AI2377" s="37"/>
      <c r="AJ2377" s="37"/>
      <c r="AK2377" s="37"/>
      <c r="AL2377" s="37"/>
      <c r="AM2377" s="37"/>
      <c r="AN2377" s="37"/>
      <c r="AO2377" s="37"/>
      <c r="AP2377" s="37"/>
      <c r="AQ2377" s="37"/>
      <c r="AR2377" s="37"/>
      <c r="AS2377" s="37"/>
      <c r="AT2377" s="37"/>
      <c r="AU2377" s="37"/>
      <c r="AV2377" s="37"/>
      <c r="AW2377" s="37"/>
      <c r="AX2377" s="37"/>
      <c r="AY2377" s="37"/>
      <c r="AZ2377" s="37"/>
      <c r="BA2377" s="37"/>
      <c r="BB2377" s="37"/>
      <c r="BC2377" s="37"/>
      <c r="BD2377" s="37"/>
      <c r="BE2377" s="37"/>
      <c r="BF2377" s="37"/>
      <c r="BG2377" s="37"/>
      <c r="BH2377" s="37"/>
      <c r="BI2377" s="37"/>
      <c r="BJ2377" s="37"/>
      <c r="BK2377" s="37"/>
      <c r="BL2377" s="37"/>
      <c r="BM2377" s="37"/>
    </row>
    <row r="2378" spans="1:65" s="40" customFormat="1" ht="23.25" x14ac:dyDescent="0.35">
      <c r="A2378" s="37"/>
      <c r="B2378" s="37"/>
      <c r="C2378" s="41"/>
      <c r="D2378" s="38"/>
      <c r="E2378" s="57"/>
      <c r="F2378" s="42"/>
      <c r="G2378" s="43"/>
      <c r="H2378" s="37"/>
      <c r="I2378" s="37"/>
      <c r="J2378" s="38"/>
      <c r="K2378" s="37"/>
      <c r="L2378" s="38"/>
      <c r="M2378" s="39"/>
      <c r="P2378" s="37"/>
      <c r="Q2378" s="37"/>
      <c r="R2378" s="37"/>
      <c r="S2378" s="37"/>
      <c r="T2378" s="37"/>
      <c r="U2378" s="37"/>
      <c r="V2378" s="37"/>
      <c r="W2378" s="37"/>
      <c r="X2378" s="37"/>
      <c r="Y2378" s="37"/>
      <c r="Z2378" s="37"/>
      <c r="AA2378" s="37"/>
      <c r="AB2378" s="37"/>
      <c r="AC2378" s="37"/>
      <c r="AD2378" s="37"/>
      <c r="AE2378" s="37"/>
      <c r="AF2378" s="37"/>
      <c r="AG2378" s="37"/>
      <c r="AH2378" s="37"/>
      <c r="AI2378" s="37"/>
      <c r="AJ2378" s="37"/>
      <c r="AK2378" s="37"/>
      <c r="AL2378" s="37"/>
      <c r="AM2378" s="37"/>
      <c r="AN2378" s="37"/>
      <c r="AO2378" s="37"/>
      <c r="AP2378" s="37"/>
      <c r="AQ2378" s="37"/>
      <c r="AR2378" s="37"/>
      <c r="AS2378" s="37"/>
      <c r="AT2378" s="37"/>
      <c r="AU2378" s="37"/>
      <c r="AV2378" s="37"/>
      <c r="AW2378" s="37"/>
      <c r="AX2378" s="37"/>
      <c r="AY2378" s="37"/>
      <c r="AZ2378" s="37"/>
      <c r="BA2378" s="37"/>
      <c r="BB2378" s="37"/>
      <c r="BC2378" s="37"/>
      <c r="BD2378" s="37"/>
      <c r="BE2378" s="37"/>
      <c r="BF2378" s="37"/>
      <c r="BG2378" s="37"/>
      <c r="BH2378" s="37"/>
      <c r="BI2378" s="37"/>
      <c r="BJ2378" s="37"/>
      <c r="BK2378" s="37"/>
      <c r="BL2378" s="37"/>
      <c r="BM2378" s="37"/>
    </row>
    <row r="2379" spans="1:65" s="40" customFormat="1" ht="23.25" x14ac:dyDescent="0.35">
      <c r="A2379" s="37"/>
      <c r="B2379" s="37"/>
      <c r="C2379" s="41"/>
      <c r="D2379" s="38"/>
      <c r="E2379" s="57"/>
      <c r="F2379" s="42"/>
      <c r="G2379" s="43"/>
      <c r="H2379" s="37"/>
      <c r="I2379" s="37"/>
      <c r="J2379" s="38"/>
      <c r="K2379" s="37"/>
      <c r="L2379" s="38"/>
      <c r="M2379" s="39"/>
      <c r="P2379" s="37"/>
      <c r="Q2379" s="37"/>
      <c r="R2379" s="37"/>
      <c r="S2379" s="37"/>
      <c r="T2379" s="37"/>
      <c r="U2379" s="37"/>
      <c r="V2379" s="37"/>
      <c r="W2379" s="37"/>
      <c r="X2379" s="37"/>
      <c r="Y2379" s="37"/>
      <c r="Z2379" s="37"/>
      <c r="AA2379" s="37"/>
      <c r="AB2379" s="37"/>
      <c r="AC2379" s="37"/>
      <c r="AD2379" s="37"/>
      <c r="AE2379" s="37"/>
      <c r="AF2379" s="37"/>
      <c r="AG2379" s="37"/>
      <c r="AH2379" s="37"/>
      <c r="AI2379" s="37"/>
      <c r="AJ2379" s="37"/>
      <c r="AK2379" s="37"/>
      <c r="AL2379" s="37"/>
      <c r="AM2379" s="37"/>
      <c r="AN2379" s="37"/>
      <c r="AO2379" s="37"/>
      <c r="AP2379" s="37"/>
      <c r="AQ2379" s="37"/>
      <c r="AR2379" s="37"/>
      <c r="AS2379" s="37"/>
      <c r="AT2379" s="37"/>
      <c r="AU2379" s="37"/>
      <c r="AV2379" s="37"/>
      <c r="AW2379" s="37"/>
      <c r="AX2379" s="37"/>
      <c r="AY2379" s="37"/>
      <c r="AZ2379" s="37"/>
      <c r="BA2379" s="37"/>
      <c r="BB2379" s="37"/>
      <c r="BC2379" s="37"/>
      <c r="BD2379" s="37"/>
      <c r="BE2379" s="37"/>
      <c r="BF2379" s="37"/>
      <c r="BG2379" s="37"/>
      <c r="BH2379" s="37"/>
      <c r="BI2379" s="37"/>
      <c r="BJ2379" s="37"/>
      <c r="BK2379" s="37"/>
      <c r="BL2379" s="37"/>
      <c r="BM2379" s="37"/>
    </row>
    <row r="2380" spans="1:65" s="40" customFormat="1" ht="23.25" x14ac:dyDescent="0.35">
      <c r="A2380" s="37"/>
      <c r="B2380" s="37"/>
      <c r="C2380" s="41"/>
      <c r="D2380" s="38"/>
      <c r="E2380" s="57"/>
      <c r="F2380" s="42"/>
      <c r="G2380" s="43"/>
      <c r="H2380" s="37"/>
      <c r="I2380" s="37"/>
      <c r="J2380" s="38"/>
      <c r="K2380" s="37"/>
      <c r="L2380" s="38"/>
      <c r="M2380" s="39"/>
      <c r="P2380" s="37"/>
      <c r="Q2380" s="37"/>
      <c r="R2380" s="37"/>
      <c r="S2380" s="37"/>
      <c r="T2380" s="37"/>
      <c r="U2380" s="37"/>
      <c r="V2380" s="37"/>
      <c r="W2380" s="37"/>
      <c r="X2380" s="37"/>
      <c r="Y2380" s="37"/>
      <c r="Z2380" s="37"/>
      <c r="AA2380" s="37"/>
      <c r="AB2380" s="37"/>
      <c r="AC2380" s="37"/>
      <c r="AD2380" s="37"/>
      <c r="AE2380" s="37"/>
      <c r="AF2380" s="37"/>
      <c r="AG2380" s="37"/>
      <c r="AH2380" s="37"/>
      <c r="AI2380" s="37"/>
      <c r="AJ2380" s="37"/>
      <c r="AK2380" s="37"/>
      <c r="AL2380" s="37"/>
      <c r="AM2380" s="37"/>
      <c r="AN2380" s="37"/>
      <c r="AO2380" s="37"/>
      <c r="AP2380" s="37"/>
      <c r="AQ2380" s="37"/>
      <c r="AR2380" s="37"/>
      <c r="AS2380" s="37"/>
      <c r="AT2380" s="37"/>
      <c r="AU2380" s="37"/>
      <c r="AV2380" s="37"/>
      <c r="AW2380" s="37"/>
      <c r="AX2380" s="37"/>
      <c r="AY2380" s="37"/>
      <c r="AZ2380" s="37"/>
      <c r="BA2380" s="37"/>
      <c r="BB2380" s="37"/>
      <c r="BC2380" s="37"/>
      <c r="BD2380" s="37"/>
      <c r="BE2380" s="37"/>
      <c r="BF2380" s="37"/>
      <c r="BG2380" s="37"/>
      <c r="BH2380" s="37"/>
      <c r="BI2380" s="37"/>
      <c r="BJ2380" s="37"/>
      <c r="BK2380" s="37"/>
      <c r="BL2380" s="37"/>
      <c r="BM2380" s="37"/>
    </row>
    <row r="2381" spans="1:65" s="40" customFormat="1" ht="23.25" x14ac:dyDescent="0.35">
      <c r="A2381" s="37"/>
      <c r="B2381" s="37"/>
      <c r="C2381" s="41"/>
      <c r="D2381" s="38"/>
      <c r="E2381" s="57"/>
      <c r="F2381" s="42"/>
      <c r="G2381" s="43"/>
      <c r="H2381" s="37"/>
      <c r="I2381" s="37"/>
      <c r="J2381" s="38"/>
      <c r="K2381" s="37"/>
      <c r="L2381" s="38"/>
      <c r="M2381" s="39"/>
      <c r="P2381" s="37"/>
      <c r="Q2381" s="37"/>
      <c r="R2381" s="37"/>
      <c r="S2381" s="37"/>
      <c r="T2381" s="37"/>
      <c r="U2381" s="37"/>
      <c r="V2381" s="37"/>
      <c r="W2381" s="37"/>
      <c r="X2381" s="37"/>
      <c r="Y2381" s="37"/>
      <c r="Z2381" s="37"/>
      <c r="AA2381" s="37"/>
      <c r="AB2381" s="37"/>
      <c r="AC2381" s="37"/>
      <c r="AD2381" s="37"/>
      <c r="AE2381" s="37"/>
      <c r="AF2381" s="37"/>
      <c r="AG2381" s="37"/>
      <c r="AH2381" s="37"/>
      <c r="AI2381" s="37"/>
      <c r="AJ2381" s="37"/>
      <c r="AK2381" s="37"/>
      <c r="AL2381" s="37"/>
      <c r="AM2381" s="37"/>
      <c r="AN2381" s="37"/>
      <c r="AO2381" s="37"/>
      <c r="AP2381" s="37"/>
      <c r="AQ2381" s="37"/>
      <c r="AR2381" s="37"/>
      <c r="AS2381" s="37"/>
      <c r="AT2381" s="37"/>
      <c r="AU2381" s="37"/>
      <c r="AV2381" s="37"/>
      <c r="AW2381" s="37"/>
      <c r="AX2381" s="37"/>
      <c r="AY2381" s="37"/>
      <c r="AZ2381" s="37"/>
      <c r="BA2381" s="37"/>
      <c r="BB2381" s="37"/>
      <c r="BC2381" s="37"/>
      <c r="BD2381" s="37"/>
      <c r="BE2381" s="37"/>
      <c r="BF2381" s="37"/>
      <c r="BG2381" s="37"/>
      <c r="BH2381" s="37"/>
      <c r="BI2381" s="37"/>
      <c r="BJ2381" s="37"/>
      <c r="BK2381" s="37"/>
      <c r="BL2381" s="37"/>
      <c r="BM2381" s="37"/>
    </row>
    <row r="2382" spans="1:65" s="40" customFormat="1" ht="23.25" x14ac:dyDescent="0.35">
      <c r="A2382" s="37"/>
      <c r="B2382" s="37"/>
      <c r="C2382" s="41"/>
      <c r="D2382" s="38"/>
      <c r="E2382" s="57"/>
      <c r="F2382" s="42"/>
      <c r="G2382" s="43"/>
      <c r="H2382" s="37"/>
      <c r="I2382" s="37"/>
      <c r="J2382" s="38"/>
      <c r="K2382" s="37"/>
      <c r="L2382" s="38"/>
      <c r="M2382" s="39"/>
      <c r="P2382" s="37"/>
      <c r="Q2382" s="37"/>
      <c r="R2382" s="37"/>
      <c r="S2382" s="37"/>
      <c r="T2382" s="37"/>
      <c r="U2382" s="37"/>
      <c r="V2382" s="37"/>
      <c r="W2382" s="37"/>
      <c r="X2382" s="37"/>
      <c r="Y2382" s="37"/>
      <c r="Z2382" s="37"/>
      <c r="AA2382" s="37"/>
      <c r="AB2382" s="37"/>
      <c r="AC2382" s="37"/>
      <c r="AD2382" s="37"/>
      <c r="AE2382" s="37"/>
      <c r="AF2382" s="37"/>
      <c r="AG2382" s="37"/>
      <c r="AH2382" s="37"/>
      <c r="AI2382" s="37"/>
      <c r="AJ2382" s="37"/>
      <c r="AK2382" s="37"/>
      <c r="AL2382" s="37"/>
      <c r="AM2382" s="37"/>
      <c r="AN2382" s="37"/>
      <c r="AO2382" s="37"/>
      <c r="AP2382" s="37"/>
      <c r="AQ2382" s="37"/>
      <c r="AR2382" s="37"/>
      <c r="AS2382" s="37"/>
      <c r="AT2382" s="37"/>
      <c r="AU2382" s="37"/>
      <c r="AV2382" s="37"/>
      <c r="AW2382" s="37"/>
      <c r="AX2382" s="37"/>
      <c r="AY2382" s="37"/>
      <c r="AZ2382" s="37"/>
      <c r="BA2382" s="37"/>
      <c r="BB2382" s="37"/>
      <c r="BC2382" s="37"/>
      <c r="BD2382" s="37"/>
      <c r="BE2382" s="37"/>
      <c r="BF2382" s="37"/>
      <c r="BG2382" s="37"/>
      <c r="BH2382" s="37"/>
      <c r="BI2382" s="37"/>
      <c r="BJ2382" s="37"/>
      <c r="BK2382" s="37"/>
      <c r="BL2382" s="37"/>
      <c r="BM2382" s="37"/>
    </row>
    <row r="2383" spans="1:65" s="40" customFormat="1" ht="23.25" x14ac:dyDescent="0.35">
      <c r="A2383" s="37"/>
      <c r="B2383" s="37"/>
      <c r="C2383" s="41"/>
      <c r="D2383" s="38"/>
      <c r="E2383" s="57"/>
      <c r="F2383" s="42"/>
      <c r="G2383" s="43"/>
      <c r="H2383" s="37"/>
      <c r="I2383" s="37"/>
      <c r="J2383" s="38"/>
      <c r="K2383" s="37"/>
      <c r="L2383" s="38"/>
      <c r="M2383" s="39"/>
      <c r="P2383" s="37"/>
      <c r="Q2383" s="37"/>
      <c r="R2383" s="37"/>
      <c r="S2383" s="37"/>
      <c r="T2383" s="37"/>
      <c r="U2383" s="37"/>
      <c r="V2383" s="37"/>
      <c r="W2383" s="37"/>
      <c r="X2383" s="37"/>
      <c r="Y2383" s="37"/>
      <c r="Z2383" s="37"/>
      <c r="AA2383" s="37"/>
      <c r="AB2383" s="37"/>
      <c r="AC2383" s="37"/>
      <c r="AD2383" s="37"/>
      <c r="AE2383" s="37"/>
      <c r="AF2383" s="37"/>
      <c r="AG2383" s="37"/>
      <c r="AH2383" s="37"/>
      <c r="AI2383" s="37"/>
      <c r="AJ2383" s="37"/>
      <c r="AK2383" s="37"/>
      <c r="AL2383" s="37"/>
      <c r="AM2383" s="37"/>
      <c r="AN2383" s="37"/>
      <c r="AO2383" s="37"/>
      <c r="AP2383" s="37"/>
      <c r="AQ2383" s="37"/>
      <c r="AR2383" s="37"/>
      <c r="AS2383" s="37"/>
      <c r="AT2383" s="37"/>
      <c r="AU2383" s="37"/>
      <c r="AV2383" s="37"/>
      <c r="AW2383" s="37"/>
      <c r="AX2383" s="37"/>
      <c r="AY2383" s="37"/>
      <c r="AZ2383" s="37"/>
      <c r="BA2383" s="37"/>
      <c r="BB2383" s="37"/>
      <c r="BC2383" s="37"/>
      <c r="BD2383" s="37"/>
      <c r="BE2383" s="37"/>
      <c r="BF2383" s="37"/>
      <c r="BG2383" s="37"/>
      <c r="BH2383" s="37"/>
      <c r="BI2383" s="37"/>
      <c r="BJ2383" s="37"/>
      <c r="BK2383" s="37"/>
      <c r="BL2383" s="37"/>
      <c r="BM2383" s="37"/>
    </row>
    <row r="2384" spans="1:65" s="40" customFormat="1" ht="23.25" x14ac:dyDescent="0.35">
      <c r="A2384" s="37"/>
      <c r="B2384" s="37"/>
      <c r="C2384" s="41"/>
      <c r="D2384" s="38"/>
      <c r="E2384" s="57"/>
      <c r="F2384" s="42"/>
      <c r="G2384" s="43"/>
      <c r="H2384" s="37"/>
      <c r="I2384" s="37"/>
      <c r="J2384" s="38"/>
      <c r="K2384" s="37"/>
      <c r="L2384" s="38"/>
      <c r="M2384" s="39"/>
      <c r="P2384" s="37"/>
      <c r="Q2384" s="37"/>
      <c r="R2384" s="37"/>
      <c r="S2384" s="37"/>
      <c r="T2384" s="37"/>
      <c r="U2384" s="37"/>
      <c r="V2384" s="37"/>
      <c r="W2384" s="37"/>
      <c r="X2384" s="37"/>
      <c r="Y2384" s="37"/>
      <c r="Z2384" s="37"/>
      <c r="AA2384" s="37"/>
      <c r="AB2384" s="37"/>
      <c r="AC2384" s="37"/>
      <c r="AD2384" s="37"/>
      <c r="AE2384" s="37"/>
      <c r="AF2384" s="37"/>
      <c r="AG2384" s="37"/>
      <c r="AH2384" s="37"/>
      <c r="AI2384" s="37"/>
      <c r="AJ2384" s="37"/>
      <c r="AK2384" s="37"/>
      <c r="AL2384" s="37"/>
      <c r="AM2384" s="37"/>
      <c r="AN2384" s="37"/>
      <c r="AO2384" s="37"/>
      <c r="AP2384" s="37"/>
      <c r="AQ2384" s="37"/>
      <c r="AR2384" s="37"/>
      <c r="AS2384" s="37"/>
      <c r="AT2384" s="37"/>
      <c r="AU2384" s="37"/>
      <c r="AV2384" s="37"/>
      <c r="AW2384" s="37"/>
      <c r="AX2384" s="37"/>
      <c r="AY2384" s="37"/>
      <c r="AZ2384" s="37"/>
      <c r="BA2384" s="37"/>
      <c r="BB2384" s="37"/>
      <c r="BC2384" s="37"/>
      <c r="BD2384" s="37"/>
      <c r="BE2384" s="37"/>
      <c r="BF2384" s="37"/>
      <c r="BG2384" s="37"/>
      <c r="BH2384" s="37"/>
      <c r="BI2384" s="37"/>
      <c r="BJ2384" s="37"/>
      <c r="BK2384" s="37"/>
      <c r="BL2384" s="37"/>
      <c r="BM2384" s="37"/>
    </row>
    <row r="2385" spans="1:65" s="40" customFormat="1" ht="23.25" x14ac:dyDescent="0.35">
      <c r="A2385" s="37"/>
      <c r="B2385" s="37"/>
      <c r="C2385" s="41"/>
      <c r="D2385" s="38"/>
      <c r="E2385" s="57"/>
      <c r="F2385" s="42"/>
      <c r="G2385" s="43"/>
      <c r="H2385" s="37"/>
      <c r="I2385" s="37"/>
      <c r="J2385" s="38"/>
      <c r="K2385" s="37"/>
      <c r="L2385" s="38"/>
      <c r="M2385" s="39"/>
      <c r="P2385" s="37"/>
      <c r="Q2385" s="37"/>
      <c r="R2385" s="37"/>
      <c r="S2385" s="37"/>
      <c r="T2385" s="37"/>
      <c r="U2385" s="37"/>
      <c r="V2385" s="37"/>
      <c r="W2385" s="37"/>
      <c r="X2385" s="37"/>
      <c r="Y2385" s="37"/>
      <c r="Z2385" s="37"/>
      <c r="AA2385" s="37"/>
      <c r="AB2385" s="37"/>
      <c r="AC2385" s="37"/>
      <c r="AD2385" s="37"/>
      <c r="AE2385" s="37"/>
      <c r="AF2385" s="37"/>
      <c r="AG2385" s="37"/>
      <c r="AH2385" s="37"/>
      <c r="AI2385" s="37"/>
      <c r="AJ2385" s="37"/>
      <c r="AK2385" s="37"/>
      <c r="AL2385" s="37"/>
      <c r="AM2385" s="37"/>
      <c r="AN2385" s="37"/>
      <c r="AO2385" s="37"/>
      <c r="AP2385" s="37"/>
      <c r="AQ2385" s="37"/>
      <c r="AR2385" s="37"/>
      <c r="AS2385" s="37"/>
      <c r="AT2385" s="37"/>
      <c r="AU2385" s="37"/>
      <c r="AV2385" s="37"/>
      <c r="AW2385" s="37"/>
      <c r="AX2385" s="37"/>
      <c r="AY2385" s="37"/>
      <c r="AZ2385" s="37"/>
      <c r="BA2385" s="37"/>
      <c r="BB2385" s="37"/>
      <c r="BC2385" s="37"/>
      <c r="BD2385" s="37"/>
      <c r="BE2385" s="37"/>
      <c r="BF2385" s="37"/>
      <c r="BG2385" s="37"/>
      <c r="BH2385" s="37"/>
      <c r="BI2385" s="37"/>
      <c r="BJ2385" s="37"/>
      <c r="BK2385" s="37"/>
      <c r="BL2385" s="37"/>
      <c r="BM2385" s="37"/>
    </row>
    <row r="2386" spans="1:65" s="40" customFormat="1" ht="23.25" x14ac:dyDescent="0.35">
      <c r="A2386" s="37"/>
      <c r="B2386" s="37"/>
      <c r="C2386" s="41"/>
      <c r="D2386" s="38"/>
      <c r="E2386" s="57"/>
      <c r="F2386" s="42"/>
      <c r="G2386" s="43"/>
      <c r="H2386" s="37"/>
      <c r="I2386" s="37"/>
      <c r="J2386" s="38"/>
      <c r="K2386" s="37"/>
      <c r="L2386" s="38"/>
      <c r="M2386" s="39"/>
      <c r="P2386" s="37"/>
      <c r="Q2386" s="37"/>
      <c r="R2386" s="37"/>
      <c r="S2386" s="37"/>
      <c r="T2386" s="37"/>
      <c r="U2386" s="37"/>
      <c r="V2386" s="37"/>
      <c r="W2386" s="37"/>
      <c r="X2386" s="37"/>
      <c r="Y2386" s="37"/>
      <c r="Z2386" s="37"/>
      <c r="AA2386" s="37"/>
      <c r="AB2386" s="37"/>
      <c r="AC2386" s="37"/>
      <c r="AD2386" s="37"/>
      <c r="AE2386" s="37"/>
      <c r="AF2386" s="37"/>
      <c r="AG2386" s="37"/>
      <c r="AH2386" s="37"/>
      <c r="AI2386" s="37"/>
      <c r="AJ2386" s="37"/>
      <c r="AK2386" s="37"/>
      <c r="AL2386" s="37"/>
      <c r="AM2386" s="37"/>
      <c r="AN2386" s="37"/>
      <c r="AO2386" s="37"/>
      <c r="AP2386" s="37"/>
      <c r="AQ2386" s="37"/>
      <c r="AR2386" s="37"/>
      <c r="AS2386" s="37"/>
      <c r="AT2386" s="37"/>
      <c r="AU2386" s="37"/>
      <c r="AV2386" s="37"/>
      <c r="AW2386" s="37"/>
      <c r="AX2386" s="37"/>
      <c r="AY2386" s="37"/>
      <c r="AZ2386" s="37"/>
      <c r="BA2386" s="37"/>
      <c r="BB2386" s="37"/>
      <c r="BC2386" s="37"/>
      <c r="BD2386" s="37"/>
      <c r="BE2386" s="37"/>
      <c r="BF2386" s="37"/>
      <c r="BG2386" s="37"/>
      <c r="BH2386" s="37"/>
      <c r="BI2386" s="37"/>
      <c r="BJ2386" s="37"/>
      <c r="BK2386" s="37"/>
      <c r="BL2386" s="37"/>
      <c r="BM2386" s="37"/>
    </row>
    <row r="2387" spans="1:65" s="40" customFormat="1" ht="23.25" x14ac:dyDescent="0.35">
      <c r="A2387" s="37"/>
      <c r="B2387" s="37"/>
      <c r="C2387" s="41"/>
      <c r="D2387" s="38"/>
      <c r="E2387" s="57"/>
      <c r="F2387" s="42"/>
      <c r="G2387" s="43"/>
      <c r="H2387" s="37"/>
      <c r="I2387" s="37"/>
      <c r="J2387" s="38"/>
      <c r="K2387" s="37"/>
      <c r="L2387" s="38"/>
      <c r="M2387" s="39"/>
      <c r="P2387" s="37"/>
      <c r="Q2387" s="37"/>
      <c r="R2387" s="37"/>
      <c r="S2387" s="37"/>
      <c r="T2387" s="37"/>
      <c r="U2387" s="37"/>
      <c r="V2387" s="37"/>
      <c r="W2387" s="37"/>
      <c r="X2387" s="37"/>
      <c r="Y2387" s="37"/>
      <c r="Z2387" s="37"/>
      <c r="AA2387" s="37"/>
      <c r="AB2387" s="37"/>
      <c r="AC2387" s="37"/>
      <c r="AD2387" s="37"/>
      <c r="AE2387" s="37"/>
      <c r="AF2387" s="37"/>
      <c r="AG2387" s="37"/>
      <c r="AH2387" s="37"/>
      <c r="AI2387" s="37"/>
      <c r="AJ2387" s="37"/>
      <c r="AK2387" s="37"/>
      <c r="AL2387" s="37"/>
      <c r="AM2387" s="37"/>
      <c r="AN2387" s="37"/>
      <c r="AO2387" s="37"/>
      <c r="AP2387" s="37"/>
      <c r="AQ2387" s="37"/>
      <c r="AR2387" s="37"/>
      <c r="AS2387" s="37"/>
      <c r="AT2387" s="37"/>
      <c r="AU2387" s="37"/>
      <c r="AV2387" s="37"/>
      <c r="AW2387" s="37"/>
      <c r="AX2387" s="37"/>
      <c r="AY2387" s="37"/>
      <c r="AZ2387" s="37"/>
      <c r="BA2387" s="37"/>
      <c r="BB2387" s="37"/>
      <c r="BC2387" s="37"/>
      <c r="BD2387" s="37"/>
      <c r="BE2387" s="37"/>
      <c r="BF2387" s="37"/>
      <c r="BG2387" s="37"/>
      <c r="BH2387" s="37"/>
      <c r="BI2387" s="37"/>
      <c r="BJ2387" s="37"/>
      <c r="BK2387" s="37"/>
      <c r="BL2387" s="37"/>
      <c r="BM2387" s="37"/>
    </row>
    <row r="2388" spans="1:65" s="40" customFormat="1" ht="23.25" x14ac:dyDescent="0.35">
      <c r="A2388" s="37"/>
      <c r="B2388" s="37"/>
      <c r="C2388" s="41"/>
      <c r="D2388" s="38"/>
      <c r="E2388" s="57"/>
      <c r="F2388" s="42"/>
      <c r="G2388" s="43"/>
      <c r="H2388" s="37"/>
      <c r="I2388" s="37"/>
      <c r="J2388" s="38"/>
      <c r="K2388" s="37"/>
      <c r="L2388" s="38"/>
      <c r="M2388" s="39"/>
      <c r="P2388" s="37"/>
      <c r="Q2388" s="37"/>
      <c r="R2388" s="37"/>
      <c r="S2388" s="37"/>
      <c r="T2388" s="37"/>
      <c r="U2388" s="37"/>
      <c r="V2388" s="37"/>
      <c r="W2388" s="37"/>
      <c r="X2388" s="37"/>
      <c r="Y2388" s="37"/>
      <c r="Z2388" s="37"/>
      <c r="AA2388" s="37"/>
      <c r="AB2388" s="37"/>
      <c r="AC2388" s="37"/>
      <c r="AD2388" s="37"/>
      <c r="AE2388" s="37"/>
      <c r="AF2388" s="37"/>
      <c r="AG2388" s="37"/>
      <c r="AH2388" s="37"/>
      <c r="AI2388" s="37"/>
      <c r="AJ2388" s="37"/>
      <c r="AK2388" s="37"/>
      <c r="AL2388" s="37"/>
      <c r="AM2388" s="37"/>
      <c r="AN2388" s="37"/>
      <c r="AO2388" s="37"/>
      <c r="AP2388" s="37"/>
      <c r="AQ2388" s="37"/>
      <c r="AR2388" s="37"/>
      <c r="AS2388" s="37"/>
      <c r="AT2388" s="37"/>
      <c r="AU2388" s="37"/>
      <c r="AV2388" s="37"/>
      <c r="AW2388" s="37"/>
      <c r="AX2388" s="37"/>
      <c r="AY2388" s="37"/>
      <c r="AZ2388" s="37"/>
      <c r="BA2388" s="37"/>
      <c r="BB2388" s="37"/>
      <c r="BC2388" s="37"/>
      <c r="BD2388" s="37"/>
      <c r="BE2388" s="37"/>
      <c r="BF2388" s="37"/>
      <c r="BG2388" s="37"/>
      <c r="BH2388" s="37"/>
      <c r="BI2388" s="37"/>
      <c r="BJ2388" s="37"/>
      <c r="BK2388" s="37"/>
      <c r="BL2388" s="37"/>
      <c r="BM2388" s="37"/>
    </row>
    <row r="2389" spans="1:65" s="40" customFormat="1" ht="23.25" x14ac:dyDescent="0.35">
      <c r="A2389" s="37"/>
      <c r="B2389" s="37"/>
      <c r="C2389" s="41"/>
      <c r="D2389" s="38"/>
      <c r="E2389" s="57"/>
      <c r="F2389" s="42"/>
      <c r="G2389" s="43"/>
      <c r="H2389" s="37"/>
      <c r="I2389" s="37"/>
      <c r="J2389" s="38"/>
      <c r="K2389" s="37"/>
      <c r="L2389" s="38"/>
      <c r="M2389" s="39"/>
      <c r="P2389" s="37"/>
      <c r="Q2389" s="37"/>
      <c r="R2389" s="37"/>
      <c r="S2389" s="37"/>
      <c r="T2389" s="37"/>
      <c r="U2389" s="37"/>
      <c r="V2389" s="37"/>
      <c r="W2389" s="37"/>
      <c r="X2389" s="37"/>
      <c r="Y2389" s="37"/>
      <c r="Z2389" s="37"/>
      <c r="AA2389" s="37"/>
      <c r="AB2389" s="37"/>
      <c r="AC2389" s="37"/>
      <c r="AD2389" s="37"/>
      <c r="AE2389" s="37"/>
      <c r="AF2389" s="37"/>
      <c r="AG2389" s="37"/>
      <c r="AH2389" s="37"/>
      <c r="AI2389" s="37"/>
      <c r="AJ2389" s="37"/>
      <c r="AK2389" s="37"/>
      <c r="AL2389" s="37"/>
      <c r="AM2389" s="37"/>
      <c r="AN2389" s="37"/>
      <c r="AO2389" s="37"/>
      <c r="AP2389" s="37"/>
      <c r="AQ2389" s="37"/>
      <c r="AR2389" s="37"/>
      <c r="AS2389" s="37"/>
      <c r="AT2389" s="37"/>
      <c r="AU2389" s="37"/>
      <c r="AV2389" s="37"/>
      <c r="AW2389" s="37"/>
      <c r="AX2389" s="37"/>
      <c r="AY2389" s="37"/>
      <c r="AZ2389" s="37"/>
      <c r="BA2389" s="37"/>
      <c r="BB2389" s="37"/>
      <c r="BC2389" s="37"/>
      <c r="BD2389" s="37"/>
      <c r="BE2389" s="37"/>
      <c r="BF2389" s="37"/>
      <c r="BG2389" s="37"/>
      <c r="BH2389" s="37"/>
      <c r="BI2389" s="37"/>
      <c r="BJ2389" s="37"/>
      <c r="BK2389" s="37"/>
      <c r="BL2389" s="37"/>
      <c r="BM2389" s="37"/>
    </row>
    <row r="2390" spans="1:65" s="40" customFormat="1" ht="23.25" x14ac:dyDescent="0.35">
      <c r="A2390" s="37"/>
      <c r="B2390" s="37"/>
      <c r="C2390" s="41"/>
      <c r="D2390" s="38"/>
      <c r="E2390" s="57"/>
      <c r="F2390" s="42"/>
      <c r="G2390" s="43"/>
      <c r="H2390" s="37"/>
      <c r="I2390" s="37"/>
      <c r="J2390" s="38"/>
      <c r="K2390" s="37"/>
      <c r="L2390" s="38"/>
      <c r="M2390" s="39"/>
      <c r="P2390" s="37"/>
      <c r="Q2390" s="37"/>
      <c r="R2390" s="37"/>
      <c r="S2390" s="37"/>
      <c r="T2390" s="37"/>
      <c r="U2390" s="37"/>
      <c r="V2390" s="37"/>
      <c r="W2390" s="37"/>
      <c r="X2390" s="37"/>
      <c r="Y2390" s="37"/>
      <c r="Z2390" s="37"/>
      <c r="AA2390" s="37"/>
      <c r="AB2390" s="37"/>
      <c r="AC2390" s="37"/>
      <c r="AD2390" s="37"/>
      <c r="AE2390" s="37"/>
      <c r="AF2390" s="37"/>
      <c r="AG2390" s="37"/>
      <c r="AH2390" s="37"/>
      <c r="AI2390" s="37"/>
      <c r="AJ2390" s="37"/>
      <c r="AK2390" s="37"/>
      <c r="AL2390" s="37"/>
      <c r="AM2390" s="37"/>
      <c r="AN2390" s="37"/>
      <c r="AO2390" s="37"/>
      <c r="AP2390" s="37"/>
      <c r="AQ2390" s="37"/>
      <c r="AR2390" s="37"/>
      <c r="AS2390" s="37"/>
      <c r="AT2390" s="37"/>
      <c r="AU2390" s="37"/>
      <c r="AV2390" s="37"/>
      <c r="AW2390" s="37"/>
      <c r="AX2390" s="37"/>
      <c r="AY2390" s="37"/>
      <c r="AZ2390" s="37"/>
      <c r="BA2390" s="37"/>
      <c r="BB2390" s="37"/>
      <c r="BC2390" s="37"/>
      <c r="BD2390" s="37"/>
      <c r="BE2390" s="37"/>
      <c r="BF2390" s="37"/>
      <c r="BG2390" s="37"/>
      <c r="BH2390" s="37"/>
      <c r="BI2390" s="37"/>
      <c r="BJ2390" s="37"/>
      <c r="BK2390" s="37"/>
      <c r="BL2390" s="37"/>
      <c r="BM2390" s="37"/>
    </row>
    <row r="2391" spans="1:65" s="40" customFormat="1" ht="23.25" x14ac:dyDescent="0.35">
      <c r="A2391" s="37"/>
      <c r="B2391" s="37"/>
      <c r="C2391" s="41"/>
      <c r="D2391" s="38"/>
      <c r="E2391" s="57"/>
      <c r="F2391" s="42"/>
      <c r="G2391" s="43"/>
      <c r="H2391" s="37"/>
      <c r="I2391" s="37"/>
      <c r="J2391" s="38"/>
      <c r="K2391" s="37"/>
      <c r="L2391" s="38"/>
      <c r="M2391" s="39"/>
      <c r="P2391" s="37"/>
      <c r="Q2391" s="37"/>
      <c r="R2391" s="37"/>
      <c r="S2391" s="37"/>
      <c r="T2391" s="37"/>
      <c r="U2391" s="37"/>
      <c r="V2391" s="37"/>
      <c r="W2391" s="37"/>
      <c r="X2391" s="37"/>
      <c r="Y2391" s="37"/>
      <c r="Z2391" s="37"/>
      <c r="AA2391" s="37"/>
      <c r="AB2391" s="37"/>
      <c r="AC2391" s="37"/>
      <c r="AD2391" s="37"/>
      <c r="AE2391" s="37"/>
      <c r="AF2391" s="37"/>
      <c r="AG2391" s="37"/>
      <c r="AH2391" s="37"/>
      <c r="AI2391" s="37"/>
      <c r="AJ2391" s="37"/>
      <c r="AK2391" s="37"/>
      <c r="AL2391" s="37"/>
      <c r="AM2391" s="37"/>
      <c r="AN2391" s="37"/>
      <c r="AO2391" s="37"/>
      <c r="AP2391" s="37"/>
      <c r="AQ2391" s="37"/>
      <c r="AR2391" s="37"/>
      <c r="AS2391" s="37"/>
      <c r="AT2391" s="37"/>
      <c r="AU2391" s="37"/>
      <c r="AV2391" s="37"/>
      <c r="AW2391" s="37"/>
      <c r="AX2391" s="37"/>
      <c r="AY2391" s="37"/>
      <c r="AZ2391" s="37"/>
      <c r="BA2391" s="37"/>
      <c r="BB2391" s="37"/>
      <c r="BC2391" s="37"/>
      <c r="BD2391" s="37"/>
      <c r="BE2391" s="37"/>
      <c r="BF2391" s="37"/>
      <c r="BG2391" s="37"/>
      <c r="BH2391" s="37"/>
      <c r="BI2391" s="37"/>
      <c r="BJ2391" s="37"/>
      <c r="BK2391" s="37"/>
      <c r="BL2391" s="37"/>
      <c r="BM2391" s="37"/>
    </row>
    <row r="2392" spans="1:65" s="40" customFormat="1" ht="23.25" x14ac:dyDescent="0.35">
      <c r="A2392" s="37"/>
      <c r="B2392" s="37"/>
      <c r="C2392" s="41"/>
      <c r="D2392" s="38"/>
      <c r="E2392" s="57"/>
      <c r="F2392" s="42"/>
      <c r="G2392" s="43"/>
      <c r="H2392" s="37"/>
      <c r="I2392" s="37"/>
      <c r="J2392" s="38"/>
      <c r="K2392" s="37"/>
      <c r="L2392" s="38"/>
      <c r="M2392" s="39"/>
      <c r="P2392" s="37"/>
      <c r="Q2392" s="37"/>
      <c r="R2392" s="37"/>
      <c r="S2392" s="37"/>
      <c r="T2392" s="37"/>
      <c r="U2392" s="37"/>
      <c r="V2392" s="37"/>
      <c r="W2392" s="37"/>
      <c r="X2392" s="37"/>
      <c r="Y2392" s="37"/>
      <c r="Z2392" s="37"/>
      <c r="AA2392" s="37"/>
      <c r="AB2392" s="37"/>
      <c r="AC2392" s="37"/>
      <c r="AD2392" s="37"/>
      <c r="AE2392" s="37"/>
      <c r="AF2392" s="37"/>
      <c r="AG2392" s="37"/>
      <c r="AH2392" s="37"/>
      <c r="AI2392" s="37"/>
      <c r="AJ2392" s="37"/>
      <c r="AK2392" s="37"/>
      <c r="AL2392" s="37"/>
      <c r="AM2392" s="37"/>
      <c r="AN2392" s="37"/>
      <c r="AO2392" s="37"/>
      <c r="AP2392" s="37"/>
      <c r="AQ2392" s="37"/>
      <c r="AR2392" s="37"/>
      <c r="AS2392" s="37"/>
      <c r="AT2392" s="37"/>
      <c r="AU2392" s="37"/>
      <c r="AV2392" s="37"/>
      <c r="AW2392" s="37"/>
      <c r="AX2392" s="37"/>
      <c r="AY2392" s="37"/>
      <c r="AZ2392" s="37"/>
      <c r="BA2392" s="37"/>
      <c r="BB2392" s="37"/>
      <c r="BC2392" s="37"/>
      <c r="BD2392" s="37"/>
      <c r="BE2392" s="37"/>
      <c r="BF2392" s="37"/>
      <c r="BG2392" s="37"/>
      <c r="BH2392" s="37"/>
      <c r="BI2392" s="37"/>
      <c r="BJ2392" s="37"/>
      <c r="BK2392" s="37"/>
      <c r="BL2392" s="37"/>
      <c r="BM2392" s="37"/>
    </row>
    <row r="2393" spans="1:65" s="40" customFormat="1" ht="23.25" x14ac:dyDescent="0.35">
      <c r="A2393" s="37"/>
      <c r="B2393" s="37"/>
      <c r="C2393" s="41"/>
      <c r="D2393" s="38"/>
      <c r="E2393" s="57"/>
      <c r="F2393" s="42"/>
      <c r="G2393" s="43"/>
      <c r="H2393" s="37"/>
      <c r="I2393" s="37"/>
      <c r="J2393" s="38"/>
      <c r="K2393" s="37"/>
      <c r="L2393" s="38"/>
      <c r="M2393" s="39"/>
      <c r="P2393" s="37"/>
      <c r="Q2393" s="37"/>
      <c r="R2393" s="37"/>
      <c r="S2393" s="37"/>
      <c r="T2393" s="37"/>
      <c r="U2393" s="37"/>
      <c r="V2393" s="37"/>
      <c r="W2393" s="37"/>
      <c r="X2393" s="37"/>
      <c r="Y2393" s="37"/>
      <c r="Z2393" s="37"/>
      <c r="AA2393" s="37"/>
      <c r="AB2393" s="37"/>
      <c r="AC2393" s="37"/>
      <c r="AD2393" s="37"/>
      <c r="AE2393" s="37"/>
      <c r="AF2393" s="37"/>
      <c r="AG2393" s="37"/>
      <c r="AH2393" s="37"/>
      <c r="AI2393" s="37"/>
      <c r="AJ2393" s="37"/>
      <c r="AK2393" s="37"/>
      <c r="AL2393" s="37"/>
      <c r="AM2393" s="37"/>
      <c r="AN2393" s="37"/>
      <c r="AO2393" s="37"/>
      <c r="AP2393" s="37"/>
      <c r="AQ2393" s="37"/>
      <c r="AR2393" s="37"/>
      <c r="AS2393" s="37"/>
      <c r="AT2393" s="37"/>
      <c r="AU2393" s="37"/>
      <c r="AV2393" s="37"/>
      <c r="AW2393" s="37"/>
      <c r="AX2393" s="37"/>
      <c r="AY2393" s="37"/>
      <c r="AZ2393" s="37"/>
      <c r="BA2393" s="37"/>
      <c r="BB2393" s="37"/>
      <c r="BC2393" s="37"/>
      <c r="BD2393" s="37"/>
      <c r="BE2393" s="37"/>
      <c r="BF2393" s="37"/>
      <c r="BG2393" s="37"/>
      <c r="BH2393" s="37"/>
      <c r="BI2393" s="37"/>
      <c r="BJ2393" s="37"/>
      <c r="BK2393" s="37"/>
      <c r="BL2393" s="37"/>
      <c r="BM2393" s="37"/>
    </row>
    <row r="2394" spans="1:65" s="40" customFormat="1" ht="23.25" x14ac:dyDescent="0.35">
      <c r="A2394" s="37"/>
      <c r="B2394" s="37"/>
      <c r="C2394" s="41"/>
      <c r="D2394" s="38"/>
      <c r="E2394" s="57"/>
      <c r="F2394" s="42"/>
      <c r="G2394" s="43"/>
      <c r="H2394" s="37"/>
      <c r="I2394" s="37"/>
      <c r="J2394" s="38"/>
      <c r="K2394" s="37"/>
      <c r="L2394" s="38"/>
      <c r="M2394" s="39"/>
      <c r="P2394" s="37"/>
      <c r="Q2394" s="37"/>
      <c r="R2394" s="37"/>
      <c r="S2394" s="37"/>
      <c r="T2394" s="37"/>
      <c r="U2394" s="37"/>
      <c r="V2394" s="37"/>
      <c r="W2394" s="37"/>
      <c r="X2394" s="37"/>
      <c r="Y2394" s="37"/>
      <c r="Z2394" s="37"/>
      <c r="AA2394" s="37"/>
      <c r="AB2394" s="37"/>
      <c r="AC2394" s="37"/>
      <c r="AD2394" s="37"/>
      <c r="AE2394" s="37"/>
      <c r="AF2394" s="37"/>
      <c r="AG2394" s="37"/>
      <c r="AH2394" s="37"/>
      <c r="AI2394" s="37"/>
      <c r="AJ2394" s="37"/>
      <c r="AK2394" s="37"/>
      <c r="AL2394" s="37"/>
      <c r="AM2394" s="37"/>
      <c r="AN2394" s="37"/>
      <c r="AO2394" s="37"/>
      <c r="AP2394" s="37"/>
      <c r="AQ2394" s="37"/>
      <c r="AR2394" s="37"/>
      <c r="AS2394" s="37"/>
      <c r="AT2394" s="37"/>
      <c r="AU2394" s="37"/>
      <c r="AV2394" s="37"/>
      <c r="AW2394" s="37"/>
      <c r="AX2394" s="37"/>
      <c r="AY2394" s="37"/>
      <c r="AZ2394" s="37"/>
      <c r="BA2394" s="37"/>
      <c r="BB2394" s="37"/>
      <c r="BC2394" s="37"/>
      <c r="BD2394" s="37"/>
      <c r="BE2394" s="37"/>
      <c r="BF2394" s="37"/>
      <c r="BG2394" s="37"/>
      <c r="BH2394" s="37"/>
      <c r="BI2394" s="37"/>
      <c r="BJ2394" s="37"/>
      <c r="BK2394" s="37"/>
      <c r="BL2394" s="37"/>
      <c r="BM2394" s="37"/>
    </row>
    <row r="2395" spans="1:65" s="40" customFormat="1" ht="23.25" x14ac:dyDescent="0.35">
      <c r="A2395" s="37"/>
      <c r="B2395" s="37"/>
      <c r="C2395" s="41"/>
      <c r="D2395" s="38"/>
      <c r="E2395" s="57"/>
      <c r="F2395" s="42"/>
      <c r="G2395" s="43"/>
      <c r="H2395" s="37"/>
      <c r="I2395" s="37"/>
      <c r="J2395" s="38"/>
      <c r="K2395" s="37"/>
      <c r="L2395" s="38"/>
      <c r="M2395" s="39"/>
      <c r="P2395" s="37"/>
      <c r="Q2395" s="37"/>
      <c r="R2395" s="37"/>
      <c r="S2395" s="37"/>
      <c r="T2395" s="37"/>
      <c r="U2395" s="37"/>
      <c r="V2395" s="37"/>
      <c r="W2395" s="37"/>
      <c r="X2395" s="37"/>
      <c r="Y2395" s="37"/>
      <c r="Z2395" s="37"/>
      <c r="AA2395" s="37"/>
      <c r="AB2395" s="37"/>
      <c r="AC2395" s="37"/>
      <c r="AD2395" s="37"/>
      <c r="AE2395" s="37"/>
      <c r="AF2395" s="37"/>
      <c r="AG2395" s="37"/>
      <c r="AH2395" s="37"/>
      <c r="AI2395" s="37"/>
      <c r="AJ2395" s="37"/>
      <c r="AK2395" s="37"/>
      <c r="AL2395" s="37"/>
      <c r="AM2395" s="37"/>
      <c r="AN2395" s="37"/>
      <c r="AO2395" s="37"/>
      <c r="AP2395" s="37"/>
      <c r="AQ2395" s="37"/>
      <c r="AR2395" s="37"/>
      <c r="AS2395" s="37"/>
      <c r="AT2395" s="37"/>
      <c r="AU2395" s="37"/>
      <c r="AV2395" s="37"/>
      <c r="AW2395" s="37"/>
      <c r="AX2395" s="37"/>
      <c r="AY2395" s="37"/>
      <c r="AZ2395" s="37"/>
      <c r="BA2395" s="37"/>
      <c r="BB2395" s="37"/>
      <c r="BC2395" s="37"/>
      <c r="BD2395" s="37"/>
      <c r="BE2395" s="37"/>
      <c r="BF2395" s="37"/>
      <c r="BG2395" s="37"/>
      <c r="BH2395" s="37"/>
      <c r="BI2395" s="37"/>
      <c r="BJ2395" s="37"/>
      <c r="BK2395" s="37"/>
      <c r="BL2395" s="37"/>
      <c r="BM2395" s="37"/>
    </row>
    <row r="2396" spans="1:65" s="40" customFormat="1" ht="23.25" x14ac:dyDescent="0.35">
      <c r="A2396" s="37"/>
      <c r="B2396" s="37"/>
      <c r="C2396" s="41"/>
      <c r="D2396" s="38"/>
      <c r="E2396" s="57"/>
      <c r="F2396" s="42"/>
      <c r="G2396" s="43"/>
      <c r="H2396" s="37"/>
      <c r="I2396" s="37"/>
      <c r="J2396" s="38"/>
      <c r="K2396" s="37"/>
      <c r="L2396" s="38"/>
      <c r="M2396" s="39"/>
      <c r="P2396" s="37"/>
      <c r="Q2396" s="37"/>
      <c r="R2396" s="37"/>
      <c r="S2396" s="37"/>
      <c r="T2396" s="37"/>
      <c r="U2396" s="37"/>
      <c r="V2396" s="37"/>
      <c r="W2396" s="37"/>
      <c r="X2396" s="37"/>
      <c r="Y2396" s="37"/>
      <c r="Z2396" s="37"/>
      <c r="AA2396" s="37"/>
      <c r="AB2396" s="37"/>
      <c r="AC2396" s="37"/>
      <c r="AD2396" s="37"/>
      <c r="AE2396" s="37"/>
      <c r="AF2396" s="37"/>
      <c r="AG2396" s="37"/>
      <c r="AH2396" s="37"/>
      <c r="AI2396" s="37"/>
      <c r="AJ2396" s="37"/>
      <c r="AK2396" s="37"/>
      <c r="AL2396" s="37"/>
      <c r="AM2396" s="37"/>
      <c r="AN2396" s="37"/>
      <c r="AO2396" s="37"/>
      <c r="AP2396" s="37"/>
      <c r="AQ2396" s="37"/>
      <c r="AR2396" s="37"/>
      <c r="AS2396" s="37"/>
      <c r="AT2396" s="37"/>
      <c r="AU2396" s="37"/>
      <c r="AV2396" s="37"/>
      <c r="AW2396" s="37"/>
      <c r="AX2396" s="37"/>
      <c r="AY2396" s="37"/>
      <c r="AZ2396" s="37"/>
      <c r="BA2396" s="37"/>
      <c r="BB2396" s="37"/>
      <c r="BC2396" s="37"/>
      <c r="BD2396" s="37"/>
      <c r="BE2396" s="37"/>
      <c r="BF2396" s="37"/>
      <c r="BG2396" s="37"/>
      <c r="BH2396" s="37"/>
      <c r="BI2396" s="37"/>
      <c r="BJ2396" s="37"/>
      <c r="BK2396" s="37"/>
      <c r="BL2396" s="37"/>
      <c r="BM2396" s="37"/>
    </row>
    <row r="2397" spans="1:65" s="40" customFormat="1" ht="23.25" x14ac:dyDescent="0.35">
      <c r="A2397" s="37"/>
      <c r="B2397" s="37"/>
      <c r="C2397" s="41"/>
      <c r="D2397" s="38"/>
      <c r="E2397" s="57"/>
      <c r="F2397" s="42"/>
      <c r="G2397" s="43"/>
      <c r="H2397" s="37"/>
      <c r="I2397" s="37"/>
      <c r="J2397" s="38"/>
      <c r="K2397" s="37"/>
      <c r="L2397" s="38"/>
      <c r="M2397" s="39"/>
      <c r="P2397" s="37"/>
      <c r="Q2397" s="37"/>
      <c r="R2397" s="37"/>
      <c r="S2397" s="37"/>
      <c r="T2397" s="37"/>
      <c r="U2397" s="37"/>
      <c r="V2397" s="37"/>
      <c r="W2397" s="37"/>
      <c r="X2397" s="37"/>
      <c r="Y2397" s="37"/>
      <c r="Z2397" s="37"/>
      <c r="AA2397" s="37"/>
      <c r="AB2397" s="37"/>
      <c r="AC2397" s="37"/>
      <c r="AD2397" s="37"/>
      <c r="AE2397" s="37"/>
      <c r="AF2397" s="37"/>
      <c r="AG2397" s="37"/>
      <c r="AH2397" s="37"/>
      <c r="AI2397" s="37"/>
      <c r="AJ2397" s="37"/>
      <c r="AK2397" s="37"/>
      <c r="AL2397" s="37"/>
      <c r="AM2397" s="37"/>
      <c r="AN2397" s="37"/>
      <c r="AO2397" s="37"/>
      <c r="AP2397" s="37"/>
      <c r="AQ2397" s="37"/>
      <c r="AR2397" s="37"/>
      <c r="AS2397" s="37"/>
      <c r="AT2397" s="37"/>
      <c r="AU2397" s="37"/>
      <c r="AV2397" s="37"/>
      <c r="AW2397" s="37"/>
      <c r="AX2397" s="37"/>
      <c r="AY2397" s="37"/>
      <c r="AZ2397" s="37"/>
      <c r="BA2397" s="37"/>
      <c r="BB2397" s="37"/>
      <c r="BC2397" s="37"/>
      <c r="BD2397" s="37"/>
      <c r="BE2397" s="37"/>
      <c r="BF2397" s="37"/>
      <c r="BG2397" s="37"/>
      <c r="BH2397" s="37"/>
      <c r="BI2397" s="37"/>
      <c r="BJ2397" s="37"/>
      <c r="BK2397" s="37"/>
      <c r="BL2397" s="37"/>
      <c r="BM2397" s="37"/>
    </row>
    <row r="2398" spans="1:65" s="40" customFormat="1" ht="23.25" x14ac:dyDescent="0.35">
      <c r="A2398" s="37"/>
      <c r="B2398" s="37"/>
      <c r="C2398" s="41"/>
      <c r="D2398" s="38"/>
      <c r="E2398" s="57"/>
      <c r="F2398" s="42"/>
      <c r="G2398" s="43"/>
      <c r="H2398" s="37"/>
      <c r="I2398" s="37"/>
      <c r="J2398" s="38"/>
      <c r="K2398" s="37"/>
      <c r="L2398" s="38"/>
      <c r="M2398" s="39"/>
      <c r="P2398" s="37"/>
      <c r="Q2398" s="37"/>
      <c r="R2398" s="37"/>
      <c r="S2398" s="37"/>
      <c r="T2398" s="37"/>
      <c r="U2398" s="37"/>
      <c r="V2398" s="37"/>
      <c r="W2398" s="37"/>
      <c r="X2398" s="37"/>
      <c r="Y2398" s="37"/>
      <c r="Z2398" s="37"/>
      <c r="AA2398" s="37"/>
      <c r="AB2398" s="37"/>
      <c r="AC2398" s="37"/>
      <c r="AD2398" s="37"/>
      <c r="AE2398" s="37"/>
      <c r="AF2398" s="37"/>
      <c r="AG2398" s="37"/>
      <c r="AH2398" s="37"/>
      <c r="AI2398" s="37"/>
      <c r="AJ2398" s="37"/>
      <c r="AK2398" s="37"/>
      <c r="AL2398" s="37"/>
      <c r="AM2398" s="37"/>
      <c r="AN2398" s="37"/>
      <c r="AO2398" s="37"/>
      <c r="AP2398" s="37"/>
      <c r="AQ2398" s="37"/>
      <c r="AR2398" s="37"/>
      <c r="AS2398" s="37"/>
      <c r="AT2398" s="37"/>
      <c r="AU2398" s="37"/>
      <c r="AV2398" s="37"/>
      <c r="AW2398" s="37"/>
      <c r="AX2398" s="37"/>
      <c r="AY2398" s="37"/>
      <c r="AZ2398" s="37"/>
      <c r="BA2398" s="37"/>
      <c r="BB2398" s="37"/>
      <c r="BC2398" s="37"/>
      <c r="BD2398" s="37"/>
      <c r="BE2398" s="37"/>
      <c r="BF2398" s="37"/>
      <c r="BG2398" s="37"/>
      <c r="BH2398" s="37"/>
      <c r="BI2398" s="37"/>
      <c r="BJ2398" s="37"/>
      <c r="BK2398" s="37"/>
      <c r="BL2398" s="37"/>
      <c r="BM2398" s="37"/>
    </row>
    <row r="2399" spans="1:65" s="40" customFormat="1" ht="23.25" x14ac:dyDescent="0.35">
      <c r="A2399" s="37"/>
      <c r="B2399" s="37"/>
      <c r="C2399" s="41"/>
      <c r="D2399" s="38"/>
      <c r="E2399" s="57"/>
      <c r="F2399" s="42"/>
      <c r="G2399" s="43"/>
      <c r="H2399" s="37"/>
      <c r="I2399" s="37"/>
      <c r="J2399" s="38"/>
      <c r="K2399" s="37"/>
      <c r="L2399" s="38"/>
      <c r="M2399" s="39"/>
      <c r="P2399" s="37"/>
      <c r="Q2399" s="37"/>
      <c r="R2399" s="37"/>
      <c r="S2399" s="37"/>
      <c r="T2399" s="37"/>
      <c r="U2399" s="37"/>
      <c r="V2399" s="37"/>
      <c r="W2399" s="37"/>
      <c r="X2399" s="37"/>
      <c r="Y2399" s="37"/>
      <c r="Z2399" s="37"/>
      <c r="AA2399" s="37"/>
      <c r="AB2399" s="37"/>
      <c r="AC2399" s="37"/>
      <c r="AD2399" s="37"/>
      <c r="AE2399" s="37"/>
      <c r="AF2399" s="37"/>
      <c r="AG2399" s="37"/>
      <c r="AH2399" s="37"/>
      <c r="AI2399" s="37"/>
      <c r="AJ2399" s="37"/>
      <c r="AK2399" s="37"/>
      <c r="AL2399" s="37"/>
      <c r="AM2399" s="37"/>
      <c r="AN2399" s="37"/>
      <c r="AO2399" s="37"/>
      <c r="AP2399" s="37"/>
      <c r="AQ2399" s="37"/>
      <c r="AR2399" s="37"/>
      <c r="AS2399" s="37"/>
      <c r="AT2399" s="37"/>
      <c r="AU2399" s="37"/>
      <c r="AV2399" s="37"/>
      <c r="AW2399" s="37"/>
      <c r="AX2399" s="37"/>
      <c r="AY2399" s="37"/>
      <c r="AZ2399" s="37"/>
      <c r="BA2399" s="37"/>
      <c r="BB2399" s="37"/>
      <c r="BC2399" s="37"/>
      <c r="BD2399" s="37"/>
      <c r="BE2399" s="37"/>
      <c r="BF2399" s="37"/>
      <c r="BG2399" s="37"/>
      <c r="BH2399" s="37"/>
      <c r="BI2399" s="37"/>
      <c r="BJ2399" s="37"/>
      <c r="BK2399" s="37"/>
      <c r="BL2399" s="37"/>
      <c r="BM2399" s="37"/>
    </row>
    <row r="2400" spans="1:65" s="40" customFormat="1" ht="23.25" x14ac:dyDescent="0.35">
      <c r="A2400" s="37"/>
      <c r="B2400" s="37"/>
      <c r="C2400" s="41"/>
      <c r="D2400" s="38"/>
      <c r="E2400" s="57"/>
      <c r="F2400" s="42"/>
      <c r="G2400" s="43"/>
      <c r="H2400" s="37"/>
      <c r="I2400" s="37"/>
      <c r="J2400" s="38"/>
      <c r="K2400" s="37"/>
      <c r="L2400" s="38"/>
      <c r="M2400" s="39"/>
      <c r="P2400" s="37"/>
      <c r="Q2400" s="37"/>
      <c r="R2400" s="37"/>
      <c r="S2400" s="37"/>
      <c r="T2400" s="37"/>
      <c r="U2400" s="37"/>
      <c r="V2400" s="37"/>
      <c r="W2400" s="37"/>
      <c r="X2400" s="37"/>
      <c r="Y2400" s="37"/>
      <c r="Z2400" s="37"/>
      <c r="AA2400" s="37"/>
      <c r="AB2400" s="37"/>
      <c r="AC2400" s="37"/>
      <c r="AD2400" s="37"/>
      <c r="AE2400" s="37"/>
      <c r="AF2400" s="37"/>
      <c r="AG2400" s="37"/>
      <c r="AH2400" s="37"/>
      <c r="AI2400" s="37"/>
      <c r="AJ2400" s="37"/>
      <c r="AK2400" s="37"/>
      <c r="AL2400" s="37"/>
      <c r="AM2400" s="37"/>
      <c r="AN2400" s="37"/>
      <c r="AO2400" s="37"/>
      <c r="AP2400" s="37"/>
      <c r="AQ2400" s="37"/>
      <c r="AR2400" s="37"/>
      <c r="AS2400" s="37"/>
      <c r="AT2400" s="37"/>
      <c r="AU2400" s="37"/>
      <c r="AV2400" s="37"/>
      <c r="AW2400" s="37"/>
      <c r="AX2400" s="37"/>
      <c r="AY2400" s="37"/>
      <c r="AZ2400" s="37"/>
      <c r="BA2400" s="37"/>
      <c r="BB2400" s="37"/>
      <c r="BC2400" s="37"/>
      <c r="BD2400" s="37"/>
      <c r="BE2400" s="37"/>
      <c r="BF2400" s="37"/>
      <c r="BG2400" s="37"/>
      <c r="BH2400" s="37"/>
      <c r="BI2400" s="37"/>
      <c r="BJ2400" s="37"/>
      <c r="BK2400" s="37"/>
      <c r="BL2400" s="37"/>
      <c r="BM2400" s="37"/>
    </row>
    <row r="2401" spans="1:65" s="40" customFormat="1" ht="23.25" x14ac:dyDescent="0.35">
      <c r="A2401" s="37"/>
      <c r="B2401" s="37"/>
      <c r="C2401" s="41"/>
      <c r="D2401" s="38"/>
      <c r="E2401" s="57"/>
      <c r="F2401" s="42"/>
      <c r="G2401" s="43"/>
      <c r="H2401" s="37"/>
      <c r="I2401" s="37"/>
      <c r="J2401" s="38"/>
      <c r="K2401" s="37"/>
      <c r="L2401" s="38"/>
      <c r="M2401" s="39"/>
      <c r="P2401" s="37"/>
      <c r="Q2401" s="37"/>
      <c r="R2401" s="37"/>
      <c r="S2401" s="37"/>
      <c r="T2401" s="37"/>
      <c r="U2401" s="37"/>
      <c r="V2401" s="37"/>
      <c r="W2401" s="37"/>
      <c r="X2401" s="37"/>
      <c r="Y2401" s="37"/>
      <c r="Z2401" s="37"/>
      <c r="AA2401" s="37"/>
      <c r="AB2401" s="37"/>
      <c r="AC2401" s="37"/>
      <c r="AD2401" s="37"/>
      <c r="AE2401" s="37"/>
      <c r="AF2401" s="37"/>
      <c r="AG2401" s="37"/>
      <c r="AH2401" s="37"/>
      <c r="AI2401" s="37"/>
      <c r="AJ2401" s="37"/>
      <c r="AK2401" s="37"/>
      <c r="AL2401" s="37"/>
      <c r="AM2401" s="37"/>
      <c r="AN2401" s="37"/>
      <c r="AO2401" s="37"/>
      <c r="AP2401" s="37"/>
      <c r="AQ2401" s="37"/>
      <c r="AR2401" s="37"/>
      <c r="AS2401" s="37"/>
      <c r="AT2401" s="37"/>
      <c r="AU2401" s="37"/>
      <c r="AV2401" s="37"/>
      <c r="AW2401" s="37"/>
      <c r="AX2401" s="37"/>
      <c r="AY2401" s="37"/>
      <c r="AZ2401" s="37"/>
      <c r="BA2401" s="37"/>
      <c r="BB2401" s="37"/>
      <c r="BC2401" s="37"/>
      <c r="BD2401" s="37"/>
      <c r="BE2401" s="37"/>
      <c r="BF2401" s="37"/>
      <c r="BG2401" s="37"/>
      <c r="BH2401" s="37"/>
      <c r="BI2401" s="37"/>
      <c r="BJ2401" s="37"/>
      <c r="BK2401" s="37"/>
      <c r="BL2401" s="37"/>
      <c r="BM2401" s="37"/>
    </row>
    <row r="2402" spans="1:65" s="40" customFormat="1" ht="23.25" x14ac:dyDescent="0.35">
      <c r="A2402" s="37"/>
      <c r="B2402" s="37"/>
      <c r="C2402" s="41"/>
      <c r="D2402" s="38"/>
      <c r="E2402" s="57"/>
      <c r="F2402" s="42"/>
      <c r="G2402" s="43"/>
      <c r="H2402" s="37"/>
      <c r="I2402" s="37"/>
      <c r="J2402" s="38"/>
      <c r="K2402" s="37"/>
      <c r="L2402" s="38"/>
      <c r="M2402" s="39"/>
      <c r="P2402" s="37"/>
      <c r="Q2402" s="37"/>
      <c r="R2402" s="37"/>
      <c r="S2402" s="37"/>
      <c r="T2402" s="37"/>
      <c r="U2402" s="37"/>
      <c r="V2402" s="37"/>
      <c r="W2402" s="37"/>
      <c r="X2402" s="37"/>
      <c r="Y2402" s="37"/>
      <c r="Z2402" s="37"/>
      <c r="AA2402" s="37"/>
      <c r="AB2402" s="37"/>
      <c r="AC2402" s="37"/>
      <c r="AD2402" s="37"/>
      <c r="AE2402" s="37"/>
      <c r="AF2402" s="37"/>
      <c r="AG2402" s="37"/>
      <c r="AH2402" s="37"/>
      <c r="AI2402" s="37"/>
      <c r="AJ2402" s="37"/>
      <c r="AK2402" s="37"/>
      <c r="AL2402" s="37"/>
      <c r="AM2402" s="37"/>
      <c r="AN2402" s="37"/>
      <c r="AO2402" s="37"/>
      <c r="AP2402" s="37"/>
      <c r="AQ2402" s="37"/>
      <c r="AR2402" s="37"/>
      <c r="AS2402" s="37"/>
      <c r="AT2402" s="37"/>
      <c r="AU2402" s="37"/>
      <c r="AV2402" s="37"/>
      <c r="AW2402" s="37"/>
      <c r="AX2402" s="37"/>
      <c r="AY2402" s="37"/>
      <c r="AZ2402" s="37"/>
      <c r="BA2402" s="37"/>
      <c r="BB2402" s="37"/>
      <c r="BC2402" s="37"/>
      <c r="BD2402" s="37"/>
      <c r="BE2402" s="37"/>
      <c r="BF2402" s="37"/>
      <c r="BG2402" s="37"/>
      <c r="BH2402" s="37"/>
      <c r="BI2402" s="37"/>
      <c r="BJ2402" s="37"/>
      <c r="BK2402" s="37"/>
      <c r="BL2402" s="37"/>
      <c r="BM2402" s="37"/>
    </row>
    <row r="2403" spans="1:65" s="40" customFormat="1" ht="23.25" x14ac:dyDescent="0.35">
      <c r="A2403" s="37"/>
      <c r="B2403" s="37"/>
      <c r="C2403" s="41"/>
      <c r="D2403" s="38"/>
      <c r="E2403" s="57"/>
      <c r="F2403" s="42"/>
      <c r="G2403" s="43"/>
      <c r="H2403" s="37"/>
      <c r="I2403" s="37"/>
      <c r="J2403" s="38"/>
      <c r="K2403" s="37"/>
      <c r="L2403" s="38"/>
      <c r="M2403" s="39"/>
      <c r="P2403" s="37"/>
      <c r="Q2403" s="37"/>
      <c r="R2403" s="37"/>
      <c r="S2403" s="37"/>
      <c r="T2403" s="37"/>
      <c r="U2403" s="37"/>
      <c r="V2403" s="37"/>
      <c r="W2403" s="37"/>
      <c r="X2403" s="37"/>
      <c r="Y2403" s="37"/>
      <c r="Z2403" s="37"/>
      <c r="AA2403" s="37"/>
      <c r="AB2403" s="37"/>
      <c r="AC2403" s="37"/>
      <c r="AD2403" s="37"/>
      <c r="AE2403" s="37"/>
      <c r="AF2403" s="37"/>
      <c r="AG2403" s="37"/>
      <c r="AH2403" s="37"/>
      <c r="AI2403" s="37"/>
      <c r="AJ2403" s="37"/>
      <c r="AK2403" s="37"/>
      <c r="AL2403" s="37"/>
      <c r="AM2403" s="37"/>
      <c r="AN2403" s="37"/>
      <c r="AO2403" s="37"/>
      <c r="AP2403" s="37"/>
      <c r="AQ2403" s="37"/>
      <c r="AR2403" s="37"/>
      <c r="AS2403" s="37"/>
      <c r="AT2403" s="37"/>
      <c r="AU2403" s="37"/>
      <c r="AV2403" s="37"/>
      <c r="AW2403" s="37"/>
      <c r="AX2403" s="37"/>
      <c r="AY2403" s="37"/>
      <c r="AZ2403" s="37"/>
      <c r="BA2403" s="37"/>
      <c r="BB2403" s="37"/>
      <c r="BC2403" s="37"/>
      <c r="BD2403" s="37"/>
      <c r="BE2403" s="37"/>
      <c r="BF2403" s="37"/>
      <c r="BG2403" s="37"/>
      <c r="BH2403" s="37"/>
      <c r="BI2403" s="37"/>
      <c r="BJ2403" s="37"/>
      <c r="BK2403" s="37"/>
      <c r="BL2403" s="37"/>
      <c r="BM2403" s="37"/>
    </row>
    <row r="2404" spans="1:65" s="40" customFormat="1" ht="23.25" x14ac:dyDescent="0.35">
      <c r="A2404" s="37"/>
      <c r="B2404" s="37"/>
      <c r="C2404" s="41"/>
      <c r="D2404" s="38"/>
      <c r="E2404" s="57"/>
      <c r="F2404" s="42"/>
      <c r="G2404" s="43"/>
      <c r="H2404" s="37"/>
      <c r="I2404" s="37"/>
      <c r="J2404" s="38"/>
      <c r="K2404" s="37"/>
      <c r="L2404" s="38"/>
      <c r="M2404" s="39"/>
      <c r="P2404" s="37"/>
      <c r="Q2404" s="37"/>
      <c r="R2404" s="37"/>
      <c r="S2404" s="37"/>
      <c r="T2404" s="37"/>
      <c r="U2404" s="37"/>
      <c r="V2404" s="37"/>
      <c r="W2404" s="37"/>
      <c r="X2404" s="37"/>
      <c r="Y2404" s="37"/>
      <c r="Z2404" s="37"/>
      <c r="AA2404" s="37"/>
      <c r="AB2404" s="37"/>
      <c r="AC2404" s="37"/>
      <c r="AD2404" s="37"/>
      <c r="AE2404" s="37"/>
      <c r="AF2404" s="37"/>
      <c r="AG2404" s="37"/>
      <c r="AH2404" s="37"/>
      <c r="AI2404" s="37"/>
      <c r="AJ2404" s="37"/>
      <c r="AK2404" s="37"/>
      <c r="AL2404" s="37"/>
      <c r="AM2404" s="37"/>
      <c r="AN2404" s="37"/>
      <c r="AO2404" s="37"/>
      <c r="AP2404" s="37"/>
      <c r="AQ2404" s="37"/>
      <c r="AR2404" s="37"/>
      <c r="AS2404" s="37"/>
      <c r="AT2404" s="37"/>
      <c r="AU2404" s="37"/>
      <c r="AV2404" s="37"/>
      <c r="AW2404" s="37"/>
      <c r="AX2404" s="37"/>
      <c r="AY2404" s="37"/>
      <c r="AZ2404" s="37"/>
      <c r="BA2404" s="37"/>
      <c r="BB2404" s="37"/>
      <c r="BC2404" s="37"/>
      <c r="BD2404" s="37"/>
      <c r="BE2404" s="37"/>
      <c r="BF2404" s="37"/>
      <c r="BG2404" s="37"/>
      <c r="BH2404" s="37"/>
      <c r="BI2404" s="37"/>
      <c r="BJ2404" s="37"/>
      <c r="BK2404" s="37"/>
      <c r="BL2404" s="37"/>
      <c r="BM2404" s="37"/>
    </row>
    <row r="2405" spans="1:65" s="40" customFormat="1" ht="23.25" x14ac:dyDescent="0.35">
      <c r="A2405" s="37"/>
      <c r="B2405" s="37"/>
      <c r="C2405" s="41"/>
      <c r="D2405" s="38"/>
      <c r="E2405" s="57"/>
      <c r="F2405" s="42"/>
      <c r="G2405" s="43"/>
      <c r="H2405" s="37"/>
      <c r="I2405" s="37"/>
      <c r="J2405" s="38"/>
      <c r="K2405" s="37"/>
      <c r="L2405" s="38"/>
      <c r="M2405" s="39"/>
      <c r="P2405" s="37"/>
      <c r="Q2405" s="37"/>
      <c r="R2405" s="37"/>
      <c r="S2405" s="37"/>
      <c r="T2405" s="37"/>
      <c r="U2405" s="37"/>
      <c r="V2405" s="37"/>
      <c r="W2405" s="37"/>
      <c r="X2405" s="37"/>
      <c r="Y2405" s="37"/>
      <c r="Z2405" s="37"/>
      <c r="AA2405" s="37"/>
      <c r="AB2405" s="37"/>
      <c r="AC2405" s="37"/>
      <c r="AD2405" s="37"/>
      <c r="AE2405" s="37"/>
      <c r="AF2405" s="37"/>
      <c r="AG2405" s="37"/>
      <c r="AH2405" s="37"/>
      <c r="AI2405" s="37"/>
      <c r="AJ2405" s="37"/>
      <c r="AK2405" s="37"/>
      <c r="AL2405" s="37"/>
      <c r="AM2405" s="37"/>
      <c r="AN2405" s="37"/>
      <c r="AO2405" s="37"/>
      <c r="AP2405" s="37"/>
      <c r="AQ2405" s="37"/>
      <c r="AR2405" s="37"/>
      <c r="AS2405" s="37"/>
      <c r="AT2405" s="37"/>
      <c r="AU2405" s="37"/>
      <c r="AV2405" s="37"/>
      <c r="AW2405" s="37"/>
      <c r="AX2405" s="37"/>
      <c r="AY2405" s="37"/>
      <c r="AZ2405" s="37"/>
      <c r="BA2405" s="37"/>
      <c r="BB2405" s="37"/>
      <c r="BC2405" s="37"/>
      <c r="BD2405" s="37"/>
      <c r="BE2405" s="37"/>
      <c r="BF2405" s="37"/>
      <c r="BG2405" s="37"/>
      <c r="BH2405" s="37"/>
      <c r="BI2405" s="37"/>
      <c r="BJ2405" s="37"/>
      <c r="BK2405" s="37"/>
      <c r="BL2405" s="37"/>
      <c r="BM2405" s="37"/>
    </row>
    <row r="2406" spans="1:65" s="40" customFormat="1" ht="23.25" x14ac:dyDescent="0.35">
      <c r="A2406" s="37"/>
      <c r="B2406" s="37"/>
      <c r="C2406" s="41"/>
      <c r="D2406" s="38"/>
      <c r="E2406" s="57"/>
      <c r="F2406" s="42"/>
      <c r="G2406" s="43"/>
      <c r="H2406" s="37"/>
      <c r="I2406" s="37"/>
      <c r="J2406" s="38"/>
      <c r="K2406" s="37"/>
      <c r="L2406" s="38"/>
      <c r="M2406" s="39"/>
      <c r="P2406" s="37"/>
      <c r="Q2406" s="37"/>
      <c r="R2406" s="37"/>
      <c r="S2406" s="37"/>
      <c r="T2406" s="37"/>
      <c r="U2406" s="37"/>
      <c r="V2406" s="37"/>
      <c r="W2406" s="37"/>
      <c r="X2406" s="37"/>
      <c r="Y2406" s="37"/>
      <c r="Z2406" s="37"/>
      <c r="AA2406" s="37"/>
      <c r="AB2406" s="37"/>
      <c r="AC2406" s="37"/>
      <c r="AD2406" s="37"/>
      <c r="AE2406" s="37"/>
      <c r="AF2406" s="37"/>
      <c r="AG2406" s="37"/>
      <c r="AH2406" s="37"/>
      <c r="AI2406" s="37"/>
      <c r="AJ2406" s="37"/>
      <c r="AK2406" s="37"/>
      <c r="AL2406" s="37"/>
      <c r="AM2406" s="37"/>
      <c r="AN2406" s="37"/>
      <c r="AO2406" s="37"/>
      <c r="AP2406" s="37"/>
      <c r="AQ2406" s="37"/>
      <c r="AR2406" s="37"/>
      <c r="AS2406" s="37"/>
      <c r="AT2406" s="37"/>
      <c r="AU2406" s="37"/>
      <c r="AV2406" s="37"/>
      <c r="AW2406" s="37"/>
      <c r="AX2406" s="37"/>
      <c r="AY2406" s="37"/>
      <c r="AZ2406" s="37"/>
      <c r="BA2406" s="37"/>
      <c r="BB2406" s="37"/>
      <c r="BC2406" s="37"/>
      <c r="BD2406" s="37"/>
      <c r="BE2406" s="37"/>
      <c r="BF2406" s="37"/>
      <c r="BG2406" s="37"/>
      <c r="BH2406" s="37"/>
      <c r="BI2406" s="37"/>
      <c r="BJ2406" s="37"/>
      <c r="BK2406" s="37"/>
      <c r="BL2406" s="37"/>
      <c r="BM2406" s="37"/>
    </row>
    <row r="2407" spans="1:65" s="40" customFormat="1" ht="23.25" x14ac:dyDescent="0.35">
      <c r="A2407" s="37"/>
      <c r="B2407" s="37"/>
      <c r="C2407" s="41"/>
      <c r="D2407" s="38"/>
      <c r="E2407" s="57"/>
      <c r="F2407" s="42"/>
      <c r="G2407" s="43"/>
      <c r="H2407" s="37"/>
      <c r="I2407" s="37"/>
      <c r="J2407" s="38"/>
      <c r="K2407" s="37"/>
      <c r="L2407" s="38"/>
      <c r="M2407" s="39"/>
      <c r="P2407" s="37"/>
      <c r="Q2407" s="37"/>
      <c r="R2407" s="37"/>
      <c r="S2407" s="37"/>
      <c r="T2407" s="37"/>
      <c r="U2407" s="37"/>
      <c r="V2407" s="37"/>
      <c r="W2407" s="37"/>
      <c r="X2407" s="37"/>
      <c r="Y2407" s="37"/>
      <c r="Z2407" s="37"/>
      <c r="AA2407" s="37"/>
      <c r="AB2407" s="37"/>
      <c r="AC2407" s="37"/>
      <c r="AD2407" s="37"/>
      <c r="AE2407" s="37"/>
      <c r="AF2407" s="37"/>
      <c r="AG2407" s="37"/>
      <c r="AH2407" s="37"/>
      <c r="AI2407" s="37"/>
      <c r="AJ2407" s="37"/>
      <c r="AK2407" s="37"/>
      <c r="AL2407" s="37"/>
      <c r="AM2407" s="37"/>
      <c r="AN2407" s="37"/>
      <c r="AO2407" s="37"/>
      <c r="AP2407" s="37"/>
      <c r="AQ2407" s="37"/>
      <c r="AR2407" s="37"/>
      <c r="AS2407" s="37"/>
      <c r="AT2407" s="37"/>
      <c r="AU2407" s="37"/>
      <c r="AV2407" s="37"/>
      <c r="AW2407" s="37"/>
      <c r="AX2407" s="37"/>
      <c r="AY2407" s="37"/>
      <c r="AZ2407" s="37"/>
      <c r="BA2407" s="37"/>
      <c r="BB2407" s="37"/>
      <c r="BC2407" s="37"/>
      <c r="BD2407" s="37"/>
      <c r="BE2407" s="37"/>
      <c r="BF2407" s="37"/>
      <c r="BG2407" s="37"/>
      <c r="BH2407" s="37"/>
      <c r="BI2407" s="37"/>
      <c r="BJ2407" s="37"/>
      <c r="BK2407" s="37"/>
      <c r="BL2407" s="37"/>
      <c r="BM2407" s="37"/>
    </row>
    <row r="2408" spans="1:65" s="40" customFormat="1" ht="23.25" x14ac:dyDescent="0.35">
      <c r="A2408" s="37"/>
      <c r="B2408" s="37"/>
      <c r="C2408" s="41"/>
      <c r="D2408" s="38"/>
      <c r="E2408" s="57"/>
      <c r="F2408" s="42"/>
      <c r="G2408" s="43"/>
      <c r="H2408" s="37"/>
      <c r="I2408" s="37"/>
      <c r="J2408" s="38"/>
      <c r="K2408" s="37"/>
      <c r="L2408" s="38"/>
      <c r="M2408" s="39"/>
      <c r="P2408" s="37"/>
      <c r="Q2408" s="37"/>
      <c r="R2408" s="37"/>
      <c r="S2408" s="37"/>
      <c r="T2408" s="37"/>
      <c r="U2408" s="37"/>
      <c r="V2408" s="37"/>
      <c r="W2408" s="37"/>
      <c r="X2408" s="37"/>
      <c r="Y2408" s="37"/>
      <c r="Z2408" s="37"/>
      <c r="AA2408" s="37"/>
      <c r="AB2408" s="37"/>
      <c r="AC2408" s="37"/>
      <c r="AD2408" s="37"/>
      <c r="AE2408" s="37"/>
      <c r="AF2408" s="37"/>
      <c r="AG2408" s="37"/>
      <c r="AH2408" s="37"/>
      <c r="AI2408" s="37"/>
      <c r="AJ2408" s="37"/>
      <c r="AK2408" s="37"/>
      <c r="AL2408" s="37"/>
      <c r="AM2408" s="37"/>
      <c r="AN2408" s="37"/>
      <c r="AO2408" s="37"/>
      <c r="AP2408" s="37"/>
      <c r="AQ2408" s="37"/>
      <c r="AR2408" s="37"/>
      <c r="AS2408" s="37"/>
      <c r="AT2408" s="37"/>
      <c r="AU2408" s="37"/>
      <c r="AV2408" s="37"/>
      <c r="AW2408" s="37"/>
      <c r="AX2408" s="37"/>
      <c r="AY2408" s="37"/>
      <c r="AZ2408" s="37"/>
      <c r="BA2408" s="37"/>
      <c r="BB2408" s="37"/>
      <c r="BC2408" s="37"/>
      <c r="BD2408" s="37"/>
      <c r="BE2408" s="37"/>
      <c r="BF2408" s="37"/>
      <c r="BG2408" s="37"/>
      <c r="BH2408" s="37"/>
      <c r="BI2408" s="37"/>
      <c r="BJ2408" s="37"/>
      <c r="BK2408" s="37"/>
      <c r="BL2408" s="37"/>
      <c r="BM2408" s="37"/>
    </row>
    <row r="2409" spans="1:65" s="40" customFormat="1" ht="23.25" x14ac:dyDescent="0.35">
      <c r="A2409" s="37"/>
      <c r="B2409" s="37"/>
      <c r="C2409" s="41"/>
      <c r="D2409" s="38"/>
      <c r="E2409" s="57"/>
      <c r="F2409" s="42"/>
      <c r="G2409" s="43"/>
      <c r="H2409" s="37"/>
      <c r="I2409" s="37"/>
      <c r="J2409" s="38"/>
      <c r="K2409" s="37"/>
      <c r="L2409" s="38"/>
      <c r="M2409" s="39"/>
      <c r="P2409" s="37"/>
      <c r="Q2409" s="37"/>
      <c r="R2409" s="37"/>
      <c r="S2409" s="37"/>
      <c r="T2409" s="37"/>
      <c r="U2409" s="37"/>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7"/>
      <c r="AR2409" s="37"/>
      <c r="AS2409" s="37"/>
      <c r="AT2409" s="37"/>
      <c r="AU2409" s="37"/>
      <c r="AV2409" s="37"/>
      <c r="AW2409" s="37"/>
      <c r="AX2409" s="37"/>
      <c r="AY2409" s="37"/>
      <c r="AZ2409" s="37"/>
      <c r="BA2409" s="37"/>
      <c r="BB2409" s="37"/>
      <c r="BC2409" s="37"/>
      <c r="BD2409" s="37"/>
      <c r="BE2409" s="37"/>
      <c r="BF2409" s="37"/>
      <c r="BG2409" s="37"/>
      <c r="BH2409" s="37"/>
      <c r="BI2409" s="37"/>
      <c r="BJ2409" s="37"/>
      <c r="BK2409" s="37"/>
      <c r="BL2409" s="37"/>
      <c r="BM2409" s="37"/>
    </row>
    <row r="2410" spans="1:65" s="40" customFormat="1" ht="23.25" x14ac:dyDescent="0.35">
      <c r="A2410" s="37"/>
      <c r="B2410" s="37"/>
      <c r="C2410" s="41"/>
      <c r="D2410" s="38"/>
      <c r="E2410" s="57"/>
      <c r="F2410" s="42"/>
      <c r="G2410" s="43"/>
      <c r="H2410" s="37"/>
      <c r="I2410" s="37"/>
      <c r="J2410" s="38"/>
      <c r="K2410" s="37"/>
      <c r="L2410" s="38"/>
      <c r="M2410" s="39"/>
      <c r="P2410" s="37"/>
      <c r="Q2410" s="37"/>
      <c r="R2410" s="37"/>
      <c r="S2410" s="37"/>
      <c r="T2410" s="37"/>
      <c r="U2410" s="37"/>
      <c r="V2410" s="37"/>
      <c r="W2410" s="37"/>
      <c r="X2410" s="37"/>
      <c r="Y2410" s="37"/>
      <c r="Z2410" s="37"/>
      <c r="AA2410" s="37"/>
      <c r="AB2410" s="37"/>
      <c r="AC2410" s="37"/>
      <c r="AD2410" s="37"/>
      <c r="AE2410" s="37"/>
      <c r="AF2410" s="37"/>
      <c r="AG2410" s="37"/>
      <c r="AH2410" s="37"/>
      <c r="AI2410" s="37"/>
      <c r="AJ2410" s="37"/>
      <c r="AK2410" s="37"/>
      <c r="AL2410" s="37"/>
      <c r="AM2410" s="37"/>
      <c r="AN2410" s="37"/>
      <c r="AO2410" s="37"/>
      <c r="AP2410" s="37"/>
      <c r="AQ2410" s="37"/>
      <c r="AR2410" s="37"/>
      <c r="AS2410" s="37"/>
      <c r="AT2410" s="37"/>
      <c r="AU2410" s="37"/>
      <c r="AV2410" s="37"/>
      <c r="AW2410" s="37"/>
      <c r="AX2410" s="37"/>
      <c r="AY2410" s="37"/>
      <c r="AZ2410" s="37"/>
      <c r="BA2410" s="37"/>
      <c r="BB2410" s="37"/>
      <c r="BC2410" s="37"/>
      <c r="BD2410" s="37"/>
      <c r="BE2410" s="37"/>
      <c r="BF2410" s="37"/>
      <c r="BG2410" s="37"/>
      <c r="BH2410" s="37"/>
      <c r="BI2410" s="37"/>
      <c r="BJ2410" s="37"/>
      <c r="BK2410" s="37"/>
      <c r="BL2410" s="37"/>
      <c r="BM2410" s="37"/>
    </row>
    <row r="2411" spans="1:65" s="40" customFormat="1" ht="23.25" x14ac:dyDescent="0.35">
      <c r="A2411" s="37"/>
      <c r="B2411" s="37"/>
      <c r="C2411" s="41"/>
      <c r="D2411" s="38"/>
      <c r="E2411" s="57"/>
      <c r="F2411" s="42"/>
      <c r="G2411" s="43"/>
      <c r="H2411" s="37"/>
      <c r="I2411" s="37"/>
      <c r="J2411" s="38"/>
      <c r="K2411" s="37"/>
      <c r="L2411" s="38"/>
      <c r="M2411" s="39"/>
      <c r="P2411" s="37"/>
      <c r="Q2411" s="37"/>
      <c r="R2411" s="37"/>
      <c r="S2411" s="37"/>
      <c r="T2411" s="37"/>
      <c r="U2411" s="37"/>
      <c r="V2411" s="37"/>
      <c r="W2411" s="37"/>
      <c r="X2411" s="37"/>
      <c r="Y2411" s="37"/>
      <c r="Z2411" s="37"/>
      <c r="AA2411" s="37"/>
      <c r="AB2411" s="37"/>
      <c r="AC2411" s="37"/>
      <c r="AD2411" s="37"/>
      <c r="AE2411" s="37"/>
      <c r="AF2411" s="37"/>
      <c r="AG2411" s="37"/>
      <c r="AH2411" s="37"/>
      <c r="AI2411" s="37"/>
      <c r="AJ2411" s="37"/>
      <c r="AK2411" s="37"/>
      <c r="AL2411" s="37"/>
      <c r="AM2411" s="37"/>
      <c r="AN2411" s="37"/>
      <c r="AO2411" s="37"/>
      <c r="AP2411" s="37"/>
      <c r="AQ2411" s="37"/>
      <c r="AR2411" s="37"/>
      <c r="AS2411" s="37"/>
      <c r="AT2411" s="37"/>
      <c r="AU2411" s="37"/>
      <c r="AV2411" s="37"/>
      <c r="AW2411" s="37"/>
      <c r="AX2411" s="37"/>
      <c r="AY2411" s="37"/>
      <c r="AZ2411" s="37"/>
      <c r="BA2411" s="37"/>
      <c r="BB2411" s="37"/>
      <c r="BC2411" s="37"/>
      <c r="BD2411" s="37"/>
      <c r="BE2411" s="37"/>
      <c r="BF2411" s="37"/>
      <c r="BG2411" s="37"/>
      <c r="BH2411" s="37"/>
      <c r="BI2411" s="37"/>
      <c r="BJ2411" s="37"/>
      <c r="BK2411" s="37"/>
      <c r="BL2411" s="37"/>
      <c r="BM2411" s="37"/>
    </row>
    <row r="2412" spans="1:65" s="40" customFormat="1" ht="23.25" x14ac:dyDescent="0.35">
      <c r="A2412" s="37"/>
      <c r="B2412" s="37"/>
      <c r="C2412" s="41"/>
      <c r="D2412" s="38"/>
      <c r="E2412" s="57"/>
      <c r="F2412" s="42"/>
      <c r="G2412" s="43"/>
      <c r="H2412" s="37"/>
      <c r="I2412" s="37"/>
      <c r="J2412" s="38"/>
      <c r="K2412" s="37"/>
      <c r="L2412" s="38"/>
      <c r="M2412" s="39"/>
      <c r="P2412" s="37"/>
      <c r="Q2412" s="37"/>
      <c r="R2412" s="37"/>
      <c r="S2412" s="37"/>
      <c r="T2412" s="37"/>
      <c r="U2412" s="37"/>
      <c r="V2412" s="37"/>
      <c r="W2412" s="37"/>
      <c r="X2412" s="37"/>
      <c r="Y2412" s="37"/>
      <c r="Z2412" s="37"/>
      <c r="AA2412" s="37"/>
      <c r="AB2412" s="37"/>
      <c r="AC2412" s="37"/>
      <c r="AD2412" s="37"/>
      <c r="AE2412" s="37"/>
      <c r="AF2412" s="37"/>
      <c r="AG2412" s="37"/>
      <c r="AH2412" s="37"/>
      <c r="AI2412" s="37"/>
      <c r="AJ2412" s="37"/>
      <c r="AK2412" s="37"/>
      <c r="AL2412" s="37"/>
      <c r="AM2412" s="37"/>
      <c r="AN2412" s="37"/>
      <c r="AO2412" s="37"/>
      <c r="AP2412" s="37"/>
      <c r="AQ2412" s="37"/>
      <c r="AR2412" s="37"/>
      <c r="AS2412" s="37"/>
      <c r="AT2412" s="37"/>
      <c r="AU2412" s="37"/>
      <c r="AV2412" s="37"/>
      <c r="AW2412" s="37"/>
      <c r="AX2412" s="37"/>
      <c r="AY2412" s="37"/>
      <c r="AZ2412" s="37"/>
      <c r="BA2412" s="37"/>
      <c r="BB2412" s="37"/>
      <c r="BC2412" s="37"/>
      <c r="BD2412" s="37"/>
      <c r="BE2412" s="37"/>
      <c r="BF2412" s="37"/>
      <c r="BG2412" s="37"/>
      <c r="BH2412" s="37"/>
      <c r="BI2412" s="37"/>
      <c r="BJ2412" s="37"/>
      <c r="BK2412" s="37"/>
      <c r="BL2412" s="37"/>
      <c r="BM2412" s="37"/>
    </row>
    <row r="2413" spans="1:65" s="40" customFormat="1" ht="23.25" x14ac:dyDescent="0.35">
      <c r="A2413" s="37"/>
      <c r="B2413" s="37"/>
      <c r="C2413" s="41"/>
      <c r="D2413" s="38"/>
      <c r="E2413" s="57"/>
      <c r="F2413" s="42"/>
      <c r="G2413" s="43"/>
      <c r="H2413" s="37"/>
      <c r="I2413" s="37"/>
      <c r="J2413" s="38"/>
      <c r="K2413" s="37"/>
      <c r="L2413" s="38"/>
      <c r="M2413" s="39"/>
      <c r="P2413" s="37"/>
      <c r="Q2413" s="37"/>
      <c r="R2413" s="37"/>
      <c r="S2413" s="37"/>
      <c r="T2413" s="37"/>
      <c r="U2413" s="37"/>
      <c r="V2413" s="37"/>
      <c r="W2413" s="37"/>
      <c r="X2413" s="37"/>
      <c r="Y2413" s="37"/>
      <c r="Z2413" s="37"/>
      <c r="AA2413" s="37"/>
      <c r="AB2413" s="37"/>
      <c r="AC2413" s="37"/>
      <c r="AD2413" s="37"/>
      <c r="AE2413" s="37"/>
      <c r="AF2413" s="37"/>
      <c r="AG2413" s="37"/>
      <c r="AH2413" s="37"/>
      <c r="AI2413" s="37"/>
      <c r="AJ2413" s="37"/>
      <c r="AK2413" s="37"/>
      <c r="AL2413" s="37"/>
      <c r="AM2413" s="37"/>
      <c r="AN2413" s="37"/>
      <c r="AO2413" s="37"/>
      <c r="AP2413" s="37"/>
      <c r="AQ2413" s="37"/>
      <c r="AR2413" s="37"/>
      <c r="AS2413" s="37"/>
      <c r="AT2413" s="37"/>
      <c r="AU2413" s="37"/>
      <c r="AV2413" s="37"/>
      <c r="AW2413" s="37"/>
      <c r="AX2413" s="37"/>
      <c r="AY2413" s="37"/>
      <c r="AZ2413" s="37"/>
      <c r="BA2413" s="37"/>
      <c r="BB2413" s="37"/>
      <c r="BC2413" s="37"/>
      <c r="BD2413" s="37"/>
      <c r="BE2413" s="37"/>
      <c r="BF2413" s="37"/>
      <c r="BG2413" s="37"/>
      <c r="BH2413" s="37"/>
      <c r="BI2413" s="37"/>
      <c r="BJ2413" s="37"/>
      <c r="BK2413" s="37"/>
      <c r="BL2413" s="37"/>
      <c r="BM2413" s="37"/>
    </row>
    <row r="2414" spans="1:65" s="40" customFormat="1" ht="23.25" x14ac:dyDescent="0.35">
      <c r="A2414" s="37"/>
      <c r="B2414" s="37"/>
      <c r="C2414" s="41"/>
      <c r="D2414" s="38"/>
      <c r="E2414" s="57"/>
      <c r="F2414" s="42"/>
      <c r="G2414" s="43"/>
      <c r="H2414" s="37"/>
      <c r="I2414" s="37"/>
      <c r="J2414" s="38"/>
      <c r="K2414" s="37"/>
      <c r="L2414" s="38"/>
      <c r="M2414" s="39"/>
      <c r="P2414" s="37"/>
      <c r="Q2414" s="37"/>
      <c r="R2414" s="37"/>
      <c r="S2414" s="37"/>
      <c r="T2414" s="37"/>
      <c r="U2414" s="37"/>
      <c r="V2414" s="37"/>
      <c r="W2414" s="37"/>
      <c r="X2414" s="37"/>
      <c r="Y2414" s="37"/>
      <c r="Z2414" s="37"/>
      <c r="AA2414" s="37"/>
      <c r="AB2414" s="37"/>
      <c r="AC2414" s="37"/>
      <c r="AD2414" s="37"/>
      <c r="AE2414" s="37"/>
      <c r="AF2414" s="37"/>
      <c r="AG2414" s="37"/>
      <c r="AH2414" s="37"/>
      <c r="AI2414" s="37"/>
      <c r="AJ2414" s="37"/>
      <c r="AK2414" s="37"/>
      <c r="AL2414" s="37"/>
      <c r="AM2414" s="37"/>
      <c r="AN2414" s="37"/>
      <c r="AO2414" s="37"/>
      <c r="AP2414" s="37"/>
      <c r="AQ2414" s="37"/>
      <c r="AR2414" s="37"/>
      <c r="AS2414" s="37"/>
      <c r="AT2414" s="37"/>
      <c r="AU2414" s="37"/>
      <c r="AV2414" s="37"/>
      <c r="AW2414" s="37"/>
      <c r="AX2414" s="37"/>
      <c r="AY2414" s="37"/>
      <c r="AZ2414" s="37"/>
      <c r="BA2414" s="37"/>
      <c r="BB2414" s="37"/>
      <c r="BC2414" s="37"/>
      <c r="BD2414" s="37"/>
      <c r="BE2414" s="37"/>
      <c r="BF2414" s="37"/>
      <c r="BG2414" s="37"/>
      <c r="BH2414" s="37"/>
      <c r="BI2414" s="37"/>
      <c r="BJ2414" s="37"/>
      <c r="BK2414" s="37"/>
      <c r="BL2414" s="37"/>
      <c r="BM2414" s="37"/>
    </row>
    <row r="2415" spans="1:65" s="40" customFormat="1" ht="23.25" x14ac:dyDescent="0.35">
      <c r="A2415" s="37"/>
      <c r="B2415" s="37"/>
      <c r="C2415" s="41"/>
      <c r="D2415" s="38"/>
      <c r="E2415" s="57"/>
      <c r="F2415" s="42"/>
      <c r="G2415" s="43"/>
      <c r="H2415" s="37"/>
      <c r="I2415" s="37"/>
      <c r="J2415" s="38"/>
      <c r="K2415" s="37"/>
      <c r="L2415" s="38"/>
      <c r="M2415" s="39"/>
      <c r="P2415" s="37"/>
      <c r="Q2415" s="37"/>
      <c r="R2415" s="37"/>
      <c r="S2415" s="37"/>
      <c r="T2415" s="37"/>
      <c r="U2415" s="37"/>
      <c r="V2415" s="37"/>
      <c r="W2415" s="37"/>
      <c r="X2415" s="37"/>
      <c r="Y2415" s="37"/>
      <c r="Z2415" s="37"/>
      <c r="AA2415" s="37"/>
      <c r="AB2415" s="37"/>
      <c r="AC2415" s="37"/>
      <c r="AD2415" s="37"/>
      <c r="AE2415" s="37"/>
      <c r="AF2415" s="37"/>
      <c r="AG2415" s="37"/>
      <c r="AH2415" s="37"/>
      <c r="AI2415" s="37"/>
      <c r="AJ2415" s="37"/>
      <c r="AK2415" s="37"/>
      <c r="AL2415" s="37"/>
      <c r="AM2415" s="37"/>
      <c r="AN2415" s="37"/>
      <c r="AO2415" s="37"/>
      <c r="AP2415" s="37"/>
      <c r="AQ2415" s="37"/>
      <c r="AR2415" s="37"/>
      <c r="AS2415" s="37"/>
      <c r="AT2415" s="37"/>
      <c r="AU2415" s="37"/>
      <c r="AV2415" s="37"/>
      <c r="AW2415" s="37"/>
      <c r="AX2415" s="37"/>
      <c r="AY2415" s="37"/>
      <c r="AZ2415" s="37"/>
      <c r="BA2415" s="37"/>
      <c r="BB2415" s="37"/>
      <c r="BC2415" s="37"/>
      <c r="BD2415" s="37"/>
      <c r="BE2415" s="37"/>
      <c r="BF2415" s="37"/>
      <c r="BG2415" s="37"/>
      <c r="BH2415" s="37"/>
      <c r="BI2415" s="37"/>
      <c r="BJ2415" s="37"/>
      <c r="BK2415" s="37"/>
      <c r="BL2415" s="37"/>
      <c r="BM2415" s="37"/>
    </row>
    <row r="2416" spans="1:65" s="40" customFormat="1" ht="23.25" x14ac:dyDescent="0.35">
      <c r="A2416" s="37"/>
      <c r="B2416" s="37"/>
      <c r="C2416" s="41"/>
      <c r="D2416" s="38"/>
      <c r="E2416" s="57"/>
      <c r="F2416" s="42"/>
      <c r="G2416" s="43"/>
      <c r="H2416" s="37"/>
      <c r="I2416" s="37"/>
      <c r="J2416" s="38"/>
      <c r="K2416" s="37"/>
      <c r="L2416" s="38"/>
      <c r="M2416" s="39"/>
      <c r="P2416" s="37"/>
      <c r="Q2416" s="37"/>
      <c r="R2416" s="37"/>
      <c r="S2416" s="37"/>
      <c r="T2416" s="37"/>
      <c r="U2416" s="37"/>
      <c r="V2416" s="37"/>
      <c r="W2416" s="37"/>
      <c r="X2416" s="37"/>
      <c r="Y2416" s="37"/>
      <c r="Z2416" s="37"/>
      <c r="AA2416" s="37"/>
      <c r="AB2416" s="37"/>
      <c r="AC2416" s="37"/>
      <c r="AD2416" s="37"/>
      <c r="AE2416" s="37"/>
      <c r="AF2416" s="37"/>
      <c r="AG2416" s="37"/>
      <c r="AH2416" s="37"/>
      <c r="AI2416" s="37"/>
      <c r="AJ2416" s="37"/>
      <c r="AK2416" s="37"/>
      <c r="AL2416" s="37"/>
      <c r="AM2416" s="37"/>
      <c r="AN2416" s="37"/>
      <c r="AO2416" s="37"/>
      <c r="AP2416" s="37"/>
      <c r="AQ2416" s="37"/>
      <c r="AR2416" s="37"/>
      <c r="AS2416" s="37"/>
      <c r="AT2416" s="37"/>
      <c r="AU2416" s="37"/>
      <c r="AV2416" s="37"/>
      <c r="AW2416" s="37"/>
      <c r="AX2416" s="37"/>
      <c r="AY2416" s="37"/>
      <c r="AZ2416" s="37"/>
      <c r="BA2416" s="37"/>
      <c r="BB2416" s="37"/>
      <c r="BC2416" s="37"/>
      <c r="BD2416" s="37"/>
      <c r="BE2416" s="37"/>
      <c r="BF2416" s="37"/>
      <c r="BG2416" s="37"/>
      <c r="BH2416" s="37"/>
      <c r="BI2416" s="37"/>
      <c r="BJ2416" s="37"/>
      <c r="BK2416" s="37"/>
      <c r="BL2416" s="37"/>
      <c r="BM2416" s="37"/>
    </row>
    <row r="2417" spans="1:65" s="40" customFormat="1" ht="23.25" x14ac:dyDescent="0.35">
      <c r="A2417" s="37"/>
      <c r="B2417" s="37"/>
      <c r="C2417" s="41"/>
      <c r="D2417" s="38"/>
      <c r="E2417" s="57"/>
      <c r="F2417" s="42"/>
      <c r="G2417" s="43"/>
      <c r="H2417" s="37"/>
      <c r="I2417" s="37"/>
      <c r="J2417" s="38"/>
      <c r="K2417" s="37"/>
      <c r="L2417" s="38"/>
      <c r="M2417" s="39"/>
      <c r="P2417" s="37"/>
      <c r="Q2417" s="37"/>
      <c r="R2417" s="37"/>
      <c r="S2417" s="37"/>
      <c r="T2417" s="37"/>
      <c r="U2417" s="37"/>
      <c r="V2417" s="37"/>
      <c r="W2417" s="37"/>
      <c r="X2417" s="37"/>
      <c r="Y2417" s="37"/>
      <c r="Z2417" s="37"/>
      <c r="AA2417" s="37"/>
      <c r="AB2417" s="37"/>
      <c r="AC2417" s="37"/>
      <c r="AD2417" s="37"/>
      <c r="AE2417" s="37"/>
      <c r="AF2417" s="37"/>
      <c r="AG2417" s="37"/>
      <c r="AH2417" s="37"/>
      <c r="AI2417" s="37"/>
      <c r="AJ2417" s="37"/>
      <c r="AK2417" s="37"/>
      <c r="AL2417" s="37"/>
      <c r="AM2417" s="37"/>
      <c r="AN2417" s="37"/>
      <c r="AO2417" s="37"/>
      <c r="AP2417" s="37"/>
      <c r="AQ2417" s="37"/>
      <c r="AR2417" s="37"/>
      <c r="AS2417" s="37"/>
      <c r="AT2417" s="37"/>
      <c r="AU2417" s="37"/>
      <c r="AV2417" s="37"/>
      <c r="AW2417" s="37"/>
      <c r="AX2417" s="37"/>
      <c r="AY2417" s="37"/>
      <c r="AZ2417" s="37"/>
      <c r="BA2417" s="37"/>
      <c r="BB2417" s="37"/>
      <c r="BC2417" s="37"/>
      <c r="BD2417" s="37"/>
      <c r="BE2417" s="37"/>
      <c r="BF2417" s="37"/>
      <c r="BG2417" s="37"/>
      <c r="BH2417" s="37"/>
      <c r="BI2417" s="37"/>
      <c r="BJ2417" s="37"/>
      <c r="BK2417" s="37"/>
      <c r="BL2417" s="37"/>
      <c r="BM2417" s="37"/>
    </row>
    <row r="2418" spans="1:65" s="40" customFormat="1" ht="23.25" x14ac:dyDescent="0.35">
      <c r="A2418" s="37"/>
      <c r="B2418" s="37"/>
      <c r="C2418" s="41"/>
      <c r="D2418" s="38"/>
      <c r="E2418" s="57"/>
      <c r="F2418" s="42"/>
      <c r="G2418" s="43"/>
      <c r="H2418" s="37"/>
      <c r="I2418" s="37"/>
      <c r="J2418" s="38"/>
      <c r="K2418" s="37"/>
      <c r="L2418" s="38"/>
      <c r="M2418" s="39"/>
      <c r="P2418" s="37"/>
      <c r="Q2418" s="37"/>
      <c r="R2418" s="37"/>
      <c r="S2418" s="37"/>
      <c r="T2418" s="37"/>
      <c r="U2418" s="37"/>
      <c r="V2418" s="37"/>
      <c r="W2418" s="37"/>
      <c r="X2418" s="37"/>
      <c r="Y2418" s="37"/>
      <c r="Z2418" s="37"/>
      <c r="AA2418" s="37"/>
      <c r="AB2418" s="37"/>
      <c r="AC2418" s="37"/>
      <c r="AD2418" s="37"/>
      <c r="AE2418" s="37"/>
      <c r="AF2418" s="37"/>
      <c r="AG2418" s="37"/>
      <c r="AH2418" s="37"/>
      <c r="AI2418" s="37"/>
      <c r="AJ2418" s="37"/>
      <c r="AK2418" s="37"/>
      <c r="AL2418" s="37"/>
      <c r="AM2418" s="37"/>
      <c r="AN2418" s="37"/>
      <c r="AO2418" s="37"/>
      <c r="AP2418" s="37"/>
      <c r="AQ2418" s="37"/>
      <c r="AR2418" s="37"/>
      <c r="AS2418" s="37"/>
      <c r="AT2418" s="37"/>
      <c r="AU2418" s="37"/>
      <c r="AV2418" s="37"/>
      <c r="AW2418" s="37"/>
      <c r="AX2418" s="37"/>
      <c r="AY2418" s="37"/>
      <c r="AZ2418" s="37"/>
      <c r="BA2418" s="37"/>
      <c r="BB2418" s="37"/>
      <c r="BC2418" s="37"/>
      <c r="BD2418" s="37"/>
      <c r="BE2418" s="37"/>
      <c r="BF2418" s="37"/>
      <c r="BG2418" s="37"/>
      <c r="BH2418" s="37"/>
      <c r="BI2418" s="37"/>
      <c r="BJ2418" s="37"/>
      <c r="BK2418" s="37"/>
      <c r="BL2418" s="37"/>
      <c r="BM2418" s="37"/>
    </row>
    <row r="2419" spans="1:65" s="40" customFormat="1" ht="23.25" x14ac:dyDescent="0.35">
      <c r="A2419" s="37"/>
      <c r="B2419" s="37"/>
      <c r="C2419" s="41"/>
      <c r="D2419" s="38"/>
      <c r="E2419" s="57"/>
      <c r="F2419" s="42"/>
      <c r="G2419" s="43"/>
      <c r="H2419" s="37"/>
      <c r="I2419" s="37"/>
      <c r="J2419" s="38"/>
      <c r="K2419" s="37"/>
      <c r="L2419" s="38"/>
      <c r="M2419" s="39"/>
      <c r="P2419" s="37"/>
      <c r="Q2419" s="37"/>
      <c r="R2419" s="37"/>
      <c r="S2419" s="37"/>
      <c r="T2419" s="37"/>
      <c r="U2419" s="37"/>
      <c r="V2419" s="37"/>
      <c r="W2419" s="37"/>
      <c r="X2419" s="37"/>
      <c r="Y2419" s="37"/>
      <c r="Z2419" s="37"/>
      <c r="AA2419" s="37"/>
      <c r="AB2419" s="37"/>
      <c r="AC2419" s="37"/>
      <c r="AD2419" s="37"/>
      <c r="AE2419" s="37"/>
      <c r="AF2419" s="37"/>
      <c r="AG2419" s="37"/>
      <c r="AH2419" s="37"/>
      <c r="AI2419" s="37"/>
      <c r="AJ2419" s="37"/>
      <c r="AK2419" s="37"/>
      <c r="AL2419" s="37"/>
      <c r="AM2419" s="37"/>
      <c r="AN2419" s="37"/>
      <c r="AO2419" s="37"/>
      <c r="AP2419" s="37"/>
      <c r="AQ2419" s="37"/>
      <c r="AR2419" s="37"/>
      <c r="AS2419" s="37"/>
      <c r="AT2419" s="37"/>
      <c r="AU2419" s="37"/>
      <c r="AV2419" s="37"/>
      <c r="AW2419" s="37"/>
      <c r="AX2419" s="37"/>
      <c r="AY2419" s="37"/>
      <c r="AZ2419" s="37"/>
      <c r="BA2419" s="37"/>
      <c r="BB2419" s="37"/>
      <c r="BC2419" s="37"/>
      <c r="BD2419" s="37"/>
      <c r="BE2419" s="37"/>
      <c r="BF2419" s="37"/>
      <c r="BG2419" s="37"/>
      <c r="BH2419" s="37"/>
      <c r="BI2419" s="37"/>
      <c r="BJ2419" s="37"/>
      <c r="BK2419" s="37"/>
      <c r="BL2419" s="37"/>
      <c r="BM2419" s="37"/>
    </row>
    <row r="2420" spans="1:65" s="40" customFormat="1" ht="23.25" x14ac:dyDescent="0.35">
      <c r="A2420" s="37"/>
      <c r="B2420" s="37"/>
      <c r="C2420" s="41"/>
      <c r="D2420" s="38"/>
      <c r="E2420" s="57"/>
      <c r="F2420" s="42"/>
      <c r="G2420" s="43"/>
      <c r="H2420" s="37"/>
      <c r="I2420" s="37"/>
      <c r="J2420" s="38"/>
      <c r="K2420" s="37"/>
      <c r="L2420" s="38"/>
      <c r="M2420" s="39"/>
      <c r="P2420" s="37"/>
      <c r="Q2420" s="37"/>
      <c r="R2420" s="37"/>
      <c r="S2420" s="37"/>
      <c r="T2420" s="37"/>
      <c r="U2420" s="37"/>
      <c r="V2420" s="37"/>
      <c r="W2420" s="37"/>
      <c r="X2420" s="37"/>
      <c r="Y2420" s="37"/>
      <c r="Z2420" s="37"/>
      <c r="AA2420" s="37"/>
      <c r="AB2420" s="37"/>
      <c r="AC2420" s="37"/>
      <c r="AD2420" s="37"/>
      <c r="AE2420" s="37"/>
      <c r="AF2420" s="37"/>
      <c r="AG2420" s="37"/>
      <c r="AH2420" s="37"/>
      <c r="AI2420" s="37"/>
      <c r="AJ2420" s="37"/>
      <c r="AK2420" s="37"/>
      <c r="AL2420" s="37"/>
      <c r="AM2420" s="37"/>
      <c r="AN2420" s="37"/>
      <c r="AO2420" s="37"/>
      <c r="AP2420" s="37"/>
      <c r="AQ2420" s="37"/>
      <c r="AR2420" s="37"/>
      <c r="AS2420" s="37"/>
      <c r="AT2420" s="37"/>
      <c r="AU2420" s="37"/>
      <c r="AV2420" s="37"/>
      <c r="AW2420" s="37"/>
      <c r="AX2420" s="37"/>
      <c r="AY2420" s="37"/>
      <c r="AZ2420" s="37"/>
      <c r="BA2420" s="37"/>
      <c r="BB2420" s="37"/>
      <c r="BC2420" s="37"/>
      <c r="BD2420" s="37"/>
      <c r="BE2420" s="37"/>
      <c r="BF2420" s="37"/>
      <c r="BG2420" s="37"/>
      <c r="BH2420" s="37"/>
      <c r="BI2420" s="37"/>
      <c r="BJ2420" s="37"/>
      <c r="BK2420" s="37"/>
      <c r="BL2420" s="37"/>
      <c r="BM2420" s="37"/>
    </row>
    <row r="2421" spans="1:65" s="40" customFormat="1" ht="23.25" x14ac:dyDescent="0.35">
      <c r="A2421" s="37"/>
      <c r="B2421" s="37"/>
      <c r="C2421" s="41"/>
      <c r="D2421" s="38"/>
      <c r="E2421" s="57"/>
      <c r="F2421" s="42"/>
      <c r="G2421" s="43"/>
      <c r="H2421" s="37"/>
      <c r="I2421" s="37"/>
      <c r="J2421" s="38"/>
      <c r="K2421" s="37"/>
      <c r="L2421" s="38"/>
      <c r="M2421" s="39"/>
      <c r="P2421" s="37"/>
      <c r="Q2421" s="37"/>
      <c r="R2421" s="37"/>
      <c r="S2421" s="37"/>
      <c r="T2421" s="37"/>
      <c r="U2421" s="37"/>
      <c r="V2421" s="37"/>
      <c r="W2421" s="37"/>
      <c r="X2421" s="37"/>
      <c r="Y2421" s="37"/>
      <c r="Z2421" s="37"/>
      <c r="AA2421" s="37"/>
      <c r="AB2421" s="37"/>
      <c r="AC2421" s="37"/>
      <c r="AD2421" s="37"/>
      <c r="AE2421" s="37"/>
      <c r="AF2421" s="37"/>
      <c r="AG2421" s="37"/>
      <c r="AH2421" s="37"/>
      <c r="AI2421" s="37"/>
      <c r="AJ2421" s="37"/>
      <c r="AK2421" s="37"/>
      <c r="AL2421" s="37"/>
      <c r="AM2421" s="37"/>
      <c r="AN2421" s="37"/>
      <c r="AO2421" s="37"/>
      <c r="AP2421" s="37"/>
      <c r="AQ2421" s="37"/>
      <c r="AR2421" s="37"/>
      <c r="AS2421" s="37"/>
      <c r="AT2421" s="37"/>
      <c r="AU2421" s="37"/>
      <c r="AV2421" s="37"/>
      <c r="AW2421" s="37"/>
      <c r="AX2421" s="37"/>
      <c r="AY2421" s="37"/>
      <c r="AZ2421" s="37"/>
      <c r="BA2421" s="37"/>
      <c r="BB2421" s="37"/>
      <c r="BC2421" s="37"/>
      <c r="BD2421" s="37"/>
      <c r="BE2421" s="37"/>
      <c r="BF2421" s="37"/>
      <c r="BG2421" s="37"/>
      <c r="BH2421" s="37"/>
      <c r="BI2421" s="37"/>
      <c r="BJ2421" s="37"/>
      <c r="BK2421" s="37"/>
      <c r="BL2421" s="37"/>
      <c r="BM2421" s="37"/>
    </row>
    <row r="2422" spans="1:65" s="40" customFormat="1" ht="23.25" x14ac:dyDescent="0.35">
      <c r="A2422" s="37"/>
      <c r="B2422" s="37"/>
      <c r="C2422" s="41"/>
      <c r="D2422" s="38"/>
      <c r="E2422" s="57"/>
      <c r="F2422" s="42"/>
      <c r="G2422" s="43"/>
      <c r="H2422" s="37"/>
      <c r="I2422" s="37"/>
      <c r="J2422" s="38"/>
      <c r="K2422" s="37"/>
      <c r="L2422" s="38"/>
      <c r="M2422" s="39"/>
      <c r="P2422" s="37"/>
      <c r="Q2422" s="37"/>
      <c r="R2422" s="37"/>
      <c r="S2422" s="37"/>
      <c r="T2422" s="37"/>
      <c r="U2422" s="37"/>
      <c r="V2422" s="37"/>
      <c r="W2422" s="37"/>
      <c r="X2422" s="37"/>
      <c r="Y2422" s="37"/>
      <c r="Z2422" s="37"/>
      <c r="AA2422" s="37"/>
      <c r="AB2422" s="37"/>
      <c r="AC2422" s="37"/>
      <c r="AD2422" s="37"/>
      <c r="AE2422" s="37"/>
      <c r="AF2422" s="37"/>
      <c r="AG2422" s="37"/>
      <c r="AH2422" s="37"/>
      <c r="AI2422" s="37"/>
      <c r="AJ2422" s="37"/>
      <c r="AK2422" s="37"/>
      <c r="AL2422" s="37"/>
      <c r="AM2422" s="37"/>
      <c r="AN2422" s="37"/>
      <c r="AO2422" s="37"/>
      <c r="AP2422" s="37"/>
      <c r="AQ2422" s="37"/>
      <c r="AR2422" s="37"/>
      <c r="AS2422" s="37"/>
      <c r="AT2422" s="37"/>
      <c r="AU2422" s="37"/>
      <c r="AV2422" s="37"/>
      <c r="AW2422" s="37"/>
      <c r="AX2422" s="37"/>
      <c r="AY2422" s="37"/>
      <c r="AZ2422" s="37"/>
      <c r="BA2422" s="37"/>
      <c r="BB2422" s="37"/>
      <c r="BC2422" s="37"/>
      <c r="BD2422" s="37"/>
      <c r="BE2422" s="37"/>
      <c r="BF2422" s="37"/>
      <c r="BG2422" s="37"/>
      <c r="BH2422" s="37"/>
      <c r="BI2422" s="37"/>
      <c r="BJ2422" s="37"/>
      <c r="BK2422" s="37"/>
      <c r="BL2422" s="37"/>
      <c r="BM2422" s="37"/>
    </row>
    <row r="2423" spans="1:65" s="40" customFormat="1" ht="23.25" x14ac:dyDescent="0.35">
      <c r="A2423" s="37"/>
      <c r="B2423" s="37"/>
      <c r="C2423" s="41"/>
      <c r="D2423" s="38"/>
      <c r="E2423" s="57"/>
      <c r="F2423" s="42"/>
      <c r="G2423" s="43"/>
      <c r="H2423" s="37"/>
      <c r="I2423" s="37"/>
      <c r="J2423" s="38"/>
      <c r="K2423" s="37"/>
      <c r="L2423" s="38"/>
      <c r="M2423" s="39"/>
      <c r="P2423" s="37"/>
      <c r="Q2423" s="37"/>
      <c r="R2423" s="37"/>
      <c r="S2423" s="37"/>
      <c r="T2423" s="37"/>
      <c r="U2423" s="37"/>
      <c r="V2423" s="37"/>
      <c r="W2423" s="37"/>
      <c r="X2423" s="37"/>
      <c r="Y2423" s="37"/>
      <c r="Z2423" s="37"/>
      <c r="AA2423" s="37"/>
      <c r="AB2423" s="37"/>
      <c r="AC2423" s="37"/>
      <c r="AD2423" s="37"/>
      <c r="AE2423" s="37"/>
      <c r="AF2423" s="37"/>
      <c r="AG2423" s="37"/>
      <c r="AH2423" s="37"/>
      <c r="AI2423" s="37"/>
      <c r="AJ2423" s="37"/>
      <c r="AK2423" s="37"/>
      <c r="AL2423" s="37"/>
      <c r="AM2423" s="37"/>
      <c r="AN2423" s="37"/>
      <c r="AO2423" s="37"/>
      <c r="AP2423" s="37"/>
      <c r="AQ2423" s="37"/>
      <c r="AR2423" s="37"/>
      <c r="AS2423" s="37"/>
      <c r="AT2423" s="37"/>
      <c r="AU2423" s="37"/>
      <c r="AV2423" s="37"/>
      <c r="AW2423" s="37"/>
      <c r="AX2423" s="37"/>
      <c r="AY2423" s="37"/>
      <c r="AZ2423" s="37"/>
      <c r="BA2423" s="37"/>
      <c r="BB2423" s="37"/>
      <c r="BC2423" s="37"/>
      <c r="BD2423" s="37"/>
      <c r="BE2423" s="37"/>
      <c r="BF2423" s="37"/>
      <c r="BG2423" s="37"/>
      <c r="BH2423" s="37"/>
      <c r="BI2423" s="37"/>
      <c r="BJ2423" s="37"/>
      <c r="BK2423" s="37"/>
      <c r="BL2423" s="37"/>
      <c r="BM2423" s="37"/>
    </row>
    <row r="2424" spans="1:65" s="40" customFormat="1" ht="23.25" x14ac:dyDescent="0.35">
      <c r="A2424" s="37"/>
      <c r="B2424" s="37"/>
      <c r="C2424" s="41"/>
      <c r="D2424" s="38"/>
      <c r="E2424" s="57"/>
      <c r="F2424" s="42"/>
      <c r="G2424" s="43"/>
      <c r="H2424" s="37"/>
      <c r="I2424" s="37"/>
      <c r="J2424" s="38"/>
      <c r="K2424" s="37"/>
      <c r="L2424" s="38"/>
      <c r="M2424" s="39"/>
      <c r="P2424" s="37"/>
      <c r="Q2424" s="37"/>
      <c r="R2424" s="37"/>
      <c r="S2424" s="37"/>
      <c r="T2424" s="37"/>
      <c r="U2424" s="37"/>
      <c r="V2424" s="37"/>
      <c r="W2424" s="37"/>
      <c r="X2424" s="37"/>
      <c r="Y2424" s="37"/>
      <c r="Z2424" s="37"/>
      <c r="AA2424" s="37"/>
      <c r="AB2424" s="37"/>
      <c r="AC2424" s="37"/>
      <c r="AD2424" s="37"/>
      <c r="AE2424" s="37"/>
      <c r="AF2424" s="37"/>
      <c r="AG2424" s="37"/>
      <c r="AH2424" s="37"/>
      <c r="AI2424" s="37"/>
      <c r="AJ2424" s="37"/>
      <c r="AK2424" s="37"/>
      <c r="AL2424" s="37"/>
      <c r="AM2424" s="37"/>
      <c r="AN2424" s="37"/>
      <c r="AO2424" s="37"/>
      <c r="AP2424" s="37"/>
      <c r="AQ2424" s="37"/>
      <c r="AR2424" s="37"/>
      <c r="AS2424" s="37"/>
      <c r="AT2424" s="37"/>
      <c r="AU2424" s="37"/>
      <c r="AV2424" s="37"/>
      <c r="AW2424" s="37"/>
      <c r="AX2424" s="37"/>
      <c r="AY2424" s="37"/>
      <c r="AZ2424" s="37"/>
      <c r="BA2424" s="37"/>
      <c r="BB2424" s="37"/>
      <c r="BC2424" s="37"/>
      <c r="BD2424" s="37"/>
      <c r="BE2424" s="37"/>
      <c r="BF2424" s="37"/>
      <c r="BG2424" s="37"/>
      <c r="BH2424" s="37"/>
      <c r="BI2424" s="37"/>
      <c r="BJ2424" s="37"/>
      <c r="BK2424" s="37"/>
      <c r="BL2424" s="37"/>
      <c r="BM2424" s="37"/>
    </row>
    <row r="2425" spans="1:65" s="40" customFormat="1" ht="23.25" x14ac:dyDescent="0.35">
      <c r="A2425" s="37"/>
      <c r="B2425" s="37"/>
      <c r="C2425" s="41"/>
      <c r="D2425" s="38"/>
      <c r="E2425" s="57"/>
      <c r="F2425" s="42"/>
      <c r="G2425" s="43"/>
      <c r="H2425" s="37"/>
      <c r="I2425" s="37"/>
      <c r="J2425" s="38"/>
      <c r="K2425" s="37"/>
      <c r="L2425" s="38"/>
      <c r="M2425" s="39"/>
      <c r="P2425" s="37"/>
      <c r="Q2425" s="37"/>
      <c r="R2425" s="37"/>
      <c r="S2425" s="37"/>
      <c r="T2425" s="37"/>
      <c r="U2425" s="37"/>
      <c r="V2425" s="37"/>
      <c r="W2425" s="37"/>
      <c r="X2425" s="37"/>
      <c r="Y2425" s="37"/>
      <c r="Z2425" s="37"/>
      <c r="AA2425" s="37"/>
      <c r="AB2425" s="37"/>
      <c r="AC2425" s="37"/>
      <c r="AD2425" s="37"/>
      <c r="AE2425" s="37"/>
      <c r="AF2425" s="37"/>
      <c r="AG2425" s="37"/>
      <c r="AH2425" s="37"/>
      <c r="AI2425" s="37"/>
      <c r="AJ2425" s="37"/>
      <c r="AK2425" s="37"/>
      <c r="AL2425" s="37"/>
      <c r="AM2425" s="37"/>
      <c r="AN2425" s="37"/>
      <c r="AO2425" s="37"/>
      <c r="AP2425" s="37"/>
      <c r="AQ2425" s="37"/>
      <c r="AR2425" s="37"/>
      <c r="AS2425" s="37"/>
      <c r="AT2425" s="37"/>
      <c r="AU2425" s="37"/>
      <c r="AV2425" s="37"/>
      <c r="AW2425" s="37"/>
      <c r="AX2425" s="37"/>
      <c r="AY2425" s="37"/>
      <c r="AZ2425" s="37"/>
      <c r="BA2425" s="37"/>
      <c r="BB2425" s="37"/>
      <c r="BC2425" s="37"/>
      <c r="BD2425" s="37"/>
      <c r="BE2425" s="37"/>
      <c r="BF2425" s="37"/>
      <c r="BG2425" s="37"/>
      <c r="BH2425" s="37"/>
      <c r="BI2425" s="37"/>
      <c r="BJ2425" s="37"/>
      <c r="BK2425" s="37"/>
      <c r="BL2425" s="37"/>
      <c r="BM2425" s="37"/>
    </row>
    <row r="2426" spans="1:65" s="40" customFormat="1" ht="23.25" x14ac:dyDescent="0.35">
      <c r="A2426" s="37"/>
      <c r="B2426" s="37"/>
      <c r="C2426" s="41"/>
      <c r="D2426" s="38"/>
      <c r="E2426" s="57"/>
      <c r="F2426" s="42"/>
      <c r="G2426" s="43"/>
      <c r="H2426" s="37"/>
      <c r="I2426" s="37"/>
      <c r="J2426" s="38"/>
      <c r="K2426" s="37"/>
      <c r="L2426" s="38"/>
      <c r="M2426" s="39"/>
      <c r="P2426" s="37"/>
      <c r="Q2426" s="37"/>
      <c r="R2426" s="37"/>
      <c r="S2426" s="37"/>
      <c r="T2426" s="37"/>
      <c r="U2426" s="37"/>
      <c r="V2426" s="37"/>
      <c r="W2426" s="37"/>
      <c r="X2426" s="37"/>
      <c r="Y2426" s="37"/>
      <c r="Z2426" s="37"/>
      <c r="AA2426" s="37"/>
      <c r="AB2426" s="37"/>
      <c r="AC2426" s="37"/>
      <c r="AD2426" s="37"/>
      <c r="AE2426" s="37"/>
      <c r="AF2426" s="37"/>
      <c r="AG2426" s="37"/>
      <c r="AH2426" s="37"/>
      <c r="AI2426" s="37"/>
      <c r="AJ2426" s="37"/>
      <c r="AK2426" s="37"/>
      <c r="AL2426" s="37"/>
      <c r="AM2426" s="37"/>
      <c r="AN2426" s="37"/>
      <c r="AO2426" s="37"/>
      <c r="AP2426" s="37"/>
      <c r="AQ2426" s="37"/>
      <c r="AR2426" s="37"/>
      <c r="AS2426" s="37"/>
      <c r="AT2426" s="37"/>
      <c r="AU2426" s="37"/>
      <c r="AV2426" s="37"/>
      <c r="AW2426" s="37"/>
      <c r="AX2426" s="37"/>
      <c r="AY2426" s="37"/>
      <c r="AZ2426" s="37"/>
      <c r="BA2426" s="37"/>
      <c r="BB2426" s="37"/>
      <c r="BC2426" s="37"/>
      <c r="BD2426" s="37"/>
      <c r="BE2426" s="37"/>
      <c r="BF2426" s="37"/>
      <c r="BG2426" s="37"/>
      <c r="BH2426" s="37"/>
      <c r="BI2426" s="37"/>
      <c r="BJ2426" s="37"/>
      <c r="BK2426" s="37"/>
      <c r="BL2426" s="37"/>
      <c r="BM2426" s="37"/>
    </row>
    <row r="2427" spans="1:65" s="40" customFormat="1" ht="23.25" x14ac:dyDescent="0.35">
      <c r="A2427" s="37"/>
      <c r="B2427" s="37"/>
      <c r="C2427" s="41"/>
      <c r="D2427" s="38"/>
      <c r="E2427" s="57"/>
      <c r="F2427" s="42"/>
      <c r="G2427" s="43"/>
      <c r="H2427" s="37"/>
      <c r="I2427" s="37"/>
      <c r="J2427" s="38"/>
      <c r="K2427" s="37"/>
      <c r="L2427" s="38"/>
      <c r="M2427" s="39"/>
      <c r="P2427" s="37"/>
      <c r="Q2427" s="37"/>
      <c r="R2427" s="37"/>
      <c r="S2427" s="37"/>
      <c r="T2427" s="37"/>
      <c r="U2427" s="37"/>
      <c r="V2427" s="37"/>
      <c r="W2427" s="37"/>
      <c r="X2427" s="37"/>
      <c r="Y2427" s="37"/>
      <c r="Z2427" s="37"/>
      <c r="AA2427" s="37"/>
      <c r="AB2427" s="37"/>
      <c r="AC2427" s="37"/>
      <c r="AD2427" s="37"/>
      <c r="AE2427" s="37"/>
      <c r="AF2427" s="37"/>
      <c r="AG2427" s="37"/>
      <c r="AH2427" s="37"/>
      <c r="AI2427" s="37"/>
      <c r="AJ2427" s="37"/>
      <c r="AK2427" s="37"/>
      <c r="AL2427" s="37"/>
      <c r="AM2427" s="37"/>
      <c r="AN2427" s="37"/>
      <c r="AO2427" s="37"/>
      <c r="AP2427" s="37"/>
      <c r="AQ2427" s="37"/>
      <c r="AR2427" s="37"/>
      <c r="AS2427" s="37"/>
      <c r="AT2427" s="37"/>
      <c r="AU2427" s="37"/>
      <c r="AV2427" s="37"/>
      <c r="AW2427" s="37"/>
      <c r="AX2427" s="37"/>
      <c r="AY2427" s="37"/>
      <c r="AZ2427" s="37"/>
      <c r="BA2427" s="37"/>
      <c r="BB2427" s="37"/>
      <c r="BC2427" s="37"/>
      <c r="BD2427" s="37"/>
      <c r="BE2427" s="37"/>
      <c r="BF2427" s="37"/>
      <c r="BG2427" s="37"/>
      <c r="BH2427" s="37"/>
      <c r="BI2427" s="37"/>
      <c r="BJ2427" s="37"/>
      <c r="BK2427" s="37"/>
      <c r="BL2427" s="37"/>
      <c r="BM2427" s="37"/>
    </row>
    <row r="2428" spans="1:65" s="40" customFormat="1" ht="23.25" x14ac:dyDescent="0.35">
      <c r="A2428" s="37"/>
      <c r="B2428" s="37"/>
      <c r="C2428" s="41"/>
      <c r="D2428" s="38"/>
      <c r="E2428" s="57"/>
      <c r="F2428" s="42"/>
      <c r="G2428" s="43"/>
      <c r="H2428" s="37"/>
      <c r="I2428" s="37"/>
      <c r="J2428" s="38"/>
      <c r="K2428" s="37"/>
      <c r="L2428" s="38"/>
      <c r="M2428" s="39"/>
      <c r="P2428" s="37"/>
      <c r="Q2428" s="37"/>
      <c r="R2428" s="37"/>
      <c r="S2428" s="37"/>
      <c r="T2428" s="37"/>
      <c r="U2428" s="37"/>
      <c r="V2428" s="37"/>
      <c r="W2428" s="37"/>
      <c r="X2428" s="37"/>
      <c r="Y2428" s="37"/>
      <c r="Z2428" s="37"/>
      <c r="AA2428" s="37"/>
      <c r="AB2428" s="37"/>
      <c r="AC2428" s="37"/>
      <c r="AD2428" s="37"/>
      <c r="AE2428" s="37"/>
      <c r="AF2428" s="37"/>
      <c r="AG2428" s="37"/>
      <c r="AH2428" s="37"/>
      <c r="AI2428" s="37"/>
      <c r="AJ2428" s="37"/>
      <c r="AK2428" s="37"/>
      <c r="AL2428" s="37"/>
      <c r="AM2428" s="37"/>
      <c r="AN2428" s="37"/>
      <c r="AO2428" s="37"/>
      <c r="AP2428" s="37"/>
      <c r="AQ2428" s="37"/>
      <c r="AR2428" s="37"/>
      <c r="AS2428" s="37"/>
      <c r="AT2428" s="37"/>
      <c r="AU2428" s="37"/>
      <c r="AV2428" s="37"/>
      <c r="AW2428" s="37"/>
      <c r="AX2428" s="37"/>
      <c r="AY2428" s="37"/>
      <c r="AZ2428" s="37"/>
      <c r="BA2428" s="37"/>
      <c r="BB2428" s="37"/>
      <c r="BC2428" s="37"/>
      <c r="BD2428" s="37"/>
      <c r="BE2428" s="37"/>
      <c r="BF2428" s="37"/>
      <c r="BG2428" s="37"/>
      <c r="BH2428" s="37"/>
      <c r="BI2428" s="37"/>
      <c r="BJ2428" s="37"/>
      <c r="BK2428" s="37"/>
      <c r="BL2428" s="37"/>
      <c r="BM2428" s="37"/>
    </row>
    <row r="2429" spans="1:65" s="40" customFormat="1" ht="23.25" x14ac:dyDescent="0.35">
      <c r="A2429" s="37"/>
      <c r="B2429" s="37"/>
      <c r="C2429" s="41"/>
      <c r="D2429" s="38"/>
      <c r="E2429" s="57"/>
      <c r="F2429" s="42"/>
      <c r="G2429" s="43"/>
      <c r="H2429" s="37"/>
      <c r="I2429" s="37"/>
      <c r="J2429" s="38"/>
      <c r="K2429" s="37"/>
      <c r="L2429" s="38"/>
      <c r="M2429" s="39"/>
      <c r="P2429" s="37"/>
      <c r="Q2429" s="37"/>
      <c r="R2429" s="37"/>
      <c r="S2429" s="37"/>
      <c r="T2429" s="37"/>
      <c r="U2429" s="37"/>
      <c r="V2429" s="37"/>
      <c r="W2429" s="37"/>
      <c r="X2429" s="37"/>
      <c r="Y2429" s="37"/>
      <c r="Z2429" s="37"/>
      <c r="AA2429" s="37"/>
      <c r="AB2429" s="37"/>
      <c r="AC2429" s="37"/>
      <c r="AD2429" s="37"/>
      <c r="AE2429" s="37"/>
      <c r="AF2429" s="37"/>
      <c r="AG2429" s="37"/>
      <c r="AH2429" s="37"/>
      <c r="AI2429" s="37"/>
      <c r="AJ2429" s="37"/>
      <c r="AK2429" s="37"/>
      <c r="AL2429" s="37"/>
      <c r="AM2429" s="37"/>
      <c r="AN2429" s="37"/>
      <c r="AO2429" s="37"/>
      <c r="AP2429" s="37"/>
      <c r="AQ2429" s="37"/>
      <c r="AR2429" s="37"/>
      <c r="AS2429" s="37"/>
      <c r="AT2429" s="37"/>
      <c r="AU2429" s="37"/>
      <c r="AV2429" s="37"/>
      <c r="AW2429" s="37"/>
      <c r="AX2429" s="37"/>
      <c r="AY2429" s="37"/>
      <c r="AZ2429" s="37"/>
      <c r="BA2429" s="37"/>
      <c r="BB2429" s="37"/>
      <c r="BC2429" s="37"/>
      <c r="BD2429" s="37"/>
      <c r="BE2429" s="37"/>
      <c r="BF2429" s="37"/>
      <c r="BG2429" s="37"/>
      <c r="BH2429" s="37"/>
      <c r="BI2429" s="37"/>
      <c r="BJ2429" s="37"/>
      <c r="BK2429" s="37"/>
      <c r="BL2429" s="37"/>
      <c r="BM2429" s="37"/>
    </row>
    <row r="2430" spans="1:65" s="40" customFormat="1" ht="23.25" x14ac:dyDescent="0.35">
      <c r="A2430" s="37"/>
      <c r="B2430" s="37"/>
      <c r="C2430" s="41"/>
      <c r="D2430" s="38"/>
      <c r="E2430" s="57"/>
      <c r="F2430" s="42"/>
      <c r="G2430" s="43"/>
      <c r="H2430" s="37"/>
      <c r="I2430" s="37"/>
      <c r="J2430" s="38"/>
      <c r="K2430" s="37"/>
      <c r="L2430" s="38"/>
      <c r="M2430" s="39"/>
      <c r="P2430" s="37"/>
      <c r="Q2430" s="37"/>
      <c r="R2430" s="37"/>
      <c r="S2430" s="37"/>
      <c r="T2430" s="37"/>
      <c r="U2430" s="37"/>
      <c r="V2430" s="37"/>
      <c r="W2430" s="37"/>
      <c r="X2430" s="37"/>
      <c r="Y2430" s="37"/>
      <c r="Z2430" s="37"/>
      <c r="AA2430" s="37"/>
      <c r="AB2430" s="37"/>
      <c r="AC2430" s="37"/>
      <c r="AD2430" s="37"/>
      <c r="AE2430" s="37"/>
      <c r="AF2430" s="37"/>
      <c r="AG2430" s="37"/>
      <c r="AH2430" s="37"/>
      <c r="AI2430" s="37"/>
      <c r="AJ2430" s="37"/>
      <c r="AK2430" s="37"/>
      <c r="AL2430" s="37"/>
      <c r="AM2430" s="37"/>
      <c r="AN2430" s="37"/>
      <c r="AO2430" s="37"/>
      <c r="AP2430" s="37"/>
      <c r="AQ2430" s="37"/>
      <c r="AR2430" s="37"/>
      <c r="AS2430" s="37"/>
      <c r="AT2430" s="37"/>
      <c r="AU2430" s="37"/>
      <c r="AV2430" s="37"/>
      <c r="AW2430" s="37"/>
      <c r="AX2430" s="37"/>
      <c r="AY2430" s="37"/>
      <c r="AZ2430" s="37"/>
      <c r="BA2430" s="37"/>
      <c r="BB2430" s="37"/>
      <c r="BC2430" s="37"/>
      <c r="BD2430" s="37"/>
      <c r="BE2430" s="37"/>
      <c r="BF2430" s="37"/>
      <c r="BG2430" s="37"/>
      <c r="BH2430" s="37"/>
      <c r="BI2430" s="37"/>
      <c r="BJ2430" s="37"/>
      <c r="BK2430" s="37"/>
      <c r="BL2430" s="37"/>
      <c r="BM2430" s="37"/>
    </row>
    <row r="2431" spans="1:65" s="40" customFormat="1" ht="23.25" x14ac:dyDescent="0.35">
      <c r="A2431" s="37"/>
      <c r="B2431" s="37"/>
      <c r="C2431" s="41"/>
      <c r="D2431" s="38"/>
      <c r="E2431" s="57"/>
      <c r="F2431" s="42"/>
      <c r="G2431" s="43"/>
      <c r="H2431" s="37"/>
      <c r="I2431" s="37"/>
      <c r="J2431" s="38"/>
      <c r="K2431" s="37"/>
      <c r="L2431" s="38"/>
      <c r="M2431" s="39"/>
      <c r="P2431" s="37"/>
      <c r="Q2431" s="37"/>
      <c r="R2431" s="37"/>
      <c r="S2431" s="37"/>
      <c r="T2431" s="37"/>
      <c r="U2431" s="37"/>
      <c r="V2431" s="37"/>
      <c r="W2431" s="37"/>
      <c r="X2431" s="37"/>
      <c r="Y2431" s="37"/>
      <c r="Z2431" s="37"/>
      <c r="AA2431" s="37"/>
      <c r="AB2431" s="37"/>
      <c r="AC2431" s="37"/>
      <c r="AD2431" s="37"/>
      <c r="AE2431" s="37"/>
      <c r="AF2431" s="37"/>
      <c r="AG2431" s="37"/>
      <c r="AH2431" s="37"/>
      <c r="AI2431" s="37"/>
      <c r="AJ2431" s="37"/>
      <c r="AK2431" s="37"/>
      <c r="AL2431" s="37"/>
      <c r="AM2431" s="37"/>
      <c r="AN2431" s="37"/>
      <c r="AO2431" s="37"/>
      <c r="AP2431" s="37"/>
      <c r="AQ2431" s="37"/>
      <c r="AR2431" s="37"/>
      <c r="AS2431" s="37"/>
      <c r="AT2431" s="37"/>
      <c r="AU2431" s="37"/>
      <c r="AV2431" s="37"/>
      <c r="AW2431" s="37"/>
      <c r="AX2431" s="37"/>
      <c r="AY2431" s="37"/>
      <c r="AZ2431" s="37"/>
      <c r="BA2431" s="37"/>
      <c r="BB2431" s="37"/>
      <c r="BC2431" s="37"/>
      <c r="BD2431" s="37"/>
      <c r="BE2431" s="37"/>
      <c r="BF2431" s="37"/>
      <c r="BG2431" s="37"/>
      <c r="BH2431" s="37"/>
      <c r="BI2431" s="37"/>
      <c r="BJ2431" s="37"/>
      <c r="BK2431" s="37"/>
      <c r="BL2431" s="37"/>
      <c r="BM2431" s="37"/>
    </row>
    <row r="2432" spans="1:65" s="40" customFormat="1" ht="23.25" x14ac:dyDescent="0.35">
      <c r="A2432" s="37"/>
      <c r="B2432" s="37"/>
      <c r="C2432" s="41"/>
      <c r="D2432" s="38"/>
      <c r="E2432" s="57"/>
      <c r="F2432" s="42"/>
      <c r="G2432" s="43"/>
      <c r="H2432" s="37"/>
      <c r="I2432" s="37"/>
      <c r="J2432" s="38"/>
      <c r="K2432" s="37"/>
      <c r="L2432" s="38"/>
      <c r="M2432" s="39"/>
      <c r="P2432" s="37"/>
      <c r="Q2432" s="37"/>
      <c r="R2432" s="37"/>
      <c r="S2432" s="37"/>
      <c r="T2432" s="37"/>
      <c r="U2432" s="37"/>
      <c r="V2432" s="37"/>
      <c r="W2432" s="37"/>
      <c r="X2432" s="37"/>
      <c r="Y2432" s="37"/>
      <c r="Z2432" s="37"/>
      <c r="AA2432" s="37"/>
      <c r="AB2432" s="37"/>
      <c r="AC2432" s="37"/>
      <c r="AD2432" s="37"/>
      <c r="AE2432" s="37"/>
      <c r="AF2432" s="37"/>
      <c r="AG2432" s="37"/>
      <c r="AH2432" s="37"/>
      <c r="AI2432" s="37"/>
      <c r="AJ2432" s="37"/>
      <c r="AK2432" s="37"/>
      <c r="AL2432" s="37"/>
      <c r="AM2432" s="37"/>
      <c r="AN2432" s="37"/>
      <c r="AO2432" s="37"/>
      <c r="AP2432" s="37"/>
      <c r="AQ2432" s="37"/>
      <c r="AR2432" s="37"/>
      <c r="AS2432" s="37"/>
      <c r="AT2432" s="37"/>
      <c r="AU2432" s="37"/>
      <c r="AV2432" s="37"/>
      <c r="AW2432" s="37"/>
      <c r="AX2432" s="37"/>
      <c r="AY2432" s="37"/>
      <c r="AZ2432" s="37"/>
      <c r="BA2432" s="37"/>
      <c r="BB2432" s="37"/>
      <c r="BC2432" s="37"/>
      <c r="BD2432" s="37"/>
      <c r="BE2432" s="37"/>
      <c r="BF2432" s="37"/>
      <c r="BG2432" s="37"/>
      <c r="BH2432" s="37"/>
      <c r="BI2432" s="37"/>
      <c r="BJ2432" s="37"/>
      <c r="BK2432" s="37"/>
      <c r="BL2432" s="37"/>
      <c r="BM2432" s="37"/>
    </row>
    <row r="2433" spans="1:65" s="40" customFormat="1" ht="23.25" x14ac:dyDescent="0.35">
      <c r="A2433" s="37"/>
      <c r="B2433" s="37"/>
      <c r="C2433" s="41"/>
      <c r="D2433" s="38"/>
      <c r="E2433" s="57"/>
      <c r="F2433" s="42"/>
      <c r="G2433" s="43"/>
      <c r="H2433" s="37"/>
      <c r="I2433" s="37"/>
      <c r="J2433" s="38"/>
      <c r="K2433" s="37"/>
      <c r="L2433" s="38"/>
      <c r="M2433" s="39"/>
      <c r="P2433" s="37"/>
      <c r="Q2433" s="37"/>
      <c r="R2433" s="37"/>
      <c r="S2433" s="37"/>
      <c r="T2433" s="37"/>
      <c r="U2433" s="37"/>
      <c r="V2433" s="37"/>
      <c r="W2433" s="37"/>
      <c r="X2433" s="37"/>
      <c r="Y2433" s="37"/>
      <c r="Z2433" s="37"/>
      <c r="AA2433" s="37"/>
      <c r="AB2433" s="37"/>
      <c r="AC2433" s="37"/>
      <c r="AD2433" s="37"/>
      <c r="AE2433" s="37"/>
      <c r="AF2433" s="37"/>
      <c r="AG2433" s="37"/>
      <c r="AH2433" s="37"/>
      <c r="AI2433" s="37"/>
      <c r="AJ2433" s="37"/>
      <c r="AK2433" s="37"/>
      <c r="AL2433" s="37"/>
      <c r="AM2433" s="37"/>
      <c r="AN2433" s="37"/>
      <c r="AO2433" s="37"/>
      <c r="AP2433" s="37"/>
      <c r="AQ2433" s="37"/>
      <c r="AR2433" s="37"/>
      <c r="AS2433" s="37"/>
      <c r="AT2433" s="37"/>
      <c r="AU2433" s="37"/>
      <c r="AV2433" s="37"/>
      <c r="AW2433" s="37"/>
      <c r="AX2433" s="37"/>
      <c r="AY2433" s="37"/>
      <c r="AZ2433" s="37"/>
      <c r="BA2433" s="37"/>
      <c r="BB2433" s="37"/>
      <c r="BC2433" s="37"/>
      <c r="BD2433" s="37"/>
      <c r="BE2433" s="37"/>
      <c r="BF2433" s="37"/>
      <c r="BG2433" s="37"/>
      <c r="BH2433" s="37"/>
      <c r="BI2433" s="37"/>
      <c r="BJ2433" s="37"/>
      <c r="BK2433" s="37"/>
      <c r="BL2433" s="37"/>
      <c r="BM2433" s="37"/>
    </row>
    <row r="2434" spans="1:65" s="40" customFormat="1" ht="23.25" x14ac:dyDescent="0.35">
      <c r="A2434" s="37"/>
      <c r="B2434" s="37"/>
      <c r="C2434" s="41"/>
      <c r="D2434" s="38"/>
      <c r="E2434" s="57"/>
      <c r="F2434" s="42"/>
      <c r="G2434" s="43"/>
      <c r="H2434" s="37"/>
      <c r="I2434" s="37"/>
      <c r="J2434" s="38"/>
      <c r="K2434" s="37"/>
      <c r="L2434" s="38"/>
      <c r="M2434" s="39"/>
      <c r="P2434" s="37"/>
      <c r="Q2434" s="37"/>
      <c r="R2434" s="37"/>
      <c r="S2434" s="37"/>
      <c r="T2434" s="37"/>
      <c r="U2434" s="37"/>
      <c r="V2434" s="37"/>
      <c r="W2434" s="37"/>
      <c r="X2434" s="37"/>
      <c r="Y2434" s="37"/>
      <c r="Z2434" s="37"/>
      <c r="AA2434" s="37"/>
      <c r="AB2434" s="37"/>
      <c r="AC2434" s="37"/>
      <c r="AD2434" s="37"/>
      <c r="AE2434" s="37"/>
      <c r="AF2434" s="37"/>
      <c r="AG2434" s="37"/>
      <c r="AH2434" s="37"/>
      <c r="AI2434" s="37"/>
      <c r="AJ2434" s="37"/>
      <c r="AK2434" s="37"/>
      <c r="AL2434" s="37"/>
      <c r="AM2434" s="37"/>
      <c r="AN2434" s="37"/>
      <c r="AO2434" s="37"/>
      <c r="AP2434" s="37"/>
      <c r="AQ2434" s="37"/>
      <c r="AR2434" s="37"/>
      <c r="AS2434" s="37"/>
      <c r="AT2434" s="37"/>
      <c r="AU2434" s="37"/>
      <c r="AV2434" s="37"/>
      <c r="AW2434" s="37"/>
      <c r="AX2434" s="37"/>
      <c r="AY2434" s="37"/>
      <c r="AZ2434" s="37"/>
      <c r="BA2434" s="37"/>
      <c r="BB2434" s="37"/>
      <c r="BC2434" s="37"/>
      <c r="BD2434" s="37"/>
      <c r="BE2434" s="37"/>
      <c r="BF2434" s="37"/>
      <c r="BG2434" s="37"/>
      <c r="BH2434" s="37"/>
      <c r="BI2434" s="37"/>
      <c r="BJ2434" s="37"/>
      <c r="BK2434" s="37"/>
      <c r="BL2434" s="37"/>
      <c r="BM2434" s="37"/>
    </row>
    <row r="2435" spans="1:65" s="40" customFormat="1" ht="23.25" x14ac:dyDescent="0.35">
      <c r="A2435" s="37"/>
      <c r="B2435" s="37"/>
      <c r="C2435" s="41"/>
      <c r="D2435" s="38"/>
      <c r="E2435" s="57"/>
      <c r="F2435" s="42"/>
      <c r="G2435" s="43"/>
      <c r="H2435" s="37"/>
      <c r="I2435" s="37"/>
      <c r="J2435" s="38"/>
      <c r="K2435" s="37"/>
      <c r="L2435" s="38"/>
      <c r="M2435" s="39"/>
      <c r="P2435" s="37"/>
      <c r="Q2435" s="37"/>
      <c r="R2435" s="37"/>
      <c r="S2435" s="37"/>
      <c r="T2435" s="37"/>
      <c r="U2435" s="37"/>
      <c r="V2435" s="37"/>
      <c r="W2435" s="37"/>
      <c r="X2435" s="37"/>
      <c r="Y2435" s="37"/>
      <c r="Z2435" s="37"/>
      <c r="AA2435" s="37"/>
      <c r="AB2435" s="37"/>
      <c r="AC2435" s="37"/>
      <c r="AD2435" s="37"/>
      <c r="AE2435" s="37"/>
      <c r="AF2435" s="37"/>
      <c r="AG2435" s="37"/>
      <c r="AH2435" s="37"/>
      <c r="AI2435" s="37"/>
      <c r="AJ2435" s="37"/>
      <c r="AK2435" s="37"/>
      <c r="AL2435" s="37"/>
      <c r="AM2435" s="37"/>
      <c r="AN2435" s="37"/>
      <c r="AO2435" s="37"/>
      <c r="AP2435" s="37"/>
      <c r="AQ2435" s="37"/>
      <c r="AR2435" s="37"/>
      <c r="AS2435" s="37"/>
      <c r="AT2435" s="37"/>
      <c r="AU2435" s="37"/>
      <c r="AV2435" s="37"/>
      <c r="AW2435" s="37"/>
      <c r="AX2435" s="37"/>
      <c r="AY2435" s="37"/>
      <c r="AZ2435" s="37"/>
      <c r="BA2435" s="37"/>
      <c r="BB2435" s="37"/>
      <c r="BC2435" s="37"/>
      <c r="BD2435" s="37"/>
      <c r="BE2435" s="37"/>
      <c r="BF2435" s="37"/>
      <c r="BG2435" s="37"/>
      <c r="BH2435" s="37"/>
      <c r="BI2435" s="37"/>
      <c r="BJ2435" s="37"/>
      <c r="BK2435" s="37"/>
      <c r="BL2435" s="37"/>
      <c r="BM2435" s="37"/>
    </row>
    <row r="2436" spans="1:65" s="40" customFormat="1" ht="23.25" x14ac:dyDescent="0.35">
      <c r="A2436" s="37"/>
      <c r="B2436" s="37"/>
      <c r="C2436" s="41"/>
      <c r="D2436" s="38"/>
      <c r="E2436" s="57"/>
      <c r="F2436" s="42"/>
      <c r="G2436" s="43"/>
      <c r="H2436" s="37"/>
      <c r="I2436" s="37"/>
      <c r="J2436" s="38"/>
      <c r="K2436" s="37"/>
      <c r="L2436" s="38"/>
      <c r="M2436" s="39"/>
      <c r="P2436" s="37"/>
      <c r="Q2436" s="37"/>
      <c r="R2436" s="37"/>
      <c r="S2436" s="37"/>
      <c r="T2436" s="37"/>
      <c r="U2436" s="37"/>
      <c r="V2436" s="37"/>
      <c r="W2436" s="37"/>
      <c r="X2436" s="37"/>
      <c r="Y2436" s="37"/>
      <c r="Z2436" s="37"/>
      <c r="AA2436" s="37"/>
      <c r="AB2436" s="37"/>
      <c r="AC2436" s="37"/>
      <c r="AD2436" s="37"/>
      <c r="AE2436" s="37"/>
      <c r="AF2436" s="37"/>
      <c r="AG2436" s="37"/>
      <c r="AH2436" s="37"/>
      <c r="AI2436" s="37"/>
      <c r="AJ2436" s="37"/>
      <c r="AK2436" s="37"/>
      <c r="AL2436" s="37"/>
      <c r="AM2436" s="37"/>
      <c r="AN2436" s="37"/>
      <c r="AO2436" s="37"/>
      <c r="AP2436" s="37"/>
      <c r="AQ2436" s="37"/>
      <c r="AR2436" s="37"/>
      <c r="AS2436" s="37"/>
      <c r="AT2436" s="37"/>
      <c r="AU2436" s="37"/>
      <c r="AV2436" s="37"/>
      <c r="AW2436" s="37"/>
      <c r="AX2436" s="37"/>
      <c r="AY2436" s="37"/>
      <c r="AZ2436" s="37"/>
      <c r="BA2436" s="37"/>
      <c r="BB2436" s="37"/>
      <c r="BC2436" s="37"/>
      <c r="BD2436" s="37"/>
      <c r="BE2436" s="37"/>
      <c r="BF2436" s="37"/>
      <c r="BG2436" s="37"/>
      <c r="BH2436" s="37"/>
      <c r="BI2436" s="37"/>
      <c r="BJ2436" s="37"/>
      <c r="BK2436" s="37"/>
      <c r="BL2436" s="37"/>
      <c r="BM2436" s="37"/>
    </row>
    <row r="2437" spans="1:65" s="40" customFormat="1" ht="23.25" x14ac:dyDescent="0.35">
      <c r="A2437" s="37"/>
      <c r="B2437" s="37"/>
      <c r="C2437" s="41"/>
      <c r="D2437" s="38"/>
      <c r="E2437" s="57"/>
      <c r="F2437" s="42"/>
      <c r="G2437" s="43"/>
      <c r="H2437" s="37"/>
      <c r="I2437" s="37"/>
      <c r="J2437" s="38"/>
      <c r="K2437" s="37"/>
      <c r="L2437" s="38"/>
      <c r="M2437" s="39"/>
      <c r="P2437" s="37"/>
      <c r="Q2437" s="37"/>
      <c r="R2437" s="37"/>
      <c r="S2437" s="37"/>
      <c r="T2437" s="37"/>
      <c r="U2437" s="37"/>
      <c r="V2437" s="37"/>
      <c r="W2437" s="37"/>
      <c r="X2437" s="37"/>
      <c r="Y2437" s="37"/>
      <c r="Z2437" s="37"/>
      <c r="AA2437" s="37"/>
      <c r="AB2437" s="37"/>
      <c r="AC2437" s="37"/>
      <c r="AD2437" s="37"/>
      <c r="AE2437" s="37"/>
      <c r="AF2437" s="37"/>
      <c r="AG2437" s="37"/>
      <c r="AH2437" s="37"/>
      <c r="AI2437" s="37"/>
      <c r="AJ2437" s="37"/>
      <c r="AK2437" s="37"/>
      <c r="AL2437" s="37"/>
      <c r="AM2437" s="37"/>
      <c r="AN2437" s="37"/>
      <c r="AO2437" s="37"/>
      <c r="AP2437" s="37"/>
      <c r="AQ2437" s="37"/>
      <c r="AR2437" s="37"/>
      <c r="AS2437" s="37"/>
      <c r="AT2437" s="37"/>
      <c r="AU2437" s="37"/>
      <c r="AV2437" s="37"/>
      <c r="AW2437" s="37"/>
      <c r="AX2437" s="37"/>
      <c r="AY2437" s="37"/>
      <c r="AZ2437" s="37"/>
      <c r="BA2437" s="37"/>
      <c r="BB2437" s="37"/>
      <c r="BC2437" s="37"/>
      <c r="BD2437" s="37"/>
      <c r="BE2437" s="37"/>
      <c r="BF2437" s="37"/>
      <c r="BG2437" s="37"/>
      <c r="BH2437" s="37"/>
      <c r="BI2437" s="37"/>
      <c r="BJ2437" s="37"/>
      <c r="BK2437" s="37"/>
      <c r="BL2437" s="37"/>
      <c r="BM2437" s="37"/>
    </row>
    <row r="2438" spans="1:65" s="40" customFormat="1" ht="23.25" x14ac:dyDescent="0.35">
      <c r="A2438" s="37"/>
      <c r="B2438" s="37"/>
      <c r="C2438" s="41"/>
      <c r="D2438" s="38"/>
      <c r="E2438" s="57"/>
      <c r="F2438" s="42"/>
      <c r="G2438" s="43"/>
      <c r="H2438" s="37"/>
      <c r="I2438" s="37"/>
      <c r="J2438" s="38"/>
      <c r="K2438" s="37"/>
      <c r="L2438" s="38"/>
      <c r="M2438" s="39"/>
      <c r="P2438" s="37"/>
      <c r="Q2438" s="37"/>
      <c r="R2438" s="37"/>
      <c r="S2438" s="37"/>
      <c r="T2438" s="37"/>
      <c r="U2438" s="37"/>
      <c r="V2438" s="37"/>
      <c r="W2438" s="37"/>
      <c r="X2438" s="37"/>
      <c r="Y2438" s="37"/>
      <c r="Z2438" s="37"/>
      <c r="AA2438" s="37"/>
      <c r="AB2438" s="37"/>
      <c r="AC2438" s="37"/>
      <c r="AD2438" s="37"/>
      <c r="AE2438" s="37"/>
      <c r="AF2438" s="37"/>
      <c r="AG2438" s="37"/>
      <c r="AH2438" s="37"/>
      <c r="AI2438" s="37"/>
      <c r="AJ2438" s="37"/>
      <c r="AK2438" s="37"/>
      <c r="AL2438" s="37"/>
      <c r="AM2438" s="37"/>
      <c r="AN2438" s="37"/>
      <c r="AO2438" s="37"/>
      <c r="AP2438" s="37"/>
      <c r="AQ2438" s="37"/>
      <c r="AR2438" s="37"/>
      <c r="AS2438" s="37"/>
      <c r="AT2438" s="37"/>
      <c r="AU2438" s="37"/>
      <c r="AV2438" s="37"/>
      <c r="AW2438" s="37"/>
      <c r="AX2438" s="37"/>
      <c r="AY2438" s="37"/>
      <c r="AZ2438" s="37"/>
      <c r="BA2438" s="37"/>
      <c r="BB2438" s="37"/>
      <c r="BC2438" s="37"/>
      <c r="BD2438" s="37"/>
      <c r="BE2438" s="37"/>
      <c r="BF2438" s="37"/>
      <c r="BG2438" s="37"/>
      <c r="BH2438" s="37"/>
      <c r="BI2438" s="37"/>
      <c r="BJ2438" s="37"/>
      <c r="BK2438" s="37"/>
      <c r="BL2438" s="37"/>
      <c r="BM2438" s="37"/>
    </row>
    <row r="2439" spans="1:65" s="40" customFormat="1" ht="23.25" x14ac:dyDescent="0.35">
      <c r="A2439" s="37"/>
      <c r="B2439" s="37"/>
      <c r="C2439" s="41"/>
      <c r="D2439" s="38"/>
      <c r="E2439" s="57"/>
      <c r="F2439" s="42"/>
      <c r="G2439" s="43"/>
      <c r="H2439" s="37"/>
      <c r="I2439" s="37"/>
      <c r="J2439" s="38"/>
      <c r="K2439" s="37"/>
      <c r="L2439" s="38"/>
      <c r="M2439" s="39"/>
      <c r="P2439" s="37"/>
      <c r="Q2439" s="37"/>
      <c r="R2439" s="37"/>
      <c r="S2439" s="37"/>
      <c r="T2439" s="37"/>
      <c r="U2439" s="37"/>
      <c r="V2439" s="37"/>
      <c r="W2439" s="37"/>
      <c r="X2439" s="37"/>
      <c r="Y2439" s="37"/>
      <c r="Z2439" s="37"/>
      <c r="AA2439" s="37"/>
      <c r="AB2439" s="37"/>
      <c r="AC2439" s="37"/>
      <c r="AD2439" s="37"/>
      <c r="AE2439" s="37"/>
      <c r="AF2439" s="37"/>
      <c r="AG2439" s="37"/>
      <c r="AH2439" s="37"/>
      <c r="AI2439" s="37"/>
      <c r="AJ2439" s="37"/>
      <c r="AK2439" s="37"/>
      <c r="AL2439" s="37"/>
      <c r="AM2439" s="37"/>
      <c r="AN2439" s="37"/>
      <c r="AO2439" s="37"/>
      <c r="AP2439" s="37"/>
      <c r="AQ2439" s="37"/>
      <c r="AR2439" s="37"/>
      <c r="AS2439" s="37"/>
      <c r="AT2439" s="37"/>
      <c r="AU2439" s="37"/>
      <c r="AV2439" s="37"/>
      <c r="AW2439" s="37"/>
      <c r="AX2439" s="37"/>
      <c r="AY2439" s="37"/>
      <c r="AZ2439" s="37"/>
      <c r="BA2439" s="37"/>
      <c r="BB2439" s="37"/>
      <c r="BC2439" s="37"/>
      <c r="BD2439" s="37"/>
      <c r="BE2439" s="37"/>
      <c r="BF2439" s="37"/>
      <c r="BG2439" s="37"/>
      <c r="BH2439" s="37"/>
      <c r="BI2439" s="37"/>
      <c r="BJ2439" s="37"/>
      <c r="BK2439" s="37"/>
      <c r="BL2439" s="37"/>
      <c r="BM2439" s="37"/>
    </row>
    <row r="2440" spans="1:65" s="40" customFormat="1" ht="23.25" x14ac:dyDescent="0.35">
      <c r="A2440" s="37"/>
      <c r="B2440" s="37"/>
      <c r="C2440" s="41"/>
      <c r="D2440" s="38"/>
      <c r="E2440" s="57"/>
      <c r="F2440" s="42"/>
      <c r="G2440" s="43"/>
      <c r="H2440" s="37"/>
      <c r="I2440" s="37"/>
      <c r="J2440" s="38"/>
      <c r="K2440" s="37"/>
      <c r="L2440" s="38"/>
      <c r="M2440" s="39"/>
      <c r="P2440" s="37"/>
      <c r="Q2440" s="37"/>
      <c r="R2440" s="37"/>
      <c r="S2440" s="37"/>
      <c r="T2440" s="37"/>
      <c r="U2440" s="37"/>
      <c r="V2440" s="37"/>
      <c r="W2440" s="37"/>
      <c r="X2440" s="37"/>
      <c r="Y2440" s="37"/>
      <c r="Z2440" s="37"/>
      <c r="AA2440" s="37"/>
      <c r="AB2440" s="37"/>
      <c r="AC2440" s="37"/>
      <c r="AD2440" s="37"/>
      <c r="AE2440" s="37"/>
      <c r="AF2440" s="37"/>
      <c r="AG2440" s="37"/>
      <c r="AH2440" s="37"/>
      <c r="AI2440" s="37"/>
      <c r="AJ2440" s="37"/>
      <c r="AK2440" s="37"/>
      <c r="AL2440" s="37"/>
      <c r="AM2440" s="37"/>
      <c r="AN2440" s="37"/>
      <c r="AO2440" s="37"/>
      <c r="AP2440" s="37"/>
      <c r="AQ2440" s="37"/>
      <c r="AR2440" s="37"/>
      <c r="AS2440" s="37"/>
      <c r="AT2440" s="37"/>
      <c r="AU2440" s="37"/>
      <c r="AV2440" s="37"/>
      <c r="AW2440" s="37"/>
      <c r="AX2440" s="37"/>
      <c r="AY2440" s="37"/>
      <c r="AZ2440" s="37"/>
      <c r="BA2440" s="37"/>
      <c r="BB2440" s="37"/>
      <c r="BC2440" s="37"/>
      <c r="BD2440" s="37"/>
      <c r="BE2440" s="37"/>
      <c r="BF2440" s="37"/>
      <c r="BG2440" s="37"/>
      <c r="BH2440" s="37"/>
      <c r="BI2440" s="37"/>
      <c r="BJ2440" s="37"/>
      <c r="BK2440" s="37"/>
      <c r="BL2440" s="37"/>
      <c r="BM2440" s="37"/>
    </row>
    <row r="2441" spans="1:65" s="40" customFormat="1" ht="23.25" x14ac:dyDescent="0.35">
      <c r="A2441" s="37"/>
      <c r="B2441" s="37"/>
      <c r="C2441" s="41"/>
      <c r="D2441" s="38"/>
      <c r="E2441" s="57"/>
      <c r="F2441" s="42"/>
      <c r="G2441" s="43"/>
      <c r="H2441" s="37"/>
      <c r="I2441" s="37"/>
      <c r="J2441" s="38"/>
      <c r="K2441" s="37"/>
      <c r="L2441" s="38"/>
      <c r="M2441" s="39"/>
      <c r="P2441" s="37"/>
      <c r="Q2441" s="37"/>
      <c r="R2441" s="37"/>
      <c r="S2441" s="37"/>
      <c r="T2441" s="37"/>
      <c r="U2441" s="37"/>
      <c r="V2441" s="37"/>
      <c r="W2441" s="37"/>
      <c r="X2441" s="37"/>
      <c r="Y2441" s="37"/>
      <c r="Z2441" s="37"/>
      <c r="AA2441" s="37"/>
      <c r="AB2441" s="37"/>
      <c r="AC2441" s="37"/>
      <c r="AD2441" s="37"/>
      <c r="AE2441" s="37"/>
      <c r="AF2441" s="37"/>
      <c r="AG2441" s="37"/>
      <c r="AH2441" s="37"/>
      <c r="AI2441" s="37"/>
      <c r="AJ2441" s="37"/>
      <c r="AK2441" s="37"/>
      <c r="AL2441" s="37"/>
      <c r="AM2441" s="37"/>
      <c r="AN2441" s="37"/>
      <c r="AO2441" s="37"/>
      <c r="AP2441" s="37"/>
      <c r="AQ2441" s="37"/>
      <c r="AR2441" s="37"/>
      <c r="AS2441" s="37"/>
      <c r="AT2441" s="37"/>
      <c r="AU2441" s="37"/>
      <c r="AV2441" s="37"/>
      <c r="AW2441" s="37"/>
      <c r="AX2441" s="37"/>
      <c r="AY2441" s="37"/>
      <c r="AZ2441" s="37"/>
      <c r="BA2441" s="37"/>
      <c r="BB2441" s="37"/>
      <c r="BC2441" s="37"/>
      <c r="BD2441" s="37"/>
      <c r="BE2441" s="37"/>
      <c r="BF2441" s="37"/>
      <c r="BG2441" s="37"/>
      <c r="BH2441" s="37"/>
      <c r="BI2441" s="37"/>
      <c r="BJ2441" s="37"/>
      <c r="BK2441" s="37"/>
      <c r="BL2441" s="37"/>
      <c r="BM2441" s="37"/>
    </row>
    <row r="2442" spans="1:65" s="40" customFormat="1" ht="23.25" x14ac:dyDescent="0.35">
      <c r="A2442" s="37"/>
      <c r="B2442" s="37"/>
      <c r="C2442" s="41"/>
      <c r="D2442" s="38"/>
      <c r="E2442" s="57"/>
      <c r="F2442" s="42"/>
      <c r="G2442" s="43"/>
      <c r="H2442" s="37"/>
      <c r="I2442" s="37"/>
      <c r="J2442" s="38"/>
      <c r="K2442" s="37"/>
      <c r="L2442" s="38"/>
      <c r="M2442" s="39"/>
      <c r="P2442" s="37"/>
      <c r="Q2442" s="37"/>
      <c r="R2442" s="37"/>
      <c r="S2442" s="37"/>
      <c r="T2442" s="37"/>
      <c r="U2442" s="37"/>
      <c r="V2442" s="37"/>
      <c r="W2442" s="37"/>
      <c r="X2442" s="37"/>
      <c r="Y2442" s="37"/>
      <c r="Z2442" s="37"/>
      <c r="AA2442" s="37"/>
      <c r="AB2442" s="37"/>
      <c r="AC2442" s="37"/>
      <c r="AD2442" s="37"/>
      <c r="AE2442" s="37"/>
      <c r="AF2442" s="37"/>
      <c r="AG2442" s="37"/>
      <c r="AH2442" s="37"/>
      <c r="AI2442" s="37"/>
      <c r="AJ2442" s="37"/>
      <c r="AK2442" s="37"/>
      <c r="AL2442" s="37"/>
      <c r="AM2442" s="37"/>
      <c r="AN2442" s="37"/>
      <c r="AO2442" s="37"/>
      <c r="AP2442" s="37"/>
      <c r="AQ2442" s="37"/>
      <c r="AR2442" s="37"/>
      <c r="AS2442" s="37"/>
      <c r="AT2442" s="37"/>
      <c r="AU2442" s="37"/>
      <c r="AV2442" s="37"/>
      <c r="AW2442" s="37"/>
      <c r="AX2442" s="37"/>
      <c r="AY2442" s="37"/>
      <c r="AZ2442" s="37"/>
      <c r="BA2442" s="37"/>
      <c r="BB2442" s="37"/>
      <c r="BC2442" s="37"/>
      <c r="BD2442" s="37"/>
      <c r="BE2442" s="37"/>
      <c r="BF2442" s="37"/>
      <c r="BG2442" s="37"/>
      <c r="BH2442" s="37"/>
      <c r="BI2442" s="37"/>
      <c r="BJ2442" s="37"/>
      <c r="BK2442" s="37"/>
      <c r="BL2442" s="37"/>
      <c r="BM2442" s="37"/>
    </row>
    <row r="2443" spans="1:65" s="40" customFormat="1" ht="23.25" x14ac:dyDescent="0.35">
      <c r="A2443" s="37"/>
      <c r="B2443" s="37"/>
      <c r="C2443" s="41"/>
      <c r="D2443" s="38"/>
      <c r="E2443" s="57"/>
      <c r="F2443" s="42"/>
      <c r="G2443" s="43"/>
      <c r="H2443" s="37"/>
      <c r="I2443" s="37"/>
      <c r="J2443" s="38"/>
      <c r="K2443" s="37"/>
      <c r="L2443" s="38"/>
      <c r="M2443" s="39"/>
      <c r="P2443" s="37"/>
      <c r="Q2443" s="37"/>
      <c r="R2443" s="37"/>
      <c r="S2443" s="37"/>
      <c r="T2443" s="37"/>
      <c r="U2443" s="37"/>
      <c r="V2443" s="37"/>
      <c r="W2443" s="37"/>
      <c r="X2443" s="37"/>
      <c r="Y2443" s="37"/>
      <c r="Z2443" s="37"/>
      <c r="AA2443" s="37"/>
      <c r="AB2443" s="37"/>
      <c r="AC2443" s="37"/>
      <c r="AD2443" s="37"/>
      <c r="AE2443" s="37"/>
      <c r="AF2443" s="37"/>
      <c r="AG2443" s="37"/>
      <c r="AH2443" s="37"/>
      <c r="AI2443" s="37"/>
      <c r="AJ2443" s="37"/>
      <c r="AK2443" s="37"/>
      <c r="AL2443" s="37"/>
      <c r="AM2443" s="37"/>
      <c r="AN2443" s="37"/>
      <c r="AO2443" s="37"/>
      <c r="AP2443" s="37"/>
      <c r="AQ2443" s="37"/>
      <c r="AR2443" s="37"/>
      <c r="AS2443" s="37"/>
      <c r="AT2443" s="37"/>
      <c r="AU2443" s="37"/>
      <c r="AV2443" s="37"/>
      <c r="AW2443" s="37"/>
      <c r="AX2443" s="37"/>
      <c r="AY2443" s="37"/>
      <c r="AZ2443" s="37"/>
      <c r="BA2443" s="37"/>
      <c r="BB2443" s="37"/>
      <c r="BC2443" s="37"/>
      <c r="BD2443" s="37"/>
      <c r="BE2443" s="37"/>
      <c r="BF2443" s="37"/>
      <c r="BG2443" s="37"/>
      <c r="BH2443" s="37"/>
      <c r="BI2443" s="37"/>
      <c r="BJ2443" s="37"/>
      <c r="BK2443" s="37"/>
      <c r="BL2443" s="37"/>
      <c r="BM2443" s="37"/>
    </row>
    <row r="2444" spans="1:65" s="40" customFormat="1" ht="23.25" x14ac:dyDescent="0.35">
      <c r="A2444" s="37"/>
      <c r="B2444" s="37"/>
      <c r="C2444" s="41"/>
      <c r="D2444" s="38"/>
      <c r="E2444" s="57"/>
      <c r="F2444" s="42"/>
      <c r="G2444" s="43"/>
      <c r="H2444" s="37"/>
      <c r="I2444" s="37"/>
      <c r="J2444" s="38"/>
      <c r="K2444" s="37"/>
      <c r="L2444" s="38"/>
      <c r="M2444" s="39"/>
      <c r="P2444" s="37"/>
      <c r="Q2444" s="37"/>
      <c r="R2444" s="37"/>
      <c r="S2444" s="37"/>
      <c r="T2444" s="37"/>
      <c r="U2444" s="37"/>
      <c r="V2444" s="37"/>
      <c r="W2444" s="37"/>
      <c r="X2444" s="37"/>
      <c r="Y2444" s="37"/>
      <c r="Z2444" s="37"/>
      <c r="AA2444" s="37"/>
      <c r="AB2444" s="37"/>
      <c r="AC2444" s="37"/>
      <c r="AD2444" s="37"/>
      <c r="AE2444" s="37"/>
      <c r="AF2444" s="37"/>
      <c r="AG2444" s="37"/>
      <c r="AH2444" s="37"/>
      <c r="AI2444" s="37"/>
      <c r="AJ2444" s="37"/>
      <c r="AK2444" s="37"/>
      <c r="AL2444" s="37"/>
      <c r="AM2444" s="37"/>
      <c r="AN2444" s="37"/>
      <c r="AO2444" s="37"/>
      <c r="AP2444" s="37"/>
      <c r="AQ2444" s="37"/>
      <c r="AR2444" s="37"/>
      <c r="AS2444" s="37"/>
      <c r="AT2444" s="37"/>
      <c r="AU2444" s="37"/>
      <c r="AV2444" s="37"/>
      <c r="AW2444" s="37"/>
      <c r="AX2444" s="37"/>
      <c r="AY2444" s="37"/>
      <c r="AZ2444" s="37"/>
      <c r="BA2444" s="37"/>
      <c r="BB2444" s="37"/>
      <c r="BC2444" s="37"/>
      <c r="BD2444" s="37"/>
      <c r="BE2444" s="37"/>
      <c r="BF2444" s="37"/>
      <c r="BG2444" s="37"/>
      <c r="BH2444" s="37"/>
      <c r="BI2444" s="37"/>
      <c r="BJ2444" s="37"/>
      <c r="BK2444" s="37"/>
      <c r="BL2444" s="37"/>
      <c r="BM2444" s="37"/>
    </row>
    <row r="2445" spans="1:65" s="40" customFormat="1" ht="23.25" x14ac:dyDescent="0.35">
      <c r="A2445" s="37"/>
      <c r="B2445" s="37"/>
      <c r="C2445" s="41"/>
      <c r="D2445" s="38"/>
      <c r="E2445" s="57"/>
      <c r="F2445" s="42"/>
      <c r="G2445" s="43"/>
      <c r="H2445" s="37"/>
      <c r="I2445" s="37"/>
      <c r="J2445" s="38"/>
      <c r="K2445" s="37"/>
      <c r="L2445" s="38"/>
      <c r="M2445" s="39"/>
      <c r="P2445" s="37"/>
      <c r="Q2445" s="37"/>
      <c r="R2445" s="37"/>
      <c r="S2445" s="37"/>
      <c r="T2445" s="37"/>
      <c r="U2445" s="37"/>
      <c r="V2445" s="37"/>
      <c r="W2445" s="37"/>
      <c r="X2445" s="37"/>
      <c r="Y2445" s="37"/>
      <c r="Z2445" s="37"/>
      <c r="AA2445" s="37"/>
      <c r="AB2445" s="37"/>
      <c r="AC2445" s="37"/>
      <c r="AD2445" s="37"/>
      <c r="AE2445" s="37"/>
      <c r="AF2445" s="37"/>
      <c r="AG2445" s="37"/>
      <c r="AH2445" s="37"/>
      <c r="AI2445" s="37"/>
      <c r="AJ2445" s="37"/>
      <c r="AK2445" s="37"/>
      <c r="AL2445" s="37"/>
      <c r="AM2445" s="37"/>
      <c r="AN2445" s="37"/>
      <c r="AO2445" s="37"/>
      <c r="AP2445" s="37"/>
      <c r="AQ2445" s="37"/>
      <c r="AR2445" s="37"/>
      <c r="AS2445" s="37"/>
      <c r="AT2445" s="37"/>
      <c r="AU2445" s="37"/>
      <c r="AV2445" s="37"/>
      <c r="AW2445" s="37"/>
      <c r="AX2445" s="37"/>
      <c r="AY2445" s="37"/>
      <c r="AZ2445" s="37"/>
      <c r="BA2445" s="37"/>
      <c r="BB2445" s="37"/>
      <c r="BC2445" s="37"/>
      <c r="BD2445" s="37"/>
      <c r="BE2445" s="37"/>
      <c r="BF2445" s="37"/>
      <c r="BG2445" s="37"/>
      <c r="BH2445" s="37"/>
      <c r="BI2445" s="37"/>
      <c r="BJ2445" s="37"/>
      <c r="BK2445" s="37"/>
      <c r="BL2445" s="37"/>
      <c r="BM2445" s="37"/>
    </row>
    <row r="2446" spans="1:65" s="40" customFormat="1" ht="23.25" x14ac:dyDescent="0.35">
      <c r="A2446" s="37"/>
      <c r="B2446" s="37"/>
      <c r="C2446" s="41"/>
      <c r="D2446" s="38"/>
      <c r="E2446" s="57"/>
      <c r="F2446" s="42"/>
      <c r="G2446" s="43"/>
      <c r="H2446" s="37"/>
      <c r="I2446" s="37"/>
      <c r="J2446" s="38"/>
      <c r="K2446" s="37"/>
      <c r="L2446" s="38"/>
      <c r="M2446" s="39"/>
      <c r="P2446" s="37"/>
      <c r="Q2446" s="37"/>
      <c r="R2446" s="37"/>
      <c r="S2446" s="37"/>
      <c r="T2446" s="37"/>
      <c r="U2446" s="37"/>
      <c r="V2446" s="37"/>
      <c r="W2446" s="37"/>
      <c r="X2446" s="37"/>
      <c r="Y2446" s="37"/>
      <c r="Z2446" s="37"/>
      <c r="AA2446" s="37"/>
      <c r="AB2446" s="37"/>
      <c r="AC2446" s="37"/>
      <c r="AD2446" s="37"/>
      <c r="AE2446" s="37"/>
      <c r="AF2446" s="37"/>
      <c r="AG2446" s="37"/>
      <c r="AH2446" s="37"/>
      <c r="AI2446" s="37"/>
      <c r="AJ2446" s="37"/>
      <c r="AK2446" s="37"/>
      <c r="AL2446" s="37"/>
      <c r="AM2446" s="37"/>
      <c r="AN2446" s="37"/>
      <c r="AO2446" s="37"/>
      <c r="AP2446" s="37"/>
      <c r="AQ2446" s="37"/>
      <c r="AR2446" s="37"/>
      <c r="AS2446" s="37"/>
      <c r="AT2446" s="37"/>
      <c r="AU2446" s="37"/>
      <c r="AV2446" s="37"/>
      <c r="AW2446" s="37"/>
      <c r="AX2446" s="37"/>
      <c r="AY2446" s="37"/>
      <c r="AZ2446" s="37"/>
      <c r="BA2446" s="37"/>
      <c r="BB2446" s="37"/>
      <c r="BC2446" s="37"/>
      <c r="BD2446" s="37"/>
      <c r="BE2446" s="37"/>
      <c r="BF2446" s="37"/>
      <c r="BG2446" s="37"/>
      <c r="BH2446" s="37"/>
      <c r="BI2446" s="37"/>
      <c r="BJ2446" s="37"/>
      <c r="BK2446" s="37"/>
      <c r="BL2446" s="37"/>
      <c r="BM2446" s="37"/>
    </row>
    <row r="2447" spans="1:65" s="40" customFormat="1" ht="23.25" x14ac:dyDescent="0.35">
      <c r="A2447" s="37"/>
      <c r="B2447" s="37"/>
      <c r="C2447" s="41"/>
      <c r="D2447" s="38"/>
      <c r="E2447" s="57"/>
      <c r="F2447" s="42"/>
      <c r="G2447" s="43"/>
      <c r="H2447" s="37"/>
      <c r="I2447" s="37"/>
      <c r="J2447" s="38"/>
      <c r="K2447" s="37"/>
      <c r="L2447" s="38"/>
      <c r="M2447" s="39"/>
      <c r="P2447" s="37"/>
      <c r="Q2447" s="37"/>
      <c r="R2447" s="37"/>
      <c r="S2447" s="37"/>
      <c r="T2447" s="37"/>
      <c r="U2447" s="37"/>
      <c r="V2447" s="37"/>
      <c r="W2447" s="37"/>
      <c r="X2447" s="37"/>
      <c r="Y2447" s="37"/>
      <c r="Z2447" s="37"/>
      <c r="AA2447" s="37"/>
      <c r="AB2447" s="37"/>
      <c r="AC2447" s="37"/>
      <c r="AD2447" s="37"/>
      <c r="AE2447" s="37"/>
      <c r="AF2447" s="37"/>
      <c r="AG2447" s="37"/>
      <c r="AH2447" s="37"/>
      <c r="AI2447" s="37"/>
      <c r="AJ2447" s="37"/>
      <c r="AK2447" s="37"/>
      <c r="AL2447" s="37"/>
      <c r="AM2447" s="37"/>
      <c r="AN2447" s="37"/>
      <c r="AO2447" s="37"/>
      <c r="AP2447" s="37"/>
      <c r="AQ2447" s="37"/>
      <c r="AR2447" s="37"/>
      <c r="AS2447" s="37"/>
      <c r="AT2447" s="37"/>
      <c r="AU2447" s="37"/>
      <c r="AV2447" s="37"/>
      <c r="AW2447" s="37"/>
      <c r="AX2447" s="37"/>
      <c r="AY2447" s="37"/>
      <c r="AZ2447" s="37"/>
      <c r="BA2447" s="37"/>
      <c r="BB2447" s="37"/>
      <c r="BC2447" s="37"/>
      <c r="BD2447" s="37"/>
      <c r="BE2447" s="37"/>
      <c r="BF2447" s="37"/>
      <c r="BG2447" s="37"/>
      <c r="BH2447" s="37"/>
      <c r="BI2447" s="37"/>
      <c r="BJ2447" s="37"/>
      <c r="BK2447" s="37"/>
      <c r="BL2447" s="37"/>
      <c r="BM2447" s="37"/>
    </row>
    <row r="2448" spans="1:65" s="40" customFormat="1" ht="23.25" x14ac:dyDescent="0.35">
      <c r="A2448" s="37"/>
      <c r="B2448" s="37"/>
      <c r="C2448" s="41"/>
      <c r="D2448" s="38"/>
      <c r="E2448" s="57"/>
      <c r="F2448" s="42"/>
      <c r="G2448" s="43"/>
      <c r="H2448" s="37"/>
      <c r="I2448" s="37"/>
      <c r="J2448" s="38"/>
      <c r="K2448" s="37"/>
      <c r="L2448" s="38"/>
      <c r="M2448" s="39"/>
      <c r="P2448" s="37"/>
      <c r="Q2448" s="37"/>
      <c r="R2448" s="37"/>
      <c r="S2448" s="37"/>
      <c r="T2448" s="37"/>
      <c r="U2448" s="37"/>
      <c r="V2448" s="37"/>
      <c r="W2448" s="37"/>
      <c r="X2448" s="37"/>
      <c r="Y2448" s="37"/>
      <c r="Z2448" s="37"/>
      <c r="AA2448" s="37"/>
      <c r="AB2448" s="37"/>
      <c r="AC2448" s="37"/>
      <c r="AD2448" s="37"/>
      <c r="AE2448" s="37"/>
      <c r="AF2448" s="37"/>
      <c r="AG2448" s="37"/>
      <c r="AH2448" s="37"/>
      <c r="AI2448" s="37"/>
      <c r="AJ2448" s="37"/>
      <c r="AK2448" s="37"/>
      <c r="AL2448" s="37"/>
      <c r="AM2448" s="37"/>
      <c r="AN2448" s="37"/>
      <c r="AO2448" s="37"/>
      <c r="AP2448" s="37"/>
      <c r="AQ2448" s="37"/>
      <c r="AR2448" s="37"/>
      <c r="AS2448" s="37"/>
      <c r="AT2448" s="37"/>
      <c r="AU2448" s="37"/>
      <c r="AV2448" s="37"/>
      <c r="AW2448" s="37"/>
      <c r="AX2448" s="37"/>
      <c r="AY2448" s="37"/>
      <c r="AZ2448" s="37"/>
      <c r="BA2448" s="37"/>
      <c r="BB2448" s="37"/>
      <c r="BC2448" s="37"/>
      <c r="BD2448" s="37"/>
      <c r="BE2448" s="37"/>
      <c r="BF2448" s="37"/>
      <c r="BG2448" s="37"/>
      <c r="BH2448" s="37"/>
      <c r="BI2448" s="37"/>
      <c r="BJ2448" s="37"/>
      <c r="BK2448" s="37"/>
      <c r="BL2448" s="37"/>
      <c r="BM2448" s="37"/>
    </row>
    <row r="2449" spans="1:65" s="40" customFormat="1" ht="23.25" x14ac:dyDescent="0.35">
      <c r="A2449" s="37"/>
      <c r="B2449" s="37"/>
      <c r="C2449" s="41"/>
      <c r="D2449" s="38"/>
      <c r="E2449" s="57"/>
      <c r="F2449" s="42"/>
      <c r="G2449" s="43"/>
      <c r="H2449" s="37"/>
      <c r="I2449" s="37"/>
      <c r="J2449" s="38"/>
      <c r="K2449" s="37"/>
      <c r="L2449" s="38"/>
      <c r="M2449" s="39"/>
      <c r="P2449" s="37"/>
      <c r="Q2449" s="37"/>
      <c r="R2449" s="37"/>
      <c r="S2449" s="37"/>
      <c r="T2449" s="37"/>
      <c r="U2449" s="37"/>
      <c r="V2449" s="37"/>
      <c r="W2449" s="37"/>
      <c r="X2449" s="37"/>
      <c r="Y2449" s="37"/>
      <c r="Z2449" s="37"/>
      <c r="AA2449" s="37"/>
      <c r="AB2449" s="37"/>
      <c r="AC2449" s="37"/>
      <c r="AD2449" s="37"/>
      <c r="AE2449" s="37"/>
      <c r="AF2449" s="37"/>
      <c r="AG2449" s="37"/>
      <c r="AH2449" s="37"/>
      <c r="AI2449" s="37"/>
      <c r="AJ2449" s="37"/>
      <c r="AK2449" s="37"/>
      <c r="AL2449" s="37"/>
      <c r="AM2449" s="37"/>
      <c r="AN2449" s="37"/>
      <c r="AO2449" s="37"/>
      <c r="AP2449" s="37"/>
      <c r="AQ2449" s="37"/>
      <c r="AR2449" s="37"/>
      <c r="AS2449" s="37"/>
      <c r="AT2449" s="37"/>
      <c r="AU2449" s="37"/>
      <c r="AV2449" s="37"/>
      <c r="AW2449" s="37"/>
      <c r="AX2449" s="37"/>
      <c r="AY2449" s="37"/>
      <c r="AZ2449" s="37"/>
      <c r="BA2449" s="37"/>
      <c r="BB2449" s="37"/>
      <c r="BC2449" s="37"/>
      <c r="BD2449" s="37"/>
      <c r="BE2449" s="37"/>
      <c r="BF2449" s="37"/>
      <c r="BG2449" s="37"/>
      <c r="BH2449" s="37"/>
      <c r="BI2449" s="37"/>
      <c r="BJ2449" s="37"/>
      <c r="BK2449" s="37"/>
      <c r="BL2449" s="37"/>
      <c r="BM2449" s="37"/>
    </row>
    <row r="2450" spans="1:65" s="40" customFormat="1" ht="23.25" x14ac:dyDescent="0.35">
      <c r="A2450" s="37"/>
      <c r="B2450" s="37"/>
      <c r="C2450" s="41"/>
      <c r="D2450" s="38"/>
      <c r="E2450" s="57"/>
      <c r="F2450" s="42"/>
      <c r="G2450" s="43"/>
      <c r="H2450" s="37"/>
      <c r="I2450" s="37"/>
      <c r="J2450" s="38"/>
      <c r="K2450" s="37"/>
      <c r="L2450" s="38"/>
      <c r="M2450" s="39"/>
      <c r="P2450" s="37"/>
      <c r="Q2450" s="37"/>
      <c r="R2450" s="37"/>
      <c r="S2450" s="37"/>
      <c r="T2450" s="37"/>
      <c r="U2450" s="37"/>
      <c r="V2450" s="37"/>
      <c r="W2450" s="37"/>
      <c r="X2450" s="37"/>
      <c r="Y2450" s="37"/>
      <c r="Z2450" s="37"/>
      <c r="AA2450" s="37"/>
      <c r="AB2450" s="37"/>
      <c r="AC2450" s="37"/>
      <c r="AD2450" s="37"/>
      <c r="AE2450" s="37"/>
      <c r="AF2450" s="37"/>
      <c r="AG2450" s="37"/>
      <c r="AH2450" s="37"/>
      <c r="AI2450" s="37"/>
      <c r="AJ2450" s="37"/>
      <c r="AK2450" s="37"/>
      <c r="AL2450" s="37"/>
      <c r="AM2450" s="37"/>
      <c r="AN2450" s="37"/>
      <c r="AO2450" s="37"/>
      <c r="AP2450" s="37"/>
      <c r="AQ2450" s="37"/>
      <c r="AR2450" s="37"/>
      <c r="AS2450" s="37"/>
      <c r="AT2450" s="37"/>
      <c r="AU2450" s="37"/>
      <c r="AV2450" s="37"/>
      <c r="AW2450" s="37"/>
      <c r="AX2450" s="37"/>
      <c r="AY2450" s="37"/>
      <c r="AZ2450" s="37"/>
      <c r="BA2450" s="37"/>
      <c r="BB2450" s="37"/>
      <c r="BC2450" s="37"/>
      <c r="BD2450" s="37"/>
      <c r="BE2450" s="37"/>
      <c r="BF2450" s="37"/>
      <c r="BG2450" s="37"/>
      <c r="BH2450" s="37"/>
      <c r="BI2450" s="37"/>
      <c r="BJ2450" s="37"/>
      <c r="BK2450" s="37"/>
      <c r="BL2450" s="37"/>
      <c r="BM2450" s="37"/>
    </row>
    <row r="2451" spans="1:65" s="40" customFormat="1" ht="23.25" x14ac:dyDescent="0.35">
      <c r="A2451" s="37"/>
      <c r="B2451" s="37"/>
      <c r="C2451" s="41"/>
      <c r="D2451" s="38"/>
      <c r="E2451" s="57"/>
      <c r="F2451" s="42"/>
      <c r="G2451" s="43"/>
      <c r="H2451" s="37"/>
      <c r="I2451" s="37"/>
      <c r="J2451" s="38"/>
      <c r="K2451" s="37"/>
      <c r="L2451" s="38"/>
      <c r="M2451" s="39"/>
      <c r="P2451" s="37"/>
      <c r="Q2451" s="37"/>
      <c r="R2451" s="37"/>
      <c r="S2451" s="37"/>
      <c r="T2451" s="37"/>
      <c r="U2451" s="37"/>
      <c r="V2451" s="37"/>
      <c r="W2451" s="37"/>
      <c r="X2451" s="37"/>
      <c r="Y2451" s="37"/>
      <c r="Z2451" s="37"/>
      <c r="AA2451" s="37"/>
      <c r="AB2451" s="37"/>
      <c r="AC2451" s="37"/>
      <c r="AD2451" s="37"/>
      <c r="AE2451" s="37"/>
      <c r="AF2451" s="37"/>
      <c r="AG2451" s="37"/>
      <c r="AH2451" s="37"/>
      <c r="AI2451" s="37"/>
      <c r="AJ2451" s="37"/>
      <c r="AK2451" s="37"/>
      <c r="AL2451" s="37"/>
      <c r="AM2451" s="37"/>
      <c r="AN2451" s="37"/>
      <c r="AO2451" s="37"/>
      <c r="AP2451" s="37"/>
      <c r="AQ2451" s="37"/>
      <c r="AR2451" s="37"/>
      <c r="AS2451" s="37"/>
      <c r="AT2451" s="37"/>
      <c r="AU2451" s="37"/>
      <c r="AV2451" s="37"/>
      <c r="AW2451" s="37"/>
      <c r="AX2451" s="37"/>
      <c r="AY2451" s="37"/>
      <c r="AZ2451" s="37"/>
      <c r="BA2451" s="37"/>
      <c r="BB2451" s="37"/>
      <c r="BC2451" s="37"/>
      <c r="BD2451" s="37"/>
      <c r="BE2451" s="37"/>
      <c r="BF2451" s="37"/>
      <c r="BG2451" s="37"/>
      <c r="BH2451" s="37"/>
      <c r="BI2451" s="37"/>
      <c r="BJ2451" s="37"/>
      <c r="BK2451" s="37"/>
      <c r="BL2451" s="37"/>
      <c r="BM2451" s="37"/>
    </row>
    <row r="2452" spans="1:65" s="40" customFormat="1" ht="23.25" x14ac:dyDescent="0.35">
      <c r="A2452" s="37"/>
      <c r="B2452" s="37"/>
      <c r="C2452" s="41"/>
      <c r="D2452" s="38"/>
      <c r="E2452" s="57"/>
      <c r="F2452" s="42"/>
      <c r="G2452" s="43"/>
      <c r="H2452" s="37"/>
      <c r="I2452" s="37"/>
      <c r="J2452" s="38"/>
      <c r="K2452" s="37"/>
      <c r="L2452" s="38"/>
      <c r="M2452" s="39"/>
      <c r="P2452" s="37"/>
      <c r="Q2452" s="37"/>
      <c r="R2452" s="37"/>
      <c r="S2452" s="37"/>
      <c r="T2452" s="37"/>
      <c r="U2452" s="37"/>
      <c r="V2452" s="37"/>
      <c r="W2452" s="37"/>
      <c r="X2452" s="37"/>
      <c r="Y2452" s="37"/>
      <c r="Z2452" s="37"/>
      <c r="AA2452" s="37"/>
      <c r="AB2452" s="37"/>
      <c r="AC2452" s="37"/>
      <c r="AD2452" s="37"/>
      <c r="AE2452" s="37"/>
      <c r="AF2452" s="37"/>
      <c r="AG2452" s="37"/>
      <c r="AH2452" s="37"/>
      <c r="AI2452" s="37"/>
      <c r="AJ2452" s="37"/>
      <c r="AK2452" s="37"/>
      <c r="AL2452" s="37"/>
      <c r="AM2452" s="37"/>
      <c r="AN2452" s="37"/>
      <c r="AO2452" s="37"/>
      <c r="AP2452" s="37"/>
      <c r="AQ2452" s="37"/>
      <c r="AR2452" s="37"/>
      <c r="AS2452" s="37"/>
      <c r="AT2452" s="37"/>
      <c r="AU2452" s="37"/>
      <c r="AV2452" s="37"/>
      <c r="AW2452" s="37"/>
      <c r="AX2452" s="37"/>
      <c r="AY2452" s="37"/>
      <c r="AZ2452" s="37"/>
      <c r="BA2452" s="37"/>
      <c r="BB2452" s="37"/>
      <c r="BC2452" s="37"/>
      <c r="BD2452" s="37"/>
      <c r="BE2452" s="37"/>
      <c r="BF2452" s="37"/>
      <c r="BG2452" s="37"/>
      <c r="BH2452" s="37"/>
      <c r="BI2452" s="37"/>
      <c r="BJ2452" s="37"/>
      <c r="BK2452" s="37"/>
      <c r="BL2452" s="37"/>
      <c r="BM2452" s="37"/>
    </row>
    <row r="2453" spans="1:65" s="40" customFormat="1" ht="23.25" x14ac:dyDescent="0.35">
      <c r="A2453" s="37"/>
      <c r="B2453" s="37"/>
      <c r="C2453" s="41"/>
      <c r="D2453" s="38"/>
      <c r="E2453" s="57"/>
      <c r="F2453" s="42"/>
      <c r="G2453" s="43"/>
      <c r="H2453" s="37"/>
      <c r="I2453" s="37"/>
      <c r="J2453" s="38"/>
      <c r="K2453" s="37"/>
      <c r="L2453" s="38"/>
      <c r="M2453" s="39"/>
      <c r="P2453" s="37"/>
      <c r="Q2453" s="37"/>
      <c r="R2453" s="37"/>
      <c r="S2453" s="37"/>
      <c r="T2453" s="37"/>
      <c r="U2453" s="37"/>
      <c r="V2453" s="37"/>
      <c r="W2453" s="37"/>
      <c r="X2453" s="37"/>
      <c r="Y2453" s="37"/>
      <c r="Z2453" s="37"/>
      <c r="AA2453" s="37"/>
      <c r="AB2453" s="37"/>
      <c r="AC2453" s="37"/>
      <c r="AD2453" s="37"/>
      <c r="AE2453" s="37"/>
      <c r="AF2453" s="37"/>
      <c r="AG2453" s="37"/>
      <c r="AH2453" s="37"/>
      <c r="AI2453" s="37"/>
      <c r="AJ2453" s="37"/>
      <c r="AK2453" s="37"/>
      <c r="AL2453" s="37"/>
      <c r="AM2453" s="37"/>
      <c r="AN2453" s="37"/>
      <c r="AO2453" s="37"/>
      <c r="AP2453" s="37"/>
      <c r="AQ2453" s="37"/>
      <c r="AR2453" s="37"/>
      <c r="AS2453" s="37"/>
      <c r="AT2453" s="37"/>
      <c r="AU2453" s="37"/>
      <c r="AV2453" s="37"/>
      <c r="AW2453" s="37"/>
      <c r="AX2453" s="37"/>
      <c r="AY2453" s="37"/>
      <c r="AZ2453" s="37"/>
      <c r="BA2453" s="37"/>
      <c r="BB2453" s="37"/>
      <c r="BC2453" s="37"/>
      <c r="BD2453" s="37"/>
      <c r="BE2453" s="37"/>
      <c r="BF2453" s="37"/>
      <c r="BG2453" s="37"/>
      <c r="BH2453" s="37"/>
      <c r="BI2453" s="37"/>
      <c r="BJ2453" s="37"/>
      <c r="BK2453" s="37"/>
      <c r="BL2453" s="37"/>
      <c r="BM2453" s="37"/>
    </row>
    <row r="2454" spans="1:65" s="40" customFormat="1" ht="23.25" x14ac:dyDescent="0.35">
      <c r="A2454" s="37"/>
      <c r="B2454" s="37"/>
      <c r="C2454" s="41"/>
      <c r="D2454" s="38"/>
      <c r="E2454" s="57"/>
      <c r="F2454" s="42"/>
      <c r="G2454" s="43"/>
      <c r="H2454" s="37"/>
      <c r="I2454" s="37"/>
      <c r="J2454" s="38"/>
      <c r="K2454" s="37"/>
      <c r="L2454" s="38"/>
      <c r="M2454" s="39"/>
      <c r="P2454" s="37"/>
      <c r="Q2454" s="37"/>
      <c r="R2454" s="37"/>
      <c r="S2454" s="37"/>
      <c r="T2454" s="37"/>
      <c r="U2454" s="37"/>
      <c r="V2454" s="37"/>
      <c r="W2454" s="37"/>
      <c r="X2454" s="37"/>
      <c r="Y2454" s="37"/>
      <c r="Z2454" s="37"/>
      <c r="AA2454" s="37"/>
      <c r="AB2454" s="37"/>
      <c r="AC2454" s="37"/>
      <c r="AD2454" s="37"/>
      <c r="AE2454" s="37"/>
      <c r="AF2454" s="37"/>
      <c r="AG2454" s="37"/>
      <c r="AH2454" s="37"/>
      <c r="AI2454" s="37"/>
      <c r="AJ2454" s="37"/>
      <c r="AK2454" s="37"/>
      <c r="AL2454" s="37"/>
      <c r="AM2454" s="37"/>
      <c r="AN2454" s="37"/>
      <c r="AO2454" s="37"/>
      <c r="AP2454" s="37"/>
      <c r="AQ2454" s="37"/>
      <c r="AR2454" s="37"/>
      <c r="AS2454" s="37"/>
      <c r="AT2454" s="37"/>
      <c r="AU2454" s="37"/>
      <c r="AV2454" s="37"/>
      <c r="AW2454" s="37"/>
      <c r="AX2454" s="37"/>
      <c r="AY2454" s="37"/>
      <c r="AZ2454" s="37"/>
      <c r="BA2454" s="37"/>
      <c r="BB2454" s="37"/>
      <c r="BC2454" s="37"/>
      <c r="BD2454" s="37"/>
      <c r="BE2454" s="37"/>
      <c r="BF2454" s="37"/>
      <c r="BG2454" s="37"/>
      <c r="BH2454" s="37"/>
      <c r="BI2454" s="37"/>
      <c r="BJ2454" s="37"/>
      <c r="BK2454" s="37"/>
      <c r="BL2454" s="37"/>
      <c r="BM2454" s="37"/>
    </row>
    <row r="2455" spans="1:65" s="40" customFormat="1" ht="23.25" x14ac:dyDescent="0.35">
      <c r="A2455" s="37"/>
      <c r="B2455" s="37"/>
      <c r="C2455" s="41"/>
      <c r="D2455" s="38"/>
      <c r="E2455" s="57"/>
      <c r="F2455" s="42"/>
      <c r="G2455" s="43"/>
      <c r="H2455" s="37"/>
      <c r="I2455" s="37"/>
      <c r="J2455" s="38"/>
      <c r="K2455" s="37"/>
      <c r="L2455" s="38"/>
      <c r="M2455" s="39"/>
      <c r="P2455" s="37"/>
      <c r="Q2455" s="37"/>
      <c r="R2455" s="37"/>
      <c r="S2455" s="37"/>
      <c r="T2455" s="37"/>
      <c r="U2455" s="37"/>
      <c r="V2455" s="37"/>
      <c r="W2455" s="37"/>
      <c r="X2455" s="37"/>
      <c r="Y2455" s="37"/>
      <c r="Z2455" s="37"/>
      <c r="AA2455" s="37"/>
      <c r="AB2455" s="37"/>
      <c r="AC2455" s="37"/>
      <c r="AD2455" s="37"/>
      <c r="AE2455" s="37"/>
      <c r="AF2455" s="37"/>
      <c r="AG2455" s="37"/>
      <c r="AH2455" s="37"/>
      <c r="AI2455" s="37"/>
      <c r="AJ2455" s="37"/>
      <c r="AK2455" s="37"/>
      <c r="AL2455" s="37"/>
      <c r="AM2455" s="37"/>
      <c r="AN2455" s="37"/>
      <c r="AO2455" s="37"/>
      <c r="AP2455" s="37"/>
      <c r="AQ2455" s="37"/>
      <c r="AR2455" s="37"/>
      <c r="AS2455" s="37"/>
      <c r="AT2455" s="37"/>
      <c r="AU2455" s="37"/>
      <c r="AV2455" s="37"/>
      <c r="AW2455" s="37"/>
      <c r="AX2455" s="37"/>
      <c r="AY2455" s="37"/>
      <c r="AZ2455" s="37"/>
      <c r="BA2455" s="37"/>
      <c r="BB2455" s="37"/>
      <c r="BC2455" s="37"/>
      <c r="BD2455" s="37"/>
      <c r="BE2455" s="37"/>
      <c r="BF2455" s="37"/>
      <c r="BG2455" s="37"/>
      <c r="BH2455" s="37"/>
      <c r="BI2455" s="37"/>
      <c r="BJ2455" s="37"/>
      <c r="BK2455" s="37"/>
      <c r="BL2455" s="37"/>
      <c r="BM2455" s="37"/>
    </row>
    <row r="2456" spans="1:65" s="40" customFormat="1" ht="23.25" x14ac:dyDescent="0.35">
      <c r="A2456" s="37"/>
      <c r="B2456" s="37"/>
      <c r="C2456" s="41"/>
      <c r="D2456" s="38"/>
      <c r="E2456" s="57"/>
      <c r="F2456" s="42"/>
      <c r="G2456" s="43"/>
      <c r="H2456" s="37"/>
      <c r="I2456" s="37"/>
      <c r="J2456" s="38"/>
      <c r="K2456" s="37"/>
      <c r="L2456" s="38"/>
      <c r="M2456" s="39"/>
      <c r="P2456" s="37"/>
      <c r="Q2456" s="37"/>
      <c r="R2456" s="37"/>
      <c r="S2456" s="37"/>
      <c r="T2456" s="37"/>
      <c r="U2456" s="37"/>
      <c r="V2456" s="37"/>
      <c r="W2456" s="37"/>
      <c r="X2456" s="37"/>
      <c r="Y2456" s="37"/>
      <c r="Z2456" s="37"/>
      <c r="AA2456" s="37"/>
      <c r="AB2456" s="37"/>
      <c r="AC2456" s="37"/>
      <c r="AD2456" s="37"/>
      <c r="AE2456" s="37"/>
      <c r="AF2456" s="37"/>
      <c r="AG2456" s="37"/>
      <c r="AH2456" s="37"/>
      <c r="AI2456" s="37"/>
      <c r="AJ2456" s="37"/>
      <c r="AK2456" s="37"/>
      <c r="AL2456" s="37"/>
      <c r="AM2456" s="37"/>
      <c r="AN2456" s="37"/>
      <c r="AO2456" s="37"/>
      <c r="AP2456" s="37"/>
      <c r="AQ2456" s="37"/>
      <c r="AR2456" s="37"/>
      <c r="AS2456" s="37"/>
      <c r="AT2456" s="37"/>
      <c r="AU2456" s="37"/>
      <c r="AV2456" s="37"/>
      <c r="AW2456" s="37"/>
      <c r="AX2456" s="37"/>
      <c r="AY2456" s="37"/>
      <c r="AZ2456" s="37"/>
      <c r="BA2456" s="37"/>
      <c r="BB2456" s="37"/>
      <c r="BC2456" s="37"/>
      <c r="BD2456" s="37"/>
      <c r="BE2456" s="37"/>
      <c r="BF2456" s="37"/>
      <c r="BG2456" s="37"/>
      <c r="BH2456" s="37"/>
      <c r="BI2456" s="37"/>
      <c r="BJ2456" s="37"/>
      <c r="BK2456" s="37"/>
      <c r="BL2456" s="37"/>
      <c r="BM2456" s="37"/>
    </row>
    <row r="2457" spans="1:65" s="40" customFormat="1" ht="23.25" x14ac:dyDescent="0.35">
      <c r="A2457" s="37"/>
      <c r="B2457" s="37"/>
      <c r="C2457" s="41"/>
      <c r="D2457" s="38"/>
      <c r="E2457" s="57"/>
      <c r="F2457" s="42"/>
      <c r="G2457" s="43"/>
      <c r="H2457" s="37"/>
      <c r="I2457" s="37"/>
      <c r="J2457" s="38"/>
      <c r="K2457" s="37"/>
      <c r="L2457" s="38"/>
      <c r="M2457" s="39"/>
      <c r="P2457" s="37"/>
      <c r="Q2457" s="37"/>
      <c r="R2457" s="37"/>
      <c r="S2457" s="37"/>
      <c r="T2457" s="37"/>
      <c r="U2457" s="37"/>
      <c r="V2457" s="37"/>
      <c r="W2457" s="37"/>
      <c r="X2457" s="37"/>
      <c r="Y2457" s="37"/>
      <c r="Z2457" s="37"/>
      <c r="AA2457" s="37"/>
      <c r="AB2457" s="37"/>
      <c r="AC2457" s="37"/>
      <c r="AD2457" s="37"/>
      <c r="AE2457" s="37"/>
      <c r="AF2457" s="37"/>
      <c r="AG2457" s="37"/>
      <c r="AH2457" s="37"/>
      <c r="AI2457" s="37"/>
      <c r="AJ2457" s="37"/>
      <c r="AK2457" s="37"/>
      <c r="AL2457" s="37"/>
      <c r="AM2457" s="37"/>
      <c r="AN2457" s="37"/>
      <c r="AO2457" s="37"/>
      <c r="AP2457" s="37"/>
      <c r="AQ2457" s="37"/>
      <c r="AR2457" s="37"/>
      <c r="AS2457" s="37"/>
      <c r="AT2457" s="37"/>
      <c r="AU2457" s="37"/>
      <c r="AV2457" s="37"/>
      <c r="AW2457" s="37"/>
      <c r="AX2457" s="37"/>
      <c r="AY2457" s="37"/>
      <c r="AZ2457" s="37"/>
      <c r="BA2457" s="37"/>
      <c r="BB2457" s="37"/>
      <c r="BC2457" s="37"/>
      <c r="BD2457" s="37"/>
      <c r="BE2457" s="37"/>
      <c r="BF2457" s="37"/>
      <c r="BG2457" s="37"/>
      <c r="BH2457" s="37"/>
      <c r="BI2457" s="37"/>
      <c r="BJ2457" s="37"/>
      <c r="BK2457" s="37"/>
      <c r="BL2457" s="37"/>
      <c r="BM2457" s="37"/>
    </row>
    <row r="2458" spans="1:65" s="40" customFormat="1" ht="23.25" x14ac:dyDescent="0.35">
      <c r="A2458" s="37"/>
      <c r="B2458" s="37"/>
      <c r="C2458" s="41"/>
      <c r="D2458" s="38"/>
      <c r="E2458" s="57"/>
      <c r="F2458" s="42"/>
      <c r="G2458" s="43"/>
      <c r="H2458" s="37"/>
      <c r="I2458" s="37"/>
      <c r="J2458" s="38"/>
      <c r="K2458" s="37"/>
      <c r="L2458" s="38"/>
      <c r="M2458" s="39"/>
      <c r="P2458" s="37"/>
      <c r="Q2458" s="37"/>
      <c r="R2458" s="37"/>
      <c r="S2458" s="37"/>
      <c r="T2458" s="37"/>
      <c r="U2458" s="37"/>
      <c r="V2458" s="37"/>
      <c r="W2458" s="37"/>
      <c r="X2458" s="37"/>
      <c r="Y2458" s="37"/>
      <c r="Z2458" s="37"/>
      <c r="AA2458" s="37"/>
      <c r="AB2458" s="37"/>
      <c r="AC2458" s="37"/>
      <c r="AD2458" s="37"/>
      <c r="AE2458" s="37"/>
      <c r="AF2458" s="37"/>
      <c r="AG2458" s="37"/>
      <c r="AH2458" s="37"/>
      <c r="AI2458" s="37"/>
      <c r="AJ2458" s="37"/>
      <c r="AK2458" s="37"/>
      <c r="AL2458" s="37"/>
      <c r="AM2458" s="37"/>
      <c r="AN2458" s="37"/>
      <c r="AO2458" s="37"/>
      <c r="AP2458" s="37"/>
      <c r="AQ2458" s="37"/>
      <c r="AR2458" s="37"/>
      <c r="AS2458" s="37"/>
      <c r="AT2458" s="37"/>
      <c r="AU2458" s="37"/>
      <c r="AV2458" s="37"/>
      <c r="AW2458" s="37"/>
      <c r="AX2458" s="37"/>
      <c r="AY2458" s="37"/>
      <c r="AZ2458" s="37"/>
      <c r="BA2458" s="37"/>
      <c r="BB2458" s="37"/>
      <c r="BC2458" s="37"/>
      <c r="BD2458" s="37"/>
      <c r="BE2458" s="37"/>
      <c r="BF2458" s="37"/>
      <c r="BG2458" s="37"/>
      <c r="BH2458" s="37"/>
      <c r="BI2458" s="37"/>
      <c r="BJ2458" s="37"/>
      <c r="BK2458" s="37"/>
      <c r="BL2458" s="37"/>
      <c r="BM2458" s="37"/>
    </row>
    <row r="2459" spans="1:65" s="40" customFormat="1" ht="23.25" x14ac:dyDescent="0.35">
      <c r="A2459" s="37"/>
      <c r="B2459" s="37"/>
      <c r="C2459" s="41"/>
      <c r="D2459" s="38"/>
      <c r="E2459" s="57"/>
      <c r="F2459" s="42"/>
      <c r="G2459" s="43"/>
      <c r="H2459" s="37"/>
      <c r="I2459" s="37"/>
      <c r="J2459" s="38"/>
      <c r="K2459" s="37"/>
      <c r="L2459" s="38"/>
      <c r="M2459" s="39"/>
      <c r="P2459" s="37"/>
      <c r="Q2459" s="37"/>
      <c r="R2459" s="37"/>
      <c r="S2459" s="37"/>
      <c r="T2459" s="37"/>
      <c r="U2459" s="37"/>
      <c r="V2459" s="37"/>
      <c r="W2459" s="37"/>
      <c r="X2459" s="37"/>
      <c r="Y2459" s="37"/>
      <c r="Z2459" s="37"/>
      <c r="AA2459" s="37"/>
      <c r="AB2459" s="37"/>
      <c r="AC2459" s="37"/>
      <c r="AD2459" s="37"/>
      <c r="AE2459" s="37"/>
      <c r="AF2459" s="37"/>
      <c r="AG2459" s="37"/>
      <c r="AH2459" s="37"/>
      <c r="AI2459" s="37"/>
      <c r="AJ2459" s="37"/>
      <c r="AK2459" s="37"/>
      <c r="AL2459" s="37"/>
      <c r="AM2459" s="37"/>
      <c r="AN2459" s="37"/>
      <c r="AO2459" s="37"/>
      <c r="AP2459" s="37"/>
      <c r="AQ2459" s="37"/>
      <c r="AR2459" s="37"/>
      <c r="AS2459" s="37"/>
      <c r="AT2459" s="37"/>
      <c r="AU2459" s="37"/>
      <c r="AV2459" s="37"/>
      <c r="AW2459" s="37"/>
      <c r="AX2459" s="37"/>
      <c r="AY2459" s="37"/>
      <c r="AZ2459" s="37"/>
      <c r="BA2459" s="37"/>
      <c r="BB2459" s="37"/>
      <c r="BC2459" s="37"/>
      <c r="BD2459" s="37"/>
      <c r="BE2459" s="37"/>
      <c r="BF2459" s="37"/>
      <c r="BG2459" s="37"/>
      <c r="BH2459" s="37"/>
      <c r="BI2459" s="37"/>
      <c r="BJ2459" s="37"/>
      <c r="BK2459" s="37"/>
      <c r="BL2459" s="37"/>
      <c r="BM2459" s="37"/>
    </row>
    <row r="2460" spans="1:65" s="40" customFormat="1" ht="23.25" x14ac:dyDescent="0.35">
      <c r="A2460" s="37"/>
      <c r="B2460" s="37"/>
      <c r="C2460" s="41"/>
      <c r="D2460" s="38"/>
      <c r="E2460" s="57"/>
      <c r="F2460" s="42"/>
      <c r="G2460" s="43"/>
      <c r="H2460" s="37"/>
      <c r="I2460" s="37"/>
      <c r="J2460" s="38"/>
      <c r="K2460" s="37"/>
      <c r="L2460" s="38"/>
      <c r="M2460" s="39"/>
      <c r="P2460" s="37"/>
      <c r="Q2460" s="37"/>
      <c r="R2460" s="37"/>
      <c r="S2460" s="37"/>
      <c r="T2460" s="37"/>
      <c r="U2460" s="37"/>
      <c r="V2460" s="37"/>
      <c r="W2460" s="37"/>
      <c r="X2460" s="37"/>
      <c r="Y2460" s="37"/>
      <c r="Z2460" s="37"/>
      <c r="AA2460" s="37"/>
      <c r="AB2460" s="37"/>
      <c r="AC2460" s="37"/>
      <c r="AD2460" s="37"/>
      <c r="AE2460" s="37"/>
      <c r="AF2460" s="37"/>
      <c r="AG2460" s="37"/>
      <c r="AH2460" s="37"/>
      <c r="AI2460" s="37"/>
      <c r="AJ2460" s="37"/>
      <c r="AK2460" s="37"/>
      <c r="AL2460" s="37"/>
      <c r="AM2460" s="37"/>
      <c r="AN2460" s="37"/>
      <c r="AO2460" s="37"/>
      <c r="AP2460" s="37"/>
      <c r="AQ2460" s="37"/>
      <c r="AR2460" s="37"/>
      <c r="AS2460" s="37"/>
      <c r="AT2460" s="37"/>
      <c r="AU2460" s="37"/>
      <c r="AV2460" s="37"/>
      <c r="AW2460" s="37"/>
      <c r="AX2460" s="37"/>
      <c r="AY2460" s="37"/>
      <c r="AZ2460" s="37"/>
      <c r="BA2460" s="37"/>
      <c r="BB2460" s="37"/>
      <c r="BC2460" s="37"/>
      <c r="BD2460" s="37"/>
      <c r="BE2460" s="37"/>
      <c r="BF2460" s="37"/>
      <c r="BG2460" s="37"/>
      <c r="BH2460" s="37"/>
      <c r="BI2460" s="37"/>
      <c r="BJ2460" s="37"/>
      <c r="BK2460" s="37"/>
      <c r="BL2460" s="37"/>
      <c r="BM2460" s="37"/>
    </row>
    <row r="2461" spans="1:65" s="40" customFormat="1" ht="23.25" x14ac:dyDescent="0.35">
      <c r="A2461" s="37"/>
      <c r="B2461" s="37"/>
      <c r="C2461" s="41"/>
      <c r="D2461" s="38"/>
      <c r="E2461" s="57"/>
      <c r="F2461" s="42"/>
      <c r="G2461" s="43"/>
      <c r="H2461" s="37"/>
      <c r="I2461" s="37"/>
      <c r="J2461" s="38"/>
      <c r="K2461" s="37"/>
      <c r="L2461" s="38"/>
      <c r="M2461" s="39"/>
      <c r="P2461" s="37"/>
      <c r="Q2461" s="37"/>
      <c r="R2461" s="37"/>
      <c r="S2461" s="37"/>
      <c r="T2461" s="37"/>
      <c r="U2461" s="37"/>
      <c r="V2461" s="37"/>
      <c r="W2461" s="37"/>
      <c r="X2461" s="37"/>
      <c r="Y2461" s="37"/>
      <c r="Z2461" s="37"/>
      <c r="AA2461" s="37"/>
      <c r="AB2461" s="37"/>
      <c r="AC2461" s="37"/>
      <c r="AD2461" s="37"/>
      <c r="AE2461" s="37"/>
      <c r="AF2461" s="37"/>
      <c r="AG2461" s="37"/>
      <c r="AH2461" s="37"/>
      <c r="AI2461" s="37"/>
      <c r="AJ2461" s="37"/>
      <c r="AK2461" s="37"/>
      <c r="AL2461" s="37"/>
      <c r="AM2461" s="37"/>
      <c r="AN2461" s="37"/>
      <c r="AO2461" s="37"/>
      <c r="AP2461" s="37"/>
      <c r="AQ2461" s="37"/>
      <c r="AR2461" s="37"/>
      <c r="AS2461" s="37"/>
      <c r="AT2461" s="37"/>
      <c r="AU2461" s="37"/>
      <c r="AV2461" s="37"/>
      <c r="AW2461" s="37"/>
      <c r="AX2461" s="37"/>
      <c r="AY2461" s="37"/>
      <c r="AZ2461" s="37"/>
      <c r="BA2461" s="37"/>
      <c r="BB2461" s="37"/>
      <c r="BC2461" s="37"/>
      <c r="BD2461" s="37"/>
      <c r="BE2461" s="37"/>
      <c r="BF2461" s="37"/>
      <c r="BG2461" s="37"/>
      <c r="BH2461" s="37"/>
      <c r="BI2461" s="37"/>
      <c r="BJ2461" s="37"/>
      <c r="BK2461" s="37"/>
      <c r="BL2461" s="37"/>
      <c r="BM2461" s="37"/>
    </row>
    <row r="2462" spans="1:65" s="40" customFormat="1" ht="23.25" x14ac:dyDescent="0.35">
      <c r="A2462" s="37"/>
      <c r="B2462" s="37"/>
      <c r="C2462" s="41"/>
      <c r="D2462" s="38"/>
      <c r="E2462" s="57"/>
      <c r="F2462" s="42"/>
      <c r="G2462" s="43"/>
      <c r="H2462" s="37"/>
      <c r="I2462" s="37"/>
      <c r="J2462" s="38"/>
      <c r="K2462" s="37"/>
      <c r="L2462" s="38"/>
      <c r="M2462" s="39"/>
      <c r="P2462" s="37"/>
      <c r="Q2462" s="37"/>
      <c r="R2462" s="37"/>
      <c r="S2462" s="37"/>
      <c r="T2462" s="37"/>
      <c r="U2462" s="37"/>
      <c r="V2462" s="37"/>
      <c r="W2462" s="37"/>
      <c r="X2462" s="37"/>
      <c r="Y2462" s="37"/>
      <c r="Z2462" s="37"/>
      <c r="AA2462" s="37"/>
      <c r="AB2462" s="37"/>
      <c r="AC2462" s="37"/>
      <c r="AD2462" s="37"/>
      <c r="AE2462" s="37"/>
      <c r="AF2462" s="37"/>
      <c r="AG2462" s="37"/>
      <c r="AH2462" s="37"/>
      <c r="AI2462" s="37"/>
      <c r="AJ2462" s="37"/>
      <c r="AK2462" s="37"/>
      <c r="AL2462" s="37"/>
      <c r="AM2462" s="37"/>
      <c r="AN2462" s="37"/>
      <c r="AO2462" s="37"/>
      <c r="AP2462" s="37"/>
      <c r="AQ2462" s="37"/>
      <c r="AR2462" s="37"/>
      <c r="AS2462" s="37"/>
      <c r="AT2462" s="37"/>
      <c r="AU2462" s="37"/>
      <c r="AV2462" s="37"/>
      <c r="AW2462" s="37"/>
      <c r="AX2462" s="37"/>
      <c r="AY2462" s="37"/>
      <c r="AZ2462" s="37"/>
      <c r="BA2462" s="37"/>
      <c r="BB2462" s="37"/>
      <c r="BC2462" s="37"/>
      <c r="BD2462" s="37"/>
      <c r="BE2462" s="37"/>
      <c r="BF2462" s="37"/>
      <c r="BG2462" s="37"/>
      <c r="BH2462" s="37"/>
      <c r="BI2462" s="37"/>
      <c r="BJ2462" s="37"/>
      <c r="BK2462" s="37"/>
      <c r="BL2462" s="37"/>
      <c r="BM2462" s="37"/>
    </row>
    <row r="2463" spans="1:65" s="40" customFormat="1" ht="23.25" x14ac:dyDescent="0.35">
      <c r="A2463" s="37"/>
      <c r="B2463" s="37"/>
      <c r="C2463" s="41"/>
      <c r="D2463" s="38"/>
      <c r="E2463" s="57"/>
      <c r="F2463" s="42"/>
      <c r="G2463" s="43"/>
      <c r="H2463" s="37"/>
      <c r="I2463" s="37"/>
      <c r="J2463" s="38"/>
      <c r="K2463" s="37"/>
      <c r="L2463" s="38"/>
      <c r="M2463" s="39"/>
      <c r="P2463" s="37"/>
      <c r="Q2463" s="37"/>
      <c r="R2463" s="37"/>
      <c r="S2463" s="37"/>
      <c r="T2463" s="37"/>
      <c r="U2463" s="37"/>
      <c r="V2463" s="37"/>
      <c r="W2463" s="37"/>
      <c r="X2463" s="37"/>
      <c r="Y2463" s="37"/>
      <c r="Z2463" s="37"/>
      <c r="AA2463" s="37"/>
      <c r="AB2463" s="37"/>
      <c r="AC2463" s="37"/>
      <c r="AD2463" s="37"/>
      <c r="AE2463" s="37"/>
      <c r="AF2463" s="37"/>
      <c r="AG2463" s="37"/>
      <c r="AH2463" s="37"/>
      <c r="AI2463" s="37"/>
      <c r="AJ2463" s="37"/>
      <c r="AK2463" s="37"/>
      <c r="AL2463" s="37"/>
      <c r="AM2463" s="37"/>
      <c r="AN2463" s="37"/>
      <c r="AO2463" s="37"/>
      <c r="AP2463" s="37"/>
      <c r="AQ2463" s="37"/>
      <c r="AR2463" s="37"/>
      <c r="AS2463" s="37"/>
      <c r="AT2463" s="37"/>
      <c r="AU2463" s="37"/>
      <c r="AV2463" s="37"/>
      <c r="AW2463" s="37"/>
      <c r="AX2463" s="37"/>
      <c r="AY2463" s="37"/>
      <c r="AZ2463" s="37"/>
      <c r="BA2463" s="37"/>
      <c r="BB2463" s="37"/>
      <c r="BC2463" s="37"/>
      <c r="BD2463" s="37"/>
      <c r="BE2463" s="37"/>
      <c r="BF2463" s="37"/>
      <c r="BG2463" s="37"/>
      <c r="BH2463" s="37"/>
      <c r="BI2463" s="37"/>
      <c r="BJ2463" s="37"/>
      <c r="BK2463" s="37"/>
      <c r="BL2463" s="37"/>
      <c r="BM2463" s="37"/>
    </row>
    <row r="2464" spans="1:65" s="40" customFormat="1" ht="23.25" x14ac:dyDescent="0.35">
      <c r="A2464" s="37"/>
      <c r="B2464" s="37"/>
      <c r="C2464" s="41"/>
      <c r="D2464" s="38"/>
      <c r="E2464" s="57"/>
      <c r="F2464" s="42"/>
      <c r="G2464" s="43"/>
      <c r="H2464" s="37"/>
      <c r="I2464" s="37"/>
      <c r="J2464" s="38"/>
      <c r="K2464" s="37"/>
      <c r="L2464" s="38"/>
      <c r="M2464" s="39"/>
      <c r="P2464" s="37"/>
      <c r="Q2464" s="37"/>
      <c r="R2464" s="37"/>
      <c r="S2464" s="37"/>
      <c r="T2464" s="37"/>
      <c r="U2464" s="37"/>
      <c r="V2464" s="37"/>
      <c r="W2464" s="37"/>
      <c r="X2464" s="37"/>
      <c r="Y2464" s="37"/>
      <c r="Z2464" s="37"/>
      <c r="AA2464" s="37"/>
      <c r="AB2464" s="37"/>
      <c r="AC2464" s="37"/>
      <c r="AD2464" s="37"/>
      <c r="AE2464" s="37"/>
      <c r="AF2464" s="37"/>
      <c r="AG2464" s="37"/>
      <c r="AH2464" s="37"/>
      <c r="AI2464" s="37"/>
      <c r="AJ2464" s="37"/>
      <c r="AK2464" s="37"/>
      <c r="AL2464" s="37"/>
      <c r="AM2464" s="37"/>
      <c r="AN2464" s="37"/>
      <c r="AO2464" s="37"/>
      <c r="AP2464" s="37"/>
      <c r="AQ2464" s="37"/>
      <c r="AR2464" s="37"/>
      <c r="AS2464" s="37"/>
      <c r="AT2464" s="37"/>
      <c r="AU2464" s="37"/>
      <c r="AV2464" s="37"/>
      <c r="AW2464" s="37"/>
      <c r="AX2464" s="37"/>
      <c r="AY2464" s="37"/>
      <c r="AZ2464" s="37"/>
      <c r="BA2464" s="37"/>
      <c r="BB2464" s="37"/>
      <c r="BC2464" s="37"/>
      <c r="BD2464" s="37"/>
      <c r="BE2464" s="37"/>
      <c r="BF2464" s="37"/>
      <c r="BG2464" s="37"/>
      <c r="BH2464" s="37"/>
      <c r="BI2464" s="37"/>
      <c r="BJ2464" s="37"/>
      <c r="BK2464" s="37"/>
      <c r="BL2464" s="37"/>
      <c r="BM2464" s="37"/>
    </row>
    <row r="2465" spans="1:65" s="40" customFormat="1" ht="23.25" x14ac:dyDescent="0.35">
      <c r="A2465" s="37"/>
      <c r="B2465" s="37"/>
      <c r="C2465" s="41"/>
      <c r="D2465" s="38"/>
      <c r="E2465" s="57"/>
      <c r="F2465" s="42"/>
      <c r="G2465" s="43"/>
      <c r="H2465" s="37"/>
      <c r="I2465" s="37"/>
      <c r="J2465" s="38"/>
      <c r="K2465" s="37"/>
      <c r="L2465" s="38"/>
      <c r="M2465" s="39"/>
      <c r="P2465" s="37"/>
      <c r="Q2465" s="37"/>
      <c r="R2465" s="37"/>
      <c r="S2465" s="37"/>
      <c r="T2465" s="37"/>
      <c r="U2465" s="37"/>
      <c r="V2465" s="37"/>
      <c r="W2465" s="37"/>
      <c r="X2465" s="37"/>
      <c r="Y2465" s="37"/>
      <c r="Z2465" s="37"/>
      <c r="AA2465" s="37"/>
      <c r="AB2465" s="37"/>
      <c r="AC2465" s="37"/>
      <c r="AD2465" s="37"/>
      <c r="AE2465" s="37"/>
      <c r="AF2465" s="37"/>
      <c r="AG2465" s="37"/>
      <c r="AH2465" s="37"/>
      <c r="AI2465" s="37"/>
      <c r="AJ2465" s="37"/>
      <c r="AK2465" s="37"/>
      <c r="AL2465" s="37"/>
      <c r="AM2465" s="37"/>
      <c r="AN2465" s="37"/>
      <c r="AO2465" s="37"/>
      <c r="AP2465" s="37"/>
      <c r="AQ2465" s="37"/>
      <c r="AR2465" s="37"/>
      <c r="AS2465" s="37"/>
      <c r="AT2465" s="37"/>
      <c r="AU2465" s="37"/>
      <c r="AV2465" s="37"/>
      <c r="AW2465" s="37"/>
      <c r="AX2465" s="37"/>
      <c r="AY2465" s="37"/>
      <c r="AZ2465" s="37"/>
      <c r="BA2465" s="37"/>
      <c r="BB2465" s="37"/>
      <c r="BC2465" s="37"/>
      <c r="BD2465" s="37"/>
      <c r="BE2465" s="37"/>
      <c r="BF2465" s="37"/>
      <c r="BG2465" s="37"/>
      <c r="BH2465" s="37"/>
      <c r="BI2465" s="37"/>
      <c r="BJ2465" s="37"/>
      <c r="BK2465" s="37"/>
      <c r="BL2465" s="37"/>
      <c r="BM2465" s="37"/>
    </row>
    <row r="2466" spans="1:65" s="40" customFormat="1" ht="23.25" x14ac:dyDescent="0.35">
      <c r="A2466" s="37"/>
      <c r="B2466" s="37"/>
      <c r="C2466" s="41"/>
      <c r="D2466" s="38"/>
      <c r="E2466" s="57"/>
      <c r="F2466" s="42"/>
      <c r="G2466" s="43"/>
      <c r="H2466" s="37"/>
      <c r="I2466" s="37"/>
      <c r="J2466" s="38"/>
      <c r="K2466" s="37"/>
      <c r="L2466" s="38"/>
      <c r="M2466" s="39"/>
      <c r="P2466" s="37"/>
      <c r="Q2466" s="37"/>
      <c r="R2466" s="37"/>
      <c r="S2466" s="37"/>
      <c r="T2466" s="37"/>
      <c r="U2466" s="37"/>
      <c r="V2466" s="37"/>
      <c r="W2466" s="37"/>
      <c r="X2466" s="37"/>
      <c r="Y2466" s="37"/>
      <c r="Z2466" s="37"/>
      <c r="AA2466" s="37"/>
      <c r="AB2466" s="37"/>
      <c r="AC2466" s="37"/>
      <c r="AD2466" s="37"/>
      <c r="AE2466" s="37"/>
      <c r="AF2466" s="37"/>
      <c r="AG2466" s="37"/>
      <c r="AH2466" s="37"/>
      <c r="AI2466" s="37"/>
      <c r="AJ2466" s="37"/>
      <c r="AK2466" s="37"/>
      <c r="AL2466" s="37"/>
      <c r="AM2466" s="37"/>
      <c r="AN2466" s="37"/>
      <c r="AO2466" s="37"/>
      <c r="AP2466" s="37"/>
      <c r="AQ2466" s="37"/>
      <c r="AR2466" s="37"/>
      <c r="AS2466" s="37"/>
      <c r="AT2466" s="37"/>
      <c r="AU2466" s="37"/>
      <c r="AV2466" s="37"/>
      <c r="AW2466" s="37"/>
      <c r="AX2466" s="37"/>
      <c r="AY2466" s="37"/>
      <c r="AZ2466" s="37"/>
      <c r="BA2466" s="37"/>
      <c r="BB2466" s="37"/>
      <c r="BC2466" s="37"/>
      <c r="BD2466" s="37"/>
      <c r="BE2466" s="37"/>
      <c r="BF2466" s="37"/>
      <c r="BG2466" s="37"/>
      <c r="BH2466" s="37"/>
      <c r="BI2466" s="37"/>
      <c r="BJ2466" s="37"/>
      <c r="BK2466" s="37"/>
      <c r="BL2466" s="37"/>
      <c r="BM2466" s="37"/>
    </row>
    <row r="2467" spans="1:65" s="40" customFormat="1" ht="23.25" x14ac:dyDescent="0.35">
      <c r="A2467" s="37"/>
      <c r="B2467" s="37"/>
      <c r="C2467" s="41"/>
      <c r="D2467" s="38"/>
      <c r="E2467" s="57"/>
      <c r="F2467" s="42"/>
      <c r="G2467" s="43"/>
      <c r="H2467" s="37"/>
      <c r="I2467" s="37"/>
      <c r="J2467" s="38"/>
      <c r="K2467" s="37"/>
      <c r="L2467" s="38"/>
      <c r="M2467" s="39"/>
      <c r="P2467" s="37"/>
      <c r="Q2467" s="37"/>
      <c r="R2467" s="37"/>
      <c r="S2467" s="37"/>
      <c r="T2467" s="37"/>
      <c r="U2467" s="37"/>
      <c r="V2467" s="37"/>
      <c r="W2467" s="37"/>
      <c r="X2467" s="37"/>
      <c r="Y2467" s="37"/>
      <c r="Z2467" s="37"/>
      <c r="AA2467" s="37"/>
      <c r="AB2467" s="37"/>
      <c r="AC2467" s="37"/>
      <c r="AD2467" s="37"/>
      <c r="AE2467" s="37"/>
      <c r="AF2467" s="37"/>
      <c r="AG2467" s="37"/>
      <c r="AH2467" s="37"/>
      <c r="AI2467" s="37"/>
      <c r="AJ2467" s="37"/>
      <c r="AK2467" s="37"/>
      <c r="AL2467" s="37"/>
      <c r="AM2467" s="37"/>
      <c r="AN2467" s="37"/>
      <c r="AO2467" s="37"/>
      <c r="AP2467" s="37"/>
      <c r="AQ2467" s="37"/>
      <c r="AR2467" s="37"/>
      <c r="AS2467" s="37"/>
      <c r="AT2467" s="37"/>
      <c r="AU2467" s="37"/>
      <c r="AV2467" s="37"/>
      <c r="AW2467" s="37"/>
      <c r="AX2467" s="37"/>
      <c r="AY2467" s="37"/>
      <c r="AZ2467" s="37"/>
      <c r="BA2467" s="37"/>
      <c r="BB2467" s="37"/>
      <c r="BC2467" s="37"/>
      <c r="BD2467" s="37"/>
      <c r="BE2467" s="37"/>
      <c r="BF2467" s="37"/>
      <c r="BG2467" s="37"/>
      <c r="BH2467" s="37"/>
      <c r="BI2467" s="37"/>
      <c r="BJ2467" s="37"/>
      <c r="BK2467" s="37"/>
      <c r="BL2467" s="37"/>
      <c r="BM2467" s="37"/>
    </row>
    <row r="2468" spans="1:65" s="40" customFormat="1" ht="23.25" x14ac:dyDescent="0.35">
      <c r="A2468" s="37"/>
      <c r="B2468" s="37"/>
      <c r="C2468" s="41"/>
      <c r="D2468" s="38"/>
      <c r="E2468" s="57"/>
      <c r="F2468" s="42"/>
      <c r="G2468" s="43"/>
      <c r="H2468" s="37"/>
      <c r="I2468" s="37"/>
      <c r="J2468" s="38"/>
      <c r="K2468" s="37"/>
      <c r="L2468" s="38"/>
      <c r="M2468" s="39"/>
      <c r="P2468" s="37"/>
      <c r="Q2468" s="37"/>
      <c r="R2468" s="37"/>
      <c r="S2468" s="37"/>
      <c r="T2468" s="37"/>
      <c r="U2468" s="37"/>
      <c r="V2468" s="37"/>
      <c r="W2468" s="37"/>
      <c r="X2468" s="37"/>
      <c r="Y2468" s="37"/>
      <c r="Z2468" s="37"/>
      <c r="AA2468" s="37"/>
      <c r="AB2468" s="37"/>
      <c r="AC2468" s="37"/>
      <c r="AD2468" s="37"/>
      <c r="AE2468" s="37"/>
      <c r="AF2468" s="37"/>
      <c r="AG2468" s="37"/>
      <c r="AH2468" s="37"/>
      <c r="AI2468" s="37"/>
      <c r="AJ2468" s="37"/>
      <c r="AK2468" s="37"/>
      <c r="AL2468" s="37"/>
      <c r="AM2468" s="37"/>
      <c r="AN2468" s="37"/>
      <c r="AO2468" s="37"/>
      <c r="AP2468" s="37"/>
      <c r="AQ2468" s="37"/>
      <c r="AR2468" s="37"/>
      <c r="AS2468" s="37"/>
      <c r="AT2468" s="37"/>
      <c r="AU2468" s="37"/>
      <c r="AV2468" s="37"/>
      <c r="AW2468" s="37"/>
      <c r="AX2468" s="37"/>
      <c r="AY2468" s="37"/>
      <c r="AZ2468" s="37"/>
      <c r="BA2468" s="37"/>
      <c r="BB2468" s="37"/>
      <c r="BC2468" s="37"/>
      <c r="BD2468" s="37"/>
      <c r="BE2468" s="37"/>
      <c r="BF2468" s="37"/>
      <c r="BG2468" s="37"/>
      <c r="BH2468" s="37"/>
      <c r="BI2468" s="37"/>
      <c r="BJ2468" s="37"/>
      <c r="BK2468" s="37"/>
      <c r="BL2468" s="37"/>
      <c r="BM2468" s="37"/>
    </row>
    <row r="2469" spans="1:65" s="40" customFormat="1" ht="23.25" x14ac:dyDescent="0.35">
      <c r="A2469" s="37"/>
      <c r="B2469" s="37"/>
      <c r="C2469" s="41"/>
      <c r="D2469" s="38"/>
      <c r="E2469" s="57"/>
      <c r="F2469" s="42"/>
      <c r="G2469" s="43"/>
      <c r="H2469" s="37"/>
      <c r="I2469" s="37"/>
      <c r="J2469" s="38"/>
      <c r="K2469" s="37"/>
      <c r="L2469" s="38"/>
      <c r="M2469" s="39"/>
      <c r="P2469" s="37"/>
      <c r="Q2469" s="37"/>
      <c r="R2469" s="37"/>
      <c r="S2469" s="37"/>
      <c r="T2469" s="37"/>
      <c r="U2469" s="37"/>
      <c r="V2469" s="37"/>
      <c r="W2469" s="37"/>
      <c r="X2469" s="37"/>
      <c r="Y2469" s="37"/>
      <c r="Z2469" s="37"/>
      <c r="AA2469" s="37"/>
      <c r="AB2469" s="37"/>
      <c r="AC2469" s="37"/>
      <c r="AD2469" s="37"/>
      <c r="AE2469" s="37"/>
      <c r="AF2469" s="37"/>
      <c r="AG2469" s="37"/>
      <c r="AH2469" s="37"/>
      <c r="AI2469" s="37"/>
      <c r="AJ2469" s="37"/>
      <c r="AK2469" s="37"/>
      <c r="AL2469" s="37"/>
      <c r="AM2469" s="37"/>
      <c r="AN2469" s="37"/>
      <c r="AO2469" s="37"/>
      <c r="AP2469" s="37"/>
      <c r="AQ2469" s="37"/>
      <c r="AR2469" s="37"/>
      <c r="AS2469" s="37"/>
      <c r="AT2469" s="37"/>
      <c r="AU2469" s="37"/>
      <c r="AV2469" s="37"/>
      <c r="AW2469" s="37"/>
      <c r="AX2469" s="37"/>
      <c r="AY2469" s="37"/>
      <c r="AZ2469" s="37"/>
      <c r="BA2469" s="37"/>
      <c r="BB2469" s="37"/>
      <c r="BC2469" s="37"/>
      <c r="BD2469" s="37"/>
      <c r="BE2469" s="37"/>
      <c r="BF2469" s="37"/>
      <c r="BG2469" s="37"/>
      <c r="BH2469" s="37"/>
      <c r="BI2469" s="37"/>
      <c r="BJ2469" s="37"/>
      <c r="BK2469" s="37"/>
      <c r="BL2469" s="37"/>
      <c r="BM2469" s="37"/>
    </row>
    <row r="2470" spans="1:65" s="40" customFormat="1" ht="23.25" x14ac:dyDescent="0.35">
      <c r="A2470" s="37"/>
      <c r="B2470" s="37"/>
      <c r="C2470" s="41"/>
      <c r="D2470" s="38"/>
      <c r="E2470" s="57"/>
      <c r="F2470" s="42"/>
      <c r="G2470" s="43"/>
      <c r="H2470" s="37"/>
      <c r="I2470" s="37"/>
      <c r="J2470" s="38"/>
      <c r="K2470" s="37"/>
      <c r="L2470" s="38"/>
      <c r="M2470" s="39"/>
      <c r="P2470" s="37"/>
      <c r="Q2470" s="37"/>
      <c r="R2470" s="37"/>
      <c r="S2470" s="37"/>
      <c r="T2470" s="37"/>
      <c r="U2470" s="37"/>
      <c r="V2470" s="37"/>
      <c r="W2470" s="37"/>
      <c r="X2470" s="37"/>
      <c r="Y2470" s="37"/>
      <c r="Z2470" s="37"/>
      <c r="AA2470" s="37"/>
      <c r="AB2470" s="37"/>
      <c r="AC2470" s="37"/>
      <c r="AD2470" s="37"/>
      <c r="AE2470" s="37"/>
      <c r="AF2470" s="37"/>
      <c r="AG2470" s="37"/>
      <c r="AH2470" s="37"/>
      <c r="AI2470" s="37"/>
      <c r="AJ2470" s="37"/>
      <c r="AK2470" s="37"/>
      <c r="AL2470" s="37"/>
      <c r="AM2470" s="37"/>
      <c r="AN2470" s="37"/>
      <c r="AO2470" s="37"/>
      <c r="AP2470" s="37"/>
      <c r="AQ2470" s="37"/>
      <c r="AR2470" s="37"/>
      <c r="AS2470" s="37"/>
      <c r="AT2470" s="37"/>
      <c r="AU2470" s="37"/>
      <c r="AV2470" s="37"/>
      <c r="AW2470" s="37"/>
      <c r="AX2470" s="37"/>
      <c r="AY2470" s="37"/>
      <c r="AZ2470" s="37"/>
      <c r="BA2470" s="37"/>
      <c r="BB2470" s="37"/>
      <c r="BC2470" s="37"/>
      <c r="BD2470" s="37"/>
      <c r="BE2470" s="37"/>
      <c r="BF2470" s="37"/>
      <c r="BG2470" s="37"/>
      <c r="BH2470" s="37"/>
      <c r="BI2470" s="37"/>
      <c r="BJ2470" s="37"/>
      <c r="BK2470" s="37"/>
      <c r="BL2470" s="37"/>
      <c r="BM2470" s="37"/>
    </row>
    <row r="2471" spans="1:65" s="40" customFormat="1" ht="23.25" x14ac:dyDescent="0.35">
      <c r="A2471" s="37"/>
      <c r="B2471" s="37"/>
      <c r="C2471" s="41"/>
      <c r="D2471" s="38"/>
      <c r="E2471" s="57"/>
      <c r="F2471" s="42"/>
      <c r="G2471" s="43"/>
      <c r="H2471" s="37"/>
      <c r="I2471" s="37"/>
      <c r="J2471" s="38"/>
      <c r="K2471" s="37"/>
      <c r="L2471" s="38"/>
      <c r="M2471" s="39"/>
      <c r="P2471" s="37"/>
      <c r="Q2471" s="37"/>
      <c r="R2471" s="37"/>
      <c r="S2471" s="37"/>
      <c r="T2471" s="37"/>
      <c r="U2471" s="37"/>
      <c r="V2471" s="37"/>
      <c r="W2471" s="37"/>
      <c r="X2471" s="37"/>
      <c r="Y2471" s="37"/>
      <c r="Z2471" s="37"/>
      <c r="AA2471" s="37"/>
      <c r="AB2471" s="37"/>
      <c r="AC2471" s="37"/>
      <c r="AD2471" s="37"/>
      <c r="AE2471" s="37"/>
      <c r="AF2471" s="37"/>
      <c r="AG2471" s="37"/>
      <c r="AH2471" s="37"/>
      <c r="AI2471" s="37"/>
      <c r="AJ2471" s="37"/>
      <c r="AK2471" s="37"/>
      <c r="AL2471" s="37"/>
      <c r="AM2471" s="37"/>
      <c r="AN2471" s="37"/>
      <c r="AO2471" s="37"/>
      <c r="AP2471" s="37"/>
      <c r="AQ2471" s="37"/>
      <c r="AR2471" s="37"/>
      <c r="AS2471" s="37"/>
      <c r="AT2471" s="37"/>
      <c r="AU2471" s="37"/>
      <c r="AV2471" s="37"/>
      <c r="AW2471" s="37"/>
      <c r="AX2471" s="37"/>
      <c r="AY2471" s="37"/>
      <c r="AZ2471" s="37"/>
      <c r="BA2471" s="37"/>
      <c r="BB2471" s="37"/>
      <c r="BC2471" s="37"/>
      <c r="BD2471" s="37"/>
      <c r="BE2471" s="37"/>
      <c r="BF2471" s="37"/>
      <c r="BG2471" s="37"/>
      <c r="BH2471" s="37"/>
      <c r="BI2471" s="37"/>
      <c r="BJ2471" s="37"/>
      <c r="BK2471" s="37"/>
      <c r="BL2471" s="37"/>
      <c r="BM2471" s="37"/>
    </row>
    <row r="2472" spans="1:65" s="40" customFormat="1" ht="23.25" x14ac:dyDescent="0.35">
      <c r="A2472" s="37"/>
      <c r="B2472" s="37"/>
      <c r="C2472" s="41"/>
      <c r="D2472" s="38"/>
      <c r="E2472" s="57"/>
      <c r="F2472" s="42"/>
      <c r="G2472" s="43"/>
      <c r="H2472" s="37"/>
      <c r="I2472" s="37"/>
      <c r="J2472" s="38"/>
      <c r="K2472" s="37"/>
      <c r="L2472" s="38"/>
      <c r="M2472" s="39"/>
      <c r="P2472" s="37"/>
      <c r="Q2472" s="37"/>
      <c r="R2472" s="37"/>
      <c r="S2472" s="37"/>
      <c r="T2472" s="37"/>
      <c r="U2472" s="37"/>
      <c r="V2472" s="37"/>
      <c r="W2472" s="37"/>
      <c r="X2472" s="37"/>
      <c r="Y2472" s="37"/>
      <c r="Z2472" s="37"/>
      <c r="AA2472" s="37"/>
      <c r="AB2472" s="37"/>
      <c r="AC2472" s="37"/>
      <c r="AD2472" s="37"/>
      <c r="AE2472" s="37"/>
      <c r="AF2472" s="37"/>
      <c r="AG2472" s="37"/>
      <c r="AH2472" s="37"/>
      <c r="AI2472" s="37"/>
      <c r="AJ2472" s="37"/>
      <c r="AK2472" s="37"/>
      <c r="AL2472" s="37"/>
      <c r="AM2472" s="37"/>
      <c r="AN2472" s="37"/>
      <c r="AO2472" s="37"/>
      <c r="AP2472" s="37"/>
      <c r="AQ2472" s="37"/>
      <c r="AR2472" s="37"/>
      <c r="AS2472" s="37"/>
      <c r="AT2472" s="37"/>
      <c r="AU2472" s="37"/>
      <c r="AV2472" s="37"/>
      <c r="AW2472" s="37"/>
      <c r="AX2472" s="37"/>
      <c r="AY2472" s="37"/>
      <c r="AZ2472" s="37"/>
      <c r="BA2472" s="37"/>
      <c r="BB2472" s="37"/>
      <c r="BC2472" s="37"/>
      <c r="BD2472" s="37"/>
      <c r="BE2472" s="37"/>
      <c r="BF2472" s="37"/>
      <c r="BG2472" s="37"/>
      <c r="BH2472" s="37"/>
      <c r="BI2472" s="37"/>
      <c r="BJ2472" s="37"/>
      <c r="BK2472" s="37"/>
      <c r="BL2472" s="37"/>
      <c r="BM2472" s="37"/>
    </row>
    <row r="2473" spans="1:65" s="40" customFormat="1" ht="23.25" x14ac:dyDescent="0.35">
      <c r="A2473" s="37"/>
      <c r="B2473" s="37"/>
      <c r="C2473" s="41"/>
      <c r="D2473" s="38"/>
      <c r="E2473" s="57"/>
      <c r="F2473" s="42"/>
      <c r="G2473" s="43"/>
      <c r="H2473" s="37"/>
      <c r="I2473" s="37"/>
      <c r="J2473" s="38"/>
      <c r="K2473" s="37"/>
      <c r="L2473" s="38"/>
      <c r="M2473" s="39"/>
      <c r="P2473" s="37"/>
      <c r="Q2473" s="37"/>
      <c r="R2473" s="37"/>
      <c r="S2473" s="37"/>
      <c r="T2473" s="37"/>
      <c r="U2473" s="37"/>
      <c r="V2473" s="37"/>
      <c r="W2473" s="37"/>
      <c r="X2473" s="37"/>
      <c r="Y2473" s="37"/>
      <c r="Z2473" s="37"/>
      <c r="AA2473" s="37"/>
      <c r="AB2473" s="37"/>
      <c r="AC2473" s="37"/>
      <c r="AD2473" s="37"/>
      <c r="AE2473" s="37"/>
      <c r="AF2473" s="37"/>
      <c r="AG2473" s="37"/>
      <c r="AH2473" s="37"/>
      <c r="AI2473" s="37"/>
      <c r="AJ2473" s="37"/>
      <c r="AK2473" s="37"/>
      <c r="AL2473" s="37"/>
      <c r="AM2473" s="37"/>
      <c r="AN2473" s="37"/>
      <c r="AO2473" s="37"/>
      <c r="AP2473" s="37"/>
      <c r="AQ2473" s="37"/>
      <c r="AR2473" s="37"/>
      <c r="AS2473" s="37"/>
      <c r="AT2473" s="37"/>
      <c r="AU2473" s="37"/>
      <c r="AV2473" s="37"/>
      <c r="AW2473" s="37"/>
      <c r="AX2473" s="37"/>
      <c r="AY2473" s="37"/>
      <c r="AZ2473" s="37"/>
      <c r="BA2473" s="37"/>
      <c r="BB2473" s="37"/>
      <c r="BC2473" s="37"/>
      <c r="BD2473" s="37"/>
      <c r="BE2473" s="37"/>
      <c r="BF2473" s="37"/>
      <c r="BG2473" s="37"/>
      <c r="BH2473" s="37"/>
      <c r="BI2473" s="37"/>
      <c r="BJ2473" s="37"/>
      <c r="BK2473" s="37"/>
      <c r="BL2473" s="37"/>
      <c r="BM2473" s="37"/>
    </row>
    <row r="2474" spans="1:65" s="40" customFormat="1" ht="23.25" x14ac:dyDescent="0.35">
      <c r="A2474" s="37"/>
      <c r="B2474" s="37"/>
      <c r="C2474" s="41"/>
      <c r="D2474" s="38"/>
      <c r="E2474" s="57"/>
      <c r="F2474" s="42"/>
      <c r="G2474" s="43"/>
      <c r="H2474" s="37"/>
      <c r="I2474" s="37"/>
      <c r="J2474" s="38"/>
      <c r="K2474" s="37"/>
      <c r="L2474" s="38"/>
      <c r="M2474" s="39"/>
      <c r="P2474" s="37"/>
      <c r="Q2474" s="37"/>
      <c r="R2474" s="37"/>
      <c r="S2474" s="37"/>
      <c r="T2474" s="37"/>
      <c r="U2474" s="37"/>
      <c r="V2474" s="37"/>
      <c r="W2474" s="37"/>
      <c r="X2474" s="37"/>
      <c r="Y2474" s="37"/>
      <c r="Z2474" s="37"/>
      <c r="AA2474" s="37"/>
      <c r="AB2474" s="37"/>
      <c r="AC2474" s="37"/>
      <c r="AD2474" s="37"/>
      <c r="AE2474" s="37"/>
      <c r="AF2474" s="37"/>
      <c r="AG2474" s="37"/>
      <c r="AH2474" s="37"/>
      <c r="AI2474" s="37"/>
      <c r="AJ2474" s="37"/>
      <c r="AK2474" s="37"/>
      <c r="AL2474" s="37"/>
      <c r="AM2474" s="37"/>
      <c r="AN2474" s="37"/>
      <c r="AO2474" s="37"/>
      <c r="AP2474" s="37"/>
      <c r="AQ2474" s="37"/>
      <c r="AR2474" s="37"/>
      <c r="AS2474" s="37"/>
      <c r="AT2474" s="37"/>
      <c r="AU2474" s="37"/>
      <c r="AV2474" s="37"/>
      <c r="AW2474" s="37"/>
      <c r="AX2474" s="37"/>
      <c r="AY2474" s="37"/>
      <c r="AZ2474" s="37"/>
      <c r="BA2474" s="37"/>
      <c r="BB2474" s="37"/>
      <c r="BC2474" s="37"/>
      <c r="BD2474" s="37"/>
      <c r="BE2474" s="37"/>
      <c r="BF2474" s="37"/>
      <c r="BG2474" s="37"/>
      <c r="BH2474" s="37"/>
      <c r="BI2474" s="37"/>
      <c r="BJ2474" s="37"/>
      <c r="BK2474" s="37"/>
      <c r="BL2474" s="37"/>
      <c r="BM2474" s="37"/>
    </row>
    <row r="2475" spans="1:65" s="40" customFormat="1" ht="23.25" x14ac:dyDescent="0.35">
      <c r="A2475" s="37"/>
      <c r="B2475" s="37"/>
      <c r="C2475" s="41"/>
      <c r="D2475" s="38"/>
      <c r="E2475" s="57"/>
      <c r="F2475" s="42"/>
      <c r="G2475" s="43"/>
      <c r="H2475" s="37"/>
      <c r="I2475" s="37"/>
      <c r="J2475" s="38"/>
      <c r="K2475" s="37"/>
      <c r="L2475" s="38"/>
      <c r="M2475" s="39"/>
      <c r="P2475" s="37"/>
      <c r="Q2475" s="37"/>
      <c r="R2475" s="37"/>
      <c r="S2475" s="37"/>
      <c r="T2475" s="37"/>
      <c r="U2475" s="37"/>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7"/>
      <c r="AR2475" s="37"/>
      <c r="AS2475" s="37"/>
      <c r="AT2475" s="37"/>
      <c r="AU2475" s="37"/>
      <c r="AV2475" s="37"/>
      <c r="AW2475" s="37"/>
      <c r="AX2475" s="37"/>
      <c r="AY2475" s="37"/>
      <c r="AZ2475" s="37"/>
      <c r="BA2475" s="37"/>
      <c r="BB2475" s="37"/>
      <c r="BC2475" s="37"/>
      <c r="BD2475" s="37"/>
      <c r="BE2475" s="37"/>
      <c r="BF2475" s="37"/>
      <c r="BG2475" s="37"/>
      <c r="BH2475" s="37"/>
      <c r="BI2475" s="37"/>
      <c r="BJ2475" s="37"/>
      <c r="BK2475" s="37"/>
      <c r="BL2475" s="37"/>
      <c r="BM2475" s="37"/>
    </row>
    <row r="2476" spans="1:65" s="40" customFormat="1" ht="23.25" x14ac:dyDescent="0.35">
      <c r="A2476" s="37"/>
      <c r="B2476" s="37"/>
      <c r="C2476" s="41"/>
      <c r="D2476" s="38"/>
      <c r="E2476" s="57"/>
      <c r="F2476" s="42"/>
      <c r="G2476" s="43"/>
      <c r="H2476" s="37"/>
      <c r="I2476" s="37"/>
      <c r="J2476" s="38"/>
      <c r="K2476" s="37"/>
      <c r="L2476" s="38"/>
      <c r="M2476" s="39"/>
      <c r="P2476" s="37"/>
      <c r="Q2476" s="37"/>
      <c r="R2476" s="37"/>
      <c r="S2476" s="37"/>
      <c r="T2476" s="37"/>
      <c r="U2476" s="37"/>
      <c r="V2476" s="37"/>
      <c r="W2476" s="37"/>
      <c r="X2476" s="37"/>
      <c r="Y2476" s="37"/>
      <c r="Z2476" s="37"/>
      <c r="AA2476" s="37"/>
      <c r="AB2476" s="37"/>
      <c r="AC2476" s="37"/>
      <c r="AD2476" s="37"/>
      <c r="AE2476" s="37"/>
      <c r="AF2476" s="37"/>
      <c r="AG2476" s="37"/>
      <c r="AH2476" s="37"/>
      <c r="AI2476" s="37"/>
      <c r="AJ2476" s="37"/>
      <c r="AK2476" s="37"/>
      <c r="AL2476" s="37"/>
      <c r="AM2476" s="37"/>
      <c r="AN2476" s="37"/>
      <c r="AO2476" s="37"/>
      <c r="AP2476" s="37"/>
      <c r="AQ2476" s="37"/>
      <c r="AR2476" s="37"/>
      <c r="AS2476" s="37"/>
      <c r="AT2476" s="37"/>
      <c r="AU2476" s="37"/>
      <c r="AV2476" s="37"/>
      <c r="AW2476" s="37"/>
      <c r="AX2476" s="37"/>
      <c r="AY2476" s="37"/>
      <c r="AZ2476" s="37"/>
      <c r="BA2476" s="37"/>
      <c r="BB2476" s="37"/>
      <c r="BC2476" s="37"/>
      <c r="BD2476" s="37"/>
      <c r="BE2476" s="37"/>
      <c r="BF2476" s="37"/>
      <c r="BG2476" s="37"/>
      <c r="BH2476" s="37"/>
      <c r="BI2476" s="37"/>
      <c r="BJ2476" s="37"/>
      <c r="BK2476" s="37"/>
      <c r="BL2476" s="37"/>
      <c r="BM2476" s="37"/>
    </row>
    <row r="2477" spans="1:65" s="40" customFormat="1" ht="23.25" x14ac:dyDescent="0.35">
      <c r="A2477" s="37"/>
      <c r="B2477" s="37"/>
      <c r="C2477" s="41"/>
      <c r="D2477" s="38"/>
      <c r="E2477" s="57"/>
      <c r="F2477" s="42"/>
      <c r="G2477" s="43"/>
      <c r="H2477" s="37"/>
      <c r="I2477" s="37"/>
      <c r="J2477" s="38"/>
      <c r="K2477" s="37"/>
      <c r="L2477" s="38"/>
      <c r="M2477" s="39"/>
      <c r="P2477" s="37"/>
      <c r="Q2477" s="37"/>
      <c r="R2477" s="37"/>
      <c r="S2477" s="37"/>
      <c r="T2477" s="37"/>
      <c r="U2477" s="37"/>
      <c r="V2477" s="37"/>
      <c r="W2477" s="37"/>
      <c r="X2477" s="37"/>
      <c r="Y2477" s="37"/>
      <c r="Z2477" s="37"/>
      <c r="AA2477" s="37"/>
      <c r="AB2477" s="37"/>
      <c r="AC2477" s="37"/>
      <c r="AD2477" s="37"/>
      <c r="AE2477" s="37"/>
      <c r="AF2477" s="37"/>
      <c r="AG2477" s="37"/>
      <c r="AH2477" s="37"/>
      <c r="AI2477" s="37"/>
      <c r="AJ2477" s="37"/>
      <c r="AK2477" s="37"/>
      <c r="AL2477" s="37"/>
      <c r="AM2477" s="37"/>
      <c r="AN2477" s="37"/>
      <c r="AO2477" s="37"/>
      <c r="AP2477" s="37"/>
      <c r="AQ2477" s="37"/>
      <c r="AR2477" s="37"/>
      <c r="AS2477" s="37"/>
      <c r="AT2477" s="37"/>
      <c r="AU2477" s="37"/>
      <c r="AV2477" s="37"/>
      <c r="AW2477" s="37"/>
      <c r="AX2477" s="37"/>
      <c r="AY2477" s="37"/>
      <c r="AZ2477" s="37"/>
      <c r="BA2477" s="37"/>
      <c r="BB2477" s="37"/>
      <c r="BC2477" s="37"/>
      <c r="BD2477" s="37"/>
      <c r="BE2477" s="37"/>
      <c r="BF2477" s="37"/>
      <c r="BG2477" s="37"/>
      <c r="BH2477" s="37"/>
      <c r="BI2477" s="37"/>
      <c r="BJ2477" s="37"/>
      <c r="BK2477" s="37"/>
      <c r="BL2477" s="37"/>
      <c r="BM2477" s="37"/>
    </row>
    <row r="2478" spans="1:65" s="40" customFormat="1" ht="23.25" x14ac:dyDescent="0.35">
      <c r="A2478" s="37"/>
      <c r="B2478" s="37"/>
      <c r="C2478" s="41"/>
      <c r="D2478" s="38"/>
      <c r="E2478" s="57"/>
      <c r="F2478" s="42"/>
      <c r="G2478" s="43"/>
      <c r="H2478" s="37"/>
      <c r="I2478" s="37"/>
      <c r="J2478" s="38"/>
      <c r="K2478" s="37"/>
      <c r="L2478" s="38"/>
      <c r="M2478" s="39"/>
      <c r="P2478" s="37"/>
      <c r="Q2478" s="37"/>
      <c r="R2478" s="37"/>
      <c r="S2478" s="37"/>
      <c r="T2478" s="37"/>
      <c r="U2478" s="37"/>
      <c r="V2478" s="37"/>
      <c r="W2478" s="37"/>
      <c r="X2478" s="37"/>
      <c r="Y2478" s="37"/>
      <c r="Z2478" s="37"/>
      <c r="AA2478" s="37"/>
      <c r="AB2478" s="37"/>
      <c r="AC2478" s="37"/>
      <c r="AD2478" s="37"/>
      <c r="AE2478" s="37"/>
      <c r="AF2478" s="37"/>
      <c r="AG2478" s="37"/>
      <c r="AH2478" s="37"/>
      <c r="AI2478" s="37"/>
      <c r="AJ2478" s="37"/>
      <c r="AK2478" s="37"/>
      <c r="AL2478" s="37"/>
      <c r="AM2478" s="37"/>
      <c r="AN2478" s="37"/>
      <c r="AO2478" s="37"/>
      <c r="AP2478" s="37"/>
      <c r="AQ2478" s="37"/>
      <c r="AR2478" s="37"/>
      <c r="AS2478" s="37"/>
      <c r="AT2478" s="37"/>
      <c r="AU2478" s="37"/>
      <c r="AV2478" s="37"/>
      <c r="AW2478" s="37"/>
      <c r="AX2478" s="37"/>
      <c r="AY2478" s="37"/>
      <c r="AZ2478" s="37"/>
      <c r="BA2478" s="37"/>
      <c r="BB2478" s="37"/>
      <c r="BC2478" s="37"/>
      <c r="BD2478" s="37"/>
      <c r="BE2478" s="37"/>
      <c r="BF2478" s="37"/>
      <c r="BG2478" s="37"/>
      <c r="BH2478" s="37"/>
      <c r="BI2478" s="37"/>
      <c r="BJ2478" s="37"/>
      <c r="BK2478" s="37"/>
      <c r="BL2478" s="37"/>
      <c r="BM2478" s="37"/>
    </row>
    <row r="2479" spans="1:65" s="40" customFormat="1" ht="23.25" x14ac:dyDescent="0.35">
      <c r="A2479" s="37"/>
      <c r="B2479" s="37"/>
      <c r="C2479" s="41"/>
      <c r="D2479" s="38"/>
      <c r="E2479" s="57"/>
      <c r="F2479" s="42"/>
      <c r="G2479" s="43"/>
      <c r="H2479" s="37"/>
      <c r="I2479" s="37"/>
      <c r="J2479" s="38"/>
      <c r="K2479" s="37"/>
      <c r="L2479" s="38"/>
      <c r="M2479" s="39"/>
      <c r="P2479" s="37"/>
      <c r="Q2479" s="37"/>
      <c r="R2479" s="37"/>
      <c r="S2479" s="37"/>
      <c r="T2479" s="37"/>
      <c r="U2479" s="37"/>
      <c r="V2479" s="37"/>
      <c r="W2479" s="37"/>
      <c r="X2479" s="37"/>
      <c r="Y2479" s="37"/>
      <c r="Z2479" s="37"/>
      <c r="AA2479" s="37"/>
      <c r="AB2479" s="37"/>
      <c r="AC2479" s="37"/>
      <c r="AD2479" s="37"/>
      <c r="AE2479" s="37"/>
      <c r="AF2479" s="37"/>
      <c r="AG2479" s="37"/>
      <c r="AH2479" s="37"/>
      <c r="AI2479" s="37"/>
      <c r="AJ2479" s="37"/>
      <c r="AK2479" s="37"/>
      <c r="AL2479" s="37"/>
      <c r="AM2479" s="37"/>
      <c r="AN2479" s="37"/>
      <c r="AO2479" s="37"/>
      <c r="AP2479" s="37"/>
      <c r="AQ2479" s="37"/>
      <c r="AR2479" s="37"/>
      <c r="AS2479" s="37"/>
      <c r="AT2479" s="37"/>
      <c r="AU2479" s="37"/>
      <c r="AV2479" s="37"/>
      <c r="AW2479" s="37"/>
      <c r="AX2479" s="37"/>
      <c r="AY2479" s="37"/>
      <c r="AZ2479" s="37"/>
      <c r="BA2479" s="37"/>
      <c r="BB2479" s="37"/>
      <c r="BC2479" s="37"/>
      <c r="BD2479" s="37"/>
      <c r="BE2479" s="37"/>
      <c r="BF2479" s="37"/>
      <c r="BG2479" s="37"/>
      <c r="BH2479" s="37"/>
      <c r="BI2479" s="37"/>
      <c r="BJ2479" s="37"/>
      <c r="BK2479" s="37"/>
      <c r="BL2479" s="37"/>
      <c r="BM2479" s="37"/>
    </row>
    <row r="2480" spans="1:65" s="40" customFormat="1" ht="23.25" x14ac:dyDescent="0.35">
      <c r="A2480" s="37"/>
      <c r="B2480" s="37"/>
      <c r="C2480" s="41"/>
      <c r="D2480" s="38"/>
      <c r="E2480" s="57"/>
      <c r="F2480" s="42"/>
      <c r="G2480" s="43"/>
      <c r="H2480" s="37"/>
      <c r="I2480" s="37"/>
      <c r="J2480" s="38"/>
      <c r="K2480" s="37"/>
      <c r="L2480" s="38"/>
      <c r="M2480" s="39"/>
      <c r="P2480" s="37"/>
      <c r="Q2480" s="37"/>
      <c r="R2480" s="37"/>
      <c r="S2480" s="37"/>
      <c r="T2480" s="37"/>
      <c r="U2480" s="37"/>
      <c r="V2480" s="37"/>
      <c r="W2480" s="37"/>
      <c r="X2480" s="37"/>
      <c r="Y2480" s="37"/>
      <c r="Z2480" s="37"/>
      <c r="AA2480" s="37"/>
      <c r="AB2480" s="37"/>
      <c r="AC2480" s="37"/>
      <c r="AD2480" s="37"/>
      <c r="AE2480" s="37"/>
      <c r="AF2480" s="37"/>
      <c r="AG2480" s="37"/>
      <c r="AH2480" s="37"/>
      <c r="AI2480" s="37"/>
      <c r="AJ2480" s="37"/>
      <c r="AK2480" s="37"/>
      <c r="AL2480" s="37"/>
      <c r="AM2480" s="37"/>
      <c r="AN2480" s="37"/>
      <c r="AO2480" s="37"/>
      <c r="AP2480" s="37"/>
      <c r="AQ2480" s="37"/>
      <c r="AR2480" s="37"/>
      <c r="AS2480" s="37"/>
      <c r="AT2480" s="37"/>
      <c r="AU2480" s="37"/>
      <c r="AV2480" s="37"/>
      <c r="AW2480" s="37"/>
      <c r="AX2480" s="37"/>
      <c r="AY2480" s="37"/>
      <c r="AZ2480" s="37"/>
      <c r="BA2480" s="37"/>
      <c r="BB2480" s="37"/>
      <c r="BC2480" s="37"/>
      <c r="BD2480" s="37"/>
      <c r="BE2480" s="37"/>
      <c r="BF2480" s="37"/>
      <c r="BG2480" s="37"/>
      <c r="BH2480" s="37"/>
      <c r="BI2480" s="37"/>
      <c r="BJ2480" s="37"/>
      <c r="BK2480" s="37"/>
      <c r="BL2480" s="37"/>
      <c r="BM2480" s="37"/>
    </row>
    <row r="2481" spans="1:65" s="40" customFormat="1" ht="23.25" x14ac:dyDescent="0.35">
      <c r="A2481" s="37"/>
      <c r="B2481" s="37"/>
      <c r="C2481" s="41"/>
      <c r="D2481" s="38"/>
      <c r="E2481" s="57"/>
      <c r="F2481" s="42"/>
      <c r="G2481" s="43"/>
      <c r="H2481" s="37"/>
      <c r="I2481" s="37"/>
      <c r="J2481" s="38"/>
      <c r="K2481" s="37"/>
      <c r="L2481" s="38"/>
      <c r="M2481" s="39"/>
      <c r="P2481" s="37"/>
      <c r="Q2481" s="37"/>
      <c r="R2481" s="37"/>
      <c r="S2481" s="37"/>
      <c r="T2481" s="37"/>
      <c r="U2481" s="37"/>
      <c r="V2481" s="37"/>
      <c r="W2481" s="37"/>
      <c r="X2481" s="37"/>
      <c r="Y2481" s="37"/>
      <c r="Z2481" s="37"/>
      <c r="AA2481" s="37"/>
      <c r="AB2481" s="37"/>
      <c r="AC2481" s="37"/>
      <c r="AD2481" s="37"/>
      <c r="AE2481" s="37"/>
      <c r="AF2481" s="37"/>
      <c r="AG2481" s="37"/>
      <c r="AH2481" s="37"/>
      <c r="AI2481" s="37"/>
      <c r="AJ2481" s="37"/>
      <c r="AK2481" s="37"/>
      <c r="AL2481" s="37"/>
      <c r="AM2481" s="37"/>
      <c r="AN2481" s="37"/>
      <c r="AO2481" s="37"/>
      <c r="AP2481" s="37"/>
      <c r="AQ2481" s="37"/>
      <c r="AR2481" s="37"/>
      <c r="AS2481" s="37"/>
      <c r="AT2481" s="37"/>
      <c r="AU2481" s="37"/>
      <c r="AV2481" s="37"/>
      <c r="AW2481" s="37"/>
      <c r="AX2481" s="37"/>
      <c r="AY2481" s="37"/>
      <c r="AZ2481" s="37"/>
      <c r="BA2481" s="37"/>
      <c r="BB2481" s="37"/>
      <c r="BC2481" s="37"/>
      <c r="BD2481" s="37"/>
      <c r="BE2481" s="37"/>
      <c r="BF2481" s="37"/>
      <c r="BG2481" s="37"/>
      <c r="BH2481" s="37"/>
      <c r="BI2481" s="37"/>
      <c r="BJ2481" s="37"/>
      <c r="BK2481" s="37"/>
      <c r="BL2481" s="37"/>
      <c r="BM2481" s="37"/>
    </row>
    <row r="2482" spans="1:65" s="40" customFormat="1" ht="23.25" x14ac:dyDescent="0.35">
      <c r="A2482" s="37"/>
      <c r="B2482" s="37"/>
      <c r="C2482" s="41"/>
      <c r="D2482" s="38"/>
      <c r="E2482" s="57"/>
      <c r="F2482" s="42"/>
      <c r="G2482" s="43"/>
      <c r="H2482" s="37"/>
      <c r="I2482" s="37"/>
      <c r="J2482" s="38"/>
      <c r="K2482" s="37"/>
      <c r="L2482" s="38"/>
      <c r="M2482" s="39"/>
      <c r="P2482" s="37"/>
      <c r="Q2482" s="37"/>
      <c r="R2482" s="37"/>
      <c r="S2482" s="37"/>
      <c r="T2482" s="37"/>
      <c r="U2482" s="37"/>
      <c r="V2482" s="37"/>
      <c r="W2482" s="37"/>
      <c r="X2482" s="37"/>
      <c r="Y2482" s="37"/>
      <c r="Z2482" s="37"/>
      <c r="AA2482" s="37"/>
      <c r="AB2482" s="37"/>
      <c r="AC2482" s="37"/>
      <c r="AD2482" s="37"/>
      <c r="AE2482" s="37"/>
      <c r="AF2482" s="37"/>
      <c r="AG2482" s="37"/>
      <c r="AH2482" s="37"/>
      <c r="AI2482" s="37"/>
      <c r="AJ2482" s="37"/>
      <c r="AK2482" s="37"/>
      <c r="AL2482" s="37"/>
      <c r="AM2482" s="37"/>
      <c r="AN2482" s="37"/>
      <c r="AO2482" s="37"/>
      <c r="AP2482" s="37"/>
      <c r="AQ2482" s="37"/>
      <c r="AR2482" s="37"/>
      <c r="AS2482" s="37"/>
      <c r="AT2482" s="37"/>
      <c r="AU2482" s="37"/>
      <c r="AV2482" s="37"/>
      <c r="AW2482" s="37"/>
      <c r="AX2482" s="37"/>
      <c r="AY2482" s="37"/>
      <c r="AZ2482" s="37"/>
      <c r="BA2482" s="37"/>
      <c r="BB2482" s="37"/>
      <c r="BC2482" s="37"/>
      <c r="BD2482" s="37"/>
      <c r="BE2482" s="37"/>
      <c r="BF2482" s="37"/>
      <c r="BG2482" s="37"/>
      <c r="BH2482" s="37"/>
      <c r="BI2482" s="37"/>
      <c r="BJ2482" s="37"/>
      <c r="BK2482" s="37"/>
      <c r="BL2482" s="37"/>
      <c r="BM2482" s="37"/>
    </row>
    <row r="2483" spans="1:65" s="40" customFormat="1" ht="23.25" x14ac:dyDescent="0.35">
      <c r="A2483" s="37"/>
      <c r="B2483" s="37"/>
      <c r="C2483" s="41"/>
      <c r="D2483" s="38"/>
      <c r="E2483" s="57"/>
      <c r="F2483" s="42"/>
      <c r="G2483" s="43"/>
      <c r="H2483" s="37"/>
      <c r="I2483" s="37"/>
      <c r="J2483" s="38"/>
      <c r="K2483" s="37"/>
      <c r="L2483" s="38"/>
      <c r="M2483" s="39"/>
      <c r="P2483" s="37"/>
      <c r="Q2483" s="37"/>
      <c r="R2483" s="37"/>
      <c r="S2483" s="37"/>
      <c r="T2483" s="37"/>
      <c r="U2483" s="37"/>
      <c r="V2483" s="37"/>
      <c r="W2483" s="37"/>
      <c r="X2483" s="37"/>
      <c r="Y2483" s="37"/>
      <c r="Z2483" s="37"/>
      <c r="AA2483" s="37"/>
      <c r="AB2483" s="37"/>
      <c r="AC2483" s="37"/>
      <c r="AD2483" s="37"/>
      <c r="AE2483" s="37"/>
      <c r="AF2483" s="37"/>
      <c r="AG2483" s="37"/>
      <c r="AH2483" s="37"/>
      <c r="AI2483" s="37"/>
      <c r="AJ2483" s="37"/>
      <c r="AK2483" s="37"/>
      <c r="AL2483" s="37"/>
      <c r="AM2483" s="37"/>
      <c r="AN2483" s="37"/>
      <c r="AO2483" s="37"/>
      <c r="AP2483" s="37"/>
      <c r="AQ2483" s="37"/>
      <c r="AR2483" s="37"/>
      <c r="AS2483" s="37"/>
      <c r="AT2483" s="37"/>
      <c r="AU2483" s="37"/>
      <c r="AV2483" s="37"/>
      <c r="AW2483" s="37"/>
      <c r="AX2483" s="37"/>
      <c r="AY2483" s="37"/>
      <c r="AZ2483" s="37"/>
      <c r="BA2483" s="37"/>
      <c r="BB2483" s="37"/>
      <c r="BC2483" s="37"/>
      <c r="BD2483" s="37"/>
      <c r="BE2483" s="37"/>
      <c r="BF2483" s="37"/>
      <c r="BG2483" s="37"/>
      <c r="BH2483" s="37"/>
      <c r="BI2483" s="37"/>
      <c r="BJ2483" s="37"/>
      <c r="BK2483" s="37"/>
      <c r="BL2483" s="37"/>
      <c r="BM2483" s="37"/>
    </row>
    <row r="2484" spans="1:65" s="40" customFormat="1" ht="23.25" x14ac:dyDescent="0.35">
      <c r="A2484" s="37"/>
      <c r="B2484" s="37"/>
      <c r="C2484" s="41"/>
      <c r="D2484" s="38"/>
      <c r="E2484" s="57"/>
      <c r="F2484" s="42"/>
      <c r="G2484" s="43"/>
      <c r="H2484" s="37"/>
      <c r="I2484" s="37"/>
      <c r="J2484" s="38"/>
      <c r="K2484" s="37"/>
      <c r="L2484" s="38"/>
      <c r="M2484" s="39"/>
      <c r="P2484" s="37"/>
      <c r="Q2484" s="37"/>
      <c r="R2484" s="37"/>
      <c r="S2484" s="37"/>
      <c r="T2484" s="37"/>
      <c r="U2484" s="37"/>
      <c r="V2484" s="37"/>
      <c r="W2484" s="37"/>
      <c r="X2484" s="37"/>
      <c r="Y2484" s="37"/>
      <c r="Z2484" s="37"/>
      <c r="AA2484" s="37"/>
      <c r="AB2484" s="37"/>
      <c r="AC2484" s="37"/>
      <c r="AD2484" s="37"/>
      <c r="AE2484" s="37"/>
      <c r="AF2484" s="37"/>
      <c r="AG2484" s="37"/>
      <c r="AH2484" s="37"/>
      <c r="AI2484" s="37"/>
      <c r="AJ2484" s="37"/>
      <c r="AK2484" s="37"/>
      <c r="AL2484" s="37"/>
      <c r="AM2484" s="37"/>
      <c r="AN2484" s="37"/>
      <c r="AO2484" s="37"/>
      <c r="AP2484" s="37"/>
      <c r="AQ2484" s="37"/>
      <c r="AR2484" s="37"/>
      <c r="AS2484" s="37"/>
      <c r="AT2484" s="37"/>
      <c r="AU2484" s="37"/>
      <c r="AV2484" s="37"/>
      <c r="AW2484" s="37"/>
      <c r="AX2484" s="37"/>
      <c r="AY2484" s="37"/>
      <c r="AZ2484" s="37"/>
      <c r="BA2484" s="37"/>
      <c r="BB2484" s="37"/>
      <c r="BC2484" s="37"/>
      <c r="BD2484" s="37"/>
      <c r="BE2484" s="37"/>
      <c r="BF2484" s="37"/>
      <c r="BG2484" s="37"/>
      <c r="BH2484" s="37"/>
      <c r="BI2484" s="37"/>
      <c r="BJ2484" s="37"/>
      <c r="BK2484" s="37"/>
      <c r="BL2484" s="37"/>
      <c r="BM2484" s="37"/>
    </row>
    <row r="2485" spans="1:65" s="40" customFormat="1" ht="23.25" x14ac:dyDescent="0.35">
      <c r="A2485" s="37"/>
      <c r="B2485" s="37"/>
      <c r="C2485" s="41"/>
      <c r="D2485" s="38"/>
      <c r="E2485" s="57"/>
      <c r="F2485" s="42"/>
      <c r="G2485" s="43"/>
      <c r="H2485" s="37"/>
      <c r="I2485" s="37"/>
      <c r="J2485" s="38"/>
      <c r="K2485" s="37"/>
      <c r="L2485" s="38"/>
      <c r="M2485" s="39"/>
      <c r="P2485" s="37"/>
      <c r="Q2485" s="37"/>
      <c r="R2485" s="37"/>
      <c r="S2485" s="37"/>
      <c r="T2485" s="37"/>
      <c r="U2485" s="37"/>
      <c r="V2485" s="37"/>
      <c r="W2485" s="37"/>
      <c r="X2485" s="37"/>
      <c r="Y2485" s="37"/>
      <c r="Z2485" s="37"/>
      <c r="AA2485" s="37"/>
      <c r="AB2485" s="37"/>
      <c r="AC2485" s="37"/>
      <c r="AD2485" s="37"/>
      <c r="AE2485" s="37"/>
      <c r="AF2485" s="37"/>
      <c r="AG2485" s="37"/>
      <c r="AH2485" s="37"/>
      <c r="AI2485" s="37"/>
      <c r="AJ2485" s="37"/>
      <c r="AK2485" s="37"/>
      <c r="AL2485" s="37"/>
      <c r="AM2485" s="37"/>
      <c r="AN2485" s="37"/>
      <c r="AO2485" s="37"/>
      <c r="AP2485" s="37"/>
      <c r="AQ2485" s="37"/>
      <c r="AR2485" s="37"/>
      <c r="AS2485" s="37"/>
      <c r="AT2485" s="37"/>
      <c r="AU2485" s="37"/>
      <c r="AV2485" s="37"/>
      <c r="AW2485" s="37"/>
      <c r="AX2485" s="37"/>
      <c r="AY2485" s="37"/>
      <c r="AZ2485" s="37"/>
      <c r="BA2485" s="37"/>
      <c r="BB2485" s="37"/>
      <c r="BC2485" s="37"/>
      <c r="BD2485" s="37"/>
      <c r="BE2485" s="37"/>
      <c r="BF2485" s="37"/>
      <c r="BG2485" s="37"/>
      <c r="BH2485" s="37"/>
      <c r="BI2485" s="37"/>
      <c r="BJ2485" s="37"/>
      <c r="BK2485" s="37"/>
      <c r="BL2485" s="37"/>
      <c r="BM2485" s="37"/>
    </row>
    <row r="2486" spans="1:65" s="40" customFormat="1" ht="23.25" x14ac:dyDescent="0.35">
      <c r="A2486" s="37"/>
      <c r="B2486" s="37"/>
      <c r="C2486" s="41"/>
      <c r="D2486" s="38"/>
      <c r="E2486" s="57"/>
      <c r="F2486" s="42"/>
      <c r="G2486" s="43"/>
      <c r="H2486" s="37"/>
      <c r="I2486" s="37"/>
      <c r="J2486" s="38"/>
      <c r="K2486" s="37"/>
      <c r="L2486" s="38"/>
      <c r="M2486" s="39"/>
      <c r="P2486" s="37"/>
      <c r="Q2486" s="37"/>
      <c r="R2486" s="37"/>
      <c r="S2486" s="37"/>
      <c r="T2486" s="37"/>
      <c r="U2486" s="37"/>
      <c r="V2486" s="37"/>
      <c r="W2486" s="37"/>
      <c r="X2486" s="37"/>
      <c r="Y2486" s="37"/>
      <c r="Z2486" s="37"/>
      <c r="AA2486" s="37"/>
      <c r="AB2486" s="37"/>
      <c r="AC2486" s="37"/>
      <c r="AD2486" s="37"/>
      <c r="AE2486" s="37"/>
      <c r="AF2486" s="37"/>
      <c r="AG2486" s="37"/>
      <c r="AH2486" s="37"/>
      <c r="AI2486" s="37"/>
      <c r="AJ2486" s="37"/>
      <c r="AK2486" s="37"/>
      <c r="AL2486" s="37"/>
      <c r="AM2486" s="37"/>
      <c r="AN2486" s="37"/>
      <c r="AO2486" s="37"/>
      <c r="AP2486" s="37"/>
      <c r="AQ2486" s="37"/>
      <c r="AR2486" s="37"/>
      <c r="AS2486" s="37"/>
      <c r="AT2486" s="37"/>
      <c r="AU2486" s="37"/>
      <c r="AV2486" s="37"/>
      <c r="AW2486" s="37"/>
      <c r="AX2486" s="37"/>
      <c r="AY2486" s="37"/>
      <c r="AZ2486" s="37"/>
      <c r="BA2486" s="37"/>
      <c r="BB2486" s="37"/>
      <c r="BC2486" s="37"/>
      <c r="BD2486" s="37"/>
      <c r="BE2486" s="37"/>
      <c r="BF2486" s="37"/>
      <c r="BG2486" s="37"/>
      <c r="BH2486" s="37"/>
      <c r="BI2486" s="37"/>
      <c r="BJ2486" s="37"/>
      <c r="BK2486" s="37"/>
      <c r="BL2486" s="37"/>
      <c r="BM2486" s="37"/>
    </row>
    <row r="2487" spans="1:65" s="40" customFormat="1" ht="23.25" x14ac:dyDescent="0.35">
      <c r="A2487" s="37"/>
      <c r="B2487" s="37"/>
      <c r="C2487" s="41"/>
      <c r="D2487" s="38"/>
      <c r="E2487" s="57"/>
      <c r="F2487" s="42"/>
      <c r="G2487" s="43"/>
      <c r="H2487" s="37"/>
      <c r="I2487" s="37"/>
      <c r="J2487" s="38"/>
      <c r="K2487" s="37"/>
      <c r="L2487" s="38"/>
      <c r="M2487" s="39"/>
      <c r="P2487" s="37"/>
      <c r="Q2487" s="37"/>
      <c r="R2487" s="37"/>
      <c r="S2487" s="37"/>
      <c r="T2487" s="37"/>
      <c r="U2487" s="37"/>
      <c r="V2487" s="37"/>
      <c r="W2487" s="37"/>
      <c r="X2487" s="37"/>
      <c r="Y2487" s="37"/>
      <c r="Z2487" s="37"/>
      <c r="AA2487" s="37"/>
      <c r="AB2487" s="37"/>
      <c r="AC2487" s="37"/>
      <c r="AD2487" s="37"/>
      <c r="AE2487" s="37"/>
      <c r="AF2487" s="37"/>
      <c r="AG2487" s="37"/>
      <c r="AH2487" s="37"/>
      <c r="AI2487" s="37"/>
      <c r="AJ2487" s="37"/>
      <c r="AK2487" s="37"/>
      <c r="AL2487" s="37"/>
      <c r="AM2487" s="37"/>
      <c r="AN2487" s="37"/>
      <c r="AO2487" s="37"/>
      <c r="AP2487" s="37"/>
      <c r="AQ2487" s="37"/>
      <c r="AR2487" s="37"/>
      <c r="AS2487" s="37"/>
      <c r="AT2487" s="37"/>
      <c r="AU2487" s="37"/>
      <c r="AV2487" s="37"/>
      <c r="AW2487" s="37"/>
      <c r="AX2487" s="37"/>
      <c r="AY2487" s="37"/>
      <c r="AZ2487" s="37"/>
      <c r="BA2487" s="37"/>
      <c r="BB2487" s="37"/>
      <c r="BC2487" s="37"/>
      <c r="BD2487" s="37"/>
      <c r="BE2487" s="37"/>
      <c r="BF2487" s="37"/>
      <c r="BG2487" s="37"/>
      <c r="BH2487" s="37"/>
      <c r="BI2487" s="37"/>
      <c r="BJ2487" s="37"/>
      <c r="BK2487" s="37"/>
      <c r="BL2487" s="37"/>
      <c r="BM2487" s="37"/>
    </row>
    <row r="2488" spans="1:65" s="40" customFormat="1" ht="23.25" x14ac:dyDescent="0.35">
      <c r="A2488" s="37"/>
      <c r="B2488" s="37"/>
      <c r="C2488" s="41"/>
      <c r="D2488" s="38"/>
      <c r="E2488" s="57"/>
      <c r="F2488" s="42"/>
      <c r="G2488" s="43"/>
      <c r="H2488" s="37"/>
      <c r="I2488" s="37"/>
      <c r="J2488" s="38"/>
      <c r="K2488" s="37"/>
      <c r="L2488" s="38"/>
      <c r="M2488" s="39"/>
      <c r="P2488" s="37"/>
      <c r="Q2488" s="37"/>
      <c r="R2488" s="37"/>
      <c r="S2488" s="37"/>
      <c r="T2488" s="37"/>
      <c r="U2488" s="37"/>
      <c r="V2488" s="37"/>
      <c r="W2488" s="37"/>
      <c r="X2488" s="37"/>
      <c r="Y2488" s="37"/>
      <c r="Z2488" s="37"/>
      <c r="AA2488" s="37"/>
      <c r="AB2488" s="37"/>
      <c r="AC2488" s="37"/>
      <c r="AD2488" s="37"/>
      <c r="AE2488" s="37"/>
      <c r="AF2488" s="37"/>
      <c r="AG2488" s="37"/>
      <c r="AH2488" s="37"/>
      <c r="AI2488" s="37"/>
      <c r="AJ2488" s="37"/>
      <c r="AK2488" s="37"/>
      <c r="AL2488" s="37"/>
      <c r="AM2488" s="37"/>
      <c r="AN2488" s="37"/>
      <c r="AO2488" s="37"/>
      <c r="AP2488" s="37"/>
      <c r="AQ2488" s="37"/>
      <c r="AR2488" s="37"/>
      <c r="AS2488" s="37"/>
      <c r="AT2488" s="37"/>
      <c r="AU2488" s="37"/>
      <c r="AV2488" s="37"/>
      <c r="AW2488" s="37"/>
      <c r="AX2488" s="37"/>
      <c r="AY2488" s="37"/>
      <c r="AZ2488" s="37"/>
      <c r="BA2488" s="37"/>
      <c r="BB2488" s="37"/>
      <c r="BC2488" s="37"/>
      <c r="BD2488" s="37"/>
      <c r="BE2488" s="37"/>
      <c r="BF2488" s="37"/>
      <c r="BG2488" s="37"/>
      <c r="BH2488" s="37"/>
      <c r="BI2488" s="37"/>
      <c r="BJ2488" s="37"/>
      <c r="BK2488" s="37"/>
      <c r="BL2488" s="37"/>
      <c r="BM2488" s="37"/>
    </row>
    <row r="2489" spans="1:65" s="40" customFormat="1" ht="23.25" x14ac:dyDescent="0.35">
      <c r="A2489" s="37"/>
      <c r="B2489" s="37"/>
      <c r="C2489" s="41"/>
      <c r="D2489" s="38"/>
      <c r="E2489" s="57"/>
      <c r="F2489" s="42"/>
      <c r="G2489" s="43"/>
      <c r="H2489" s="37"/>
      <c r="I2489" s="37"/>
      <c r="J2489" s="38"/>
      <c r="K2489" s="37"/>
      <c r="L2489" s="38"/>
      <c r="M2489" s="39"/>
      <c r="P2489" s="37"/>
      <c r="Q2489" s="37"/>
      <c r="R2489" s="37"/>
      <c r="S2489" s="37"/>
      <c r="T2489" s="37"/>
      <c r="U2489" s="37"/>
      <c r="V2489" s="37"/>
      <c r="W2489" s="37"/>
      <c r="X2489" s="37"/>
      <c r="Y2489" s="37"/>
      <c r="Z2489" s="37"/>
      <c r="AA2489" s="37"/>
      <c r="AB2489" s="37"/>
      <c r="AC2489" s="37"/>
      <c r="AD2489" s="37"/>
      <c r="AE2489" s="37"/>
      <c r="AF2489" s="37"/>
      <c r="AG2489" s="37"/>
      <c r="AH2489" s="37"/>
      <c r="AI2489" s="37"/>
      <c r="AJ2489" s="37"/>
      <c r="AK2489" s="37"/>
      <c r="AL2489" s="37"/>
      <c r="AM2489" s="37"/>
      <c r="AN2489" s="37"/>
      <c r="AO2489" s="37"/>
      <c r="AP2489" s="37"/>
      <c r="AQ2489" s="37"/>
      <c r="AR2489" s="37"/>
      <c r="AS2489" s="37"/>
      <c r="AT2489" s="37"/>
      <c r="AU2489" s="37"/>
      <c r="AV2489" s="37"/>
      <c r="AW2489" s="37"/>
      <c r="AX2489" s="37"/>
      <c r="AY2489" s="37"/>
      <c r="AZ2489" s="37"/>
      <c r="BA2489" s="37"/>
      <c r="BB2489" s="37"/>
      <c r="BC2489" s="37"/>
      <c r="BD2489" s="37"/>
      <c r="BE2489" s="37"/>
      <c r="BF2489" s="37"/>
      <c r="BG2489" s="37"/>
      <c r="BH2489" s="37"/>
      <c r="BI2489" s="37"/>
      <c r="BJ2489" s="37"/>
      <c r="BK2489" s="37"/>
      <c r="BL2489" s="37"/>
      <c r="BM2489" s="37"/>
    </row>
    <row r="2490" spans="1:65" s="40" customFormat="1" ht="23.25" x14ac:dyDescent="0.35">
      <c r="A2490" s="37"/>
      <c r="B2490" s="37"/>
      <c r="C2490" s="41"/>
      <c r="D2490" s="38"/>
      <c r="E2490" s="57"/>
      <c r="F2490" s="42"/>
      <c r="G2490" s="43"/>
      <c r="H2490" s="37"/>
      <c r="I2490" s="37"/>
      <c r="J2490" s="38"/>
      <c r="K2490" s="37"/>
      <c r="L2490" s="38"/>
      <c r="M2490" s="39"/>
      <c r="P2490" s="37"/>
      <c r="Q2490" s="37"/>
      <c r="R2490" s="37"/>
      <c r="S2490" s="37"/>
      <c r="T2490" s="37"/>
      <c r="U2490" s="37"/>
      <c r="V2490" s="37"/>
      <c r="W2490" s="37"/>
      <c r="X2490" s="37"/>
      <c r="Y2490" s="37"/>
      <c r="Z2490" s="37"/>
      <c r="AA2490" s="37"/>
      <c r="AB2490" s="37"/>
      <c r="AC2490" s="37"/>
      <c r="AD2490" s="37"/>
      <c r="AE2490" s="37"/>
      <c r="AF2490" s="37"/>
      <c r="AG2490" s="37"/>
      <c r="AH2490" s="37"/>
      <c r="AI2490" s="37"/>
      <c r="AJ2490" s="37"/>
      <c r="AK2490" s="37"/>
      <c r="AL2490" s="37"/>
      <c r="AM2490" s="37"/>
      <c r="AN2490" s="37"/>
      <c r="AO2490" s="37"/>
      <c r="AP2490" s="37"/>
      <c r="AQ2490" s="37"/>
      <c r="AR2490" s="37"/>
      <c r="AS2490" s="37"/>
      <c r="AT2490" s="37"/>
      <c r="AU2490" s="37"/>
      <c r="AV2490" s="37"/>
      <c r="AW2490" s="37"/>
      <c r="AX2490" s="37"/>
      <c r="AY2490" s="37"/>
      <c r="AZ2490" s="37"/>
      <c r="BA2490" s="37"/>
      <c r="BB2490" s="37"/>
      <c r="BC2490" s="37"/>
      <c r="BD2490" s="37"/>
      <c r="BE2490" s="37"/>
      <c r="BF2490" s="37"/>
      <c r="BG2490" s="37"/>
      <c r="BH2490" s="37"/>
      <c r="BI2490" s="37"/>
      <c r="BJ2490" s="37"/>
      <c r="BK2490" s="37"/>
      <c r="BL2490" s="37"/>
      <c r="BM2490" s="37"/>
    </row>
    <row r="2491" spans="1:65" s="40" customFormat="1" ht="23.25" x14ac:dyDescent="0.35">
      <c r="A2491" s="37"/>
      <c r="B2491" s="37"/>
      <c r="C2491" s="41"/>
      <c r="D2491" s="38"/>
      <c r="E2491" s="57"/>
      <c r="F2491" s="42"/>
      <c r="G2491" s="43"/>
      <c r="H2491" s="37"/>
      <c r="I2491" s="37"/>
      <c r="J2491" s="38"/>
      <c r="K2491" s="37"/>
      <c r="L2491" s="38"/>
      <c r="M2491" s="39"/>
      <c r="P2491" s="37"/>
      <c r="Q2491" s="37"/>
      <c r="R2491" s="37"/>
      <c r="S2491" s="37"/>
      <c r="T2491" s="37"/>
      <c r="U2491" s="37"/>
      <c r="V2491" s="37"/>
      <c r="W2491" s="37"/>
      <c r="X2491" s="37"/>
      <c r="Y2491" s="37"/>
      <c r="Z2491" s="37"/>
      <c r="AA2491" s="37"/>
      <c r="AB2491" s="37"/>
      <c r="AC2491" s="37"/>
      <c r="AD2491" s="37"/>
      <c r="AE2491" s="37"/>
      <c r="AF2491" s="37"/>
      <c r="AG2491" s="37"/>
      <c r="AH2491" s="37"/>
      <c r="AI2491" s="37"/>
      <c r="AJ2491" s="37"/>
      <c r="AK2491" s="37"/>
      <c r="AL2491" s="37"/>
      <c r="AM2491" s="37"/>
      <c r="AN2491" s="37"/>
      <c r="AO2491" s="37"/>
      <c r="AP2491" s="37"/>
      <c r="AQ2491" s="37"/>
      <c r="AR2491" s="37"/>
      <c r="AS2491" s="37"/>
      <c r="AT2491" s="37"/>
      <c r="AU2491" s="37"/>
      <c r="AV2491" s="37"/>
      <c r="AW2491" s="37"/>
      <c r="AX2491" s="37"/>
      <c r="AY2491" s="37"/>
      <c r="AZ2491" s="37"/>
      <c r="BA2491" s="37"/>
      <c r="BB2491" s="37"/>
      <c r="BC2491" s="37"/>
      <c r="BD2491" s="37"/>
      <c r="BE2491" s="37"/>
      <c r="BF2491" s="37"/>
      <c r="BG2491" s="37"/>
      <c r="BH2491" s="37"/>
      <c r="BI2491" s="37"/>
      <c r="BJ2491" s="37"/>
      <c r="BK2491" s="37"/>
      <c r="BL2491" s="37"/>
      <c r="BM2491" s="37"/>
    </row>
    <row r="2492" spans="1:65" s="40" customFormat="1" ht="23.25" x14ac:dyDescent="0.35">
      <c r="A2492" s="37"/>
      <c r="B2492" s="37"/>
      <c r="C2492" s="41"/>
      <c r="D2492" s="38"/>
      <c r="E2492" s="57"/>
      <c r="F2492" s="42"/>
      <c r="G2492" s="43"/>
      <c r="H2492" s="37"/>
      <c r="I2492" s="37"/>
      <c r="J2492" s="38"/>
      <c r="K2492" s="37"/>
      <c r="L2492" s="38"/>
      <c r="M2492" s="39"/>
      <c r="P2492" s="37"/>
      <c r="Q2492" s="37"/>
      <c r="R2492" s="37"/>
      <c r="S2492" s="37"/>
      <c r="T2492" s="37"/>
      <c r="U2492" s="37"/>
      <c r="V2492" s="37"/>
      <c r="W2492" s="37"/>
      <c r="X2492" s="37"/>
      <c r="Y2492" s="37"/>
      <c r="Z2492" s="37"/>
      <c r="AA2492" s="37"/>
      <c r="AB2492" s="37"/>
      <c r="AC2492" s="37"/>
      <c r="AD2492" s="37"/>
      <c r="AE2492" s="37"/>
      <c r="AF2492" s="37"/>
      <c r="AG2492" s="37"/>
      <c r="AH2492" s="37"/>
      <c r="AI2492" s="37"/>
      <c r="AJ2492" s="37"/>
      <c r="AK2492" s="37"/>
      <c r="AL2492" s="37"/>
      <c r="AM2492" s="37"/>
      <c r="AN2492" s="37"/>
      <c r="AO2492" s="37"/>
      <c r="AP2492" s="37"/>
      <c r="AQ2492" s="37"/>
      <c r="AR2492" s="37"/>
      <c r="AS2492" s="37"/>
      <c r="AT2492" s="37"/>
      <c r="AU2492" s="37"/>
      <c r="AV2492" s="37"/>
      <c r="AW2492" s="37"/>
      <c r="AX2492" s="37"/>
      <c r="AY2492" s="37"/>
      <c r="AZ2492" s="37"/>
      <c r="BA2492" s="37"/>
      <c r="BB2492" s="37"/>
      <c r="BC2492" s="37"/>
      <c r="BD2492" s="37"/>
      <c r="BE2492" s="37"/>
      <c r="BF2492" s="37"/>
      <c r="BG2492" s="37"/>
      <c r="BH2492" s="37"/>
      <c r="BI2492" s="37"/>
      <c r="BJ2492" s="37"/>
      <c r="BK2492" s="37"/>
      <c r="BL2492" s="37"/>
      <c r="BM2492" s="37"/>
    </row>
    <row r="2493" spans="1:65" s="40" customFormat="1" ht="23.25" x14ac:dyDescent="0.35">
      <c r="A2493" s="37"/>
      <c r="B2493" s="37"/>
      <c r="C2493" s="41"/>
      <c r="D2493" s="38"/>
      <c r="E2493" s="57"/>
      <c r="F2493" s="42"/>
      <c r="G2493" s="43"/>
      <c r="H2493" s="37"/>
      <c r="I2493" s="37"/>
      <c r="J2493" s="38"/>
      <c r="K2493" s="37"/>
      <c r="L2493" s="38"/>
      <c r="M2493" s="39"/>
      <c r="P2493" s="37"/>
      <c r="Q2493" s="37"/>
      <c r="R2493" s="37"/>
      <c r="S2493" s="37"/>
      <c r="T2493" s="37"/>
      <c r="U2493" s="37"/>
      <c r="V2493" s="37"/>
      <c r="W2493" s="37"/>
      <c r="X2493" s="37"/>
      <c r="Y2493" s="37"/>
      <c r="Z2493" s="37"/>
      <c r="AA2493" s="37"/>
      <c r="AB2493" s="37"/>
      <c r="AC2493" s="37"/>
      <c r="AD2493" s="37"/>
      <c r="AE2493" s="37"/>
      <c r="AF2493" s="37"/>
      <c r="AG2493" s="37"/>
      <c r="AH2493" s="37"/>
      <c r="AI2493" s="37"/>
      <c r="AJ2493" s="37"/>
      <c r="AK2493" s="37"/>
      <c r="AL2493" s="37"/>
      <c r="AM2493" s="37"/>
      <c r="AN2493" s="37"/>
      <c r="AO2493" s="37"/>
      <c r="AP2493" s="37"/>
      <c r="AQ2493" s="37"/>
      <c r="AR2493" s="37"/>
      <c r="AS2493" s="37"/>
      <c r="AT2493" s="37"/>
      <c r="AU2493" s="37"/>
      <c r="AV2493" s="37"/>
      <c r="AW2493" s="37"/>
      <c r="AX2493" s="37"/>
      <c r="AY2493" s="37"/>
      <c r="AZ2493" s="37"/>
      <c r="BA2493" s="37"/>
      <c r="BB2493" s="37"/>
      <c r="BC2493" s="37"/>
      <c r="BD2493" s="37"/>
      <c r="BE2493" s="37"/>
      <c r="BF2493" s="37"/>
      <c r="BG2493" s="37"/>
      <c r="BH2493" s="37"/>
      <c r="BI2493" s="37"/>
      <c r="BJ2493" s="37"/>
      <c r="BK2493" s="37"/>
      <c r="BL2493" s="37"/>
      <c r="BM2493" s="37"/>
    </row>
    <row r="2494" spans="1:65" s="40" customFormat="1" ht="23.25" x14ac:dyDescent="0.35">
      <c r="A2494" s="37"/>
      <c r="B2494" s="37"/>
      <c r="C2494" s="41"/>
      <c r="D2494" s="38"/>
      <c r="E2494" s="57"/>
      <c r="F2494" s="42"/>
      <c r="G2494" s="43"/>
      <c r="H2494" s="37"/>
      <c r="I2494" s="37"/>
      <c r="J2494" s="38"/>
      <c r="K2494" s="37"/>
      <c r="L2494" s="38"/>
      <c r="M2494" s="39"/>
      <c r="P2494" s="37"/>
      <c r="Q2494" s="37"/>
      <c r="R2494" s="37"/>
      <c r="S2494" s="37"/>
      <c r="T2494" s="37"/>
      <c r="U2494" s="37"/>
      <c r="V2494" s="37"/>
      <c r="W2494" s="37"/>
      <c r="X2494" s="37"/>
      <c r="Y2494" s="37"/>
      <c r="Z2494" s="37"/>
      <c r="AA2494" s="37"/>
      <c r="AB2494" s="37"/>
      <c r="AC2494" s="37"/>
      <c r="AD2494" s="37"/>
      <c r="AE2494" s="37"/>
      <c r="AF2494" s="37"/>
      <c r="AG2494" s="37"/>
      <c r="AH2494" s="37"/>
      <c r="AI2494" s="37"/>
      <c r="AJ2494" s="37"/>
      <c r="AK2494" s="37"/>
      <c r="AL2494" s="37"/>
      <c r="AM2494" s="37"/>
      <c r="AN2494" s="37"/>
      <c r="AO2494" s="37"/>
      <c r="AP2494" s="37"/>
      <c r="AQ2494" s="37"/>
      <c r="AR2494" s="37"/>
      <c r="AS2494" s="37"/>
      <c r="AT2494" s="37"/>
      <c r="AU2494" s="37"/>
      <c r="AV2494" s="37"/>
      <c r="AW2494" s="37"/>
      <c r="AX2494" s="37"/>
      <c r="AY2494" s="37"/>
      <c r="AZ2494" s="37"/>
      <c r="BA2494" s="37"/>
      <c r="BB2494" s="37"/>
      <c r="BC2494" s="37"/>
      <c r="BD2494" s="37"/>
      <c r="BE2494" s="37"/>
      <c r="BF2494" s="37"/>
      <c r="BG2494" s="37"/>
      <c r="BH2494" s="37"/>
      <c r="BI2494" s="37"/>
      <c r="BJ2494" s="37"/>
      <c r="BK2494" s="37"/>
      <c r="BL2494" s="37"/>
      <c r="BM2494" s="37"/>
    </row>
    <row r="2495" spans="1:65" s="40" customFormat="1" ht="23.25" x14ac:dyDescent="0.35">
      <c r="A2495" s="37"/>
      <c r="B2495" s="37"/>
      <c r="C2495" s="41"/>
      <c r="D2495" s="38"/>
      <c r="E2495" s="57"/>
      <c r="F2495" s="42"/>
      <c r="G2495" s="43"/>
      <c r="H2495" s="37"/>
      <c r="I2495" s="37"/>
      <c r="J2495" s="38"/>
      <c r="K2495" s="37"/>
      <c r="L2495" s="38"/>
      <c r="M2495" s="39"/>
      <c r="P2495" s="37"/>
      <c r="Q2495" s="37"/>
      <c r="R2495" s="37"/>
      <c r="S2495" s="37"/>
      <c r="T2495" s="37"/>
      <c r="U2495" s="37"/>
      <c r="V2495" s="37"/>
      <c r="W2495" s="37"/>
      <c r="X2495" s="37"/>
      <c r="Y2495" s="37"/>
      <c r="Z2495" s="37"/>
      <c r="AA2495" s="37"/>
      <c r="AB2495" s="37"/>
      <c r="AC2495" s="37"/>
      <c r="AD2495" s="37"/>
      <c r="AE2495" s="37"/>
      <c r="AF2495" s="37"/>
      <c r="AG2495" s="37"/>
      <c r="AH2495" s="37"/>
      <c r="AI2495" s="37"/>
      <c r="AJ2495" s="37"/>
      <c r="AK2495" s="37"/>
      <c r="AL2495" s="37"/>
      <c r="AM2495" s="37"/>
      <c r="AN2495" s="37"/>
      <c r="AO2495" s="37"/>
      <c r="AP2495" s="37"/>
      <c r="AQ2495" s="37"/>
      <c r="AR2495" s="37"/>
      <c r="AS2495" s="37"/>
      <c r="AT2495" s="37"/>
      <c r="AU2495" s="37"/>
      <c r="AV2495" s="37"/>
      <c r="AW2495" s="37"/>
      <c r="AX2495" s="37"/>
      <c r="AY2495" s="37"/>
      <c r="AZ2495" s="37"/>
      <c r="BA2495" s="37"/>
      <c r="BB2495" s="37"/>
      <c r="BC2495" s="37"/>
      <c r="BD2495" s="37"/>
      <c r="BE2495" s="37"/>
      <c r="BF2495" s="37"/>
      <c r="BG2495" s="37"/>
      <c r="BH2495" s="37"/>
      <c r="BI2495" s="37"/>
      <c r="BJ2495" s="37"/>
      <c r="BK2495" s="37"/>
      <c r="BL2495" s="37"/>
      <c r="BM2495" s="37"/>
    </row>
    <row r="2496" spans="1:65" s="40" customFormat="1" ht="23.25" x14ac:dyDescent="0.35">
      <c r="A2496" s="37"/>
      <c r="B2496" s="37"/>
      <c r="C2496" s="41"/>
      <c r="D2496" s="38"/>
      <c r="E2496" s="57"/>
      <c r="F2496" s="42"/>
      <c r="G2496" s="43"/>
      <c r="H2496" s="37"/>
      <c r="I2496" s="37"/>
      <c r="J2496" s="38"/>
      <c r="K2496" s="37"/>
      <c r="L2496" s="38"/>
      <c r="M2496" s="39"/>
      <c r="P2496" s="37"/>
      <c r="Q2496" s="37"/>
      <c r="R2496" s="37"/>
      <c r="S2496" s="37"/>
      <c r="T2496" s="37"/>
      <c r="U2496" s="37"/>
      <c r="V2496" s="37"/>
      <c r="W2496" s="37"/>
      <c r="X2496" s="37"/>
      <c r="Y2496" s="37"/>
      <c r="Z2496" s="37"/>
      <c r="AA2496" s="37"/>
      <c r="AB2496" s="37"/>
      <c r="AC2496" s="37"/>
      <c r="AD2496" s="37"/>
      <c r="AE2496" s="37"/>
      <c r="AF2496" s="37"/>
      <c r="AG2496" s="37"/>
      <c r="AH2496" s="37"/>
      <c r="AI2496" s="37"/>
      <c r="AJ2496" s="37"/>
      <c r="AK2496" s="37"/>
      <c r="AL2496" s="37"/>
      <c r="AM2496" s="37"/>
      <c r="AN2496" s="37"/>
      <c r="AO2496" s="37"/>
      <c r="AP2496" s="37"/>
      <c r="AQ2496" s="37"/>
      <c r="AR2496" s="37"/>
      <c r="AS2496" s="37"/>
      <c r="AT2496" s="37"/>
      <c r="AU2496" s="37"/>
      <c r="AV2496" s="37"/>
      <c r="AW2496" s="37"/>
      <c r="AX2496" s="37"/>
      <c r="AY2496" s="37"/>
      <c r="AZ2496" s="37"/>
      <c r="BA2496" s="37"/>
      <c r="BB2496" s="37"/>
      <c r="BC2496" s="37"/>
      <c r="BD2496" s="37"/>
      <c r="BE2496" s="37"/>
      <c r="BF2496" s="37"/>
      <c r="BG2496" s="37"/>
      <c r="BH2496" s="37"/>
      <c r="BI2496" s="37"/>
      <c r="BJ2496" s="37"/>
      <c r="BK2496" s="37"/>
      <c r="BL2496" s="37"/>
      <c r="BM2496" s="37"/>
    </row>
    <row r="2497" spans="1:65" s="40" customFormat="1" ht="23.25" x14ac:dyDescent="0.35">
      <c r="A2497" s="37"/>
      <c r="B2497" s="37"/>
      <c r="C2497" s="41"/>
      <c r="D2497" s="38"/>
      <c r="E2497" s="57"/>
      <c r="F2497" s="42"/>
      <c r="G2497" s="43"/>
      <c r="H2497" s="37"/>
      <c r="I2497" s="37"/>
      <c r="J2497" s="38"/>
      <c r="K2497" s="37"/>
      <c r="L2497" s="38"/>
      <c r="M2497" s="39"/>
      <c r="P2497" s="37"/>
      <c r="Q2497" s="37"/>
      <c r="R2497" s="37"/>
      <c r="S2497" s="37"/>
      <c r="T2497" s="37"/>
      <c r="U2497" s="37"/>
      <c r="V2497" s="37"/>
      <c r="W2497" s="37"/>
      <c r="X2497" s="37"/>
      <c r="Y2497" s="37"/>
      <c r="Z2497" s="37"/>
      <c r="AA2497" s="37"/>
      <c r="AB2497" s="37"/>
      <c r="AC2497" s="37"/>
      <c r="AD2497" s="37"/>
      <c r="AE2497" s="37"/>
      <c r="AF2497" s="37"/>
      <c r="AG2497" s="37"/>
      <c r="AH2497" s="37"/>
      <c r="AI2497" s="37"/>
      <c r="AJ2497" s="37"/>
      <c r="AK2497" s="37"/>
      <c r="AL2497" s="37"/>
      <c r="AM2497" s="37"/>
      <c r="AN2497" s="37"/>
      <c r="AO2497" s="37"/>
      <c r="AP2497" s="37"/>
      <c r="AQ2497" s="37"/>
      <c r="AR2497" s="37"/>
      <c r="AS2497" s="37"/>
      <c r="AT2497" s="37"/>
      <c r="AU2497" s="37"/>
      <c r="AV2497" s="37"/>
      <c r="AW2497" s="37"/>
      <c r="AX2497" s="37"/>
      <c r="AY2497" s="37"/>
      <c r="AZ2497" s="37"/>
      <c r="BA2497" s="37"/>
      <c r="BB2497" s="37"/>
      <c r="BC2497" s="37"/>
      <c r="BD2497" s="37"/>
      <c r="BE2497" s="37"/>
      <c r="BF2497" s="37"/>
      <c r="BG2497" s="37"/>
      <c r="BH2497" s="37"/>
      <c r="BI2497" s="37"/>
      <c r="BJ2497" s="37"/>
      <c r="BK2497" s="37"/>
      <c r="BL2497" s="37"/>
      <c r="BM2497" s="37"/>
    </row>
    <row r="2498" spans="1:65" s="40" customFormat="1" ht="23.25" x14ac:dyDescent="0.35">
      <c r="A2498" s="37"/>
      <c r="B2498" s="37"/>
      <c r="C2498" s="41"/>
      <c r="D2498" s="38"/>
      <c r="E2498" s="57"/>
      <c r="F2498" s="42"/>
      <c r="G2498" s="43"/>
      <c r="H2498" s="37"/>
      <c r="I2498" s="37"/>
      <c r="J2498" s="38"/>
      <c r="K2498" s="37"/>
      <c r="L2498" s="38"/>
      <c r="M2498" s="39"/>
      <c r="P2498" s="37"/>
      <c r="Q2498" s="37"/>
      <c r="R2498" s="37"/>
      <c r="S2498" s="37"/>
      <c r="T2498" s="37"/>
      <c r="U2498" s="37"/>
      <c r="V2498" s="37"/>
      <c r="W2498" s="37"/>
      <c r="X2498" s="37"/>
      <c r="Y2498" s="37"/>
      <c r="Z2498" s="37"/>
      <c r="AA2498" s="37"/>
      <c r="AB2498" s="37"/>
      <c r="AC2498" s="37"/>
      <c r="AD2498" s="37"/>
      <c r="AE2498" s="37"/>
      <c r="AF2498" s="37"/>
      <c r="AG2498" s="37"/>
      <c r="AH2498" s="37"/>
      <c r="AI2498" s="37"/>
      <c r="AJ2498" s="37"/>
      <c r="AK2498" s="37"/>
      <c r="AL2498" s="37"/>
      <c r="AM2498" s="37"/>
      <c r="AN2498" s="37"/>
      <c r="AO2498" s="37"/>
      <c r="AP2498" s="37"/>
      <c r="AQ2498" s="37"/>
      <c r="AR2498" s="37"/>
      <c r="AS2498" s="37"/>
      <c r="AT2498" s="37"/>
      <c r="AU2498" s="37"/>
      <c r="AV2498" s="37"/>
      <c r="AW2498" s="37"/>
      <c r="AX2498" s="37"/>
      <c r="AY2498" s="37"/>
      <c r="AZ2498" s="37"/>
      <c r="BA2498" s="37"/>
      <c r="BB2498" s="37"/>
      <c r="BC2498" s="37"/>
      <c r="BD2498" s="37"/>
      <c r="BE2498" s="37"/>
      <c r="BF2498" s="37"/>
      <c r="BG2498" s="37"/>
      <c r="BH2498" s="37"/>
      <c r="BI2498" s="37"/>
      <c r="BJ2498" s="37"/>
      <c r="BK2498" s="37"/>
      <c r="BL2498" s="37"/>
      <c r="BM2498" s="37"/>
    </row>
    <row r="2499" spans="1:65" s="40" customFormat="1" ht="23.25" x14ac:dyDescent="0.35">
      <c r="A2499" s="37"/>
      <c r="B2499" s="37"/>
      <c r="C2499" s="41"/>
      <c r="D2499" s="38"/>
      <c r="E2499" s="57"/>
      <c r="F2499" s="42"/>
      <c r="G2499" s="43"/>
      <c r="H2499" s="37"/>
      <c r="I2499" s="37"/>
      <c r="J2499" s="38"/>
      <c r="K2499" s="37"/>
      <c r="L2499" s="38"/>
      <c r="M2499" s="39"/>
      <c r="P2499" s="37"/>
      <c r="Q2499" s="37"/>
      <c r="R2499" s="37"/>
      <c r="S2499" s="37"/>
      <c r="T2499" s="37"/>
      <c r="U2499" s="37"/>
      <c r="V2499" s="37"/>
      <c r="W2499" s="37"/>
      <c r="X2499" s="37"/>
      <c r="Y2499" s="37"/>
      <c r="Z2499" s="37"/>
      <c r="AA2499" s="37"/>
      <c r="AB2499" s="37"/>
      <c r="AC2499" s="37"/>
      <c r="AD2499" s="37"/>
      <c r="AE2499" s="37"/>
      <c r="AF2499" s="37"/>
      <c r="AG2499" s="37"/>
      <c r="AH2499" s="37"/>
      <c r="AI2499" s="37"/>
      <c r="AJ2499" s="37"/>
      <c r="AK2499" s="37"/>
      <c r="AL2499" s="37"/>
      <c r="AM2499" s="37"/>
      <c r="AN2499" s="37"/>
      <c r="AO2499" s="37"/>
      <c r="AP2499" s="37"/>
      <c r="AQ2499" s="37"/>
      <c r="AR2499" s="37"/>
      <c r="AS2499" s="37"/>
      <c r="AT2499" s="37"/>
      <c r="AU2499" s="37"/>
      <c r="AV2499" s="37"/>
      <c r="AW2499" s="37"/>
      <c r="AX2499" s="37"/>
      <c r="AY2499" s="37"/>
      <c r="AZ2499" s="37"/>
      <c r="BA2499" s="37"/>
      <c r="BB2499" s="37"/>
      <c r="BC2499" s="37"/>
      <c r="BD2499" s="37"/>
      <c r="BE2499" s="37"/>
      <c r="BF2499" s="37"/>
      <c r="BG2499" s="37"/>
      <c r="BH2499" s="37"/>
      <c r="BI2499" s="37"/>
      <c r="BJ2499" s="37"/>
      <c r="BK2499" s="37"/>
      <c r="BL2499" s="37"/>
      <c r="BM2499" s="37"/>
    </row>
    <row r="2500" spans="1:65" s="40" customFormat="1" ht="23.25" x14ac:dyDescent="0.35">
      <c r="A2500" s="37"/>
      <c r="B2500" s="37"/>
      <c r="C2500" s="41"/>
      <c r="D2500" s="38"/>
      <c r="E2500" s="57"/>
      <c r="F2500" s="42"/>
      <c r="G2500" s="43"/>
      <c r="H2500" s="37"/>
      <c r="I2500" s="37"/>
      <c r="J2500" s="38"/>
      <c r="K2500" s="37"/>
      <c r="L2500" s="38"/>
      <c r="M2500" s="39"/>
      <c r="P2500" s="37"/>
      <c r="Q2500" s="37"/>
      <c r="R2500" s="37"/>
      <c r="S2500" s="37"/>
      <c r="T2500" s="37"/>
      <c r="U2500" s="37"/>
      <c r="V2500" s="37"/>
      <c r="W2500" s="37"/>
      <c r="X2500" s="37"/>
      <c r="Y2500" s="37"/>
      <c r="Z2500" s="37"/>
      <c r="AA2500" s="37"/>
      <c r="AB2500" s="37"/>
      <c r="AC2500" s="37"/>
      <c r="AD2500" s="37"/>
      <c r="AE2500" s="37"/>
      <c r="AF2500" s="37"/>
      <c r="AG2500" s="37"/>
      <c r="AH2500" s="37"/>
      <c r="AI2500" s="37"/>
      <c r="AJ2500" s="37"/>
      <c r="AK2500" s="37"/>
      <c r="AL2500" s="37"/>
      <c r="AM2500" s="37"/>
      <c r="AN2500" s="37"/>
      <c r="AO2500" s="37"/>
      <c r="AP2500" s="37"/>
      <c r="AQ2500" s="37"/>
      <c r="AR2500" s="37"/>
      <c r="AS2500" s="37"/>
      <c r="AT2500" s="37"/>
      <c r="AU2500" s="37"/>
      <c r="AV2500" s="37"/>
      <c r="AW2500" s="37"/>
      <c r="AX2500" s="37"/>
      <c r="AY2500" s="37"/>
      <c r="AZ2500" s="37"/>
      <c r="BA2500" s="37"/>
      <c r="BB2500" s="37"/>
      <c r="BC2500" s="37"/>
      <c r="BD2500" s="37"/>
      <c r="BE2500" s="37"/>
      <c r="BF2500" s="37"/>
      <c r="BG2500" s="37"/>
      <c r="BH2500" s="37"/>
      <c r="BI2500" s="37"/>
      <c r="BJ2500" s="37"/>
      <c r="BK2500" s="37"/>
      <c r="BL2500" s="37"/>
      <c r="BM2500" s="37"/>
    </row>
    <row r="2501" spans="1:65" s="40" customFormat="1" ht="23.25" x14ac:dyDescent="0.35">
      <c r="A2501" s="37"/>
      <c r="B2501" s="37"/>
      <c r="C2501" s="41"/>
      <c r="D2501" s="38"/>
      <c r="E2501" s="57"/>
      <c r="F2501" s="42"/>
      <c r="G2501" s="43"/>
      <c r="H2501" s="37"/>
      <c r="I2501" s="37"/>
      <c r="J2501" s="38"/>
      <c r="K2501" s="37"/>
      <c r="L2501" s="38"/>
      <c r="M2501" s="39"/>
      <c r="P2501" s="37"/>
      <c r="Q2501" s="37"/>
      <c r="R2501" s="37"/>
      <c r="S2501" s="37"/>
      <c r="T2501" s="37"/>
      <c r="U2501" s="37"/>
      <c r="V2501" s="37"/>
      <c r="W2501" s="37"/>
      <c r="X2501" s="37"/>
      <c r="Y2501" s="37"/>
      <c r="Z2501" s="37"/>
      <c r="AA2501" s="37"/>
      <c r="AB2501" s="37"/>
      <c r="AC2501" s="37"/>
      <c r="AD2501" s="37"/>
      <c r="AE2501" s="37"/>
      <c r="AF2501" s="37"/>
      <c r="AG2501" s="37"/>
      <c r="AH2501" s="37"/>
      <c r="AI2501" s="37"/>
      <c r="AJ2501" s="37"/>
      <c r="AK2501" s="37"/>
      <c r="AL2501" s="37"/>
      <c r="AM2501" s="37"/>
      <c r="AN2501" s="37"/>
      <c r="AO2501" s="37"/>
      <c r="AP2501" s="37"/>
      <c r="AQ2501" s="37"/>
      <c r="AR2501" s="37"/>
      <c r="AS2501" s="37"/>
      <c r="AT2501" s="37"/>
      <c r="AU2501" s="37"/>
      <c r="AV2501" s="37"/>
      <c r="AW2501" s="37"/>
      <c r="AX2501" s="37"/>
      <c r="AY2501" s="37"/>
      <c r="AZ2501" s="37"/>
      <c r="BA2501" s="37"/>
      <c r="BB2501" s="37"/>
      <c r="BC2501" s="37"/>
      <c r="BD2501" s="37"/>
      <c r="BE2501" s="37"/>
      <c r="BF2501" s="37"/>
      <c r="BG2501" s="37"/>
      <c r="BH2501" s="37"/>
      <c r="BI2501" s="37"/>
      <c r="BJ2501" s="37"/>
      <c r="BK2501" s="37"/>
      <c r="BL2501" s="37"/>
      <c r="BM2501" s="37"/>
    </row>
    <row r="2502" spans="1:65" s="40" customFormat="1" ht="23.25" x14ac:dyDescent="0.35">
      <c r="A2502" s="37"/>
      <c r="B2502" s="37"/>
      <c r="C2502" s="41"/>
      <c r="D2502" s="38"/>
      <c r="E2502" s="57"/>
      <c r="F2502" s="42"/>
      <c r="G2502" s="43"/>
      <c r="H2502" s="37"/>
      <c r="I2502" s="37"/>
      <c r="J2502" s="38"/>
      <c r="K2502" s="37"/>
      <c r="L2502" s="38"/>
      <c r="M2502" s="39"/>
      <c r="P2502" s="37"/>
      <c r="Q2502" s="37"/>
      <c r="R2502" s="37"/>
      <c r="S2502" s="37"/>
      <c r="T2502" s="37"/>
      <c r="U2502" s="37"/>
      <c r="V2502" s="37"/>
      <c r="W2502" s="37"/>
      <c r="X2502" s="37"/>
      <c r="Y2502" s="37"/>
      <c r="Z2502" s="37"/>
      <c r="AA2502" s="37"/>
      <c r="AB2502" s="37"/>
      <c r="AC2502" s="37"/>
      <c r="AD2502" s="37"/>
      <c r="AE2502" s="37"/>
      <c r="AF2502" s="37"/>
      <c r="AG2502" s="37"/>
      <c r="AH2502" s="37"/>
      <c r="AI2502" s="37"/>
      <c r="AJ2502" s="37"/>
      <c r="AK2502" s="37"/>
      <c r="AL2502" s="37"/>
      <c r="AM2502" s="37"/>
      <c r="AN2502" s="37"/>
      <c r="AO2502" s="37"/>
      <c r="AP2502" s="37"/>
      <c r="AQ2502" s="37"/>
      <c r="AR2502" s="37"/>
      <c r="AS2502" s="37"/>
      <c r="AT2502" s="37"/>
      <c r="AU2502" s="37"/>
      <c r="AV2502" s="37"/>
      <c r="AW2502" s="37"/>
      <c r="AX2502" s="37"/>
      <c r="AY2502" s="37"/>
      <c r="AZ2502" s="37"/>
      <c r="BA2502" s="37"/>
      <c r="BB2502" s="37"/>
      <c r="BC2502" s="37"/>
      <c r="BD2502" s="37"/>
      <c r="BE2502" s="37"/>
      <c r="BF2502" s="37"/>
      <c r="BG2502" s="37"/>
      <c r="BH2502" s="37"/>
      <c r="BI2502" s="37"/>
      <c r="BJ2502" s="37"/>
      <c r="BK2502" s="37"/>
      <c r="BL2502" s="37"/>
      <c r="BM2502" s="37"/>
    </row>
    <row r="2503" spans="1:65" s="40" customFormat="1" ht="23.25" x14ac:dyDescent="0.35">
      <c r="A2503" s="37"/>
      <c r="B2503" s="37"/>
      <c r="C2503" s="41"/>
      <c r="D2503" s="38"/>
      <c r="E2503" s="57"/>
      <c r="F2503" s="42"/>
      <c r="G2503" s="43"/>
      <c r="H2503" s="37"/>
      <c r="I2503" s="37"/>
      <c r="J2503" s="38"/>
      <c r="K2503" s="37"/>
      <c r="L2503" s="38"/>
      <c r="M2503" s="39"/>
      <c r="P2503" s="37"/>
      <c r="Q2503" s="37"/>
      <c r="R2503" s="37"/>
      <c r="S2503" s="37"/>
      <c r="T2503" s="37"/>
      <c r="U2503" s="37"/>
      <c r="V2503" s="37"/>
      <c r="W2503" s="37"/>
      <c r="X2503" s="37"/>
      <c r="Y2503" s="37"/>
      <c r="Z2503" s="37"/>
      <c r="AA2503" s="37"/>
      <c r="AB2503" s="37"/>
      <c r="AC2503" s="37"/>
      <c r="AD2503" s="37"/>
      <c r="AE2503" s="37"/>
      <c r="AF2503" s="37"/>
      <c r="AG2503" s="37"/>
      <c r="AH2503" s="37"/>
      <c r="AI2503" s="37"/>
      <c r="AJ2503" s="37"/>
      <c r="AK2503" s="37"/>
      <c r="AL2503" s="37"/>
      <c r="AM2503" s="37"/>
      <c r="AN2503" s="37"/>
      <c r="AO2503" s="37"/>
      <c r="AP2503" s="37"/>
      <c r="AQ2503" s="37"/>
      <c r="AR2503" s="37"/>
      <c r="AS2503" s="37"/>
      <c r="AT2503" s="37"/>
      <c r="AU2503" s="37"/>
      <c r="AV2503" s="37"/>
      <c r="AW2503" s="37"/>
      <c r="AX2503" s="37"/>
      <c r="AY2503" s="37"/>
      <c r="AZ2503" s="37"/>
      <c r="BA2503" s="37"/>
      <c r="BB2503" s="37"/>
      <c r="BC2503" s="37"/>
      <c r="BD2503" s="37"/>
      <c r="BE2503" s="37"/>
      <c r="BF2503" s="37"/>
      <c r="BG2503" s="37"/>
      <c r="BH2503" s="37"/>
      <c r="BI2503" s="37"/>
      <c r="BJ2503" s="37"/>
      <c r="BK2503" s="37"/>
      <c r="BL2503" s="37"/>
      <c r="BM2503" s="37"/>
    </row>
    <row r="2504" spans="1:65" s="40" customFormat="1" ht="23.25" x14ac:dyDescent="0.35">
      <c r="A2504" s="37"/>
      <c r="B2504" s="37"/>
      <c r="C2504" s="41"/>
      <c r="D2504" s="38"/>
      <c r="E2504" s="57"/>
      <c r="F2504" s="42"/>
      <c r="G2504" s="43"/>
      <c r="H2504" s="37"/>
      <c r="I2504" s="37"/>
      <c r="J2504" s="38"/>
      <c r="K2504" s="37"/>
      <c r="L2504" s="38"/>
      <c r="M2504" s="39"/>
      <c r="P2504" s="37"/>
      <c r="Q2504" s="37"/>
      <c r="R2504" s="37"/>
      <c r="S2504" s="37"/>
      <c r="T2504" s="37"/>
      <c r="U2504" s="37"/>
      <c r="V2504" s="37"/>
      <c r="W2504" s="37"/>
      <c r="X2504" s="37"/>
      <c r="Y2504" s="37"/>
      <c r="Z2504" s="37"/>
      <c r="AA2504" s="37"/>
      <c r="AB2504" s="37"/>
      <c r="AC2504" s="37"/>
      <c r="AD2504" s="37"/>
      <c r="AE2504" s="37"/>
      <c r="AF2504" s="37"/>
      <c r="AG2504" s="37"/>
      <c r="AH2504" s="37"/>
      <c r="AI2504" s="37"/>
      <c r="AJ2504" s="37"/>
      <c r="AK2504" s="37"/>
      <c r="AL2504" s="37"/>
      <c r="AM2504" s="37"/>
      <c r="AN2504" s="37"/>
      <c r="AO2504" s="37"/>
      <c r="AP2504" s="37"/>
      <c r="AQ2504" s="37"/>
      <c r="AR2504" s="37"/>
      <c r="AS2504" s="37"/>
      <c r="AT2504" s="37"/>
      <c r="AU2504" s="37"/>
      <c r="AV2504" s="37"/>
      <c r="AW2504" s="37"/>
      <c r="AX2504" s="37"/>
      <c r="AY2504" s="37"/>
      <c r="AZ2504" s="37"/>
      <c r="BA2504" s="37"/>
      <c r="BB2504" s="37"/>
      <c r="BC2504" s="37"/>
      <c r="BD2504" s="37"/>
      <c r="BE2504" s="37"/>
      <c r="BF2504" s="37"/>
      <c r="BG2504" s="37"/>
      <c r="BH2504" s="37"/>
      <c r="BI2504" s="37"/>
      <c r="BJ2504" s="37"/>
      <c r="BK2504" s="37"/>
      <c r="BL2504" s="37"/>
      <c r="BM2504" s="37"/>
    </row>
    <row r="2505" spans="1:65" s="40" customFormat="1" ht="23.25" x14ac:dyDescent="0.35">
      <c r="A2505" s="37"/>
      <c r="B2505" s="37"/>
      <c r="C2505" s="41"/>
      <c r="D2505" s="38"/>
      <c r="E2505" s="57"/>
      <c r="F2505" s="42"/>
      <c r="G2505" s="43"/>
      <c r="H2505" s="37"/>
      <c r="I2505" s="37"/>
      <c r="J2505" s="38"/>
      <c r="K2505" s="37"/>
      <c r="L2505" s="38"/>
      <c r="M2505" s="39"/>
      <c r="P2505" s="37"/>
      <c r="Q2505" s="37"/>
      <c r="R2505" s="37"/>
      <c r="S2505" s="37"/>
      <c r="T2505" s="37"/>
      <c r="U2505" s="37"/>
      <c r="V2505" s="37"/>
      <c r="W2505" s="37"/>
      <c r="X2505" s="37"/>
      <c r="Y2505" s="37"/>
      <c r="Z2505" s="37"/>
      <c r="AA2505" s="37"/>
      <c r="AB2505" s="37"/>
      <c r="AC2505" s="37"/>
      <c r="AD2505" s="37"/>
      <c r="AE2505" s="37"/>
      <c r="AF2505" s="37"/>
      <c r="AG2505" s="37"/>
      <c r="AH2505" s="37"/>
      <c r="AI2505" s="37"/>
      <c r="AJ2505" s="37"/>
      <c r="AK2505" s="37"/>
      <c r="AL2505" s="37"/>
      <c r="AM2505" s="37"/>
      <c r="AN2505" s="37"/>
      <c r="AO2505" s="37"/>
      <c r="AP2505" s="37"/>
      <c r="AQ2505" s="37"/>
      <c r="AR2505" s="37"/>
      <c r="AS2505" s="37"/>
      <c r="AT2505" s="37"/>
      <c r="AU2505" s="37"/>
      <c r="AV2505" s="37"/>
      <c r="AW2505" s="37"/>
      <c r="AX2505" s="37"/>
      <c r="AY2505" s="37"/>
      <c r="AZ2505" s="37"/>
      <c r="BA2505" s="37"/>
      <c r="BB2505" s="37"/>
      <c r="BC2505" s="37"/>
      <c r="BD2505" s="37"/>
      <c r="BE2505" s="37"/>
      <c r="BF2505" s="37"/>
      <c r="BG2505" s="37"/>
      <c r="BH2505" s="37"/>
      <c r="BI2505" s="37"/>
      <c r="BJ2505" s="37"/>
      <c r="BK2505" s="37"/>
      <c r="BL2505" s="37"/>
      <c r="BM2505" s="37"/>
    </row>
    <row r="2506" spans="1:65" s="40" customFormat="1" ht="23.25" x14ac:dyDescent="0.35">
      <c r="A2506" s="37"/>
      <c r="B2506" s="37"/>
      <c r="C2506" s="41"/>
      <c r="D2506" s="38"/>
      <c r="E2506" s="57"/>
      <c r="F2506" s="42"/>
      <c r="G2506" s="43"/>
      <c r="H2506" s="37"/>
      <c r="I2506" s="37"/>
      <c r="J2506" s="38"/>
      <c r="K2506" s="37"/>
      <c r="L2506" s="38"/>
      <c r="M2506" s="39"/>
      <c r="P2506" s="37"/>
      <c r="Q2506" s="37"/>
      <c r="R2506" s="37"/>
      <c r="S2506" s="37"/>
      <c r="T2506" s="37"/>
      <c r="U2506" s="37"/>
      <c r="V2506" s="37"/>
      <c r="W2506" s="37"/>
      <c r="X2506" s="37"/>
      <c r="Y2506" s="37"/>
      <c r="Z2506" s="37"/>
      <c r="AA2506" s="37"/>
      <c r="AB2506" s="37"/>
      <c r="AC2506" s="37"/>
      <c r="AD2506" s="37"/>
      <c r="AE2506" s="37"/>
      <c r="AF2506" s="37"/>
      <c r="AG2506" s="37"/>
      <c r="AH2506" s="37"/>
      <c r="AI2506" s="37"/>
      <c r="AJ2506" s="37"/>
      <c r="AK2506" s="37"/>
      <c r="AL2506" s="37"/>
      <c r="AM2506" s="37"/>
      <c r="AN2506" s="37"/>
      <c r="AO2506" s="37"/>
      <c r="AP2506" s="37"/>
      <c r="AQ2506" s="37"/>
      <c r="AR2506" s="37"/>
      <c r="AS2506" s="37"/>
      <c r="AT2506" s="37"/>
      <c r="AU2506" s="37"/>
      <c r="AV2506" s="37"/>
      <c r="AW2506" s="37"/>
      <c r="AX2506" s="37"/>
      <c r="AY2506" s="37"/>
      <c r="AZ2506" s="37"/>
      <c r="BA2506" s="37"/>
      <c r="BB2506" s="37"/>
      <c r="BC2506" s="37"/>
      <c r="BD2506" s="37"/>
      <c r="BE2506" s="37"/>
      <c r="BF2506" s="37"/>
      <c r="BG2506" s="37"/>
      <c r="BH2506" s="37"/>
      <c r="BI2506" s="37"/>
      <c r="BJ2506" s="37"/>
      <c r="BK2506" s="37"/>
      <c r="BL2506" s="37"/>
      <c r="BM2506" s="37"/>
    </row>
    <row r="2507" spans="1:65" s="40" customFormat="1" ht="23.25" x14ac:dyDescent="0.35">
      <c r="A2507" s="37"/>
      <c r="B2507" s="37"/>
      <c r="C2507" s="41"/>
      <c r="D2507" s="38"/>
      <c r="E2507" s="57"/>
      <c r="F2507" s="42"/>
      <c r="G2507" s="43"/>
      <c r="H2507" s="37"/>
      <c r="I2507" s="37"/>
      <c r="J2507" s="38"/>
      <c r="K2507" s="37"/>
      <c r="L2507" s="38"/>
      <c r="M2507" s="39"/>
      <c r="P2507" s="37"/>
      <c r="Q2507" s="37"/>
      <c r="R2507" s="37"/>
      <c r="S2507" s="37"/>
      <c r="T2507" s="37"/>
      <c r="U2507" s="37"/>
      <c r="V2507" s="37"/>
      <c r="W2507" s="37"/>
      <c r="X2507" s="37"/>
      <c r="Y2507" s="37"/>
      <c r="Z2507" s="37"/>
      <c r="AA2507" s="37"/>
      <c r="AB2507" s="37"/>
      <c r="AC2507" s="37"/>
      <c r="AD2507" s="37"/>
      <c r="AE2507" s="37"/>
      <c r="AF2507" s="37"/>
      <c r="AG2507" s="37"/>
      <c r="AH2507" s="37"/>
      <c r="AI2507" s="37"/>
      <c r="AJ2507" s="37"/>
      <c r="AK2507" s="37"/>
      <c r="AL2507" s="37"/>
      <c r="AM2507" s="37"/>
      <c r="AN2507" s="37"/>
      <c r="AO2507" s="37"/>
      <c r="AP2507" s="37"/>
      <c r="AQ2507" s="37"/>
      <c r="AR2507" s="37"/>
      <c r="AS2507" s="37"/>
      <c r="AT2507" s="37"/>
      <c r="AU2507" s="37"/>
      <c r="AV2507" s="37"/>
      <c r="AW2507" s="37"/>
      <c r="AX2507" s="37"/>
      <c r="AY2507" s="37"/>
      <c r="AZ2507" s="37"/>
      <c r="BA2507" s="37"/>
      <c r="BB2507" s="37"/>
      <c r="BC2507" s="37"/>
      <c r="BD2507" s="37"/>
      <c r="BE2507" s="37"/>
      <c r="BF2507" s="37"/>
      <c r="BG2507" s="37"/>
      <c r="BH2507" s="37"/>
      <c r="BI2507" s="37"/>
      <c r="BJ2507" s="37"/>
      <c r="BK2507" s="37"/>
      <c r="BL2507" s="37"/>
      <c r="BM2507" s="37"/>
    </row>
    <row r="2508" spans="1:65" s="40" customFormat="1" ht="23.25" x14ac:dyDescent="0.35">
      <c r="A2508" s="37"/>
      <c r="B2508" s="37"/>
      <c r="C2508" s="41"/>
      <c r="D2508" s="38"/>
      <c r="E2508" s="57"/>
      <c r="F2508" s="42"/>
      <c r="G2508" s="43"/>
      <c r="H2508" s="37"/>
      <c r="I2508" s="37"/>
      <c r="J2508" s="38"/>
      <c r="K2508" s="37"/>
      <c r="L2508" s="38"/>
      <c r="M2508" s="39"/>
      <c r="P2508" s="37"/>
      <c r="Q2508" s="37"/>
      <c r="R2508" s="37"/>
      <c r="S2508" s="37"/>
      <c r="T2508" s="37"/>
      <c r="U2508" s="37"/>
      <c r="V2508" s="37"/>
      <c r="W2508" s="37"/>
      <c r="X2508" s="37"/>
      <c r="Y2508" s="37"/>
      <c r="Z2508" s="37"/>
      <c r="AA2508" s="37"/>
      <c r="AB2508" s="37"/>
      <c r="AC2508" s="37"/>
      <c r="AD2508" s="37"/>
      <c r="AE2508" s="37"/>
      <c r="AF2508" s="37"/>
      <c r="AG2508" s="37"/>
      <c r="AH2508" s="37"/>
      <c r="AI2508" s="37"/>
      <c r="AJ2508" s="37"/>
      <c r="AK2508" s="37"/>
      <c r="AL2508" s="37"/>
      <c r="AM2508" s="37"/>
      <c r="AN2508" s="37"/>
      <c r="AO2508" s="37"/>
      <c r="AP2508" s="37"/>
      <c r="AQ2508" s="37"/>
      <c r="AR2508" s="37"/>
      <c r="AS2508" s="37"/>
      <c r="AT2508" s="37"/>
      <c r="AU2508" s="37"/>
      <c r="AV2508" s="37"/>
      <c r="AW2508" s="37"/>
      <c r="AX2508" s="37"/>
      <c r="AY2508" s="37"/>
      <c r="AZ2508" s="37"/>
      <c r="BA2508" s="37"/>
      <c r="BB2508" s="37"/>
      <c r="BC2508" s="37"/>
      <c r="BD2508" s="37"/>
      <c r="BE2508" s="37"/>
      <c r="BF2508" s="37"/>
      <c r="BG2508" s="37"/>
      <c r="BH2508" s="37"/>
      <c r="BI2508" s="37"/>
      <c r="BJ2508" s="37"/>
      <c r="BK2508" s="37"/>
      <c r="BL2508" s="37"/>
      <c r="BM2508" s="37"/>
    </row>
    <row r="2509" spans="1:65" s="40" customFormat="1" ht="23.25" x14ac:dyDescent="0.35">
      <c r="A2509" s="37"/>
      <c r="B2509" s="37"/>
      <c r="C2509" s="41"/>
      <c r="D2509" s="38"/>
      <c r="E2509" s="57"/>
      <c r="F2509" s="42"/>
      <c r="G2509" s="43"/>
      <c r="H2509" s="37"/>
      <c r="I2509" s="37"/>
      <c r="J2509" s="38"/>
      <c r="K2509" s="37"/>
      <c r="L2509" s="38"/>
      <c r="M2509" s="39"/>
      <c r="P2509" s="37"/>
      <c r="Q2509" s="37"/>
      <c r="R2509" s="37"/>
      <c r="S2509" s="37"/>
      <c r="T2509" s="37"/>
      <c r="U2509" s="37"/>
      <c r="V2509" s="37"/>
      <c r="W2509" s="37"/>
      <c r="X2509" s="37"/>
      <c r="Y2509" s="37"/>
      <c r="Z2509" s="37"/>
      <c r="AA2509" s="37"/>
      <c r="AB2509" s="37"/>
      <c r="AC2509" s="37"/>
      <c r="AD2509" s="37"/>
      <c r="AE2509" s="37"/>
      <c r="AF2509" s="37"/>
      <c r="AG2509" s="37"/>
      <c r="AH2509" s="37"/>
      <c r="AI2509" s="37"/>
      <c r="AJ2509" s="37"/>
      <c r="AK2509" s="37"/>
      <c r="AL2509" s="37"/>
      <c r="AM2509" s="37"/>
      <c r="AN2509" s="37"/>
      <c r="AO2509" s="37"/>
      <c r="AP2509" s="37"/>
      <c r="AQ2509" s="37"/>
      <c r="AR2509" s="37"/>
      <c r="AS2509" s="37"/>
      <c r="AT2509" s="37"/>
      <c r="AU2509" s="37"/>
      <c r="AV2509" s="37"/>
      <c r="AW2509" s="37"/>
      <c r="AX2509" s="37"/>
      <c r="AY2509" s="37"/>
      <c r="AZ2509" s="37"/>
      <c r="BA2509" s="37"/>
      <c r="BB2509" s="37"/>
      <c r="BC2509" s="37"/>
      <c r="BD2509" s="37"/>
      <c r="BE2509" s="37"/>
      <c r="BF2509" s="37"/>
      <c r="BG2509" s="37"/>
      <c r="BH2509" s="37"/>
      <c r="BI2509" s="37"/>
      <c r="BJ2509" s="37"/>
      <c r="BK2509" s="37"/>
      <c r="BL2509" s="37"/>
      <c r="BM2509" s="37"/>
    </row>
    <row r="2510" spans="1:65" s="40" customFormat="1" ht="23.25" x14ac:dyDescent="0.35">
      <c r="A2510" s="37"/>
      <c r="B2510" s="37"/>
      <c r="C2510" s="41"/>
      <c r="D2510" s="38"/>
      <c r="E2510" s="57"/>
      <c r="F2510" s="42"/>
      <c r="G2510" s="43"/>
      <c r="H2510" s="37"/>
      <c r="I2510" s="37"/>
      <c r="J2510" s="38"/>
      <c r="K2510" s="37"/>
      <c r="L2510" s="38"/>
      <c r="M2510" s="39"/>
      <c r="P2510" s="37"/>
      <c r="Q2510" s="37"/>
      <c r="R2510" s="37"/>
      <c r="S2510" s="37"/>
      <c r="T2510" s="37"/>
      <c r="U2510" s="37"/>
      <c r="V2510" s="37"/>
      <c r="W2510" s="37"/>
      <c r="X2510" s="37"/>
      <c r="Y2510" s="37"/>
      <c r="Z2510" s="37"/>
      <c r="AA2510" s="37"/>
      <c r="AB2510" s="37"/>
      <c r="AC2510" s="37"/>
      <c r="AD2510" s="37"/>
      <c r="AE2510" s="37"/>
      <c r="AF2510" s="37"/>
      <c r="AG2510" s="37"/>
      <c r="AH2510" s="37"/>
      <c r="AI2510" s="37"/>
      <c r="AJ2510" s="37"/>
      <c r="AK2510" s="37"/>
      <c r="AL2510" s="37"/>
      <c r="AM2510" s="37"/>
      <c r="AN2510" s="37"/>
      <c r="AO2510" s="37"/>
      <c r="AP2510" s="37"/>
      <c r="AQ2510" s="37"/>
      <c r="AR2510" s="37"/>
      <c r="AS2510" s="37"/>
      <c r="AT2510" s="37"/>
      <c r="AU2510" s="37"/>
      <c r="AV2510" s="37"/>
      <c r="AW2510" s="37"/>
      <c r="AX2510" s="37"/>
      <c r="AY2510" s="37"/>
      <c r="AZ2510" s="37"/>
      <c r="BA2510" s="37"/>
      <c r="BB2510" s="37"/>
      <c r="BC2510" s="37"/>
      <c r="BD2510" s="37"/>
      <c r="BE2510" s="37"/>
      <c r="BF2510" s="37"/>
      <c r="BG2510" s="37"/>
      <c r="BH2510" s="37"/>
      <c r="BI2510" s="37"/>
      <c r="BJ2510" s="37"/>
      <c r="BK2510" s="37"/>
      <c r="BL2510" s="37"/>
      <c r="BM2510" s="37"/>
    </row>
    <row r="2511" spans="1:65" s="40" customFormat="1" ht="23.25" x14ac:dyDescent="0.35">
      <c r="A2511" s="37"/>
      <c r="B2511" s="37"/>
      <c r="C2511" s="41"/>
      <c r="D2511" s="38"/>
      <c r="E2511" s="57"/>
      <c r="F2511" s="42"/>
      <c r="G2511" s="43"/>
      <c r="H2511" s="37"/>
      <c r="I2511" s="37"/>
      <c r="J2511" s="38"/>
      <c r="K2511" s="37"/>
      <c r="L2511" s="38"/>
      <c r="M2511" s="39"/>
      <c r="P2511" s="37"/>
      <c r="Q2511" s="37"/>
      <c r="R2511" s="37"/>
      <c r="S2511" s="37"/>
      <c r="T2511" s="37"/>
      <c r="U2511" s="37"/>
      <c r="V2511" s="37"/>
      <c r="W2511" s="37"/>
      <c r="X2511" s="37"/>
      <c r="Y2511" s="37"/>
      <c r="Z2511" s="37"/>
      <c r="AA2511" s="37"/>
      <c r="AB2511" s="37"/>
      <c r="AC2511" s="37"/>
      <c r="AD2511" s="37"/>
      <c r="AE2511" s="37"/>
      <c r="AF2511" s="37"/>
      <c r="AG2511" s="37"/>
      <c r="AH2511" s="37"/>
      <c r="AI2511" s="37"/>
      <c r="AJ2511" s="37"/>
      <c r="AK2511" s="37"/>
      <c r="AL2511" s="37"/>
      <c r="AM2511" s="37"/>
      <c r="AN2511" s="37"/>
      <c r="AO2511" s="37"/>
      <c r="AP2511" s="37"/>
      <c r="AQ2511" s="37"/>
      <c r="AR2511" s="37"/>
      <c r="AS2511" s="37"/>
      <c r="AT2511" s="37"/>
      <c r="AU2511" s="37"/>
      <c r="AV2511" s="37"/>
      <c r="AW2511" s="37"/>
      <c r="AX2511" s="37"/>
      <c r="AY2511" s="37"/>
      <c r="AZ2511" s="37"/>
      <c r="BA2511" s="37"/>
      <c r="BB2511" s="37"/>
      <c r="BC2511" s="37"/>
      <c r="BD2511" s="37"/>
      <c r="BE2511" s="37"/>
      <c r="BF2511" s="37"/>
      <c r="BG2511" s="37"/>
      <c r="BH2511" s="37"/>
      <c r="BI2511" s="37"/>
      <c r="BJ2511" s="37"/>
      <c r="BK2511" s="37"/>
      <c r="BL2511" s="37"/>
      <c r="BM2511" s="37"/>
    </row>
    <row r="2512" spans="1:65" s="40" customFormat="1" ht="23.25" x14ac:dyDescent="0.35">
      <c r="A2512" s="37"/>
      <c r="B2512" s="37"/>
      <c r="C2512" s="41"/>
      <c r="D2512" s="38"/>
      <c r="E2512" s="57"/>
      <c r="F2512" s="42"/>
      <c r="G2512" s="43"/>
      <c r="H2512" s="37"/>
      <c r="I2512" s="37"/>
      <c r="J2512" s="38"/>
      <c r="K2512" s="37"/>
      <c r="L2512" s="38"/>
      <c r="M2512" s="39"/>
      <c r="P2512" s="37"/>
      <c r="Q2512" s="37"/>
      <c r="R2512" s="37"/>
      <c r="S2512" s="37"/>
      <c r="T2512" s="37"/>
      <c r="U2512" s="37"/>
      <c r="V2512" s="37"/>
      <c r="W2512" s="37"/>
      <c r="X2512" s="37"/>
      <c r="Y2512" s="37"/>
      <c r="Z2512" s="37"/>
      <c r="AA2512" s="37"/>
      <c r="AB2512" s="37"/>
      <c r="AC2512" s="37"/>
      <c r="AD2512" s="37"/>
      <c r="AE2512" s="37"/>
      <c r="AF2512" s="37"/>
      <c r="AG2512" s="37"/>
      <c r="AH2512" s="37"/>
      <c r="AI2512" s="37"/>
      <c r="AJ2512" s="37"/>
      <c r="AK2512" s="37"/>
      <c r="AL2512" s="37"/>
      <c r="AM2512" s="37"/>
      <c r="AN2512" s="37"/>
      <c r="AO2512" s="37"/>
      <c r="AP2512" s="37"/>
      <c r="AQ2512" s="37"/>
      <c r="AR2512" s="37"/>
      <c r="AS2512" s="37"/>
      <c r="AT2512" s="37"/>
      <c r="AU2512" s="37"/>
      <c r="AV2512" s="37"/>
      <c r="AW2512" s="37"/>
      <c r="AX2512" s="37"/>
      <c r="AY2512" s="37"/>
      <c r="AZ2512" s="37"/>
      <c r="BA2512" s="37"/>
      <c r="BB2512" s="37"/>
      <c r="BC2512" s="37"/>
      <c r="BD2512" s="37"/>
      <c r="BE2512" s="37"/>
      <c r="BF2512" s="37"/>
      <c r="BG2512" s="37"/>
      <c r="BH2512" s="37"/>
      <c r="BI2512" s="37"/>
      <c r="BJ2512" s="37"/>
      <c r="BK2512" s="37"/>
      <c r="BL2512" s="37"/>
      <c r="BM2512" s="37"/>
    </row>
    <row r="2513" spans="1:65" s="40" customFormat="1" ht="23.25" x14ac:dyDescent="0.35">
      <c r="A2513" s="37"/>
      <c r="B2513" s="37"/>
      <c r="C2513" s="41"/>
      <c r="D2513" s="38"/>
      <c r="E2513" s="57"/>
      <c r="F2513" s="42"/>
      <c r="G2513" s="43"/>
      <c r="H2513" s="37"/>
      <c r="I2513" s="37"/>
      <c r="J2513" s="38"/>
      <c r="K2513" s="37"/>
      <c r="L2513" s="38"/>
      <c r="M2513" s="39"/>
      <c r="P2513" s="37"/>
      <c r="Q2513" s="37"/>
      <c r="R2513" s="37"/>
      <c r="S2513" s="37"/>
      <c r="T2513" s="37"/>
      <c r="U2513" s="37"/>
      <c r="V2513" s="37"/>
      <c r="W2513" s="37"/>
      <c r="X2513" s="37"/>
      <c r="Y2513" s="37"/>
      <c r="Z2513" s="37"/>
      <c r="AA2513" s="37"/>
      <c r="AB2513" s="37"/>
      <c r="AC2513" s="37"/>
      <c r="AD2513" s="37"/>
      <c r="AE2513" s="37"/>
      <c r="AF2513" s="37"/>
      <c r="AG2513" s="37"/>
      <c r="AH2513" s="37"/>
      <c r="AI2513" s="37"/>
      <c r="AJ2513" s="37"/>
      <c r="AK2513" s="37"/>
      <c r="AL2513" s="37"/>
      <c r="AM2513" s="37"/>
      <c r="AN2513" s="37"/>
      <c r="AO2513" s="37"/>
      <c r="AP2513" s="37"/>
      <c r="AQ2513" s="37"/>
      <c r="AR2513" s="37"/>
      <c r="AS2513" s="37"/>
      <c r="AT2513" s="37"/>
      <c r="AU2513" s="37"/>
      <c r="AV2513" s="37"/>
      <c r="AW2513" s="37"/>
      <c r="AX2513" s="37"/>
      <c r="AY2513" s="37"/>
      <c r="AZ2513" s="37"/>
      <c r="BA2513" s="37"/>
      <c r="BB2513" s="37"/>
      <c r="BC2513" s="37"/>
      <c r="BD2513" s="37"/>
      <c r="BE2513" s="37"/>
      <c r="BF2513" s="37"/>
      <c r="BG2513" s="37"/>
      <c r="BH2513" s="37"/>
      <c r="BI2513" s="37"/>
      <c r="BJ2513" s="37"/>
      <c r="BK2513" s="37"/>
      <c r="BL2513" s="37"/>
      <c r="BM2513" s="37"/>
    </row>
    <row r="2514" spans="1:65" s="40" customFormat="1" ht="23.25" x14ac:dyDescent="0.35">
      <c r="A2514" s="37"/>
      <c r="B2514" s="37"/>
      <c r="C2514" s="41"/>
      <c r="D2514" s="38"/>
      <c r="E2514" s="57"/>
      <c r="F2514" s="42"/>
      <c r="G2514" s="43"/>
      <c r="H2514" s="37"/>
      <c r="I2514" s="37"/>
      <c r="J2514" s="38"/>
      <c r="K2514" s="37"/>
      <c r="L2514" s="38"/>
      <c r="M2514" s="39"/>
      <c r="P2514" s="37"/>
      <c r="Q2514" s="37"/>
      <c r="R2514" s="37"/>
      <c r="S2514" s="37"/>
      <c r="T2514" s="37"/>
      <c r="U2514" s="37"/>
      <c r="V2514" s="37"/>
      <c r="W2514" s="37"/>
      <c r="X2514" s="37"/>
      <c r="Y2514" s="37"/>
      <c r="Z2514" s="37"/>
      <c r="AA2514" s="37"/>
      <c r="AB2514" s="37"/>
      <c r="AC2514" s="37"/>
      <c r="AD2514" s="37"/>
      <c r="AE2514" s="37"/>
      <c r="AF2514" s="37"/>
      <c r="AG2514" s="37"/>
      <c r="AH2514" s="37"/>
      <c r="AI2514" s="37"/>
      <c r="AJ2514" s="37"/>
      <c r="AK2514" s="37"/>
      <c r="AL2514" s="37"/>
      <c r="AM2514" s="37"/>
      <c r="AN2514" s="37"/>
      <c r="AO2514" s="37"/>
      <c r="AP2514" s="37"/>
      <c r="AQ2514" s="37"/>
      <c r="AR2514" s="37"/>
      <c r="AS2514" s="37"/>
      <c r="AT2514" s="37"/>
      <c r="AU2514" s="37"/>
      <c r="AV2514" s="37"/>
      <c r="AW2514" s="37"/>
      <c r="AX2514" s="37"/>
      <c r="AY2514" s="37"/>
      <c r="AZ2514" s="37"/>
      <c r="BA2514" s="37"/>
      <c r="BB2514" s="37"/>
      <c r="BC2514" s="37"/>
      <c r="BD2514" s="37"/>
      <c r="BE2514" s="37"/>
      <c r="BF2514" s="37"/>
      <c r="BG2514" s="37"/>
      <c r="BH2514" s="37"/>
      <c r="BI2514" s="37"/>
      <c r="BJ2514" s="37"/>
      <c r="BK2514" s="37"/>
      <c r="BL2514" s="37"/>
      <c r="BM2514" s="37"/>
    </row>
    <row r="2515" spans="1:65" s="40" customFormat="1" ht="23.25" x14ac:dyDescent="0.35">
      <c r="A2515" s="37"/>
      <c r="B2515" s="37"/>
      <c r="C2515" s="41"/>
      <c r="D2515" s="38"/>
      <c r="E2515" s="57"/>
      <c r="F2515" s="42"/>
      <c r="G2515" s="43"/>
      <c r="H2515" s="37"/>
      <c r="I2515" s="37"/>
      <c r="J2515" s="38"/>
      <c r="K2515" s="37"/>
      <c r="L2515" s="38"/>
      <c r="M2515" s="39"/>
      <c r="P2515" s="37"/>
      <c r="Q2515" s="37"/>
      <c r="R2515" s="37"/>
      <c r="S2515" s="37"/>
      <c r="T2515" s="37"/>
      <c r="U2515" s="37"/>
      <c r="V2515" s="37"/>
      <c r="W2515" s="37"/>
      <c r="X2515" s="37"/>
      <c r="Y2515" s="37"/>
      <c r="Z2515" s="37"/>
      <c r="AA2515" s="37"/>
      <c r="AB2515" s="37"/>
      <c r="AC2515" s="37"/>
      <c r="AD2515" s="37"/>
      <c r="AE2515" s="37"/>
      <c r="AF2515" s="37"/>
      <c r="AG2515" s="37"/>
      <c r="AH2515" s="37"/>
      <c r="AI2515" s="37"/>
      <c r="AJ2515" s="37"/>
      <c r="AK2515" s="37"/>
      <c r="AL2515" s="37"/>
      <c r="AM2515" s="37"/>
      <c r="AN2515" s="37"/>
      <c r="AO2515" s="37"/>
      <c r="AP2515" s="37"/>
      <c r="AQ2515" s="37"/>
      <c r="AR2515" s="37"/>
      <c r="AS2515" s="37"/>
      <c r="AT2515" s="37"/>
      <c r="AU2515" s="37"/>
      <c r="AV2515" s="37"/>
      <c r="AW2515" s="37"/>
      <c r="AX2515" s="37"/>
      <c r="AY2515" s="37"/>
      <c r="AZ2515" s="37"/>
      <c r="BA2515" s="37"/>
      <c r="BB2515" s="37"/>
      <c r="BC2515" s="37"/>
      <c r="BD2515" s="37"/>
      <c r="BE2515" s="37"/>
      <c r="BF2515" s="37"/>
      <c r="BG2515" s="37"/>
      <c r="BH2515" s="37"/>
      <c r="BI2515" s="37"/>
      <c r="BJ2515" s="37"/>
      <c r="BK2515" s="37"/>
      <c r="BL2515" s="37"/>
      <c r="BM2515" s="37"/>
    </row>
    <row r="2516" spans="1:65" s="40" customFormat="1" ht="23.25" x14ac:dyDescent="0.35">
      <c r="A2516" s="37"/>
      <c r="B2516" s="37"/>
      <c r="C2516" s="41"/>
      <c r="D2516" s="38"/>
      <c r="E2516" s="57"/>
      <c r="F2516" s="42"/>
      <c r="G2516" s="43"/>
      <c r="H2516" s="37"/>
      <c r="I2516" s="37"/>
      <c r="J2516" s="38"/>
      <c r="K2516" s="37"/>
      <c r="L2516" s="38"/>
      <c r="M2516" s="39"/>
      <c r="P2516" s="37"/>
      <c r="Q2516" s="37"/>
      <c r="R2516" s="37"/>
      <c r="S2516" s="37"/>
      <c r="T2516" s="37"/>
      <c r="U2516" s="37"/>
      <c r="V2516" s="37"/>
      <c r="W2516" s="37"/>
      <c r="X2516" s="37"/>
      <c r="Y2516" s="37"/>
      <c r="Z2516" s="37"/>
      <c r="AA2516" s="37"/>
      <c r="AB2516" s="37"/>
      <c r="AC2516" s="37"/>
      <c r="AD2516" s="37"/>
      <c r="AE2516" s="37"/>
      <c r="AF2516" s="37"/>
      <c r="AG2516" s="37"/>
      <c r="AH2516" s="37"/>
      <c r="AI2516" s="37"/>
      <c r="AJ2516" s="37"/>
      <c r="AK2516" s="37"/>
      <c r="AL2516" s="37"/>
      <c r="AM2516" s="37"/>
      <c r="AN2516" s="37"/>
      <c r="AO2516" s="37"/>
      <c r="AP2516" s="37"/>
      <c r="AQ2516" s="37"/>
      <c r="AR2516" s="37"/>
      <c r="AS2516" s="37"/>
      <c r="AT2516" s="37"/>
      <c r="AU2516" s="37"/>
      <c r="AV2516" s="37"/>
      <c r="AW2516" s="37"/>
      <c r="AX2516" s="37"/>
      <c r="AY2516" s="37"/>
      <c r="AZ2516" s="37"/>
      <c r="BA2516" s="37"/>
      <c r="BB2516" s="37"/>
      <c r="BC2516" s="37"/>
      <c r="BD2516" s="37"/>
      <c r="BE2516" s="37"/>
      <c r="BF2516" s="37"/>
      <c r="BG2516" s="37"/>
      <c r="BH2516" s="37"/>
      <c r="BI2516" s="37"/>
      <c r="BJ2516" s="37"/>
      <c r="BK2516" s="37"/>
      <c r="BL2516" s="37"/>
      <c r="BM2516" s="37"/>
    </row>
    <row r="2517" spans="1:65" s="40" customFormat="1" ht="23.25" x14ac:dyDescent="0.35">
      <c r="A2517" s="37"/>
      <c r="B2517" s="37"/>
      <c r="C2517" s="41"/>
      <c r="D2517" s="38"/>
      <c r="E2517" s="57"/>
      <c r="F2517" s="42"/>
      <c r="G2517" s="43"/>
      <c r="H2517" s="37"/>
      <c r="I2517" s="37"/>
      <c r="J2517" s="38"/>
      <c r="K2517" s="37"/>
      <c r="L2517" s="38"/>
      <c r="M2517" s="39"/>
      <c r="P2517" s="37"/>
      <c r="Q2517" s="37"/>
      <c r="R2517" s="37"/>
      <c r="S2517" s="37"/>
      <c r="T2517" s="37"/>
      <c r="U2517" s="37"/>
      <c r="V2517" s="37"/>
      <c r="W2517" s="37"/>
      <c r="X2517" s="37"/>
      <c r="Y2517" s="37"/>
      <c r="Z2517" s="37"/>
      <c r="AA2517" s="37"/>
      <c r="AB2517" s="37"/>
      <c r="AC2517" s="37"/>
      <c r="AD2517" s="37"/>
      <c r="AE2517" s="37"/>
      <c r="AF2517" s="37"/>
      <c r="AG2517" s="37"/>
      <c r="AH2517" s="37"/>
      <c r="AI2517" s="37"/>
      <c r="AJ2517" s="37"/>
      <c r="AK2517" s="37"/>
      <c r="AL2517" s="37"/>
      <c r="AM2517" s="37"/>
      <c r="AN2517" s="37"/>
      <c r="AO2517" s="37"/>
      <c r="AP2517" s="37"/>
      <c r="AQ2517" s="37"/>
      <c r="AR2517" s="37"/>
      <c r="AS2517" s="37"/>
      <c r="AT2517" s="37"/>
      <c r="AU2517" s="37"/>
      <c r="AV2517" s="37"/>
      <c r="AW2517" s="37"/>
      <c r="AX2517" s="37"/>
      <c r="AY2517" s="37"/>
      <c r="AZ2517" s="37"/>
      <c r="BA2517" s="37"/>
      <c r="BB2517" s="37"/>
      <c r="BC2517" s="37"/>
      <c r="BD2517" s="37"/>
      <c r="BE2517" s="37"/>
      <c r="BF2517" s="37"/>
      <c r="BG2517" s="37"/>
      <c r="BH2517" s="37"/>
      <c r="BI2517" s="37"/>
      <c r="BJ2517" s="37"/>
      <c r="BK2517" s="37"/>
      <c r="BL2517" s="37"/>
      <c r="BM2517" s="37"/>
    </row>
    <row r="2518" spans="1:65" s="40" customFormat="1" ht="23.25" x14ac:dyDescent="0.35">
      <c r="A2518" s="37"/>
      <c r="B2518" s="37"/>
      <c r="C2518" s="41"/>
      <c r="D2518" s="38"/>
      <c r="E2518" s="57"/>
      <c r="F2518" s="42"/>
      <c r="G2518" s="43"/>
      <c r="H2518" s="37"/>
      <c r="I2518" s="37"/>
      <c r="J2518" s="38"/>
      <c r="K2518" s="37"/>
      <c r="L2518" s="38"/>
      <c r="M2518" s="39"/>
      <c r="P2518" s="37"/>
      <c r="Q2518" s="37"/>
      <c r="R2518" s="37"/>
      <c r="S2518" s="37"/>
      <c r="T2518" s="37"/>
      <c r="U2518" s="37"/>
      <c r="V2518" s="37"/>
      <c r="W2518" s="37"/>
      <c r="X2518" s="37"/>
      <c r="Y2518" s="37"/>
      <c r="Z2518" s="37"/>
      <c r="AA2518" s="37"/>
      <c r="AB2518" s="37"/>
      <c r="AC2518" s="37"/>
      <c r="AD2518" s="37"/>
      <c r="AE2518" s="37"/>
      <c r="AF2518" s="37"/>
      <c r="AG2518" s="37"/>
      <c r="AH2518" s="37"/>
      <c r="AI2518" s="37"/>
      <c r="AJ2518" s="37"/>
      <c r="AK2518" s="37"/>
      <c r="AL2518" s="37"/>
      <c r="AM2518" s="37"/>
      <c r="AN2518" s="37"/>
      <c r="AO2518" s="37"/>
      <c r="AP2518" s="37"/>
      <c r="AQ2518" s="37"/>
      <c r="AR2518" s="37"/>
      <c r="AS2518" s="37"/>
      <c r="AT2518" s="37"/>
      <c r="AU2518" s="37"/>
      <c r="AV2518" s="37"/>
      <c r="AW2518" s="37"/>
      <c r="AX2518" s="37"/>
      <c r="AY2518" s="37"/>
      <c r="AZ2518" s="37"/>
      <c r="BA2518" s="37"/>
      <c r="BB2518" s="37"/>
      <c r="BC2518" s="37"/>
      <c r="BD2518" s="37"/>
      <c r="BE2518" s="37"/>
      <c r="BF2518" s="37"/>
      <c r="BG2518" s="37"/>
      <c r="BH2518" s="37"/>
      <c r="BI2518" s="37"/>
      <c r="BJ2518" s="37"/>
      <c r="BK2518" s="37"/>
      <c r="BL2518" s="37"/>
      <c r="BM2518" s="37"/>
    </row>
    <row r="2519" spans="1:65" s="40" customFormat="1" ht="23.25" x14ac:dyDescent="0.35">
      <c r="A2519" s="37"/>
      <c r="B2519" s="37"/>
      <c r="C2519" s="41"/>
      <c r="D2519" s="38"/>
      <c r="E2519" s="57"/>
      <c r="F2519" s="42"/>
      <c r="G2519" s="43"/>
      <c r="H2519" s="37"/>
      <c r="I2519" s="37"/>
      <c r="J2519" s="38"/>
      <c r="K2519" s="37"/>
      <c r="L2519" s="38"/>
      <c r="M2519" s="39"/>
      <c r="P2519" s="37"/>
      <c r="Q2519" s="37"/>
      <c r="R2519" s="37"/>
      <c r="S2519" s="37"/>
      <c r="T2519" s="37"/>
      <c r="U2519" s="37"/>
      <c r="V2519" s="37"/>
      <c r="W2519" s="37"/>
      <c r="X2519" s="37"/>
      <c r="Y2519" s="37"/>
      <c r="Z2519" s="37"/>
      <c r="AA2519" s="37"/>
      <c r="AB2519" s="37"/>
      <c r="AC2519" s="37"/>
      <c r="AD2519" s="37"/>
      <c r="AE2519" s="37"/>
      <c r="AF2519" s="37"/>
      <c r="AG2519" s="37"/>
      <c r="AH2519" s="37"/>
      <c r="AI2519" s="37"/>
      <c r="AJ2519" s="37"/>
      <c r="AK2519" s="37"/>
      <c r="AL2519" s="37"/>
      <c r="AM2519" s="37"/>
      <c r="AN2519" s="37"/>
      <c r="AO2519" s="37"/>
      <c r="AP2519" s="37"/>
      <c r="AQ2519" s="37"/>
      <c r="AR2519" s="37"/>
      <c r="AS2519" s="37"/>
      <c r="AT2519" s="37"/>
      <c r="AU2519" s="37"/>
      <c r="AV2519" s="37"/>
      <c r="AW2519" s="37"/>
      <c r="AX2519" s="37"/>
      <c r="AY2519" s="37"/>
      <c r="AZ2519" s="37"/>
      <c r="BA2519" s="37"/>
      <c r="BB2519" s="37"/>
      <c r="BC2519" s="37"/>
      <c r="BD2519" s="37"/>
      <c r="BE2519" s="37"/>
      <c r="BF2519" s="37"/>
      <c r="BG2519" s="37"/>
      <c r="BH2519" s="37"/>
      <c r="BI2519" s="37"/>
      <c r="BJ2519" s="37"/>
      <c r="BK2519" s="37"/>
      <c r="BL2519" s="37"/>
      <c r="BM2519" s="37"/>
    </row>
    <row r="2520" spans="1:65" s="40" customFormat="1" ht="23.25" x14ac:dyDescent="0.35">
      <c r="A2520" s="37"/>
      <c r="B2520" s="37"/>
      <c r="C2520" s="41"/>
      <c r="D2520" s="38"/>
      <c r="E2520" s="57"/>
      <c r="F2520" s="42"/>
      <c r="G2520" s="43"/>
      <c r="H2520" s="37"/>
      <c r="I2520" s="37"/>
      <c r="J2520" s="38"/>
      <c r="K2520" s="37"/>
      <c r="L2520" s="38"/>
      <c r="M2520" s="39"/>
      <c r="P2520" s="37"/>
      <c r="Q2520" s="37"/>
      <c r="R2520" s="37"/>
      <c r="S2520" s="37"/>
      <c r="T2520" s="37"/>
      <c r="U2520" s="37"/>
      <c r="V2520" s="37"/>
      <c r="W2520" s="37"/>
      <c r="X2520" s="37"/>
      <c r="Y2520" s="37"/>
      <c r="Z2520" s="37"/>
      <c r="AA2520" s="37"/>
      <c r="AB2520" s="37"/>
      <c r="AC2520" s="37"/>
      <c r="AD2520" s="37"/>
      <c r="AE2520" s="37"/>
      <c r="AF2520" s="37"/>
      <c r="AG2520" s="37"/>
      <c r="AH2520" s="37"/>
      <c r="AI2520" s="37"/>
      <c r="AJ2520" s="37"/>
      <c r="AK2520" s="37"/>
      <c r="AL2520" s="37"/>
      <c r="AM2520" s="37"/>
      <c r="AN2520" s="37"/>
      <c r="AO2520" s="37"/>
      <c r="AP2520" s="37"/>
      <c r="AQ2520" s="37"/>
      <c r="AR2520" s="37"/>
      <c r="AS2520" s="37"/>
      <c r="AT2520" s="37"/>
      <c r="AU2520" s="37"/>
      <c r="AV2520" s="37"/>
      <c r="AW2520" s="37"/>
      <c r="AX2520" s="37"/>
      <c r="AY2520" s="37"/>
      <c r="AZ2520" s="37"/>
      <c r="BA2520" s="37"/>
      <c r="BB2520" s="37"/>
      <c r="BC2520" s="37"/>
      <c r="BD2520" s="37"/>
      <c r="BE2520" s="37"/>
      <c r="BF2520" s="37"/>
      <c r="BG2520" s="37"/>
      <c r="BH2520" s="37"/>
      <c r="BI2520" s="37"/>
      <c r="BJ2520" s="37"/>
      <c r="BK2520" s="37"/>
      <c r="BL2520" s="37"/>
      <c r="BM2520" s="37"/>
    </row>
    <row r="2521" spans="1:65" s="40" customFormat="1" ht="23.25" x14ac:dyDescent="0.35">
      <c r="A2521" s="37"/>
      <c r="B2521" s="37"/>
      <c r="C2521" s="41"/>
      <c r="D2521" s="38"/>
      <c r="E2521" s="57"/>
      <c r="F2521" s="42"/>
      <c r="G2521" s="43"/>
      <c r="H2521" s="37"/>
      <c r="I2521" s="37"/>
      <c r="J2521" s="38"/>
      <c r="K2521" s="37"/>
      <c r="L2521" s="38"/>
      <c r="M2521" s="39"/>
      <c r="P2521" s="37"/>
      <c r="Q2521" s="37"/>
      <c r="R2521" s="37"/>
      <c r="S2521" s="37"/>
      <c r="T2521" s="37"/>
      <c r="U2521" s="37"/>
      <c r="V2521" s="37"/>
      <c r="W2521" s="37"/>
      <c r="X2521" s="37"/>
      <c r="Y2521" s="37"/>
      <c r="Z2521" s="37"/>
      <c r="AA2521" s="37"/>
      <c r="AB2521" s="37"/>
      <c r="AC2521" s="37"/>
      <c r="AD2521" s="37"/>
      <c r="AE2521" s="37"/>
      <c r="AF2521" s="37"/>
      <c r="AG2521" s="37"/>
      <c r="AH2521" s="37"/>
      <c r="AI2521" s="37"/>
      <c r="AJ2521" s="37"/>
      <c r="AK2521" s="37"/>
      <c r="AL2521" s="37"/>
      <c r="AM2521" s="37"/>
      <c r="AN2521" s="37"/>
      <c r="AO2521" s="37"/>
      <c r="AP2521" s="37"/>
      <c r="AQ2521" s="37"/>
      <c r="AR2521" s="37"/>
      <c r="AS2521" s="37"/>
      <c r="AT2521" s="37"/>
      <c r="AU2521" s="37"/>
      <c r="AV2521" s="37"/>
      <c r="AW2521" s="37"/>
      <c r="AX2521" s="37"/>
      <c r="AY2521" s="37"/>
      <c r="AZ2521" s="37"/>
      <c r="BA2521" s="37"/>
      <c r="BB2521" s="37"/>
      <c r="BC2521" s="37"/>
      <c r="BD2521" s="37"/>
      <c r="BE2521" s="37"/>
      <c r="BF2521" s="37"/>
      <c r="BG2521" s="37"/>
      <c r="BH2521" s="37"/>
      <c r="BI2521" s="37"/>
      <c r="BJ2521" s="37"/>
      <c r="BK2521" s="37"/>
      <c r="BL2521" s="37"/>
      <c r="BM2521" s="37"/>
    </row>
    <row r="2522" spans="1:65" s="40" customFormat="1" ht="23.25" x14ac:dyDescent="0.35">
      <c r="A2522" s="37"/>
      <c r="B2522" s="37"/>
      <c r="C2522" s="41"/>
      <c r="D2522" s="38"/>
      <c r="E2522" s="57"/>
      <c r="F2522" s="42"/>
      <c r="G2522" s="43"/>
      <c r="H2522" s="37"/>
      <c r="I2522" s="37"/>
      <c r="J2522" s="38"/>
      <c r="K2522" s="37"/>
      <c r="L2522" s="38"/>
      <c r="M2522" s="39"/>
      <c r="P2522" s="37"/>
      <c r="Q2522" s="37"/>
      <c r="R2522" s="37"/>
      <c r="S2522" s="37"/>
      <c r="T2522" s="37"/>
      <c r="U2522" s="37"/>
      <c r="V2522" s="37"/>
      <c r="W2522" s="37"/>
      <c r="X2522" s="37"/>
      <c r="Y2522" s="37"/>
      <c r="Z2522" s="37"/>
      <c r="AA2522" s="37"/>
      <c r="AB2522" s="37"/>
      <c r="AC2522" s="37"/>
      <c r="AD2522" s="37"/>
      <c r="AE2522" s="37"/>
      <c r="AF2522" s="37"/>
      <c r="AG2522" s="37"/>
      <c r="AH2522" s="37"/>
      <c r="AI2522" s="37"/>
      <c r="AJ2522" s="37"/>
      <c r="AK2522" s="37"/>
      <c r="AL2522" s="37"/>
      <c r="AM2522" s="37"/>
      <c r="AN2522" s="37"/>
      <c r="AO2522" s="37"/>
      <c r="AP2522" s="37"/>
      <c r="AQ2522" s="37"/>
      <c r="AR2522" s="37"/>
      <c r="AS2522" s="37"/>
      <c r="AT2522" s="37"/>
      <c r="AU2522" s="37"/>
      <c r="AV2522" s="37"/>
      <c r="AW2522" s="37"/>
      <c r="AX2522" s="37"/>
      <c r="AY2522" s="37"/>
      <c r="AZ2522" s="37"/>
      <c r="BA2522" s="37"/>
      <c r="BB2522" s="37"/>
      <c r="BC2522" s="37"/>
      <c r="BD2522" s="37"/>
      <c r="BE2522" s="37"/>
      <c r="BF2522" s="37"/>
      <c r="BG2522" s="37"/>
      <c r="BH2522" s="37"/>
      <c r="BI2522" s="37"/>
      <c r="BJ2522" s="37"/>
      <c r="BK2522" s="37"/>
      <c r="BL2522" s="37"/>
      <c r="BM2522" s="37"/>
    </row>
    <row r="2523" spans="1:65" s="40" customFormat="1" ht="23.25" x14ac:dyDescent="0.35">
      <c r="A2523" s="37"/>
      <c r="B2523" s="37"/>
      <c r="C2523" s="41"/>
      <c r="D2523" s="38"/>
      <c r="E2523" s="57"/>
      <c r="F2523" s="42"/>
      <c r="G2523" s="43"/>
      <c r="H2523" s="37"/>
      <c r="I2523" s="37"/>
      <c r="J2523" s="38"/>
      <c r="K2523" s="37"/>
      <c r="L2523" s="38"/>
      <c r="M2523" s="39"/>
      <c r="P2523" s="37"/>
      <c r="Q2523" s="37"/>
      <c r="R2523" s="37"/>
      <c r="S2523" s="37"/>
      <c r="T2523" s="37"/>
      <c r="U2523" s="37"/>
      <c r="V2523" s="37"/>
      <c r="W2523" s="37"/>
      <c r="X2523" s="37"/>
      <c r="Y2523" s="37"/>
      <c r="Z2523" s="37"/>
      <c r="AA2523" s="37"/>
      <c r="AB2523" s="37"/>
      <c r="AC2523" s="37"/>
      <c r="AD2523" s="37"/>
      <c r="AE2523" s="37"/>
      <c r="AF2523" s="37"/>
      <c r="AG2523" s="37"/>
      <c r="AH2523" s="37"/>
      <c r="AI2523" s="37"/>
      <c r="AJ2523" s="37"/>
      <c r="AK2523" s="37"/>
      <c r="AL2523" s="37"/>
      <c r="AM2523" s="37"/>
      <c r="AN2523" s="37"/>
      <c r="AO2523" s="37"/>
      <c r="AP2523" s="37"/>
      <c r="AQ2523" s="37"/>
      <c r="AR2523" s="37"/>
      <c r="AS2523" s="37"/>
      <c r="AT2523" s="37"/>
      <c r="AU2523" s="37"/>
      <c r="AV2523" s="37"/>
      <c r="AW2523" s="37"/>
      <c r="AX2523" s="37"/>
      <c r="AY2523" s="37"/>
      <c r="AZ2523" s="37"/>
      <c r="BA2523" s="37"/>
      <c r="BB2523" s="37"/>
      <c r="BC2523" s="37"/>
      <c r="BD2523" s="37"/>
      <c r="BE2523" s="37"/>
      <c r="BF2523" s="37"/>
      <c r="BG2523" s="37"/>
      <c r="BH2523" s="37"/>
      <c r="BI2523" s="37"/>
      <c r="BJ2523" s="37"/>
      <c r="BK2523" s="37"/>
      <c r="BL2523" s="37"/>
      <c r="BM2523" s="37"/>
    </row>
    <row r="2524" spans="1:65" s="40" customFormat="1" ht="23.25" x14ac:dyDescent="0.35">
      <c r="A2524" s="37"/>
      <c r="B2524" s="37"/>
      <c r="C2524" s="41"/>
      <c r="D2524" s="38"/>
      <c r="E2524" s="57"/>
      <c r="F2524" s="42"/>
      <c r="G2524" s="43"/>
      <c r="H2524" s="37"/>
      <c r="I2524" s="37"/>
      <c r="J2524" s="38"/>
      <c r="K2524" s="37"/>
      <c r="L2524" s="38"/>
      <c r="M2524" s="39"/>
      <c r="P2524" s="37"/>
      <c r="Q2524" s="37"/>
      <c r="R2524" s="37"/>
      <c r="S2524" s="37"/>
      <c r="T2524" s="37"/>
      <c r="U2524" s="37"/>
      <c r="V2524" s="37"/>
      <c r="W2524" s="37"/>
      <c r="X2524" s="37"/>
      <c r="Y2524" s="37"/>
      <c r="Z2524" s="37"/>
      <c r="AA2524" s="37"/>
      <c r="AB2524" s="37"/>
      <c r="AC2524" s="37"/>
      <c r="AD2524" s="37"/>
      <c r="AE2524" s="37"/>
      <c r="AF2524" s="37"/>
      <c r="AG2524" s="37"/>
      <c r="AH2524" s="37"/>
      <c r="AI2524" s="37"/>
      <c r="AJ2524" s="37"/>
      <c r="AK2524" s="37"/>
      <c r="AL2524" s="37"/>
      <c r="AM2524" s="37"/>
      <c r="AN2524" s="37"/>
      <c r="AO2524" s="37"/>
      <c r="AP2524" s="37"/>
      <c r="AQ2524" s="37"/>
      <c r="AR2524" s="37"/>
      <c r="AS2524" s="37"/>
      <c r="AT2524" s="37"/>
      <c r="AU2524" s="37"/>
      <c r="AV2524" s="37"/>
      <c r="AW2524" s="37"/>
      <c r="AX2524" s="37"/>
      <c r="AY2524" s="37"/>
      <c r="AZ2524" s="37"/>
      <c r="BA2524" s="37"/>
      <c r="BB2524" s="37"/>
      <c r="BC2524" s="37"/>
      <c r="BD2524" s="37"/>
      <c r="BE2524" s="37"/>
      <c r="BF2524" s="37"/>
      <c r="BG2524" s="37"/>
      <c r="BH2524" s="37"/>
      <c r="BI2524" s="37"/>
      <c r="BJ2524" s="37"/>
      <c r="BK2524" s="37"/>
      <c r="BL2524" s="37"/>
      <c r="BM2524" s="37"/>
    </row>
    <row r="2525" spans="1:65" s="40" customFormat="1" ht="23.25" x14ac:dyDescent="0.35">
      <c r="A2525" s="37"/>
      <c r="B2525" s="37"/>
      <c r="C2525" s="41"/>
      <c r="D2525" s="38"/>
      <c r="E2525" s="57"/>
      <c r="F2525" s="42"/>
      <c r="G2525" s="43"/>
      <c r="H2525" s="37"/>
      <c r="I2525" s="37"/>
      <c r="J2525" s="38"/>
      <c r="K2525" s="37"/>
      <c r="L2525" s="38"/>
      <c r="M2525" s="39"/>
      <c r="P2525" s="37"/>
      <c r="Q2525" s="37"/>
      <c r="R2525" s="37"/>
      <c r="S2525" s="37"/>
      <c r="T2525" s="37"/>
      <c r="U2525" s="37"/>
      <c r="V2525" s="37"/>
      <c r="W2525" s="37"/>
      <c r="X2525" s="37"/>
      <c r="Y2525" s="37"/>
      <c r="Z2525" s="37"/>
      <c r="AA2525" s="37"/>
      <c r="AB2525" s="37"/>
      <c r="AC2525" s="37"/>
      <c r="AD2525" s="37"/>
      <c r="AE2525" s="37"/>
      <c r="AF2525" s="37"/>
      <c r="AG2525" s="37"/>
      <c r="AH2525" s="37"/>
      <c r="AI2525" s="37"/>
      <c r="AJ2525" s="37"/>
      <c r="AK2525" s="37"/>
      <c r="AL2525" s="37"/>
      <c r="AM2525" s="37"/>
      <c r="AN2525" s="37"/>
      <c r="AO2525" s="37"/>
      <c r="AP2525" s="37"/>
      <c r="AQ2525" s="37"/>
      <c r="AR2525" s="37"/>
      <c r="AS2525" s="37"/>
      <c r="AT2525" s="37"/>
      <c r="AU2525" s="37"/>
      <c r="AV2525" s="37"/>
      <c r="AW2525" s="37"/>
      <c r="AX2525" s="37"/>
      <c r="AY2525" s="37"/>
      <c r="AZ2525" s="37"/>
      <c r="BA2525" s="37"/>
      <c r="BB2525" s="37"/>
      <c r="BC2525" s="37"/>
      <c r="BD2525" s="37"/>
      <c r="BE2525" s="37"/>
      <c r="BF2525" s="37"/>
      <c r="BG2525" s="37"/>
      <c r="BH2525" s="37"/>
      <c r="BI2525" s="37"/>
      <c r="BJ2525" s="37"/>
      <c r="BK2525" s="37"/>
      <c r="BL2525" s="37"/>
      <c r="BM2525" s="37"/>
    </row>
    <row r="2526" spans="1:65" s="40" customFormat="1" ht="23.25" x14ac:dyDescent="0.35">
      <c r="A2526" s="37"/>
      <c r="B2526" s="37"/>
      <c r="C2526" s="41"/>
      <c r="D2526" s="38"/>
      <c r="E2526" s="57"/>
      <c r="F2526" s="42"/>
      <c r="G2526" s="43"/>
      <c r="H2526" s="37"/>
      <c r="I2526" s="37"/>
      <c r="J2526" s="38"/>
      <c r="K2526" s="37"/>
      <c r="L2526" s="38"/>
      <c r="M2526" s="39"/>
      <c r="P2526" s="37"/>
      <c r="Q2526" s="37"/>
      <c r="R2526" s="37"/>
      <c r="S2526" s="37"/>
      <c r="T2526" s="37"/>
      <c r="U2526" s="37"/>
      <c r="V2526" s="37"/>
      <c r="W2526" s="37"/>
      <c r="X2526" s="37"/>
      <c r="Y2526" s="37"/>
      <c r="Z2526" s="37"/>
      <c r="AA2526" s="37"/>
      <c r="AB2526" s="37"/>
      <c r="AC2526" s="37"/>
      <c r="AD2526" s="37"/>
      <c r="AE2526" s="37"/>
      <c r="AF2526" s="37"/>
      <c r="AG2526" s="37"/>
      <c r="AH2526" s="37"/>
      <c r="AI2526" s="37"/>
      <c r="AJ2526" s="37"/>
      <c r="AK2526" s="37"/>
      <c r="AL2526" s="37"/>
      <c r="AM2526" s="37"/>
      <c r="AN2526" s="37"/>
      <c r="AO2526" s="37"/>
      <c r="AP2526" s="37"/>
      <c r="AQ2526" s="37"/>
      <c r="AR2526" s="37"/>
      <c r="AS2526" s="37"/>
      <c r="AT2526" s="37"/>
      <c r="AU2526" s="37"/>
      <c r="AV2526" s="37"/>
      <c r="AW2526" s="37"/>
      <c r="AX2526" s="37"/>
      <c r="AY2526" s="37"/>
      <c r="AZ2526" s="37"/>
      <c r="BA2526" s="37"/>
      <c r="BB2526" s="37"/>
      <c r="BC2526" s="37"/>
      <c r="BD2526" s="37"/>
      <c r="BE2526" s="37"/>
      <c r="BF2526" s="37"/>
      <c r="BG2526" s="37"/>
      <c r="BH2526" s="37"/>
      <c r="BI2526" s="37"/>
      <c r="BJ2526" s="37"/>
      <c r="BK2526" s="37"/>
      <c r="BL2526" s="37"/>
      <c r="BM2526" s="37"/>
    </row>
    <row r="2527" spans="1:65" s="40" customFormat="1" ht="23.25" x14ac:dyDescent="0.35">
      <c r="A2527" s="37"/>
      <c r="B2527" s="37"/>
      <c r="C2527" s="41"/>
      <c r="D2527" s="38"/>
      <c r="E2527" s="57"/>
      <c r="F2527" s="42"/>
      <c r="G2527" s="43"/>
      <c r="H2527" s="37"/>
      <c r="I2527" s="37"/>
      <c r="J2527" s="38"/>
      <c r="K2527" s="37"/>
      <c r="L2527" s="38"/>
      <c r="M2527" s="39"/>
      <c r="P2527" s="37"/>
      <c r="Q2527" s="37"/>
      <c r="R2527" s="37"/>
      <c r="S2527" s="37"/>
      <c r="T2527" s="37"/>
      <c r="U2527" s="37"/>
      <c r="V2527" s="37"/>
      <c r="W2527" s="37"/>
      <c r="X2527" s="37"/>
      <c r="Y2527" s="37"/>
      <c r="Z2527" s="37"/>
      <c r="AA2527" s="37"/>
      <c r="AB2527" s="37"/>
      <c r="AC2527" s="37"/>
      <c r="AD2527" s="37"/>
      <c r="AE2527" s="37"/>
      <c r="AF2527" s="37"/>
      <c r="AG2527" s="37"/>
      <c r="AH2527" s="37"/>
      <c r="AI2527" s="37"/>
      <c r="AJ2527" s="37"/>
      <c r="AK2527" s="37"/>
      <c r="AL2527" s="37"/>
      <c r="AM2527" s="37"/>
      <c r="AN2527" s="37"/>
      <c r="AO2527" s="37"/>
      <c r="AP2527" s="37"/>
      <c r="AQ2527" s="37"/>
      <c r="AR2527" s="37"/>
      <c r="AS2527" s="37"/>
      <c r="AT2527" s="37"/>
      <c r="AU2527" s="37"/>
      <c r="AV2527" s="37"/>
      <c r="AW2527" s="37"/>
      <c r="AX2527" s="37"/>
      <c r="AY2527" s="37"/>
      <c r="AZ2527" s="37"/>
      <c r="BA2527" s="37"/>
      <c r="BB2527" s="37"/>
      <c r="BC2527" s="37"/>
      <c r="BD2527" s="37"/>
      <c r="BE2527" s="37"/>
      <c r="BF2527" s="37"/>
      <c r="BG2527" s="37"/>
      <c r="BH2527" s="37"/>
      <c r="BI2527" s="37"/>
      <c r="BJ2527" s="37"/>
      <c r="BK2527" s="37"/>
      <c r="BL2527" s="37"/>
      <c r="BM2527" s="37"/>
    </row>
    <row r="2528" spans="1:65" s="40" customFormat="1" ht="23.25" x14ac:dyDescent="0.35">
      <c r="A2528" s="37"/>
      <c r="B2528" s="37"/>
      <c r="C2528" s="41"/>
      <c r="D2528" s="38"/>
      <c r="E2528" s="57"/>
      <c r="F2528" s="42"/>
      <c r="G2528" s="43"/>
      <c r="H2528" s="37"/>
      <c r="I2528" s="37"/>
      <c r="J2528" s="38"/>
      <c r="K2528" s="37"/>
      <c r="L2528" s="38"/>
      <c r="M2528" s="39"/>
      <c r="P2528" s="37"/>
      <c r="Q2528" s="37"/>
      <c r="R2528" s="37"/>
      <c r="S2528" s="37"/>
      <c r="T2528" s="37"/>
      <c r="U2528" s="37"/>
      <c r="V2528" s="37"/>
      <c r="W2528" s="37"/>
      <c r="X2528" s="37"/>
      <c r="Y2528" s="37"/>
      <c r="Z2528" s="37"/>
      <c r="AA2528" s="37"/>
      <c r="AB2528" s="37"/>
      <c r="AC2528" s="37"/>
      <c r="AD2528" s="37"/>
      <c r="AE2528" s="37"/>
      <c r="AF2528" s="37"/>
      <c r="AG2528" s="37"/>
      <c r="AH2528" s="37"/>
      <c r="AI2528" s="37"/>
      <c r="AJ2528" s="37"/>
      <c r="AK2528" s="37"/>
      <c r="AL2528" s="37"/>
      <c r="AM2528" s="37"/>
      <c r="AN2528" s="37"/>
      <c r="AO2528" s="37"/>
      <c r="AP2528" s="37"/>
      <c r="AQ2528" s="37"/>
      <c r="AR2528" s="37"/>
      <c r="AS2528" s="37"/>
      <c r="AT2528" s="37"/>
      <c r="AU2528" s="37"/>
      <c r="AV2528" s="37"/>
      <c r="AW2528" s="37"/>
      <c r="AX2528" s="37"/>
      <c r="AY2528" s="37"/>
      <c r="AZ2528" s="37"/>
      <c r="BA2528" s="37"/>
      <c r="BB2528" s="37"/>
      <c r="BC2528" s="37"/>
      <c r="BD2528" s="37"/>
      <c r="BE2528" s="37"/>
      <c r="BF2528" s="37"/>
      <c r="BG2528" s="37"/>
      <c r="BH2528" s="37"/>
      <c r="BI2528" s="37"/>
      <c r="BJ2528" s="37"/>
      <c r="BK2528" s="37"/>
      <c r="BL2528" s="37"/>
      <c r="BM2528" s="37"/>
    </row>
    <row r="2529" spans="1:65" s="40" customFormat="1" ht="23.25" x14ac:dyDescent="0.35">
      <c r="A2529" s="37"/>
      <c r="B2529" s="37"/>
      <c r="C2529" s="41"/>
      <c r="D2529" s="38"/>
      <c r="E2529" s="57"/>
      <c r="F2529" s="42"/>
      <c r="G2529" s="43"/>
      <c r="H2529" s="37"/>
      <c r="I2529" s="37"/>
      <c r="J2529" s="38"/>
      <c r="K2529" s="37"/>
      <c r="L2529" s="38"/>
      <c r="M2529" s="39"/>
      <c r="P2529" s="37"/>
      <c r="Q2529" s="37"/>
      <c r="R2529" s="37"/>
      <c r="S2529" s="37"/>
      <c r="T2529" s="37"/>
      <c r="U2529" s="37"/>
      <c r="V2529" s="37"/>
      <c r="W2529" s="37"/>
      <c r="X2529" s="37"/>
      <c r="Y2529" s="37"/>
      <c r="Z2529" s="37"/>
      <c r="AA2529" s="37"/>
      <c r="AB2529" s="37"/>
      <c r="AC2529" s="37"/>
      <c r="AD2529" s="37"/>
      <c r="AE2529" s="37"/>
      <c r="AF2529" s="37"/>
      <c r="AG2529" s="37"/>
      <c r="AH2529" s="37"/>
      <c r="AI2529" s="37"/>
      <c r="AJ2529" s="37"/>
      <c r="AK2529" s="37"/>
      <c r="AL2529" s="37"/>
      <c r="AM2529" s="37"/>
      <c r="AN2529" s="37"/>
      <c r="AO2529" s="37"/>
      <c r="AP2529" s="37"/>
      <c r="AQ2529" s="37"/>
      <c r="AR2529" s="37"/>
      <c r="AS2529" s="37"/>
      <c r="AT2529" s="37"/>
      <c r="AU2529" s="37"/>
      <c r="AV2529" s="37"/>
      <c r="AW2529" s="37"/>
      <c r="AX2529" s="37"/>
      <c r="AY2529" s="37"/>
      <c r="AZ2529" s="37"/>
      <c r="BA2529" s="37"/>
      <c r="BB2529" s="37"/>
      <c r="BC2529" s="37"/>
      <c r="BD2529" s="37"/>
      <c r="BE2529" s="37"/>
      <c r="BF2529" s="37"/>
      <c r="BG2529" s="37"/>
      <c r="BH2529" s="37"/>
      <c r="BI2529" s="37"/>
      <c r="BJ2529" s="37"/>
      <c r="BK2529" s="37"/>
      <c r="BL2529" s="37"/>
      <c r="BM2529" s="37"/>
    </row>
    <row r="2530" spans="1:65" s="40" customFormat="1" ht="23.25" x14ac:dyDescent="0.35">
      <c r="A2530" s="37"/>
      <c r="B2530" s="37"/>
      <c r="C2530" s="41"/>
      <c r="D2530" s="38"/>
      <c r="E2530" s="57"/>
      <c r="F2530" s="42"/>
      <c r="G2530" s="43"/>
      <c r="H2530" s="37"/>
      <c r="I2530" s="37"/>
      <c r="J2530" s="38"/>
      <c r="K2530" s="37"/>
      <c r="L2530" s="38"/>
      <c r="M2530" s="39"/>
      <c r="P2530" s="37"/>
      <c r="Q2530" s="37"/>
      <c r="R2530" s="37"/>
      <c r="S2530" s="37"/>
      <c r="T2530" s="37"/>
      <c r="U2530" s="37"/>
      <c r="V2530" s="37"/>
      <c r="W2530" s="37"/>
      <c r="X2530" s="37"/>
      <c r="Y2530" s="37"/>
      <c r="Z2530" s="37"/>
      <c r="AA2530" s="37"/>
      <c r="AB2530" s="37"/>
      <c r="AC2530" s="37"/>
      <c r="AD2530" s="37"/>
      <c r="AE2530" s="37"/>
      <c r="AF2530" s="37"/>
      <c r="AG2530" s="37"/>
      <c r="AH2530" s="37"/>
      <c r="AI2530" s="37"/>
      <c r="AJ2530" s="37"/>
      <c r="AK2530" s="37"/>
      <c r="AL2530" s="37"/>
      <c r="AM2530" s="37"/>
      <c r="AN2530" s="37"/>
      <c r="AO2530" s="37"/>
      <c r="AP2530" s="37"/>
      <c r="AQ2530" s="37"/>
      <c r="AR2530" s="37"/>
      <c r="AS2530" s="37"/>
      <c r="AT2530" s="37"/>
      <c r="AU2530" s="37"/>
      <c r="AV2530" s="37"/>
      <c r="AW2530" s="37"/>
      <c r="AX2530" s="37"/>
      <c r="AY2530" s="37"/>
      <c r="AZ2530" s="37"/>
      <c r="BA2530" s="37"/>
      <c r="BB2530" s="37"/>
      <c r="BC2530" s="37"/>
      <c r="BD2530" s="37"/>
      <c r="BE2530" s="37"/>
      <c r="BF2530" s="37"/>
      <c r="BG2530" s="37"/>
      <c r="BH2530" s="37"/>
      <c r="BI2530" s="37"/>
      <c r="BJ2530" s="37"/>
      <c r="BK2530" s="37"/>
      <c r="BL2530" s="37"/>
      <c r="BM2530" s="37"/>
    </row>
    <row r="2531" spans="1:65" s="40" customFormat="1" ht="23.25" x14ac:dyDescent="0.35">
      <c r="A2531" s="37"/>
      <c r="B2531" s="37"/>
      <c r="C2531" s="41"/>
      <c r="D2531" s="38"/>
      <c r="E2531" s="57"/>
      <c r="F2531" s="42"/>
      <c r="G2531" s="43"/>
      <c r="H2531" s="37"/>
      <c r="I2531" s="37"/>
      <c r="J2531" s="38"/>
      <c r="K2531" s="37"/>
      <c r="L2531" s="38"/>
      <c r="M2531" s="39"/>
      <c r="P2531" s="37"/>
      <c r="Q2531" s="37"/>
      <c r="R2531" s="37"/>
      <c r="S2531" s="37"/>
      <c r="T2531" s="37"/>
      <c r="U2531" s="37"/>
      <c r="V2531" s="37"/>
      <c r="W2531" s="37"/>
      <c r="X2531" s="37"/>
      <c r="Y2531" s="37"/>
      <c r="Z2531" s="37"/>
      <c r="AA2531" s="37"/>
      <c r="AB2531" s="37"/>
      <c r="AC2531" s="37"/>
      <c r="AD2531" s="37"/>
      <c r="AE2531" s="37"/>
      <c r="AF2531" s="37"/>
      <c r="AG2531" s="37"/>
      <c r="AH2531" s="37"/>
      <c r="AI2531" s="37"/>
      <c r="AJ2531" s="37"/>
      <c r="AK2531" s="37"/>
      <c r="AL2531" s="37"/>
      <c r="AM2531" s="37"/>
      <c r="AN2531" s="37"/>
      <c r="AO2531" s="37"/>
      <c r="AP2531" s="37"/>
      <c r="AQ2531" s="37"/>
      <c r="AR2531" s="37"/>
      <c r="AS2531" s="37"/>
      <c r="AT2531" s="37"/>
      <c r="AU2531" s="37"/>
      <c r="AV2531" s="37"/>
      <c r="AW2531" s="37"/>
      <c r="AX2531" s="37"/>
      <c r="AY2531" s="37"/>
      <c r="AZ2531" s="37"/>
      <c r="BA2531" s="37"/>
      <c r="BB2531" s="37"/>
      <c r="BC2531" s="37"/>
      <c r="BD2531" s="37"/>
      <c r="BE2531" s="37"/>
      <c r="BF2531" s="37"/>
      <c r="BG2531" s="37"/>
      <c r="BH2531" s="37"/>
      <c r="BI2531" s="37"/>
      <c r="BJ2531" s="37"/>
      <c r="BK2531" s="37"/>
      <c r="BL2531" s="37"/>
      <c r="BM2531" s="37"/>
    </row>
    <row r="2532" spans="1:65" s="40" customFormat="1" ht="23.25" x14ac:dyDescent="0.35">
      <c r="A2532" s="37"/>
      <c r="B2532" s="37"/>
      <c r="C2532" s="41"/>
      <c r="D2532" s="38"/>
      <c r="E2532" s="57"/>
      <c r="F2532" s="42"/>
      <c r="G2532" s="43"/>
      <c r="H2532" s="37"/>
      <c r="I2532" s="37"/>
      <c r="J2532" s="38"/>
      <c r="K2532" s="37"/>
      <c r="L2532" s="38"/>
      <c r="M2532" s="39"/>
      <c r="P2532" s="37"/>
      <c r="Q2532" s="37"/>
      <c r="R2532" s="37"/>
      <c r="S2532" s="37"/>
      <c r="T2532" s="37"/>
      <c r="U2532" s="37"/>
      <c r="V2532" s="37"/>
      <c r="W2532" s="37"/>
      <c r="X2532" s="37"/>
      <c r="Y2532" s="37"/>
      <c r="Z2532" s="37"/>
      <c r="AA2532" s="37"/>
      <c r="AB2532" s="37"/>
      <c r="AC2532" s="37"/>
      <c r="AD2532" s="37"/>
      <c r="AE2532" s="37"/>
      <c r="AF2532" s="37"/>
      <c r="AG2532" s="37"/>
      <c r="AH2532" s="37"/>
      <c r="AI2532" s="37"/>
      <c r="AJ2532" s="37"/>
      <c r="AK2532" s="37"/>
      <c r="AL2532" s="37"/>
      <c r="AM2532" s="37"/>
      <c r="AN2532" s="37"/>
      <c r="AO2532" s="37"/>
      <c r="AP2532" s="37"/>
      <c r="AQ2532" s="37"/>
      <c r="AR2532" s="37"/>
      <c r="AS2532" s="37"/>
      <c r="AT2532" s="37"/>
      <c r="AU2532" s="37"/>
      <c r="AV2532" s="37"/>
      <c r="AW2532" s="37"/>
      <c r="AX2532" s="37"/>
      <c r="AY2532" s="37"/>
      <c r="AZ2532" s="37"/>
      <c r="BA2532" s="37"/>
      <c r="BB2532" s="37"/>
      <c r="BC2532" s="37"/>
      <c r="BD2532" s="37"/>
      <c r="BE2532" s="37"/>
      <c r="BF2532" s="37"/>
      <c r="BG2532" s="37"/>
      <c r="BH2532" s="37"/>
      <c r="BI2532" s="37"/>
      <c r="BJ2532" s="37"/>
      <c r="BK2532" s="37"/>
      <c r="BL2532" s="37"/>
      <c r="BM2532" s="37"/>
    </row>
    <row r="2533" spans="1:65" s="40" customFormat="1" ht="23.25" x14ac:dyDescent="0.35">
      <c r="A2533" s="37"/>
      <c r="B2533" s="37"/>
      <c r="C2533" s="41"/>
      <c r="D2533" s="38"/>
      <c r="E2533" s="57"/>
      <c r="F2533" s="42"/>
      <c r="G2533" s="43"/>
      <c r="H2533" s="37"/>
      <c r="I2533" s="37"/>
      <c r="J2533" s="38"/>
      <c r="K2533" s="37"/>
      <c r="L2533" s="38"/>
      <c r="M2533" s="39"/>
      <c r="P2533" s="37"/>
      <c r="Q2533" s="37"/>
      <c r="R2533" s="37"/>
      <c r="S2533" s="37"/>
      <c r="T2533" s="37"/>
      <c r="U2533" s="37"/>
      <c r="V2533" s="37"/>
      <c r="W2533" s="37"/>
      <c r="X2533" s="37"/>
      <c r="Y2533" s="37"/>
      <c r="Z2533" s="37"/>
      <c r="AA2533" s="37"/>
      <c r="AB2533" s="37"/>
      <c r="AC2533" s="37"/>
      <c r="AD2533" s="37"/>
      <c r="AE2533" s="37"/>
      <c r="AF2533" s="37"/>
      <c r="AG2533" s="37"/>
      <c r="AH2533" s="37"/>
      <c r="AI2533" s="37"/>
      <c r="AJ2533" s="37"/>
      <c r="AK2533" s="37"/>
      <c r="AL2533" s="37"/>
      <c r="AM2533" s="37"/>
      <c r="AN2533" s="37"/>
      <c r="AO2533" s="37"/>
      <c r="AP2533" s="37"/>
      <c r="AQ2533" s="37"/>
      <c r="AR2533" s="37"/>
      <c r="AS2533" s="37"/>
      <c r="AT2533" s="37"/>
      <c r="AU2533" s="37"/>
      <c r="AV2533" s="37"/>
      <c r="AW2533" s="37"/>
      <c r="AX2533" s="37"/>
      <c r="AY2533" s="37"/>
      <c r="AZ2533" s="37"/>
      <c r="BA2533" s="37"/>
      <c r="BB2533" s="37"/>
      <c r="BC2533" s="37"/>
      <c r="BD2533" s="37"/>
      <c r="BE2533" s="37"/>
      <c r="BF2533" s="37"/>
      <c r="BG2533" s="37"/>
      <c r="BH2533" s="37"/>
      <c r="BI2533" s="37"/>
      <c r="BJ2533" s="37"/>
      <c r="BK2533" s="37"/>
      <c r="BL2533" s="37"/>
      <c r="BM2533" s="37"/>
    </row>
    <row r="2534" spans="1:65" s="40" customFormat="1" ht="23.25" x14ac:dyDescent="0.35">
      <c r="A2534" s="37"/>
      <c r="B2534" s="37"/>
      <c r="C2534" s="41"/>
      <c r="D2534" s="38"/>
      <c r="E2534" s="57"/>
      <c r="F2534" s="42"/>
      <c r="G2534" s="43"/>
      <c r="H2534" s="37"/>
      <c r="I2534" s="37"/>
      <c r="J2534" s="38"/>
      <c r="K2534" s="37"/>
      <c r="L2534" s="38"/>
      <c r="M2534" s="39"/>
      <c r="P2534" s="37"/>
      <c r="Q2534" s="37"/>
      <c r="R2534" s="37"/>
      <c r="S2534" s="37"/>
      <c r="T2534" s="37"/>
      <c r="U2534" s="37"/>
      <c r="V2534" s="37"/>
      <c r="W2534" s="37"/>
      <c r="X2534" s="37"/>
      <c r="Y2534" s="37"/>
      <c r="Z2534" s="37"/>
      <c r="AA2534" s="37"/>
      <c r="AB2534" s="37"/>
      <c r="AC2534" s="37"/>
      <c r="AD2534" s="37"/>
      <c r="AE2534" s="37"/>
      <c r="AF2534" s="37"/>
      <c r="AG2534" s="37"/>
      <c r="AH2534" s="37"/>
      <c r="AI2534" s="37"/>
      <c r="AJ2534" s="37"/>
      <c r="AK2534" s="37"/>
      <c r="AL2534" s="37"/>
      <c r="AM2534" s="37"/>
      <c r="AN2534" s="37"/>
      <c r="AO2534" s="37"/>
      <c r="AP2534" s="37"/>
      <c r="AQ2534" s="37"/>
      <c r="AR2534" s="37"/>
      <c r="AS2534" s="37"/>
      <c r="AT2534" s="37"/>
      <c r="AU2534" s="37"/>
      <c r="AV2534" s="37"/>
      <c r="AW2534" s="37"/>
      <c r="AX2534" s="37"/>
      <c r="AY2534" s="37"/>
      <c r="AZ2534" s="37"/>
      <c r="BA2534" s="37"/>
      <c r="BB2534" s="37"/>
      <c r="BC2534" s="37"/>
      <c r="BD2534" s="37"/>
      <c r="BE2534" s="37"/>
      <c r="BF2534" s="37"/>
      <c r="BG2534" s="37"/>
      <c r="BH2534" s="37"/>
      <c r="BI2534" s="37"/>
      <c r="BJ2534" s="37"/>
      <c r="BK2534" s="37"/>
      <c r="BL2534" s="37"/>
      <c r="BM2534" s="37"/>
    </row>
    <row r="2535" spans="1:65" s="40" customFormat="1" ht="23.25" x14ac:dyDescent="0.35">
      <c r="A2535" s="37"/>
      <c r="B2535" s="37"/>
      <c r="C2535" s="41"/>
      <c r="D2535" s="38"/>
      <c r="E2535" s="57"/>
      <c r="F2535" s="42"/>
      <c r="G2535" s="43"/>
      <c r="H2535" s="37"/>
      <c r="I2535" s="37"/>
      <c r="J2535" s="38"/>
      <c r="K2535" s="37"/>
      <c r="L2535" s="38"/>
      <c r="M2535" s="39"/>
      <c r="P2535" s="37"/>
      <c r="Q2535" s="37"/>
      <c r="R2535" s="37"/>
      <c r="S2535" s="37"/>
      <c r="T2535" s="37"/>
      <c r="U2535" s="37"/>
      <c r="V2535" s="37"/>
      <c r="W2535" s="37"/>
      <c r="X2535" s="37"/>
      <c r="Y2535" s="37"/>
      <c r="Z2535" s="37"/>
      <c r="AA2535" s="37"/>
      <c r="AB2535" s="37"/>
      <c r="AC2535" s="37"/>
      <c r="AD2535" s="37"/>
      <c r="AE2535" s="37"/>
      <c r="AF2535" s="37"/>
      <c r="AG2535" s="37"/>
      <c r="AH2535" s="37"/>
      <c r="AI2535" s="37"/>
      <c r="AJ2535" s="37"/>
      <c r="AK2535" s="37"/>
      <c r="AL2535" s="37"/>
      <c r="AM2535" s="37"/>
      <c r="AN2535" s="37"/>
      <c r="AO2535" s="37"/>
      <c r="AP2535" s="37"/>
      <c r="AQ2535" s="37"/>
      <c r="AR2535" s="37"/>
      <c r="AS2535" s="37"/>
      <c r="AT2535" s="37"/>
      <c r="AU2535" s="37"/>
      <c r="AV2535" s="37"/>
      <c r="AW2535" s="37"/>
      <c r="AX2535" s="37"/>
      <c r="AY2535" s="37"/>
      <c r="AZ2535" s="37"/>
      <c r="BA2535" s="37"/>
      <c r="BB2535" s="37"/>
      <c r="BC2535" s="37"/>
      <c r="BD2535" s="37"/>
      <c r="BE2535" s="37"/>
      <c r="BF2535" s="37"/>
      <c r="BG2535" s="37"/>
      <c r="BH2535" s="37"/>
      <c r="BI2535" s="37"/>
      <c r="BJ2535" s="37"/>
      <c r="BK2535" s="37"/>
      <c r="BL2535" s="37"/>
      <c r="BM2535" s="37"/>
    </row>
    <row r="2536" spans="1:65" s="40" customFormat="1" ht="23.25" x14ac:dyDescent="0.35">
      <c r="A2536" s="37"/>
      <c r="B2536" s="37"/>
      <c r="C2536" s="41"/>
      <c r="D2536" s="38"/>
      <c r="E2536" s="57"/>
      <c r="F2536" s="42"/>
      <c r="G2536" s="43"/>
      <c r="H2536" s="37"/>
      <c r="I2536" s="37"/>
      <c r="J2536" s="38"/>
      <c r="K2536" s="37"/>
      <c r="L2536" s="38"/>
      <c r="M2536" s="39"/>
      <c r="P2536" s="37"/>
      <c r="Q2536" s="37"/>
      <c r="R2536" s="37"/>
      <c r="S2536" s="37"/>
      <c r="T2536" s="37"/>
      <c r="U2536" s="37"/>
      <c r="V2536" s="37"/>
      <c r="W2536" s="37"/>
      <c r="X2536" s="37"/>
      <c r="Y2536" s="37"/>
      <c r="Z2536" s="37"/>
      <c r="AA2536" s="37"/>
      <c r="AB2536" s="37"/>
      <c r="AC2536" s="37"/>
      <c r="AD2536" s="37"/>
      <c r="AE2536" s="37"/>
      <c r="AF2536" s="37"/>
      <c r="AG2536" s="37"/>
      <c r="AH2536" s="37"/>
      <c r="AI2536" s="37"/>
      <c r="AJ2536" s="37"/>
      <c r="AK2536" s="37"/>
      <c r="AL2536" s="37"/>
      <c r="AM2536" s="37"/>
      <c r="AN2536" s="37"/>
      <c r="AO2536" s="37"/>
      <c r="AP2536" s="37"/>
      <c r="AQ2536" s="37"/>
      <c r="AR2536" s="37"/>
      <c r="AS2536" s="37"/>
      <c r="AT2536" s="37"/>
      <c r="AU2536" s="37"/>
      <c r="AV2536" s="37"/>
      <c r="AW2536" s="37"/>
      <c r="AX2536" s="37"/>
      <c r="AY2536" s="37"/>
      <c r="AZ2536" s="37"/>
      <c r="BA2536" s="37"/>
      <c r="BB2536" s="37"/>
      <c r="BC2536" s="37"/>
      <c r="BD2536" s="37"/>
      <c r="BE2536" s="37"/>
      <c r="BF2536" s="37"/>
      <c r="BG2536" s="37"/>
      <c r="BH2536" s="37"/>
      <c r="BI2536" s="37"/>
      <c r="BJ2536" s="37"/>
      <c r="BK2536" s="37"/>
      <c r="BL2536" s="37"/>
      <c r="BM2536" s="37"/>
    </row>
    <row r="2537" spans="1:65" s="40" customFormat="1" ht="23.25" x14ac:dyDescent="0.35">
      <c r="A2537" s="37"/>
      <c r="B2537" s="37"/>
      <c r="C2537" s="41"/>
      <c r="D2537" s="38"/>
      <c r="E2537" s="57"/>
      <c r="F2537" s="42"/>
      <c r="G2537" s="43"/>
      <c r="H2537" s="37"/>
      <c r="I2537" s="37"/>
      <c r="J2537" s="38"/>
      <c r="K2537" s="37"/>
      <c r="L2537" s="38"/>
      <c r="M2537" s="39"/>
      <c r="P2537" s="37"/>
      <c r="Q2537" s="37"/>
      <c r="R2537" s="37"/>
      <c r="S2537" s="37"/>
      <c r="T2537" s="37"/>
      <c r="U2537" s="37"/>
      <c r="V2537" s="37"/>
      <c r="W2537" s="37"/>
      <c r="X2537" s="37"/>
      <c r="Y2537" s="37"/>
      <c r="Z2537" s="37"/>
      <c r="AA2537" s="37"/>
      <c r="AB2537" s="37"/>
      <c r="AC2537" s="37"/>
      <c r="AD2537" s="37"/>
      <c r="AE2537" s="37"/>
      <c r="AF2537" s="37"/>
      <c r="AG2537" s="37"/>
      <c r="AH2537" s="37"/>
      <c r="AI2537" s="37"/>
      <c r="AJ2537" s="37"/>
      <c r="AK2537" s="37"/>
      <c r="AL2537" s="37"/>
      <c r="AM2537" s="37"/>
      <c r="AN2537" s="37"/>
      <c r="AO2537" s="37"/>
      <c r="AP2537" s="37"/>
      <c r="AQ2537" s="37"/>
      <c r="AR2537" s="37"/>
      <c r="AS2537" s="37"/>
      <c r="AT2537" s="37"/>
      <c r="AU2537" s="37"/>
      <c r="AV2537" s="37"/>
      <c r="AW2537" s="37"/>
      <c r="AX2537" s="37"/>
      <c r="AY2537" s="37"/>
      <c r="AZ2537" s="37"/>
      <c r="BA2537" s="37"/>
      <c r="BB2537" s="37"/>
      <c r="BC2537" s="37"/>
      <c r="BD2537" s="37"/>
      <c r="BE2537" s="37"/>
      <c r="BF2537" s="37"/>
      <c r="BG2537" s="37"/>
      <c r="BH2537" s="37"/>
      <c r="BI2537" s="37"/>
      <c r="BJ2537" s="37"/>
      <c r="BK2537" s="37"/>
      <c r="BL2537" s="37"/>
      <c r="BM2537" s="37"/>
    </row>
    <row r="2538" spans="1:65" s="40" customFormat="1" ht="23.25" x14ac:dyDescent="0.35">
      <c r="A2538" s="37"/>
      <c r="B2538" s="37"/>
      <c r="C2538" s="41"/>
      <c r="D2538" s="38"/>
      <c r="E2538" s="57"/>
      <c r="F2538" s="42"/>
      <c r="G2538" s="43"/>
      <c r="H2538" s="37"/>
      <c r="I2538" s="37"/>
      <c r="J2538" s="38"/>
      <c r="K2538" s="37"/>
      <c r="L2538" s="38"/>
      <c r="M2538" s="39"/>
      <c r="P2538" s="37"/>
      <c r="Q2538" s="37"/>
      <c r="R2538" s="37"/>
      <c r="S2538" s="37"/>
      <c r="T2538" s="37"/>
      <c r="U2538" s="37"/>
      <c r="V2538" s="37"/>
      <c r="W2538" s="37"/>
      <c r="X2538" s="37"/>
      <c r="Y2538" s="37"/>
      <c r="Z2538" s="37"/>
      <c r="AA2538" s="37"/>
      <c r="AB2538" s="37"/>
      <c r="AC2538" s="37"/>
      <c r="AD2538" s="37"/>
      <c r="AE2538" s="37"/>
      <c r="AF2538" s="37"/>
      <c r="AG2538" s="37"/>
      <c r="AH2538" s="37"/>
      <c r="AI2538" s="37"/>
      <c r="AJ2538" s="37"/>
      <c r="AK2538" s="37"/>
      <c r="AL2538" s="37"/>
      <c r="AM2538" s="37"/>
      <c r="AN2538" s="37"/>
      <c r="AO2538" s="37"/>
      <c r="AP2538" s="37"/>
      <c r="AQ2538" s="37"/>
      <c r="AR2538" s="37"/>
      <c r="AS2538" s="37"/>
      <c r="AT2538" s="37"/>
      <c r="AU2538" s="37"/>
      <c r="AV2538" s="37"/>
      <c r="AW2538" s="37"/>
      <c r="AX2538" s="37"/>
      <c r="AY2538" s="37"/>
      <c r="AZ2538" s="37"/>
      <c r="BA2538" s="37"/>
      <c r="BB2538" s="37"/>
      <c r="BC2538" s="37"/>
      <c r="BD2538" s="37"/>
      <c r="BE2538" s="37"/>
      <c r="BF2538" s="37"/>
      <c r="BG2538" s="37"/>
      <c r="BH2538" s="37"/>
      <c r="BI2538" s="37"/>
      <c r="BJ2538" s="37"/>
      <c r="BK2538" s="37"/>
      <c r="BL2538" s="37"/>
      <c r="BM2538" s="37"/>
    </row>
    <row r="2539" spans="1:65" s="40" customFormat="1" ht="23.25" x14ac:dyDescent="0.35">
      <c r="A2539" s="37"/>
      <c r="B2539" s="37"/>
      <c r="C2539" s="41"/>
      <c r="D2539" s="38"/>
      <c r="E2539" s="57"/>
      <c r="F2539" s="42"/>
      <c r="G2539" s="43"/>
      <c r="H2539" s="37"/>
      <c r="I2539" s="37"/>
      <c r="J2539" s="38"/>
      <c r="K2539" s="37"/>
      <c r="L2539" s="38"/>
      <c r="M2539" s="39"/>
      <c r="P2539" s="37"/>
      <c r="Q2539" s="37"/>
      <c r="R2539" s="37"/>
      <c r="S2539" s="37"/>
      <c r="T2539" s="37"/>
      <c r="U2539" s="37"/>
      <c r="V2539" s="37"/>
      <c r="W2539" s="37"/>
      <c r="X2539" s="37"/>
      <c r="Y2539" s="37"/>
      <c r="Z2539" s="37"/>
      <c r="AA2539" s="37"/>
      <c r="AB2539" s="37"/>
      <c r="AC2539" s="37"/>
      <c r="AD2539" s="37"/>
      <c r="AE2539" s="37"/>
      <c r="AF2539" s="37"/>
      <c r="AG2539" s="37"/>
      <c r="AH2539" s="37"/>
      <c r="AI2539" s="37"/>
      <c r="AJ2539" s="37"/>
      <c r="AK2539" s="37"/>
      <c r="AL2539" s="37"/>
      <c r="AM2539" s="37"/>
      <c r="AN2539" s="37"/>
      <c r="AO2539" s="37"/>
      <c r="AP2539" s="37"/>
      <c r="AQ2539" s="37"/>
      <c r="AR2539" s="37"/>
      <c r="AS2539" s="37"/>
      <c r="AT2539" s="37"/>
      <c r="AU2539" s="37"/>
      <c r="AV2539" s="37"/>
      <c r="AW2539" s="37"/>
      <c r="AX2539" s="37"/>
      <c r="AY2539" s="37"/>
      <c r="AZ2539" s="37"/>
      <c r="BA2539" s="37"/>
      <c r="BB2539" s="37"/>
      <c r="BC2539" s="37"/>
      <c r="BD2539" s="37"/>
      <c r="BE2539" s="37"/>
      <c r="BF2539" s="37"/>
      <c r="BG2539" s="37"/>
      <c r="BH2539" s="37"/>
      <c r="BI2539" s="37"/>
      <c r="BJ2539" s="37"/>
      <c r="BK2539" s="37"/>
      <c r="BL2539" s="37"/>
      <c r="BM2539" s="37"/>
    </row>
    <row r="2540" spans="1:65" s="40" customFormat="1" ht="23.25" x14ac:dyDescent="0.35">
      <c r="A2540" s="37"/>
      <c r="B2540" s="37"/>
      <c r="C2540" s="41"/>
      <c r="D2540" s="38"/>
      <c r="E2540" s="57"/>
      <c r="F2540" s="42"/>
      <c r="G2540" s="43"/>
      <c r="H2540" s="37"/>
      <c r="I2540" s="37"/>
      <c r="J2540" s="38"/>
      <c r="K2540" s="37"/>
      <c r="L2540" s="38"/>
      <c r="M2540" s="39"/>
      <c r="P2540" s="37"/>
      <c r="Q2540" s="37"/>
      <c r="R2540" s="37"/>
      <c r="S2540" s="37"/>
      <c r="T2540" s="37"/>
      <c r="U2540" s="37"/>
      <c r="V2540" s="37"/>
      <c r="W2540" s="37"/>
      <c r="X2540" s="37"/>
      <c r="Y2540" s="37"/>
      <c r="Z2540" s="37"/>
      <c r="AA2540" s="37"/>
      <c r="AB2540" s="37"/>
      <c r="AC2540" s="37"/>
      <c r="AD2540" s="37"/>
      <c r="AE2540" s="37"/>
      <c r="AF2540" s="37"/>
      <c r="AG2540" s="37"/>
      <c r="AH2540" s="37"/>
      <c r="AI2540" s="37"/>
      <c r="AJ2540" s="37"/>
      <c r="AK2540" s="37"/>
      <c r="AL2540" s="37"/>
      <c r="AM2540" s="37"/>
      <c r="AN2540" s="37"/>
      <c r="AO2540" s="37"/>
      <c r="AP2540" s="37"/>
      <c r="AQ2540" s="37"/>
      <c r="AR2540" s="37"/>
      <c r="AS2540" s="37"/>
      <c r="AT2540" s="37"/>
      <c r="AU2540" s="37"/>
      <c r="AV2540" s="37"/>
      <c r="AW2540" s="37"/>
      <c r="AX2540" s="37"/>
      <c r="AY2540" s="37"/>
      <c r="AZ2540" s="37"/>
      <c r="BA2540" s="37"/>
      <c r="BB2540" s="37"/>
      <c r="BC2540" s="37"/>
      <c r="BD2540" s="37"/>
      <c r="BE2540" s="37"/>
      <c r="BF2540" s="37"/>
      <c r="BG2540" s="37"/>
      <c r="BH2540" s="37"/>
      <c r="BI2540" s="37"/>
      <c r="BJ2540" s="37"/>
      <c r="BK2540" s="37"/>
      <c r="BL2540" s="37"/>
      <c r="BM2540" s="37"/>
    </row>
    <row r="2541" spans="1:65" s="40" customFormat="1" ht="23.25" x14ac:dyDescent="0.35">
      <c r="A2541" s="37"/>
      <c r="B2541" s="37"/>
      <c r="C2541" s="41"/>
      <c r="D2541" s="38"/>
      <c r="E2541" s="57"/>
      <c r="F2541" s="42"/>
      <c r="G2541" s="43"/>
      <c r="H2541" s="37"/>
      <c r="I2541" s="37"/>
      <c r="J2541" s="38"/>
      <c r="K2541" s="37"/>
      <c r="L2541" s="38"/>
      <c r="M2541" s="39"/>
      <c r="P2541" s="37"/>
      <c r="Q2541" s="37"/>
      <c r="R2541" s="37"/>
      <c r="S2541" s="37"/>
      <c r="T2541" s="37"/>
      <c r="U2541" s="37"/>
      <c r="V2541" s="37"/>
      <c r="W2541" s="37"/>
      <c r="X2541" s="37"/>
      <c r="Y2541" s="37"/>
      <c r="Z2541" s="37"/>
      <c r="AA2541" s="37"/>
      <c r="AB2541" s="37"/>
      <c r="AC2541" s="37"/>
      <c r="AD2541" s="37"/>
      <c r="AE2541" s="37"/>
      <c r="AF2541" s="37"/>
      <c r="AG2541" s="37"/>
      <c r="AH2541" s="37"/>
      <c r="AI2541" s="37"/>
      <c r="AJ2541" s="37"/>
      <c r="AK2541" s="37"/>
      <c r="AL2541" s="37"/>
      <c r="AM2541" s="37"/>
      <c r="AN2541" s="37"/>
      <c r="AO2541" s="37"/>
      <c r="AP2541" s="37"/>
      <c r="AQ2541" s="37"/>
      <c r="AR2541" s="37"/>
      <c r="AS2541" s="37"/>
      <c r="AT2541" s="37"/>
      <c r="AU2541" s="37"/>
      <c r="AV2541" s="37"/>
      <c r="AW2541" s="37"/>
      <c r="AX2541" s="37"/>
      <c r="AY2541" s="37"/>
      <c r="AZ2541" s="37"/>
      <c r="BA2541" s="37"/>
      <c r="BB2541" s="37"/>
      <c r="BC2541" s="37"/>
      <c r="BD2541" s="37"/>
      <c r="BE2541" s="37"/>
      <c r="BF2541" s="37"/>
      <c r="BG2541" s="37"/>
      <c r="BH2541" s="37"/>
      <c r="BI2541" s="37"/>
      <c r="BJ2541" s="37"/>
      <c r="BK2541" s="37"/>
      <c r="BL2541" s="37"/>
      <c r="BM2541" s="37"/>
    </row>
    <row r="2542" spans="1:65" s="40" customFormat="1" ht="23.25" x14ac:dyDescent="0.35">
      <c r="A2542" s="37"/>
      <c r="B2542" s="37"/>
      <c r="C2542" s="41"/>
      <c r="D2542" s="38"/>
      <c r="E2542" s="57"/>
      <c r="F2542" s="42"/>
      <c r="G2542" s="43"/>
      <c r="H2542" s="37"/>
      <c r="I2542" s="37"/>
      <c r="J2542" s="38"/>
      <c r="K2542" s="37"/>
      <c r="L2542" s="38"/>
      <c r="M2542" s="39"/>
      <c r="P2542" s="37"/>
      <c r="Q2542" s="37"/>
      <c r="R2542" s="37"/>
      <c r="S2542" s="37"/>
      <c r="T2542" s="37"/>
      <c r="U2542" s="37"/>
      <c r="V2542" s="37"/>
      <c r="W2542" s="37"/>
      <c r="X2542" s="37"/>
      <c r="Y2542" s="37"/>
      <c r="Z2542" s="37"/>
      <c r="AA2542" s="37"/>
      <c r="AB2542" s="37"/>
      <c r="AC2542" s="37"/>
      <c r="AD2542" s="37"/>
      <c r="AE2542" s="37"/>
      <c r="AF2542" s="37"/>
      <c r="AG2542" s="37"/>
      <c r="AH2542" s="37"/>
      <c r="AI2542" s="37"/>
      <c r="AJ2542" s="37"/>
      <c r="AK2542" s="37"/>
      <c r="AL2542" s="37"/>
      <c r="AM2542" s="37"/>
      <c r="AN2542" s="37"/>
      <c r="AO2542" s="37"/>
      <c r="AP2542" s="37"/>
      <c r="AQ2542" s="37"/>
      <c r="AR2542" s="37"/>
      <c r="AS2542" s="37"/>
      <c r="AT2542" s="37"/>
      <c r="AU2542" s="37"/>
      <c r="AV2542" s="37"/>
      <c r="AW2542" s="37"/>
      <c r="AX2542" s="37"/>
      <c r="AY2542" s="37"/>
      <c r="AZ2542" s="37"/>
      <c r="BA2542" s="37"/>
      <c r="BB2542" s="37"/>
      <c r="BC2542" s="37"/>
      <c r="BD2542" s="37"/>
      <c r="BE2542" s="37"/>
      <c r="BF2542" s="37"/>
      <c r="BG2542" s="37"/>
      <c r="BH2542" s="37"/>
      <c r="BI2542" s="37"/>
      <c r="BJ2542" s="37"/>
      <c r="BK2542" s="37"/>
      <c r="BL2542" s="37"/>
      <c r="BM2542" s="37"/>
    </row>
    <row r="2543" spans="1:65" s="40" customFormat="1" ht="23.25" x14ac:dyDescent="0.35">
      <c r="A2543" s="37"/>
      <c r="B2543" s="37"/>
      <c r="C2543" s="41"/>
      <c r="D2543" s="38"/>
      <c r="E2543" s="57"/>
      <c r="F2543" s="42"/>
      <c r="G2543" s="43"/>
      <c r="H2543" s="37"/>
      <c r="I2543" s="37"/>
      <c r="J2543" s="38"/>
      <c r="K2543" s="37"/>
      <c r="L2543" s="38"/>
      <c r="M2543" s="39"/>
      <c r="P2543" s="37"/>
      <c r="Q2543" s="37"/>
      <c r="R2543" s="37"/>
      <c r="S2543" s="37"/>
      <c r="T2543" s="37"/>
      <c r="U2543" s="37"/>
      <c r="V2543" s="37"/>
      <c r="W2543" s="37"/>
      <c r="X2543" s="37"/>
      <c r="Y2543" s="37"/>
      <c r="Z2543" s="37"/>
      <c r="AA2543" s="37"/>
      <c r="AB2543" s="37"/>
      <c r="AC2543" s="37"/>
      <c r="AD2543" s="37"/>
      <c r="AE2543" s="37"/>
      <c r="AF2543" s="37"/>
      <c r="AG2543" s="37"/>
      <c r="AH2543" s="37"/>
      <c r="AI2543" s="37"/>
      <c r="AJ2543" s="37"/>
      <c r="AK2543" s="37"/>
      <c r="AL2543" s="37"/>
      <c r="AM2543" s="37"/>
      <c r="AN2543" s="37"/>
      <c r="AO2543" s="37"/>
      <c r="AP2543" s="37"/>
      <c r="AQ2543" s="37"/>
      <c r="AR2543" s="37"/>
      <c r="AS2543" s="37"/>
      <c r="AT2543" s="37"/>
      <c r="AU2543" s="37"/>
      <c r="AV2543" s="37"/>
      <c r="AW2543" s="37"/>
      <c r="AX2543" s="37"/>
      <c r="AY2543" s="37"/>
      <c r="AZ2543" s="37"/>
      <c r="BA2543" s="37"/>
      <c r="BB2543" s="37"/>
      <c r="BC2543" s="37"/>
      <c r="BD2543" s="37"/>
      <c r="BE2543" s="37"/>
      <c r="BF2543" s="37"/>
      <c r="BG2543" s="37"/>
      <c r="BH2543" s="37"/>
      <c r="BI2543" s="37"/>
      <c r="BJ2543" s="37"/>
      <c r="BK2543" s="37"/>
      <c r="BL2543" s="37"/>
      <c r="BM2543" s="37"/>
    </row>
    <row r="2544" spans="1:65" s="40" customFormat="1" ht="23.25" x14ac:dyDescent="0.35">
      <c r="A2544" s="37"/>
      <c r="B2544" s="37"/>
      <c r="C2544" s="41"/>
      <c r="D2544" s="38"/>
      <c r="E2544" s="57"/>
      <c r="F2544" s="42"/>
      <c r="G2544" s="43"/>
      <c r="H2544" s="37"/>
      <c r="I2544" s="37"/>
      <c r="J2544" s="38"/>
      <c r="K2544" s="37"/>
      <c r="L2544" s="38"/>
      <c r="M2544" s="39"/>
      <c r="P2544" s="37"/>
      <c r="Q2544" s="37"/>
      <c r="R2544" s="37"/>
      <c r="S2544" s="37"/>
      <c r="T2544" s="37"/>
      <c r="U2544" s="37"/>
      <c r="V2544" s="37"/>
      <c r="W2544" s="37"/>
      <c r="X2544" s="37"/>
      <c r="Y2544" s="37"/>
      <c r="Z2544" s="37"/>
      <c r="AA2544" s="37"/>
      <c r="AB2544" s="37"/>
      <c r="AC2544" s="37"/>
      <c r="AD2544" s="37"/>
      <c r="AE2544" s="37"/>
      <c r="AF2544" s="37"/>
      <c r="AG2544" s="37"/>
      <c r="AH2544" s="37"/>
      <c r="AI2544" s="37"/>
      <c r="AJ2544" s="37"/>
      <c r="AK2544" s="37"/>
      <c r="AL2544" s="37"/>
      <c r="AM2544" s="37"/>
      <c r="AN2544" s="37"/>
      <c r="AO2544" s="37"/>
      <c r="AP2544" s="37"/>
      <c r="AQ2544" s="37"/>
      <c r="AR2544" s="37"/>
      <c r="AS2544" s="37"/>
      <c r="AT2544" s="37"/>
      <c r="AU2544" s="37"/>
      <c r="AV2544" s="37"/>
      <c r="AW2544" s="37"/>
      <c r="AX2544" s="37"/>
      <c r="AY2544" s="37"/>
      <c r="AZ2544" s="37"/>
      <c r="BA2544" s="37"/>
      <c r="BB2544" s="37"/>
      <c r="BC2544" s="37"/>
      <c r="BD2544" s="37"/>
      <c r="BE2544" s="37"/>
      <c r="BF2544" s="37"/>
      <c r="BG2544" s="37"/>
      <c r="BH2544" s="37"/>
      <c r="BI2544" s="37"/>
      <c r="BJ2544" s="37"/>
      <c r="BK2544" s="37"/>
      <c r="BL2544" s="37"/>
      <c r="BM2544" s="37"/>
    </row>
    <row r="2545" spans="1:65" s="40" customFormat="1" ht="23.25" x14ac:dyDescent="0.35">
      <c r="A2545" s="37"/>
      <c r="B2545" s="37"/>
      <c r="C2545" s="41"/>
      <c r="D2545" s="38"/>
      <c r="E2545" s="57"/>
      <c r="F2545" s="42"/>
      <c r="G2545" s="43"/>
      <c r="H2545" s="37"/>
      <c r="I2545" s="37"/>
      <c r="J2545" s="38"/>
      <c r="K2545" s="37"/>
      <c r="L2545" s="38"/>
      <c r="M2545" s="39"/>
      <c r="P2545" s="37"/>
      <c r="Q2545" s="37"/>
      <c r="R2545" s="37"/>
      <c r="S2545" s="37"/>
      <c r="T2545" s="37"/>
      <c r="U2545" s="37"/>
      <c r="V2545" s="37"/>
      <c r="W2545" s="37"/>
      <c r="X2545" s="37"/>
      <c r="Y2545" s="37"/>
      <c r="Z2545" s="37"/>
      <c r="AA2545" s="37"/>
      <c r="AB2545" s="37"/>
      <c r="AC2545" s="37"/>
      <c r="AD2545" s="37"/>
      <c r="AE2545" s="37"/>
      <c r="AF2545" s="37"/>
      <c r="AG2545" s="37"/>
      <c r="AH2545" s="37"/>
      <c r="AI2545" s="37"/>
      <c r="AJ2545" s="37"/>
      <c r="AK2545" s="37"/>
      <c r="AL2545" s="37"/>
      <c r="AM2545" s="37"/>
      <c r="AN2545" s="37"/>
      <c r="AO2545" s="37"/>
      <c r="AP2545" s="37"/>
      <c r="AQ2545" s="37"/>
      <c r="AR2545" s="37"/>
      <c r="AS2545" s="37"/>
      <c r="AT2545" s="37"/>
      <c r="AU2545" s="37"/>
      <c r="AV2545" s="37"/>
      <c r="AW2545" s="37"/>
      <c r="AX2545" s="37"/>
      <c r="AY2545" s="37"/>
      <c r="AZ2545" s="37"/>
      <c r="BA2545" s="37"/>
      <c r="BB2545" s="37"/>
      <c r="BC2545" s="37"/>
      <c r="BD2545" s="37"/>
      <c r="BE2545" s="37"/>
      <c r="BF2545" s="37"/>
      <c r="BG2545" s="37"/>
      <c r="BH2545" s="37"/>
      <c r="BI2545" s="37"/>
      <c r="BJ2545" s="37"/>
      <c r="BK2545" s="37"/>
      <c r="BL2545" s="37"/>
      <c r="BM2545" s="37"/>
    </row>
    <row r="2546" spans="1:65" s="40" customFormat="1" ht="23.25" x14ac:dyDescent="0.35">
      <c r="A2546" s="37"/>
      <c r="B2546" s="37"/>
      <c r="C2546" s="41"/>
      <c r="D2546" s="38"/>
      <c r="E2546" s="57"/>
      <c r="F2546" s="42"/>
      <c r="G2546" s="43"/>
      <c r="H2546" s="37"/>
      <c r="I2546" s="37"/>
      <c r="J2546" s="38"/>
      <c r="K2546" s="37"/>
      <c r="L2546" s="38"/>
      <c r="M2546" s="39"/>
      <c r="P2546" s="37"/>
      <c r="Q2546" s="37"/>
      <c r="R2546" s="37"/>
      <c r="S2546" s="37"/>
      <c r="T2546" s="37"/>
      <c r="U2546" s="37"/>
      <c r="V2546" s="37"/>
      <c r="W2546" s="37"/>
      <c r="X2546" s="37"/>
      <c r="Y2546" s="37"/>
      <c r="Z2546" s="37"/>
      <c r="AA2546" s="37"/>
      <c r="AB2546" s="37"/>
      <c r="AC2546" s="37"/>
      <c r="AD2546" s="37"/>
      <c r="AE2546" s="37"/>
      <c r="AF2546" s="37"/>
      <c r="AG2546" s="37"/>
      <c r="AH2546" s="37"/>
      <c r="AI2546" s="37"/>
      <c r="AJ2546" s="37"/>
      <c r="AK2546" s="37"/>
      <c r="AL2546" s="37"/>
      <c r="AM2546" s="37"/>
      <c r="AN2546" s="37"/>
      <c r="AO2546" s="37"/>
      <c r="AP2546" s="37"/>
      <c r="AQ2546" s="37"/>
      <c r="AR2546" s="37"/>
      <c r="AS2546" s="37"/>
      <c r="AT2546" s="37"/>
      <c r="AU2546" s="37"/>
      <c r="AV2546" s="37"/>
      <c r="AW2546" s="37"/>
      <c r="AX2546" s="37"/>
      <c r="AY2546" s="37"/>
      <c r="AZ2546" s="37"/>
      <c r="BA2546" s="37"/>
      <c r="BB2546" s="37"/>
      <c r="BC2546" s="37"/>
      <c r="BD2546" s="37"/>
      <c r="BE2546" s="37"/>
      <c r="BF2546" s="37"/>
      <c r="BG2546" s="37"/>
      <c r="BH2546" s="37"/>
      <c r="BI2546" s="37"/>
      <c r="BJ2546" s="37"/>
      <c r="BK2546" s="37"/>
      <c r="BL2546" s="37"/>
      <c r="BM2546" s="37"/>
    </row>
    <row r="2547" spans="1:65" s="40" customFormat="1" ht="23.25" x14ac:dyDescent="0.35">
      <c r="A2547" s="37"/>
      <c r="B2547" s="37"/>
      <c r="C2547" s="41"/>
      <c r="D2547" s="38"/>
      <c r="E2547" s="57"/>
      <c r="F2547" s="42"/>
      <c r="G2547" s="43"/>
      <c r="H2547" s="37"/>
      <c r="I2547" s="37"/>
      <c r="J2547" s="38"/>
      <c r="K2547" s="37"/>
      <c r="L2547" s="38"/>
      <c r="M2547" s="39"/>
      <c r="P2547" s="37"/>
      <c r="Q2547" s="37"/>
      <c r="R2547" s="37"/>
      <c r="S2547" s="37"/>
      <c r="T2547" s="37"/>
      <c r="U2547" s="37"/>
      <c r="V2547" s="37"/>
      <c r="W2547" s="37"/>
      <c r="X2547" s="37"/>
      <c r="Y2547" s="37"/>
      <c r="Z2547" s="37"/>
      <c r="AA2547" s="37"/>
      <c r="AB2547" s="37"/>
      <c r="AC2547" s="37"/>
      <c r="AD2547" s="37"/>
      <c r="AE2547" s="37"/>
      <c r="AF2547" s="37"/>
      <c r="AG2547" s="37"/>
      <c r="AH2547" s="37"/>
      <c r="AI2547" s="37"/>
      <c r="AJ2547" s="37"/>
      <c r="AK2547" s="37"/>
      <c r="AL2547" s="37"/>
      <c r="AM2547" s="37"/>
      <c r="AN2547" s="37"/>
      <c r="AO2547" s="37"/>
      <c r="AP2547" s="37"/>
      <c r="AQ2547" s="37"/>
      <c r="AR2547" s="37"/>
      <c r="AS2547" s="37"/>
      <c r="AT2547" s="37"/>
      <c r="AU2547" s="37"/>
      <c r="AV2547" s="37"/>
      <c r="AW2547" s="37"/>
      <c r="AX2547" s="37"/>
      <c r="AY2547" s="37"/>
      <c r="AZ2547" s="37"/>
      <c r="BA2547" s="37"/>
      <c r="BB2547" s="37"/>
      <c r="BC2547" s="37"/>
      <c r="BD2547" s="37"/>
      <c r="BE2547" s="37"/>
      <c r="BF2547" s="37"/>
      <c r="BG2547" s="37"/>
      <c r="BH2547" s="37"/>
      <c r="BI2547" s="37"/>
      <c r="BJ2547" s="37"/>
      <c r="BK2547" s="37"/>
      <c r="BL2547" s="37"/>
      <c r="BM2547" s="37"/>
    </row>
    <row r="2548" spans="1:65" s="40" customFormat="1" ht="23.25" x14ac:dyDescent="0.35">
      <c r="A2548" s="37"/>
      <c r="B2548" s="37"/>
      <c r="C2548" s="41"/>
      <c r="D2548" s="38"/>
      <c r="E2548" s="57"/>
      <c r="F2548" s="42"/>
      <c r="G2548" s="43"/>
      <c r="H2548" s="37"/>
      <c r="I2548" s="37"/>
      <c r="J2548" s="38"/>
      <c r="K2548" s="37"/>
      <c r="L2548" s="38"/>
      <c r="M2548" s="39"/>
      <c r="P2548" s="37"/>
      <c r="Q2548" s="37"/>
      <c r="R2548" s="37"/>
      <c r="S2548" s="37"/>
      <c r="T2548" s="37"/>
      <c r="U2548" s="37"/>
      <c r="V2548" s="37"/>
      <c r="W2548" s="37"/>
      <c r="X2548" s="37"/>
      <c r="Y2548" s="37"/>
      <c r="Z2548" s="37"/>
      <c r="AA2548" s="37"/>
      <c r="AB2548" s="37"/>
      <c r="AC2548" s="37"/>
      <c r="AD2548" s="37"/>
      <c r="AE2548" s="37"/>
      <c r="AF2548" s="37"/>
      <c r="AG2548" s="37"/>
      <c r="AH2548" s="37"/>
      <c r="AI2548" s="37"/>
      <c r="AJ2548" s="37"/>
      <c r="AK2548" s="37"/>
      <c r="AL2548" s="37"/>
      <c r="AM2548" s="37"/>
      <c r="AN2548" s="37"/>
      <c r="AO2548" s="37"/>
      <c r="AP2548" s="37"/>
      <c r="AQ2548" s="37"/>
      <c r="AR2548" s="37"/>
      <c r="AS2548" s="37"/>
      <c r="AT2548" s="37"/>
      <c r="AU2548" s="37"/>
      <c r="AV2548" s="37"/>
      <c r="AW2548" s="37"/>
      <c r="AX2548" s="37"/>
      <c r="AY2548" s="37"/>
      <c r="AZ2548" s="37"/>
      <c r="BA2548" s="37"/>
      <c r="BB2548" s="37"/>
      <c r="BC2548" s="37"/>
      <c r="BD2548" s="37"/>
      <c r="BE2548" s="37"/>
      <c r="BF2548" s="37"/>
      <c r="BG2548" s="37"/>
      <c r="BH2548" s="37"/>
      <c r="BI2548" s="37"/>
      <c r="BJ2548" s="37"/>
      <c r="BK2548" s="37"/>
      <c r="BL2548" s="37"/>
      <c r="BM2548" s="37"/>
    </row>
    <row r="2549" spans="1:65" s="40" customFormat="1" ht="23.25" x14ac:dyDescent="0.35">
      <c r="A2549" s="37"/>
      <c r="B2549" s="37"/>
      <c r="C2549" s="41"/>
      <c r="D2549" s="38"/>
      <c r="E2549" s="57"/>
      <c r="F2549" s="42"/>
      <c r="G2549" s="43"/>
      <c r="H2549" s="37"/>
      <c r="I2549" s="37"/>
      <c r="J2549" s="38"/>
      <c r="K2549" s="37"/>
      <c r="L2549" s="38"/>
      <c r="M2549" s="39"/>
      <c r="P2549" s="37"/>
      <c r="Q2549" s="37"/>
      <c r="R2549" s="37"/>
      <c r="S2549" s="37"/>
      <c r="T2549" s="37"/>
      <c r="U2549" s="37"/>
      <c r="V2549" s="37"/>
      <c r="W2549" s="37"/>
      <c r="X2549" s="37"/>
      <c r="Y2549" s="37"/>
      <c r="Z2549" s="37"/>
      <c r="AA2549" s="37"/>
      <c r="AB2549" s="37"/>
      <c r="AC2549" s="37"/>
      <c r="AD2549" s="37"/>
      <c r="AE2549" s="37"/>
      <c r="AF2549" s="37"/>
      <c r="AG2549" s="37"/>
      <c r="AH2549" s="37"/>
      <c r="AI2549" s="37"/>
      <c r="AJ2549" s="37"/>
      <c r="AK2549" s="37"/>
      <c r="AL2549" s="37"/>
      <c r="AM2549" s="37"/>
      <c r="AN2549" s="37"/>
      <c r="AO2549" s="37"/>
      <c r="AP2549" s="37"/>
      <c r="AQ2549" s="37"/>
      <c r="AR2549" s="37"/>
      <c r="AS2549" s="37"/>
      <c r="AT2549" s="37"/>
      <c r="AU2549" s="37"/>
      <c r="AV2549" s="37"/>
      <c r="AW2549" s="37"/>
      <c r="AX2549" s="37"/>
      <c r="AY2549" s="37"/>
      <c r="AZ2549" s="37"/>
      <c r="BA2549" s="37"/>
      <c r="BB2549" s="37"/>
      <c r="BC2549" s="37"/>
      <c r="BD2549" s="37"/>
      <c r="BE2549" s="37"/>
      <c r="BF2549" s="37"/>
      <c r="BG2549" s="37"/>
      <c r="BH2549" s="37"/>
      <c r="BI2549" s="37"/>
      <c r="BJ2549" s="37"/>
      <c r="BK2549" s="37"/>
      <c r="BL2549" s="37"/>
      <c r="BM2549" s="37"/>
    </row>
    <row r="2550" spans="1:65" s="40" customFormat="1" ht="23.25" x14ac:dyDescent="0.35">
      <c r="A2550" s="37"/>
      <c r="B2550" s="37"/>
      <c r="C2550" s="41"/>
      <c r="D2550" s="38"/>
      <c r="E2550" s="57"/>
      <c r="F2550" s="42"/>
      <c r="G2550" s="43"/>
      <c r="H2550" s="37"/>
      <c r="I2550" s="37"/>
      <c r="J2550" s="38"/>
      <c r="K2550" s="37"/>
      <c r="L2550" s="38"/>
      <c r="M2550" s="39"/>
      <c r="P2550" s="37"/>
      <c r="Q2550" s="37"/>
      <c r="R2550" s="37"/>
      <c r="S2550" s="37"/>
      <c r="T2550" s="37"/>
      <c r="U2550" s="37"/>
      <c r="V2550" s="37"/>
      <c r="W2550" s="37"/>
      <c r="X2550" s="37"/>
      <c r="Y2550" s="37"/>
      <c r="Z2550" s="37"/>
      <c r="AA2550" s="37"/>
      <c r="AB2550" s="37"/>
      <c r="AC2550" s="37"/>
      <c r="AD2550" s="37"/>
      <c r="AE2550" s="37"/>
      <c r="AF2550" s="37"/>
      <c r="AG2550" s="37"/>
      <c r="AH2550" s="37"/>
      <c r="AI2550" s="37"/>
      <c r="AJ2550" s="37"/>
      <c r="AK2550" s="37"/>
      <c r="AL2550" s="37"/>
      <c r="AM2550" s="37"/>
      <c r="AN2550" s="37"/>
      <c r="AO2550" s="37"/>
      <c r="AP2550" s="37"/>
      <c r="AQ2550" s="37"/>
      <c r="AR2550" s="37"/>
      <c r="AS2550" s="37"/>
      <c r="AT2550" s="37"/>
      <c r="AU2550" s="37"/>
      <c r="AV2550" s="37"/>
      <c r="AW2550" s="37"/>
      <c r="AX2550" s="37"/>
      <c r="AY2550" s="37"/>
      <c r="AZ2550" s="37"/>
      <c r="BA2550" s="37"/>
      <c r="BB2550" s="37"/>
      <c r="BC2550" s="37"/>
      <c r="BD2550" s="37"/>
      <c r="BE2550" s="37"/>
      <c r="BF2550" s="37"/>
      <c r="BG2550" s="37"/>
      <c r="BH2550" s="37"/>
      <c r="BI2550" s="37"/>
      <c r="BJ2550" s="37"/>
      <c r="BK2550" s="37"/>
      <c r="BL2550" s="37"/>
      <c r="BM2550" s="37"/>
    </row>
    <row r="2551" spans="1:65" s="40" customFormat="1" ht="23.25" x14ac:dyDescent="0.35">
      <c r="A2551" s="37"/>
      <c r="B2551" s="37"/>
      <c r="C2551" s="41"/>
      <c r="D2551" s="38"/>
      <c r="E2551" s="57"/>
      <c r="F2551" s="42"/>
      <c r="G2551" s="43"/>
      <c r="H2551" s="37"/>
      <c r="I2551" s="37"/>
      <c r="J2551" s="38"/>
      <c r="K2551" s="37"/>
      <c r="L2551" s="38"/>
      <c r="M2551" s="39"/>
      <c r="P2551" s="37"/>
      <c r="Q2551" s="37"/>
      <c r="R2551" s="37"/>
      <c r="S2551" s="37"/>
      <c r="T2551" s="37"/>
      <c r="U2551" s="37"/>
      <c r="V2551" s="37"/>
      <c r="W2551" s="37"/>
      <c r="X2551" s="37"/>
      <c r="Y2551" s="37"/>
      <c r="Z2551" s="37"/>
      <c r="AA2551" s="37"/>
      <c r="AB2551" s="37"/>
      <c r="AC2551" s="37"/>
      <c r="AD2551" s="37"/>
      <c r="AE2551" s="37"/>
      <c r="AF2551" s="37"/>
      <c r="AG2551" s="37"/>
      <c r="AH2551" s="37"/>
      <c r="AI2551" s="37"/>
      <c r="AJ2551" s="37"/>
      <c r="AK2551" s="37"/>
      <c r="AL2551" s="37"/>
      <c r="AM2551" s="37"/>
      <c r="AN2551" s="37"/>
      <c r="AO2551" s="37"/>
      <c r="AP2551" s="37"/>
      <c r="AQ2551" s="37"/>
      <c r="AR2551" s="37"/>
      <c r="AS2551" s="37"/>
      <c r="AT2551" s="37"/>
      <c r="AU2551" s="37"/>
      <c r="AV2551" s="37"/>
      <c r="AW2551" s="37"/>
      <c r="AX2551" s="37"/>
      <c r="AY2551" s="37"/>
      <c r="AZ2551" s="37"/>
      <c r="BA2551" s="37"/>
      <c r="BB2551" s="37"/>
      <c r="BC2551" s="37"/>
      <c r="BD2551" s="37"/>
      <c r="BE2551" s="37"/>
      <c r="BF2551" s="37"/>
      <c r="BG2551" s="37"/>
      <c r="BH2551" s="37"/>
      <c r="BI2551" s="37"/>
      <c r="BJ2551" s="37"/>
      <c r="BK2551" s="37"/>
      <c r="BL2551" s="37"/>
      <c r="BM2551" s="37"/>
    </row>
    <row r="2552" spans="1:65" s="40" customFormat="1" ht="23.25" x14ac:dyDescent="0.35">
      <c r="A2552" s="37"/>
      <c r="B2552" s="37"/>
      <c r="C2552" s="41"/>
      <c r="D2552" s="38"/>
      <c r="E2552" s="57"/>
      <c r="F2552" s="42"/>
      <c r="G2552" s="43"/>
      <c r="H2552" s="37"/>
      <c r="I2552" s="37"/>
      <c r="J2552" s="38"/>
      <c r="K2552" s="37"/>
      <c r="L2552" s="38"/>
      <c r="M2552" s="39"/>
      <c r="P2552" s="37"/>
      <c r="Q2552" s="37"/>
      <c r="R2552" s="37"/>
      <c r="S2552" s="37"/>
      <c r="T2552" s="37"/>
      <c r="U2552" s="37"/>
      <c r="V2552" s="37"/>
      <c r="W2552" s="37"/>
      <c r="X2552" s="37"/>
      <c r="Y2552" s="37"/>
      <c r="Z2552" s="37"/>
      <c r="AA2552" s="37"/>
      <c r="AB2552" s="37"/>
      <c r="AC2552" s="37"/>
      <c r="AD2552" s="37"/>
      <c r="AE2552" s="37"/>
      <c r="AF2552" s="37"/>
      <c r="AG2552" s="37"/>
      <c r="AH2552" s="37"/>
      <c r="AI2552" s="37"/>
      <c r="AJ2552" s="37"/>
      <c r="AK2552" s="37"/>
      <c r="AL2552" s="37"/>
      <c r="AM2552" s="37"/>
      <c r="AN2552" s="37"/>
      <c r="AO2552" s="37"/>
      <c r="AP2552" s="37"/>
      <c r="AQ2552" s="37"/>
      <c r="AR2552" s="37"/>
      <c r="AS2552" s="37"/>
      <c r="AT2552" s="37"/>
      <c r="AU2552" s="37"/>
      <c r="AV2552" s="37"/>
      <c r="AW2552" s="37"/>
      <c r="AX2552" s="37"/>
      <c r="AY2552" s="37"/>
      <c r="AZ2552" s="37"/>
      <c r="BA2552" s="37"/>
      <c r="BB2552" s="37"/>
      <c r="BC2552" s="37"/>
      <c r="BD2552" s="37"/>
      <c r="BE2552" s="37"/>
      <c r="BF2552" s="37"/>
      <c r="BG2552" s="37"/>
      <c r="BH2552" s="37"/>
      <c r="BI2552" s="37"/>
      <c r="BJ2552" s="37"/>
      <c r="BK2552" s="37"/>
      <c r="BL2552" s="37"/>
      <c r="BM2552" s="37"/>
    </row>
    <row r="2553" spans="1:65" s="40" customFormat="1" ht="23.25" x14ac:dyDescent="0.35">
      <c r="A2553" s="37"/>
      <c r="B2553" s="37"/>
      <c r="C2553" s="41"/>
      <c r="D2553" s="38"/>
      <c r="E2553" s="57"/>
      <c r="F2553" s="42"/>
      <c r="G2553" s="43"/>
      <c r="H2553" s="37"/>
      <c r="I2553" s="37"/>
      <c r="J2553" s="38"/>
      <c r="K2553" s="37"/>
      <c r="L2553" s="38"/>
      <c r="M2553" s="39"/>
      <c r="P2553" s="37"/>
      <c r="Q2553" s="37"/>
      <c r="R2553" s="37"/>
      <c r="S2553" s="37"/>
      <c r="T2553" s="37"/>
      <c r="U2553" s="37"/>
      <c r="V2553" s="37"/>
      <c r="W2553" s="37"/>
      <c r="X2553" s="37"/>
      <c r="Y2553" s="37"/>
      <c r="Z2553" s="37"/>
      <c r="AA2553" s="37"/>
      <c r="AB2553" s="37"/>
      <c r="AC2553" s="37"/>
      <c r="AD2553" s="37"/>
      <c r="AE2553" s="37"/>
      <c r="AF2553" s="37"/>
      <c r="AG2553" s="37"/>
      <c r="AH2553" s="37"/>
      <c r="AI2553" s="37"/>
      <c r="AJ2553" s="37"/>
      <c r="AK2553" s="37"/>
      <c r="AL2553" s="37"/>
      <c r="AM2553" s="37"/>
      <c r="AN2553" s="37"/>
      <c r="AO2553" s="37"/>
      <c r="AP2553" s="37"/>
      <c r="AQ2553" s="37"/>
      <c r="AR2553" s="37"/>
      <c r="AS2553" s="37"/>
      <c r="AT2553" s="37"/>
      <c r="AU2553" s="37"/>
      <c r="AV2553" s="37"/>
      <c r="AW2553" s="37"/>
      <c r="AX2553" s="37"/>
      <c r="AY2553" s="37"/>
      <c r="AZ2553" s="37"/>
      <c r="BA2553" s="37"/>
      <c r="BB2553" s="37"/>
      <c r="BC2553" s="37"/>
      <c r="BD2553" s="37"/>
      <c r="BE2553" s="37"/>
      <c r="BF2553" s="37"/>
      <c r="BG2553" s="37"/>
      <c r="BH2553" s="37"/>
      <c r="BI2553" s="37"/>
      <c r="BJ2553" s="37"/>
      <c r="BK2553" s="37"/>
      <c r="BL2553" s="37"/>
      <c r="BM2553" s="37"/>
    </row>
    <row r="2554" spans="1:65" s="40" customFormat="1" ht="23.25" x14ac:dyDescent="0.35">
      <c r="A2554" s="37"/>
      <c r="B2554" s="37"/>
      <c r="C2554" s="41"/>
      <c r="D2554" s="38"/>
      <c r="E2554" s="57"/>
      <c r="F2554" s="42"/>
      <c r="G2554" s="43"/>
      <c r="H2554" s="37"/>
      <c r="I2554" s="37"/>
      <c r="J2554" s="38"/>
      <c r="K2554" s="37"/>
      <c r="L2554" s="38"/>
      <c r="M2554" s="39"/>
      <c r="P2554" s="37"/>
      <c r="Q2554" s="37"/>
      <c r="R2554" s="37"/>
      <c r="S2554" s="37"/>
      <c r="T2554" s="37"/>
      <c r="U2554" s="37"/>
      <c r="V2554" s="37"/>
      <c r="W2554" s="37"/>
      <c r="X2554" s="37"/>
      <c r="Y2554" s="37"/>
      <c r="Z2554" s="37"/>
      <c r="AA2554" s="37"/>
      <c r="AB2554" s="37"/>
      <c r="AC2554" s="37"/>
      <c r="AD2554" s="37"/>
      <c r="AE2554" s="37"/>
      <c r="AF2554" s="37"/>
      <c r="AG2554" s="37"/>
      <c r="AH2554" s="37"/>
      <c r="AI2554" s="37"/>
      <c r="AJ2554" s="37"/>
      <c r="AK2554" s="37"/>
      <c r="AL2554" s="37"/>
      <c r="AM2554" s="37"/>
      <c r="AN2554" s="37"/>
      <c r="AO2554" s="37"/>
      <c r="AP2554" s="37"/>
      <c r="AQ2554" s="37"/>
      <c r="AR2554" s="37"/>
      <c r="AS2554" s="37"/>
      <c r="AT2554" s="37"/>
      <c r="AU2554" s="37"/>
      <c r="AV2554" s="37"/>
      <c r="AW2554" s="37"/>
      <c r="AX2554" s="37"/>
      <c r="AY2554" s="37"/>
      <c r="AZ2554" s="37"/>
      <c r="BA2554" s="37"/>
      <c r="BB2554" s="37"/>
      <c r="BC2554" s="37"/>
      <c r="BD2554" s="37"/>
      <c r="BE2554" s="37"/>
      <c r="BF2554" s="37"/>
      <c r="BG2554" s="37"/>
      <c r="BH2554" s="37"/>
      <c r="BI2554" s="37"/>
      <c r="BJ2554" s="37"/>
      <c r="BK2554" s="37"/>
      <c r="BL2554" s="37"/>
      <c r="BM2554" s="37"/>
    </row>
    <row r="2555" spans="1:65" s="40" customFormat="1" ht="23.25" x14ac:dyDescent="0.35">
      <c r="A2555" s="37"/>
      <c r="B2555" s="37"/>
      <c r="C2555" s="41"/>
      <c r="D2555" s="38"/>
      <c r="E2555" s="57"/>
      <c r="F2555" s="42"/>
      <c r="G2555" s="43"/>
      <c r="H2555" s="37"/>
      <c r="I2555" s="37"/>
      <c r="J2555" s="38"/>
      <c r="K2555" s="37"/>
      <c r="L2555" s="38"/>
      <c r="M2555" s="39"/>
      <c r="P2555" s="37"/>
      <c r="Q2555" s="37"/>
      <c r="R2555" s="37"/>
      <c r="S2555" s="37"/>
      <c r="T2555" s="37"/>
      <c r="U2555" s="37"/>
      <c r="V2555" s="37"/>
      <c r="W2555" s="37"/>
      <c r="X2555" s="37"/>
      <c r="Y2555" s="37"/>
      <c r="Z2555" s="37"/>
      <c r="AA2555" s="37"/>
      <c r="AB2555" s="37"/>
      <c r="AC2555" s="37"/>
      <c r="AD2555" s="37"/>
      <c r="AE2555" s="37"/>
      <c r="AF2555" s="37"/>
      <c r="AG2555" s="37"/>
      <c r="AH2555" s="37"/>
      <c r="AI2555" s="37"/>
      <c r="AJ2555" s="37"/>
      <c r="AK2555" s="37"/>
      <c r="AL2555" s="37"/>
      <c r="AM2555" s="37"/>
      <c r="AN2555" s="37"/>
      <c r="AO2555" s="37"/>
      <c r="AP2555" s="37"/>
      <c r="AQ2555" s="37"/>
      <c r="AR2555" s="37"/>
      <c r="AS2555" s="37"/>
      <c r="AT2555" s="37"/>
      <c r="AU2555" s="37"/>
      <c r="AV2555" s="37"/>
      <c r="AW2555" s="37"/>
      <c r="AX2555" s="37"/>
      <c r="AY2555" s="37"/>
      <c r="AZ2555" s="37"/>
      <c r="BA2555" s="37"/>
      <c r="BB2555" s="37"/>
      <c r="BC2555" s="37"/>
      <c r="BD2555" s="37"/>
      <c r="BE2555" s="37"/>
      <c r="BF2555" s="37"/>
      <c r="BG2555" s="37"/>
      <c r="BH2555" s="37"/>
      <c r="BI2555" s="37"/>
      <c r="BJ2555" s="37"/>
      <c r="BK2555" s="37"/>
      <c r="BL2555" s="37"/>
      <c r="BM2555" s="37"/>
    </row>
    <row r="2556" spans="1:65" s="40" customFormat="1" ht="23.25" x14ac:dyDescent="0.35">
      <c r="A2556" s="37"/>
      <c r="B2556" s="37"/>
      <c r="C2556" s="41"/>
      <c r="D2556" s="38"/>
      <c r="E2556" s="57"/>
      <c r="F2556" s="42"/>
      <c r="G2556" s="43"/>
      <c r="H2556" s="37"/>
      <c r="I2556" s="37"/>
      <c r="J2556" s="38"/>
      <c r="K2556" s="37"/>
      <c r="L2556" s="38"/>
      <c r="M2556" s="39"/>
      <c r="P2556" s="37"/>
      <c r="Q2556" s="37"/>
      <c r="R2556" s="37"/>
      <c r="S2556" s="37"/>
      <c r="T2556" s="37"/>
      <c r="U2556" s="37"/>
      <c r="V2556" s="37"/>
      <c r="W2556" s="37"/>
      <c r="X2556" s="37"/>
      <c r="Y2556" s="37"/>
      <c r="Z2556" s="37"/>
      <c r="AA2556" s="37"/>
      <c r="AB2556" s="37"/>
      <c r="AC2556" s="37"/>
      <c r="AD2556" s="37"/>
      <c r="AE2556" s="37"/>
      <c r="AF2556" s="37"/>
      <c r="AG2556" s="37"/>
      <c r="AH2556" s="37"/>
      <c r="AI2556" s="37"/>
      <c r="AJ2556" s="37"/>
      <c r="AK2556" s="37"/>
      <c r="AL2556" s="37"/>
      <c r="AM2556" s="37"/>
      <c r="AN2556" s="37"/>
      <c r="AO2556" s="37"/>
      <c r="AP2556" s="37"/>
      <c r="AQ2556" s="37"/>
      <c r="AR2556" s="37"/>
      <c r="AS2556" s="37"/>
      <c r="AT2556" s="37"/>
      <c r="AU2556" s="37"/>
      <c r="AV2556" s="37"/>
      <c r="AW2556" s="37"/>
      <c r="AX2556" s="37"/>
      <c r="AY2556" s="37"/>
      <c r="AZ2556" s="37"/>
      <c r="BA2556" s="37"/>
      <c r="BB2556" s="37"/>
      <c r="BC2556" s="37"/>
      <c r="BD2556" s="37"/>
      <c r="BE2556" s="37"/>
      <c r="BF2556" s="37"/>
      <c r="BG2556" s="37"/>
      <c r="BH2556" s="37"/>
      <c r="BI2556" s="37"/>
      <c r="BJ2556" s="37"/>
      <c r="BK2556" s="37"/>
      <c r="BL2556" s="37"/>
      <c r="BM2556" s="37"/>
    </row>
    <row r="2557" spans="1:65" s="40" customFormat="1" ht="23.25" x14ac:dyDescent="0.35">
      <c r="A2557" s="37"/>
      <c r="B2557" s="37"/>
      <c r="C2557" s="41"/>
      <c r="D2557" s="38"/>
      <c r="E2557" s="57"/>
      <c r="F2557" s="42"/>
      <c r="G2557" s="43"/>
      <c r="H2557" s="37"/>
      <c r="I2557" s="37"/>
      <c r="J2557" s="38"/>
      <c r="K2557" s="37"/>
      <c r="L2557" s="38"/>
      <c r="M2557" s="39"/>
      <c r="P2557" s="37"/>
      <c r="Q2557" s="37"/>
      <c r="R2557" s="37"/>
      <c r="S2557" s="37"/>
      <c r="T2557" s="37"/>
      <c r="U2557" s="37"/>
      <c r="V2557" s="37"/>
      <c r="W2557" s="37"/>
      <c r="X2557" s="37"/>
      <c r="Y2557" s="37"/>
      <c r="Z2557" s="37"/>
      <c r="AA2557" s="37"/>
      <c r="AB2557" s="37"/>
      <c r="AC2557" s="37"/>
      <c r="AD2557" s="37"/>
      <c r="AE2557" s="37"/>
      <c r="AF2557" s="37"/>
      <c r="AG2557" s="37"/>
      <c r="AH2557" s="37"/>
      <c r="AI2557" s="37"/>
      <c r="AJ2557" s="37"/>
      <c r="AK2557" s="37"/>
      <c r="AL2557" s="37"/>
      <c r="AM2557" s="37"/>
      <c r="AN2557" s="37"/>
      <c r="AO2557" s="37"/>
      <c r="AP2557" s="37"/>
      <c r="AQ2557" s="37"/>
      <c r="AR2557" s="37"/>
      <c r="AS2557" s="37"/>
      <c r="AT2557" s="37"/>
      <c r="AU2557" s="37"/>
      <c r="AV2557" s="37"/>
      <c r="AW2557" s="37"/>
      <c r="AX2557" s="37"/>
      <c r="AY2557" s="37"/>
      <c r="AZ2557" s="37"/>
      <c r="BA2557" s="37"/>
      <c r="BB2557" s="37"/>
      <c r="BC2557" s="37"/>
      <c r="BD2557" s="37"/>
      <c r="BE2557" s="37"/>
      <c r="BF2557" s="37"/>
      <c r="BG2557" s="37"/>
      <c r="BH2557" s="37"/>
      <c r="BI2557" s="37"/>
      <c r="BJ2557" s="37"/>
      <c r="BK2557" s="37"/>
      <c r="BL2557" s="37"/>
      <c r="BM2557" s="37"/>
    </row>
    <row r="2558" spans="1:65" s="40" customFormat="1" ht="23.25" x14ac:dyDescent="0.35">
      <c r="A2558" s="37"/>
      <c r="B2558" s="37"/>
      <c r="C2558" s="41"/>
      <c r="D2558" s="38"/>
      <c r="E2558" s="57"/>
      <c r="F2558" s="42"/>
      <c r="G2558" s="43"/>
      <c r="H2558" s="37"/>
      <c r="I2558" s="37"/>
      <c r="J2558" s="38"/>
      <c r="K2558" s="37"/>
      <c r="L2558" s="38"/>
      <c r="M2558" s="39"/>
      <c r="P2558" s="37"/>
      <c r="Q2558" s="37"/>
      <c r="R2558" s="37"/>
      <c r="S2558" s="37"/>
      <c r="T2558" s="37"/>
      <c r="U2558" s="37"/>
      <c r="V2558" s="37"/>
      <c r="W2558" s="37"/>
      <c r="X2558" s="37"/>
      <c r="Y2558" s="37"/>
      <c r="Z2558" s="37"/>
      <c r="AA2558" s="37"/>
      <c r="AB2558" s="37"/>
      <c r="AC2558" s="37"/>
      <c r="AD2558" s="37"/>
      <c r="AE2558" s="37"/>
      <c r="AF2558" s="37"/>
      <c r="AG2558" s="37"/>
      <c r="AH2558" s="37"/>
      <c r="AI2558" s="37"/>
      <c r="AJ2558" s="37"/>
      <c r="AK2558" s="37"/>
      <c r="AL2558" s="37"/>
      <c r="AM2558" s="37"/>
      <c r="AN2558" s="37"/>
      <c r="AO2558" s="37"/>
      <c r="AP2558" s="37"/>
      <c r="AQ2558" s="37"/>
      <c r="AR2558" s="37"/>
      <c r="AS2558" s="37"/>
      <c r="AT2558" s="37"/>
      <c r="AU2558" s="37"/>
      <c r="AV2558" s="37"/>
      <c r="AW2558" s="37"/>
      <c r="AX2558" s="37"/>
      <c r="AY2558" s="37"/>
      <c r="AZ2558" s="37"/>
      <c r="BA2558" s="37"/>
      <c r="BB2558" s="37"/>
      <c r="BC2558" s="37"/>
      <c r="BD2558" s="37"/>
      <c r="BE2558" s="37"/>
      <c r="BF2558" s="37"/>
      <c r="BG2558" s="37"/>
      <c r="BH2558" s="37"/>
      <c r="BI2558" s="37"/>
      <c r="BJ2558" s="37"/>
      <c r="BK2558" s="37"/>
      <c r="BL2558" s="37"/>
      <c r="BM2558" s="37"/>
    </row>
    <row r="2559" spans="1:65" s="40" customFormat="1" ht="23.25" x14ac:dyDescent="0.35">
      <c r="A2559" s="37"/>
      <c r="B2559" s="37"/>
      <c r="C2559" s="41"/>
      <c r="D2559" s="38"/>
      <c r="E2559" s="57"/>
      <c r="F2559" s="42"/>
      <c r="G2559" s="43"/>
      <c r="H2559" s="37"/>
      <c r="I2559" s="37"/>
      <c r="J2559" s="38"/>
      <c r="K2559" s="37"/>
      <c r="L2559" s="38"/>
      <c r="M2559" s="39"/>
      <c r="P2559" s="37"/>
      <c r="Q2559" s="37"/>
      <c r="R2559" s="37"/>
      <c r="S2559" s="37"/>
      <c r="T2559" s="37"/>
      <c r="U2559" s="37"/>
      <c r="V2559" s="37"/>
      <c r="W2559" s="37"/>
      <c r="X2559" s="37"/>
      <c r="Y2559" s="37"/>
      <c r="Z2559" s="37"/>
      <c r="AA2559" s="37"/>
      <c r="AB2559" s="37"/>
      <c r="AC2559" s="37"/>
      <c r="AD2559" s="37"/>
      <c r="AE2559" s="37"/>
      <c r="AF2559" s="37"/>
      <c r="AG2559" s="37"/>
      <c r="AH2559" s="37"/>
      <c r="AI2559" s="37"/>
      <c r="AJ2559" s="37"/>
      <c r="AK2559" s="37"/>
      <c r="AL2559" s="37"/>
      <c r="AM2559" s="37"/>
      <c r="AN2559" s="37"/>
      <c r="AO2559" s="37"/>
      <c r="AP2559" s="37"/>
      <c r="AQ2559" s="37"/>
      <c r="AR2559" s="37"/>
      <c r="AS2559" s="37"/>
      <c r="AT2559" s="37"/>
      <c r="AU2559" s="37"/>
      <c r="AV2559" s="37"/>
      <c r="AW2559" s="37"/>
      <c r="AX2559" s="37"/>
      <c r="AY2559" s="37"/>
      <c r="AZ2559" s="37"/>
      <c r="BA2559" s="37"/>
      <c r="BB2559" s="37"/>
      <c r="BC2559" s="37"/>
      <c r="BD2559" s="37"/>
      <c r="BE2559" s="37"/>
      <c r="BF2559" s="37"/>
      <c r="BG2559" s="37"/>
      <c r="BH2559" s="37"/>
      <c r="BI2559" s="37"/>
      <c r="BJ2559" s="37"/>
      <c r="BK2559" s="37"/>
      <c r="BL2559" s="37"/>
      <c r="BM2559" s="37"/>
    </row>
    <row r="2560" spans="1:65" s="40" customFormat="1" ht="23.25" x14ac:dyDescent="0.35">
      <c r="A2560" s="37"/>
      <c r="B2560" s="37"/>
      <c r="C2560" s="41"/>
      <c r="D2560" s="38"/>
      <c r="E2560" s="57"/>
      <c r="F2560" s="42"/>
      <c r="G2560" s="43"/>
      <c r="H2560" s="37"/>
      <c r="I2560" s="37"/>
      <c r="J2560" s="38"/>
      <c r="K2560" s="37"/>
      <c r="L2560" s="38"/>
      <c r="M2560" s="39"/>
      <c r="P2560" s="37"/>
      <c r="Q2560" s="37"/>
      <c r="R2560" s="37"/>
      <c r="S2560" s="37"/>
      <c r="T2560" s="37"/>
      <c r="U2560" s="37"/>
      <c r="V2560" s="37"/>
      <c r="W2560" s="37"/>
      <c r="X2560" s="37"/>
      <c r="Y2560" s="37"/>
      <c r="Z2560" s="37"/>
      <c r="AA2560" s="37"/>
      <c r="AB2560" s="37"/>
      <c r="AC2560" s="37"/>
      <c r="AD2560" s="37"/>
      <c r="AE2560" s="37"/>
      <c r="AF2560" s="37"/>
      <c r="AG2560" s="37"/>
      <c r="AH2560" s="37"/>
      <c r="AI2560" s="37"/>
      <c r="AJ2560" s="37"/>
      <c r="AK2560" s="37"/>
      <c r="AL2560" s="37"/>
      <c r="AM2560" s="37"/>
      <c r="AN2560" s="37"/>
      <c r="AO2560" s="37"/>
      <c r="AP2560" s="37"/>
      <c r="AQ2560" s="37"/>
      <c r="AR2560" s="37"/>
      <c r="AS2560" s="37"/>
      <c r="AT2560" s="37"/>
      <c r="AU2560" s="37"/>
      <c r="AV2560" s="37"/>
      <c r="AW2560" s="37"/>
      <c r="AX2560" s="37"/>
      <c r="AY2560" s="37"/>
      <c r="AZ2560" s="37"/>
      <c r="BA2560" s="37"/>
      <c r="BB2560" s="37"/>
      <c r="BC2560" s="37"/>
      <c r="BD2560" s="37"/>
      <c r="BE2560" s="37"/>
      <c r="BF2560" s="37"/>
      <c r="BG2560" s="37"/>
      <c r="BH2560" s="37"/>
      <c r="BI2560" s="37"/>
      <c r="BJ2560" s="37"/>
      <c r="BK2560" s="37"/>
      <c r="BL2560" s="37"/>
      <c r="BM2560" s="37"/>
    </row>
    <row r="2561" spans="1:65" s="40" customFormat="1" ht="23.25" x14ac:dyDescent="0.35">
      <c r="A2561" s="37"/>
      <c r="B2561" s="37"/>
      <c r="C2561" s="41"/>
      <c r="D2561" s="38"/>
      <c r="E2561" s="57"/>
      <c r="F2561" s="42"/>
      <c r="G2561" s="43"/>
      <c r="H2561" s="37"/>
      <c r="I2561" s="37"/>
      <c r="J2561" s="38"/>
      <c r="K2561" s="37"/>
      <c r="L2561" s="38"/>
      <c r="M2561" s="39"/>
      <c r="P2561" s="37"/>
      <c r="Q2561" s="37"/>
      <c r="R2561" s="37"/>
      <c r="S2561" s="37"/>
      <c r="T2561" s="37"/>
      <c r="U2561" s="37"/>
      <c r="V2561" s="37"/>
      <c r="W2561" s="37"/>
      <c r="X2561" s="37"/>
      <c r="Y2561" s="37"/>
      <c r="Z2561" s="37"/>
      <c r="AA2561" s="37"/>
      <c r="AB2561" s="37"/>
      <c r="AC2561" s="37"/>
      <c r="AD2561" s="37"/>
      <c r="AE2561" s="37"/>
      <c r="AF2561" s="37"/>
      <c r="AG2561" s="37"/>
      <c r="AH2561" s="37"/>
      <c r="AI2561" s="37"/>
      <c r="AJ2561" s="37"/>
      <c r="AK2561" s="37"/>
      <c r="AL2561" s="37"/>
      <c r="AM2561" s="37"/>
      <c r="AN2561" s="37"/>
      <c r="AO2561" s="37"/>
      <c r="AP2561" s="37"/>
      <c r="AQ2561" s="37"/>
      <c r="AR2561" s="37"/>
      <c r="AS2561" s="37"/>
      <c r="AT2561" s="37"/>
      <c r="AU2561" s="37"/>
      <c r="AV2561" s="37"/>
      <c r="AW2561" s="37"/>
      <c r="AX2561" s="37"/>
      <c r="AY2561" s="37"/>
      <c r="AZ2561" s="37"/>
      <c r="BA2561" s="37"/>
      <c r="BB2561" s="37"/>
      <c r="BC2561" s="37"/>
      <c r="BD2561" s="37"/>
      <c r="BE2561" s="37"/>
      <c r="BF2561" s="37"/>
      <c r="BG2561" s="37"/>
      <c r="BH2561" s="37"/>
      <c r="BI2561" s="37"/>
      <c r="BJ2561" s="37"/>
      <c r="BK2561" s="37"/>
      <c r="BL2561" s="37"/>
      <c r="BM2561" s="37"/>
    </row>
    <row r="2562" spans="1:65" s="40" customFormat="1" ht="23.25" x14ac:dyDescent="0.35">
      <c r="A2562" s="37"/>
      <c r="B2562" s="37"/>
      <c r="C2562" s="41"/>
      <c r="D2562" s="38"/>
      <c r="E2562" s="57"/>
      <c r="F2562" s="42"/>
      <c r="G2562" s="43"/>
      <c r="H2562" s="37"/>
      <c r="I2562" s="37"/>
      <c r="J2562" s="38"/>
      <c r="K2562" s="37"/>
      <c r="L2562" s="38"/>
      <c r="M2562" s="39"/>
      <c r="P2562" s="37"/>
      <c r="Q2562" s="37"/>
      <c r="R2562" s="37"/>
      <c r="S2562" s="37"/>
      <c r="T2562" s="37"/>
      <c r="U2562" s="37"/>
      <c r="V2562" s="37"/>
      <c r="W2562" s="37"/>
      <c r="X2562" s="37"/>
      <c r="Y2562" s="37"/>
      <c r="Z2562" s="37"/>
      <c r="AA2562" s="37"/>
      <c r="AB2562" s="37"/>
      <c r="AC2562" s="37"/>
      <c r="AD2562" s="37"/>
      <c r="AE2562" s="37"/>
      <c r="AF2562" s="37"/>
      <c r="AG2562" s="37"/>
      <c r="AH2562" s="37"/>
      <c r="AI2562" s="37"/>
      <c r="AJ2562" s="37"/>
      <c r="AK2562" s="37"/>
      <c r="AL2562" s="37"/>
      <c r="AM2562" s="37"/>
      <c r="AN2562" s="37"/>
      <c r="AO2562" s="37"/>
      <c r="AP2562" s="37"/>
      <c r="AQ2562" s="37"/>
      <c r="AR2562" s="37"/>
      <c r="AS2562" s="37"/>
      <c r="AT2562" s="37"/>
      <c r="AU2562" s="37"/>
      <c r="AV2562" s="37"/>
      <c r="AW2562" s="37"/>
      <c r="AX2562" s="37"/>
      <c r="AY2562" s="37"/>
      <c r="AZ2562" s="37"/>
      <c r="BA2562" s="37"/>
      <c r="BB2562" s="37"/>
      <c r="BC2562" s="37"/>
      <c r="BD2562" s="37"/>
      <c r="BE2562" s="37"/>
      <c r="BF2562" s="37"/>
      <c r="BG2562" s="37"/>
      <c r="BH2562" s="37"/>
      <c r="BI2562" s="37"/>
      <c r="BJ2562" s="37"/>
      <c r="BK2562" s="37"/>
      <c r="BL2562" s="37"/>
      <c r="BM2562" s="37"/>
    </row>
    <row r="2563" spans="1:65" s="40" customFormat="1" ht="23.25" x14ac:dyDescent="0.35">
      <c r="A2563" s="37"/>
      <c r="B2563" s="37"/>
      <c r="C2563" s="41"/>
      <c r="D2563" s="38"/>
      <c r="E2563" s="57"/>
      <c r="F2563" s="42"/>
      <c r="G2563" s="43"/>
      <c r="H2563" s="37"/>
      <c r="I2563" s="37"/>
      <c r="J2563" s="38"/>
      <c r="K2563" s="37"/>
      <c r="L2563" s="38"/>
      <c r="M2563" s="39"/>
      <c r="P2563" s="37"/>
      <c r="Q2563" s="37"/>
      <c r="R2563" s="37"/>
      <c r="S2563" s="37"/>
      <c r="T2563" s="37"/>
      <c r="U2563" s="37"/>
      <c r="V2563" s="37"/>
      <c r="W2563" s="37"/>
      <c r="X2563" s="37"/>
      <c r="Y2563" s="37"/>
      <c r="Z2563" s="37"/>
      <c r="AA2563" s="37"/>
      <c r="AB2563" s="37"/>
      <c r="AC2563" s="37"/>
      <c r="AD2563" s="37"/>
      <c r="AE2563" s="37"/>
      <c r="AF2563" s="37"/>
      <c r="AG2563" s="37"/>
      <c r="AH2563" s="37"/>
      <c r="AI2563" s="37"/>
      <c r="AJ2563" s="37"/>
      <c r="AK2563" s="37"/>
      <c r="AL2563" s="37"/>
      <c r="AM2563" s="37"/>
      <c r="AN2563" s="37"/>
      <c r="AO2563" s="37"/>
      <c r="AP2563" s="37"/>
      <c r="AQ2563" s="37"/>
      <c r="AR2563" s="37"/>
      <c r="AS2563" s="37"/>
      <c r="AT2563" s="37"/>
      <c r="AU2563" s="37"/>
      <c r="AV2563" s="37"/>
      <c r="AW2563" s="37"/>
      <c r="AX2563" s="37"/>
      <c r="AY2563" s="37"/>
      <c r="AZ2563" s="37"/>
      <c r="BA2563" s="37"/>
      <c r="BB2563" s="37"/>
      <c r="BC2563" s="37"/>
      <c r="BD2563" s="37"/>
      <c r="BE2563" s="37"/>
      <c r="BF2563" s="37"/>
      <c r="BG2563" s="37"/>
      <c r="BH2563" s="37"/>
      <c r="BI2563" s="37"/>
      <c r="BJ2563" s="37"/>
      <c r="BK2563" s="37"/>
      <c r="BL2563" s="37"/>
      <c r="BM2563" s="37"/>
    </row>
    <row r="2564" spans="1:65" s="40" customFormat="1" ht="23.25" x14ac:dyDescent="0.35">
      <c r="A2564" s="37"/>
      <c r="B2564" s="37"/>
      <c r="C2564" s="41"/>
      <c r="D2564" s="38"/>
      <c r="E2564" s="57"/>
      <c r="F2564" s="42"/>
      <c r="G2564" s="43"/>
      <c r="H2564" s="37"/>
      <c r="I2564" s="37"/>
      <c r="J2564" s="38"/>
      <c r="K2564" s="37"/>
      <c r="L2564" s="38"/>
      <c r="M2564" s="39"/>
      <c r="P2564" s="37"/>
      <c r="Q2564" s="37"/>
      <c r="R2564" s="37"/>
      <c r="S2564" s="37"/>
      <c r="T2564" s="37"/>
      <c r="U2564" s="37"/>
      <c r="V2564" s="37"/>
      <c r="W2564" s="37"/>
      <c r="X2564" s="37"/>
      <c r="Y2564" s="37"/>
      <c r="Z2564" s="37"/>
      <c r="AA2564" s="37"/>
      <c r="AB2564" s="37"/>
      <c r="AC2564" s="37"/>
      <c r="AD2564" s="37"/>
      <c r="AE2564" s="37"/>
      <c r="AF2564" s="37"/>
      <c r="AG2564" s="37"/>
      <c r="AH2564" s="37"/>
      <c r="AI2564" s="37"/>
      <c r="AJ2564" s="37"/>
      <c r="AK2564" s="37"/>
      <c r="AL2564" s="37"/>
      <c r="AM2564" s="37"/>
      <c r="AN2564" s="37"/>
      <c r="AO2564" s="37"/>
      <c r="AP2564" s="37"/>
      <c r="AQ2564" s="37"/>
      <c r="AR2564" s="37"/>
      <c r="AS2564" s="37"/>
      <c r="AT2564" s="37"/>
      <c r="AU2564" s="37"/>
      <c r="AV2564" s="37"/>
      <c r="AW2564" s="37"/>
      <c r="AX2564" s="37"/>
      <c r="AY2564" s="37"/>
      <c r="AZ2564" s="37"/>
      <c r="BA2564" s="37"/>
      <c r="BB2564" s="37"/>
      <c r="BC2564" s="37"/>
      <c r="BD2564" s="37"/>
      <c r="BE2564" s="37"/>
      <c r="BF2564" s="37"/>
      <c r="BG2564" s="37"/>
      <c r="BH2564" s="37"/>
      <c r="BI2564" s="37"/>
      <c r="BJ2564" s="37"/>
      <c r="BK2564" s="37"/>
      <c r="BL2564" s="37"/>
      <c r="BM2564" s="37"/>
    </row>
    <row r="2565" spans="1:65" s="40" customFormat="1" ht="23.25" x14ac:dyDescent="0.35">
      <c r="A2565" s="37"/>
      <c r="B2565" s="37"/>
      <c r="C2565" s="41"/>
      <c r="D2565" s="38"/>
      <c r="E2565" s="57"/>
      <c r="F2565" s="42"/>
      <c r="G2565" s="43"/>
      <c r="H2565" s="37"/>
      <c r="I2565" s="37"/>
      <c r="J2565" s="38"/>
      <c r="K2565" s="37"/>
      <c r="L2565" s="38"/>
      <c r="M2565" s="39"/>
      <c r="P2565" s="37"/>
      <c r="Q2565" s="37"/>
      <c r="R2565" s="37"/>
      <c r="S2565" s="37"/>
      <c r="T2565" s="37"/>
      <c r="U2565" s="37"/>
      <c r="V2565" s="37"/>
      <c r="W2565" s="37"/>
      <c r="X2565" s="37"/>
      <c r="Y2565" s="37"/>
      <c r="Z2565" s="37"/>
      <c r="AA2565" s="37"/>
      <c r="AB2565" s="37"/>
      <c r="AC2565" s="37"/>
      <c r="AD2565" s="37"/>
      <c r="AE2565" s="37"/>
      <c r="AF2565" s="37"/>
      <c r="AG2565" s="37"/>
      <c r="AH2565" s="37"/>
      <c r="AI2565" s="37"/>
      <c r="AJ2565" s="37"/>
      <c r="AK2565" s="37"/>
      <c r="AL2565" s="37"/>
      <c r="AM2565" s="37"/>
      <c r="AN2565" s="37"/>
      <c r="AO2565" s="37"/>
      <c r="AP2565" s="37"/>
      <c r="AQ2565" s="37"/>
      <c r="AR2565" s="37"/>
      <c r="AS2565" s="37"/>
      <c r="AT2565" s="37"/>
      <c r="AU2565" s="37"/>
      <c r="AV2565" s="37"/>
      <c r="AW2565" s="37"/>
      <c r="AX2565" s="37"/>
      <c r="AY2565" s="37"/>
      <c r="AZ2565" s="37"/>
      <c r="BA2565" s="37"/>
      <c r="BB2565" s="37"/>
      <c r="BC2565" s="37"/>
      <c r="BD2565" s="37"/>
      <c r="BE2565" s="37"/>
      <c r="BF2565" s="37"/>
      <c r="BG2565" s="37"/>
      <c r="BH2565" s="37"/>
      <c r="BI2565" s="37"/>
      <c r="BJ2565" s="37"/>
      <c r="BK2565" s="37"/>
      <c r="BL2565" s="37"/>
      <c r="BM2565" s="37"/>
    </row>
    <row r="2566" spans="1:65" s="40" customFormat="1" ht="23.25" x14ac:dyDescent="0.35">
      <c r="A2566" s="37"/>
      <c r="B2566" s="37"/>
      <c r="C2566" s="41"/>
      <c r="D2566" s="38"/>
      <c r="E2566" s="57"/>
      <c r="F2566" s="42"/>
      <c r="G2566" s="43"/>
      <c r="H2566" s="37"/>
      <c r="I2566" s="37"/>
      <c r="J2566" s="38"/>
      <c r="K2566" s="37"/>
      <c r="L2566" s="38"/>
      <c r="M2566" s="39"/>
      <c r="P2566" s="37"/>
      <c r="Q2566" s="37"/>
      <c r="R2566" s="37"/>
      <c r="S2566" s="37"/>
      <c r="T2566" s="37"/>
      <c r="U2566" s="37"/>
      <c r="V2566" s="37"/>
      <c r="W2566" s="37"/>
      <c r="X2566" s="37"/>
      <c r="Y2566" s="37"/>
      <c r="Z2566" s="37"/>
      <c r="AA2566" s="37"/>
      <c r="AB2566" s="37"/>
      <c r="AC2566" s="37"/>
      <c r="AD2566" s="37"/>
      <c r="AE2566" s="37"/>
      <c r="AF2566" s="37"/>
      <c r="AG2566" s="37"/>
      <c r="AH2566" s="37"/>
      <c r="AI2566" s="37"/>
      <c r="AJ2566" s="37"/>
      <c r="AK2566" s="37"/>
      <c r="AL2566" s="37"/>
      <c r="AM2566" s="37"/>
      <c r="AN2566" s="37"/>
      <c r="AO2566" s="37"/>
      <c r="AP2566" s="37"/>
      <c r="AQ2566" s="37"/>
      <c r="AR2566" s="37"/>
      <c r="AS2566" s="37"/>
      <c r="AT2566" s="37"/>
      <c r="AU2566" s="37"/>
      <c r="AV2566" s="37"/>
      <c r="AW2566" s="37"/>
      <c r="AX2566" s="37"/>
      <c r="AY2566" s="37"/>
      <c r="AZ2566" s="37"/>
      <c r="BA2566" s="37"/>
      <c r="BB2566" s="37"/>
      <c r="BC2566" s="37"/>
      <c r="BD2566" s="37"/>
      <c r="BE2566" s="37"/>
      <c r="BF2566" s="37"/>
      <c r="BG2566" s="37"/>
      <c r="BH2566" s="37"/>
      <c r="BI2566" s="37"/>
      <c r="BJ2566" s="37"/>
      <c r="BK2566" s="37"/>
      <c r="BL2566" s="37"/>
      <c r="BM2566" s="37"/>
    </row>
    <row r="2567" spans="1:65" s="40" customFormat="1" ht="23.25" x14ac:dyDescent="0.35">
      <c r="A2567" s="37"/>
      <c r="B2567" s="37"/>
      <c r="C2567" s="41"/>
      <c r="D2567" s="38"/>
      <c r="E2567" s="57"/>
      <c r="F2567" s="42"/>
      <c r="G2567" s="43"/>
      <c r="H2567" s="37"/>
      <c r="I2567" s="37"/>
      <c r="J2567" s="38"/>
      <c r="K2567" s="37"/>
      <c r="L2567" s="38"/>
      <c r="M2567" s="39"/>
      <c r="P2567" s="37"/>
      <c r="Q2567" s="37"/>
      <c r="R2567" s="37"/>
      <c r="S2567" s="37"/>
      <c r="T2567" s="37"/>
      <c r="U2567" s="37"/>
      <c r="V2567" s="37"/>
      <c r="W2567" s="37"/>
      <c r="X2567" s="37"/>
      <c r="Y2567" s="37"/>
      <c r="Z2567" s="37"/>
      <c r="AA2567" s="37"/>
      <c r="AB2567" s="37"/>
      <c r="AC2567" s="37"/>
      <c r="AD2567" s="37"/>
      <c r="AE2567" s="37"/>
      <c r="AF2567" s="37"/>
      <c r="AG2567" s="37"/>
      <c r="AH2567" s="37"/>
      <c r="AI2567" s="37"/>
      <c r="AJ2567" s="37"/>
      <c r="AK2567" s="37"/>
      <c r="AL2567" s="37"/>
      <c r="AM2567" s="37"/>
      <c r="AN2567" s="37"/>
      <c r="AO2567" s="37"/>
      <c r="AP2567" s="37"/>
      <c r="AQ2567" s="37"/>
      <c r="AR2567" s="37"/>
      <c r="AS2567" s="37"/>
      <c r="AT2567" s="37"/>
      <c r="AU2567" s="37"/>
      <c r="AV2567" s="37"/>
      <c r="AW2567" s="37"/>
      <c r="AX2567" s="37"/>
      <c r="AY2567" s="37"/>
      <c r="AZ2567" s="37"/>
      <c r="BA2567" s="37"/>
      <c r="BB2567" s="37"/>
      <c r="BC2567" s="37"/>
      <c r="BD2567" s="37"/>
      <c r="BE2567" s="37"/>
      <c r="BF2567" s="37"/>
      <c r="BG2567" s="37"/>
      <c r="BH2567" s="37"/>
      <c r="BI2567" s="37"/>
      <c r="BJ2567" s="37"/>
      <c r="BK2567" s="37"/>
      <c r="BL2567" s="37"/>
      <c r="BM2567" s="37"/>
    </row>
    <row r="2568" spans="1:65" s="40" customFormat="1" ht="23.25" x14ac:dyDescent="0.35">
      <c r="A2568" s="37"/>
      <c r="B2568" s="37"/>
      <c r="C2568" s="41"/>
      <c r="D2568" s="38"/>
      <c r="E2568" s="57"/>
      <c r="F2568" s="42"/>
      <c r="G2568" s="43"/>
      <c r="H2568" s="37"/>
      <c r="I2568" s="37"/>
      <c r="J2568" s="38"/>
      <c r="K2568" s="37"/>
      <c r="L2568" s="38"/>
      <c r="M2568" s="39"/>
      <c r="P2568" s="37"/>
      <c r="Q2568" s="37"/>
      <c r="R2568" s="37"/>
      <c r="S2568" s="37"/>
      <c r="T2568" s="37"/>
      <c r="U2568" s="37"/>
      <c r="V2568" s="37"/>
      <c r="W2568" s="37"/>
      <c r="X2568" s="37"/>
      <c r="Y2568" s="37"/>
      <c r="Z2568" s="37"/>
      <c r="AA2568" s="37"/>
      <c r="AB2568" s="37"/>
      <c r="AC2568" s="37"/>
      <c r="AD2568" s="37"/>
      <c r="AE2568" s="37"/>
      <c r="AF2568" s="37"/>
      <c r="AG2568" s="37"/>
      <c r="AH2568" s="37"/>
      <c r="AI2568" s="37"/>
      <c r="AJ2568" s="37"/>
      <c r="AK2568" s="37"/>
      <c r="AL2568" s="37"/>
      <c r="AM2568" s="37"/>
      <c r="AN2568" s="37"/>
      <c r="AO2568" s="37"/>
      <c r="AP2568" s="37"/>
      <c r="AQ2568" s="37"/>
      <c r="AR2568" s="37"/>
      <c r="AS2568" s="37"/>
      <c r="AT2568" s="37"/>
      <c r="AU2568" s="37"/>
      <c r="AV2568" s="37"/>
      <c r="AW2568" s="37"/>
      <c r="AX2568" s="37"/>
      <c r="AY2568" s="37"/>
      <c r="AZ2568" s="37"/>
      <c r="BA2568" s="37"/>
      <c r="BB2568" s="37"/>
      <c r="BC2568" s="37"/>
      <c r="BD2568" s="37"/>
      <c r="BE2568" s="37"/>
      <c r="BF2568" s="37"/>
      <c r="BG2568" s="37"/>
      <c r="BH2568" s="37"/>
      <c r="BI2568" s="37"/>
      <c r="BJ2568" s="37"/>
      <c r="BK2568" s="37"/>
      <c r="BL2568" s="37"/>
      <c r="BM2568" s="37"/>
    </row>
    <row r="2569" spans="1:65" s="40" customFormat="1" ht="23.25" x14ac:dyDescent="0.35">
      <c r="A2569" s="37"/>
      <c r="B2569" s="37"/>
      <c r="C2569" s="41"/>
      <c r="D2569" s="38"/>
      <c r="E2569" s="57"/>
      <c r="F2569" s="42"/>
      <c r="G2569" s="43"/>
      <c r="H2569" s="37"/>
      <c r="I2569" s="37"/>
      <c r="J2569" s="38"/>
      <c r="K2569" s="37"/>
      <c r="L2569" s="38"/>
      <c r="M2569" s="39"/>
      <c r="P2569" s="37"/>
      <c r="Q2569" s="37"/>
      <c r="R2569" s="37"/>
      <c r="S2569" s="37"/>
      <c r="T2569" s="37"/>
      <c r="U2569" s="37"/>
      <c r="V2569" s="37"/>
      <c r="W2569" s="37"/>
      <c r="X2569" s="37"/>
      <c r="Y2569" s="37"/>
      <c r="Z2569" s="37"/>
      <c r="AA2569" s="37"/>
      <c r="AB2569" s="37"/>
      <c r="AC2569" s="37"/>
      <c r="AD2569" s="37"/>
      <c r="AE2569" s="37"/>
      <c r="AF2569" s="37"/>
      <c r="AG2569" s="37"/>
      <c r="AH2569" s="37"/>
      <c r="AI2569" s="37"/>
      <c r="AJ2569" s="37"/>
      <c r="AK2569" s="37"/>
      <c r="AL2569" s="37"/>
      <c r="AM2569" s="37"/>
      <c r="AN2569" s="37"/>
      <c r="AO2569" s="37"/>
      <c r="AP2569" s="37"/>
      <c r="AQ2569" s="37"/>
      <c r="AR2569" s="37"/>
      <c r="AS2569" s="37"/>
      <c r="AT2569" s="37"/>
      <c r="AU2569" s="37"/>
      <c r="AV2569" s="37"/>
      <c r="AW2569" s="37"/>
      <c r="AX2569" s="37"/>
      <c r="AY2569" s="37"/>
      <c r="AZ2569" s="37"/>
      <c r="BA2569" s="37"/>
      <c r="BB2569" s="37"/>
      <c r="BC2569" s="37"/>
      <c r="BD2569" s="37"/>
      <c r="BE2569" s="37"/>
      <c r="BF2569" s="37"/>
      <c r="BG2569" s="37"/>
      <c r="BH2569" s="37"/>
      <c r="BI2569" s="37"/>
      <c r="BJ2569" s="37"/>
      <c r="BK2569" s="37"/>
      <c r="BL2569" s="37"/>
      <c r="BM2569" s="37"/>
    </row>
    <row r="2570" spans="1:65" s="40" customFormat="1" ht="23.25" x14ac:dyDescent="0.35">
      <c r="A2570" s="37"/>
      <c r="B2570" s="37"/>
      <c r="C2570" s="41"/>
      <c r="D2570" s="38"/>
      <c r="E2570" s="57"/>
      <c r="F2570" s="42"/>
      <c r="G2570" s="43"/>
      <c r="H2570" s="37"/>
      <c r="I2570" s="37"/>
      <c r="J2570" s="38"/>
      <c r="K2570" s="37"/>
      <c r="L2570" s="38"/>
      <c r="M2570" s="39"/>
      <c r="P2570" s="37"/>
      <c r="Q2570" s="37"/>
      <c r="R2570" s="37"/>
      <c r="S2570" s="37"/>
      <c r="T2570" s="37"/>
      <c r="U2570" s="37"/>
      <c r="V2570" s="37"/>
      <c r="W2570" s="37"/>
      <c r="X2570" s="37"/>
      <c r="Y2570" s="37"/>
      <c r="Z2570" s="37"/>
      <c r="AA2570" s="37"/>
      <c r="AB2570" s="37"/>
      <c r="AC2570" s="37"/>
      <c r="AD2570" s="37"/>
      <c r="AE2570" s="37"/>
      <c r="AF2570" s="37"/>
      <c r="AG2570" s="37"/>
      <c r="AH2570" s="37"/>
      <c r="AI2570" s="37"/>
      <c r="AJ2570" s="37"/>
      <c r="AK2570" s="37"/>
      <c r="AL2570" s="37"/>
      <c r="AM2570" s="37"/>
      <c r="AN2570" s="37"/>
      <c r="AO2570" s="37"/>
      <c r="AP2570" s="37"/>
      <c r="AQ2570" s="37"/>
      <c r="AR2570" s="37"/>
      <c r="AS2570" s="37"/>
      <c r="AT2570" s="37"/>
      <c r="AU2570" s="37"/>
      <c r="AV2570" s="37"/>
      <c r="AW2570" s="37"/>
      <c r="AX2570" s="37"/>
      <c r="AY2570" s="37"/>
      <c r="AZ2570" s="37"/>
      <c r="BA2570" s="37"/>
      <c r="BB2570" s="37"/>
      <c r="BC2570" s="37"/>
      <c r="BD2570" s="37"/>
      <c r="BE2570" s="37"/>
      <c r="BF2570" s="37"/>
      <c r="BG2570" s="37"/>
      <c r="BH2570" s="37"/>
      <c r="BI2570" s="37"/>
      <c r="BJ2570" s="37"/>
      <c r="BK2570" s="37"/>
      <c r="BL2570" s="37"/>
      <c r="BM2570" s="37"/>
    </row>
    <row r="2571" spans="1:65" s="40" customFormat="1" ht="23.25" x14ac:dyDescent="0.35">
      <c r="A2571" s="37"/>
      <c r="B2571" s="37"/>
      <c r="C2571" s="41"/>
      <c r="D2571" s="38"/>
      <c r="E2571" s="57"/>
      <c r="F2571" s="42"/>
      <c r="G2571" s="43"/>
      <c r="H2571" s="37"/>
      <c r="I2571" s="37"/>
      <c r="J2571" s="38"/>
      <c r="K2571" s="37"/>
      <c r="L2571" s="38"/>
      <c r="M2571" s="39"/>
      <c r="P2571" s="37"/>
      <c r="Q2571" s="37"/>
      <c r="R2571" s="37"/>
      <c r="S2571" s="37"/>
      <c r="T2571" s="37"/>
      <c r="U2571" s="37"/>
      <c r="V2571" s="37"/>
      <c r="W2571" s="37"/>
      <c r="X2571" s="37"/>
      <c r="Y2571" s="37"/>
      <c r="Z2571" s="37"/>
      <c r="AA2571" s="37"/>
      <c r="AB2571" s="37"/>
      <c r="AC2571" s="37"/>
      <c r="AD2571" s="37"/>
      <c r="AE2571" s="37"/>
      <c r="AF2571" s="37"/>
      <c r="AG2571" s="37"/>
      <c r="AH2571" s="37"/>
      <c r="AI2571" s="37"/>
      <c r="AJ2571" s="37"/>
      <c r="AK2571" s="37"/>
      <c r="AL2571" s="37"/>
      <c r="AM2571" s="37"/>
      <c r="AN2571" s="37"/>
      <c r="AO2571" s="37"/>
      <c r="AP2571" s="37"/>
      <c r="AQ2571" s="37"/>
      <c r="AR2571" s="37"/>
      <c r="AS2571" s="37"/>
      <c r="AT2571" s="37"/>
      <c r="AU2571" s="37"/>
      <c r="AV2571" s="37"/>
      <c r="AW2571" s="37"/>
      <c r="AX2571" s="37"/>
      <c r="AY2571" s="37"/>
      <c r="AZ2571" s="37"/>
      <c r="BA2571" s="37"/>
      <c r="BB2571" s="37"/>
      <c r="BC2571" s="37"/>
      <c r="BD2571" s="37"/>
      <c r="BE2571" s="37"/>
      <c r="BF2571" s="37"/>
      <c r="BG2571" s="37"/>
      <c r="BH2571" s="37"/>
      <c r="BI2571" s="37"/>
      <c r="BJ2571" s="37"/>
      <c r="BK2571" s="37"/>
      <c r="BL2571" s="37"/>
      <c r="BM2571" s="37"/>
    </row>
    <row r="2572" spans="1:65" s="40" customFormat="1" ht="23.25" x14ac:dyDescent="0.35">
      <c r="A2572" s="37"/>
      <c r="B2572" s="37"/>
      <c r="C2572" s="41"/>
      <c r="D2572" s="38"/>
      <c r="E2572" s="57"/>
      <c r="F2572" s="42"/>
      <c r="G2572" s="43"/>
      <c r="H2572" s="37"/>
      <c r="I2572" s="37"/>
      <c r="J2572" s="38"/>
      <c r="K2572" s="37"/>
      <c r="L2572" s="38"/>
      <c r="M2572" s="39"/>
      <c r="P2572" s="37"/>
      <c r="Q2572" s="37"/>
      <c r="R2572" s="37"/>
      <c r="S2572" s="37"/>
      <c r="T2572" s="37"/>
      <c r="U2572" s="37"/>
      <c r="V2572" s="37"/>
      <c r="W2572" s="37"/>
      <c r="X2572" s="37"/>
      <c r="Y2572" s="37"/>
      <c r="Z2572" s="37"/>
      <c r="AA2572" s="37"/>
      <c r="AB2572" s="37"/>
      <c r="AC2572" s="37"/>
      <c r="AD2572" s="37"/>
      <c r="AE2572" s="37"/>
      <c r="AF2572" s="37"/>
      <c r="AG2572" s="37"/>
      <c r="AH2572" s="37"/>
      <c r="AI2572" s="37"/>
      <c r="AJ2572" s="37"/>
      <c r="AK2572" s="37"/>
      <c r="AL2572" s="37"/>
      <c r="AM2572" s="37"/>
      <c r="AN2572" s="37"/>
      <c r="AO2572" s="37"/>
      <c r="AP2572" s="37"/>
      <c r="AQ2572" s="37"/>
      <c r="AR2572" s="37"/>
      <c r="AS2572" s="37"/>
      <c r="AT2572" s="37"/>
      <c r="AU2572" s="37"/>
      <c r="AV2572" s="37"/>
      <c r="AW2572" s="37"/>
      <c r="AX2572" s="37"/>
      <c r="AY2572" s="37"/>
      <c r="AZ2572" s="37"/>
      <c r="BA2572" s="37"/>
      <c r="BB2572" s="37"/>
      <c r="BC2572" s="37"/>
      <c r="BD2572" s="37"/>
      <c r="BE2572" s="37"/>
      <c r="BF2572" s="37"/>
      <c r="BG2572" s="37"/>
      <c r="BH2572" s="37"/>
      <c r="BI2572" s="37"/>
      <c r="BJ2572" s="37"/>
      <c r="BK2572" s="37"/>
      <c r="BL2572" s="37"/>
      <c r="BM2572" s="37"/>
    </row>
    <row r="2573" spans="1:65" s="40" customFormat="1" ht="23.25" x14ac:dyDescent="0.35">
      <c r="A2573" s="37"/>
      <c r="B2573" s="37"/>
      <c r="C2573" s="41"/>
      <c r="D2573" s="38"/>
      <c r="E2573" s="57"/>
      <c r="F2573" s="42"/>
      <c r="G2573" s="43"/>
      <c r="H2573" s="37"/>
      <c r="I2573" s="37"/>
      <c r="J2573" s="38"/>
      <c r="K2573" s="37"/>
      <c r="L2573" s="38"/>
      <c r="M2573" s="39"/>
      <c r="P2573" s="37"/>
      <c r="Q2573" s="37"/>
      <c r="R2573" s="37"/>
      <c r="S2573" s="37"/>
      <c r="T2573" s="37"/>
      <c r="U2573" s="37"/>
      <c r="V2573" s="37"/>
      <c r="W2573" s="37"/>
      <c r="X2573" s="37"/>
      <c r="Y2573" s="37"/>
      <c r="Z2573" s="37"/>
      <c r="AA2573" s="37"/>
      <c r="AB2573" s="37"/>
      <c r="AC2573" s="37"/>
      <c r="AD2573" s="37"/>
      <c r="AE2573" s="37"/>
      <c r="AF2573" s="37"/>
      <c r="AG2573" s="37"/>
      <c r="AH2573" s="37"/>
      <c r="AI2573" s="37"/>
      <c r="AJ2573" s="37"/>
      <c r="AK2573" s="37"/>
      <c r="AL2573" s="37"/>
      <c r="AM2573" s="37"/>
      <c r="AN2573" s="37"/>
      <c r="AO2573" s="37"/>
      <c r="AP2573" s="37"/>
      <c r="AQ2573" s="37"/>
      <c r="AR2573" s="37"/>
      <c r="AS2573" s="37"/>
      <c r="AT2573" s="37"/>
      <c r="AU2573" s="37"/>
      <c r="AV2573" s="37"/>
      <c r="AW2573" s="37"/>
      <c r="AX2573" s="37"/>
      <c r="AY2573" s="37"/>
      <c r="AZ2573" s="37"/>
      <c r="BA2573" s="37"/>
      <c r="BB2573" s="37"/>
      <c r="BC2573" s="37"/>
      <c r="BD2573" s="37"/>
      <c r="BE2573" s="37"/>
      <c r="BF2573" s="37"/>
      <c r="BG2573" s="37"/>
      <c r="BH2573" s="37"/>
      <c r="BI2573" s="37"/>
      <c r="BJ2573" s="37"/>
      <c r="BK2573" s="37"/>
      <c r="BL2573" s="37"/>
      <c r="BM2573" s="37"/>
    </row>
    <row r="2574" spans="1:65" s="40" customFormat="1" ht="23.25" x14ac:dyDescent="0.35">
      <c r="A2574" s="37"/>
      <c r="B2574" s="37"/>
      <c r="C2574" s="41"/>
      <c r="D2574" s="38"/>
      <c r="E2574" s="57"/>
      <c r="F2574" s="42"/>
      <c r="G2574" s="43"/>
      <c r="H2574" s="37"/>
      <c r="I2574" s="37"/>
      <c r="J2574" s="38"/>
      <c r="K2574" s="37"/>
      <c r="L2574" s="38"/>
      <c r="M2574" s="39"/>
      <c r="P2574" s="37"/>
      <c r="Q2574" s="37"/>
      <c r="R2574" s="37"/>
      <c r="S2574" s="37"/>
      <c r="T2574" s="37"/>
      <c r="U2574" s="37"/>
      <c r="V2574" s="37"/>
      <c r="W2574" s="37"/>
      <c r="X2574" s="37"/>
      <c r="Y2574" s="37"/>
      <c r="Z2574" s="37"/>
      <c r="AA2574" s="37"/>
      <c r="AB2574" s="37"/>
      <c r="AC2574" s="37"/>
      <c r="AD2574" s="37"/>
      <c r="AE2574" s="37"/>
      <c r="AF2574" s="37"/>
      <c r="AG2574" s="37"/>
      <c r="AH2574" s="37"/>
      <c r="AI2574" s="37"/>
      <c r="AJ2574" s="37"/>
      <c r="AK2574" s="37"/>
      <c r="AL2574" s="37"/>
      <c r="AM2574" s="37"/>
      <c r="AN2574" s="37"/>
      <c r="AO2574" s="37"/>
      <c r="AP2574" s="37"/>
      <c r="AQ2574" s="37"/>
      <c r="AR2574" s="37"/>
      <c r="AS2574" s="37"/>
      <c r="AT2574" s="37"/>
      <c r="AU2574" s="37"/>
      <c r="AV2574" s="37"/>
      <c r="AW2574" s="37"/>
      <c r="AX2574" s="37"/>
      <c r="AY2574" s="37"/>
      <c r="AZ2574" s="37"/>
      <c r="BA2574" s="37"/>
      <c r="BB2574" s="37"/>
      <c r="BC2574" s="37"/>
      <c r="BD2574" s="37"/>
      <c r="BE2574" s="37"/>
      <c r="BF2574" s="37"/>
      <c r="BG2574" s="37"/>
      <c r="BH2574" s="37"/>
      <c r="BI2574" s="37"/>
      <c r="BJ2574" s="37"/>
      <c r="BK2574" s="37"/>
      <c r="BL2574" s="37"/>
      <c r="BM2574" s="37"/>
    </row>
    <row r="2575" spans="1:65" s="40" customFormat="1" ht="23.25" x14ac:dyDescent="0.35">
      <c r="A2575" s="37"/>
      <c r="B2575" s="37"/>
      <c r="C2575" s="41"/>
      <c r="D2575" s="38"/>
      <c r="E2575" s="57"/>
      <c r="F2575" s="42"/>
      <c r="G2575" s="43"/>
      <c r="H2575" s="37"/>
      <c r="I2575" s="37"/>
      <c r="J2575" s="38"/>
      <c r="K2575" s="37"/>
      <c r="L2575" s="38"/>
      <c r="M2575" s="39"/>
      <c r="P2575" s="37"/>
      <c r="Q2575" s="37"/>
      <c r="R2575" s="37"/>
      <c r="S2575" s="37"/>
      <c r="T2575" s="37"/>
      <c r="U2575" s="37"/>
      <c r="V2575" s="37"/>
      <c r="W2575" s="37"/>
      <c r="X2575" s="37"/>
      <c r="Y2575" s="37"/>
      <c r="Z2575" s="37"/>
      <c r="AA2575" s="37"/>
      <c r="AB2575" s="37"/>
      <c r="AC2575" s="37"/>
      <c r="AD2575" s="37"/>
      <c r="AE2575" s="37"/>
      <c r="AF2575" s="37"/>
      <c r="AG2575" s="37"/>
      <c r="AH2575" s="37"/>
      <c r="AI2575" s="37"/>
      <c r="AJ2575" s="37"/>
      <c r="AK2575" s="37"/>
      <c r="AL2575" s="37"/>
      <c r="AM2575" s="37"/>
      <c r="AN2575" s="37"/>
      <c r="AO2575" s="37"/>
      <c r="AP2575" s="37"/>
      <c r="AQ2575" s="37"/>
      <c r="AR2575" s="37"/>
      <c r="AS2575" s="37"/>
      <c r="AT2575" s="37"/>
      <c r="AU2575" s="37"/>
      <c r="AV2575" s="37"/>
      <c r="AW2575" s="37"/>
      <c r="AX2575" s="37"/>
      <c r="AY2575" s="37"/>
      <c r="AZ2575" s="37"/>
      <c r="BA2575" s="37"/>
      <c r="BB2575" s="37"/>
      <c r="BC2575" s="37"/>
      <c r="BD2575" s="37"/>
      <c r="BE2575" s="37"/>
      <c r="BF2575" s="37"/>
      <c r="BG2575" s="37"/>
      <c r="BH2575" s="37"/>
      <c r="BI2575" s="37"/>
      <c r="BJ2575" s="37"/>
      <c r="BK2575" s="37"/>
      <c r="BL2575" s="37"/>
      <c r="BM2575" s="37"/>
    </row>
    <row r="2576" spans="1:65" s="40" customFormat="1" ht="23.25" x14ac:dyDescent="0.35">
      <c r="A2576" s="37"/>
      <c r="B2576" s="37"/>
      <c r="C2576" s="41"/>
      <c r="D2576" s="38"/>
      <c r="E2576" s="57"/>
      <c r="F2576" s="42"/>
      <c r="G2576" s="43"/>
      <c r="H2576" s="37"/>
      <c r="I2576" s="37"/>
      <c r="J2576" s="38"/>
      <c r="K2576" s="37"/>
      <c r="L2576" s="38"/>
      <c r="M2576" s="39"/>
      <c r="P2576" s="37"/>
      <c r="Q2576" s="37"/>
      <c r="R2576" s="37"/>
      <c r="S2576" s="37"/>
      <c r="T2576" s="37"/>
      <c r="U2576" s="37"/>
      <c r="V2576" s="37"/>
      <c r="W2576" s="37"/>
      <c r="X2576" s="37"/>
      <c r="Y2576" s="37"/>
      <c r="Z2576" s="37"/>
      <c r="AA2576" s="37"/>
      <c r="AB2576" s="37"/>
      <c r="AC2576" s="37"/>
      <c r="AD2576" s="37"/>
      <c r="AE2576" s="37"/>
      <c r="AF2576" s="37"/>
      <c r="AG2576" s="37"/>
      <c r="AH2576" s="37"/>
      <c r="AI2576" s="37"/>
      <c r="AJ2576" s="37"/>
      <c r="AK2576" s="37"/>
      <c r="AL2576" s="37"/>
      <c r="AM2576" s="37"/>
      <c r="AN2576" s="37"/>
      <c r="AO2576" s="37"/>
      <c r="AP2576" s="37"/>
      <c r="AQ2576" s="37"/>
      <c r="AR2576" s="37"/>
      <c r="AS2576" s="37"/>
      <c r="AT2576" s="37"/>
      <c r="AU2576" s="37"/>
      <c r="AV2576" s="37"/>
      <c r="AW2576" s="37"/>
      <c r="AX2576" s="37"/>
      <c r="AY2576" s="37"/>
      <c r="AZ2576" s="37"/>
      <c r="BA2576" s="37"/>
      <c r="BB2576" s="37"/>
      <c r="BC2576" s="37"/>
      <c r="BD2576" s="37"/>
      <c r="BE2576" s="37"/>
      <c r="BF2576" s="37"/>
      <c r="BG2576" s="37"/>
      <c r="BH2576" s="37"/>
      <c r="BI2576" s="37"/>
      <c r="BJ2576" s="37"/>
      <c r="BK2576" s="37"/>
      <c r="BL2576" s="37"/>
      <c r="BM2576" s="37"/>
    </row>
    <row r="2577" spans="1:65" s="40" customFormat="1" ht="23.25" x14ac:dyDescent="0.35">
      <c r="A2577" s="37"/>
      <c r="B2577" s="37"/>
      <c r="C2577" s="41"/>
      <c r="D2577" s="38"/>
      <c r="E2577" s="57"/>
      <c r="F2577" s="42"/>
      <c r="G2577" s="43"/>
      <c r="H2577" s="37"/>
      <c r="I2577" s="37"/>
      <c r="J2577" s="38"/>
      <c r="K2577" s="37"/>
      <c r="L2577" s="38"/>
      <c r="M2577" s="39"/>
      <c r="P2577" s="37"/>
      <c r="Q2577" s="37"/>
      <c r="R2577" s="37"/>
      <c r="S2577" s="37"/>
      <c r="T2577" s="37"/>
      <c r="U2577" s="37"/>
      <c r="V2577" s="37"/>
      <c r="W2577" s="37"/>
      <c r="X2577" s="37"/>
      <c r="Y2577" s="37"/>
      <c r="Z2577" s="37"/>
      <c r="AA2577" s="37"/>
      <c r="AB2577" s="37"/>
      <c r="AC2577" s="37"/>
      <c r="AD2577" s="37"/>
      <c r="AE2577" s="37"/>
      <c r="AF2577" s="37"/>
      <c r="AG2577" s="37"/>
      <c r="AH2577" s="37"/>
      <c r="AI2577" s="37"/>
      <c r="AJ2577" s="37"/>
      <c r="AK2577" s="37"/>
      <c r="AL2577" s="37"/>
      <c r="AM2577" s="37"/>
      <c r="AN2577" s="37"/>
      <c r="AO2577" s="37"/>
      <c r="AP2577" s="37"/>
      <c r="AQ2577" s="37"/>
      <c r="AR2577" s="37"/>
      <c r="AS2577" s="37"/>
      <c r="AT2577" s="37"/>
      <c r="AU2577" s="37"/>
      <c r="AV2577" s="37"/>
      <c r="AW2577" s="37"/>
      <c r="AX2577" s="37"/>
      <c r="AY2577" s="37"/>
      <c r="AZ2577" s="37"/>
      <c r="BA2577" s="37"/>
      <c r="BB2577" s="37"/>
      <c r="BC2577" s="37"/>
      <c r="BD2577" s="37"/>
      <c r="BE2577" s="37"/>
      <c r="BF2577" s="37"/>
      <c r="BG2577" s="37"/>
      <c r="BH2577" s="37"/>
      <c r="BI2577" s="37"/>
      <c r="BJ2577" s="37"/>
      <c r="BK2577" s="37"/>
      <c r="BL2577" s="37"/>
      <c r="BM2577" s="37"/>
    </row>
    <row r="2578" spans="1:65" s="40" customFormat="1" ht="23.25" x14ac:dyDescent="0.35">
      <c r="A2578" s="37"/>
      <c r="B2578" s="37"/>
      <c r="C2578" s="41"/>
      <c r="D2578" s="38"/>
      <c r="E2578" s="57"/>
      <c r="F2578" s="42"/>
      <c r="G2578" s="43"/>
      <c r="H2578" s="37"/>
      <c r="I2578" s="37"/>
      <c r="J2578" s="38"/>
      <c r="K2578" s="37"/>
      <c r="L2578" s="38"/>
      <c r="M2578" s="39"/>
      <c r="P2578" s="37"/>
      <c r="Q2578" s="37"/>
      <c r="R2578" s="37"/>
      <c r="S2578" s="37"/>
      <c r="T2578" s="37"/>
      <c r="U2578" s="37"/>
      <c r="V2578" s="37"/>
      <c r="W2578" s="37"/>
      <c r="X2578" s="37"/>
      <c r="Y2578" s="37"/>
      <c r="Z2578" s="37"/>
      <c r="AA2578" s="37"/>
      <c r="AB2578" s="37"/>
      <c r="AC2578" s="37"/>
      <c r="AD2578" s="37"/>
      <c r="AE2578" s="37"/>
      <c r="AF2578" s="37"/>
      <c r="AG2578" s="37"/>
      <c r="AH2578" s="37"/>
      <c r="AI2578" s="37"/>
      <c r="AJ2578" s="37"/>
      <c r="AK2578" s="37"/>
      <c r="AL2578" s="37"/>
      <c r="AM2578" s="37"/>
      <c r="AN2578" s="37"/>
      <c r="AO2578" s="37"/>
      <c r="AP2578" s="37"/>
      <c r="AQ2578" s="37"/>
      <c r="AR2578" s="37"/>
      <c r="AS2578" s="37"/>
      <c r="AT2578" s="37"/>
      <c r="AU2578" s="37"/>
      <c r="AV2578" s="37"/>
      <c r="AW2578" s="37"/>
      <c r="AX2578" s="37"/>
      <c r="AY2578" s="37"/>
      <c r="AZ2578" s="37"/>
      <c r="BA2578" s="37"/>
      <c r="BB2578" s="37"/>
      <c r="BC2578" s="37"/>
      <c r="BD2578" s="37"/>
      <c r="BE2578" s="37"/>
      <c r="BF2578" s="37"/>
      <c r="BG2578" s="37"/>
      <c r="BH2578" s="37"/>
      <c r="BI2578" s="37"/>
      <c r="BJ2578" s="37"/>
      <c r="BK2578" s="37"/>
      <c r="BL2578" s="37"/>
      <c r="BM2578" s="37"/>
    </row>
    <row r="2579" spans="1:65" s="40" customFormat="1" ht="23.25" x14ac:dyDescent="0.35">
      <c r="A2579" s="37"/>
      <c r="B2579" s="37"/>
      <c r="C2579" s="41"/>
      <c r="D2579" s="38"/>
      <c r="E2579" s="57"/>
      <c r="F2579" s="42"/>
      <c r="G2579" s="43"/>
      <c r="H2579" s="37"/>
      <c r="I2579" s="37"/>
      <c r="J2579" s="38"/>
      <c r="K2579" s="37"/>
      <c r="L2579" s="38"/>
      <c r="M2579" s="39"/>
      <c r="P2579" s="37"/>
      <c r="Q2579" s="37"/>
      <c r="R2579" s="37"/>
      <c r="S2579" s="37"/>
      <c r="T2579" s="37"/>
      <c r="U2579" s="37"/>
      <c r="V2579" s="37"/>
      <c r="W2579" s="37"/>
      <c r="X2579" s="37"/>
      <c r="Y2579" s="37"/>
      <c r="Z2579" s="37"/>
      <c r="AA2579" s="37"/>
      <c r="AB2579" s="37"/>
      <c r="AC2579" s="37"/>
      <c r="AD2579" s="37"/>
      <c r="AE2579" s="37"/>
      <c r="AF2579" s="37"/>
      <c r="AG2579" s="37"/>
      <c r="AH2579" s="37"/>
      <c r="AI2579" s="37"/>
      <c r="AJ2579" s="37"/>
      <c r="AK2579" s="37"/>
      <c r="AL2579" s="37"/>
      <c r="AM2579" s="37"/>
      <c r="AN2579" s="37"/>
      <c r="AO2579" s="37"/>
      <c r="AP2579" s="37"/>
      <c r="AQ2579" s="37"/>
      <c r="AR2579" s="37"/>
      <c r="AS2579" s="37"/>
      <c r="AT2579" s="37"/>
      <c r="AU2579" s="37"/>
      <c r="AV2579" s="37"/>
      <c r="AW2579" s="37"/>
      <c r="AX2579" s="37"/>
      <c r="AY2579" s="37"/>
      <c r="AZ2579" s="37"/>
      <c r="BA2579" s="37"/>
      <c r="BB2579" s="37"/>
      <c r="BC2579" s="37"/>
      <c r="BD2579" s="37"/>
      <c r="BE2579" s="37"/>
      <c r="BF2579" s="37"/>
      <c r="BG2579" s="37"/>
      <c r="BH2579" s="37"/>
      <c r="BI2579" s="37"/>
      <c r="BJ2579" s="37"/>
      <c r="BK2579" s="37"/>
      <c r="BL2579" s="37"/>
      <c r="BM2579" s="37"/>
    </row>
    <row r="2580" spans="1:65" s="40" customFormat="1" ht="23.25" x14ac:dyDescent="0.35">
      <c r="A2580" s="37"/>
      <c r="B2580" s="37"/>
      <c r="C2580" s="41"/>
      <c r="D2580" s="38"/>
      <c r="E2580" s="57"/>
      <c r="F2580" s="42"/>
      <c r="G2580" s="43"/>
      <c r="H2580" s="37"/>
      <c r="I2580" s="37"/>
      <c r="J2580" s="38"/>
      <c r="K2580" s="37"/>
      <c r="L2580" s="38"/>
      <c r="M2580" s="39"/>
      <c r="P2580" s="37"/>
      <c r="Q2580" s="37"/>
      <c r="R2580" s="37"/>
      <c r="S2580" s="37"/>
      <c r="T2580" s="37"/>
      <c r="U2580" s="37"/>
      <c r="V2580" s="37"/>
      <c r="W2580" s="37"/>
      <c r="X2580" s="37"/>
      <c r="Y2580" s="37"/>
      <c r="Z2580" s="37"/>
      <c r="AA2580" s="37"/>
      <c r="AB2580" s="37"/>
      <c r="AC2580" s="37"/>
      <c r="AD2580" s="37"/>
      <c r="AE2580" s="37"/>
      <c r="AF2580" s="37"/>
      <c r="AG2580" s="37"/>
      <c r="AH2580" s="37"/>
      <c r="AI2580" s="37"/>
      <c r="AJ2580" s="37"/>
      <c r="AK2580" s="37"/>
      <c r="AL2580" s="37"/>
      <c r="AM2580" s="37"/>
      <c r="AN2580" s="37"/>
      <c r="AO2580" s="37"/>
      <c r="AP2580" s="37"/>
      <c r="AQ2580" s="37"/>
      <c r="AR2580" s="37"/>
      <c r="AS2580" s="37"/>
      <c r="AT2580" s="37"/>
      <c r="AU2580" s="37"/>
      <c r="AV2580" s="37"/>
      <c r="AW2580" s="37"/>
      <c r="AX2580" s="37"/>
      <c r="AY2580" s="37"/>
      <c r="AZ2580" s="37"/>
      <c r="BA2580" s="37"/>
      <c r="BB2580" s="37"/>
      <c r="BC2580" s="37"/>
      <c r="BD2580" s="37"/>
      <c r="BE2580" s="37"/>
      <c r="BF2580" s="37"/>
      <c r="BG2580" s="37"/>
      <c r="BH2580" s="37"/>
      <c r="BI2580" s="37"/>
      <c r="BJ2580" s="37"/>
      <c r="BK2580" s="37"/>
      <c r="BL2580" s="37"/>
      <c r="BM2580" s="37"/>
    </row>
    <row r="2581" spans="1:65" s="40" customFormat="1" ht="23.25" x14ac:dyDescent="0.35">
      <c r="A2581" s="37"/>
      <c r="B2581" s="37"/>
      <c r="C2581" s="41"/>
      <c r="D2581" s="38"/>
      <c r="E2581" s="57"/>
      <c r="F2581" s="42"/>
      <c r="G2581" s="43"/>
      <c r="H2581" s="37"/>
      <c r="I2581" s="37"/>
      <c r="J2581" s="38"/>
      <c r="K2581" s="37"/>
      <c r="L2581" s="38"/>
      <c r="M2581" s="39"/>
      <c r="P2581" s="37"/>
      <c r="Q2581" s="37"/>
      <c r="R2581" s="37"/>
      <c r="S2581" s="37"/>
      <c r="T2581" s="37"/>
      <c r="U2581" s="37"/>
      <c r="V2581" s="37"/>
      <c r="W2581" s="37"/>
      <c r="X2581" s="37"/>
      <c r="Y2581" s="37"/>
      <c r="Z2581" s="37"/>
      <c r="AA2581" s="37"/>
      <c r="AB2581" s="37"/>
      <c r="AC2581" s="37"/>
      <c r="AD2581" s="37"/>
      <c r="AE2581" s="37"/>
      <c r="AF2581" s="37"/>
      <c r="AG2581" s="37"/>
      <c r="AH2581" s="37"/>
      <c r="AI2581" s="37"/>
      <c r="AJ2581" s="37"/>
      <c r="AK2581" s="37"/>
      <c r="AL2581" s="37"/>
      <c r="AM2581" s="37"/>
      <c r="AN2581" s="37"/>
      <c r="AO2581" s="37"/>
      <c r="AP2581" s="37"/>
      <c r="AQ2581" s="37"/>
      <c r="AR2581" s="37"/>
      <c r="AS2581" s="37"/>
      <c r="AT2581" s="37"/>
      <c r="AU2581" s="37"/>
      <c r="AV2581" s="37"/>
      <c r="AW2581" s="37"/>
      <c r="AX2581" s="37"/>
      <c r="AY2581" s="37"/>
      <c r="AZ2581" s="37"/>
      <c r="BA2581" s="37"/>
      <c r="BB2581" s="37"/>
      <c r="BC2581" s="37"/>
      <c r="BD2581" s="37"/>
      <c r="BE2581" s="37"/>
      <c r="BF2581" s="37"/>
      <c r="BG2581" s="37"/>
      <c r="BH2581" s="37"/>
      <c r="BI2581" s="37"/>
      <c r="BJ2581" s="37"/>
      <c r="BK2581" s="37"/>
      <c r="BL2581" s="37"/>
      <c r="BM2581" s="37"/>
    </row>
    <row r="2582" spans="1:65" s="40" customFormat="1" ht="23.25" x14ac:dyDescent="0.35">
      <c r="A2582" s="37"/>
      <c r="B2582" s="37"/>
      <c r="C2582" s="41"/>
      <c r="D2582" s="38"/>
      <c r="E2582" s="57"/>
      <c r="F2582" s="42"/>
      <c r="G2582" s="43"/>
      <c r="H2582" s="37"/>
      <c r="I2582" s="37"/>
      <c r="J2582" s="38"/>
      <c r="K2582" s="37"/>
      <c r="L2582" s="38"/>
      <c r="M2582" s="39"/>
      <c r="P2582" s="37"/>
      <c r="Q2582" s="37"/>
      <c r="R2582" s="37"/>
      <c r="S2582" s="37"/>
      <c r="T2582" s="37"/>
      <c r="U2582" s="37"/>
      <c r="V2582" s="37"/>
      <c r="W2582" s="37"/>
      <c r="X2582" s="37"/>
      <c r="Y2582" s="37"/>
      <c r="Z2582" s="37"/>
      <c r="AA2582" s="37"/>
      <c r="AB2582" s="37"/>
      <c r="AC2582" s="37"/>
      <c r="AD2582" s="37"/>
      <c r="AE2582" s="37"/>
      <c r="AF2582" s="37"/>
      <c r="AG2582" s="37"/>
      <c r="AH2582" s="37"/>
      <c r="AI2582" s="37"/>
      <c r="AJ2582" s="37"/>
      <c r="AK2582" s="37"/>
      <c r="AL2582" s="37"/>
      <c r="AM2582" s="37"/>
      <c r="AN2582" s="37"/>
      <c r="AO2582" s="37"/>
      <c r="AP2582" s="37"/>
      <c r="AQ2582" s="37"/>
      <c r="AR2582" s="37"/>
      <c r="AS2582" s="37"/>
      <c r="AT2582" s="37"/>
      <c r="AU2582" s="37"/>
      <c r="AV2582" s="37"/>
      <c r="AW2582" s="37"/>
      <c r="AX2582" s="37"/>
      <c r="AY2582" s="37"/>
      <c r="AZ2582" s="37"/>
      <c r="BA2582" s="37"/>
      <c r="BB2582" s="37"/>
      <c r="BC2582" s="37"/>
      <c r="BD2582" s="37"/>
      <c r="BE2582" s="37"/>
      <c r="BF2582" s="37"/>
      <c r="BG2582" s="37"/>
      <c r="BH2582" s="37"/>
      <c r="BI2582" s="37"/>
      <c r="BJ2582" s="37"/>
      <c r="BK2582" s="37"/>
      <c r="BL2582" s="37"/>
      <c r="BM2582" s="37"/>
    </row>
    <row r="2583" spans="1:65" s="40" customFormat="1" ht="23.25" x14ac:dyDescent="0.35">
      <c r="A2583" s="37"/>
      <c r="B2583" s="37"/>
      <c r="C2583" s="41"/>
      <c r="D2583" s="38"/>
      <c r="E2583" s="57"/>
      <c r="F2583" s="42"/>
      <c r="G2583" s="43"/>
      <c r="H2583" s="37"/>
      <c r="I2583" s="37"/>
      <c r="J2583" s="38"/>
      <c r="K2583" s="37"/>
      <c r="L2583" s="38"/>
      <c r="M2583" s="39"/>
      <c r="P2583" s="37"/>
      <c r="Q2583" s="37"/>
      <c r="R2583" s="37"/>
      <c r="S2583" s="37"/>
      <c r="T2583" s="37"/>
      <c r="U2583" s="37"/>
      <c r="V2583" s="37"/>
      <c r="W2583" s="37"/>
      <c r="X2583" s="37"/>
      <c r="Y2583" s="37"/>
      <c r="Z2583" s="37"/>
      <c r="AA2583" s="37"/>
      <c r="AB2583" s="37"/>
      <c r="AC2583" s="37"/>
      <c r="AD2583" s="37"/>
      <c r="AE2583" s="37"/>
      <c r="AF2583" s="37"/>
      <c r="AG2583" s="37"/>
      <c r="AH2583" s="37"/>
      <c r="AI2583" s="37"/>
      <c r="AJ2583" s="37"/>
      <c r="AK2583" s="37"/>
      <c r="AL2583" s="37"/>
      <c r="AM2583" s="37"/>
      <c r="AN2583" s="37"/>
      <c r="AO2583" s="37"/>
      <c r="AP2583" s="37"/>
      <c r="AQ2583" s="37"/>
      <c r="AR2583" s="37"/>
      <c r="AS2583" s="37"/>
      <c r="AT2583" s="37"/>
      <c r="AU2583" s="37"/>
      <c r="AV2583" s="37"/>
      <c r="AW2583" s="37"/>
      <c r="AX2583" s="37"/>
      <c r="AY2583" s="37"/>
      <c r="AZ2583" s="37"/>
      <c r="BA2583" s="37"/>
      <c r="BB2583" s="37"/>
      <c r="BC2583" s="37"/>
      <c r="BD2583" s="37"/>
      <c r="BE2583" s="37"/>
      <c r="BF2583" s="37"/>
      <c r="BG2583" s="37"/>
      <c r="BH2583" s="37"/>
      <c r="BI2583" s="37"/>
      <c r="BJ2583" s="37"/>
      <c r="BK2583" s="37"/>
      <c r="BL2583" s="37"/>
      <c r="BM2583" s="37"/>
    </row>
    <row r="2584" spans="1:65" s="40" customFormat="1" ht="23.25" x14ac:dyDescent="0.35">
      <c r="A2584" s="37"/>
      <c r="B2584" s="37"/>
      <c r="C2584" s="41"/>
      <c r="D2584" s="38"/>
      <c r="E2584" s="57"/>
      <c r="F2584" s="42"/>
      <c r="G2584" s="43"/>
      <c r="H2584" s="37"/>
      <c r="I2584" s="37"/>
      <c r="J2584" s="38"/>
      <c r="K2584" s="37"/>
      <c r="L2584" s="38"/>
      <c r="M2584" s="39"/>
      <c r="P2584" s="37"/>
      <c r="Q2584" s="37"/>
      <c r="R2584" s="37"/>
      <c r="S2584" s="37"/>
      <c r="T2584" s="37"/>
      <c r="U2584" s="37"/>
      <c r="V2584" s="37"/>
      <c r="W2584" s="37"/>
      <c r="X2584" s="37"/>
      <c r="Y2584" s="37"/>
      <c r="Z2584" s="37"/>
      <c r="AA2584" s="37"/>
      <c r="AB2584" s="37"/>
      <c r="AC2584" s="37"/>
      <c r="AD2584" s="37"/>
      <c r="AE2584" s="37"/>
      <c r="AF2584" s="37"/>
      <c r="AG2584" s="37"/>
      <c r="AH2584" s="37"/>
      <c r="AI2584" s="37"/>
      <c r="AJ2584" s="37"/>
      <c r="AK2584" s="37"/>
      <c r="AL2584" s="37"/>
      <c r="AM2584" s="37"/>
      <c r="AN2584" s="37"/>
      <c r="AO2584" s="37"/>
      <c r="AP2584" s="37"/>
      <c r="AQ2584" s="37"/>
      <c r="AR2584" s="37"/>
      <c r="AS2584" s="37"/>
      <c r="AT2584" s="37"/>
      <c r="AU2584" s="37"/>
      <c r="AV2584" s="37"/>
      <c r="AW2584" s="37"/>
      <c r="AX2584" s="37"/>
      <c r="AY2584" s="37"/>
      <c r="AZ2584" s="37"/>
      <c r="BA2584" s="37"/>
      <c r="BB2584" s="37"/>
      <c r="BC2584" s="37"/>
      <c r="BD2584" s="37"/>
      <c r="BE2584" s="37"/>
      <c r="BF2584" s="37"/>
      <c r="BG2584" s="37"/>
      <c r="BH2584" s="37"/>
      <c r="BI2584" s="37"/>
      <c r="BJ2584" s="37"/>
      <c r="BK2584" s="37"/>
      <c r="BL2584" s="37"/>
      <c r="BM2584" s="37"/>
    </row>
    <row r="2585" spans="1:65" s="40" customFormat="1" ht="23.25" x14ac:dyDescent="0.35">
      <c r="A2585" s="37"/>
      <c r="B2585" s="37"/>
      <c r="C2585" s="41"/>
      <c r="D2585" s="38"/>
      <c r="E2585" s="57"/>
      <c r="F2585" s="42"/>
      <c r="G2585" s="43"/>
      <c r="H2585" s="37"/>
      <c r="I2585" s="37"/>
      <c r="J2585" s="38"/>
      <c r="K2585" s="37"/>
      <c r="L2585" s="38"/>
      <c r="M2585" s="39"/>
      <c r="P2585" s="37"/>
      <c r="Q2585" s="37"/>
      <c r="R2585" s="37"/>
      <c r="S2585" s="37"/>
      <c r="T2585" s="37"/>
      <c r="U2585" s="37"/>
      <c r="V2585" s="37"/>
      <c r="W2585" s="37"/>
      <c r="X2585" s="37"/>
      <c r="Y2585" s="37"/>
      <c r="Z2585" s="37"/>
      <c r="AA2585" s="37"/>
      <c r="AB2585" s="37"/>
      <c r="AC2585" s="37"/>
      <c r="AD2585" s="37"/>
      <c r="AE2585" s="37"/>
      <c r="AF2585" s="37"/>
      <c r="AG2585" s="37"/>
      <c r="AH2585" s="37"/>
      <c r="AI2585" s="37"/>
      <c r="AJ2585" s="37"/>
      <c r="AK2585" s="37"/>
      <c r="AL2585" s="37"/>
      <c r="AM2585" s="37"/>
      <c r="AN2585" s="37"/>
      <c r="AO2585" s="37"/>
      <c r="AP2585" s="37"/>
      <c r="AQ2585" s="37"/>
      <c r="AR2585" s="37"/>
      <c r="AS2585" s="37"/>
      <c r="AT2585" s="37"/>
      <c r="AU2585" s="37"/>
      <c r="AV2585" s="37"/>
      <c r="AW2585" s="37"/>
      <c r="AX2585" s="37"/>
      <c r="AY2585" s="37"/>
      <c r="AZ2585" s="37"/>
      <c r="BA2585" s="37"/>
      <c r="BB2585" s="37"/>
      <c r="BC2585" s="37"/>
      <c r="BD2585" s="37"/>
      <c r="BE2585" s="37"/>
      <c r="BF2585" s="37"/>
      <c r="BG2585" s="37"/>
      <c r="BH2585" s="37"/>
      <c r="BI2585" s="37"/>
      <c r="BJ2585" s="37"/>
      <c r="BK2585" s="37"/>
      <c r="BL2585" s="37"/>
      <c r="BM2585" s="37"/>
    </row>
    <row r="2586" spans="1:65" s="40" customFormat="1" ht="23.25" x14ac:dyDescent="0.35">
      <c r="A2586" s="37"/>
      <c r="B2586" s="37"/>
      <c r="C2586" s="41"/>
      <c r="D2586" s="38"/>
      <c r="E2586" s="57"/>
      <c r="F2586" s="42"/>
      <c r="G2586" s="43"/>
      <c r="H2586" s="37"/>
      <c r="I2586" s="37"/>
      <c r="J2586" s="38"/>
      <c r="K2586" s="37"/>
      <c r="L2586" s="38"/>
      <c r="M2586" s="39"/>
      <c r="P2586" s="37"/>
      <c r="Q2586" s="37"/>
      <c r="R2586" s="37"/>
      <c r="S2586" s="37"/>
      <c r="T2586" s="37"/>
      <c r="U2586" s="37"/>
      <c r="V2586" s="37"/>
      <c r="W2586" s="37"/>
      <c r="X2586" s="37"/>
      <c r="Y2586" s="37"/>
      <c r="Z2586" s="37"/>
      <c r="AA2586" s="37"/>
      <c r="AB2586" s="37"/>
      <c r="AC2586" s="37"/>
      <c r="AD2586" s="37"/>
      <c r="AE2586" s="37"/>
      <c r="AF2586" s="37"/>
      <c r="AG2586" s="37"/>
      <c r="AH2586" s="37"/>
      <c r="AI2586" s="37"/>
      <c r="AJ2586" s="37"/>
      <c r="AK2586" s="37"/>
      <c r="AL2586" s="37"/>
      <c r="AM2586" s="37"/>
      <c r="AN2586" s="37"/>
      <c r="AO2586" s="37"/>
      <c r="AP2586" s="37"/>
      <c r="AQ2586" s="37"/>
      <c r="AR2586" s="37"/>
      <c r="AS2586" s="37"/>
      <c r="AT2586" s="37"/>
      <c r="AU2586" s="37"/>
      <c r="AV2586" s="37"/>
      <c r="AW2586" s="37"/>
      <c r="AX2586" s="37"/>
      <c r="AY2586" s="37"/>
      <c r="AZ2586" s="37"/>
      <c r="BA2586" s="37"/>
      <c r="BB2586" s="37"/>
      <c r="BC2586" s="37"/>
      <c r="BD2586" s="37"/>
      <c r="BE2586" s="37"/>
      <c r="BF2586" s="37"/>
      <c r="BG2586" s="37"/>
      <c r="BH2586" s="37"/>
      <c r="BI2586" s="37"/>
      <c r="BJ2586" s="37"/>
      <c r="BK2586" s="37"/>
      <c r="BL2586" s="37"/>
      <c r="BM2586" s="37"/>
    </row>
    <row r="2587" spans="1:65" s="40" customFormat="1" ht="23.25" x14ac:dyDescent="0.35">
      <c r="A2587" s="37"/>
      <c r="B2587" s="37"/>
      <c r="C2587" s="41"/>
      <c r="D2587" s="38"/>
      <c r="E2587" s="57"/>
      <c r="F2587" s="42"/>
      <c r="G2587" s="43"/>
      <c r="H2587" s="37"/>
      <c r="I2587" s="37"/>
      <c r="J2587" s="38"/>
      <c r="K2587" s="37"/>
      <c r="L2587" s="38"/>
      <c r="M2587" s="39"/>
      <c r="P2587" s="37"/>
      <c r="Q2587" s="37"/>
      <c r="R2587" s="37"/>
      <c r="S2587" s="37"/>
      <c r="T2587" s="37"/>
      <c r="U2587" s="37"/>
      <c r="V2587" s="37"/>
      <c r="W2587" s="37"/>
      <c r="X2587" s="37"/>
      <c r="Y2587" s="37"/>
      <c r="Z2587" s="37"/>
      <c r="AA2587" s="37"/>
      <c r="AB2587" s="37"/>
      <c r="AC2587" s="37"/>
      <c r="AD2587" s="37"/>
      <c r="AE2587" s="37"/>
      <c r="AF2587" s="37"/>
      <c r="AG2587" s="37"/>
      <c r="AH2587" s="37"/>
      <c r="AI2587" s="37"/>
      <c r="AJ2587" s="37"/>
      <c r="AK2587" s="37"/>
      <c r="AL2587" s="37"/>
      <c r="AM2587" s="37"/>
      <c r="AN2587" s="37"/>
      <c r="AO2587" s="37"/>
      <c r="AP2587" s="37"/>
      <c r="AQ2587" s="37"/>
      <c r="AR2587" s="37"/>
      <c r="AS2587" s="37"/>
      <c r="AT2587" s="37"/>
      <c r="AU2587" s="37"/>
      <c r="AV2587" s="37"/>
      <c r="AW2587" s="37"/>
      <c r="AX2587" s="37"/>
      <c r="AY2587" s="37"/>
      <c r="AZ2587" s="37"/>
      <c r="BA2587" s="37"/>
      <c r="BB2587" s="37"/>
      <c r="BC2587" s="37"/>
      <c r="BD2587" s="37"/>
      <c r="BE2587" s="37"/>
      <c r="BF2587" s="37"/>
      <c r="BG2587" s="37"/>
      <c r="BH2587" s="37"/>
      <c r="BI2587" s="37"/>
      <c r="BJ2587" s="37"/>
      <c r="BK2587" s="37"/>
      <c r="BL2587" s="37"/>
      <c r="BM2587" s="37"/>
    </row>
    <row r="2588" spans="1:65" s="40" customFormat="1" ht="23.25" x14ac:dyDescent="0.35">
      <c r="A2588" s="37"/>
      <c r="B2588" s="37"/>
      <c r="C2588" s="41"/>
      <c r="D2588" s="38"/>
      <c r="E2588" s="57"/>
      <c r="F2588" s="42"/>
      <c r="G2588" s="43"/>
      <c r="H2588" s="37"/>
      <c r="I2588" s="37"/>
      <c r="J2588" s="38"/>
      <c r="K2588" s="37"/>
      <c r="L2588" s="38"/>
      <c r="M2588" s="39"/>
      <c r="P2588" s="37"/>
      <c r="Q2588" s="37"/>
      <c r="R2588" s="37"/>
      <c r="S2588" s="37"/>
      <c r="T2588" s="37"/>
      <c r="U2588" s="37"/>
      <c r="V2588" s="37"/>
      <c r="W2588" s="37"/>
      <c r="X2588" s="37"/>
      <c r="Y2588" s="37"/>
      <c r="Z2588" s="37"/>
      <c r="AA2588" s="37"/>
      <c r="AB2588" s="37"/>
      <c r="AC2588" s="37"/>
      <c r="AD2588" s="37"/>
      <c r="AE2588" s="37"/>
      <c r="AF2588" s="37"/>
      <c r="AG2588" s="37"/>
      <c r="AH2588" s="37"/>
      <c r="AI2588" s="37"/>
      <c r="AJ2588" s="37"/>
      <c r="AK2588" s="37"/>
      <c r="AL2588" s="37"/>
      <c r="AM2588" s="37"/>
      <c r="AN2588" s="37"/>
      <c r="AO2588" s="37"/>
      <c r="AP2588" s="37"/>
      <c r="AQ2588" s="37"/>
      <c r="AR2588" s="37"/>
      <c r="AS2588" s="37"/>
      <c r="AT2588" s="37"/>
      <c r="AU2588" s="37"/>
      <c r="AV2588" s="37"/>
      <c r="AW2588" s="37"/>
      <c r="AX2588" s="37"/>
      <c r="AY2588" s="37"/>
      <c r="AZ2588" s="37"/>
      <c r="BA2588" s="37"/>
      <c r="BB2588" s="37"/>
      <c r="BC2588" s="37"/>
      <c r="BD2588" s="37"/>
      <c r="BE2588" s="37"/>
      <c r="BF2588" s="37"/>
      <c r="BG2588" s="37"/>
      <c r="BH2588" s="37"/>
      <c r="BI2588" s="37"/>
      <c r="BJ2588" s="37"/>
      <c r="BK2588" s="37"/>
      <c r="BL2588" s="37"/>
      <c r="BM2588" s="37"/>
    </row>
    <row r="2589" spans="1:65" s="40" customFormat="1" ht="23.25" x14ac:dyDescent="0.35">
      <c r="A2589" s="37"/>
      <c r="B2589" s="37"/>
      <c r="C2589" s="41"/>
      <c r="D2589" s="38"/>
      <c r="E2589" s="57"/>
      <c r="F2589" s="42"/>
      <c r="G2589" s="43"/>
      <c r="H2589" s="37"/>
      <c r="I2589" s="37"/>
      <c r="J2589" s="38"/>
      <c r="K2589" s="37"/>
      <c r="L2589" s="38"/>
      <c r="M2589" s="39"/>
      <c r="P2589" s="37"/>
      <c r="Q2589" s="37"/>
      <c r="R2589" s="37"/>
      <c r="S2589" s="37"/>
      <c r="T2589" s="37"/>
      <c r="U2589" s="37"/>
      <c r="V2589" s="37"/>
      <c r="W2589" s="37"/>
      <c r="X2589" s="37"/>
      <c r="Y2589" s="37"/>
      <c r="Z2589" s="37"/>
      <c r="AA2589" s="37"/>
      <c r="AB2589" s="37"/>
      <c r="AC2589" s="37"/>
      <c r="AD2589" s="37"/>
      <c r="AE2589" s="37"/>
      <c r="AF2589" s="37"/>
      <c r="AG2589" s="37"/>
      <c r="AH2589" s="37"/>
      <c r="AI2589" s="37"/>
      <c r="AJ2589" s="37"/>
      <c r="AK2589" s="37"/>
      <c r="AL2589" s="37"/>
      <c r="AM2589" s="37"/>
      <c r="AN2589" s="37"/>
      <c r="AO2589" s="37"/>
      <c r="AP2589" s="37"/>
      <c r="AQ2589" s="37"/>
      <c r="AR2589" s="37"/>
      <c r="AS2589" s="37"/>
      <c r="AT2589" s="37"/>
      <c r="AU2589" s="37"/>
      <c r="AV2589" s="37"/>
      <c r="AW2589" s="37"/>
      <c r="AX2589" s="37"/>
      <c r="AY2589" s="37"/>
      <c r="AZ2589" s="37"/>
      <c r="BA2589" s="37"/>
      <c r="BB2589" s="37"/>
      <c r="BC2589" s="37"/>
      <c r="BD2589" s="37"/>
      <c r="BE2589" s="37"/>
      <c r="BF2589" s="37"/>
      <c r="BG2589" s="37"/>
      <c r="BH2589" s="37"/>
      <c r="BI2589" s="37"/>
      <c r="BJ2589" s="37"/>
      <c r="BK2589" s="37"/>
      <c r="BL2589" s="37"/>
      <c r="BM2589" s="37"/>
    </row>
    <row r="2590" spans="1:65" s="40" customFormat="1" ht="23.25" x14ac:dyDescent="0.35">
      <c r="A2590" s="37"/>
      <c r="B2590" s="37"/>
      <c r="C2590" s="41"/>
      <c r="D2590" s="38"/>
      <c r="E2590" s="57"/>
      <c r="F2590" s="42"/>
      <c r="G2590" s="43"/>
      <c r="H2590" s="37"/>
      <c r="I2590" s="37"/>
      <c r="J2590" s="38"/>
      <c r="K2590" s="37"/>
      <c r="L2590" s="38"/>
      <c r="M2590" s="39"/>
      <c r="P2590" s="37"/>
      <c r="Q2590" s="37"/>
      <c r="R2590" s="37"/>
      <c r="S2590" s="37"/>
      <c r="T2590" s="37"/>
      <c r="U2590" s="37"/>
      <c r="V2590" s="37"/>
      <c r="W2590" s="37"/>
      <c r="X2590" s="37"/>
      <c r="Y2590" s="37"/>
      <c r="Z2590" s="37"/>
      <c r="AA2590" s="37"/>
      <c r="AB2590" s="37"/>
      <c r="AC2590" s="37"/>
      <c r="AD2590" s="37"/>
      <c r="AE2590" s="37"/>
      <c r="AF2590" s="37"/>
      <c r="AG2590" s="37"/>
      <c r="AH2590" s="37"/>
      <c r="AI2590" s="37"/>
      <c r="AJ2590" s="37"/>
      <c r="AK2590" s="37"/>
      <c r="AL2590" s="37"/>
      <c r="AM2590" s="37"/>
      <c r="AN2590" s="37"/>
      <c r="AO2590" s="37"/>
      <c r="AP2590" s="37"/>
      <c r="AQ2590" s="37"/>
      <c r="AR2590" s="37"/>
      <c r="AS2590" s="37"/>
      <c r="AT2590" s="37"/>
      <c r="AU2590" s="37"/>
      <c r="AV2590" s="37"/>
      <c r="AW2590" s="37"/>
      <c r="AX2590" s="37"/>
      <c r="AY2590" s="37"/>
      <c r="AZ2590" s="37"/>
      <c r="BA2590" s="37"/>
      <c r="BB2590" s="37"/>
      <c r="BC2590" s="37"/>
      <c r="BD2590" s="37"/>
      <c r="BE2590" s="37"/>
      <c r="BF2590" s="37"/>
      <c r="BG2590" s="37"/>
      <c r="BH2590" s="37"/>
      <c r="BI2590" s="37"/>
      <c r="BJ2590" s="37"/>
      <c r="BK2590" s="37"/>
      <c r="BL2590" s="37"/>
      <c r="BM2590" s="37"/>
    </row>
    <row r="2591" spans="1:65" s="40" customFormat="1" ht="23.25" x14ac:dyDescent="0.35">
      <c r="A2591" s="37"/>
      <c r="B2591" s="37"/>
      <c r="C2591" s="41"/>
      <c r="D2591" s="38"/>
      <c r="E2591" s="57"/>
      <c r="F2591" s="42"/>
      <c r="G2591" s="43"/>
      <c r="H2591" s="37"/>
      <c r="I2591" s="37"/>
      <c r="J2591" s="38"/>
      <c r="K2591" s="37"/>
      <c r="L2591" s="38"/>
      <c r="M2591" s="39"/>
      <c r="P2591" s="37"/>
      <c r="Q2591" s="37"/>
      <c r="R2591" s="37"/>
      <c r="S2591" s="37"/>
      <c r="T2591" s="37"/>
      <c r="U2591" s="37"/>
      <c r="V2591" s="37"/>
      <c r="W2591" s="37"/>
      <c r="X2591" s="37"/>
      <c r="Y2591" s="37"/>
      <c r="Z2591" s="37"/>
      <c r="AA2591" s="37"/>
      <c r="AB2591" s="37"/>
      <c r="AC2591" s="37"/>
      <c r="AD2591" s="37"/>
      <c r="AE2591" s="37"/>
      <c r="AF2591" s="37"/>
      <c r="AG2591" s="37"/>
      <c r="AH2591" s="37"/>
      <c r="AI2591" s="37"/>
      <c r="AJ2591" s="37"/>
      <c r="AK2591" s="37"/>
      <c r="AL2591" s="37"/>
      <c r="AM2591" s="37"/>
      <c r="AN2591" s="37"/>
      <c r="AO2591" s="37"/>
      <c r="AP2591" s="37"/>
      <c r="AQ2591" s="37"/>
      <c r="AR2591" s="37"/>
      <c r="AS2591" s="37"/>
      <c r="AT2591" s="37"/>
      <c r="AU2591" s="37"/>
      <c r="AV2591" s="37"/>
      <c r="AW2591" s="37"/>
      <c r="AX2591" s="37"/>
      <c r="AY2591" s="37"/>
      <c r="AZ2591" s="37"/>
      <c r="BA2591" s="37"/>
      <c r="BB2591" s="37"/>
      <c r="BC2591" s="37"/>
      <c r="BD2591" s="37"/>
      <c r="BE2591" s="37"/>
      <c r="BF2591" s="37"/>
      <c r="BG2591" s="37"/>
      <c r="BH2591" s="37"/>
      <c r="BI2591" s="37"/>
      <c r="BJ2591" s="37"/>
      <c r="BK2591" s="37"/>
      <c r="BL2591" s="37"/>
      <c r="BM2591" s="37"/>
    </row>
    <row r="2592" spans="1:65" s="40" customFormat="1" ht="23.25" x14ac:dyDescent="0.35">
      <c r="A2592" s="37"/>
      <c r="B2592" s="37"/>
      <c r="C2592" s="41"/>
      <c r="D2592" s="38"/>
      <c r="E2592" s="57"/>
      <c r="F2592" s="42"/>
      <c r="G2592" s="43"/>
      <c r="H2592" s="37"/>
      <c r="I2592" s="37"/>
      <c r="J2592" s="38"/>
      <c r="K2592" s="37"/>
      <c r="L2592" s="38"/>
      <c r="M2592" s="39"/>
      <c r="P2592" s="37"/>
      <c r="Q2592" s="37"/>
      <c r="R2592" s="37"/>
      <c r="S2592" s="37"/>
      <c r="T2592" s="37"/>
      <c r="U2592" s="37"/>
      <c r="V2592" s="37"/>
      <c r="W2592" s="37"/>
      <c r="X2592" s="37"/>
      <c r="Y2592" s="37"/>
      <c r="Z2592" s="37"/>
      <c r="AA2592" s="37"/>
      <c r="AB2592" s="37"/>
      <c r="AC2592" s="37"/>
      <c r="AD2592" s="37"/>
      <c r="AE2592" s="37"/>
      <c r="AF2592" s="37"/>
      <c r="AG2592" s="37"/>
      <c r="AH2592" s="37"/>
      <c r="AI2592" s="37"/>
      <c r="AJ2592" s="37"/>
      <c r="AK2592" s="37"/>
      <c r="AL2592" s="37"/>
      <c r="AM2592" s="37"/>
      <c r="AN2592" s="37"/>
      <c r="AO2592" s="37"/>
      <c r="AP2592" s="37"/>
      <c r="AQ2592" s="37"/>
      <c r="AR2592" s="37"/>
      <c r="AS2592" s="37"/>
      <c r="AT2592" s="37"/>
      <c r="AU2592" s="37"/>
      <c r="AV2592" s="37"/>
      <c r="AW2592" s="37"/>
      <c r="AX2592" s="37"/>
      <c r="AY2592" s="37"/>
      <c r="AZ2592" s="37"/>
      <c r="BA2592" s="37"/>
      <c r="BB2592" s="37"/>
      <c r="BC2592" s="37"/>
      <c r="BD2592" s="37"/>
      <c r="BE2592" s="37"/>
      <c r="BF2592" s="37"/>
      <c r="BG2592" s="37"/>
      <c r="BH2592" s="37"/>
      <c r="BI2592" s="37"/>
      <c r="BJ2592" s="37"/>
      <c r="BK2592" s="37"/>
      <c r="BL2592" s="37"/>
      <c r="BM2592" s="37"/>
    </row>
    <row r="2593" spans="1:65" s="40" customFormat="1" ht="23.25" x14ac:dyDescent="0.35">
      <c r="A2593" s="37"/>
      <c r="B2593" s="37"/>
      <c r="C2593" s="41"/>
      <c r="D2593" s="38"/>
      <c r="E2593" s="57"/>
      <c r="F2593" s="42"/>
      <c r="G2593" s="43"/>
      <c r="H2593" s="37"/>
      <c r="I2593" s="37"/>
      <c r="J2593" s="38"/>
      <c r="K2593" s="37"/>
      <c r="L2593" s="38"/>
      <c r="M2593" s="39"/>
      <c r="P2593" s="37"/>
      <c r="Q2593" s="37"/>
      <c r="R2593" s="37"/>
      <c r="S2593" s="37"/>
      <c r="T2593" s="37"/>
      <c r="U2593" s="37"/>
      <c r="V2593" s="37"/>
      <c r="W2593" s="37"/>
      <c r="X2593" s="37"/>
      <c r="Y2593" s="37"/>
      <c r="Z2593" s="37"/>
      <c r="AA2593" s="37"/>
      <c r="AB2593" s="37"/>
      <c r="AC2593" s="37"/>
      <c r="AD2593" s="37"/>
      <c r="AE2593" s="37"/>
      <c r="AF2593" s="37"/>
      <c r="AG2593" s="37"/>
      <c r="AH2593" s="37"/>
      <c r="AI2593" s="37"/>
      <c r="AJ2593" s="37"/>
      <c r="AK2593" s="37"/>
      <c r="AL2593" s="37"/>
      <c r="AM2593" s="37"/>
      <c r="AN2593" s="37"/>
      <c r="AO2593" s="37"/>
      <c r="AP2593" s="37"/>
      <c r="AQ2593" s="37"/>
      <c r="AR2593" s="37"/>
      <c r="AS2593" s="37"/>
      <c r="AT2593" s="37"/>
      <c r="AU2593" s="37"/>
      <c r="AV2593" s="37"/>
      <c r="AW2593" s="37"/>
      <c r="AX2593" s="37"/>
      <c r="AY2593" s="37"/>
      <c r="AZ2593" s="37"/>
      <c r="BA2593" s="37"/>
      <c r="BB2593" s="37"/>
      <c r="BC2593" s="37"/>
      <c r="BD2593" s="37"/>
      <c r="BE2593" s="37"/>
      <c r="BF2593" s="37"/>
      <c r="BG2593" s="37"/>
      <c r="BH2593" s="37"/>
      <c r="BI2593" s="37"/>
      <c r="BJ2593" s="37"/>
      <c r="BK2593" s="37"/>
      <c r="BL2593" s="37"/>
      <c r="BM2593" s="37"/>
    </row>
    <row r="2594" spans="1:65" s="40" customFormat="1" ht="23.25" x14ac:dyDescent="0.35">
      <c r="A2594" s="37"/>
      <c r="B2594" s="37"/>
      <c r="C2594" s="41"/>
      <c r="D2594" s="38"/>
      <c r="E2594" s="57"/>
      <c r="F2594" s="42"/>
      <c r="G2594" s="43"/>
      <c r="H2594" s="37"/>
      <c r="I2594" s="37"/>
      <c r="J2594" s="38"/>
      <c r="K2594" s="37"/>
      <c r="L2594" s="38"/>
      <c r="M2594" s="39"/>
      <c r="P2594" s="37"/>
      <c r="Q2594" s="37"/>
      <c r="R2594" s="37"/>
      <c r="S2594" s="37"/>
      <c r="T2594" s="37"/>
      <c r="U2594" s="37"/>
      <c r="V2594" s="37"/>
      <c r="W2594" s="37"/>
      <c r="X2594" s="37"/>
      <c r="Y2594" s="37"/>
      <c r="Z2594" s="37"/>
      <c r="AA2594" s="37"/>
      <c r="AB2594" s="37"/>
      <c r="AC2594" s="37"/>
      <c r="AD2594" s="37"/>
      <c r="AE2594" s="37"/>
      <c r="AF2594" s="37"/>
      <c r="AG2594" s="37"/>
      <c r="AH2594" s="37"/>
      <c r="AI2594" s="37"/>
      <c r="AJ2594" s="37"/>
      <c r="AK2594" s="37"/>
      <c r="AL2594" s="37"/>
      <c r="AM2594" s="37"/>
      <c r="AN2594" s="37"/>
      <c r="AO2594" s="37"/>
      <c r="AP2594" s="37"/>
      <c r="AQ2594" s="37"/>
      <c r="AR2594" s="37"/>
      <c r="AS2594" s="37"/>
      <c r="AT2594" s="37"/>
      <c r="AU2594" s="37"/>
      <c r="AV2594" s="37"/>
      <c r="AW2594" s="37"/>
      <c r="AX2594" s="37"/>
      <c r="AY2594" s="37"/>
      <c r="AZ2594" s="37"/>
      <c r="BA2594" s="37"/>
      <c r="BB2594" s="37"/>
      <c r="BC2594" s="37"/>
      <c r="BD2594" s="37"/>
      <c r="BE2594" s="37"/>
      <c r="BF2594" s="37"/>
      <c r="BG2594" s="37"/>
      <c r="BH2594" s="37"/>
      <c r="BI2594" s="37"/>
      <c r="BJ2594" s="37"/>
      <c r="BK2594" s="37"/>
      <c r="BL2594" s="37"/>
      <c r="BM2594" s="37"/>
    </row>
    <row r="2595" spans="1:65" s="40" customFormat="1" ht="23.25" x14ac:dyDescent="0.35">
      <c r="A2595" s="37"/>
      <c r="B2595" s="37"/>
      <c r="C2595" s="41"/>
      <c r="D2595" s="38"/>
      <c r="E2595" s="57"/>
      <c r="F2595" s="42"/>
      <c r="G2595" s="43"/>
      <c r="H2595" s="37"/>
      <c r="I2595" s="37"/>
      <c r="J2595" s="38"/>
      <c r="K2595" s="37"/>
      <c r="L2595" s="38"/>
      <c r="M2595" s="39"/>
      <c r="P2595" s="37"/>
      <c r="Q2595" s="37"/>
      <c r="R2595" s="37"/>
      <c r="S2595" s="37"/>
      <c r="T2595" s="37"/>
      <c r="U2595" s="37"/>
      <c r="V2595" s="37"/>
      <c r="W2595" s="37"/>
      <c r="X2595" s="37"/>
      <c r="Y2595" s="37"/>
      <c r="Z2595" s="37"/>
      <c r="AA2595" s="37"/>
      <c r="AB2595" s="37"/>
      <c r="AC2595" s="37"/>
      <c r="AD2595" s="37"/>
      <c r="AE2595" s="37"/>
      <c r="AF2595" s="37"/>
      <c r="AG2595" s="37"/>
      <c r="AH2595" s="37"/>
      <c r="AI2595" s="37"/>
      <c r="AJ2595" s="37"/>
      <c r="AK2595" s="37"/>
      <c r="AL2595" s="37"/>
      <c r="AM2595" s="37"/>
      <c r="AN2595" s="37"/>
      <c r="AO2595" s="37"/>
      <c r="AP2595" s="37"/>
      <c r="AQ2595" s="37"/>
      <c r="AR2595" s="37"/>
      <c r="AS2595" s="37"/>
      <c r="AT2595" s="37"/>
      <c r="AU2595" s="37"/>
      <c r="AV2595" s="37"/>
      <c r="AW2595" s="37"/>
      <c r="AX2595" s="37"/>
      <c r="AY2595" s="37"/>
      <c r="AZ2595" s="37"/>
      <c r="BA2595" s="37"/>
      <c r="BB2595" s="37"/>
      <c r="BC2595" s="37"/>
      <c r="BD2595" s="37"/>
      <c r="BE2595" s="37"/>
      <c r="BF2595" s="37"/>
      <c r="BG2595" s="37"/>
      <c r="BH2595" s="37"/>
      <c r="BI2595" s="37"/>
      <c r="BJ2595" s="37"/>
      <c r="BK2595" s="37"/>
      <c r="BL2595" s="37"/>
      <c r="BM2595" s="37"/>
    </row>
    <row r="2596" spans="1:65" s="40" customFormat="1" ht="23.25" x14ac:dyDescent="0.35">
      <c r="A2596" s="37"/>
      <c r="B2596" s="37"/>
      <c r="C2596" s="41"/>
      <c r="D2596" s="38"/>
      <c r="E2596" s="57"/>
      <c r="F2596" s="42"/>
      <c r="G2596" s="43"/>
      <c r="H2596" s="37"/>
      <c r="I2596" s="37"/>
      <c r="J2596" s="38"/>
      <c r="K2596" s="37"/>
      <c r="L2596" s="38"/>
      <c r="M2596" s="39"/>
      <c r="P2596" s="37"/>
      <c r="Q2596" s="37"/>
      <c r="R2596" s="37"/>
      <c r="S2596" s="37"/>
      <c r="T2596" s="37"/>
      <c r="U2596" s="37"/>
      <c r="V2596" s="37"/>
      <c r="W2596" s="37"/>
      <c r="X2596" s="37"/>
      <c r="Y2596" s="37"/>
      <c r="Z2596" s="37"/>
      <c r="AA2596" s="37"/>
      <c r="AB2596" s="37"/>
      <c r="AC2596" s="37"/>
      <c r="AD2596" s="37"/>
      <c r="AE2596" s="37"/>
      <c r="AF2596" s="37"/>
      <c r="AG2596" s="37"/>
      <c r="AH2596" s="37"/>
      <c r="AI2596" s="37"/>
      <c r="AJ2596" s="37"/>
      <c r="AK2596" s="37"/>
      <c r="AL2596" s="37"/>
      <c r="AM2596" s="37"/>
      <c r="AN2596" s="37"/>
      <c r="AO2596" s="37"/>
      <c r="AP2596" s="37"/>
      <c r="AQ2596" s="37"/>
      <c r="AR2596" s="37"/>
      <c r="AS2596" s="37"/>
      <c r="AT2596" s="37"/>
      <c r="AU2596" s="37"/>
      <c r="AV2596" s="37"/>
      <c r="AW2596" s="37"/>
      <c r="AX2596" s="37"/>
      <c r="AY2596" s="37"/>
      <c r="AZ2596" s="37"/>
      <c r="BA2596" s="37"/>
      <c r="BB2596" s="37"/>
      <c r="BC2596" s="37"/>
      <c r="BD2596" s="37"/>
      <c r="BE2596" s="37"/>
      <c r="BF2596" s="37"/>
      <c r="BG2596" s="37"/>
      <c r="BH2596" s="37"/>
      <c r="BI2596" s="37"/>
      <c r="BJ2596" s="37"/>
      <c r="BK2596" s="37"/>
      <c r="BL2596" s="37"/>
      <c r="BM2596" s="37"/>
    </row>
    <row r="2597" spans="1:65" s="40" customFormat="1" ht="23.25" x14ac:dyDescent="0.35">
      <c r="A2597" s="37"/>
      <c r="B2597" s="37"/>
      <c r="C2597" s="41"/>
      <c r="D2597" s="38"/>
      <c r="E2597" s="57"/>
      <c r="F2597" s="42"/>
      <c r="G2597" s="43"/>
      <c r="H2597" s="37"/>
      <c r="I2597" s="37"/>
      <c r="J2597" s="38"/>
      <c r="K2597" s="37"/>
      <c r="L2597" s="38"/>
      <c r="M2597" s="39"/>
      <c r="P2597" s="37"/>
      <c r="Q2597" s="37"/>
      <c r="R2597" s="37"/>
      <c r="S2597" s="37"/>
      <c r="T2597" s="37"/>
      <c r="U2597" s="37"/>
      <c r="V2597" s="37"/>
      <c r="W2597" s="37"/>
      <c r="X2597" s="37"/>
      <c r="Y2597" s="37"/>
      <c r="Z2597" s="37"/>
      <c r="AA2597" s="37"/>
      <c r="AB2597" s="37"/>
      <c r="AC2597" s="37"/>
      <c r="AD2597" s="37"/>
      <c r="AE2597" s="37"/>
      <c r="AF2597" s="37"/>
      <c r="AG2597" s="37"/>
      <c r="AH2597" s="37"/>
      <c r="AI2597" s="37"/>
      <c r="AJ2597" s="37"/>
      <c r="AK2597" s="37"/>
      <c r="AL2597" s="37"/>
      <c r="AM2597" s="37"/>
      <c r="AN2597" s="37"/>
      <c r="AO2597" s="37"/>
      <c r="AP2597" s="37"/>
      <c r="AQ2597" s="37"/>
      <c r="AR2597" s="37"/>
      <c r="AS2597" s="37"/>
      <c r="AT2597" s="37"/>
      <c r="AU2597" s="37"/>
      <c r="AV2597" s="37"/>
      <c r="AW2597" s="37"/>
      <c r="AX2597" s="37"/>
      <c r="AY2597" s="37"/>
      <c r="AZ2597" s="37"/>
      <c r="BA2597" s="37"/>
      <c r="BB2597" s="37"/>
      <c r="BC2597" s="37"/>
      <c r="BD2597" s="37"/>
      <c r="BE2597" s="37"/>
      <c r="BF2597" s="37"/>
      <c r="BG2597" s="37"/>
      <c r="BH2597" s="37"/>
      <c r="BI2597" s="37"/>
      <c r="BJ2597" s="37"/>
      <c r="BK2597" s="37"/>
      <c r="BL2597" s="37"/>
      <c r="BM2597" s="37"/>
    </row>
    <row r="2598" spans="1:65" s="40" customFormat="1" ht="23.25" x14ac:dyDescent="0.35">
      <c r="A2598" s="37"/>
      <c r="B2598" s="37"/>
      <c r="C2598" s="41"/>
      <c r="D2598" s="38"/>
      <c r="E2598" s="57"/>
      <c r="F2598" s="42"/>
      <c r="G2598" s="43"/>
      <c r="H2598" s="37"/>
      <c r="I2598" s="37"/>
      <c r="J2598" s="38"/>
      <c r="K2598" s="37"/>
      <c r="L2598" s="38"/>
      <c r="M2598" s="39"/>
      <c r="P2598" s="37"/>
      <c r="Q2598" s="37"/>
      <c r="R2598" s="37"/>
      <c r="S2598" s="37"/>
      <c r="T2598" s="37"/>
      <c r="U2598" s="37"/>
      <c r="V2598" s="37"/>
      <c r="W2598" s="37"/>
      <c r="X2598" s="37"/>
      <c r="Y2598" s="37"/>
      <c r="Z2598" s="37"/>
      <c r="AA2598" s="37"/>
      <c r="AB2598" s="37"/>
      <c r="AC2598" s="37"/>
      <c r="AD2598" s="37"/>
      <c r="AE2598" s="37"/>
      <c r="AF2598" s="37"/>
      <c r="AG2598" s="37"/>
      <c r="AH2598" s="37"/>
      <c r="AI2598" s="37"/>
      <c r="AJ2598" s="37"/>
      <c r="AK2598" s="37"/>
      <c r="AL2598" s="37"/>
      <c r="AM2598" s="37"/>
      <c r="AN2598" s="37"/>
      <c r="AO2598" s="37"/>
      <c r="AP2598" s="37"/>
      <c r="AQ2598" s="37"/>
      <c r="AR2598" s="37"/>
      <c r="AS2598" s="37"/>
      <c r="AT2598" s="37"/>
      <c r="AU2598" s="37"/>
      <c r="AV2598" s="37"/>
      <c r="AW2598" s="37"/>
      <c r="AX2598" s="37"/>
      <c r="AY2598" s="37"/>
      <c r="AZ2598" s="37"/>
      <c r="BA2598" s="37"/>
      <c r="BB2598" s="37"/>
      <c r="BC2598" s="37"/>
      <c r="BD2598" s="37"/>
      <c r="BE2598" s="37"/>
      <c r="BF2598" s="37"/>
      <c r="BG2598" s="37"/>
      <c r="BH2598" s="37"/>
      <c r="BI2598" s="37"/>
      <c r="BJ2598" s="37"/>
      <c r="BK2598" s="37"/>
      <c r="BL2598" s="37"/>
      <c r="BM2598" s="37"/>
    </row>
    <row r="2599" spans="1:65" s="40" customFormat="1" ht="23.25" x14ac:dyDescent="0.35">
      <c r="A2599" s="37"/>
      <c r="B2599" s="37"/>
      <c r="C2599" s="41"/>
      <c r="D2599" s="38"/>
      <c r="E2599" s="57"/>
      <c r="F2599" s="42"/>
      <c r="G2599" s="43"/>
      <c r="H2599" s="37"/>
      <c r="I2599" s="37"/>
      <c r="J2599" s="38"/>
      <c r="K2599" s="37"/>
      <c r="L2599" s="38"/>
      <c r="M2599" s="39"/>
      <c r="P2599" s="37"/>
      <c r="Q2599" s="37"/>
      <c r="R2599" s="37"/>
      <c r="S2599" s="37"/>
      <c r="T2599" s="37"/>
      <c r="U2599" s="37"/>
      <c r="V2599" s="37"/>
      <c r="W2599" s="37"/>
      <c r="X2599" s="37"/>
      <c r="Y2599" s="37"/>
      <c r="Z2599" s="37"/>
      <c r="AA2599" s="37"/>
      <c r="AB2599" s="37"/>
      <c r="AC2599" s="37"/>
      <c r="AD2599" s="37"/>
      <c r="AE2599" s="37"/>
      <c r="AF2599" s="37"/>
      <c r="AG2599" s="37"/>
      <c r="AH2599" s="37"/>
      <c r="AI2599" s="37"/>
      <c r="AJ2599" s="37"/>
      <c r="AK2599" s="37"/>
      <c r="AL2599" s="37"/>
      <c r="AM2599" s="37"/>
      <c r="AN2599" s="37"/>
      <c r="AO2599" s="37"/>
      <c r="AP2599" s="37"/>
      <c r="AQ2599" s="37"/>
      <c r="AR2599" s="37"/>
      <c r="AS2599" s="37"/>
      <c r="AT2599" s="37"/>
      <c r="AU2599" s="37"/>
      <c r="AV2599" s="37"/>
      <c r="AW2599" s="37"/>
      <c r="AX2599" s="37"/>
      <c r="AY2599" s="37"/>
      <c r="AZ2599" s="37"/>
      <c r="BA2599" s="37"/>
      <c r="BB2599" s="37"/>
      <c r="BC2599" s="37"/>
      <c r="BD2599" s="37"/>
      <c r="BE2599" s="37"/>
      <c r="BF2599" s="37"/>
      <c r="BG2599" s="37"/>
      <c r="BH2599" s="37"/>
      <c r="BI2599" s="37"/>
      <c r="BJ2599" s="37"/>
      <c r="BK2599" s="37"/>
      <c r="BL2599" s="37"/>
      <c r="BM2599" s="37"/>
    </row>
    <row r="2600" spans="1:65" s="40" customFormat="1" ht="23.25" x14ac:dyDescent="0.35">
      <c r="A2600" s="37"/>
      <c r="B2600" s="37"/>
      <c r="C2600" s="41"/>
      <c r="D2600" s="38"/>
      <c r="E2600" s="57"/>
      <c r="F2600" s="42"/>
      <c r="G2600" s="43"/>
      <c r="H2600" s="37"/>
      <c r="I2600" s="37"/>
      <c r="J2600" s="38"/>
      <c r="K2600" s="37"/>
      <c r="L2600" s="38"/>
      <c r="M2600" s="39"/>
      <c r="P2600" s="37"/>
      <c r="Q2600" s="37"/>
      <c r="R2600" s="37"/>
      <c r="S2600" s="37"/>
      <c r="T2600" s="37"/>
      <c r="U2600" s="37"/>
      <c r="V2600" s="37"/>
      <c r="W2600" s="37"/>
      <c r="X2600" s="37"/>
      <c r="Y2600" s="37"/>
      <c r="Z2600" s="37"/>
      <c r="AA2600" s="37"/>
      <c r="AB2600" s="37"/>
      <c r="AC2600" s="37"/>
      <c r="AD2600" s="37"/>
      <c r="AE2600" s="37"/>
      <c r="AF2600" s="37"/>
      <c r="AG2600" s="37"/>
      <c r="AH2600" s="37"/>
      <c r="AI2600" s="37"/>
      <c r="AJ2600" s="37"/>
      <c r="AK2600" s="37"/>
      <c r="AL2600" s="37"/>
      <c r="AM2600" s="37"/>
      <c r="AN2600" s="37"/>
      <c r="AO2600" s="37"/>
      <c r="AP2600" s="37"/>
      <c r="AQ2600" s="37"/>
      <c r="AR2600" s="37"/>
      <c r="AS2600" s="37"/>
      <c r="AT2600" s="37"/>
      <c r="AU2600" s="37"/>
      <c r="AV2600" s="37"/>
      <c r="AW2600" s="37"/>
      <c r="AX2600" s="37"/>
      <c r="AY2600" s="37"/>
      <c r="AZ2600" s="37"/>
      <c r="BA2600" s="37"/>
      <c r="BB2600" s="37"/>
      <c r="BC2600" s="37"/>
      <c r="BD2600" s="37"/>
      <c r="BE2600" s="37"/>
      <c r="BF2600" s="37"/>
      <c r="BG2600" s="37"/>
      <c r="BH2600" s="37"/>
      <c r="BI2600" s="37"/>
      <c r="BJ2600" s="37"/>
      <c r="BK2600" s="37"/>
      <c r="BL2600" s="37"/>
      <c r="BM2600" s="37"/>
    </row>
    <row r="2601" spans="1:65" s="40" customFormat="1" ht="23.25" x14ac:dyDescent="0.35">
      <c r="A2601" s="37"/>
      <c r="B2601" s="37"/>
      <c r="C2601" s="41"/>
      <c r="D2601" s="38"/>
      <c r="E2601" s="57"/>
      <c r="F2601" s="42"/>
      <c r="G2601" s="43"/>
      <c r="H2601" s="37"/>
      <c r="I2601" s="37"/>
      <c r="J2601" s="38"/>
      <c r="K2601" s="37"/>
      <c r="L2601" s="38"/>
      <c r="M2601" s="39"/>
      <c r="P2601" s="37"/>
      <c r="Q2601" s="37"/>
      <c r="R2601" s="37"/>
      <c r="S2601" s="37"/>
      <c r="T2601" s="37"/>
      <c r="U2601" s="37"/>
      <c r="V2601" s="37"/>
      <c r="W2601" s="37"/>
      <c r="X2601" s="37"/>
      <c r="Y2601" s="37"/>
      <c r="Z2601" s="37"/>
      <c r="AA2601" s="37"/>
      <c r="AB2601" s="37"/>
      <c r="AC2601" s="37"/>
      <c r="AD2601" s="37"/>
      <c r="AE2601" s="37"/>
      <c r="AF2601" s="37"/>
      <c r="AG2601" s="37"/>
      <c r="AH2601" s="37"/>
      <c r="AI2601" s="37"/>
      <c r="AJ2601" s="37"/>
      <c r="AK2601" s="37"/>
      <c r="AL2601" s="37"/>
      <c r="AM2601" s="37"/>
      <c r="AN2601" s="37"/>
      <c r="AO2601" s="37"/>
      <c r="AP2601" s="37"/>
      <c r="AQ2601" s="37"/>
      <c r="AR2601" s="37"/>
      <c r="AS2601" s="37"/>
      <c r="AT2601" s="37"/>
      <c r="AU2601" s="37"/>
      <c r="AV2601" s="37"/>
      <c r="AW2601" s="37"/>
      <c r="AX2601" s="37"/>
      <c r="AY2601" s="37"/>
      <c r="AZ2601" s="37"/>
      <c r="BA2601" s="37"/>
      <c r="BB2601" s="37"/>
      <c r="BC2601" s="37"/>
      <c r="BD2601" s="37"/>
      <c r="BE2601" s="37"/>
      <c r="BF2601" s="37"/>
      <c r="BG2601" s="37"/>
      <c r="BH2601" s="37"/>
      <c r="BI2601" s="37"/>
      <c r="BJ2601" s="37"/>
      <c r="BK2601" s="37"/>
      <c r="BL2601" s="37"/>
      <c r="BM2601" s="37"/>
    </row>
    <row r="2602" spans="1:65" s="40" customFormat="1" ht="23.25" x14ac:dyDescent="0.35">
      <c r="A2602" s="37"/>
      <c r="B2602" s="37"/>
      <c r="C2602" s="41"/>
      <c r="D2602" s="38"/>
      <c r="E2602" s="57"/>
      <c r="F2602" s="42"/>
      <c r="G2602" s="43"/>
      <c r="H2602" s="37"/>
      <c r="I2602" s="37"/>
      <c r="J2602" s="38"/>
      <c r="K2602" s="37"/>
      <c r="L2602" s="38"/>
      <c r="M2602" s="39"/>
      <c r="P2602" s="37"/>
      <c r="Q2602" s="37"/>
      <c r="R2602" s="37"/>
      <c r="S2602" s="37"/>
      <c r="T2602" s="37"/>
      <c r="U2602" s="37"/>
      <c r="V2602" s="37"/>
      <c r="W2602" s="37"/>
      <c r="X2602" s="37"/>
      <c r="Y2602" s="37"/>
      <c r="Z2602" s="37"/>
      <c r="AA2602" s="37"/>
      <c r="AB2602" s="37"/>
      <c r="AC2602" s="37"/>
      <c r="AD2602" s="37"/>
      <c r="AE2602" s="37"/>
      <c r="AF2602" s="37"/>
      <c r="AG2602" s="37"/>
      <c r="AH2602" s="37"/>
      <c r="AI2602" s="37"/>
      <c r="AJ2602" s="37"/>
      <c r="AK2602" s="37"/>
      <c r="AL2602" s="37"/>
      <c r="AM2602" s="37"/>
      <c r="AN2602" s="37"/>
      <c r="AO2602" s="37"/>
      <c r="AP2602" s="37"/>
      <c r="AQ2602" s="37"/>
      <c r="AR2602" s="37"/>
      <c r="AS2602" s="37"/>
      <c r="AT2602" s="37"/>
      <c r="AU2602" s="37"/>
      <c r="AV2602" s="37"/>
      <c r="AW2602" s="37"/>
      <c r="AX2602" s="37"/>
      <c r="AY2602" s="37"/>
      <c r="AZ2602" s="37"/>
      <c r="BA2602" s="37"/>
      <c r="BB2602" s="37"/>
      <c r="BC2602" s="37"/>
      <c r="BD2602" s="37"/>
      <c r="BE2602" s="37"/>
      <c r="BF2602" s="37"/>
      <c r="BG2602" s="37"/>
      <c r="BH2602" s="37"/>
      <c r="BI2602" s="37"/>
      <c r="BJ2602" s="37"/>
      <c r="BK2602" s="37"/>
      <c r="BL2602" s="37"/>
      <c r="BM2602" s="37"/>
    </row>
    <row r="2603" spans="1:65" s="40" customFormat="1" ht="23.25" x14ac:dyDescent="0.35">
      <c r="A2603" s="37"/>
      <c r="B2603" s="37"/>
      <c r="C2603" s="41"/>
      <c r="D2603" s="38"/>
      <c r="E2603" s="57"/>
      <c r="F2603" s="42"/>
      <c r="G2603" s="43"/>
      <c r="H2603" s="37"/>
      <c r="I2603" s="37"/>
      <c r="J2603" s="38"/>
      <c r="K2603" s="37"/>
      <c r="L2603" s="38"/>
      <c r="M2603" s="39"/>
      <c r="P2603" s="37"/>
      <c r="Q2603" s="37"/>
      <c r="R2603" s="37"/>
      <c r="S2603" s="37"/>
      <c r="T2603" s="37"/>
      <c r="U2603" s="37"/>
      <c r="V2603" s="37"/>
      <c r="W2603" s="37"/>
      <c r="X2603" s="37"/>
      <c r="Y2603" s="37"/>
      <c r="Z2603" s="37"/>
      <c r="AA2603" s="37"/>
      <c r="AB2603" s="37"/>
      <c r="AC2603" s="37"/>
      <c r="AD2603" s="37"/>
      <c r="AE2603" s="37"/>
      <c r="AF2603" s="37"/>
      <c r="AG2603" s="37"/>
      <c r="AH2603" s="37"/>
      <c r="AI2603" s="37"/>
      <c r="AJ2603" s="37"/>
      <c r="AK2603" s="37"/>
      <c r="AL2603" s="37"/>
      <c r="AM2603" s="37"/>
      <c r="AN2603" s="37"/>
      <c r="AO2603" s="37"/>
      <c r="AP2603" s="37"/>
      <c r="AQ2603" s="37"/>
      <c r="AR2603" s="37"/>
      <c r="AS2603" s="37"/>
      <c r="AT2603" s="37"/>
      <c r="AU2603" s="37"/>
      <c r="AV2603" s="37"/>
      <c r="AW2603" s="37"/>
      <c r="AX2603" s="37"/>
      <c r="AY2603" s="37"/>
      <c r="AZ2603" s="37"/>
      <c r="BA2603" s="37"/>
      <c r="BB2603" s="37"/>
      <c r="BC2603" s="37"/>
      <c r="BD2603" s="37"/>
      <c r="BE2603" s="37"/>
      <c r="BF2603" s="37"/>
      <c r="BG2603" s="37"/>
      <c r="BH2603" s="37"/>
      <c r="BI2603" s="37"/>
      <c r="BJ2603" s="37"/>
      <c r="BK2603" s="37"/>
      <c r="BL2603" s="37"/>
      <c r="BM2603" s="37"/>
    </row>
    <row r="2604" spans="1:65" s="40" customFormat="1" ht="23.25" x14ac:dyDescent="0.35">
      <c r="A2604" s="37"/>
      <c r="B2604" s="37"/>
      <c r="C2604" s="41"/>
      <c r="D2604" s="38"/>
      <c r="E2604" s="57"/>
      <c r="F2604" s="42"/>
      <c r="G2604" s="43"/>
      <c r="H2604" s="37"/>
      <c r="I2604" s="37"/>
      <c r="J2604" s="38"/>
      <c r="K2604" s="37"/>
      <c r="L2604" s="38"/>
      <c r="M2604" s="39"/>
      <c r="P2604" s="37"/>
      <c r="Q2604" s="37"/>
      <c r="R2604" s="37"/>
      <c r="S2604" s="37"/>
      <c r="T2604" s="37"/>
      <c r="U2604" s="37"/>
      <c r="V2604" s="37"/>
      <c r="W2604" s="37"/>
      <c r="X2604" s="37"/>
      <c r="Y2604" s="37"/>
      <c r="Z2604" s="37"/>
      <c r="AA2604" s="37"/>
      <c r="AB2604" s="37"/>
      <c r="AC2604" s="37"/>
      <c r="AD2604" s="37"/>
      <c r="AE2604" s="37"/>
      <c r="AF2604" s="37"/>
      <c r="AG2604" s="37"/>
      <c r="AH2604" s="37"/>
      <c r="AI2604" s="37"/>
      <c r="AJ2604" s="37"/>
      <c r="AK2604" s="37"/>
      <c r="AL2604" s="37"/>
      <c r="AM2604" s="37"/>
      <c r="AN2604" s="37"/>
      <c r="AO2604" s="37"/>
      <c r="AP2604" s="37"/>
      <c r="AQ2604" s="37"/>
      <c r="AR2604" s="37"/>
      <c r="AS2604" s="37"/>
      <c r="AT2604" s="37"/>
      <c r="AU2604" s="37"/>
      <c r="AV2604" s="37"/>
      <c r="AW2604" s="37"/>
      <c r="AX2604" s="37"/>
      <c r="AY2604" s="37"/>
      <c r="AZ2604" s="37"/>
      <c r="BA2604" s="37"/>
      <c r="BB2604" s="37"/>
      <c r="BC2604" s="37"/>
      <c r="BD2604" s="37"/>
      <c r="BE2604" s="37"/>
      <c r="BF2604" s="37"/>
      <c r="BG2604" s="37"/>
      <c r="BH2604" s="37"/>
      <c r="BI2604" s="37"/>
      <c r="BJ2604" s="37"/>
      <c r="BK2604" s="37"/>
      <c r="BL2604" s="37"/>
      <c r="BM2604" s="37"/>
    </row>
    <row r="2605" spans="1:65" s="40" customFormat="1" ht="23.25" x14ac:dyDescent="0.35">
      <c r="A2605" s="37"/>
      <c r="B2605" s="37"/>
      <c r="C2605" s="41"/>
      <c r="D2605" s="38"/>
      <c r="E2605" s="57"/>
      <c r="F2605" s="42"/>
      <c r="G2605" s="43"/>
      <c r="H2605" s="37"/>
      <c r="I2605" s="37"/>
      <c r="J2605" s="38"/>
      <c r="K2605" s="37"/>
      <c r="L2605" s="38"/>
      <c r="M2605" s="39"/>
      <c r="P2605" s="37"/>
      <c r="Q2605" s="37"/>
      <c r="R2605" s="37"/>
      <c r="S2605" s="37"/>
      <c r="T2605" s="37"/>
      <c r="U2605" s="37"/>
      <c r="V2605" s="37"/>
      <c r="W2605" s="37"/>
      <c r="X2605" s="37"/>
      <c r="Y2605" s="37"/>
      <c r="Z2605" s="37"/>
      <c r="AA2605" s="37"/>
      <c r="AB2605" s="37"/>
      <c r="AC2605" s="37"/>
      <c r="AD2605" s="37"/>
      <c r="AE2605" s="37"/>
      <c r="AF2605" s="37"/>
      <c r="AG2605" s="37"/>
      <c r="AH2605" s="37"/>
      <c r="AI2605" s="37"/>
      <c r="AJ2605" s="37"/>
      <c r="AK2605" s="37"/>
      <c r="AL2605" s="37"/>
      <c r="AM2605" s="37"/>
      <c r="AN2605" s="37"/>
      <c r="AO2605" s="37"/>
      <c r="AP2605" s="37"/>
      <c r="AQ2605" s="37"/>
      <c r="AR2605" s="37"/>
      <c r="AS2605" s="37"/>
      <c r="AT2605" s="37"/>
      <c r="AU2605" s="37"/>
      <c r="AV2605" s="37"/>
      <c r="AW2605" s="37"/>
      <c r="AX2605" s="37"/>
      <c r="AY2605" s="37"/>
      <c r="AZ2605" s="37"/>
      <c r="BA2605" s="37"/>
      <c r="BB2605" s="37"/>
      <c r="BC2605" s="37"/>
      <c r="BD2605" s="37"/>
      <c r="BE2605" s="37"/>
      <c r="BF2605" s="37"/>
      <c r="BG2605" s="37"/>
      <c r="BH2605" s="37"/>
      <c r="BI2605" s="37"/>
      <c r="BJ2605" s="37"/>
      <c r="BK2605" s="37"/>
      <c r="BL2605" s="37"/>
      <c r="BM2605" s="37"/>
    </row>
    <row r="2606" spans="1:65" s="40" customFormat="1" ht="23.25" x14ac:dyDescent="0.35">
      <c r="A2606" s="37"/>
      <c r="B2606" s="37"/>
      <c r="C2606" s="41"/>
      <c r="D2606" s="38"/>
      <c r="E2606" s="57"/>
      <c r="F2606" s="42"/>
      <c r="G2606" s="43"/>
      <c r="H2606" s="37"/>
      <c r="I2606" s="37"/>
      <c r="J2606" s="38"/>
      <c r="K2606" s="37"/>
      <c r="L2606" s="38"/>
      <c r="M2606" s="39"/>
      <c r="P2606" s="37"/>
      <c r="Q2606" s="37"/>
      <c r="R2606" s="37"/>
      <c r="S2606" s="37"/>
      <c r="T2606" s="37"/>
      <c r="U2606" s="37"/>
      <c r="V2606" s="37"/>
      <c r="W2606" s="37"/>
      <c r="X2606" s="37"/>
      <c r="Y2606" s="37"/>
      <c r="Z2606" s="37"/>
      <c r="AA2606" s="37"/>
      <c r="AB2606" s="37"/>
      <c r="AC2606" s="37"/>
      <c r="AD2606" s="37"/>
      <c r="AE2606" s="37"/>
      <c r="AF2606" s="37"/>
      <c r="AG2606" s="37"/>
      <c r="AH2606" s="37"/>
      <c r="AI2606" s="37"/>
      <c r="AJ2606" s="37"/>
      <c r="AK2606" s="37"/>
      <c r="AL2606" s="37"/>
      <c r="AM2606" s="37"/>
      <c r="AN2606" s="37"/>
      <c r="AO2606" s="37"/>
      <c r="AP2606" s="37"/>
      <c r="AQ2606" s="37"/>
      <c r="AR2606" s="37"/>
      <c r="AS2606" s="37"/>
      <c r="AT2606" s="37"/>
      <c r="AU2606" s="37"/>
      <c r="AV2606" s="37"/>
      <c r="AW2606" s="37"/>
      <c r="AX2606" s="37"/>
      <c r="AY2606" s="37"/>
      <c r="AZ2606" s="37"/>
      <c r="BA2606" s="37"/>
      <c r="BB2606" s="37"/>
      <c r="BC2606" s="37"/>
      <c r="BD2606" s="37"/>
      <c r="BE2606" s="37"/>
      <c r="BF2606" s="37"/>
      <c r="BG2606" s="37"/>
      <c r="BH2606" s="37"/>
      <c r="BI2606" s="37"/>
      <c r="BJ2606" s="37"/>
      <c r="BK2606" s="37"/>
      <c r="BL2606" s="37"/>
      <c r="BM2606" s="37"/>
    </row>
    <row r="2607" spans="1:65" s="40" customFormat="1" ht="23.25" x14ac:dyDescent="0.35">
      <c r="A2607" s="37"/>
      <c r="B2607" s="37"/>
      <c r="C2607" s="41"/>
      <c r="D2607" s="38"/>
      <c r="E2607" s="57"/>
      <c r="F2607" s="42"/>
      <c r="G2607" s="43"/>
      <c r="H2607" s="37"/>
      <c r="I2607" s="37"/>
      <c r="J2607" s="38"/>
      <c r="K2607" s="37"/>
      <c r="L2607" s="38"/>
      <c r="M2607" s="39"/>
      <c r="P2607" s="37"/>
      <c r="Q2607" s="37"/>
      <c r="R2607" s="37"/>
      <c r="S2607" s="37"/>
      <c r="T2607" s="37"/>
      <c r="U2607" s="37"/>
      <c r="V2607" s="37"/>
      <c r="W2607" s="37"/>
      <c r="X2607" s="37"/>
      <c r="Y2607" s="37"/>
      <c r="Z2607" s="37"/>
      <c r="AA2607" s="37"/>
      <c r="AB2607" s="37"/>
      <c r="AC2607" s="37"/>
      <c r="AD2607" s="37"/>
      <c r="AE2607" s="37"/>
      <c r="AF2607" s="37"/>
      <c r="AG2607" s="37"/>
      <c r="AH2607" s="37"/>
      <c r="AI2607" s="37"/>
      <c r="AJ2607" s="37"/>
      <c r="AK2607" s="37"/>
      <c r="AL2607" s="37"/>
      <c r="AM2607" s="37"/>
      <c r="AN2607" s="37"/>
      <c r="AO2607" s="37"/>
      <c r="AP2607" s="37"/>
      <c r="AQ2607" s="37"/>
      <c r="AR2607" s="37"/>
      <c r="AS2607" s="37"/>
      <c r="AT2607" s="37"/>
      <c r="AU2607" s="37"/>
      <c r="AV2607" s="37"/>
      <c r="AW2607" s="37"/>
      <c r="AX2607" s="37"/>
      <c r="AY2607" s="37"/>
      <c r="AZ2607" s="37"/>
      <c r="BA2607" s="37"/>
      <c r="BB2607" s="37"/>
      <c r="BC2607" s="37"/>
      <c r="BD2607" s="37"/>
      <c r="BE2607" s="37"/>
      <c r="BF2607" s="37"/>
      <c r="BG2607" s="37"/>
      <c r="BH2607" s="37"/>
      <c r="BI2607" s="37"/>
      <c r="BJ2607" s="37"/>
      <c r="BK2607" s="37"/>
      <c r="BL2607" s="37"/>
      <c r="BM2607" s="37"/>
    </row>
    <row r="2608" spans="1:65" s="40" customFormat="1" ht="23.25" x14ac:dyDescent="0.35">
      <c r="A2608" s="37"/>
      <c r="B2608" s="37"/>
      <c r="C2608" s="41"/>
      <c r="D2608" s="38"/>
      <c r="E2608" s="57"/>
      <c r="F2608" s="42"/>
      <c r="G2608" s="43"/>
      <c r="H2608" s="37"/>
      <c r="I2608" s="37"/>
      <c r="J2608" s="38"/>
      <c r="K2608" s="37"/>
      <c r="L2608" s="38"/>
      <c r="M2608" s="39"/>
      <c r="P2608" s="37"/>
      <c r="Q2608" s="37"/>
      <c r="R2608" s="37"/>
      <c r="S2608" s="37"/>
      <c r="T2608" s="37"/>
      <c r="U2608" s="37"/>
      <c r="V2608" s="37"/>
      <c r="W2608" s="37"/>
      <c r="X2608" s="37"/>
      <c r="Y2608" s="37"/>
      <c r="Z2608" s="37"/>
      <c r="AA2608" s="37"/>
      <c r="AB2608" s="37"/>
      <c r="AC2608" s="37"/>
      <c r="AD2608" s="37"/>
      <c r="AE2608" s="37"/>
      <c r="AF2608" s="37"/>
      <c r="AG2608" s="37"/>
      <c r="AH2608" s="37"/>
      <c r="AI2608" s="37"/>
      <c r="AJ2608" s="37"/>
      <c r="AK2608" s="37"/>
      <c r="AL2608" s="37"/>
      <c r="AM2608" s="37"/>
      <c r="AN2608" s="37"/>
      <c r="AO2608" s="37"/>
      <c r="AP2608" s="37"/>
      <c r="AQ2608" s="37"/>
      <c r="AR2608" s="37"/>
      <c r="AS2608" s="37"/>
      <c r="AT2608" s="37"/>
      <c r="AU2608" s="37"/>
      <c r="AV2608" s="37"/>
      <c r="AW2608" s="37"/>
      <c r="AX2608" s="37"/>
      <c r="AY2608" s="37"/>
      <c r="AZ2608" s="37"/>
      <c r="BA2608" s="37"/>
      <c r="BB2608" s="37"/>
      <c r="BC2608" s="37"/>
      <c r="BD2608" s="37"/>
      <c r="BE2608" s="37"/>
      <c r="BF2608" s="37"/>
      <c r="BG2608" s="37"/>
      <c r="BH2608" s="37"/>
      <c r="BI2608" s="37"/>
      <c r="BJ2608" s="37"/>
      <c r="BK2608" s="37"/>
      <c r="BL2608" s="37"/>
      <c r="BM2608" s="37"/>
    </row>
    <row r="2609" spans="1:65" s="40" customFormat="1" ht="23.25" x14ac:dyDescent="0.35">
      <c r="A2609" s="37"/>
      <c r="B2609" s="37"/>
      <c r="C2609" s="41"/>
      <c r="D2609" s="38"/>
      <c r="E2609" s="57"/>
      <c r="F2609" s="42"/>
      <c r="G2609" s="43"/>
      <c r="H2609" s="37"/>
      <c r="I2609" s="37"/>
      <c r="J2609" s="38"/>
      <c r="K2609" s="37"/>
      <c r="L2609" s="38"/>
      <c r="M2609" s="39"/>
      <c r="P2609" s="37"/>
      <c r="Q2609" s="37"/>
      <c r="R2609" s="37"/>
      <c r="S2609" s="37"/>
      <c r="T2609" s="37"/>
      <c r="U2609" s="37"/>
      <c r="V2609" s="37"/>
      <c r="W2609" s="37"/>
      <c r="X2609" s="37"/>
      <c r="Y2609" s="37"/>
      <c r="Z2609" s="37"/>
      <c r="AA2609" s="37"/>
      <c r="AB2609" s="37"/>
      <c r="AC2609" s="37"/>
      <c r="AD2609" s="37"/>
      <c r="AE2609" s="37"/>
      <c r="AF2609" s="37"/>
      <c r="AG2609" s="37"/>
      <c r="AH2609" s="37"/>
      <c r="AI2609" s="37"/>
      <c r="AJ2609" s="37"/>
      <c r="AK2609" s="37"/>
      <c r="AL2609" s="37"/>
      <c r="AM2609" s="37"/>
      <c r="AN2609" s="37"/>
      <c r="AO2609" s="37"/>
      <c r="AP2609" s="37"/>
      <c r="AQ2609" s="37"/>
      <c r="AR2609" s="37"/>
      <c r="AS2609" s="37"/>
      <c r="AT2609" s="37"/>
      <c r="AU2609" s="37"/>
      <c r="AV2609" s="37"/>
      <c r="AW2609" s="37"/>
      <c r="AX2609" s="37"/>
      <c r="AY2609" s="37"/>
      <c r="AZ2609" s="37"/>
      <c r="BA2609" s="37"/>
      <c r="BB2609" s="37"/>
      <c r="BC2609" s="37"/>
      <c r="BD2609" s="37"/>
      <c r="BE2609" s="37"/>
      <c r="BF2609" s="37"/>
      <c r="BG2609" s="37"/>
      <c r="BH2609" s="37"/>
      <c r="BI2609" s="37"/>
      <c r="BJ2609" s="37"/>
      <c r="BK2609" s="37"/>
      <c r="BL2609" s="37"/>
      <c r="BM2609" s="37"/>
    </row>
    <row r="2610" spans="1:65" s="40" customFormat="1" ht="23.25" x14ac:dyDescent="0.35">
      <c r="A2610" s="37"/>
      <c r="B2610" s="37"/>
      <c r="C2610" s="41"/>
      <c r="D2610" s="38"/>
      <c r="E2610" s="57"/>
      <c r="F2610" s="42"/>
      <c r="G2610" s="43"/>
      <c r="H2610" s="37"/>
      <c r="I2610" s="37"/>
      <c r="J2610" s="38"/>
      <c r="K2610" s="37"/>
      <c r="L2610" s="38"/>
      <c r="M2610" s="39"/>
      <c r="P2610" s="37"/>
      <c r="Q2610" s="37"/>
      <c r="R2610" s="37"/>
      <c r="S2610" s="37"/>
      <c r="T2610" s="37"/>
      <c r="U2610" s="37"/>
      <c r="V2610" s="37"/>
      <c r="W2610" s="37"/>
      <c r="X2610" s="37"/>
      <c r="Y2610" s="37"/>
      <c r="Z2610" s="37"/>
      <c r="AA2610" s="37"/>
      <c r="AB2610" s="37"/>
      <c r="AC2610" s="37"/>
      <c r="AD2610" s="37"/>
      <c r="AE2610" s="37"/>
      <c r="AF2610" s="37"/>
      <c r="AG2610" s="37"/>
      <c r="AH2610" s="37"/>
      <c r="AI2610" s="37"/>
      <c r="AJ2610" s="37"/>
      <c r="AK2610" s="37"/>
      <c r="AL2610" s="37"/>
      <c r="AM2610" s="37"/>
      <c r="AN2610" s="37"/>
      <c r="AO2610" s="37"/>
      <c r="AP2610" s="37"/>
      <c r="AQ2610" s="37"/>
      <c r="AR2610" s="37"/>
      <c r="AS2610" s="37"/>
      <c r="AT2610" s="37"/>
      <c r="AU2610" s="37"/>
      <c r="AV2610" s="37"/>
      <c r="AW2610" s="37"/>
      <c r="AX2610" s="37"/>
      <c r="AY2610" s="37"/>
      <c r="AZ2610" s="37"/>
      <c r="BA2610" s="37"/>
      <c r="BB2610" s="37"/>
      <c r="BC2610" s="37"/>
      <c r="BD2610" s="37"/>
      <c r="BE2610" s="37"/>
      <c r="BF2610" s="37"/>
      <c r="BG2610" s="37"/>
      <c r="BH2610" s="37"/>
      <c r="BI2610" s="37"/>
      <c r="BJ2610" s="37"/>
      <c r="BK2610" s="37"/>
      <c r="BL2610" s="37"/>
      <c r="BM2610" s="37"/>
    </row>
    <row r="2611" spans="1:65" s="40" customFormat="1" ht="23.25" x14ac:dyDescent="0.35">
      <c r="A2611" s="37"/>
      <c r="B2611" s="37"/>
      <c r="C2611" s="41"/>
      <c r="D2611" s="38"/>
      <c r="E2611" s="57"/>
      <c r="F2611" s="42"/>
      <c r="G2611" s="43"/>
      <c r="H2611" s="37"/>
      <c r="I2611" s="37"/>
      <c r="J2611" s="38"/>
      <c r="K2611" s="37"/>
      <c r="L2611" s="38"/>
      <c r="M2611" s="39"/>
      <c r="P2611" s="37"/>
      <c r="Q2611" s="37"/>
      <c r="R2611" s="37"/>
      <c r="S2611" s="37"/>
      <c r="T2611" s="37"/>
      <c r="U2611" s="37"/>
      <c r="V2611" s="37"/>
      <c r="W2611" s="37"/>
      <c r="X2611" s="37"/>
      <c r="Y2611" s="37"/>
      <c r="Z2611" s="37"/>
      <c r="AA2611" s="37"/>
      <c r="AB2611" s="37"/>
      <c r="AC2611" s="37"/>
      <c r="AD2611" s="37"/>
      <c r="AE2611" s="37"/>
      <c r="AF2611" s="37"/>
      <c r="AG2611" s="37"/>
      <c r="AH2611" s="37"/>
      <c r="AI2611" s="37"/>
      <c r="AJ2611" s="37"/>
      <c r="AK2611" s="37"/>
      <c r="AL2611" s="37"/>
      <c r="AM2611" s="37"/>
      <c r="AN2611" s="37"/>
      <c r="AO2611" s="37"/>
      <c r="AP2611" s="37"/>
      <c r="AQ2611" s="37"/>
      <c r="AR2611" s="37"/>
      <c r="AS2611" s="37"/>
      <c r="AT2611" s="37"/>
      <c r="AU2611" s="37"/>
      <c r="AV2611" s="37"/>
      <c r="AW2611" s="37"/>
      <c r="AX2611" s="37"/>
      <c r="AY2611" s="37"/>
      <c r="AZ2611" s="37"/>
      <c r="BA2611" s="37"/>
      <c r="BB2611" s="37"/>
      <c r="BC2611" s="37"/>
      <c r="BD2611" s="37"/>
      <c r="BE2611" s="37"/>
      <c r="BF2611" s="37"/>
      <c r="BG2611" s="37"/>
      <c r="BH2611" s="37"/>
      <c r="BI2611" s="37"/>
      <c r="BJ2611" s="37"/>
      <c r="BK2611" s="37"/>
      <c r="BL2611" s="37"/>
      <c r="BM2611" s="37"/>
    </row>
    <row r="2612" spans="1:65" s="40" customFormat="1" ht="23.25" x14ac:dyDescent="0.35">
      <c r="A2612" s="37"/>
      <c r="B2612" s="37"/>
      <c r="C2612" s="41"/>
      <c r="D2612" s="38"/>
      <c r="E2612" s="57"/>
      <c r="F2612" s="42"/>
      <c r="G2612" s="43"/>
      <c r="H2612" s="37"/>
      <c r="I2612" s="37"/>
      <c r="J2612" s="38"/>
      <c r="K2612" s="37"/>
      <c r="L2612" s="38"/>
      <c r="M2612" s="39"/>
      <c r="P2612" s="37"/>
      <c r="Q2612" s="37"/>
      <c r="R2612" s="37"/>
      <c r="S2612" s="37"/>
      <c r="T2612" s="37"/>
      <c r="U2612" s="37"/>
      <c r="V2612" s="37"/>
      <c r="W2612" s="37"/>
      <c r="X2612" s="37"/>
      <c r="Y2612" s="37"/>
      <c r="Z2612" s="37"/>
      <c r="AA2612" s="37"/>
      <c r="AB2612" s="37"/>
      <c r="AC2612" s="37"/>
      <c r="AD2612" s="37"/>
      <c r="AE2612" s="37"/>
      <c r="AF2612" s="37"/>
      <c r="AG2612" s="37"/>
      <c r="AH2612" s="37"/>
      <c r="AI2612" s="37"/>
      <c r="AJ2612" s="37"/>
      <c r="AK2612" s="37"/>
      <c r="AL2612" s="37"/>
      <c r="AM2612" s="37"/>
      <c r="AN2612" s="37"/>
      <c r="AO2612" s="37"/>
      <c r="AP2612" s="37"/>
      <c r="AQ2612" s="37"/>
      <c r="AR2612" s="37"/>
      <c r="AS2612" s="37"/>
      <c r="AT2612" s="37"/>
      <c r="AU2612" s="37"/>
      <c r="AV2612" s="37"/>
      <c r="AW2612" s="37"/>
      <c r="AX2612" s="37"/>
      <c r="AY2612" s="37"/>
      <c r="AZ2612" s="37"/>
      <c r="BA2612" s="37"/>
      <c r="BB2612" s="37"/>
      <c r="BC2612" s="37"/>
      <c r="BD2612" s="37"/>
      <c r="BE2612" s="37"/>
      <c r="BF2612" s="37"/>
      <c r="BG2612" s="37"/>
      <c r="BH2612" s="37"/>
      <c r="BI2612" s="37"/>
      <c r="BJ2612" s="37"/>
      <c r="BK2612" s="37"/>
      <c r="BL2612" s="37"/>
      <c r="BM2612" s="37"/>
    </row>
    <row r="2613" spans="1:65" s="40" customFormat="1" ht="23.25" x14ac:dyDescent="0.35">
      <c r="A2613" s="37"/>
      <c r="B2613" s="37"/>
      <c r="C2613" s="41"/>
      <c r="D2613" s="38"/>
      <c r="E2613" s="57"/>
      <c r="F2613" s="42"/>
      <c r="G2613" s="43"/>
      <c r="H2613" s="37"/>
      <c r="I2613" s="37"/>
      <c r="J2613" s="38"/>
      <c r="K2613" s="37"/>
      <c r="L2613" s="38"/>
      <c r="M2613" s="39"/>
      <c r="P2613" s="37"/>
      <c r="Q2613" s="37"/>
      <c r="R2613" s="37"/>
      <c r="S2613" s="37"/>
      <c r="T2613" s="37"/>
      <c r="U2613" s="37"/>
      <c r="V2613" s="37"/>
      <c r="W2613" s="37"/>
      <c r="X2613" s="37"/>
      <c r="Y2613" s="37"/>
      <c r="Z2613" s="37"/>
      <c r="AA2613" s="37"/>
      <c r="AB2613" s="37"/>
      <c r="AC2613" s="37"/>
      <c r="AD2613" s="37"/>
      <c r="AE2613" s="37"/>
      <c r="AF2613" s="37"/>
      <c r="AG2613" s="37"/>
      <c r="AH2613" s="37"/>
      <c r="AI2613" s="37"/>
      <c r="AJ2613" s="37"/>
      <c r="AK2613" s="37"/>
      <c r="AL2613" s="37"/>
      <c r="AM2613" s="37"/>
      <c r="AN2613" s="37"/>
      <c r="AO2613" s="37"/>
      <c r="AP2613" s="37"/>
      <c r="AQ2613" s="37"/>
      <c r="AR2613" s="37"/>
      <c r="AS2613" s="37"/>
      <c r="AT2613" s="37"/>
      <c r="AU2613" s="37"/>
      <c r="AV2613" s="37"/>
      <c r="AW2613" s="37"/>
      <c r="AX2613" s="37"/>
      <c r="AY2613" s="37"/>
      <c r="AZ2613" s="37"/>
      <c r="BA2613" s="37"/>
      <c r="BB2613" s="37"/>
      <c r="BC2613" s="37"/>
      <c r="BD2613" s="37"/>
      <c r="BE2613" s="37"/>
      <c r="BF2613" s="37"/>
      <c r="BG2613" s="37"/>
      <c r="BH2613" s="37"/>
      <c r="BI2613" s="37"/>
      <c r="BJ2613" s="37"/>
      <c r="BK2613" s="37"/>
      <c r="BL2613" s="37"/>
      <c r="BM2613" s="37"/>
    </row>
    <row r="2614" spans="1:65" s="40" customFormat="1" ht="23.25" x14ac:dyDescent="0.35">
      <c r="A2614" s="37"/>
      <c r="B2614" s="37"/>
      <c r="C2614" s="41"/>
      <c r="D2614" s="38"/>
      <c r="E2614" s="57"/>
      <c r="F2614" s="42"/>
      <c r="G2614" s="43"/>
      <c r="H2614" s="37"/>
      <c r="I2614" s="37"/>
      <c r="J2614" s="38"/>
      <c r="K2614" s="37"/>
      <c r="L2614" s="38"/>
      <c r="M2614" s="39"/>
      <c r="P2614" s="37"/>
      <c r="Q2614" s="37"/>
      <c r="R2614" s="37"/>
      <c r="S2614" s="37"/>
      <c r="T2614" s="37"/>
      <c r="U2614" s="37"/>
      <c r="V2614" s="37"/>
      <c r="W2614" s="37"/>
      <c r="X2614" s="37"/>
      <c r="Y2614" s="37"/>
      <c r="Z2614" s="37"/>
      <c r="AA2614" s="37"/>
      <c r="AB2614" s="37"/>
      <c r="AC2614" s="37"/>
      <c r="AD2614" s="37"/>
      <c r="AE2614" s="37"/>
      <c r="AF2614" s="37"/>
      <c r="AG2614" s="37"/>
      <c r="AH2614" s="37"/>
      <c r="AI2614" s="37"/>
      <c r="AJ2614" s="37"/>
      <c r="AK2614" s="37"/>
      <c r="AL2614" s="37"/>
      <c r="AM2614" s="37"/>
      <c r="AN2614" s="37"/>
      <c r="AO2614" s="37"/>
      <c r="AP2614" s="37"/>
      <c r="AQ2614" s="37"/>
      <c r="AR2614" s="37"/>
      <c r="AS2614" s="37"/>
      <c r="AT2614" s="37"/>
      <c r="AU2614" s="37"/>
      <c r="AV2614" s="37"/>
      <c r="AW2614" s="37"/>
      <c r="AX2614" s="37"/>
      <c r="AY2614" s="37"/>
      <c r="AZ2614" s="37"/>
      <c r="BA2614" s="37"/>
      <c r="BB2614" s="37"/>
      <c r="BC2614" s="37"/>
      <c r="BD2614" s="37"/>
      <c r="BE2614" s="37"/>
      <c r="BF2614" s="37"/>
      <c r="BG2614" s="37"/>
      <c r="BH2614" s="37"/>
      <c r="BI2614" s="37"/>
      <c r="BJ2614" s="37"/>
      <c r="BK2614" s="37"/>
      <c r="BL2614" s="37"/>
      <c r="BM2614" s="37"/>
    </row>
    <row r="2615" spans="1:65" s="40" customFormat="1" ht="23.25" x14ac:dyDescent="0.35">
      <c r="A2615" s="37"/>
      <c r="B2615" s="37"/>
      <c r="C2615" s="41"/>
      <c r="D2615" s="38"/>
      <c r="E2615" s="57"/>
      <c r="F2615" s="42"/>
      <c r="G2615" s="43"/>
      <c r="H2615" s="37"/>
      <c r="I2615" s="37"/>
      <c r="J2615" s="38"/>
      <c r="K2615" s="37"/>
      <c r="L2615" s="38"/>
      <c r="M2615" s="39"/>
      <c r="P2615" s="37"/>
      <c r="Q2615" s="37"/>
      <c r="R2615" s="37"/>
      <c r="S2615" s="37"/>
      <c r="T2615" s="37"/>
      <c r="U2615" s="37"/>
      <c r="V2615" s="37"/>
      <c r="W2615" s="37"/>
      <c r="X2615" s="37"/>
      <c r="Y2615" s="37"/>
      <c r="Z2615" s="37"/>
      <c r="AA2615" s="37"/>
      <c r="AB2615" s="37"/>
      <c r="AC2615" s="37"/>
      <c r="AD2615" s="37"/>
      <c r="AE2615" s="37"/>
      <c r="AF2615" s="37"/>
      <c r="AG2615" s="37"/>
      <c r="AH2615" s="37"/>
      <c r="AI2615" s="37"/>
      <c r="AJ2615" s="37"/>
      <c r="AK2615" s="37"/>
      <c r="AL2615" s="37"/>
      <c r="AM2615" s="37"/>
      <c r="AN2615" s="37"/>
      <c r="AO2615" s="37"/>
      <c r="AP2615" s="37"/>
      <c r="AQ2615" s="37"/>
      <c r="AR2615" s="37"/>
      <c r="AS2615" s="37"/>
      <c r="AT2615" s="37"/>
      <c r="AU2615" s="37"/>
      <c r="AV2615" s="37"/>
      <c r="AW2615" s="37"/>
      <c r="AX2615" s="37"/>
      <c r="AY2615" s="37"/>
      <c r="AZ2615" s="37"/>
      <c r="BA2615" s="37"/>
      <c r="BB2615" s="37"/>
      <c r="BC2615" s="37"/>
      <c r="BD2615" s="37"/>
      <c r="BE2615" s="37"/>
      <c r="BF2615" s="37"/>
      <c r="BG2615" s="37"/>
      <c r="BH2615" s="37"/>
      <c r="BI2615" s="37"/>
      <c r="BJ2615" s="37"/>
      <c r="BK2615" s="37"/>
      <c r="BL2615" s="37"/>
      <c r="BM2615" s="37"/>
    </row>
    <row r="2616" spans="1:65" s="40" customFormat="1" ht="23.25" x14ac:dyDescent="0.35">
      <c r="A2616" s="37"/>
      <c r="B2616" s="37"/>
      <c r="C2616" s="41"/>
      <c r="D2616" s="38"/>
      <c r="E2616" s="57"/>
      <c r="F2616" s="42"/>
      <c r="G2616" s="43"/>
      <c r="H2616" s="37"/>
      <c r="I2616" s="37"/>
      <c r="J2616" s="38"/>
      <c r="K2616" s="37"/>
      <c r="L2616" s="38"/>
      <c r="M2616" s="39"/>
      <c r="P2616" s="37"/>
      <c r="Q2616" s="37"/>
      <c r="R2616" s="37"/>
      <c r="S2616" s="37"/>
      <c r="T2616" s="37"/>
      <c r="U2616" s="37"/>
      <c r="V2616" s="37"/>
      <c r="W2616" s="37"/>
      <c r="X2616" s="37"/>
      <c r="Y2616" s="37"/>
      <c r="Z2616" s="37"/>
      <c r="AA2616" s="37"/>
      <c r="AB2616" s="37"/>
      <c r="AC2616" s="37"/>
      <c r="AD2616" s="37"/>
      <c r="AE2616" s="37"/>
      <c r="AF2616" s="37"/>
      <c r="AG2616" s="37"/>
      <c r="AH2616" s="37"/>
      <c r="AI2616" s="37"/>
      <c r="AJ2616" s="37"/>
      <c r="AK2616" s="37"/>
      <c r="AL2616" s="37"/>
      <c r="AM2616" s="37"/>
      <c r="AN2616" s="37"/>
      <c r="AO2616" s="37"/>
      <c r="AP2616" s="37"/>
      <c r="AQ2616" s="37"/>
      <c r="AR2616" s="37"/>
      <c r="AS2616" s="37"/>
      <c r="AT2616" s="37"/>
      <c r="AU2616" s="37"/>
      <c r="AV2616" s="37"/>
      <c r="AW2616" s="37"/>
      <c r="AX2616" s="37"/>
      <c r="AY2616" s="37"/>
      <c r="AZ2616" s="37"/>
      <c r="BA2616" s="37"/>
      <c r="BB2616" s="37"/>
      <c r="BC2616" s="37"/>
      <c r="BD2616" s="37"/>
      <c r="BE2616" s="37"/>
      <c r="BF2616" s="37"/>
      <c r="BG2616" s="37"/>
      <c r="BH2616" s="37"/>
      <c r="BI2616" s="37"/>
      <c r="BJ2616" s="37"/>
      <c r="BK2616" s="37"/>
      <c r="BL2616" s="37"/>
      <c r="BM2616" s="37"/>
    </row>
    <row r="2617" spans="1:65" s="40" customFormat="1" ht="23.25" x14ac:dyDescent="0.35">
      <c r="A2617" s="37"/>
      <c r="B2617" s="37"/>
      <c r="C2617" s="41"/>
      <c r="D2617" s="38"/>
      <c r="E2617" s="57"/>
      <c r="F2617" s="42"/>
      <c r="G2617" s="43"/>
      <c r="H2617" s="37"/>
      <c r="I2617" s="37"/>
      <c r="J2617" s="38"/>
      <c r="K2617" s="37"/>
      <c r="L2617" s="38"/>
      <c r="M2617" s="39"/>
      <c r="P2617" s="37"/>
      <c r="Q2617" s="37"/>
      <c r="R2617" s="37"/>
      <c r="S2617" s="37"/>
      <c r="T2617" s="37"/>
      <c r="U2617" s="37"/>
      <c r="V2617" s="37"/>
      <c r="W2617" s="37"/>
      <c r="X2617" s="37"/>
      <c r="Y2617" s="37"/>
      <c r="Z2617" s="37"/>
      <c r="AA2617" s="37"/>
      <c r="AB2617" s="37"/>
      <c r="AC2617" s="37"/>
      <c r="AD2617" s="37"/>
      <c r="AE2617" s="37"/>
      <c r="AF2617" s="37"/>
      <c r="AG2617" s="37"/>
      <c r="AH2617" s="37"/>
      <c r="AI2617" s="37"/>
      <c r="AJ2617" s="37"/>
      <c r="AK2617" s="37"/>
      <c r="AL2617" s="37"/>
      <c r="AM2617" s="37"/>
      <c r="AN2617" s="37"/>
      <c r="AO2617" s="37"/>
      <c r="AP2617" s="37"/>
      <c r="AQ2617" s="37"/>
      <c r="AR2617" s="37"/>
      <c r="AS2617" s="37"/>
      <c r="AT2617" s="37"/>
      <c r="AU2617" s="37"/>
      <c r="AV2617" s="37"/>
      <c r="AW2617" s="37"/>
      <c r="AX2617" s="37"/>
      <c r="AY2617" s="37"/>
      <c r="AZ2617" s="37"/>
      <c r="BA2617" s="37"/>
      <c r="BB2617" s="37"/>
      <c r="BC2617" s="37"/>
      <c r="BD2617" s="37"/>
      <c r="BE2617" s="37"/>
      <c r="BF2617" s="37"/>
      <c r="BG2617" s="37"/>
      <c r="BH2617" s="37"/>
      <c r="BI2617" s="37"/>
      <c r="BJ2617" s="37"/>
      <c r="BK2617" s="37"/>
      <c r="BL2617" s="37"/>
      <c r="BM2617" s="37"/>
    </row>
    <row r="2618" spans="1:65" s="40" customFormat="1" ht="23.25" x14ac:dyDescent="0.35">
      <c r="A2618" s="37"/>
      <c r="B2618" s="37"/>
      <c r="C2618" s="41"/>
      <c r="D2618" s="38"/>
      <c r="E2618" s="57"/>
      <c r="F2618" s="42"/>
      <c r="G2618" s="43"/>
      <c r="H2618" s="37"/>
      <c r="I2618" s="37"/>
      <c r="J2618" s="38"/>
      <c r="K2618" s="37"/>
      <c r="L2618" s="38"/>
      <c r="M2618" s="39"/>
      <c r="P2618" s="37"/>
      <c r="Q2618" s="37"/>
      <c r="R2618" s="37"/>
      <c r="S2618" s="37"/>
      <c r="T2618" s="37"/>
      <c r="U2618" s="37"/>
      <c r="V2618" s="37"/>
      <c r="W2618" s="37"/>
      <c r="X2618" s="37"/>
      <c r="Y2618" s="37"/>
      <c r="Z2618" s="37"/>
      <c r="AA2618" s="37"/>
      <c r="AB2618" s="37"/>
      <c r="AC2618" s="37"/>
      <c r="AD2618" s="37"/>
      <c r="AE2618" s="37"/>
      <c r="AF2618" s="37"/>
      <c r="AG2618" s="37"/>
      <c r="AH2618" s="37"/>
      <c r="AI2618" s="37"/>
      <c r="AJ2618" s="37"/>
      <c r="AK2618" s="37"/>
      <c r="AL2618" s="37"/>
      <c r="AM2618" s="37"/>
      <c r="AN2618" s="37"/>
      <c r="AO2618" s="37"/>
      <c r="AP2618" s="37"/>
      <c r="AQ2618" s="37"/>
      <c r="AR2618" s="37"/>
      <c r="AS2618" s="37"/>
      <c r="AT2618" s="37"/>
      <c r="AU2618" s="37"/>
      <c r="AV2618" s="37"/>
      <c r="AW2618" s="37"/>
      <c r="AX2618" s="37"/>
      <c r="AY2618" s="37"/>
      <c r="AZ2618" s="37"/>
      <c r="BA2618" s="37"/>
      <c r="BB2618" s="37"/>
      <c r="BC2618" s="37"/>
      <c r="BD2618" s="37"/>
      <c r="BE2618" s="37"/>
      <c r="BF2618" s="37"/>
      <c r="BG2618" s="37"/>
      <c r="BH2618" s="37"/>
      <c r="BI2618" s="37"/>
      <c r="BJ2618" s="37"/>
      <c r="BK2618" s="37"/>
      <c r="BL2618" s="37"/>
      <c r="BM2618" s="37"/>
    </row>
    <row r="2619" spans="1:65" s="40" customFormat="1" ht="23.25" x14ac:dyDescent="0.35">
      <c r="A2619" s="37"/>
      <c r="B2619" s="37"/>
      <c r="C2619" s="41"/>
      <c r="D2619" s="38"/>
      <c r="E2619" s="57"/>
      <c r="F2619" s="42"/>
      <c r="G2619" s="43"/>
      <c r="H2619" s="37"/>
      <c r="I2619" s="37"/>
      <c r="J2619" s="38"/>
      <c r="K2619" s="37"/>
      <c r="L2619" s="38"/>
      <c r="M2619" s="39"/>
      <c r="P2619" s="37"/>
      <c r="Q2619" s="37"/>
      <c r="R2619" s="37"/>
      <c r="S2619" s="37"/>
      <c r="T2619" s="37"/>
      <c r="U2619" s="37"/>
      <c r="V2619" s="37"/>
      <c r="W2619" s="37"/>
      <c r="X2619" s="37"/>
      <c r="Y2619" s="37"/>
      <c r="Z2619" s="37"/>
      <c r="AA2619" s="37"/>
      <c r="AB2619" s="37"/>
      <c r="AC2619" s="37"/>
      <c r="AD2619" s="37"/>
      <c r="AE2619" s="37"/>
      <c r="AF2619" s="37"/>
      <c r="AG2619" s="37"/>
      <c r="AH2619" s="37"/>
      <c r="AI2619" s="37"/>
      <c r="AJ2619" s="37"/>
      <c r="AK2619" s="37"/>
      <c r="AL2619" s="37"/>
      <c r="AM2619" s="37"/>
      <c r="AN2619" s="37"/>
      <c r="AO2619" s="37"/>
      <c r="AP2619" s="37"/>
      <c r="AQ2619" s="37"/>
      <c r="AR2619" s="37"/>
      <c r="AS2619" s="37"/>
      <c r="AT2619" s="37"/>
      <c r="AU2619" s="37"/>
      <c r="AV2619" s="37"/>
      <c r="AW2619" s="37"/>
      <c r="AX2619" s="37"/>
      <c r="AY2619" s="37"/>
      <c r="AZ2619" s="37"/>
      <c r="BA2619" s="37"/>
      <c r="BB2619" s="37"/>
      <c r="BC2619" s="37"/>
      <c r="BD2619" s="37"/>
      <c r="BE2619" s="37"/>
      <c r="BF2619" s="37"/>
      <c r="BG2619" s="37"/>
      <c r="BH2619" s="37"/>
      <c r="BI2619" s="37"/>
      <c r="BJ2619" s="37"/>
      <c r="BK2619" s="37"/>
      <c r="BL2619" s="37"/>
      <c r="BM2619" s="37"/>
    </row>
    <row r="2620" spans="1:65" s="40" customFormat="1" ht="23.25" x14ac:dyDescent="0.35">
      <c r="A2620" s="37"/>
      <c r="B2620" s="37"/>
      <c r="C2620" s="41"/>
      <c r="D2620" s="38"/>
      <c r="E2620" s="57"/>
      <c r="F2620" s="42"/>
      <c r="G2620" s="43"/>
      <c r="H2620" s="37"/>
      <c r="I2620" s="37"/>
      <c r="J2620" s="38"/>
      <c r="K2620" s="37"/>
      <c r="L2620" s="38"/>
      <c r="M2620" s="39"/>
      <c r="P2620" s="37"/>
      <c r="Q2620" s="37"/>
      <c r="R2620" s="37"/>
      <c r="S2620" s="37"/>
      <c r="T2620" s="37"/>
      <c r="U2620" s="37"/>
      <c r="V2620" s="37"/>
      <c r="W2620" s="37"/>
      <c r="X2620" s="37"/>
      <c r="Y2620" s="37"/>
      <c r="Z2620" s="37"/>
      <c r="AA2620" s="37"/>
      <c r="AB2620" s="37"/>
      <c r="AC2620" s="37"/>
      <c r="AD2620" s="37"/>
      <c r="AE2620" s="37"/>
      <c r="AF2620" s="37"/>
      <c r="AG2620" s="37"/>
      <c r="AH2620" s="37"/>
      <c r="AI2620" s="37"/>
      <c r="AJ2620" s="37"/>
      <c r="AK2620" s="37"/>
      <c r="AL2620" s="37"/>
      <c r="AM2620" s="37"/>
      <c r="AN2620" s="37"/>
      <c r="AO2620" s="37"/>
      <c r="AP2620" s="37"/>
      <c r="AQ2620" s="37"/>
      <c r="AR2620" s="37"/>
      <c r="AS2620" s="37"/>
      <c r="AT2620" s="37"/>
      <c r="AU2620" s="37"/>
      <c r="AV2620" s="37"/>
      <c r="AW2620" s="37"/>
      <c r="AX2620" s="37"/>
      <c r="AY2620" s="37"/>
      <c r="AZ2620" s="37"/>
      <c r="BA2620" s="37"/>
      <c r="BB2620" s="37"/>
      <c r="BC2620" s="37"/>
      <c r="BD2620" s="37"/>
      <c r="BE2620" s="37"/>
      <c r="BF2620" s="37"/>
      <c r="BG2620" s="37"/>
      <c r="BH2620" s="37"/>
      <c r="BI2620" s="37"/>
      <c r="BJ2620" s="37"/>
      <c r="BK2620" s="37"/>
      <c r="BL2620" s="37"/>
      <c r="BM2620" s="37"/>
    </row>
    <row r="2621" spans="1:65" s="40" customFormat="1" ht="23.25" x14ac:dyDescent="0.35">
      <c r="A2621" s="37"/>
      <c r="B2621" s="37"/>
      <c r="C2621" s="41"/>
      <c r="D2621" s="38"/>
      <c r="E2621" s="57"/>
      <c r="F2621" s="42"/>
      <c r="G2621" s="43"/>
      <c r="H2621" s="37"/>
      <c r="I2621" s="37"/>
      <c r="J2621" s="38"/>
      <c r="K2621" s="37"/>
      <c r="L2621" s="38"/>
      <c r="M2621" s="39"/>
      <c r="P2621" s="37"/>
      <c r="Q2621" s="37"/>
      <c r="R2621" s="37"/>
      <c r="S2621" s="37"/>
      <c r="T2621" s="37"/>
      <c r="U2621" s="37"/>
      <c r="V2621" s="37"/>
      <c r="W2621" s="37"/>
      <c r="X2621" s="37"/>
      <c r="Y2621" s="37"/>
      <c r="Z2621" s="37"/>
      <c r="AA2621" s="37"/>
      <c r="AB2621" s="37"/>
      <c r="AC2621" s="37"/>
      <c r="AD2621" s="37"/>
      <c r="AE2621" s="37"/>
      <c r="AF2621" s="37"/>
      <c r="AG2621" s="37"/>
      <c r="AH2621" s="37"/>
      <c r="AI2621" s="37"/>
      <c r="AJ2621" s="37"/>
      <c r="AK2621" s="37"/>
      <c r="AL2621" s="37"/>
      <c r="AM2621" s="37"/>
      <c r="AN2621" s="37"/>
      <c r="AO2621" s="37"/>
      <c r="AP2621" s="37"/>
      <c r="AQ2621" s="37"/>
      <c r="AR2621" s="37"/>
      <c r="AS2621" s="37"/>
      <c r="AT2621" s="37"/>
      <c r="AU2621" s="37"/>
      <c r="AV2621" s="37"/>
      <c r="AW2621" s="37"/>
      <c r="AX2621" s="37"/>
      <c r="AY2621" s="37"/>
      <c r="AZ2621" s="37"/>
      <c r="BA2621" s="37"/>
      <c r="BB2621" s="37"/>
      <c r="BC2621" s="37"/>
      <c r="BD2621" s="37"/>
      <c r="BE2621" s="37"/>
      <c r="BF2621" s="37"/>
      <c r="BG2621" s="37"/>
      <c r="BH2621" s="37"/>
      <c r="BI2621" s="37"/>
      <c r="BJ2621" s="37"/>
      <c r="BK2621" s="37"/>
      <c r="BL2621" s="37"/>
      <c r="BM2621" s="37"/>
    </row>
    <row r="2622" spans="1:65" s="40" customFormat="1" ht="23.25" x14ac:dyDescent="0.35">
      <c r="A2622" s="37"/>
      <c r="B2622" s="37"/>
      <c r="C2622" s="41"/>
      <c r="D2622" s="38"/>
      <c r="E2622" s="57"/>
      <c r="F2622" s="42"/>
      <c r="G2622" s="43"/>
      <c r="H2622" s="37"/>
      <c r="I2622" s="37"/>
      <c r="J2622" s="38"/>
      <c r="K2622" s="37"/>
      <c r="L2622" s="38"/>
      <c r="M2622" s="39"/>
      <c r="P2622" s="37"/>
      <c r="Q2622" s="37"/>
      <c r="R2622" s="37"/>
      <c r="S2622" s="37"/>
      <c r="T2622" s="37"/>
      <c r="U2622" s="37"/>
      <c r="V2622" s="37"/>
      <c r="W2622" s="37"/>
      <c r="X2622" s="37"/>
      <c r="Y2622" s="37"/>
      <c r="Z2622" s="37"/>
      <c r="AA2622" s="37"/>
      <c r="AB2622" s="37"/>
      <c r="AC2622" s="37"/>
      <c r="AD2622" s="37"/>
      <c r="AE2622" s="37"/>
      <c r="AF2622" s="37"/>
      <c r="AG2622" s="37"/>
      <c r="AH2622" s="37"/>
      <c r="AI2622" s="37"/>
      <c r="AJ2622" s="37"/>
      <c r="AK2622" s="37"/>
      <c r="AL2622" s="37"/>
      <c r="AM2622" s="37"/>
      <c r="AN2622" s="37"/>
      <c r="AO2622" s="37"/>
      <c r="AP2622" s="37"/>
      <c r="AQ2622" s="37"/>
      <c r="AR2622" s="37"/>
      <c r="AS2622" s="37"/>
      <c r="AT2622" s="37"/>
      <c r="AU2622" s="37"/>
      <c r="AV2622" s="37"/>
      <c r="AW2622" s="37"/>
      <c r="AX2622" s="37"/>
      <c r="AY2622" s="37"/>
      <c r="AZ2622" s="37"/>
      <c r="BA2622" s="37"/>
      <c r="BB2622" s="37"/>
      <c r="BC2622" s="37"/>
      <c r="BD2622" s="37"/>
      <c r="BE2622" s="37"/>
      <c r="BF2622" s="37"/>
      <c r="BG2622" s="37"/>
      <c r="BH2622" s="37"/>
      <c r="BI2622" s="37"/>
      <c r="BJ2622" s="37"/>
      <c r="BK2622" s="37"/>
      <c r="BL2622" s="37"/>
      <c r="BM2622" s="37"/>
    </row>
    <row r="2623" spans="1:65" s="40" customFormat="1" ht="23.25" x14ac:dyDescent="0.35">
      <c r="A2623" s="37"/>
      <c r="B2623" s="37"/>
      <c r="C2623" s="41"/>
      <c r="D2623" s="38"/>
      <c r="E2623" s="57"/>
      <c r="F2623" s="42"/>
      <c r="G2623" s="43"/>
      <c r="H2623" s="37"/>
      <c r="I2623" s="37"/>
      <c r="J2623" s="38"/>
      <c r="K2623" s="37"/>
      <c r="L2623" s="38"/>
      <c r="M2623" s="39"/>
      <c r="P2623" s="37"/>
      <c r="Q2623" s="37"/>
      <c r="R2623" s="37"/>
      <c r="S2623" s="37"/>
      <c r="T2623" s="37"/>
      <c r="U2623" s="37"/>
      <c r="V2623" s="37"/>
      <c r="W2623" s="37"/>
      <c r="X2623" s="37"/>
      <c r="Y2623" s="37"/>
      <c r="Z2623" s="37"/>
      <c r="AA2623" s="37"/>
      <c r="AB2623" s="37"/>
      <c r="AC2623" s="37"/>
      <c r="AD2623" s="37"/>
      <c r="AE2623" s="37"/>
      <c r="AF2623" s="37"/>
      <c r="AG2623" s="37"/>
      <c r="AH2623" s="37"/>
      <c r="AI2623" s="37"/>
      <c r="AJ2623" s="37"/>
      <c r="AK2623" s="37"/>
      <c r="AL2623" s="37"/>
      <c r="AM2623" s="37"/>
      <c r="AN2623" s="37"/>
      <c r="AO2623" s="37"/>
      <c r="AP2623" s="37"/>
      <c r="AQ2623" s="37"/>
      <c r="AR2623" s="37"/>
      <c r="AS2623" s="37"/>
      <c r="AT2623" s="37"/>
      <c r="AU2623" s="37"/>
      <c r="AV2623" s="37"/>
      <c r="AW2623" s="37"/>
      <c r="AX2623" s="37"/>
      <c r="AY2623" s="37"/>
      <c r="AZ2623" s="37"/>
      <c r="BA2623" s="37"/>
      <c r="BB2623" s="37"/>
      <c r="BC2623" s="37"/>
      <c r="BD2623" s="37"/>
      <c r="BE2623" s="37"/>
      <c r="BF2623" s="37"/>
      <c r="BG2623" s="37"/>
      <c r="BH2623" s="37"/>
      <c r="BI2623" s="37"/>
      <c r="BJ2623" s="37"/>
      <c r="BK2623" s="37"/>
      <c r="BL2623" s="37"/>
      <c r="BM2623" s="37"/>
    </row>
    <row r="2624" spans="1:65" s="40" customFormat="1" ht="23.25" x14ac:dyDescent="0.35">
      <c r="A2624" s="37"/>
      <c r="B2624" s="37"/>
      <c r="C2624" s="41"/>
      <c r="D2624" s="38"/>
      <c r="E2624" s="57"/>
      <c r="F2624" s="42"/>
      <c r="G2624" s="43"/>
      <c r="H2624" s="37"/>
      <c r="I2624" s="37"/>
      <c r="J2624" s="38"/>
      <c r="K2624" s="37"/>
      <c r="L2624" s="38"/>
      <c r="M2624" s="39"/>
      <c r="P2624" s="37"/>
      <c r="Q2624" s="37"/>
      <c r="R2624" s="37"/>
      <c r="S2624" s="37"/>
      <c r="T2624" s="37"/>
      <c r="U2624" s="37"/>
      <c r="V2624" s="37"/>
      <c r="W2624" s="37"/>
      <c r="X2624" s="37"/>
      <c r="Y2624" s="37"/>
      <c r="Z2624" s="37"/>
      <c r="AA2624" s="37"/>
      <c r="AB2624" s="37"/>
      <c r="AC2624" s="37"/>
      <c r="AD2624" s="37"/>
      <c r="AE2624" s="37"/>
      <c r="AF2624" s="37"/>
      <c r="AG2624" s="37"/>
      <c r="AH2624" s="37"/>
      <c r="AI2624" s="37"/>
      <c r="AJ2624" s="37"/>
      <c r="AK2624" s="37"/>
      <c r="AL2624" s="37"/>
      <c r="AM2624" s="37"/>
      <c r="AN2624" s="37"/>
      <c r="AO2624" s="37"/>
      <c r="AP2624" s="37"/>
      <c r="AQ2624" s="37"/>
      <c r="AR2624" s="37"/>
      <c r="AS2624" s="37"/>
      <c r="AT2624" s="37"/>
      <c r="AU2624" s="37"/>
      <c r="AV2624" s="37"/>
      <c r="AW2624" s="37"/>
      <c r="AX2624" s="37"/>
      <c r="AY2624" s="37"/>
      <c r="AZ2624" s="37"/>
      <c r="BA2624" s="37"/>
      <c r="BB2624" s="37"/>
      <c r="BC2624" s="37"/>
      <c r="BD2624" s="37"/>
      <c r="BE2624" s="37"/>
      <c r="BF2624" s="37"/>
      <c r="BG2624" s="37"/>
      <c r="BH2624" s="37"/>
      <c r="BI2624" s="37"/>
      <c r="BJ2624" s="37"/>
      <c r="BK2624" s="37"/>
      <c r="BL2624" s="37"/>
      <c r="BM2624" s="37"/>
    </row>
    <row r="2625" spans="1:65" s="40" customFormat="1" ht="23.25" x14ac:dyDescent="0.35">
      <c r="A2625" s="37"/>
      <c r="B2625" s="37"/>
      <c r="C2625" s="41"/>
      <c r="D2625" s="38"/>
      <c r="E2625" s="57"/>
      <c r="F2625" s="42"/>
      <c r="G2625" s="43"/>
      <c r="H2625" s="37"/>
      <c r="I2625" s="37"/>
      <c r="J2625" s="38"/>
      <c r="K2625" s="37"/>
      <c r="L2625" s="38"/>
      <c r="M2625" s="39"/>
      <c r="P2625" s="37"/>
      <c r="Q2625" s="37"/>
      <c r="R2625" s="37"/>
      <c r="S2625" s="37"/>
      <c r="T2625" s="37"/>
      <c r="U2625" s="37"/>
      <c r="V2625" s="37"/>
      <c r="W2625" s="37"/>
      <c r="X2625" s="37"/>
      <c r="Y2625" s="37"/>
      <c r="Z2625" s="37"/>
      <c r="AA2625" s="37"/>
      <c r="AB2625" s="37"/>
      <c r="AC2625" s="37"/>
      <c r="AD2625" s="37"/>
      <c r="AE2625" s="37"/>
      <c r="AF2625" s="37"/>
      <c r="AG2625" s="37"/>
      <c r="AH2625" s="37"/>
      <c r="AI2625" s="37"/>
      <c r="AJ2625" s="37"/>
      <c r="AK2625" s="37"/>
      <c r="AL2625" s="37"/>
      <c r="AM2625" s="37"/>
      <c r="AN2625" s="37"/>
      <c r="AO2625" s="37"/>
      <c r="AP2625" s="37"/>
      <c r="AQ2625" s="37"/>
      <c r="AR2625" s="37"/>
      <c r="AS2625" s="37"/>
      <c r="AT2625" s="37"/>
      <c r="AU2625" s="37"/>
      <c r="AV2625" s="37"/>
      <c r="AW2625" s="37"/>
      <c r="AX2625" s="37"/>
      <c r="AY2625" s="37"/>
      <c r="AZ2625" s="37"/>
      <c r="BA2625" s="37"/>
      <c r="BB2625" s="37"/>
      <c r="BC2625" s="37"/>
      <c r="BD2625" s="37"/>
      <c r="BE2625" s="37"/>
      <c r="BF2625" s="37"/>
      <c r="BG2625" s="37"/>
      <c r="BH2625" s="37"/>
      <c r="BI2625" s="37"/>
      <c r="BJ2625" s="37"/>
      <c r="BK2625" s="37"/>
      <c r="BL2625" s="37"/>
      <c r="BM2625" s="37"/>
    </row>
    <row r="2626" spans="1:65" s="40" customFormat="1" ht="23.25" x14ac:dyDescent="0.35">
      <c r="A2626" s="37"/>
      <c r="B2626" s="37"/>
      <c r="C2626" s="41"/>
      <c r="D2626" s="38"/>
      <c r="E2626" s="57"/>
      <c r="F2626" s="42"/>
      <c r="G2626" s="43"/>
      <c r="H2626" s="37"/>
      <c r="I2626" s="37"/>
      <c r="J2626" s="38"/>
      <c r="K2626" s="37"/>
      <c r="L2626" s="38"/>
      <c r="M2626" s="39"/>
      <c r="P2626" s="37"/>
      <c r="Q2626" s="37"/>
      <c r="R2626" s="37"/>
      <c r="S2626" s="37"/>
      <c r="T2626" s="37"/>
      <c r="U2626" s="37"/>
      <c r="V2626" s="37"/>
      <c r="W2626" s="37"/>
      <c r="X2626" s="37"/>
      <c r="Y2626" s="37"/>
      <c r="Z2626" s="37"/>
      <c r="AA2626" s="37"/>
      <c r="AB2626" s="37"/>
      <c r="AC2626" s="37"/>
      <c r="AD2626" s="37"/>
      <c r="AE2626" s="37"/>
      <c r="AF2626" s="37"/>
      <c r="AG2626" s="37"/>
      <c r="AH2626" s="37"/>
      <c r="AI2626" s="37"/>
      <c r="AJ2626" s="37"/>
      <c r="AK2626" s="37"/>
      <c r="AL2626" s="37"/>
      <c r="AM2626" s="37"/>
      <c r="AN2626" s="37"/>
      <c r="AO2626" s="37"/>
      <c r="AP2626" s="37"/>
      <c r="AQ2626" s="37"/>
      <c r="AR2626" s="37"/>
      <c r="AS2626" s="37"/>
      <c r="AT2626" s="37"/>
      <c r="AU2626" s="37"/>
      <c r="AV2626" s="37"/>
      <c r="AW2626" s="37"/>
      <c r="AX2626" s="37"/>
      <c r="AY2626" s="37"/>
      <c r="AZ2626" s="37"/>
      <c r="BA2626" s="37"/>
      <c r="BB2626" s="37"/>
      <c r="BC2626" s="37"/>
      <c r="BD2626" s="37"/>
      <c r="BE2626" s="37"/>
      <c r="BF2626" s="37"/>
      <c r="BG2626" s="37"/>
      <c r="BH2626" s="37"/>
      <c r="BI2626" s="37"/>
      <c r="BJ2626" s="37"/>
      <c r="BK2626" s="37"/>
      <c r="BL2626" s="37"/>
      <c r="BM2626" s="37"/>
    </row>
    <row r="2627" spans="1:65" s="40" customFormat="1" ht="23.25" x14ac:dyDescent="0.35">
      <c r="A2627" s="37"/>
      <c r="B2627" s="37"/>
      <c r="C2627" s="41"/>
      <c r="D2627" s="38"/>
      <c r="E2627" s="57"/>
      <c r="F2627" s="42"/>
      <c r="G2627" s="43"/>
      <c r="H2627" s="37"/>
      <c r="I2627" s="37"/>
      <c r="J2627" s="38"/>
      <c r="K2627" s="37"/>
      <c r="L2627" s="38"/>
      <c r="M2627" s="39"/>
      <c r="P2627" s="37"/>
      <c r="Q2627" s="37"/>
      <c r="R2627" s="37"/>
      <c r="S2627" s="37"/>
      <c r="T2627" s="37"/>
      <c r="U2627" s="37"/>
      <c r="V2627" s="37"/>
      <c r="W2627" s="37"/>
      <c r="X2627" s="37"/>
      <c r="Y2627" s="37"/>
      <c r="Z2627" s="37"/>
      <c r="AA2627" s="37"/>
      <c r="AB2627" s="37"/>
      <c r="AC2627" s="37"/>
      <c r="AD2627" s="37"/>
      <c r="AE2627" s="37"/>
      <c r="AF2627" s="37"/>
      <c r="AG2627" s="37"/>
      <c r="AH2627" s="37"/>
      <c r="AI2627" s="37"/>
      <c r="AJ2627" s="37"/>
      <c r="AK2627" s="37"/>
      <c r="AL2627" s="37"/>
      <c r="AM2627" s="37"/>
      <c r="AN2627" s="37"/>
      <c r="AO2627" s="37"/>
      <c r="AP2627" s="37"/>
      <c r="AQ2627" s="37"/>
      <c r="AR2627" s="37"/>
      <c r="AS2627" s="37"/>
      <c r="AT2627" s="37"/>
      <c r="AU2627" s="37"/>
      <c r="AV2627" s="37"/>
      <c r="AW2627" s="37"/>
      <c r="AX2627" s="37"/>
      <c r="AY2627" s="37"/>
      <c r="AZ2627" s="37"/>
      <c r="BA2627" s="37"/>
      <c r="BB2627" s="37"/>
      <c r="BC2627" s="37"/>
      <c r="BD2627" s="37"/>
      <c r="BE2627" s="37"/>
      <c r="BF2627" s="37"/>
      <c r="BG2627" s="37"/>
      <c r="BH2627" s="37"/>
      <c r="BI2627" s="37"/>
      <c r="BJ2627" s="37"/>
      <c r="BK2627" s="37"/>
      <c r="BL2627" s="37"/>
      <c r="BM2627" s="37"/>
    </row>
    <row r="2628" spans="1:65" s="40" customFormat="1" ht="23.25" x14ac:dyDescent="0.35">
      <c r="A2628" s="37"/>
      <c r="B2628" s="37"/>
      <c r="C2628" s="41"/>
      <c r="D2628" s="38"/>
      <c r="E2628" s="57"/>
      <c r="F2628" s="42"/>
      <c r="G2628" s="43"/>
      <c r="H2628" s="37"/>
      <c r="I2628" s="37"/>
      <c r="J2628" s="38"/>
      <c r="K2628" s="37"/>
      <c r="L2628" s="38"/>
      <c r="M2628" s="39"/>
      <c r="P2628" s="37"/>
      <c r="Q2628" s="37"/>
      <c r="R2628" s="37"/>
      <c r="S2628" s="37"/>
      <c r="T2628" s="37"/>
      <c r="U2628" s="37"/>
      <c r="V2628" s="37"/>
      <c r="W2628" s="37"/>
      <c r="X2628" s="37"/>
      <c r="Y2628" s="37"/>
      <c r="Z2628" s="37"/>
      <c r="AA2628" s="37"/>
      <c r="AB2628" s="37"/>
      <c r="AC2628" s="37"/>
      <c r="AD2628" s="37"/>
      <c r="AE2628" s="37"/>
      <c r="AF2628" s="37"/>
      <c r="AG2628" s="37"/>
      <c r="AH2628" s="37"/>
      <c r="AI2628" s="37"/>
      <c r="AJ2628" s="37"/>
      <c r="AK2628" s="37"/>
      <c r="AL2628" s="37"/>
      <c r="AM2628" s="37"/>
      <c r="AN2628" s="37"/>
      <c r="AO2628" s="37"/>
      <c r="AP2628" s="37"/>
      <c r="AQ2628" s="37"/>
      <c r="AR2628" s="37"/>
      <c r="AS2628" s="37"/>
      <c r="AT2628" s="37"/>
      <c r="AU2628" s="37"/>
      <c r="AV2628" s="37"/>
      <c r="AW2628" s="37"/>
      <c r="AX2628" s="37"/>
      <c r="AY2628" s="37"/>
      <c r="AZ2628" s="37"/>
      <c r="BA2628" s="37"/>
      <c r="BB2628" s="37"/>
      <c r="BC2628" s="37"/>
      <c r="BD2628" s="37"/>
      <c r="BE2628" s="37"/>
      <c r="BF2628" s="37"/>
      <c r="BG2628" s="37"/>
      <c r="BH2628" s="37"/>
      <c r="BI2628" s="37"/>
      <c r="BJ2628" s="37"/>
      <c r="BK2628" s="37"/>
      <c r="BL2628" s="37"/>
      <c r="BM2628" s="37"/>
    </row>
    <row r="2629" spans="1:65" s="40" customFormat="1" ht="23.25" x14ac:dyDescent="0.35">
      <c r="A2629" s="37"/>
      <c r="B2629" s="37"/>
      <c r="C2629" s="41"/>
      <c r="D2629" s="38"/>
      <c r="E2629" s="57"/>
      <c r="F2629" s="42"/>
      <c r="G2629" s="43"/>
      <c r="H2629" s="37"/>
      <c r="I2629" s="37"/>
      <c r="J2629" s="38"/>
      <c r="K2629" s="37"/>
      <c r="L2629" s="38"/>
      <c r="M2629" s="39"/>
      <c r="P2629" s="37"/>
      <c r="Q2629" s="37"/>
      <c r="R2629" s="37"/>
      <c r="S2629" s="37"/>
      <c r="T2629" s="37"/>
      <c r="U2629" s="37"/>
      <c r="V2629" s="37"/>
      <c r="W2629" s="37"/>
      <c r="X2629" s="37"/>
      <c r="Y2629" s="37"/>
      <c r="Z2629" s="37"/>
      <c r="AA2629" s="37"/>
      <c r="AB2629" s="37"/>
      <c r="AC2629" s="37"/>
      <c r="AD2629" s="37"/>
      <c r="AE2629" s="37"/>
      <c r="AF2629" s="37"/>
      <c r="AG2629" s="37"/>
      <c r="AH2629" s="37"/>
      <c r="AI2629" s="37"/>
      <c r="AJ2629" s="37"/>
      <c r="AK2629" s="37"/>
      <c r="AL2629" s="37"/>
      <c r="AM2629" s="37"/>
      <c r="AN2629" s="37"/>
      <c r="AO2629" s="37"/>
      <c r="AP2629" s="37"/>
      <c r="AQ2629" s="37"/>
      <c r="AR2629" s="37"/>
      <c r="AS2629" s="37"/>
      <c r="AT2629" s="37"/>
      <c r="AU2629" s="37"/>
      <c r="AV2629" s="37"/>
      <c r="AW2629" s="37"/>
      <c r="AX2629" s="37"/>
      <c r="AY2629" s="37"/>
      <c r="AZ2629" s="37"/>
      <c r="BA2629" s="37"/>
      <c r="BB2629" s="37"/>
      <c r="BC2629" s="37"/>
      <c r="BD2629" s="37"/>
      <c r="BE2629" s="37"/>
      <c r="BF2629" s="37"/>
      <c r="BG2629" s="37"/>
      <c r="BH2629" s="37"/>
      <c r="BI2629" s="37"/>
      <c r="BJ2629" s="37"/>
      <c r="BK2629" s="37"/>
      <c r="BL2629" s="37"/>
      <c r="BM2629" s="37"/>
    </row>
    <row r="2630" spans="1:65" s="40" customFormat="1" ht="23.25" x14ac:dyDescent="0.35">
      <c r="A2630" s="37"/>
      <c r="B2630" s="37"/>
      <c r="C2630" s="41"/>
      <c r="D2630" s="38"/>
      <c r="E2630" s="57"/>
      <c r="F2630" s="42"/>
      <c r="G2630" s="43"/>
      <c r="H2630" s="37"/>
      <c r="I2630" s="37"/>
      <c r="J2630" s="38"/>
      <c r="K2630" s="37"/>
      <c r="L2630" s="38"/>
      <c r="M2630" s="39"/>
      <c r="P2630" s="37"/>
      <c r="Q2630" s="37"/>
      <c r="R2630" s="37"/>
      <c r="S2630" s="37"/>
      <c r="T2630" s="37"/>
      <c r="U2630" s="37"/>
      <c r="V2630" s="37"/>
      <c r="W2630" s="37"/>
      <c r="X2630" s="37"/>
      <c r="Y2630" s="37"/>
      <c r="Z2630" s="37"/>
      <c r="AA2630" s="37"/>
      <c r="AB2630" s="37"/>
      <c r="AC2630" s="37"/>
      <c r="AD2630" s="37"/>
      <c r="AE2630" s="37"/>
      <c r="AF2630" s="37"/>
      <c r="AG2630" s="37"/>
      <c r="AH2630" s="37"/>
      <c r="AI2630" s="37"/>
      <c r="AJ2630" s="37"/>
      <c r="AK2630" s="37"/>
      <c r="AL2630" s="37"/>
      <c r="AM2630" s="37"/>
      <c r="AN2630" s="37"/>
      <c r="AO2630" s="37"/>
      <c r="AP2630" s="37"/>
      <c r="AQ2630" s="37"/>
      <c r="AR2630" s="37"/>
      <c r="AS2630" s="37"/>
      <c r="AT2630" s="37"/>
      <c r="AU2630" s="37"/>
      <c r="AV2630" s="37"/>
      <c r="AW2630" s="37"/>
      <c r="AX2630" s="37"/>
      <c r="AY2630" s="37"/>
      <c r="AZ2630" s="37"/>
      <c r="BA2630" s="37"/>
      <c r="BB2630" s="37"/>
      <c r="BC2630" s="37"/>
      <c r="BD2630" s="37"/>
      <c r="BE2630" s="37"/>
      <c r="BF2630" s="37"/>
      <c r="BG2630" s="37"/>
      <c r="BH2630" s="37"/>
      <c r="BI2630" s="37"/>
      <c r="BJ2630" s="37"/>
      <c r="BK2630" s="37"/>
      <c r="BL2630" s="37"/>
      <c r="BM2630" s="37"/>
    </row>
    <row r="2631" spans="1:65" s="40" customFormat="1" ht="23.25" x14ac:dyDescent="0.35">
      <c r="A2631" s="37"/>
      <c r="B2631" s="37"/>
      <c r="C2631" s="41"/>
      <c r="D2631" s="38"/>
      <c r="E2631" s="57"/>
      <c r="F2631" s="42"/>
      <c r="G2631" s="43"/>
      <c r="H2631" s="37"/>
      <c r="I2631" s="37"/>
      <c r="J2631" s="38"/>
      <c r="K2631" s="37"/>
      <c r="L2631" s="38"/>
      <c r="M2631" s="39"/>
      <c r="P2631" s="37"/>
      <c r="Q2631" s="37"/>
      <c r="R2631" s="37"/>
      <c r="S2631" s="37"/>
      <c r="T2631" s="37"/>
      <c r="U2631" s="37"/>
      <c r="V2631" s="37"/>
      <c r="W2631" s="37"/>
      <c r="X2631" s="37"/>
      <c r="Y2631" s="37"/>
      <c r="Z2631" s="37"/>
      <c r="AA2631" s="37"/>
      <c r="AB2631" s="37"/>
      <c r="AC2631" s="37"/>
      <c r="AD2631" s="37"/>
      <c r="AE2631" s="37"/>
      <c r="AF2631" s="37"/>
      <c r="AG2631" s="37"/>
      <c r="AH2631" s="37"/>
      <c r="AI2631" s="37"/>
      <c r="AJ2631" s="37"/>
      <c r="AK2631" s="37"/>
      <c r="AL2631" s="37"/>
      <c r="AM2631" s="37"/>
      <c r="AN2631" s="37"/>
      <c r="AO2631" s="37"/>
      <c r="AP2631" s="37"/>
      <c r="AQ2631" s="37"/>
      <c r="AR2631" s="37"/>
      <c r="AS2631" s="37"/>
      <c r="AT2631" s="37"/>
      <c r="AU2631" s="37"/>
      <c r="AV2631" s="37"/>
      <c r="AW2631" s="37"/>
      <c r="AX2631" s="37"/>
      <c r="AY2631" s="37"/>
      <c r="AZ2631" s="37"/>
      <c r="BA2631" s="37"/>
      <c r="BB2631" s="37"/>
      <c r="BC2631" s="37"/>
      <c r="BD2631" s="37"/>
      <c r="BE2631" s="37"/>
      <c r="BF2631" s="37"/>
      <c r="BG2631" s="37"/>
      <c r="BH2631" s="37"/>
      <c r="BI2631" s="37"/>
      <c r="BJ2631" s="37"/>
      <c r="BK2631" s="37"/>
      <c r="BL2631" s="37"/>
      <c r="BM2631" s="37"/>
    </row>
    <row r="2632" spans="1:65" s="40" customFormat="1" ht="23.25" x14ac:dyDescent="0.35">
      <c r="A2632" s="37"/>
      <c r="B2632" s="37"/>
      <c r="C2632" s="41"/>
      <c r="D2632" s="38"/>
      <c r="E2632" s="57"/>
      <c r="F2632" s="42"/>
      <c r="G2632" s="43"/>
      <c r="H2632" s="37"/>
      <c r="I2632" s="37"/>
      <c r="J2632" s="38"/>
      <c r="K2632" s="37"/>
      <c r="L2632" s="38"/>
      <c r="M2632" s="39"/>
      <c r="P2632" s="37"/>
      <c r="Q2632" s="37"/>
      <c r="R2632" s="37"/>
      <c r="S2632" s="37"/>
      <c r="T2632" s="37"/>
      <c r="U2632" s="37"/>
      <c r="V2632" s="37"/>
      <c r="W2632" s="37"/>
      <c r="X2632" s="37"/>
      <c r="Y2632" s="37"/>
      <c r="Z2632" s="37"/>
      <c r="AA2632" s="37"/>
      <c r="AB2632" s="37"/>
      <c r="AC2632" s="37"/>
      <c r="AD2632" s="37"/>
      <c r="AE2632" s="37"/>
      <c r="AF2632" s="37"/>
      <c r="AG2632" s="37"/>
      <c r="AH2632" s="37"/>
      <c r="AI2632" s="37"/>
      <c r="AJ2632" s="37"/>
      <c r="AK2632" s="37"/>
      <c r="AL2632" s="37"/>
      <c r="AM2632" s="37"/>
      <c r="AN2632" s="37"/>
      <c r="AO2632" s="37"/>
      <c r="AP2632" s="37"/>
      <c r="AQ2632" s="37"/>
      <c r="AR2632" s="37"/>
      <c r="AS2632" s="37"/>
      <c r="AT2632" s="37"/>
      <c r="AU2632" s="37"/>
      <c r="AV2632" s="37"/>
      <c r="AW2632" s="37"/>
      <c r="AX2632" s="37"/>
      <c r="AY2632" s="37"/>
      <c r="AZ2632" s="37"/>
      <c r="BA2632" s="37"/>
      <c r="BB2632" s="37"/>
      <c r="BC2632" s="37"/>
      <c r="BD2632" s="37"/>
      <c r="BE2632" s="37"/>
      <c r="BF2632" s="37"/>
      <c r="BG2632" s="37"/>
      <c r="BH2632" s="37"/>
      <c r="BI2632" s="37"/>
      <c r="BJ2632" s="37"/>
      <c r="BK2632" s="37"/>
      <c r="BL2632" s="37"/>
      <c r="BM2632" s="37"/>
    </row>
    <row r="2633" spans="1:65" s="40" customFormat="1" ht="23.25" x14ac:dyDescent="0.35">
      <c r="A2633" s="37"/>
      <c r="B2633" s="37"/>
      <c r="C2633" s="41"/>
      <c r="D2633" s="38"/>
      <c r="E2633" s="57"/>
      <c r="F2633" s="42"/>
      <c r="G2633" s="43"/>
      <c r="H2633" s="37"/>
      <c r="I2633" s="37"/>
      <c r="J2633" s="38"/>
      <c r="K2633" s="37"/>
      <c r="L2633" s="38"/>
      <c r="M2633" s="39"/>
      <c r="P2633" s="37"/>
      <c r="Q2633" s="37"/>
      <c r="R2633" s="37"/>
      <c r="S2633" s="37"/>
      <c r="T2633" s="37"/>
      <c r="U2633" s="37"/>
      <c r="V2633" s="37"/>
      <c r="W2633" s="37"/>
      <c r="X2633" s="37"/>
      <c r="Y2633" s="37"/>
      <c r="Z2633" s="37"/>
      <c r="AA2633" s="37"/>
      <c r="AB2633" s="37"/>
      <c r="AC2633" s="37"/>
      <c r="AD2633" s="37"/>
      <c r="AE2633" s="37"/>
      <c r="AF2633" s="37"/>
      <c r="AG2633" s="37"/>
      <c r="AH2633" s="37"/>
      <c r="AI2633" s="37"/>
      <c r="AJ2633" s="37"/>
      <c r="AK2633" s="37"/>
      <c r="AL2633" s="37"/>
      <c r="AM2633" s="37"/>
      <c r="AN2633" s="37"/>
      <c r="AO2633" s="37"/>
      <c r="AP2633" s="37"/>
      <c r="AQ2633" s="37"/>
      <c r="AR2633" s="37"/>
      <c r="AS2633" s="37"/>
      <c r="AT2633" s="37"/>
      <c r="AU2633" s="37"/>
      <c r="AV2633" s="37"/>
      <c r="AW2633" s="37"/>
      <c r="AX2633" s="37"/>
      <c r="AY2633" s="37"/>
      <c r="AZ2633" s="37"/>
      <c r="BA2633" s="37"/>
      <c r="BB2633" s="37"/>
      <c r="BC2633" s="37"/>
      <c r="BD2633" s="37"/>
      <c r="BE2633" s="37"/>
      <c r="BF2633" s="37"/>
      <c r="BG2633" s="37"/>
      <c r="BH2633" s="37"/>
      <c r="BI2633" s="37"/>
      <c r="BJ2633" s="37"/>
      <c r="BK2633" s="37"/>
      <c r="BL2633" s="37"/>
      <c r="BM2633" s="37"/>
    </row>
    <row r="2634" spans="1:65" s="40" customFormat="1" ht="23.25" x14ac:dyDescent="0.35">
      <c r="A2634" s="37"/>
      <c r="B2634" s="37"/>
      <c r="C2634" s="41"/>
      <c r="D2634" s="38"/>
      <c r="E2634" s="57"/>
      <c r="F2634" s="42"/>
      <c r="G2634" s="43"/>
      <c r="H2634" s="37"/>
      <c r="I2634" s="37"/>
      <c r="J2634" s="38"/>
      <c r="K2634" s="37"/>
      <c r="L2634" s="38"/>
      <c r="M2634" s="39"/>
      <c r="P2634" s="37"/>
      <c r="Q2634" s="37"/>
      <c r="R2634" s="37"/>
      <c r="S2634" s="37"/>
      <c r="T2634" s="37"/>
      <c r="U2634" s="37"/>
      <c r="V2634" s="37"/>
      <c r="W2634" s="37"/>
      <c r="X2634" s="37"/>
      <c r="Y2634" s="37"/>
      <c r="Z2634" s="37"/>
      <c r="AA2634" s="37"/>
      <c r="AB2634" s="37"/>
      <c r="AC2634" s="37"/>
      <c r="AD2634" s="37"/>
      <c r="AE2634" s="37"/>
      <c r="AF2634" s="37"/>
      <c r="AG2634" s="37"/>
      <c r="AH2634" s="37"/>
      <c r="AI2634" s="37"/>
      <c r="AJ2634" s="37"/>
      <c r="AK2634" s="37"/>
      <c r="AL2634" s="37"/>
      <c r="AM2634" s="37"/>
      <c r="AN2634" s="37"/>
      <c r="AO2634" s="37"/>
      <c r="AP2634" s="37"/>
      <c r="AQ2634" s="37"/>
      <c r="AR2634" s="37"/>
      <c r="AS2634" s="37"/>
      <c r="AT2634" s="37"/>
      <c r="AU2634" s="37"/>
      <c r="AV2634" s="37"/>
      <c r="AW2634" s="37"/>
      <c r="AX2634" s="37"/>
      <c r="AY2634" s="37"/>
      <c r="AZ2634" s="37"/>
      <c r="BA2634" s="37"/>
      <c r="BB2634" s="37"/>
      <c r="BC2634" s="37"/>
      <c r="BD2634" s="37"/>
      <c r="BE2634" s="37"/>
      <c r="BF2634" s="37"/>
      <c r="BG2634" s="37"/>
      <c r="BH2634" s="37"/>
      <c r="BI2634" s="37"/>
      <c r="BJ2634" s="37"/>
      <c r="BK2634" s="37"/>
      <c r="BL2634" s="37"/>
      <c r="BM2634" s="37"/>
    </row>
    <row r="2635" spans="1:65" s="40" customFormat="1" ht="23.25" x14ac:dyDescent="0.35">
      <c r="A2635" s="37"/>
      <c r="B2635" s="37"/>
      <c r="C2635" s="41"/>
      <c r="D2635" s="38"/>
      <c r="E2635" s="57"/>
      <c r="F2635" s="42"/>
      <c r="G2635" s="43"/>
      <c r="H2635" s="37"/>
      <c r="I2635" s="37"/>
      <c r="J2635" s="38"/>
      <c r="K2635" s="37"/>
      <c r="L2635" s="38"/>
      <c r="M2635" s="39"/>
      <c r="P2635" s="37"/>
      <c r="Q2635" s="37"/>
      <c r="R2635" s="37"/>
      <c r="S2635" s="37"/>
      <c r="T2635" s="37"/>
      <c r="U2635" s="37"/>
      <c r="V2635" s="37"/>
      <c r="W2635" s="37"/>
      <c r="X2635" s="37"/>
      <c r="Y2635" s="37"/>
      <c r="Z2635" s="37"/>
      <c r="AA2635" s="37"/>
      <c r="AB2635" s="37"/>
      <c r="AC2635" s="37"/>
      <c r="AD2635" s="37"/>
      <c r="AE2635" s="37"/>
      <c r="AF2635" s="37"/>
      <c r="AG2635" s="37"/>
      <c r="AH2635" s="37"/>
      <c r="AI2635" s="37"/>
      <c r="AJ2635" s="37"/>
      <c r="AK2635" s="37"/>
      <c r="AL2635" s="37"/>
      <c r="AM2635" s="37"/>
      <c r="AN2635" s="37"/>
      <c r="AO2635" s="37"/>
      <c r="AP2635" s="37"/>
      <c r="AQ2635" s="37"/>
      <c r="AR2635" s="37"/>
      <c r="AS2635" s="37"/>
      <c r="AT2635" s="37"/>
      <c r="AU2635" s="37"/>
      <c r="AV2635" s="37"/>
      <c r="AW2635" s="37"/>
      <c r="AX2635" s="37"/>
      <c r="AY2635" s="37"/>
      <c r="AZ2635" s="37"/>
      <c r="BA2635" s="37"/>
      <c r="BB2635" s="37"/>
      <c r="BC2635" s="37"/>
      <c r="BD2635" s="37"/>
      <c r="BE2635" s="37"/>
      <c r="BF2635" s="37"/>
      <c r="BG2635" s="37"/>
      <c r="BH2635" s="37"/>
      <c r="BI2635" s="37"/>
      <c r="BJ2635" s="37"/>
      <c r="BK2635" s="37"/>
      <c r="BL2635" s="37"/>
      <c r="BM2635" s="37"/>
    </row>
    <row r="2636" spans="1:65" s="40" customFormat="1" ht="23.25" x14ac:dyDescent="0.35">
      <c r="A2636" s="37"/>
      <c r="B2636" s="37"/>
      <c r="C2636" s="41"/>
      <c r="D2636" s="38"/>
      <c r="E2636" s="57"/>
      <c r="F2636" s="42"/>
      <c r="G2636" s="43"/>
      <c r="H2636" s="37"/>
      <c r="I2636" s="37"/>
      <c r="J2636" s="38"/>
      <c r="K2636" s="37"/>
      <c r="L2636" s="38"/>
      <c r="M2636" s="39"/>
      <c r="P2636" s="37"/>
      <c r="Q2636" s="37"/>
      <c r="R2636" s="37"/>
      <c r="S2636" s="37"/>
      <c r="T2636" s="37"/>
      <c r="U2636" s="37"/>
      <c r="V2636" s="37"/>
      <c r="W2636" s="37"/>
      <c r="X2636" s="37"/>
      <c r="Y2636" s="37"/>
      <c r="Z2636" s="37"/>
      <c r="AA2636" s="37"/>
      <c r="AB2636" s="37"/>
      <c r="AC2636" s="37"/>
      <c r="AD2636" s="37"/>
      <c r="AE2636" s="37"/>
      <c r="AF2636" s="37"/>
      <c r="AG2636" s="37"/>
      <c r="AH2636" s="37"/>
      <c r="AI2636" s="37"/>
      <c r="AJ2636" s="37"/>
      <c r="AK2636" s="37"/>
      <c r="AL2636" s="37"/>
      <c r="AM2636" s="37"/>
      <c r="AN2636" s="37"/>
      <c r="AO2636" s="37"/>
      <c r="AP2636" s="37"/>
      <c r="AQ2636" s="37"/>
      <c r="AR2636" s="37"/>
      <c r="AS2636" s="37"/>
      <c r="AT2636" s="37"/>
      <c r="AU2636" s="37"/>
      <c r="AV2636" s="37"/>
      <c r="AW2636" s="37"/>
      <c r="AX2636" s="37"/>
      <c r="AY2636" s="37"/>
      <c r="AZ2636" s="37"/>
      <c r="BA2636" s="37"/>
      <c r="BB2636" s="37"/>
      <c r="BC2636" s="37"/>
      <c r="BD2636" s="37"/>
      <c r="BE2636" s="37"/>
      <c r="BF2636" s="37"/>
      <c r="BG2636" s="37"/>
      <c r="BH2636" s="37"/>
      <c r="BI2636" s="37"/>
      <c r="BJ2636" s="37"/>
      <c r="BK2636" s="37"/>
      <c r="BL2636" s="37"/>
      <c r="BM2636" s="37"/>
    </row>
    <row r="2637" spans="1:65" s="40" customFormat="1" ht="23.25" x14ac:dyDescent="0.35">
      <c r="A2637" s="37"/>
      <c r="B2637" s="37"/>
      <c r="C2637" s="41"/>
      <c r="D2637" s="38"/>
      <c r="E2637" s="57"/>
      <c r="F2637" s="42"/>
      <c r="G2637" s="43"/>
      <c r="H2637" s="37"/>
      <c r="I2637" s="37"/>
      <c r="J2637" s="38"/>
      <c r="K2637" s="37"/>
      <c r="L2637" s="38"/>
      <c r="M2637" s="39"/>
      <c r="P2637" s="37"/>
      <c r="Q2637" s="37"/>
      <c r="R2637" s="37"/>
      <c r="S2637" s="37"/>
      <c r="T2637" s="37"/>
      <c r="U2637" s="37"/>
      <c r="V2637" s="37"/>
      <c r="W2637" s="37"/>
      <c r="X2637" s="37"/>
      <c r="Y2637" s="37"/>
      <c r="Z2637" s="37"/>
      <c r="AA2637" s="37"/>
      <c r="AB2637" s="37"/>
      <c r="AC2637" s="37"/>
      <c r="AD2637" s="37"/>
      <c r="AE2637" s="37"/>
      <c r="AF2637" s="37"/>
      <c r="AG2637" s="37"/>
      <c r="AH2637" s="37"/>
      <c r="AI2637" s="37"/>
      <c r="AJ2637" s="37"/>
      <c r="AK2637" s="37"/>
      <c r="AL2637" s="37"/>
      <c r="AM2637" s="37"/>
      <c r="AN2637" s="37"/>
      <c r="AO2637" s="37"/>
      <c r="AP2637" s="37"/>
      <c r="AQ2637" s="37"/>
      <c r="AR2637" s="37"/>
      <c r="AS2637" s="37"/>
      <c r="AT2637" s="37"/>
      <c r="AU2637" s="37"/>
      <c r="AV2637" s="37"/>
      <c r="AW2637" s="37"/>
      <c r="AX2637" s="37"/>
      <c r="AY2637" s="37"/>
      <c r="AZ2637" s="37"/>
      <c r="BA2637" s="37"/>
      <c r="BB2637" s="37"/>
      <c r="BC2637" s="37"/>
      <c r="BD2637" s="37"/>
      <c r="BE2637" s="37"/>
      <c r="BF2637" s="37"/>
      <c r="BG2637" s="37"/>
      <c r="BH2637" s="37"/>
      <c r="BI2637" s="37"/>
      <c r="BJ2637" s="37"/>
      <c r="BK2637" s="37"/>
      <c r="BL2637" s="37"/>
      <c r="BM2637" s="37"/>
    </row>
    <row r="2638" spans="1:65" s="40" customFormat="1" ht="23.25" x14ac:dyDescent="0.35">
      <c r="A2638" s="37"/>
      <c r="B2638" s="37"/>
      <c r="C2638" s="41"/>
      <c r="D2638" s="38"/>
      <c r="E2638" s="57"/>
      <c r="F2638" s="42"/>
      <c r="G2638" s="43"/>
      <c r="H2638" s="37"/>
      <c r="I2638" s="37"/>
      <c r="J2638" s="38"/>
      <c r="K2638" s="37"/>
      <c r="L2638" s="38"/>
      <c r="M2638" s="39"/>
      <c r="P2638" s="37"/>
      <c r="Q2638" s="37"/>
      <c r="R2638" s="37"/>
      <c r="S2638" s="37"/>
      <c r="T2638" s="37"/>
      <c r="U2638" s="37"/>
      <c r="V2638" s="37"/>
      <c r="W2638" s="37"/>
      <c r="X2638" s="37"/>
      <c r="Y2638" s="37"/>
      <c r="Z2638" s="37"/>
      <c r="AA2638" s="37"/>
      <c r="AB2638" s="37"/>
      <c r="AC2638" s="37"/>
      <c r="AD2638" s="37"/>
      <c r="AE2638" s="37"/>
      <c r="AF2638" s="37"/>
      <c r="AG2638" s="37"/>
      <c r="AH2638" s="37"/>
      <c r="AI2638" s="37"/>
      <c r="AJ2638" s="37"/>
      <c r="AK2638" s="37"/>
      <c r="AL2638" s="37"/>
      <c r="AM2638" s="37"/>
      <c r="AN2638" s="37"/>
      <c r="AO2638" s="37"/>
      <c r="AP2638" s="37"/>
      <c r="AQ2638" s="37"/>
      <c r="AR2638" s="37"/>
      <c r="AS2638" s="37"/>
      <c r="AT2638" s="37"/>
      <c r="AU2638" s="37"/>
      <c r="AV2638" s="37"/>
      <c r="AW2638" s="37"/>
      <c r="AX2638" s="37"/>
      <c r="AY2638" s="37"/>
      <c r="AZ2638" s="37"/>
      <c r="BA2638" s="37"/>
      <c r="BB2638" s="37"/>
      <c r="BC2638" s="37"/>
      <c r="BD2638" s="37"/>
      <c r="BE2638" s="37"/>
      <c r="BF2638" s="37"/>
      <c r="BG2638" s="37"/>
      <c r="BH2638" s="37"/>
      <c r="BI2638" s="37"/>
      <c r="BJ2638" s="37"/>
      <c r="BK2638" s="37"/>
      <c r="BL2638" s="37"/>
      <c r="BM2638" s="37"/>
    </row>
    <row r="2639" spans="1:65" s="40" customFormat="1" ht="23.25" x14ac:dyDescent="0.35">
      <c r="A2639" s="37"/>
      <c r="B2639" s="37"/>
      <c r="C2639" s="41"/>
      <c r="D2639" s="38"/>
      <c r="E2639" s="57"/>
      <c r="F2639" s="42"/>
      <c r="G2639" s="43"/>
      <c r="H2639" s="37"/>
      <c r="I2639" s="37"/>
      <c r="J2639" s="38"/>
      <c r="K2639" s="37"/>
      <c r="L2639" s="38"/>
      <c r="M2639" s="39"/>
      <c r="P2639" s="37"/>
      <c r="Q2639" s="37"/>
      <c r="R2639" s="37"/>
      <c r="S2639" s="37"/>
      <c r="T2639" s="37"/>
      <c r="U2639" s="37"/>
      <c r="V2639" s="37"/>
      <c r="W2639" s="37"/>
      <c r="X2639" s="37"/>
      <c r="Y2639" s="37"/>
      <c r="Z2639" s="37"/>
      <c r="AA2639" s="37"/>
      <c r="AB2639" s="37"/>
      <c r="AC2639" s="37"/>
      <c r="AD2639" s="37"/>
      <c r="AE2639" s="37"/>
      <c r="AF2639" s="37"/>
      <c r="AG2639" s="37"/>
      <c r="AH2639" s="37"/>
      <c r="AI2639" s="37"/>
      <c r="AJ2639" s="37"/>
      <c r="AK2639" s="37"/>
      <c r="AL2639" s="37"/>
      <c r="AM2639" s="37"/>
      <c r="AN2639" s="37"/>
      <c r="AO2639" s="37"/>
      <c r="AP2639" s="37"/>
      <c r="AQ2639" s="37"/>
      <c r="AR2639" s="37"/>
      <c r="AS2639" s="37"/>
      <c r="AT2639" s="37"/>
      <c r="AU2639" s="37"/>
      <c r="AV2639" s="37"/>
      <c r="AW2639" s="37"/>
      <c r="AX2639" s="37"/>
      <c r="AY2639" s="37"/>
      <c r="AZ2639" s="37"/>
      <c r="BA2639" s="37"/>
      <c r="BB2639" s="37"/>
      <c r="BC2639" s="37"/>
      <c r="BD2639" s="37"/>
      <c r="BE2639" s="37"/>
      <c r="BF2639" s="37"/>
      <c r="BG2639" s="37"/>
      <c r="BH2639" s="37"/>
      <c r="BI2639" s="37"/>
      <c r="BJ2639" s="37"/>
      <c r="BK2639" s="37"/>
      <c r="BL2639" s="37"/>
      <c r="BM2639" s="37"/>
    </row>
    <row r="2640" spans="1:65" s="40" customFormat="1" ht="23.25" x14ac:dyDescent="0.35">
      <c r="A2640" s="37"/>
      <c r="B2640" s="37"/>
      <c r="C2640" s="41"/>
      <c r="D2640" s="38"/>
      <c r="E2640" s="57"/>
      <c r="F2640" s="42"/>
      <c r="G2640" s="43"/>
      <c r="H2640" s="37"/>
      <c r="I2640" s="37"/>
      <c r="J2640" s="38"/>
      <c r="K2640" s="37"/>
      <c r="L2640" s="38"/>
      <c r="M2640" s="39"/>
      <c r="P2640" s="37"/>
      <c r="Q2640" s="37"/>
      <c r="R2640" s="37"/>
      <c r="S2640" s="37"/>
      <c r="T2640" s="37"/>
      <c r="U2640" s="37"/>
      <c r="V2640" s="37"/>
      <c r="W2640" s="37"/>
      <c r="X2640" s="37"/>
      <c r="Y2640" s="37"/>
      <c r="Z2640" s="37"/>
      <c r="AA2640" s="37"/>
      <c r="AB2640" s="37"/>
      <c r="AC2640" s="37"/>
      <c r="AD2640" s="37"/>
      <c r="AE2640" s="37"/>
      <c r="AF2640" s="37"/>
      <c r="AG2640" s="37"/>
      <c r="AH2640" s="37"/>
      <c r="AI2640" s="37"/>
      <c r="AJ2640" s="37"/>
      <c r="AK2640" s="37"/>
      <c r="AL2640" s="37"/>
      <c r="AM2640" s="37"/>
      <c r="AN2640" s="37"/>
      <c r="AO2640" s="37"/>
      <c r="AP2640" s="37"/>
      <c r="AQ2640" s="37"/>
      <c r="AR2640" s="37"/>
      <c r="AS2640" s="37"/>
      <c r="AT2640" s="37"/>
      <c r="AU2640" s="37"/>
      <c r="AV2640" s="37"/>
      <c r="AW2640" s="37"/>
      <c r="AX2640" s="37"/>
      <c r="AY2640" s="37"/>
      <c r="AZ2640" s="37"/>
      <c r="BA2640" s="37"/>
      <c r="BB2640" s="37"/>
      <c r="BC2640" s="37"/>
      <c r="BD2640" s="37"/>
      <c r="BE2640" s="37"/>
      <c r="BF2640" s="37"/>
      <c r="BG2640" s="37"/>
      <c r="BH2640" s="37"/>
      <c r="BI2640" s="37"/>
      <c r="BJ2640" s="37"/>
      <c r="BK2640" s="37"/>
      <c r="BL2640" s="37"/>
      <c r="BM2640" s="37"/>
    </row>
    <row r="2641" spans="1:65" s="40" customFormat="1" ht="23.25" x14ac:dyDescent="0.35">
      <c r="A2641" s="37"/>
      <c r="B2641" s="37"/>
      <c r="C2641" s="41"/>
      <c r="D2641" s="38"/>
      <c r="E2641" s="57"/>
      <c r="F2641" s="42"/>
      <c r="G2641" s="43"/>
      <c r="H2641" s="37"/>
      <c r="I2641" s="37"/>
      <c r="J2641" s="38"/>
      <c r="K2641" s="37"/>
      <c r="L2641" s="38"/>
      <c r="M2641" s="39"/>
      <c r="P2641" s="37"/>
      <c r="Q2641" s="37"/>
      <c r="R2641" s="37"/>
      <c r="S2641" s="37"/>
      <c r="T2641" s="37"/>
      <c r="U2641" s="37"/>
      <c r="V2641" s="37"/>
      <c r="W2641" s="37"/>
      <c r="X2641" s="37"/>
      <c r="Y2641" s="37"/>
      <c r="Z2641" s="37"/>
      <c r="AA2641" s="37"/>
      <c r="AB2641" s="37"/>
      <c r="AC2641" s="37"/>
      <c r="AD2641" s="37"/>
      <c r="AE2641" s="37"/>
      <c r="AF2641" s="37"/>
      <c r="AG2641" s="37"/>
      <c r="AH2641" s="37"/>
      <c r="AI2641" s="37"/>
      <c r="AJ2641" s="37"/>
      <c r="AK2641" s="37"/>
      <c r="AL2641" s="37"/>
      <c r="AM2641" s="37"/>
      <c r="AN2641" s="37"/>
      <c r="AO2641" s="37"/>
      <c r="AP2641" s="37"/>
      <c r="AQ2641" s="37"/>
      <c r="AR2641" s="37"/>
      <c r="AS2641" s="37"/>
      <c r="AT2641" s="37"/>
      <c r="AU2641" s="37"/>
      <c r="AV2641" s="37"/>
      <c r="AW2641" s="37"/>
      <c r="AX2641" s="37"/>
      <c r="AY2641" s="37"/>
      <c r="AZ2641" s="37"/>
      <c r="BA2641" s="37"/>
      <c r="BB2641" s="37"/>
      <c r="BC2641" s="37"/>
      <c r="BD2641" s="37"/>
      <c r="BE2641" s="37"/>
      <c r="BF2641" s="37"/>
      <c r="BG2641" s="37"/>
      <c r="BH2641" s="37"/>
      <c r="BI2641" s="37"/>
      <c r="BJ2641" s="37"/>
      <c r="BK2641" s="37"/>
      <c r="BL2641" s="37"/>
      <c r="BM2641" s="37"/>
    </row>
    <row r="2642" spans="1:65" s="40" customFormat="1" ht="23.25" x14ac:dyDescent="0.35">
      <c r="A2642" s="37"/>
      <c r="B2642" s="37"/>
      <c r="C2642" s="41"/>
      <c r="D2642" s="38"/>
      <c r="E2642" s="57"/>
      <c r="F2642" s="42"/>
      <c r="G2642" s="43"/>
      <c r="H2642" s="37"/>
      <c r="I2642" s="37"/>
      <c r="J2642" s="38"/>
      <c r="K2642" s="37"/>
      <c r="L2642" s="38"/>
      <c r="M2642" s="39"/>
      <c r="P2642" s="37"/>
      <c r="Q2642" s="37"/>
      <c r="R2642" s="37"/>
      <c r="S2642" s="37"/>
      <c r="T2642" s="37"/>
      <c r="U2642" s="37"/>
      <c r="V2642" s="37"/>
      <c r="W2642" s="37"/>
      <c r="X2642" s="37"/>
      <c r="Y2642" s="37"/>
      <c r="Z2642" s="37"/>
      <c r="AA2642" s="37"/>
      <c r="AB2642" s="37"/>
      <c r="AC2642" s="37"/>
      <c r="AD2642" s="37"/>
      <c r="AE2642" s="37"/>
      <c r="AF2642" s="37"/>
      <c r="AG2642" s="37"/>
      <c r="AH2642" s="37"/>
      <c r="AI2642" s="37"/>
      <c r="AJ2642" s="37"/>
      <c r="AK2642" s="37"/>
      <c r="AL2642" s="37"/>
      <c r="AM2642" s="37"/>
      <c r="AN2642" s="37"/>
      <c r="AO2642" s="37"/>
      <c r="AP2642" s="37"/>
      <c r="AQ2642" s="37"/>
      <c r="AR2642" s="37"/>
      <c r="AS2642" s="37"/>
      <c r="AT2642" s="37"/>
      <c r="AU2642" s="37"/>
      <c r="AV2642" s="37"/>
      <c r="AW2642" s="37"/>
      <c r="AX2642" s="37"/>
      <c r="AY2642" s="37"/>
      <c r="AZ2642" s="37"/>
      <c r="BA2642" s="37"/>
      <c r="BB2642" s="37"/>
      <c r="BC2642" s="37"/>
      <c r="BD2642" s="37"/>
      <c r="BE2642" s="37"/>
      <c r="BF2642" s="37"/>
      <c r="BG2642" s="37"/>
      <c r="BH2642" s="37"/>
      <c r="BI2642" s="37"/>
      <c r="BJ2642" s="37"/>
      <c r="BK2642" s="37"/>
      <c r="BL2642" s="37"/>
      <c r="BM2642" s="37"/>
    </row>
    <row r="2643" spans="1:65" s="40" customFormat="1" ht="23.25" x14ac:dyDescent="0.35">
      <c r="A2643" s="37"/>
      <c r="B2643" s="37"/>
      <c r="C2643" s="41"/>
      <c r="D2643" s="38"/>
      <c r="E2643" s="57"/>
      <c r="F2643" s="42"/>
      <c r="G2643" s="43"/>
      <c r="H2643" s="37"/>
      <c r="I2643" s="37"/>
      <c r="J2643" s="38"/>
      <c r="K2643" s="37"/>
      <c r="L2643" s="38"/>
      <c r="M2643" s="39"/>
      <c r="P2643" s="37"/>
      <c r="Q2643" s="37"/>
      <c r="R2643" s="37"/>
      <c r="S2643" s="37"/>
      <c r="T2643" s="37"/>
      <c r="U2643" s="37"/>
      <c r="V2643" s="37"/>
      <c r="W2643" s="37"/>
      <c r="X2643" s="37"/>
      <c r="Y2643" s="37"/>
      <c r="Z2643" s="37"/>
      <c r="AA2643" s="37"/>
      <c r="AB2643" s="37"/>
      <c r="AC2643" s="37"/>
      <c r="AD2643" s="37"/>
      <c r="AE2643" s="37"/>
      <c r="AF2643" s="37"/>
      <c r="AG2643" s="37"/>
      <c r="AH2643" s="37"/>
      <c r="AI2643" s="37"/>
      <c r="AJ2643" s="37"/>
      <c r="AK2643" s="37"/>
      <c r="AL2643" s="37"/>
      <c r="AM2643" s="37"/>
      <c r="AN2643" s="37"/>
      <c r="AO2643" s="37"/>
      <c r="AP2643" s="37"/>
      <c r="AQ2643" s="37"/>
      <c r="AR2643" s="37"/>
      <c r="AS2643" s="37"/>
      <c r="AT2643" s="37"/>
      <c r="AU2643" s="37"/>
      <c r="AV2643" s="37"/>
      <c r="AW2643" s="37"/>
      <c r="AX2643" s="37"/>
      <c r="AY2643" s="37"/>
      <c r="AZ2643" s="37"/>
      <c r="BA2643" s="37"/>
      <c r="BB2643" s="37"/>
      <c r="BC2643" s="37"/>
      <c r="BD2643" s="37"/>
      <c r="BE2643" s="37"/>
      <c r="BF2643" s="37"/>
      <c r="BG2643" s="37"/>
      <c r="BH2643" s="37"/>
      <c r="BI2643" s="37"/>
      <c r="BJ2643" s="37"/>
      <c r="BK2643" s="37"/>
      <c r="BL2643" s="37"/>
      <c r="BM2643" s="37"/>
    </row>
    <row r="2644" spans="1:65" s="40" customFormat="1" ht="23.25" x14ac:dyDescent="0.35">
      <c r="A2644" s="37"/>
      <c r="B2644" s="37"/>
      <c r="C2644" s="41"/>
      <c r="D2644" s="38"/>
      <c r="E2644" s="57"/>
      <c r="F2644" s="42"/>
      <c r="G2644" s="43"/>
      <c r="H2644" s="37"/>
      <c r="I2644" s="37"/>
      <c r="J2644" s="38"/>
      <c r="K2644" s="37"/>
      <c r="L2644" s="38"/>
      <c r="M2644" s="39"/>
      <c r="P2644" s="37"/>
      <c r="Q2644" s="37"/>
      <c r="R2644" s="37"/>
      <c r="S2644" s="37"/>
      <c r="T2644" s="37"/>
      <c r="U2644" s="37"/>
      <c r="V2644" s="37"/>
      <c r="W2644" s="37"/>
      <c r="X2644" s="37"/>
      <c r="Y2644" s="37"/>
      <c r="Z2644" s="37"/>
      <c r="AA2644" s="37"/>
      <c r="AB2644" s="37"/>
      <c r="AC2644" s="37"/>
      <c r="AD2644" s="37"/>
      <c r="AE2644" s="37"/>
      <c r="AF2644" s="37"/>
      <c r="AG2644" s="37"/>
      <c r="AH2644" s="37"/>
      <c r="AI2644" s="37"/>
      <c r="AJ2644" s="37"/>
      <c r="AK2644" s="37"/>
      <c r="AL2644" s="37"/>
      <c r="AM2644" s="37"/>
      <c r="AN2644" s="37"/>
      <c r="AO2644" s="37"/>
      <c r="AP2644" s="37"/>
      <c r="AQ2644" s="37"/>
      <c r="AR2644" s="37"/>
      <c r="AS2644" s="37"/>
      <c r="AT2644" s="37"/>
      <c r="AU2644" s="37"/>
      <c r="AV2644" s="37"/>
      <c r="AW2644" s="37"/>
      <c r="AX2644" s="37"/>
      <c r="AY2644" s="37"/>
      <c r="AZ2644" s="37"/>
      <c r="BA2644" s="37"/>
      <c r="BB2644" s="37"/>
      <c r="BC2644" s="37"/>
      <c r="BD2644" s="37"/>
      <c r="BE2644" s="37"/>
      <c r="BF2644" s="37"/>
      <c r="BG2644" s="37"/>
      <c r="BH2644" s="37"/>
      <c r="BI2644" s="37"/>
      <c r="BJ2644" s="37"/>
      <c r="BK2644" s="37"/>
      <c r="BL2644" s="37"/>
      <c r="BM2644" s="37"/>
    </row>
    <row r="2645" spans="1:65" s="40" customFormat="1" ht="23.25" x14ac:dyDescent="0.35">
      <c r="A2645" s="37"/>
      <c r="B2645" s="37"/>
      <c r="C2645" s="41"/>
      <c r="D2645" s="38"/>
      <c r="E2645" s="57"/>
      <c r="F2645" s="42"/>
      <c r="G2645" s="43"/>
      <c r="H2645" s="37"/>
      <c r="I2645" s="37"/>
      <c r="J2645" s="38"/>
      <c r="K2645" s="37"/>
      <c r="L2645" s="38"/>
      <c r="M2645" s="39"/>
      <c r="P2645" s="37"/>
      <c r="Q2645" s="37"/>
      <c r="R2645" s="37"/>
      <c r="S2645" s="37"/>
      <c r="T2645" s="37"/>
      <c r="U2645" s="37"/>
      <c r="V2645" s="37"/>
      <c r="W2645" s="37"/>
      <c r="X2645" s="37"/>
      <c r="Y2645" s="37"/>
      <c r="Z2645" s="37"/>
      <c r="AA2645" s="37"/>
      <c r="AB2645" s="37"/>
      <c r="AC2645" s="37"/>
      <c r="AD2645" s="37"/>
      <c r="AE2645" s="37"/>
      <c r="AF2645" s="37"/>
      <c r="AG2645" s="37"/>
      <c r="AH2645" s="37"/>
      <c r="AI2645" s="37"/>
      <c r="AJ2645" s="37"/>
      <c r="AK2645" s="37"/>
      <c r="AL2645" s="37"/>
      <c r="AM2645" s="37"/>
      <c r="AN2645" s="37"/>
      <c r="AO2645" s="37"/>
      <c r="AP2645" s="37"/>
      <c r="AQ2645" s="37"/>
      <c r="AR2645" s="37"/>
      <c r="AS2645" s="37"/>
      <c r="AT2645" s="37"/>
      <c r="AU2645" s="37"/>
      <c r="AV2645" s="37"/>
      <c r="AW2645" s="37"/>
      <c r="AX2645" s="37"/>
      <c r="AY2645" s="37"/>
      <c r="AZ2645" s="37"/>
      <c r="BA2645" s="37"/>
      <c r="BB2645" s="37"/>
      <c r="BC2645" s="37"/>
      <c r="BD2645" s="37"/>
      <c r="BE2645" s="37"/>
      <c r="BF2645" s="37"/>
      <c r="BG2645" s="37"/>
      <c r="BH2645" s="37"/>
      <c r="BI2645" s="37"/>
      <c r="BJ2645" s="37"/>
      <c r="BK2645" s="37"/>
      <c r="BL2645" s="37"/>
      <c r="BM2645" s="37"/>
    </row>
    <row r="2646" spans="1:65" s="40" customFormat="1" ht="23.25" x14ac:dyDescent="0.35">
      <c r="A2646" s="37"/>
      <c r="B2646" s="37"/>
      <c r="C2646" s="41"/>
      <c r="D2646" s="38"/>
      <c r="E2646" s="57"/>
      <c r="F2646" s="42"/>
      <c r="G2646" s="43"/>
      <c r="H2646" s="37"/>
      <c r="I2646" s="37"/>
      <c r="J2646" s="38"/>
      <c r="K2646" s="37"/>
      <c r="L2646" s="38"/>
      <c r="M2646" s="39"/>
      <c r="P2646" s="37"/>
      <c r="Q2646" s="37"/>
      <c r="R2646" s="37"/>
      <c r="S2646" s="37"/>
      <c r="T2646" s="37"/>
      <c r="U2646" s="37"/>
      <c r="V2646" s="37"/>
      <c r="W2646" s="37"/>
      <c r="X2646" s="37"/>
      <c r="Y2646" s="37"/>
      <c r="Z2646" s="37"/>
      <c r="AA2646" s="37"/>
      <c r="AB2646" s="37"/>
      <c r="AC2646" s="37"/>
      <c r="AD2646" s="37"/>
      <c r="AE2646" s="37"/>
      <c r="AF2646" s="37"/>
      <c r="AG2646" s="37"/>
      <c r="AH2646" s="37"/>
      <c r="AI2646" s="37"/>
      <c r="AJ2646" s="37"/>
      <c r="AK2646" s="37"/>
      <c r="AL2646" s="37"/>
      <c r="AM2646" s="37"/>
      <c r="AN2646" s="37"/>
      <c r="AO2646" s="37"/>
      <c r="AP2646" s="37"/>
      <c r="AQ2646" s="37"/>
      <c r="AR2646" s="37"/>
      <c r="AS2646" s="37"/>
      <c r="AT2646" s="37"/>
      <c r="AU2646" s="37"/>
      <c r="AV2646" s="37"/>
      <c r="AW2646" s="37"/>
      <c r="AX2646" s="37"/>
      <c r="AY2646" s="37"/>
      <c r="AZ2646" s="37"/>
      <c r="BA2646" s="37"/>
      <c r="BB2646" s="37"/>
      <c r="BC2646" s="37"/>
      <c r="BD2646" s="37"/>
      <c r="BE2646" s="37"/>
      <c r="BF2646" s="37"/>
      <c r="BG2646" s="37"/>
      <c r="BH2646" s="37"/>
      <c r="BI2646" s="37"/>
      <c r="BJ2646" s="37"/>
      <c r="BK2646" s="37"/>
      <c r="BL2646" s="37"/>
      <c r="BM2646" s="37"/>
    </row>
    <row r="2647" spans="1:65" s="40" customFormat="1" ht="23.25" x14ac:dyDescent="0.35">
      <c r="A2647" s="37"/>
      <c r="B2647" s="37"/>
      <c r="C2647" s="41"/>
      <c r="D2647" s="38"/>
      <c r="E2647" s="57"/>
      <c r="F2647" s="42"/>
      <c r="G2647" s="43"/>
      <c r="H2647" s="37"/>
      <c r="I2647" s="37"/>
      <c r="J2647" s="38"/>
      <c r="K2647" s="37"/>
      <c r="L2647" s="38"/>
      <c r="M2647" s="39"/>
      <c r="P2647" s="37"/>
      <c r="Q2647" s="37"/>
      <c r="R2647" s="37"/>
      <c r="S2647" s="37"/>
      <c r="T2647" s="37"/>
      <c r="U2647" s="37"/>
      <c r="V2647" s="37"/>
      <c r="W2647" s="37"/>
      <c r="X2647" s="37"/>
      <c r="Y2647" s="37"/>
      <c r="Z2647" s="37"/>
      <c r="AA2647" s="37"/>
      <c r="AB2647" s="37"/>
      <c r="AC2647" s="37"/>
      <c r="AD2647" s="37"/>
      <c r="AE2647" s="37"/>
      <c r="AF2647" s="37"/>
      <c r="AG2647" s="37"/>
      <c r="AH2647" s="37"/>
      <c r="AI2647" s="37"/>
      <c r="AJ2647" s="37"/>
      <c r="AK2647" s="37"/>
      <c r="AL2647" s="37"/>
      <c r="AM2647" s="37"/>
      <c r="AN2647" s="37"/>
      <c r="AO2647" s="37"/>
      <c r="AP2647" s="37"/>
      <c r="AQ2647" s="37"/>
      <c r="AR2647" s="37"/>
      <c r="AS2647" s="37"/>
      <c r="AT2647" s="37"/>
      <c r="AU2647" s="37"/>
      <c r="AV2647" s="37"/>
      <c r="AW2647" s="37"/>
      <c r="AX2647" s="37"/>
      <c r="AY2647" s="37"/>
      <c r="AZ2647" s="37"/>
      <c r="BA2647" s="37"/>
      <c r="BB2647" s="37"/>
      <c r="BC2647" s="37"/>
      <c r="BD2647" s="37"/>
      <c r="BE2647" s="37"/>
      <c r="BF2647" s="37"/>
      <c r="BG2647" s="37"/>
      <c r="BH2647" s="37"/>
      <c r="BI2647" s="37"/>
      <c r="BJ2647" s="37"/>
      <c r="BK2647" s="37"/>
      <c r="BL2647" s="37"/>
      <c r="BM2647" s="37"/>
    </row>
    <row r="2648" spans="1:65" s="40" customFormat="1" ht="23.25" x14ac:dyDescent="0.35">
      <c r="A2648" s="37"/>
      <c r="B2648" s="37"/>
      <c r="C2648" s="41"/>
      <c r="D2648" s="38"/>
      <c r="E2648" s="57"/>
      <c r="F2648" s="42"/>
      <c r="G2648" s="43"/>
      <c r="H2648" s="37"/>
      <c r="I2648" s="37"/>
      <c r="J2648" s="38"/>
      <c r="K2648" s="37"/>
      <c r="L2648" s="38"/>
      <c r="M2648" s="39"/>
      <c r="P2648" s="37"/>
      <c r="Q2648" s="37"/>
      <c r="R2648" s="37"/>
      <c r="S2648" s="37"/>
      <c r="T2648" s="37"/>
      <c r="U2648" s="37"/>
      <c r="V2648" s="37"/>
      <c r="W2648" s="37"/>
      <c r="X2648" s="37"/>
      <c r="Y2648" s="37"/>
      <c r="Z2648" s="37"/>
      <c r="AA2648" s="37"/>
      <c r="AB2648" s="37"/>
      <c r="AC2648" s="37"/>
      <c r="AD2648" s="37"/>
      <c r="AE2648" s="37"/>
      <c r="AF2648" s="37"/>
      <c r="AG2648" s="37"/>
      <c r="AH2648" s="37"/>
      <c r="AI2648" s="37"/>
      <c r="AJ2648" s="37"/>
      <c r="AK2648" s="37"/>
      <c r="AL2648" s="37"/>
      <c r="AM2648" s="37"/>
      <c r="AN2648" s="37"/>
      <c r="AO2648" s="37"/>
      <c r="AP2648" s="37"/>
      <c r="AQ2648" s="37"/>
      <c r="AR2648" s="37"/>
      <c r="AS2648" s="37"/>
      <c r="AT2648" s="37"/>
      <c r="AU2648" s="37"/>
      <c r="AV2648" s="37"/>
      <c r="AW2648" s="37"/>
      <c r="AX2648" s="37"/>
      <c r="AY2648" s="37"/>
      <c r="AZ2648" s="37"/>
      <c r="BA2648" s="37"/>
      <c r="BB2648" s="37"/>
      <c r="BC2648" s="37"/>
      <c r="BD2648" s="37"/>
      <c r="BE2648" s="37"/>
      <c r="BF2648" s="37"/>
      <c r="BG2648" s="37"/>
      <c r="BH2648" s="37"/>
      <c r="BI2648" s="37"/>
      <c r="BJ2648" s="37"/>
      <c r="BK2648" s="37"/>
      <c r="BL2648" s="37"/>
      <c r="BM2648" s="37"/>
    </row>
    <row r="2649" spans="1:65" s="40" customFormat="1" ht="23.25" x14ac:dyDescent="0.35">
      <c r="A2649" s="37"/>
      <c r="B2649" s="37"/>
      <c r="C2649" s="41"/>
      <c r="D2649" s="38"/>
      <c r="E2649" s="57"/>
      <c r="F2649" s="42"/>
      <c r="G2649" s="43"/>
      <c r="H2649" s="37"/>
      <c r="I2649" s="37"/>
      <c r="J2649" s="38"/>
      <c r="K2649" s="37"/>
      <c r="L2649" s="38"/>
      <c r="M2649" s="39"/>
      <c r="P2649" s="37"/>
      <c r="Q2649" s="37"/>
      <c r="R2649" s="37"/>
      <c r="S2649" s="37"/>
      <c r="T2649" s="37"/>
      <c r="U2649" s="37"/>
      <c r="V2649" s="37"/>
      <c r="W2649" s="37"/>
      <c r="X2649" s="37"/>
      <c r="Y2649" s="37"/>
      <c r="Z2649" s="37"/>
      <c r="AA2649" s="37"/>
      <c r="AB2649" s="37"/>
      <c r="AC2649" s="37"/>
      <c r="AD2649" s="37"/>
      <c r="AE2649" s="37"/>
      <c r="AF2649" s="37"/>
      <c r="AG2649" s="37"/>
      <c r="AH2649" s="37"/>
      <c r="AI2649" s="37"/>
      <c r="AJ2649" s="37"/>
      <c r="AK2649" s="37"/>
      <c r="AL2649" s="37"/>
      <c r="AM2649" s="37"/>
      <c r="AN2649" s="37"/>
      <c r="AO2649" s="37"/>
      <c r="AP2649" s="37"/>
      <c r="AQ2649" s="37"/>
      <c r="AR2649" s="37"/>
      <c r="AS2649" s="37"/>
      <c r="AT2649" s="37"/>
      <c r="AU2649" s="37"/>
      <c r="AV2649" s="37"/>
      <c r="AW2649" s="37"/>
      <c r="AX2649" s="37"/>
      <c r="AY2649" s="37"/>
      <c r="AZ2649" s="37"/>
      <c r="BA2649" s="37"/>
      <c r="BB2649" s="37"/>
      <c r="BC2649" s="37"/>
      <c r="BD2649" s="37"/>
      <c r="BE2649" s="37"/>
      <c r="BF2649" s="37"/>
      <c r="BG2649" s="37"/>
      <c r="BH2649" s="37"/>
      <c r="BI2649" s="37"/>
      <c r="BJ2649" s="37"/>
      <c r="BK2649" s="37"/>
      <c r="BL2649" s="37"/>
      <c r="BM2649" s="37"/>
    </row>
    <row r="2650" spans="1:65" s="40" customFormat="1" ht="23.25" x14ac:dyDescent="0.35">
      <c r="A2650" s="37"/>
      <c r="B2650" s="37"/>
      <c r="C2650" s="41"/>
      <c r="D2650" s="38"/>
      <c r="E2650" s="57"/>
      <c r="F2650" s="42"/>
      <c r="G2650" s="43"/>
      <c r="H2650" s="37"/>
      <c r="I2650" s="37"/>
      <c r="J2650" s="38"/>
      <c r="K2650" s="37"/>
      <c r="L2650" s="38"/>
      <c r="M2650" s="39"/>
      <c r="P2650" s="37"/>
      <c r="Q2650" s="37"/>
      <c r="R2650" s="37"/>
      <c r="S2650" s="37"/>
      <c r="T2650" s="37"/>
      <c r="U2650" s="37"/>
      <c r="V2650" s="37"/>
      <c r="W2650" s="37"/>
      <c r="X2650" s="37"/>
      <c r="Y2650" s="37"/>
      <c r="Z2650" s="37"/>
      <c r="AA2650" s="37"/>
      <c r="AB2650" s="37"/>
      <c r="AC2650" s="37"/>
      <c r="AD2650" s="37"/>
      <c r="AE2650" s="37"/>
      <c r="AF2650" s="37"/>
      <c r="AG2650" s="37"/>
      <c r="AH2650" s="37"/>
      <c r="AI2650" s="37"/>
      <c r="AJ2650" s="37"/>
      <c r="AK2650" s="37"/>
      <c r="AL2650" s="37"/>
      <c r="AM2650" s="37"/>
      <c r="AN2650" s="37"/>
      <c r="AO2650" s="37"/>
      <c r="AP2650" s="37"/>
      <c r="AQ2650" s="37"/>
      <c r="AR2650" s="37"/>
      <c r="AS2650" s="37"/>
      <c r="AT2650" s="37"/>
      <c r="AU2650" s="37"/>
      <c r="AV2650" s="37"/>
      <c r="AW2650" s="37"/>
      <c r="AX2650" s="37"/>
      <c r="AY2650" s="37"/>
      <c r="AZ2650" s="37"/>
      <c r="BA2650" s="37"/>
      <c r="BB2650" s="37"/>
      <c r="BC2650" s="37"/>
      <c r="BD2650" s="37"/>
      <c r="BE2650" s="37"/>
      <c r="BF2650" s="37"/>
      <c r="BG2650" s="37"/>
      <c r="BH2650" s="37"/>
      <c r="BI2650" s="37"/>
      <c r="BJ2650" s="37"/>
      <c r="BK2650" s="37"/>
      <c r="BL2650" s="37"/>
      <c r="BM2650" s="37"/>
    </row>
    <row r="2651" spans="1:65" s="40" customFormat="1" ht="23.25" x14ac:dyDescent="0.35">
      <c r="A2651" s="37"/>
      <c r="B2651" s="37"/>
      <c r="C2651" s="41"/>
      <c r="D2651" s="38"/>
      <c r="E2651" s="57"/>
      <c r="F2651" s="42"/>
      <c r="G2651" s="43"/>
      <c r="H2651" s="37"/>
      <c r="I2651" s="37"/>
      <c r="J2651" s="38"/>
      <c r="K2651" s="37"/>
      <c r="L2651" s="38"/>
      <c r="M2651" s="39"/>
      <c r="P2651" s="37"/>
      <c r="Q2651" s="37"/>
      <c r="R2651" s="37"/>
      <c r="S2651" s="37"/>
      <c r="T2651" s="37"/>
      <c r="U2651" s="37"/>
      <c r="V2651" s="37"/>
      <c r="W2651" s="37"/>
      <c r="X2651" s="37"/>
      <c r="Y2651" s="37"/>
      <c r="Z2651" s="37"/>
      <c r="AA2651" s="37"/>
      <c r="AB2651" s="37"/>
      <c r="AC2651" s="37"/>
      <c r="AD2651" s="37"/>
      <c r="AE2651" s="37"/>
      <c r="AF2651" s="37"/>
      <c r="AG2651" s="37"/>
      <c r="AH2651" s="37"/>
      <c r="AI2651" s="37"/>
      <c r="AJ2651" s="37"/>
      <c r="AK2651" s="37"/>
      <c r="AL2651" s="37"/>
      <c r="AM2651" s="37"/>
      <c r="AN2651" s="37"/>
      <c r="AO2651" s="37"/>
      <c r="AP2651" s="37"/>
      <c r="AQ2651" s="37"/>
      <c r="AR2651" s="37"/>
      <c r="AS2651" s="37"/>
      <c r="AT2651" s="37"/>
      <c r="AU2651" s="37"/>
      <c r="AV2651" s="37"/>
      <c r="AW2651" s="37"/>
      <c r="AX2651" s="37"/>
      <c r="AY2651" s="37"/>
      <c r="AZ2651" s="37"/>
      <c r="BA2651" s="37"/>
      <c r="BB2651" s="37"/>
      <c r="BC2651" s="37"/>
      <c r="BD2651" s="37"/>
      <c r="BE2651" s="37"/>
      <c r="BF2651" s="37"/>
      <c r="BG2651" s="37"/>
      <c r="BH2651" s="37"/>
      <c r="BI2651" s="37"/>
      <c r="BJ2651" s="37"/>
      <c r="BK2651" s="37"/>
      <c r="BL2651" s="37"/>
      <c r="BM2651" s="37"/>
    </row>
    <row r="2652" spans="1:65" s="40" customFormat="1" ht="23.25" x14ac:dyDescent="0.35">
      <c r="A2652" s="37"/>
      <c r="B2652" s="37"/>
      <c r="C2652" s="41"/>
      <c r="D2652" s="38"/>
      <c r="E2652" s="57"/>
      <c r="F2652" s="42"/>
      <c r="G2652" s="43"/>
      <c r="H2652" s="37"/>
      <c r="I2652" s="37"/>
      <c r="J2652" s="38"/>
      <c r="K2652" s="37"/>
      <c r="L2652" s="38"/>
      <c r="M2652" s="39"/>
      <c r="P2652" s="37"/>
      <c r="Q2652" s="37"/>
      <c r="R2652" s="37"/>
      <c r="S2652" s="37"/>
      <c r="T2652" s="37"/>
      <c r="U2652" s="37"/>
      <c r="V2652" s="37"/>
      <c r="W2652" s="37"/>
      <c r="X2652" s="37"/>
      <c r="Y2652" s="37"/>
      <c r="Z2652" s="37"/>
      <c r="AA2652" s="37"/>
      <c r="AB2652" s="37"/>
      <c r="AC2652" s="37"/>
      <c r="AD2652" s="37"/>
      <c r="AE2652" s="37"/>
      <c r="AF2652" s="37"/>
      <c r="AG2652" s="37"/>
      <c r="AH2652" s="37"/>
      <c r="AI2652" s="37"/>
      <c r="AJ2652" s="37"/>
      <c r="AK2652" s="37"/>
      <c r="AL2652" s="37"/>
      <c r="AM2652" s="37"/>
      <c r="AN2652" s="37"/>
      <c r="AO2652" s="37"/>
      <c r="AP2652" s="37"/>
      <c r="AQ2652" s="37"/>
      <c r="AR2652" s="37"/>
      <c r="AS2652" s="37"/>
      <c r="AT2652" s="37"/>
      <c r="AU2652" s="37"/>
      <c r="AV2652" s="37"/>
      <c r="AW2652" s="37"/>
      <c r="AX2652" s="37"/>
      <c r="AY2652" s="37"/>
      <c r="AZ2652" s="37"/>
      <c r="BA2652" s="37"/>
      <c r="BB2652" s="37"/>
      <c r="BC2652" s="37"/>
      <c r="BD2652" s="37"/>
      <c r="BE2652" s="37"/>
      <c r="BF2652" s="37"/>
      <c r="BG2652" s="37"/>
      <c r="BH2652" s="37"/>
      <c r="BI2652" s="37"/>
      <c r="BJ2652" s="37"/>
      <c r="BK2652" s="37"/>
      <c r="BL2652" s="37"/>
      <c r="BM2652" s="37"/>
    </row>
    <row r="2653" spans="1:65" s="40" customFormat="1" ht="23.25" x14ac:dyDescent="0.35">
      <c r="A2653" s="37"/>
      <c r="B2653" s="37"/>
      <c r="C2653" s="41"/>
      <c r="D2653" s="38"/>
      <c r="E2653" s="57"/>
      <c r="F2653" s="42"/>
      <c r="G2653" s="43"/>
      <c r="H2653" s="37"/>
      <c r="I2653" s="37"/>
      <c r="J2653" s="38"/>
      <c r="K2653" s="37"/>
      <c r="L2653" s="38"/>
      <c r="M2653" s="39"/>
      <c r="P2653" s="37"/>
      <c r="Q2653" s="37"/>
      <c r="R2653" s="37"/>
      <c r="S2653" s="37"/>
      <c r="T2653" s="37"/>
      <c r="U2653" s="37"/>
      <c r="V2653" s="37"/>
      <c r="W2653" s="37"/>
      <c r="X2653" s="37"/>
      <c r="Y2653" s="37"/>
      <c r="Z2653" s="37"/>
      <c r="AA2653" s="37"/>
      <c r="AB2653" s="37"/>
      <c r="AC2653" s="37"/>
      <c r="AD2653" s="37"/>
      <c r="AE2653" s="37"/>
      <c r="AF2653" s="37"/>
      <c r="AG2653" s="37"/>
      <c r="AH2653" s="37"/>
      <c r="AI2653" s="37"/>
      <c r="AJ2653" s="37"/>
      <c r="AK2653" s="37"/>
      <c r="AL2653" s="37"/>
      <c r="AM2653" s="37"/>
      <c r="AN2653" s="37"/>
      <c r="AO2653" s="37"/>
      <c r="AP2653" s="37"/>
      <c r="AQ2653" s="37"/>
      <c r="AR2653" s="37"/>
      <c r="AS2653" s="37"/>
      <c r="AT2653" s="37"/>
      <c r="AU2653" s="37"/>
      <c r="AV2653" s="37"/>
      <c r="AW2653" s="37"/>
      <c r="AX2653" s="37"/>
      <c r="AY2653" s="37"/>
      <c r="AZ2653" s="37"/>
      <c r="BA2653" s="37"/>
      <c r="BB2653" s="37"/>
      <c r="BC2653" s="37"/>
      <c r="BD2653" s="37"/>
      <c r="BE2653" s="37"/>
      <c r="BF2653" s="37"/>
      <c r="BG2653" s="37"/>
      <c r="BH2653" s="37"/>
      <c r="BI2653" s="37"/>
      <c r="BJ2653" s="37"/>
      <c r="BK2653" s="37"/>
      <c r="BL2653" s="37"/>
      <c r="BM2653" s="37"/>
    </row>
    <row r="2654" spans="1:65" s="40" customFormat="1" ht="23.25" x14ac:dyDescent="0.35">
      <c r="A2654" s="37"/>
      <c r="B2654" s="37"/>
      <c r="C2654" s="41"/>
      <c r="D2654" s="38"/>
      <c r="E2654" s="57"/>
      <c r="F2654" s="42"/>
      <c r="G2654" s="43"/>
      <c r="H2654" s="37"/>
      <c r="I2654" s="37"/>
      <c r="J2654" s="38"/>
      <c r="K2654" s="37"/>
      <c r="L2654" s="38"/>
      <c r="M2654" s="39"/>
      <c r="P2654" s="37"/>
      <c r="Q2654" s="37"/>
      <c r="R2654" s="37"/>
      <c r="S2654" s="37"/>
      <c r="T2654" s="37"/>
      <c r="U2654" s="37"/>
      <c r="V2654" s="37"/>
      <c r="W2654" s="37"/>
      <c r="X2654" s="37"/>
      <c r="Y2654" s="37"/>
      <c r="Z2654" s="37"/>
      <c r="AA2654" s="37"/>
      <c r="AB2654" s="37"/>
      <c r="AC2654" s="37"/>
      <c r="AD2654" s="37"/>
      <c r="AE2654" s="37"/>
      <c r="AF2654" s="37"/>
      <c r="AG2654" s="37"/>
      <c r="AH2654" s="37"/>
      <c r="AI2654" s="37"/>
      <c r="AJ2654" s="37"/>
      <c r="AK2654" s="37"/>
      <c r="AL2654" s="37"/>
      <c r="AM2654" s="37"/>
      <c r="AN2654" s="37"/>
      <c r="AO2654" s="37"/>
      <c r="AP2654" s="37"/>
      <c r="AQ2654" s="37"/>
      <c r="AR2654" s="37"/>
      <c r="AS2654" s="37"/>
      <c r="AT2654" s="37"/>
      <c r="AU2654" s="37"/>
      <c r="AV2654" s="37"/>
      <c r="AW2654" s="37"/>
      <c r="AX2654" s="37"/>
      <c r="AY2654" s="37"/>
      <c r="AZ2654" s="37"/>
      <c r="BA2654" s="37"/>
      <c r="BB2654" s="37"/>
      <c r="BC2654" s="37"/>
      <c r="BD2654" s="37"/>
      <c r="BE2654" s="37"/>
      <c r="BF2654" s="37"/>
      <c r="BG2654" s="37"/>
      <c r="BH2654" s="37"/>
      <c r="BI2654" s="37"/>
      <c r="BJ2654" s="37"/>
      <c r="BK2654" s="37"/>
      <c r="BL2654" s="37"/>
      <c r="BM2654" s="37"/>
    </row>
    <row r="2655" spans="1:65" s="40" customFormat="1" ht="23.25" x14ac:dyDescent="0.35">
      <c r="A2655" s="37"/>
      <c r="B2655" s="37"/>
      <c r="C2655" s="41"/>
      <c r="D2655" s="38"/>
      <c r="E2655" s="57"/>
      <c r="F2655" s="42"/>
      <c r="G2655" s="43"/>
      <c r="H2655" s="37"/>
      <c r="I2655" s="37"/>
      <c r="J2655" s="38"/>
      <c r="K2655" s="37"/>
      <c r="L2655" s="38"/>
      <c r="M2655" s="39"/>
      <c r="P2655" s="37"/>
      <c r="Q2655" s="37"/>
      <c r="R2655" s="37"/>
      <c r="S2655" s="37"/>
      <c r="T2655" s="37"/>
      <c r="U2655" s="37"/>
      <c r="V2655" s="37"/>
      <c r="W2655" s="37"/>
      <c r="X2655" s="37"/>
      <c r="Y2655" s="37"/>
      <c r="Z2655" s="37"/>
      <c r="AA2655" s="37"/>
      <c r="AB2655" s="37"/>
      <c r="AC2655" s="37"/>
      <c r="AD2655" s="37"/>
      <c r="AE2655" s="37"/>
      <c r="AF2655" s="37"/>
      <c r="AG2655" s="37"/>
      <c r="AH2655" s="37"/>
      <c r="AI2655" s="37"/>
      <c r="AJ2655" s="37"/>
      <c r="AK2655" s="37"/>
      <c r="AL2655" s="37"/>
      <c r="AM2655" s="37"/>
      <c r="AN2655" s="37"/>
      <c r="AO2655" s="37"/>
      <c r="AP2655" s="37"/>
      <c r="AQ2655" s="37"/>
      <c r="AR2655" s="37"/>
      <c r="AS2655" s="37"/>
      <c r="AT2655" s="37"/>
      <c r="AU2655" s="37"/>
      <c r="AV2655" s="37"/>
      <c r="AW2655" s="37"/>
      <c r="AX2655" s="37"/>
      <c r="AY2655" s="37"/>
      <c r="AZ2655" s="37"/>
      <c r="BA2655" s="37"/>
      <c r="BB2655" s="37"/>
      <c r="BC2655" s="37"/>
      <c r="BD2655" s="37"/>
      <c r="BE2655" s="37"/>
      <c r="BF2655" s="37"/>
      <c r="BG2655" s="37"/>
      <c r="BH2655" s="37"/>
      <c r="BI2655" s="37"/>
      <c r="BJ2655" s="37"/>
      <c r="BK2655" s="37"/>
      <c r="BL2655" s="37"/>
      <c r="BM2655" s="37"/>
    </row>
    <row r="2656" spans="1:65" s="40" customFormat="1" ht="23.25" x14ac:dyDescent="0.35">
      <c r="A2656" s="37"/>
      <c r="B2656" s="37"/>
      <c r="C2656" s="41"/>
      <c r="D2656" s="38"/>
      <c r="E2656" s="57"/>
      <c r="F2656" s="42"/>
      <c r="G2656" s="43"/>
      <c r="H2656" s="37"/>
      <c r="I2656" s="37"/>
      <c r="J2656" s="38"/>
      <c r="K2656" s="37"/>
      <c r="L2656" s="38"/>
      <c r="M2656" s="39"/>
      <c r="P2656" s="37"/>
      <c r="Q2656" s="37"/>
      <c r="R2656" s="37"/>
      <c r="S2656" s="37"/>
      <c r="T2656" s="37"/>
      <c r="U2656" s="37"/>
      <c r="V2656" s="37"/>
      <c r="W2656" s="37"/>
      <c r="X2656" s="37"/>
      <c r="Y2656" s="37"/>
      <c r="Z2656" s="37"/>
      <c r="AA2656" s="37"/>
      <c r="AB2656" s="37"/>
      <c r="AC2656" s="37"/>
      <c r="AD2656" s="37"/>
      <c r="AE2656" s="37"/>
      <c r="AF2656" s="37"/>
      <c r="AG2656" s="37"/>
      <c r="AH2656" s="37"/>
      <c r="AI2656" s="37"/>
      <c r="AJ2656" s="37"/>
      <c r="AK2656" s="37"/>
      <c r="AL2656" s="37"/>
      <c r="AM2656" s="37"/>
      <c r="AN2656" s="37"/>
      <c r="AO2656" s="37"/>
      <c r="AP2656" s="37"/>
      <c r="AQ2656" s="37"/>
      <c r="AR2656" s="37"/>
      <c r="AS2656" s="37"/>
      <c r="AT2656" s="37"/>
      <c r="AU2656" s="37"/>
      <c r="AV2656" s="37"/>
      <c r="AW2656" s="37"/>
      <c r="AX2656" s="37"/>
      <c r="AY2656" s="37"/>
      <c r="AZ2656" s="37"/>
      <c r="BA2656" s="37"/>
      <c r="BB2656" s="37"/>
      <c r="BC2656" s="37"/>
      <c r="BD2656" s="37"/>
      <c r="BE2656" s="37"/>
      <c r="BF2656" s="37"/>
      <c r="BG2656" s="37"/>
      <c r="BH2656" s="37"/>
      <c r="BI2656" s="37"/>
      <c r="BJ2656" s="37"/>
      <c r="BK2656" s="37"/>
      <c r="BL2656" s="37"/>
      <c r="BM2656" s="37"/>
    </row>
    <row r="2657" spans="1:65" s="40" customFormat="1" ht="23.25" x14ac:dyDescent="0.35">
      <c r="A2657" s="37"/>
      <c r="B2657" s="37"/>
      <c r="C2657" s="41"/>
      <c r="D2657" s="38"/>
      <c r="E2657" s="57"/>
      <c r="F2657" s="42"/>
      <c r="G2657" s="43"/>
      <c r="H2657" s="37"/>
      <c r="I2657" s="37"/>
      <c r="J2657" s="38"/>
      <c r="K2657" s="37"/>
      <c r="L2657" s="38"/>
      <c r="M2657" s="39"/>
      <c r="P2657" s="37"/>
      <c r="Q2657" s="37"/>
      <c r="R2657" s="37"/>
      <c r="S2657" s="37"/>
      <c r="T2657" s="37"/>
      <c r="U2657" s="37"/>
      <c r="V2657" s="37"/>
      <c r="W2657" s="37"/>
      <c r="X2657" s="37"/>
      <c r="Y2657" s="37"/>
      <c r="Z2657" s="37"/>
      <c r="AA2657" s="37"/>
      <c r="AB2657" s="37"/>
      <c r="AC2657" s="37"/>
      <c r="AD2657" s="37"/>
      <c r="AE2657" s="37"/>
      <c r="AF2657" s="37"/>
      <c r="AG2657" s="37"/>
      <c r="AH2657" s="37"/>
      <c r="AI2657" s="37"/>
      <c r="AJ2657" s="37"/>
      <c r="AK2657" s="37"/>
      <c r="AL2657" s="37"/>
      <c r="AM2657" s="37"/>
      <c r="AN2657" s="37"/>
      <c r="AO2657" s="37"/>
      <c r="AP2657" s="37"/>
      <c r="AQ2657" s="37"/>
      <c r="AR2657" s="37"/>
      <c r="AS2657" s="37"/>
      <c r="AT2657" s="37"/>
      <c r="AU2657" s="37"/>
      <c r="AV2657" s="37"/>
      <c r="AW2657" s="37"/>
      <c r="AX2657" s="37"/>
      <c r="AY2657" s="37"/>
      <c r="AZ2657" s="37"/>
      <c r="BA2657" s="37"/>
      <c r="BB2657" s="37"/>
      <c r="BC2657" s="37"/>
      <c r="BD2657" s="37"/>
      <c r="BE2657" s="37"/>
      <c r="BF2657" s="37"/>
      <c r="BG2657" s="37"/>
      <c r="BH2657" s="37"/>
      <c r="BI2657" s="37"/>
      <c r="BJ2657" s="37"/>
      <c r="BK2657" s="37"/>
      <c r="BL2657" s="37"/>
      <c r="BM2657" s="37"/>
    </row>
    <row r="2658" spans="1:65" s="40" customFormat="1" ht="23.25" x14ac:dyDescent="0.35">
      <c r="A2658" s="37"/>
      <c r="B2658" s="37"/>
      <c r="C2658" s="41"/>
      <c r="D2658" s="38"/>
      <c r="E2658" s="57"/>
      <c r="F2658" s="42"/>
      <c r="G2658" s="43"/>
      <c r="H2658" s="37"/>
      <c r="I2658" s="37"/>
      <c r="J2658" s="38"/>
      <c r="K2658" s="37"/>
      <c r="L2658" s="38"/>
      <c r="M2658" s="39"/>
      <c r="P2658" s="37"/>
      <c r="Q2658" s="37"/>
      <c r="R2658" s="37"/>
      <c r="S2658" s="37"/>
      <c r="T2658" s="37"/>
      <c r="U2658" s="37"/>
      <c r="V2658" s="37"/>
      <c r="W2658" s="37"/>
      <c r="X2658" s="37"/>
      <c r="Y2658" s="37"/>
      <c r="Z2658" s="37"/>
      <c r="AA2658" s="37"/>
      <c r="AB2658" s="37"/>
      <c r="AC2658" s="37"/>
      <c r="AD2658" s="37"/>
      <c r="AE2658" s="37"/>
      <c r="AF2658" s="37"/>
      <c r="AG2658" s="37"/>
      <c r="AH2658" s="37"/>
      <c r="AI2658" s="37"/>
      <c r="AJ2658" s="37"/>
      <c r="AK2658" s="37"/>
      <c r="AL2658" s="37"/>
      <c r="AM2658" s="37"/>
      <c r="AN2658" s="37"/>
      <c r="AO2658" s="37"/>
      <c r="AP2658" s="37"/>
      <c r="AQ2658" s="37"/>
      <c r="AR2658" s="37"/>
      <c r="AS2658" s="37"/>
      <c r="AT2658" s="37"/>
      <c r="AU2658" s="37"/>
      <c r="AV2658" s="37"/>
      <c r="AW2658" s="37"/>
      <c r="AX2658" s="37"/>
      <c r="AY2658" s="37"/>
      <c r="AZ2658" s="37"/>
      <c r="BA2658" s="37"/>
      <c r="BB2658" s="37"/>
      <c r="BC2658" s="37"/>
      <c r="BD2658" s="37"/>
      <c r="BE2658" s="37"/>
      <c r="BF2658" s="37"/>
      <c r="BG2658" s="37"/>
      <c r="BH2658" s="37"/>
      <c r="BI2658" s="37"/>
      <c r="BJ2658" s="37"/>
      <c r="BK2658" s="37"/>
      <c r="BL2658" s="37"/>
      <c r="BM2658" s="37"/>
    </row>
    <row r="2659" spans="1:65" s="40" customFormat="1" ht="23.25" x14ac:dyDescent="0.35">
      <c r="A2659" s="37"/>
      <c r="B2659" s="37"/>
      <c r="C2659" s="41"/>
      <c r="D2659" s="38"/>
      <c r="E2659" s="57"/>
      <c r="F2659" s="42"/>
      <c r="G2659" s="43"/>
      <c r="H2659" s="37"/>
      <c r="I2659" s="37"/>
      <c r="J2659" s="38"/>
      <c r="K2659" s="37"/>
      <c r="L2659" s="38"/>
      <c r="M2659" s="39"/>
      <c r="P2659" s="37"/>
      <c r="Q2659" s="37"/>
      <c r="R2659" s="37"/>
      <c r="S2659" s="37"/>
      <c r="T2659" s="37"/>
      <c r="U2659" s="37"/>
      <c r="V2659" s="37"/>
      <c r="W2659" s="37"/>
      <c r="X2659" s="37"/>
      <c r="Y2659" s="37"/>
      <c r="Z2659" s="37"/>
      <c r="AA2659" s="37"/>
      <c r="AB2659" s="37"/>
      <c r="AC2659" s="37"/>
      <c r="AD2659" s="37"/>
      <c r="AE2659" s="37"/>
      <c r="AF2659" s="37"/>
      <c r="AG2659" s="37"/>
      <c r="AH2659" s="37"/>
      <c r="AI2659" s="37"/>
      <c r="AJ2659" s="37"/>
      <c r="AK2659" s="37"/>
      <c r="AL2659" s="37"/>
      <c r="AM2659" s="37"/>
      <c r="AN2659" s="37"/>
      <c r="AO2659" s="37"/>
      <c r="AP2659" s="37"/>
      <c r="AQ2659" s="37"/>
      <c r="AR2659" s="37"/>
      <c r="AS2659" s="37"/>
      <c r="AT2659" s="37"/>
      <c r="AU2659" s="37"/>
      <c r="AV2659" s="37"/>
      <c r="AW2659" s="37"/>
      <c r="AX2659" s="37"/>
      <c r="AY2659" s="37"/>
      <c r="AZ2659" s="37"/>
      <c r="BA2659" s="37"/>
      <c r="BB2659" s="37"/>
      <c r="BC2659" s="37"/>
      <c r="BD2659" s="37"/>
      <c r="BE2659" s="37"/>
      <c r="BF2659" s="37"/>
      <c r="BG2659" s="37"/>
      <c r="BH2659" s="37"/>
      <c r="BI2659" s="37"/>
      <c r="BJ2659" s="37"/>
      <c r="BK2659" s="37"/>
      <c r="BL2659" s="37"/>
      <c r="BM2659" s="37"/>
    </row>
    <row r="2660" spans="1:65" s="40" customFormat="1" ht="23.25" x14ac:dyDescent="0.35">
      <c r="A2660" s="37"/>
      <c r="B2660" s="37"/>
      <c r="C2660" s="41"/>
      <c r="D2660" s="38"/>
      <c r="E2660" s="57"/>
      <c r="F2660" s="42"/>
      <c r="G2660" s="43"/>
      <c r="H2660" s="37"/>
      <c r="I2660" s="37"/>
      <c r="J2660" s="38"/>
      <c r="K2660" s="37"/>
      <c r="L2660" s="38"/>
      <c r="M2660" s="39"/>
      <c r="P2660" s="37"/>
      <c r="Q2660" s="37"/>
      <c r="R2660" s="37"/>
      <c r="S2660" s="37"/>
      <c r="T2660" s="37"/>
      <c r="U2660" s="37"/>
      <c r="V2660" s="37"/>
      <c r="W2660" s="37"/>
      <c r="X2660" s="37"/>
      <c r="Y2660" s="37"/>
      <c r="Z2660" s="37"/>
      <c r="AA2660" s="37"/>
      <c r="AB2660" s="37"/>
      <c r="AC2660" s="37"/>
      <c r="AD2660" s="37"/>
      <c r="AE2660" s="37"/>
      <c r="AF2660" s="37"/>
      <c r="AG2660" s="37"/>
      <c r="AH2660" s="37"/>
      <c r="AI2660" s="37"/>
      <c r="AJ2660" s="37"/>
      <c r="AK2660" s="37"/>
      <c r="AL2660" s="37"/>
      <c r="AM2660" s="37"/>
      <c r="AN2660" s="37"/>
      <c r="AO2660" s="37"/>
      <c r="AP2660" s="37"/>
      <c r="AQ2660" s="37"/>
      <c r="AR2660" s="37"/>
      <c r="AS2660" s="37"/>
      <c r="AT2660" s="37"/>
      <c r="AU2660" s="37"/>
      <c r="AV2660" s="37"/>
      <c r="AW2660" s="37"/>
      <c r="AX2660" s="37"/>
      <c r="AY2660" s="37"/>
      <c r="AZ2660" s="37"/>
      <c r="BA2660" s="37"/>
      <c r="BB2660" s="37"/>
      <c r="BC2660" s="37"/>
      <c r="BD2660" s="37"/>
      <c r="BE2660" s="37"/>
      <c r="BF2660" s="37"/>
      <c r="BG2660" s="37"/>
      <c r="BH2660" s="37"/>
      <c r="BI2660" s="37"/>
      <c r="BJ2660" s="37"/>
      <c r="BK2660" s="37"/>
      <c r="BL2660" s="37"/>
      <c r="BM2660" s="37"/>
    </row>
    <row r="2661" spans="1:65" s="40" customFormat="1" ht="23.25" x14ac:dyDescent="0.35">
      <c r="A2661" s="37"/>
      <c r="B2661" s="37"/>
      <c r="C2661" s="41"/>
      <c r="D2661" s="38"/>
      <c r="E2661" s="57"/>
      <c r="F2661" s="42"/>
      <c r="G2661" s="43"/>
      <c r="H2661" s="37"/>
      <c r="I2661" s="37"/>
      <c r="J2661" s="38"/>
      <c r="K2661" s="37"/>
      <c r="L2661" s="38"/>
      <c r="M2661" s="39"/>
      <c r="P2661" s="37"/>
      <c r="Q2661" s="37"/>
      <c r="R2661" s="37"/>
      <c r="S2661" s="37"/>
      <c r="T2661" s="37"/>
      <c r="U2661" s="37"/>
      <c r="V2661" s="37"/>
      <c r="W2661" s="37"/>
      <c r="X2661" s="37"/>
      <c r="Y2661" s="37"/>
      <c r="Z2661" s="37"/>
      <c r="AA2661" s="37"/>
      <c r="AB2661" s="37"/>
      <c r="AC2661" s="37"/>
      <c r="AD2661" s="37"/>
      <c r="AE2661" s="37"/>
      <c r="AF2661" s="37"/>
      <c r="AG2661" s="37"/>
      <c r="AH2661" s="37"/>
      <c r="AI2661" s="37"/>
      <c r="AJ2661" s="37"/>
      <c r="AK2661" s="37"/>
      <c r="AL2661" s="37"/>
      <c r="AM2661" s="37"/>
      <c r="AN2661" s="37"/>
      <c r="AO2661" s="37"/>
      <c r="AP2661" s="37"/>
      <c r="AQ2661" s="37"/>
      <c r="AR2661" s="37"/>
      <c r="AS2661" s="37"/>
      <c r="AT2661" s="37"/>
      <c r="AU2661" s="37"/>
      <c r="AV2661" s="37"/>
      <c r="AW2661" s="37"/>
      <c r="AX2661" s="37"/>
      <c r="AY2661" s="37"/>
      <c r="AZ2661" s="37"/>
      <c r="BA2661" s="37"/>
      <c r="BB2661" s="37"/>
      <c r="BC2661" s="37"/>
      <c r="BD2661" s="37"/>
      <c r="BE2661" s="37"/>
      <c r="BF2661" s="37"/>
      <c r="BG2661" s="37"/>
      <c r="BH2661" s="37"/>
      <c r="BI2661" s="37"/>
      <c r="BJ2661" s="37"/>
      <c r="BK2661" s="37"/>
      <c r="BL2661" s="37"/>
      <c r="BM2661" s="37"/>
    </row>
    <row r="2662" spans="1:65" s="40" customFormat="1" ht="23.25" x14ac:dyDescent="0.35">
      <c r="A2662" s="37"/>
      <c r="B2662" s="37"/>
      <c r="C2662" s="41"/>
      <c r="D2662" s="38"/>
      <c r="E2662" s="57"/>
      <c r="F2662" s="42"/>
      <c r="G2662" s="43"/>
      <c r="H2662" s="37"/>
      <c r="I2662" s="37"/>
      <c r="J2662" s="38"/>
      <c r="K2662" s="37"/>
      <c r="L2662" s="38"/>
      <c r="M2662" s="39"/>
      <c r="P2662" s="37"/>
      <c r="Q2662" s="37"/>
      <c r="R2662" s="37"/>
      <c r="S2662" s="37"/>
      <c r="T2662" s="37"/>
      <c r="U2662" s="37"/>
      <c r="V2662" s="37"/>
      <c r="W2662" s="37"/>
      <c r="X2662" s="37"/>
      <c r="Y2662" s="37"/>
      <c r="Z2662" s="37"/>
      <c r="AA2662" s="37"/>
      <c r="AB2662" s="37"/>
      <c r="AC2662" s="37"/>
      <c r="AD2662" s="37"/>
      <c r="AE2662" s="37"/>
      <c r="AF2662" s="37"/>
      <c r="AG2662" s="37"/>
      <c r="AH2662" s="37"/>
      <c r="AI2662" s="37"/>
      <c r="AJ2662" s="37"/>
      <c r="AK2662" s="37"/>
      <c r="AL2662" s="37"/>
      <c r="AM2662" s="37"/>
      <c r="AN2662" s="37"/>
      <c r="AO2662" s="37"/>
      <c r="AP2662" s="37"/>
      <c r="AQ2662" s="37"/>
      <c r="AR2662" s="37"/>
      <c r="AS2662" s="37"/>
      <c r="AT2662" s="37"/>
      <c r="AU2662" s="37"/>
      <c r="AV2662" s="37"/>
      <c r="AW2662" s="37"/>
      <c r="AX2662" s="37"/>
      <c r="AY2662" s="37"/>
      <c r="AZ2662" s="37"/>
      <c r="BA2662" s="37"/>
      <c r="BB2662" s="37"/>
      <c r="BC2662" s="37"/>
      <c r="BD2662" s="37"/>
      <c r="BE2662" s="37"/>
      <c r="BF2662" s="37"/>
      <c r="BG2662" s="37"/>
      <c r="BH2662" s="37"/>
      <c r="BI2662" s="37"/>
      <c r="BJ2662" s="37"/>
      <c r="BK2662" s="37"/>
      <c r="BL2662" s="37"/>
      <c r="BM2662" s="37"/>
    </row>
    <row r="2663" spans="1:65" s="40" customFormat="1" ht="23.25" x14ac:dyDescent="0.35">
      <c r="A2663" s="37"/>
      <c r="B2663" s="37"/>
      <c r="C2663" s="41"/>
      <c r="D2663" s="38"/>
      <c r="E2663" s="57"/>
      <c r="F2663" s="42"/>
      <c r="G2663" s="43"/>
      <c r="H2663" s="37"/>
      <c r="I2663" s="37"/>
      <c r="J2663" s="38"/>
      <c r="K2663" s="37"/>
      <c r="L2663" s="38"/>
      <c r="M2663" s="39"/>
      <c r="P2663" s="37"/>
      <c r="Q2663" s="37"/>
      <c r="R2663" s="37"/>
      <c r="S2663" s="37"/>
      <c r="T2663" s="37"/>
      <c r="U2663" s="37"/>
      <c r="V2663" s="37"/>
      <c r="W2663" s="37"/>
      <c r="X2663" s="37"/>
      <c r="Y2663" s="37"/>
      <c r="Z2663" s="37"/>
      <c r="AA2663" s="37"/>
      <c r="AB2663" s="37"/>
      <c r="AC2663" s="37"/>
      <c r="AD2663" s="37"/>
      <c r="AE2663" s="37"/>
      <c r="AF2663" s="37"/>
      <c r="AG2663" s="37"/>
      <c r="AH2663" s="37"/>
      <c r="AI2663" s="37"/>
      <c r="AJ2663" s="37"/>
      <c r="AK2663" s="37"/>
      <c r="AL2663" s="37"/>
      <c r="AM2663" s="37"/>
      <c r="AN2663" s="37"/>
      <c r="AO2663" s="37"/>
      <c r="AP2663" s="37"/>
      <c r="AQ2663" s="37"/>
      <c r="AR2663" s="37"/>
      <c r="AS2663" s="37"/>
      <c r="AT2663" s="37"/>
      <c r="AU2663" s="37"/>
      <c r="AV2663" s="37"/>
      <c r="AW2663" s="37"/>
      <c r="AX2663" s="37"/>
      <c r="AY2663" s="37"/>
      <c r="AZ2663" s="37"/>
      <c r="BA2663" s="37"/>
      <c r="BB2663" s="37"/>
      <c r="BC2663" s="37"/>
      <c r="BD2663" s="37"/>
      <c r="BE2663" s="37"/>
      <c r="BF2663" s="37"/>
      <c r="BG2663" s="37"/>
      <c r="BH2663" s="37"/>
      <c r="BI2663" s="37"/>
      <c r="BJ2663" s="37"/>
      <c r="BK2663" s="37"/>
      <c r="BL2663" s="37"/>
      <c r="BM2663" s="37"/>
    </row>
    <row r="2664" spans="1:65" s="40" customFormat="1" ht="23.25" x14ac:dyDescent="0.35">
      <c r="A2664" s="37"/>
      <c r="B2664" s="37"/>
      <c r="C2664" s="41"/>
      <c r="D2664" s="38"/>
      <c r="E2664" s="57"/>
      <c r="F2664" s="42"/>
      <c r="G2664" s="43"/>
      <c r="H2664" s="37"/>
      <c r="I2664" s="37"/>
      <c r="J2664" s="38"/>
      <c r="K2664" s="37"/>
      <c r="L2664" s="38"/>
      <c r="M2664" s="39"/>
      <c r="P2664" s="37"/>
      <c r="Q2664" s="37"/>
      <c r="R2664" s="37"/>
      <c r="S2664" s="37"/>
      <c r="T2664" s="37"/>
      <c r="U2664" s="37"/>
      <c r="V2664" s="37"/>
      <c r="W2664" s="37"/>
      <c r="X2664" s="37"/>
      <c r="Y2664" s="37"/>
      <c r="Z2664" s="37"/>
      <c r="AA2664" s="37"/>
      <c r="AB2664" s="37"/>
      <c r="AC2664" s="37"/>
      <c r="AD2664" s="37"/>
      <c r="AE2664" s="37"/>
      <c r="AF2664" s="37"/>
      <c r="AG2664" s="37"/>
      <c r="AH2664" s="37"/>
      <c r="AI2664" s="37"/>
      <c r="AJ2664" s="37"/>
      <c r="AK2664" s="37"/>
      <c r="AL2664" s="37"/>
      <c r="AM2664" s="37"/>
      <c r="AN2664" s="37"/>
      <c r="AO2664" s="37"/>
      <c r="AP2664" s="37"/>
      <c r="AQ2664" s="37"/>
      <c r="AR2664" s="37"/>
      <c r="AS2664" s="37"/>
      <c r="AT2664" s="37"/>
      <c r="AU2664" s="37"/>
      <c r="AV2664" s="37"/>
      <c r="AW2664" s="37"/>
      <c r="AX2664" s="37"/>
      <c r="AY2664" s="37"/>
      <c r="AZ2664" s="37"/>
      <c r="BA2664" s="37"/>
      <c r="BB2664" s="37"/>
      <c r="BC2664" s="37"/>
      <c r="BD2664" s="37"/>
      <c r="BE2664" s="37"/>
      <c r="BF2664" s="37"/>
      <c r="BG2664" s="37"/>
      <c r="BH2664" s="37"/>
      <c r="BI2664" s="37"/>
      <c r="BJ2664" s="37"/>
      <c r="BK2664" s="37"/>
      <c r="BL2664" s="37"/>
      <c r="BM2664" s="37"/>
    </row>
    <row r="2665" spans="1:65" s="40" customFormat="1" ht="23.25" x14ac:dyDescent="0.35">
      <c r="A2665" s="37"/>
      <c r="B2665" s="37"/>
      <c r="C2665" s="41"/>
      <c r="D2665" s="38"/>
      <c r="E2665" s="57"/>
      <c r="F2665" s="42"/>
      <c r="G2665" s="43"/>
      <c r="H2665" s="37"/>
      <c r="I2665" s="37"/>
      <c r="J2665" s="38"/>
      <c r="K2665" s="37"/>
      <c r="L2665" s="38"/>
      <c r="M2665" s="39"/>
      <c r="P2665" s="37"/>
      <c r="Q2665" s="37"/>
      <c r="R2665" s="37"/>
      <c r="S2665" s="37"/>
      <c r="T2665" s="37"/>
      <c r="U2665" s="37"/>
      <c r="V2665" s="37"/>
      <c r="W2665" s="37"/>
      <c r="X2665" s="37"/>
      <c r="Y2665" s="37"/>
      <c r="Z2665" s="37"/>
      <c r="AA2665" s="37"/>
      <c r="AB2665" s="37"/>
      <c r="AC2665" s="37"/>
      <c r="AD2665" s="37"/>
      <c r="AE2665" s="37"/>
      <c r="AF2665" s="37"/>
      <c r="AG2665" s="37"/>
      <c r="AH2665" s="37"/>
      <c r="AI2665" s="37"/>
      <c r="AJ2665" s="37"/>
      <c r="AK2665" s="37"/>
      <c r="AL2665" s="37"/>
      <c r="AM2665" s="37"/>
      <c r="AN2665" s="37"/>
      <c r="AO2665" s="37"/>
      <c r="AP2665" s="37"/>
      <c r="AQ2665" s="37"/>
      <c r="AR2665" s="37"/>
      <c r="AS2665" s="37"/>
      <c r="AT2665" s="37"/>
      <c r="AU2665" s="37"/>
      <c r="AV2665" s="37"/>
      <c r="AW2665" s="37"/>
      <c r="AX2665" s="37"/>
      <c r="AY2665" s="37"/>
      <c r="AZ2665" s="37"/>
      <c r="BA2665" s="37"/>
      <c r="BB2665" s="37"/>
      <c r="BC2665" s="37"/>
      <c r="BD2665" s="37"/>
      <c r="BE2665" s="37"/>
      <c r="BF2665" s="37"/>
      <c r="BG2665" s="37"/>
      <c r="BH2665" s="37"/>
      <c r="BI2665" s="37"/>
      <c r="BJ2665" s="37"/>
      <c r="BK2665" s="37"/>
      <c r="BL2665" s="37"/>
      <c r="BM2665" s="37"/>
    </row>
    <row r="2666" spans="1:65" s="40" customFormat="1" ht="23.25" x14ac:dyDescent="0.35">
      <c r="A2666" s="37"/>
      <c r="B2666" s="37"/>
      <c r="C2666" s="41"/>
      <c r="D2666" s="38"/>
      <c r="E2666" s="57"/>
      <c r="F2666" s="42"/>
      <c r="G2666" s="43"/>
      <c r="H2666" s="37"/>
      <c r="I2666" s="37"/>
      <c r="J2666" s="38"/>
      <c r="K2666" s="37"/>
      <c r="L2666" s="38"/>
      <c r="M2666" s="39"/>
      <c r="P2666" s="37"/>
      <c r="Q2666" s="37"/>
      <c r="R2666" s="37"/>
      <c r="S2666" s="37"/>
      <c r="T2666" s="37"/>
      <c r="U2666" s="37"/>
      <c r="V2666" s="37"/>
      <c r="W2666" s="37"/>
      <c r="X2666" s="37"/>
      <c r="Y2666" s="37"/>
      <c r="Z2666" s="37"/>
      <c r="AA2666" s="37"/>
      <c r="AB2666" s="37"/>
      <c r="AC2666" s="37"/>
      <c r="AD2666" s="37"/>
      <c r="AE2666" s="37"/>
      <c r="AF2666" s="37"/>
      <c r="AG2666" s="37"/>
      <c r="AH2666" s="37"/>
      <c r="AI2666" s="37"/>
      <c r="AJ2666" s="37"/>
      <c r="AK2666" s="37"/>
      <c r="AL2666" s="37"/>
      <c r="AM2666" s="37"/>
      <c r="AN2666" s="37"/>
      <c r="AO2666" s="37"/>
      <c r="AP2666" s="37"/>
      <c r="AQ2666" s="37"/>
      <c r="AR2666" s="37"/>
      <c r="AS2666" s="37"/>
      <c r="AT2666" s="37"/>
      <c r="AU2666" s="37"/>
      <c r="AV2666" s="37"/>
      <c r="AW2666" s="37"/>
      <c r="AX2666" s="37"/>
      <c r="AY2666" s="37"/>
      <c r="AZ2666" s="37"/>
      <c r="BA2666" s="37"/>
      <c r="BB2666" s="37"/>
      <c r="BC2666" s="37"/>
      <c r="BD2666" s="37"/>
      <c r="BE2666" s="37"/>
      <c r="BF2666" s="37"/>
      <c r="BG2666" s="37"/>
      <c r="BH2666" s="37"/>
      <c r="BI2666" s="37"/>
      <c r="BJ2666" s="37"/>
      <c r="BK2666" s="37"/>
      <c r="BL2666" s="37"/>
      <c r="BM2666" s="37"/>
    </row>
    <row r="2667" spans="1:65" s="40" customFormat="1" ht="23.25" x14ac:dyDescent="0.35">
      <c r="A2667" s="37"/>
      <c r="B2667" s="37"/>
      <c r="C2667" s="41"/>
      <c r="D2667" s="38"/>
      <c r="E2667" s="57"/>
      <c r="F2667" s="42"/>
      <c r="G2667" s="43"/>
      <c r="H2667" s="37"/>
      <c r="I2667" s="37"/>
      <c r="J2667" s="38"/>
      <c r="K2667" s="37"/>
      <c r="L2667" s="38"/>
      <c r="M2667" s="39"/>
      <c r="P2667" s="37"/>
      <c r="Q2667" s="37"/>
      <c r="R2667" s="37"/>
      <c r="S2667" s="37"/>
      <c r="T2667" s="37"/>
      <c r="U2667" s="37"/>
      <c r="V2667" s="37"/>
      <c r="W2667" s="37"/>
      <c r="X2667" s="37"/>
      <c r="Y2667" s="37"/>
      <c r="Z2667" s="37"/>
      <c r="AA2667" s="37"/>
      <c r="AB2667" s="37"/>
      <c r="AC2667" s="37"/>
      <c r="AD2667" s="37"/>
      <c r="AE2667" s="37"/>
      <c r="AF2667" s="37"/>
      <c r="AG2667" s="37"/>
      <c r="AH2667" s="37"/>
      <c r="AI2667" s="37"/>
      <c r="AJ2667" s="37"/>
      <c r="AK2667" s="37"/>
      <c r="AL2667" s="37"/>
      <c r="AM2667" s="37"/>
      <c r="AN2667" s="37"/>
      <c r="AO2667" s="37"/>
      <c r="AP2667" s="37"/>
      <c r="AQ2667" s="37"/>
      <c r="AR2667" s="37"/>
      <c r="AS2667" s="37"/>
      <c r="AT2667" s="37"/>
      <c r="AU2667" s="37"/>
      <c r="AV2667" s="37"/>
      <c r="AW2667" s="37"/>
      <c r="AX2667" s="37"/>
      <c r="AY2667" s="37"/>
      <c r="AZ2667" s="37"/>
      <c r="BA2667" s="37"/>
      <c r="BB2667" s="37"/>
      <c r="BC2667" s="37"/>
      <c r="BD2667" s="37"/>
      <c r="BE2667" s="37"/>
      <c r="BF2667" s="37"/>
      <c r="BG2667" s="37"/>
      <c r="BH2667" s="37"/>
      <c r="BI2667" s="37"/>
      <c r="BJ2667" s="37"/>
      <c r="BK2667" s="37"/>
      <c r="BL2667" s="37"/>
      <c r="BM2667" s="37"/>
    </row>
    <row r="2668" spans="1:65" s="40" customFormat="1" ht="23.25" x14ac:dyDescent="0.35">
      <c r="A2668" s="37"/>
      <c r="B2668" s="37"/>
      <c r="C2668" s="41"/>
      <c r="D2668" s="38"/>
      <c r="E2668" s="57"/>
      <c r="F2668" s="42"/>
      <c r="G2668" s="43"/>
      <c r="H2668" s="37"/>
      <c r="I2668" s="37"/>
      <c r="J2668" s="38"/>
      <c r="K2668" s="37"/>
      <c r="L2668" s="38"/>
      <c r="M2668" s="39"/>
      <c r="P2668" s="37"/>
      <c r="Q2668" s="37"/>
      <c r="R2668" s="37"/>
      <c r="S2668" s="37"/>
      <c r="T2668" s="37"/>
      <c r="U2668" s="37"/>
      <c r="V2668" s="37"/>
      <c r="W2668" s="37"/>
      <c r="X2668" s="37"/>
      <c r="Y2668" s="37"/>
      <c r="Z2668" s="37"/>
      <c r="AA2668" s="37"/>
      <c r="AB2668" s="37"/>
      <c r="AC2668" s="37"/>
      <c r="AD2668" s="37"/>
      <c r="AE2668" s="37"/>
      <c r="AF2668" s="37"/>
      <c r="AG2668" s="37"/>
      <c r="AH2668" s="37"/>
      <c r="AI2668" s="37"/>
      <c r="AJ2668" s="37"/>
      <c r="AK2668" s="37"/>
      <c r="AL2668" s="37"/>
      <c r="AM2668" s="37"/>
      <c r="AN2668" s="37"/>
      <c r="AO2668" s="37"/>
      <c r="AP2668" s="37"/>
      <c r="AQ2668" s="37"/>
      <c r="AR2668" s="37"/>
      <c r="AS2668" s="37"/>
      <c r="AT2668" s="37"/>
      <c r="AU2668" s="37"/>
      <c r="AV2668" s="37"/>
      <c r="AW2668" s="37"/>
      <c r="AX2668" s="37"/>
      <c r="AY2668" s="37"/>
      <c r="AZ2668" s="37"/>
      <c r="BA2668" s="37"/>
      <c r="BB2668" s="37"/>
      <c r="BC2668" s="37"/>
      <c r="BD2668" s="37"/>
      <c r="BE2668" s="37"/>
      <c r="BF2668" s="37"/>
      <c r="BG2668" s="37"/>
      <c r="BH2668" s="37"/>
      <c r="BI2668" s="37"/>
      <c r="BJ2668" s="37"/>
      <c r="BK2668" s="37"/>
      <c r="BL2668" s="37"/>
      <c r="BM2668" s="37"/>
    </row>
    <row r="2669" spans="1:65" s="40" customFormat="1" ht="23.25" x14ac:dyDescent="0.35">
      <c r="A2669" s="37"/>
      <c r="B2669" s="37"/>
      <c r="C2669" s="41"/>
      <c r="D2669" s="38"/>
      <c r="E2669" s="57"/>
      <c r="F2669" s="42"/>
      <c r="G2669" s="43"/>
      <c r="H2669" s="37"/>
      <c r="I2669" s="37"/>
      <c r="J2669" s="38"/>
      <c r="K2669" s="37"/>
      <c r="L2669" s="38"/>
      <c r="M2669" s="39"/>
      <c r="P2669" s="37"/>
      <c r="Q2669" s="37"/>
      <c r="R2669" s="37"/>
      <c r="S2669" s="37"/>
      <c r="T2669" s="37"/>
      <c r="U2669" s="37"/>
      <c r="V2669" s="37"/>
      <c r="W2669" s="37"/>
      <c r="X2669" s="37"/>
      <c r="Y2669" s="37"/>
      <c r="Z2669" s="37"/>
      <c r="AA2669" s="37"/>
      <c r="AB2669" s="37"/>
      <c r="AC2669" s="37"/>
      <c r="AD2669" s="37"/>
      <c r="AE2669" s="37"/>
      <c r="AF2669" s="37"/>
      <c r="AG2669" s="37"/>
      <c r="AH2669" s="37"/>
      <c r="AI2669" s="37"/>
      <c r="AJ2669" s="37"/>
      <c r="AK2669" s="37"/>
      <c r="AL2669" s="37"/>
      <c r="AM2669" s="37"/>
      <c r="AN2669" s="37"/>
      <c r="AO2669" s="37"/>
      <c r="AP2669" s="37"/>
      <c r="AQ2669" s="37"/>
      <c r="AR2669" s="37"/>
      <c r="AS2669" s="37"/>
      <c r="AT2669" s="37"/>
      <c r="AU2669" s="37"/>
      <c r="AV2669" s="37"/>
      <c r="AW2669" s="37"/>
      <c r="AX2669" s="37"/>
      <c r="AY2669" s="37"/>
      <c r="AZ2669" s="37"/>
      <c r="BA2669" s="37"/>
      <c r="BB2669" s="37"/>
      <c r="BC2669" s="37"/>
      <c r="BD2669" s="37"/>
      <c r="BE2669" s="37"/>
      <c r="BF2669" s="37"/>
      <c r="BG2669" s="37"/>
      <c r="BH2669" s="37"/>
      <c r="BI2669" s="37"/>
      <c r="BJ2669" s="37"/>
      <c r="BK2669" s="37"/>
      <c r="BL2669" s="37"/>
      <c r="BM2669" s="37"/>
    </row>
    <row r="2670" spans="1:65" s="40" customFormat="1" ht="23.25" x14ac:dyDescent="0.35">
      <c r="A2670" s="37"/>
      <c r="B2670" s="37"/>
      <c r="C2670" s="41"/>
      <c r="D2670" s="38"/>
      <c r="E2670" s="57"/>
      <c r="F2670" s="42"/>
      <c r="G2670" s="43"/>
      <c r="H2670" s="37"/>
      <c r="I2670" s="37"/>
      <c r="J2670" s="38"/>
      <c r="K2670" s="37"/>
      <c r="L2670" s="38"/>
      <c r="M2670" s="39"/>
      <c r="P2670" s="37"/>
      <c r="Q2670" s="37"/>
      <c r="R2670" s="37"/>
      <c r="S2670" s="37"/>
      <c r="T2670" s="37"/>
      <c r="U2670" s="37"/>
      <c r="V2670" s="37"/>
      <c r="W2670" s="37"/>
      <c r="X2670" s="37"/>
      <c r="Y2670" s="37"/>
      <c r="Z2670" s="37"/>
      <c r="AA2670" s="37"/>
      <c r="AB2670" s="37"/>
      <c r="AC2670" s="37"/>
      <c r="AD2670" s="37"/>
      <c r="AE2670" s="37"/>
      <c r="AF2670" s="37"/>
      <c r="AG2670" s="37"/>
      <c r="AH2670" s="37"/>
      <c r="AI2670" s="37"/>
      <c r="AJ2670" s="37"/>
      <c r="AK2670" s="37"/>
      <c r="AL2670" s="37"/>
      <c r="AM2670" s="37"/>
      <c r="AN2670" s="37"/>
      <c r="AO2670" s="37"/>
      <c r="AP2670" s="37"/>
      <c r="AQ2670" s="37"/>
      <c r="AR2670" s="37"/>
      <c r="AS2670" s="37"/>
      <c r="AT2670" s="37"/>
      <c r="AU2670" s="37"/>
      <c r="AV2670" s="37"/>
      <c r="AW2670" s="37"/>
      <c r="AX2670" s="37"/>
      <c r="AY2670" s="37"/>
      <c r="AZ2670" s="37"/>
      <c r="BA2670" s="37"/>
      <c r="BB2670" s="37"/>
      <c r="BC2670" s="37"/>
      <c r="BD2670" s="37"/>
      <c r="BE2670" s="37"/>
      <c r="BF2670" s="37"/>
      <c r="BG2670" s="37"/>
      <c r="BH2670" s="37"/>
      <c r="BI2670" s="37"/>
      <c r="BJ2670" s="37"/>
      <c r="BK2670" s="37"/>
      <c r="BL2670" s="37"/>
      <c r="BM2670" s="37"/>
    </row>
    <row r="2671" spans="1:65" s="40" customFormat="1" ht="23.25" x14ac:dyDescent="0.35">
      <c r="A2671" s="37"/>
      <c r="B2671" s="37"/>
      <c r="C2671" s="41"/>
      <c r="D2671" s="38"/>
      <c r="E2671" s="57"/>
      <c r="F2671" s="42"/>
      <c r="G2671" s="43"/>
      <c r="H2671" s="37"/>
      <c r="I2671" s="37"/>
      <c r="J2671" s="38"/>
      <c r="K2671" s="37"/>
      <c r="L2671" s="38"/>
      <c r="M2671" s="39"/>
      <c r="P2671" s="37"/>
      <c r="Q2671" s="37"/>
      <c r="R2671" s="37"/>
      <c r="S2671" s="37"/>
      <c r="T2671" s="37"/>
      <c r="U2671" s="37"/>
      <c r="V2671" s="37"/>
      <c r="W2671" s="37"/>
      <c r="X2671" s="37"/>
      <c r="Y2671" s="37"/>
      <c r="Z2671" s="37"/>
      <c r="AA2671" s="37"/>
      <c r="AB2671" s="37"/>
      <c r="AC2671" s="37"/>
      <c r="AD2671" s="37"/>
      <c r="AE2671" s="37"/>
      <c r="AF2671" s="37"/>
      <c r="AG2671" s="37"/>
      <c r="AH2671" s="37"/>
      <c r="AI2671" s="37"/>
      <c r="AJ2671" s="37"/>
      <c r="AK2671" s="37"/>
      <c r="AL2671" s="37"/>
      <c r="AM2671" s="37"/>
      <c r="AN2671" s="37"/>
      <c r="AO2671" s="37"/>
      <c r="AP2671" s="37"/>
      <c r="AQ2671" s="37"/>
      <c r="AR2671" s="37"/>
      <c r="AS2671" s="37"/>
      <c r="AT2671" s="37"/>
      <c r="AU2671" s="37"/>
      <c r="AV2671" s="37"/>
      <c r="AW2671" s="37"/>
      <c r="AX2671" s="37"/>
      <c r="AY2671" s="37"/>
      <c r="AZ2671" s="37"/>
      <c r="BA2671" s="37"/>
      <c r="BB2671" s="37"/>
      <c r="BC2671" s="37"/>
      <c r="BD2671" s="37"/>
      <c r="BE2671" s="37"/>
      <c r="BF2671" s="37"/>
      <c r="BG2671" s="37"/>
      <c r="BH2671" s="37"/>
      <c r="BI2671" s="37"/>
      <c r="BJ2671" s="37"/>
      <c r="BK2671" s="37"/>
      <c r="BL2671" s="37"/>
      <c r="BM2671" s="37"/>
    </row>
    <row r="2672" spans="1:65" s="40" customFormat="1" ht="23.25" x14ac:dyDescent="0.35">
      <c r="A2672" s="37"/>
      <c r="B2672" s="37"/>
      <c r="C2672" s="41"/>
      <c r="D2672" s="38"/>
      <c r="E2672" s="57"/>
      <c r="F2672" s="42"/>
      <c r="G2672" s="43"/>
      <c r="H2672" s="37"/>
      <c r="I2672" s="37"/>
      <c r="J2672" s="38"/>
      <c r="K2672" s="37"/>
      <c r="L2672" s="38"/>
      <c r="M2672" s="39"/>
      <c r="P2672" s="37"/>
      <c r="Q2672" s="37"/>
      <c r="R2672" s="37"/>
      <c r="S2672" s="37"/>
      <c r="T2672" s="37"/>
      <c r="U2672" s="37"/>
      <c r="V2672" s="37"/>
      <c r="W2672" s="37"/>
      <c r="X2672" s="37"/>
      <c r="Y2672" s="37"/>
      <c r="Z2672" s="37"/>
      <c r="AA2672" s="37"/>
      <c r="AB2672" s="37"/>
      <c r="AC2672" s="37"/>
      <c r="AD2672" s="37"/>
      <c r="AE2672" s="37"/>
      <c r="AF2672" s="37"/>
      <c r="AG2672" s="37"/>
      <c r="AH2672" s="37"/>
      <c r="AI2672" s="37"/>
      <c r="AJ2672" s="37"/>
      <c r="AK2672" s="37"/>
      <c r="AL2672" s="37"/>
      <c r="AM2672" s="37"/>
      <c r="AN2672" s="37"/>
      <c r="AO2672" s="37"/>
      <c r="AP2672" s="37"/>
      <c r="AQ2672" s="37"/>
      <c r="AR2672" s="37"/>
      <c r="AS2672" s="37"/>
      <c r="AT2672" s="37"/>
      <c r="AU2672" s="37"/>
      <c r="AV2672" s="37"/>
      <c r="AW2672" s="37"/>
      <c r="AX2672" s="37"/>
      <c r="AY2672" s="37"/>
      <c r="AZ2672" s="37"/>
      <c r="BA2672" s="37"/>
      <c r="BB2672" s="37"/>
      <c r="BC2672" s="37"/>
      <c r="BD2672" s="37"/>
      <c r="BE2672" s="37"/>
      <c r="BF2672" s="37"/>
      <c r="BG2672" s="37"/>
      <c r="BH2672" s="37"/>
      <c r="BI2672" s="37"/>
      <c r="BJ2672" s="37"/>
      <c r="BK2672" s="37"/>
      <c r="BL2672" s="37"/>
      <c r="BM2672" s="37"/>
    </row>
    <row r="2673" spans="1:65" s="40" customFormat="1" ht="23.25" x14ac:dyDescent="0.35">
      <c r="A2673" s="37"/>
      <c r="B2673" s="37"/>
      <c r="C2673" s="41"/>
      <c r="D2673" s="38"/>
      <c r="E2673" s="57"/>
      <c r="F2673" s="42"/>
      <c r="G2673" s="43"/>
      <c r="H2673" s="37"/>
      <c r="I2673" s="37"/>
      <c r="J2673" s="38"/>
      <c r="K2673" s="37"/>
      <c r="L2673" s="38"/>
      <c r="M2673" s="39"/>
      <c r="P2673" s="37"/>
      <c r="Q2673" s="37"/>
      <c r="R2673" s="37"/>
      <c r="S2673" s="37"/>
      <c r="T2673" s="37"/>
      <c r="U2673" s="37"/>
      <c r="V2673" s="37"/>
      <c r="W2673" s="37"/>
      <c r="X2673" s="37"/>
      <c r="Y2673" s="37"/>
      <c r="Z2673" s="37"/>
      <c r="AA2673" s="37"/>
      <c r="AB2673" s="37"/>
      <c r="AC2673" s="37"/>
      <c r="AD2673" s="37"/>
      <c r="AE2673" s="37"/>
      <c r="AF2673" s="37"/>
      <c r="AG2673" s="37"/>
      <c r="AH2673" s="37"/>
      <c r="AI2673" s="37"/>
      <c r="AJ2673" s="37"/>
      <c r="AK2673" s="37"/>
      <c r="AL2673" s="37"/>
      <c r="AM2673" s="37"/>
      <c r="AN2673" s="37"/>
      <c r="AO2673" s="37"/>
      <c r="AP2673" s="37"/>
      <c r="AQ2673" s="37"/>
      <c r="AR2673" s="37"/>
      <c r="AS2673" s="37"/>
      <c r="AT2673" s="37"/>
      <c r="AU2673" s="37"/>
      <c r="AV2673" s="37"/>
      <c r="AW2673" s="37"/>
      <c r="AX2673" s="37"/>
      <c r="AY2673" s="37"/>
      <c r="AZ2673" s="37"/>
      <c r="BA2673" s="37"/>
      <c r="BB2673" s="37"/>
      <c r="BC2673" s="37"/>
      <c r="BD2673" s="37"/>
      <c r="BE2673" s="37"/>
      <c r="BF2673" s="37"/>
      <c r="BG2673" s="37"/>
      <c r="BH2673" s="37"/>
      <c r="BI2673" s="37"/>
      <c r="BJ2673" s="37"/>
      <c r="BK2673" s="37"/>
      <c r="BL2673" s="37"/>
      <c r="BM2673" s="37"/>
    </row>
    <row r="2674" spans="1:65" s="40" customFormat="1" ht="23.25" x14ac:dyDescent="0.35">
      <c r="A2674" s="37"/>
      <c r="B2674" s="37"/>
      <c r="C2674" s="41"/>
      <c r="D2674" s="38"/>
      <c r="E2674" s="57"/>
      <c r="F2674" s="42"/>
      <c r="G2674" s="43"/>
      <c r="H2674" s="37"/>
      <c r="I2674" s="37"/>
      <c r="J2674" s="38"/>
      <c r="K2674" s="37"/>
      <c r="L2674" s="38"/>
      <c r="M2674" s="39"/>
      <c r="P2674" s="37"/>
      <c r="Q2674" s="37"/>
      <c r="R2674" s="37"/>
      <c r="S2674" s="37"/>
      <c r="T2674" s="37"/>
      <c r="U2674" s="37"/>
      <c r="V2674" s="37"/>
      <c r="W2674" s="37"/>
      <c r="X2674" s="37"/>
      <c r="Y2674" s="37"/>
      <c r="Z2674" s="37"/>
      <c r="AA2674" s="37"/>
      <c r="AB2674" s="37"/>
      <c r="AC2674" s="37"/>
      <c r="AD2674" s="37"/>
      <c r="AE2674" s="37"/>
      <c r="AF2674" s="37"/>
      <c r="AG2674" s="37"/>
      <c r="AH2674" s="37"/>
      <c r="AI2674" s="37"/>
      <c r="AJ2674" s="37"/>
      <c r="AK2674" s="37"/>
      <c r="AL2674" s="37"/>
      <c r="AM2674" s="37"/>
      <c r="AN2674" s="37"/>
      <c r="AO2674" s="37"/>
      <c r="AP2674" s="37"/>
      <c r="AQ2674" s="37"/>
      <c r="AR2674" s="37"/>
      <c r="AS2674" s="37"/>
      <c r="AT2674" s="37"/>
      <c r="AU2674" s="37"/>
      <c r="AV2674" s="37"/>
      <c r="AW2674" s="37"/>
      <c r="AX2674" s="37"/>
      <c r="AY2674" s="37"/>
      <c r="AZ2674" s="37"/>
      <c r="BA2674" s="37"/>
      <c r="BB2674" s="37"/>
      <c r="BC2674" s="37"/>
      <c r="BD2674" s="37"/>
      <c r="BE2674" s="37"/>
      <c r="BF2674" s="37"/>
      <c r="BG2674" s="37"/>
      <c r="BH2674" s="37"/>
      <c r="BI2674" s="37"/>
      <c r="BJ2674" s="37"/>
      <c r="BK2674" s="37"/>
      <c r="BL2674" s="37"/>
      <c r="BM2674" s="37"/>
    </row>
    <row r="2675" spans="1:65" s="40" customFormat="1" ht="23.25" x14ac:dyDescent="0.35">
      <c r="A2675" s="37"/>
      <c r="B2675" s="37"/>
      <c r="C2675" s="41"/>
      <c r="D2675" s="38"/>
      <c r="E2675" s="57"/>
      <c r="F2675" s="42"/>
      <c r="G2675" s="43"/>
      <c r="H2675" s="37"/>
      <c r="I2675" s="37"/>
      <c r="J2675" s="38"/>
      <c r="K2675" s="37"/>
      <c r="L2675" s="38"/>
      <c r="M2675" s="39"/>
      <c r="P2675" s="37"/>
      <c r="Q2675" s="37"/>
      <c r="R2675" s="37"/>
      <c r="S2675" s="37"/>
      <c r="T2675" s="37"/>
      <c r="U2675" s="37"/>
      <c r="V2675" s="37"/>
      <c r="W2675" s="37"/>
      <c r="X2675" s="37"/>
      <c r="Y2675" s="37"/>
      <c r="Z2675" s="37"/>
      <c r="AA2675" s="37"/>
      <c r="AB2675" s="37"/>
      <c r="AC2675" s="37"/>
      <c r="AD2675" s="37"/>
      <c r="AE2675" s="37"/>
      <c r="AF2675" s="37"/>
      <c r="AG2675" s="37"/>
      <c r="AH2675" s="37"/>
      <c r="AI2675" s="37"/>
      <c r="AJ2675" s="37"/>
      <c r="AK2675" s="37"/>
      <c r="AL2675" s="37"/>
      <c r="AM2675" s="37"/>
      <c r="AN2675" s="37"/>
      <c r="AO2675" s="37"/>
      <c r="AP2675" s="37"/>
      <c r="AQ2675" s="37"/>
      <c r="AR2675" s="37"/>
      <c r="AS2675" s="37"/>
      <c r="AT2675" s="37"/>
      <c r="AU2675" s="37"/>
      <c r="AV2675" s="37"/>
      <c r="AW2675" s="37"/>
      <c r="AX2675" s="37"/>
      <c r="AY2675" s="37"/>
      <c r="AZ2675" s="37"/>
      <c r="BA2675" s="37"/>
      <c r="BB2675" s="37"/>
      <c r="BC2675" s="37"/>
      <c r="BD2675" s="37"/>
      <c r="BE2675" s="37"/>
      <c r="BF2675" s="37"/>
      <c r="BG2675" s="37"/>
      <c r="BH2675" s="37"/>
      <c r="BI2675" s="37"/>
      <c r="BJ2675" s="37"/>
      <c r="BK2675" s="37"/>
      <c r="BL2675" s="37"/>
      <c r="BM2675" s="37"/>
    </row>
    <row r="2676" spans="1:65" s="40" customFormat="1" ht="23.25" x14ac:dyDescent="0.35">
      <c r="A2676" s="37"/>
      <c r="B2676" s="37"/>
      <c r="C2676" s="41"/>
      <c r="D2676" s="38"/>
      <c r="E2676" s="57"/>
      <c r="F2676" s="42"/>
      <c r="G2676" s="43"/>
      <c r="H2676" s="37"/>
      <c r="I2676" s="37"/>
      <c r="J2676" s="38"/>
      <c r="K2676" s="37"/>
      <c r="L2676" s="38"/>
      <c r="M2676" s="39"/>
      <c r="P2676" s="37"/>
      <c r="Q2676" s="37"/>
      <c r="R2676" s="37"/>
      <c r="S2676" s="37"/>
      <c r="T2676" s="37"/>
      <c r="U2676" s="37"/>
      <c r="V2676" s="37"/>
      <c r="W2676" s="37"/>
      <c r="X2676" s="37"/>
      <c r="Y2676" s="37"/>
      <c r="Z2676" s="37"/>
      <c r="AA2676" s="37"/>
      <c r="AB2676" s="37"/>
      <c r="AC2676" s="37"/>
      <c r="AD2676" s="37"/>
      <c r="AE2676" s="37"/>
      <c r="AF2676" s="37"/>
      <c r="AG2676" s="37"/>
      <c r="AH2676" s="37"/>
      <c r="AI2676" s="37"/>
      <c r="AJ2676" s="37"/>
      <c r="AK2676" s="37"/>
      <c r="AL2676" s="37"/>
      <c r="AM2676" s="37"/>
      <c r="AN2676" s="37"/>
      <c r="AO2676" s="37"/>
      <c r="AP2676" s="37"/>
      <c r="AQ2676" s="37"/>
      <c r="AR2676" s="37"/>
      <c r="AS2676" s="37"/>
      <c r="AT2676" s="37"/>
      <c r="AU2676" s="37"/>
      <c r="AV2676" s="37"/>
      <c r="AW2676" s="37"/>
      <c r="AX2676" s="37"/>
      <c r="AY2676" s="37"/>
      <c r="AZ2676" s="37"/>
      <c r="BA2676" s="37"/>
      <c r="BB2676" s="37"/>
      <c r="BC2676" s="37"/>
      <c r="BD2676" s="37"/>
      <c r="BE2676" s="37"/>
      <c r="BF2676" s="37"/>
      <c r="BG2676" s="37"/>
      <c r="BH2676" s="37"/>
      <c r="BI2676" s="37"/>
      <c r="BJ2676" s="37"/>
      <c r="BK2676" s="37"/>
      <c r="BL2676" s="37"/>
      <c r="BM2676" s="37"/>
    </row>
    <row r="2677" spans="1:65" s="40" customFormat="1" ht="23.25" x14ac:dyDescent="0.35">
      <c r="A2677" s="37"/>
      <c r="B2677" s="37"/>
      <c r="C2677" s="41"/>
      <c r="D2677" s="38"/>
      <c r="E2677" s="57"/>
      <c r="F2677" s="42"/>
      <c r="G2677" s="43"/>
      <c r="H2677" s="37"/>
      <c r="I2677" s="37"/>
      <c r="J2677" s="38"/>
      <c r="K2677" s="37"/>
      <c r="L2677" s="38"/>
      <c r="M2677" s="39"/>
      <c r="P2677" s="37"/>
      <c r="Q2677" s="37"/>
      <c r="R2677" s="37"/>
      <c r="S2677" s="37"/>
      <c r="T2677" s="37"/>
      <c r="U2677" s="37"/>
      <c r="V2677" s="37"/>
      <c r="W2677" s="37"/>
      <c r="X2677" s="37"/>
      <c r="Y2677" s="37"/>
      <c r="Z2677" s="37"/>
      <c r="AA2677" s="37"/>
      <c r="AB2677" s="37"/>
      <c r="AC2677" s="37"/>
      <c r="AD2677" s="37"/>
      <c r="AE2677" s="37"/>
      <c r="AF2677" s="37"/>
      <c r="AG2677" s="37"/>
      <c r="AH2677" s="37"/>
      <c r="AI2677" s="37"/>
      <c r="AJ2677" s="37"/>
      <c r="AK2677" s="37"/>
      <c r="AL2677" s="37"/>
      <c r="AM2677" s="37"/>
      <c r="AN2677" s="37"/>
      <c r="AO2677" s="37"/>
      <c r="AP2677" s="37"/>
      <c r="AQ2677" s="37"/>
      <c r="AR2677" s="37"/>
      <c r="AS2677" s="37"/>
      <c r="AT2677" s="37"/>
      <c r="AU2677" s="37"/>
      <c r="AV2677" s="37"/>
      <c r="AW2677" s="37"/>
      <c r="AX2677" s="37"/>
      <c r="AY2677" s="37"/>
      <c r="AZ2677" s="37"/>
      <c r="BA2677" s="37"/>
      <c r="BB2677" s="37"/>
      <c r="BC2677" s="37"/>
      <c r="BD2677" s="37"/>
      <c r="BE2677" s="37"/>
      <c r="BF2677" s="37"/>
      <c r="BG2677" s="37"/>
      <c r="BH2677" s="37"/>
      <c r="BI2677" s="37"/>
      <c r="BJ2677" s="37"/>
      <c r="BK2677" s="37"/>
      <c r="BL2677" s="37"/>
      <c r="BM2677" s="37"/>
    </row>
    <row r="2678" spans="1:65" s="40" customFormat="1" ht="23.25" x14ac:dyDescent="0.35">
      <c r="A2678" s="37"/>
      <c r="B2678" s="37"/>
      <c r="C2678" s="41"/>
      <c r="D2678" s="38"/>
      <c r="E2678" s="57"/>
      <c r="F2678" s="42"/>
      <c r="G2678" s="43"/>
      <c r="H2678" s="37"/>
      <c r="I2678" s="37"/>
      <c r="J2678" s="38"/>
      <c r="K2678" s="37"/>
      <c r="L2678" s="38"/>
      <c r="M2678" s="39"/>
      <c r="P2678" s="37"/>
      <c r="Q2678" s="37"/>
      <c r="R2678" s="37"/>
      <c r="S2678" s="37"/>
      <c r="T2678" s="37"/>
      <c r="U2678" s="37"/>
      <c r="V2678" s="37"/>
      <c r="W2678" s="37"/>
      <c r="X2678" s="37"/>
      <c r="Y2678" s="37"/>
      <c r="Z2678" s="37"/>
      <c r="AA2678" s="37"/>
      <c r="AB2678" s="37"/>
      <c r="AC2678" s="37"/>
      <c r="AD2678" s="37"/>
      <c r="AE2678" s="37"/>
      <c r="AF2678" s="37"/>
      <c r="AG2678" s="37"/>
      <c r="AH2678" s="37"/>
      <c r="AI2678" s="37"/>
      <c r="AJ2678" s="37"/>
      <c r="AK2678" s="37"/>
      <c r="AL2678" s="37"/>
      <c r="AM2678" s="37"/>
      <c r="AN2678" s="37"/>
      <c r="AO2678" s="37"/>
      <c r="AP2678" s="37"/>
      <c r="AQ2678" s="37"/>
      <c r="AR2678" s="37"/>
      <c r="AS2678" s="37"/>
      <c r="AT2678" s="37"/>
      <c r="AU2678" s="37"/>
      <c r="AV2678" s="37"/>
      <c r="AW2678" s="37"/>
      <c r="AX2678" s="37"/>
      <c r="AY2678" s="37"/>
      <c r="AZ2678" s="37"/>
      <c r="BA2678" s="37"/>
      <c r="BB2678" s="37"/>
      <c r="BC2678" s="37"/>
      <c r="BD2678" s="37"/>
      <c r="BE2678" s="37"/>
      <c r="BF2678" s="37"/>
      <c r="BG2678" s="37"/>
      <c r="BH2678" s="37"/>
      <c r="BI2678" s="37"/>
      <c r="BJ2678" s="37"/>
      <c r="BK2678" s="37"/>
      <c r="BL2678" s="37"/>
      <c r="BM2678" s="37"/>
    </row>
    <row r="2679" spans="1:65" s="40" customFormat="1" ht="23.25" x14ac:dyDescent="0.35">
      <c r="A2679" s="37"/>
      <c r="B2679" s="37"/>
      <c r="C2679" s="41"/>
      <c r="D2679" s="38"/>
      <c r="E2679" s="57"/>
      <c r="F2679" s="42"/>
      <c r="G2679" s="43"/>
      <c r="H2679" s="37"/>
      <c r="I2679" s="37"/>
      <c r="J2679" s="38"/>
      <c r="K2679" s="37"/>
      <c r="L2679" s="38"/>
      <c r="M2679" s="39"/>
      <c r="P2679" s="37"/>
      <c r="Q2679" s="37"/>
      <c r="R2679" s="37"/>
      <c r="S2679" s="37"/>
      <c r="T2679" s="37"/>
      <c r="U2679" s="37"/>
      <c r="V2679" s="37"/>
      <c r="W2679" s="37"/>
      <c r="X2679" s="37"/>
      <c r="Y2679" s="37"/>
      <c r="Z2679" s="37"/>
      <c r="AA2679" s="37"/>
      <c r="AB2679" s="37"/>
      <c r="AC2679" s="37"/>
      <c r="AD2679" s="37"/>
      <c r="AE2679" s="37"/>
      <c r="AF2679" s="37"/>
      <c r="AG2679" s="37"/>
      <c r="AH2679" s="37"/>
      <c r="AI2679" s="37"/>
      <c r="AJ2679" s="37"/>
      <c r="AK2679" s="37"/>
      <c r="AL2679" s="37"/>
      <c r="AM2679" s="37"/>
      <c r="AN2679" s="37"/>
      <c r="AO2679" s="37"/>
      <c r="AP2679" s="37"/>
      <c r="AQ2679" s="37"/>
      <c r="AR2679" s="37"/>
      <c r="AS2679" s="37"/>
      <c r="AT2679" s="37"/>
      <c r="AU2679" s="37"/>
      <c r="AV2679" s="37"/>
      <c r="AW2679" s="37"/>
      <c r="AX2679" s="37"/>
      <c r="AY2679" s="37"/>
      <c r="AZ2679" s="37"/>
      <c r="BA2679" s="37"/>
      <c r="BB2679" s="37"/>
      <c r="BC2679" s="37"/>
      <c r="BD2679" s="37"/>
      <c r="BE2679" s="37"/>
      <c r="BF2679" s="37"/>
      <c r="BG2679" s="37"/>
      <c r="BH2679" s="37"/>
      <c r="BI2679" s="37"/>
      <c r="BJ2679" s="37"/>
      <c r="BK2679" s="37"/>
      <c r="BL2679" s="37"/>
      <c r="BM2679" s="37"/>
    </row>
    <row r="2680" spans="1:65" s="40" customFormat="1" ht="23.25" x14ac:dyDescent="0.35">
      <c r="A2680" s="37"/>
      <c r="B2680" s="37"/>
      <c r="C2680" s="41"/>
      <c r="D2680" s="38"/>
      <c r="E2680" s="57"/>
      <c r="F2680" s="42"/>
      <c r="G2680" s="43"/>
      <c r="H2680" s="37"/>
      <c r="I2680" s="37"/>
      <c r="J2680" s="38"/>
      <c r="K2680" s="37"/>
      <c r="L2680" s="38"/>
      <c r="M2680" s="39"/>
      <c r="P2680" s="37"/>
      <c r="Q2680" s="37"/>
      <c r="R2680" s="37"/>
      <c r="S2680" s="37"/>
      <c r="T2680" s="37"/>
      <c r="U2680" s="37"/>
      <c r="V2680" s="37"/>
      <c r="W2680" s="37"/>
      <c r="X2680" s="37"/>
      <c r="Y2680" s="37"/>
      <c r="Z2680" s="37"/>
      <c r="AA2680" s="37"/>
      <c r="AB2680" s="37"/>
      <c r="AC2680" s="37"/>
      <c r="AD2680" s="37"/>
      <c r="AE2680" s="37"/>
      <c r="AF2680" s="37"/>
      <c r="AG2680" s="37"/>
      <c r="AH2680" s="37"/>
      <c r="AI2680" s="37"/>
      <c r="AJ2680" s="37"/>
      <c r="AK2680" s="37"/>
      <c r="AL2680" s="37"/>
      <c r="AM2680" s="37"/>
      <c r="AN2680" s="37"/>
      <c r="AO2680" s="37"/>
      <c r="AP2680" s="37"/>
      <c r="AQ2680" s="37"/>
      <c r="AR2680" s="37"/>
      <c r="AS2680" s="37"/>
      <c r="AT2680" s="37"/>
      <c r="AU2680" s="37"/>
      <c r="AV2680" s="37"/>
      <c r="AW2680" s="37"/>
      <c r="AX2680" s="37"/>
      <c r="AY2680" s="37"/>
      <c r="AZ2680" s="37"/>
      <c r="BA2680" s="37"/>
      <c r="BB2680" s="37"/>
      <c r="BC2680" s="37"/>
      <c r="BD2680" s="37"/>
      <c r="BE2680" s="37"/>
      <c r="BF2680" s="37"/>
      <c r="BG2680" s="37"/>
      <c r="BH2680" s="37"/>
      <c r="BI2680" s="37"/>
      <c r="BJ2680" s="37"/>
      <c r="BK2680" s="37"/>
      <c r="BL2680" s="37"/>
      <c r="BM2680" s="37"/>
    </row>
    <row r="2681" spans="1:65" s="40" customFormat="1" ht="23.25" x14ac:dyDescent="0.35">
      <c r="A2681" s="37"/>
      <c r="B2681" s="37"/>
      <c r="C2681" s="41"/>
      <c r="D2681" s="38"/>
      <c r="E2681" s="57"/>
      <c r="F2681" s="42"/>
      <c r="G2681" s="43"/>
      <c r="H2681" s="37"/>
      <c r="I2681" s="37"/>
      <c r="J2681" s="38"/>
      <c r="K2681" s="37"/>
      <c r="L2681" s="38"/>
      <c r="M2681" s="39"/>
      <c r="P2681" s="37"/>
      <c r="Q2681" s="37"/>
      <c r="R2681" s="37"/>
      <c r="S2681" s="37"/>
      <c r="T2681" s="37"/>
      <c r="U2681" s="37"/>
      <c r="V2681" s="37"/>
      <c r="W2681" s="37"/>
      <c r="X2681" s="37"/>
      <c r="Y2681" s="37"/>
      <c r="Z2681" s="37"/>
      <c r="AA2681" s="37"/>
      <c r="AB2681" s="37"/>
      <c r="AC2681" s="37"/>
      <c r="AD2681" s="37"/>
      <c r="AE2681" s="37"/>
      <c r="AF2681" s="37"/>
      <c r="AG2681" s="37"/>
      <c r="AH2681" s="37"/>
      <c r="AI2681" s="37"/>
      <c r="AJ2681" s="37"/>
      <c r="AK2681" s="37"/>
      <c r="AL2681" s="37"/>
      <c r="AM2681" s="37"/>
      <c r="AN2681" s="37"/>
      <c r="AO2681" s="37"/>
      <c r="AP2681" s="37"/>
      <c r="AQ2681" s="37"/>
      <c r="AR2681" s="37"/>
      <c r="AS2681" s="37"/>
      <c r="AT2681" s="37"/>
      <c r="AU2681" s="37"/>
      <c r="AV2681" s="37"/>
      <c r="AW2681" s="37"/>
      <c r="AX2681" s="37"/>
      <c r="AY2681" s="37"/>
      <c r="AZ2681" s="37"/>
      <c r="BA2681" s="37"/>
      <c r="BB2681" s="37"/>
      <c r="BC2681" s="37"/>
      <c r="BD2681" s="37"/>
      <c r="BE2681" s="37"/>
      <c r="BF2681" s="37"/>
      <c r="BG2681" s="37"/>
      <c r="BH2681" s="37"/>
      <c r="BI2681" s="37"/>
      <c r="BJ2681" s="37"/>
      <c r="BK2681" s="37"/>
      <c r="BL2681" s="37"/>
      <c r="BM2681" s="37"/>
    </row>
    <row r="2682" spans="1:65" s="40" customFormat="1" ht="23.25" x14ac:dyDescent="0.35">
      <c r="A2682" s="37"/>
      <c r="B2682" s="37"/>
      <c r="C2682" s="41"/>
      <c r="D2682" s="38"/>
      <c r="E2682" s="57"/>
      <c r="F2682" s="42"/>
      <c r="G2682" s="43"/>
      <c r="H2682" s="37"/>
      <c r="I2682" s="37"/>
      <c r="J2682" s="38"/>
      <c r="K2682" s="37"/>
      <c r="L2682" s="38"/>
      <c r="M2682" s="39"/>
      <c r="P2682" s="37"/>
      <c r="Q2682" s="37"/>
      <c r="R2682" s="37"/>
      <c r="S2682" s="37"/>
      <c r="T2682" s="37"/>
      <c r="U2682" s="37"/>
      <c r="V2682" s="37"/>
      <c r="W2682" s="37"/>
      <c r="X2682" s="37"/>
      <c r="Y2682" s="37"/>
      <c r="Z2682" s="37"/>
      <c r="AA2682" s="37"/>
      <c r="AB2682" s="37"/>
      <c r="AC2682" s="37"/>
      <c r="AD2682" s="37"/>
      <c r="AE2682" s="37"/>
      <c r="AF2682" s="37"/>
      <c r="AG2682" s="37"/>
      <c r="AH2682" s="37"/>
      <c r="AI2682" s="37"/>
      <c r="AJ2682" s="37"/>
      <c r="AK2682" s="37"/>
      <c r="AL2682" s="37"/>
      <c r="AM2682" s="37"/>
      <c r="AN2682" s="37"/>
      <c r="AO2682" s="37"/>
      <c r="AP2682" s="37"/>
      <c r="AQ2682" s="37"/>
      <c r="AR2682" s="37"/>
      <c r="AS2682" s="37"/>
      <c r="AT2682" s="37"/>
      <c r="AU2682" s="37"/>
      <c r="AV2682" s="37"/>
      <c r="AW2682" s="37"/>
      <c r="AX2682" s="37"/>
      <c r="AY2682" s="37"/>
      <c r="AZ2682" s="37"/>
      <c r="BA2682" s="37"/>
      <c r="BB2682" s="37"/>
      <c r="BC2682" s="37"/>
      <c r="BD2682" s="37"/>
      <c r="BE2682" s="37"/>
      <c r="BF2682" s="37"/>
      <c r="BG2682" s="37"/>
      <c r="BH2682" s="37"/>
      <c r="BI2682" s="37"/>
      <c r="BJ2682" s="37"/>
      <c r="BK2682" s="37"/>
      <c r="BL2682" s="37"/>
      <c r="BM2682" s="37"/>
    </row>
    <row r="2683" spans="1:65" s="40" customFormat="1" ht="23.25" x14ac:dyDescent="0.35">
      <c r="A2683" s="37"/>
      <c r="B2683" s="37"/>
      <c r="C2683" s="41"/>
      <c r="D2683" s="38"/>
      <c r="E2683" s="57"/>
      <c r="F2683" s="42"/>
      <c r="G2683" s="43"/>
      <c r="H2683" s="37"/>
      <c r="I2683" s="37"/>
      <c r="J2683" s="38"/>
      <c r="K2683" s="37"/>
      <c r="L2683" s="38"/>
      <c r="M2683" s="39"/>
      <c r="P2683" s="37"/>
      <c r="Q2683" s="37"/>
      <c r="R2683" s="37"/>
      <c r="S2683" s="37"/>
      <c r="T2683" s="37"/>
      <c r="U2683" s="37"/>
      <c r="V2683" s="37"/>
      <c r="W2683" s="37"/>
      <c r="X2683" s="37"/>
      <c r="Y2683" s="37"/>
      <c r="Z2683" s="37"/>
      <c r="AA2683" s="37"/>
      <c r="AB2683" s="37"/>
      <c r="AC2683" s="37"/>
      <c r="AD2683" s="37"/>
      <c r="AE2683" s="37"/>
      <c r="AF2683" s="37"/>
      <c r="AG2683" s="37"/>
      <c r="AH2683" s="37"/>
      <c r="AI2683" s="37"/>
      <c r="AJ2683" s="37"/>
      <c r="AK2683" s="37"/>
      <c r="AL2683" s="37"/>
      <c r="AM2683" s="37"/>
      <c r="AN2683" s="37"/>
      <c r="AO2683" s="37"/>
      <c r="AP2683" s="37"/>
      <c r="AQ2683" s="37"/>
      <c r="AR2683" s="37"/>
      <c r="AS2683" s="37"/>
      <c r="AT2683" s="37"/>
      <c r="AU2683" s="37"/>
      <c r="AV2683" s="37"/>
      <c r="AW2683" s="37"/>
      <c r="AX2683" s="37"/>
      <c r="AY2683" s="37"/>
      <c r="AZ2683" s="37"/>
      <c r="BA2683" s="37"/>
      <c r="BB2683" s="37"/>
      <c r="BC2683" s="37"/>
      <c r="BD2683" s="37"/>
      <c r="BE2683" s="37"/>
      <c r="BF2683" s="37"/>
      <c r="BG2683" s="37"/>
      <c r="BH2683" s="37"/>
      <c r="BI2683" s="37"/>
      <c r="BJ2683" s="37"/>
      <c r="BK2683" s="37"/>
      <c r="BL2683" s="37"/>
      <c r="BM2683" s="37"/>
    </row>
    <row r="2684" spans="1:65" s="40" customFormat="1" ht="23.25" x14ac:dyDescent="0.35">
      <c r="A2684" s="37"/>
      <c r="B2684" s="37"/>
      <c r="C2684" s="41"/>
      <c r="D2684" s="38"/>
      <c r="E2684" s="57"/>
      <c r="F2684" s="42"/>
      <c r="G2684" s="43"/>
      <c r="H2684" s="37"/>
      <c r="I2684" s="37"/>
      <c r="J2684" s="38"/>
      <c r="K2684" s="37"/>
      <c r="L2684" s="38"/>
      <c r="M2684" s="39"/>
      <c r="P2684" s="37"/>
      <c r="Q2684" s="37"/>
      <c r="R2684" s="37"/>
      <c r="S2684" s="37"/>
      <c r="T2684" s="37"/>
      <c r="U2684" s="37"/>
      <c r="V2684" s="37"/>
      <c r="W2684" s="37"/>
      <c r="X2684" s="37"/>
      <c r="Y2684" s="37"/>
      <c r="Z2684" s="37"/>
      <c r="AA2684" s="37"/>
      <c r="AB2684" s="37"/>
      <c r="AC2684" s="37"/>
      <c r="AD2684" s="37"/>
      <c r="AE2684" s="37"/>
      <c r="AF2684" s="37"/>
      <c r="AG2684" s="37"/>
      <c r="AH2684" s="37"/>
      <c r="AI2684" s="37"/>
      <c r="AJ2684" s="37"/>
      <c r="AK2684" s="37"/>
      <c r="AL2684" s="37"/>
      <c r="AM2684" s="37"/>
      <c r="AN2684" s="37"/>
      <c r="AO2684" s="37"/>
      <c r="AP2684" s="37"/>
      <c r="AQ2684" s="37"/>
      <c r="AR2684" s="37"/>
      <c r="AS2684" s="37"/>
      <c r="AT2684" s="37"/>
      <c r="AU2684" s="37"/>
      <c r="AV2684" s="37"/>
      <c r="AW2684" s="37"/>
      <c r="AX2684" s="37"/>
      <c r="AY2684" s="37"/>
      <c r="AZ2684" s="37"/>
      <c r="BA2684" s="37"/>
      <c r="BB2684" s="37"/>
      <c r="BC2684" s="37"/>
      <c r="BD2684" s="37"/>
      <c r="BE2684" s="37"/>
      <c r="BF2684" s="37"/>
      <c r="BG2684" s="37"/>
      <c r="BH2684" s="37"/>
      <c r="BI2684" s="37"/>
      <c r="BJ2684" s="37"/>
      <c r="BK2684" s="37"/>
      <c r="BL2684" s="37"/>
      <c r="BM2684" s="37"/>
    </row>
    <row r="2685" spans="1:65" s="40" customFormat="1" ht="23.25" x14ac:dyDescent="0.35">
      <c r="A2685" s="37"/>
      <c r="B2685" s="37"/>
      <c r="C2685" s="41"/>
      <c r="D2685" s="38"/>
      <c r="E2685" s="57"/>
      <c r="F2685" s="42"/>
      <c r="G2685" s="43"/>
      <c r="H2685" s="37"/>
      <c r="I2685" s="37"/>
      <c r="J2685" s="38"/>
      <c r="K2685" s="37"/>
      <c r="L2685" s="38"/>
      <c r="M2685" s="39"/>
      <c r="P2685" s="37"/>
      <c r="Q2685" s="37"/>
      <c r="R2685" s="37"/>
      <c r="S2685" s="37"/>
      <c r="T2685" s="37"/>
      <c r="U2685" s="37"/>
      <c r="V2685" s="37"/>
      <c r="W2685" s="37"/>
      <c r="X2685" s="37"/>
      <c r="Y2685" s="37"/>
      <c r="Z2685" s="37"/>
      <c r="AA2685" s="37"/>
      <c r="AB2685" s="37"/>
      <c r="AC2685" s="37"/>
      <c r="AD2685" s="37"/>
      <c r="AE2685" s="37"/>
      <c r="AF2685" s="37"/>
      <c r="AG2685" s="37"/>
      <c r="AH2685" s="37"/>
      <c r="AI2685" s="37"/>
      <c r="AJ2685" s="37"/>
      <c r="AK2685" s="37"/>
      <c r="AL2685" s="37"/>
      <c r="AM2685" s="37"/>
      <c r="AN2685" s="37"/>
      <c r="AO2685" s="37"/>
      <c r="AP2685" s="37"/>
      <c r="AQ2685" s="37"/>
      <c r="AR2685" s="37"/>
      <c r="AS2685" s="37"/>
      <c r="AT2685" s="37"/>
      <c r="AU2685" s="37"/>
      <c r="AV2685" s="37"/>
      <c r="AW2685" s="37"/>
      <c r="AX2685" s="37"/>
      <c r="AY2685" s="37"/>
      <c r="AZ2685" s="37"/>
      <c r="BA2685" s="37"/>
      <c r="BB2685" s="37"/>
      <c r="BC2685" s="37"/>
      <c r="BD2685" s="37"/>
      <c r="BE2685" s="37"/>
      <c r="BF2685" s="37"/>
      <c r="BG2685" s="37"/>
      <c r="BH2685" s="37"/>
      <c r="BI2685" s="37"/>
      <c r="BJ2685" s="37"/>
      <c r="BK2685" s="37"/>
      <c r="BL2685" s="37"/>
      <c r="BM2685" s="37"/>
    </row>
    <row r="2686" spans="1:65" s="40" customFormat="1" ht="23.25" x14ac:dyDescent="0.35">
      <c r="A2686" s="37"/>
      <c r="B2686" s="37"/>
      <c r="C2686" s="41"/>
      <c r="D2686" s="38"/>
      <c r="E2686" s="57"/>
      <c r="F2686" s="42"/>
      <c r="G2686" s="43"/>
      <c r="H2686" s="37"/>
      <c r="I2686" s="37"/>
      <c r="J2686" s="38"/>
      <c r="K2686" s="37"/>
      <c r="L2686" s="38"/>
      <c r="M2686" s="39"/>
      <c r="P2686" s="37"/>
      <c r="Q2686" s="37"/>
      <c r="R2686" s="37"/>
      <c r="S2686" s="37"/>
      <c r="T2686" s="37"/>
      <c r="U2686" s="37"/>
      <c r="V2686" s="37"/>
      <c r="W2686" s="37"/>
      <c r="X2686" s="37"/>
      <c r="Y2686" s="37"/>
      <c r="Z2686" s="37"/>
      <c r="AA2686" s="37"/>
      <c r="AB2686" s="37"/>
      <c r="AC2686" s="37"/>
      <c r="AD2686" s="37"/>
      <c r="AE2686" s="37"/>
      <c r="AF2686" s="37"/>
      <c r="AG2686" s="37"/>
      <c r="AH2686" s="37"/>
      <c r="AI2686" s="37"/>
      <c r="AJ2686" s="37"/>
      <c r="AK2686" s="37"/>
      <c r="AL2686" s="37"/>
      <c r="AM2686" s="37"/>
      <c r="AN2686" s="37"/>
      <c r="AO2686" s="37"/>
      <c r="AP2686" s="37"/>
      <c r="AQ2686" s="37"/>
      <c r="AR2686" s="37"/>
      <c r="AS2686" s="37"/>
      <c r="AT2686" s="37"/>
      <c r="AU2686" s="37"/>
      <c r="AV2686" s="37"/>
      <c r="AW2686" s="37"/>
      <c r="AX2686" s="37"/>
      <c r="AY2686" s="37"/>
      <c r="AZ2686" s="37"/>
      <c r="BA2686" s="37"/>
      <c r="BB2686" s="37"/>
      <c r="BC2686" s="37"/>
      <c r="BD2686" s="37"/>
      <c r="BE2686" s="37"/>
      <c r="BF2686" s="37"/>
      <c r="BG2686" s="37"/>
      <c r="BH2686" s="37"/>
      <c r="BI2686" s="37"/>
      <c r="BJ2686" s="37"/>
      <c r="BK2686" s="37"/>
      <c r="BL2686" s="37"/>
      <c r="BM2686" s="37"/>
    </row>
    <row r="2687" spans="1:65" s="40" customFormat="1" ht="23.25" x14ac:dyDescent="0.35">
      <c r="A2687" s="37"/>
      <c r="B2687" s="37"/>
      <c r="C2687" s="41"/>
      <c r="D2687" s="38"/>
      <c r="E2687" s="57"/>
      <c r="F2687" s="42"/>
      <c r="G2687" s="43"/>
      <c r="H2687" s="37"/>
      <c r="I2687" s="37"/>
      <c r="J2687" s="38"/>
      <c r="K2687" s="37"/>
      <c r="L2687" s="38"/>
      <c r="M2687" s="39"/>
      <c r="P2687" s="37"/>
      <c r="Q2687" s="37"/>
      <c r="R2687" s="37"/>
      <c r="S2687" s="37"/>
      <c r="T2687" s="37"/>
      <c r="U2687" s="37"/>
      <c r="V2687" s="37"/>
      <c r="W2687" s="37"/>
      <c r="X2687" s="37"/>
      <c r="Y2687" s="37"/>
      <c r="Z2687" s="37"/>
      <c r="AA2687" s="37"/>
      <c r="AB2687" s="37"/>
      <c r="AC2687" s="37"/>
      <c r="AD2687" s="37"/>
      <c r="AE2687" s="37"/>
      <c r="AF2687" s="37"/>
      <c r="AG2687" s="37"/>
      <c r="AH2687" s="37"/>
      <c r="AI2687" s="37"/>
      <c r="AJ2687" s="37"/>
      <c r="AK2687" s="37"/>
      <c r="AL2687" s="37"/>
      <c r="AM2687" s="37"/>
      <c r="AN2687" s="37"/>
      <c r="AO2687" s="37"/>
      <c r="AP2687" s="37"/>
      <c r="AQ2687" s="37"/>
      <c r="AR2687" s="37"/>
      <c r="AS2687" s="37"/>
      <c r="AT2687" s="37"/>
      <c r="AU2687" s="37"/>
      <c r="AV2687" s="37"/>
      <c r="AW2687" s="37"/>
      <c r="AX2687" s="37"/>
      <c r="AY2687" s="37"/>
      <c r="AZ2687" s="37"/>
      <c r="BA2687" s="37"/>
      <c r="BB2687" s="37"/>
      <c r="BC2687" s="37"/>
      <c r="BD2687" s="37"/>
      <c r="BE2687" s="37"/>
      <c r="BF2687" s="37"/>
      <c r="BG2687" s="37"/>
      <c r="BH2687" s="37"/>
      <c r="BI2687" s="37"/>
      <c r="BJ2687" s="37"/>
      <c r="BK2687" s="37"/>
      <c r="BL2687" s="37"/>
      <c r="BM2687" s="37"/>
    </row>
    <row r="2688" spans="1:65" s="40" customFormat="1" ht="23.25" x14ac:dyDescent="0.35">
      <c r="A2688" s="37"/>
      <c r="B2688" s="37"/>
      <c r="C2688" s="41"/>
      <c r="D2688" s="38"/>
      <c r="E2688" s="57"/>
      <c r="F2688" s="42"/>
      <c r="G2688" s="43"/>
      <c r="H2688" s="37"/>
      <c r="I2688" s="37"/>
      <c r="J2688" s="38"/>
      <c r="K2688" s="37"/>
      <c r="L2688" s="38"/>
      <c r="M2688" s="39"/>
      <c r="P2688" s="37"/>
      <c r="Q2688" s="37"/>
      <c r="R2688" s="37"/>
      <c r="S2688" s="37"/>
      <c r="T2688" s="37"/>
      <c r="U2688" s="37"/>
      <c r="V2688" s="37"/>
      <c r="W2688" s="37"/>
      <c r="X2688" s="37"/>
      <c r="Y2688" s="37"/>
      <c r="Z2688" s="37"/>
      <c r="AA2688" s="37"/>
      <c r="AB2688" s="37"/>
      <c r="AC2688" s="37"/>
      <c r="AD2688" s="37"/>
      <c r="AE2688" s="37"/>
      <c r="AF2688" s="37"/>
      <c r="AG2688" s="37"/>
      <c r="AH2688" s="37"/>
      <c r="AI2688" s="37"/>
      <c r="AJ2688" s="37"/>
      <c r="AK2688" s="37"/>
      <c r="AL2688" s="37"/>
      <c r="AM2688" s="37"/>
      <c r="AN2688" s="37"/>
      <c r="AO2688" s="37"/>
      <c r="AP2688" s="37"/>
      <c r="AQ2688" s="37"/>
      <c r="AR2688" s="37"/>
      <c r="AS2688" s="37"/>
      <c r="AT2688" s="37"/>
      <c r="AU2688" s="37"/>
      <c r="AV2688" s="37"/>
      <c r="AW2688" s="37"/>
      <c r="AX2688" s="37"/>
      <c r="AY2688" s="37"/>
      <c r="AZ2688" s="37"/>
      <c r="BA2688" s="37"/>
      <c r="BB2688" s="37"/>
      <c r="BC2688" s="37"/>
      <c r="BD2688" s="37"/>
      <c r="BE2688" s="37"/>
      <c r="BF2688" s="37"/>
      <c r="BG2688" s="37"/>
      <c r="BH2688" s="37"/>
      <c r="BI2688" s="37"/>
      <c r="BJ2688" s="37"/>
      <c r="BK2688" s="37"/>
      <c r="BL2688" s="37"/>
      <c r="BM2688" s="37"/>
    </row>
    <row r="2689" spans="1:65" s="40" customFormat="1" ht="23.25" x14ac:dyDescent="0.35">
      <c r="A2689" s="37"/>
      <c r="B2689" s="37"/>
      <c r="C2689" s="41"/>
      <c r="D2689" s="38"/>
      <c r="E2689" s="57"/>
      <c r="F2689" s="42"/>
      <c r="G2689" s="43"/>
      <c r="H2689" s="37"/>
      <c r="I2689" s="37"/>
      <c r="J2689" s="38"/>
      <c r="K2689" s="37"/>
      <c r="L2689" s="38"/>
      <c r="M2689" s="39"/>
      <c r="P2689" s="37"/>
      <c r="Q2689" s="37"/>
      <c r="R2689" s="37"/>
      <c r="S2689" s="37"/>
      <c r="T2689" s="37"/>
      <c r="U2689" s="37"/>
      <c r="V2689" s="37"/>
      <c r="W2689" s="37"/>
      <c r="X2689" s="37"/>
      <c r="Y2689" s="37"/>
      <c r="Z2689" s="37"/>
      <c r="AA2689" s="37"/>
      <c r="AB2689" s="37"/>
      <c r="AC2689" s="37"/>
      <c r="AD2689" s="37"/>
      <c r="AE2689" s="37"/>
      <c r="AF2689" s="37"/>
      <c r="AG2689" s="37"/>
      <c r="AH2689" s="37"/>
      <c r="AI2689" s="37"/>
      <c r="AJ2689" s="37"/>
      <c r="AK2689" s="37"/>
      <c r="AL2689" s="37"/>
      <c r="AM2689" s="37"/>
      <c r="AN2689" s="37"/>
      <c r="AO2689" s="37"/>
      <c r="AP2689" s="37"/>
      <c r="AQ2689" s="37"/>
      <c r="AR2689" s="37"/>
      <c r="AS2689" s="37"/>
      <c r="AT2689" s="37"/>
      <c r="AU2689" s="37"/>
      <c r="AV2689" s="37"/>
      <c r="AW2689" s="37"/>
      <c r="AX2689" s="37"/>
      <c r="AY2689" s="37"/>
      <c r="AZ2689" s="37"/>
      <c r="BA2689" s="37"/>
      <c r="BB2689" s="37"/>
      <c r="BC2689" s="37"/>
      <c r="BD2689" s="37"/>
      <c r="BE2689" s="37"/>
      <c r="BF2689" s="37"/>
      <c r="BG2689" s="37"/>
      <c r="BH2689" s="37"/>
      <c r="BI2689" s="37"/>
      <c r="BJ2689" s="37"/>
      <c r="BK2689" s="37"/>
      <c r="BL2689" s="37"/>
      <c r="BM2689" s="37"/>
    </row>
    <row r="2690" spans="1:65" s="40" customFormat="1" ht="23.25" x14ac:dyDescent="0.35">
      <c r="A2690" s="37"/>
      <c r="B2690" s="37"/>
      <c r="C2690" s="41"/>
      <c r="D2690" s="38"/>
      <c r="E2690" s="57"/>
      <c r="F2690" s="42"/>
      <c r="G2690" s="43"/>
      <c r="H2690" s="37"/>
      <c r="I2690" s="37"/>
      <c r="J2690" s="38"/>
      <c r="K2690" s="37"/>
      <c r="L2690" s="38"/>
      <c r="M2690" s="39"/>
      <c r="P2690" s="37"/>
      <c r="Q2690" s="37"/>
      <c r="R2690" s="37"/>
      <c r="S2690" s="37"/>
      <c r="T2690" s="37"/>
      <c r="U2690" s="37"/>
      <c r="V2690" s="37"/>
      <c r="W2690" s="37"/>
      <c r="X2690" s="37"/>
      <c r="Y2690" s="37"/>
      <c r="Z2690" s="37"/>
      <c r="AA2690" s="37"/>
      <c r="AB2690" s="37"/>
      <c r="AC2690" s="37"/>
      <c r="AD2690" s="37"/>
      <c r="AE2690" s="37"/>
      <c r="AF2690" s="37"/>
      <c r="AG2690" s="37"/>
      <c r="AH2690" s="37"/>
      <c r="AI2690" s="37"/>
      <c r="AJ2690" s="37"/>
      <c r="AK2690" s="37"/>
      <c r="AL2690" s="37"/>
      <c r="AM2690" s="37"/>
      <c r="AN2690" s="37"/>
      <c r="AO2690" s="37"/>
      <c r="AP2690" s="37"/>
      <c r="AQ2690" s="37"/>
      <c r="AR2690" s="37"/>
      <c r="AS2690" s="37"/>
      <c r="AT2690" s="37"/>
      <c r="AU2690" s="37"/>
      <c r="AV2690" s="37"/>
      <c r="AW2690" s="37"/>
      <c r="AX2690" s="37"/>
      <c r="AY2690" s="37"/>
      <c r="AZ2690" s="37"/>
      <c r="BA2690" s="37"/>
      <c r="BB2690" s="37"/>
      <c r="BC2690" s="37"/>
      <c r="BD2690" s="37"/>
      <c r="BE2690" s="37"/>
      <c r="BF2690" s="37"/>
      <c r="BG2690" s="37"/>
      <c r="BH2690" s="37"/>
      <c r="BI2690" s="37"/>
      <c r="BJ2690" s="37"/>
      <c r="BK2690" s="37"/>
      <c r="BL2690" s="37"/>
      <c r="BM2690" s="37"/>
    </row>
    <row r="2691" spans="1:65" s="40" customFormat="1" ht="23.25" x14ac:dyDescent="0.35">
      <c r="A2691" s="37"/>
      <c r="B2691" s="37"/>
      <c r="C2691" s="41"/>
      <c r="D2691" s="38"/>
      <c r="E2691" s="57"/>
      <c r="F2691" s="42"/>
      <c r="G2691" s="43"/>
      <c r="H2691" s="37"/>
      <c r="I2691" s="37"/>
      <c r="J2691" s="38"/>
      <c r="K2691" s="37"/>
      <c r="L2691" s="38"/>
      <c r="M2691" s="39"/>
      <c r="P2691" s="37"/>
      <c r="Q2691" s="37"/>
      <c r="R2691" s="37"/>
      <c r="S2691" s="37"/>
      <c r="T2691" s="37"/>
      <c r="U2691" s="37"/>
      <c r="V2691" s="37"/>
      <c r="W2691" s="37"/>
      <c r="X2691" s="37"/>
      <c r="Y2691" s="37"/>
      <c r="Z2691" s="37"/>
      <c r="AA2691" s="37"/>
      <c r="AB2691" s="37"/>
      <c r="AC2691" s="37"/>
      <c r="AD2691" s="37"/>
      <c r="AE2691" s="37"/>
      <c r="AF2691" s="37"/>
      <c r="AG2691" s="37"/>
      <c r="AH2691" s="37"/>
      <c r="AI2691" s="37"/>
      <c r="AJ2691" s="37"/>
      <c r="AK2691" s="37"/>
      <c r="AL2691" s="37"/>
      <c r="AM2691" s="37"/>
      <c r="AN2691" s="37"/>
      <c r="AO2691" s="37"/>
      <c r="AP2691" s="37"/>
      <c r="AQ2691" s="37"/>
      <c r="AR2691" s="37"/>
      <c r="AS2691" s="37"/>
      <c r="AT2691" s="37"/>
      <c r="AU2691" s="37"/>
      <c r="AV2691" s="37"/>
      <c r="AW2691" s="37"/>
      <c r="AX2691" s="37"/>
      <c r="AY2691" s="37"/>
      <c r="AZ2691" s="37"/>
      <c r="BA2691" s="37"/>
      <c r="BB2691" s="37"/>
      <c r="BC2691" s="37"/>
      <c r="BD2691" s="37"/>
      <c r="BE2691" s="37"/>
      <c r="BF2691" s="37"/>
      <c r="BG2691" s="37"/>
      <c r="BH2691" s="37"/>
      <c r="BI2691" s="37"/>
      <c r="BJ2691" s="37"/>
      <c r="BK2691" s="37"/>
      <c r="BL2691" s="37"/>
      <c r="BM2691" s="37"/>
    </row>
    <row r="2692" spans="1:65" s="40" customFormat="1" ht="23.25" x14ac:dyDescent="0.35">
      <c r="A2692" s="37"/>
      <c r="B2692" s="37"/>
      <c r="C2692" s="41"/>
      <c r="D2692" s="38"/>
      <c r="E2692" s="57"/>
      <c r="F2692" s="42"/>
      <c r="G2692" s="43"/>
      <c r="H2692" s="37"/>
      <c r="I2692" s="37"/>
      <c r="J2692" s="38"/>
      <c r="K2692" s="37"/>
      <c r="L2692" s="38"/>
      <c r="M2692" s="39"/>
      <c r="P2692" s="37"/>
      <c r="Q2692" s="37"/>
      <c r="R2692" s="37"/>
      <c r="S2692" s="37"/>
      <c r="T2692" s="37"/>
      <c r="U2692" s="37"/>
      <c r="V2692" s="37"/>
      <c r="W2692" s="37"/>
      <c r="X2692" s="37"/>
      <c r="Y2692" s="37"/>
      <c r="Z2692" s="37"/>
      <c r="AA2692" s="37"/>
      <c r="AB2692" s="37"/>
      <c r="AC2692" s="37"/>
      <c r="AD2692" s="37"/>
      <c r="AE2692" s="37"/>
      <c r="AF2692" s="37"/>
      <c r="AG2692" s="37"/>
      <c r="AH2692" s="37"/>
      <c r="AI2692" s="37"/>
      <c r="AJ2692" s="37"/>
      <c r="AK2692" s="37"/>
      <c r="AL2692" s="37"/>
      <c r="AM2692" s="37"/>
      <c r="AN2692" s="37"/>
      <c r="AO2692" s="37"/>
      <c r="AP2692" s="37"/>
      <c r="AQ2692" s="37"/>
      <c r="AR2692" s="37"/>
      <c r="AS2692" s="37"/>
      <c r="AT2692" s="37"/>
      <c r="AU2692" s="37"/>
      <c r="AV2692" s="37"/>
      <c r="AW2692" s="37"/>
      <c r="AX2692" s="37"/>
      <c r="AY2692" s="37"/>
      <c r="AZ2692" s="37"/>
      <c r="BA2692" s="37"/>
      <c r="BB2692" s="37"/>
      <c r="BC2692" s="37"/>
      <c r="BD2692" s="37"/>
      <c r="BE2692" s="37"/>
      <c r="BF2692" s="37"/>
      <c r="BG2692" s="37"/>
      <c r="BH2692" s="37"/>
      <c r="BI2692" s="37"/>
      <c r="BJ2692" s="37"/>
      <c r="BK2692" s="37"/>
      <c r="BL2692" s="37"/>
      <c r="BM2692" s="37"/>
    </row>
    <row r="2693" spans="1:65" s="40" customFormat="1" ht="23.25" x14ac:dyDescent="0.35">
      <c r="A2693" s="37"/>
      <c r="B2693" s="37"/>
      <c r="C2693" s="41"/>
      <c r="D2693" s="38"/>
      <c r="E2693" s="57"/>
      <c r="F2693" s="42"/>
      <c r="G2693" s="43"/>
      <c r="H2693" s="37"/>
      <c r="I2693" s="37"/>
      <c r="J2693" s="38"/>
      <c r="K2693" s="37"/>
      <c r="L2693" s="38"/>
      <c r="M2693" s="39"/>
      <c r="P2693" s="37"/>
      <c r="Q2693" s="37"/>
      <c r="R2693" s="37"/>
      <c r="S2693" s="37"/>
      <c r="T2693" s="37"/>
      <c r="U2693" s="37"/>
      <c r="V2693" s="37"/>
      <c r="W2693" s="37"/>
      <c r="X2693" s="37"/>
      <c r="Y2693" s="37"/>
      <c r="Z2693" s="37"/>
      <c r="AA2693" s="37"/>
      <c r="AB2693" s="37"/>
      <c r="AC2693" s="37"/>
      <c r="AD2693" s="37"/>
      <c r="AE2693" s="37"/>
      <c r="AF2693" s="37"/>
      <c r="AG2693" s="37"/>
      <c r="AH2693" s="37"/>
      <c r="AI2693" s="37"/>
      <c r="AJ2693" s="37"/>
      <c r="AK2693" s="37"/>
      <c r="AL2693" s="37"/>
      <c r="AM2693" s="37"/>
      <c r="AN2693" s="37"/>
      <c r="AO2693" s="37"/>
      <c r="AP2693" s="37"/>
      <c r="AQ2693" s="37"/>
      <c r="AR2693" s="37"/>
      <c r="AS2693" s="37"/>
      <c r="AT2693" s="37"/>
      <c r="AU2693" s="37"/>
      <c r="AV2693" s="37"/>
      <c r="AW2693" s="37"/>
      <c r="AX2693" s="37"/>
      <c r="AY2693" s="37"/>
      <c r="AZ2693" s="37"/>
      <c r="BA2693" s="37"/>
      <c r="BB2693" s="37"/>
      <c r="BC2693" s="37"/>
      <c r="BD2693" s="37"/>
      <c r="BE2693" s="37"/>
      <c r="BF2693" s="37"/>
      <c r="BG2693" s="37"/>
      <c r="BH2693" s="37"/>
      <c r="BI2693" s="37"/>
      <c r="BJ2693" s="37"/>
      <c r="BK2693" s="37"/>
      <c r="BL2693" s="37"/>
      <c r="BM2693" s="37"/>
    </row>
    <row r="2694" spans="1:65" s="40" customFormat="1" ht="23.25" x14ac:dyDescent="0.35">
      <c r="A2694" s="37"/>
      <c r="B2694" s="37"/>
      <c r="C2694" s="41"/>
      <c r="D2694" s="38"/>
      <c r="E2694" s="57"/>
      <c r="F2694" s="42"/>
      <c r="G2694" s="43"/>
      <c r="H2694" s="37"/>
      <c r="I2694" s="37"/>
      <c r="J2694" s="38"/>
      <c r="K2694" s="37"/>
      <c r="L2694" s="38"/>
      <c r="M2694" s="39"/>
      <c r="P2694" s="37"/>
      <c r="Q2694" s="37"/>
      <c r="R2694" s="37"/>
      <c r="S2694" s="37"/>
      <c r="T2694" s="37"/>
      <c r="U2694" s="37"/>
      <c r="V2694" s="37"/>
      <c r="W2694" s="37"/>
      <c r="X2694" s="37"/>
      <c r="Y2694" s="37"/>
      <c r="Z2694" s="37"/>
      <c r="AA2694" s="37"/>
      <c r="AB2694" s="37"/>
      <c r="AC2694" s="37"/>
      <c r="AD2694" s="37"/>
      <c r="AE2694" s="37"/>
      <c r="AF2694" s="37"/>
      <c r="AG2694" s="37"/>
      <c r="AH2694" s="37"/>
      <c r="AI2694" s="37"/>
      <c r="AJ2694" s="37"/>
      <c r="AK2694" s="37"/>
      <c r="AL2694" s="37"/>
      <c r="AM2694" s="37"/>
      <c r="AN2694" s="37"/>
      <c r="AO2694" s="37"/>
      <c r="AP2694" s="37"/>
      <c r="AQ2694" s="37"/>
      <c r="AR2694" s="37"/>
      <c r="AS2694" s="37"/>
      <c r="AT2694" s="37"/>
      <c r="AU2694" s="37"/>
      <c r="AV2694" s="37"/>
      <c r="AW2694" s="37"/>
      <c r="AX2694" s="37"/>
      <c r="AY2694" s="37"/>
      <c r="AZ2694" s="37"/>
      <c r="BA2694" s="37"/>
      <c r="BB2694" s="37"/>
      <c r="BC2694" s="37"/>
      <c r="BD2694" s="37"/>
      <c r="BE2694" s="37"/>
      <c r="BF2694" s="37"/>
      <c r="BG2694" s="37"/>
      <c r="BH2694" s="37"/>
      <c r="BI2694" s="37"/>
      <c r="BJ2694" s="37"/>
      <c r="BK2694" s="37"/>
      <c r="BL2694" s="37"/>
      <c r="BM2694" s="37"/>
    </row>
    <row r="2695" spans="1:65" s="40" customFormat="1" ht="23.25" x14ac:dyDescent="0.35">
      <c r="A2695" s="37"/>
      <c r="B2695" s="37"/>
      <c r="C2695" s="41"/>
      <c r="D2695" s="38"/>
      <c r="E2695" s="57"/>
      <c r="F2695" s="42"/>
      <c r="G2695" s="43"/>
      <c r="H2695" s="37"/>
      <c r="I2695" s="37"/>
      <c r="J2695" s="38"/>
      <c r="K2695" s="37"/>
      <c r="L2695" s="38"/>
      <c r="M2695" s="39"/>
      <c r="P2695" s="37"/>
      <c r="Q2695" s="37"/>
      <c r="R2695" s="37"/>
      <c r="S2695" s="37"/>
      <c r="T2695" s="37"/>
      <c r="U2695" s="37"/>
      <c r="V2695" s="37"/>
      <c r="W2695" s="37"/>
      <c r="X2695" s="37"/>
      <c r="Y2695" s="37"/>
      <c r="Z2695" s="37"/>
      <c r="AA2695" s="37"/>
      <c r="AB2695" s="37"/>
      <c r="AC2695" s="37"/>
      <c r="AD2695" s="37"/>
      <c r="AE2695" s="37"/>
      <c r="AF2695" s="37"/>
      <c r="AG2695" s="37"/>
      <c r="AH2695" s="37"/>
      <c r="AI2695" s="37"/>
      <c r="AJ2695" s="37"/>
      <c r="AK2695" s="37"/>
      <c r="AL2695" s="37"/>
      <c r="AM2695" s="37"/>
      <c r="AN2695" s="37"/>
      <c r="AO2695" s="37"/>
      <c r="AP2695" s="37"/>
      <c r="AQ2695" s="37"/>
      <c r="AR2695" s="37"/>
      <c r="AS2695" s="37"/>
      <c r="AT2695" s="37"/>
      <c r="AU2695" s="37"/>
      <c r="AV2695" s="37"/>
      <c r="AW2695" s="37"/>
      <c r="AX2695" s="37"/>
      <c r="AY2695" s="37"/>
      <c r="AZ2695" s="37"/>
      <c r="BA2695" s="37"/>
      <c r="BB2695" s="37"/>
      <c r="BC2695" s="37"/>
      <c r="BD2695" s="37"/>
      <c r="BE2695" s="37"/>
      <c r="BF2695" s="37"/>
      <c r="BG2695" s="37"/>
      <c r="BH2695" s="37"/>
      <c r="BI2695" s="37"/>
      <c r="BJ2695" s="37"/>
      <c r="BK2695" s="37"/>
      <c r="BL2695" s="37"/>
      <c r="BM2695" s="37"/>
    </row>
    <row r="2696" spans="1:65" s="40" customFormat="1" ht="23.25" x14ac:dyDescent="0.35">
      <c r="A2696" s="37"/>
      <c r="B2696" s="37"/>
      <c r="C2696" s="41"/>
      <c r="D2696" s="38"/>
      <c r="E2696" s="57"/>
      <c r="F2696" s="42"/>
      <c r="G2696" s="43"/>
      <c r="H2696" s="37"/>
      <c r="I2696" s="37"/>
      <c r="J2696" s="38"/>
      <c r="K2696" s="37"/>
      <c r="L2696" s="38"/>
      <c r="M2696" s="39"/>
      <c r="P2696" s="37"/>
      <c r="Q2696" s="37"/>
      <c r="R2696" s="37"/>
      <c r="S2696" s="37"/>
      <c r="T2696" s="37"/>
      <c r="U2696" s="37"/>
      <c r="V2696" s="37"/>
      <c r="W2696" s="37"/>
      <c r="X2696" s="37"/>
      <c r="Y2696" s="37"/>
      <c r="Z2696" s="37"/>
      <c r="AA2696" s="37"/>
      <c r="AB2696" s="37"/>
      <c r="AC2696" s="37"/>
      <c r="AD2696" s="37"/>
      <c r="AE2696" s="37"/>
      <c r="AF2696" s="37"/>
      <c r="AG2696" s="37"/>
      <c r="AH2696" s="37"/>
      <c r="AI2696" s="37"/>
      <c r="AJ2696" s="37"/>
      <c r="AK2696" s="37"/>
      <c r="AL2696" s="37"/>
      <c r="AM2696" s="37"/>
      <c r="AN2696" s="37"/>
      <c r="AO2696" s="37"/>
      <c r="AP2696" s="37"/>
      <c r="AQ2696" s="37"/>
      <c r="AR2696" s="37"/>
      <c r="AS2696" s="37"/>
      <c r="AT2696" s="37"/>
      <c r="AU2696" s="37"/>
      <c r="AV2696" s="37"/>
      <c r="AW2696" s="37"/>
      <c r="AX2696" s="37"/>
      <c r="AY2696" s="37"/>
      <c r="AZ2696" s="37"/>
      <c r="BA2696" s="37"/>
      <c r="BB2696" s="37"/>
      <c r="BC2696" s="37"/>
      <c r="BD2696" s="37"/>
      <c r="BE2696" s="37"/>
      <c r="BF2696" s="37"/>
      <c r="BG2696" s="37"/>
      <c r="BH2696" s="37"/>
      <c r="BI2696" s="37"/>
      <c r="BJ2696" s="37"/>
      <c r="BK2696" s="37"/>
      <c r="BL2696" s="37"/>
      <c r="BM2696" s="37"/>
    </row>
    <row r="2697" spans="1:65" s="40" customFormat="1" ht="23.25" x14ac:dyDescent="0.35">
      <c r="A2697" s="37"/>
      <c r="B2697" s="37"/>
      <c r="C2697" s="41"/>
      <c r="D2697" s="38"/>
      <c r="E2697" s="57"/>
      <c r="F2697" s="42"/>
      <c r="G2697" s="43"/>
      <c r="H2697" s="37"/>
      <c r="I2697" s="37"/>
      <c r="J2697" s="38"/>
      <c r="K2697" s="37"/>
      <c r="L2697" s="38"/>
      <c r="M2697" s="39"/>
      <c r="P2697" s="37"/>
      <c r="Q2697" s="37"/>
      <c r="R2697" s="37"/>
      <c r="S2697" s="37"/>
      <c r="T2697" s="37"/>
      <c r="U2697" s="37"/>
      <c r="V2697" s="37"/>
      <c r="W2697" s="37"/>
      <c r="X2697" s="37"/>
      <c r="Y2697" s="37"/>
      <c r="Z2697" s="37"/>
      <c r="AA2697" s="37"/>
      <c r="AB2697" s="37"/>
      <c r="AC2697" s="37"/>
      <c r="AD2697" s="37"/>
      <c r="AE2697" s="37"/>
      <c r="AF2697" s="37"/>
      <c r="AG2697" s="37"/>
      <c r="AH2697" s="37"/>
      <c r="AI2697" s="37"/>
      <c r="AJ2697" s="37"/>
      <c r="AK2697" s="37"/>
      <c r="AL2697" s="37"/>
      <c r="AM2697" s="37"/>
      <c r="AN2697" s="37"/>
      <c r="AO2697" s="37"/>
      <c r="AP2697" s="37"/>
      <c r="AQ2697" s="37"/>
      <c r="AR2697" s="37"/>
      <c r="AS2697" s="37"/>
      <c r="AT2697" s="37"/>
      <c r="AU2697" s="37"/>
      <c r="AV2697" s="37"/>
      <c r="AW2697" s="37"/>
      <c r="AX2697" s="37"/>
      <c r="AY2697" s="37"/>
      <c r="AZ2697" s="37"/>
      <c r="BA2697" s="37"/>
      <c r="BB2697" s="37"/>
      <c r="BC2697" s="37"/>
      <c r="BD2697" s="37"/>
      <c r="BE2697" s="37"/>
      <c r="BF2697" s="37"/>
      <c r="BG2697" s="37"/>
      <c r="BH2697" s="37"/>
      <c r="BI2697" s="37"/>
      <c r="BJ2697" s="37"/>
      <c r="BK2697" s="37"/>
      <c r="BL2697" s="37"/>
      <c r="BM2697" s="37"/>
    </row>
    <row r="2698" spans="1:65" s="40" customFormat="1" ht="23.25" x14ac:dyDescent="0.35">
      <c r="A2698" s="37"/>
      <c r="B2698" s="37"/>
      <c r="C2698" s="41"/>
      <c r="D2698" s="38"/>
      <c r="E2698" s="57"/>
      <c r="F2698" s="42"/>
      <c r="G2698" s="43"/>
      <c r="H2698" s="37"/>
      <c r="I2698" s="37"/>
      <c r="J2698" s="38"/>
      <c r="K2698" s="37"/>
      <c r="L2698" s="38"/>
      <c r="M2698" s="39"/>
      <c r="P2698" s="37"/>
      <c r="Q2698" s="37"/>
      <c r="R2698" s="37"/>
      <c r="S2698" s="37"/>
      <c r="T2698" s="37"/>
      <c r="U2698" s="37"/>
      <c r="V2698" s="37"/>
      <c r="W2698" s="37"/>
      <c r="X2698" s="37"/>
      <c r="Y2698" s="37"/>
      <c r="Z2698" s="37"/>
      <c r="AA2698" s="37"/>
      <c r="AB2698" s="37"/>
      <c r="AC2698" s="37"/>
      <c r="AD2698" s="37"/>
      <c r="AE2698" s="37"/>
      <c r="AF2698" s="37"/>
      <c r="AG2698" s="37"/>
      <c r="AH2698" s="37"/>
      <c r="AI2698" s="37"/>
      <c r="AJ2698" s="37"/>
      <c r="AK2698" s="37"/>
      <c r="AL2698" s="37"/>
      <c r="AM2698" s="37"/>
      <c r="AN2698" s="37"/>
      <c r="AO2698" s="37"/>
      <c r="AP2698" s="37"/>
      <c r="AQ2698" s="37"/>
      <c r="AR2698" s="37"/>
      <c r="AS2698" s="37"/>
      <c r="AT2698" s="37"/>
      <c r="AU2698" s="37"/>
      <c r="AV2698" s="37"/>
      <c r="AW2698" s="37"/>
      <c r="AX2698" s="37"/>
      <c r="AY2698" s="37"/>
      <c r="AZ2698" s="37"/>
      <c r="BA2698" s="37"/>
      <c r="BB2698" s="37"/>
      <c r="BC2698" s="37"/>
      <c r="BD2698" s="37"/>
      <c r="BE2698" s="37"/>
      <c r="BF2698" s="37"/>
      <c r="BG2698" s="37"/>
      <c r="BH2698" s="37"/>
      <c r="BI2698" s="37"/>
      <c r="BJ2698" s="37"/>
      <c r="BK2698" s="37"/>
      <c r="BL2698" s="37"/>
      <c r="BM2698" s="37"/>
    </row>
    <row r="2699" spans="1:65" s="40" customFormat="1" ht="23.25" x14ac:dyDescent="0.35">
      <c r="A2699" s="37"/>
      <c r="B2699" s="37"/>
      <c r="C2699" s="41"/>
      <c r="D2699" s="38"/>
      <c r="E2699" s="57"/>
      <c r="F2699" s="42"/>
      <c r="G2699" s="43"/>
      <c r="H2699" s="37"/>
      <c r="I2699" s="37"/>
      <c r="J2699" s="38"/>
      <c r="K2699" s="37"/>
      <c r="L2699" s="38"/>
      <c r="M2699" s="39"/>
      <c r="P2699" s="37"/>
      <c r="Q2699" s="37"/>
      <c r="R2699" s="37"/>
      <c r="S2699" s="37"/>
      <c r="T2699" s="37"/>
      <c r="U2699" s="37"/>
      <c r="V2699" s="37"/>
      <c r="W2699" s="37"/>
      <c r="X2699" s="37"/>
      <c r="Y2699" s="37"/>
      <c r="Z2699" s="37"/>
      <c r="AA2699" s="37"/>
      <c r="AB2699" s="37"/>
      <c r="AC2699" s="37"/>
      <c r="AD2699" s="37"/>
      <c r="AE2699" s="37"/>
      <c r="AF2699" s="37"/>
      <c r="AG2699" s="37"/>
      <c r="AH2699" s="37"/>
      <c r="AI2699" s="37"/>
      <c r="AJ2699" s="37"/>
      <c r="AK2699" s="37"/>
      <c r="AL2699" s="37"/>
      <c r="AM2699" s="37"/>
      <c r="AN2699" s="37"/>
      <c r="AO2699" s="37"/>
      <c r="AP2699" s="37"/>
      <c r="AQ2699" s="37"/>
      <c r="AR2699" s="37"/>
      <c r="AS2699" s="37"/>
      <c r="AT2699" s="37"/>
      <c r="AU2699" s="37"/>
      <c r="AV2699" s="37"/>
      <c r="AW2699" s="37"/>
      <c r="AX2699" s="37"/>
      <c r="AY2699" s="37"/>
      <c r="AZ2699" s="37"/>
      <c r="BA2699" s="37"/>
      <c r="BB2699" s="37"/>
      <c r="BC2699" s="37"/>
      <c r="BD2699" s="37"/>
      <c r="BE2699" s="37"/>
      <c r="BF2699" s="37"/>
      <c r="BG2699" s="37"/>
      <c r="BH2699" s="37"/>
      <c r="BI2699" s="37"/>
      <c r="BJ2699" s="37"/>
      <c r="BK2699" s="37"/>
      <c r="BL2699" s="37"/>
      <c r="BM2699" s="37"/>
    </row>
    <row r="2700" spans="1:65" s="40" customFormat="1" ht="23.25" x14ac:dyDescent="0.35">
      <c r="A2700" s="37"/>
      <c r="B2700" s="37"/>
      <c r="C2700" s="41"/>
      <c r="D2700" s="38"/>
      <c r="E2700" s="57"/>
      <c r="F2700" s="42"/>
      <c r="G2700" s="43"/>
      <c r="H2700" s="37"/>
      <c r="I2700" s="37"/>
      <c r="J2700" s="38"/>
      <c r="K2700" s="37"/>
      <c r="L2700" s="38"/>
      <c r="M2700" s="39"/>
      <c r="P2700" s="37"/>
      <c r="Q2700" s="37"/>
      <c r="R2700" s="37"/>
      <c r="S2700" s="37"/>
      <c r="T2700" s="37"/>
      <c r="U2700" s="37"/>
      <c r="V2700" s="37"/>
      <c r="W2700" s="37"/>
      <c r="X2700" s="37"/>
      <c r="Y2700" s="37"/>
      <c r="Z2700" s="37"/>
      <c r="AA2700" s="37"/>
      <c r="AB2700" s="37"/>
      <c r="AC2700" s="37"/>
      <c r="AD2700" s="37"/>
      <c r="AE2700" s="37"/>
      <c r="AF2700" s="37"/>
      <c r="AG2700" s="37"/>
      <c r="AH2700" s="37"/>
      <c r="AI2700" s="37"/>
      <c r="AJ2700" s="37"/>
      <c r="AK2700" s="37"/>
      <c r="AL2700" s="37"/>
      <c r="AM2700" s="37"/>
      <c r="AN2700" s="37"/>
      <c r="AO2700" s="37"/>
      <c r="AP2700" s="37"/>
      <c r="AQ2700" s="37"/>
      <c r="AR2700" s="37"/>
      <c r="AS2700" s="37"/>
      <c r="AT2700" s="37"/>
      <c r="AU2700" s="37"/>
      <c r="AV2700" s="37"/>
      <c r="AW2700" s="37"/>
      <c r="AX2700" s="37"/>
      <c r="AY2700" s="37"/>
      <c r="AZ2700" s="37"/>
      <c r="BA2700" s="37"/>
      <c r="BB2700" s="37"/>
      <c r="BC2700" s="37"/>
      <c r="BD2700" s="37"/>
      <c r="BE2700" s="37"/>
      <c r="BF2700" s="37"/>
      <c r="BG2700" s="37"/>
      <c r="BH2700" s="37"/>
      <c r="BI2700" s="37"/>
      <c r="BJ2700" s="37"/>
      <c r="BK2700" s="37"/>
      <c r="BL2700" s="37"/>
      <c r="BM2700" s="37"/>
    </row>
    <row r="2701" spans="1:65" s="40" customFormat="1" ht="23.25" x14ac:dyDescent="0.35">
      <c r="A2701" s="37"/>
      <c r="B2701" s="37"/>
      <c r="C2701" s="41"/>
      <c r="D2701" s="38"/>
      <c r="E2701" s="57"/>
      <c r="F2701" s="42"/>
      <c r="G2701" s="43"/>
      <c r="H2701" s="37"/>
      <c r="I2701" s="37"/>
      <c r="J2701" s="38"/>
      <c r="K2701" s="37"/>
      <c r="L2701" s="38"/>
      <c r="M2701" s="39"/>
      <c r="P2701" s="37"/>
      <c r="Q2701" s="37"/>
      <c r="R2701" s="37"/>
      <c r="S2701" s="37"/>
      <c r="T2701" s="37"/>
      <c r="U2701" s="37"/>
      <c r="V2701" s="37"/>
      <c r="W2701" s="37"/>
      <c r="X2701" s="37"/>
      <c r="Y2701" s="37"/>
      <c r="Z2701" s="37"/>
      <c r="AA2701" s="37"/>
      <c r="AB2701" s="37"/>
      <c r="AC2701" s="37"/>
      <c r="AD2701" s="37"/>
      <c r="AE2701" s="37"/>
      <c r="AF2701" s="37"/>
      <c r="AG2701" s="37"/>
      <c r="AH2701" s="37"/>
      <c r="AI2701" s="37"/>
      <c r="AJ2701" s="37"/>
      <c r="AK2701" s="37"/>
      <c r="AL2701" s="37"/>
      <c r="AM2701" s="37"/>
      <c r="AN2701" s="37"/>
      <c r="AO2701" s="37"/>
      <c r="AP2701" s="37"/>
      <c r="AQ2701" s="37"/>
      <c r="AR2701" s="37"/>
      <c r="AS2701" s="37"/>
      <c r="AT2701" s="37"/>
      <c r="AU2701" s="37"/>
      <c r="AV2701" s="37"/>
      <c r="AW2701" s="37"/>
      <c r="AX2701" s="37"/>
      <c r="AY2701" s="37"/>
      <c r="AZ2701" s="37"/>
      <c r="BA2701" s="37"/>
      <c r="BB2701" s="37"/>
      <c r="BC2701" s="37"/>
      <c r="BD2701" s="37"/>
      <c r="BE2701" s="37"/>
      <c r="BF2701" s="37"/>
      <c r="BG2701" s="37"/>
      <c r="BH2701" s="37"/>
      <c r="BI2701" s="37"/>
      <c r="BJ2701" s="37"/>
      <c r="BK2701" s="37"/>
      <c r="BL2701" s="37"/>
      <c r="BM2701" s="37"/>
    </row>
    <row r="2702" spans="1:65" s="40" customFormat="1" ht="23.25" x14ac:dyDescent="0.35">
      <c r="A2702" s="37"/>
      <c r="B2702" s="37"/>
      <c r="C2702" s="41"/>
      <c r="D2702" s="38"/>
      <c r="E2702" s="57"/>
      <c r="F2702" s="42"/>
      <c r="G2702" s="43"/>
      <c r="H2702" s="37"/>
      <c r="I2702" s="37"/>
      <c r="J2702" s="38"/>
      <c r="K2702" s="37"/>
      <c r="L2702" s="38"/>
      <c r="M2702" s="39"/>
      <c r="P2702" s="37"/>
      <c r="Q2702" s="37"/>
      <c r="R2702" s="37"/>
      <c r="S2702" s="37"/>
      <c r="T2702" s="37"/>
      <c r="U2702" s="37"/>
      <c r="V2702" s="37"/>
      <c r="W2702" s="37"/>
      <c r="X2702" s="37"/>
      <c r="Y2702" s="37"/>
      <c r="Z2702" s="37"/>
      <c r="AA2702" s="37"/>
      <c r="AB2702" s="37"/>
      <c r="AC2702" s="37"/>
      <c r="AD2702" s="37"/>
      <c r="AE2702" s="37"/>
      <c r="AF2702" s="37"/>
      <c r="AG2702" s="37"/>
      <c r="AH2702" s="37"/>
      <c r="AI2702" s="37"/>
      <c r="AJ2702" s="37"/>
      <c r="AK2702" s="37"/>
      <c r="AL2702" s="37"/>
      <c r="AM2702" s="37"/>
      <c r="AN2702" s="37"/>
      <c r="AO2702" s="37"/>
      <c r="AP2702" s="37"/>
      <c r="AQ2702" s="37"/>
      <c r="AR2702" s="37"/>
      <c r="AS2702" s="37"/>
      <c r="AT2702" s="37"/>
      <c r="AU2702" s="37"/>
      <c r="AV2702" s="37"/>
      <c r="AW2702" s="37"/>
      <c r="AX2702" s="37"/>
      <c r="AY2702" s="37"/>
      <c r="AZ2702" s="37"/>
      <c r="BA2702" s="37"/>
      <c r="BB2702" s="37"/>
      <c r="BC2702" s="37"/>
      <c r="BD2702" s="37"/>
      <c r="BE2702" s="37"/>
      <c r="BF2702" s="37"/>
      <c r="BG2702" s="37"/>
      <c r="BH2702" s="37"/>
      <c r="BI2702" s="37"/>
      <c r="BJ2702" s="37"/>
      <c r="BK2702" s="37"/>
      <c r="BL2702" s="37"/>
      <c r="BM2702" s="37"/>
    </row>
    <row r="2703" spans="1:65" s="40" customFormat="1" ht="23.25" x14ac:dyDescent="0.35">
      <c r="A2703" s="37"/>
      <c r="B2703" s="37"/>
      <c r="C2703" s="41"/>
      <c r="D2703" s="38"/>
      <c r="E2703" s="57"/>
      <c r="F2703" s="42"/>
      <c r="G2703" s="43"/>
      <c r="H2703" s="37"/>
      <c r="I2703" s="37"/>
      <c r="J2703" s="38"/>
      <c r="K2703" s="37"/>
      <c r="L2703" s="38"/>
      <c r="M2703" s="39"/>
      <c r="P2703" s="37"/>
      <c r="Q2703" s="37"/>
      <c r="R2703" s="37"/>
      <c r="S2703" s="37"/>
      <c r="T2703" s="37"/>
      <c r="U2703" s="37"/>
      <c r="V2703" s="37"/>
      <c r="W2703" s="37"/>
      <c r="X2703" s="37"/>
      <c r="Y2703" s="37"/>
      <c r="Z2703" s="37"/>
      <c r="AA2703" s="37"/>
      <c r="AB2703" s="37"/>
      <c r="AC2703" s="37"/>
      <c r="AD2703" s="37"/>
      <c r="AE2703" s="37"/>
      <c r="AF2703" s="37"/>
      <c r="AG2703" s="37"/>
      <c r="AH2703" s="37"/>
      <c r="AI2703" s="37"/>
      <c r="AJ2703" s="37"/>
      <c r="AK2703" s="37"/>
      <c r="AL2703" s="37"/>
      <c r="AM2703" s="37"/>
      <c r="AN2703" s="37"/>
      <c r="AO2703" s="37"/>
      <c r="AP2703" s="37"/>
      <c r="AQ2703" s="37"/>
      <c r="AR2703" s="37"/>
      <c r="AS2703" s="37"/>
      <c r="AT2703" s="37"/>
      <c r="AU2703" s="37"/>
      <c r="AV2703" s="37"/>
      <c r="AW2703" s="37"/>
      <c r="AX2703" s="37"/>
      <c r="AY2703" s="37"/>
      <c r="AZ2703" s="37"/>
      <c r="BA2703" s="37"/>
      <c r="BB2703" s="37"/>
      <c r="BC2703" s="37"/>
      <c r="BD2703" s="37"/>
      <c r="BE2703" s="37"/>
      <c r="BF2703" s="37"/>
      <c r="BG2703" s="37"/>
      <c r="BH2703" s="37"/>
      <c r="BI2703" s="37"/>
      <c r="BJ2703" s="37"/>
      <c r="BK2703" s="37"/>
      <c r="BL2703" s="37"/>
      <c r="BM2703" s="37"/>
    </row>
    <row r="2704" spans="1:65" s="40" customFormat="1" ht="23.25" x14ac:dyDescent="0.35">
      <c r="A2704" s="37"/>
      <c r="B2704" s="37"/>
      <c r="C2704" s="41"/>
      <c r="D2704" s="38"/>
      <c r="E2704" s="57"/>
      <c r="F2704" s="42"/>
      <c r="G2704" s="43"/>
      <c r="H2704" s="37"/>
      <c r="I2704" s="37"/>
      <c r="J2704" s="38"/>
      <c r="K2704" s="37"/>
      <c r="L2704" s="38"/>
      <c r="M2704" s="39"/>
      <c r="P2704" s="37"/>
      <c r="Q2704" s="37"/>
      <c r="R2704" s="37"/>
      <c r="S2704" s="37"/>
      <c r="T2704" s="37"/>
      <c r="U2704" s="37"/>
      <c r="V2704" s="37"/>
      <c r="W2704" s="37"/>
      <c r="X2704" s="37"/>
      <c r="Y2704" s="37"/>
      <c r="Z2704" s="37"/>
      <c r="AA2704" s="37"/>
      <c r="AB2704" s="37"/>
      <c r="AC2704" s="37"/>
      <c r="AD2704" s="37"/>
      <c r="AE2704" s="37"/>
      <c r="AF2704" s="37"/>
      <c r="AG2704" s="37"/>
      <c r="AH2704" s="37"/>
      <c r="AI2704" s="37"/>
      <c r="AJ2704" s="37"/>
      <c r="AK2704" s="37"/>
      <c r="AL2704" s="37"/>
      <c r="AM2704" s="37"/>
      <c r="AN2704" s="37"/>
      <c r="AO2704" s="37"/>
      <c r="AP2704" s="37"/>
      <c r="AQ2704" s="37"/>
      <c r="AR2704" s="37"/>
      <c r="AS2704" s="37"/>
      <c r="AT2704" s="37"/>
      <c r="AU2704" s="37"/>
      <c r="AV2704" s="37"/>
      <c r="AW2704" s="37"/>
      <c r="AX2704" s="37"/>
      <c r="AY2704" s="37"/>
      <c r="AZ2704" s="37"/>
      <c r="BA2704" s="37"/>
      <c r="BB2704" s="37"/>
      <c r="BC2704" s="37"/>
      <c r="BD2704" s="37"/>
      <c r="BE2704" s="37"/>
      <c r="BF2704" s="37"/>
      <c r="BG2704" s="37"/>
      <c r="BH2704" s="37"/>
      <c r="BI2704" s="37"/>
      <c r="BJ2704" s="37"/>
      <c r="BK2704" s="37"/>
      <c r="BL2704" s="37"/>
      <c r="BM2704" s="37"/>
    </row>
    <row r="2705" spans="1:65" s="40" customFormat="1" ht="23.25" x14ac:dyDescent="0.35">
      <c r="A2705" s="37"/>
      <c r="B2705" s="37"/>
      <c r="C2705" s="41"/>
      <c r="D2705" s="38"/>
      <c r="E2705" s="57"/>
      <c r="F2705" s="42"/>
      <c r="G2705" s="43"/>
      <c r="H2705" s="37"/>
      <c r="I2705" s="37"/>
      <c r="J2705" s="38"/>
      <c r="K2705" s="37"/>
      <c r="L2705" s="38"/>
      <c r="M2705" s="39"/>
      <c r="P2705" s="37"/>
      <c r="Q2705" s="37"/>
      <c r="R2705" s="37"/>
      <c r="S2705" s="37"/>
      <c r="T2705" s="37"/>
      <c r="U2705" s="37"/>
      <c r="V2705" s="37"/>
      <c r="W2705" s="37"/>
      <c r="X2705" s="37"/>
      <c r="Y2705" s="37"/>
      <c r="Z2705" s="37"/>
      <c r="AA2705" s="37"/>
      <c r="AB2705" s="37"/>
      <c r="AC2705" s="37"/>
      <c r="AD2705" s="37"/>
      <c r="AE2705" s="37"/>
      <c r="AF2705" s="37"/>
      <c r="AG2705" s="37"/>
      <c r="AH2705" s="37"/>
      <c r="AI2705" s="37"/>
      <c r="AJ2705" s="37"/>
      <c r="AK2705" s="37"/>
      <c r="AL2705" s="37"/>
      <c r="AM2705" s="37"/>
      <c r="AN2705" s="37"/>
      <c r="AO2705" s="37"/>
      <c r="AP2705" s="37"/>
      <c r="AQ2705" s="37"/>
      <c r="AR2705" s="37"/>
      <c r="AS2705" s="37"/>
      <c r="AT2705" s="37"/>
      <c r="AU2705" s="37"/>
      <c r="AV2705" s="37"/>
      <c r="AW2705" s="37"/>
      <c r="AX2705" s="37"/>
      <c r="AY2705" s="37"/>
      <c r="AZ2705" s="37"/>
      <c r="BA2705" s="37"/>
      <c r="BB2705" s="37"/>
      <c r="BC2705" s="37"/>
      <c r="BD2705" s="37"/>
      <c r="BE2705" s="37"/>
      <c r="BF2705" s="37"/>
      <c r="BG2705" s="37"/>
      <c r="BH2705" s="37"/>
      <c r="BI2705" s="37"/>
      <c r="BJ2705" s="37"/>
      <c r="BK2705" s="37"/>
      <c r="BL2705" s="37"/>
      <c r="BM2705" s="37"/>
    </row>
    <row r="2706" spans="1:65" s="40" customFormat="1" ht="23.25" x14ac:dyDescent="0.35">
      <c r="A2706" s="37"/>
      <c r="B2706" s="37"/>
      <c r="C2706" s="41"/>
      <c r="D2706" s="38"/>
      <c r="E2706" s="57"/>
      <c r="F2706" s="42"/>
      <c r="G2706" s="43"/>
      <c r="H2706" s="37"/>
      <c r="I2706" s="37"/>
      <c r="J2706" s="38"/>
      <c r="K2706" s="37"/>
      <c r="L2706" s="38"/>
      <c r="M2706" s="39"/>
      <c r="P2706" s="37"/>
      <c r="Q2706" s="37"/>
      <c r="R2706" s="37"/>
      <c r="S2706" s="37"/>
      <c r="T2706" s="37"/>
      <c r="U2706" s="37"/>
      <c r="V2706" s="37"/>
      <c r="W2706" s="37"/>
      <c r="X2706" s="37"/>
      <c r="Y2706" s="37"/>
      <c r="Z2706" s="37"/>
      <c r="AA2706" s="37"/>
      <c r="AB2706" s="37"/>
      <c r="AC2706" s="37"/>
      <c r="AD2706" s="37"/>
      <c r="AE2706" s="37"/>
      <c r="AF2706" s="37"/>
      <c r="AG2706" s="37"/>
      <c r="AH2706" s="37"/>
      <c r="AI2706" s="37"/>
      <c r="AJ2706" s="37"/>
      <c r="AK2706" s="37"/>
      <c r="AL2706" s="37"/>
      <c r="AM2706" s="37"/>
      <c r="AN2706" s="37"/>
      <c r="AO2706" s="37"/>
      <c r="AP2706" s="37"/>
      <c r="AQ2706" s="37"/>
      <c r="AR2706" s="37"/>
      <c r="AS2706" s="37"/>
      <c r="AT2706" s="37"/>
      <c r="AU2706" s="37"/>
      <c r="AV2706" s="37"/>
      <c r="AW2706" s="37"/>
      <c r="AX2706" s="37"/>
      <c r="AY2706" s="37"/>
      <c r="AZ2706" s="37"/>
      <c r="BA2706" s="37"/>
      <c r="BB2706" s="37"/>
      <c r="BC2706" s="37"/>
      <c r="BD2706" s="37"/>
      <c r="BE2706" s="37"/>
      <c r="BF2706" s="37"/>
      <c r="BG2706" s="37"/>
      <c r="BH2706" s="37"/>
      <c r="BI2706" s="37"/>
      <c r="BJ2706" s="37"/>
      <c r="BK2706" s="37"/>
      <c r="BL2706" s="37"/>
      <c r="BM2706" s="37"/>
    </row>
    <row r="2707" spans="1:65" s="40" customFormat="1" ht="23.25" x14ac:dyDescent="0.35">
      <c r="A2707" s="37"/>
      <c r="B2707" s="37"/>
      <c r="C2707" s="41"/>
      <c r="D2707" s="38"/>
      <c r="E2707" s="57"/>
      <c r="F2707" s="42"/>
      <c r="G2707" s="43"/>
      <c r="H2707" s="37"/>
      <c r="I2707" s="37"/>
      <c r="J2707" s="38"/>
      <c r="K2707" s="37"/>
      <c r="L2707" s="38"/>
      <c r="M2707" s="39"/>
      <c r="P2707" s="37"/>
      <c r="Q2707" s="37"/>
      <c r="R2707" s="37"/>
      <c r="S2707" s="37"/>
      <c r="T2707" s="37"/>
      <c r="U2707" s="37"/>
      <c r="V2707" s="37"/>
      <c r="W2707" s="37"/>
      <c r="X2707" s="37"/>
      <c r="Y2707" s="37"/>
      <c r="Z2707" s="37"/>
      <c r="AA2707" s="37"/>
      <c r="AB2707" s="37"/>
      <c r="AC2707" s="37"/>
      <c r="AD2707" s="37"/>
      <c r="AE2707" s="37"/>
      <c r="AF2707" s="37"/>
      <c r="AG2707" s="37"/>
      <c r="AH2707" s="37"/>
      <c r="AI2707" s="37"/>
      <c r="AJ2707" s="37"/>
      <c r="AK2707" s="37"/>
      <c r="AL2707" s="37"/>
      <c r="AM2707" s="37"/>
      <c r="AN2707" s="37"/>
      <c r="AO2707" s="37"/>
      <c r="AP2707" s="37"/>
      <c r="AQ2707" s="37"/>
      <c r="AR2707" s="37"/>
      <c r="AS2707" s="37"/>
      <c r="AT2707" s="37"/>
      <c r="AU2707" s="37"/>
      <c r="AV2707" s="37"/>
      <c r="AW2707" s="37"/>
      <c r="AX2707" s="37"/>
      <c r="AY2707" s="37"/>
      <c r="AZ2707" s="37"/>
      <c r="BA2707" s="37"/>
      <c r="BB2707" s="37"/>
      <c r="BC2707" s="37"/>
      <c r="BD2707" s="37"/>
      <c r="BE2707" s="37"/>
      <c r="BF2707" s="37"/>
      <c r="BG2707" s="37"/>
      <c r="BH2707" s="37"/>
      <c r="BI2707" s="37"/>
      <c r="BJ2707" s="37"/>
      <c r="BK2707" s="37"/>
      <c r="BL2707" s="37"/>
      <c r="BM2707" s="37"/>
    </row>
    <row r="2708" spans="1:65" s="40" customFormat="1" ht="23.25" x14ac:dyDescent="0.35">
      <c r="A2708" s="37"/>
      <c r="B2708" s="37"/>
      <c r="C2708" s="41"/>
      <c r="D2708" s="38"/>
      <c r="E2708" s="57"/>
      <c r="F2708" s="42"/>
      <c r="G2708" s="43"/>
      <c r="H2708" s="37"/>
      <c r="I2708" s="37"/>
      <c r="J2708" s="38"/>
      <c r="K2708" s="37"/>
      <c r="L2708" s="38"/>
      <c r="M2708" s="39"/>
      <c r="P2708" s="37"/>
      <c r="Q2708" s="37"/>
      <c r="R2708" s="37"/>
      <c r="S2708" s="37"/>
      <c r="T2708" s="37"/>
      <c r="U2708" s="37"/>
      <c r="V2708" s="37"/>
      <c r="W2708" s="37"/>
      <c r="X2708" s="37"/>
      <c r="Y2708" s="37"/>
      <c r="Z2708" s="37"/>
      <c r="AA2708" s="37"/>
      <c r="AB2708" s="37"/>
      <c r="AC2708" s="37"/>
      <c r="AD2708" s="37"/>
      <c r="AE2708" s="37"/>
      <c r="AF2708" s="37"/>
      <c r="AG2708" s="37"/>
      <c r="AH2708" s="37"/>
      <c r="AI2708" s="37"/>
      <c r="AJ2708" s="37"/>
      <c r="AK2708" s="37"/>
      <c r="AL2708" s="37"/>
      <c r="AM2708" s="37"/>
      <c r="AN2708" s="37"/>
      <c r="AO2708" s="37"/>
      <c r="AP2708" s="37"/>
      <c r="AQ2708" s="37"/>
      <c r="AR2708" s="37"/>
      <c r="AS2708" s="37"/>
      <c r="AT2708" s="37"/>
      <c r="AU2708" s="37"/>
      <c r="AV2708" s="37"/>
      <c r="AW2708" s="37"/>
      <c r="AX2708" s="37"/>
      <c r="AY2708" s="37"/>
      <c r="AZ2708" s="37"/>
      <c r="BA2708" s="37"/>
      <c r="BB2708" s="37"/>
      <c r="BC2708" s="37"/>
      <c r="BD2708" s="37"/>
      <c r="BE2708" s="37"/>
      <c r="BF2708" s="37"/>
      <c r="BG2708" s="37"/>
      <c r="BH2708" s="37"/>
      <c r="BI2708" s="37"/>
      <c r="BJ2708" s="37"/>
      <c r="BK2708" s="37"/>
      <c r="BL2708" s="37"/>
      <c r="BM2708" s="37"/>
    </row>
    <row r="2709" spans="1:65" s="40" customFormat="1" ht="23.25" x14ac:dyDescent="0.35">
      <c r="A2709" s="37"/>
      <c r="B2709" s="37"/>
      <c r="C2709" s="41"/>
      <c r="D2709" s="38"/>
      <c r="E2709" s="57"/>
      <c r="F2709" s="42"/>
      <c r="G2709" s="43"/>
      <c r="H2709" s="37"/>
      <c r="I2709" s="37"/>
      <c r="J2709" s="38"/>
      <c r="K2709" s="37"/>
      <c r="L2709" s="38"/>
      <c r="M2709" s="39"/>
      <c r="P2709" s="37"/>
      <c r="Q2709" s="37"/>
      <c r="R2709" s="37"/>
      <c r="S2709" s="37"/>
      <c r="T2709" s="37"/>
      <c r="U2709" s="37"/>
      <c r="V2709" s="37"/>
      <c r="W2709" s="37"/>
      <c r="X2709" s="37"/>
      <c r="Y2709" s="37"/>
      <c r="Z2709" s="37"/>
      <c r="AA2709" s="37"/>
      <c r="AB2709" s="37"/>
      <c r="AC2709" s="37"/>
      <c r="AD2709" s="37"/>
      <c r="AE2709" s="37"/>
      <c r="AF2709" s="37"/>
      <c r="AG2709" s="37"/>
      <c r="AH2709" s="37"/>
      <c r="AI2709" s="37"/>
      <c r="AJ2709" s="37"/>
      <c r="AK2709" s="37"/>
      <c r="AL2709" s="37"/>
      <c r="AM2709" s="37"/>
      <c r="AN2709" s="37"/>
      <c r="AO2709" s="37"/>
      <c r="AP2709" s="37"/>
      <c r="AQ2709" s="37"/>
      <c r="AR2709" s="37"/>
      <c r="AS2709" s="37"/>
      <c r="AT2709" s="37"/>
      <c r="AU2709" s="37"/>
      <c r="AV2709" s="37"/>
      <c r="AW2709" s="37"/>
      <c r="AX2709" s="37"/>
      <c r="AY2709" s="37"/>
      <c r="AZ2709" s="37"/>
      <c r="BA2709" s="37"/>
      <c r="BB2709" s="37"/>
      <c r="BC2709" s="37"/>
      <c r="BD2709" s="37"/>
      <c r="BE2709" s="37"/>
      <c r="BF2709" s="37"/>
      <c r="BG2709" s="37"/>
      <c r="BH2709" s="37"/>
      <c r="BI2709" s="37"/>
      <c r="BJ2709" s="37"/>
      <c r="BK2709" s="37"/>
      <c r="BL2709" s="37"/>
      <c r="BM2709" s="37"/>
    </row>
    <row r="2710" spans="1:65" s="40" customFormat="1" ht="23.25" x14ac:dyDescent="0.35">
      <c r="A2710" s="37"/>
      <c r="B2710" s="37"/>
      <c r="C2710" s="41"/>
      <c r="D2710" s="38"/>
      <c r="E2710" s="57"/>
      <c r="F2710" s="42"/>
      <c r="G2710" s="43"/>
      <c r="H2710" s="37"/>
      <c r="I2710" s="37"/>
      <c r="J2710" s="38"/>
      <c r="K2710" s="37"/>
      <c r="L2710" s="38"/>
      <c r="M2710" s="39"/>
      <c r="P2710" s="37"/>
      <c r="Q2710" s="37"/>
      <c r="R2710" s="37"/>
      <c r="S2710" s="37"/>
      <c r="T2710" s="37"/>
      <c r="U2710" s="37"/>
      <c r="V2710" s="37"/>
      <c r="W2710" s="37"/>
      <c r="X2710" s="37"/>
      <c r="Y2710" s="37"/>
      <c r="Z2710" s="37"/>
      <c r="AA2710" s="37"/>
      <c r="AB2710" s="37"/>
      <c r="AC2710" s="37"/>
      <c r="AD2710" s="37"/>
      <c r="AE2710" s="37"/>
      <c r="AF2710" s="37"/>
      <c r="AG2710" s="37"/>
      <c r="AH2710" s="37"/>
      <c r="AI2710" s="37"/>
      <c r="AJ2710" s="37"/>
      <c r="AK2710" s="37"/>
      <c r="AL2710" s="37"/>
      <c r="AM2710" s="37"/>
      <c r="AN2710" s="37"/>
      <c r="AO2710" s="37"/>
      <c r="AP2710" s="37"/>
      <c r="AQ2710" s="37"/>
      <c r="AR2710" s="37"/>
      <c r="AS2710" s="37"/>
      <c r="AT2710" s="37"/>
      <c r="AU2710" s="37"/>
      <c r="AV2710" s="37"/>
      <c r="AW2710" s="37"/>
      <c r="AX2710" s="37"/>
      <c r="AY2710" s="37"/>
      <c r="AZ2710" s="37"/>
      <c r="BA2710" s="37"/>
      <c r="BB2710" s="37"/>
      <c r="BC2710" s="37"/>
      <c r="BD2710" s="37"/>
      <c r="BE2710" s="37"/>
      <c r="BF2710" s="37"/>
      <c r="BG2710" s="37"/>
      <c r="BH2710" s="37"/>
      <c r="BI2710" s="37"/>
      <c r="BJ2710" s="37"/>
      <c r="BK2710" s="37"/>
      <c r="BL2710" s="37"/>
      <c r="BM2710" s="37"/>
    </row>
    <row r="2711" spans="1:65" s="40" customFormat="1" ht="23.25" x14ac:dyDescent="0.35">
      <c r="A2711" s="37"/>
      <c r="B2711" s="37"/>
      <c r="C2711" s="41"/>
      <c r="D2711" s="38"/>
      <c r="E2711" s="57"/>
      <c r="F2711" s="42"/>
      <c r="G2711" s="43"/>
      <c r="H2711" s="37"/>
      <c r="I2711" s="37"/>
      <c r="J2711" s="38"/>
      <c r="K2711" s="37"/>
      <c r="L2711" s="38"/>
      <c r="M2711" s="39"/>
      <c r="P2711" s="37"/>
      <c r="Q2711" s="37"/>
      <c r="R2711" s="37"/>
      <c r="S2711" s="37"/>
      <c r="T2711" s="37"/>
      <c r="U2711" s="37"/>
      <c r="V2711" s="37"/>
      <c r="W2711" s="37"/>
      <c r="X2711" s="37"/>
      <c r="Y2711" s="37"/>
      <c r="Z2711" s="37"/>
      <c r="AA2711" s="37"/>
      <c r="AB2711" s="37"/>
      <c r="AC2711" s="37"/>
      <c r="AD2711" s="37"/>
      <c r="AE2711" s="37"/>
      <c r="AF2711" s="37"/>
      <c r="AG2711" s="37"/>
      <c r="AH2711" s="37"/>
      <c r="AI2711" s="37"/>
      <c r="AJ2711" s="37"/>
      <c r="AK2711" s="37"/>
      <c r="AL2711" s="37"/>
      <c r="AM2711" s="37"/>
      <c r="AN2711" s="37"/>
      <c r="AO2711" s="37"/>
      <c r="AP2711" s="37"/>
      <c r="AQ2711" s="37"/>
      <c r="AR2711" s="37"/>
      <c r="AS2711" s="37"/>
      <c r="AT2711" s="37"/>
      <c r="AU2711" s="37"/>
      <c r="AV2711" s="37"/>
      <c r="AW2711" s="37"/>
      <c r="AX2711" s="37"/>
      <c r="AY2711" s="37"/>
      <c r="AZ2711" s="37"/>
      <c r="BA2711" s="37"/>
      <c r="BB2711" s="37"/>
      <c r="BC2711" s="37"/>
      <c r="BD2711" s="37"/>
      <c r="BE2711" s="37"/>
      <c r="BF2711" s="37"/>
      <c r="BG2711" s="37"/>
      <c r="BH2711" s="37"/>
      <c r="BI2711" s="37"/>
      <c r="BJ2711" s="37"/>
      <c r="BK2711" s="37"/>
      <c r="BL2711" s="37"/>
      <c r="BM2711" s="37"/>
    </row>
    <row r="2712" spans="1:65" s="40" customFormat="1" ht="23.25" x14ac:dyDescent="0.35">
      <c r="A2712" s="37"/>
      <c r="B2712" s="37"/>
      <c r="C2712" s="41"/>
      <c r="D2712" s="38"/>
      <c r="E2712" s="57"/>
      <c r="F2712" s="42"/>
      <c r="G2712" s="43"/>
      <c r="H2712" s="37"/>
      <c r="I2712" s="37"/>
      <c r="J2712" s="38"/>
      <c r="K2712" s="37"/>
      <c r="L2712" s="38"/>
      <c r="M2712" s="39"/>
      <c r="P2712" s="37"/>
      <c r="Q2712" s="37"/>
      <c r="R2712" s="37"/>
      <c r="S2712" s="37"/>
      <c r="T2712" s="37"/>
      <c r="U2712" s="37"/>
      <c r="V2712" s="37"/>
      <c r="W2712" s="37"/>
      <c r="X2712" s="37"/>
      <c r="Y2712" s="37"/>
      <c r="Z2712" s="37"/>
      <c r="AA2712" s="37"/>
      <c r="AB2712" s="37"/>
      <c r="AC2712" s="37"/>
      <c r="AD2712" s="37"/>
      <c r="AE2712" s="37"/>
      <c r="AF2712" s="37"/>
      <c r="AG2712" s="37"/>
      <c r="AH2712" s="37"/>
      <c r="AI2712" s="37"/>
      <c r="AJ2712" s="37"/>
      <c r="AK2712" s="37"/>
      <c r="AL2712" s="37"/>
      <c r="AM2712" s="37"/>
      <c r="AN2712" s="37"/>
      <c r="AO2712" s="37"/>
      <c r="AP2712" s="37"/>
      <c r="AQ2712" s="37"/>
      <c r="AR2712" s="37"/>
      <c r="AS2712" s="37"/>
      <c r="AT2712" s="37"/>
      <c r="AU2712" s="37"/>
      <c r="AV2712" s="37"/>
      <c r="AW2712" s="37"/>
      <c r="AX2712" s="37"/>
      <c r="AY2712" s="37"/>
      <c r="AZ2712" s="37"/>
      <c r="BA2712" s="37"/>
      <c r="BB2712" s="37"/>
      <c r="BC2712" s="37"/>
      <c r="BD2712" s="37"/>
      <c r="BE2712" s="37"/>
      <c r="BF2712" s="37"/>
      <c r="BG2712" s="37"/>
      <c r="BH2712" s="37"/>
      <c r="BI2712" s="37"/>
      <c r="BJ2712" s="37"/>
      <c r="BK2712" s="37"/>
      <c r="BL2712" s="37"/>
      <c r="BM2712" s="37"/>
    </row>
    <row r="2713" spans="1:65" s="40" customFormat="1" ht="23.25" x14ac:dyDescent="0.35">
      <c r="A2713" s="37"/>
      <c r="B2713" s="37"/>
      <c r="C2713" s="41"/>
      <c r="D2713" s="38"/>
      <c r="E2713" s="57"/>
      <c r="F2713" s="42"/>
      <c r="G2713" s="43"/>
      <c r="H2713" s="37"/>
      <c r="I2713" s="37"/>
      <c r="J2713" s="38"/>
      <c r="K2713" s="37"/>
      <c r="L2713" s="38"/>
      <c r="M2713" s="39"/>
      <c r="P2713" s="37"/>
      <c r="Q2713" s="37"/>
      <c r="R2713" s="37"/>
      <c r="S2713" s="37"/>
      <c r="T2713" s="37"/>
      <c r="U2713" s="37"/>
      <c r="V2713" s="37"/>
      <c r="W2713" s="37"/>
      <c r="X2713" s="37"/>
      <c r="Y2713" s="37"/>
      <c r="Z2713" s="37"/>
      <c r="AA2713" s="37"/>
      <c r="AB2713" s="37"/>
      <c r="AC2713" s="37"/>
      <c r="AD2713" s="37"/>
      <c r="AE2713" s="37"/>
      <c r="AF2713" s="37"/>
      <c r="AG2713" s="37"/>
      <c r="AH2713" s="37"/>
      <c r="AI2713" s="37"/>
      <c r="AJ2713" s="37"/>
      <c r="AK2713" s="37"/>
      <c r="AL2713" s="37"/>
      <c r="AM2713" s="37"/>
      <c r="AN2713" s="37"/>
      <c r="AO2713" s="37"/>
      <c r="AP2713" s="37"/>
      <c r="AQ2713" s="37"/>
      <c r="AR2713" s="37"/>
      <c r="AS2713" s="37"/>
      <c r="AT2713" s="37"/>
      <c r="AU2713" s="37"/>
      <c r="AV2713" s="37"/>
      <c r="AW2713" s="37"/>
      <c r="AX2713" s="37"/>
      <c r="AY2713" s="37"/>
      <c r="AZ2713" s="37"/>
      <c r="BA2713" s="37"/>
      <c r="BB2713" s="37"/>
      <c r="BC2713" s="37"/>
      <c r="BD2713" s="37"/>
      <c r="BE2713" s="37"/>
      <c r="BF2713" s="37"/>
      <c r="BG2713" s="37"/>
      <c r="BH2713" s="37"/>
      <c r="BI2713" s="37"/>
      <c r="BJ2713" s="37"/>
      <c r="BK2713" s="37"/>
      <c r="BL2713" s="37"/>
      <c r="BM2713" s="37"/>
    </row>
    <row r="2714" spans="1:65" s="40" customFormat="1" ht="23.25" x14ac:dyDescent="0.35">
      <c r="A2714" s="37"/>
      <c r="B2714" s="37"/>
      <c r="C2714" s="41"/>
      <c r="D2714" s="38"/>
      <c r="E2714" s="57"/>
      <c r="F2714" s="42"/>
      <c r="G2714" s="43"/>
      <c r="H2714" s="37"/>
      <c r="I2714" s="37"/>
      <c r="J2714" s="38"/>
      <c r="K2714" s="37"/>
      <c r="L2714" s="38"/>
      <c r="M2714" s="39"/>
      <c r="P2714" s="37"/>
      <c r="Q2714" s="37"/>
      <c r="R2714" s="37"/>
      <c r="S2714" s="37"/>
      <c r="T2714" s="37"/>
      <c r="U2714" s="37"/>
      <c r="V2714" s="37"/>
      <c r="W2714" s="37"/>
      <c r="X2714" s="37"/>
      <c r="Y2714" s="37"/>
      <c r="Z2714" s="37"/>
      <c r="AA2714" s="37"/>
      <c r="AB2714" s="37"/>
      <c r="AC2714" s="37"/>
      <c r="AD2714" s="37"/>
      <c r="AE2714" s="37"/>
      <c r="AF2714" s="37"/>
      <c r="AG2714" s="37"/>
      <c r="AH2714" s="37"/>
      <c r="AI2714" s="37"/>
      <c r="AJ2714" s="37"/>
      <c r="AK2714" s="37"/>
      <c r="AL2714" s="37"/>
      <c r="AM2714" s="37"/>
      <c r="AN2714" s="37"/>
      <c r="AO2714" s="37"/>
      <c r="AP2714" s="37"/>
      <c r="AQ2714" s="37"/>
      <c r="AR2714" s="37"/>
      <c r="AS2714" s="37"/>
      <c r="AT2714" s="37"/>
      <c r="AU2714" s="37"/>
      <c r="AV2714" s="37"/>
      <c r="AW2714" s="37"/>
      <c r="AX2714" s="37"/>
      <c r="AY2714" s="37"/>
      <c r="AZ2714" s="37"/>
      <c r="BA2714" s="37"/>
      <c r="BB2714" s="37"/>
      <c r="BC2714" s="37"/>
      <c r="BD2714" s="37"/>
      <c r="BE2714" s="37"/>
      <c r="BF2714" s="37"/>
      <c r="BG2714" s="37"/>
      <c r="BH2714" s="37"/>
      <c r="BI2714" s="37"/>
      <c r="BJ2714" s="37"/>
      <c r="BK2714" s="37"/>
      <c r="BL2714" s="37"/>
      <c r="BM2714" s="37"/>
    </row>
    <row r="2715" spans="1:65" s="40" customFormat="1" ht="23.25" x14ac:dyDescent="0.35">
      <c r="A2715" s="37"/>
      <c r="B2715" s="37"/>
      <c r="C2715" s="41"/>
      <c r="D2715" s="38"/>
      <c r="E2715" s="57"/>
      <c r="F2715" s="42"/>
      <c r="G2715" s="43"/>
      <c r="H2715" s="37"/>
      <c r="I2715" s="37"/>
      <c r="J2715" s="38"/>
      <c r="K2715" s="37"/>
      <c r="L2715" s="38"/>
      <c r="M2715" s="39"/>
      <c r="P2715" s="37"/>
      <c r="Q2715" s="37"/>
      <c r="R2715" s="37"/>
      <c r="S2715" s="37"/>
      <c r="T2715" s="37"/>
      <c r="U2715" s="37"/>
      <c r="V2715" s="37"/>
      <c r="W2715" s="37"/>
      <c r="X2715" s="37"/>
      <c r="Y2715" s="37"/>
      <c r="Z2715" s="37"/>
      <c r="AA2715" s="37"/>
      <c r="AB2715" s="37"/>
      <c r="AC2715" s="37"/>
      <c r="AD2715" s="37"/>
      <c r="AE2715" s="37"/>
      <c r="AF2715" s="37"/>
      <c r="AG2715" s="37"/>
      <c r="AH2715" s="37"/>
      <c r="AI2715" s="37"/>
      <c r="AJ2715" s="37"/>
      <c r="AK2715" s="37"/>
      <c r="AL2715" s="37"/>
      <c r="AM2715" s="37"/>
      <c r="AN2715" s="37"/>
      <c r="AO2715" s="37"/>
      <c r="AP2715" s="37"/>
      <c r="AQ2715" s="37"/>
      <c r="AR2715" s="37"/>
      <c r="AS2715" s="37"/>
      <c r="AT2715" s="37"/>
      <c r="AU2715" s="37"/>
      <c r="AV2715" s="37"/>
      <c r="AW2715" s="37"/>
      <c r="AX2715" s="37"/>
      <c r="AY2715" s="37"/>
      <c r="AZ2715" s="37"/>
      <c r="BA2715" s="37"/>
      <c r="BB2715" s="37"/>
      <c r="BC2715" s="37"/>
      <c r="BD2715" s="37"/>
      <c r="BE2715" s="37"/>
      <c r="BF2715" s="37"/>
      <c r="BG2715" s="37"/>
      <c r="BH2715" s="37"/>
      <c r="BI2715" s="37"/>
      <c r="BJ2715" s="37"/>
      <c r="BK2715" s="37"/>
      <c r="BL2715" s="37"/>
      <c r="BM2715" s="37"/>
    </row>
    <row r="2716" spans="1:65" s="40" customFormat="1" ht="23.25" x14ac:dyDescent="0.35">
      <c r="A2716" s="37"/>
      <c r="B2716" s="37"/>
      <c r="C2716" s="41"/>
      <c r="D2716" s="38"/>
      <c r="E2716" s="57"/>
      <c r="F2716" s="42"/>
      <c r="G2716" s="43"/>
      <c r="H2716" s="37"/>
      <c r="I2716" s="37"/>
      <c r="J2716" s="38"/>
      <c r="K2716" s="37"/>
      <c r="L2716" s="38"/>
      <c r="M2716" s="39"/>
      <c r="P2716" s="37"/>
      <c r="Q2716" s="37"/>
      <c r="R2716" s="37"/>
      <c r="S2716" s="37"/>
      <c r="T2716" s="37"/>
      <c r="U2716" s="37"/>
      <c r="V2716" s="37"/>
      <c r="W2716" s="37"/>
      <c r="X2716" s="37"/>
      <c r="Y2716" s="37"/>
      <c r="Z2716" s="37"/>
      <c r="AA2716" s="37"/>
      <c r="AB2716" s="37"/>
      <c r="AC2716" s="37"/>
      <c r="AD2716" s="37"/>
      <c r="AE2716" s="37"/>
      <c r="AF2716" s="37"/>
      <c r="AG2716" s="37"/>
      <c r="AH2716" s="37"/>
      <c r="AI2716" s="37"/>
      <c r="AJ2716" s="37"/>
      <c r="AK2716" s="37"/>
      <c r="AL2716" s="37"/>
      <c r="AM2716" s="37"/>
      <c r="AN2716" s="37"/>
      <c r="AO2716" s="37"/>
      <c r="AP2716" s="37"/>
      <c r="AQ2716" s="37"/>
      <c r="AR2716" s="37"/>
      <c r="AS2716" s="37"/>
      <c r="AT2716" s="37"/>
      <c r="AU2716" s="37"/>
      <c r="AV2716" s="37"/>
      <c r="AW2716" s="37"/>
      <c r="AX2716" s="37"/>
      <c r="AY2716" s="37"/>
      <c r="AZ2716" s="37"/>
      <c r="BA2716" s="37"/>
      <c r="BB2716" s="37"/>
      <c r="BC2716" s="37"/>
      <c r="BD2716" s="37"/>
      <c r="BE2716" s="37"/>
      <c r="BF2716" s="37"/>
      <c r="BG2716" s="37"/>
      <c r="BH2716" s="37"/>
      <c r="BI2716" s="37"/>
      <c r="BJ2716" s="37"/>
      <c r="BK2716" s="37"/>
      <c r="BL2716" s="37"/>
      <c r="BM2716" s="37"/>
    </row>
    <row r="2717" spans="1:65" s="40" customFormat="1" ht="23.25" x14ac:dyDescent="0.35">
      <c r="A2717" s="37"/>
      <c r="B2717" s="37"/>
      <c r="C2717" s="41"/>
      <c r="D2717" s="38"/>
      <c r="E2717" s="57"/>
      <c r="F2717" s="42"/>
      <c r="G2717" s="43"/>
      <c r="H2717" s="37"/>
      <c r="I2717" s="37"/>
      <c r="J2717" s="38"/>
      <c r="K2717" s="37"/>
      <c r="L2717" s="38"/>
      <c r="M2717" s="39"/>
      <c r="P2717" s="37"/>
      <c r="Q2717" s="37"/>
      <c r="R2717" s="37"/>
      <c r="S2717" s="37"/>
      <c r="T2717" s="37"/>
      <c r="U2717" s="37"/>
      <c r="V2717" s="37"/>
      <c r="W2717" s="37"/>
      <c r="X2717" s="37"/>
      <c r="Y2717" s="37"/>
      <c r="Z2717" s="37"/>
      <c r="AA2717" s="37"/>
      <c r="AB2717" s="37"/>
      <c r="AC2717" s="37"/>
      <c r="AD2717" s="37"/>
      <c r="AE2717" s="37"/>
      <c r="AF2717" s="37"/>
      <c r="AG2717" s="37"/>
      <c r="AH2717" s="37"/>
      <c r="AI2717" s="37"/>
      <c r="AJ2717" s="37"/>
      <c r="AK2717" s="37"/>
      <c r="AL2717" s="37"/>
      <c r="AM2717" s="37"/>
      <c r="AN2717" s="37"/>
      <c r="AO2717" s="37"/>
      <c r="AP2717" s="37"/>
      <c r="AQ2717" s="37"/>
      <c r="AR2717" s="37"/>
      <c r="AS2717" s="37"/>
      <c r="AT2717" s="37"/>
      <c r="AU2717" s="37"/>
      <c r="AV2717" s="37"/>
      <c r="AW2717" s="37"/>
      <c r="AX2717" s="37"/>
      <c r="AY2717" s="37"/>
      <c r="AZ2717" s="37"/>
      <c r="BA2717" s="37"/>
      <c r="BB2717" s="37"/>
      <c r="BC2717" s="37"/>
      <c r="BD2717" s="37"/>
      <c r="BE2717" s="37"/>
      <c r="BF2717" s="37"/>
      <c r="BG2717" s="37"/>
      <c r="BH2717" s="37"/>
      <c r="BI2717" s="37"/>
      <c r="BJ2717" s="37"/>
      <c r="BK2717" s="37"/>
      <c r="BL2717" s="37"/>
      <c r="BM2717" s="37"/>
    </row>
    <row r="2718" spans="1:65" s="40" customFormat="1" ht="23.25" x14ac:dyDescent="0.35">
      <c r="A2718" s="37"/>
      <c r="B2718" s="37"/>
      <c r="C2718" s="41"/>
      <c r="D2718" s="38"/>
      <c r="E2718" s="57"/>
      <c r="F2718" s="42"/>
      <c r="G2718" s="43"/>
      <c r="H2718" s="37"/>
      <c r="I2718" s="37"/>
      <c r="J2718" s="38"/>
      <c r="K2718" s="37"/>
      <c r="L2718" s="38"/>
      <c r="M2718" s="39"/>
      <c r="P2718" s="37"/>
      <c r="Q2718" s="37"/>
      <c r="R2718" s="37"/>
      <c r="S2718" s="37"/>
      <c r="T2718" s="37"/>
      <c r="U2718" s="37"/>
      <c r="V2718" s="37"/>
      <c r="W2718" s="37"/>
      <c r="X2718" s="37"/>
      <c r="Y2718" s="37"/>
      <c r="Z2718" s="37"/>
      <c r="AA2718" s="37"/>
      <c r="AB2718" s="37"/>
      <c r="AC2718" s="37"/>
      <c r="AD2718" s="37"/>
      <c r="AE2718" s="37"/>
      <c r="AF2718" s="37"/>
      <c r="AG2718" s="37"/>
      <c r="AH2718" s="37"/>
      <c r="AI2718" s="37"/>
      <c r="AJ2718" s="37"/>
      <c r="AK2718" s="37"/>
      <c r="AL2718" s="37"/>
      <c r="AM2718" s="37"/>
      <c r="AN2718" s="37"/>
      <c r="AO2718" s="37"/>
      <c r="AP2718" s="37"/>
      <c r="AQ2718" s="37"/>
      <c r="AR2718" s="37"/>
      <c r="AS2718" s="37"/>
      <c r="AT2718" s="37"/>
      <c r="AU2718" s="37"/>
      <c r="AV2718" s="37"/>
      <c r="AW2718" s="37"/>
      <c r="AX2718" s="37"/>
      <c r="AY2718" s="37"/>
      <c r="AZ2718" s="37"/>
      <c r="BA2718" s="37"/>
      <c r="BB2718" s="37"/>
      <c r="BC2718" s="37"/>
      <c r="BD2718" s="37"/>
      <c r="BE2718" s="37"/>
      <c r="BF2718" s="37"/>
      <c r="BG2718" s="37"/>
      <c r="BH2718" s="37"/>
      <c r="BI2718" s="37"/>
      <c r="BJ2718" s="37"/>
      <c r="BK2718" s="37"/>
      <c r="BL2718" s="37"/>
      <c r="BM2718" s="37"/>
    </row>
    <row r="2719" spans="1:65" s="40" customFormat="1" ht="23.25" x14ac:dyDescent="0.35">
      <c r="A2719" s="37"/>
      <c r="B2719" s="37"/>
      <c r="C2719" s="41"/>
      <c r="D2719" s="38"/>
      <c r="E2719" s="57"/>
      <c r="F2719" s="42"/>
      <c r="G2719" s="43"/>
      <c r="H2719" s="37"/>
      <c r="I2719" s="37"/>
      <c r="J2719" s="38"/>
      <c r="K2719" s="37"/>
      <c r="L2719" s="38"/>
      <c r="M2719" s="39"/>
      <c r="P2719" s="37"/>
      <c r="Q2719" s="37"/>
      <c r="R2719" s="37"/>
      <c r="S2719" s="37"/>
      <c r="T2719" s="37"/>
      <c r="U2719" s="37"/>
      <c r="V2719" s="37"/>
      <c r="W2719" s="37"/>
      <c r="X2719" s="37"/>
      <c r="Y2719" s="37"/>
      <c r="Z2719" s="37"/>
      <c r="AA2719" s="37"/>
      <c r="AB2719" s="37"/>
      <c r="AC2719" s="37"/>
      <c r="AD2719" s="37"/>
      <c r="AE2719" s="37"/>
      <c r="AF2719" s="37"/>
      <c r="AG2719" s="37"/>
      <c r="AH2719" s="37"/>
      <c r="AI2719" s="37"/>
      <c r="AJ2719" s="37"/>
      <c r="AK2719" s="37"/>
      <c r="AL2719" s="37"/>
      <c r="AM2719" s="37"/>
      <c r="AN2719" s="37"/>
      <c r="AO2719" s="37"/>
      <c r="AP2719" s="37"/>
      <c r="AQ2719" s="37"/>
      <c r="AR2719" s="37"/>
      <c r="AS2719" s="37"/>
      <c r="AT2719" s="37"/>
      <c r="AU2719" s="37"/>
      <c r="AV2719" s="37"/>
      <c r="AW2719" s="37"/>
      <c r="AX2719" s="37"/>
      <c r="AY2719" s="37"/>
      <c r="AZ2719" s="37"/>
      <c r="BA2719" s="37"/>
      <c r="BB2719" s="37"/>
      <c r="BC2719" s="37"/>
      <c r="BD2719" s="37"/>
      <c r="BE2719" s="37"/>
      <c r="BF2719" s="37"/>
      <c r="BG2719" s="37"/>
      <c r="BH2719" s="37"/>
      <c r="BI2719" s="37"/>
      <c r="BJ2719" s="37"/>
      <c r="BK2719" s="37"/>
      <c r="BL2719" s="37"/>
      <c r="BM2719" s="37"/>
    </row>
    <row r="2720" spans="1:65" s="40" customFormat="1" ht="23.25" x14ac:dyDescent="0.35">
      <c r="A2720" s="37"/>
      <c r="B2720" s="37"/>
      <c r="C2720" s="41"/>
      <c r="D2720" s="38"/>
      <c r="E2720" s="57"/>
      <c r="F2720" s="42"/>
      <c r="G2720" s="43"/>
      <c r="H2720" s="37"/>
      <c r="I2720" s="37"/>
      <c r="J2720" s="38"/>
      <c r="K2720" s="37"/>
      <c r="L2720" s="38"/>
      <c r="M2720" s="39"/>
      <c r="P2720" s="37"/>
      <c r="Q2720" s="37"/>
      <c r="R2720" s="37"/>
      <c r="S2720" s="37"/>
      <c r="T2720" s="37"/>
      <c r="U2720" s="37"/>
      <c r="V2720" s="37"/>
      <c r="W2720" s="37"/>
      <c r="X2720" s="37"/>
      <c r="Y2720" s="37"/>
      <c r="Z2720" s="37"/>
      <c r="AA2720" s="37"/>
      <c r="AB2720" s="37"/>
      <c r="AC2720" s="37"/>
      <c r="AD2720" s="37"/>
      <c r="AE2720" s="37"/>
      <c r="AF2720" s="37"/>
      <c r="AG2720" s="37"/>
      <c r="AH2720" s="37"/>
      <c r="AI2720" s="37"/>
      <c r="AJ2720" s="37"/>
      <c r="AK2720" s="37"/>
      <c r="AL2720" s="37"/>
      <c r="AM2720" s="37"/>
      <c r="AN2720" s="37"/>
      <c r="AO2720" s="37"/>
      <c r="AP2720" s="37"/>
      <c r="AQ2720" s="37"/>
      <c r="AR2720" s="37"/>
      <c r="AS2720" s="37"/>
      <c r="AT2720" s="37"/>
      <c r="AU2720" s="37"/>
      <c r="AV2720" s="37"/>
      <c r="AW2720" s="37"/>
      <c r="AX2720" s="37"/>
      <c r="AY2720" s="37"/>
      <c r="AZ2720" s="37"/>
      <c r="BA2720" s="37"/>
      <c r="BB2720" s="37"/>
      <c r="BC2720" s="37"/>
      <c r="BD2720" s="37"/>
      <c r="BE2720" s="37"/>
      <c r="BF2720" s="37"/>
      <c r="BG2720" s="37"/>
      <c r="BH2720" s="37"/>
      <c r="BI2720" s="37"/>
      <c r="BJ2720" s="37"/>
      <c r="BK2720" s="37"/>
      <c r="BL2720" s="37"/>
      <c r="BM2720" s="37"/>
    </row>
    <row r="2721" spans="1:65" s="40" customFormat="1" ht="23.25" x14ac:dyDescent="0.35">
      <c r="A2721" s="37"/>
      <c r="B2721" s="37"/>
      <c r="C2721" s="41"/>
      <c r="D2721" s="38"/>
      <c r="E2721" s="57"/>
      <c r="F2721" s="42"/>
      <c r="G2721" s="43"/>
      <c r="H2721" s="37"/>
      <c r="I2721" s="37"/>
      <c r="J2721" s="38"/>
      <c r="K2721" s="37"/>
      <c r="L2721" s="38"/>
      <c r="M2721" s="39"/>
      <c r="P2721" s="37"/>
      <c r="Q2721" s="37"/>
      <c r="R2721" s="37"/>
      <c r="S2721" s="37"/>
      <c r="T2721" s="37"/>
      <c r="U2721" s="37"/>
      <c r="V2721" s="37"/>
      <c r="W2721" s="37"/>
      <c r="X2721" s="37"/>
      <c r="Y2721" s="37"/>
      <c r="Z2721" s="37"/>
      <c r="AA2721" s="37"/>
      <c r="AB2721" s="37"/>
      <c r="AC2721" s="37"/>
      <c r="AD2721" s="37"/>
      <c r="AE2721" s="37"/>
      <c r="AF2721" s="37"/>
      <c r="AG2721" s="37"/>
      <c r="AH2721" s="37"/>
      <c r="AI2721" s="37"/>
      <c r="AJ2721" s="37"/>
      <c r="AK2721" s="37"/>
      <c r="AL2721" s="37"/>
      <c r="AM2721" s="37"/>
      <c r="AN2721" s="37"/>
      <c r="AO2721" s="37"/>
      <c r="AP2721" s="37"/>
      <c r="AQ2721" s="37"/>
      <c r="AR2721" s="37"/>
      <c r="AS2721" s="37"/>
      <c r="AT2721" s="37"/>
      <c r="AU2721" s="37"/>
      <c r="AV2721" s="37"/>
      <c r="AW2721" s="37"/>
      <c r="AX2721" s="37"/>
      <c r="AY2721" s="37"/>
      <c r="AZ2721" s="37"/>
      <c r="BA2721" s="37"/>
      <c r="BB2721" s="37"/>
      <c r="BC2721" s="37"/>
      <c r="BD2721" s="37"/>
      <c r="BE2721" s="37"/>
      <c r="BF2721" s="37"/>
      <c r="BG2721" s="37"/>
      <c r="BH2721" s="37"/>
      <c r="BI2721" s="37"/>
      <c r="BJ2721" s="37"/>
      <c r="BK2721" s="37"/>
      <c r="BL2721" s="37"/>
      <c r="BM2721" s="37"/>
    </row>
    <row r="2722" spans="1:65" s="40" customFormat="1" ht="23.25" x14ac:dyDescent="0.35">
      <c r="A2722" s="37"/>
      <c r="B2722" s="37"/>
      <c r="C2722" s="41"/>
      <c r="D2722" s="38"/>
      <c r="E2722" s="57"/>
      <c r="F2722" s="42"/>
      <c r="G2722" s="43"/>
      <c r="H2722" s="37"/>
      <c r="I2722" s="37"/>
      <c r="J2722" s="38"/>
      <c r="K2722" s="37"/>
      <c r="L2722" s="38"/>
      <c r="M2722" s="39"/>
      <c r="P2722" s="37"/>
      <c r="Q2722" s="37"/>
      <c r="R2722" s="37"/>
      <c r="S2722" s="37"/>
      <c r="T2722" s="37"/>
      <c r="U2722" s="37"/>
      <c r="V2722" s="37"/>
      <c r="W2722" s="37"/>
      <c r="X2722" s="37"/>
      <c r="Y2722" s="37"/>
      <c r="Z2722" s="37"/>
      <c r="AA2722" s="37"/>
      <c r="AB2722" s="37"/>
      <c r="AC2722" s="37"/>
      <c r="AD2722" s="37"/>
      <c r="AE2722" s="37"/>
      <c r="AF2722" s="37"/>
      <c r="AG2722" s="37"/>
      <c r="AH2722" s="37"/>
      <c r="AI2722" s="37"/>
      <c r="AJ2722" s="37"/>
      <c r="AK2722" s="37"/>
      <c r="AL2722" s="37"/>
      <c r="AM2722" s="37"/>
      <c r="AN2722" s="37"/>
      <c r="AO2722" s="37"/>
      <c r="AP2722" s="37"/>
      <c r="AQ2722" s="37"/>
      <c r="AR2722" s="37"/>
      <c r="AS2722" s="37"/>
      <c r="AT2722" s="37"/>
      <c r="AU2722" s="37"/>
      <c r="AV2722" s="37"/>
      <c r="AW2722" s="37"/>
      <c r="AX2722" s="37"/>
      <c r="AY2722" s="37"/>
      <c r="AZ2722" s="37"/>
      <c r="BA2722" s="37"/>
      <c r="BB2722" s="37"/>
      <c r="BC2722" s="37"/>
      <c r="BD2722" s="37"/>
      <c r="BE2722" s="37"/>
      <c r="BF2722" s="37"/>
      <c r="BG2722" s="37"/>
      <c r="BH2722" s="37"/>
      <c r="BI2722" s="37"/>
      <c r="BJ2722" s="37"/>
      <c r="BK2722" s="37"/>
      <c r="BL2722" s="37"/>
      <c r="BM2722" s="37"/>
    </row>
    <row r="2723" spans="1:65" s="40" customFormat="1" ht="23.25" x14ac:dyDescent="0.35">
      <c r="A2723" s="37"/>
      <c r="B2723" s="37"/>
      <c r="C2723" s="41"/>
      <c r="D2723" s="38"/>
      <c r="E2723" s="57"/>
      <c r="F2723" s="42"/>
      <c r="G2723" s="43"/>
      <c r="H2723" s="37"/>
      <c r="I2723" s="37"/>
      <c r="J2723" s="38"/>
      <c r="K2723" s="37"/>
      <c r="L2723" s="38"/>
      <c r="M2723" s="39"/>
      <c r="P2723" s="37"/>
      <c r="Q2723" s="37"/>
      <c r="R2723" s="37"/>
      <c r="S2723" s="37"/>
      <c r="T2723" s="37"/>
      <c r="U2723" s="37"/>
      <c r="V2723" s="37"/>
      <c r="W2723" s="37"/>
      <c r="X2723" s="37"/>
      <c r="Y2723" s="37"/>
      <c r="Z2723" s="37"/>
      <c r="AA2723" s="37"/>
      <c r="AB2723" s="37"/>
      <c r="AC2723" s="37"/>
      <c r="AD2723" s="37"/>
      <c r="AE2723" s="37"/>
      <c r="AF2723" s="37"/>
      <c r="AG2723" s="37"/>
      <c r="AH2723" s="37"/>
      <c r="AI2723" s="37"/>
      <c r="AJ2723" s="37"/>
      <c r="AK2723" s="37"/>
      <c r="AL2723" s="37"/>
      <c r="AM2723" s="37"/>
      <c r="AN2723" s="37"/>
      <c r="AO2723" s="37"/>
      <c r="AP2723" s="37"/>
      <c r="AQ2723" s="37"/>
      <c r="AR2723" s="37"/>
      <c r="AS2723" s="37"/>
      <c r="AT2723" s="37"/>
      <c r="AU2723" s="37"/>
      <c r="AV2723" s="37"/>
      <c r="AW2723" s="37"/>
      <c r="AX2723" s="37"/>
      <c r="AY2723" s="37"/>
      <c r="AZ2723" s="37"/>
      <c r="BA2723" s="37"/>
      <c r="BB2723" s="37"/>
      <c r="BC2723" s="37"/>
      <c r="BD2723" s="37"/>
      <c r="BE2723" s="37"/>
      <c r="BF2723" s="37"/>
      <c r="BG2723" s="37"/>
      <c r="BH2723" s="37"/>
      <c r="BI2723" s="37"/>
      <c r="BJ2723" s="37"/>
      <c r="BK2723" s="37"/>
      <c r="BL2723" s="37"/>
      <c r="BM2723" s="37"/>
    </row>
    <row r="2724" spans="1:65" s="40" customFormat="1" ht="23.25" x14ac:dyDescent="0.35">
      <c r="A2724" s="37"/>
      <c r="B2724" s="37"/>
      <c r="C2724" s="41"/>
      <c r="D2724" s="38"/>
      <c r="E2724" s="57"/>
      <c r="F2724" s="42"/>
      <c r="G2724" s="43"/>
      <c r="H2724" s="37"/>
      <c r="I2724" s="37"/>
      <c r="J2724" s="38"/>
      <c r="K2724" s="37"/>
      <c r="L2724" s="38"/>
      <c r="M2724" s="39"/>
      <c r="P2724" s="37"/>
      <c r="Q2724" s="37"/>
      <c r="R2724" s="37"/>
      <c r="S2724" s="37"/>
      <c r="T2724" s="37"/>
      <c r="U2724" s="37"/>
      <c r="V2724" s="37"/>
      <c r="W2724" s="37"/>
      <c r="X2724" s="37"/>
      <c r="Y2724" s="37"/>
      <c r="Z2724" s="37"/>
      <c r="AA2724" s="37"/>
      <c r="AB2724" s="37"/>
      <c r="AC2724" s="37"/>
      <c r="AD2724" s="37"/>
      <c r="AE2724" s="37"/>
      <c r="AF2724" s="37"/>
      <c r="AG2724" s="37"/>
      <c r="AH2724" s="37"/>
      <c r="AI2724" s="37"/>
      <c r="AJ2724" s="37"/>
      <c r="AK2724" s="37"/>
      <c r="AL2724" s="37"/>
      <c r="AM2724" s="37"/>
      <c r="AN2724" s="37"/>
      <c r="AO2724" s="37"/>
      <c r="AP2724" s="37"/>
      <c r="AQ2724" s="37"/>
      <c r="AR2724" s="37"/>
      <c r="AS2724" s="37"/>
      <c r="AT2724" s="37"/>
      <c r="AU2724" s="37"/>
      <c r="AV2724" s="37"/>
      <c r="AW2724" s="37"/>
      <c r="AX2724" s="37"/>
      <c r="AY2724" s="37"/>
      <c r="AZ2724" s="37"/>
      <c r="BA2724" s="37"/>
      <c r="BB2724" s="37"/>
      <c r="BC2724" s="37"/>
      <c r="BD2724" s="37"/>
      <c r="BE2724" s="37"/>
      <c r="BF2724" s="37"/>
      <c r="BG2724" s="37"/>
      <c r="BH2724" s="37"/>
      <c r="BI2724" s="37"/>
      <c r="BJ2724" s="37"/>
      <c r="BK2724" s="37"/>
      <c r="BL2724" s="37"/>
      <c r="BM2724" s="37"/>
    </row>
    <row r="2725" spans="1:65" s="40" customFormat="1" ht="23.25" x14ac:dyDescent="0.35">
      <c r="A2725" s="37"/>
      <c r="B2725" s="37"/>
      <c r="C2725" s="41"/>
      <c r="D2725" s="38"/>
      <c r="E2725" s="57"/>
      <c r="F2725" s="42"/>
      <c r="G2725" s="43"/>
      <c r="H2725" s="37"/>
      <c r="I2725" s="37"/>
      <c r="J2725" s="38"/>
      <c r="K2725" s="37"/>
      <c r="L2725" s="38"/>
      <c r="M2725" s="39"/>
      <c r="P2725" s="37"/>
      <c r="Q2725" s="37"/>
      <c r="R2725" s="37"/>
      <c r="S2725" s="37"/>
      <c r="T2725" s="37"/>
      <c r="U2725" s="37"/>
      <c r="V2725" s="37"/>
      <c r="W2725" s="37"/>
      <c r="X2725" s="37"/>
      <c r="Y2725" s="37"/>
      <c r="Z2725" s="37"/>
      <c r="AA2725" s="37"/>
      <c r="AB2725" s="37"/>
      <c r="AC2725" s="37"/>
      <c r="AD2725" s="37"/>
      <c r="AE2725" s="37"/>
      <c r="AF2725" s="37"/>
      <c r="AG2725" s="37"/>
      <c r="AH2725" s="37"/>
      <c r="AI2725" s="37"/>
      <c r="AJ2725" s="37"/>
      <c r="AK2725" s="37"/>
      <c r="AL2725" s="37"/>
      <c r="AM2725" s="37"/>
      <c r="AN2725" s="37"/>
      <c r="AO2725" s="37"/>
      <c r="AP2725" s="37"/>
      <c r="AQ2725" s="37"/>
      <c r="AR2725" s="37"/>
      <c r="AS2725" s="37"/>
      <c r="AT2725" s="37"/>
      <c r="AU2725" s="37"/>
      <c r="AV2725" s="37"/>
      <c r="AW2725" s="37"/>
      <c r="AX2725" s="37"/>
      <c r="AY2725" s="37"/>
      <c r="AZ2725" s="37"/>
      <c r="BA2725" s="37"/>
      <c r="BB2725" s="37"/>
      <c r="BC2725" s="37"/>
      <c r="BD2725" s="37"/>
      <c r="BE2725" s="37"/>
      <c r="BF2725" s="37"/>
      <c r="BG2725" s="37"/>
      <c r="BH2725" s="37"/>
      <c r="BI2725" s="37"/>
      <c r="BJ2725" s="37"/>
      <c r="BK2725" s="37"/>
      <c r="BL2725" s="37"/>
      <c r="BM2725" s="37"/>
    </row>
    <row r="2726" spans="1:65" s="40" customFormat="1" ht="23.25" x14ac:dyDescent="0.35">
      <c r="A2726" s="37"/>
      <c r="B2726" s="37"/>
      <c r="C2726" s="41"/>
      <c r="D2726" s="38"/>
      <c r="E2726" s="57"/>
      <c r="F2726" s="42"/>
      <c r="G2726" s="43"/>
      <c r="H2726" s="37"/>
      <c r="I2726" s="37"/>
      <c r="J2726" s="38"/>
      <c r="K2726" s="37"/>
      <c r="L2726" s="38"/>
      <c r="M2726" s="39"/>
      <c r="P2726" s="37"/>
      <c r="Q2726" s="37"/>
      <c r="R2726" s="37"/>
      <c r="S2726" s="37"/>
      <c r="T2726" s="37"/>
      <c r="U2726" s="37"/>
      <c r="V2726" s="37"/>
      <c r="W2726" s="37"/>
      <c r="X2726" s="37"/>
      <c r="Y2726" s="37"/>
      <c r="Z2726" s="37"/>
      <c r="AA2726" s="37"/>
      <c r="AB2726" s="37"/>
      <c r="AC2726" s="37"/>
      <c r="AD2726" s="37"/>
      <c r="AE2726" s="37"/>
      <c r="AF2726" s="37"/>
      <c r="AG2726" s="37"/>
      <c r="AH2726" s="37"/>
      <c r="AI2726" s="37"/>
      <c r="AJ2726" s="37"/>
      <c r="AK2726" s="37"/>
      <c r="AL2726" s="37"/>
      <c r="AM2726" s="37"/>
      <c r="AN2726" s="37"/>
      <c r="AO2726" s="37"/>
      <c r="AP2726" s="37"/>
      <c r="AQ2726" s="37"/>
      <c r="AR2726" s="37"/>
      <c r="AS2726" s="37"/>
      <c r="AT2726" s="37"/>
      <c r="AU2726" s="37"/>
      <c r="AV2726" s="37"/>
      <c r="AW2726" s="37"/>
      <c r="AX2726" s="37"/>
      <c r="AY2726" s="37"/>
      <c r="AZ2726" s="37"/>
      <c r="BA2726" s="37"/>
      <c r="BB2726" s="37"/>
      <c r="BC2726" s="37"/>
      <c r="BD2726" s="37"/>
      <c r="BE2726" s="37"/>
      <c r="BF2726" s="37"/>
      <c r="BG2726" s="37"/>
      <c r="BH2726" s="37"/>
      <c r="BI2726" s="37"/>
      <c r="BJ2726" s="37"/>
      <c r="BK2726" s="37"/>
      <c r="BL2726" s="37"/>
      <c r="BM2726" s="37"/>
    </row>
    <row r="2727" spans="1:65" s="40" customFormat="1" ht="23.25" x14ac:dyDescent="0.35">
      <c r="A2727" s="37"/>
      <c r="B2727" s="37"/>
      <c r="C2727" s="41"/>
      <c r="D2727" s="38"/>
      <c r="E2727" s="57"/>
      <c r="F2727" s="42"/>
      <c r="G2727" s="43"/>
      <c r="H2727" s="37"/>
      <c r="I2727" s="37"/>
      <c r="J2727" s="38"/>
      <c r="K2727" s="37"/>
      <c r="L2727" s="38"/>
      <c r="M2727" s="39"/>
      <c r="P2727" s="37"/>
      <c r="Q2727" s="37"/>
      <c r="R2727" s="37"/>
      <c r="S2727" s="37"/>
      <c r="T2727" s="37"/>
      <c r="U2727" s="37"/>
      <c r="V2727" s="37"/>
      <c r="W2727" s="37"/>
      <c r="X2727" s="37"/>
      <c r="Y2727" s="37"/>
      <c r="Z2727" s="37"/>
      <c r="AA2727" s="37"/>
      <c r="AB2727" s="37"/>
      <c r="AC2727" s="37"/>
      <c r="AD2727" s="37"/>
      <c r="AE2727" s="37"/>
      <c r="AF2727" s="37"/>
      <c r="AG2727" s="37"/>
      <c r="AH2727" s="37"/>
      <c r="AI2727" s="37"/>
      <c r="AJ2727" s="37"/>
      <c r="AK2727" s="37"/>
      <c r="AL2727" s="37"/>
      <c r="AM2727" s="37"/>
      <c r="AN2727" s="37"/>
      <c r="AO2727" s="37"/>
      <c r="AP2727" s="37"/>
      <c r="AQ2727" s="37"/>
      <c r="AR2727" s="37"/>
      <c r="AS2727" s="37"/>
      <c r="AT2727" s="37"/>
      <c r="AU2727" s="37"/>
      <c r="AV2727" s="37"/>
      <c r="AW2727" s="37"/>
      <c r="AX2727" s="37"/>
      <c r="AY2727" s="37"/>
      <c r="AZ2727" s="37"/>
      <c r="BA2727" s="37"/>
      <c r="BB2727" s="37"/>
      <c r="BC2727" s="37"/>
      <c r="BD2727" s="37"/>
      <c r="BE2727" s="37"/>
      <c r="BF2727" s="37"/>
      <c r="BG2727" s="37"/>
      <c r="BH2727" s="37"/>
      <c r="BI2727" s="37"/>
      <c r="BJ2727" s="37"/>
      <c r="BK2727" s="37"/>
      <c r="BL2727" s="37"/>
      <c r="BM2727" s="37"/>
    </row>
    <row r="2728" spans="1:65" s="40" customFormat="1" ht="23.25" x14ac:dyDescent="0.35">
      <c r="A2728" s="37"/>
      <c r="B2728" s="37"/>
      <c r="C2728" s="41"/>
      <c r="D2728" s="38"/>
      <c r="E2728" s="57"/>
      <c r="F2728" s="42"/>
      <c r="G2728" s="43"/>
      <c r="H2728" s="37"/>
      <c r="I2728" s="37"/>
      <c r="J2728" s="38"/>
      <c r="K2728" s="37"/>
      <c r="L2728" s="38"/>
      <c r="M2728" s="39"/>
      <c r="P2728" s="37"/>
      <c r="Q2728" s="37"/>
      <c r="R2728" s="37"/>
      <c r="S2728" s="37"/>
      <c r="T2728" s="37"/>
      <c r="U2728" s="37"/>
      <c r="V2728" s="37"/>
      <c r="W2728" s="37"/>
      <c r="X2728" s="37"/>
      <c r="Y2728" s="37"/>
      <c r="Z2728" s="37"/>
      <c r="AA2728" s="37"/>
      <c r="AB2728" s="37"/>
      <c r="AC2728" s="37"/>
      <c r="AD2728" s="37"/>
      <c r="AE2728" s="37"/>
      <c r="AF2728" s="37"/>
      <c r="AG2728" s="37"/>
      <c r="AH2728" s="37"/>
      <c r="AI2728" s="37"/>
      <c r="AJ2728" s="37"/>
      <c r="AK2728" s="37"/>
      <c r="AL2728" s="37"/>
      <c r="AM2728" s="37"/>
      <c r="AN2728" s="37"/>
      <c r="AO2728" s="37"/>
      <c r="AP2728" s="37"/>
      <c r="AQ2728" s="37"/>
      <c r="AR2728" s="37"/>
      <c r="AS2728" s="37"/>
      <c r="AT2728" s="37"/>
      <c r="AU2728" s="37"/>
      <c r="AV2728" s="37"/>
      <c r="AW2728" s="37"/>
      <c r="AX2728" s="37"/>
      <c r="AY2728" s="37"/>
      <c r="AZ2728" s="37"/>
      <c r="BA2728" s="37"/>
      <c r="BB2728" s="37"/>
      <c r="BC2728" s="37"/>
      <c r="BD2728" s="37"/>
      <c r="BE2728" s="37"/>
      <c r="BF2728" s="37"/>
      <c r="BG2728" s="37"/>
      <c r="BH2728" s="37"/>
      <c r="BI2728" s="37"/>
      <c r="BJ2728" s="37"/>
      <c r="BK2728" s="37"/>
      <c r="BL2728" s="37"/>
      <c r="BM2728" s="37"/>
    </row>
    <row r="2729" spans="1:65" s="40" customFormat="1" ht="23.25" x14ac:dyDescent="0.35">
      <c r="A2729" s="37"/>
      <c r="B2729" s="37"/>
      <c r="C2729" s="41"/>
      <c r="D2729" s="38"/>
      <c r="E2729" s="57"/>
      <c r="F2729" s="42"/>
      <c r="G2729" s="43"/>
      <c r="H2729" s="37"/>
      <c r="I2729" s="37"/>
      <c r="J2729" s="38"/>
      <c r="K2729" s="37"/>
      <c r="L2729" s="38"/>
      <c r="M2729" s="39"/>
      <c r="P2729" s="37"/>
      <c r="Q2729" s="37"/>
      <c r="R2729" s="37"/>
      <c r="S2729" s="37"/>
      <c r="T2729" s="37"/>
      <c r="U2729" s="37"/>
      <c r="V2729" s="37"/>
      <c r="W2729" s="37"/>
      <c r="X2729" s="37"/>
      <c r="Y2729" s="37"/>
      <c r="Z2729" s="37"/>
      <c r="AA2729" s="37"/>
      <c r="AB2729" s="37"/>
      <c r="AC2729" s="37"/>
      <c r="AD2729" s="37"/>
      <c r="AE2729" s="37"/>
      <c r="AF2729" s="37"/>
      <c r="AG2729" s="37"/>
      <c r="AH2729" s="37"/>
      <c r="AI2729" s="37"/>
      <c r="AJ2729" s="37"/>
      <c r="AK2729" s="37"/>
      <c r="AL2729" s="37"/>
      <c r="AM2729" s="37"/>
      <c r="AN2729" s="37"/>
      <c r="AO2729" s="37"/>
      <c r="AP2729" s="37"/>
      <c r="AQ2729" s="37"/>
      <c r="AR2729" s="37"/>
      <c r="AS2729" s="37"/>
      <c r="AT2729" s="37"/>
      <c r="AU2729" s="37"/>
      <c r="AV2729" s="37"/>
      <c r="AW2729" s="37"/>
      <c r="AX2729" s="37"/>
      <c r="AY2729" s="37"/>
      <c r="AZ2729" s="37"/>
      <c r="BA2729" s="37"/>
      <c r="BB2729" s="37"/>
      <c r="BC2729" s="37"/>
      <c r="BD2729" s="37"/>
      <c r="BE2729" s="37"/>
      <c r="BF2729" s="37"/>
      <c r="BG2729" s="37"/>
      <c r="BH2729" s="37"/>
      <c r="BI2729" s="37"/>
      <c r="BJ2729" s="37"/>
      <c r="BK2729" s="37"/>
      <c r="BL2729" s="37"/>
      <c r="BM2729" s="37"/>
    </row>
    <row r="2730" spans="1:65" s="40" customFormat="1" ht="23.25" x14ac:dyDescent="0.35">
      <c r="A2730" s="37"/>
      <c r="B2730" s="37"/>
      <c r="C2730" s="41"/>
      <c r="D2730" s="38"/>
      <c r="E2730" s="57"/>
      <c r="F2730" s="42"/>
      <c r="G2730" s="43"/>
      <c r="H2730" s="37"/>
      <c r="I2730" s="37"/>
      <c r="J2730" s="38"/>
      <c r="K2730" s="37"/>
      <c r="L2730" s="38"/>
      <c r="M2730" s="39"/>
      <c r="P2730" s="37"/>
      <c r="Q2730" s="37"/>
      <c r="R2730" s="37"/>
      <c r="S2730" s="37"/>
      <c r="T2730" s="37"/>
      <c r="U2730" s="37"/>
      <c r="V2730" s="37"/>
      <c r="W2730" s="37"/>
      <c r="X2730" s="37"/>
      <c r="Y2730" s="37"/>
      <c r="Z2730" s="37"/>
      <c r="AA2730" s="37"/>
      <c r="AB2730" s="37"/>
      <c r="AC2730" s="37"/>
      <c r="AD2730" s="37"/>
      <c r="AE2730" s="37"/>
      <c r="AF2730" s="37"/>
      <c r="AG2730" s="37"/>
      <c r="AH2730" s="37"/>
      <c r="AI2730" s="37"/>
      <c r="AJ2730" s="37"/>
      <c r="AK2730" s="37"/>
      <c r="AL2730" s="37"/>
      <c r="AM2730" s="37"/>
      <c r="AN2730" s="37"/>
      <c r="AO2730" s="37"/>
      <c r="AP2730" s="37"/>
      <c r="AQ2730" s="37"/>
      <c r="AR2730" s="37"/>
      <c r="AS2730" s="37"/>
      <c r="AT2730" s="37"/>
      <c r="AU2730" s="37"/>
      <c r="AV2730" s="37"/>
      <c r="AW2730" s="37"/>
      <c r="AX2730" s="37"/>
      <c r="AY2730" s="37"/>
      <c r="AZ2730" s="37"/>
      <c r="BA2730" s="37"/>
      <c r="BB2730" s="37"/>
      <c r="BC2730" s="37"/>
      <c r="BD2730" s="37"/>
      <c r="BE2730" s="37"/>
      <c r="BF2730" s="37"/>
      <c r="BG2730" s="37"/>
      <c r="BH2730" s="37"/>
      <c r="BI2730" s="37"/>
      <c r="BJ2730" s="37"/>
      <c r="BK2730" s="37"/>
      <c r="BL2730" s="37"/>
      <c r="BM2730" s="37"/>
    </row>
    <row r="2731" spans="1:65" s="40" customFormat="1" ht="23.25" x14ac:dyDescent="0.35">
      <c r="A2731" s="37"/>
      <c r="B2731" s="37"/>
      <c r="C2731" s="41"/>
      <c r="D2731" s="38"/>
      <c r="E2731" s="57"/>
      <c r="F2731" s="42"/>
      <c r="G2731" s="43"/>
      <c r="H2731" s="37"/>
      <c r="I2731" s="37"/>
      <c r="J2731" s="38"/>
      <c r="K2731" s="37"/>
      <c r="L2731" s="38"/>
      <c r="M2731" s="39"/>
      <c r="P2731" s="37"/>
      <c r="Q2731" s="37"/>
      <c r="R2731" s="37"/>
      <c r="S2731" s="37"/>
      <c r="T2731" s="37"/>
      <c r="U2731" s="37"/>
      <c r="V2731" s="37"/>
      <c r="W2731" s="37"/>
      <c r="X2731" s="37"/>
      <c r="Y2731" s="37"/>
      <c r="Z2731" s="37"/>
      <c r="AA2731" s="37"/>
      <c r="AB2731" s="37"/>
      <c r="AC2731" s="37"/>
      <c r="AD2731" s="37"/>
      <c r="AE2731" s="37"/>
      <c r="AF2731" s="37"/>
      <c r="AG2731" s="37"/>
      <c r="AH2731" s="37"/>
      <c r="AI2731" s="37"/>
      <c r="AJ2731" s="37"/>
      <c r="AK2731" s="37"/>
      <c r="AL2731" s="37"/>
      <c r="AM2731" s="37"/>
      <c r="AN2731" s="37"/>
      <c r="AO2731" s="37"/>
      <c r="AP2731" s="37"/>
      <c r="AQ2731" s="37"/>
      <c r="AR2731" s="37"/>
      <c r="AS2731" s="37"/>
      <c r="AT2731" s="37"/>
      <c r="AU2731" s="37"/>
      <c r="AV2731" s="37"/>
      <c r="AW2731" s="37"/>
      <c r="AX2731" s="37"/>
      <c r="AY2731" s="37"/>
      <c r="AZ2731" s="37"/>
      <c r="BA2731" s="37"/>
      <c r="BB2731" s="37"/>
      <c r="BC2731" s="37"/>
      <c r="BD2731" s="37"/>
      <c r="BE2731" s="37"/>
      <c r="BF2731" s="37"/>
      <c r="BG2731" s="37"/>
      <c r="BH2731" s="37"/>
      <c r="BI2731" s="37"/>
      <c r="BJ2731" s="37"/>
      <c r="BK2731" s="37"/>
      <c r="BL2731" s="37"/>
      <c r="BM2731" s="37"/>
    </row>
    <row r="2732" spans="1:65" s="40" customFormat="1" ht="23.25" x14ac:dyDescent="0.35">
      <c r="A2732" s="37"/>
      <c r="B2732" s="37"/>
      <c r="C2732" s="41"/>
      <c r="D2732" s="38"/>
      <c r="E2732" s="57"/>
      <c r="F2732" s="42"/>
      <c r="G2732" s="43"/>
      <c r="H2732" s="37"/>
      <c r="I2732" s="37"/>
      <c r="J2732" s="38"/>
      <c r="K2732" s="37"/>
      <c r="L2732" s="38"/>
      <c r="M2732" s="39"/>
      <c r="P2732" s="37"/>
      <c r="Q2732" s="37"/>
      <c r="R2732" s="37"/>
      <c r="S2732" s="37"/>
      <c r="T2732" s="37"/>
      <c r="U2732" s="37"/>
      <c r="V2732" s="37"/>
      <c r="W2732" s="37"/>
      <c r="X2732" s="37"/>
      <c r="Y2732" s="37"/>
      <c r="Z2732" s="37"/>
      <c r="AA2732" s="37"/>
      <c r="AB2732" s="37"/>
      <c r="AC2732" s="37"/>
      <c r="AD2732" s="37"/>
      <c r="AE2732" s="37"/>
      <c r="AF2732" s="37"/>
      <c r="AG2732" s="37"/>
      <c r="AH2732" s="37"/>
      <c r="AI2732" s="37"/>
      <c r="AJ2732" s="37"/>
      <c r="AK2732" s="37"/>
      <c r="AL2732" s="37"/>
      <c r="AM2732" s="37"/>
      <c r="AN2732" s="37"/>
      <c r="AO2732" s="37"/>
      <c r="AP2732" s="37"/>
      <c r="AQ2732" s="37"/>
      <c r="AR2732" s="37"/>
      <c r="AS2732" s="37"/>
      <c r="AT2732" s="37"/>
      <c r="AU2732" s="37"/>
      <c r="AV2732" s="37"/>
      <c r="AW2732" s="37"/>
      <c r="AX2732" s="37"/>
      <c r="AY2732" s="37"/>
      <c r="AZ2732" s="37"/>
      <c r="BA2732" s="37"/>
      <c r="BB2732" s="37"/>
      <c r="BC2732" s="37"/>
      <c r="BD2732" s="37"/>
      <c r="BE2732" s="37"/>
      <c r="BF2732" s="37"/>
      <c r="BG2732" s="37"/>
      <c r="BH2732" s="37"/>
      <c r="BI2732" s="37"/>
      <c r="BJ2732" s="37"/>
      <c r="BK2732" s="37"/>
      <c r="BL2732" s="37"/>
      <c r="BM2732" s="37"/>
    </row>
    <row r="2733" spans="1:65" s="40" customFormat="1" ht="23.25" x14ac:dyDescent="0.35">
      <c r="A2733" s="37"/>
      <c r="B2733" s="37"/>
      <c r="C2733" s="41"/>
      <c r="D2733" s="38"/>
      <c r="E2733" s="57"/>
      <c r="F2733" s="42"/>
      <c r="G2733" s="43"/>
      <c r="H2733" s="37"/>
      <c r="I2733" s="37"/>
      <c r="J2733" s="38"/>
      <c r="K2733" s="37"/>
      <c r="L2733" s="38"/>
      <c r="M2733" s="39"/>
      <c r="P2733" s="37"/>
      <c r="Q2733" s="37"/>
      <c r="R2733" s="37"/>
      <c r="S2733" s="37"/>
      <c r="T2733" s="37"/>
      <c r="U2733" s="37"/>
      <c r="V2733" s="37"/>
      <c r="W2733" s="37"/>
      <c r="X2733" s="37"/>
      <c r="Y2733" s="37"/>
      <c r="Z2733" s="37"/>
      <c r="AA2733" s="37"/>
      <c r="AB2733" s="37"/>
      <c r="AC2733" s="37"/>
      <c r="AD2733" s="37"/>
      <c r="AE2733" s="37"/>
      <c r="AF2733" s="37"/>
      <c r="AG2733" s="37"/>
      <c r="AH2733" s="37"/>
      <c r="AI2733" s="37"/>
      <c r="AJ2733" s="37"/>
      <c r="AK2733" s="37"/>
      <c r="AL2733" s="37"/>
      <c r="AM2733" s="37"/>
      <c r="AN2733" s="37"/>
      <c r="AO2733" s="37"/>
      <c r="AP2733" s="37"/>
      <c r="AQ2733" s="37"/>
      <c r="AR2733" s="37"/>
      <c r="AS2733" s="37"/>
      <c r="AT2733" s="37"/>
      <c r="AU2733" s="37"/>
      <c r="AV2733" s="37"/>
      <c r="AW2733" s="37"/>
      <c r="AX2733" s="37"/>
      <c r="AY2733" s="37"/>
      <c r="AZ2733" s="37"/>
      <c r="BA2733" s="37"/>
      <c r="BB2733" s="37"/>
      <c r="BC2733" s="37"/>
      <c r="BD2733" s="37"/>
      <c r="BE2733" s="37"/>
      <c r="BF2733" s="37"/>
      <c r="BG2733" s="37"/>
      <c r="BH2733" s="37"/>
      <c r="BI2733" s="37"/>
      <c r="BJ2733" s="37"/>
      <c r="BK2733" s="37"/>
      <c r="BL2733" s="37"/>
      <c r="BM2733" s="37"/>
    </row>
    <row r="2734" spans="1:65" s="40" customFormat="1" ht="23.25" x14ac:dyDescent="0.35">
      <c r="A2734" s="37"/>
      <c r="B2734" s="37"/>
      <c r="C2734" s="41"/>
      <c r="D2734" s="38"/>
      <c r="E2734" s="57"/>
      <c r="F2734" s="42"/>
      <c r="G2734" s="43"/>
      <c r="H2734" s="37"/>
      <c r="I2734" s="37"/>
      <c r="J2734" s="38"/>
      <c r="K2734" s="37"/>
      <c r="L2734" s="38"/>
      <c r="M2734" s="39"/>
      <c r="P2734" s="37"/>
      <c r="Q2734" s="37"/>
      <c r="R2734" s="37"/>
      <c r="S2734" s="37"/>
      <c r="T2734" s="37"/>
      <c r="U2734" s="37"/>
      <c r="V2734" s="37"/>
      <c r="W2734" s="37"/>
      <c r="X2734" s="37"/>
      <c r="Y2734" s="37"/>
      <c r="Z2734" s="37"/>
      <c r="AA2734" s="37"/>
      <c r="AB2734" s="37"/>
      <c r="AC2734" s="37"/>
      <c r="AD2734" s="37"/>
      <c r="AE2734" s="37"/>
      <c r="AF2734" s="37"/>
      <c r="AG2734" s="37"/>
      <c r="AH2734" s="37"/>
      <c r="AI2734" s="37"/>
      <c r="AJ2734" s="37"/>
      <c r="AK2734" s="37"/>
      <c r="AL2734" s="37"/>
      <c r="AM2734" s="37"/>
      <c r="AN2734" s="37"/>
      <c r="AO2734" s="37"/>
      <c r="AP2734" s="37"/>
      <c r="AQ2734" s="37"/>
      <c r="AR2734" s="37"/>
      <c r="AS2734" s="37"/>
      <c r="AT2734" s="37"/>
      <c r="AU2734" s="37"/>
      <c r="AV2734" s="37"/>
      <c r="AW2734" s="37"/>
      <c r="AX2734" s="37"/>
      <c r="AY2734" s="37"/>
      <c r="AZ2734" s="37"/>
      <c r="BA2734" s="37"/>
      <c r="BB2734" s="37"/>
      <c r="BC2734" s="37"/>
      <c r="BD2734" s="37"/>
      <c r="BE2734" s="37"/>
      <c r="BF2734" s="37"/>
      <c r="BG2734" s="37"/>
      <c r="BH2734" s="37"/>
      <c r="BI2734" s="37"/>
      <c r="BJ2734" s="37"/>
      <c r="BK2734" s="37"/>
      <c r="BL2734" s="37"/>
      <c r="BM2734" s="37"/>
    </row>
    <row r="2735" spans="1:65" s="40" customFormat="1" ht="23.25" x14ac:dyDescent="0.35">
      <c r="A2735" s="37"/>
      <c r="B2735" s="37"/>
      <c r="C2735" s="41"/>
      <c r="D2735" s="38"/>
      <c r="E2735" s="57"/>
      <c r="F2735" s="42"/>
      <c r="G2735" s="43"/>
      <c r="H2735" s="37"/>
      <c r="I2735" s="37"/>
      <c r="J2735" s="38"/>
      <c r="K2735" s="37"/>
      <c r="L2735" s="38"/>
      <c r="M2735" s="39"/>
      <c r="P2735" s="37"/>
      <c r="Q2735" s="37"/>
      <c r="R2735" s="37"/>
      <c r="S2735" s="37"/>
      <c r="T2735" s="37"/>
      <c r="U2735" s="37"/>
      <c r="V2735" s="37"/>
      <c r="W2735" s="37"/>
      <c r="X2735" s="37"/>
      <c r="Y2735" s="37"/>
      <c r="Z2735" s="37"/>
      <c r="AA2735" s="37"/>
      <c r="AB2735" s="37"/>
      <c r="AC2735" s="37"/>
      <c r="AD2735" s="37"/>
      <c r="AE2735" s="37"/>
      <c r="AF2735" s="37"/>
      <c r="AG2735" s="37"/>
      <c r="AH2735" s="37"/>
      <c r="AI2735" s="37"/>
      <c r="AJ2735" s="37"/>
      <c r="AK2735" s="37"/>
      <c r="AL2735" s="37"/>
      <c r="AM2735" s="37"/>
      <c r="AN2735" s="37"/>
      <c r="AO2735" s="37"/>
      <c r="AP2735" s="37"/>
      <c r="AQ2735" s="37"/>
      <c r="AR2735" s="37"/>
      <c r="AS2735" s="37"/>
      <c r="AT2735" s="37"/>
      <c r="AU2735" s="37"/>
      <c r="AV2735" s="37"/>
      <c r="AW2735" s="37"/>
      <c r="AX2735" s="37"/>
      <c r="AY2735" s="37"/>
      <c r="AZ2735" s="37"/>
      <c r="BA2735" s="37"/>
      <c r="BB2735" s="37"/>
      <c r="BC2735" s="37"/>
      <c r="BD2735" s="37"/>
      <c r="BE2735" s="37"/>
      <c r="BF2735" s="37"/>
      <c r="BG2735" s="37"/>
      <c r="BH2735" s="37"/>
      <c r="BI2735" s="37"/>
      <c r="BJ2735" s="37"/>
      <c r="BK2735" s="37"/>
      <c r="BL2735" s="37"/>
      <c r="BM2735" s="37"/>
    </row>
    <row r="2736" spans="1:65" s="40" customFormat="1" ht="23.25" x14ac:dyDescent="0.35">
      <c r="A2736" s="37"/>
      <c r="B2736" s="37"/>
      <c r="C2736" s="41"/>
      <c r="D2736" s="38"/>
      <c r="E2736" s="57"/>
      <c r="F2736" s="42"/>
      <c r="G2736" s="43"/>
      <c r="H2736" s="37"/>
      <c r="I2736" s="37"/>
      <c r="J2736" s="38"/>
      <c r="K2736" s="37"/>
      <c r="L2736" s="38"/>
      <c r="M2736" s="39"/>
      <c r="P2736" s="37"/>
      <c r="Q2736" s="37"/>
      <c r="R2736" s="37"/>
      <c r="S2736" s="37"/>
      <c r="T2736" s="37"/>
      <c r="U2736" s="37"/>
      <c r="V2736" s="37"/>
      <c r="W2736" s="37"/>
      <c r="X2736" s="37"/>
      <c r="Y2736" s="37"/>
      <c r="Z2736" s="37"/>
      <c r="AA2736" s="37"/>
      <c r="AB2736" s="37"/>
      <c r="AC2736" s="37"/>
      <c r="AD2736" s="37"/>
      <c r="AE2736" s="37"/>
      <c r="AF2736" s="37"/>
      <c r="AG2736" s="37"/>
      <c r="AH2736" s="37"/>
      <c r="AI2736" s="37"/>
      <c r="AJ2736" s="37"/>
      <c r="AK2736" s="37"/>
      <c r="AL2736" s="37"/>
      <c r="AM2736" s="37"/>
      <c r="AN2736" s="37"/>
      <c r="AO2736" s="37"/>
      <c r="AP2736" s="37"/>
      <c r="AQ2736" s="37"/>
      <c r="AR2736" s="37"/>
      <c r="AS2736" s="37"/>
      <c r="AT2736" s="37"/>
      <c r="AU2736" s="37"/>
      <c r="AV2736" s="37"/>
      <c r="AW2736" s="37"/>
      <c r="AX2736" s="37"/>
      <c r="AY2736" s="37"/>
      <c r="AZ2736" s="37"/>
      <c r="BA2736" s="37"/>
      <c r="BB2736" s="37"/>
      <c r="BC2736" s="37"/>
      <c r="BD2736" s="37"/>
      <c r="BE2736" s="37"/>
      <c r="BF2736" s="37"/>
      <c r="BG2736" s="37"/>
      <c r="BH2736" s="37"/>
      <c r="BI2736" s="37"/>
      <c r="BJ2736" s="37"/>
      <c r="BK2736" s="37"/>
      <c r="BL2736" s="37"/>
      <c r="BM2736" s="37"/>
    </row>
    <row r="2737" spans="1:65" s="40" customFormat="1" ht="23.25" x14ac:dyDescent="0.35">
      <c r="A2737" s="37"/>
      <c r="B2737" s="37"/>
      <c r="C2737" s="41"/>
      <c r="D2737" s="38"/>
      <c r="E2737" s="57"/>
      <c r="F2737" s="42"/>
      <c r="G2737" s="43"/>
      <c r="H2737" s="37"/>
      <c r="I2737" s="37"/>
      <c r="J2737" s="38"/>
      <c r="K2737" s="37"/>
      <c r="L2737" s="38"/>
      <c r="M2737" s="39"/>
      <c r="P2737" s="37"/>
      <c r="Q2737" s="37"/>
      <c r="R2737" s="37"/>
      <c r="S2737" s="37"/>
      <c r="T2737" s="37"/>
      <c r="U2737" s="37"/>
      <c r="V2737" s="37"/>
      <c r="W2737" s="37"/>
      <c r="X2737" s="37"/>
      <c r="Y2737" s="37"/>
      <c r="Z2737" s="37"/>
      <c r="AA2737" s="37"/>
      <c r="AB2737" s="37"/>
      <c r="AC2737" s="37"/>
      <c r="AD2737" s="37"/>
      <c r="AE2737" s="37"/>
      <c r="AF2737" s="37"/>
      <c r="AG2737" s="37"/>
      <c r="AH2737" s="37"/>
      <c r="AI2737" s="37"/>
      <c r="AJ2737" s="37"/>
      <c r="AK2737" s="37"/>
      <c r="AL2737" s="37"/>
      <c r="AM2737" s="37"/>
      <c r="AN2737" s="37"/>
      <c r="AO2737" s="37"/>
      <c r="AP2737" s="37"/>
      <c r="AQ2737" s="37"/>
      <c r="AR2737" s="37"/>
      <c r="AS2737" s="37"/>
      <c r="AT2737" s="37"/>
      <c r="AU2737" s="37"/>
      <c r="AV2737" s="37"/>
      <c r="AW2737" s="37"/>
      <c r="AX2737" s="37"/>
      <c r="AY2737" s="37"/>
      <c r="AZ2737" s="37"/>
      <c r="BA2737" s="37"/>
      <c r="BB2737" s="37"/>
      <c r="BC2737" s="37"/>
      <c r="BD2737" s="37"/>
      <c r="BE2737" s="37"/>
      <c r="BF2737" s="37"/>
      <c r="BG2737" s="37"/>
      <c r="BH2737" s="37"/>
      <c r="BI2737" s="37"/>
      <c r="BJ2737" s="37"/>
      <c r="BK2737" s="37"/>
      <c r="BL2737" s="37"/>
      <c r="BM2737" s="37"/>
    </row>
    <row r="2738" spans="1:65" s="40" customFormat="1" ht="23.25" x14ac:dyDescent="0.35">
      <c r="A2738" s="37"/>
      <c r="B2738" s="37"/>
      <c r="C2738" s="41"/>
      <c r="D2738" s="38"/>
      <c r="E2738" s="57"/>
      <c r="F2738" s="42"/>
      <c r="G2738" s="43"/>
      <c r="H2738" s="37"/>
      <c r="I2738" s="37"/>
      <c r="J2738" s="38"/>
      <c r="K2738" s="37"/>
      <c r="L2738" s="38"/>
      <c r="M2738" s="39"/>
      <c r="P2738" s="37"/>
      <c r="Q2738" s="37"/>
      <c r="R2738" s="37"/>
      <c r="S2738" s="37"/>
      <c r="T2738" s="37"/>
      <c r="U2738" s="37"/>
      <c r="V2738" s="37"/>
      <c r="W2738" s="37"/>
      <c r="X2738" s="37"/>
      <c r="Y2738" s="37"/>
      <c r="Z2738" s="37"/>
      <c r="AA2738" s="37"/>
      <c r="AB2738" s="37"/>
      <c r="AC2738" s="37"/>
      <c r="AD2738" s="37"/>
      <c r="AE2738" s="37"/>
      <c r="AF2738" s="37"/>
      <c r="AG2738" s="37"/>
      <c r="AH2738" s="37"/>
      <c r="AI2738" s="37"/>
      <c r="AJ2738" s="37"/>
      <c r="AK2738" s="37"/>
      <c r="AL2738" s="37"/>
      <c r="AM2738" s="37"/>
      <c r="AN2738" s="37"/>
      <c r="AO2738" s="37"/>
      <c r="AP2738" s="37"/>
      <c r="AQ2738" s="37"/>
      <c r="AR2738" s="37"/>
      <c r="AS2738" s="37"/>
      <c r="AT2738" s="37"/>
      <c r="AU2738" s="37"/>
      <c r="AV2738" s="37"/>
      <c r="AW2738" s="37"/>
      <c r="AX2738" s="37"/>
      <c r="AY2738" s="37"/>
      <c r="AZ2738" s="37"/>
      <c r="BA2738" s="37"/>
      <c r="BB2738" s="37"/>
      <c r="BC2738" s="37"/>
      <c r="BD2738" s="37"/>
      <c r="BE2738" s="37"/>
      <c r="BF2738" s="37"/>
      <c r="BG2738" s="37"/>
      <c r="BH2738" s="37"/>
      <c r="BI2738" s="37"/>
      <c r="BJ2738" s="37"/>
      <c r="BK2738" s="37"/>
      <c r="BL2738" s="37"/>
      <c r="BM2738" s="37"/>
    </row>
    <row r="2739" spans="1:65" s="40" customFormat="1" ht="23.25" x14ac:dyDescent="0.35">
      <c r="A2739" s="37"/>
      <c r="B2739" s="37"/>
      <c r="C2739" s="41"/>
      <c r="D2739" s="38"/>
      <c r="E2739" s="57"/>
      <c r="F2739" s="42"/>
      <c r="G2739" s="43"/>
      <c r="H2739" s="37"/>
      <c r="I2739" s="37"/>
      <c r="J2739" s="38"/>
      <c r="K2739" s="37"/>
      <c r="L2739" s="38"/>
      <c r="M2739" s="39"/>
      <c r="P2739" s="37"/>
      <c r="Q2739" s="37"/>
      <c r="R2739" s="37"/>
      <c r="S2739" s="37"/>
      <c r="T2739" s="37"/>
      <c r="U2739" s="37"/>
      <c r="V2739" s="37"/>
      <c r="W2739" s="37"/>
      <c r="X2739" s="37"/>
      <c r="Y2739" s="37"/>
      <c r="Z2739" s="37"/>
      <c r="AA2739" s="37"/>
      <c r="AB2739" s="37"/>
      <c r="AC2739" s="37"/>
      <c r="AD2739" s="37"/>
      <c r="AE2739" s="37"/>
      <c r="AF2739" s="37"/>
      <c r="AG2739" s="37"/>
      <c r="AH2739" s="37"/>
      <c r="AI2739" s="37"/>
      <c r="AJ2739" s="37"/>
      <c r="AK2739" s="37"/>
      <c r="AL2739" s="37"/>
      <c r="AM2739" s="37"/>
      <c r="AN2739" s="37"/>
      <c r="AO2739" s="37"/>
      <c r="AP2739" s="37"/>
      <c r="AQ2739" s="37"/>
      <c r="AR2739" s="37"/>
      <c r="AS2739" s="37"/>
      <c r="AT2739" s="37"/>
      <c r="AU2739" s="37"/>
      <c r="AV2739" s="37"/>
      <c r="AW2739" s="37"/>
      <c r="AX2739" s="37"/>
      <c r="AY2739" s="37"/>
      <c r="AZ2739" s="37"/>
      <c r="BA2739" s="37"/>
      <c r="BB2739" s="37"/>
      <c r="BC2739" s="37"/>
      <c r="BD2739" s="37"/>
      <c r="BE2739" s="37"/>
      <c r="BF2739" s="37"/>
      <c r="BG2739" s="37"/>
      <c r="BH2739" s="37"/>
      <c r="BI2739" s="37"/>
      <c r="BJ2739" s="37"/>
      <c r="BK2739" s="37"/>
      <c r="BL2739" s="37"/>
      <c r="BM2739" s="37"/>
    </row>
    <row r="2740" spans="1:65" s="40" customFormat="1" ht="23.25" x14ac:dyDescent="0.35">
      <c r="A2740" s="37"/>
      <c r="B2740" s="37"/>
      <c r="C2740" s="41"/>
      <c r="D2740" s="38"/>
      <c r="E2740" s="57"/>
      <c r="F2740" s="42"/>
      <c r="G2740" s="43"/>
      <c r="H2740" s="37"/>
      <c r="I2740" s="37"/>
      <c r="J2740" s="38"/>
      <c r="K2740" s="37"/>
      <c r="L2740" s="38"/>
      <c r="M2740" s="39"/>
      <c r="P2740" s="37"/>
      <c r="Q2740" s="37"/>
      <c r="R2740" s="37"/>
      <c r="S2740" s="37"/>
      <c r="T2740" s="37"/>
      <c r="U2740" s="37"/>
      <c r="V2740" s="37"/>
      <c r="W2740" s="37"/>
      <c r="X2740" s="37"/>
      <c r="Y2740" s="37"/>
      <c r="Z2740" s="37"/>
      <c r="AA2740" s="37"/>
      <c r="AB2740" s="37"/>
      <c r="AC2740" s="37"/>
      <c r="AD2740" s="37"/>
      <c r="AE2740" s="37"/>
      <c r="AF2740" s="37"/>
      <c r="AG2740" s="37"/>
      <c r="AH2740" s="37"/>
      <c r="AI2740" s="37"/>
      <c r="AJ2740" s="37"/>
      <c r="AK2740" s="37"/>
      <c r="AL2740" s="37"/>
      <c r="AM2740" s="37"/>
      <c r="AN2740" s="37"/>
      <c r="AO2740" s="37"/>
      <c r="AP2740" s="37"/>
      <c r="AQ2740" s="37"/>
      <c r="AR2740" s="37"/>
      <c r="AS2740" s="37"/>
      <c r="AT2740" s="37"/>
      <c r="AU2740" s="37"/>
      <c r="AV2740" s="37"/>
      <c r="AW2740" s="37"/>
      <c r="AX2740" s="37"/>
      <c r="AY2740" s="37"/>
      <c r="AZ2740" s="37"/>
      <c r="BA2740" s="37"/>
      <c r="BB2740" s="37"/>
      <c r="BC2740" s="37"/>
      <c r="BD2740" s="37"/>
      <c r="BE2740" s="37"/>
      <c r="BF2740" s="37"/>
      <c r="BG2740" s="37"/>
      <c r="BH2740" s="37"/>
      <c r="BI2740" s="37"/>
      <c r="BJ2740" s="37"/>
      <c r="BK2740" s="37"/>
      <c r="BL2740" s="37"/>
      <c r="BM2740" s="37"/>
    </row>
    <row r="2741" spans="1:65" s="40" customFormat="1" ht="23.25" x14ac:dyDescent="0.35">
      <c r="A2741" s="37"/>
      <c r="B2741" s="37"/>
      <c r="C2741" s="41"/>
      <c r="D2741" s="38"/>
      <c r="E2741" s="57"/>
      <c r="F2741" s="42"/>
      <c r="G2741" s="43"/>
      <c r="H2741" s="37"/>
      <c r="I2741" s="37"/>
      <c r="J2741" s="38"/>
      <c r="K2741" s="37"/>
      <c r="L2741" s="38"/>
      <c r="M2741" s="39"/>
      <c r="P2741" s="37"/>
      <c r="Q2741" s="37"/>
      <c r="R2741" s="37"/>
      <c r="S2741" s="37"/>
      <c r="T2741" s="37"/>
      <c r="U2741" s="37"/>
      <c r="V2741" s="37"/>
      <c r="W2741" s="37"/>
      <c r="X2741" s="37"/>
      <c r="Y2741" s="37"/>
      <c r="Z2741" s="37"/>
      <c r="AA2741" s="37"/>
      <c r="AB2741" s="37"/>
      <c r="AC2741" s="37"/>
      <c r="AD2741" s="37"/>
      <c r="AE2741" s="37"/>
      <c r="AF2741" s="37"/>
      <c r="AG2741" s="37"/>
      <c r="AH2741" s="37"/>
      <c r="AI2741" s="37"/>
      <c r="AJ2741" s="37"/>
      <c r="AK2741" s="37"/>
      <c r="AL2741" s="37"/>
      <c r="AM2741" s="37"/>
      <c r="AN2741" s="37"/>
      <c r="AO2741" s="37"/>
      <c r="AP2741" s="37"/>
      <c r="AQ2741" s="37"/>
      <c r="AR2741" s="37"/>
      <c r="AS2741" s="37"/>
      <c r="AT2741" s="37"/>
      <c r="AU2741" s="37"/>
      <c r="AV2741" s="37"/>
      <c r="AW2741" s="37"/>
      <c r="AX2741" s="37"/>
      <c r="AY2741" s="37"/>
      <c r="AZ2741" s="37"/>
      <c r="BA2741" s="37"/>
      <c r="BB2741" s="37"/>
      <c r="BC2741" s="37"/>
      <c r="BD2741" s="37"/>
      <c r="BE2741" s="37"/>
      <c r="BF2741" s="37"/>
      <c r="BG2741" s="37"/>
      <c r="BH2741" s="37"/>
      <c r="BI2741" s="37"/>
      <c r="BJ2741" s="37"/>
      <c r="BK2741" s="37"/>
      <c r="BL2741" s="37"/>
      <c r="BM2741" s="37"/>
    </row>
    <row r="2742" spans="1:65" s="40" customFormat="1" ht="23.25" x14ac:dyDescent="0.35">
      <c r="A2742" s="37"/>
      <c r="B2742" s="37"/>
      <c r="C2742" s="41"/>
      <c r="D2742" s="38"/>
      <c r="E2742" s="57"/>
      <c r="F2742" s="42"/>
      <c r="G2742" s="43"/>
      <c r="H2742" s="37"/>
      <c r="I2742" s="37"/>
      <c r="J2742" s="38"/>
      <c r="K2742" s="37"/>
      <c r="L2742" s="38"/>
      <c r="M2742" s="39"/>
      <c r="P2742" s="37"/>
      <c r="Q2742" s="37"/>
      <c r="R2742" s="37"/>
      <c r="S2742" s="37"/>
      <c r="T2742" s="37"/>
      <c r="U2742" s="37"/>
      <c r="V2742" s="37"/>
      <c r="W2742" s="37"/>
      <c r="X2742" s="37"/>
      <c r="Y2742" s="37"/>
      <c r="Z2742" s="37"/>
      <c r="AA2742" s="37"/>
      <c r="AB2742" s="37"/>
      <c r="AC2742" s="37"/>
      <c r="AD2742" s="37"/>
      <c r="AE2742" s="37"/>
      <c r="AF2742" s="37"/>
      <c r="AG2742" s="37"/>
      <c r="AH2742" s="37"/>
      <c r="AI2742" s="37"/>
      <c r="AJ2742" s="37"/>
      <c r="AK2742" s="37"/>
      <c r="AL2742" s="37"/>
      <c r="AM2742" s="37"/>
      <c r="AN2742" s="37"/>
      <c r="AO2742" s="37"/>
      <c r="AP2742" s="37"/>
      <c r="AQ2742" s="37"/>
      <c r="AR2742" s="37"/>
      <c r="AS2742" s="37"/>
      <c r="AT2742" s="37"/>
      <c r="AU2742" s="37"/>
      <c r="AV2742" s="37"/>
      <c r="AW2742" s="37"/>
      <c r="AX2742" s="37"/>
      <c r="AY2742" s="37"/>
      <c r="AZ2742" s="37"/>
      <c r="BA2742" s="37"/>
      <c r="BB2742" s="37"/>
      <c r="BC2742" s="37"/>
      <c r="BD2742" s="37"/>
      <c r="BE2742" s="37"/>
      <c r="BF2742" s="37"/>
      <c r="BG2742" s="37"/>
      <c r="BH2742" s="37"/>
      <c r="BI2742" s="37"/>
      <c r="BJ2742" s="37"/>
      <c r="BK2742" s="37"/>
      <c r="BL2742" s="37"/>
      <c r="BM2742" s="37"/>
    </row>
    <row r="2743" spans="1:65" s="40" customFormat="1" ht="23.25" x14ac:dyDescent="0.35">
      <c r="A2743" s="37"/>
      <c r="B2743" s="37"/>
      <c r="C2743" s="41"/>
      <c r="D2743" s="38"/>
      <c r="E2743" s="57"/>
      <c r="F2743" s="42"/>
      <c r="G2743" s="43"/>
      <c r="H2743" s="37"/>
      <c r="I2743" s="37"/>
      <c r="J2743" s="38"/>
      <c r="K2743" s="37"/>
      <c r="L2743" s="38"/>
      <c r="M2743" s="39"/>
      <c r="P2743" s="37"/>
      <c r="Q2743" s="37"/>
      <c r="R2743" s="37"/>
      <c r="S2743" s="37"/>
      <c r="T2743" s="37"/>
      <c r="U2743" s="37"/>
      <c r="V2743" s="37"/>
      <c r="W2743" s="37"/>
      <c r="X2743" s="37"/>
      <c r="Y2743" s="37"/>
      <c r="Z2743" s="37"/>
      <c r="AA2743" s="37"/>
      <c r="AB2743" s="37"/>
      <c r="AC2743" s="37"/>
      <c r="AD2743" s="37"/>
      <c r="AE2743" s="37"/>
      <c r="AF2743" s="37"/>
      <c r="AG2743" s="37"/>
      <c r="AH2743" s="37"/>
      <c r="AI2743" s="37"/>
      <c r="AJ2743" s="37"/>
      <c r="AK2743" s="37"/>
      <c r="AL2743" s="37"/>
      <c r="AM2743" s="37"/>
      <c r="AN2743" s="37"/>
      <c r="AO2743" s="37"/>
      <c r="AP2743" s="37"/>
      <c r="AQ2743" s="37"/>
      <c r="AR2743" s="37"/>
      <c r="AS2743" s="37"/>
      <c r="AT2743" s="37"/>
      <c r="AU2743" s="37"/>
      <c r="AV2743" s="37"/>
      <c r="AW2743" s="37"/>
      <c r="AX2743" s="37"/>
      <c r="AY2743" s="37"/>
      <c r="AZ2743" s="37"/>
      <c r="BA2743" s="37"/>
      <c r="BB2743" s="37"/>
      <c r="BC2743" s="37"/>
      <c r="BD2743" s="37"/>
      <c r="BE2743" s="37"/>
      <c r="BF2743" s="37"/>
      <c r="BG2743" s="37"/>
      <c r="BH2743" s="37"/>
      <c r="BI2743" s="37"/>
      <c r="BJ2743" s="37"/>
      <c r="BK2743" s="37"/>
      <c r="BL2743" s="37"/>
      <c r="BM2743" s="37"/>
    </row>
    <row r="2744" spans="1:65" s="40" customFormat="1" ht="23.25" x14ac:dyDescent="0.35">
      <c r="A2744" s="37"/>
      <c r="B2744" s="37"/>
      <c r="C2744" s="41"/>
      <c r="D2744" s="38"/>
      <c r="E2744" s="57"/>
      <c r="F2744" s="42"/>
      <c r="G2744" s="43"/>
      <c r="H2744" s="37"/>
      <c r="I2744" s="37"/>
      <c r="J2744" s="38"/>
      <c r="K2744" s="37"/>
      <c r="L2744" s="38"/>
      <c r="M2744" s="39"/>
      <c r="P2744" s="37"/>
      <c r="Q2744" s="37"/>
      <c r="R2744" s="37"/>
      <c r="S2744" s="37"/>
      <c r="T2744" s="37"/>
      <c r="U2744" s="37"/>
      <c r="V2744" s="37"/>
      <c r="W2744" s="37"/>
      <c r="X2744" s="37"/>
      <c r="Y2744" s="37"/>
      <c r="Z2744" s="37"/>
      <c r="AA2744" s="37"/>
      <c r="AB2744" s="37"/>
      <c r="AC2744" s="37"/>
      <c r="AD2744" s="37"/>
      <c r="AE2744" s="37"/>
      <c r="AF2744" s="37"/>
      <c r="AG2744" s="37"/>
      <c r="AH2744" s="37"/>
      <c r="AI2744" s="37"/>
      <c r="AJ2744" s="37"/>
      <c r="AK2744" s="37"/>
      <c r="AL2744" s="37"/>
      <c r="AM2744" s="37"/>
      <c r="AN2744" s="37"/>
      <c r="AO2744" s="37"/>
      <c r="AP2744" s="37"/>
      <c r="AQ2744" s="37"/>
      <c r="AR2744" s="37"/>
      <c r="AS2744" s="37"/>
      <c r="AT2744" s="37"/>
      <c r="AU2744" s="37"/>
      <c r="AV2744" s="37"/>
      <c r="AW2744" s="37"/>
      <c r="AX2744" s="37"/>
      <c r="AY2744" s="37"/>
      <c r="AZ2744" s="37"/>
      <c r="BA2744" s="37"/>
      <c r="BB2744" s="37"/>
      <c r="BC2744" s="37"/>
      <c r="BD2744" s="37"/>
      <c r="BE2744" s="37"/>
      <c r="BF2744" s="37"/>
      <c r="BG2744" s="37"/>
      <c r="BH2744" s="37"/>
      <c r="BI2744" s="37"/>
      <c r="BJ2744" s="37"/>
      <c r="BK2744" s="37"/>
      <c r="BL2744" s="37"/>
      <c r="BM2744" s="37"/>
    </row>
    <row r="2745" spans="1:65" s="40" customFormat="1" ht="23.25" x14ac:dyDescent="0.35">
      <c r="A2745" s="37"/>
      <c r="B2745" s="37"/>
      <c r="C2745" s="41"/>
      <c r="D2745" s="38"/>
      <c r="E2745" s="57"/>
      <c r="F2745" s="42"/>
      <c r="G2745" s="43"/>
      <c r="H2745" s="37"/>
      <c r="I2745" s="37"/>
      <c r="J2745" s="38"/>
      <c r="K2745" s="37"/>
      <c r="L2745" s="38"/>
      <c r="M2745" s="39"/>
      <c r="P2745" s="37"/>
      <c r="Q2745" s="37"/>
      <c r="R2745" s="37"/>
      <c r="S2745" s="37"/>
      <c r="T2745" s="37"/>
      <c r="U2745" s="37"/>
      <c r="V2745" s="37"/>
      <c r="W2745" s="37"/>
      <c r="X2745" s="37"/>
      <c r="Y2745" s="37"/>
      <c r="Z2745" s="37"/>
      <c r="AA2745" s="37"/>
      <c r="AB2745" s="37"/>
      <c r="AC2745" s="37"/>
      <c r="AD2745" s="37"/>
      <c r="AE2745" s="37"/>
      <c r="AF2745" s="37"/>
      <c r="AG2745" s="37"/>
      <c r="AH2745" s="37"/>
      <c r="AI2745" s="37"/>
      <c r="AJ2745" s="37"/>
      <c r="AK2745" s="37"/>
      <c r="AL2745" s="37"/>
      <c r="AM2745" s="37"/>
      <c r="AN2745" s="37"/>
      <c r="AO2745" s="37"/>
      <c r="AP2745" s="37"/>
      <c r="AQ2745" s="37"/>
      <c r="AR2745" s="37"/>
      <c r="AS2745" s="37"/>
      <c r="AT2745" s="37"/>
      <c r="AU2745" s="37"/>
      <c r="AV2745" s="37"/>
      <c r="AW2745" s="37"/>
      <c r="AX2745" s="37"/>
      <c r="AY2745" s="37"/>
      <c r="AZ2745" s="37"/>
      <c r="BA2745" s="37"/>
      <c r="BB2745" s="37"/>
      <c r="BC2745" s="37"/>
      <c r="BD2745" s="37"/>
      <c r="BE2745" s="37"/>
      <c r="BF2745" s="37"/>
      <c r="BG2745" s="37"/>
      <c r="BH2745" s="37"/>
      <c r="BI2745" s="37"/>
      <c r="BJ2745" s="37"/>
      <c r="BK2745" s="37"/>
      <c r="BL2745" s="37"/>
      <c r="BM2745" s="37"/>
    </row>
    <row r="2746" spans="1:65" s="40" customFormat="1" ht="23.25" x14ac:dyDescent="0.35">
      <c r="A2746" s="37"/>
      <c r="B2746" s="37"/>
      <c r="C2746" s="41"/>
      <c r="D2746" s="38"/>
      <c r="E2746" s="57"/>
      <c r="F2746" s="42"/>
      <c r="G2746" s="43"/>
      <c r="H2746" s="37"/>
      <c r="I2746" s="37"/>
      <c r="J2746" s="38"/>
      <c r="K2746" s="37"/>
      <c r="L2746" s="38"/>
      <c r="M2746" s="39"/>
      <c r="P2746" s="37"/>
      <c r="Q2746" s="37"/>
      <c r="R2746" s="37"/>
      <c r="S2746" s="37"/>
      <c r="T2746" s="37"/>
      <c r="U2746" s="37"/>
      <c r="V2746" s="37"/>
      <c r="W2746" s="37"/>
      <c r="X2746" s="37"/>
      <c r="Y2746" s="37"/>
      <c r="Z2746" s="37"/>
      <c r="AA2746" s="37"/>
      <c r="AB2746" s="37"/>
      <c r="AC2746" s="37"/>
      <c r="AD2746" s="37"/>
      <c r="AE2746" s="37"/>
      <c r="AF2746" s="37"/>
      <c r="AG2746" s="37"/>
      <c r="AH2746" s="37"/>
      <c r="AI2746" s="37"/>
      <c r="AJ2746" s="37"/>
      <c r="AK2746" s="37"/>
      <c r="AL2746" s="37"/>
      <c r="AM2746" s="37"/>
      <c r="AN2746" s="37"/>
      <c r="AO2746" s="37"/>
      <c r="AP2746" s="37"/>
      <c r="AQ2746" s="37"/>
      <c r="AR2746" s="37"/>
      <c r="AS2746" s="37"/>
      <c r="AT2746" s="37"/>
      <c r="AU2746" s="37"/>
      <c r="AV2746" s="37"/>
      <c r="AW2746" s="37"/>
      <c r="AX2746" s="37"/>
      <c r="AY2746" s="37"/>
      <c r="AZ2746" s="37"/>
      <c r="BA2746" s="37"/>
      <c r="BB2746" s="37"/>
      <c r="BC2746" s="37"/>
      <c r="BD2746" s="37"/>
      <c r="BE2746" s="37"/>
      <c r="BF2746" s="37"/>
      <c r="BG2746" s="37"/>
      <c r="BH2746" s="37"/>
      <c r="BI2746" s="37"/>
      <c r="BJ2746" s="37"/>
      <c r="BK2746" s="37"/>
      <c r="BL2746" s="37"/>
      <c r="BM2746" s="37"/>
    </row>
    <row r="2747" spans="1:65" s="40" customFormat="1" ht="23.25" x14ac:dyDescent="0.35">
      <c r="A2747" s="37"/>
      <c r="B2747" s="37"/>
      <c r="C2747" s="41"/>
      <c r="D2747" s="38"/>
      <c r="E2747" s="57"/>
      <c r="F2747" s="42"/>
      <c r="G2747" s="43"/>
      <c r="H2747" s="37"/>
      <c r="I2747" s="37"/>
      <c r="J2747" s="38"/>
      <c r="K2747" s="37"/>
      <c r="L2747" s="38"/>
      <c r="M2747" s="39"/>
      <c r="P2747" s="37"/>
      <c r="Q2747" s="37"/>
      <c r="R2747" s="37"/>
      <c r="S2747" s="37"/>
      <c r="T2747" s="37"/>
      <c r="U2747" s="37"/>
      <c r="V2747" s="37"/>
      <c r="W2747" s="37"/>
      <c r="X2747" s="37"/>
      <c r="Y2747" s="37"/>
      <c r="Z2747" s="37"/>
      <c r="AA2747" s="37"/>
      <c r="AB2747" s="37"/>
      <c r="AC2747" s="37"/>
      <c r="AD2747" s="37"/>
      <c r="AE2747" s="37"/>
      <c r="AF2747" s="37"/>
      <c r="AG2747" s="37"/>
      <c r="AH2747" s="37"/>
      <c r="AI2747" s="37"/>
      <c r="AJ2747" s="37"/>
      <c r="AK2747" s="37"/>
      <c r="AL2747" s="37"/>
      <c r="AM2747" s="37"/>
      <c r="AN2747" s="37"/>
      <c r="AO2747" s="37"/>
      <c r="AP2747" s="37"/>
      <c r="AQ2747" s="37"/>
      <c r="AR2747" s="37"/>
      <c r="AS2747" s="37"/>
      <c r="AT2747" s="37"/>
      <c r="AU2747" s="37"/>
      <c r="AV2747" s="37"/>
      <c r="AW2747" s="37"/>
      <c r="AX2747" s="37"/>
      <c r="AY2747" s="37"/>
      <c r="AZ2747" s="37"/>
      <c r="BA2747" s="37"/>
      <c r="BB2747" s="37"/>
      <c r="BC2747" s="37"/>
      <c r="BD2747" s="37"/>
      <c r="BE2747" s="37"/>
      <c r="BF2747" s="37"/>
      <c r="BG2747" s="37"/>
      <c r="BH2747" s="37"/>
      <c r="BI2747" s="37"/>
      <c r="BJ2747" s="37"/>
      <c r="BK2747" s="37"/>
      <c r="BL2747" s="37"/>
      <c r="BM2747" s="37"/>
    </row>
    <row r="2748" spans="1:65" s="40" customFormat="1" ht="23.25" x14ac:dyDescent="0.35">
      <c r="A2748" s="37"/>
      <c r="B2748" s="37"/>
      <c r="C2748" s="41"/>
      <c r="D2748" s="38"/>
      <c r="E2748" s="57"/>
      <c r="F2748" s="42"/>
      <c r="G2748" s="43"/>
      <c r="H2748" s="37"/>
      <c r="I2748" s="37"/>
      <c r="J2748" s="38"/>
      <c r="K2748" s="37"/>
      <c r="L2748" s="38"/>
      <c r="M2748" s="39"/>
      <c r="P2748" s="37"/>
      <c r="Q2748" s="37"/>
      <c r="R2748" s="37"/>
      <c r="S2748" s="37"/>
      <c r="T2748" s="37"/>
      <c r="U2748" s="37"/>
      <c r="V2748" s="37"/>
      <c r="W2748" s="37"/>
      <c r="X2748" s="37"/>
      <c r="Y2748" s="37"/>
      <c r="Z2748" s="37"/>
      <c r="AA2748" s="37"/>
      <c r="AB2748" s="37"/>
      <c r="AC2748" s="37"/>
      <c r="AD2748" s="37"/>
      <c r="AE2748" s="37"/>
      <c r="AF2748" s="37"/>
      <c r="AG2748" s="37"/>
      <c r="AH2748" s="37"/>
      <c r="AI2748" s="37"/>
      <c r="AJ2748" s="37"/>
      <c r="AK2748" s="37"/>
      <c r="AL2748" s="37"/>
      <c r="AM2748" s="37"/>
      <c r="AN2748" s="37"/>
      <c r="AO2748" s="37"/>
      <c r="AP2748" s="37"/>
      <c r="AQ2748" s="37"/>
      <c r="AR2748" s="37"/>
      <c r="AS2748" s="37"/>
      <c r="AT2748" s="37"/>
      <c r="AU2748" s="37"/>
      <c r="AV2748" s="37"/>
      <c r="AW2748" s="37"/>
      <c r="AX2748" s="37"/>
      <c r="AY2748" s="37"/>
      <c r="AZ2748" s="37"/>
      <c r="BA2748" s="37"/>
      <c r="BB2748" s="37"/>
      <c r="BC2748" s="37"/>
      <c r="BD2748" s="37"/>
      <c r="BE2748" s="37"/>
      <c r="BF2748" s="37"/>
      <c r="BG2748" s="37"/>
      <c r="BH2748" s="37"/>
      <c r="BI2748" s="37"/>
      <c r="BJ2748" s="37"/>
      <c r="BK2748" s="37"/>
      <c r="BL2748" s="37"/>
      <c r="BM2748" s="37"/>
    </row>
    <row r="2749" spans="1:65" s="40" customFormat="1" ht="23.25" x14ac:dyDescent="0.35">
      <c r="A2749" s="37"/>
      <c r="B2749" s="37"/>
      <c r="C2749" s="41"/>
      <c r="D2749" s="38"/>
      <c r="E2749" s="57"/>
      <c r="F2749" s="42"/>
      <c r="G2749" s="43"/>
      <c r="H2749" s="37"/>
      <c r="I2749" s="37"/>
      <c r="J2749" s="38"/>
      <c r="K2749" s="37"/>
      <c r="L2749" s="38"/>
      <c r="M2749" s="39"/>
      <c r="P2749" s="37"/>
      <c r="Q2749" s="37"/>
      <c r="R2749" s="37"/>
      <c r="S2749" s="37"/>
      <c r="T2749" s="37"/>
      <c r="U2749" s="37"/>
      <c r="V2749" s="37"/>
      <c r="W2749" s="37"/>
      <c r="X2749" s="37"/>
      <c r="Y2749" s="37"/>
      <c r="Z2749" s="37"/>
      <c r="AA2749" s="37"/>
      <c r="AB2749" s="37"/>
      <c r="AC2749" s="37"/>
      <c r="AD2749" s="37"/>
      <c r="AE2749" s="37"/>
      <c r="AF2749" s="37"/>
      <c r="AG2749" s="37"/>
      <c r="AH2749" s="37"/>
      <c r="AI2749" s="37"/>
      <c r="AJ2749" s="37"/>
      <c r="AK2749" s="37"/>
      <c r="AL2749" s="37"/>
      <c r="AM2749" s="37"/>
      <c r="AN2749" s="37"/>
      <c r="AO2749" s="37"/>
      <c r="AP2749" s="37"/>
      <c r="AQ2749" s="37"/>
      <c r="AR2749" s="37"/>
      <c r="AS2749" s="37"/>
      <c r="AT2749" s="37"/>
      <c r="AU2749" s="37"/>
      <c r="AV2749" s="37"/>
      <c r="AW2749" s="37"/>
      <c r="AX2749" s="37"/>
      <c r="AY2749" s="37"/>
      <c r="AZ2749" s="37"/>
      <c r="BA2749" s="37"/>
      <c r="BB2749" s="37"/>
      <c r="BC2749" s="37"/>
      <c r="BD2749" s="37"/>
      <c r="BE2749" s="37"/>
      <c r="BF2749" s="37"/>
      <c r="BG2749" s="37"/>
      <c r="BH2749" s="37"/>
      <c r="BI2749" s="37"/>
      <c r="BJ2749" s="37"/>
      <c r="BK2749" s="37"/>
      <c r="BL2749" s="37"/>
      <c r="BM2749" s="37"/>
    </row>
    <row r="2750" spans="1:65" s="40" customFormat="1" ht="23.25" x14ac:dyDescent="0.35">
      <c r="A2750" s="37"/>
      <c r="B2750" s="37"/>
      <c r="C2750" s="41"/>
      <c r="D2750" s="38"/>
      <c r="E2750" s="57"/>
      <c r="F2750" s="42"/>
      <c r="G2750" s="43"/>
      <c r="H2750" s="37"/>
      <c r="I2750" s="37"/>
      <c r="J2750" s="38"/>
      <c r="K2750" s="37"/>
      <c r="L2750" s="38"/>
      <c r="M2750" s="39"/>
      <c r="P2750" s="37"/>
      <c r="Q2750" s="37"/>
      <c r="R2750" s="37"/>
      <c r="S2750" s="37"/>
      <c r="T2750" s="37"/>
      <c r="U2750" s="37"/>
      <c r="V2750" s="37"/>
      <c r="W2750" s="37"/>
      <c r="X2750" s="37"/>
      <c r="Y2750" s="37"/>
      <c r="Z2750" s="37"/>
      <c r="AA2750" s="37"/>
      <c r="AB2750" s="37"/>
      <c r="AC2750" s="37"/>
      <c r="AD2750" s="37"/>
      <c r="AE2750" s="37"/>
      <c r="AF2750" s="37"/>
      <c r="AG2750" s="37"/>
      <c r="AH2750" s="37"/>
      <c r="AI2750" s="37"/>
      <c r="AJ2750" s="37"/>
      <c r="AK2750" s="37"/>
      <c r="AL2750" s="37"/>
      <c r="AM2750" s="37"/>
      <c r="AN2750" s="37"/>
      <c r="AO2750" s="37"/>
      <c r="AP2750" s="37"/>
      <c r="AQ2750" s="37"/>
      <c r="AR2750" s="37"/>
      <c r="AS2750" s="37"/>
      <c r="AT2750" s="37"/>
      <c r="AU2750" s="37"/>
      <c r="AV2750" s="37"/>
      <c r="AW2750" s="37"/>
      <c r="AX2750" s="37"/>
      <c r="AY2750" s="37"/>
      <c r="AZ2750" s="37"/>
      <c r="BA2750" s="37"/>
      <c r="BB2750" s="37"/>
      <c r="BC2750" s="37"/>
      <c r="BD2750" s="37"/>
      <c r="BE2750" s="37"/>
      <c r="BF2750" s="37"/>
      <c r="BG2750" s="37"/>
      <c r="BH2750" s="37"/>
      <c r="BI2750" s="37"/>
      <c r="BJ2750" s="37"/>
      <c r="BK2750" s="37"/>
      <c r="BL2750" s="37"/>
      <c r="BM2750" s="37"/>
    </row>
    <row r="2751" spans="1:65" s="40" customFormat="1" ht="23.25" x14ac:dyDescent="0.35">
      <c r="A2751" s="37"/>
      <c r="B2751" s="37"/>
      <c r="C2751" s="41"/>
      <c r="D2751" s="38"/>
      <c r="E2751" s="57"/>
      <c r="F2751" s="42"/>
      <c r="G2751" s="43"/>
      <c r="H2751" s="37"/>
      <c r="I2751" s="37"/>
      <c r="J2751" s="38"/>
      <c r="K2751" s="37"/>
      <c r="L2751" s="38"/>
      <c r="M2751" s="39"/>
      <c r="P2751" s="37"/>
      <c r="Q2751" s="37"/>
      <c r="R2751" s="37"/>
      <c r="S2751" s="37"/>
      <c r="T2751" s="37"/>
      <c r="U2751" s="37"/>
      <c r="V2751" s="37"/>
      <c r="W2751" s="37"/>
      <c r="X2751" s="37"/>
      <c r="Y2751" s="37"/>
      <c r="Z2751" s="37"/>
      <c r="AA2751" s="37"/>
      <c r="AB2751" s="37"/>
      <c r="AC2751" s="37"/>
      <c r="AD2751" s="37"/>
      <c r="AE2751" s="37"/>
      <c r="AF2751" s="37"/>
      <c r="AG2751" s="37"/>
      <c r="AH2751" s="37"/>
      <c r="AI2751" s="37"/>
      <c r="AJ2751" s="37"/>
      <c r="AK2751" s="37"/>
      <c r="AL2751" s="37"/>
      <c r="AM2751" s="37"/>
      <c r="AN2751" s="37"/>
      <c r="AO2751" s="37"/>
      <c r="AP2751" s="37"/>
      <c r="AQ2751" s="37"/>
      <c r="AR2751" s="37"/>
      <c r="AS2751" s="37"/>
      <c r="AT2751" s="37"/>
      <c r="AU2751" s="37"/>
      <c r="AV2751" s="37"/>
      <c r="AW2751" s="37"/>
      <c r="AX2751" s="37"/>
      <c r="AY2751" s="37"/>
      <c r="AZ2751" s="37"/>
      <c r="BA2751" s="37"/>
      <c r="BB2751" s="37"/>
      <c r="BC2751" s="37"/>
      <c r="BD2751" s="37"/>
      <c r="BE2751" s="37"/>
      <c r="BF2751" s="37"/>
      <c r="BG2751" s="37"/>
      <c r="BH2751" s="37"/>
      <c r="BI2751" s="37"/>
      <c r="BJ2751" s="37"/>
      <c r="BK2751" s="37"/>
      <c r="BL2751" s="37"/>
      <c r="BM2751" s="37"/>
    </row>
    <row r="2752" spans="1:65" s="40" customFormat="1" ht="23.25" x14ac:dyDescent="0.35">
      <c r="A2752" s="37"/>
      <c r="B2752" s="37"/>
      <c r="C2752" s="41"/>
      <c r="D2752" s="38"/>
      <c r="E2752" s="57"/>
      <c r="F2752" s="42"/>
      <c r="G2752" s="43"/>
      <c r="H2752" s="37"/>
      <c r="I2752" s="37"/>
      <c r="J2752" s="38"/>
      <c r="K2752" s="37"/>
      <c r="L2752" s="38"/>
      <c r="M2752" s="39"/>
      <c r="P2752" s="37"/>
      <c r="Q2752" s="37"/>
      <c r="R2752" s="37"/>
      <c r="S2752" s="37"/>
      <c r="T2752" s="37"/>
      <c r="U2752" s="37"/>
      <c r="V2752" s="37"/>
      <c r="W2752" s="37"/>
      <c r="X2752" s="37"/>
      <c r="Y2752" s="37"/>
      <c r="Z2752" s="37"/>
      <c r="AA2752" s="37"/>
      <c r="AB2752" s="37"/>
      <c r="AC2752" s="37"/>
      <c r="AD2752" s="37"/>
      <c r="AE2752" s="37"/>
      <c r="AF2752" s="37"/>
      <c r="AG2752" s="37"/>
      <c r="AH2752" s="37"/>
      <c r="AI2752" s="37"/>
      <c r="AJ2752" s="37"/>
      <c r="AK2752" s="37"/>
      <c r="AL2752" s="37"/>
      <c r="AM2752" s="37"/>
      <c r="AN2752" s="37"/>
      <c r="AO2752" s="37"/>
      <c r="AP2752" s="37"/>
      <c r="AQ2752" s="37"/>
      <c r="AR2752" s="37"/>
      <c r="AS2752" s="37"/>
      <c r="AT2752" s="37"/>
      <c r="AU2752" s="37"/>
      <c r="AV2752" s="37"/>
      <c r="AW2752" s="37"/>
      <c r="AX2752" s="37"/>
      <c r="AY2752" s="37"/>
      <c r="AZ2752" s="37"/>
      <c r="BA2752" s="37"/>
      <c r="BB2752" s="37"/>
      <c r="BC2752" s="37"/>
      <c r="BD2752" s="37"/>
      <c r="BE2752" s="37"/>
      <c r="BF2752" s="37"/>
      <c r="BG2752" s="37"/>
      <c r="BH2752" s="37"/>
      <c r="BI2752" s="37"/>
      <c r="BJ2752" s="37"/>
      <c r="BK2752" s="37"/>
      <c r="BL2752" s="37"/>
      <c r="BM2752" s="37"/>
    </row>
    <row r="2753" spans="1:65" s="40" customFormat="1" ht="23.25" x14ac:dyDescent="0.35">
      <c r="A2753" s="37"/>
      <c r="B2753" s="37"/>
      <c r="C2753" s="41"/>
      <c r="D2753" s="38"/>
      <c r="E2753" s="57"/>
      <c r="F2753" s="42"/>
      <c r="G2753" s="43"/>
      <c r="H2753" s="37"/>
      <c r="I2753" s="37"/>
      <c r="J2753" s="38"/>
      <c r="K2753" s="37"/>
      <c r="L2753" s="38"/>
      <c r="M2753" s="39"/>
      <c r="P2753" s="37"/>
      <c r="Q2753" s="37"/>
      <c r="R2753" s="37"/>
      <c r="S2753" s="37"/>
      <c r="T2753" s="37"/>
      <c r="U2753" s="37"/>
      <c r="V2753" s="37"/>
      <c r="W2753" s="37"/>
      <c r="X2753" s="37"/>
      <c r="Y2753" s="37"/>
      <c r="Z2753" s="37"/>
      <c r="AA2753" s="37"/>
      <c r="AB2753" s="37"/>
      <c r="AC2753" s="37"/>
      <c r="AD2753" s="37"/>
      <c r="AE2753" s="37"/>
      <c r="AF2753" s="37"/>
      <c r="AG2753" s="37"/>
      <c r="AH2753" s="37"/>
      <c r="AI2753" s="37"/>
      <c r="AJ2753" s="37"/>
      <c r="AK2753" s="37"/>
      <c r="AL2753" s="37"/>
      <c r="AM2753" s="37"/>
      <c r="AN2753" s="37"/>
      <c r="AO2753" s="37"/>
      <c r="AP2753" s="37"/>
      <c r="AQ2753" s="37"/>
      <c r="AR2753" s="37"/>
      <c r="AS2753" s="37"/>
      <c r="AT2753" s="37"/>
      <c r="AU2753" s="37"/>
      <c r="AV2753" s="37"/>
      <c r="AW2753" s="37"/>
      <c r="AX2753" s="37"/>
      <c r="AY2753" s="37"/>
      <c r="AZ2753" s="37"/>
      <c r="BA2753" s="37"/>
      <c r="BB2753" s="37"/>
      <c r="BC2753" s="37"/>
      <c r="BD2753" s="37"/>
      <c r="BE2753" s="37"/>
      <c r="BF2753" s="37"/>
      <c r="BG2753" s="37"/>
      <c r="BH2753" s="37"/>
      <c r="BI2753" s="37"/>
      <c r="BJ2753" s="37"/>
      <c r="BK2753" s="37"/>
      <c r="BL2753" s="37"/>
      <c r="BM2753" s="37"/>
    </row>
    <row r="2754" spans="1:65" s="40" customFormat="1" ht="23.25" x14ac:dyDescent="0.35">
      <c r="A2754" s="37"/>
      <c r="B2754" s="37"/>
      <c r="C2754" s="41"/>
      <c r="D2754" s="38"/>
      <c r="E2754" s="57"/>
      <c r="F2754" s="42"/>
      <c r="G2754" s="43"/>
      <c r="H2754" s="37"/>
      <c r="I2754" s="37"/>
      <c r="J2754" s="38"/>
      <c r="K2754" s="37"/>
      <c r="L2754" s="38"/>
      <c r="M2754" s="39"/>
      <c r="P2754" s="37"/>
      <c r="Q2754" s="37"/>
      <c r="R2754" s="37"/>
      <c r="S2754" s="37"/>
      <c r="T2754" s="37"/>
      <c r="U2754" s="37"/>
      <c r="V2754" s="37"/>
      <c r="W2754" s="37"/>
      <c r="X2754" s="37"/>
      <c r="Y2754" s="37"/>
      <c r="Z2754" s="37"/>
      <c r="AA2754" s="37"/>
      <c r="AB2754" s="37"/>
      <c r="AC2754" s="37"/>
      <c r="AD2754" s="37"/>
      <c r="AE2754" s="37"/>
      <c r="AF2754" s="37"/>
      <c r="AG2754" s="37"/>
      <c r="AH2754" s="37"/>
      <c r="AI2754" s="37"/>
      <c r="AJ2754" s="37"/>
      <c r="AK2754" s="37"/>
      <c r="AL2754" s="37"/>
      <c r="AM2754" s="37"/>
      <c r="AN2754" s="37"/>
      <c r="AO2754" s="37"/>
      <c r="AP2754" s="37"/>
      <c r="AQ2754" s="37"/>
      <c r="AR2754" s="37"/>
      <c r="AS2754" s="37"/>
      <c r="AT2754" s="37"/>
      <c r="AU2754" s="37"/>
      <c r="AV2754" s="37"/>
      <c r="AW2754" s="37"/>
      <c r="AX2754" s="37"/>
      <c r="AY2754" s="37"/>
      <c r="AZ2754" s="37"/>
      <c r="BA2754" s="37"/>
      <c r="BB2754" s="37"/>
      <c r="BC2754" s="37"/>
      <c r="BD2754" s="37"/>
      <c r="BE2754" s="37"/>
      <c r="BF2754" s="37"/>
      <c r="BG2754" s="37"/>
      <c r="BH2754" s="37"/>
      <c r="BI2754" s="37"/>
      <c r="BJ2754" s="37"/>
      <c r="BK2754" s="37"/>
      <c r="BL2754" s="37"/>
      <c r="BM2754" s="37"/>
    </row>
    <row r="2755" spans="1:65" s="40" customFormat="1" ht="23.25" x14ac:dyDescent="0.35">
      <c r="A2755" s="37"/>
      <c r="B2755" s="37"/>
      <c r="C2755" s="41"/>
      <c r="D2755" s="38"/>
      <c r="E2755" s="57"/>
      <c r="F2755" s="42"/>
      <c r="G2755" s="43"/>
      <c r="H2755" s="37"/>
      <c r="I2755" s="37"/>
      <c r="J2755" s="38"/>
      <c r="K2755" s="37"/>
      <c r="L2755" s="38"/>
      <c r="M2755" s="39"/>
      <c r="P2755" s="37"/>
      <c r="Q2755" s="37"/>
      <c r="R2755" s="37"/>
      <c r="S2755" s="37"/>
      <c r="T2755" s="37"/>
      <c r="U2755" s="37"/>
      <c r="V2755" s="37"/>
      <c r="W2755" s="37"/>
      <c r="X2755" s="37"/>
      <c r="Y2755" s="37"/>
      <c r="Z2755" s="37"/>
      <c r="AA2755" s="37"/>
      <c r="AB2755" s="37"/>
      <c r="AC2755" s="37"/>
      <c r="AD2755" s="37"/>
      <c r="AE2755" s="37"/>
      <c r="AF2755" s="37"/>
      <c r="AG2755" s="37"/>
      <c r="AH2755" s="37"/>
      <c r="AI2755" s="37"/>
      <c r="AJ2755" s="37"/>
      <c r="AK2755" s="37"/>
      <c r="AL2755" s="37"/>
      <c r="AM2755" s="37"/>
      <c r="AN2755" s="37"/>
      <c r="AO2755" s="37"/>
      <c r="AP2755" s="37"/>
      <c r="AQ2755" s="37"/>
      <c r="AR2755" s="37"/>
      <c r="AS2755" s="37"/>
      <c r="AT2755" s="37"/>
      <c r="AU2755" s="37"/>
      <c r="AV2755" s="37"/>
      <c r="AW2755" s="37"/>
      <c r="AX2755" s="37"/>
      <c r="AY2755" s="37"/>
      <c r="AZ2755" s="37"/>
      <c r="BA2755" s="37"/>
      <c r="BB2755" s="37"/>
      <c r="BC2755" s="37"/>
      <c r="BD2755" s="37"/>
      <c r="BE2755" s="37"/>
      <c r="BF2755" s="37"/>
      <c r="BG2755" s="37"/>
      <c r="BH2755" s="37"/>
      <c r="BI2755" s="37"/>
      <c r="BJ2755" s="37"/>
      <c r="BK2755" s="37"/>
      <c r="BL2755" s="37"/>
      <c r="BM2755" s="37"/>
    </row>
    <row r="2756" spans="1:65" s="40" customFormat="1" ht="23.25" x14ac:dyDescent="0.35">
      <c r="A2756" s="37"/>
      <c r="B2756" s="37"/>
      <c r="C2756" s="41"/>
      <c r="D2756" s="38"/>
      <c r="E2756" s="57"/>
      <c r="F2756" s="42"/>
      <c r="G2756" s="43"/>
      <c r="H2756" s="37"/>
      <c r="I2756" s="37"/>
      <c r="J2756" s="38"/>
      <c r="K2756" s="37"/>
      <c r="L2756" s="38"/>
      <c r="M2756" s="39"/>
      <c r="P2756" s="37"/>
      <c r="Q2756" s="37"/>
      <c r="R2756" s="37"/>
      <c r="S2756" s="37"/>
      <c r="T2756" s="37"/>
      <c r="U2756" s="37"/>
      <c r="V2756" s="37"/>
      <c r="W2756" s="37"/>
      <c r="X2756" s="37"/>
      <c r="Y2756" s="37"/>
      <c r="Z2756" s="37"/>
      <c r="AA2756" s="37"/>
      <c r="AB2756" s="37"/>
      <c r="AC2756" s="37"/>
      <c r="AD2756" s="37"/>
      <c r="AE2756" s="37"/>
      <c r="AF2756" s="37"/>
      <c r="AG2756" s="37"/>
      <c r="AH2756" s="37"/>
      <c r="AI2756" s="37"/>
      <c r="AJ2756" s="37"/>
      <c r="AK2756" s="37"/>
      <c r="AL2756" s="37"/>
      <c r="AM2756" s="37"/>
      <c r="AN2756" s="37"/>
      <c r="AO2756" s="37"/>
      <c r="AP2756" s="37"/>
      <c r="AQ2756" s="37"/>
      <c r="AR2756" s="37"/>
      <c r="AS2756" s="37"/>
      <c r="AT2756" s="37"/>
      <c r="AU2756" s="37"/>
      <c r="AV2756" s="37"/>
      <c r="AW2756" s="37"/>
      <c r="AX2756" s="37"/>
      <c r="AY2756" s="37"/>
      <c r="AZ2756" s="37"/>
      <c r="BA2756" s="37"/>
      <c r="BB2756" s="37"/>
      <c r="BC2756" s="37"/>
      <c r="BD2756" s="37"/>
      <c r="BE2756" s="37"/>
      <c r="BF2756" s="37"/>
      <c r="BG2756" s="37"/>
      <c r="BH2756" s="37"/>
      <c r="BI2756" s="37"/>
      <c r="BJ2756" s="37"/>
      <c r="BK2756" s="37"/>
      <c r="BL2756" s="37"/>
      <c r="BM2756" s="37"/>
    </row>
    <row r="2757" spans="1:65" s="40" customFormat="1" ht="23.25" x14ac:dyDescent="0.35">
      <c r="A2757" s="37"/>
      <c r="B2757" s="37"/>
      <c r="C2757" s="41"/>
      <c r="D2757" s="38"/>
      <c r="E2757" s="57"/>
      <c r="F2757" s="42"/>
      <c r="G2757" s="43"/>
      <c r="H2757" s="37"/>
      <c r="I2757" s="37"/>
      <c r="J2757" s="38"/>
      <c r="K2757" s="37"/>
      <c r="L2757" s="38"/>
      <c r="M2757" s="39"/>
      <c r="P2757" s="37"/>
      <c r="Q2757" s="37"/>
      <c r="R2757" s="37"/>
      <c r="S2757" s="37"/>
      <c r="T2757" s="37"/>
      <c r="U2757" s="37"/>
      <c r="V2757" s="37"/>
      <c r="W2757" s="37"/>
      <c r="X2757" s="37"/>
      <c r="Y2757" s="37"/>
      <c r="Z2757" s="37"/>
      <c r="AA2757" s="37"/>
      <c r="AB2757" s="37"/>
      <c r="AC2757" s="37"/>
      <c r="AD2757" s="37"/>
      <c r="AE2757" s="37"/>
      <c r="AF2757" s="37"/>
      <c r="AG2757" s="37"/>
      <c r="AH2757" s="37"/>
      <c r="AI2757" s="37"/>
      <c r="AJ2757" s="37"/>
      <c r="AK2757" s="37"/>
      <c r="AL2757" s="37"/>
      <c r="AM2757" s="37"/>
      <c r="AN2757" s="37"/>
      <c r="AO2757" s="37"/>
      <c r="AP2757" s="37"/>
      <c r="AQ2757" s="37"/>
      <c r="AR2757" s="37"/>
      <c r="AS2757" s="37"/>
      <c r="AT2757" s="37"/>
      <c r="AU2757" s="37"/>
      <c r="AV2757" s="37"/>
      <c r="AW2757" s="37"/>
      <c r="AX2757" s="37"/>
      <c r="AY2757" s="37"/>
      <c r="AZ2757" s="37"/>
      <c r="BA2757" s="37"/>
      <c r="BB2757" s="37"/>
      <c r="BC2757" s="37"/>
      <c r="BD2757" s="37"/>
      <c r="BE2757" s="37"/>
      <c r="BF2757" s="37"/>
      <c r="BG2757" s="37"/>
      <c r="BH2757" s="37"/>
      <c r="BI2757" s="37"/>
      <c r="BJ2757" s="37"/>
      <c r="BK2757" s="37"/>
      <c r="BL2757" s="37"/>
      <c r="BM2757" s="37"/>
    </row>
    <row r="2758" spans="1:65" s="40" customFormat="1" ht="23.25" x14ac:dyDescent="0.35">
      <c r="A2758" s="37"/>
      <c r="B2758" s="37"/>
      <c r="C2758" s="41"/>
      <c r="D2758" s="38"/>
      <c r="E2758" s="57"/>
      <c r="F2758" s="42"/>
      <c r="G2758" s="43"/>
      <c r="H2758" s="37"/>
      <c r="I2758" s="37"/>
      <c r="J2758" s="38"/>
      <c r="K2758" s="37"/>
      <c r="L2758" s="38"/>
      <c r="M2758" s="39"/>
      <c r="P2758" s="37"/>
      <c r="Q2758" s="37"/>
      <c r="R2758" s="37"/>
      <c r="S2758" s="37"/>
      <c r="T2758" s="37"/>
      <c r="U2758" s="37"/>
      <c r="V2758" s="37"/>
      <c r="W2758" s="37"/>
      <c r="X2758" s="37"/>
      <c r="Y2758" s="37"/>
      <c r="Z2758" s="37"/>
      <c r="AA2758" s="37"/>
      <c r="AB2758" s="37"/>
      <c r="AC2758" s="37"/>
      <c r="AD2758" s="37"/>
      <c r="AE2758" s="37"/>
      <c r="AF2758" s="37"/>
      <c r="AG2758" s="37"/>
      <c r="AH2758" s="37"/>
      <c r="AI2758" s="37"/>
      <c r="AJ2758" s="37"/>
      <c r="AK2758" s="37"/>
      <c r="AL2758" s="37"/>
      <c r="AM2758" s="37"/>
      <c r="AN2758" s="37"/>
      <c r="AO2758" s="37"/>
      <c r="AP2758" s="37"/>
      <c r="AQ2758" s="37"/>
      <c r="AR2758" s="37"/>
      <c r="AS2758" s="37"/>
      <c r="AT2758" s="37"/>
      <c r="AU2758" s="37"/>
      <c r="AV2758" s="37"/>
      <c r="AW2758" s="37"/>
      <c r="AX2758" s="37"/>
      <c r="AY2758" s="37"/>
      <c r="AZ2758" s="37"/>
      <c r="BA2758" s="37"/>
      <c r="BB2758" s="37"/>
      <c r="BC2758" s="37"/>
      <c r="BD2758" s="37"/>
      <c r="BE2758" s="37"/>
      <c r="BF2758" s="37"/>
      <c r="BG2758" s="37"/>
      <c r="BH2758" s="37"/>
      <c r="BI2758" s="37"/>
      <c r="BJ2758" s="37"/>
      <c r="BK2758" s="37"/>
      <c r="BL2758" s="37"/>
      <c r="BM2758" s="37"/>
    </row>
    <row r="2759" spans="1:65" s="40" customFormat="1" ht="23.25" x14ac:dyDescent="0.35">
      <c r="A2759" s="37"/>
      <c r="B2759" s="37"/>
      <c r="C2759" s="41"/>
      <c r="D2759" s="38"/>
      <c r="E2759" s="57"/>
      <c r="F2759" s="42"/>
      <c r="G2759" s="43"/>
      <c r="H2759" s="37"/>
      <c r="I2759" s="37"/>
      <c r="J2759" s="38"/>
      <c r="K2759" s="37"/>
      <c r="L2759" s="38"/>
      <c r="M2759" s="39"/>
      <c r="P2759" s="37"/>
      <c r="Q2759" s="37"/>
      <c r="R2759" s="37"/>
      <c r="S2759" s="37"/>
      <c r="T2759" s="37"/>
      <c r="U2759" s="37"/>
      <c r="V2759" s="37"/>
      <c r="W2759" s="37"/>
      <c r="X2759" s="37"/>
      <c r="Y2759" s="37"/>
      <c r="Z2759" s="37"/>
      <c r="AA2759" s="37"/>
      <c r="AB2759" s="37"/>
      <c r="AC2759" s="37"/>
      <c r="AD2759" s="37"/>
      <c r="AE2759" s="37"/>
      <c r="AF2759" s="37"/>
      <c r="AG2759" s="37"/>
      <c r="AH2759" s="37"/>
      <c r="AI2759" s="37"/>
      <c r="AJ2759" s="37"/>
      <c r="AK2759" s="37"/>
      <c r="AL2759" s="37"/>
      <c r="AM2759" s="37"/>
      <c r="AN2759" s="37"/>
      <c r="AO2759" s="37"/>
      <c r="AP2759" s="37"/>
      <c r="AQ2759" s="37"/>
      <c r="AR2759" s="37"/>
      <c r="AS2759" s="37"/>
      <c r="AT2759" s="37"/>
      <c r="AU2759" s="37"/>
      <c r="AV2759" s="37"/>
      <c r="AW2759" s="37"/>
      <c r="AX2759" s="37"/>
      <c r="AY2759" s="37"/>
      <c r="AZ2759" s="37"/>
      <c r="BA2759" s="37"/>
      <c r="BB2759" s="37"/>
      <c r="BC2759" s="37"/>
      <c r="BD2759" s="37"/>
      <c r="BE2759" s="37"/>
      <c r="BF2759" s="37"/>
      <c r="BG2759" s="37"/>
      <c r="BH2759" s="37"/>
      <c r="BI2759" s="37"/>
      <c r="BJ2759" s="37"/>
      <c r="BK2759" s="37"/>
      <c r="BL2759" s="37"/>
      <c r="BM2759" s="37"/>
    </row>
    <row r="2760" spans="1:65" s="40" customFormat="1" ht="23.25" x14ac:dyDescent="0.35">
      <c r="A2760" s="37"/>
      <c r="B2760" s="37"/>
      <c r="C2760" s="41"/>
      <c r="D2760" s="38"/>
      <c r="E2760" s="57"/>
      <c r="F2760" s="42"/>
      <c r="G2760" s="43"/>
      <c r="H2760" s="37"/>
      <c r="I2760" s="37"/>
      <c r="J2760" s="38"/>
      <c r="K2760" s="37"/>
      <c r="L2760" s="38"/>
      <c r="M2760" s="39"/>
      <c r="P2760" s="37"/>
      <c r="Q2760" s="37"/>
      <c r="R2760" s="37"/>
      <c r="S2760" s="37"/>
      <c r="T2760" s="37"/>
      <c r="U2760" s="37"/>
      <c r="V2760" s="37"/>
      <c r="W2760" s="37"/>
      <c r="X2760" s="37"/>
      <c r="Y2760" s="37"/>
      <c r="Z2760" s="37"/>
      <c r="AA2760" s="37"/>
      <c r="AB2760" s="37"/>
      <c r="AC2760" s="37"/>
      <c r="AD2760" s="37"/>
      <c r="AE2760" s="37"/>
      <c r="AF2760" s="37"/>
      <c r="AG2760" s="37"/>
      <c r="AH2760" s="37"/>
      <c r="AI2760" s="37"/>
      <c r="AJ2760" s="37"/>
      <c r="AK2760" s="37"/>
      <c r="AL2760" s="37"/>
      <c r="AM2760" s="37"/>
      <c r="AN2760" s="37"/>
      <c r="AO2760" s="37"/>
      <c r="AP2760" s="37"/>
      <c r="AQ2760" s="37"/>
      <c r="AR2760" s="37"/>
      <c r="AS2760" s="37"/>
      <c r="AT2760" s="37"/>
      <c r="AU2760" s="37"/>
      <c r="AV2760" s="37"/>
      <c r="AW2760" s="37"/>
      <c r="AX2760" s="37"/>
      <c r="AY2760" s="37"/>
      <c r="AZ2760" s="37"/>
      <c r="BA2760" s="37"/>
      <c r="BB2760" s="37"/>
      <c r="BC2760" s="37"/>
      <c r="BD2760" s="37"/>
      <c r="BE2760" s="37"/>
      <c r="BF2760" s="37"/>
      <c r="BG2760" s="37"/>
      <c r="BH2760" s="37"/>
      <c r="BI2760" s="37"/>
      <c r="BJ2760" s="37"/>
      <c r="BK2760" s="37"/>
      <c r="BL2760" s="37"/>
      <c r="BM2760" s="37"/>
    </row>
    <row r="2761" spans="1:65" s="40" customFormat="1" ht="23.25" x14ac:dyDescent="0.35">
      <c r="A2761" s="37"/>
      <c r="B2761" s="37"/>
      <c r="C2761" s="41"/>
      <c r="D2761" s="38"/>
      <c r="E2761" s="57"/>
      <c r="F2761" s="42"/>
      <c r="G2761" s="43"/>
      <c r="H2761" s="37"/>
      <c r="I2761" s="37"/>
      <c r="J2761" s="38"/>
      <c r="K2761" s="37"/>
      <c r="L2761" s="38"/>
      <c r="M2761" s="39"/>
      <c r="P2761" s="37"/>
      <c r="Q2761" s="37"/>
      <c r="R2761" s="37"/>
      <c r="S2761" s="37"/>
      <c r="T2761" s="37"/>
      <c r="U2761" s="37"/>
      <c r="V2761" s="37"/>
      <c r="W2761" s="37"/>
      <c r="X2761" s="37"/>
      <c r="Y2761" s="37"/>
      <c r="Z2761" s="37"/>
      <c r="AA2761" s="37"/>
      <c r="AB2761" s="37"/>
      <c r="AC2761" s="37"/>
      <c r="AD2761" s="37"/>
      <c r="AE2761" s="37"/>
      <c r="AF2761" s="37"/>
      <c r="AG2761" s="37"/>
      <c r="AH2761" s="37"/>
      <c r="AI2761" s="37"/>
      <c r="AJ2761" s="37"/>
      <c r="AK2761" s="37"/>
      <c r="AL2761" s="37"/>
      <c r="AM2761" s="37"/>
      <c r="AN2761" s="37"/>
      <c r="AO2761" s="37"/>
      <c r="AP2761" s="37"/>
      <c r="AQ2761" s="37"/>
      <c r="AR2761" s="37"/>
      <c r="AS2761" s="37"/>
      <c r="AT2761" s="37"/>
      <c r="AU2761" s="37"/>
      <c r="AV2761" s="37"/>
      <c r="AW2761" s="37"/>
      <c r="AX2761" s="37"/>
      <c r="AY2761" s="37"/>
      <c r="AZ2761" s="37"/>
      <c r="BA2761" s="37"/>
      <c r="BB2761" s="37"/>
      <c r="BC2761" s="37"/>
      <c r="BD2761" s="37"/>
      <c r="BE2761" s="37"/>
      <c r="BF2761" s="37"/>
      <c r="BG2761" s="37"/>
      <c r="BH2761" s="37"/>
      <c r="BI2761" s="37"/>
      <c r="BJ2761" s="37"/>
      <c r="BK2761" s="37"/>
      <c r="BL2761" s="37"/>
      <c r="BM2761" s="37"/>
    </row>
    <row r="2762" spans="1:65" s="40" customFormat="1" ht="23.25" x14ac:dyDescent="0.35">
      <c r="A2762" s="37"/>
      <c r="B2762" s="37"/>
      <c r="C2762" s="41"/>
      <c r="D2762" s="38"/>
      <c r="E2762" s="57"/>
      <c r="F2762" s="42"/>
      <c r="G2762" s="43"/>
      <c r="H2762" s="37"/>
      <c r="I2762" s="37"/>
      <c r="J2762" s="38"/>
      <c r="K2762" s="37"/>
      <c r="L2762" s="38"/>
      <c r="M2762" s="39"/>
      <c r="P2762" s="37"/>
      <c r="Q2762" s="37"/>
      <c r="R2762" s="37"/>
      <c r="S2762" s="37"/>
      <c r="T2762" s="37"/>
      <c r="U2762" s="37"/>
      <c r="V2762" s="37"/>
      <c r="W2762" s="37"/>
      <c r="X2762" s="37"/>
      <c r="Y2762" s="37"/>
      <c r="Z2762" s="37"/>
      <c r="AA2762" s="37"/>
      <c r="AB2762" s="37"/>
      <c r="AC2762" s="37"/>
      <c r="AD2762" s="37"/>
      <c r="AE2762" s="37"/>
      <c r="AF2762" s="37"/>
      <c r="AG2762" s="37"/>
      <c r="AH2762" s="37"/>
      <c r="AI2762" s="37"/>
      <c r="AJ2762" s="37"/>
      <c r="AK2762" s="37"/>
      <c r="AL2762" s="37"/>
      <c r="AM2762" s="37"/>
      <c r="AN2762" s="37"/>
      <c r="AO2762" s="37"/>
      <c r="AP2762" s="37"/>
      <c r="AQ2762" s="37"/>
      <c r="AR2762" s="37"/>
      <c r="AS2762" s="37"/>
      <c r="AT2762" s="37"/>
      <c r="AU2762" s="37"/>
      <c r="AV2762" s="37"/>
      <c r="AW2762" s="37"/>
      <c r="AX2762" s="37"/>
      <c r="AY2762" s="37"/>
      <c r="AZ2762" s="37"/>
      <c r="BA2762" s="37"/>
      <c r="BB2762" s="37"/>
      <c r="BC2762" s="37"/>
      <c r="BD2762" s="37"/>
      <c r="BE2762" s="37"/>
      <c r="BF2762" s="37"/>
      <c r="BG2762" s="37"/>
      <c r="BH2762" s="37"/>
      <c r="BI2762" s="37"/>
      <c r="BJ2762" s="37"/>
      <c r="BK2762" s="37"/>
      <c r="BL2762" s="37"/>
      <c r="BM2762" s="37"/>
    </row>
    <row r="2763" spans="1:65" s="40" customFormat="1" ht="23.25" x14ac:dyDescent="0.35">
      <c r="A2763" s="37"/>
      <c r="B2763" s="37"/>
      <c r="C2763" s="41"/>
      <c r="D2763" s="38"/>
      <c r="E2763" s="57"/>
      <c r="F2763" s="42"/>
      <c r="G2763" s="43"/>
      <c r="H2763" s="37"/>
      <c r="I2763" s="37"/>
      <c r="J2763" s="38"/>
      <c r="K2763" s="37"/>
      <c r="L2763" s="38"/>
      <c r="M2763" s="39"/>
      <c r="P2763" s="37"/>
      <c r="Q2763" s="37"/>
      <c r="R2763" s="37"/>
      <c r="S2763" s="37"/>
      <c r="T2763" s="37"/>
      <c r="U2763" s="37"/>
      <c r="V2763" s="37"/>
      <c r="W2763" s="37"/>
      <c r="X2763" s="37"/>
      <c r="Y2763" s="37"/>
      <c r="Z2763" s="37"/>
      <c r="AA2763" s="37"/>
      <c r="AB2763" s="37"/>
      <c r="AC2763" s="37"/>
      <c r="AD2763" s="37"/>
      <c r="AE2763" s="37"/>
      <c r="AF2763" s="37"/>
      <c r="AG2763" s="37"/>
      <c r="AH2763" s="37"/>
      <c r="AI2763" s="37"/>
      <c r="AJ2763" s="37"/>
      <c r="AK2763" s="37"/>
      <c r="AL2763" s="37"/>
      <c r="AM2763" s="37"/>
      <c r="AN2763" s="37"/>
      <c r="AO2763" s="37"/>
      <c r="AP2763" s="37"/>
      <c r="AQ2763" s="37"/>
      <c r="AR2763" s="37"/>
      <c r="AS2763" s="37"/>
      <c r="AT2763" s="37"/>
      <c r="AU2763" s="37"/>
      <c r="AV2763" s="37"/>
      <c r="AW2763" s="37"/>
      <c r="AX2763" s="37"/>
      <c r="AY2763" s="37"/>
      <c r="AZ2763" s="37"/>
      <c r="BA2763" s="37"/>
      <c r="BB2763" s="37"/>
      <c r="BC2763" s="37"/>
      <c r="BD2763" s="37"/>
      <c r="BE2763" s="37"/>
      <c r="BF2763" s="37"/>
      <c r="BG2763" s="37"/>
      <c r="BH2763" s="37"/>
      <c r="BI2763" s="37"/>
      <c r="BJ2763" s="37"/>
      <c r="BK2763" s="37"/>
      <c r="BL2763" s="37"/>
      <c r="BM2763" s="37"/>
    </row>
    <row r="2764" spans="1:65" s="40" customFormat="1" ht="23.25" x14ac:dyDescent="0.35">
      <c r="A2764" s="37"/>
      <c r="B2764" s="37"/>
      <c r="C2764" s="41"/>
      <c r="D2764" s="38"/>
      <c r="E2764" s="57"/>
      <c r="F2764" s="42"/>
      <c r="G2764" s="43"/>
      <c r="H2764" s="37"/>
      <c r="I2764" s="37"/>
      <c r="J2764" s="38"/>
      <c r="K2764" s="37"/>
      <c r="L2764" s="38"/>
      <c r="M2764" s="39"/>
      <c r="P2764" s="37"/>
      <c r="Q2764" s="37"/>
      <c r="R2764" s="37"/>
      <c r="S2764" s="37"/>
      <c r="T2764" s="37"/>
      <c r="U2764" s="37"/>
      <c r="V2764" s="37"/>
      <c r="W2764" s="37"/>
      <c r="X2764" s="37"/>
      <c r="Y2764" s="37"/>
      <c r="Z2764" s="37"/>
      <c r="AA2764" s="37"/>
      <c r="AB2764" s="37"/>
      <c r="AC2764" s="37"/>
      <c r="AD2764" s="37"/>
      <c r="AE2764" s="37"/>
      <c r="AF2764" s="37"/>
      <c r="AG2764" s="37"/>
      <c r="AH2764" s="37"/>
      <c r="AI2764" s="37"/>
      <c r="AJ2764" s="37"/>
      <c r="AK2764" s="37"/>
      <c r="AL2764" s="37"/>
      <c r="AM2764" s="37"/>
      <c r="AN2764" s="37"/>
      <c r="AO2764" s="37"/>
      <c r="AP2764" s="37"/>
      <c r="AQ2764" s="37"/>
      <c r="AR2764" s="37"/>
      <c r="AS2764" s="37"/>
      <c r="AT2764" s="37"/>
      <c r="AU2764" s="37"/>
      <c r="AV2764" s="37"/>
      <c r="AW2764" s="37"/>
      <c r="AX2764" s="37"/>
      <c r="AY2764" s="37"/>
      <c r="AZ2764" s="37"/>
      <c r="BA2764" s="37"/>
      <c r="BB2764" s="37"/>
      <c r="BC2764" s="37"/>
      <c r="BD2764" s="37"/>
      <c r="BE2764" s="37"/>
      <c r="BF2764" s="37"/>
      <c r="BG2764" s="37"/>
      <c r="BH2764" s="37"/>
      <c r="BI2764" s="37"/>
      <c r="BJ2764" s="37"/>
      <c r="BK2764" s="37"/>
      <c r="BL2764" s="37"/>
      <c r="BM2764" s="37"/>
    </row>
    <row r="2765" spans="1:65" s="40" customFormat="1" ht="23.25" x14ac:dyDescent="0.35">
      <c r="A2765" s="37"/>
      <c r="B2765" s="37"/>
      <c r="C2765" s="41"/>
      <c r="D2765" s="38"/>
      <c r="E2765" s="57"/>
      <c r="F2765" s="42"/>
      <c r="G2765" s="43"/>
      <c r="H2765" s="37"/>
      <c r="I2765" s="37"/>
      <c r="J2765" s="38"/>
      <c r="K2765" s="37"/>
      <c r="L2765" s="38"/>
      <c r="M2765" s="39"/>
      <c r="P2765" s="37"/>
      <c r="Q2765" s="37"/>
      <c r="R2765" s="37"/>
      <c r="S2765" s="37"/>
      <c r="T2765" s="37"/>
      <c r="U2765" s="37"/>
      <c r="V2765" s="37"/>
      <c r="W2765" s="37"/>
      <c r="X2765" s="37"/>
      <c r="Y2765" s="37"/>
      <c r="Z2765" s="37"/>
      <c r="AA2765" s="37"/>
      <c r="AB2765" s="37"/>
      <c r="AC2765" s="37"/>
      <c r="AD2765" s="37"/>
      <c r="AE2765" s="37"/>
      <c r="AF2765" s="37"/>
      <c r="AG2765" s="37"/>
      <c r="AH2765" s="37"/>
      <c r="AI2765" s="37"/>
      <c r="AJ2765" s="37"/>
      <c r="AK2765" s="37"/>
      <c r="AL2765" s="37"/>
      <c r="AM2765" s="37"/>
      <c r="AN2765" s="37"/>
      <c r="AO2765" s="37"/>
      <c r="AP2765" s="37"/>
      <c r="AQ2765" s="37"/>
      <c r="AR2765" s="37"/>
      <c r="AS2765" s="37"/>
      <c r="AT2765" s="37"/>
      <c r="AU2765" s="37"/>
      <c r="AV2765" s="37"/>
      <c r="AW2765" s="37"/>
      <c r="AX2765" s="37"/>
      <c r="AY2765" s="37"/>
      <c r="AZ2765" s="37"/>
      <c r="BA2765" s="37"/>
      <c r="BB2765" s="37"/>
      <c r="BC2765" s="37"/>
      <c r="BD2765" s="37"/>
      <c r="BE2765" s="37"/>
      <c r="BF2765" s="37"/>
      <c r="BG2765" s="37"/>
      <c r="BH2765" s="37"/>
      <c r="BI2765" s="37"/>
      <c r="BJ2765" s="37"/>
      <c r="BK2765" s="37"/>
      <c r="BL2765" s="37"/>
      <c r="BM2765" s="37"/>
    </row>
    <row r="2766" spans="1:65" s="40" customFormat="1" ht="23.25" x14ac:dyDescent="0.35">
      <c r="A2766" s="37"/>
      <c r="B2766" s="37"/>
      <c r="C2766" s="41"/>
      <c r="D2766" s="38"/>
      <c r="E2766" s="57"/>
      <c r="F2766" s="42"/>
      <c r="G2766" s="43"/>
      <c r="H2766" s="37"/>
      <c r="I2766" s="37"/>
      <c r="J2766" s="38"/>
      <c r="K2766" s="37"/>
      <c r="L2766" s="38"/>
      <c r="M2766" s="39"/>
      <c r="P2766" s="37"/>
      <c r="Q2766" s="37"/>
      <c r="R2766" s="37"/>
      <c r="S2766" s="37"/>
      <c r="T2766" s="37"/>
      <c r="U2766" s="37"/>
      <c r="V2766" s="37"/>
      <c r="W2766" s="37"/>
      <c r="X2766" s="37"/>
      <c r="Y2766" s="37"/>
      <c r="Z2766" s="37"/>
      <c r="AA2766" s="37"/>
      <c r="AB2766" s="37"/>
      <c r="AC2766" s="37"/>
      <c r="AD2766" s="37"/>
      <c r="AE2766" s="37"/>
      <c r="AF2766" s="37"/>
      <c r="AG2766" s="37"/>
      <c r="AH2766" s="37"/>
      <c r="AI2766" s="37"/>
      <c r="AJ2766" s="37"/>
      <c r="AK2766" s="37"/>
      <c r="AL2766" s="37"/>
      <c r="AM2766" s="37"/>
      <c r="AN2766" s="37"/>
      <c r="AO2766" s="37"/>
      <c r="AP2766" s="37"/>
      <c r="AQ2766" s="37"/>
      <c r="AR2766" s="37"/>
      <c r="AS2766" s="37"/>
      <c r="AT2766" s="37"/>
      <c r="AU2766" s="37"/>
      <c r="AV2766" s="37"/>
      <c r="AW2766" s="37"/>
      <c r="AX2766" s="37"/>
      <c r="AY2766" s="37"/>
      <c r="AZ2766" s="37"/>
      <c r="BA2766" s="37"/>
      <c r="BB2766" s="37"/>
      <c r="BC2766" s="37"/>
      <c r="BD2766" s="37"/>
      <c r="BE2766" s="37"/>
      <c r="BF2766" s="37"/>
      <c r="BG2766" s="37"/>
      <c r="BH2766" s="37"/>
      <c r="BI2766" s="37"/>
      <c r="BJ2766" s="37"/>
      <c r="BK2766" s="37"/>
      <c r="BL2766" s="37"/>
      <c r="BM2766" s="37"/>
    </row>
    <row r="2767" spans="1:65" s="40" customFormat="1" ht="23.25" x14ac:dyDescent="0.35">
      <c r="A2767" s="37"/>
      <c r="B2767" s="37"/>
      <c r="C2767" s="41"/>
      <c r="D2767" s="38"/>
      <c r="E2767" s="57"/>
      <c r="F2767" s="42"/>
      <c r="G2767" s="43"/>
      <c r="H2767" s="37"/>
      <c r="I2767" s="37"/>
      <c r="J2767" s="38"/>
      <c r="K2767" s="37"/>
      <c r="L2767" s="38"/>
      <c r="M2767" s="39"/>
      <c r="P2767" s="37"/>
      <c r="Q2767" s="37"/>
      <c r="R2767" s="37"/>
      <c r="S2767" s="37"/>
      <c r="T2767" s="37"/>
      <c r="U2767" s="37"/>
      <c r="V2767" s="37"/>
      <c r="W2767" s="37"/>
      <c r="X2767" s="37"/>
      <c r="Y2767" s="37"/>
      <c r="Z2767" s="37"/>
      <c r="AA2767" s="37"/>
      <c r="AB2767" s="37"/>
      <c r="AC2767" s="37"/>
      <c r="AD2767" s="37"/>
      <c r="AE2767" s="37"/>
      <c r="AF2767" s="37"/>
      <c r="AG2767" s="37"/>
      <c r="AH2767" s="37"/>
      <c r="AI2767" s="37"/>
      <c r="AJ2767" s="37"/>
      <c r="AK2767" s="37"/>
      <c r="AL2767" s="37"/>
      <c r="AM2767" s="37"/>
      <c r="AN2767" s="37"/>
      <c r="AO2767" s="37"/>
      <c r="AP2767" s="37"/>
      <c r="AQ2767" s="37"/>
      <c r="AR2767" s="37"/>
      <c r="AS2767" s="37"/>
      <c r="AT2767" s="37"/>
      <c r="AU2767" s="37"/>
      <c r="AV2767" s="37"/>
      <c r="AW2767" s="37"/>
      <c r="AX2767" s="37"/>
      <c r="AY2767" s="37"/>
      <c r="AZ2767" s="37"/>
      <c r="BA2767" s="37"/>
      <c r="BB2767" s="37"/>
      <c r="BC2767" s="37"/>
      <c r="BD2767" s="37"/>
      <c r="BE2767" s="37"/>
      <c r="BF2767" s="37"/>
      <c r="BG2767" s="37"/>
      <c r="BH2767" s="37"/>
      <c r="BI2767" s="37"/>
      <c r="BJ2767" s="37"/>
      <c r="BK2767" s="37"/>
      <c r="BL2767" s="37"/>
      <c r="BM2767" s="37"/>
    </row>
    <row r="2768" spans="1:65" s="40" customFormat="1" ht="23.25" x14ac:dyDescent="0.35">
      <c r="A2768" s="37"/>
      <c r="B2768" s="37"/>
      <c r="C2768" s="41"/>
      <c r="D2768" s="38"/>
      <c r="E2768" s="57"/>
      <c r="F2768" s="42"/>
      <c r="G2768" s="43"/>
      <c r="H2768" s="37"/>
      <c r="I2768" s="37"/>
      <c r="J2768" s="38"/>
      <c r="K2768" s="37"/>
      <c r="L2768" s="38"/>
      <c r="M2768" s="39"/>
      <c r="P2768" s="37"/>
      <c r="Q2768" s="37"/>
      <c r="R2768" s="37"/>
      <c r="S2768" s="37"/>
      <c r="T2768" s="37"/>
      <c r="U2768" s="37"/>
      <c r="V2768" s="37"/>
      <c r="W2768" s="37"/>
      <c r="X2768" s="37"/>
      <c r="Y2768" s="37"/>
      <c r="Z2768" s="37"/>
      <c r="AA2768" s="37"/>
      <c r="AB2768" s="37"/>
      <c r="AC2768" s="37"/>
      <c r="AD2768" s="37"/>
      <c r="AE2768" s="37"/>
      <c r="AF2768" s="37"/>
      <c r="AG2768" s="37"/>
      <c r="AH2768" s="37"/>
      <c r="AI2768" s="37"/>
      <c r="AJ2768" s="37"/>
      <c r="AK2768" s="37"/>
      <c r="AL2768" s="37"/>
      <c r="AM2768" s="37"/>
      <c r="AN2768" s="37"/>
      <c r="AO2768" s="37"/>
      <c r="AP2768" s="37"/>
      <c r="AQ2768" s="37"/>
      <c r="AR2768" s="37"/>
      <c r="AS2768" s="37"/>
      <c r="AT2768" s="37"/>
      <c r="AU2768" s="37"/>
      <c r="AV2768" s="37"/>
      <c r="AW2768" s="37"/>
      <c r="AX2768" s="37"/>
      <c r="AY2768" s="37"/>
      <c r="AZ2768" s="37"/>
      <c r="BA2768" s="37"/>
      <c r="BB2768" s="37"/>
      <c r="BC2768" s="37"/>
      <c r="BD2768" s="37"/>
      <c r="BE2768" s="37"/>
      <c r="BF2768" s="37"/>
      <c r="BG2768" s="37"/>
      <c r="BH2768" s="37"/>
      <c r="BI2768" s="37"/>
      <c r="BJ2768" s="37"/>
      <c r="BK2768" s="37"/>
      <c r="BL2768" s="37"/>
      <c r="BM2768" s="37"/>
    </row>
    <row r="2769" spans="1:65" s="40" customFormat="1" ht="23.25" x14ac:dyDescent="0.35">
      <c r="A2769" s="37"/>
      <c r="B2769" s="37"/>
      <c r="C2769" s="41"/>
      <c r="D2769" s="38"/>
      <c r="E2769" s="57"/>
      <c r="F2769" s="42"/>
      <c r="G2769" s="43"/>
      <c r="H2769" s="37"/>
      <c r="I2769" s="37"/>
      <c r="J2769" s="38"/>
      <c r="K2769" s="37"/>
      <c r="L2769" s="38"/>
      <c r="M2769" s="39"/>
      <c r="P2769" s="37"/>
      <c r="Q2769" s="37"/>
      <c r="R2769" s="37"/>
      <c r="S2769" s="37"/>
      <c r="T2769" s="37"/>
      <c r="U2769" s="37"/>
      <c r="V2769" s="37"/>
      <c r="W2769" s="37"/>
      <c r="X2769" s="37"/>
      <c r="Y2769" s="37"/>
      <c r="Z2769" s="37"/>
      <c r="AA2769" s="37"/>
      <c r="AB2769" s="37"/>
      <c r="AC2769" s="37"/>
      <c r="AD2769" s="37"/>
      <c r="AE2769" s="37"/>
      <c r="AF2769" s="37"/>
      <c r="AG2769" s="37"/>
      <c r="AH2769" s="37"/>
      <c r="AI2769" s="37"/>
      <c r="AJ2769" s="37"/>
      <c r="AK2769" s="37"/>
      <c r="AL2769" s="37"/>
      <c r="AM2769" s="37"/>
      <c r="AN2769" s="37"/>
      <c r="AO2769" s="37"/>
      <c r="AP2769" s="37"/>
      <c r="AQ2769" s="37"/>
      <c r="AR2769" s="37"/>
      <c r="AS2769" s="37"/>
      <c r="AT2769" s="37"/>
      <c r="AU2769" s="37"/>
      <c r="AV2769" s="37"/>
      <c r="AW2769" s="37"/>
      <c r="AX2769" s="37"/>
      <c r="AY2769" s="37"/>
      <c r="AZ2769" s="37"/>
      <c r="BA2769" s="37"/>
      <c r="BB2769" s="37"/>
      <c r="BC2769" s="37"/>
      <c r="BD2769" s="37"/>
      <c r="BE2769" s="37"/>
      <c r="BF2769" s="37"/>
      <c r="BG2769" s="37"/>
      <c r="BH2769" s="37"/>
      <c r="BI2769" s="37"/>
      <c r="BJ2769" s="37"/>
      <c r="BK2769" s="37"/>
      <c r="BL2769" s="37"/>
      <c r="BM2769" s="37"/>
    </row>
    <row r="2770" spans="1:65" s="40" customFormat="1" ht="23.25" x14ac:dyDescent="0.35">
      <c r="A2770" s="37"/>
      <c r="B2770" s="37"/>
      <c r="C2770" s="41"/>
      <c r="D2770" s="38"/>
      <c r="E2770" s="57"/>
      <c r="F2770" s="42"/>
      <c r="G2770" s="43"/>
      <c r="H2770" s="37"/>
      <c r="I2770" s="37"/>
      <c r="J2770" s="38"/>
      <c r="K2770" s="37"/>
      <c r="L2770" s="38"/>
      <c r="M2770" s="39"/>
      <c r="P2770" s="37"/>
      <c r="Q2770" s="37"/>
      <c r="R2770" s="37"/>
      <c r="S2770" s="37"/>
      <c r="T2770" s="37"/>
      <c r="U2770" s="37"/>
      <c r="V2770" s="37"/>
      <c r="W2770" s="37"/>
      <c r="X2770" s="37"/>
      <c r="Y2770" s="37"/>
      <c r="Z2770" s="37"/>
      <c r="AA2770" s="37"/>
      <c r="AB2770" s="37"/>
      <c r="AC2770" s="37"/>
      <c r="AD2770" s="37"/>
      <c r="AE2770" s="37"/>
      <c r="AF2770" s="37"/>
      <c r="AG2770" s="37"/>
      <c r="AH2770" s="37"/>
      <c r="AI2770" s="37"/>
      <c r="AJ2770" s="37"/>
      <c r="AK2770" s="37"/>
      <c r="AL2770" s="37"/>
      <c r="AM2770" s="37"/>
      <c r="AN2770" s="37"/>
      <c r="AO2770" s="37"/>
      <c r="AP2770" s="37"/>
      <c r="AQ2770" s="37"/>
      <c r="AR2770" s="37"/>
      <c r="AS2770" s="37"/>
      <c r="AT2770" s="37"/>
      <c r="AU2770" s="37"/>
      <c r="AV2770" s="37"/>
      <c r="AW2770" s="37"/>
      <c r="AX2770" s="37"/>
      <c r="AY2770" s="37"/>
      <c r="AZ2770" s="37"/>
      <c r="BA2770" s="37"/>
      <c r="BB2770" s="37"/>
      <c r="BC2770" s="37"/>
      <c r="BD2770" s="37"/>
      <c r="BE2770" s="37"/>
      <c r="BF2770" s="37"/>
      <c r="BG2770" s="37"/>
      <c r="BH2770" s="37"/>
      <c r="BI2770" s="37"/>
      <c r="BJ2770" s="37"/>
      <c r="BK2770" s="37"/>
      <c r="BL2770" s="37"/>
      <c r="BM2770" s="37"/>
    </row>
    <row r="2771" spans="1:65" s="40" customFormat="1" ht="23.25" x14ac:dyDescent="0.35">
      <c r="A2771" s="37"/>
      <c r="B2771" s="37"/>
      <c r="C2771" s="41"/>
      <c r="D2771" s="38"/>
      <c r="E2771" s="57"/>
      <c r="F2771" s="42"/>
      <c r="G2771" s="43"/>
      <c r="H2771" s="37"/>
      <c r="I2771" s="37"/>
      <c r="J2771" s="38"/>
      <c r="K2771" s="37"/>
      <c r="L2771" s="38"/>
      <c r="M2771" s="39"/>
      <c r="P2771" s="37"/>
      <c r="Q2771" s="37"/>
      <c r="R2771" s="37"/>
      <c r="S2771" s="37"/>
      <c r="T2771" s="37"/>
      <c r="U2771" s="37"/>
      <c r="V2771" s="37"/>
      <c r="W2771" s="37"/>
      <c r="X2771" s="37"/>
      <c r="Y2771" s="37"/>
      <c r="Z2771" s="37"/>
      <c r="AA2771" s="37"/>
      <c r="AB2771" s="37"/>
      <c r="AC2771" s="37"/>
      <c r="AD2771" s="37"/>
      <c r="AE2771" s="37"/>
      <c r="AF2771" s="37"/>
      <c r="AG2771" s="37"/>
      <c r="AH2771" s="37"/>
      <c r="AI2771" s="37"/>
      <c r="AJ2771" s="37"/>
      <c r="AK2771" s="37"/>
      <c r="AL2771" s="37"/>
      <c r="AM2771" s="37"/>
      <c r="AN2771" s="37"/>
      <c r="AO2771" s="37"/>
      <c r="AP2771" s="37"/>
      <c r="AQ2771" s="37"/>
      <c r="AR2771" s="37"/>
      <c r="AS2771" s="37"/>
      <c r="AT2771" s="37"/>
      <c r="AU2771" s="37"/>
      <c r="AV2771" s="37"/>
      <c r="AW2771" s="37"/>
      <c r="AX2771" s="37"/>
      <c r="AY2771" s="37"/>
      <c r="AZ2771" s="37"/>
      <c r="BA2771" s="37"/>
      <c r="BB2771" s="37"/>
      <c r="BC2771" s="37"/>
      <c r="BD2771" s="37"/>
      <c r="BE2771" s="37"/>
      <c r="BF2771" s="37"/>
      <c r="BG2771" s="37"/>
      <c r="BH2771" s="37"/>
      <c r="BI2771" s="37"/>
      <c r="BJ2771" s="37"/>
      <c r="BK2771" s="37"/>
      <c r="BL2771" s="37"/>
      <c r="BM2771" s="37"/>
    </row>
    <row r="2772" spans="1:65" s="40" customFormat="1" ht="23.25" x14ac:dyDescent="0.35">
      <c r="A2772" s="37"/>
      <c r="B2772" s="37"/>
      <c r="C2772" s="41"/>
      <c r="D2772" s="38"/>
      <c r="E2772" s="57"/>
      <c r="F2772" s="42"/>
      <c r="G2772" s="43"/>
      <c r="H2772" s="37"/>
      <c r="I2772" s="37"/>
      <c r="J2772" s="38"/>
      <c r="K2772" s="37"/>
      <c r="L2772" s="38"/>
      <c r="M2772" s="39"/>
      <c r="P2772" s="37"/>
      <c r="Q2772" s="37"/>
      <c r="R2772" s="37"/>
      <c r="S2772" s="37"/>
      <c r="T2772" s="37"/>
      <c r="U2772" s="37"/>
      <c r="V2772" s="37"/>
      <c r="W2772" s="37"/>
      <c r="X2772" s="37"/>
      <c r="Y2772" s="37"/>
      <c r="Z2772" s="37"/>
      <c r="AA2772" s="37"/>
      <c r="AB2772" s="37"/>
      <c r="AC2772" s="37"/>
      <c r="AD2772" s="37"/>
      <c r="AE2772" s="37"/>
      <c r="AF2772" s="37"/>
      <c r="AG2772" s="37"/>
      <c r="AH2772" s="37"/>
      <c r="AI2772" s="37"/>
      <c r="AJ2772" s="37"/>
      <c r="AK2772" s="37"/>
      <c r="AL2772" s="37"/>
      <c r="AM2772" s="37"/>
      <c r="AN2772" s="37"/>
      <c r="AO2772" s="37"/>
      <c r="AP2772" s="37"/>
      <c r="AQ2772" s="37"/>
      <c r="AR2772" s="37"/>
      <c r="AS2772" s="37"/>
      <c r="AT2772" s="37"/>
      <c r="AU2772" s="37"/>
      <c r="AV2772" s="37"/>
      <c r="AW2772" s="37"/>
      <c r="AX2772" s="37"/>
      <c r="AY2772" s="37"/>
      <c r="AZ2772" s="37"/>
      <c r="BA2772" s="37"/>
      <c r="BB2772" s="37"/>
      <c r="BC2772" s="37"/>
      <c r="BD2772" s="37"/>
      <c r="BE2772" s="37"/>
      <c r="BF2772" s="37"/>
      <c r="BG2772" s="37"/>
      <c r="BH2772" s="37"/>
      <c r="BI2772" s="37"/>
      <c r="BJ2772" s="37"/>
      <c r="BK2772" s="37"/>
      <c r="BL2772" s="37"/>
      <c r="BM2772" s="37"/>
    </row>
    <row r="2773" spans="1:65" s="40" customFormat="1" ht="23.25" x14ac:dyDescent="0.35">
      <c r="A2773" s="37"/>
      <c r="B2773" s="37"/>
      <c r="C2773" s="41"/>
      <c r="D2773" s="38"/>
      <c r="E2773" s="57"/>
      <c r="F2773" s="42"/>
      <c r="G2773" s="43"/>
      <c r="H2773" s="37"/>
      <c r="I2773" s="37"/>
      <c r="J2773" s="38"/>
      <c r="K2773" s="37"/>
      <c r="L2773" s="38"/>
      <c r="M2773" s="39"/>
      <c r="P2773" s="37"/>
      <c r="Q2773" s="37"/>
      <c r="R2773" s="37"/>
      <c r="S2773" s="37"/>
      <c r="T2773" s="37"/>
      <c r="U2773" s="37"/>
      <c r="V2773" s="37"/>
      <c r="W2773" s="37"/>
      <c r="X2773" s="37"/>
      <c r="Y2773" s="37"/>
      <c r="Z2773" s="37"/>
      <c r="AA2773" s="37"/>
      <c r="AB2773" s="37"/>
      <c r="AC2773" s="37"/>
      <c r="AD2773" s="37"/>
      <c r="AE2773" s="37"/>
      <c r="AF2773" s="37"/>
      <c r="AG2773" s="37"/>
      <c r="AH2773" s="37"/>
      <c r="AI2773" s="37"/>
      <c r="AJ2773" s="37"/>
      <c r="AK2773" s="37"/>
      <c r="AL2773" s="37"/>
      <c r="AM2773" s="37"/>
      <c r="AN2773" s="37"/>
      <c r="AO2773" s="37"/>
      <c r="AP2773" s="37"/>
      <c r="AQ2773" s="37"/>
      <c r="AR2773" s="37"/>
      <c r="AS2773" s="37"/>
      <c r="AT2773" s="37"/>
      <c r="AU2773" s="37"/>
      <c r="AV2773" s="37"/>
      <c r="AW2773" s="37"/>
      <c r="AX2773" s="37"/>
      <c r="AY2773" s="37"/>
      <c r="AZ2773" s="37"/>
      <c r="BA2773" s="37"/>
      <c r="BB2773" s="37"/>
      <c r="BC2773" s="37"/>
      <c r="BD2773" s="37"/>
      <c r="BE2773" s="37"/>
      <c r="BF2773" s="37"/>
      <c r="BG2773" s="37"/>
      <c r="BH2773" s="37"/>
      <c r="BI2773" s="37"/>
      <c r="BJ2773" s="37"/>
      <c r="BK2773" s="37"/>
      <c r="BL2773" s="37"/>
      <c r="BM2773" s="37"/>
    </row>
    <row r="2774" spans="1:65" s="40" customFormat="1" ht="23.25" x14ac:dyDescent="0.35">
      <c r="A2774" s="37"/>
      <c r="B2774" s="37"/>
      <c r="C2774" s="41"/>
      <c r="D2774" s="38"/>
      <c r="E2774" s="57"/>
      <c r="F2774" s="42"/>
      <c r="G2774" s="43"/>
      <c r="H2774" s="37"/>
      <c r="I2774" s="37"/>
      <c r="J2774" s="38"/>
      <c r="K2774" s="37"/>
      <c r="L2774" s="38"/>
      <c r="M2774" s="39"/>
      <c r="P2774" s="37"/>
      <c r="Q2774" s="37"/>
      <c r="R2774" s="37"/>
      <c r="S2774" s="37"/>
      <c r="T2774" s="37"/>
      <c r="U2774" s="37"/>
      <c r="V2774" s="37"/>
      <c r="W2774" s="37"/>
      <c r="X2774" s="37"/>
      <c r="Y2774" s="37"/>
      <c r="Z2774" s="37"/>
      <c r="AA2774" s="37"/>
      <c r="AB2774" s="37"/>
      <c r="AC2774" s="37"/>
      <c r="AD2774" s="37"/>
      <c r="AE2774" s="37"/>
      <c r="AF2774" s="37"/>
      <c r="AG2774" s="37"/>
      <c r="AH2774" s="37"/>
      <c r="AI2774" s="37"/>
      <c r="AJ2774" s="37"/>
      <c r="AK2774" s="37"/>
      <c r="AL2774" s="37"/>
      <c r="AM2774" s="37"/>
      <c r="AN2774" s="37"/>
      <c r="AO2774" s="37"/>
      <c r="AP2774" s="37"/>
      <c r="AQ2774" s="37"/>
      <c r="AR2774" s="37"/>
      <c r="AS2774" s="37"/>
      <c r="AT2774" s="37"/>
      <c r="AU2774" s="37"/>
      <c r="AV2774" s="37"/>
      <c r="AW2774" s="37"/>
      <c r="AX2774" s="37"/>
      <c r="AY2774" s="37"/>
      <c r="AZ2774" s="37"/>
      <c r="BA2774" s="37"/>
      <c r="BB2774" s="37"/>
      <c r="BC2774" s="37"/>
      <c r="BD2774" s="37"/>
      <c r="BE2774" s="37"/>
      <c r="BF2774" s="37"/>
      <c r="BG2774" s="37"/>
      <c r="BH2774" s="37"/>
      <c r="BI2774" s="37"/>
      <c r="BJ2774" s="37"/>
      <c r="BK2774" s="37"/>
      <c r="BL2774" s="37"/>
      <c r="BM2774" s="37"/>
    </row>
    <row r="2775" spans="1:65" s="40" customFormat="1" ht="23.25" x14ac:dyDescent="0.35">
      <c r="A2775" s="37"/>
      <c r="B2775" s="37"/>
      <c r="C2775" s="41"/>
      <c r="D2775" s="38"/>
      <c r="E2775" s="57"/>
      <c r="F2775" s="42"/>
      <c r="G2775" s="43"/>
      <c r="H2775" s="37"/>
      <c r="I2775" s="37"/>
      <c r="J2775" s="38"/>
      <c r="K2775" s="37"/>
      <c r="L2775" s="38"/>
      <c r="M2775" s="39"/>
      <c r="P2775" s="37"/>
      <c r="Q2775" s="37"/>
      <c r="R2775" s="37"/>
      <c r="S2775" s="37"/>
      <c r="T2775" s="37"/>
      <c r="U2775" s="37"/>
      <c r="V2775" s="37"/>
      <c r="W2775" s="37"/>
      <c r="X2775" s="37"/>
      <c r="Y2775" s="37"/>
      <c r="Z2775" s="37"/>
      <c r="AA2775" s="37"/>
      <c r="AB2775" s="37"/>
      <c r="AC2775" s="37"/>
      <c r="AD2775" s="37"/>
      <c r="AE2775" s="37"/>
      <c r="AF2775" s="37"/>
      <c r="AG2775" s="37"/>
      <c r="AH2775" s="37"/>
      <c r="AI2775" s="37"/>
      <c r="AJ2775" s="37"/>
      <c r="AK2775" s="37"/>
      <c r="AL2775" s="37"/>
      <c r="AM2775" s="37"/>
      <c r="AN2775" s="37"/>
      <c r="AO2775" s="37"/>
      <c r="AP2775" s="37"/>
      <c r="AQ2775" s="37"/>
      <c r="AR2775" s="37"/>
      <c r="AS2775" s="37"/>
      <c r="AT2775" s="37"/>
      <c r="AU2775" s="37"/>
      <c r="AV2775" s="37"/>
      <c r="AW2775" s="37"/>
      <c r="AX2775" s="37"/>
      <c r="AY2775" s="37"/>
      <c r="AZ2775" s="37"/>
      <c r="BA2775" s="37"/>
      <c r="BB2775" s="37"/>
      <c r="BC2775" s="37"/>
      <c r="BD2775" s="37"/>
      <c r="BE2775" s="37"/>
      <c r="BF2775" s="37"/>
      <c r="BG2775" s="37"/>
      <c r="BH2775" s="37"/>
      <c r="BI2775" s="37"/>
      <c r="BJ2775" s="37"/>
      <c r="BK2775" s="37"/>
      <c r="BL2775" s="37"/>
      <c r="BM2775" s="37"/>
    </row>
    <row r="2776" spans="1:65" s="40" customFormat="1" ht="23.25" x14ac:dyDescent="0.35">
      <c r="A2776" s="37"/>
      <c r="B2776" s="37"/>
      <c r="C2776" s="41"/>
      <c r="D2776" s="38"/>
      <c r="E2776" s="57"/>
      <c r="F2776" s="42"/>
      <c r="G2776" s="43"/>
      <c r="H2776" s="37"/>
      <c r="I2776" s="37"/>
      <c r="J2776" s="38"/>
      <c r="K2776" s="37"/>
      <c r="L2776" s="38"/>
      <c r="M2776" s="39"/>
      <c r="P2776" s="37"/>
      <c r="Q2776" s="37"/>
      <c r="R2776" s="37"/>
      <c r="S2776" s="37"/>
      <c r="T2776" s="37"/>
      <c r="U2776" s="37"/>
      <c r="V2776" s="37"/>
      <c r="W2776" s="37"/>
      <c r="X2776" s="37"/>
      <c r="Y2776" s="37"/>
      <c r="Z2776" s="37"/>
      <c r="AA2776" s="37"/>
      <c r="AB2776" s="37"/>
      <c r="AC2776" s="37"/>
      <c r="AD2776" s="37"/>
      <c r="AE2776" s="37"/>
      <c r="AF2776" s="37"/>
      <c r="AG2776" s="37"/>
      <c r="AH2776" s="37"/>
      <c r="AI2776" s="37"/>
      <c r="AJ2776" s="37"/>
      <c r="AK2776" s="37"/>
      <c r="AL2776" s="37"/>
      <c r="AM2776" s="37"/>
      <c r="AN2776" s="37"/>
      <c r="AO2776" s="37"/>
      <c r="AP2776" s="37"/>
      <c r="AQ2776" s="37"/>
      <c r="AR2776" s="37"/>
      <c r="AS2776" s="37"/>
      <c r="AT2776" s="37"/>
      <c r="AU2776" s="37"/>
      <c r="AV2776" s="37"/>
      <c r="AW2776" s="37"/>
      <c r="AX2776" s="37"/>
      <c r="AY2776" s="37"/>
      <c r="AZ2776" s="37"/>
      <c r="BA2776" s="37"/>
      <c r="BB2776" s="37"/>
      <c r="BC2776" s="37"/>
      <c r="BD2776" s="37"/>
      <c r="BE2776" s="37"/>
      <c r="BF2776" s="37"/>
      <c r="BG2776" s="37"/>
      <c r="BH2776" s="37"/>
      <c r="BI2776" s="37"/>
      <c r="BJ2776" s="37"/>
      <c r="BK2776" s="37"/>
      <c r="BL2776" s="37"/>
      <c r="BM2776" s="37"/>
    </row>
    <row r="2777" spans="1:65" s="40" customFormat="1" ht="23.25" x14ac:dyDescent="0.35">
      <c r="A2777" s="37"/>
      <c r="B2777" s="37"/>
      <c r="C2777" s="41"/>
      <c r="D2777" s="38"/>
      <c r="E2777" s="57"/>
      <c r="F2777" s="42"/>
      <c r="G2777" s="43"/>
      <c r="H2777" s="37"/>
      <c r="I2777" s="37"/>
      <c r="J2777" s="38"/>
      <c r="K2777" s="37"/>
      <c r="L2777" s="38"/>
      <c r="M2777" s="39"/>
      <c r="P2777" s="37"/>
      <c r="Q2777" s="37"/>
      <c r="R2777" s="37"/>
      <c r="S2777" s="37"/>
      <c r="T2777" s="37"/>
      <c r="U2777" s="37"/>
      <c r="V2777" s="37"/>
      <c r="W2777" s="37"/>
      <c r="X2777" s="37"/>
      <c r="Y2777" s="37"/>
      <c r="Z2777" s="37"/>
      <c r="AA2777" s="37"/>
      <c r="AB2777" s="37"/>
      <c r="AC2777" s="37"/>
      <c r="AD2777" s="37"/>
      <c r="AE2777" s="37"/>
      <c r="AF2777" s="37"/>
      <c r="AG2777" s="37"/>
      <c r="AH2777" s="37"/>
      <c r="AI2777" s="37"/>
      <c r="AJ2777" s="37"/>
      <c r="AK2777" s="37"/>
      <c r="AL2777" s="37"/>
      <c r="AM2777" s="37"/>
      <c r="AN2777" s="37"/>
      <c r="AO2777" s="37"/>
      <c r="AP2777" s="37"/>
      <c r="AQ2777" s="37"/>
      <c r="AR2777" s="37"/>
      <c r="AS2777" s="37"/>
      <c r="AT2777" s="37"/>
      <c r="AU2777" s="37"/>
      <c r="AV2777" s="37"/>
      <c r="AW2777" s="37"/>
      <c r="AX2777" s="37"/>
      <c r="AY2777" s="37"/>
      <c r="AZ2777" s="37"/>
      <c r="BA2777" s="37"/>
      <c r="BB2777" s="37"/>
      <c r="BC2777" s="37"/>
      <c r="BD2777" s="37"/>
      <c r="BE2777" s="37"/>
      <c r="BF2777" s="37"/>
      <c r="BG2777" s="37"/>
      <c r="BH2777" s="37"/>
      <c r="BI2777" s="37"/>
      <c r="BJ2777" s="37"/>
      <c r="BK2777" s="37"/>
      <c r="BL2777" s="37"/>
      <c r="BM2777" s="37"/>
    </row>
    <row r="2778" spans="1:65" s="40" customFormat="1" ht="23.25" x14ac:dyDescent="0.35">
      <c r="A2778" s="37"/>
      <c r="B2778" s="37"/>
      <c r="C2778" s="41"/>
      <c r="D2778" s="38"/>
      <c r="E2778" s="57"/>
      <c r="F2778" s="42"/>
      <c r="G2778" s="43"/>
      <c r="H2778" s="37"/>
      <c r="I2778" s="37"/>
      <c r="J2778" s="38"/>
      <c r="K2778" s="37"/>
      <c r="L2778" s="38"/>
      <c r="M2778" s="39"/>
      <c r="P2778" s="37"/>
      <c r="Q2778" s="37"/>
      <c r="R2778" s="37"/>
      <c r="S2778" s="37"/>
      <c r="T2778" s="37"/>
      <c r="U2778" s="37"/>
      <c r="V2778" s="37"/>
      <c r="W2778" s="37"/>
      <c r="X2778" s="37"/>
      <c r="Y2778" s="37"/>
      <c r="Z2778" s="37"/>
      <c r="AA2778" s="37"/>
      <c r="AB2778" s="37"/>
      <c r="AC2778" s="37"/>
      <c r="AD2778" s="37"/>
      <c r="AE2778" s="37"/>
      <c r="AF2778" s="37"/>
      <c r="AG2778" s="37"/>
      <c r="AH2778" s="37"/>
      <c r="AI2778" s="37"/>
      <c r="AJ2778" s="37"/>
      <c r="AK2778" s="37"/>
      <c r="AL2778" s="37"/>
      <c r="AM2778" s="37"/>
      <c r="AN2778" s="37"/>
      <c r="AO2778" s="37"/>
      <c r="AP2778" s="37"/>
      <c r="AQ2778" s="37"/>
      <c r="AR2778" s="37"/>
      <c r="AS2778" s="37"/>
      <c r="AT2778" s="37"/>
      <c r="AU2778" s="37"/>
      <c r="AV2778" s="37"/>
      <c r="AW2778" s="37"/>
      <c r="AX2778" s="37"/>
      <c r="AY2778" s="37"/>
      <c r="AZ2778" s="37"/>
      <c r="BA2778" s="37"/>
      <c r="BB2778" s="37"/>
      <c r="BC2778" s="37"/>
      <c r="BD2778" s="37"/>
      <c r="BE2778" s="37"/>
      <c r="BF2778" s="37"/>
      <c r="BG2778" s="37"/>
      <c r="BH2778" s="37"/>
      <c r="BI2778" s="37"/>
      <c r="BJ2778" s="37"/>
      <c r="BK2778" s="37"/>
      <c r="BL2778" s="37"/>
      <c r="BM2778" s="37"/>
    </row>
    <row r="2779" spans="1:65" s="40" customFormat="1" ht="23.25" x14ac:dyDescent="0.35">
      <c r="A2779" s="37"/>
      <c r="B2779" s="37"/>
      <c r="C2779" s="41"/>
      <c r="D2779" s="38"/>
      <c r="E2779" s="57"/>
      <c r="F2779" s="42"/>
      <c r="G2779" s="43"/>
      <c r="H2779" s="37"/>
      <c r="I2779" s="37"/>
      <c r="J2779" s="38"/>
      <c r="K2779" s="37"/>
      <c r="L2779" s="38"/>
      <c r="M2779" s="39"/>
      <c r="P2779" s="37"/>
      <c r="Q2779" s="37"/>
      <c r="R2779" s="37"/>
      <c r="S2779" s="37"/>
      <c r="T2779" s="37"/>
      <c r="U2779" s="37"/>
      <c r="V2779" s="37"/>
      <c r="W2779" s="37"/>
      <c r="X2779" s="37"/>
      <c r="Y2779" s="37"/>
      <c r="Z2779" s="37"/>
      <c r="AA2779" s="37"/>
      <c r="AB2779" s="37"/>
      <c r="AC2779" s="37"/>
      <c r="AD2779" s="37"/>
      <c r="AE2779" s="37"/>
      <c r="AF2779" s="37"/>
      <c r="AG2779" s="37"/>
      <c r="AH2779" s="37"/>
      <c r="AI2779" s="37"/>
      <c r="AJ2779" s="37"/>
      <c r="AK2779" s="37"/>
      <c r="AL2779" s="37"/>
      <c r="AM2779" s="37"/>
      <c r="AN2779" s="37"/>
      <c r="AO2779" s="37"/>
      <c r="AP2779" s="37"/>
      <c r="AQ2779" s="37"/>
      <c r="AR2779" s="37"/>
      <c r="AS2779" s="37"/>
      <c r="AT2779" s="37"/>
      <c r="AU2779" s="37"/>
      <c r="AV2779" s="37"/>
      <c r="AW2779" s="37"/>
      <c r="AX2779" s="37"/>
      <c r="AY2779" s="37"/>
      <c r="AZ2779" s="37"/>
      <c r="BA2779" s="37"/>
      <c r="BB2779" s="37"/>
      <c r="BC2779" s="37"/>
      <c r="BD2779" s="37"/>
      <c r="BE2779" s="37"/>
      <c r="BF2779" s="37"/>
      <c r="BG2779" s="37"/>
      <c r="BH2779" s="37"/>
      <c r="BI2779" s="37"/>
      <c r="BJ2779" s="37"/>
      <c r="BK2779" s="37"/>
      <c r="BL2779" s="37"/>
      <c r="BM2779" s="37"/>
    </row>
    <row r="2780" spans="1:65" s="40" customFormat="1" ht="23.25" x14ac:dyDescent="0.35">
      <c r="A2780" s="37"/>
      <c r="B2780" s="37"/>
      <c r="C2780" s="41"/>
      <c r="D2780" s="38"/>
      <c r="E2780" s="57"/>
      <c r="F2780" s="42"/>
      <c r="G2780" s="43"/>
      <c r="H2780" s="37"/>
      <c r="I2780" s="37"/>
      <c r="J2780" s="38"/>
      <c r="K2780" s="37"/>
      <c r="L2780" s="38"/>
      <c r="M2780" s="39"/>
      <c r="P2780" s="37"/>
      <c r="Q2780" s="37"/>
      <c r="R2780" s="37"/>
      <c r="S2780" s="37"/>
      <c r="T2780" s="37"/>
      <c r="U2780" s="37"/>
      <c r="V2780" s="37"/>
      <c r="W2780" s="37"/>
      <c r="X2780" s="37"/>
      <c r="Y2780" s="37"/>
      <c r="Z2780" s="37"/>
      <c r="AA2780" s="37"/>
      <c r="AB2780" s="37"/>
      <c r="AC2780" s="37"/>
      <c r="AD2780" s="37"/>
      <c r="AE2780" s="37"/>
      <c r="AF2780" s="37"/>
      <c r="AG2780" s="37"/>
      <c r="AH2780" s="37"/>
      <c r="AI2780" s="37"/>
      <c r="AJ2780" s="37"/>
      <c r="AK2780" s="37"/>
      <c r="AL2780" s="37"/>
      <c r="AM2780" s="37"/>
      <c r="AN2780" s="37"/>
      <c r="AO2780" s="37"/>
      <c r="AP2780" s="37"/>
      <c r="AQ2780" s="37"/>
      <c r="AR2780" s="37"/>
      <c r="AS2780" s="37"/>
      <c r="AT2780" s="37"/>
      <c r="AU2780" s="37"/>
      <c r="AV2780" s="37"/>
      <c r="AW2780" s="37"/>
      <c r="AX2780" s="37"/>
      <c r="AY2780" s="37"/>
      <c r="AZ2780" s="37"/>
      <c r="BA2780" s="37"/>
      <c r="BB2780" s="37"/>
      <c r="BC2780" s="37"/>
      <c r="BD2780" s="37"/>
      <c r="BE2780" s="37"/>
      <c r="BF2780" s="37"/>
      <c r="BG2780" s="37"/>
      <c r="BH2780" s="37"/>
      <c r="BI2780" s="37"/>
      <c r="BJ2780" s="37"/>
      <c r="BK2780" s="37"/>
      <c r="BL2780" s="37"/>
      <c r="BM2780" s="37"/>
    </row>
    <row r="2781" spans="1:65" s="40" customFormat="1" ht="23.25" x14ac:dyDescent="0.35">
      <c r="A2781" s="37"/>
      <c r="B2781" s="37"/>
      <c r="C2781" s="41"/>
      <c r="D2781" s="38"/>
      <c r="E2781" s="57"/>
      <c r="F2781" s="42"/>
      <c r="G2781" s="43"/>
      <c r="H2781" s="37"/>
      <c r="I2781" s="37"/>
      <c r="J2781" s="38"/>
      <c r="K2781" s="37"/>
      <c r="L2781" s="38"/>
      <c r="M2781" s="39"/>
      <c r="P2781" s="37"/>
      <c r="Q2781" s="37"/>
      <c r="R2781" s="37"/>
      <c r="S2781" s="37"/>
      <c r="T2781" s="37"/>
      <c r="U2781" s="37"/>
      <c r="V2781" s="37"/>
      <c r="W2781" s="37"/>
      <c r="X2781" s="37"/>
      <c r="Y2781" s="37"/>
      <c r="Z2781" s="37"/>
      <c r="AA2781" s="37"/>
      <c r="AB2781" s="37"/>
      <c r="AC2781" s="37"/>
      <c r="AD2781" s="37"/>
      <c r="AE2781" s="37"/>
      <c r="AF2781" s="37"/>
      <c r="AG2781" s="37"/>
      <c r="AH2781" s="37"/>
      <c r="AI2781" s="37"/>
      <c r="AJ2781" s="37"/>
      <c r="AK2781" s="37"/>
      <c r="AL2781" s="37"/>
      <c r="AM2781" s="37"/>
      <c r="AN2781" s="37"/>
      <c r="AO2781" s="37"/>
      <c r="AP2781" s="37"/>
      <c r="AQ2781" s="37"/>
      <c r="AR2781" s="37"/>
      <c r="AS2781" s="37"/>
      <c r="AT2781" s="37"/>
      <c r="AU2781" s="37"/>
      <c r="AV2781" s="37"/>
      <c r="AW2781" s="37"/>
      <c r="AX2781" s="37"/>
      <c r="AY2781" s="37"/>
      <c r="AZ2781" s="37"/>
      <c r="BA2781" s="37"/>
      <c r="BB2781" s="37"/>
      <c r="BC2781" s="37"/>
      <c r="BD2781" s="37"/>
      <c r="BE2781" s="37"/>
      <c r="BF2781" s="37"/>
      <c r="BG2781" s="37"/>
      <c r="BH2781" s="37"/>
      <c r="BI2781" s="37"/>
      <c r="BJ2781" s="37"/>
      <c r="BK2781" s="37"/>
      <c r="BL2781" s="37"/>
      <c r="BM2781" s="37"/>
    </row>
    <row r="2782" spans="1:65" s="40" customFormat="1" ht="23.25" x14ac:dyDescent="0.35">
      <c r="A2782" s="37"/>
      <c r="B2782" s="37"/>
      <c r="C2782" s="41"/>
      <c r="D2782" s="38"/>
      <c r="E2782" s="57"/>
      <c r="F2782" s="42"/>
      <c r="G2782" s="43"/>
      <c r="H2782" s="37"/>
      <c r="I2782" s="37"/>
      <c r="J2782" s="38"/>
      <c r="K2782" s="37"/>
      <c r="L2782" s="38"/>
      <c r="M2782" s="39"/>
      <c r="P2782" s="37"/>
      <c r="Q2782" s="37"/>
      <c r="R2782" s="37"/>
      <c r="S2782" s="37"/>
      <c r="T2782" s="37"/>
      <c r="U2782" s="37"/>
      <c r="V2782" s="37"/>
      <c r="W2782" s="37"/>
      <c r="X2782" s="37"/>
      <c r="Y2782" s="37"/>
      <c r="Z2782" s="37"/>
      <c r="AA2782" s="37"/>
      <c r="AB2782" s="37"/>
      <c r="AC2782" s="37"/>
      <c r="AD2782" s="37"/>
      <c r="AE2782" s="37"/>
      <c r="AF2782" s="37"/>
      <c r="AG2782" s="37"/>
      <c r="AH2782" s="37"/>
      <c r="AI2782" s="37"/>
      <c r="AJ2782" s="37"/>
      <c r="AK2782" s="37"/>
      <c r="AL2782" s="37"/>
      <c r="AM2782" s="37"/>
      <c r="AN2782" s="37"/>
      <c r="AO2782" s="37"/>
      <c r="AP2782" s="37"/>
      <c r="AQ2782" s="37"/>
      <c r="AR2782" s="37"/>
      <c r="AS2782" s="37"/>
      <c r="AT2782" s="37"/>
      <c r="AU2782" s="37"/>
      <c r="AV2782" s="37"/>
      <c r="AW2782" s="37"/>
      <c r="AX2782" s="37"/>
      <c r="AY2782" s="37"/>
      <c r="AZ2782" s="37"/>
      <c r="BA2782" s="37"/>
      <c r="BB2782" s="37"/>
      <c r="BC2782" s="37"/>
      <c r="BD2782" s="37"/>
      <c r="BE2782" s="37"/>
      <c r="BF2782" s="37"/>
      <c r="BG2782" s="37"/>
      <c r="BH2782" s="37"/>
      <c r="BI2782" s="37"/>
      <c r="BJ2782" s="37"/>
      <c r="BK2782" s="37"/>
      <c r="BL2782" s="37"/>
      <c r="BM2782" s="37"/>
    </row>
    <row r="2783" spans="1:65" s="40" customFormat="1" ht="23.25" x14ac:dyDescent="0.35">
      <c r="A2783" s="37"/>
      <c r="B2783" s="37"/>
      <c r="C2783" s="41"/>
      <c r="D2783" s="38"/>
      <c r="E2783" s="57"/>
      <c r="F2783" s="42"/>
      <c r="G2783" s="43"/>
      <c r="H2783" s="37"/>
      <c r="I2783" s="37"/>
      <c r="J2783" s="38"/>
      <c r="K2783" s="37"/>
      <c r="L2783" s="38"/>
      <c r="M2783" s="39"/>
      <c r="P2783" s="37"/>
      <c r="Q2783" s="37"/>
      <c r="R2783" s="37"/>
      <c r="S2783" s="37"/>
      <c r="T2783" s="37"/>
      <c r="U2783" s="37"/>
      <c r="V2783" s="37"/>
      <c r="W2783" s="37"/>
      <c r="X2783" s="37"/>
      <c r="Y2783" s="37"/>
      <c r="Z2783" s="37"/>
      <c r="AA2783" s="37"/>
      <c r="AB2783" s="37"/>
      <c r="AC2783" s="37"/>
      <c r="AD2783" s="37"/>
      <c r="AE2783" s="37"/>
      <c r="AF2783" s="37"/>
      <c r="AG2783" s="37"/>
      <c r="AH2783" s="37"/>
      <c r="AI2783" s="37"/>
      <c r="AJ2783" s="37"/>
      <c r="AK2783" s="37"/>
      <c r="AL2783" s="37"/>
      <c r="AM2783" s="37"/>
      <c r="AN2783" s="37"/>
      <c r="AO2783" s="37"/>
      <c r="AP2783" s="37"/>
      <c r="AQ2783" s="37"/>
      <c r="AR2783" s="37"/>
      <c r="AS2783" s="37"/>
      <c r="AT2783" s="37"/>
      <c r="AU2783" s="37"/>
      <c r="AV2783" s="37"/>
      <c r="AW2783" s="37"/>
      <c r="AX2783" s="37"/>
      <c r="AY2783" s="37"/>
      <c r="AZ2783" s="37"/>
      <c r="BA2783" s="37"/>
      <c r="BB2783" s="37"/>
      <c r="BC2783" s="37"/>
      <c r="BD2783" s="37"/>
      <c r="BE2783" s="37"/>
      <c r="BF2783" s="37"/>
      <c r="BG2783" s="37"/>
      <c r="BH2783" s="37"/>
      <c r="BI2783" s="37"/>
      <c r="BJ2783" s="37"/>
      <c r="BK2783" s="37"/>
      <c r="BL2783" s="37"/>
      <c r="BM2783" s="37"/>
    </row>
    <row r="2784" spans="1:65" s="40" customFormat="1" ht="23.25" x14ac:dyDescent="0.35">
      <c r="A2784" s="37"/>
      <c r="B2784" s="37"/>
      <c r="C2784" s="41"/>
      <c r="D2784" s="38"/>
      <c r="E2784" s="57"/>
      <c r="F2784" s="42"/>
      <c r="G2784" s="43"/>
      <c r="H2784" s="37"/>
      <c r="I2784" s="37"/>
      <c r="J2784" s="38"/>
      <c r="K2784" s="37"/>
      <c r="L2784" s="38"/>
      <c r="M2784" s="39"/>
      <c r="P2784" s="37"/>
      <c r="Q2784" s="37"/>
      <c r="R2784" s="37"/>
      <c r="S2784" s="37"/>
      <c r="T2784" s="37"/>
      <c r="U2784" s="37"/>
      <c r="V2784" s="37"/>
      <c r="W2784" s="37"/>
      <c r="X2784" s="37"/>
      <c r="Y2784" s="37"/>
      <c r="Z2784" s="37"/>
      <c r="AA2784" s="37"/>
      <c r="AB2784" s="37"/>
      <c r="AC2784" s="37"/>
      <c r="AD2784" s="37"/>
      <c r="AE2784" s="37"/>
      <c r="AF2784" s="37"/>
      <c r="AG2784" s="37"/>
      <c r="AH2784" s="37"/>
      <c r="AI2784" s="37"/>
      <c r="AJ2784" s="37"/>
      <c r="AK2784" s="37"/>
      <c r="AL2784" s="37"/>
      <c r="AM2784" s="37"/>
      <c r="AN2784" s="37"/>
      <c r="AO2784" s="37"/>
      <c r="AP2784" s="37"/>
      <c r="AQ2784" s="37"/>
      <c r="AR2784" s="37"/>
      <c r="AS2784" s="37"/>
      <c r="AT2784" s="37"/>
      <c r="AU2784" s="37"/>
      <c r="AV2784" s="37"/>
      <c r="AW2784" s="37"/>
      <c r="AX2784" s="37"/>
      <c r="AY2784" s="37"/>
      <c r="AZ2784" s="37"/>
      <c r="BA2784" s="37"/>
      <c r="BB2784" s="37"/>
      <c r="BC2784" s="37"/>
      <c r="BD2784" s="37"/>
      <c r="BE2784" s="37"/>
      <c r="BF2784" s="37"/>
      <c r="BG2784" s="37"/>
      <c r="BH2784" s="37"/>
      <c r="BI2784" s="37"/>
      <c r="BJ2784" s="37"/>
      <c r="BK2784" s="37"/>
      <c r="BL2784" s="37"/>
      <c r="BM2784" s="37"/>
    </row>
    <row r="2785" spans="1:65" s="40" customFormat="1" ht="23.25" x14ac:dyDescent="0.35">
      <c r="A2785" s="37"/>
      <c r="B2785" s="37"/>
      <c r="C2785" s="41"/>
      <c r="D2785" s="38"/>
      <c r="E2785" s="57"/>
      <c r="F2785" s="42"/>
      <c r="G2785" s="43"/>
      <c r="H2785" s="37"/>
      <c r="I2785" s="37"/>
      <c r="J2785" s="38"/>
      <c r="K2785" s="37"/>
      <c r="L2785" s="38"/>
      <c r="M2785" s="39"/>
      <c r="P2785" s="37"/>
      <c r="Q2785" s="37"/>
      <c r="R2785" s="37"/>
      <c r="S2785" s="37"/>
      <c r="T2785" s="37"/>
      <c r="U2785" s="37"/>
      <c r="V2785" s="37"/>
      <c r="W2785" s="37"/>
      <c r="X2785" s="37"/>
      <c r="Y2785" s="37"/>
      <c r="Z2785" s="37"/>
      <c r="AA2785" s="37"/>
      <c r="AB2785" s="37"/>
      <c r="AC2785" s="37"/>
      <c r="AD2785" s="37"/>
      <c r="AE2785" s="37"/>
      <c r="AF2785" s="37"/>
      <c r="AG2785" s="37"/>
      <c r="AH2785" s="37"/>
      <c r="AI2785" s="37"/>
      <c r="AJ2785" s="37"/>
      <c r="AK2785" s="37"/>
      <c r="AL2785" s="37"/>
      <c r="AM2785" s="37"/>
      <c r="AN2785" s="37"/>
      <c r="AO2785" s="37"/>
      <c r="AP2785" s="37"/>
      <c r="AQ2785" s="37"/>
      <c r="AR2785" s="37"/>
      <c r="AS2785" s="37"/>
      <c r="AT2785" s="37"/>
      <c r="AU2785" s="37"/>
      <c r="AV2785" s="37"/>
      <c r="AW2785" s="37"/>
      <c r="AX2785" s="37"/>
      <c r="AY2785" s="37"/>
      <c r="AZ2785" s="37"/>
      <c r="BA2785" s="37"/>
      <c r="BB2785" s="37"/>
      <c r="BC2785" s="37"/>
      <c r="BD2785" s="37"/>
      <c r="BE2785" s="37"/>
      <c r="BF2785" s="37"/>
      <c r="BG2785" s="37"/>
      <c r="BH2785" s="37"/>
      <c r="BI2785" s="37"/>
      <c r="BJ2785" s="37"/>
      <c r="BK2785" s="37"/>
      <c r="BL2785" s="37"/>
      <c r="BM2785" s="37"/>
    </row>
    <row r="2786" spans="1:65" s="40" customFormat="1" ht="23.25" x14ac:dyDescent="0.35">
      <c r="A2786" s="37"/>
      <c r="B2786" s="37"/>
      <c r="C2786" s="41"/>
      <c r="D2786" s="38"/>
      <c r="E2786" s="57"/>
      <c r="F2786" s="42"/>
      <c r="G2786" s="43"/>
      <c r="H2786" s="37"/>
      <c r="I2786" s="37"/>
      <c r="J2786" s="38"/>
      <c r="K2786" s="37"/>
      <c r="L2786" s="38"/>
      <c r="M2786" s="39"/>
      <c r="P2786" s="37"/>
      <c r="Q2786" s="37"/>
      <c r="R2786" s="37"/>
      <c r="S2786" s="37"/>
      <c r="T2786" s="37"/>
      <c r="U2786" s="37"/>
      <c r="V2786" s="37"/>
      <c r="W2786" s="37"/>
      <c r="X2786" s="37"/>
      <c r="Y2786" s="37"/>
      <c r="Z2786" s="37"/>
      <c r="AA2786" s="37"/>
      <c r="AB2786" s="37"/>
      <c r="AC2786" s="37"/>
      <c r="AD2786" s="37"/>
      <c r="AE2786" s="37"/>
      <c r="AF2786" s="37"/>
      <c r="AG2786" s="37"/>
      <c r="AH2786" s="37"/>
      <c r="AI2786" s="37"/>
      <c r="AJ2786" s="37"/>
      <c r="AK2786" s="37"/>
      <c r="AL2786" s="37"/>
      <c r="AM2786" s="37"/>
      <c r="AN2786" s="37"/>
      <c r="AO2786" s="37"/>
      <c r="AP2786" s="37"/>
      <c r="AQ2786" s="37"/>
      <c r="AR2786" s="37"/>
      <c r="AS2786" s="37"/>
      <c r="AT2786" s="37"/>
      <c r="AU2786" s="37"/>
      <c r="AV2786" s="37"/>
      <c r="AW2786" s="37"/>
      <c r="AX2786" s="37"/>
      <c r="AY2786" s="37"/>
      <c r="AZ2786" s="37"/>
      <c r="BA2786" s="37"/>
      <c r="BB2786" s="37"/>
      <c r="BC2786" s="37"/>
      <c r="BD2786" s="37"/>
      <c r="BE2786" s="37"/>
      <c r="BF2786" s="37"/>
      <c r="BG2786" s="37"/>
      <c r="BH2786" s="37"/>
      <c r="BI2786" s="37"/>
      <c r="BJ2786" s="37"/>
      <c r="BK2786" s="37"/>
      <c r="BL2786" s="37"/>
      <c r="BM2786" s="37"/>
    </row>
    <row r="2787" spans="1:65" s="40" customFormat="1" ht="23.25" x14ac:dyDescent="0.35">
      <c r="A2787" s="37"/>
      <c r="B2787" s="37"/>
      <c r="C2787" s="41"/>
      <c r="D2787" s="38"/>
      <c r="E2787" s="57"/>
      <c r="F2787" s="42"/>
      <c r="G2787" s="43"/>
      <c r="H2787" s="37"/>
      <c r="I2787" s="37"/>
      <c r="J2787" s="38"/>
      <c r="K2787" s="37"/>
      <c r="L2787" s="38"/>
      <c r="M2787" s="39"/>
      <c r="P2787" s="37"/>
      <c r="Q2787" s="37"/>
      <c r="R2787" s="37"/>
      <c r="S2787" s="37"/>
      <c r="T2787" s="37"/>
      <c r="U2787" s="37"/>
      <c r="V2787" s="37"/>
      <c r="W2787" s="37"/>
      <c r="X2787" s="37"/>
      <c r="Y2787" s="37"/>
      <c r="Z2787" s="37"/>
      <c r="AA2787" s="37"/>
      <c r="AB2787" s="37"/>
      <c r="AC2787" s="37"/>
      <c r="AD2787" s="37"/>
      <c r="AE2787" s="37"/>
      <c r="AF2787" s="37"/>
      <c r="AG2787" s="37"/>
      <c r="AH2787" s="37"/>
      <c r="AI2787" s="37"/>
      <c r="AJ2787" s="37"/>
      <c r="AK2787" s="37"/>
      <c r="AL2787" s="37"/>
      <c r="AM2787" s="37"/>
      <c r="AN2787" s="37"/>
      <c r="AO2787" s="37"/>
      <c r="AP2787" s="37"/>
      <c r="AQ2787" s="37"/>
      <c r="AR2787" s="37"/>
      <c r="AS2787" s="37"/>
      <c r="AT2787" s="37"/>
      <c r="AU2787" s="37"/>
      <c r="AV2787" s="37"/>
      <c r="AW2787" s="37"/>
      <c r="AX2787" s="37"/>
      <c r="AY2787" s="37"/>
      <c r="AZ2787" s="37"/>
      <c r="BA2787" s="37"/>
      <c r="BB2787" s="37"/>
      <c r="BC2787" s="37"/>
      <c r="BD2787" s="37"/>
      <c r="BE2787" s="37"/>
      <c r="BF2787" s="37"/>
      <c r="BG2787" s="37"/>
      <c r="BH2787" s="37"/>
      <c r="BI2787" s="37"/>
      <c r="BJ2787" s="37"/>
      <c r="BK2787" s="37"/>
      <c r="BL2787" s="37"/>
      <c r="BM2787" s="37"/>
    </row>
    <row r="2788" spans="1:65" s="40" customFormat="1" ht="23.25" x14ac:dyDescent="0.35">
      <c r="A2788" s="37"/>
      <c r="B2788" s="37"/>
      <c r="C2788" s="41"/>
      <c r="D2788" s="38"/>
      <c r="E2788" s="57"/>
      <c r="F2788" s="42"/>
      <c r="G2788" s="43"/>
      <c r="H2788" s="37"/>
      <c r="I2788" s="37"/>
      <c r="J2788" s="38"/>
      <c r="K2788" s="37"/>
      <c r="L2788" s="38"/>
      <c r="M2788" s="39"/>
      <c r="P2788" s="37"/>
      <c r="Q2788" s="37"/>
      <c r="R2788" s="37"/>
      <c r="S2788" s="37"/>
      <c r="T2788" s="37"/>
      <c r="U2788" s="37"/>
      <c r="V2788" s="37"/>
      <c r="W2788" s="37"/>
      <c r="X2788" s="37"/>
      <c r="Y2788" s="37"/>
      <c r="Z2788" s="37"/>
      <c r="AA2788" s="37"/>
      <c r="AB2788" s="37"/>
      <c r="AC2788" s="37"/>
      <c r="AD2788" s="37"/>
      <c r="AE2788" s="37"/>
      <c r="AF2788" s="37"/>
      <c r="AG2788" s="37"/>
      <c r="AH2788" s="37"/>
      <c r="AI2788" s="37"/>
      <c r="AJ2788" s="37"/>
      <c r="AK2788" s="37"/>
      <c r="AL2788" s="37"/>
      <c r="AM2788" s="37"/>
      <c r="AN2788" s="37"/>
      <c r="AO2788" s="37"/>
      <c r="AP2788" s="37"/>
      <c r="AQ2788" s="37"/>
      <c r="AR2788" s="37"/>
      <c r="AS2788" s="37"/>
      <c r="AT2788" s="37"/>
      <c r="AU2788" s="37"/>
      <c r="AV2788" s="37"/>
      <c r="AW2788" s="37"/>
      <c r="AX2788" s="37"/>
      <c r="AY2788" s="37"/>
      <c r="AZ2788" s="37"/>
      <c r="BA2788" s="37"/>
      <c r="BB2788" s="37"/>
      <c r="BC2788" s="37"/>
      <c r="BD2788" s="37"/>
      <c r="BE2788" s="37"/>
      <c r="BF2788" s="37"/>
      <c r="BG2788" s="37"/>
      <c r="BH2788" s="37"/>
      <c r="BI2788" s="37"/>
      <c r="BJ2788" s="37"/>
      <c r="BK2788" s="37"/>
      <c r="BL2788" s="37"/>
      <c r="BM2788" s="37"/>
    </row>
    <row r="2789" spans="1:65" s="40" customFormat="1" ht="23.25" x14ac:dyDescent="0.35">
      <c r="A2789" s="37"/>
      <c r="B2789" s="37"/>
      <c r="C2789" s="41"/>
      <c r="D2789" s="38"/>
      <c r="E2789" s="57"/>
      <c r="F2789" s="42"/>
      <c r="G2789" s="43"/>
      <c r="H2789" s="37"/>
      <c r="I2789" s="37"/>
      <c r="J2789" s="38"/>
      <c r="K2789" s="37"/>
      <c r="L2789" s="38"/>
      <c r="M2789" s="39"/>
      <c r="P2789" s="37"/>
      <c r="Q2789" s="37"/>
      <c r="R2789" s="37"/>
      <c r="S2789" s="37"/>
      <c r="T2789" s="37"/>
      <c r="U2789" s="37"/>
      <c r="V2789" s="37"/>
      <c r="W2789" s="37"/>
      <c r="X2789" s="37"/>
      <c r="Y2789" s="37"/>
      <c r="Z2789" s="37"/>
      <c r="AA2789" s="37"/>
      <c r="AB2789" s="37"/>
      <c r="AC2789" s="37"/>
      <c r="AD2789" s="37"/>
      <c r="AE2789" s="37"/>
      <c r="AF2789" s="37"/>
      <c r="AG2789" s="37"/>
      <c r="AH2789" s="37"/>
      <c r="AI2789" s="37"/>
      <c r="AJ2789" s="37"/>
      <c r="AK2789" s="37"/>
      <c r="AL2789" s="37"/>
      <c r="AM2789" s="37"/>
      <c r="AN2789" s="37"/>
      <c r="AO2789" s="37"/>
      <c r="AP2789" s="37"/>
      <c r="AQ2789" s="37"/>
      <c r="AR2789" s="37"/>
      <c r="AS2789" s="37"/>
      <c r="AT2789" s="37"/>
      <c r="AU2789" s="37"/>
      <c r="AV2789" s="37"/>
      <c r="AW2789" s="37"/>
      <c r="AX2789" s="37"/>
      <c r="AY2789" s="37"/>
      <c r="AZ2789" s="37"/>
      <c r="BA2789" s="37"/>
      <c r="BB2789" s="37"/>
      <c r="BC2789" s="37"/>
      <c r="BD2789" s="37"/>
      <c r="BE2789" s="37"/>
      <c r="BF2789" s="37"/>
      <c r="BG2789" s="37"/>
      <c r="BH2789" s="37"/>
      <c r="BI2789" s="37"/>
      <c r="BJ2789" s="37"/>
      <c r="BK2789" s="37"/>
      <c r="BL2789" s="37"/>
      <c r="BM2789" s="37"/>
    </row>
    <row r="2790" spans="1:65" s="40" customFormat="1" ht="23.25" x14ac:dyDescent="0.35">
      <c r="A2790" s="37"/>
      <c r="B2790" s="37"/>
      <c r="C2790" s="41"/>
      <c r="D2790" s="38"/>
      <c r="E2790" s="57"/>
      <c r="F2790" s="42"/>
      <c r="G2790" s="43"/>
      <c r="H2790" s="37"/>
      <c r="I2790" s="37"/>
      <c r="J2790" s="38"/>
      <c r="K2790" s="37"/>
      <c r="L2790" s="38"/>
      <c r="M2790" s="39"/>
      <c r="P2790" s="37"/>
      <c r="Q2790" s="37"/>
      <c r="R2790" s="37"/>
      <c r="S2790" s="37"/>
      <c r="T2790" s="37"/>
      <c r="U2790" s="37"/>
      <c r="V2790" s="37"/>
      <c r="W2790" s="37"/>
      <c r="X2790" s="37"/>
      <c r="Y2790" s="37"/>
      <c r="Z2790" s="37"/>
      <c r="AA2790" s="37"/>
      <c r="AB2790" s="37"/>
      <c r="AC2790" s="37"/>
      <c r="AD2790" s="37"/>
      <c r="AE2790" s="37"/>
      <c r="AF2790" s="37"/>
      <c r="AG2790" s="37"/>
      <c r="AH2790" s="37"/>
      <c r="AI2790" s="37"/>
      <c r="AJ2790" s="37"/>
      <c r="AK2790" s="37"/>
      <c r="AL2790" s="37"/>
      <c r="AM2790" s="37"/>
      <c r="AN2790" s="37"/>
      <c r="AO2790" s="37"/>
      <c r="AP2790" s="37"/>
      <c r="AQ2790" s="37"/>
      <c r="AR2790" s="37"/>
      <c r="AS2790" s="37"/>
      <c r="AT2790" s="37"/>
      <c r="AU2790" s="37"/>
      <c r="AV2790" s="37"/>
      <c r="AW2790" s="37"/>
      <c r="AX2790" s="37"/>
      <c r="AY2790" s="37"/>
      <c r="AZ2790" s="37"/>
      <c r="BA2790" s="37"/>
      <c r="BB2790" s="37"/>
      <c r="BC2790" s="37"/>
      <c r="BD2790" s="37"/>
      <c r="BE2790" s="37"/>
      <c r="BF2790" s="37"/>
      <c r="BG2790" s="37"/>
      <c r="BH2790" s="37"/>
      <c r="BI2790" s="37"/>
      <c r="BJ2790" s="37"/>
      <c r="BK2790" s="37"/>
      <c r="BL2790" s="37"/>
      <c r="BM2790" s="37"/>
    </row>
    <row r="2791" spans="1:65" s="40" customFormat="1" ht="23.25" x14ac:dyDescent="0.35">
      <c r="A2791" s="37"/>
      <c r="B2791" s="37"/>
      <c r="C2791" s="41"/>
      <c r="D2791" s="38"/>
      <c r="E2791" s="57"/>
      <c r="F2791" s="42"/>
      <c r="G2791" s="43"/>
      <c r="H2791" s="37"/>
      <c r="I2791" s="37"/>
      <c r="J2791" s="38"/>
      <c r="K2791" s="37"/>
      <c r="L2791" s="38"/>
      <c r="M2791" s="39"/>
      <c r="P2791" s="37"/>
      <c r="Q2791" s="37"/>
      <c r="R2791" s="37"/>
      <c r="S2791" s="37"/>
      <c r="T2791" s="37"/>
      <c r="U2791" s="37"/>
      <c r="V2791" s="37"/>
      <c r="W2791" s="37"/>
      <c r="X2791" s="37"/>
      <c r="Y2791" s="37"/>
      <c r="Z2791" s="37"/>
      <c r="AA2791" s="37"/>
      <c r="AB2791" s="37"/>
      <c r="AC2791" s="37"/>
      <c r="AD2791" s="37"/>
      <c r="AE2791" s="37"/>
      <c r="AF2791" s="37"/>
      <c r="AG2791" s="37"/>
      <c r="AH2791" s="37"/>
      <c r="AI2791" s="37"/>
      <c r="AJ2791" s="37"/>
      <c r="AK2791" s="37"/>
      <c r="AL2791" s="37"/>
      <c r="AM2791" s="37"/>
      <c r="AN2791" s="37"/>
      <c r="AO2791" s="37"/>
      <c r="AP2791" s="37"/>
      <c r="AQ2791" s="37"/>
      <c r="AR2791" s="37"/>
      <c r="AS2791" s="37"/>
      <c r="AT2791" s="37"/>
      <c r="AU2791" s="37"/>
      <c r="AV2791" s="37"/>
      <c r="AW2791" s="37"/>
      <c r="AX2791" s="37"/>
      <c r="AY2791" s="37"/>
      <c r="AZ2791" s="37"/>
      <c r="BA2791" s="37"/>
      <c r="BB2791" s="37"/>
      <c r="BC2791" s="37"/>
      <c r="BD2791" s="37"/>
      <c r="BE2791" s="37"/>
      <c r="BF2791" s="37"/>
      <c r="BG2791" s="37"/>
      <c r="BH2791" s="37"/>
      <c r="BI2791" s="37"/>
      <c r="BJ2791" s="37"/>
      <c r="BK2791" s="37"/>
      <c r="BL2791" s="37"/>
      <c r="BM2791" s="37"/>
    </row>
    <row r="2792" spans="1:65" s="40" customFormat="1" ht="23.25" x14ac:dyDescent="0.35">
      <c r="A2792" s="37"/>
      <c r="B2792" s="37"/>
      <c r="C2792" s="41"/>
      <c r="D2792" s="38"/>
      <c r="E2792" s="57"/>
      <c r="F2792" s="42"/>
      <c r="G2792" s="43"/>
      <c r="H2792" s="37"/>
      <c r="I2792" s="37"/>
      <c r="J2792" s="38"/>
      <c r="K2792" s="37"/>
      <c r="L2792" s="38"/>
      <c r="M2792" s="39"/>
      <c r="P2792" s="37"/>
      <c r="Q2792" s="37"/>
      <c r="R2792" s="37"/>
      <c r="S2792" s="37"/>
      <c r="T2792" s="37"/>
      <c r="U2792" s="37"/>
      <c r="V2792" s="37"/>
      <c r="W2792" s="37"/>
      <c r="X2792" s="37"/>
      <c r="Y2792" s="37"/>
      <c r="Z2792" s="37"/>
      <c r="AA2792" s="37"/>
      <c r="AB2792" s="37"/>
      <c r="AC2792" s="37"/>
      <c r="AD2792" s="37"/>
      <c r="AE2792" s="37"/>
      <c r="AF2792" s="37"/>
      <c r="AG2792" s="37"/>
      <c r="AH2792" s="37"/>
      <c r="AI2792" s="37"/>
      <c r="AJ2792" s="37"/>
      <c r="AK2792" s="37"/>
      <c r="AL2792" s="37"/>
      <c r="AM2792" s="37"/>
      <c r="AN2792" s="37"/>
      <c r="AO2792" s="37"/>
      <c r="AP2792" s="37"/>
      <c r="AQ2792" s="37"/>
      <c r="AR2792" s="37"/>
      <c r="AS2792" s="37"/>
      <c r="AT2792" s="37"/>
      <c r="AU2792" s="37"/>
      <c r="AV2792" s="37"/>
      <c r="AW2792" s="37"/>
      <c r="AX2792" s="37"/>
      <c r="AY2792" s="37"/>
      <c r="AZ2792" s="37"/>
      <c r="BA2792" s="37"/>
      <c r="BB2792" s="37"/>
      <c r="BC2792" s="37"/>
      <c r="BD2792" s="37"/>
      <c r="BE2792" s="37"/>
      <c r="BF2792" s="37"/>
      <c r="BG2792" s="37"/>
      <c r="BH2792" s="37"/>
      <c r="BI2792" s="37"/>
      <c r="BJ2792" s="37"/>
      <c r="BK2792" s="37"/>
      <c r="BL2792" s="37"/>
      <c r="BM2792" s="37"/>
    </row>
    <row r="2793" spans="1:65" s="40" customFormat="1" ht="23.25" x14ac:dyDescent="0.35">
      <c r="A2793" s="37"/>
      <c r="B2793" s="37"/>
      <c r="C2793" s="41"/>
      <c r="D2793" s="38"/>
      <c r="E2793" s="57"/>
      <c r="F2793" s="42"/>
      <c r="G2793" s="43"/>
      <c r="H2793" s="37"/>
      <c r="I2793" s="37"/>
      <c r="J2793" s="38"/>
      <c r="K2793" s="37"/>
      <c r="L2793" s="38"/>
      <c r="M2793" s="39"/>
      <c r="P2793" s="37"/>
      <c r="Q2793" s="37"/>
      <c r="R2793" s="37"/>
      <c r="S2793" s="37"/>
      <c r="T2793" s="37"/>
      <c r="U2793" s="37"/>
      <c r="V2793" s="37"/>
      <c r="W2793" s="37"/>
      <c r="X2793" s="37"/>
      <c r="Y2793" s="37"/>
      <c r="Z2793" s="37"/>
      <c r="AA2793" s="37"/>
      <c r="AB2793" s="37"/>
      <c r="AC2793" s="37"/>
      <c r="AD2793" s="37"/>
      <c r="AE2793" s="37"/>
      <c r="AF2793" s="37"/>
      <c r="AG2793" s="37"/>
      <c r="AH2793" s="37"/>
      <c r="AI2793" s="37"/>
      <c r="AJ2793" s="37"/>
      <c r="AK2793" s="37"/>
      <c r="AL2793" s="37"/>
      <c r="AM2793" s="37"/>
      <c r="AN2793" s="37"/>
      <c r="AO2793" s="37"/>
      <c r="AP2793" s="37"/>
      <c r="AQ2793" s="37"/>
      <c r="AR2793" s="37"/>
      <c r="AS2793" s="37"/>
      <c r="AT2793" s="37"/>
      <c r="AU2793" s="37"/>
      <c r="AV2793" s="37"/>
      <c r="AW2793" s="37"/>
      <c r="AX2793" s="37"/>
      <c r="AY2793" s="37"/>
      <c r="AZ2793" s="37"/>
      <c r="BA2793" s="37"/>
      <c r="BB2793" s="37"/>
      <c r="BC2793" s="37"/>
      <c r="BD2793" s="37"/>
      <c r="BE2793" s="37"/>
      <c r="BF2793" s="37"/>
      <c r="BG2793" s="37"/>
      <c r="BH2793" s="37"/>
      <c r="BI2793" s="37"/>
      <c r="BJ2793" s="37"/>
      <c r="BK2793" s="37"/>
      <c r="BL2793" s="37"/>
      <c r="BM2793" s="37"/>
    </row>
    <row r="2794" spans="1:65" s="40" customFormat="1" ht="23.25" x14ac:dyDescent="0.35">
      <c r="A2794" s="37"/>
      <c r="B2794" s="37"/>
      <c r="C2794" s="41"/>
      <c r="D2794" s="38"/>
      <c r="E2794" s="57"/>
      <c r="F2794" s="42"/>
      <c r="G2794" s="43"/>
      <c r="H2794" s="37"/>
      <c r="I2794" s="37"/>
      <c r="J2794" s="38"/>
      <c r="K2794" s="37"/>
      <c r="L2794" s="38"/>
      <c r="M2794" s="39"/>
      <c r="P2794" s="37"/>
      <c r="Q2794" s="37"/>
      <c r="R2794" s="37"/>
      <c r="S2794" s="37"/>
      <c r="T2794" s="37"/>
      <c r="U2794" s="37"/>
      <c r="V2794" s="37"/>
      <c r="W2794" s="37"/>
      <c r="X2794" s="37"/>
      <c r="Y2794" s="37"/>
      <c r="Z2794" s="37"/>
      <c r="AA2794" s="37"/>
      <c r="AB2794" s="37"/>
      <c r="AC2794" s="37"/>
      <c r="AD2794" s="37"/>
      <c r="AE2794" s="37"/>
      <c r="AF2794" s="37"/>
      <c r="AG2794" s="37"/>
      <c r="AH2794" s="37"/>
      <c r="AI2794" s="37"/>
      <c r="AJ2794" s="37"/>
      <c r="AK2794" s="37"/>
      <c r="AL2794" s="37"/>
      <c r="AM2794" s="37"/>
      <c r="AN2794" s="37"/>
      <c r="AO2794" s="37"/>
      <c r="AP2794" s="37"/>
      <c r="AQ2794" s="37"/>
      <c r="AR2794" s="37"/>
      <c r="AS2794" s="37"/>
      <c r="AT2794" s="37"/>
      <c r="AU2794" s="37"/>
      <c r="AV2794" s="37"/>
      <c r="AW2794" s="37"/>
      <c r="AX2794" s="37"/>
      <c r="AY2794" s="37"/>
      <c r="AZ2794" s="37"/>
      <c r="BA2794" s="37"/>
      <c r="BB2794" s="37"/>
      <c r="BC2794" s="37"/>
      <c r="BD2794" s="37"/>
      <c r="BE2794" s="37"/>
      <c r="BF2794" s="37"/>
      <c r="BG2794" s="37"/>
      <c r="BH2794" s="37"/>
      <c r="BI2794" s="37"/>
      <c r="BJ2794" s="37"/>
      <c r="BK2794" s="37"/>
      <c r="BL2794" s="37"/>
      <c r="BM2794" s="37"/>
    </row>
    <row r="2795" spans="1:65" s="40" customFormat="1" ht="23.25" x14ac:dyDescent="0.35">
      <c r="A2795" s="37"/>
      <c r="B2795" s="37"/>
      <c r="C2795" s="41"/>
      <c r="D2795" s="38"/>
      <c r="E2795" s="57"/>
      <c r="F2795" s="42"/>
      <c r="G2795" s="43"/>
      <c r="H2795" s="37"/>
      <c r="I2795" s="37"/>
      <c r="J2795" s="38"/>
      <c r="K2795" s="37"/>
      <c r="L2795" s="38"/>
      <c r="M2795" s="39"/>
      <c r="P2795" s="37"/>
      <c r="Q2795" s="37"/>
      <c r="R2795" s="37"/>
      <c r="S2795" s="37"/>
      <c r="T2795" s="37"/>
      <c r="U2795" s="37"/>
      <c r="V2795" s="37"/>
      <c r="W2795" s="37"/>
      <c r="X2795" s="37"/>
      <c r="Y2795" s="37"/>
      <c r="Z2795" s="37"/>
      <c r="AA2795" s="37"/>
      <c r="AB2795" s="37"/>
      <c r="AC2795" s="37"/>
      <c r="AD2795" s="37"/>
      <c r="AE2795" s="37"/>
      <c r="AF2795" s="37"/>
      <c r="AG2795" s="37"/>
      <c r="AH2795" s="37"/>
      <c r="AI2795" s="37"/>
      <c r="AJ2795" s="37"/>
      <c r="AK2795" s="37"/>
      <c r="AL2795" s="37"/>
      <c r="AM2795" s="37"/>
      <c r="AN2795" s="37"/>
      <c r="AO2795" s="37"/>
      <c r="AP2795" s="37"/>
      <c r="AQ2795" s="37"/>
      <c r="AR2795" s="37"/>
      <c r="AS2795" s="37"/>
      <c r="AT2795" s="37"/>
      <c r="AU2795" s="37"/>
      <c r="AV2795" s="37"/>
      <c r="AW2795" s="37"/>
      <c r="AX2795" s="37"/>
      <c r="AY2795" s="37"/>
      <c r="AZ2795" s="37"/>
      <c r="BA2795" s="37"/>
      <c r="BB2795" s="37"/>
      <c r="BC2795" s="37"/>
      <c r="BD2795" s="37"/>
      <c r="BE2795" s="37"/>
      <c r="BF2795" s="37"/>
      <c r="BG2795" s="37"/>
      <c r="BH2795" s="37"/>
      <c r="BI2795" s="37"/>
      <c r="BJ2795" s="37"/>
      <c r="BK2795" s="37"/>
      <c r="BL2795" s="37"/>
      <c r="BM2795" s="37"/>
    </row>
    <row r="2796" spans="1:65" s="40" customFormat="1" ht="23.25" x14ac:dyDescent="0.35">
      <c r="A2796" s="37"/>
      <c r="B2796" s="37"/>
      <c r="C2796" s="41"/>
      <c r="D2796" s="38"/>
      <c r="E2796" s="57"/>
      <c r="F2796" s="42"/>
      <c r="G2796" s="43"/>
      <c r="H2796" s="37"/>
      <c r="I2796" s="37"/>
      <c r="J2796" s="38"/>
      <c r="K2796" s="37"/>
      <c r="L2796" s="38"/>
      <c r="M2796" s="39"/>
      <c r="P2796" s="37"/>
      <c r="Q2796" s="37"/>
      <c r="R2796" s="37"/>
      <c r="S2796" s="37"/>
      <c r="T2796" s="37"/>
      <c r="U2796" s="37"/>
      <c r="V2796" s="37"/>
      <c r="W2796" s="37"/>
      <c r="X2796" s="37"/>
      <c r="Y2796" s="37"/>
      <c r="Z2796" s="37"/>
      <c r="AA2796" s="37"/>
      <c r="AB2796" s="37"/>
      <c r="AC2796" s="37"/>
      <c r="AD2796" s="37"/>
      <c r="AE2796" s="37"/>
      <c r="AF2796" s="37"/>
      <c r="AG2796" s="37"/>
      <c r="AH2796" s="37"/>
      <c r="AI2796" s="37"/>
      <c r="AJ2796" s="37"/>
      <c r="AK2796" s="37"/>
      <c r="AL2796" s="37"/>
      <c r="AM2796" s="37"/>
      <c r="AN2796" s="37"/>
      <c r="AO2796" s="37"/>
      <c r="AP2796" s="37"/>
      <c r="AQ2796" s="37"/>
      <c r="AR2796" s="37"/>
      <c r="AS2796" s="37"/>
      <c r="AT2796" s="37"/>
      <c r="AU2796" s="37"/>
      <c r="AV2796" s="37"/>
      <c r="AW2796" s="37"/>
      <c r="AX2796" s="37"/>
      <c r="AY2796" s="37"/>
      <c r="AZ2796" s="37"/>
      <c r="BA2796" s="37"/>
      <c r="BB2796" s="37"/>
      <c r="BC2796" s="37"/>
      <c r="BD2796" s="37"/>
      <c r="BE2796" s="37"/>
      <c r="BF2796" s="37"/>
      <c r="BG2796" s="37"/>
      <c r="BH2796" s="37"/>
      <c r="BI2796" s="37"/>
      <c r="BJ2796" s="37"/>
      <c r="BK2796" s="37"/>
      <c r="BL2796" s="37"/>
      <c r="BM2796" s="37"/>
    </row>
    <row r="2797" spans="1:65" s="40" customFormat="1" ht="23.25" x14ac:dyDescent="0.35">
      <c r="A2797" s="37"/>
      <c r="B2797" s="37"/>
      <c r="C2797" s="41"/>
      <c r="D2797" s="38"/>
      <c r="E2797" s="57"/>
      <c r="F2797" s="42"/>
      <c r="G2797" s="43"/>
      <c r="H2797" s="37"/>
      <c r="I2797" s="37"/>
      <c r="J2797" s="38"/>
      <c r="K2797" s="37"/>
      <c r="L2797" s="38"/>
      <c r="M2797" s="39"/>
      <c r="P2797" s="37"/>
      <c r="Q2797" s="37"/>
      <c r="R2797" s="37"/>
      <c r="S2797" s="37"/>
      <c r="T2797" s="37"/>
      <c r="U2797" s="37"/>
      <c r="V2797" s="37"/>
      <c r="W2797" s="37"/>
      <c r="X2797" s="37"/>
      <c r="Y2797" s="37"/>
      <c r="Z2797" s="37"/>
      <c r="AA2797" s="37"/>
      <c r="AB2797" s="37"/>
      <c r="AC2797" s="37"/>
      <c r="AD2797" s="37"/>
      <c r="AE2797" s="37"/>
      <c r="AF2797" s="37"/>
      <c r="AG2797" s="37"/>
      <c r="AH2797" s="37"/>
      <c r="AI2797" s="37"/>
      <c r="AJ2797" s="37"/>
      <c r="AK2797" s="37"/>
      <c r="AL2797" s="37"/>
      <c r="AM2797" s="37"/>
      <c r="AN2797" s="37"/>
      <c r="AO2797" s="37"/>
      <c r="AP2797" s="37"/>
      <c r="AQ2797" s="37"/>
      <c r="AR2797" s="37"/>
      <c r="AS2797" s="37"/>
      <c r="AT2797" s="37"/>
      <c r="AU2797" s="37"/>
      <c r="AV2797" s="37"/>
      <c r="AW2797" s="37"/>
      <c r="AX2797" s="37"/>
      <c r="AY2797" s="37"/>
      <c r="AZ2797" s="37"/>
      <c r="BA2797" s="37"/>
      <c r="BB2797" s="37"/>
      <c r="BC2797" s="37"/>
      <c r="BD2797" s="37"/>
      <c r="BE2797" s="37"/>
      <c r="BF2797" s="37"/>
      <c r="BG2797" s="37"/>
      <c r="BH2797" s="37"/>
      <c r="BI2797" s="37"/>
      <c r="BJ2797" s="37"/>
      <c r="BK2797" s="37"/>
      <c r="BL2797" s="37"/>
      <c r="BM2797" s="37"/>
    </row>
    <row r="2798" spans="1:65" s="40" customFormat="1" ht="23.25" x14ac:dyDescent="0.35">
      <c r="A2798" s="37"/>
      <c r="B2798" s="37"/>
      <c r="C2798" s="41"/>
      <c r="D2798" s="38"/>
      <c r="E2798" s="57"/>
      <c r="F2798" s="42"/>
      <c r="G2798" s="43"/>
      <c r="H2798" s="37"/>
      <c r="I2798" s="37"/>
      <c r="J2798" s="38"/>
      <c r="K2798" s="37"/>
      <c r="L2798" s="38"/>
      <c r="M2798" s="39"/>
      <c r="P2798" s="37"/>
      <c r="Q2798" s="37"/>
      <c r="R2798" s="37"/>
      <c r="S2798" s="37"/>
      <c r="T2798" s="37"/>
      <c r="U2798" s="37"/>
      <c r="V2798" s="37"/>
      <c r="W2798" s="37"/>
      <c r="X2798" s="37"/>
      <c r="Y2798" s="37"/>
      <c r="Z2798" s="37"/>
      <c r="AA2798" s="37"/>
      <c r="AB2798" s="37"/>
      <c r="AC2798" s="37"/>
      <c r="AD2798" s="37"/>
      <c r="AE2798" s="37"/>
      <c r="AF2798" s="37"/>
      <c r="AG2798" s="37"/>
      <c r="AH2798" s="37"/>
      <c r="AI2798" s="37"/>
      <c r="AJ2798" s="37"/>
      <c r="AK2798" s="37"/>
      <c r="AL2798" s="37"/>
      <c r="AM2798" s="37"/>
      <c r="AN2798" s="37"/>
      <c r="AO2798" s="37"/>
      <c r="AP2798" s="37"/>
      <c r="AQ2798" s="37"/>
      <c r="AR2798" s="37"/>
      <c r="AS2798" s="37"/>
      <c r="AT2798" s="37"/>
      <c r="AU2798" s="37"/>
      <c r="AV2798" s="37"/>
      <c r="AW2798" s="37"/>
      <c r="AX2798" s="37"/>
      <c r="AY2798" s="37"/>
      <c r="AZ2798" s="37"/>
      <c r="BA2798" s="37"/>
      <c r="BB2798" s="37"/>
      <c r="BC2798" s="37"/>
      <c r="BD2798" s="37"/>
      <c r="BE2798" s="37"/>
      <c r="BF2798" s="37"/>
      <c r="BG2798" s="37"/>
      <c r="BH2798" s="37"/>
      <c r="BI2798" s="37"/>
      <c r="BJ2798" s="37"/>
      <c r="BK2798" s="37"/>
      <c r="BL2798" s="37"/>
      <c r="BM2798" s="37"/>
    </row>
    <row r="2799" spans="1:65" s="40" customFormat="1" ht="23.25" x14ac:dyDescent="0.35">
      <c r="A2799" s="37"/>
      <c r="B2799" s="37"/>
      <c r="C2799" s="41"/>
      <c r="D2799" s="38"/>
      <c r="E2799" s="57"/>
      <c r="F2799" s="42"/>
      <c r="G2799" s="43"/>
      <c r="H2799" s="37"/>
      <c r="I2799" s="37"/>
      <c r="J2799" s="38"/>
      <c r="K2799" s="37"/>
      <c r="L2799" s="38"/>
      <c r="M2799" s="39"/>
      <c r="P2799" s="37"/>
      <c r="Q2799" s="37"/>
      <c r="R2799" s="37"/>
      <c r="S2799" s="37"/>
      <c r="T2799" s="37"/>
      <c r="U2799" s="37"/>
      <c r="V2799" s="37"/>
      <c r="W2799" s="37"/>
      <c r="X2799" s="37"/>
      <c r="Y2799" s="37"/>
      <c r="Z2799" s="37"/>
      <c r="AA2799" s="37"/>
      <c r="AB2799" s="37"/>
      <c r="AC2799" s="37"/>
      <c r="AD2799" s="37"/>
      <c r="AE2799" s="37"/>
      <c r="AF2799" s="37"/>
      <c r="AG2799" s="37"/>
      <c r="AH2799" s="37"/>
      <c r="AI2799" s="37"/>
      <c r="AJ2799" s="37"/>
      <c r="AK2799" s="37"/>
      <c r="AL2799" s="37"/>
      <c r="AM2799" s="37"/>
      <c r="AN2799" s="37"/>
      <c r="AO2799" s="37"/>
      <c r="AP2799" s="37"/>
      <c r="AQ2799" s="37"/>
      <c r="AR2799" s="37"/>
      <c r="AS2799" s="37"/>
      <c r="AT2799" s="37"/>
      <c r="AU2799" s="37"/>
      <c r="AV2799" s="37"/>
      <c r="AW2799" s="37"/>
      <c r="AX2799" s="37"/>
      <c r="AY2799" s="37"/>
      <c r="AZ2799" s="37"/>
      <c r="BA2799" s="37"/>
      <c r="BB2799" s="37"/>
      <c r="BC2799" s="37"/>
      <c r="BD2799" s="37"/>
      <c r="BE2799" s="37"/>
      <c r="BF2799" s="37"/>
      <c r="BG2799" s="37"/>
      <c r="BH2799" s="37"/>
      <c r="BI2799" s="37"/>
      <c r="BJ2799" s="37"/>
      <c r="BK2799" s="37"/>
      <c r="BL2799" s="37"/>
      <c r="BM2799" s="37"/>
    </row>
    <row r="2800" spans="1:65" s="40" customFormat="1" ht="23.25" x14ac:dyDescent="0.35">
      <c r="A2800" s="37"/>
      <c r="B2800" s="37"/>
      <c r="C2800" s="41"/>
      <c r="D2800" s="38"/>
      <c r="E2800" s="57"/>
      <c r="F2800" s="42"/>
      <c r="G2800" s="43"/>
      <c r="H2800" s="37"/>
      <c r="I2800" s="37"/>
      <c r="J2800" s="38"/>
      <c r="K2800" s="37"/>
      <c r="L2800" s="38"/>
      <c r="M2800" s="39"/>
      <c r="P2800" s="37"/>
      <c r="Q2800" s="37"/>
      <c r="R2800" s="37"/>
      <c r="S2800" s="37"/>
      <c r="T2800" s="37"/>
      <c r="U2800" s="37"/>
      <c r="V2800" s="37"/>
      <c r="W2800" s="37"/>
      <c r="X2800" s="37"/>
      <c r="Y2800" s="37"/>
      <c r="Z2800" s="37"/>
      <c r="AA2800" s="37"/>
      <c r="AB2800" s="37"/>
      <c r="AC2800" s="37"/>
      <c r="AD2800" s="37"/>
      <c r="AE2800" s="37"/>
      <c r="AF2800" s="37"/>
      <c r="AG2800" s="37"/>
      <c r="AH2800" s="37"/>
      <c r="AI2800" s="37"/>
      <c r="AJ2800" s="37"/>
      <c r="AK2800" s="37"/>
      <c r="AL2800" s="37"/>
      <c r="AM2800" s="37"/>
      <c r="AN2800" s="37"/>
      <c r="AO2800" s="37"/>
      <c r="AP2800" s="37"/>
      <c r="AQ2800" s="37"/>
      <c r="AR2800" s="37"/>
      <c r="AS2800" s="37"/>
      <c r="AT2800" s="37"/>
      <c r="AU2800" s="37"/>
      <c r="AV2800" s="37"/>
      <c r="AW2800" s="37"/>
      <c r="AX2800" s="37"/>
      <c r="AY2800" s="37"/>
      <c r="AZ2800" s="37"/>
      <c r="BA2800" s="37"/>
      <c r="BB2800" s="37"/>
      <c r="BC2800" s="37"/>
      <c r="BD2800" s="37"/>
      <c r="BE2800" s="37"/>
      <c r="BF2800" s="37"/>
      <c r="BG2800" s="37"/>
      <c r="BH2800" s="37"/>
      <c r="BI2800" s="37"/>
      <c r="BJ2800" s="37"/>
      <c r="BK2800" s="37"/>
      <c r="BL2800" s="37"/>
      <c r="BM2800" s="37"/>
    </row>
    <row r="2801" spans="1:65" s="40" customFormat="1" ht="23.25" x14ac:dyDescent="0.35">
      <c r="A2801" s="37"/>
      <c r="B2801" s="37"/>
      <c r="C2801" s="41"/>
      <c r="D2801" s="38"/>
      <c r="E2801" s="57"/>
      <c r="F2801" s="42"/>
      <c r="G2801" s="43"/>
      <c r="H2801" s="37"/>
      <c r="I2801" s="37"/>
      <c r="J2801" s="38"/>
      <c r="K2801" s="37"/>
      <c r="L2801" s="38"/>
      <c r="M2801" s="39"/>
      <c r="P2801" s="37"/>
      <c r="Q2801" s="37"/>
      <c r="R2801" s="37"/>
      <c r="S2801" s="37"/>
      <c r="T2801" s="37"/>
      <c r="U2801" s="37"/>
      <c r="V2801" s="37"/>
      <c r="W2801" s="37"/>
      <c r="X2801" s="37"/>
      <c r="Y2801" s="37"/>
      <c r="Z2801" s="37"/>
      <c r="AA2801" s="37"/>
      <c r="AB2801" s="37"/>
      <c r="AC2801" s="37"/>
      <c r="AD2801" s="37"/>
      <c r="AE2801" s="37"/>
      <c r="AF2801" s="37"/>
      <c r="AG2801" s="37"/>
      <c r="AH2801" s="37"/>
      <c r="AI2801" s="37"/>
      <c r="AJ2801" s="37"/>
      <c r="AK2801" s="37"/>
      <c r="AL2801" s="37"/>
      <c r="AM2801" s="37"/>
      <c r="AN2801" s="37"/>
      <c r="AO2801" s="37"/>
      <c r="AP2801" s="37"/>
      <c r="AQ2801" s="37"/>
      <c r="AR2801" s="37"/>
      <c r="AS2801" s="37"/>
      <c r="AT2801" s="37"/>
      <c r="AU2801" s="37"/>
      <c r="AV2801" s="37"/>
      <c r="AW2801" s="37"/>
      <c r="AX2801" s="37"/>
      <c r="AY2801" s="37"/>
      <c r="AZ2801" s="37"/>
      <c r="BA2801" s="37"/>
      <c r="BB2801" s="37"/>
      <c r="BC2801" s="37"/>
      <c r="BD2801" s="37"/>
      <c r="BE2801" s="37"/>
      <c r="BF2801" s="37"/>
      <c r="BG2801" s="37"/>
      <c r="BH2801" s="37"/>
      <c r="BI2801" s="37"/>
      <c r="BJ2801" s="37"/>
      <c r="BK2801" s="37"/>
      <c r="BL2801" s="37"/>
      <c r="BM2801" s="37"/>
    </row>
    <row r="2802" spans="1:65" s="40" customFormat="1" ht="23.25" x14ac:dyDescent="0.35">
      <c r="A2802" s="37"/>
      <c r="B2802" s="37"/>
      <c r="C2802" s="41"/>
      <c r="D2802" s="38"/>
      <c r="E2802" s="57"/>
      <c r="F2802" s="42"/>
      <c r="G2802" s="43"/>
      <c r="H2802" s="37"/>
      <c r="I2802" s="37"/>
      <c r="J2802" s="38"/>
      <c r="K2802" s="37"/>
      <c r="L2802" s="38"/>
      <c r="M2802" s="39"/>
      <c r="P2802" s="37"/>
      <c r="Q2802" s="37"/>
      <c r="R2802" s="37"/>
      <c r="S2802" s="37"/>
      <c r="T2802" s="37"/>
      <c r="U2802" s="37"/>
      <c r="V2802" s="37"/>
      <c r="W2802" s="37"/>
      <c r="X2802" s="37"/>
      <c r="Y2802" s="37"/>
      <c r="Z2802" s="37"/>
      <c r="AA2802" s="37"/>
      <c r="AB2802" s="37"/>
      <c r="AC2802" s="37"/>
      <c r="AD2802" s="37"/>
      <c r="AE2802" s="37"/>
      <c r="AF2802" s="37"/>
      <c r="AG2802" s="37"/>
      <c r="AH2802" s="37"/>
      <c r="AI2802" s="37"/>
      <c r="AJ2802" s="37"/>
      <c r="AK2802" s="37"/>
      <c r="AL2802" s="37"/>
      <c r="AM2802" s="37"/>
      <c r="AN2802" s="37"/>
      <c r="AO2802" s="37"/>
      <c r="AP2802" s="37"/>
      <c r="AQ2802" s="37"/>
      <c r="AR2802" s="37"/>
      <c r="AS2802" s="37"/>
      <c r="AT2802" s="37"/>
      <c r="AU2802" s="37"/>
      <c r="AV2802" s="37"/>
      <c r="AW2802" s="37"/>
      <c r="AX2802" s="37"/>
      <c r="AY2802" s="37"/>
      <c r="AZ2802" s="37"/>
      <c r="BA2802" s="37"/>
      <c r="BB2802" s="37"/>
      <c r="BC2802" s="37"/>
      <c r="BD2802" s="37"/>
      <c r="BE2802" s="37"/>
      <c r="BF2802" s="37"/>
      <c r="BG2802" s="37"/>
      <c r="BH2802" s="37"/>
      <c r="BI2802" s="37"/>
      <c r="BJ2802" s="37"/>
      <c r="BK2802" s="37"/>
      <c r="BL2802" s="37"/>
      <c r="BM2802" s="37"/>
    </row>
    <row r="2803" spans="1:65" s="40" customFormat="1" ht="23.25" x14ac:dyDescent="0.35">
      <c r="A2803" s="37"/>
      <c r="B2803" s="37"/>
      <c r="C2803" s="41"/>
      <c r="D2803" s="38"/>
      <c r="E2803" s="57"/>
      <c r="F2803" s="42"/>
      <c r="G2803" s="43"/>
      <c r="H2803" s="37"/>
      <c r="I2803" s="37"/>
      <c r="J2803" s="38"/>
      <c r="K2803" s="37"/>
      <c r="L2803" s="38"/>
      <c r="M2803" s="39"/>
      <c r="P2803" s="37"/>
      <c r="Q2803" s="37"/>
      <c r="R2803" s="37"/>
      <c r="S2803" s="37"/>
      <c r="T2803" s="37"/>
      <c r="U2803" s="37"/>
      <c r="V2803" s="37"/>
      <c r="W2803" s="37"/>
      <c r="X2803" s="37"/>
      <c r="Y2803" s="37"/>
      <c r="Z2803" s="37"/>
      <c r="AA2803" s="37"/>
      <c r="AB2803" s="37"/>
      <c r="AC2803" s="37"/>
      <c r="AD2803" s="37"/>
      <c r="AE2803" s="37"/>
      <c r="AF2803" s="37"/>
      <c r="AG2803" s="37"/>
      <c r="AH2803" s="37"/>
      <c r="AI2803" s="37"/>
      <c r="AJ2803" s="37"/>
      <c r="AK2803" s="37"/>
      <c r="AL2803" s="37"/>
      <c r="AM2803" s="37"/>
      <c r="AN2803" s="37"/>
      <c r="AO2803" s="37"/>
      <c r="AP2803" s="37"/>
      <c r="AQ2803" s="37"/>
      <c r="AR2803" s="37"/>
      <c r="AS2803" s="37"/>
      <c r="AT2803" s="37"/>
      <c r="AU2803" s="37"/>
      <c r="AV2803" s="37"/>
      <c r="AW2803" s="37"/>
      <c r="AX2803" s="37"/>
      <c r="AY2803" s="37"/>
      <c r="AZ2803" s="37"/>
      <c r="BA2803" s="37"/>
      <c r="BB2803" s="37"/>
      <c r="BC2803" s="37"/>
      <c r="BD2803" s="37"/>
      <c r="BE2803" s="37"/>
      <c r="BF2803" s="37"/>
      <c r="BG2803" s="37"/>
      <c r="BH2803" s="37"/>
      <c r="BI2803" s="37"/>
      <c r="BJ2803" s="37"/>
      <c r="BK2803" s="37"/>
      <c r="BL2803" s="37"/>
      <c r="BM2803" s="37"/>
    </row>
    <row r="2804" spans="1:65" s="40" customFormat="1" ht="23.25" x14ac:dyDescent="0.35">
      <c r="A2804" s="37"/>
      <c r="B2804" s="37"/>
      <c r="C2804" s="41"/>
      <c r="D2804" s="38"/>
      <c r="E2804" s="57"/>
      <c r="F2804" s="42"/>
      <c r="G2804" s="43"/>
      <c r="H2804" s="37"/>
      <c r="I2804" s="37"/>
      <c r="J2804" s="38"/>
      <c r="K2804" s="37"/>
      <c r="L2804" s="38"/>
      <c r="M2804" s="39"/>
      <c r="P2804" s="37"/>
      <c r="Q2804" s="37"/>
      <c r="R2804" s="37"/>
      <c r="S2804" s="37"/>
      <c r="T2804" s="37"/>
      <c r="U2804" s="37"/>
      <c r="V2804" s="37"/>
      <c r="W2804" s="37"/>
      <c r="X2804" s="37"/>
      <c r="Y2804" s="37"/>
      <c r="Z2804" s="37"/>
      <c r="AA2804" s="37"/>
      <c r="AB2804" s="37"/>
      <c r="AC2804" s="37"/>
      <c r="AD2804" s="37"/>
      <c r="AE2804" s="37"/>
      <c r="AF2804" s="37"/>
      <c r="AG2804" s="37"/>
      <c r="AH2804" s="37"/>
      <c r="AI2804" s="37"/>
      <c r="AJ2804" s="37"/>
      <c r="AK2804" s="37"/>
      <c r="AL2804" s="37"/>
      <c r="AM2804" s="37"/>
      <c r="AN2804" s="37"/>
      <c r="AO2804" s="37"/>
      <c r="AP2804" s="37"/>
      <c r="AQ2804" s="37"/>
      <c r="AR2804" s="37"/>
      <c r="AS2804" s="37"/>
      <c r="AT2804" s="37"/>
      <c r="AU2804" s="37"/>
      <c r="AV2804" s="37"/>
      <c r="AW2804" s="37"/>
      <c r="AX2804" s="37"/>
      <c r="AY2804" s="37"/>
      <c r="AZ2804" s="37"/>
      <c r="BA2804" s="37"/>
      <c r="BB2804" s="37"/>
      <c r="BC2804" s="37"/>
      <c r="BD2804" s="37"/>
      <c r="BE2804" s="37"/>
      <c r="BF2804" s="37"/>
      <c r="BG2804" s="37"/>
      <c r="BH2804" s="37"/>
      <c r="BI2804" s="37"/>
      <c r="BJ2804" s="37"/>
      <c r="BK2804" s="37"/>
      <c r="BL2804" s="37"/>
      <c r="BM2804" s="37"/>
    </row>
    <row r="2805" spans="1:65" s="40" customFormat="1" ht="23.25" x14ac:dyDescent="0.35">
      <c r="A2805" s="37"/>
      <c r="B2805" s="37"/>
      <c r="C2805" s="41"/>
      <c r="D2805" s="38"/>
      <c r="E2805" s="57"/>
      <c r="F2805" s="42"/>
      <c r="G2805" s="43"/>
      <c r="H2805" s="37"/>
      <c r="I2805" s="37"/>
      <c r="J2805" s="38"/>
      <c r="K2805" s="37"/>
      <c r="L2805" s="38"/>
      <c r="M2805" s="39"/>
      <c r="P2805" s="37"/>
      <c r="Q2805" s="37"/>
      <c r="R2805" s="37"/>
      <c r="S2805" s="37"/>
      <c r="T2805" s="37"/>
      <c r="U2805" s="37"/>
      <c r="V2805" s="37"/>
      <c r="W2805" s="37"/>
      <c r="X2805" s="37"/>
      <c r="Y2805" s="37"/>
      <c r="Z2805" s="37"/>
      <c r="AA2805" s="37"/>
      <c r="AB2805" s="37"/>
      <c r="AC2805" s="37"/>
      <c r="AD2805" s="37"/>
      <c r="AE2805" s="37"/>
      <c r="AF2805" s="37"/>
      <c r="AG2805" s="37"/>
      <c r="AH2805" s="37"/>
      <c r="AI2805" s="37"/>
      <c r="AJ2805" s="37"/>
      <c r="AK2805" s="37"/>
      <c r="AL2805" s="37"/>
      <c r="AM2805" s="37"/>
      <c r="AN2805" s="37"/>
      <c r="AO2805" s="37"/>
      <c r="AP2805" s="37"/>
      <c r="AQ2805" s="37"/>
      <c r="AR2805" s="37"/>
      <c r="AS2805" s="37"/>
      <c r="AT2805" s="37"/>
      <c r="AU2805" s="37"/>
      <c r="AV2805" s="37"/>
      <c r="AW2805" s="37"/>
      <c r="AX2805" s="37"/>
      <c r="AY2805" s="37"/>
      <c r="AZ2805" s="37"/>
      <c r="BA2805" s="37"/>
      <c r="BB2805" s="37"/>
      <c r="BC2805" s="37"/>
      <c r="BD2805" s="37"/>
      <c r="BE2805" s="37"/>
      <c r="BF2805" s="37"/>
      <c r="BG2805" s="37"/>
      <c r="BH2805" s="37"/>
      <c r="BI2805" s="37"/>
      <c r="BJ2805" s="37"/>
      <c r="BK2805" s="37"/>
      <c r="BL2805" s="37"/>
      <c r="BM2805" s="37"/>
    </row>
    <row r="2806" spans="1:65" s="40" customFormat="1" ht="23.25" x14ac:dyDescent="0.35">
      <c r="A2806" s="37"/>
      <c r="B2806" s="37"/>
      <c r="C2806" s="41"/>
      <c r="D2806" s="38"/>
      <c r="E2806" s="57"/>
      <c r="F2806" s="42"/>
      <c r="G2806" s="43"/>
      <c r="H2806" s="37"/>
      <c r="I2806" s="37"/>
      <c r="J2806" s="38"/>
      <c r="K2806" s="37"/>
      <c r="L2806" s="38"/>
      <c r="M2806" s="39"/>
      <c r="P2806" s="37"/>
      <c r="Q2806" s="37"/>
      <c r="R2806" s="37"/>
      <c r="S2806" s="37"/>
      <c r="T2806" s="37"/>
      <c r="U2806" s="37"/>
      <c r="V2806" s="37"/>
      <c r="W2806" s="37"/>
      <c r="X2806" s="37"/>
      <c r="Y2806" s="37"/>
      <c r="Z2806" s="37"/>
      <c r="AA2806" s="37"/>
      <c r="AB2806" s="37"/>
      <c r="AC2806" s="37"/>
      <c r="AD2806" s="37"/>
      <c r="AE2806" s="37"/>
      <c r="AF2806" s="37"/>
      <c r="AG2806" s="37"/>
      <c r="AH2806" s="37"/>
      <c r="AI2806" s="37"/>
      <c r="AJ2806" s="37"/>
      <c r="AK2806" s="37"/>
      <c r="AL2806" s="37"/>
      <c r="AM2806" s="37"/>
      <c r="AN2806" s="37"/>
      <c r="AO2806" s="37"/>
      <c r="AP2806" s="37"/>
      <c r="AQ2806" s="37"/>
      <c r="AR2806" s="37"/>
      <c r="AS2806" s="37"/>
      <c r="AT2806" s="37"/>
      <c r="AU2806" s="37"/>
      <c r="AV2806" s="37"/>
      <c r="AW2806" s="37"/>
      <c r="AX2806" s="37"/>
      <c r="AY2806" s="37"/>
      <c r="AZ2806" s="37"/>
      <c r="BA2806" s="37"/>
      <c r="BB2806" s="37"/>
      <c r="BC2806" s="37"/>
      <c r="BD2806" s="37"/>
      <c r="BE2806" s="37"/>
      <c r="BF2806" s="37"/>
      <c r="BG2806" s="37"/>
      <c r="BH2806" s="37"/>
      <c r="BI2806" s="37"/>
      <c r="BJ2806" s="37"/>
      <c r="BK2806" s="37"/>
      <c r="BL2806" s="37"/>
      <c r="BM2806" s="37"/>
    </row>
    <row r="2807" spans="1:65" s="40" customFormat="1" ht="23.25" x14ac:dyDescent="0.35">
      <c r="A2807" s="37"/>
      <c r="B2807" s="37"/>
      <c r="C2807" s="41"/>
      <c r="D2807" s="38"/>
      <c r="E2807" s="57"/>
      <c r="F2807" s="42"/>
      <c r="G2807" s="43"/>
      <c r="H2807" s="37"/>
      <c r="I2807" s="37"/>
      <c r="J2807" s="38"/>
      <c r="K2807" s="37"/>
      <c r="L2807" s="38"/>
      <c r="M2807" s="39"/>
      <c r="P2807" s="37"/>
      <c r="Q2807" s="37"/>
      <c r="R2807" s="37"/>
      <c r="S2807" s="37"/>
      <c r="T2807" s="37"/>
      <c r="U2807" s="37"/>
      <c r="V2807" s="37"/>
      <c r="W2807" s="37"/>
      <c r="X2807" s="37"/>
      <c r="Y2807" s="37"/>
      <c r="Z2807" s="37"/>
      <c r="AA2807" s="37"/>
      <c r="AB2807" s="37"/>
      <c r="AC2807" s="37"/>
      <c r="AD2807" s="37"/>
      <c r="AE2807" s="37"/>
      <c r="AF2807" s="37"/>
      <c r="AG2807" s="37"/>
      <c r="AH2807" s="37"/>
      <c r="AI2807" s="37"/>
      <c r="AJ2807" s="37"/>
      <c r="AK2807" s="37"/>
      <c r="AL2807" s="37"/>
      <c r="AM2807" s="37"/>
      <c r="AN2807" s="37"/>
      <c r="AO2807" s="37"/>
      <c r="AP2807" s="37"/>
      <c r="AQ2807" s="37"/>
      <c r="AR2807" s="37"/>
      <c r="AS2807" s="37"/>
      <c r="AT2807" s="37"/>
      <c r="AU2807" s="37"/>
      <c r="AV2807" s="37"/>
      <c r="AW2807" s="37"/>
      <c r="AX2807" s="37"/>
      <c r="AY2807" s="37"/>
      <c r="AZ2807" s="37"/>
      <c r="BA2807" s="37"/>
      <c r="BB2807" s="37"/>
      <c r="BC2807" s="37"/>
      <c r="BD2807" s="37"/>
      <c r="BE2807" s="37"/>
      <c r="BF2807" s="37"/>
      <c r="BG2807" s="37"/>
      <c r="BH2807" s="37"/>
      <c r="BI2807" s="37"/>
      <c r="BJ2807" s="37"/>
      <c r="BK2807" s="37"/>
      <c r="BL2807" s="37"/>
      <c r="BM2807" s="37"/>
    </row>
    <row r="2808" spans="1:65" s="40" customFormat="1" ht="23.25" x14ac:dyDescent="0.35">
      <c r="A2808" s="37"/>
      <c r="B2808" s="37"/>
      <c r="C2808" s="41"/>
      <c r="D2808" s="38"/>
      <c r="E2808" s="57"/>
      <c r="F2808" s="42"/>
      <c r="G2808" s="43"/>
      <c r="H2808" s="37"/>
      <c r="I2808" s="37"/>
      <c r="J2808" s="38"/>
      <c r="K2808" s="37"/>
      <c r="L2808" s="38"/>
      <c r="M2808" s="39"/>
      <c r="P2808" s="37"/>
      <c r="Q2808" s="37"/>
      <c r="R2808" s="37"/>
      <c r="S2808" s="37"/>
      <c r="T2808" s="37"/>
      <c r="U2808" s="37"/>
      <c r="V2808" s="37"/>
      <c r="W2808" s="37"/>
      <c r="X2808" s="37"/>
      <c r="Y2808" s="37"/>
      <c r="Z2808" s="37"/>
      <c r="AA2808" s="37"/>
      <c r="AB2808" s="37"/>
      <c r="AC2808" s="37"/>
      <c r="AD2808" s="37"/>
      <c r="AE2808" s="37"/>
      <c r="AF2808" s="37"/>
      <c r="AG2808" s="37"/>
      <c r="AH2808" s="37"/>
      <c r="AI2808" s="37"/>
      <c r="AJ2808" s="37"/>
      <c r="AK2808" s="37"/>
      <c r="AL2808" s="37"/>
      <c r="AM2808" s="37"/>
      <c r="AN2808" s="37"/>
      <c r="AO2808" s="37"/>
      <c r="AP2808" s="37"/>
      <c r="AQ2808" s="37"/>
      <c r="AR2808" s="37"/>
      <c r="AS2808" s="37"/>
      <c r="AT2808" s="37"/>
      <c r="AU2808" s="37"/>
      <c r="AV2808" s="37"/>
      <c r="AW2808" s="37"/>
      <c r="AX2808" s="37"/>
      <c r="AY2808" s="37"/>
      <c r="AZ2808" s="37"/>
      <c r="BA2808" s="37"/>
      <c r="BB2808" s="37"/>
      <c r="BC2808" s="37"/>
      <c r="BD2808" s="37"/>
      <c r="BE2808" s="37"/>
      <c r="BF2808" s="37"/>
      <c r="BG2808" s="37"/>
      <c r="BH2808" s="37"/>
      <c r="BI2808" s="37"/>
      <c r="BJ2808" s="37"/>
      <c r="BK2808" s="37"/>
      <c r="BL2808" s="37"/>
      <c r="BM2808" s="37"/>
    </row>
    <row r="2809" spans="1:65" s="40" customFormat="1" ht="23.25" x14ac:dyDescent="0.35">
      <c r="A2809" s="37"/>
      <c r="B2809" s="37"/>
      <c r="C2809" s="41"/>
      <c r="D2809" s="38"/>
      <c r="E2809" s="57"/>
      <c r="F2809" s="42"/>
      <c r="G2809" s="43"/>
      <c r="H2809" s="37"/>
      <c r="I2809" s="37"/>
      <c r="J2809" s="38"/>
      <c r="K2809" s="37"/>
      <c r="L2809" s="38"/>
      <c r="M2809" s="39"/>
      <c r="P2809" s="37"/>
      <c r="Q2809" s="37"/>
      <c r="R2809" s="37"/>
      <c r="S2809" s="37"/>
      <c r="T2809" s="37"/>
      <c r="U2809" s="37"/>
      <c r="V2809" s="37"/>
      <c r="W2809" s="37"/>
      <c r="X2809" s="37"/>
      <c r="Y2809" s="37"/>
      <c r="Z2809" s="37"/>
      <c r="AA2809" s="37"/>
      <c r="AB2809" s="37"/>
      <c r="AC2809" s="37"/>
      <c r="AD2809" s="37"/>
      <c r="AE2809" s="37"/>
      <c r="AF2809" s="37"/>
      <c r="AG2809" s="37"/>
      <c r="AH2809" s="37"/>
      <c r="AI2809" s="37"/>
      <c r="AJ2809" s="37"/>
      <c r="AK2809" s="37"/>
      <c r="AL2809" s="37"/>
      <c r="AM2809" s="37"/>
      <c r="AN2809" s="37"/>
      <c r="AO2809" s="37"/>
      <c r="AP2809" s="37"/>
      <c r="AQ2809" s="37"/>
      <c r="AR2809" s="37"/>
      <c r="AS2809" s="37"/>
      <c r="AT2809" s="37"/>
      <c r="AU2809" s="37"/>
      <c r="AV2809" s="37"/>
      <c r="AW2809" s="37"/>
      <c r="AX2809" s="37"/>
      <c r="AY2809" s="37"/>
      <c r="AZ2809" s="37"/>
      <c r="BA2809" s="37"/>
      <c r="BB2809" s="37"/>
      <c r="BC2809" s="37"/>
      <c r="BD2809" s="37"/>
      <c r="BE2809" s="37"/>
      <c r="BF2809" s="37"/>
      <c r="BG2809" s="37"/>
      <c r="BH2809" s="37"/>
      <c r="BI2809" s="37"/>
      <c r="BJ2809" s="37"/>
      <c r="BK2809" s="37"/>
      <c r="BL2809" s="37"/>
      <c r="BM2809" s="37"/>
    </row>
    <row r="2810" spans="1:65" s="40" customFormat="1" ht="23.25" x14ac:dyDescent="0.35">
      <c r="A2810" s="37"/>
      <c r="B2810" s="37"/>
      <c r="C2810" s="41"/>
      <c r="D2810" s="38"/>
      <c r="E2810" s="57"/>
      <c r="F2810" s="42"/>
      <c r="G2810" s="43"/>
      <c r="H2810" s="37"/>
      <c r="I2810" s="37"/>
      <c r="J2810" s="38"/>
      <c r="K2810" s="37"/>
      <c r="L2810" s="38"/>
      <c r="M2810" s="39"/>
      <c r="P2810" s="37"/>
      <c r="Q2810" s="37"/>
      <c r="R2810" s="37"/>
      <c r="S2810" s="37"/>
      <c r="T2810" s="37"/>
      <c r="U2810" s="37"/>
      <c r="V2810" s="37"/>
      <c r="W2810" s="37"/>
      <c r="X2810" s="37"/>
      <c r="Y2810" s="37"/>
      <c r="Z2810" s="37"/>
      <c r="AA2810" s="37"/>
      <c r="AB2810" s="37"/>
      <c r="AC2810" s="37"/>
      <c r="AD2810" s="37"/>
      <c r="AE2810" s="37"/>
      <c r="AF2810" s="37"/>
      <c r="AG2810" s="37"/>
      <c r="AH2810" s="37"/>
      <c r="AI2810" s="37"/>
      <c r="AJ2810" s="37"/>
      <c r="AK2810" s="37"/>
      <c r="AL2810" s="37"/>
      <c r="AM2810" s="37"/>
      <c r="AN2810" s="37"/>
      <c r="AO2810" s="37"/>
      <c r="AP2810" s="37"/>
      <c r="AQ2810" s="37"/>
      <c r="AR2810" s="37"/>
      <c r="AS2810" s="37"/>
      <c r="AT2810" s="37"/>
      <c r="AU2810" s="37"/>
      <c r="AV2810" s="37"/>
      <c r="AW2810" s="37"/>
      <c r="AX2810" s="37"/>
      <c r="AY2810" s="37"/>
      <c r="AZ2810" s="37"/>
      <c r="BA2810" s="37"/>
      <c r="BB2810" s="37"/>
      <c r="BC2810" s="37"/>
      <c r="BD2810" s="37"/>
      <c r="BE2810" s="37"/>
      <c r="BF2810" s="37"/>
      <c r="BG2810" s="37"/>
      <c r="BH2810" s="37"/>
      <c r="BI2810" s="37"/>
      <c r="BJ2810" s="37"/>
      <c r="BK2810" s="37"/>
      <c r="BL2810" s="37"/>
      <c r="BM2810" s="37"/>
    </row>
    <row r="2811" spans="1:65" s="40" customFormat="1" ht="23.25" x14ac:dyDescent="0.35">
      <c r="A2811" s="37"/>
      <c r="B2811" s="37"/>
      <c r="C2811" s="41"/>
      <c r="D2811" s="38"/>
      <c r="E2811" s="57"/>
      <c r="F2811" s="42"/>
      <c r="G2811" s="43"/>
      <c r="H2811" s="37"/>
      <c r="I2811" s="37"/>
      <c r="J2811" s="38"/>
      <c r="K2811" s="37"/>
      <c r="L2811" s="38"/>
      <c r="M2811" s="39"/>
      <c r="P2811" s="37"/>
      <c r="Q2811" s="37"/>
      <c r="R2811" s="37"/>
      <c r="S2811" s="37"/>
      <c r="T2811" s="37"/>
      <c r="U2811" s="37"/>
      <c r="V2811" s="37"/>
      <c r="W2811" s="37"/>
      <c r="X2811" s="37"/>
      <c r="Y2811" s="37"/>
      <c r="Z2811" s="37"/>
      <c r="AA2811" s="37"/>
      <c r="AB2811" s="37"/>
      <c r="AC2811" s="37"/>
      <c r="AD2811" s="37"/>
      <c r="AE2811" s="37"/>
      <c r="AF2811" s="37"/>
      <c r="AG2811" s="37"/>
      <c r="AH2811" s="37"/>
      <c r="AI2811" s="37"/>
      <c r="AJ2811" s="37"/>
      <c r="AK2811" s="37"/>
      <c r="AL2811" s="37"/>
      <c r="AM2811" s="37"/>
      <c r="AN2811" s="37"/>
      <c r="AO2811" s="37"/>
      <c r="AP2811" s="37"/>
      <c r="AQ2811" s="37"/>
      <c r="AR2811" s="37"/>
      <c r="AS2811" s="37"/>
      <c r="AT2811" s="37"/>
      <c r="AU2811" s="37"/>
      <c r="AV2811" s="37"/>
      <c r="AW2811" s="37"/>
      <c r="AX2811" s="37"/>
      <c r="AY2811" s="37"/>
      <c r="AZ2811" s="37"/>
      <c r="BA2811" s="37"/>
      <c r="BB2811" s="37"/>
      <c r="BC2811" s="37"/>
      <c r="BD2811" s="37"/>
      <c r="BE2811" s="37"/>
      <c r="BF2811" s="37"/>
      <c r="BG2811" s="37"/>
      <c r="BH2811" s="37"/>
      <c r="BI2811" s="37"/>
      <c r="BJ2811" s="37"/>
      <c r="BK2811" s="37"/>
      <c r="BL2811" s="37"/>
      <c r="BM2811" s="37"/>
    </row>
    <row r="2812" spans="1:65" s="40" customFormat="1" ht="23.25" x14ac:dyDescent="0.35">
      <c r="A2812" s="37"/>
      <c r="B2812" s="37"/>
      <c r="C2812" s="41"/>
      <c r="D2812" s="38"/>
      <c r="E2812" s="57"/>
      <c r="F2812" s="42"/>
      <c r="G2812" s="43"/>
      <c r="H2812" s="37"/>
      <c r="I2812" s="37"/>
      <c r="J2812" s="38"/>
      <c r="K2812" s="37"/>
      <c r="L2812" s="38"/>
      <c r="M2812" s="39"/>
      <c r="P2812" s="37"/>
      <c r="Q2812" s="37"/>
      <c r="R2812" s="37"/>
      <c r="S2812" s="37"/>
      <c r="T2812" s="37"/>
      <c r="U2812" s="37"/>
      <c r="V2812" s="37"/>
      <c r="W2812" s="37"/>
      <c r="X2812" s="37"/>
      <c r="Y2812" s="37"/>
      <c r="Z2812" s="37"/>
      <c r="AA2812" s="37"/>
      <c r="AB2812" s="37"/>
      <c r="AC2812" s="37"/>
      <c r="AD2812" s="37"/>
      <c r="AE2812" s="37"/>
      <c r="AF2812" s="37"/>
      <c r="AG2812" s="37"/>
      <c r="AH2812" s="37"/>
      <c r="AI2812" s="37"/>
      <c r="AJ2812" s="37"/>
      <c r="AK2812" s="37"/>
      <c r="AL2812" s="37"/>
      <c r="AM2812" s="37"/>
      <c r="AN2812" s="37"/>
      <c r="AO2812" s="37"/>
      <c r="AP2812" s="37"/>
      <c r="AQ2812" s="37"/>
      <c r="AR2812" s="37"/>
      <c r="AS2812" s="37"/>
      <c r="AT2812" s="37"/>
      <c r="AU2812" s="37"/>
      <c r="AV2812" s="37"/>
      <c r="AW2812" s="37"/>
      <c r="AX2812" s="37"/>
      <c r="AY2812" s="37"/>
      <c r="AZ2812" s="37"/>
      <c r="BA2812" s="37"/>
      <c r="BB2812" s="37"/>
      <c r="BC2812" s="37"/>
      <c r="BD2812" s="37"/>
      <c r="BE2812" s="37"/>
      <c r="BF2812" s="37"/>
      <c r="BG2812" s="37"/>
      <c r="BH2812" s="37"/>
      <c r="BI2812" s="37"/>
      <c r="BJ2812" s="37"/>
      <c r="BK2812" s="37"/>
      <c r="BL2812" s="37"/>
      <c r="BM2812" s="37"/>
    </row>
    <row r="2813" spans="1:65" s="40" customFormat="1" ht="23.25" x14ac:dyDescent="0.35">
      <c r="A2813" s="37"/>
      <c r="B2813" s="37"/>
      <c r="C2813" s="41"/>
      <c r="D2813" s="38"/>
      <c r="E2813" s="57"/>
      <c r="F2813" s="42"/>
      <c r="G2813" s="43"/>
      <c r="H2813" s="37"/>
      <c r="I2813" s="37"/>
      <c r="J2813" s="38"/>
      <c r="K2813" s="37"/>
      <c r="L2813" s="38"/>
      <c r="M2813" s="39"/>
      <c r="P2813" s="37"/>
      <c r="Q2813" s="37"/>
      <c r="R2813" s="37"/>
      <c r="S2813" s="37"/>
      <c r="T2813" s="37"/>
      <c r="U2813" s="37"/>
      <c r="V2813" s="37"/>
      <c r="W2813" s="37"/>
      <c r="X2813" s="37"/>
      <c r="Y2813" s="37"/>
      <c r="Z2813" s="37"/>
      <c r="AA2813" s="37"/>
      <c r="AB2813" s="37"/>
      <c r="AC2813" s="37"/>
      <c r="AD2813" s="37"/>
      <c r="AE2813" s="37"/>
      <c r="AF2813" s="37"/>
      <c r="AG2813" s="37"/>
      <c r="AH2813" s="37"/>
      <c r="AI2813" s="37"/>
      <c r="AJ2813" s="37"/>
      <c r="AK2813" s="37"/>
      <c r="AL2813" s="37"/>
      <c r="AM2813" s="37"/>
      <c r="AN2813" s="37"/>
      <c r="AO2813" s="37"/>
      <c r="AP2813" s="37"/>
      <c r="AQ2813" s="37"/>
      <c r="AR2813" s="37"/>
      <c r="AS2813" s="37"/>
      <c r="AT2813" s="37"/>
      <c r="AU2813" s="37"/>
      <c r="AV2813" s="37"/>
      <c r="AW2813" s="37"/>
      <c r="AX2813" s="37"/>
      <c r="AY2813" s="37"/>
      <c r="AZ2813" s="37"/>
      <c r="BA2813" s="37"/>
      <c r="BB2813" s="37"/>
      <c r="BC2813" s="37"/>
      <c r="BD2813" s="37"/>
      <c r="BE2813" s="37"/>
      <c r="BF2813" s="37"/>
      <c r="BG2813" s="37"/>
      <c r="BH2813" s="37"/>
      <c r="BI2813" s="37"/>
      <c r="BJ2813" s="37"/>
      <c r="BK2813" s="37"/>
      <c r="BL2813" s="37"/>
      <c r="BM2813" s="37"/>
    </row>
    <row r="2814" spans="1:65" s="40" customFormat="1" ht="23.25" x14ac:dyDescent="0.35">
      <c r="A2814" s="37"/>
      <c r="B2814" s="37"/>
      <c r="C2814" s="41"/>
      <c r="D2814" s="38"/>
      <c r="E2814" s="57"/>
      <c r="F2814" s="42"/>
      <c r="G2814" s="43"/>
      <c r="H2814" s="37"/>
      <c r="I2814" s="37"/>
      <c r="J2814" s="38"/>
      <c r="K2814" s="37"/>
      <c r="L2814" s="38"/>
      <c r="M2814" s="39"/>
      <c r="P2814" s="37"/>
      <c r="Q2814" s="37"/>
      <c r="R2814" s="37"/>
      <c r="S2814" s="37"/>
      <c r="T2814" s="37"/>
      <c r="U2814" s="37"/>
      <c r="V2814" s="37"/>
      <c r="W2814" s="37"/>
      <c r="X2814" s="37"/>
      <c r="Y2814" s="37"/>
      <c r="Z2814" s="37"/>
      <c r="AA2814" s="37"/>
      <c r="AB2814" s="37"/>
      <c r="AC2814" s="37"/>
      <c r="AD2814" s="37"/>
      <c r="AE2814" s="37"/>
      <c r="AF2814" s="37"/>
      <c r="AG2814" s="37"/>
      <c r="AH2814" s="37"/>
      <c r="AI2814" s="37"/>
      <c r="AJ2814" s="37"/>
      <c r="AK2814" s="37"/>
      <c r="AL2814" s="37"/>
      <c r="AM2814" s="37"/>
      <c r="AN2814" s="37"/>
      <c r="AO2814" s="37"/>
      <c r="AP2814" s="37"/>
      <c r="AQ2814" s="37"/>
      <c r="AR2814" s="37"/>
      <c r="AS2814" s="37"/>
      <c r="AT2814" s="37"/>
      <c r="AU2814" s="37"/>
      <c r="AV2814" s="37"/>
      <c r="AW2814" s="37"/>
      <c r="AX2814" s="37"/>
      <c r="AY2814" s="37"/>
      <c r="AZ2814" s="37"/>
      <c r="BA2814" s="37"/>
      <c r="BB2814" s="37"/>
      <c r="BC2814" s="37"/>
      <c r="BD2814" s="37"/>
      <c r="BE2814" s="37"/>
      <c r="BF2814" s="37"/>
      <c r="BG2814" s="37"/>
      <c r="BH2814" s="37"/>
      <c r="BI2814" s="37"/>
      <c r="BJ2814" s="37"/>
      <c r="BK2814" s="37"/>
      <c r="BL2814" s="37"/>
      <c r="BM2814" s="37"/>
    </row>
    <row r="2815" spans="1:65" s="40" customFormat="1" ht="23.25" x14ac:dyDescent="0.35">
      <c r="A2815" s="37"/>
      <c r="B2815" s="37"/>
      <c r="C2815" s="41"/>
      <c r="D2815" s="38"/>
      <c r="E2815" s="57"/>
      <c r="F2815" s="42"/>
      <c r="G2815" s="43"/>
      <c r="H2815" s="37"/>
      <c r="I2815" s="37"/>
      <c r="J2815" s="38"/>
      <c r="K2815" s="37"/>
      <c r="L2815" s="38"/>
      <c r="M2815" s="39"/>
      <c r="P2815" s="37"/>
      <c r="Q2815" s="37"/>
      <c r="R2815" s="37"/>
      <c r="S2815" s="37"/>
      <c r="T2815" s="37"/>
      <c r="U2815" s="37"/>
      <c r="V2815" s="37"/>
      <c r="W2815" s="37"/>
      <c r="X2815" s="37"/>
      <c r="Y2815" s="37"/>
      <c r="Z2815" s="37"/>
      <c r="AA2815" s="37"/>
      <c r="AB2815" s="37"/>
      <c r="AC2815" s="37"/>
      <c r="AD2815" s="37"/>
      <c r="AE2815" s="37"/>
      <c r="AF2815" s="37"/>
      <c r="AG2815" s="37"/>
      <c r="AH2815" s="37"/>
      <c r="AI2815" s="37"/>
      <c r="AJ2815" s="37"/>
      <c r="AK2815" s="37"/>
      <c r="AL2815" s="37"/>
      <c r="AM2815" s="37"/>
      <c r="AN2815" s="37"/>
      <c r="AO2815" s="37"/>
      <c r="AP2815" s="37"/>
      <c r="AQ2815" s="37"/>
      <c r="AR2815" s="37"/>
      <c r="AS2815" s="37"/>
      <c r="AT2815" s="37"/>
      <c r="AU2815" s="37"/>
      <c r="AV2815" s="37"/>
      <c r="AW2815" s="37"/>
      <c r="AX2815" s="37"/>
      <c r="AY2815" s="37"/>
      <c r="AZ2815" s="37"/>
      <c r="BA2815" s="37"/>
      <c r="BB2815" s="37"/>
      <c r="BC2815" s="37"/>
      <c r="BD2815" s="37"/>
      <c r="BE2815" s="37"/>
      <c r="BF2815" s="37"/>
      <c r="BG2815" s="37"/>
      <c r="BH2815" s="37"/>
      <c r="BI2815" s="37"/>
      <c r="BJ2815" s="37"/>
      <c r="BK2815" s="37"/>
      <c r="BL2815" s="37"/>
      <c r="BM2815" s="37"/>
    </row>
    <row r="2816" spans="1:65" s="40" customFormat="1" ht="23.25" x14ac:dyDescent="0.35">
      <c r="A2816" s="37"/>
      <c r="B2816" s="37"/>
      <c r="C2816" s="41"/>
      <c r="D2816" s="38"/>
      <c r="E2816" s="57"/>
      <c r="F2816" s="42"/>
      <c r="G2816" s="43"/>
      <c r="H2816" s="37"/>
      <c r="I2816" s="37"/>
      <c r="J2816" s="38"/>
      <c r="K2816" s="37"/>
      <c r="L2816" s="38"/>
      <c r="M2816" s="39"/>
      <c r="P2816" s="37"/>
      <c r="Q2816" s="37"/>
      <c r="R2816" s="37"/>
      <c r="S2816" s="37"/>
      <c r="T2816" s="37"/>
      <c r="U2816" s="37"/>
      <c r="V2816" s="37"/>
      <c r="W2816" s="37"/>
      <c r="X2816" s="37"/>
      <c r="Y2816" s="37"/>
      <c r="Z2816" s="37"/>
      <c r="AA2816" s="37"/>
      <c r="AB2816" s="37"/>
      <c r="AC2816" s="37"/>
      <c r="AD2816" s="37"/>
      <c r="AE2816" s="37"/>
      <c r="AF2816" s="37"/>
      <c r="AG2816" s="37"/>
      <c r="AH2816" s="37"/>
      <c r="AI2816" s="37"/>
      <c r="AJ2816" s="37"/>
      <c r="AK2816" s="37"/>
      <c r="AL2816" s="37"/>
      <c r="AM2816" s="37"/>
      <c r="AN2816" s="37"/>
      <c r="AO2816" s="37"/>
      <c r="AP2816" s="37"/>
      <c r="AQ2816" s="37"/>
      <c r="AR2816" s="37"/>
      <c r="AS2816" s="37"/>
      <c r="AT2816" s="37"/>
      <c r="AU2816" s="37"/>
      <c r="AV2816" s="37"/>
      <c r="AW2816" s="37"/>
      <c r="AX2816" s="37"/>
      <c r="AY2816" s="37"/>
      <c r="AZ2816" s="37"/>
      <c r="BA2816" s="37"/>
      <c r="BB2816" s="37"/>
      <c r="BC2816" s="37"/>
      <c r="BD2816" s="37"/>
      <c r="BE2816" s="37"/>
      <c r="BF2816" s="37"/>
      <c r="BG2816" s="37"/>
      <c r="BH2816" s="37"/>
      <c r="BI2816" s="37"/>
      <c r="BJ2816" s="37"/>
      <c r="BK2816" s="37"/>
      <c r="BL2816" s="37"/>
      <c r="BM2816" s="37"/>
    </row>
    <row r="2817" spans="1:65" s="40" customFormat="1" ht="23.25" x14ac:dyDescent="0.35">
      <c r="A2817" s="37"/>
      <c r="B2817" s="37"/>
      <c r="C2817" s="41"/>
      <c r="D2817" s="38"/>
      <c r="E2817" s="57"/>
      <c r="F2817" s="42"/>
      <c r="G2817" s="43"/>
      <c r="H2817" s="37"/>
      <c r="I2817" s="37"/>
      <c r="J2817" s="38"/>
      <c r="K2817" s="37"/>
      <c r="L2817" s="38"/>
      <c r="M2817" s="39"/>
      <c r="P2817" s="37"/>
      <c r="Q2817" s="37"/>
      <c r="R2817" s="37"/>
      <c r="S2817" s="37"/>
      <c r="T2817" s="37"/>
      <c r="U2817" s="37"/>
      <c r="V2817" s="37"/>
      <c r="W2817" s="37"/>
      <c r="X2817" s="37"/>
      <c r="Y2817" s="37"/>
      <c r="Z2817" s="37"/>
      <c r="AA2817" s="37"/>
      <c r="AB2817" s="37"/>
      <c r="AC2817" s="37"/>
      <c r="AD2817" s="37"/>
      <c r="AE2817" s="37"/>
      <c r="AF2817" s="37"/>
      <c r="AG2817" s="37"/>
      <c r="AH2817" s="37"/>
      <c r="AI2817" s="37"/>
      <c r="AJ2817" s="37"/>
      <c r="AK2817" s="37"/>
      <c r="AL2817" s="37"/>
      <c r="AM2817" s="37"/>
      <c r="AN2817" s="37"/>
      <c r="AO2817" s="37"/>
      <c r="AP2817" s="37"/>
      <c r="AQ2817" s="37"/>
      <c r="AR2817" s="37"/>
      <c r="AS2817" s="37"/>
      <c r="AT2817" s="37"/>
      <c r="AU2817" s="37"/>
      <c r="AV2817" s="37"/>
      <c r="AW2817" s="37"/>
      <c r="AX2817" s="37"/>
      <c r="AY2817" s="37"/>
      <c r="AZ2817" s="37"/>
      <c r="BA2817" s="37"/>
      <c r="BB2817" s="37"/>
      <c r="BC2817" s="37"/>
      <c r="BD2817" s="37"/>
      <c r="BE2817" s="37"/>
      <c r="BF2817" s="37"/>
      <c r="BG2817" s="37"/>
      <c r="BH2817" s="37"/>
      <c r="BI2817" s="37"/>
      <c r="BJ2817" s="37"/>
      <c r="BK2817" s="37"/>
      <c r="BL2817" s="37"/>
      <c r="BM2817" s="37"/>
    </row>
    <row r="2818" spans="1:65" s="40" customFormat="1" ht="23.25" x14ac:dyDescent="0.35">
      <c r="A2818" s="37"/>
      <c r="B2818" s="37"/>
      <c r="C2818" s="41"/>
      <c r="D2818" s="38"/>
      <c r="E2818" s="57"/>
      <c r="F2818" s="42"/>
      <c r="G2818" s="43"/>
      <c r="H2818" s="37"/>
      <c r="I2818" s="37"/>
      <c r="J2818" s="38"/>
      <c r="K2818" s="37"/>
      <c r="L2818" s="38"/>
      <c r="M2818" s="39"/>
      <c r="P2818" s="37"/>
      <c r="Q2818" s="37"/>
      <c r="R2818" s="37"/>
      <c r="S2818" s="37"/>
      <c r="T2818" s="37"/>
      <c r="U2818" s="37"/>
      <c r="V2818" s="37"/>
      <c r="W2818" s="37"/>
      <c r="X2818" s="37"/>
      <c r="Y2818" s="37"/>
      <c r="Z2818" s="37"/>
      <c r="AA2818" s="37"/>
      <c r="AB2818" s="37"/>
      <c r="AC2818" s="37"/>
      <c r="AD2818" s="37"/>
      <c r="AE2818" s="37"/>
      <c r="AF2818" s="37"/>
      <c r="AG2818" s="37"/>
      <c r="AH2818" s="37"/>
      <c r="AI2818" s="37"/>
      <c r="AJ2818" s="37"/>
      <c r="AK2818" s="37"/>
      <c r="AL2818" s="37"/>
      <c r="AM2818" s="37"/>
      <c r="AN2818" s="37"/>
      <c r="AO2818" s="37"/>
      <c r="AP2818" s="37"/>
      <c r="AQ2818" s="37"/>
      <c r="AR2818" s="37"/>
      <c r="AS2818" s="37"/>
      <c r="AT2818" s="37"/>
      <c r="AU2818" s="37"/>
      <c r="AV2818" s="37"/>
      <c r="AW2818" s="37"/>
      <c r="AX2818" s="37"/>
      <c r="AY2818" s="37"/>
      <c r="AZ2818" s="37"/>
      <c r="BA2818" s="37"/>
      <c r="BB2818" s="37"/>
      <c r="BC2818" s="37"/>
      <c r="BD2818" s="37"/>
      <c r="BE2818" s="37"/>
      <c r="BF2818" s="37"/>
      <c r="BG2818" s="37"/>
      <c r="BH2818" s="37"/>
      <c r="BI2818" s="37"/>
      <c r="BJ2818" s="37"/>
      <c r="BK2818" s="37"/>
      <c r="BL2818" s="37"/>
      <c r="BM2818" s="37"/>
    </row>
    <row r="2819" spans="1:65" s="40" customFormat="1" ht="23.25" x14ac:dyDescent="0.35">
      <c r="A2819" s="37"/>
      <c r="B2819" s="37"/>
      <c r="C2819" s="41"/>
      <c r="D2819" s="38"/>
      <c r="E2819" s="57"/>
      <c r="F2819" s="42"/>
      <c r="G2819" s="43"/>
      <c r="H2819" s="37"/>
      <c r="I2819" s="37"/>
      <c r="J2819" s="38"/>
      <c r="K2819" s="37"/>
      <c r="L2819" s="38"/>
      <c r="M2819" s="39"/>
      <c r="P2819" s="37"/>
      <c r="Q2819" s="37"/>
      <c r="R2819" s="37"/>
      <c r="S2819" s="37"/>
      <c r="T2819" s="37"/>
      <c r="U2819" s="37"/>
      <c r="V2819" s="37"/>
      <c r="W2819" s="37"/>
      <c r="X2819" s="37"/>
      <c r="Y2819" s="37"/>
      <c r="Z2819" s="37"/>
      <c r="AA2819" s="37"/>
      <c r="AB2819" s="37"/>
      <c r="AC2819" s="37"/>
      <c r="AD2819" s="37"/>
      <c r="AE2819" s="37"/>
      <c r="AF2819" s="37"/>
      <c r="AG2819" s="37"/>
      <c r="AH2819" s="37"/>
      <c r="AI2819" s="37"/>
      <c r="AJ2819" s="37"/>
      <c r="AK2819" s="37"/>
      <c r="AL2819" s="37"/>
      <c r="AM2819" s="37"/>
      <c r="AN2819" s="37"/>
      <c r="AO2819" s="37"/>
      <c r="AP2819" s="37"/>
      <c r="AQ2819" s="37"/>
      <c r="AR2819" s="37"/>
      <c r="AS2819" s="37"/>
      <c r="AT2819" s="37"/>
      <c r="AU2819" s="37"/>
      <c r="AV2819" s="37"/>
      <c r="AW2819" s="37"/>
      <c r="AX2819" s="37"/>
      <c r="AY2819" s="37"/>
      <c r="AZ2819" s="37"/>
      <c r="BA2819" s="37"/>
      <c r="BB2819" s="37"/>
      <c r="BC2819" s="37"/>
      <c r="BD2819" s="37"/>
      <c r="BE2819" s="37"/>
      <c r="BF2819" s="37"/>
      <c r="BG2819" s="37"/>
      <c r="BH2819" s="37"/>
      <c r="BI2819" s="37"/>
      <c r="BJ2819" s="37"/>
      <c r="BK2819" s="37"/>
      <c r="BL2819" s="37"/>
      <c r="BM2819" s="37"/>
    </row>
    <row r="2820" spans="1:65" s="40" customFormat="1" ht="23.25" x14ac:dyDescent="0.35">
      <c r="A2820" s="37"/>
      <c r="B2820" s="37"/>
      <c r="C2820" s="41"/>
      <c r="D2820" s="38"/>
      <c r="E2820" s="57"/>
      <c r="F2820" s="42"/>
      <c r="G2820" s="43"/>
      <c r="H2820" s="37"/>
      <c r="I2820" s="37"/>
      <c r="J2820" s="38"/>
      <c r="K2820" s="37"/>
      <c r="L2820" s="38"/>
      <c r="M2820" s="39"/>
      <c r="P2820" s="37"/>
      <c r="Q2820" s="37"/>
      <c r="R2820" s="37"/>
      <c r="S2820" s="37"/>
      <c r="T2820" s="37"/>
      <c r="U2820" s="37"/>
      <c r="V2820" s="37"/>
      <c r="W2820" s="37"/>
      <c r="X2820" s="37"/>
      <c r="Y2820" s="37"/>
      <c r="Z2820" s="37"/>
      <c r="AA2820" s="37"/>
      <c r="AB2820" s="37"/>
      <c r="AC2820" s="37"/>
      <c r="AD2820" s="37"/>
      <c r="AE2820" s="37"/>
      <c r="AF2820" s="37"/>
      <c r="AG2820" s="37"/>
      <c r="AH2820" s="37"/>
      <c r="AI2820" s="37"/>
      <c r="AJ2820" s="37"/>
      <c r="AK2820" s="37"/>
      <c r="AL2820" s="37"/>
      <c r="AM2820" s="37"/>
      <c r="AN2820" s="37"/>
      <c r="AO2820" s="37"/>
      <c r="AP2820" s="37"/>
      <c r="AQ2820" s="37"/>
      <c r="AR2820" s="37"/>
      <c r="AS2820" s="37"/>
      <c r="AT2820" s="37"/>
      <c r="AU2820" s="37"/>
      <c r="AV2820" s="37"/>
      <c r="AW2820" s="37"/>
      <c r="AX2820" s="37"/>
      <c r="AY2820" s="37"/>
      <c r="AZ2820" s="37"/>
      <c r="BA2820" s="37"/>
      <c r="BB2820" s="37"/>
      <c r="BC2820" s="37"/>
      <c r="BD2820" s="37"/>
      <c r="BE2820" s="37"/>
      <c r="BF2820" s="37"/>
      <c r="BG2820" s="37"/>
      <c r="BH2820" s="37"/>
      <c r="BI2820" s="37"/>
      <c r="BJ2820" s="37"/>
      <c r="BK2820" s="37"/>
      <c r="BL2820" s="37"/>
      <c r="BM2820" s="37"/>
    </row>
    <row r="2821" spans="1:65" s="40" customFormat="1" ht="23.25" x14ac:dyDescent="0.35">
      <c r="A2821" s="37"/>
      <c r="B2821" s="37"/>
      <c r="C2821" s="41"/>
      <c r="D2821" s="38"/>
      <c r="E2821" s="57"/>
      <c r="F2821" s="42"/>
      <c r="G2821" s="43"/>
      <c r="H2821" s="37"/>
      <c r="I2821" s="37"/>
      <c r="J2821" s="38"/>
      <c r="K2821" s="37"/>
      <c r="L2821" s="38"/>
      <c r="M2821" s="39"/>
      <c r="P2821" s="37"/>
      <c r="Q2821" s="37"/>
      <c r="R2821" s="37"/>
      <c r="S2821" s="37"/>
      <c r="T2821" s="37"/>
      <c r="U2821" s="37"/>
      <c r="V2821" s="37"/>
      <c r="W2821" s="37"/>
      <c r="X2821" s="37"/>
      <c r="Y2821" s="37"/>
      <c r="Z2821" s="37"/>
      <c r="AA2821" s="37"/>
      <c r="AB2821" s="37"/>
      <c r="AC2821" s="37"/>
      <c r="AD2821" s="37"/>
      <c r="AE2821" s="37"/>
      <c r="AF2821" s="37"/>
      <c r="AG2821" s="37"/>
      <c r="AH2821" s="37"/>
      <c r="AI2821" s="37"/>
      <c r="AJ2821" s="37"/>
      <c r="AK2821" s="37"/>
      <c r="AL2821" s="37"/>
      <c r="AM2821" s="37"/>
      <c r="AN2821" s="37"/>
      <c r="AO2821" s="37"/>
      <c r="AP2821" s="37"/>
      <c r="AQ2821" s="37"/>
      <c r="AR2821" s="37"/>
      <c r="AS2821" s="37"/>
      <c r="AT2821" s="37"/>
      <c r="AU2821" s="37"/>
      <c r="AV2821" s="37"/>
      <c r="AW2821" s="37"/>
      <c r="AX2821" s="37"/>
      <c r="AY2821" s="37"/>
      <c r="AZ2821" s="37"/>
      <c r="BA2821" s="37"/>
      <c r="BB2821" s="37"/>
      <c r="BC2821" s="37"/>
      <c r="BD2821" s="37"/>
      <c r="BE2821" s="37"/>
      <c r="BF2821" s="37"/>
      <c r="BG2821" s="37"/>
      <c r="BH2821" s="37"/>
      <c r="BI2821" s="37"/>
      <c r="BJ2821" s="37"/>
      <c r="BK2821" s="37"/>
      <c r="BL2821" s="37"/>
      <c r="BM2821" s="37"/>
    </row>
    <row r="2822" spans="1:65" s="40" customFormat="1" ht="23.25" x14ac:dyDescent="0.35">
      <c r="A2822" s="37"/>
      <c r="B2822" s="37"/>
      <c r="C2822" s="41"/>
      <c r="D2822" s="38"/>
      <c r="E2822" s="57"/>
      <c r="F2822" s="42"/>
      <c r="G2822" s="43"/>
      <c r="H2822" s="37"/>
      <c r="I2822" s="37"/>
      <c r="J2822" s="38"/>
      <c r="K2822" s="37"/>
      <c r="L2822" s="38"/>
      <c r="M2822" s="39"/>
      <c r="P2822" s="37"/>
      <c r="Q2822" s="37"/>
      <c r="R2822" s="37"/>
      <c r="S2822" s="37"/>
      <c r="T2822" s="37"/>
      <c r="U2822" s="37"/>
      <c r="V2822" s="37"/>
      <c r="W2822" s="37"/>
      <c r="X2822" s="37"/>
      <c r="Y2822" s="37"/>
      <c r="Z2822" s="37"/>
      <c r="AA2822" s="37"/>
      <c r="AB2822" s="37"/>
      <c r="AC2822" s="37"/>
      <c r="AD2822" s="37"/>
      <c r="AE2822" s="37"/>
      <c r="AF2822" s="37"/>
      <c r="AG2822" s="37"/>
      <c r="AH2822" s="37"/>
      <c r="AI2822" s="37"/>
      <c r="AJ2822" s="37"/>
      <c r="AK2822" s="37"/>
      <c r="AL2822" s="37"/>
      <c r="AM2822" s="37"/>
      <c r="AN2822" s="37"/>
      <c r="AO2822" s="37"/>
      <c r="AP2822" s="37"/>
      <c r="AQ2822" s="37"/>
      <c r="AR2822" s="37"/>
      <c r="AS2822" s="37"/>
      <c r="AT2822" s="37"/>
      <c r="AU2822" s="37"/>
      <c r="AV2822" s="37"/>
      <c r="AW2822" s="37"/>
      <c r="AX2822" s="37"/>
      <c r="AY2822" s="37"/>
      <c r="AZ2822" s="37"/>
      <c r="BA2822" s="37"/>
      <c r="BB2822" s="37"/>
      <c r="BC2822" s="37"/>
      <c r="BD2822" s="37"/>
      <c r="BE2822" s="37"/>
      <c r="BF2822" s="37"/>
      <c r="BG2822" s="37"/>
      <c r="BH2822" s="37"/>
      <c r="BI2822" s="37"/>
      <c r="BJ2822" s="37"/>
      <c r="BK2822" s="37"/>
      <c r="BL2822" s="37"/>
      <c r="BM2822" s="37"/>
    </row>
    <row r="2823" spans="1:65" s="40" customFormat="1" ht="23.25" x14ac:dyDescent="0.35">
      <c r="A2823" s="37"/>
      <c r="B2823" s="37"/>
      <c r="C2823" s="41"/>
      <c r="D2823" s="38"/>
      <c r="E2823" s="57"/>
      <c r="F2823" s="42"/>
      <c r="G2823" s="43"/>
      <c r="H2823" s="37"/>
      <c r="I2823" s="37"/>
      <c r="J2823" s="38"/>
      <c r="K2823" s="37"/>
      <c r="L2823" s="38"/>
      <c r="M2823" s="39"/>
      <c r="P2823" s="37"/>
      <c r="Q2823" s="37"/>
      <c r="R2823" s="37"/>
      <c r="S2823" s="37"/>
      <c r="T2823" s="37"/>
      <c r="U2823" s="37"/>
      <c r="V2823" s="37"/>
      <c r="W2823" s="37"/>
      <c r="X2823" s="37"/>
      <c r="Y2823" s="37"/>
      <c r="Z2823" s="37"/>
      <c r="AA2823" s="37"/>
      <c r="AB2823" s="37"/>
      <c r="AC2823" s="37"/>
      <c r="AD2823" s="37"/>
      <c r="AE2823" s="37"/>
      <c r="AF2823" s="37"/>
      <c r="AG2823" s="37"/>
      <c r="AH2823" s="37"/>
      <c r="AI2823" s="37"/>
      <c r="AJ2823" s="37"/>
      <c r="AK2823" s="37"/>
      <c r="AL2823" s="37"/>
      <c r="AM2823" s="37"/>
      <c r="AN2823" s="37"/>
      <c r="AO2823" s="37"/>
      <c r="AP2823" s="37"/>
      <c r="AQ2823" s="37"/>
      <c r="AR2823" s="37"/>
      <c r="AS2823" s="37"/>
      <c r="AT2823" s="37"/>
      <c r="AU2823" s="37"/>
      <c r="AV2823" s="37"/>
      <c r="AW2823" s="37"/>
      <c r="AX2823" s="37"/>
      <c r="AY2823" s="37"/>
      <c r="AZ2823" s="37"/>
      <c r="BA2823" s="37"/>
      <c r="BB2823" s="37"/>
      <c r="BC2823" s="37"/>
      <c r="BD2823" s="37"/>
      <c r="BE2823" s="37"/>
      <c r="BF2823" s="37"/>
      <c r="BG2823" s="37"/>
      <c r="BH2823" s="37"/>
      <c r="BI2823" s="37"/>
      <c r="BJ2823" s="37"/>
      <c r="BK2823" s="37"/>
      <c r="BL2823" s="37"/>
      <c r="BM2823" s="37"/>
    </row>
    <row r="2824" spans="1:65" s="40" customFormat="1" ht="23.25" x14ac:dyDescent="0.35">
      <c r="A2824" s="37"/>
      <c r="B2824" s="37"/>
      <c r="C2824" s="41"/>
      <c r="D2824" s="38"/>
      <c r="E2824" s="57"/>
      <c r="F2824" s="42"/>
      <c r="G2824" s="43"/>
      <c r="H2824" s="37"/>
      <c r="I2824" s="37"/>
      <c r="J2824" s="38"/>
      <c r="K2824" s="37"/>
      <c r="L2824" s="38"/>
      <c r="M2824" s="39"/>
      <c r="P2824" s="37"/>
      <c r="Q2824" s="37"/>
      <c r="R2824" s="37"/>
      <c r="S2824" s="37"/>
      <c r="T2824" s="37"/>
      <c r="U2824" s="37"/>
      <c r="V2824" s="37"/>
      <c r="W2824" s="37"/>
      <c r="X2824" s="37"/>
      <c r="Y2824" s="37"/>
      <c r="Z2824" s="37"/>
      <c r="AA2824" s="37"/>
      <c r="AB2824" s="37"/>
      <c r="AC2824" s="37"/>
      <c r="AD2824" s="37"/>
      <c r="AE2824" s="37"/>
      <c r="AF2824" s="37"/>
      <c r="AG2824" s="37"/>
      <c r="AH2824" s="37"/>
      <c r="AI2824" s="37"/>
      <c r="AJ2824" s="37"/>
      <c r="AK2824" s="37"/>
      <c r="AL2824" s="37"/>
      <c r="AM2824" s="37"/>
      <c r="AN2824" s="37"/>
      <c r="AO2824" s="37"/>
      <c r="AP2824" s="37"/>
      <c r="AQ2824" s="37"/>
      <c r="AR2824" s="37"/>
      <c r="AS2824" s="37"/>
      <c r="AT2824" s="37"/>
      <c r="AU2824" s="37"/>
      <c r="AV2824" s="37"/>
      <c r="AW2824" s="37"/>
      <c r="AX2824" s="37"/>
      <c r="AY2824" s="37"/>
      <c r="AZ2824" s="37"/>
      <c r="BA2824" s="37"/>
      <c r="BB2824" s="37"/>
      <c r="BC2824" s="37"/>
      <c r="BD2824" s="37"/>
      <c r="BE2824" s="37"/>
      <c r="BF2824" s="37"/>
      <c r="BG2824" s="37"/>
      <c r="BH2824" s="37"/>
      <c r="BI2824" s="37"/>
      <c r="BJ2824" s="37"/>
      <c r="BK2824" s="37"/>
      <c r="BL2824" s="37"/>
      <c r="BM2824" s="37"/>
    </row>
    <row r="2825" spans="1:65" s="40" customFormat="1" ht="23.25" x14ac:dyDescent="0.35">
      <c r="A2825" s="37"/>
      <c r="B2825" s="37"/>
      <c r="C2825" s="41"/>
      <c r="D2825" s="38"/>
      <c r="E2825" s="57"/>
      <c r="F2825" s="42"/>
      <c r="G2825" s="43"/>
      <c r="H2825" s="37"/>
      <c r="I2825" s="37"/>
      <c r="J2825" s="38"/>
      <c r="K2825" s="37"/>
      <c r="L2825" s="38"/>
      <c r="M2825" s="39"/>
      <c r="P2825" s="37"/>
      <c r="Q2825" s="37"/>
      <c r="R2825" s="37"/>
      <c r="S2825" s="37"/>
      <c r="T2825" s="37"/>
      <c r="U2825" s="37"/>
      <c r="V2825" s="37"/>
      <c r="W2825" s="37"/>
      <c r="X2825" s="37"/>
      <c r="Y2825" s="37"/>
      <c r="Z2825" s="37"/>
      <c r="AA2825" s="37"/>
      <c r="AB2825" s="37"/>
      <c r="AC2825" s="37"/>
      <c r="AD2825" s="37"/>
      <c r="AE2825" s="37"/>
      <c r="AF2825" s="37"/>
      <c r="AG2825" s="37"/>
      <c r="AH2825" s="37"/>
      <c r="AI2825" s="37"/>
      <c r="AJ2825" s="37"/>
      <c r="AK2825" s="37"/>
      <c r="AL2825" s="37"/>
      <c r="AM2825" s="37"/>
      <c r="AN2825" s="37"/>
      <c r="AO2825" s="37"/>
      <c r="AP2825" s="37"/>
      <c r="AQ2825" s="37"/>
      <c r="AR2825" s="37"/>
      <c r="AS2825" s="37"/>
      <c r="AT2825" s="37"/>
      <c r="AU2825" s="37"/>
      <c r="AV2825" s="37"/>
      <c r="AW2825" s="37"/>
      <c r="AX2825" s="37"/>
      <c r="AY2825" s="37"/>
      <c r="AZ2825" s="37"/>
      <c r="BA2825" s="37"/>
      <c r="BB2825" s="37"/>
      <c r="BC2825" s="37"/>
      <c r="BD2825" s="37"/>
      <c r="BE2825" s="37"/>
      <c r="BF2825" s="37"/>
      <c r="BG2825" s="37"/>
      <c r="BH2825" s="37"/>
      <c r="BI2825" s="37"/>
      <c r="BJ2825" s="37"/>
      <c r="BK2825" s="37"/>
      <c r="BL2825" s="37"/>
      <c r="BM2825" s="37"/>
    </row>
    <row r="2826" spans="1:65" s="40" customFormat="1" ht="23.25" x14ac:dyDescent="0.35">
      <c r="A2826" s="37"/>
      <c r="B2826" s="37"/>
      <c r="C2826" s="41"/>
      <c r="D2826" s="38"/>
      <c r="E2826" s="57"/>
      <c r="F2826" s="42"/>
      <c r="G2826" s="43"/>
      <c r="H2826" s="37"/>
      <c r="I2826" s="37"/>
      <c r="J2826" s="38"/>
      <c r="K2826" s="37"/>
      <c r="L2826" s="38"/>
      <c r="M2826" s="39"/>
      <c r="P2826" s="37"/>
      <c r="Q2826" s="37"/>
      <c r="R2826" s="37"/>
      <c r="S2826" s="37"/>
      <c r="T2826" s="37"/>
      <c r="U2826" s="37"/>
      <c r="V2826" s="37"/>
      <c r="W2826" s="37"/>
      <c r="X2826" s="37"/>
      <c r="Y2826" s="37"/>
      <c r="Z2826" s="37"/>
      <c r="AA2826" s="37"/>
      <c r="AB2826" s="37"/>
      <c r="AC2826" s="37"/>
      <c r="AD2826" s="37"/>
      <c r="AE2826" s="37"/>
      <c r="AF2826" s="37"/>
      <c r="AG2826" s="37"/>
      <c r="AH2826" s="37"/>
      <c r="AI2826" s="37"/>
      <c r="AJ2826" s="37"/>
      <c r="AK2826" s="37"/>
      <c r="AL2826" s="37"/>
      <c r="AM2826" s="37"/>
      <c r="AN2826" s="37"/>
      <c r="AO2826" s="37"/>
      <c r="AP2826" s="37"/>
      <c r="AQ2826" s="37"/>
      <c r="AR2826" s="37"/>
      <c r="AS2826" s="37"/>
      <c r="AT2826" s="37"/>
      <c r="AU2826" s="37"/>
      <c r="AV2826" s="37"/>
      <c r="AW2826" s="37"/>
      <c r="AX2826" s="37"/>
      <c r="AY2826" s="37"/>
      <c r="AZ2826" s="37"/>
      <c r="BA2826" s="37"/>
      <c r="BB2826" s="37"/>
      <c r="BC2826" s="37"/>
      <c r="BD2826" s="37"/>
      <c r="BE2826" s="37"/>
      <c r="BF2826" s="37"/>
      <c r="BG2826" s="37"/>
      <c r="BH2826" s="37"/>
      <c r="BI2826" s="37"/>
      <c r="BJ2826" s="37"/>
      <c r="BK2826" s="37"/>
      <c r="BL2826" s="37"/>
      <c r="BM2826" s="37"/>
    </row>
    <row r="2827" spans="1:65" s="40" customFormat="1" ht="23.25" x14ac:dyDescent="0.35">
      <c r="A2827" s="37"/>
      <c r="B2827" s="37"/>
      <c r="C2827" s="41"/>
      <c r="D2827" s="38"/>
      <c r="E2827" s="57"/>
      <c r="F2827" s="42"/>
      <c r="G2827" s="43"/>
      <c r="H2827" s="37"/>
      <c r="I2827" s="37"/>
      <c r="J2827" s="38"/>
      <c r="K2827" s="37"/>
      <c r="L2827" s="38"/>
      <c r="M2827" s="39"/>
      <c r="P2827" s="37"/>
      <c r="Q2827" s="37"/>
      <c r="R2827" s="37"/>
      <c r="S2827" s="37"/>
      <c r="T2827" s="37"/>
      <c r="U2827" s="37"/>
      <c r="V2827" s="37"/>
      <c r="W2827" s="37"/>
      <c r="X2827" s="37"/>
      <c r="Y2827" s="37"/>
      <c r="Z2827" s="37"/>
      <c r="AA2827" s="37"/>
      <c r="AB2827" s="37"/>
      <c r="AC2827" s="37"/>
      <c r="AD2827" s="37"/>
      <c r="AE2827" s="37"/>
      <c r="AF2827" s="37"/>
      <c r="AG2827" s="37"/>
      <c r="AH2827" s="37"/>
      <c r="AI2827" s="37"/>
      <c r="AJ2827" s="37"/>
      <c r="AK2827" s="37"/>
      <c r="AL2827" s="37"/>
      <c r="AM2827" s="37"/>
      <c r="AN2827" s="37"/>
      <c r="AO2827" s="37"/>
      <c r="AP2827" s="37"/>
      <c r="AQ2827" s="37"/>
      <c r="AR2827" s="37"/>
      <c r="AS2827" s="37"/>
      <c r="AT2827" s="37"/>
      <c r="AU2827" s="37"/>
      <c r="AV2827" s="37"/>
      <c r="AW2827" s="37"/>
      <c r="AX2827" s="37"/>
      <c r="AY2827" s="37"/>
      <c r="AZ2827" s="37"/>
      <c r="BA2827" s="37"/>
      <c r="BB2827" s="37"/>
      <c r="BC2827" s="37"/>
      <c r="BD2827" s="37"/>
      <c r="BE2827" s="37"/>
      <c r="BF2827" s="37"/>
      <c r="BG2827" s="37"/>
      <c r="BH2827" s="37"/>
      <c r="BI2827" s="37"/>
      <c r="BJ2827" s="37"/>
      <c r="BK2827" s="37"/>
      <c r="BL2827" s="37"/>
      <c r="BM2827" s="37"/>
    </row>
    <row r="2828" spans="1:65" s="40" customFormat="1" ht="23.25" x14ac:dyDescent="0.35">
      <c r="A2828" s="37"/>
      <c r="B2828" s="37"/>
      <c r="C2828" s="41"/>
      <c r="D2828" s="38"/>
      <c r="E2828" s="57"/>
      <c r="F2828" s="42"/>
      <c r="G2828" s="43"/>
      <c r="H2828" s="37"/>
      <c r="I2828" s="37"/>
      <c r="J2828" s="38"/>
      <c r="K2828" s="37"/>
      <c r="L2828" s="38"/>
      <c r="M2828" s="39"/>
      <c r="P2828" s="37"/>
      <c r="Q2828" s="37"/>
      <c r="R2828" s="37"/>
      <c r="S2828" s="37"/>
      <c r="T2828" s="37"/>
      <c r="U2828" s="37"/>
      <c r="V2828" s="37"/>
      <c r="W2828" s="37"/>
      <c r="X2828" s="37"/>
      <c r="Y2828" s="37"/>
      <c r="Z2828" s="37"/>
      <c r="AA2828" s="37"/>
      <c r="AB2828" s="37"/>
      <c r="AC2828" s="37"/>
      <c r="AD2828" s="37"/>
      <c r="AE2828" s="37"/>
      <c r="AF2828" s="37"/>
      <c r="AG2828" s="37"/>
      <c r="AH2828" s="37"/>
      <c r="AI2828" s="37"/>
      <c r="AJ2828" s="37"/>
      <c r="AK2828" s="37"/>
      <c r="AL2828" s="37"/>
      <c r="AM2828" s="37"/>
      <c r="AN2828" s="37"/>
      <c r="AO2828" s="37"/>
      <c r="AP2828" s="37"/>
      <c r="AQ2828" s="37"/>
      <c r="AR2828" s="37"/>
      <c r="AS2828" s="37"/>
      <c r="AT2828" s="37"/>
      <c r="AU2828" s="37"/>
      <c r="AV2828" s="37"/>
      <c r="AW2828" s="37"/>
      <c r="AX2828" s="37"/>
      <c r="AY2828" s="37"/>
      <c r="AZ2828" s="37"/>
      <c r="BA2828" s="37"/>
      <c r="BB2828" s="37"/>
      <c r="BC2828" s="37"/>
      <c r="BD2828" s="37"/>
      <c r="BE2828" s="37"/>
      <c r="BF2828" s="37"/>
      <c r="BG2828" s="37"/>
      <c r="BH2828" s="37"/>
      <c r="BI2828" s="37"/>
      <c r="BJ2828" s="37"/>
      <c r="BK2828" s="37"/>
      <c r="BL2828" s="37"/>
      <c r="BM2828" s="37"/>
    </row>
    <row r="2829" spans="1:65" s="40" customFormat="1" ht="23.25" x14ac:dyDescent="0.35">
      <c r="A2829" s="37"/>
      <c r="B2829" s="37"/>
      <c r="C2829" s="41"/>
      <c r="D2829" s="38"/>
      <c r="E2829" s="57"/>
      <c r="F2829" s="42"/>
      <c r="G2829" s="43"/>
      <c r="H2829" s="37"/>
      <c r="I2829" s="37"/>
      <c r="J2829" s="38"/>
      <c r="K2829" s="37"/>
      <c r="L2829" s="38"/>
      <c r="M2829" s="39"/>
      <c r="P2829" s="37"/>
      <c r="Q2829" s="37"/>
      <c r="R2829" s="37"/>
      <c r="S2829" s="37"/>
      <c r="T2829" s="37"/>
      <c r="U2829" s="37"/>
      <c r="V2829" s="37"/>
      <c r="W2829" s="37"/>
      <c r="X2829" s="37"/>
      <c r="Y2829" s="37"/>
      <c r="Z2829" s="37"/>
      <c r="AA2829" s="37"/>
      <c r="AB2829" s="37"/>
      <c r="AC2829" s="37"/>
      <c r="AD2829" s="37"/>
      <c r="AE2829" s="37"/>
      <c r="AF2829" s="37"/>
      <c r="AG2829" s="37"/>
      <c r="AH2829" s="37"/>
      <c r="AI2829" s="37"/>
      <c r="AJ2829" s="37"/>
      <c r="AK2829" s="37"/>
      <c r="AL2829" s="37"/>
      <c r="AM2829" s="37"/>
      <c r="AN2829" s="37"/>
      <c r="AO2829" s="37"/>
      <c r="AP2829" s="37"/>
      <c r="AQ2829" s="37"/>
      <c r="AR2829" s="37"/>
      <c r="AS2829" s="37"/>
      <c r="AT2829" s="37"/>
      <c r="AU2829" s="37"/>
      <c r="AV2829" s="37"/>
      <c r="AW2829" s="37"/>
      <c r="AX2829" s="37"/>
      <c r="AY2829" s="37"/>
      <c r="AZ2829" s="37"/>
      <c r="BA2829" s="37"/>
      <c r="BB2829" s="37"/>
      <c r="BC2829" s="37"/>
      <c r="BD2829" s="37"/>
      <c r="BE2829" s="37"/>
      <c r="BF2829" s="37"/>
      <c r="BG2829" s="37"/>
      <c r="BH2829" s="37"/>
      <c r="BI2829" s="37"/>
      <c r="BJ2829" s="37"/>
      <c r="BK2829" s="37"/>
      <c r="BL2829" s="37"/>
      <c r="BM2829" s="37"/>
    </row>
    <row r="2830" spans="1:65" s="40" customFormat="1" ht="23.25" x14ac:dyDescent="0.35">
      <c r="A2830" s="37"/>
      <c r="B2830" s="37"/>
      <c r="C2830" s="41"/>
      <c r="D2830" s="38"/>
      <c r="E2830" s="57"/>
      <c r="F2830" s="42"/>
      <c r="G2830" s="43"/>
      <c r="H2830" s="37"/>
      <c r="I2830" s="37"/>
      <c r="J2830" s="38"/>
      <c r="K2830" s="37"/>
      <c r="L2830" s="38"/>
      <c r="M2830" s="39"/>
      <c r="P2830" s="37"/>
      <c r="Q2830" s="37"/>
      <c r="R2830" s="37"/>
      <c r="S2830" s="37"/>
      <c r="T2830" s="37"/>
      <c r="U2830" s="37"/>
      <c r="V2830" s="37"/>
      <c r="W2830" s="37"/>
      <c r="X2830" s="37"/>
      <c r="Y2830" s="37"/>
      <c r="Z2830" s="37"/>
      <c r="AA2830" s="37"/>
      <c r="AB2830" s="37"/>
      <c r="AC2830" s="37"/>
      <c r="AD2830" s="37"/>
      <c r="AE2830" s="37"/>
      <c r="AF2830" s="37"/>
      <c r="AG2830" s="37"/>
      <c r="AH2830" s="37"/>
      <c r="AI2830" s="37"/>
      <c r="AJ2830" s="37"/>
      <c r="AK2830" s="37"/>
      <c r="AL2830" s="37"/>
      <c r="AM2830" s="37"/>
      <c r="AN2830" s="37"/>
      <c r="AO2830" s="37"/>
      <c r="AP2830" s="37"/>
      <c r="AQ2830" s="37"/>
      <c r="AR2830" s="37"/>
      <c r="AS2830" s="37"/>
      <c r="AT2830" s="37"/>
      <c r="AU2830" s="37"/>
      <c r="AV2830" s="37"/>
      <c r="AW2830" s="37"/>
      <c r="AX2830" s="37"/>
      <c r="AY2830" s="37"/>
      <c r="AZ2830" s="37"/>
      <c r="BA2830" s="37"/>
      <c r="BB2830" s="37"/>
      <c r="BC2830" s="37"/>
      <c r="BD2830" s="37"/>
      <c r="BE2830" s="37"/>
      <c r="BF2830" s="37"/>
      <c r="BG2830" s="37"/>
      <c r="BH2830" s="37"/>
      <c r="BI2830" s="37"/>
      <c r="BJ2830" s="37"/>
      <c r="BK2830" s="37"/>
      <c r="BL2830" s="37"/>
      <c r="BM2830" s="37"/>
    </row>
    <row r="2831" spans="1:65" s="40" customFormat="1" ht="23.25" x14ac:dyDescent="0.35">
      <c r="A2831" s="37"/>
      <c r="B2831" s="37"/>
      <c r="C2831" s="41"/>
      <c r="D2831" s="38"/>
      <c r="E2831" s="57"/>
      <c r="F2831" s="42"/>
      <c r="G2831" s="43"/>
      <c r="H2831" s="37"/>
      <c r="I2831" s="37"/>
      <c r="J2831" s="38"/>
      <c r="K2831" s="37"/>
      <c r="L2831" s="38"/>
      <c r="M2831" s="39"/>
      <c r="P2831" s="37"/>
      <c r="Q2831" s="37"/>
      <c r="R2831" s="37"/>
      <c r="S2831" s="37"/>
      <c r="T2831" s="37"/>
      <c r="U2831" s="37"/>
      <c r="V2831" s="37"/>
      <c r="W2831" s="37"/>
      <c r="X2831" s="37"/>
      <c r="Y2831" s="37"/>
      <c r="Z2831" s="37"/>
      <c r="AA2831" s="37"/>
      <c r="AB2831" s="37"/>
      <c r="AC2831" s="37"/>
      <c r="AD2831" s="37"/>
      <c r="AE2831" s="37"/>
      <c r="AF2831" s="37"/>
      <c r="AG2831" s="37"/>
      <c r="AH2831" s="37"/>
      <c r="AI2831" s="37"/>
      <c r="AJ2831" s="37"/>
      <c r="AK2831" s="37"/>
      <c r="AL2831" s="37"/>
      <c r="AM2831" s="37"/>
      <c r="AN2831" s="37"/>
      <c r="AO2831" s="37"/>
      <c r="AP2831" s="37"/>
      <c r="AQ2831" s="37"/>
      <c r="AR2831" s="37"/>
      <c r="AS2831" s="37"/>
      <c r="AT2831" s="37"/>
      <c r="AU2831" s="37"/>
      <c r="AV2831" s="37"/>
      <c r="AW2831" s="37"/>
      <c r="AX2831" s="37"/>
      <c r="AY2831" s="37"/>
      <c r="AZ2831" s="37"/>
      <c r="BA2831" s="37"/>
      <c r="BB2831" s="37"/>
      <c r="BC2831" s="37"/>
      <c r="BD2831" s="37"/>
      <c r="BE2831" s="37"/>
      <c r="BF2831" s="37"/>
      <c r="BG2831" s="37"/>
      <c r="BH2831" s="37"/>
      <c r="BI2831" s="37"/>
      <c r="BJ2831" s="37"/>
      <c r="BK2831" s="37"/>
      <c r="BL2831" s="37"/>
      <c r="BM2831" s="37"/>
    </row>
    <row r="2832" spans="1:65" s="40" customFormat="1" ht="23.25" x14ac:dyDescent="0.35">
      <c r="A2832" s="37"/>
      <c r="B2832" s="37"/>
      <c r="C2832" s="41"/>
      <c r="D2832" s="38"/>
      <c r="E2832" s="57"/>
      <c r="F2832" s="42"/>
      <c r="G2832" s="43"/>
      <c r="H2832" s="37"/>
      <c r="I2832" s="37"/>
      <c r="J2832" s="38"/>
      <c r="K2832" s="37"/>
      <c r="L2832" s="38"/>
      <c r="M2832" s="39"/>
      <c r="P2832" s="37"/>
      <c r="Q2832" s="37"/>
      <c r="R2832" s="37"/>
      <c r="S2832" s="37"/>
      <c r="T2832" s="37"/>
      <c r="U2832" s="37"/>
      <c r="V2832" s="37"/>
      <c r="W2832" s="37"/>
      <c r="X2832" s="37"/>
      <c r="Y2832" s="37"/>
      <c r="Z2832" s="37"/>
      <c r="AA2832" s="37"/>
      <c r="AB2832" s="37"/>
      <c r="AC2832" s="37"/>
      <c r="AD2832" s="37"/>
      <c r="AE2832" s="37"/>
      <c r="AF2832" s="37"/>
      <c r="AG2832" s="37"/>
      <c r="AH2832" s="37"/>
      <c r="AI2832" s="37"/>
      <c r="AJ2832" s="37"/>
      <c r="AK2832" s="37"/>
      <c r="AL2832" s="37"/>
      <c r="AM2832" s="37"/>
      <c r="AN2832" s="37"/>
      <c r="AO2832" s="37"/>
      <c r="AP2832" s="37"/>
      <c r="AQ2832" s="37"/>
      <c r="AR2832" s="37"/>
      <c r="AS2832" s="37"/>
      <c r="AT2832" s="37"/>
      <c r="AU2832" s="37"/>
      <c r="AV2832" s="37"/>
      <c r="AW2832" s="37"/>
      <c r="AX2832" s="37"/>
      <c r="AY2832" s="37"/>
      <c r="AZ2832" s="37"/>
      <c r="BA2832" s="37"/>
      <c r="BB2832" s="37"/>
      <c r="BC2832" s="37"/>
      <c r="BD2832" s="37"/>
      <c r="BE2832" s="37"/>
      <c r="BF2832" s="37"/>
      <c r="BG2832" s="37"/>
      <c r="BH2832" s="37"/>
      <c r="BI2832" s="37"/>
      <c r="BJ2832" s="37"/>
      <c r="BK2832" s="37"/>
      <c r="BL2832" s="37"/>
      <c r="BM2832" s="37"/>
    </row>
    <row r="2833" spans="1:65" s="40" customFormat="1" ht="23.25" x14ac:dyDescent="0.35">
      <c r="A2833" s="37"/>
      <c r="B2833" s="37"/>
      <c r="C2833" s="41"/>
      <c r="D2833" s="38"/>
      <c r="E2833" s="57"/>
      <c r="F2833" s="42"/>
      <c r="G2833" s="43"/>
      <c r="H2833" s="37"/>
      <c r="I2833" s="37"/>
      <c r="J2833" s="38"/>
      <c r="K2833" s="37"/>
      <c r="L2833" s="38"/>
      <c r="M2833" s="39"/>
      <c r="P2833" s="37"/>
      <c r="Q2833" s="37"/>
      <c r="R2833" s="37"/>
      <c r="S2833" s="37"/>
      <c r="T2833" s="37"/>
      <c r="U2833" s="37"/>
      <c r="V2833" s="37"/>
      <c r="W2833" s="37"/>
      <c r="X2833" s="37"/>
      <c r="Y2833" s="37"/>
      <c r="Z2833" s="37"/>
      <c r="AA2833" s="37"/>
      <c r="AB2833" s="37"/>
      <c r="AC2833" s="37"/>
      <c r="AD2833" s="37"/>
      <c r="AE2833" s="37"/>
      <c r="AF2833" s="37"/>
      <c r="AG2833" s="37"/>
      <c r="AH2833" s="37"/>
      <c r="AI2833" s="37"/>
      <c r="AJ2833" s="37"/>
      <c r="AK2833" s="37"/>
      <c r="AL2833" s="37"/>
      <c r="AM2833" s="37"/>
      <c r="AN2833" s="37"/>
      <c r="AO2833" s="37"/>
      <c r="AP2833" s="37"/>
      <c r="AQ2833" s="37"/>
      <c r="AR2833" s="37"/>
      <c r="AS2833" s="37"/>
      <c r="AT2833" s="37"/>
      <c r="AU2833" s="37"/>
      <c r="AV2833" s="37"/>
      <c r="AW2833" s="37"/>
      <c r="AX2833" s="37"/>
      <c r="AY2833" s="37"/>
      <c r="AZ2833" s="37"/>
      <c r="BA2833" s="37"/>
      <c r="BB2833" s="37"/>
      <c r="BC2833" s="37"/>
      <c r="BD2833" s="37"/>
      <c r="BE2833" s="37"/>
      <c r="BF2833" s="37"/>
      <c r="BG2833" s="37"/>
      <c r="BH2833" s="37"/>
      <c r="BI2833" s="37"/>
      <c r="BJ2833" s="37"/>
      <c r="BK2833" s="37"/>
      <c r="BL2833" s="37"/>
      <c r="BM2833" s="37"/>
    </row>
    <row r="2834" spans="1:65" s="40" customFormat="1" ht="23.25" x14ac:dyDescent="0.35">
      <c r="A2834" s="37"/>
      <c r="B2834" s="37"/>
      <c r="C2834" s="41"/>
      <c r="D2834" s="38"/>
      <c r="E2834" s="57"/>
      <c r="F2834" s="42"/>
      <c r="G2834" s="43"/>
      <c r="H2834" s="37"/>
      <c r="I2834" s="37"/>
      <c r="J2834" s="38"/>
      <c r="K2834" s="37"/>
      <c r="L2834" s="38"/>
      <c r="M2834" s="39"/>
      <c r="P2834" s="37"/>
      <c r="Q2834" s="37"/>
      <c r="R2834" s="37"/>
      <c r="S2834" s="37"/>
      <c r="T2834" s="37"/>
      <c r="U2834" s="37"/>
      <c r="V2834" s="37"/>
      <c r="W2834" s="37"/>
      <c r="X2834" s="37"/>
      <c r="Y2834" s="37"/>
      <c r="Z2834" s="37"/>
      <c r="AA2834" s="37"/>
      <c r="AB2834" s="37"/>
      <c r="AC2834" s="37"/>
      <c r="AD2834" s="37"/>
      <c r="AE2834" s="37"/>
      <c r="AF2834" s="37"/>
      <c r="AG2834" s="37"/>
      <c r="AH2834" s="37"/>
      <c r="AI2834" s="37"/>
      <c r="AJ2834" s="37"/>
      <c r="AK2834" s="37"/>
      <c r="AL2834" s="37"/>
      <c r="AM2834" s="37"/>
      <c r="AN2834" s="37"/>
      <c r="AO2834" s="37"/>
      <c r="AP2834" s="37"/>
      <c r="AQ2834" s="37"/>
      <c r="AR2834" s="37"/>
      <c r="AS2834" s="37"/>
      <c r="AT2834" s="37"/>
      <c r="AU2834" s="37"/>
      <c r="AV2834" s="37"/>
      <c r="AW2834" s="37"/>
      <c r="AX2834" s="37"/>
      <c r="AY2834" s="37"/>
      <c r="AZ2834" s="37"/>
      <c r="BA2834" s="37"/>
      <c r="BB2834" s="37"/>
      <c r="BC2834" s="37"/>
      <c r="BD2834" s="37"/>
      <c r="BE2834" s="37"/>
      <c r="BF2834" s="37"/>
      <c r="BG2834" s="37"/>
      <c r="BH2834" s="37"/>
      <c r="BI2834" s="37"/>
      <c r="BJ2834" s="37"/>
      <c r="BK2834" s="37"/>
      <c r="BL2834" s="37"/>
      <c r="BM2834" s="37"/>
    </row>
    <row r="2835" spans="1:65" s="40" customFormat="1" ht="23.25" x14ac:dyDescent="0.35">
      <c r="A2835" s="37"/>
      <c r="B2835" s="37"/>
      <c r="C2835" s="41"/>
      <c r="D2835" s="38"/>
      <c r="E2835" s="57"/>
      <c r="F2835" s="42"/>
      <c r="G2835" s="43"/>
      <c r="H2835" s="37"/>
      <c r="I2835" s="37"/>
      <c r="J2835" s="38"/>
      <c r="K2835" s="37"/>
      <c r="L2835" s="38"/>
      <c r="M2835" s="39"/>
      <c r="P2835" s="37"/>
      <c r="Q2835" s="37"/>
      <c r="R2835" s="37"/>
      <c r="S2835" s="37"/>
      <c r="T2835" s="37"/>
      <c r="U2835" s="37"/>
      <c r="V2835" s="37"/>
      <c r="W2835" s="37"/>
      <c r="X2835" s="37"/>
      <c r="Y2835" s="37"/>
      <c r="Z2835" s="37"/>
      <c r="AA2835" s="37"/>
      <c r="AB2835" s="37"/>
      <c r="AC2835" s="37"/>
      <c r="AD2835" s="37"/>
      <c r="AE2835" s="37"/>
      <c r="AF2835" s="37"/>
      <c r="AG2835" s="37"/>
      <c r="AH2835" s="37"/>
      <c r="AI2835" s="37"/>
      <c r="AJ2835" s="37"/>
      <c r="AK2835" s="37"/>
      <c r="AL2835" s="37"/>
      <c r="AM2835" s="37"/>
      <c r="AN2835" s="37"/>
      <c r="AO2835" s="37"/>
      <c r="AP2835" s="37"/>
      <c r="AQ2835" s="37"/>
      <c r="AR2835" s="37"/>
      <c r="AS2835" s="37"/>
      <c r="AT2835" s="37"/>
      <c r="AU2835" s="37"/>
      <c r="AV2835" s="37"/>
      <c r="AW2835" s="37"/>
      <c r="AX2835" s="37"/>
      <c r="AY2835" s="37"/>
      <c r="AZ2835" s="37"/>
      <c r="BA2835" s="37"/>
      <c r="BB2835" s="37"/>
      <c r="BC2835" s="37"/>
      <c r="BD2835" s="37"/>
      <c r="BE2835" s="37"/>
      <c r="BF2835" s="37"/>
      <c r="BG2835" s="37"/>
      <c r="BH2835" s="37"/>
      <c r="BI2835" s="37"/>
      <c r="BJ2835" s="37"/>
      <c r="BK2835" s="37"/>
      <c r="BL2835" s="37"/>
      <c r="BM2835" s="37"/>
    </row>
    <row r="2836" spans="1:65" s="40" customFormat="1" ht="23.25" x14ac:dyDescent="0.35">
      <c r="A2836" s="37"/>
      <c r="B2836" s="37"/>
      <c r="C2836" s="41"/>
      <c r="D2836" s="38"/>
      <c r="E2836" s="57"/>
      <c r="F2836" s="42"/>
      <c r="G2836" s="43"/>
      <c r="H2836" s="37"/>
      <c r="I2836" s="37"/>
      <c r="J2836" s="38"/>
      <c r="K2836" s="37"/>
      <c r="L2836" s="38"/>
      <c r="M2836" s="39"/>
      <c r="P2836" s="37"/>
      <c r="Q2836" s="37"/>
      <c r="R2836" s="37"/>
      <c r="S2836" s="37"/>
      <c r="T2836" s="37"/>
      <c r="U2836" s="37"/>
      <c r="V2836" s="37"/>
      <c r="W2836" s="37"/>
      <c r="X2836" s="37"/>
      <c r="Y2836" s="37"/>
      <c r="Z2836" s="37"/>
      <c r="AA2836" s="37"/>
      <c r="AB2836" s="37"/>
      <c r="AC2836" s="37"/>
      <c r="AD2836" s="37"/>
      <c r="AE2836" s="37"/>
      <c r="AF2836" s="37"/>
      <c r="AG2836" s="37"/>
      <c r="AH2836" s="37"/>
      <c r="AI2836" s="37"/>
      <c r="AJ2836" s="37"/>
      <c r="AK2836" s="37"/>
      <c r="AL2836" s="37"/>
      <c r="AM2836" s="37"/>
      <c r="AN2836" s="37"/>
      <c r="AO2836" s="37"/>
      <c r="AP2836" s="37"/>
      <c r="AQ2836" s="37"/>
      <c r="AR2836" s="37"/>
      <c r="AS2836" s="37"/>
      <c r="AT2836" s="37"/>
      <c r="AU2836" s="37"/>
      <c r="AV2836" s="37"/>
      <c r="AW2836" s="37"/>
      <c r="AX2836" s="37"/>
      <c r="AY2836" s="37"/>
      <c r="AZ2836" s="37"/>
      <c r="BA2836" s="37"/>
      <c r="BB2836" s="37"/>
      <c r="BC2836" s="37"/>
      <c r="BD2836" s="37"/>
      <c r="BE2836" s="37"/>
      <c r="BF2836" s="37"/>
      <c r="BG2836" s="37"/>
      <c r="BH2836" s="37"/>
      <c r="BI2836" s="37"/>
      <c r="BJ2836" s="37"/>
      <c r="BK2836" s="37"/>
      <c r="BL2836" s="37"/>
      <c r="BM2836" s="37"/>
    </row>
    <row r="2837" spans="1:65" s="40" customFormat="1" ht="23.25" x14ac:dyDescent="0.35">
      <c r="A2837" s="37"/>
      <c r="B2837" s="37"/>
      <c r="C2837" s="41"/>
      <c r="D2837" s="38"/>
      <c r="E2837" s="57"/>
      <c r="F2837" s="42"/>
      <c r="G2837" s="43"/>
      <c r="H2837" s="37"/>
      <c r="I2837" s="37"/>
      <c r="J2837" s="38"/>
      <c r="K2837" s="37"/>
      <c r="L2837" s="38"/>
      <c r="M2837" s="39"/>
      <c r="P2837" s="37"/>
      <c r="Q2837" s="37"/>
      <c r="R2837" s="37"/>
      <c r="S2837" s="37"/>
      <c r="T2837" s="37"/>
      <c r="U2837" s="37"/>
      <c r="V2837" s="37"/>
      <c r="W2837" s="37"/>
      <c r="X2837" s="37"/>
      <c r="Y2837" s="37"/>
      <c r="Z2837" s="37"/>
      <c r="AA2837" s="37"/>
      <c r="AB2837" s="37"/>
      <c r="AC2837" s="37"/>
      <c r="AD2837" s="37"/>
      <c r="AE2837" s="37"/>
      <c r="AF2837" s="37"/>
      <c r="AG2837" s="37"/>
      <c r="AH2837" s="37"/>
      <c r="AI2837" s="37"/>
      <c r="AJ2837" s="37"/>
      <c r="AK2837" s="37"/>
      <c r="AL2837" s="37"/>
      <c r="AM2837" s="37"/>
      <c r="AN2837" s="37"/>
      <c r="AO2837" s="37"/>
      <c r="AP2837" s="37"/>
      <c r="AQ2837" s="37"/>
      <c r="AR2837" s="37"/>
      <c r="AS2837" s="37"/>
      <c r="AT2837" s="37"/>
      <c r="AU2837" s="37"/>
      <c r="AV2837" s="37"/>
      <c r="AW2837" s="37"/>
      <c r="AX2837" s="37"/>
      <c r="AY2837" s="37"/>
      <c r="AZ2837" s="37"/>
      <c r="BA2837" s="37"/>
      <c r="BB2837" s="37"/>
      <c r="BC2837" s="37"/>
      <c r="BD2837" s="37"/>
      <c r="BE2837" s="37"/>
      <c r="BF2837" s="37"/>
      <c r="BG2837" s="37"/>
      <c r="BH2837" s="37"/>
      <c r="BI2837" s="37"/>
      <c r="BJ2837" s="37"/>
      <c r="BK2837" s="37"/>
      <c r="BL2837" s="37"/>
      <c r="BM2837" s="37"/>
    </row>
    <row r="2838" spans="1:65" s="40" customFormat="1" ht="23.25" x14ac:dyDescent="0.35">
      <c r="A2838" s="37"/>
      <c r="B2838" s="37"/>
      <c r="C2838" s="41"/>
      <c r="D2838" s="38"/>
      <c r="E2838" s="57"/>
      <c r="F2838" s="42"/>
      <c r="G2838" s="43"/>
      <c r="H2838" s="37"/>
      <c r="I2838" s="37"/>
      <c r="J2838" s="38"/>
      <c r="K2838" s="37"/>
      <c r="L2838" s="38"/>
      <c r="M2838" s="39"/>
      <c r="P2838" s="37"/>
      <c r="Q2838" s="37"/>
      <c r="R2838" s="37"/>
      <c r="S2838" s="37"/>
      <c r="T2838" s="37"/>
      <c r="U2838" s="37"/>
      <c r="V2838" s="37"/>
      <c r="W2838" s="37"/>
      <c r="X2838" s="37"/>
      <c r="Y2838" s="37"/>
      <c r="Z2838" s="37"/>
      <c r="AA2838" s="37"/>
      <c r="AB2838" s="37"/>
      <c r="AC2838" s="37"/>
      <c r="AD2838" s="37"/>
      <c r="AE2838" s="37"/>
      <c r="AF2838" s="37"/>
      <c r="AG2838" s="37"/>
      <c r="AH2838" s="37"/>
      <c r="AI2838" s="37"/>
      <c r="AJ2838" s="37"/>
      <c r="AK2838" s="37"/>
      <c r="AL2838" s="37"/>
      <c r="AM2838" s="37"/>
      <c r="AN2838" s="37"/>
      <c r="AO2838" s="37"/>
      <c r="AP2838" s="37"/>
      <c r="AQ2838" s="37"/>
      <c r="AR2838" s="37"/>
      <c r="AS2838" s="37"/>
      <c r="AT2838" s="37"/>
      <c r="AU2838" s="37"/>
      <c r="AV2838" s="37"/>
      <c r="AW2838" s="37"/>
      <c r="AX2838" s="37"/>
      <c r="AY2838" s="37"/>
      <c r="AZ2838" s="37"/>
      <c r="BA2838" s="37"/>
      <c r="BB2838" s="37"/>
      <c r="BC2838" s="37"/>
      <c r="BD2838" s="37"/>
      <c r="BE2838" s="37"/>
      <c r="BF2838" s="37"/>
      <c r="BG2838" s="37"/>
      <c r="BH2838" s="37"/>
      <c r="BI2838" s="37"/>
      <c r="BJ2838" s="37"/>
      <c r="BK2838" s="37"/>
      <c r="BL2838" s="37"/>
      <c r="BM2838" s="37"/>
    </row>
    <row r="2839" spans="1:65" s="40" customFormat="1" ht="23.25" x14ac:dyDescent="0.35">
      <c r="A2839" s="37"/>
      <c r="B2839" s="37"/>
      <c r="C2839" s="41"/>
      <c r="D2839" s="38"/>
      <c r="E2839" s="57"/>
      <c r="F2839" s="42"/>
      <c r="G2839" s="43"/>
      <c r="H2839" s="37"/>
      <c r="I2839" s="37"/>
      <c r="J2839" s="38"/>
      <c r="K2839" s="37"/>
      <c r="L2839" s="38"/>
      <c r="M2839" s="39"/>
      <c r="P2839" s="37"/>
      <c r="Q2839" s="37"/>
      <c r="R2839" s="37"/>
      <c r="S2839" s="37"/>
      <c r="T2839" s="37"/>
      <c r="U2839" s="37"/>
      <c r="V2839" s="37"/>
      <c r="W2839" s="37"/>
      <c r="X2839" s="37"/>
      <c r="Y2839" s="37"/>
      <c r="Z2839" s="37"/>
      <c r="AA2839" s="37"/>
      <c r="AB2839" s="37"/>
      <c r="AC2839" s="37"/>
      <c r="AD2839" s="37"/>
      <c r="AE2839" s="37"/>
      <c r="AF2839" s="37"/>
      <c r="AG2839" s="37"/>
      <c r="AH2839" s="37"/>
      <c r="AI2839" s="37"/>
      <c r="AJ2839" s="37"/>
      <c r="AK2839" s="37"/>
      <c r="AL2839" s="37"/>
      <c r="AM2839" s="37"/>
      <c r="AN2839" s="37"/>
      <c r="AO2839" s="37"/>
      <c r="AP2839" s="37"/>
      <c r="AQ2839" s="37"/>
      <c r="AR2839" s="37"/>
      <c r="AS2839" s="37"/>
      <c r="AT2839" s="37"/>
      <c r="AU2839" s="37"/>
      <c r="AV2839" s="37"/>
      <c r="AW2839" s="37"/>
      <c r="AX2839" s="37"/>
      <c r="AY2839" s="37"/>
      <c r="AZ2839" s="37"/>
      <c r="BA2839" s="37"/>
      <c r="BB2839" s="37"/>
      <c r="BC2839" s="37"/>
      <c r="BD2839" s="37"/>
      <c r="BE2839" s="37"/>
      <c r="BF2839" s="37"/>
      <c r="BG2839" s="37"/>
      <c r="BH2839" s="37"/>
      <c r="BI2839" s="37"/>
      <c r="BJ2839" s="37"/>
      <c r="BK2839" s="37"/>
      <c r="BL2839" s="37"/>
      <c r="BM2839" s="37"/>
    </row>
    <row r="2840" spans="1:65" s="40" customFormat="1" ht="23.25" x14ac:dyDescent="0.35">
      <c r="A2840" s="37"/>
      <c r="B2840" s="37"/>
      <c r="C2840" s="41"/>
      <c r="D2840" s="38"/>
      <c r="E2840" s="57"/>
      <c r="F2840" s="42"/>
      <c r="G2840" s="43"/>
      <c r="H2840" s="37"/>
      <c r="I2840" s="37"/>
      <c r="J2840" s="38"/>
      <c r="K2840" s="37"/>
      <c r="L2840" s="38"/>
      <c r="M2840" s="39"/>
      <c r="P2840" s="37"/>
      <c r="Q2840" s="37"/>
      <c r="R2840" s="37"/>
      <c r="S2840" s="37"/>
      <c r="T2840" s="37"/>
      <c r="U2840" s="37"/>
      <c r="V2840" s="37"/>
      <c r="W2840" s="37"/>
      <c r="X2840" s="37"/>
      <c r="Y2840" s="37"/>
      <c r="Z2840" s="37"/>
      <c r="AA2840" s="37"/>
      <c r="AB2840" s="37"/>
      <c r="AC2840" s="37"/>
      <c r="AD2840" s="37"/>
      <c r="AE2840" s="37"/>
      <c r="AF2840" s="37"/>
      <c r="AG2840" s="37"/>
      <c r="AH2840" s="37"/>
      <c r="AI2840" s="37"/>
      <c r="AJ2840" s="37"/>
      <c r="AK2840" s="37"/>
      <c r="AL2840" s="37"/>
      <c r="AM2840" s="37"/>
      <c r="AN2840" s="37"/>
      <c r="AO2840" s="37"/>
      <c r="AP2840" s="37"/>
      <c r="AQ2840" s="37"/>
      <c r="AR2840" s="37"/>
      <c r="AS2840" s="37"/>
      <c r="AT2840" s="37"/>
      <c r="AU2840" s="37"/>
      <c r="AV2840" s="37"/>
      <c r="AW2840" s="37"/>
      <c r="AX2840" s="37"/>
      <c r="AY2840" s="37"/>
      <c r="AZ2840" s="37"/>
      <c r="BA2840" s="37"/>
      <c r="BB2840" s="37"/>
      <c r="BC2840" s="37"/>
      <c r="BD2840" s="37"/>
      <c r="BE2840" s="37"/>
      <c r="BF2840" s="37"/>
      <c r="BG2840" s="37"/>
      <c r="BH2840" s="37"/>
      <c r="BI2840" s="37"/>
      <c r="BJ2840" s="37"/>
      <c r="BK2840" s="37"/>
      <c r="BL2840" s="37"/>
      <c r="BM2840" s="37"/>
    </row>
    <row r="2841" spans="1:65" s="40" customFormat="1" ht="23.25" x14ac:dyDescent="0.35">
      <c r="A2841" s="37"/>
      <c r="B2841" s="37"/>
      <c r="C2841" s="41"/>
      <c r="D2841" s="38"/>
      <c r="E2841" s="57"/>
      <c r="F2841" s="42"/>
      <c r="G2841" s="43"/>
      <c r="H2841" s="37"/>
      <c r="I2841" s="37"/>
      <c r="J2841" s="38"/>
      <c r="K2841" s="37"/>
      <c r="L2841" s="38"/>
      <c r="M2841" s="39"/>
      <c r="P2841" s="37"/>
      <c r="Q2841" s="37"/>
      <c r="R2841" s="37"/>
      <c r="S2841" s="37"/>
      <c r="T2841" s="37"/>
      <c r="U2841" s="37"/>
      <c r="V2841" s="37"/>
      <c r="W2841" s="37"/>
      <c r="X2841" s="37"/>
      <c r="Y2841" s="37"/>
      <c r="Z2841" s="37"/>
      <c r="AA2841" s="37"/>
      <c r="AB2841" s="37"/>
      <c r="AC2841" s="37"/>
      <c r="AD2841" s="37"/>
      <c r="AE2841" s="37"/>
      <c r="AF2841" s="37"/>
      <c r="AG2841" s="37"/>
      <c r="AH2841" s="37"/>
      <c r="AI2841" s="37"/>
      <c r="AJ2841" s="37"/>
      <c r="AK2841" s="37"/>
      <c r="AL2841" s="37"/>
      <c r="AM2841" s="37"/>
      <c r="AN2841" s="37"/>
      <c r="AO2841" s="37"/>
      <c r="AP2841" s="37"/>
      <c r="AQ2841" s="37"/>
      <c r="AR2841" s="37"/>
      <c r="AS2841" s="37"/>
      <c r="AT2841" s="37"/>
      <c r="AU2841" s="37"/>
      <c r="AV2841" s="37"/>
      <c r="AW2841" s="37"/>
      <c r="AX2841" s="37"/>
      <c r="AY2841" s="37"/>
      <c r="AZ2841" s="37"/>
      <c r="BA2841" s="37"/>
      <c r="BB2841" s="37"/>
      <c r="BC2841" s="37"/>
      <c r="BD2841" s="37"/>
      <c r="BE2841" s="37"/>
      <c r="BF2841" s="37"/>
      <c r="BG2841" s="37"/>
      <c r="BH2841" s="37"/>
      <c r="BI2841" s="37"/>
      <c r="BJ2841" s="37"/>
      <c r="BK2841" s="37"/>
      <c r="BL2841" s="37"/>
      <c r="BM2841" s="37"/>
    </row>
    <row r="2842" spans="1:65" s="40" customFormat="1" ht="23.25" x14ac:dyDescent="0.35">
      <c r="A2842" s="37"/>
      <c r="B2842" s="37"/>
      <c r="C2842" s="41"/>
      <c r="D2842" s="38"/>
      <c r="E2842" s="57"/>
      <c r="F2842" s="42"/>
      <c r="G2842" s="43"/>
      <c r="H2842" s="37"/>
      <c r="I2842" s="37"/>
      <c r="J2842" s="38"/>
      <c r="K2842" s="37"/>
      <c r="L2842" s="38"/>
      <c r="M2842" s="39"/>
      <c r="P2842" s="37"/>
      <c r="Q2842" s="37"/>
      <c r="R2842" s="37"/>
      <c r="S2842" s="37"/>
      <c r="T2842" s="37"/>
      <c r="U2842" s="37"/>
      <c r="V2842" s="37"/>
      <c r="W2842" s="37"/>
      <c r="X2842" s="37"/>
      <c r="Y2842" s="37"/>
      <c r="Z2842" s="37"/>
      <c r="AA2842" s="37"/>
      <c r="AB2842" s="37"/>
      <c r="AC2842" s="37"/>
      <c r="AD2842" s="37"/>
      <c r="AE2842" s="37"/>
      <c r="AF2842" s="37"/>
      <c r="AG2842" s="37"/>
      <c r="AH2842" s="37"/>
      <c r="AI2842" s="37"/>
      <c r="AJ2842" s="37"/>
      <c r="AK2842" s="37"/>
      <c r="AL2842" s="37"/>
      <c r="AM2842" s="37"/>
      <c r="AN2842" s="37"/>
      <c r="AO2842" s="37"/>
      <c r="AP2842" s="37"/>
      <c r="AQ2842" s="37"/>
      <c r="AR2842" s="37"/>
      <c r="AS2842" s="37"/>
      <c r="AT2842" s="37"/>
      <c r="AU2842" s="37"/>
      <c r="AV2842" s="37"/>
      <c r="AW2842" s="37"/>
      <c r="AX2842" s="37"/>
      <c r="AY2842" s="37"/>
      <c r="AZ2842" s="37"/>
      <c r="BA2842" s="37"/>
      <c r="BB2842" s="37"/>
      <c r="BC2842" s="37"/>
      <c r="BD2842" s="37"/>
      <c r="BE2842" s="37"/>
      <c r="BF2842" s="37"/>
      <c r="BG2842" s="37"/>
      <c r="BH2842" s="37"/>
      <c r="BI2842" s="37"/>
      <c r="BJ2842" s="37"/>
      <c r="BK2842" s="37"/>
      <c r="BL2842" s="37"/>
      <c r="BM2842" s="37"/>
    </row>
    <row r="2843" spans="1:65" s="40" customFormat="1" ht="23.25" x14ac:dyDescent="0.35">
      <c r="A2843" s="37"/>
      <c r="B2843" s="37"/>
      <c r="C2843" s="41"/>
      <c r="D2843" s="38"/>
      <c r="E2843" s="57"/>
      <c r="F2843" s="42"/>
      <c r="G2843" s="43"/>
      <c r="H2843" s="37"/>
      <c r="I2843" s="37"/>
      <c r="J2843" s="38"/>
      <c r="K2843" s="37"/>
      <c r="L2843" s="38"/>
      <c r="M2843" s="39"/>
      <c r="P2843" s="37"/>
      <c r="Q2843" s="37"/>
      <c r="R2843" s="37"/>
      <c r="S2843" s="37"/>
      <c r="T2843" s="37"/>
      <c r="U2843" s="37"/>
      <c r="V2843" s="37"/>
      <c r="W2843" s="37"/>
      <c r="X2843" s="37"/>
      <c r="Y2843" s="37"/>
      <c r="Z2843" s="37"/>
      <c r="AA2843" s="37"/>
      <c r="AB2843" s="37"/>
      <c r="AC2843" s="37"/>
      <c r="AD2843" s="37"/>
      <c r="AE2843" s="37"/>
      <c r="AF2843" s="37"/>
      <c r="AG2843" s="37"/>
      <c r="AH2843" s="37"/>
      <c r="AI2843" s="37"/>
      <c r="AJ2843" s="37"/>
      <c r="AK2843" s="37"/>
      <c r="AL2843" s="37"/>
      <c r="AM2843" s="37"/>
      <c r="AN2843" s="37"/>
      <c r="AO2843" s="37"/>
      <c r="AP2843" s="37"/>
      <c r="AQ2843" s="37"/>
      <c r="AR2843" s="37"/>
      <c r="AS2843" s="37"/>
      <c r="AT2843" s="37"/>
      <c r="AU2843" s="37"/>
      <c r="AV2843" s="37"/>
      <c r="AW2843" s="37"/>
      <c r="AX2843" s="37"/>
      <c r="AY2843" s="37"/>
      <c r="AZ2843" s="37"/>
      <c r="BA2843" s="37"/>
      <c r="BB2843" s="37"/>
      <c r="BC2843" s="37"/>
      <c r="BD2843" s="37"/>
      <c r="BE2843" s="37"/>
      <c r="BF2843" s="37"/>
      <c r="BG2843" s="37"/>
      <c r="BH2843" s="37"/>
      <c r="BI2843" s="37"/>
      <c r="BJ2843" s="37"/>
      <c r="BK2843" s="37"/>
      <c r="BL2843" s="37"/>
      <c r="BM2843" s="37"/>
    </row>
    <row r="2844" spans="1:65" s="40" customFormat="1" ht="23.25" x14ac:dyDescent="0.35">
      <c r="A2844" s="37"/>
      <c r="B2844" s="37"/>
      <c r="C2844" s="41"/>
      <c r="D2844" s="38"/>
      <c r="E2844" s="57"/>
      <c r="F2844" s="42"/>
      <c r="G2844" s="43"/>
      <c r="H2844" s="37"/>
      <c r="I2844" s="37"/>
      <c r="J2844" s="38"/>
      <c r="K2844" s="37"/>
      <c r="L2844" s="38"/>
      <c r="M2844" s="39"/>
      <c r="P2844" s="37"/>
      <c r="Q2844" s="37"/>
      <c r="R2844" s="37"/>
      <c r="S2844" s="37"/>
      <c r="T2844" s="37"/>
      <c r="U2844" s="37"/>
      <c r="V2844" s="37"/>
      <c r="W2844" s="37"/>
      <c r="X2844" s="37"/>
      <c r="Y2844" s="37"/>
      <c r="Z2844" s="37"/>
      <c r="AA2844" s="37"/>
      <c r="AB2844" s="37"/>
      <c r="AC2844" s="37"/>
      <c r="AD2844" s="37"/>
      <c r="AE2844" s="37"/>
      <c r="AF2844" s="37"/>
      <c r="AG2844" s="37"/>
      <c r="AH2844" s="37"/>
      <c r="AI2844" s="37"/>
      <c r="AJ2844" s="37"/>
      <c r="AK2844" s="37"/>
      <c r="AL2844" s="37"/>
      <c r="AM2844" s="37"/>
      <c r="AN2844" s="37"/>
      <c r="AO2844" s="37"/>
      <c r="AP2844" s="37"/>
      <c r="AQ2844" s="37"/>
      <c r="AR2844" s="37"/>
      <c r="AS2844" s="37"/>
      <c r="AT2844" s="37"/>
      <c r="AU2844" s="37"/>
      <c r="AV2844" s="37"/>
      <c r="AW2844" s="37"/>
      <c r="AX2844" s="37"/>
      <c r="AY2844" s="37"/>
      <c r="AZ2844" s="37"/>
      <c r="BA2844" s="37"/>
      <c r="BB2844" s="37"/>
      <c r="BC2844" s="37"/>
      <c r="BD2844" s="37"/>
      <c r="BE2844" s="37"/>
      <c r="BF2844" s="37"/>
      <c r="BG2844" s="37"/>
      <c r="BH2844" s="37"/>
      <c r="BI2844" s="37"/>
      <c r="BJ2844" s="37"/>
      <c r="BK2844" s="37"/>
      <c r="BL2844" s="37"/>
      <c r="BM2844" s="37"/>
    </row>
    <row r="2845" spans="1:65" s="40" customFormat="1" ht="23.25" x14ac:dyDescent="0.35">
      <c r="A2845" s="37"/>
      <c r="B2845" s="37"/>
      <c r="C2845" s="41"/>
      <c r="D2845" s="38"/>
      <c r="E2845" s="57"/>
      <c r="F2845" s="42"/>
      <c r="G2845" s="43"/>
      <c r="H2845" s="37"/>
      <c r="I2845" s="37"/>
      <c r="J2845" s="38"/>
      <c r="K2845" s="37"/>
      <c r="L2845" s="38"/>
      <c r="M2845" s="39"/>
      <c r="P2845" s="37"/>
      <c r="Q2845" s="37"/>
      <c r="R2845" s="37"/>
      <c r="S2845" s="37"/>
      <c r="T2845" s="37"/>
      <c r="U2845" s="37"/>
      <c r="V2845" s="37"/>
      <c r="W2845" s="37"/>
      <c r="X2845" s="37"/>
      <c r="Y2845" s="37"/>
      <c r="Z2845" s="37"/>
      <c r="AA2845" s="37"/>
      <c r="AB2845" s="37"/>
      <c r="AC2845" s="37"/>
      <c r="AD2845" s="37"/>
      <c r="AE2845" s="37"/>
      <c r="AF2845" s="37"/>
      <c r="AG2845" s="37"/>
      <c r="AH2845" s="37"/>
      <c r="AI2845" s="37"/>
      <c r="AJ2845" s="37"/>
      <c r="AK2845" s="37"/>
      <c r="AL2845" s="37"/>
      <c r="AM2845" s="37"/>
      <c r="AN2845" s="37"/>
      <c r="AO2845" s="37"/>
      <c r="AP2845" s="37"/>
      <c r="AQ2845" s="37"/>
      <c r="AR2845" s="37"/>
      <c r="AS2845" s="37"/>
      <c r="AT2845" s="37"/>
      <c r="AU2845" s="37"/>
      <c r="AV2845" s="37"/>
      <c r="AW2845" s="37"/>
      <c r="AX2845" s="37"/>
      <c r="AY2845" s="37"/>
      <c r="AZ2845" s="37"/>
      <c r="BA2845" s="37"/>
      <c r="BB2845" s="37"/>
      <c r="BC2845" s="37"/>
      <c r="BD2845" s="37"/>
      <c r="BE2845" s="37"/>
      <c r="BF2845" s="37"/>
      <c r="BG2845" s="37"/>
      <c r="BH2845" s="37"/>
      <c r="BI2845" s="37"/>
      <c r="BJ2845" s="37"/>
      <c r="BK2845" s="37"/>
      <c r="BL2845" s="37"/>
      <c r="BM2845" s="37"/>
    </row>
    <row r="2846" spans="1:65" s="40" customFormat="1" ht="23.25" x14ac:dyDescent="0.35">
      <c r="A2846" s="37"/>
      <c r="B2846" s="37"/>
      <c r="C2846" s="41"/>
      <c r="D2846" s="38"/>
      <c r="E2846" s="57"/>
      <c r="F2846" s="42"/>
      <c r="G2846" s="43"/>
      <c r="H2846" s="37"/>
      <c r="I2846" s="37"/>
      <c r="J2846" s="38"/>
      <c r="K2846" s="37"/>
      <c r="L2846" s="38"/>
      <c r="M2846" s="39"/>
      <c r="P2846" s="37"/>
      <c r="Q2846" s="37"/>
      <c r="R2846" s="37"/>
      <c r="S2846" s="37"/>
      <c r="T2846" s="37"/>
      <c r="U2846" s="37"/>
      <c r="V2846" s="37"/>
      <c r="W2846" s="37"/>
      <c r="X2846" s="37"/>
      <c r="Y2846" s="37"/>
      <c r="Z2846" s="37"/>
      <c r="AA2846" s="37"/>
      <c r="AB2846" s="37"/>
      <c r="AC2846" s="37"/>
      <c r="AD2846" s="37"/>
      <c r="AE2846" s="37"/>
      <c r="AF2846" s="37"/>
      <c r="AG2846" s="37"/>
      <c r="AH2846" s="37"/>
      <c r="AI2846" s="37"/>
      <c r="AJ2846" s="37"/>
      <c r="AK2846" s="37"/>
      <c r="AL2846" s="37"/>
      <c r="AM2846" s="37"/>
      <c r="AN2846" s="37"/>
      <c r="AO2846" s="37"/>
      <c r="AP2846" s="37"/>
      <c r="AQ2846" s="37"/>
      <c r="AR2846" s="37"/>
      <c r="AS2846" s="37"/>
      <c r="AT2846" s="37"/>
      <c r="AU2846" s="37"/>
      <c r="AV2846" s="37"/>
      <c r="AW2846" s="37"/>
      <c r="AX2846" s="37"/>
      <c r="AY2846" s="37"/>
      <c r="AZ2846" s="37"/>
      <c r="BA2846" s="37"/>
      <c r="BB2846" s="37"/>
      <c r="BC2846" s="37"/>
      <c r="BD2846" s="37"/>
      <c r="BE2846" s="37"/>
      <c r="BF2846" s="37"/>
      <c r="BG2846" s="37"/>
      <c r="BH2846" s="37"/>
      <c r="BI2846" s="37"/>
      <c r="BJ2846" s="37"/>
      <c r="BK2846" s="37"/>
      <c r="BL2846" s="37"/>
      <c r="BM2846" s="37"/>
    </row>
    <row r="2847" spans="1:65" s="40" customFormat="1" ht="23.25" x14ac:dyDescent="0.35">
      <c r="A2847" s="37"/>
      <c r="B2847" s="37"/>
      <c r="C2847" s="41"/>
      <c r="D2847" s="38"/>
      <c r="E2847" s="57"/>
      <c r="F2847" s="42"/>
      <c r="G2847" s="43"/>
      <c r="H2847" s="37"/>
      <c r="I2847" s="37"/>
      <c r="J2847" s="38"/>
      <c r="K2847" s="37"/>
      <c r="L2847" s="38"/>
      <c r="M2847" s="39"/>
      <c r="P2847" s="37"/>
      <c r="Q2847" s="37"/>
      <c r="R2847" s="37"/>
      <c r="S2847" s="37"/>
      <c r="T2847" s="37"/>
      <c r="U2847" s="37"/>
      <c r="V2847" s="37"/>
      <c r="W2847" s="37"/>
      <c r="X2847" s="37"/>
      <c r="Y2847" s="37"/>
      <c r="Z2847" s="37"/>
      <c r="AA2847" s="37"/>
      <c r="AB2847" s="37"/>
      <c r="AC2847" s="37"/>
      <c r="AD2847" s="37"/>
      <c r="AE2847" s="37"/>
      <c r="AF2847" s="37"/>
      <c r="AG2847" s="37"/>
      <c r="AH2847" s="37"/>
      <c r="AI2847" s="37"/>
      <c r="AJ2847" s="37"/>
      <c r="AK2847" s="37"/>
      <c r="AL2847" s="37"/>
      <c r="AM2847" s="37"/>
      <c r="AN2847" s="37"/>
      <c r="AO2847" s="37"/>
      <c r="AP2847" s="37"/>
      <c r="AQ2847" s="37"/>
      <c r="AR2847" s="37"/>
      <c r="AS2847" s="37"/>
      <c r="AT2847" s="37"/>
      <c r="AU2847" s="37"/>
      <c r="AV2847" s="37"/>
      <c r="AW2847" s="37"/>
      <c r="AX2847" s="37"/>
      <c r="AY2847" s="37"/>
      <c r="AZ2847" s="37"/>
      <c r="BA2847" s="37"/>
      <c r="BB2847" s="37"/>
      <c r="BC2847" s="37"/>
      <c r="BD2847" s="37"/>
      <c r="BE2847" s="37"/>
      <c r="BF2847" s="37"/>
      <c r="BG2847" s="37"/>
      <c r="BH2847" s="37"/>
      <c r="BI2847" s="37"/>
      <c r="BJ2847" s="37"/>
      <c r="BK2847" s="37"/>
      <c r="BL2847" s="37"/>
      <c r="BM2847" s="37"/>
    </row>
    <row r="2848" spans="1:65" s="40" customFormat="1" ht="23.25" x14ac:dyDescent="0.35">
      <c r="A2848" s="37"/>
      <c r="B2848" s="37"/>
      <c r="C2848" s="41"/>
      <c r="D2848" s="38"/>
      <c r="E2848" s="57"/>
      <c r="F2848" s="42"/>
      <c r="G2848" s="43"/>
      <c r="H2848" s="37"/>
      <c r="I2848" s="37"/>
      <c r="J2848" s="38"/>
      <c r="K2848" s="37"/>
      <c r="L2848" s="38"/>
      <c r="M2848" s="39"/>
      <c r="P2848" s="37"/>
      <c r="Q2848" s="37"/>
      <c r="R2848" s="37"/>
      <c r="S2848" s="37"/>
      <c r="T2848" s="37"/>
      <c r="U2848" s="37"/>
      <c r="V2848" s="37"/>
      <c r="W2848" s="37"/>
      <c r="X2848" s="37"/>
      <c r="Y2848" s="37"/>
      <c r="Z2848" s="37"/>
      <c r="AA2848" s="37"/>
      <c r="AB2848" s="37"/>
      <c r="AC2848" s="37"/>
      <c r="AD2848" s="37"/>
      <c r="AE2848" s="37"/>
      <c r="AF2848" s="37"/>
      <c r="AG2848" s="37"/>
      <c r="AH2848" s="37"/>
      <c r="AI2848" s="37"/>
      <c r="AJ2848" s="37"/>
      <c r="AK2848" s="37"/>
      <c r="AL2848" s="37"/>
      <c r="AM2848" s="37"/>
      <c r="AN2848" s="37"/>
      <c r="AO2848" s="37"/>
      <c r="AP2848" s="37"/>
      <c r="AQ2848" s="37"/>
      <c r="AR2848" s="37"/>
      <c r="AS2848" s="37"/>
      <c r="AT2848" s="37"/>
      <c r="AU2848" s="37"/>
      <c r="AV2848" s="37"/>
      <c r="AW2848" s="37"/>
      <c r="AX2848" s="37"/>
      <c r="AY2848" s="37"/>
      <c r="AZ2848" s="37"/>
      <c r="BA2848" s="37"/>
      <c r="BB2848" s="37"/>
      <c r="BC2848" s="37"/>
      <c r="BD2848" s="37"/>
      <c r="BE2848" s="37"/>
      <c r="BF2848" s="37"/>
      <c r="BG2848" s="37"/>
      <c r="BH2848" s="37"/>
      <c r="BI2848" s="37"/>
      <c r="BJ2848" s="37"/>
      <c r="BK2848" s="37"/>
      <c r="BL2848" s="37"/>
      <c r="BM2848" s="37"/>
    </row>
    <row r="2849" spans="1:65" s="40" customFormat="1" ht="23.25" x14ac:dyDescent="0.35">
      <c r="A2849" s="37"/>
      <c r="B2849" s="37"/>
      <c r="C2849" s="41"/>
      <c r="D2849" s="38"/>
      <c r="E2849" s="57"/>
      <c r="F2849" s="42"/>
      <c r="G2849" s="43"/>
      <c r="H2849" s="37"/>
      <c r="I2849" s="37"/>
      <c r="J2849" s="38"/>
      <c r="K2849" s="37"/>
      <c r="L2849" s="38"/>
      <c r="M2849" s="39"/>
      <c r="P2849" s="37"/>
      <c r="Q2849" s="37"/>
      <c r="R2849" s="37"/>
      <c r="S2849" s="37"/>
      <c r="T2849" s="37"/>
      <c r="U2849" s="37"/>
      <c r="V2849" s="37"/>
      <c r="W2849" s="37"/>
      <c r="X2849" s="37"/>
      <c r="Y2849" s="37"/>
      <c r="Z2849" s="37"/>
      <c r="AA2849" s="37"/>
      <c r="AB2849" s="37"/>
      <c r="AC2849" s="37"/>
      <c r="AD2849" s="37"/>
      <c r="AE2849" s="37"/>
      <c r="AF2849" s="37"/>
      <c r="AG2849" s="37"/>
      <c r="AH2849" s="37"/>
      <c r="AI2849" s="37"/>
      <c r="AJ2849" s="37"/>
      <c r="AK2849" s="37"/>
      <c r="AL2849" s="37"/>
      <c r="AM2849" s="37"/>
      <c r="AN2849" s="37"/>
      <c r="AO2849" s="37"/>
      <c r="AP2849" s="37"/>
      <c r="AQ2849" s="37"/>
      <c r="AR2849" s="37"/>
      <c r="AS2849" s="37"/>
      <c r="AT2849" s="37"/>
      <c r="AU2849" s="37"/>
      <c r="AV2849" s="37"/>
      <c r="AW2849" s="37"/>
      <c r="AX2849" s="37"/>
      <c r="AY2849" s="37"/>
      <c r="AZ2849" s="37"/>
      <c r="BA2849" s="37"/>
      <c r="BB2849" s="37"/>
      <c r="BC2849" s="37"/>
      <c r="BD2849" s="37"/>
      <c r="BE2849" s="37"/>
      <c r="BF2849" s="37"/>
      <c r="BG2849" s="37"/>
      <c r="BH2849" s="37"/>
      <c r="BI2849" s="37"/>
      <c r="BJ2849" s="37"/>
      <c r="BK2849" s="37"/>
      <c r="BL2849" s="37"/>
      <c r="BM2849" s="37"/>
    </row>
    <row r="2850" spans="1:65" s="40" customFormat="1" ht="23.25" x14ac:dyDescent="0.35">
      <c r="A2850" s="37"/>
      <c r="B2850" s="37"/>
      <c r="C2850" s="41"/>
      <c r="D2850" s="38"/>
      <c r="E2850" s="57"/>
      <c r="F2850" s="42"/>
      <c r="G2850" s="43"/>
      <c r="H2850" s="37"/>
      <c r="I2850" s="37"/>
      <c r="J2850" s="38"/>
      <c r="K2850" s="37"/>
      <c r="L2850" s="38"/>
      <c r="M2850" s="39"/>
      <c r="P2850" s="37"/>
      <c r="Q2850" s="37"/>
      <c r="R2850" s="37"/>
      <c r="S2850" s="37"/>
      <c r="T2850" s="37"/>
      <c r="U2850" s="37"/>
      <c r="V2850" s="37"/>
      <c r="W2850" s="37"/>
      <c r="X2850" s="37"/>
      <c r="Y2850" s="37"/>
      <c r="Z2850" s="37"/>
      <c r="AA2850" s="37"/>
      <c r="AB2850" s="37"/>
      <c r="AC2850" s="37"/>
      <c r="AD2850" s="37"/>
      <c r="AE2850" s="37"/>
      <c r="AF2850" s="37"/>
      <c r="AG2850" s="37"/>
      <c r="AH2850" s="37"/>
      <c r="AI2850" s="37"/>
      <c r="AJ2850" s="37"/>
      <c r="AK2850" s="37"/>
      <c r="AL2850" s="37"/>
      <c r="AM2850" s="37"/>
      <c r="AN2850" s="37"/>
      <c r="AO2850" s="37"/>
      <c r="AP2850" s="37"/>
      <c r="AQ2850" s="37"/>
      <c r="AR2850" s="37"/>
      <c r="AS2850" s="37"/>
      <c r="AT2850" s="37"/>
      <c r="AU2850" s="37"/>
      <c r="AV2850" s="37"/>
      <c r="AW2850" s="37"/>
      <c r="AX2850" s="37"/>
      <c r="AY2850" s="37"/>
      <c r="AZ2850" s="37"/>
      <c r="BA2850" s="37"/>
      <c r="BB2850" s="37"/>
      <c r="BC2850" s="37"/>
      <c r="BD2850" s="37"/>
      <c r="BE2850" s="37"/>
      <c r="BF2850" s="37"/>
      <c r="BG2850" s="37"/>
      <c r="BH2850" s="37"/>
      <c r="BI2850" s="37"/>
      <c r="BJ2850" s="37"/>
      <c r="BK2850" s="37"/>
      <c r="BL2850" s="37"/>
      <c r="BM2850" s="37"/>
    </row>
    <row r="2851" spans="1:65" s="40" customFormat="1" ht="23.25" x14ac:dyDescent="0.35">
      <c r="A2851" s="37"/>
      <c r="B2851" s="37"/>
      <c r="C2851" s="41"/>
      <c r="D2851" s="38"/>
      <c r="E2851" s="57"/>
      <c r="F2851" s="42"/>
      <c r="G2851" s="43"/>
      <c r="H2851" s="37"/>
      <c r="I2851" s="37"/>
      <c r="J2851" s="38"/>
      <c r="K2851" s="37"/>
      <c r="L2851" s="38"/>
      <c r="M2851" s="39"/>
      <c r="P2851" s="37"/>
      <c r="Q2851" s="37"/>
      <c r="R2851" s="37"/>
      <c r="S2851" s="37"/>
      <c r="T2851" s="37"/>
      <c r="U2851" s="37"/>
      <c r="V2851" s="37"/>
      <c r="W2851" s="37"/>
      <c r="X2851" s="37"/>
      <c r="Y2851" s="37"/>
      <c r="Z2851" s="37"/>
      <c r="AA2851" s="37"/>
      <c r="AB2851" s="37"/>
      <c r="AC2851" s="37"/>
      <c r="AD2851" s="37"/>
      <c r="AE2851" s="37"/>
      <c r="AF2851" s="37"/>
      <c r="AG2851" s="37"/>
      <c r="AH2851" s="37"/>
      <c r="AI2851" s="37"/>
      <c r="AJ2851" s="37"/>
      <c r="AK2851" s="37"/>
      <c r="AL2851" s="37"/>
      <c r="AM2851" s="37"/>
      <c r="AN2851" s="37"/>
      <c r="AO2851" s="37"/>
      <c r="AP2851" s="37"/>
      <c r="AQ2851" s="37"/>
      <c r="AR2851" s="37"/>
      <c r="AS2851" s="37"/>
      <c r="AT2851" s="37"/>
      <c r="AU2851" s="37"/>
      <c r="AV2851" s="37"/>
      <c r="AW2851" s="37"/>
      <c r="AX2851" s="37"/>
      <c r="AY2851" s="37"/>
      <c r="AZ2851" s="37"/>
      <c r="BA2851" s="37"/>
      <c r="BB2851" s="37"/>
      <c r="BC2851" s="37"/>
      <c r="BD2851" s="37"/>
      <c r="BE2851" s="37"/>
      <c r="BF2851" s="37"/>
      <c r="BG2851" s="37"/>
      <c r="BH2851" s="37"/>
      <c r="BI2851" s="37"/>
      <c r="BJ2851" s="37"/>
      <c r="BK2851" s="37"/>
      <c r="BL2851" s="37"/>
      <c r="BM2851" s="37"/>
    </row>
    <row r="2852" spans="1:65" s="40" customFormat="1" ht="23.25" x14ac:dyDescent="0.35">
      <c r="A2852" s="37"/>
      <c r="B2852" s="37"/>
      <c r="C2852" s="41"/>
      <c r="D2852" s="38"/>
      <c r="E2852" s="57"/>
      <c r="F2852" s="42"/>
      <c r="G2852" s="43"/>
      <c r="H2852" s="37"/>
      <c r="I2852" s="37"/>
      <c r="J2852" s="38"/>
      <c r="K2852" s="37"/>
      <c r="L2852" s="38"/>
      <c r="M2852" s="39"/>
      <c r="P2852" s="37"/>
      <c r="Q2852" s="37"/>
      <c r="R2852" s="37"/>
      <c r="S2852" s="37"/>
      <c r="T2852" s="37"/>
      <c r="U2852" s="37"/>
      <c r="V2852" s="37"/>
      <c r="W2852" s="37"/>
      <c r="X2852" s="37"/>
      <c r="Y2852" s="37"/>
      <c r="Z2852" s="37"/>
      <c r="AA2852" s="37"/>
      <c r="AB2852" s="37"/>
      <c r="AC2852" s="37"/>
      <c r="AD2852" s="37"/>
      <c r="AE2852" s="37"/>
      <c r="AF2852" s="37"/>
      <c r="AG2852" s="37"/>
      <c r="AH2852" s="37"/>
      <c r="AI2852" s="37"/>
      <c r="AJ2852" s="37"/>
      <c r="AK2852" s="37"/>
      <c r="AL2852" s="37"/>
      <c r="AM2852" s="37"/>
      <c r="AN2852" s="37"/>
      <c r="AO2852" s="37"/>
      <c r="AP2852" s="37"/>
      <c r="AQ2852" s="37"/>
      <c r="AR2852" s="37"/>
      <c r="AS2852" s="37"/>
      <c r="AT2852" s="37"/>
      <c r="AU2852" s="37"/>
      <c r="AV2852" s="37"/>
      <c r="AW2852" s="37"/>
      <c r="AX2852" s="37"/>
      <c r="AY2852" s="37"/>
      <c r="AZ2852" s="37"/>
      <c r="BA2852" s="37"/>
      <c r="BB2852" s="37"/>
      <c r="BC2852" s="37"/>
      <c r="BD2852" s="37"/>
      <c r="BE2852" s="37"/>
      <c r="BF2852" s="37"/>
      <c r="BG2852" s="37"/>
      <c r="BH2852" s="37"/>
      <c r="BI2852" s="37"/>
      <c r="BJ2852" s="37"/>
      <c r="BK2852" s="37"/>
      <c r="BL2852" s="37"/>
      <c r="BM2852" s="37"/>
    </row>
    <row r="2853" spans="1:65" s="40" customFormat="1" ht="23.25" x14ac:dyDescent="0.35">
      <c r="A2853" s="37"/>
      <c r="B2853" s="37"/>
      <c r="C2853" s="41"/>
      <c r="D2853" s="38"/>
      <c r="E2853" s="57"/>
      <c r="F2853" s="42"/>
      <c r="G2853" s="43"/>
      <c r="H2853" s="37"/>
      <c r="I2853" s="37"/>
      <c r="J2853" s="38"/>
      <c r="K2853" s="37"/>
      <c r="L2853" s="38"/>
      <c r="M2853" s="39"/>
      <c r="P2853" s="37"/>
      <c r="Q2853" s="37"/>
      <c r="R2853" s="37"/>
      <c r="S2853" s="37"/>
      <c r="T2853" s="37"/>
      <c r="U2853" s="37"/>
      <c r="V2853" s="37"/>
      <c r="W2853" s="37"/>
      <c r="X2853" s="37"/>
      <c r="Y2853" s="37"/>
      <c r="Z2853" s="37"/>
      <c r="AA2853" s="37"/>
      <c r="AB2853" s="37"/>
      <c r="AC2853" s="37"/>
      <c r="AD2853" s="37"/>
      <c r="AE2853" s="37"/>
      <c r="AF2853" s="37"/>
      <c r="AG2853" s="37"/>
      <c r="AH2853" s="37"/>
      <c r="AI2853" s="37"/>
      <c r="AJ2853" s="37"/>
      <c r="AK2853" s="37"/>
      <c r="AL2853" s="37"/>
      <c r="AM2853" s="37"/>
      <c r="AN2853" s="37"/>
      <c r="AO2853" s="37"/>
      <c r="AP2853" s="37"/>
      <c r="AQ2853" s="37"/>
      <c r="AR2853" s="37"/>
      <c r="AS2853" s="37"/>
      <c r="AT2853" s="37"/>
      <c r="AU2853" s="37"/>
      <c r="AV2853" s="37"/>
      <c r="AW2853" s="37"/>
      <c r="AX2853" s="37"/>
      <c r="AY2853" s="37"/>
      <c r="AZ2853" s="37"/>
      <c r="BA2853" s="37"/>
      <c r="BB2853" s="37"/>
      <c r="BC2853" s="37"/>
      <c r="BD2853" s="37"/>
      <c r="BE2853" s="37"/>
      <c r="BF2853" s="37"/>
      <c r="BG2853" s="37"/>
      <c r="BH2853" s="37"/>
      <c r="BI2853" s="37"/>
      <c r="BJ2853" s="37"/>
      <c r="BK2853" s="37"/>
      <c r="BL2853" s="37"/>
      <c r="BM2853" s="37"/>
    </row>
    <row r="2854" spans="1:65" s="40" customFormat="1" ht="23.25" x14ac:dyDescent="0.35">
      <c r="A2854" s="37"/>
      <c r="B2854" s="37"/>
      <c r="C2854" s="41"/>
      <c r="D2854" s="38"/>
      <c r="E2854" s="57"/>
      <c r="F2854" s="42"/>
      <c r="G2854" s="43"/>
      <c r="H2854" s="37"/>
      <c r="I2854" s="37"/>
      <c r="J2854" s="38"/>
      <c r="K2854" s="37"/>
      <c r="L2854" s="38"/>
      <c r="M2854" s="39"/>
      <c r="P2854" s="37"/>
      <c r="Q2854" s="37"/>
      <c r="R2854" s="37"/>
      <c r="S2854" s="37"/>
      <c r="T2854" s="37"/>
      <c r="U2854" s="37"/>
      <c r="V2854" s="37"/>
      <c r="W2854" s="37"/>
      <c r="X2854" s="37"/>
      <c r="Y2854" s="37"/>
      <c r="Z2854" s="37"/>
      <c r="AA2854" s="37"/>
      <c r="AB2854" s="37"/>
      <c r="AC2854" s="37"/>
      <c r="AD2854" s="37"/>
      <c r="AE2854" s="37"/>
      <c r="AF2854" s="37"/>
      <c r="AG2854" s="37"/>
      <c r="AH2854" s="37"/>
      <c r="AI2854" s="37"/>
      <c r="AJ2854" s="37"/>
      <c r="AK2854" s="37"/>
      <c r="AL2854" s="37"/>
      <c r="AM2854" s="37"/>
      <c r="AN2854" s="37"/>
      <c r="AO2854" s="37"/>
      <c r="AP2854" s="37"/>
      <c r="AQ2854" s="37"/>
      <c r="AR2854" s="37"/>
      <c r="AS2854" s="37"/>
      <c r="AT2854" s="37"/>
      <c r="AU2854" s="37"/>
      <c r="AV2854" s="37"/>
      <c r="AW2854" s="37"/>
      <c r="AX2854" s="37"/>
      <c r="AY2854" s="37"/>
      <c r="AZ2854" s="37"/>
      <c r="BA2854" s="37"/>
      <c r="BB2854" s="37"/>
      <c r="BC2854" s="37"/>
      <c r="BD2854" s="37"/>
      <c r="BE2854" s="37"/>
      <c r="BF2854" s="37"/>
      <c r="BG2854" s="37"/>
      <c r="BH2854" s="37"/>
      <c r="BI2854" s="37"/>
      <c r="BJ2854" s="37"/>
      <c r="BK2854" s="37"/>
      <c r="BL2854" s="37"/>
      <c r="BM2854" s="37"/>
    </row>
    <row r="2855" spans="1:65" s="40" customFormat="1" ht="23.25" x14ac:dyDescent="0.35">
      <c r="A2855" s="37"/>
      <c r="B2855" s="37"/>
      <c r="C2855" s="41"/>
      <c r="D2855" s="38"/>
      <c r="E2855" s="57"/>
      <c r="F2855" s="42"/>
      <c r="G2855" s="43"/>
      <c r="H2855" s="37"/>
      <c r="I2855" s="37"/>
      <c r="J2855" s="38"/>
      <c r="K2855" s="37"/>
      <c r="L2855" s="38"/>
      <c r="M2855" s="39"/>
      <c r="P2855" s="37"/>
      <c r="Q2855" s="37"/>
      <c r="R2855" s="37"/>
      <c r="S2855" s="37"/>
      <c r="T2855" s="37"/>
      <c r="U2855" s="37"/>
      <c r="V2855" s="37"/>
      <c r="W2855" s="37"/>
      <c r="X2855" s="37"/>
      <c r="Y2855" s="37"/>
      <c r="Z2855" s="37"/>
      <c r="AA2855" s="37"/>
      <c r="AB2855" s="37"/>
      <c r="AC2855" s="37"/>
      <c r="AD2855" s="37"/>
      <c r="AE2855" s="37"/>
      <c r="AF2855" s="37"/>
      <c r="AG2855" s="37"/>
      <c r="AH2855" s="37"/>
      <c r="AI2855" s="37"/>
      <c r="AJ2855" s="37"/>
      <c r="AK2855" s="37"/>
      <c r="AL2855" s="37"/>
      <c r="AM2855" s="37"/>
      <c r="AN2855" s="37"/>
      <c r="AO2855" s="37"/>
      <c r="AP2855" s="37"/>
      <c r="AQ2855" s="37"/>
      <c r="AR2855" s="37"/>
      <c r="AS2855" s="37"/>
      <c r="AT2855" s="37"/>
      <c r="AU2855" s="37"/>
      <c r="AV2855" s="37"/>
      <c r="AW2855" s="37"/>
      <c r="AX2855" s="37"/>
      <c r="AY2855" s="37"/>
      <c r="AZ2855" s="37"/>
      <c r="BA2855" s="37"/>
      <c r="BB2855" s="37"/>
      <c r="BC2855" s="37"/>
      <c r="BD2855" s="37"/>
      <c r="BE2855" s="37"/>
      <c r="BF2855" s="37"/>
      <c r="BG2855" s="37"/>
      <c r="BH2855" s="37"/>
      <c r="BI2855" s="37"/>
      <c r="BJ2855" s="37"/>
      <c r="BK2855" s="37"/>
      <c r="BL2855" s="37"/>
      <c r="BM2855" s="37"/>
    </row>
    <row r="2856" spans="1:65" s="40" customFormat="1" ht="23.25" x14ac:dyDescent="0.35">
      <c r="A2856" s="37"/>
      <c r="B2856" s="37"/>
      <c r="C2856" s="41"/>
      <c r="D2856" s="38"/>
      <c r="E2856" s="57"/>
      <c r="F2856" s="42"/>
      <c r="G2856" s="43"/>
      <c r="H2856" s="37"/>
      <c r="I2856" s="37"/>
      <c r="J2856" s="38"/>
      <c r="K2856" s="37"/>
      <c r="L2856" s="38"/>
      <c r="M2856" s="39"/>
      <c r="P2856" s="37"/>
      <c r="Q2856" s="37"/>
      <c r="R2856" s="37"/>
      <c r="S2856" s="37"/>
      <c r="T2856" s="37"/>
      <c r="U2856" s="37"/>
      <c r="V2856" s="37"/>
      <c r="W2856" s="37"/>
      <c r="X2856" s="37"/>
      <c r="Y2856" s="37"/>
      <c r="Z2856" s="37"/>
      <c r="AA2856" s="37"/>
      <c r="AB2856" s="37"/>
      <c r="AC2856" s="37"/>
      <c r="AD2856" s="37"/>
      <c r="AE2856" s="37"/>
      <c r="AF2856" s="37"/>
      <c r="AG2856" s="37"/>
      <c r="AH2856" s="37"/>
      <c r="AI2856" s="37"/>
      <c r="AJ2856" s="37"/>
      <c r="AK2856" s="37"/>
      <c r="AL2856" s="37"/>
      <c r="AM2856" s="37"/>
      <c r="AN2856" s="37"/>
      <c r="AO2856" s="37"/>
      <c r="AP2856" s="37"/>
      <c r="AQ2856" s="37"/>
      <c r="AR2856" s="37"/>
      <c r="AS2856" s="37"/>
      <c r="AT2856" s="37"/>
      <c r="AU2856" s="37"/>
      <c r="AV2856" s="37"/>
      <c r="AW2856" s="37"/>
      <c r="AX2856" s="37"/>
      <c r="AY2856" s="37"/>
      <c r="AZ2856" s="37"/>
      <c r="BA2856" s="37"/>
      <c r="BB2856" s="37"/>
      <c r="BC2856" s="37"/>
      <c r="BD2856" s="37"/>
      <c r="BE2856" s="37"/>
      <c r="BF2856" s="37"/>
      <c r="BG2856" s="37"/>
      <c r="BH2856" s="37"/>
      <c r="BI2856" s="37"/>
      <c r="BJ2856" s="37"/>
      <c r="BK2856" s="37"/>
      <c r="BL2856" s="37"/>
      <c r="BM2856" s="37"/>
    </row>
    <row r="2857" spans="1:65" s="40" customFormat="1" ht="23.25" x14ac:dyDescent="0.35">
      <c r="A2857" s="37"/>
      <c r="B2857" s="37"/>
      <c r="C2857" s="41"/>
      <c r="D2857" s="38"/>
      <c r="E2857" s="57"/>
      <c r="F2857" s="42"/>
      <c r="G2857" s="43"/>
      <c r="H2857" s="37"/>
      <c r="I2857" s="37"/>
      <c r="J2857" s="38"/>
      <c r="K2857" s="37"/>
      <c r="L2857" s="38"/>
      <c r="M2857" s="39"/>
      <c r="P2857" s="37"/>
      <c r="Q2857" s="37"/>
      <c r="R2857" s="37"/>
      <c r="S2857" s="37"/>
      <c r="T2857" s="37"/>
      <c r="U2857" s="37"/>
      <c r="V2857" s="37"/>
      <c r="W2857" s="37"/>
      <c r="X2857" s="37"/>
      <c r="Y2857" s="37"/>
      <c r="Z2857" s="37"/>
      <c r="AA2857" s="37"/>
      <c r="AB2857" s="37"/>
      <c r="AC2857" s="37"/>
      <c r="AD2857" s="37"/>
      <c r="AE2857" s="37"/>
      <c r="AF2857" s="37"/>
      <c r="AG2857" s="37"/>
      <c r="AH2857" s="37"/>
      <c r="AI2857" s="37"/>
      <c r="AJ2857" s="37"/>
      <c r="AK2857" s="37"/>
      <c r="AL2857" s="37"/>
      <c r="AM2857" s="37"/>
      <c r="AN2857" s="37"/>
      <c r="AO2857" s="37"/>
      <c r="AP2857" s="37"/>
      <c r="AQ2857" s="37"/>
      <c r="AR2857" s="37"/>
      <c r="AS2857" s="37"/>
      <c r="AT2857" s="37"/>
      <c r="AU2857" s="37"/>
      <c r="AV2857" s="37"/>
      <c r="AW2857" s="37"/>
      <c r="AX2857" s="37"/>
      <c r="AY2857" s="37"/>
      <c r="AZ2857" s="37"/>
      <c r="BA2857" s="37"/>
      <c r="BB2857" s="37"/>
      <c r="BC2857" s="37"/>
      <c r="BD2857" s="37"/>
      <c r="BE2857" s="37"/>
      <c r="BF2857" s="37"/>
      <c r="BG2857" s="37"/>
      <c r="BH2857" s="37"/>
      <c r="BI2857" s="37"/>
      <c r="BJ2857" s="37"/>
      <c r="BK2857" s="37"/>
      <c r="BL2857" s="37"/>
      <c r="BM2857" s="37"/>
    </row>
    <row r="2858" spans="1:65" s="40" customFormat="1" ht="23.25" x14ac:dyDescent="0.35">
      <c r="A2858" s="37"/>
      <c r="B2858" s="37"/>
      <c r="C2858" s="41"/>
      <c r="D2858" s="38"/>
      <c r="E2858" s="57"/>
      <c r="F2858" s="42"/>
      <c r="G2858" s="43"/>
      <c r="H2858" s="37"/>
      <c r="I2858" s="37"/>
      <c r="J2858" s="38"/>
      <c r="K2858" s="37"/>
      <c r="L2858" s="38"/>
      <c r="M2858" s="39"/>
      <c r="P2858" s="37"/>
      <c r="Q2858" s="37"/>
      <c r="R2858" s="37"/>
      <c r="S2858" s="37"/>
      <c r="T2858" s="37"/>
      <c r="U2858" s="37"/>
      <c r="V2858" s="37"/>
      <c r="W2858" s="37"/>
      <c r="X2858" s="37"/>
      <c r="Y2858" s="37"/>
      <c r="Z2858" s="37"/>
      <c r="AA2858" s="37"/>
      <c r="AB2858" s="37"/>
      <c r="AC2858" s="37"/>
      <c r="AD2858" s="37"/>
      <c r="AE2858" s="37"/>
      <c r="AF2858" s="37"/>
      <c r="AG2858" s="37"/>
      <c r="AH2858" s="37"/>
      <c r="AI2858" s="37"/>
      <c r="AJ2858" s="37"/>
      <c r="AK2858" s="37"/>
      <c r="AL2858" s="37"/>
      <c r="AM2858" s="37"/>
      <c r="AN2858" s="37"/>
      <c r="AO2858" s="37"/>
      <c r="AP2858" s="37"/>
      <c r="AQ2858" s="37"/>
      <c r="AR2858" s="37"/>
      <c r="AS2858" s="37"/>
      <c r="AT2858" s="37"/>
      <c r="AU2858" s="37"/>
      <c r="AV2858" s="37"/>
      <c r="AW2858" s="37"/>
      <c r="AX2858" s="37"/>
      <c r="AY2858" s="37"/>
      <c r="AZ2858" s="37"/>
      <c r="BA2858" s="37"/>
      <c r="BB2858" s="37"/>
      <c r="BC2858" s="37"/>
      <c r="BD2858" s="37"/>
      <c r="BE2858" s="37"/>
      <c r="BF2858" s="37"/>
      <c r="BG2858" s="37"/>
      <c r="BH2858" s="37"/>
      <c r="BI2858" s="37"/>
      <c r="BJ2858" s="37"/>
      <c r="BK2858" s="37"/>
      <c r="BL2858" s="37"/>
      <c r="BM2858" s="37"/>
    </row>
    <row r="2859" spans="1:65" s="40" customFormat="1" ht="23.25" x14ac:dyDescent="0.35">
      <c r="A2859" s="37"/>
      <c r="B2859" s="37"/>
      <c r="C2859" s="41"/>
      <c r="D2859" s="38"/>
      <c r="E2859" s="57"/>
      <c r="F2859" s="42"/>
      <c r="G2859" s="43"/>
      <c r="H2859" s="37"/>
      <c r="I2859" s="37"/>
      <c r="J2859" s="38"/>
      <c r="K2859" s="37"/>
      <c r="L2859" s="38"/>
      <c r="M2859" s="39"/>
      <c r="P2859" s="37"/>
      <c r="Q2859" s="37"/>
      <c r="R2859" s="37"/>
      <c r="S2859" s="37"/>
      <c r="T2859" s="37"/>
      <c r="U2859" s="37"/>
      <c r="V2859" s="37"/>
      <c r="W2859" s="37"/>
      <c r="X2859" s="37"/>
      <c r="Y2859" s="37"/>
      <c r="Z2859" s="37"/>
      <c r="AA2859" s="37"/>
      <c r="AB2859" s="37"/>
      <c r="AC2859" s="37"/>
      <c r="AD2859" s="37"/>
      <c r="AE2859" s="37"/>
      <c r="AF2859" s="37"/>
      <c r="AG2859" s="37"/>
      <c r="AH2859" s="37"/>
      <c r="AI2859" s="37"/>
      <c r="AJ2859" s="37"/>
      <c r="AK2859" s="37"/>
      <c r="AL2859" s="37"/>
      <c r="AM2859" s="37"/>
      <c r="AN2859" s="37"/>
      <c r="AO2859" s="37"/>
      <c r="AP2859" s="37"/>
      <c r="AQ2859" s="37"/>
      <c r="AR2859" s="37"/>
      <c r="AS2859" s="37"/>
      <c r="AT2859" s="37"/>
      <c r="AU2859" s="37"/>
      <c r="AV2859" s="37"/>
      <c r="AW2859" s="37"/>
      <c r="AX2859" s="37"/>
      <c r="AY2859" s="37"/>
      <c r="AZ2859" s="37"/>
      <c r="BA2859" s="37"/>
      <c r="BB2859" s="37"/>
      <c r="BC2859" s="37"/>
      <c r="BD2859" s="37"/>
      <c r="BE2859" s="37"/>
      <c r="BF2859" s="37"/>
      <c r="BG2859" s="37"/>
      <c r="BH2859" s="37"/>
      <c r="BI2859" s="37"/>
      <c r="BJ2859" s="37"/>
      <c r="BK2859" s="37"/>
      <c r="BL2859" s="37"/>
      <c r="BM2859" s="37"/>
    </row>
    <row r="2860" spans="1:65" s="40" customFormat="1" ht="23.25" x14ac:dyDescent="0.35">
      <c r="A2860" s="37"/>
      <c r="B2860" s="37"/>
      <c r="C2860" s="41"/>
      <c r="D2860" s="38"/>
      <c r="E2860" s="57"/>
      <c r="F2860" s="42"/>
      <c r="G2860" s="43"/>
      <c r="H2860" s="37"/>
      <c r="I2860" s="37"/>
      <c r="J2860" s="38"/>
      <c r="K2860" s="37"/>
      <c r="L2860" s="38"/>
      <c r="M2860" s="39"/>
      <c r="P2860" s="37"/>
      <c r="Q2860" s="37"/>
      <c r="R2860" s="37"/>
      <c r="S2860" s="37"/>
      <c r="T2860" s="37"/>
      <c r="U2860" s="37"/>
      <c r="V2860" s="37"/>
      <c r="W2860" s="37"/>
      <c r="X2860" s="37"/>
      <c r="Y2860" s="37"/>
      <c r="Z2860" s="37"/>
      <c r="AA2860" s="37"/>
      <c r="AB2860" s="37"/>
      <c r="AC2860" s="37"/>
      <c r="AD2860" s="37"/>
      <c r="AE2860" s="37"/>
      <c r="AF2860" s="37"/>
      <c r="AG2860" s="37"/>
      <c r="AH2860" s="37"/>
      <c r="AI2860" s="37"/>
      <c r="AJ2860" s="37"/>
      <c r="AK2860" s="37"/>
      <c r="AL2860" s="37"/>
      <c r="AM2860" s="37"/>
      <c r="AN2860" s="37"/>
      <c r="AO2860" s="37"/>
      <c r="AP2860" s="37"/>
      <c r="AQ2860" s="37"/>
      <c r="AR2860" s="37"/>
      <c r="AS2860" s="37"/>
      <c r="AT2860" s="37"/>
      <c r="AU2860" s="37"/>
      <c r="AV2860" s="37"/>
      <c r="AW2860" s="37"/>
      <c r="AX2860" s="37"/>
      <c r="AY2860" s="37"/>
      <c r="AZ2860" s="37"/>
      <c r="BA2860" s="37"/>
      <c r="BB2860" s="37"/>
      <c r="BC2860" s="37"/>
      <c r="BD2860" s="37"/>
      <c r="BE2860" s="37"/>
      <c r="BF2860" s="37"/>
      <c r="BG2860" s="37"/>
      <c r="BH2860" s="37"/>
      <c r="BI2860" s="37"/>
      <c r="BJ2860" s="37"/>
      <c r="BK2860" s="37"/>
      <c r="BL2860" s="37"/>
      <c r="BM2860" s="37"/>
    </row>
    <row r="2861" spans="1:65" s="40" customFormat="1" ht="23.25" x14ac:dyDescent="0.35">
      <c r="A2861" s="37"/>
      <c r="B2861" s="37"/>
      <c r="C2861" s="41"/>
      <c r="D2861" s="38"/>
      <c r="E2861" s="57"/>
      <c r="F2861" s="42"/>
      <c r="G2861" s="43"/>
      <c r="H2861" s="37"/>
      <c r="I2861" s="37"/>
      <c r="J2861" s="38"/>
      <c r="K2861" s="37"/>
      <c r="L2861" s="38"/>
      <c r="M2861" s="39"/>
      <c r="P2861" s="37"/>
      <c r="Q2861" s="37"/>
      <c r="R2861" s="37"/>
      <c r="S2861" s="37"/>
      <c r="T2861" s="37"/>
      <c r="U2861" s="37"/>
      <c r="V2861" s="37"/>
      <c r="W2861" s="37"/>
      <c r="X2861" s="37"/>
      <c r="Y2861" s="37"/>
      <c r="Z2861" s="37"/>
      <c r="AA2861" s="37"/>
      <c r="AB2861" s="37"/>
      <c r="AC2861" s="37"/>
      <c r="AD2861" s="37"/>
      <c r="AE2861" s="37"/>
      <c r="AF2861" s="37"/>
      <c r="AG2861" s="37"/>
      <c r="AH2861" s="37"/>
      <c r="AI2861" s="37"/>
      <c r="AJ2861" s="37"/>
      <c r="AK2861" s="37"/>
      <c r="AL2861" s="37"/>
      <c r="AM2861" s="37"/>
      <c r="AN2861" s="37"/>
      <c r="AO2861" s="37"/>
      <c r="AP2861" s="37"/>
      <c r="AQ2861" s="37"/>
      <c r="AR2861" s="37"/>
      <c r="AS2861" s="37"/>
      <c r="AT2861" s="37"/>
      <c r="AU2861" s="37"/>
      <c r="AV2861" s="37"/>
      <c r="AW2861" s="37"/>
      <c r="AX2861" s="37"/>
      <c r="AY2861" s="37"/>
      <c r="AZ2861" s="37"/>
      <c r="BA2861" s="37"/>
      <c r="BB2861" s="37"/>
      <c r="BC2861" s="37"/>
      <c r="BD2861" s="37"/>
      <c r="BE2861" s="37"/>
      <c r="BF2861" s="37"/>
      <c r="BG2861" s="37"/>
      <c r="BH2861" s="37"/>
      <c r="BI2861" s="37"/>
      <c r="BJ2861" s="37"/>
      <c r="BK2861" s="37"/>
      <c r="BL2861" s="37"/>
      <c r="BM2861" s="37"/>
    </row>
    <row r="2862" spans="1:65" s="40" customFormat="1" ht="23.25" x14ac:dyDescent="0.35">
      <c r="A2862" s="37"/>
      <c r="B2862" s="37"/>
      <c r="C2862" s="41"/>
      <c r="D2862" s="38"/>
      <c r="E2862" s="57"/>
      <c r="F2862" s="42"/>
      <c r="G2862" s="43"/>
      <c r="H2862" s="37"/>
      <c r="I2862" s="37"/>
      <c r="J2862" s="38"/>
      <c r="K2862" s="37"/>
      <c r="L2862" s="38"/>
      <c r="M2862" s="39"/>
      <c r="P2862" s="37"/>
      <c r="Q2862" s="37"/>
      <c r="R2862" s="37"/>
      <c r="S2862" s="37"/>
      <c r="T2862" s="37"/>
      <c r="U2862" s="37"/>
      <c r="V2862" s="37"/>
      <c r="W2862" s="37"/>
      <c r="X2862" s="37"/>
      <c r="Y2862" s="37"/>
      <c r="Z2862" s="37"/>
      <c r="AA2862" s="37"/>
      <c r="AB2862" s="37"/>
      <c r="AC2862" s="37"/>
      <c r="AD2862" s="37"/>
      <c r="AE2862" s="37"/>
      <c r="AF2862" s="37"/>
      <c r="AG2862" s="37"/>
      <c r="AH2862" s="37"/>
      <c r="AI2862" s="37"/>
      <c r="AJ2862" s="37"/>
      <c r="AK2862" s="37"/>
      <c r="AL2862" s="37"/>
      <c r="AM2862" s="37"/>
      <c r="AN2862" s="37"/>
      <c r="AO2862" s="37"/>
      <c r="AP2862" s="37"/>
      <c r="AQ2862" s="37"/>
      <c r="AR2862" s="37"/>
      <c r="AS2862" s="37"/>
      <c r="AT2862" s="37"/>
      <c r="AU2862" s="37"/>
      <c r="AV2862" s="37"/>
      <c r="AW2862" s="37"/>
      <c r="AX2862" s="37"/>
      <c r="AY2862" s="37"/>
      <c r="AZ2862" s="37"/>
      <c r="BA2862" s="37"/>
      <c r="BB2862" s="37"/>
      <c r="BC2862" s="37"/>
      <c r="BD2862" s="37"/>
      <c r="BE2862" s="37"/>
      <c r="BF2862" s="37"/>
      <c r="BG2862" s="37"/>
      <c r="BH2862" s="37"/>
      <c r="BI2862" s="37"/>
      <c r="BJ2862" s="37"/>
      <c r="BK2862" s="37"/>
      <c r="BL2862" s="37"/>
      <c r="BM2862" s="37"/>
    </row>
    <row r="2863" spans="1:65" s="40" customFormat="1" ht="23.25" x14ac:dyDescent="0.35">
      <c r="A2863" s="37"/>
      <c r="B2863" s="37"/>
      <c r="C2863" s="41"/>
      <c r="D2863" s="38"/>
      <c r="E2863" s="57"/>
      <c r="F2863" s="42"/>
      <c r="G2863" s="43"/>
      <c r="H2863" s="37"/>
      <c r="I2863" s="37"/>
      <c r="J2863" s="38"/>
      <c r="K2863" s="37"/>
      <c r="L2863" s="38"/>
      <c r="M2863" s="39"/>
      <c r="P2863" s="37"/>
      <c r="Q2863" s="37"/>
      <c r="R2863" s="37"/>
      <c r="S2863" s="37"/>
      <c r="T2863" s="37"/>
      <c r="U2863" s="37"/>
      <c r="V2863" s="37"/>
      <c r="W2863" s="37"/>
      <c r="X2863" s="37"/>
      <c r="Y2863" s="37"/>
      <c r="Z2863" s="37"/>
      <c r="AA2863" s="37"/>
      <c r="AB2863" s="37"/>
      <c r="AC2863" s="37"/>
      <c r="AD2863" s="37"/>
      <c r="AE2863" s="37"/>
      <c r="AF2863" s="37"/>
      <c r="AG2863" s="37"/>
      <c r="AH2863" s="37"/>
      <c r="AI2863" s="37"/>
      <c r="AJ2863" s="37"/>
      <c r="AK2863" s="37"/>
      <c r="AL2863" s="37"/>
      <c r="AM2863" s="37"/>
      <c r="AN2863" s="37"/>
      <c r="AO2863" s="37"/>
      <c r="AP2863" s="37"/>
      <c r="AQ2863" s="37"/>
      <c r="AR2863" s="37"/>
      <c r="AS2863" s="37"/>
      <c r="AT2863" s="37"/>
      <c r="AU2863" s="37"/>
      <c r="AV2863" s="37"/>
      <c r="AW2863" s="37"/>
      <c r="AX2863" s="37"/>
      <c r="AY2863" s="37"/>
      <c r="AZ2863" s="37"/>
      <c r="BA2863" s="37"/>
      <c r="BB2863" s="37"/>
      <c r="BC2863" s="37"/>
      <c r="BD2863" s="37"/>
      <c r="BE2863" s="37"/>
      <c r="BF2863" s="37"/>
      <c r="BG2863" s="37"/>
      <c r="BH2863" s="37"/>
      <c r="BI2863" s="37"/>
      <c r="BJ2863" s="37"/>
      <c r="BK2863" s="37"/>
      <c r="BL2863" s="37"/>
      <c r="BM2863" s="37"/>
    </row>
    <row r="2864" spans="1:65" s="40" customFormat="1" ht="23.25" x14ac:dyDescent="0.35">
      <c r="A2864" s="37"/>
      <c r="B2864" s="37"/>
      <c r="C2864" s="41"/>
      <c r="D2864" s="38"/>
      <c r="E2864" s="57"/>
      <c r="F2864" s="42"/>
      <c r="G2864" s="43"/>
      <c r="H2864" s="37"/>
      <c r="I2864" s="37"/>
      <c r="J2864" s="38"/>
      <c r="K2864" s="37"/>
      <c r="L2864" s="38"/>
      <c r="M2864" s="39"/>
      <c r="P2864" s="37"/>
      <c r="Q2864" s="37"/>
      <c r="R2864" s="37"/>
      <c r="S2864" s="37"/>
      <c r="T2864" s="37"/>
      <c r="U2864" s="37"/>
      <c r="V2864" s="37"/>
      <c r="W2864" s="37"/>
      <c r="X2864" s="37"/>
      <c r="Y2864" s="37"/>
      <c r="Z2864" s="37"/>
      <c r="AA2864" s="37"/>
      <c r="AB2864" s="37"/>
      <c r="AC2864" s="37"/>
      <c r="AD2864" s="37"/>
      <c r="AE2864" s="37"/>
      <c r="AF2864" s="37"/>
      <c r="AG2864" s="37"/>
      <c r="AH2864" s="37"/>
      <c r="AI2864" s="37"/>
      <c r="AJ2864" s="37"/>
      <c r="AK2864" s="37"/>
      <c r="AL2864" s="37"/>
      <c r="AM2864" s="37"/>
      <c r="AN2864" s="37"/>
      <c r="AO2864" s="37"/>
      <c r="AP2864" s="37"/>
      <c r="AQ2864" s="37"/>
      <c r="AR2864" s="37"/>
      <c r="AS2864" s="37"/>
      <c r="AT2864" s="37"/>
      <c r="AU2864" s="37"/>
      <c r="AV2864" s="37"/>
      <c r="AW2864" s="37"/>
      <c r="AX2864" s="37"/>
      <c r="AY2864" s="37"/>
      <c r="AZ2864" s="37"/>
      <c r="BA2864" s="37"/>
      <c r="BB2864" s="37"/>
      <c r="BC2864" s="37"/>
      <c r="BD2864" s="37"/>
      <c r="BE2864" s="37"/>
      <c r="BF2864" s="37"/>
      <c r="BG2864" s="37"/>
      <c r="BH2864" s="37"/>
      <c r="BI2864" s="37"/>
      <c r="BJ2864" s="37"/>
      <c r="BK2864" s="37"/>
      <c r="BL2864" s="37"/>
      <c r="BM2864" s="37"/>
    </row>
    <row r="2865" spans="1:65" s="40" customFormat="1" ht="23.25" x14ac:dyDescent="0.35">
      <c r="A2865" s="37"/>
      <c r="B2865" s="37"/>
      <c r="C2865" s="41"/>
      <c r="D2865" s="38"/>
      <c r="E2865" s="57"/>
      <c r="F2865" s="42"/>
      <c r="G2865" s="43"/>
      <c r="H2865" s="37"/>
      <c r="I2865" s="37"/>
      <c r="J2865" s="38"/>
      <c r="K2865" s="37"/>
      <c r="L2865" s="38"/>
      <c r="M2865" s="39"/>
      <c r="P2865" s="37"/>
      <c r="Q2865" s="37"/>
      <c r="R2865" s="37"/>
      <c r="S2865" s="37"/>
      <c r="T2865" s="37"/>
      <c r="U2865" s="37"/>
      <c r="V2865" s="37"/>
      <c r="W2865" s="37"/>
      <c r="X2865" s="37"/>
      <c r="Y2865" s="37"/>
      <c r="Z2865" s="37"/>
      <c r="AA2865" s="37"/>
      <c r="AB2865" s="37"/>
      <c r="AC2865" s="37"/>
      <c r="AD2865" s="37"/>
      <c r="AE2865" s="37"/>
      <c r="AF2865" s="37"/>
      <c r="AG2865" s="37"/>
      <c r="AH2865" s="37"/>
      <c r="AI2865" s="37"/>
      <c r="AJ2865" s="37"/>
      <c r="AK2865" s="37"/>
      <c r="AL2865" s="37"/>
      <c r="AM2865" s="37"/>
      <c r="AN2865" s="37"/>
      <c r="AO2865" s="37"/>
      <c r="AP2865" s="37"/>
      <c r="AQ2865" s="37"/>
      <c r="AR2865" s="37"/>
      <c r="AS2865" s="37"/>
      <c r="AT2865" s="37"/>
      <c r="AU2865" s="37"/>
      <c r="AV2865" s="37"/>
      <c r="AW2865" s="37"/>
      <c r="AX2865" s="37"/>
      <c r="AY2865" s="37"/>
      <c r="AZ2865" s="37"/>
      <c r="BA2865" s="37"/>
      <c r="BB2865" s="37"/>
      <c r="BC2865" s="37"/>
      <c r="BD2865" s="37"/>
      <c r="BE2865" s="37"/>
      <c r="BF2865" s="37"/>
      <c r="BG2865" s="37"/>
      <c r="BH2865" s="37"/>
      <c r="BI2865" s="37"/>
      <c r="BJ2865" s="37"/>
      <c r="BK2865" s="37"/>
      <c r="BL2865" s="37"/>
      <c r="BM2865" s="37"/>
    </row>
    <row r="2866" spans="1:65" s="40" customFormat="1" ht="23.25" x14ac:dyDescent="0.35">
      <c r="A2866" s="37"/>
      <c r="B2866" s="37"/>
      <c r="C2866" s="41"/>
      <c r="D2866" s="38"/>
      <c r="E2866" s="57"/>
      <c r="F2866" s="42"/>
      <c r="G2866" s="43"/>
      <c r="H2866" s="37"/>
      <c r="I2866" s="37"/>
      <c r="J2866" s="38"/>
      <c r="K2866" s="37"/>
      <c r="L2866" s="38"/>
      <c r="M2866" s="39"/>
      <c r="P2866" s="37"/>
      <c r="Q2866" s="37"/>
      <c r="R2866" s="37"/>
      <c r="S2866" s="37"/>
      <c r="T2866" s="37"/>
      <c r="U2866" s="37"/>
      <c r="V2866" s="37"/>
      <c r="W2866" s="37"/>
      <c r="X2866" s="37"/>
      <c r="Y2866" s="37"/>
      <c r="Z2866" s="37"/>
      <c r="AA2866" s="37"/>
      <c r="AB2866" s="37"/>
      <c r="AC2866" s="37"/>
      <c r="AD2866" s="37"/>
      <c r="AE2866" s="37"/>
      <c r="AF2866" s="37"/>
      <c r="AG2866" s="37"/>
      <c r="AH2866" s="37"/>
      <c r="AI2866" s="37"/>
      <c r="AJ2866" s="37"/>
      <c r="AK2866" s="37"/>
      <c r="AL2866" s="37"/>
      <c r="AM2866" s="37"/>
      <c r="AN2866" s="37"/>
      <c r="AO2866" s="37"/>
      <c r="AP2866" s="37"/>
      <c r="AQ2866" s="37"/>
      <c r="AR2866" s="37"/>
      <c r="AS2866" s="37"/>
      <c r="AT2866" s="37"/>
      <c r="AU2866" s="37"/>
      <c r="AV2866" s="37"/>
      <c r="AW2866" s="37"/>
      <c r="AX2866" s="37"/>
      <c r="AY2866" s="37"/>
      <c r="AZ2866" s="37"/>
      <c r="BA2866" s="37"/>
      <c r="BB2866" s="37"/>
      <c r="BC2866" s="37"/>
      <c r="BD2866" s="37"/>
      <c r="BE2866" s="37"/>
      <c r="BF2866" s="37"/>
      <c r="BG2866" s="37"/>
      <c r="BH2866" s="37"/>
      <c r="BI2866" s="37"/>
      <c r="BJ2866" s="37"/>
      <c r="BK2866" s="37"/>
      <c r="BL2866" s="37"/>
      <c r="BM2866" s="37"/>
    </row>
    <row r="2867" spans="1:65" s="40" customFormat="1" ht="23.25" x14ac:dyDescent="0.35">
      <c r="A2867" s="37"/>
      <c r="B2867" s="37"/>
      <c r="C2867" s="41"/>
      <c r="D2867" s="38"/>
      <c r="E2867" s="57"/>
      <c r="F2867" s="42"/>
      <c r="G2867" s="43"/>
      <c r="H2867" s="37"/>
      <c r="I2867" s="37"/>
      <c r="J2867" s="38"/>
      <c r="K2867" s="37"/>
      <c r="L2867" s="38"/>
      <c r="M2867" s="39"/>
      <c r="P2867" s="37"/>
      <c r="Q2867" s="37"/>
      <c r="R2867" s="37"/>
      <c r="S2867" s="37"/>
      <c r="T2867" s="37"/>
      <c r="U2867" s="37"/>
      <c r="V2867" s="37"/>
      <c r="W2867" s="37"/>
      <c r="X2867" s="37"/>
      <c r="Y2867" s="37"/>
      <c r="Z2867" s="37"/>
      <c r="AA2867" s="37"/>
      <c r="AB2867" s="37"/>
      <c r="AC2867" s="37"/>
      <c r="AD2867" s="37"/>
      <c r="AE2867" s="37"/>
      <c r="AF2867" s="37"/>
      <c r="AG2867" s="37"/>
      <c r="AH2867" s="37"/>
      <c r="AI2867" s="37"/>
      <c r="AJ2867" s="37"/>
      <c r="AK2867" s="37"/>
      <c r="AL2867" s="37"/>
      <c r="AM2867" s="37"/>
      <c r="AN2867" s="37"/>
      <c r="AO2867" s="37"/>
      <c r="AP2867" s="37"/>
      <c r="AQ2867" s="37"/>
      <c r="AR2867" s="37"/>
      <c r="AS2867" s="37"/>
      <c r="AT2867" s="37"/>
      <c r="AU2867" s="37"/>
      <c r="AV2867" s="37"/>
      <c r="AW2867" s="37"/>
      <c r="AX2867" s="37"/>
      <c r="AY2867" s="37"/>
      <c r="AZ2867" s="37"/>
      <c r="BA2867" s="37"/>
      <c r="BB2867" s="37"/>
      <c r="BC2867" s="37"/>
      <c r="BD2867" s="37"/>
      <c r="BE2867" s="37"/>
      <c r="BF2867" s="37"/>
      <c r="BG2867" s="37"/>
      <c r="BH2867" s="37"/>
      <c r="BI2867" s="37"/>
      <c r="BJ2867" s="37"/>
      <c r="BK2867" s="37"/>
      <c r="BL2867" s="37"/>
      <c r="BM2867" s="37"/>
    </row>
    <row r="2868" spans="1:65" s="40" customFormat="1" ht="23.25" x14ac:dyDescent="0.35">
      <c r="A2868" s="37"/>
      <c r="B2868" s="37"/>
      <c r="C2868" s="41"/>
      <c r="D2868" s="38"/>
      <c r="E2868" s="57"/>
      <c r="F2868" s="42"/>
      <c r="G2868" s="43"/>
      <c r="H2868" s="37"/>
      <c r="I2868" s="37"/>
      <c r="J2868" s="38"/>
      <c r="K2868" s="37"/>
      <c r="L2868" s="38"/>
      <c r="M2868" s="39"/>
      <c r="P2868" s="37"/>
      <c r="Q2868" s="37"/>
      <c r="R2868" s="37"/>
      <c r="S2868" s="37"/>
      <c r="T2868" s="37"/>
      <c r="U2868" s="37"/>
      <c r="V2868" s="37"/>
      <c r="W2868" s="37"/>
      <c r="X2868" s="37"/>
      <c r="Y2868" s="37"/>
      <c r="Z2868" s="37"/>
      <c r="AA2868" s="37"/>
      <c r="AB2868" s="37"/>
      <c r="AC2868" s="37"/>
      <c r="AD2868" s="37"/>
      <c r="AE2868" s="37"/>
      <c r="AF2868" s="37"/>
      <c r="AG2868" s="37"/>
      <c r="AH2868" s="37"/>
      <c r="AI2868" s="37"/>
      <c r="AJ2868" s="37"/>
      <c r="AK2868" s="37"/>
      <c r="AL2868" s="37"/>
      <c r="AM2868" s="37"/>
      <c r="AN2868" s="37"/>
      <c r="AO2868" s="37"/>
      <c r="AP2868" s="37"/>
      <c r="AQ2868" s="37"/>
      <c r="AR2868" s="37"/>
      <c r="AS2868" s="37"/>
      <c r="AT2868" s="37"/>
      <c r="AU2868" s="37"/>
      <c r="AV2868" s="37"/>
      <c r="AW2868" s="37"/>
      <c r="AX2868" s="37"/>
      <c r="AY2868" s="37"/>
      <c r="AZ2868" s="37"/>
      <c r="BA2868" s="37"/>
      <c r="BB2868" s="37"/>
      <c r="BC2868" s="37"/>
      <c r="BD2868" s="37"/>
      <c r="BE2868" s="37"/>
      <c r="BF2868" s="37"/>
      <c r="BG2868" s="37"/>
      <c r="BH2868" s="37"/>
      <c r="BI2868" s="37"/>
      <c r="BJ2868" s="37"/>
      <c r="BK2868" s="37"/>
      <c r="BL2868" s="37"/>
      <c r="BM2868" s="37"/>
    </row>
    <row r="2869" spans="1:65" s="40" customFormat="1" ht="23.25" x14ac:dyDescent="0.35">
      <c r="A2869" s="37"/>
      <c r="B2869" s="37"/>
      <c r="C2869" s="41"/>
      <c r="D2869" s="38"/>
      <c r="E2869" s="57"/>
      <c r="F2869" s="42"/>
      <c r="G2869" s="43"/>
      <c r="H2869" s="37"/>
      <c r="I2869" s="37"/>
      <c r="J2869" s="38"/>
      <c r="K2869" s="37"/>
      <c r="L2869" s="38"/>
      <c r="M2869" s="39"/>
      <c r="P2869" s="37"/>
      <c r="Q2869" s="37"/>
      <c r="R2869" s="37"/>
      <c r="S2869" s="37"/>
      <c r="T2869" s="37"/>
      <c r="U2869" s="37"/>
      <c r="V2869" s="37"/>
      <c r="W2869" s="37"/>
      <c r="X2869" s="37"/>
      <c r="Y2869" s="37"/>
      <c r="Z2869" s="37"/>
      <c r="AA2869" s="37"/>
      <c r="AB2869" s="37"/>
      <c r="AC2869" s="37"/>
      <c r="AD2869" s="37"/>
      <c r="AE2869" s="37"/>
      <c r="AF2869" s="37"/>
      <c r="AG2869" s="37"/>
      <c r="AH2869" s="37"/>
      <c r="AI2869" s="37"/>
      <c r="AJ2869" s="37"/>
      <c r="AK2869" s="37"/>
      <c r="AL2869" s="37"/>
      <c r="AM2869" s="37"/>
      <c r="AN2869" s="37"/>
      <c r="AO2869" s="37"/>
      <c r="AP2869" s="37"/>
      <c r="AQ2869" s="37"/>
      <c r="AR2869" s="37"/>
      <c r="AS2869" s="37"/>
      <c r="AT2869" s="37"/>
      <c r="AU2869" s="37"/>
      <c r="AV2869" s="37"/>
      <c r="AW2869" s="37"/>
      <c r="AX2869" s="37"/>
      <c r="AY2869" s="37"/>
      <c r="AZ2869" s="37"/>
      <c r="BA2869" s="37"/>
      <c r="BB2869" s="37"/>
      <c r="BC2869" s="37"/>
      <c r="BD2869" s="37"/>
      <c r="BE2869" s="37"/>
      <c r="BF2869" s="37"/>
      <c r="BG2869" s="37"/>
      <c r="BH2869" s="37"/>
      <c r="BI2869" s="37"/>
      <c r="BJ2869" s="37"/>
      <c r="BK2869" s="37"/>
      <c r="BL2869" s="37"/>
      <c r="BM2869" s="37"/>
    </row>
    <row r="2870" spans="1:65" s="40" customFormat="1" ht="23.25" x14ac:dyDescent="0.35">
      <c r="A2870" s="37"/>
      <c r="B2870" s="37"/>
      <c r="C2870" s="41"/>
      <c r="D2870" s="38"/>
      <c r="E2870" s="57"/>
      <c r="F2870" s="42"/>
      <c r="G2870" s="43"/>
      <c r="H2870" s="37"/>
      <c r="I2870" s="37"/>
      <c r="J2870" s="38"/>
      <c r="K2870" s="37"/>
      <c r="L2870" s="38"/>
      <c r="M2870" s="39"/>
      <c r="P2870" s="37"/>
      <c r="Q2870" s="37"/>
      <c r="R2870" s="37"/>
      <c r="S2870" s="37"/>
      <c r="T2870" s="37"/>
      <c r="U2870" s="37"/>
      <c r="V2870" s="37"/>
      <c r="W2870" s="37"/>
      <c r="X2870" s="37"/>
      <c r="Y2870" s="37"/>
      <c r="Z2870" s="37"/>
      <c r="AA2870" s="37"/>
      <c r="AB2870" s="37"/>
      <c r="AC2870" s="37"/>
      <c r="AD2870" s="37"/>
      <c r="AE2870" s="37"/>
      <c r="AF2870" s="37"/>
      <c r="AG2870" s="37"/>
      <c r="AH2870" s="37"/>
      <c r="AI2870" s="37"/>
      <c r="AJ2870" s="37"/>
      <c r="AK2870" s="37"/>
      <c r="AL2870" s="37"/>
      <c r="AM2870" s="37"/>
      <c r="AN2870" s="37"/>
      <c r="AO2870" s="37"/>
      <c r="AP2870" s="37"/>
      <c r="AQ2870" s="37"/>
      <c r="AR2870" s="37"/>
      <c r="AS2870" s="37"/>
      <c r="AT2870" s="37"/>
      <c r="AU2870" s="37"/>
      <c r="AV2870" s="37"/>
      <c r="AW2870" s="37"/>
      <c r="AX2870" s="37"/>
      <c r="AY2870" s="37"/>
      <c r="AZ2870" s="37"/>
      <c r="BA2870" s="37"/>
      <c r="BB2870" s="37"/>
      <c r="BC2870" s="37"/>
      <c r="BD2870" s="37"/>
      <c r="BE2870" s="37"/>
      <c r="BF2870" s="37"/>
      <c r="BG2870" s="37"/>
      <c r="BH2870" s="37"/>
      <c r="BI2870" s="37"/>
      <c r="BJ2870" s="37"/>
      <c r="BK2870" s="37"/>
      <c r="BL2870" s="37"/>
      <c r="BM2870" s="37"/>
    </row>
    <row r="2871" spans="1:65" s="40" customFormat="1" ht="23.25" x14ac:dyDescent="0.35">
      <c r="A2871" s="37"/>
      <c r="B2871" s="37"/>
      <c r="C2871" s="41"/>
      <c r="D2871" s="38"/>
      <c r="E2871" s="57"/>
      <c r="F2871" s="42"/>
      <c r="G2871" s="43"/>
      <c r="H2871" s="37"/>
      <c r="I2871" s="37"/>
      <c r="J2871" s="38"/>
      <c r="K2871" s="37"/>
      <c r="L2871" s="38"/>
      <c r="M2871" s="39"/>
      <c r="P2871" s="37"/>
      <c r="Q2871" s="37"/>
      <c r="R2871" s="37"/>
      <c r="S2871" s="37"/>
      <c r="T2871" s="37"/>
      <c r="U2871" s="37"/>
      <c r="V2871" s="37"/>
      <c r="W2871" s="37"/>
      <c r="X2871" s="37"/>
      <c r="Y2871" s="37"/>
      <c r="Z2871" s="37"/>
      <c r="AA2871" s="37"/>
      <c r="AB2871" s="37"/>
      <c r="AC2871" s="37"/>
      <c r="AD2871" s="37"/>
      <c r="AE2871" s="37"/>
      <c r="AF2871" s="37"/>
      <c r="AG2871" s="37"/>
      <c r="AH2871" s="37"/>
      <c r="AI2871" s="37"/>
      <c r="AJ2871" s="37"/>
      <c r="AK2871" s="37"/>
      <c r="AL2871" s="37"/>
      <c r="AM2871" s="37"/>
      <c r="AN2871" s="37"/>
      <c r="AO2871" s="37"/>
      <c r="AP2871" s="37"/>
      <c r="AQ2871" s="37"/>
      <c r="AR2871" s="37"/>
      <c r="AS2871" s="37"/>
      <c r="AT2871" s="37"/>
      <c r="AU2871" s="37"/>
      <c r="AV2871" s="37"/>
      <c r="AW2871" s="37"/>
      <c r="AX2871" s="37"/>
      <c r="AY2871" s="37"/>
      <c r="AZ2871" s="37"/>
      <c r="BA2871" s="37"/>
      <c r="BB2871" s="37"/>
      <c r="BC2871" s="37"/>
      <c r="BD2871" s="37"/>
      <c r="BE2871" s="37"/>
      <c r="BF2871" s="37"/>
      <c r="BG2871" s="37"/>
      <c r="BH2871" s="37"/>
      <c r="BI2871" s="37"/>
      <c r="BJ2871" s="37"/>
      <c r="BK2871" s="37"/>
      <c r="BL2871" s="37"/>
      <c r="BM2871" s="37"/>
    </row>
    <row r="2872" spans="1:65" s="40" customFormat="1" ht="23.25" x14ac:dyDescent="0.35">
      <c r="A2872" s="37"/>
      <c r="B2872" s="37"/>
      <c r="C2872" s="41"/>
      <c r="D2872" s="38"/>
      <c r="E2872" s="57"/>
      <c r="F2872" s="42"/>
      <c r="G2872" s="43"/>
      <c r="H2872" s="37"/>
      <c r="I2872" s="37"/>
      <c r="J2872" s="38"/>
      <c r="K2872" s="37"/>
      <c r="L2872" s="38"/>
      <c r="M2872" s="39"/>
      <c r="P2872" s="37"/>
      <c r="Q2872" s="37"/>
      <c r="R2872" s="37"/>
      <c r="S2872" s="37"/>
      <c r="T2872" s="37"/>
      <c r="U2872" s="37"/>
      <c r="V2872" s="37"/>
      <c r="W2872" s="37"/>
      <c r="X2872" s="37"/>
      <c r="Y2872" s="37"/>
      <c r="Z2872" s="37"/>
      <c r="AA2872" s="37"/>
      <c r="AB2872" s="37"/>
      <c r="AC2872" s="37"/>
      <c r="AD2872" s="37"/>
      <c r="AE2872" s="37"/>
      <c r="AF2872" s="37"/>
      <c r="AG2872" s="37"/>
      <c r="AH2872" s="37"/>
      <c r="AI2872" s="37"/>
      <c r="AJ2872" s="37"/>
      <c r="AK2872" s="37"/>
      <c r="AL2872" s="37"/>
      <c r="AM2872" s="37"/>
      <c r="AN2872" s="37"/>
      <c r="AO2872" s="37"/>
      <c r="AP2872" s="37"/>
      <c r="AQ2872" s="37"/>
      <c r="AR2872" s="37"/>
      <c r="AS2872" s="37"/>
      <c r="AT2872" s="37"/>
      <c r="AU2872" s="37"/>
      <c r="AV2872" s="37"/>
      <c r="AW2872" s="37"/>
      <c r="AX2872" s="37"/>
      <c r="AY2872" s="37"/>
      <c r="AZ2872" s="37"/>
      <c r="BA2872" s="37"/>
      <c r="BB2872" s="37"/>
      <c r="BC2872" s="37"/>
      <c r="BD2872" s="37"/>
      <c r="BE2872" s="37"/>
      <c r="BF2872" s="37"/>
      <c r="BG2872" s="37"/>
      <c r="BH2872" s="37"/>
      <c r="BI2872" s="37"/>
      <c r="BJ2872" s="37"/>
      <c r="BK2872" s="37"/>
      <c r="BL2872" s="37"/>
      <c r="BM2872" s="37"/>
    </row>
    <row r="2873" spans="1:65" s="40" customFormat="1" ht="23.25" x14ac:dyDescent="0.35">
      <c r="A2873" s="37"/>
      <c r="B2873" s="37"/>
      <c r="C2873" s="41"/>
      <c r="D2873" s="38"/>
      <c r="E2873" s="57"/>
      <c r="F2873" s="42"/>
      <c r="G2873" s="43"/>
      <c r="H2873" s="37"/>
      <c r="I2873" s="37"/>
      <c r="J2873" s="38"/>
      <c r="K2873" s="37"/>
      <c r="L2873" s="38"/>
      <c r="M2873" s="39"/>
      <c r="P2873" s="37"/>
      <c r="Q2873" s="37"/>
      <c r="R2873" s="37"/>
      <c r="S2873" s="37"/>
      <c r="T2873" s="37"/>
      <c r="U2873" s="37"/>
      <c r="V2873" s="37"/>
      <c r="W2873" s="37"/>
      <c r="X2873" s="37"/>
      <c r="Y2873" s="37"/>
      <c r="Z2873" s="37"/>
      <c r="AA2873" s="37"/>
      <c r="AB2873" s="37"/>
      <c r="AC2873" s="37"/>
      <c r="AD2873" s="37"/>
      <c r="AE2873" s="37"/>
      <c r="AF2873" s="37"/>
      <c r="AG2873" s="37"/>
      <c r="AH2873" s="37"/>
      <c r="AI2873" s="37"/>
      <c r="AJ2873" s="37"/>
      <c r="AK2873" s="37"/>
      <c r="AL2873" s="37"/>
      <c r="AM2873" s="37"/>
      <c r="AN2873" s="37"/>
      <c r="AO2873" s="37"/>
      <c r="AP2873" s="37"/>
      <c r="AQ2873" s="37"/>
      <c r="AR2873" s="37"/>
      <c r="AS2873" s="37"/>
      <c r="AT2873" s="37"/>
      <c r="AU2873" s="37"/>
      <c r="AV2873" s="37"/>
      <c r="AW2873" s="37"/>
      <c r="AX2873" s="37"/>
      <c r="AY2873" s="37"/>
      <c r="AZ2873" s="37"/>
      <c r="BA2873" s="37"/>
      <c r="BB2873" s="37"/>
      <c r="BC2873" s="37"/>
      <c r="BD2873" s="37"/>
      <c r="BE2873" s="37"/>
      <c r="BF2873" s="37"/>
      <c r="BG2873" s="37"/>
      <c r="BH2873" s="37"/>
      <c r="BI2873" s="37"/>
      <c r="BJ2873" s="37"/>
      <c r="BK2873" s="37"/>
      <c r="BL2873" s="37"/>
      <c r="BM2873" s="37"/>
    </row>
    <row r="2874" spans="1:65" s="40" customFormat="1" ht="23.25" x14ac:dyDescent="0.35">
      <c r="A2874" s="37"/>
      <c r="B2874" s="37"/>
      <c r="C2874" s="41"/>
      <c r="D2874" s="38"/>
      <c r="E2874" s="57"/>
      <c r="F2874" s="42"/>
      <c r="G2874" s="43"/>
      <c r="H2874" s="37"/>
      <c r="I2874" s="37"/>
      <c r="J2874" s="38"/>
      <c r="K2874" s="37"/>
      <c r="L2874" s="38"/>
      <c r="M2874" s="39"/>
      <c r="P2874" s="37"/>
      <c r="Q2874" s="37"/>
      <c r="R2874" s="37"/>
      <c r="S2874" s="37"/>
      <c r="T2874" s="37"/>
      <c r="U2874" s="37"/>
      <c r="V2874" s="37"/>
      <c r="W2874" s="37"/>
      <c r="X2874" s="37"/>
      <c r="Y2874" s="37"/>
      <c r="Z2874" s="37"/>
      <c r="AA2874" s="37"/>
      <c r="AB2874" s="37"/>
      <c r="AC2874" s="37"/>
      <c r="AD2874" s="37"/>
      <c r="AE2874" s="37"/>
      <c r="AF2874" s="37"/>
      <c r="AG2874" s="37"/>
      <c r="AH2874" s="37"/>
      <c r="AI2874" s="37"/>
      <c r="AJ2874" s="37"/>
      <c r="AK2874" s="37"/>
      <c r="AL2874" s="37"/>
      <c r="AM2874" s="37"/>
      <c r="AN2874" s="37"/>
      <c r="AO2874" s="37"/>
      <c r="AP2874" s="37"/>
      <c r="AQ2874" s="37"/>
      <c r="AR2874" s="37"/>
      <c r="AS2874" s="37"/>
      <c r="AT2874" s="37"/>
      <c r="AU2874" s="37"/>
      <c r="AV2874" s="37"/>
      <c r="AW2874" s="37"/>
      <c r="AX2874" s="37"/>
      <c r="AY2874" s="37"/>
      <c r="AZ2874" s="37"/>
      <c r="BA2874" s="37"/>
      <c r="BB2874" s="37"/>
      <c r="BC2874" s="37"/>
      <c r="BD2874" s="37"/>
      <c r="BE2874" s="37"/>
      <c r="BF2874" s="37"/>
      <c r="BG2874" s="37"/>
      <c r="BH2874" s="37"/>
      <c r="BI2874" s="37"/>
      <c r="BJ2874" s="37"/>
      <c r="BK2874" s="37"/>
      <c r="BL2874" s="37"/>
      <c r="BM2874" s="37"/>
    </row>
    <row r="2875" spans="1:65" s="40" customFormat="1" ht="23.25" x14ac:dyDescent="0.35">
      <c r="A2875" s="37"/>
      <c r="B2875" s="37"/>
      <c r="C2875" s="41"/>
      <c r="D2875" s="38"/>
      <c r="E2875" s="57"/>
      <c r="F2875" s="42"/>
      <c r="G2875" s="43"/>
      <c r="H2875" s="37"/>
      <c r="I2875" s="37"/>
      <c r="J2875" s="38"/>
      <c r="K2875" s="37"/>
      <c r="L2875" s="38"/>
      <c r="M2875" s="39"/>
      <c r="P2875" s="37"/>
      <c r="Q2875" s="37"/>
      <c r="R2875" s="37"/>
      <c r="S2875" s="37"/>
      <c r="T2875" s="37"/>
      <c r="U2875" s="37"/>
      <c r="V2875" s="37"/>
      <c r="W2875" s="37"/>
      <c r="X2875" s="37"/>
      <c r="Y2875" s="37"/>
      <c r="Z2875" s="37"/>
      <c r="AA2875" s="37"/>
      <c r="AB2875" s="37"/>
      <c r="AC2875" s="37"/>
      <c r="AD2875" s="37"/>
      <c r="AE2875" s="37"/>
      <c r="AF2875" s="37"/>
      <c r="AG2875" s="37"/>
      <c r="AH2875" s="37"/>
      <c r="AI2875" s="37"/>
      <c r="AJ2875" s="37"/>
      <c r="AK2875" s="37"/>
      <c r="AL2875" s="37"/>
      <c r="AM2875" s="37"/>
      <c r="AN2875" s="37"/>
      <c r="AO2875" s="37"/>
      <c r="AP2875" s="37"/>
      <c r="AQ2875" s="37"/>
      <c r="AR2875" s="37"/>
      <c r="AS2875" s="37"/>
      <c r="AT2875" s="37"/>
      <c r="AU2875" s="37"/>
      <c r="AV2875" s="37"/>
      <c r="AW2875" s="37"/>
      <c r="AX2875" s="37"/>
      <c r="AY2875" s="37"/>
      <c r="AZ2875" s="37"/>
      <c r="BA2875" s="37"/>
      <c r="BB2875" s="37"/>
      <c r="BC2875" s="37"/>
      <c r="BD2875" s="37"/>
      <c r="BE2875" s="37"/>
      <c r="BF2875" s="37"/>
      <c r="BG2875" s="37"/>
      <c r="BH2875" s="37"/>
      <c r="BI2875" s="37"/>
      <c r="BJ2875" s="37"/>
      <c r="BK2875" s="37"/>
      <c r="BL2875" s="37"/>
      <c r="BM2875" s="37"/>
    </row>
    <row r="2876" spans="1:65" s="40" customFormat="1" ht="23.25" x14ac:dyDescent="0.35">
      <c r="A2876" s="37"/>
      <c r="B2876" s="37"/>
      <c r="C2876" s="41"/>
      <c r="D2876" s="38"/>
      <c r="E2876" s="57"/>
      <c r="F2876" s="42"/>
      <c r="G2876" s="43"/>
      <c r="H2876" s="37"/>
      <c r="I2876" s="37"/>
      <c r="J2876" s="38"/>
      <c r="K2876" s="37"/>
      <c r="L2876" s="38"/>
      <c r="M2876" s="39"/>
      <c r="P2876" s="37"/>
      <c r="Q2876" s="37"/>
      <c r="R2876" s="37"/>
      <c r="S2876" s="37"/>
      <c r="T2876" s="37"/>
      <c r="U2876" s="37"/>
      <c r="V2876" s="37"/>
      <c r="W2876" s="37"/>
      <c r="X2876" s="37"/>
      <c r="Y2876" s="37"/>
      <c r="Z2876" s="37"/>
      <c r="AA2876" s="37"/>
      <c r="AB2876" s="37"/>
      <c r="AC2876" s="37"/>
      <c r="AD2876" s="37"/>
      <c r="AE2876" s="37"/>
      <c r="AF2876" s="37"/>
      <c r="AG2876" s="37"/>
      <c r="AH2876" s="37"/>
      <c r="AI2876" s="37"/>
      <c r="AJ2876" s="37"/>
      <c r="AK2876" s="37"/>
      <c r="AL2876" s="37"/>
      <c r="AM2876" s="37"/>
      <c r="AN2876" s="37"/>
      <c r="AO2876" s="37"/>
      <c r="AP2876" s="37"/>
      <c r="AQ2876" s="37"/>
      <c r="AR2876" s="37"/>
      <c r="AS2876" s="37"/>
      <c r="AT2876" s="37"/>
      <c r="AU2876" s="37"/>
      <c r="AV2876" s="37"/>
      <c r="AW2876" s="37"/>
      <c r="AX2876" s="37"/>
      <c r="AY2876" s="37"/>
      <c r="AZ2876" s="37"/>
      <c r="BA2876" s="37"/>
      <c r="BB2876" s="37"/>
      <c r="BC2876" s="37"/>
      <c r="BD2876" s="37"/>
      <c r="BE2876" s="37"/>
      <c r="BF2876" s="37"/>
      <c r="BG2876" s="37"/>
      <c r="BH2876" s="37"/>
      <c r="BI2876" s="37"/>
      <c r="BJ2876" s="37"/>
      <c r="BK2876" s="37"/>
      <c r="BL2876" s="37"/>
      <c r="BM2876" s="37"/>
    </row>
    <row r="2877" spans="1:65" s="40" customFormat="1" ht="23.25" x14ac:dyDescent="0.35">
      <c r="A2877" s="37"/>
      <c r="B2877" s="37"/>
      <c r="C2877" s="41"/>
      <c r="D2877" s="38"/>
      <c r="E2877" s="57"/>
      <c r="F2877" s="42"/>
      <c r="G2877" s="43"/>
      <c r="H2877" s="37"/>
      <c r="I2877" s="37"/>
      <c r="J2877" s="38"/>
      <c r="K2877" s="37"/>
      <c r="L2877" s="38"/>
      <c r="M2877" s="39"/>
      <c r="P2877" s="37"/>
      <c r="Q2877" s="37"/>
      <c r="R2877" s="37"/>
      <c r="S2877" s="37"/>
      <c r="T2877" s="37"/>
      <c r="U2877" s="37"/>
      <c r="V2877" s="37"/>
      <c r="W2877" s="37"/>
      <c r="X2877" s="37"/>
      <c r="Y2877" s="37"/>
      <c r="Z2877" s="37"/>
      <c r="AA2877" s="37"/>
      <c r="AB2877" s="37"/>
      <c r="AC2877" s="37"/>
      <c r="AD2877" s="37"/>
      <c r="AE2877" s="37"/>
      <c r="AF2877" s="37"/>
      <c r="AG2877" s="37"/>
      <c r="AH2877" s="37"/>
      <c r="AI2877" s="37"/>
      <c r="AJ2877" s="37"/>
      <c r="AK2877" s="37"/>
      <c r="AL2877" s="37"/>
      <c r="AM2877" s="37"/>
      <c r="AN2877" s="37"/>
      <c r="AO2877" s="37"/>
      <c r="AP2877" s="37"/>
      <c r="AQ2877" s="37"/>
      <c r="AR2877" s="37"/>
      <c r="AS2877" s="37"/>
      <c r="AT2877" s="37"/>
      <c r="AU2877" s="37"/>
      <c r="AV2877" s="37"/>
      <c r="AW2877" s="37"/>
      <c r="AX2877" s="37"/>
      <c r="AY2877" s="37"/>
      <c r="AZ2877" s="37"/>
      <c r="BA2877" s="37"/>
      <c r="BB2877" s="37"/>
      <c r="BC2877" s="37"/>
      <c r="BD2877" s="37"/>
      <c r="BE2877" s="37"/>
      <c r="BF2877" s="37"/>
      <c r="BG2877" s="37"/>
      <c r="BH2877" s="37"/>
      <c r="BI2877" s="37"/>
      <c r="BJ2877" s="37"/>
      <c r="BK2877" s="37"/>
      <c r="BL2877" s="37"/>
      <c r="BM2877" s="37"/>
    </row>
    <row r="2878" spans="1:65" s="40" customFormat="1" ht="23.25" x14ac:dyDescent="0.35">
      <c r="A2878" s="37"/>
      <c r="B2878" s="37"/>
      <c r="C2878" s="41"/>
      <c r="D2878" s="38"/>
      <c r="E2878" s="57"/>
      <c r="F2878" s="42"/>
      <c r="G2878" s="43"/>
      <c r="H2878" s="37"/>
      <c r="I2878" s="37"/>
      <c r="J2878" s="38"/>
      <c r="K2878" s="37"/>
      <c r="L2878" s="38"/>
      <c r="M2878" s="39"/>
      <c r="P2878" s="37"/>
      <c r="Q2878" s="37"/>
      <c r="R2878" s="37"/>
      <c r="S2878" s="37"/>
      <c r="T2878" s="37"/>
      <c r="U2878" s="37"/>
      <c r="V2878" s="37"/>
      <c r="W2878" s="37"/>
      <c r="X2878" s="37"/>
      <c r="Y2878" s="37"/>
      <c r="Z2878" s="37"/>
      <c r="AA2878" s="37"/>
      <c r="AB2878" s="37"/>
      <c r="AC2878" s="37"/>
      <c r="AD2878" s="37"/>
      <c r="AE2878" s="37"/>
      <c r="AF2878" s="37"/>
      <c r="AG2878" s="37"/>
      <c r="AH2878" s="37"/>
      <c r="AI2878" s="37"/>
      <c r="AJ2878" s="37"/>
      <c r="AK2878" s="37"/>
      <c r="AL2878" s="37"/>
      <c r="AM2878" s="37"/>
      <c r="AN2878" s="37"/>
      <c r="AO2878" s="37"/>
      <c r="AP2878" s="37"/>
      <c r="AQ2878" s="37"/>
      <c r="AR2878" s="37"/>
      <c r="AS2878" s="37"/>
      <c r="AT2878" s="37"/>
      <c r="AU2878" s="37"/>
      <c r="AV2878" s="37"/>
      <c r="AW2878" s="37"/>
      <c r="AX2878" s="37"/>
      <c r="AY2878" s="37"/>
      <c r="AZ2878" s="37"/>
      <c r="BA2878" s="37"/>
      <c r="BB2878" s="37"/>
      <c r="BC2878" s="37"/>
      <c r="BD2878" s="37"/>
      <c r="BE2878" s="37"/>
      <c r="BF2878" s="37"/>
      <c r="BG2878" s="37"/>
      <c r="BH2878" s="37"/>
      <c r="BI2878" s="37"/>
      <c r="BJ2878" s="37"/>
      <c r="BK2878" s="37"/>
      <c r="BL2878" s="37"/>
      <c r="BM2878" s="37"/>
    </row>
    <row r="2879" spans="1:65" s="40" customFormat="1" ht="23.25" x14ac:dyDescent="0.35">
      <c r="A2879" s="37"/>
      <c r="B2879" s="37"/>
      <c r="C2879" s="41"/>
      <c r="D2879" s="38"/>
      <c r="E2879" s="57"/>
      <c r="F2879" s="42"/>
      <c r="G2879" s="43"/>
      <c r="H2879" s="37"/>
      <c r="I2879" s="37"/>
      <c r="J2879" s="38"/>
      <c r="K2879" s="37"/>
      <c r="L2879" s="38"/>
      <c r="M2879" s="39"/>
      <c r="P2879" s="37"/>
      <c r="Q2879" s="37"/>
      <c r="R2879" s="37"/>
      <c r="S2879" s="37"/>
      <c r="T2879" s="37"/>
      <c r="U2879" s="37"/>
      <c r="V2879" s="37"/>
      <c r="W2879" s="37"/>
      <c r="X2879" s="37"/>
      <c r="Y2879" s="37"/>
      <c r="Z2879" s="37"/>
      <c r="AA2879" s="37"/>
      <c r="AB2879" s="37"/>
      <c r="AC2879" s="37"/>
      <c r="AD2879" s="37"/>
      <c r="AE2879" s="37"/>
      <c r="AF2879" s="37"/>
      <c r="AG2879" s="37"/>
      <c r="AH2879" s="37"/>
      <c r="AI2879" s="37"/>
      <c r="AJ2879" s="37"/>
      <c r="AK2879" s="37"/>
      <c r="AL2879" s="37"/>
      <c r="AM2879" s="37"/>
      <c r="AN2879" s="37"/>
      <c r="AO2879" s="37"/>
      <c r="AP2879" s="37"/>
      <c r="AQ2879" s="37"/>
      <c r="AR2879" s="37"/>
      <c r="AS2879" s="37"/>
      <c r="AT2879" s="37"/>
      <c r="AU2879" s="37"/>
      <c r="AV2879" s="37"/>
      <c r="AW2879" s="37"/>
      <c r="AX2879" s="37"/>
      <c r="AY2879" s="37"/>
      <c r="AZ2879" s="37"/>
      <c r="BA2879" s="37"/>
      <c r="BB2879" s="37"/>
      <c r="BC2879" s="37"/>
      <c r="BD2879" s="37"/>
      <c r="BE2879" s="37"/>
      <c r="BF2879" s="37"/>
      <c r="BG2879" s="37"/>
      <c r="BH2879" s="37"/>
      <c r="BI2879" s="37"/>
      <c r="BJ2879" s="37"/>
      <c r="BK2879" s="37"/>
      <c r="BL2879" s="37"/>
      <c r="BM2879" s="37"/>
    </row>
    <row r="2880" spans="1:65" s="40" customFormat="1" ht="23.25" x14ac:dyDescent="0.35">
      <c r="A2880" s="37"/>
      <c r="B2880" s="37"/>
      <c r="C2880" s="41"/>
      <c r="D2880" s="38"/>
      <c r="E2880" s="57"/>
      <c r="F2880" s="42"/>
      <c r="G2880" s="43"/>
      <c r="H2880" s="37"/>
      <c r="I2880" s="37"/>
      <c r="J2880" s="38"/>
      <c r="K2880" s="37"/>
      <c r="L2880" s="38"/>
      <c r="M2880" s="39"/>
      <c r="P2880" s="37"/>
      <c r="Q2880" s="37"/>
      <c r="R2880" s="37"/>
      <c r="S2880" s="37"/>
      <c r="T2880" s="37"/>
      <c r="U2880" s="37"/>
      <c r="V2880" s="37"/>
      <c r="W2880" s="37"/>
      <c r="X2880" s="37"/>
      <c r="Y2880" s="37"/>
      <c r="Z2880" s="37"/>
      <c r="AA2880" s="37"/>
      <c r="AB2880" s="37"/>
      <c r="AC2880" s="37"/>
      <c r="AD2880" s="37"/>
      <c r="AE2880" s="37"/>
      <c r="AF2880" s="37"/>
      <c r="AG2880" s="37"/>
      <c r="AH2880" s="37"/>
      <c r="AI2880" s="37"/>
      <c r="AJ2880" s="37"/>
      <c r="AK2880" s="37"/>
      <c r="AL2880" s="37"/>
      <c r="AM2880" s="37"/>
      <c r="AN2880" s="37"/>
      <c r="AO2880" s="37"/>
      <c r="AP2880" s="37"/>
      <c r="AQ2880" s="37"/>
      <c r="AR2880" s="37"/>
      <c r="AS2880" s="37"/>
      <c r="AT2880" s="37"/>
      <c r="AU2880" s="37"/>
      <c r="AV2880" s="37"/>
      <c r="AW2880" s="37"/>
      <c r="AX2880" s="37"/>
      <c r="AY2880" s="37"/>
      <c r="AZ2880" s="37"/>
      <c r="BA2880" s="37"/>
      <c r="BB2880" s="37"/>
      <c r="BC2880" s="37"/>
      <c r="BD2880" s="37"/>
      <c r="BE2880" s="37"/>
      <c r="BF2880" s="37"/>
      <c r="BG2880" s="37"/>
      <c r="BH2880" s="37"/>
      <c r="BI2880" s="37"/>
      <c r="BJ2880" s="37"/>
      <c r="BK2880" s="37"/>
      <c r="BL2880" s="37"/>
      <c r="BM2880" s="37"/>
    </row>
    <row r="2881" spans="1:65" s="40" customFormat="1" ht="23.25" x14ac:dyDescent="0.35">
      <c r="A2881" s="37"/>
      <c r="B2881" s="37"/>
      <c r="C2881" s="41"/>
      <c r="D2881" s="38"/>
      <c r="E2881" s="57"/>
      <c r="F2881" s="42"/>
      <c r="G2881" s="43"/>
      <c r="H2881" s="37"/>
      <c r="I2881" s="37"/>
      <c r="J2881" s="38"/>
      <c r="K2881" s="37"/>
      <c r="L2881" s="38"/>
      <c r="M2881" s="39"/>
      <c r="P2881" s="37"/>
      <c r="Q2881" s="37"/>
      <c r="R2881" s="37"/>
      <c r="S2881" s="37"/>
      <c r="T2881" s="37"/>
      <c r="U2881" s="37"/>
      <c r="V2881" s="37"/>
      <c r="W2881" s="37"/>
      <c r="X2881" s="37"/>
      <c r="Y2881" s="37"/>
      <c r="Z2881" s="37"/>
      <c r="AA2881" s="37"/>
      <c r="AB2881" s="37"/>
      <c r="AC2881" s="37"/>
      <c r="AD2881" s="37"/>
      <c r="AE2881" s="37"/>
      <c r="AF2881" s="37"/>
      <c r="AG2881" s="37"/>
      <c r="AH2881" s="37"/>
      <c r="AI2881" s="37"/>
      <c r="AJ2881" s="37"/>
      <c r="AK2881" s="37"/>
      <c r="AL2881" s="37"/>
      <c r="AM2881" s="37"/>
      <c r="AN2881" s="37"/>
      <c r="AO2881" s="37"/>
      <c r="AP2881" s="37"/>
      <c r="AQ2881" s="37"/>
      <c r="AR2881" s="37"/>
      <c r="AS2881" s="37"/>
      <c r="AT2881" s="37"/>
      <c r="AU2881" s="37"/>
      <c r="AV2881" s="37"/>
      <c r="AW2881" s="37"/>
      <c r="AX2881" s="37"/>
      <c r="AY2881" s="37"/>
      <c r="AZ2881" s="37"/>
      <c r="BA2881" s="37"/>
      <c r="BB2881" s="37"/>
      <c r="BC2881" s="37"/>
      <c r="BD2881" s="37"/>
      <c r="BE2881" s="37"/>
      <c r="BF2881" s="37"/>
      <c r="BG2881" s="37"/>
      <c r="BH2881" s="37"/>
      <c r="BI2881" s="37"/>
      <c r="BJ2881" s="37"/>
      <c r="BK2881" s="37"/>
      <c r="BL2881" s="37"/>
      <c r="BM2881" s="37"/>
    </row>
    <row r="2882" spans="1:65" s="40" customFormat="1" ht="23.25" x14ac:dyDescent="0.35">
      <c r="A2882" s="37"/>
      <c r="B2882" s="37"/>
      <c r="C2882" s="41"/>
      <c r="D2882" s="38"/>
      <c r="E2882" s="57"/>
      <c r="F2882" s="42"/>
      <c r="G2882" s="43"/>
      <c r="H2882" s="37"/>
      <c r="I2882" s="37"/>
      <c r="J2882" s="38"/>
      <c r="K2882" s="37"/>
      <c r="L2882" s="38"/>
      <c r="M2882" s="39"/>
      <c r="P2882" s="37"/>
      <c r="Q2882" s="37"/>
      <c r="R2882" s="37"/>
      <c r="S2882" s="37"/>
      <c r="T2882" s="37"/>
      <c r="U2882" s="37"/>
      <c r="V2882" s="37"/>
      <c r="W2882" s="37"/>
      <c r="X2882" s="37"/>
      <c r="Y2882" s="37"/>
      <c r="Z2882" s="37"/>
      <c r="AA2882" s="37"/>
      <c r="AB2882" s="37"/>
      <c r="AC2882" s="37"/>
      <c r="AD2882" s="37"/>
      <c r="AE2882" s="37"/>
      <c r="AF2882" s="37"/>
      <c r="AG2882" s="37"/>
      <c r="AH2882" s="37"/>
      <c r="AI2882" s="37"/>
      <c r="AJ2882" s="37"/>
      <c r="AK2882" s="37"/>
      <c r="AL2882" s="37"/>
      <c r="AM2882" s="37"/>
      <c r="AN2882" s="37"/>
      <c r="AO2882" s="37"/>
      <c r="AP2882" s="37"/>
      <c r="AQ2882" s="37"/>
      <c r="AR2882" s="37"/>
      <c r="AS2882" s="37"/>
      <c r="AT2882" s="37"/>
      <c r="AU2882" s="37"/>
      <c r="AV2882" s="37"/>
      <c r="AW2882" s="37"/>
      <c r="AX2882" s="37"/>
      <c r="AY2882" s="37"/>
      <c r="AZ2882" s="37"/>
      <c r="BA2882" s="37"/>
      <c r="BB2882" s="37"/>
      <c r="BC2882" s="37"/>
      <c r="BD2882" s="37"/>
      <c r="BE2882" s="37"/>
      <c r="BF2882" s="37"/>
      <c r="BG2882" s="37"/>
      <c r="BH2882" s="37"/>
      <c r="BI2882" s="37"/>
      <c r="BJ2882" s="37"/>
      <c r="BK2882" s="37"/>
      <c r="BL2882" s="37"/>
      <c r="BM2882" s="37"/>
    </row>
    <row r="2883" spans="1:65" s="40" customFormat="1" ht="23.25" x14ac:dyDescent="0.35">
      <c r="A2883" s="37"/>
      <c r="B2883" s="37"/>
      <c r="C2883" s="41"/>
      <c r="D2883" s="38"/>
      <c r="E2883" s="57"/>
      <c r="F2883" s="42"/>
      <c r="G2883" s="43"/>
      <c r="H2883" s="37"/>
      <c r="I2883" s="37"/>
      <c r="J2883" s="38"/>
      <c r="K2883" s="37"/>
      <c r="L2883" s="38"/>
      <c r="M2883" s="39"/>
      <c r="P2883" s="37"/>
      <c r="Q2883" s="37"/>
      <c r="R2883" s="37"/>
      <c r="S2883" s="37"/>
      <c r="T2883" s="37"/>
      <c r="U2883" s="37"/>
      <c r="V2883" s="37"/>
      <c r="W2883" s="37"/>
      <c r="X2883" s="37"/>
      <c r="Y2883" s="37"/>
      <c r="Z2883" s="37"/>
      <c r="AA2883" s="37"/>
      <c r="AB2883" s="37"/>
      <c r="AC2883" s="37"/>
      <c r="AD2883" s="37"/>
      <c r="AE2883" s="37"/>
      <c r="AF2883" s="37"/>
      <c r="AG2883" s="37"/>
      <c r="AH2883" s="37"/>
      <c r="AI2883" s="37"/>
      <c r="AJ2883" s="37"/>
      <c r="AK2883" s="37"/>
      <c r="AL2883" s="37"/>
      <c r="AM2883" s="37"/>
      <c r="AN2883" s="37"/>
      <c r="AO2883" s="37"/>
      <c r="AP2883" s="37"/>
      <c r="AQ2883" s="37"/>
      <c r="AR2883" s="37"/>
      <c r="AS2883" s="37"/>
      <c r="AT2883" s="37"/>
      <c r="AU2883" s="37"/>
      <c r="AV2883" s="37"/>
      <c r="AW2883" s="37"/>
      <c r="AX2883" s="37"/>
      <c r="AY2883" s="37"/>
      <c r="AZ2883" s="37"/>
      <c r="BA2883" s="37"/>
      <c r="BB2883" s="37"/>
      <c r="BC2883" s="37"/>
      <c r="BD2883" s="37"/>
      <c r="BE2883" s="37"/>
      <c r="BF2883" s="37"/>
      <c r="BG2883" s="37"/>
      <c r="BH2883" s="37"/>
      <c r="BI2883" s="37"/>
      <c r="BJ2883" s="37"/>
      <c r="BK2883" s="37"/>
      <c r="BL2883" s="37"/>
      <c r="BM2883" s="37"/>
    </row>
    <row r="2884" spans="1:65" s="40" customFormat="1" ht="23.25" x14ac:dyDescent="0.35">
      <c r="A2884" s="37"/>
      <c r="B2884" s="37"/>
      <c r="C2884" s="41"/>
      <c r="D2884" s="38"/>
      <c r="E2884" s="57"/>
      <c r="F2884" s="42"/>
      <c r="G2884" s="43"/>
      <c r="H2884" s="37"/>
      <c r="I2884" s="37"/>
      <c r="J2884" s="38"/>
      <c r="K2884" s="37"/>
      <c r="L2884" s="38"/>
      <c r="M2884" s="39"/>
      <c r="P2884" s="37"/>
      <c r="Q2884" s="37"/>
      <c r="R2884" s="37"/>
      <c r="S2884" s="37"/>
      <c r="T2884" s="37"/>
      <c r="U2884" s="37"/>
      <c r="V2884" s="37"/>
      <c r="W2884" s="37"/>
      <c r="X2884" s="37"/>
      <c r="Y2884" s="37"/>
      <c r="Z2884" s="37"/>
      <c r="AA2884" s="37"/>
      <c r="AB2884" s="37"/>
      <c r="AC2884" s="37"/>
      <c r="AD2884" s="37"/>
      <c r="AE2884" s="37"/>
      <c r="AF2884" s="37"/>
      <c r="AG2884" s="37"/>
      <c r="AH2884" s="37"/>
      <c r="AI2884" s="37"/>
      <c r="AJ2884" s="37"/>
      <c r="AK2884" s="37"/>
      <c r="AL2884" s="37"/>
      <c r="AM2884" s="37"/>
      <c r="AN2884" s="37"/>
      <c r="AO2884" s="37"/>
      <c r="AP2884" s="37"/>
      <c r="AQ2884" s="37"/>
      <c r="AR2884" s="37"/>
      <c r="AS2884" s="37"/>
      <c r="AT2884" s="37"/>
      <c r="AU2884" s="37"/>
      <c r="AV2884" s="37"/>
      <c r="AW2884" s="37"/>
      <c r="AX2884" s="37"/>
      <c r="AY2884" s="37"/>
      <c r="AZ2884" s="37"/>
      <c r="BA2884" s="37"/>
      <c r="BB2884" s="37"/>
      <c r="BC2884" s="37"/>
      <c r="BD2884" s="37"/>
      <c r="BE2884" s="37"/>
      <c r="BF2884" s="37"/>
      <c r="BG2884" s="37"/>
      <c r="BH2884" s="37"/>
      <c r="BI2884" s="37"/>
      <c r="BJ2884" s="37"/>
      <c r="BK2884" s="37"/>
      <c r="BL2884" s="37"/>
      <c r="BM2884" s="37"/>
    </row>
    <row r="2885" spans="1:65" s="40" customFormat="1" ht="23.25" x14ac:dyDescent="0.35">
      <c r="A2885" s="37"/>
      <c r="B2885" s="37"/>
      <c r="C2885" s="41"/>
      <c r="D2885" s="38"/>
      <c r="E2885" s="57"/>
      <c r="F2885" s="42"/>
      <c r="G2885" s="43"/>
      <c r="H2885" s="37"/>
      <c r="I2885" s="37"/>
      <c r="J2885" s="38"/>
      <c r="K2885" s="37"/>
      <c r="L2885" s="38"/>
      <c r="M2885" s="39"/>
      <c r="P2885" s="37"/>
      <c r="Q2885" s="37"/>
      <c r="R2885" s="37"/>
      <c r="S2885" s="37"/>
      <c r="T2885" s="37"/>
      <c r="U2885" s="37"/>
      <c r="V2885" s="37"/>
      <c r="W2885" s="37"/>
      <c r="X2885" s="37"/>
      <c r="Y2885" s="37"/>
      <c r="Z2885" s="37"/>
      <c r="AA2885" s="37"/>
      <c r="AB2885" s="37"/>
      <c r="AC2885" s="37"/>
      <c r="AD2885" s="37"/>
      <c r="AE2885" s="37"/>
      <c r="AF2885" s="37"/>
      <c r="AG2885" s="37"/>
      <c r="AH2885" s="37"/>
      <c r="AI2885" s="37"/>
      <c r="AJ2885" s="37"/>
      <c r="AK2885" s="37"/>
      <c r="AL2885" s="37"/>
      <c r="AM2885" s="37"/>
      <c r="AN2885" s="37"/>
      <c r="AO2885" s="37"/>
      <c r="AP2885" s="37"/>
      <c r="AQ2885" s="37"/>
      <c r="AR2885" s="37"/>
      <c r="AS2885" s="37"/>
      <c r="AT2885" s="37"/>
      <c r="AU2885" s="37"/>
      <c r="AV2885" s="37"/>
      <c r="AW2885" s="37"/>
      <c r="AX2885" s="37"/>
      <c r="AY2885" s="37"/>
      <c r="AZ2885" s="37"/>
      <c r="BA2885" s="37"/>
      <c r="BB2885" s="37"/>
      <c r="BC2885" s="37"/>
      <c r="BD2885" s="37"/>
      <c r="BE2885" s="37"/>
      <c r="BF2885" s="37"/>
      <c r="BG2885" s="37"/>
      <c r="BH2885" s="37"/>
      <c r="BI2885" s="37"/>
      <c r="BJ2885" s="37"/>
      <c r="BK2885" s="37"/>
      <c r="BL2885" s="37"/>
      <c r="BM2885" s="37"/>
    </row>
    <row r="2886" spans="1:65" s="40" customFormat="1" ht="23.25" x14ac:dyDescent="0.35">
      <c r="A2886" s="37"/>
      <c r="B2886" s="37"/>
      <c r="C2886" s="41"/>
      <c r="D2886" s="38"/>
      <c r="E2886" s="57"/>
      <c r="F2886" s="42"/>
      <c r="G2886" s="43"/>
      <c r="H2886" s="37"/>
      <c r="I2886" s="37"/>
      <c r="J2886" s="38"/>
      <c r="K2886" s="37"/>
      <c r="L2886" s="38"/>
      <c r="M2886" s="39"/>
      <c r="P2886" s="37"/>
      <c r="Q2886" s="37"/>
      <c r="R2886" s="37"/>
      <c r="S2886" s="37"/>
      <c r="T2886" s="37"/>
      <c r="U2886" s="37"/>
      <c r="V2886" s="37"/>
      <c r="W2886" s="37"/>
      <c r="X2886" s="37"/>
      <c r="Y2886" s="37"/>
      <c r="Z2886" s="37"/>
      <c r="AA2886" s="37"/>
      <c r="AB2886" s="37"/>
      <c r="AC2886" s="37"/>
      <c r="AD2886" s="37"/>
      <c r="AE2886" s="37"/>
      <c r="AF2886" s="37"/>
      <c r="AG2886" s="37"/>
      <c r="AH2886" s="37"/>
      <c r="AI2886" s="37"/>
      <c r="AJ2886" s="37"/>
      <c r="AK2886" s="37"/>
      <c r="AL2886" s="37"/>
      <c r="AM2886" s="37"/>
      <c r="AN2886" s="37"/>
      <c r="AO2886" s="37"/>
      <c r="AP2886" s="37"/>
      <c r="AQ2886" s="37"/>
      <c r="AR2886" s="37"/>
      <c r="AS2886" s="37"/>
      <c r="AT2886" s="37"/>
      <c r="AU2886" s="37"/>
      <c r="AV2886" s="37"/>
      <c r="AW2886" s="37"/>
      <c r="AX2886" s="37"/>
      <c r="AY2886" s="37"/>
      <c r="AZ2886" s="37"/>
      <c r="BA2886" s="37"/>
      <c r="BB2886" s="37"/>
      <c r="BC2886" s="37"/>
      <c r="BD2886" s="37"/>
      <c r="BE2886" s="37"/>
      <c r="BF2886" s="37"/>
      <c r="BG2886" s="37"/>
      <c r="BH2886" s="37"/>
      <c r="BI2886" s="37"/>
      <c r="BJ2886" s="37"/>
      <c r="BK2886" s="37"/>
      <c r="BL2886" s="37"/>
      <c r="BM2886" s="37"/>
    </row>
    <row r="2887" spans="1:65" s="40" customFormat="1" ht="23.25" x14ac:dyDescent="0.35">
      <c r="A2887" s="37"/>
      <c r="B2887" s="37"/>
      <c r="C2887" s="41"/>
      <c r="D2887" s="38"/>
      <c r="E2887" s="57"/>
      <c r="F2887" s="42"/>
      <c r="G2887" s="43"/>
      <c r="H2887" s="37"/>
      <c r="I2887" s="37"/>
      <c r="J2887" s="38"/>
      <c r="K2887" s="37"/>
      <c r="L2887" s="38"/>
      <c r="M2887" s="39"/>
      <c r="P2887" s="37"/>
      <c r="Q2887" s="37"/>
      <c r="R2887" s="37"/>
      <c r="S2887" s="37"/>
      <c r="T2887" s="37"/>
      <c r="U2887" s="37"/>
      <c r="V2887" s="37"/>
      <c r="W2887" s="37"/>
      <c r="X2887" s="37"/>
      <c r="Y2887" s="37"/>
      <c r="Z2887" s="37"/>
      <c r="AA2887" s="37"/>
      <c r="AB2887" s="37"/>
      <c r="AC2887" s="37"/>
      <c r="AD2887" s="37"/>
      <c r="AE2887" s="37"/>
      <c r="AF2887" s="37"/>
      <c r="AG2887" s="37"/>
      <c r="AH2887" s="37"/>
      <c r="AI2887" s="37"/>
      <c r="AJ2887" s="37"/>
      <c r="AK2887" s="37"/>
      <c r="AL2887" s="37"/>
      <c r="AM2887" s="37"/>
      <c r="AN2887" s="37"/>
      <c r="AO2887" s="37"/>
      <c r="AP2887" s="37"/>
      <c r="AQ2887" s="37"/>
      <c r="AR2887" s="37"/>
      <c r="AS2887" s="37"/>
      <c r="AT2887" s="37"/>
      <c r="AU2887" s="37"/>
      <c r="AV2887" s="37"/>
      <c r="AW2887" s="37"/>
      <c r="AX2887" s="37"/>
      <c r="AY2887" s="37"/>
      <c r="AZ2887" s="37"/>
      <c r="BA2887" s="37"/>
      <c r="BB2887" s="37"/>
      <c r="BC2887" s="37"/>
      <c r="BD2887" s="37"/>
      <c r="BE2887" s="37"/>
      <c r="BF2887" s="37"/>
      <c r="BG2887" s="37"/>
      <c r="BH2887" s="37"/>
      <c r="BI2887" s="37"/>
      <c r="BJ2887" s="37"/>
      <c r="BK2887" s="37"/>
      <c r="BL2887" s="37"/>
      <c r="BM2887" s="37"/>
    </row>
    <row r="2888" spans="1:65" s="40" customFormat="1" ht="23.25" x14ac:dyDescent="0.35">
      <c r="A2888" s="37"/>
      <c r="B2888" s="37"/>
      <c r="C2888" s="41"/>
      <c r="D2888" s="38"/>
      <c r="E2888" s="57"/>
      <c r="F2888" s="42"/>
      <c r="G2888" s="43"/>
      <c r="H2888" s="37"/>
      <c r="I2888" s="37"/>
      <c r="J2888" s="38"/>
      <c r="K2888" s="37"/>
      <c r="L2888" s="38"/>
      <c r="M2888" s="39"/>
      <c r="P2888" s="37"/>
      <c r="Q2888" s="37"/>
      <c r="R2888" s="37"/>
      <c r="S2888" s="37"/>
      <c r="T2888" s="37"/>
      <c r="U2888" s="37"/>
      <c r="V2888" s="37"/>
      <c r="W2888" s="37"/>
      <c r="X2888" s="37"/>
      <c r="Y2888" s="37"/>
      <c r="Z2888" s="37"/>
      <c r="AA2888" s="37"/>
      <c r="AB2888" s="37"/>
      <c r="AC2888" s="37"/>
      <c r="AD2888" s="37"/>
      <c r="AE2888" s="37"/>
      <c r="AF2888" s="37"/>
      <c r="AG2888" s="37"/>
      <c r="AH2888" s="37"/>
      <c r="AI2888" s="37"/>
      <c r="AJ2888" s="37"/>
      <c r="AK2888" s="37"/>
      <c r="AL2888" s="37"/>
      <c r="AM2888" s="37"/>
      <c r="AN2888" s="37"/>
      <c r="AO2888" s="37"/>
      <c r="AP2888" s="37"/>
      <c r="AQ2888" s="37"/>
      <c r="AR2888" s="37"/>
      <c r="AS2888" s="37"/>
      <c r="AT2888" s="37"/>
      <c r="AU2888" s="37"/>
      <c r="AV2888" s="37"/>
      <c r="AW2888" s="37"/>
      <c r="AX2888" s="37"/>
      <c r="AY2888" s="37"/>
      <c r="AZ2888" s="37"/>
      <c r="BA2888" s="37"/>
      <c r="BB2888" s="37"/>
      <c r="BC2888" s="37"/>
      <c r="BD2888" s="37"/>
      <c r="BE2888" s="37"/>
      <c r="BF2888" s="37"/>
      <c r="BG2888" s="37"/>
      <c r="BH2888" s="37"/>
      <c r="BI2888" s="37"/>
      <c r="BJ2888" s="37"/>
      <c r="BK2888" s="37"/>
      <c r="BL2888" s="37"/>
      <c r="BM2888" s="37"/>
    </row>
    <row r="2889" spans="1:65" s="40" customFormat="1" ht="23.25" x14ac:dyDescent="0.35">
      <c r="A2889" s="37"/>
      <c r="B2889" s="37"/>
      <c r="C2889" s="41"/>
      <c r="D2889" s="38"/>
      <c r="E2889" s="57"/>
      <c r="F2889" s="42"/>
      <c r="G2889" s="43"/>
      <c r="H2889" s="37"/>
      <c r="I2889" s="37"/>
      <c r="J2889" s="38"/>
      <c r="K2889" s="37"/>
      <c r="L2889" s="38"/>
      <c r="M2889" s="39"/>
      <c r="P2889" s="37"/>
      <c r="Q2889" s="37"/>
      <c r="R2889" s="37"/>
      <c r="S2889" s="37"/>
      <c r="T2889" s="37"/>
      <c r="U2889" s="37"/>
      <c r="V2889" s="37"/>
      <c r="W2889" s="37"/>
      <c r="X2889" s="37"/>
      <c r="Y2889" s="37"/>
      <c r="Z2889" s="37"/>
      <c r="AA2889" s="37"/>
      <c r="AB2889" s="37"/>
      <c r="AC2889" s="37"/>
      <c r="AD2889" s="37"/>
      <c r="AE2889" s="37"/>
      <c r="AF2889" s="37"/>
      <c r="AG2889" s="37"/>
      <c r="AH2889" s="37"/>
      <c r="AI2889" s="37"/>
      <c r="AJ2889" s="37"/>
      <c r="AK2889" s="37"/>
      <c r="AL2889" s="37"/>
      <c r="AM2889" s="37"/>
      <c r="AN2889" s="37"/>
      <c r="AO2889" s="37"/>
      <c r="AP2889" s="37"/>
      <c r="AQ2889" s="37"/>
      <c r="AR2889" s="37"/>
      <c r="AS2889" s="37"/>
      <c r="AT2889" s="37"/>
      <c r="AU2889" s="37"/>
      <c r="AV2889" s="37"/>
      <c r="AW2889" s="37"/>
      <c r="AX2889" s="37"/>
      <c r="AY2889" s="37"/>
      <c r="AZ2889" s="37"/>
      <c r="BA2889" s="37"/>
      <c r="BB2889" s="37"/>
      <c r="BC2889" s="37"/>
      <c r="BD2889" s="37"/>
      <c r="BE2889" s="37"/>
      <c r="BF2889" s="37"/>
      <c r="BG2889" s="37"/>
      <c r="BH2889" s="37"/>
      <c r="BI2889" s="37"/>
      <c r="BJ2889" s="37"/>
      <c r="BK2889" s="37"/>
      <c r="BL2889" s="37"/>
      <c r="BM2889" s="37"/>
    </row>
    <row r="2890" spans="1:65" s="40" customFormat="1" ht="23.25" x14ac:dyDescent="0.35">
      <c r="A2890" s="37"/>
      <c r="B2890" s="37"/>
      <c r="C2890" s="41"/>
      <c r="D2890" s="38"/>
      <c r="E2890" s="57"/>
      <c r="F2890" s="42"/>
      <c r="G2890" s="43"/>
      <c r="H2890" s="37"/>
      <c r="I2890" s="37"/>
      <c r="J2890" s="38"/>
      <c r="K2890" s="37"/>
      <c r="L2890" s="38"/>
      <c r="M2890" s="39"/>
      <c r="P2890" s="37"/>
      <c r="Q2890" s="37"/>
      <c r="R2890" s="37"/>
      <c r="S2890" s="37"/>
      <c r="T2890" s="37"/>
      <c r="U2890" s="37"/>
      <c r="V2890" s="37"/>
      <c r="W2890" s="37"/>
      <c r="X2890" s="37"/>
      <c r="Y2890" s="37"/>
      <c r="Z2890" s="37"/>
      <c r="AA2890" s="37"/>
      <c r="AB2890" s="37"/>
      <c r="AC2890" s="37"/>
      <c r="AD2890" s="37"/>
      <c r="AE2890" s="37"/>
      <c r="AF2890" s="37"/>
      <c r="AG2890" s="37"/>
      <c r="AH2890" s="37"/>
      <c r="AI2890" s="37"/>
      <c r="AJ2890" s="37"/>
      <c r="AK2890" s="37"/>
      <c r="AL2890" s="37"/>
      <c r="AM2890" s="37"/>
      <c r="AN2890" s="37"/>
      <c r="AO2890" s="37"/>
      <c r="AP2890" s="37"/>
      <c r="AQ2890" s="37"/>
      <c r="AR2890" s="37"/>
      <c r="AS2890" s="37"/>
      <c r="AT2890" s="37"/>
      <c r="AU2890" s="37"/>
      <c r="AV2890" s="37"/>
      <c r="AW2890" s="37"/>
      <c r="AX2890" s="37"/>
      <c r="AY2890" s="37"/>
      <c r="AZ2890" s="37"/>
      <c r="BA2890" s="37"/>
      <c r="BB2890" s="37"/>
      <c r="BC2890" s="37"/>
      <c r="BD2890" s="37"/>
      <c r="BE2890" s="37"/>
      <c r="BF2890" s="37"/>
      <c r="BG2890" s="37"/>
      <c r="BH2890" s="37"/>
      <c r="BI2890" s="37"/>
      <c r="BJ2890" s="37"/>
      <c r="BK2890" s="37"/>
      <c r="BL2890" s="37"/>
      <c r="BM2890" s="37"/>
    </row>
    <row r="2891" spans="1:65" s="40" customFormat="1" ht="23.25" x14ac:dyDescent="0.35">
      <c r="A2891" s="37"/>
      <c r="B2891" s="37"/>
      <c r="C2891" s="41"/>
      <c r="D2891" s="38"/>
      <c r="E2891" s="57"/>
      <c r="F2891" s="42"/>
      <c r="G2891" s="43"/>
      <c r="H2891" s="37"/>
      <c r="I2891" s="37"/>
      <c r="J2891" s="38"/>
      <c r="K2891" s="37"/>
      <c r="L2891" s="38"/>
      <c r="M2891" s="39"/>
      <c r="P2891" s="37"/>
      <c r="Q2891" s="37"/>
      <c r="R2891" s="37"/>
      <c r="S2891" s="37"/>
      <c r="T2891" s="37"/>
      <c r="U2891" s="37"/>
      <c r="V2891" s="37"/>
      <c r="W2891" s="37"/>
      <c r="X2891" s="37"/>
      <c r="Y2891" s="37"/>
      <c r="Z2891" s="37"/>
      <c r="AA2891" s="37"/>
      <c r="AB2891" s="37"/>
      <c r="AC2891" s="37"/>
      <c r="AD2891" s="37"/>
      <c r="AE2891" s="37"/>
      <c r="AF2891" s="37"/>
      <c r="AG2891" s="37"/>
      <c r="AH2891" s="37"/>
      <c r="AI2891" s="37"/>
      <c r="AJ2891" s="37"/>
      <c r="AK2891" s="37"/>
      <c r="AL2891" s="37"/>
      <c r="AM2891" s="37"/>
      <c r="AN2891" s="37"/>
      <c r="AO2891" s="37"/>
      <c r="AP2891" s="37"/>
      <c r="AQ2891" s="37"/>
      <c r="AR2891" s="37"/>
      <c r="AS2891" s="37"/>
      <c r="AT2891" s="37"/>
      <c r="AU2891" s="37"/>
      <c r="AV2891" s="37"/>
      <c r="AW2891" s="37"/>
      <c r="AX2891" s="37"/>
      <c r="AY2891" s="37"/>
      <c r="AZ2891" s="37"/>
      <c r="BA2891" s="37"/>
      <c r="BB2891" s="37"/>
      <c r="BC2891" s="37"/>
      <c r="BD2891" s="37"/>
      <c r="BE2891" s="37"/>
      <c r="BF2891" s="37"/>
      <c r="BG2891" s="37"/>
      <c r="BH2891" s="37"/>
      <c r="BI2891" s="37"/>
      <c r="BJ2891" s="37"/>
      <c r="BK2891" s="37"/>
      <c r="BL2891" s="37"/>
      <c r="BM2891" s="37"/>
    </row>
    <row r="2892" spans="1:65" s="40" customFormat="1" ht="23.25" x14ac:dyDescent="0.35">
      <c r="A2892" s="37"/>
      <c r="B2892" s="37"/>
      <c r="C2892" s="41"/>
      <c r="D2892" s="38"/>
      <c r="E2892" s="57"/>
      <c r="F2892" s="42"/>
      <c r="G2892" s="43"/>
      <c r="H2892" s="37"/>
      <c r="I2892" s="37"/>
      <c r="J2892" s="38"/>
      <c r="K2892" s="37"/>
      <c r="L2892" s="38"/>
      <c r="M2892" s="39"/>
      <c r="P2892" s="37"/>
      <c r="Q2892" s="37"/>
      <c r="R2892" s="37"/>
      <c r="S2892" s="37"/>
      <c r="T2892" s="37"/>
      <c r="U2892" s="37"/>
      <c r="V2892" s="37"/>
      <c r="W2892" s="37"/>
      <c r="X2892" s="37"/>
      <c r="Y2892" s="37"/>
      <c r="Z2892" s="37"/>
      <c r="AA2892" s="37"/>
      <c r="AB2892" s="37"/>
      <c r="AC2892" s="37"/>
      <c r="AD2892" s="37"/>
      <c r="AE2892" s="37"/>
      <c r="AF2892" s="37"/>
      <c r="AG2892" s="37"/>
      <c r="AH2892" s="37"/>
      <c r="AI2892" s="37"/>
      <c r="AJ2892" s="37"/>
      <c r="AK2892" s="37"/>
      <c r="AL2892" s="37"/>
      <c r="AM2892" s="37"/>
      <c r="AN2892" s="37"/>
      <c r="AO2892" s="37"/>
      <c r="AP2892" s="37"/>
      <c r="AQ2892" s="37"/>
      <c r="AR2892" s="37"/>
      <c r="AS2892" s="37"/>
      <c r="AT2892" s="37"/>
      <c r="AU2892" s="37"/>
      <c r="AV2892" s="37"/>
      <c r="AW2892" s="37"/>
      <c r="AX2892" s="37"/>
      <c r="AY2892" s="37"/>
      <c r="AZ2892" s="37"/>
      <c r="BA2892" s="37"/>
      <c r="BB2892" s="37"/>
      <c r="BC2892" s="37"/>
      <c r="BD2892" s="37"/>
      <c r="BE2892" s="37"/>
      <c r="BF2892" s="37"/>
      <c r="BG2892" s="37"/>
      <c r="BH2892" s="37"/>
      <c r="BI2892" s="37"/>
      <c r="BJ2892" s="37"/>
      <c r="BK2892" s="37"/>
      <c r="BL2892" s="37"/>
      <c r="BM2892" s="37"/>
    </row>
    <row r="2893" spans="1:65" s="40" customFormat="1" ht="23.25" x14ac:dyDescent="0.35">
      <c r="A2893" s="37"/>
      <c r="B2893" s="37"/>
      <c r="C2893" s="41"/>
      <c r="D2893" s="38"/>
      <c r="E2893" s="57"/>
      <c r="F2893" s="42"/>
      <c r="G2893" s="43"/>
      <c r="H2893" s="37"/>
      <c r="I2893" s="37"/>
      <c r="J2893" s="38"/>
      <c r="K2893" s="37"/>
      <c r="L2893" s="38"/>
      <c r="M2893" s="39"/>
      <c r="P2893" s="37"/>
      <c r="Q2893" s="37"/>
      <c r="R2893" s="37"/>
      <c r="S2893" s="37"/>
      <c r="T2893" s="37"/>
      <c r="U2893" s="37"/>
      <c r="V2893" s="37"/>
      <c r="W2893" s="37"/>
      <c r="X2893" s="37"/>
      <c r="Y2893" s="37"/>
      <c r="Z2893" s="37"/>
      <c r="AA2893" s="37"/>
      <c r="AB2893" s="37"/>
      <c r="AC2893" s="37"/>
      <c r="AD2893" s="37"/>
      <c r="AE2893" s="37"/>
      <c r="AF2893" s="37"/>
      <c r="AG2893" s="37"/>
      <c r="AH2893" s="37"/>
      <c r="AI2893" s="37"/>
      <c r="AJ2893" s="37"/>
      <c r="AK2893" s="37"/>
      <c r="AL2893" s="37"/>
      <c r="AM2893" s="37"/>
      <c r="AN2893" s="37"/>
      <c r="AO2893" s="37"/>
      <c r="AP2893" s="37"/>
      <c r="AQ2893" s="37"/>
      <c r="AR2893" s="37"/>
      <c r="AS2893" s="37"/>
      <c r="AT2893" s="37"/>
      <c r="AU2893" s="37"/>
      <c r="AV2893" s="37"/>
      <c r="AW2893" s="37"/>
      <c r="AX2893" s="37"/>
      <c r="AY2893" s="37"/>
      <c r="AZ2893" s="37"/>
      <c r="BA2893" s="37"/>
      <c r="BB2893" s="37"/>
      <c r="BC2893" s="37"/>
      <c r="BD2893" s="37"/>
      <c r="BE2893" s="37"/>
      <c r="BF2893" s="37"/>
      <c r="BG2893" s="37"/>
      <c r="BH2893" s="37"/>
      <c r="BI2893" s="37"/>
      <c r="BJ2893" s="37"/>
      <c r="BK2893" s="37"/>
      <c r="BL2893" s="37"/>
      <c r="BM2893" s="37"/>
    </row>
    <row r="2894" spans="1:65" s="40" customFormat="1" ht="23.25" x14ac:dyDescent="0.35">
      <c r="A2894" s="37"/>
      <c r="B2894" s="37"/>
      <c r="C2894" s="41"/>
      <c r="D2894" s="38"/>
      <c r="E2894" s="57"/>
      <c r="F2894" s="42"/>
      <c r="G2894" s="43"/>
      <c r="H2894" s="37"/>
      <c r="I2894" s="37"/>
      <c r="J2894" s="38"/>
      <c r="K2894" s="37"/>
      <c r="L2894" s="38"/>
      <c r="M2894" s="39"/>
      <c r="P2894" s="37"/>
      <c r="Q2894" s="37"/>
      <c r="R2894" s="37"/>
      <c r="S2894" s="37"/>
      <c r="T2894" s="37"/>
      <c r="U2894" s="37"/>
      <c r="V2894" s="37"/>
      <c r="W2894" s="37"/>
      <c r="X2894" s="37"/>
      <c r="Y2894" s="37"/>
      <c r="Z2894" s="37"/>
      <c r="AA2894" s="37"/>
      <c r="AB2894" s="37"/>
      <c r="AC2894" s="37"/>
      <c r="AD2894" s="37"/>
      <c r="AE2894" s="37"/>
      <c r="AF2894" s="37"/>
      <c r="AG2894" s="37"/>
      <c r="AH2894" s="37"/>
      <c r="AI2894" s="37"/>
      <c r="AJ2894" s="37"/>
      <c r="AK2894" s="37"/>
      <c r="AL2894" s="37"/>
      <c r="AM2894" s="37"/>
      <c r="AN2894" s="37"/>
      <c r="AO2894" s="37"/>
      <c r="AP2894" s="37"/>
      <c r="AQ2894" s="37"/>
      <c r="AR2894" s="37"/>
      <c r="AS2894" s="37"/>
      <c r="AT2894" s="37"/>
      <c r="AU2894" s="37"/>
      <c r="AV2894" s="37"/>
      <c r="AW2894" s="37"/>
      <c r="AX2894" s="37"/>
      <c r="AY2894" s="37"/>
      <c r="AZ2894" s="37"/>
      <c r="BA2894" s="37"/>
      <c r="BB2894" s="37"/>
      <c r="BC2894" s="37"/>
      <c r="BD2894" s="37"/>
      <c r="BE2894" s="37"/>
      <c r="BF2894" s="37"/>
      <c r="BG2894" s="37"/>
      <c r="BH2894" s="37"/>
      <c r="BI2894" s="37"/>
      <c r="BJ2894" s="37"/>
      <c r="BK2894" s="37"/>
      <c r="BL2894" s="37"/>
      <c r="BM2894" s="37"/>
    </row>
    <row r="2895" spans="1:65" s="40" customFormat="1" ht="23.25" x14ac:dyDescent="0.35">
      <c r="A2895" s="37"/>
      <c r="B2895" s="37"/>
      <c r="C2895" s="41"/>
      <c r="D2895" s="38"/>
      <c r="E2895" s="57"/>
      <c r="F2895" s="42"/>
      <c r="G2895" s="43"/>
      <c r="H2895" s="37"/>
      <c r="I2895" s="37"/>
      <c r="J2895" s="38"/>
      <c r="K2895" s="37"/>
      <c r="L2895" s="38"/>
      <c r="M2895" s="39"/>
      <c r="P2895" s="37"/>
      <c r="Q2895" s="37"/>
      <c r="R2895" s="37"/>
      <c r="S2895" s="37"/>
      <c r="T2895" s="37"/>
      <c r="U2895" s="37"/>
      <c r="V2895" s="37"/>
      <c r="W2895" s="37"/>
      <c r="X2895" s="37"/>
      <c r="Y2895" s="37"/>
      <c r="Z2895" s="37"/>
      <c r="AA2895" s="37"/>
      <c r="AB2895" s="37"/>
      <c r="AC2895" s="37"/>
      <c r="AD2895" s="37"/>
      <c r="AE2895" s="37"/>
      <c r="AF2895" s="37"/>
      <c r="AG2895" s="37"/>
      <c r="AH2895" s="37"/>
      <c r="AI2895" s="37"/>
      <c r="AJ2895" s="37"/>
      <c r="AK2895" s="37"/>
      <c r="AL2895" s="37"/>
      <c r="AM2895" s="37"/>
      <c r="AN2895" s="37"/>
      <c r="AO2895" s="37"/>
      <c r="AP2895" s="37"/>
      <c r="AQ2895" s="37"/>
      <c r="AR2895" s="37"/>
      <c r="AS2895" s="37"/>
      <c r="AT2895" s="37"/>
      <c r="AU2895" s="37"/>
      <c r="AV2895" s="37"/>
      <c r="AW2895" s="37"/>
      <c r="AX2895" s="37"/>
      <c r="AY2895" s="37"/>
      <c r="AZ2895" s="37"/>
      <c r="BA2895" s="37"/>
      <c r="BB2895" s="37"/>
      <c r="BC2895" s="37"/>
      <c r="BD2895" s="37"/>
      <c r="BE2895" s="37"/>
      <c r="BF2895" s="37"/>
      <c r="BG2895" s="37"/>
      <c r="BH2895" s="37"/>
      <c r="BI2895" s="37"/>
      <c r="BJ2895" s="37"/>
      <c r="BK2895" s="37"/>
      <c r="BL2895" s="37"/>
      <c r="BM2895" s="37"/>
    </row>
    <row r="2896" spans="1:65" s="40" customFormat="1" ht="23.25" x14ac:dyDescent="0.35">
      <c r="A2896" s="37"/>
      <c r="B2896" s="37"/>
      <c r="C2896" s="41"/>
      <c r="D2896" s="38"/>
      <c r="E2896" s="57"/>
      <c r="F2896" s="42"/>
      <c r="G2896" s="43"/>
      <c r="H2896" s="37"/>
      <c r="I2896" s="37"/>
      <c r="J2896" s="38"/>
      <c r="K2896" s="37"/>
      <c r="L2896" s="38"/>
      <c r="M2896" s="39"/>
      <c r="P2896" s="37"/>
      <c r="Q2896" s="37"/>
      <c r="R2896" s="37"/>
      <c r="S2896" s="37"/>
      <c r="T2896" s="37"/>
      <c r="U2896" s="37"/>
      <c r="V2896" s="37"/>
      <c r="W2896" s="37"/>
      <c r="X2896" s="37"/>
      <c r="Y2896" s="37"/>
      <c r="Z2896" s="37"/>
      <c r="AA2896" s="37"/>
      <c r="AB2896" s="37"/>
      <c r="AC2896" s="37"/>
      <c r="AD2896" s="37"/>
      <c r="AE2896" s="37"/>
      <c r="AF2896" s="37"/>
      <c r="AG2896" s="37"/>
      <c r="AH2896" s="37"/>
      <c r="AI2896" s="37"/>
      <c r="AJ2896" s="37"/>
      <c r="AK2896" s="37"/>
      <c r="AL2896" s="37"/>
      <c r="AM2896" s="37"/>
      <c r="AN2896" s="37"/>
      <c r="AO2896" s="37"/>
      <c r="AP2896" s="37"/>
      <c r="AQ2896" s="37"/>
      <c r="AR2896" s="37"/>
      <c r="AS2896" s="37"/>
      <c r="AT2896" s="37"/>
      <c r="AU2896" s="37"/>
      <c r="AV2896" s="37"/>
      <c r="AW2896" s="37"/>
      <c r="AX2896" s="37"/>
      <c r="AY2896" s="37"/>
      <c r="AZ2896" s="37"/>
      <c r="BA2896" s="37"/>
      <c r="BB2896" s="37"/>
      <c r="BC2896" s="37"/>
      <c r="BD2896" s="37"/>
      <c r="BE2896" s="37"/>
      <c r="BF2896" s="37"/>
      <c r="BG2896" s="37"/>
      <c r="BH2896" s="37"/>
      <c r="BI2896" s="37"/>
      <c r="BJ2896" s="37"/>
      <c r="BK2896" s="37"/>
      <c r="BL2896" s="37"/>
      <c r="BM2896" s="37"/>
    </row>
    <row r="2897" spans="1:65" s="40" customFormat="1" ht="23.25" x14ac:dyDescent="0.35">
      <c r="A2897" s="37"/>
      <c r="B2897" s="37"/>
      <c r="C2897" s="41"/>
      <c r="D2897" s="38"/>
      <c r="E2897" s="57"/>
      <c r="F2897" s="42"/>
      <c r="G2897" s="43"/>
      <c r="H2897" s="37"/>
      <c r="I2897" s="37"/>
      <c r="J2897" s="38"/>
      <c r="K2897" s="37"/>
      <c r="L2897" s="38"/>
      <c r="M2897" s="39"/>
      <c r="P2897" s="37"/>
      <c r="Q2897" s="37"/>
      <c r="R2897" s="37"/>
      <c r="S2897" s="37"/>
      <c r="T2897" s="37"/>
      <c r="U2897" s="37"/>
      <c r="V2897" s="37"/>
      <c r="W2897" s="37"/>
      <c r="X2897" s="37"/>
      <c r="Y2897" s="37"/>
      <c r="Z2897" s="37"/>
      <c r="AA2897" s="37"/>
      <c r="AB2897" s="37"/>
      <c r="AC2897" s="37"/>
      <c r="AD2897" s="37"/>
      <c r="AE2897" s="37"/>
      <c r="AF2897" s="37"/>
      <c r="AG2897" s="37"/>
      <c r="AH2897" s="37"/>
      <c r="AI2897" s="37"/>
      <c r="AJ2897" s="37"/>
      <c r="AK2897" s="37"/>
      <c r="AL2897" s="37"/>
      <c r="AM2897" s="37"/>
      <c r="AN2897" s="37"/>
      <c r="AO2897" s="37"/>
      <c r="AP2897" s="37"/>
      <c r="AQ2897" s="37"/>
      <c r="AR2897" s="37"/>
      <c r="AS2897" s="37"/>
      <c r="AT2897" s="37"/>
      <c r="AU2897" s="37"/>
      <c r="AV2897" s="37"/>
      <c r="AW2897" s="37"/>
      <c r="AX2897" s="37"/>
      <c r="AY2897" s="37"/>
      <c r="AZ2897" s="37"/>
      <c r="BA2897" s="37"/>
      <c r="BB2897" s="37"/>
      <c r="BC2897" s="37"/>
      <c r="BD2897" s="37"/>
      <c r="BE2897" s="37"/>
      <c r="BF2897" s="37"/>
      <c r="BG2897" s="37"/>
      <c r="BH2897" s="37"/>
      <c r="BI2897" s="37"/>
      <c r="BJ2897" s="37"/>
      <c r="BK2897" s="37"/>
      <c r="BL2897" s="37"/>
      <c r="BM2897" s="37"/>
    </row>
    <row r="2898" spans="1:65" s="40" customFormat="1" ht="23.25" x14ac:dyDescent="0.35">
      <c r="A2898" s="37"/>
      <c r="B2898" s="37"/>
      <c r="C2898" s="41"/>
      <c r="D2898" s="38"/>
      <c r="E2898" s="57"/>
      <c r="F2898" s="42"/>
      <c r="G2898" s="43"/>
      <c r="H2898" s="37"/>
      <c r="I2898" s="37"/>
      <c r="J2898" s="38"/>
      <c r="K2898" s="37"/>
      <c r="L2898" s="38"/>
      <c r="M2898" s="39"/>
      <c r="P2898" s="37"/>
      <c r="Q2898" s="37"/>
      <c r="R2898" s="37"/>
      <c r="S2898" s="37"/>
      <c r="T2898" s="37"/>
      <c r="U2898" s="37"/>
      <c r="V2898" s="37"/>
      <c r="W2898" s="37"/>
      <c r="X2898" s="37"/>
      <c r="Y2898" s="37"/>
      <c r="Z2898" s="37"/>
      <c r="AA2898" s="37"/>
      <c r="AB2898" s="37"/>
      <c r="AC2898" s="37"/>
      <c r="AD2898" s="37"/>
      <c r="AE2898" s="37"/>
      <c r="AF2898" s="37"/>
      <c r="AG2898" s="37"/>
      <c r="AH2898" s="37"/>
      <c r="AI2898" s="37"/>
      <c r="AJ2898" s="37"/>
      <c r="AK2898" s="37"/>
      <c r="AL2898" s="37"/>
      <c r="AM2898" s="37"/>
      <c r="AN2898" s="37"/>
      <c r="AO2898" s="37"/>
      <c r="AP2898" s="37"/>
      <c r="AQ2898" s="37"/>
      <c r="AR2898" s="37"/>
      <c r="AS2898" s="37"/>
      <c r="AT2898" s="37"/>
      <c r="AU2898" s="37"/>
      <c r="AV2898" s="37"/>
      <c r="AW2898" s="37"/>
      <c r="AX2898" s="37"/>
      <c r="AY2898" s="37"/>
      <c r="AZ2898" s="37"/>
      <c r="BA2898" s="37"/>
      <c r="BB2898" s="37"/>
      <c r="BC2898" s="37"/>
      <c r="BD2898" s="37"/>
      <c r="BE2898" s="37"/>
      <c r="BF2898" s="37"/>
      <c r="BG2898" s="37"/>
      <c r="BH2898" s="37"/>
      <c r="BI2898" s="37"/>
      <c r="BJ2898" s="37"/>
      <c r="BK2898" s="37"/>
      <c r="BL2898" s="37"/>
      <c r="BM2898" s="37"/>
    </row>
    <row r="2899" spans="1:65" s="40" customFormat="1" ht="23.25" x14ac:dyDescent="0.35">
      <c r="A2899" s="37"/>
      <c r="B2899" s="37"/>
      <c r="C2899" s="41"/>
      <c r="D2899" s="38"/>
      <c r="E2899" s="57"/>
      <c r="F2899" s="42"/>
      <c r="G2899" s="43"/>
      <c r="H2899" s="37"/>
      <c r="I2899" s="37"/>
      <c r="J2899" s="38"/>
      <c r="K2899" s="37"/>
      <c r="L2899" s="38"/>
      <c r="M2899" s="39"/>
      <c r="P2899" s="37"/>
      <c r="Q2899" s="37"/>
      <c r="R2899" s="37"/>
      <c r="S2899" s="37"/>
      <c r="T2899" s="37"/>
      <c r="U2899" s="37"/>
      <c r="V2899" s="37"/>
      <c r="W2899" s="37"/>
      <c r="X2899" s="37"/>
      <c r="Y2899" s="37"/>
      <c r="Z2899" s="37"/>
      <c r="AA2899" s="37"/>
      <c r="AB2899" s="37"/>
      <c r="AC2899" s="37"/>
      <c r="AD2899" s="37"/>
      <c r="AE2899" s="37"/>
      <c r="AF2899" s="37"/>
      <c r="AG2899" s="37"/>
      <c r="AH2899" s="37"/>
      <c r="AI2899" s="37"/>
      <c r="AJ2899" s="37"/>
      <c r="AK2899" s="37"/>
      <c r="AL2899" s="37"/>
      <c r="AM2899" s="37"/>
      <c r="AN2899" s="37"/>
      <c r="AO2899" s="37"/>
      <c r="AP2899" s="37"/>
      <c r="AQ2899" s="37"/>
      <c r="AR2899" s="37"/>
      <c r="AS2899" s="37"/>
      <c r="AT2899" s="37"/>
      <c r="AU2899" s="37"/>
      <c r="AV2899" s="37"/>
      <c r="AW2899" s="37"/>
      <c r="AX2899" s="37"/>
      <c r="AY2899" s="37"/>
      <c r="AZ2899" s="37"/>
      <c r="BA2899" s="37"/>
      <c r="BB2899" s="37"/>
      <c r="BC2899" s="37"/>
      <c r="BD2899" s="37"/>
      <c r="BE2899" s="37"/>
      <c r="BF2899" s="37"/>
      <c r="BG2899" s="37"/>
      <c r="BH2899" s="37"/>
      <c r="BI2899" s="37"/>
      <c r="BJ2899" s="37"/>
      <c r="BK2899" s="37"/>
      <c r="BL2899" s="37"/>
      <c r="BM2899" s="37"/>
    </row>
    <row r="2900" spans="1:65" s="40" customFormat="1" ht="23.25" x14ac:dyDescent="0.35">
      <c r="A2900" s="37"/>
      <c r="B2900" s="37"/>
      <c r="C2900" s="41"/>
      <c r="D2900" s="38"/>
      <c r="E2900" s="57"/>
      <c r="F2900" s="42"/>
      <c r="G2900" s="43"/>
      <c r="H2900" s="37"/>
      <c r="I2900" s="37"/>
      <c r="J2900" s="38"/>
      <c r="K2900" s="37"/>
      <c r="L2900" s="38"/>
      <c r="M2900" s="39"/>
      <c r="P2900" s="37"/>
      <c r="Q2900" s="37"/>
      <c r="R2900" s="37"/>
      <c r="S2900" s="37"/>
      <c r="T2900" s="37"/>
      <c r="U2900" s="37"/>
      <c r="V2900" s="37"/>
      <c r="W2900" s="37"/>
      <c r="X2900" s="37"/>
      <c r="Y2900" s="37"/>
      <c r="Z2900" s="37"/>
      <c r="AA2900" s="37"/>
      <c r="AB2900" s="37"/>
      <c r="AC2900" s="37"/>
      <c r="AD2900" s="37"/>
      <c r="AE2900" s="37"/>
      <c r="AF2900" s="37"/>
      <c r="AG2900" s="37"/>
      <c r="AH2900" s="37"/>
      <c r="AI2900" s="37"/>
      <c r="AJ2900" s="37"/>
      <c r="AK2900" s="37"/>
      <c r="AL2900" s="37"/>
      <c r="AM2900" s="37"/>
      <c r="AN2900" s="37"/>
      <c r="AO2900" s="37"/>
      <c r="AP2900" s="37"/>
      <c r="AQ2900" s="37"/>
      <c r="AR2900" s="37"/>
      <c r="AS2900" s="37"/>
      <c r="AT2900" s="37"/>
      <c r="AU2900" s="37"/>
      <c r="AV2900" s="37"/>
      <c r="AW2900" s="37"/>
      <c r="AX2900" s="37"/>
      <c r="AY2900" s="37"/>
      <c r="AZ2900" s="37"/>
      <c r="BA2900" s="37"/>
      <c r="BB2900" s="37"/>
      <c r="BC2900" s="37"/>
      <c r="BD2900" s="37"/>
      <c r="BE2900" s="37"/>
      <c r="BF2900" s="37"/>
      <c r="BG2900" s="37"/>
      <c r="BH2900" s="37"/>
      <c r="BI2900" s="37"/>
      <c r="BJ2900" s="37"/>
      <c r="BK2900" s="37"/>
      <c r="BL2900" s="37"/>
      <c r="BM2900" s="37"/>
    </row>
    <row r="2901" spans="1:65" s="40" customFormat="1" ht="23.25" x14ac:dyDescent="0.35">
      <c r="A2901" s="37"/>
      <c r="B2901" s="37"/>
      <c r="C2901" s="41"/>
      <c r="D2901" s="38"/>
      <c r="E2901" s="57"/>
      <c r="F2901" s="42"/>
      <c r="G2901" s="43"/>
      <c r="H2901" s="37"/>
      <c r="I2901" s="37"/>
      <c r="J2901" s="38"/>
      <c r="K2901" s="37"/>
      <c r="L2901" s="38"/>
      <c r="M2901" s="39"/>
      <c r="P2901" s="37"/>
      <c r="Q2901" s="37"/>
      <c r="R2901" s="37"/>
      <c r="S2901" s="37"/>
      <c r="T2901" s="37"/>
      <c r="U2901" s="37"/>
      <c r="V2901" s="37"/>
      <c r="W2901" s="37"/>
      <c r="X2901" s="37"/>
      <c r="Y2901" s="37"/>
      <c r="Z2901" s="37"/>
      <c r="AA2901" s="37"/>
      <c r="AB2901" s="37"/>
      <c r="AC2901" s="37"/>
      <c r="AD2901" s="37"/>
      <c r="AE2901" s="37"/>
      <c r="AF2901" s="37"/>
      <c r="AG2901" s="37"/>
      <c r="AH2901" s="37"/>
      <c r="AI2901" s="37"/>
      <c r="AJ2901" s="37"/>
      <c r="AK2901" s="37"/>
      <c r="AL2901" s="37"/>
      <c r="AM2901" s="37"/>
      <c r="AN2901" s="37"/>
      <c r="AO2901" s="37"/>
      <c r="AP2901" s="37"/>
      <c r="AQ2901" s="37"/>
      <c r="AR2901" s="37"/>
      <c r="AS2901" s="37"/>
      <c r="AT2901" s="37"/>
      <c r="AU2901" s="37"/>
      <c r="AV2901" s="37"/>
      <c r="AW2901" s="37"/>
      <c r="AX2901" s="37"/>
      <c r="AY2901" s="37"/>
      <c r="AZ2901" s="37"/>
      <c r="BA2901" s="37"/>
      <c r="BB2901" s="37"/>
      <c r="BC2901" s="37"/>
      <c r="BD2901" s="37"/>
      <c r="BE2901" s="37"/>
      <c r="BF2901" s="37"/>
      <c r="BG2901" s="37"/>
      <c r="BH2901" s="37"/>
      <c r="BI2901" s="37"/>
      <c r="BJ2901" s="37"/>
      <c r="BK2901" s="37"/>
      <c r="BL2901" s="37"/>
      <c r="BM2901" s="37"/>
    </row>
    <row r="2902" spans="1:65" s="40" customFormat="1" ht="23.25" x14ac:dyDescent="0.35">
      <c r="A2902" s="37"/>
      <c r="B2902" s="37"/>
      <c r="C2902" s="41"/>
      <c r="D2902" s="38"/>
      <c r="E2902" s="57"/>
      <c r="F2902" s="42"/>
      <c r="G2902" s="43"/>
      <c r="H2902" s="37"/>
      <c r="I2902" s="37"/>
      <c r="J2902" s="38"/>
      <c r="K2902" s="37"/>
      <c r="L2902" s="38"/>
      <c r="M2902" s="39"/>
      <c r="P2902" s="37"/>
      <c r="Q2902" s="37"/>
      <c r="R2902" s="37"/>
      <c r="S2902" s="37"/>
      <c r="T2902" s="37"/>
      <c r="U2902" s="37"/>
      <c r="V2902" s="37"/>
      <c r="W2902" s="37"/>
      <c r="X2902" s="37"/>
      <c r="Y2902" s="37"/>
      <c r="Z2902" s="37"/>
      <c r="AA2902" s="37"/>
      <c r="AB2902" s="37"/>
      <c r="AC2902" s="37"/>
      <c r="AD2902" s="37"/>
      <c r="AE2902" s="37"/>
      <c r="AF2902" s="37"/>
      <c r="AG2902" s="37"/>
      <c r="AH2902" s="37"/>
      <c r="AI2902" s="37"/>
      <c r="AJ2902" s="37"/>
      <c r="AK2902" s="37"/>
      <c r="AL2902" s="37"/>
      <c r="AM2902" s="37"/>
      <c r="AN2902" s="37"/>
      <c r="AO2902" s="37"/>
      <c r="AP2902" s="37"/>
      <c r="AQ2902" s="37"/>
      <c r="AR2902" s="37"/>
      <c r="AS2902" s="37"/>
      <c r="AT2902" s="37"/>
      <c r="AU2902" s="37"/>
      <c r="AV2902" s="37"/>
      <c r="AW2902" s="37"/>
      <c r="AX2902" s="37"/>
      <c r="AY2902" s="37"/>
      <c r="AZ2902" s="37"/>
      <c r="BA2902" s="37"/>
      <c r="BB2902" s="37"/>
      <c r="BC2902" s="37"/>
      <c r="BD2902" s="37"/>
      <c r="BE2902" s="37"/>
      <c r="BF2902" s="37"/>
      <c r="BG2902" s="37"/>
      <c r="BH2902" s="37"/>
      <c r="BI2902" s="37"/>
      <c r="BJ2902" s="37"/>
      <c r="BK2902" s="37"/>
      <c r="BL2902" s="37"/>
      <c r="BM2902" s="37"/>
    </row>
    <row r="2903" spans="1:65" s="40" customFormat="1" ht="23.25" x14ac:dyDescent="0.35">
      <c r="A2903" s="37"/>
      <c r="B2903" s="37"/>
      <c r="C2903" s="41"/>
      <c r="D2903" s="38"/>
      <c r="E2903" s="57"/>
      <c r="F2903" s="42"/>
      <c r="G2903" s="43"/>
      <c r="H2903" s="37"/>
      <c r="I2903" s="37"/>
      <c r="J2903" s="38"/>
      <c r="K2903" s="37"/>
      <c r="L2903" s="38"/>
      <c r="M2903" s="39"/>
      <c r="P2903" s="37"/>
      <c r="Q2903" s="37"/>
      <c r="R2903" s="37"/>
      <c r="S2903" s="37"/>
      <c r="T2903" s="37"/>
      <c r="U2903" s="37"/>
      <c r="V2903" s="37"/>
      <c r="W2903" s="37"/>
      <c r="X2903" s="37"/>
      <c r="Y2903" s="37"/>
      <c r="Z2903" s="37"/>
      <c r="AA2903" s="37"/>
      <c r="AB2903" s="37"/>
      <c r="AC2903" s="37"/>
      <c r="AD2903" s="37"/>
      <c r="AE2903" s="37"/>
      <c r="AF2903" s="37"/>
      <c r="AG2903" s="37"/>
      <c r="AH2903" s="37"/>
      <c r="AI2903" s="37"/>
      <c r="AJ2903" s="37"/>
      <c r="AK2903" s="37"/>
      <c r="AL2903" s="37"/>
      <c r="AM2903" s="37"/>
      <c r="AN2903" s="37"/>
      <c r="AO2903" s="37"/>
      <c r="AP2903" s="37"/>
      <c r="AQ2903" s="37"/>
      <c r="AR2903" s="37"/>
      <c r="AS2903" s="37"/>
      <c r="AT2903" s="37"/>
      <c r="AU2903" s="37"/>
      <c r="AV2903" s="37"/>
      <c r="AW2903" s="37"/>
      <c r="AX2903" s="37"/>
      <c r="AY2903" s="37"/>
      <c r="AZ2903" s="37"/>
      <c r="BA2903" s="37"/>
      <c r="BB2903" s="37"/>
      <c r="BC2903" s="37"/>
      <c r="BD2903" s="37"/>
      <c r="BE2903" s="37"/>
      <c r="BF2903" s="37"/>
      <c r="BG2903" s="37"/>
      <c r="BH2903" s="37"/>
      <c r="BI2903" s="37"/>
      <c r="BJ2903" s="37"/>
      <c r="BK2903" s="37"/>
      <c r="BL2903" s="37"/>
      <c r="BM2903" s="37"/>
    </row>
    <row r="2904" spans="1:65" s="40" customFormat="1" ht="23.25" x14ac:dyDescent="0.35">
      <c r="A2904" s="37"/>
      <c r="B2904" s="37"/>
      <c r="C2904" s="41"/>
      <c r="D2904" s="38"/>
      <c r="E2904" s="57"/>
      <c r="F2904" s="42"/>
      <c r="G2904" s="43"/>
      <c r="H2904" s="37"/>
      <c r="I2904" s="37"/>
      <c r="J2904" s="38"/>
      <c r="K2904" s="37"/>
      <c r="L2904" s="38"/>
      <c r="M2904" s="39"/>
      <c r="P2904" s="37"/>
      <c r="Q2904" s="37"/>
      <c r="R2904" s="37"/>
      <c r="S2904" s="37"/>
      <c r="T2904" s="37"/>
      <c r="U2904" s="37"/>
      <c r="V2904" s="37"/>
      <c r="W2904" s="37"/>
      <c r="X2904" s="37"/>
      <c r="Y2904" s="37"/>
      <c r="Z2904" s="37"/>
      <c r="AA2904" s="37"/>
      <c r="AB2904" s="37"/>
      <c r="AC2904" s="37"/>
      <c r="AD2904" s="37"/>
      <c r="AE2904" s="37"/>
      <c r="AF2904" s="37"/>
      <c r="AG2904" s="37"/>
      <c r="AH2904" s="37"/>
      <c r="AI2904" s="37"/>
      <c r="AJ2904" s="37"/>
      <c r="AK2904" s="37"/>
      <c r="AL2904" s="37"/>
      <c r="AM2904" s="37"/>
      <c r="AN2904" s="37"/>
      <c r="AO2904" s="37"/>
      <c r="AP2904" s="37"/>
      <c r="AQ2904" s="37"/>
      <c r="AR2904" s="37"/>
      <c r="AS2904" s="37"/>
      <c r="AT2904" s="37"/>
      <c r="AU2904" s="37"/>
      <c r="AV2904" s="37"/>
      <c r="AW2904" s="37"/>
      <c r="AX2904" s="37"/>
      <c r="AY2904" s="37"/>
      <c r="AZ2904" s="37"/>
      <c r="BA2904" s="37"/>
      <c r="BB2904" s="37"/>
      <c r="BC2904" s="37"/>
      <c r="BD2904" s="37"/>
      <c r="BE2904" s="37"/>
      <c r="BF2904" s="37"/>
      <c r="BG2904" s="37"/>
      <c r="BH2904" s="37"/>
      <c r="BI2904" s="37"/>
      <c r="BJ2904" s="37"/>
      <c r="BK2904" s="37"/>
      <c r="BL2904" s="37"/>
      <c r="BM2904" s="37"/>
    </row>
    <row r="2905" spans="1:65" s="40" customFormat="1" ht="23.25" x14ac:dyDescent="0.35">
      <c r="A2905" s="37"/>
      <c r="B2905" s="37"/>
      <c r="C2905" s="41"/>
      <c r="D2905" s="38"/>
      <c r="E2905" s="57"/>
      <c r="F2905" s="42"/>
      <c r="G2905" s="43"/>
      <c r="H2905" s="37"/>
      <c r="I2905" s="37"/>
      <c r="J2905" s="38"/>
      <c r="K2905" s="37"/>
      <c r="L2905" s="38"/>
      <c r="M2905" s="39"/>
      <c r="P2905" s="37"/>
      <c r="Q2905" s="37"/>
      <c r="R2905" s="37"/>
      <c r="S2905" s="37"/>
      <c r="T2905" s="37"/>
      <c r="U2905" s="37"/>
      <c r="V2905" s="37"/>
      <c r="W2905" s="37"/>
      <c r="X2905" s="37"/>
      <c r="Y2905" s="37"/>
      <c r="Z2905" s="37"/>
      <c r="AA2905" s="37"/>
      <c r="AB2905" s="37"/>
      <c r="AC2905" s="37"/>
      <c r="AD2905" s="37"/>
      <c r="AE2905" s="37"/>
      <c r="AF2905" s="37"/>
      <c r="AG2905" s="37"/>
      <c r="AH2905" s="37"/>
      <c r="AI2905" s="37"/>
      <c r="AJ2905" s="37"/>
      <c r="AK2905" s="37"/>
      <c r="AL2905" s="37"/>
      <c r="AM2905" s="37"/>
      <c r="AN2905" s="37"/>
      <c r="AO2905" s="37"/>
      <c r="AP2905" s="37"/>
      <c r="AQ2905" s="37"/>
      <c r="AR2905" s="37"/>
      <c r="AS2905" s="37"/>
      <c r="AT2905" s="37"/>
      <c r="AU2905" s="37"/>
      <c r="AV2905" s="37"/>
      <c r="AW2905" s="37"/>
      <c r="AX2905" s="37"/>
      <c r="AY2905" s="37"/>
      <c r="AZ2905" s="37"/>
      <c r="BA2905" s="37"/>
      <c r="BB2905" s="37"/>
      <c r="BC2905" s="37"/>
      <c r="BD2905" s="37"/>
      <c r="BE2905" s="37"/>
      <c r="BF2905" s="37"/>
      <c r="BG2905" s="37"/>
      <c r="BH2905" s="37"/>
      <c r="BI2905" s="37"/>
      <c r="BJ2905" s="37"/>
      <c r="BK2905" s="37"/>
      <c r="BL2905" s="37"/>
      <c r="BM2905" s="37"/>
    </row>
    <row r="2906" spans="1:65" s="40" customFormat="1" ht="23.25" x14ac:dyDescent="0.35">
      <c r="A2906" s="37"/>
      <c r="B2906" s="37"/>
      <c r="C2906" s="41"/>
      <c r="D2906" s="38"/>
      <c r="E2906" s="57"/>
      <c r="F2906" s="42"/>
      <c r="G2906" s="43"/>
      <c r="H2906" s="37"/>
      <c r="I2906" s="37"/>
      <c r="J2906" s="38"/>
      <c r="K2906" s="37"/>
      <c r="L2906" s="38"/>
      <c r="M2906" s="39"/>
      <c r="P2906" s="37"/>
      <c r="Q2906" s="37"/>
      <c r="R2906" s="37"/>
      <c r="S2906" s="37"/>
      <c r="T2906" s="37"/>
      <c r="U2906" s="37"/>
      <c r="V2906" s="37"/>
      <c r="W2906" s="37"/>
      <c r="X2906" s="37"/>
      <c r="Y2906" s="37"/>
      <c r="Z2906" s="37"/>
      <c r="AA2906" s="37"/>
      <c r="AB2906" s="37"/>
      <c r="AC2906" s="37"/>
      <c r="AD2906" s="37"/>
      <c r="AE2906" s="37"/>
      <c r="AF2906" s="37"/>
      <c r="AG2906" s="37"/>
      <c r="AH2906" s="37"/>
      <c r="AI2906" s="37"/>
      <c r="AJ2906" s="37"/>
      <c r="AK2906" s="37"/>
      <c r="AL2906" s="37"/>
      <c r="AM2906" s="37"/>
      <c r="AN2906" s="37"/>
      <c r="AO2906" s="37"/>
      <c r="AP2906" s="37"/>
      <c r="AQ2906" s="37"/>
      <c r="AR2906" s="37"/>
      <c r="AS2906" s="37"/>
      <c r="AT2906" s="37"/>
      <c r="AU2906" s="37"/>
      <c r="AV2906" s="37"/>
      <c r="AW2906" s="37"/>
      <c r="AX2906" s="37"/>
      <c r="AY2906" s="37"/>
      <c r="AZ2906" s="37"/>
      <c r="BA2906" s="37"/>
      <c r="BB2906" s="37"/>
      <c r="BC2906" s="37"/>
      <c r="BD2906" s="37"/>
      <c r="BE2906" s="37"/>
      <c r="BF2906" s="37"/>
      <c r="BG2906" s="37"/>
      <c r="BH2906" s="37"/>
      <c r="BI2906" s="37"/>
      <c r="BJ2906" s="37"/>
      <c r="BK2906" s="37"/>
      <c r="BL2906" s="37"/>
      <c r="BM2906" s="37"/>
    </row>
    <row r="2907" spans="1:65" s="40" customFormat="1" ht="23.25" x14ac:dyDescent="0.35">
      <c r="A2907" s="37"/>
      <c r="B2907" s="37"/>
      <c r="C2907" s="41"/>
      <c r="D2907" s="38"/>
      <c r="E2907" s="57"/>
      <c r="F2907" s="42"/>
      <c r="G2907" s="43"/>
      <c r="H2907" s="37"/>
      <c r="I2907" s="37"/>
      <c r="J2907" s="38"/>
      <c r="K2907" s="37"/>
      <c r="L2907" s="38"/>
      <c r="M2907" s="39"/>
      <c r="P2907" s="37"/>
      <c r="Q2907" s="37"/>
      <c r="R2907" s="37"/>
      <c r="S2907" s="37"/>
      <c r="T2907" s="37"/>
      <c r="U2907" s="37"/>
      <c r="V2907" s="37"/>
      <c r="W2907" s="37"/>
      <c r="X2907" s="37"/>
      <c r="Y2907" s="37"/>
      <c r="Z2907" s="37"/>
      <c r="AA2907" s="37"/>
      <c r="AB2907" s="37"/>
      <c r="AC2907" s="37"/>
      <c r="AD2907" s="37"/>
      <c r="AE2907" s="37"/>
      <c r="AF2907" s="37"/>
      <c r="AG2907" s="37"/>
      <c r="AH2907" s="37"/>
      <c r="AI2907" s="37"/>
      <c r="AJ2907" s="37"/>
      <c r="AK2907" s="37"/>
      <c r="AL2907" s="37"/>
      <c r="AM2907" s="37"/>
      <c r="AN2907" s="37"/>
      <c r="AO2907" s="37"/>
      <c r="AP2907" s="37"/>
      <c r="AQ2907" s="37"/>
      <c r="AR2907" s="37"/>
      <c r="AS2907" s="37"/>
      <c r="AT2907" s="37"/>
      <c r="AU2907" s="37"/>
      <c r="AV2907" s="37"/>
      <c r="AW2907" s="37"/>
      <c r="AX2907" s="37"/>
      <c r="AY2907" s="37"/>
      <c r="AZ2907" s="37"/>
      <c r="BA2907" s="37"/>
      <c r="BB2907" s="37"/>
      <c r="BC2907" s="37"/>
      <c r="BD2907" s="37"/>
      <c r="BE2907" s="37"/>
      <c r="BF2907" s="37"/>
      <c r="BG2907" s="37"/>
      <c r="BH2907" s="37"/>
      <c r="BI2907" s="37"/>
      <c r="BJ2907" s="37"/>
      <c r="BK2907" s="37"/>
      <c r="BL2907" s="37"/>
      <c r="BM2907" s="37"/>
    </row>
    <row r="2908" spans="1:65" s="40" customFormat="1" ht="23.25" x14ac:dyDescent="0.35">
      <c r="A2908" s="37"/>
      <c r="B2908" s="37"/>
      <c r="C2908" s="41"/>
      <c r="D2908" s="38"/>
      <c r="E2908" s="57"/>
      <c r="F2908" s="42"/>
      <c r="G2908" s="43"/>
      <c r="H2908" s="37"/>
      <c r="I2908" s="37"/>
      <c r="J2908" s="38"/>
      <c r="K2908" s="37"/>
      <c r="L2908" s="38"/>
      <c r="M2908" s="39"/>
      <c r="P2908" s="37"/>
      <c r="Q2908" s="37"/>
      <c r="R2908" s="37"/>
      <c r="S2908" s="37"/>
      <c r="T2908" s="37"/>
      <c r="U2908" s="37"/>
      <c r="V2908" s="37"/>
      <c r="W2908" s="37"/>
      <c r="X2908" s="37"/>
      <c r="Y2908" s="37"/>
      <c r="Z2908" s="37"/>
      <c r="AA2908" s="37"/>
      <c r="AB2908" s="37"/>
      <c r="AC2908" s="37"/>
      <c r="AD2908" s="37"/>
      <c r="AE2908" s="37"/>
      <c r="AF2908" s="37"/>
      <c r="AG2908" s="37"/>
      <c r="AH2908" s="37"/>
      <c r="AI2908" s="37"/>
      <c r="AJ2908" s="37"/>
      <c r="AK2908" s="37"/>
      <c r="AL2908" s="37"/>
      <c r="AM2908" s="37"/>
      <c r="AN2908" s="37"/>
      <c r="AO2908" s="37"/>
      <c r="AP2908" s="37"/>
      <c r="AQ2908" s="37"/>
      <c r="AR2908" s="37"/>
      <c r="AS2908" s="37"/>
      <c r="AT2908" s="37"/>
      <c r="AU2908" s="37"/>
      <c r="AV2908" s="37"/>
      <c r="AW2908" s="37"/>
      <c r="AX2908" s="37"/>
      <c r="AY2908" s="37"/>
      <c r="AZ2908" s="37"/>
      <c r="BA2908" s="37"/>
      <c r="BB2908" s="37"/>
      <c r="BC2908" s="37"/>
      <c r="BD2908" s="37"/>
      <c r="BE2908" s="37"/>
      <c r="BF2908" s="37"/>
      <c r="BG2908" s="37"/>
      <c r="BH2908" s="37"/>
      <c r="BI2908" s="37"/>
      <c r="BJ2908" s="37"/>
      <c r="BK2908" s="37"/>
      <c r="BL2908" s="37"/>
      <c r="BM2908" s="37"/>
    </row>
    <row r="2909" spans="1:65" s="40" customFormat="1" ht="23.25" x14ac:dyDescent="0.35">
      <c r="A2909" s="37"/>
      <c r="B2909" s="37"/>
      <c r="C2909" s="41"/>
      <c r="D2909" s="38"/>
      <c r="E2909" s="57"/>
      <c r="F2909" s="42"/>
      <c r="G2909" s="43"/>
      <c r="H2909" s="37"/>
      <c r="I2909" s="37"/>
      <c r="J2909" s="38"/>
      <c r="K2909" s="37"/>
      <c r="L2909" s="38"/>
      <c r="M2909" s="39"/>
      <c r="P2909" s="37"/>
      <c r="Q2909" s="37"/>
      <c r="R2909" s="37"/>
      <c r="S2909" s="37"/>
      <c r="T2909" s="37"/>
      <c r="U2909" s="37"/>
      <c r="V2909" s="37"/>
      <c r="W2909" s="37"/>
      <c r="X2909" s="37"/>
      <c r="Y2909" s="37"/>
      <c r="Z2909" s="37"/>
      <c r="AA2909" s="37"/>
      <c r="AB2909" s="37"/>
      <c r="AC2909" s="37"/>
      <c r="AD2909" s="37"/>
      <c r="AE2909" s="37"/>
      <c r="AF2909" s="37"/>
      <c r="AG2909" s="37"/>
      <c r="AH2909" s="37"/>
      <c r="AI2909" s="37"/>
      <c r="AJ2909" s="37"/>
      <c r="AK2909" s="37"/>
      <c r="AL2909" s="37"/>
      <c r="AM2909" s="37"/>
      <c r="AN2909" s="37"/>
      <c r="AO2909" s="37"/>
      <c r="AP2909" s="37"/>
      <c r="AQ2909" s="37"/>
      <c r="AR2909" s="37"/>
      <c r="AS2909" s="37"/>
      <c r="AT2909" s="37"/>
      <c r="AU2909" s="37"/>
      <c r="AV2909" s="37"/>
      <c r="AW2909" s="37"/>
      <c r="AX2909" s="37"/>
      <c r="AY2909" s="37"/>
      <c r="AZ2909" s="37"/>
      <c r="BA2909" s="37"/>
      <c r="BB2909" s="37"/>
      <c r="BC2909" s="37"/>
      <c r="BD2909" s="37"/>
      <c r="BE2909" s="37"/>
      <c r="BF2909" s="37"/>
      <c r="BG2909" s="37"/>
      <c r="BH2909" s="37"/>
      <c r="BI2909" s="37"/>
      <c r="BJ2909" s="37"/>
      <c r="BK2909" s="37"/>
      <c r="BL2909" s="37"/>
      <c r="BM2909" s="37"/>
    </row>
    <row r="2910" spans="1:65" s="40" customFormat="1" ht="23.25" x14ac:dyDescent="0.35">
      <c r="A2910" s="37"/>
      <c r="B2910" s="37"/>
      <c r="C2910" s="41"/>
      <c r="D2910" s="38"/>
      <c r="E2910" s="57"/>
      <c r="F2910" s="42"/>
      <c r="G2910" s="43"/>
      <c r="H2910" s="37"/>
      <c r="I2910" s="37"/>
      <c r="J2910" s="38"/>
      <c r="K2910" s="37"/>
      <c r="L2910" s="38"/>
      <c r="M2910" s="39"/>
      <c r="P2910" s="37"/>
      <c r="Q2910" s="37"/>
      <c r="R2910" s="37"/>
      <c r="S2910" s="37"/>
      <c r="T2910" s="37"/>
      <c r="U2910" s="37"/>
      <c r="V2910" s="37"/>
      <c r="W2910" s="37"/>
      <c r="X2910" s="37"/>
      <c r="Y2910" s="37"/>
      <c r="Z2910" s="37"/>
      <c r="AA2910" s="37"/>
      <c r="AB2910" s="37"/>
      <c r="AC2910" s="37"/>
      <c r="AD2910" s="37"/>
      <c r="AE2910" s="37"/>
      <c r="AF2910" s="37"/>
      <c r="AG2910" s="37"/>
      <c r="AH2910" s="37"/>
      <c r="AI2910" s="37"/>
      <c r="AJ2910" s="37"/>
      <c r="AK2910" s="37"/>
      <c r="AL2910" s="37"/>
      <c r="AM2910" s="37"/>
      <c r="AN2910" s="37"/>
      <c r="AO2910" s="37"/>
      <c r="AP2910" s="37"/>
      <c r="AQ2910" s="37"/>
      <c r="AR2910" s="37"/>
      <c r="AS2910" s="37"/>
      <c r="AT2910" s="37"/>
      <c r="AU2910" s="37"/>
      <c r="AV2910" s="37"/>
      <c r="AW2910" s="37"/>
      <c r="AX2910" s="37"/>
      <c r="AY2910" s="37"/>
      <c r="AZ2910" s="37"/>
      <c r="BA2910" s="37"/>
      <c r="BB2910" s="37"/>
      <c r="BC2910" s="37"/>
      <c r="BD2910" s="37"/>
      <c r="BE2910" s="37"/>
      <c r="BF2910" s="37"/>
      <c r="BG2910" s="37"/>
      <c r="BH2910" s="37"/>
      <c r="BI2910" s="37"/>
      <c r="BJ2910" s="37"/>
      <c r="BK2910" s="37"/>
      <c r="BL2910" s="37"/>
      <c r="BM2910" s="37"/>
    </row>
    <row r="2911" spans="1:65" s="40" customFormat="1" ht="23.25" x14ac:dyDescent="0.35">
      <c r="A2911" s="37"/>
      <c r="B2911" s="37"/>
      <c r="C2911" s="41"/>
      <c r="D2911" s="38"/>
      <c r="E2911" s="57"/>
      <c r="F2911" s="42"/>
      <c r="G2911" s="43"/>
      <c r="H2911" s="37"/>
      <c r="I2911" s="37"/>
      <c r="J2911" s="38"/>
      <c r="K2911" s="37"/>
      <c r="L2911" s="38"/>
      <c r="M2911" s="39"/>
      <c r="P2911" s="37"/>
      <c r="Q2911" s="37"/>
      <c r="R2911" s="37"/>
      <c r="S2911" s="37"/>
      <c r="T2911" s="37"/>
      <c r="U2911" s="37"/>
      <c r="V2911" s="37"/>
      <c r="W2911" s="37"/>
      <c r="X2911" s="37"/>
      <c r="Y2911" s="37"/>
      <c r="Z2911" s="37"/>
      <c r="AA2911" s="37"/>
      <c r="AB2911" s="37"/>
      <c r="AC2911" s="37"/>
      <c r="AD2911" s="37"/>
      <c r="AE2911" s="37"/>
      <c r="AF2911" s="37"/>
      <c r="AG2911" s="37"/>
      <c r="AH2911" s="37"/>
      <c r="AI2911" s="37"/>
      <c r="AJ2911" s="37"/>
      <c r="AK2911" s="37"/>
      <c r="AL2911" s="37"/>
      <c r="AM2911" s="37"/>
      <c r="AN2911" s="37"/>
      <c r="AO2911" s="37"/>
      <c r="AP2911" s="37"/>
      <c r="AQ2911" s="37"/>
      <c r="AR2911" s="37"/>
      <c r="AS2911" s="37"/>
      <c r="AT2911" s="37"/>
      <c r="AU2911" s="37"/>
      <c r="AV2911" s="37"/>
      <c r="AW2911" s="37"/>
      <c r="AX2911" s="37"/>
      <c r="AY2911" s="37"/>
      <c r="AZ2911" s="37"/>
      <c r="BA2911" s="37"/>
      <c r="BB2911" s="37"/>
      <c r="BC2911" s="37"/>
      <c r="BD2911" s="37"/>
      <c r="BE2911" s="37"/>
      <c r="BF2911" s="37"/>
      <c r="BG2911" s="37"/>
      <c r="BH2911" s="37"/>
      <c r="BI2911" s="37"/>
      <c r="BJ2911" s="37"/>
      <c r="BK2911" s="37"/>
      <c r="BL2911" s="37"/>
      <c r="BM2911" s="37"/>
    </row>
    <row r="2912" spans="1:65" s="40" customFormat="1" ht="23.25" x14ac:dyDescent="0.35">
      <c r="A2912" s="37"/>
      <c r="B2912" s="37"/>
      <c r="C2912" s="41"/>
      <c r="D2912" s="38"/>
      <c r="E2912" s="57"/>
      <c r="F2912" s="42"/>
      <c r="G2912" s="43"/>
      <c r="H2912" s="37"/>
      <c r="I2912" s="37"/>
      <c r="J2912" s="38"/>
      <c r="K2912" s="37"/>
      <c r="L2912" s="38"/>
      <c r="M2912" s="39"/>
      <c r="P2912" s="37"/>
      <c r="Q2912" s="37"/>
      <c r="R2912" s="37"/>
      <c r="S2912" s="37"/>
      <c r="T2912" s="37"/>
      <c r="U2912" s="37"/>
      <c r="V2912" s="37"/>
      <c r="W2912" s="37"/>
      <c r="X2912" s="37"/>
      <c r="Y2912" s="37"/>
      <c r="Z2912" s="37"/>
      <c r="AA2912" s="37"/>
      <c r="AB2912" s="37"/>
      <c r="AC2912" s="37"/>
      <c r="AD2912" s="37"/>
      <c r="AE2912" s="37"/>
      <c r="AF2912" s="37"/>
      <c r="AG2912" s="37"/>
      <c r="AH2912" s="37"/>
      <c r="AI2912" s="37"/>
      <c r="AJ2912" s="37"/>
      <c r="AK2912" s="37"/>
      <c r="AL2912" s="37"/>
      <c r="AM2912" s="37"/>
      <c r="AN2912" s="37"/>
      <c r="AO2912" s="37"/>
      <c r="AP2912" s="37"/>
      <c r="AQ2912" s="37"/>
      <c r="AR2912" s="37"/>
      <c r="AS2912" s="37"/>
      <c r="AT2912" s="37"/>
      <c r="AU2912" s="37"/>
      <c r="AV2912" s="37"/>
      <c r="AW2912" s="37"/>
      <c r="AX2912" s="37"/>
      <c r="AY2912" s="37"/>
      <c r="AZ2912" s="37"/>
      <c r="BA2912" s="37"/>
      <c r="BB2912" s="37"/>
      <c r="BC2912" s="37"/>
      <c r="BD2912" s="37"/>
      <c r="BE2912" s="37"/>
      <c r="BF2912" s="37"/>
      <c r="BG2912" s="37"/>
      <c r="BH2912" s="37"/>
      <c r="BI2912" s="37"/>
      <c r="BJ2912" s="37"/>
      <c r="BK2912" s="37"/>
      <c r="BL2912" s="37"/>
      <c r="BM2912" s="37"/>
    </row>
    <row r="2913" spans="1:65" s="40" customFormat="1" ht="23.25" x14ac:dyDescent="0.35">
      <c r="A2913" s="37"/>
      <c r="B2913" s="37"/>
      <c r="C2913" s="41"/>
      <c r="D2913" s="38"/>
      <c r="E2913" s="57"/>
      <c r="F2913" s="42"/>
      <c r="G2913" s="43"/>
      <c r="H2913" s="37"/>
      <c r="I2913" s="37"/>
      <c r="J2913" s="38"/>
      <c r="K2913" s="37"/>
      <c r="L2913" s="38"/>
      <c r="M2913" s="39"/>
      <c r="P2913" s="37"/>
      <c r="Q2913" s="37"/>
      <c r="R2913" s="37"/>
      <c r="S2913" s="37"/>
      <c r="T2913" s="37"/>
      <c r="U2913" s="37"/>
      <c r="V2913" s="37"/>
      <c r="W2913" s="37"/>
      <c r="X2913" s="37"/>
      <c r="Y2913" s="37"/>
      <c r="Z2913" s="37"/>
      <c r="AA2913" s="37"/>
      <c r="AB2913" s="37"/>
      <c r="AC2913" s="37"/>
      <c r="AD2913" s="37"/>
      <c r="AE2913" s="37"/>
      <c r="AF2913" s="37"/>
      <c r="AG2913" s="37"/>
      <c r="AH2913" s="37"/>
      <c r="AI2913" s="37"/>
      <c r="AJ2913" s="37"/>
      <c r="AK2913" s="37"/>
      <c r="AL2913" s="37"/>
      <c r="AM2913" s="37"/>
      <c r="AN2913" s="37"/>
      <c r="AO2913" s="37"/>
      <c r="AP2913" s="37"/>
      <c r="AQ2913" s="37"/>
      <c r="AR2913" s="37"/>
      <c r="AS2913" s="37"/>
      <c r="AT2913" s="37"/>
      <c r="AU2913" s="37"/>
      <c r="AV2913" s="37"/>
      <c r="AW2913" s="37"/>
      <c r="AX2913" s="37"/>
      <c r="AY2913" s="37"/>
      <c r="AZ2913" s="37"/>
      <c r="BA2913" s="37"/>
      <c r="BB2913" s="37"/>
      <c r="BC2913" s="37"/>
      <c r="BD2913" s="37"/>
      <c r="BE2913" s="37"/>
      <c r="BF2913" s="37"/>
      <c r="BG2913" s="37"/>
      <c r="BH2913" s="37"/>
      <c r="BI2913" s="37"/>
      <c r="BJ2913" s="37"/>
      <c r="BK2913" s="37"/>
      <c r="BL2913" s="37"/>
      <c r="BM2913" s="37"/>
    </row>
    <row r="2914" spans="1:65" s="40" customFormat="1" ht="23.25" x14ac:dyDescent="0.35">
      <c r="A2914" s="37"/>
      <c r="B2914" s="37"/>
      <c r="C2914" s="41"/>
      <c r="D2914" s="38"/>
      <c r="E2914" s="57"/>
      <c r="F2914" s="42"/>
      <c r="G2914" s="43"/>
      <c r="H2914" s="37"/>
      <c r="I2914" s="37"/>
      <c r="J2914" s="38"/>
      <c r="K2914" s="37"/>
      <c r="L2914" s="38"/>
      <c r="M2914" s="39"/>
      <c r="P2914" s="37"/>
      <c r="Q2914" s="37"/>
      <c r="R2914" s="37"/>
      <c r="S2914" s="37"/>
      <c r="T2914" s="37"/>
      <c r="U2914" s="37"/>
      <c r="V2914" s="37"/>
      <c r="W2914" s="37"/>
      <c r="X2914" s="37"/>
      <c r="Y2914" s="37"/>
      <c r="Z2914" s="37"/>
      <c r="AA2914" s="37"/>
      <c r="AB2914" s="37"/>
      <c r="AC2914" s="37"/>
      <c r="AD2914" s="37"/>
      <c r="AE2914" s="37"/>
      <c r="AF2914" s="37"/>
      <c r="AG2914" s="37"/>
      <c r="AH2914" s="37"/>
      <c r="AI2914" s="37"/>
      <c r="AJ2914" s="37"/>
      <c r="AK2914" s="37"/>
      <c r="AL2914" s="37"/>
      <c r="AM2914" s="37"/>
      <c r="AN2914" s="37"/>
      <c r="AO2914" s="37"/>
      <c r="AP2914" s="37"/>
      <c r="AQ2914" s="37"/>
      <c r="AR2914" s="37"/>
      <c r="AS2914" s="37"/>
      <c r="AT2914" s="37"/>
      <c r="AU2914" s="37"/>
      <c r="AV2914" s="37"/>
      <c r="AW2914" s="37"/>
      <c r="AX2914" s="37"/>
      <c r="AY2914" s="37"/>
      <c r="AZ2914" s="37"/>
      <c r="BA2914" s="37"/>
      <c r="BB2914" s="37"/>
      <c r="BC2914" s="37"/>
      <c r="BD2914" s="37"/>
      <c r="BE2914" s="37"/>
      <c r="BF2914" s="37"/>
      <c r="BG2914" s="37"/>
      <c r="BH2914" s="37"/>
      <c r="BI2914" s="37"/>
      <c r="BJ2914" s="37"/>
      <c r="BK2914" s="37"/>
      <c r="BL2914" s="37"/>
      <c r="BM2914" s="37"/>
    </row>
    <row r="2915" spans="1:65" s="40" customFormat="1" ht="23.25" x14ac:dyDescent="0.35">
      <c r="A2915" s="37"/>
      <c r="B2915" s="37"/>
      <c r="C2915" s="41"/>
      <c r="D2915" s="38"/>
      <c r="E2915" s="57"/>
      <c r="F2915" s="42"/>
      <c r="G2915" s="43"/>
      <c r="H2915" s="37"/>
      <c r="I2915" s="37"/>
      <c r="J2915" s="38"/>
      <c r="K2915" s="37"/>
      <c r="L2915" s="38"/>
      <c r="M2915" s="39"/>
      <c r="P2915" s="37"/>
      <c r="Q2915" s="37"/>
      <c r="R2915" s="37"/>
      <c r="S2915" s="37"/>
      <c r="T2915" s="37"/>
      <c r="U2915" s="37"/>
      <c r="V2915" s="37"/>
      <c r="W2915" s="37"/>
      <c r="X2915" s="37"/>
      <c r="Y2915" s="37"/>
      <c r="Z2915" s="37"/>
      <c r="AA2915" s="37"/>
      <c r="AB2915" s="37"/>
      <c r="AC2915" s="37"/>
      <c r="AD2915" s="37"/>
      <c r="AE2915" s="37"/>
      <c r="AF2915" s="37"/>
      <c r="AG2915" s="37"/>
      <c r="AH2915" s="37"/>
      <c r="AI2915" s="37"/>
      <c r="AJ2915" s="37"/>
      <c r="AK2915" s="37"/>
      <c r="AL2915" s="37"/>
      <c r="AM2915" s="37"/>
      <c r="AN2915" s="37"/>
      <c r="AO2915" s="37"/>
      <c r="AP2915" s="37"/>
      <c r="AQ2915" s="37"/>
      <c r="AR2915" s="37"/>
      <c r="AS2915" s="37"/>
      <c r="AT2915" s="37"/>
      <c r="AU2915" s="37"/>
      <c r="AV2915" s="37"/>
      <c r="AW2915" s="37"/>
      <c r="AX2915" s="37"/>
      <c r="AY2915" s="37"/>
      <c r="AZ2915" s="37"/>
      <c r="BA2915" s="37"/>
      <c r="BB2915" s="37"/>
      <c r="BC2915" s="37"/>
      <c r="BD2915" s="37"/>
      <c r="BE2915" s="37"/>
      <c r="BF2915" s="37"/>
      <c r="BG2915" s="37"/>
      <c r="BH2915" s="37"/>
      <c r="BI2915" s="37"/>
      <c r="BJ2915" s="37"/>
      <c r="BK2915" s="37"/>
      <c r="BL2915" s="37"/>
      <c r="BM2915" s="37"/>
    </row>
    <row r="2916" spans="1:65" s="40" customFormat="1" ht="23.25" x14ac:dyDescent="0.35">
      <c r="A2916" s="37"/>
      <c r="B2916" s="37"/>
      <c r="C2916" s="41"/>
      <c r="D2916" s="38"/>
      <c r="E2916" s="57"/>
      <c r="F2916" s="42"/>
      <c r="G2916" s="43"/>
      <c r="H2916" s="37"/>
      <c r="I2916" s="37"/>
      <c r="J2916" s="38"/>
      <c r="K2916" s="37"/>
      <c r="L2916" s="38"/>
      <c r="M2916" s="39"/>
      <c r="P2916" s="37"/>
      <c r="Q2916" s="37"/>
      <c r="R2916" s="37"/>
      <c r="S2916" s="37"/>
      <c r="T2916" s="37"/>
      <c r="U2916" s="37"/>
      <c r="V2916" s="37"/>
      <c r="W2916" s="37"/>
      <c r="X2916" s="37"/>
      <c r="Y2916" s="37"/>
      <c r="Z2916" s="37"/>
      <c r="AA2916" s="37"/>
      <c r="AB2916" s="37"/>
      <c r="AC2916" s="37"/>
      <c r="AD2916" s="37"/>
      <c r="AE2916" s="37"/>
      <c r="AF2916" s="37"/>
      <c r="AG2916" s="37"/>
      <c r="AH2916" s="37"/>
      <c r="AI2916" s="37"/>
      <c r="AJ2916" s="37"/>
      <c r="AK2916" s="37"/>
      <c r="AL2916" s="37"/>
      <c r="AM2916" s="37"/>
      <c r="AN2916" s="37"/>
      <c r="AO2916" s="37"/>
      <c r="AP2916" s="37"/>
      <c r="AQ2916" s="37"/>
      <c r="AR2916" s="37"/>
      <c r="AS2916" s="37"/>
      <c r="AT2916" s="37"/>
      <c r="AU2916" s="37"/>
      <c r="AV2916" s="37"/>
      <c r="AW2916" s="37"/>
      <c r="AX2916" s="37"/>
      <c r="AY2916" s="37"/>
      <c r="AZ2916" s="37"/>
      <c r="BA2916" s="37"/>
      <c r="BB2916" s="37"/>
      <c r="BC2916" s="37"/>
      <c r="BD2916" s="37"/>
      <c r="BE2916" s="37"/>
      <c r="BF2916" s="37"/>
      <c r="BG2916" s="37"/>
      <c r="BH2916" s="37"/>
      <c r="BI2916" s="37"/>
      <c r="BJ2916" s="37"/>
      <c r="BK2916" s="37"/>
      <c r="BL2916" s="37"/>
      <c r="BM2916" s="37"/>
    </row>
    <row r="2917" spans="1:65" s="40" customFormat="1" ht="23.25" x14ac:dyDescent="0.35">
      <c r="A2917" s="37"/>
      <c r="B2917" s="37"/>
      <c r="C2917" s="41"/>
      <c r="D2917" s="38"/>
      <c r="E2917" s="57"/>
      <c r="F2917" s="42"/>
      <c r="G2917" s="43"/>
      <c r="H2917" s="37"/>
      <c r="I2917" s="37"/>
      <c r="J2917" s="38"/>
      <c r="K2917" s="37"/>
      <c r="L2917" s="38"/>
      <c r="M2917" s="39"/>
      <c r="P2917" s="37"/>
      <c r="Q2917" s="37"/>
      <c r="R2917" s="37"/>
      <c r="S2917" s="37"/>
      <c r="T2917" s="37"/>
      <c r="U2917" s="37"/>
      <c r="V2917" s="37"/>
      <c r="W2917" s="37"/>
      <c r="X2917" s="37"/>
      <c r="Y2917" s="37"/>
      <c r="Z2917" s="37"/>
      <c r="AA2917" s="37"/>
      <c r="AB2917" s="37"/>
      <c r="AC2917" s="37"/>
      <c r="AD2917" s="37"/>
      <c r="AE2917" s="37"/>
      <c r="AF2917" s="37"/>
      <c r="AG2917" s="37"/>
      <c r="AH2917" s="37"/>
      <c r="AI2917" s="37"/>
      <c r="AJ2917" s="37"/>
      <c r="AK2917" s="37"/>
      <c r="AL2917" s="37"/>
      <c r="AM2917" s="37"/>
      <c r="AN2917" s="37"/>
      <c r="AO2917" s="37"/>
      <c r="AP2917" s="37"/>
      <c r="AQ2917" s="37"/>
      <c r="AR2917" s="37"/>
      <c r="AS2917" s="37"/>
      <c r="AT2917" s="37"/>
      <c r="AU2917" s="37"/>
      <c r="AV2917" s="37"/>
      <c r="AW2917" s="37"/>
      <c r="AX2917" s="37"/>
      <c r="AY2917" s="37"/>
      <c r="AZ2917" s="37"/>
      <c r="BA2917" s="37"/>
      <c r="BB2917" s="37"/>
      <c r="BC2917" s="37"/>
      <c r="BD2917" s="37"/>
      <c r="BE2917" s="37"/>
      <c r="BF2917" s="37"/>
      <c r="BG2917" s="37"/>
      <c r="BH2917" s="37"/>
      <c r="BI2917" s="37"/>
      <c r="BJ2917" s="37"/>
      <c r="BK2917" s="37"/>
      <c r="BL2917" s="37"/>
      <c r="BM2917" s="37"/>
    </row>
    <row r="2918" spans="1:65" s="40" customFormat="1" ht="23.25" x14ac:dyDescent="0.35">
      <c r="A2918" s="37"/>
      <c r="B2918" s="37"/>
      <c r="C2918" s="41"/>
      <c r="D2918" s="38"/>
      <c r="E2918" s="57"/>
      <c r="F2918" s="42"/>
      <c r="G2918" s="43"/>
      <c r="H2918" s="37"/>
      <c r="I2918" s="37"/>
      <c r="J2918" s="38"/>
      <c r="K2918" s="37"/>
      <c r="L2918" s="38"/>
      <c r="M2918" s="39"/>
      <c r="P2918" s="37"/>
      <c r="Q2918" s="37"/>
      <c r="R2918" s="37"/>
      <c r="S2918" s="37"/>
      <c r="T2918" s="37"/>
      <c r="U2918" s="37"/>
      <c r="V2918" s="37"/>
      <c r="W2918" s="37"/>
      <c r="X2918" s="37"/>
      <c r="Y2918" s="37"/>
      <c r="Z2918" s="37"/>
      <c r="AA2918" s="37"/>
      <c r="AB2918" s="37"/>
      <c r="AC2918" s="37"/>
      <c r="AD2918" s="37"/>
      <c r="AE2918" s="37"/>
      <c r="AF2918" s="37"/>
      <c r="AG2918" s="37"/>
      <c r="AH2918" s="37"/>
      <c r="AI2918" s="37"/>
      <c r="AJ2918" s="37"/>
      <c r="AK2918" s="37"/>
      <c r="AL2918" s="37"/>
      <c r="AM2918" s="37"/>
      <c r="AN2918" s="37"/>
      <c r="AO2918" s="37"/>
      <c r="AP2918" s="37"/>
      <c r="AQ2918" s="37"/>
      <c r="AR2918" s="37"/>
      <c r="AS2918" s="37"/>
      <c r="AT2918" s="37"/>
      <c r="AU2918" s="37"/>
      <c r="AV2918" s="37"/>
      <c r="AW2918" s="37"/>
      <c r="AX2918" s="37"/>
      <c r="AY2918" s="37"/>
      <c r="AZ2918" s="37"/>
      <c r="BA2918" s="37"/>
      <c r="BB2918" s="37"/>
      <c r="BC2918" s="37"/>
      <c r="BD2918" s="37"/>
      <c r="BE2918" s="37"/>
      <c r="BF2918" s="37"/>
      <c r="BG2918" s="37"/>
      <c r="BH2918" s="37"/>
      <c r="BI2918" s="37"/>
      <c r="BJ2918" s="37"/>
      <c r="BK2918" s="37"/>
      <c r="BL2918" s="37"/>
      <c r="BM2918" s="37"/>
    </row>
    <row r="2919" spans="1:65" s="40" customFormat="1" ht="23.25" x14ac:dyDescent="0.35">
      <c r="A2919" s="37"/>
      <c r="B2919" s="37"/>
      <c r="C2919" s="41"/>
      <c r="D2919" s="38"/>
      <c r="E2919" s="57"/>
      <c r="F2919" s="42"/>
      <c r="G2919" s="43"/>
      <c r="H2919" s="37"/>
      <c r="I2919" s="37"/>
      <c r="J2919" s="38"/>
      <c r="K2919" s="37"/>
      <c r="L2919" s="38"/>
      <c r="M2919" s="39"/>
      <c r="P2919" s="37"/>
      <c r="Q2919" s="37"/>
      <c r="R2919" s="37"/>
      <c r="S2919" s="37"/>
      <c r="T2919" s="37"/>
      <c r="U2919" s="37"/>
      <c r="V2919" s="37"/>
      <c r="W2919" s="37"/>
      <c r="X2919" s="37"/>
      <c r="Y2919" s="37"/>
      <c r="Z2919" s="37"/>
      <c r="AA2919" s="37"/>
      <c r="AB2919" s="37"/>
      <c r="AC2919" s="37"/>
      <c r="AD2919" s="37"/>
      <c r="AE2919" s="37"/>
      <c r="AF2919" s="37"/>
      <c r="AG2919" s="37"/>
      <c r="AH2919" s="37"/>
      <c r="AI2919" s="37"/>
      <c r="AJ2919" s="37"/>
      <c r="AK2919" s="37"/>
      <c r="AL2919" s="37"/>
      <c r="AM2919" s="37"/>
      <c r="AN2919" s="37"/>
      <c r="AO2919" s="37"/>
      <c r="AP2919" s="37"/>
      <c r="AQ2919" s="37"/>
      <c r="AR2919" s="37"/>
      <c r="AS2919" s="37"/>
      <c r="AT2919" s="37"/>
      <c r="AU2919" s="37"/>
      <c r="AV2919" s="37"/>
      <c r="AW2919" s="37"/>
      <c r="AX2919" s="37"/>
      <c r="AY2919" s="37"/>
      <c r="AZ2919" s="37"/>
      <c r="BA2919" s="37"/>
      <c r="BB2919" s="37"/>
      <c r="BC2919" s="37"/>
      <c r="BD2919" s="37"/>
      <c r="BE2919" s="37"/>
      <c r="BF2919" s="37"/>
      <c r="BG2919" s="37"/>
      <c r="BH2919" s="37"/>
      <c r="BI2919" s="37"/>
      <c r="BJ2919" s="37"/>
      <c r="BK2919" s="37"/>
      <c r="BL2919" s="37"/>
      <c r="BM2919" s="37"/>
    </row>
    <row r="2920" spans="1:65" s="40" customFormat="1" ht="23.25" x14ac:dyDescent="0.35">
      <c r="A2920" s="37"/>
      <c r="B2920" s="37"/>
      <c r="C2920" s="41"/>
      <c r="D2920" s="38"/>
      <c r="E2920" s="57"/>
      <c r="F2920" s="42"/>
      <c r="G2920" s="43"/>
      <c r="H2920" s="37"/>
      <c r="I2920" s="37"/>
      <c r="J2920" s="38"/>
      <c r="K2920" s="37"/>
      <c r="L2920" s="38"/>
      <c r="M2920" s="39"/>
      <c r="P2920" s="37"/>
      <c r="Q2920" s="37"/>
      <c r="R2920" s="37"/>
      <c r="S2920" s="37"/>
      <c r="T2920" s="37"/>
      <c r="U2920" s="37"/>
      <c r="V2920" s="37"/>
      <c r="W2920" s="37"/>
      <c r="X2920" s="37"/>
      <c r="Y2920" s="37"/>
      <c r="Z2920" s="37"/>
      <c r="AA2920" s="37"/>
      <c r="AB2920" s="37"/>
      <c r="AC2920" s="37"/>
      <c r="AD2920" s="37"/>
      <c r="AE2920" s="37"/>
      <c r="AF2920" s="37"/>
      <c r="AG2920" s="37"/>
      <c r="AH2920" s="37"/>
      <c r="AI2920" s="37"/>
      <c r="AJ2920" s="37"/>
      <c r="AK2920" s="37"/>
      <c r="AL2920" s="37"/>
      <c r="AM2920" s="37"/>
      <c r="AN2920" s="37"/>
      <c r="AO2920" s="37"/>
      <c r="AP2920" s="37"/>
      <c r="AQ2920" s="37"/>
      <c r="AR2920" s="37"/>
      <c r="AS2920" s="37"/>
      <c r="AT2920" s="37"/>
      <c r="AU2920" s="37"/>
      <c r="AV2920" s="37"/>
      <c r="AW2920" s="37"/>
      <c r="AX2920" s="37"/>
      <c r="AY2920" s="37"/>
      <c r="AZ2920" s="37"/>
      <c r="BA2920" s="37"/>
      <c r="BB2920" s="37"/>
      <c r="BC2920" s="37"/>
      <c r="BD2920" s="37"/>
      <c r="BE2920" s="37"/>
      <c r="BF2920" s="37"/>
      <c r="BG2920" s="37"/>
      <c r="BH2920" s="37"/>
      <c r="BI2920" s="37"/>
      <c r="BJ2920" s="37"/>
      <c r="BK2920" s="37"/>
      <c r="BL2920" s="37"/>
      <c r="BM2920" s="37"/>
    </row>
    <row r="2921" spans="1:65" s="40" customFormat="1" ht="23.25" x14ac:dyDescent="0.35">
      <c r="A2921" s="37"/>
      <c r="B2921" s="37"/>
      <c r="C2921" s="41"/>
      <c r="D2921" s="38"/>
      <c r="E2921" s="57"/>
      <c r="F2921" s="42"/>
      <c r="G2921" s="43"/>
      <c r="H2921" s="37"/>
      <c r="I2921" s="37"/>
      <c r="J2921" s="38"/>
      <c r="K2921" s="37"/>
      <c r="L2921" s="38"/>
      <c r="M2921" s="39"/>
      <c r="P2921" s="37"/>
      <c r="Q2921" s="37"/>
      <c r="R2921" s="37"/>
      <c r="S2921" s="37"/>
      <c r="T2921" s="37"/>
      <c r="U2921" s="37"/>
      <c r="V2921" s="37"/>
      <c r="W2921" s="37"/>
      <c r="X2921" s="37"/>
      <c r="Y2921" s="37"/>
      <c r="Z2921" s="37"/>
      <c r="AA2921" s="37"/>
      <c r="AB2921" s="37"/>
      <c r="AC2921" s="37"/>
      <c r="AD2921" s="37"/>
      <c r="AE2921" s="37"/>
      <c r="AF2921" s="37"/>
      <c r="AG2921" s="37"/>
      <c r="AH2921" s="37"/>
      <c r="AI2921" s="37"/>
      <c r="AJ2921" s="37"/>
      <c r="AK2921" s="37"/>
      <c r="AL2921" s="37"/>
      <c r="AM2921" s="37"/>
      <c r="AN2921" s="37"/>
      <c r="AO2921" s="37"/>
      <c r="AP2921" s="37"/>
      <c r="AQ2921" s="37"/>
      <c r="AR2921" s="37"/>
      <c r="AS2921" s="37"/>
      <c r="AT2921" s="37"/>
      <c r="AU2921" s="37"/>
      <c r="AV2921" s="37"/>
      <c r="AW2921" s="37"/>
      <c r="AX2921" s="37"/>
      <c r="AY2921" s="37"/>
      <c r="AZ2921" s="37"/>
      <c r="BA2921" s="37"/>
      <c r="BB2921" s="37"/>
      <c r="BC2921" s="37"/>
      <c r="BD2921" s="37"/>
      <c r="BE2921" s="37"/>
      <c r="BF2921" s="37"/>
      <c r="BG2921" s="37"/>
      <c r="BH2921" s="37"/>
      <c r="BI2921" s="37"/>
      <c r="BJ2921" s="37"/>
      <c r="BK2921" s="37"/>
      <c r="BL2921" s="37"/>
      <c r="BM2921" s="37"/>
    </row>
    <row r="2922" spans="1:65" s="40" customFormat="1" ht="23.25" x14ac:dyDescent="0.35">
      <c r="A2922" s="37"/>
      <c r="B2922" s="37"/>
      <c r="C2922" s="41"/>
      <c r="D2922" s="38"/>
      <c r="E2922" s="57"/>
      <c r="F2922" s="42"/>
      <c r="G2922" s="43"/>
      <c r="H2922" s="37"/>
      <c r="I2922" s="37"/>
      <c r="J2922" s="38"/>
      <c r="K2922" s="37"/>
      <c r="L2922" s="38"/>
      <c r="M2922" s="39"/>
      <c r="P2922" s="37"/>
      <c r="Q2922" s="37"/>
      <c r="R2922" s="37"/>
      <c r="S2922" s="37"/>
      <c r="T2922" s="37"/>
      <c r="U2922" s="37"/>
      <c r="V2922" s="37"/>
      <c r="W2922" s="37"/>
      <c r="X2922" s="37"/>
      <c r="Y2922" s="37"/>
      <c r="Z2922" s="37"/>
      <c r="AA2922" s="37"/>
      <c r="AB2922" s="37"/>
      <c r="AC2922" s="37"/>
      <c r="AD2922" s="37"/>
      <c r="AE2922" s="37"/>
      <c r="AF2922" s="37"/>
      <c r="AG2922" s="37"/>
      <c r="AH2922" s="37"/>
      <c r="AI2922" s="37"/>
      <c r="AJ2922" s="37"/>
      <c r="AK2922" s="37"/>
      <c r="AL2922" s="37"/>
      <c r="AM2922" s="37"/>
      <c r="AN2922" s="37"/>
      <c r="AO2922" s="37"/>
      <c r="AP2922" s="37"/>
      <c r="AQ2922" s="37"/>
      <c r="AR2922" s="37"/>
      <c r="AS2922" s="37"/>
      <c r="AT2922" s="37"/>
      <c r="AU2922" s="37"/>
      <c r="AV2922" s="37"/>
      <c r="AW2922" s="37"/>
      <c r="AX2922" s="37"/>
      <c r="AY2922" s="37"/>
      <c r="AZ2922" s="37"/>
      <c r="BA2922" s="37"/>
      <c r="BB2922" s="37"/>
      <c r="BC2922" s="37"/>
      <c r="BD2922" s="37"/>
      <c r="BE2922" s="37"/>
      <c r="BF2922" s="37"/>
      <c r="BG2922" s="37"/>
      <c r="BH2922" s="37"/>
      <c r="BI2922" s="37"/>
      <c r="BJ2922" s="37"/>
      <c r="BK2922" s="37"/>
      <c r="BL2922" s="37"/>
      <c r="BM2922" s="37"/>
    </row>
    <row r="2923" spans="1:65" s="40" customFormat="1" ht="23.25" x14ac:dyDescent="0.35">
      <c r="A2923" s="37"/>
      <c r="B2923" s="37"/>
      <c r="C2923" s="41"/>
      <c r="D2923" s="38"/>
      <c r="E2923" s="57"/>
      <c r="F2923" s="42"/>
      <c r="G2923" s="43"/>
      <c r="H2923" s="37"/>
      <c r="I2923" s="37"/>
      <c r="J2923" s="38"/>
      <c r="K2923" s="37"/>
      <c r="L2923" s="38"/>
      <c r="M2923" s="39"/>
      <c r="P2923" s="37"/>
      <c r="Q2923" s="37"/>
      <c r="R2923" s="37"/>
      <c r="S2923" s="37"/>
      <c r="T2923" s="37"/>
      <c r="U2923" s="37"/>
      <c r="V2923" s="37"/>
      <c r="W2923" s="37"/>
      <c r="X2923" s="37"/>
      <c r="Y2923" s="37"/>
      <c r="Z2923" s="37"/>
      <c r="AA2923" s="37"/>
      <c r="AB2923" s="37"/>
      <c r="AC2923" s="37"/>
      <c r="AD2923" s="37"/>
      <c r="AE2923" s="37"/>
      <c r="AF2923" s="37"/>
      <c r="AG2923" s="37"/>
      <c r="AH2923" s="37"/>
      <c r="AI2923" s="37"/>
      <c r="AJ2923" s="37"/>
      <c r="AK2923" s="37"/>
      <c r="AL2923" s="37"/>
      <c r="AM2923" s="37"/>
      <c r="AN2923" s="37"/>
      <c r="AO2923" s="37"/>
      <c r="AP2923" s="37"/>
      <c r="AQ2923" s="37"/>
      <c r="AR2923" s="37"/>
      <c r="AS2923" s="37"/>
      <c r="AT2923" s="37"/>
      <c r="AU2923" s="37"/>
      <c r="AV2923" s="37"/>
      <c r="AW2923" s="37"/>
      <c r="AX2923" s="37"/>
      <c r="AY2923" s="37"/>
      <c r="AZ2923" s="37"/>
      <c r="BA2923" s="37"/>
      <c r="BB2923" s="37"/>
      <c r="BC2923" s="37"/>
      <c r="BD2923" s="37"/>
      <c r="BE2923" s="37"/>
      <c r="BF2923" s="37"/>
      <c r="BG2923" s="37"/>
      <c r="BH2923" s="37"/>
      <c r="BI2923" s="37"/>
      <c r="BJ2923" s="37"/>
      <c r="BK2923" s="37"/>
      <c r="BL2923" s="37"/>
      <c r="BM2923" s="37"/>
    </row>
    <row r="2924" spans="1:65" s="40" customFormat="1" ht="23.25" x14ac:dyDescent="0.35">
      <c r="A2924" s="37"/>
      <c r="B2924" s="37"/>
      <c r="C2924" s="41"/>
      <c r="D2924" s="38"/>
      <c r="E2924" s="57"/>
      <c r="F2924" s="42"/>
      <c r="G2924" s="43"/>
      <c r="H2924" s="37"/>
      <c r="I2924" s="37"/>
      <c r="J2924" s="38"/>
      <c r="K2924" s="37"/>
      <c r="L2924" s="38"/>
      <c r="M2924" s="39"/>
      <c r="P2924" s="37"/>
      <c r="Q2924" s="37"/>
      <c r="R2924" s="37"/>
      <c r="S2924" s="37"/>
      <c r="T2924" s="37"/>
      <c r="U2924" s="37"/>
      <c r="V2924" s="37"/>
      <c r="W2924" s="37"/>
      <c r="X2924" s="37"/>
      <c r="Y2924" s="37"/>
      <c r="Z2924" s="37"/>
      <c r="AA2924" s="37"/>
      <c r="AB2924" s="37"/>
      <c r="AC2924" s="37"/>
      <c r="AD2924" s="37"/>
      <c r="AE2924" s="37"/>
      <c r="AF2924" s="37"/>
      <c r="AG2924" s="37"/>
      <c r="AH2924" s="37"/>
      <c r="AI2924" s="37"/>
      <c r="AJ2924" s="37"/>
      <c r="AK2924" s="37"/>
      <c r="AL2924" s="37"/>
      <c r="AM2924" s="37"/>
      <c r="AN2924" s="37"/>
      <c r="AO2924" s="37"/>
      <c r="AP2924" s="37"/>
      <c r="AQ2924" s="37"/>
      <c r="AR2924" s="37"/>
      <c r="AS2924" s="37"/>
      <c r="AT2924" s="37"/>
      <c r="AU2924" s="37"/>
      <c r="AV2924" s="37"/>
      <c r="AW2924" s="37"/>
      <c r="AX2924" s="37"/>
      <c r="AY2924" s="37"/>
      <c r="AZ2924" s="37"/>
      <c r="BA2924" s="37"/>
      <c r="BB2924" s="37"/>
      <c r="BC2924" s="37"/>
      <c r="BD2924" s="37"/>
      <c r="BE2924" s="37"/>
      <c r="BF2924" s="37"/>
      <c r="BG2924" s="37"/>
      <c r="BH2924" s="37"/>
      <c r="BI2924" s="37"/>
      <c r="BJ2924" s="37"/>
      <c r="BK2924" s="37"/>
      <c r="BL2924" s="37"/>
      <c r="BM2924" s="37"/>
    </row>
    <row r="2925" spans="1:65" s="40" customFormat="1" ht="23.25" x14ac:dyDescent="0.35">
      <c r="A2925" s="37"/>
      <c r="B2925" s="37"/>
      <c r="C2925" s="41"/>
      <c r="D2925" s="38"/>
      <c r="E2925" s="57"/>
      <c r="F2925" s="42"/>
      <c r="G2925" s="43"/>
      <c r="H2925" s="37"/>
      <c r="I2925" s="37"/>
      <c r="J2925" s="38"/>
      <c r="K2925" s="37"/>
      <c r="L2925" s="38"/>
      <c r="M2925" s="39"/>
      <c r="P2925" s="37"/>
      <c r="Q2925" s="37"/>
      <c r="R2925" s="37"/>
      <c r="S2925" s="37"/>
      <c r="T2925" s="37"/>
      <c r="U2925" s="37"/>
      <c r="V2925" s="37"/>
      <c r="W2925" s="37"/>
      <c r="X2925" s="37"/>
      <c r="Y2925" s="37"/>
      <c r="Z2925" s="37"/>
      <c r="AA2925" s="37"/>
      <c r="AB2925" s="37"/>
      <c r="AC2925" s="37"/>
      <c r="AD2925" s="37"/>
      <c r="AE2925" s="37"/>
      <c r="AF2925" s="37"/>
      <c r="AG2925" s="37"/>
      <c r="AH2925" s="37"/>
      <c r="AI2925" s="37"/>
      <c r="AJ2925" s="37"/>
      <c r="AK2925" s="37"/>
      <c r="AL2925" s="37"/>
      <c r="AM2925" s="37"/>
      <c r="AN2925" s="37"/>
      <c r="AO2925" s="37"/>
      <c r="AP2925" s="37"/>
      <c r="AQ2925" s="37"/>
      <c r="AR2925" s="37"/>
      <c r="AS2925" s="37"/>
      <c r="AT2925" s="37"/>
      <c r="AU2925" s="37"/>
      <c r="AV2925" s="37"/>
      <c r="AW2925" s="37"/>
      <c r="AX2925" s="37"/>
      <c r="AY2925" s="37"/>
      <c r="AZ2925" s="37"/>
      <c r="BA2925" s="37"/>
      <c r="BB2925" s="37"/>
      <c r="BC2925" s="37"/>
      <c r="BD2925" s="37"/>
      <c r="BE2925" s="37"/>
      <c r="BF2925" s="37"/>
      <c r="BG2925" s="37"/>
      <c r="BH2925" s="37"/>
      <c r="BI2925" s="37"/>
      <c r="BJ2925" s="37"/>
      <c r="BK2925" s="37"/>
      <c r="BL2925" s="37"/>
      <c r="BM2925" s="37"/>
    </row>
    <row r="2926" spans="1:65" s="40" customFormat="1" ht="23.25" x14ac:dyDescent="0.35">
      <c r="A2926" s="37"/>
      <c r="B2926" s="37"/>
      <c r="C2926" s="41"/>
      <c r="D2926" s="38"/>
      <c r="E2926" s="57"/>
      <c r="F2926" s="42"/>
      <c r="G2926" s="43"/>
      <c r="H2926" s="37"/>
      <c r="I2926" s="37"/>
      <c r="J2926" s="38"/>
      <c r="K2926" s="37"/>
      <c r="L2926" s="38"/>
      <c r="M2926" s="39"/>
      <c r="P2926" s="37"/>
      <c r="Q2926" s="37"/>
      <c r="R2926" s="37"/>
      <c r="S2926" s="37"/>
      <c r="T2926" s="37"/>
      <c r="U2926" s="37"/>
      <c r="V2926" s="37"/>
      <c r="W2926" s="37"/>
      <c r="X2926" s="37"/>
      <c r="Y2926" s="37"/>
      <c r="Z2926" s="37"/>
      <c r="AA2926" s="37"/>
      <c r="AB2926" s="37"/>
      <c r="AC2926" s="37"/>
      <c r="AD2926" s="37"/>
      <c r="AE2926" s="37"/>
      <c r="AF2926" s="37"/>
      <c r="AG2926" s="37"/>
      <c r="AH2926" s="37"/>
      <c r="AI2926" s="37"/>
      <c r="AJ2926" s="37"/>
      <c r="AK2926" s="37"/>
      <c r="AL2926" s="37"/>
      <c r="AM2926" s="37"/>
      <c r="AN2926" s="37"/>
      <c r="AO2926" s="37"/>
      <c r="AP2926" s="37"/>
      <c r="AQ2926" s="37"/>
      <c r="AR2926" s="37"/>
      <c r="AS2926" s="37"/>
      <c r="AT2926" s="37"/>
      <c r="AU2926" s="37"/>
      <c r="AV2926" s="37"/>
      <c r="AW2926" s="37"/>
      <c r="AX2926" s="37"/>
      <c r="AY2926" s="37"/>
      <c r="AZ2926" s="37"/>
      <c r="BA2926" s="37"/>
      <c r="BB2926" s="37"/>
      <c r="BC2926" s="37"/>
      <c r="BD2926" s="37"/>
      <c r="BE2926" s="37"/>
      <c r="BF2926" s="37"/>
      <c r="BG2926" s="37"/>
      <c r="BH2926" s="37"/>
      <c r="BI2926" s="37"/>
      <c r="BJ2926" s="37"/>
      <c r="BK2926" s="37"/>
      <c r="BL2926" s="37"/>
      <c r="BM2926" s="37"/>
    </row>
    <row r="2927" spans="1:65" s="40" customFormat="1" ht="23.25" x14ac:dyDescent="0.35">
      <c r="A2927" s="37"/>
      <c r="B2927" s="37"/>
      <c r="C2927" s="41"/>
      <c r="D2927" s="38"/>
      <c r="E2927" s="57"/>
      <c r="F2927" s="42"/>
      <c r="G2927" s="43"/>
      <c r="H2927" s="37"/>
      <c r="I2927" s="37"/>
      <c r="J2927" s="38"/>
      <c r="K2927" s="37"/>
      <c r="L2927" s="38"/>
      <c r="M2927" s="39"/>
      <c r="P2927" s="37"/>
      <c r="Q2927" s="37"/>
      <c r="R2927" s="37"/>
      <c r="S2927" s="37"/>
      <c r="T2927" s="37"/>
      <c r="U2927" s="37"/>
      <c r="V2927" s="37"/>
      <c r="W2927" s="37"/>
      <c r="X2927" s="37"/>
      <c r="Y2927" s="37"/>
      <c r="Z2927" s="37"/>
      <c r="AA2927" s="37"/>
      <c r="AB2927" s="37"/>
      <c r="AC2927" s="37"/>
      <c r="AD2927" s="37"/>
      <c r="AE2927" s="37"/>
      <c r="AF2927" s="37"/>
      <c r="AG2927" s="37"/>
      <c r="AH2927" s="37"/>
      <c r="AI2927" s="37"/>
      <c r="AJ2927" s="37"/>
      <c r="AK2927" s="37"/>
      <c r="AL2927" s="37"/>
      <c r="AM2927" s="37"/>
      <c r="AN2927" s="37"/>
      <c r="AO2927" s="37"/>
      <c r="AP2927" s="37"/>
      <c r="AQ2927" s="37"/>
      <c r="AR2927" s="37"/>
      <c r="AS2927" s="37"/>
      <c r="AT2927" s="37"/>
      <c r="AU2927" s="37"/>
      <c r="AV2927" s="37"/>
      <c r="AW2927" s="37"/>
      <c r="AX2927" s="37"/>
      <c r="AY2927" s="37"/>
      <c r="AZ2927" s="37"/>
      <c r="BA2927" s="37"/>
      <c r="BB2927" s="37"/>
      <c r="BC2927" s="37"/>
      <c r="BD2927" s="37"/>
      <c r="BE2927" s="37"/>
      <c r="BF2927" s="37"/>
      <c r="BG2927" s="37"/>
      <c r="BH2927" s="37"/>
      <c r="BI2927" s="37"/>
      <c r="BJ2927" s="37"/>
      <c r="BK2927" s="37"/>
      <c r="BL2927" s="37"/>
      <c r="BM2927" s="37"/>
    </row>
    <row r="2928" spans="1:65" s="40" customFormat="1" ht="23.25" x14ac:dyDescent="0.35">
      <c r="A2928" s="37"/>
      <c r="B2928" s="37"/>
      <c r="C2928" s="41"/>
      <c r="D2928" s="38"/>
      <c r="E2928" s="57"/>
      <c r="F2928" s="42"/>
      <c r="G2928" s="43"/>
      <c r="H2928" s="37"/>
      <c r="I2928" s="37"/>
      <c r="J2928" s="38"/>
      <c r="K2928" s="37"/>
      <c r="L2928" s="38"/>
      <c r="M2928" s="39"/>
      <c r="P2928" s="37"/>
      <c r="Q2928" s="37"/>
      <c r="R2928" s="37"/>
      <c r="S2928" s="37"/>
      <c r="T2928" s="37"/>
      <c r="U2928" s="37"/>
      <c r="V2928" s="37"/>
      <c r="W2928" s="37"/>
      <c r="X2928" s="37"/>
      <c r="Y2928" s="37"/>
      <c r="Z2928" s="37"/>
      <c r="AA2928" s="37"/>
      <c r="AB2928" s="37"/>
      <c r="AC2928" s="37"/>
      <c r="AD2928" s="37"/>
      <c r="AE2928" s="37"/>
      <c r="AF2928" s="37"/>
      <c r="AG2928" s="37"/>
      <c r="AH2928" s="37"/>
      <c r="AI2928" s="37"/>
      <c r="AJ2928" s="37"/>
      <c r="AK2928" s="37"/>
      <c r="AL2928" s="37"/>
      <c r="AM2928" s="37"/>
      <c r="AN2928" s="37"/>
      <c r="AO2928" s="37"/>
      <c r="AP2928" s="37"/>
      <c r="AQ2928" s="37"/>
      <c r="AR2928" s="37"/>
      <c r="AS2928" s="37"/>
      <c r="AT2928" s="37"/>
      <c r="AU2928" s="37"/>
      <c r="AV2928" s="37"/>
      <c r="AW2928" s="37"/>
      <c r="AX2928" s="37"/>
      <c r="AY2928" s="37"/>
      <c r="AZ2928" s="37"/>
      <c r="BA2928" s="37"/>
      <c r="BB2928" s="37"/>
      <c r="BC2928" s="37"/>
      <c r="BD2928" s="37"/>
      <c r="BE2928" s="37"/>
      <c r="BF2928" s="37"/>
      <c r="BG2928" s="37"/>
      <c r="BH2928" s="37"/>
      <c r="BI2928" s="37"/>
      <c r="BJ2928" s="37"/>
      <c r="BK2928" s="37"/>
      <c r="BL2928" s="37"/>
      <c r="BM2928" s="37"/>
    </row>
    <row r="2929" spans="1:65" s="40" customFormat="1" ht="23.25" x14ac:dyDescent="0.35">
      <c r="A2929" s="37"/>
      <c r="B2929" s="37"/>
      <c r="C2929" s="41"/>
      <c r="D2929" s="38"/>
      <c r="E2929" s="57"/>
      <c r="F2929" s="42"/>
      <c r="G2929" s="43"/>
      <c r="H2929" s="37"/>
      <c r="I2929" s="37"/>
      <c r="J2929" s="38"/>
      <c r="K2929" s="37"/>
      <c r="L2929" s="38"/>
      <c r="M2929" s="39"/>
      <c r="P2929" s="37"/>
      <c r="Q2929" s="37"/>
      <c r="R2929" s="37"/>
      <c r="S2929" s="37"/>
      <c r="T2929" s="37"/>
      <c r="U2929" s="37"/>
      <c r="V2929" s="37"/>
      <c r="W2929" s="37"/>
      <c r="X2929" s="37"/>
      <c r="Y2929" s="37"/>
      <c r="Z2929" s="37"/>
      <c r="AA2929" s="37"/>
      <c r="AB2929" s="37"/>
      <c r="AC2929" s="37"/>
      <c r="AD2929" s="37"/>
      <c r="AE2929" s="37"/>
      <c r="AF2929" s="37"/>
      <c r="AG2929" s="37"/>
      <c r="AH2929" s="37"/>
      <c r="AI2929" s="37"/>
      <c r="AJ2929" s="37"/>
      <c r="AK2929" s="37"/>
      <c r="AL2929" s="37"/>
      <c r="AM2929" s="37"/>
      <c r="AN2929" s="37"/>
      <c r="AO2929" s="37"/>
      <c r="AP2929" s="37"/>
      <c r="AQ2929" s="37"/>
      <c r="AR2929" s="37"/>
      <c r="AS2929" s="37"/>
      <c r="AT2929" s="37"/>
      <c r="AU2929" s="37"/>
      <c r="AV2929" s="37"/>
      <c r="AW2929" s="37"/>
      <c r="AX2929" s="37"/>
      <c r="AY2929" s="37"/>
      <c r="AZ2929" s="37"/>
      <c r="BA2929" s="37"/>
      <c r="BB2929" s="37"/>
      <c r="BC2929" s="37"/>
      <c r="BD2929" s="37"/>
      <c r="BE2929" s="37"/>
      <c r="BF2929" s="37"/>
      <c r="BG2929" s="37"/>
      <c r="BH2929" s="37"/>
      <c r="BI2929" s="37"/>
      <c r="BJ2929" s="37"/>
      <c r="BK2929" s="37"/>
      <c r="BL2929" s="37"/>
      <c r="BM2929" s="37"/>
    </row>
    <row r="2930" spans="1:65" s="40" customFormat="1" ht="23.25" x14ac:dyDescent="0.35">
      <c r="A2930" s="37"/>
      <c r="B2930" s="37"/>
      <c r="C2930" s="41"/>
      <c r="D2930" s="38"/>
      <c r="E2930" s="57"/>
      <c r="F2930" s="42"/>
      <c r="G2930" s="43"/>
      <c r="H2930" s="37"/>
      <c r="I2930" s="37"/>
      <c r="J2930" s="38"/>
      <c r="K2930" s="37"/>
      <c r="L2930" s="38"/>
      <c r="M2930" s="39"/>
      <c r="P2930" s="37"/>
      <c r="Q2930" s="37"/>
      <c r="R2930" s="37"/>
      <c r="S2930" s="37"/>
      <c r="T2930" s="37"/>
      <c r="U2930" s="37"/>
      <c r="V2930" s="37"/>
      <c r="W2930" s="37"/>
      <c r="X2930" s="37"/>
      <c r="Y2930" s="37"/>
      <c r="Z2930" s="37"/>
      <c r="AA2930" s="37"/>
      <c r="AB2930" s="37"/>
      <c r="AC2930" s="37"/>
      <c r="AD2930" s="37"/>
      <c r="AE2930" s="37"/>
      <c r="AF2930" s="37"/>
      <c r="AG2930" s="37"/>
      <c r="AH2930" s="37"/>
      <c r="AI2930" s="37"/>
      <c r="AJ2930" s="37"/>
      <c r="AK2930" s="37"/>
      <c r="AL2930" s="37"/>
      <c r="AM2930" s="37"/>
      <c r="AN2930" s="37"/>
      <c r="AO2930" s="37"/>
      <c r="AP2930" s="37"/>
      <c r="AQ2930" s="37"/>
      <c r="AR2930" s="37"/>
      <c r="AS2930" s="37"/>
      <c r="AT2930" s="37"/>
      <c r="AU2930" s="37"/>
      <c r="AV2930" s="37"/>
      <c r="AW2930" s="37"/>
      <c r="AX2930" s="37"/>
      <c r="AY2930" s="37"/>
      <c r="AZ2930" s="37"/>
      <c r="BA2930" s="37"/>
      <c r="BB2930" s="37"/>
      <c r="BC2930" s="37"/>
      <c r="BD2930" s="37"/>
      <c r="BE2930" s="37"/>
      <c r="BF2930" s="37"/>
      <c r="BG2930" s="37"/>
      <c r="BH2930" s="37"/>
      <c r="BI2930" s="37"/>
      <c r="BJ2930" s="37"/>
      <c r="BK2930" s="37"/>
      <c r="BL2930" s="37"/>
      <c r="BM2930" s="37"/>
    </row>
    <row r="2931" spans="1:65" s="40" customFormat="1" ht="23.25" x14ac:dyDescent="0.35">
      <c r="A2931" s="37"/>
      <c r="B2931" s="37"/>
      <c r="C2931" s="41"/>
      <c r="D2931" s="38"/>
      <c r="E2931" s="57"/>
      <c r="F2931" s="42"/>
      <c r="G2931" s="43"/>
      <c r="H2931" s="37"/>
      <c r="I2931" s="37"/>
      <c r="J2931" s="38"/>
      <c r="K2931" s="37"/>
      <c r="L2931" s="38"/>
      <c r="M2931" s="39"/>
      <c r="P2931" s="37"/>
      <c r="Q2931" s="37"/>
      <c r="R2931" s="37"/>
      <c r="S2931" s="37"/>
      <c r="T2931" s="37"/>
      <c r="U2931" s="37"/>
      <c r="V2931" s="37"/>
      <c r="W2931" s="37"/>
      <c r="X2931" s="37"/>
      <c r="Y2931" s="37"/>
      <c r="Z2931" s="37"/>
      <c r="AA2931" s="37"/>
      <c r="AB2931" s="37"/>
      <c r="AC2931" s="37"/>
      <c r="AD2931" s="37"/>
      <c r="AE2931" s="37"/>
      <c r="AF2931" s="37"/>
      <c r="AG2931" s="37"/>
      <c r="AH2931" s="37"/>
      <c r="AI2931" s="37"/>
      <c r="AJ2931" s="37"/>
      <c r="AK2931" s="37"/>
      <c r="AL2931" s="37"/>
      <c r="AM2931" s="37"/>
      <c r="AN2931" s="37"/>
      <c r="AO2931" s="37"/>
      <c r="AP2931" s="37"/>
      <c r="AQ2931" s="37"/>
      <c r="AR2931" s="37"/>
      <c r="AS2931" s="37"/>
      <c r="AT2931" s="37"/>
      <c r="AU2931" s="37"/>
      <c r="AV2931" s="37"/>
      <c r="AW2931" s="37"/>
      <c r="AX2931" s="37"/>
      <c r="AY2931" s="37"/>
      <c r="AZ2931" s="37"/>
      <c r="BA2931" s="37"/>
      <c r="BB2931" s="37"/>
      <c r="BC2931" s="37"/>
      <c r="BD2931" s="37"/>
      <c r="BE2931" s="37"/>
      <c r="BF2931" s="37"/>
      <c r="BG2931" s="37"/>
      <c r="BH2931" s="37"/>
      <c r="BI2931" s="37"/>
      <c r="BJ2931" s="37"/>
      <c r="BK2931" s="37"/>
      <c r="BL2931" s="37"/>
      <c r="BM2931" s="37"/>
    </row>
    <row r="2932" spans="1:65" s="40" customFormat="1" ht="23.25" x14ac:dyDescent="0.35">
      <c r="A2932" s="37"/>
      <c r="B2932" s="37"/>
      <c r="C2932" s="41"/>
      <c r="D2932" s="38"/>
      <c r="E2932" s="57"/>
      <c r="F2932" s="42"/>
      <c r="G2932" s="43"/>
      <c r="H2932" s="37"/>
      <c r="I2932" s="37"/>
      <c r="J2932" s="38"/>
      <c r="K2932" s="37"/>
      <c r="L2932" s="38"/>
      <c r="M2932" s="39"/>
      <c r="P2932" s="37"/>
      <c r="Q2932" s="37"/>
      <c r="R2932" s="37"/>
      <c r="S2932" s="37"/>
      <c r="T2932" s="37"/>
      <c r="U2932" s="37"/>
      <c r="V2932" s="37"/>
      <c r="W2932" s="37"/>
      <c r="X2932" s="37"/>
      <c r="Y2932" s="37"/>
      <c r="Z2932" s="37"/>
      <c r="AA2932" s="37"/>
      <c r="AB2932" s="37"/>
      <c r="AC2932" s="37"/>
      <c r="AD2932" s="37"/>
      <c r="AE2932" s="37"/>
      <c r="AF2932" s="37"/>
      <c r="AG2932" s="37"/>
      <c r="AH2932" s="37"/>
      <c r="AI2932" s="37"/>
      <c r="AJ2932" s="37"/>
      <c r="AK2932" s="37"/>
      <c r="AL2932" s="37"/>
      <c r="AM2932" s="37"/>
      <c r="AN2932" s="37"/>
      <c r="AO2932" s="37"/>
      <c r="AP2932" s="37"/>
      <c r="AQ2932" s="37"/>
      <c r="AR2932" s="37"/>
      <c r="AS2932" s="37"/>
      <c r="AT2932" s="37"/>
      <c r="AU2932" s="37"/>
      <c r="AV2932" s="37"/>
      <c r="AW2932" s="37"/>
      <c r="AX2932" s="37"/>
      <c r="AY2932" s="37"/>
      <c r="AZ2932" s="37"/>
      <c r="BA2932" s="37"/>
      <c r="BB2932" s="37"/>
      <c r="BC2932" s="37"/>
      <c r="BD2932" s="37"/>
      <c r="BE2932" s="37"/>
      <c r="BF2932" s="37"/>
      <c r="BG2932" s="37"/>
      <c r="BH2932" s="37"/>
      <c r="BI2932" s="37"/>
      <c r="BJ2932" s="37"/>
      <c r="BK2932" s="37"/>
      <c r="BL2932" s="37"/>
      <c r="BM2932" s="37"/>
    </row>
    <row r="2933" spans="1:65" s="40" customFormat="1" ht="23.25" x14ac:dyDescent="0.35">
      <c r="A2933" s="37"/>
      <c r="B2933" s="37"/>
      <c r="C2933" s="41"/>
      <c r="D2933" s="38"/>
      <c r="E2933" s="57"/>
      <c r="F2933" s="42"/>
      <c r="G2933" s="43"/>
      <c r="H2933" s="37"/>
      <c r="I2933" s="37"/>
      <c r="J2933" s="38"/>
      <c r="K2933" s="37"/>
      <c r="L2933" s="38"/>
      <c r="M2933" s="39"/>
      <c r="P2933" s="37"/>
      <c r="Q2933" s="37"/>
      <c r="R2933" s="37"/>
      <c r="S2933" s="37"/>
      <c r="T2933" s="37"/>
      <c r="U2933" s="37"/>
      <c r="V2933" s="37"/>
      <c r="W2933" s="37"/>
      <c r="X2933" s="37"/>
      <c r="Y2933" s="37"/>
      <c r="Z2933" s="37"/>
      <c r="AA2933" s="37"/>
      <c r="AB2933" s="37"/>
      <c r="AC2933" s="37"/>
      <c r="AD2933" s="37"/>
      <c r="AE2933" s="37"/>
      <c r="AF2933" s="37"/>
      <c r="AG2933" s="37"/>
      <c r="AH2933" s="37"/>
      <c r="AI2933" s="37"/>
      <c r="AJ2933" s="37"/>
      <c r="AK2933" s="37"/>
      <c r="AL2933" s="37"/>
      <c r="AM2933" s="37"/>
      <c r="AN2933" s="37"/>
      <c r="AO2933" s="37"/>
      <c r="AP2933" s="37"/>
      <c r="AQ2933" s="37"/>
      <c r="AR2933" s="37"/>
      <c r="AS2933" s="37"/>
      <c r="AT2933" s="37"/>
      <c r="AU2933" s="37"/>
      <c r="AV2933" s="37"/>
      <c r="AW2933" s="37"/>
      <c r="AX2933" s="37"/>
      <c r="AY2933" s="37"/>
      <c r="AZ2933" s="37"/>
      <c r="BA2933" s="37"/>
      <c r="BB2933" s="37"/>
      <c r="BC2933" s="37"/>
      <c r="BD2933" s="37"/>
      <c r="BE2933" s="37"/>
      <c r="BF2933" s="37"/>
      <c r="BG2933" s="37"/>
      <c r="BH2933" s="37"/>
      <c r="BI2933" s="37"/>
      <c r="BJ2933" s="37"/>
      <c r="BK2933" s="37"/>
      <c r="BL2933" s="37"/>
      <c r="BM2933" s="37"/>
    </row>
    <row r="2934" spans="1:65" s="40" customFormat="1" ht="23.25" x14ac:dyDescent="0.35">
      <c r="A2934" s="37"/>
      <c r="B2934" s="37"/>
      <c r="C2934" s="41"/>
      <c r="D2934" s="38"/>
      <c r="E2934" s="57"/>
      <c r="F2934" s="42"/>
      <c r="G2934" s="43"/>
      <c r="H2934" s="37"/>
      <c r="I2934" s="37"/>
      <c r="J2934" s="38"/>
      <c r="K2934" s="37"/>
      <c r="L2934" s="38"/>
      <c r="M2934" s="39"/>
      <c r="P2934" s="37"/>
      <c r="Q2934" s="37"/>
      <c r="R2934" s="37"/>
      <c r="S2934" s="37"/>
      <c r="T2934" s="37"/>
      <c r="U2934" s="37"/>
      <c r="V2934" s="37"/>
      <c r="W2934" s="37"/>
      <c r="X2934" s="37"/>
      <c r="Y2934" s="37"/>
      <c r="Z2934" s="37"/>
      <c r="AA2934" s="37"/>
      <c r="AB2934" s="37"/>
      <c r="AC2934" s="37"/>
      <c r="AD2934" s="37"/>
      <c r="AE2934" s="37"/>
      <c r="AF2934" s="37"/>
      <c r="AG2934" s="37"/>
      <c r="AH2934" s="37"/>
      <c r="AI2934" s="37"/>
      <c r="AJ2934" s="37"/>
      <c r="AK2934" s="37"/>
      <c r="AL2934" s="37"/>
      <c r="AM2934" s="37"/>
      <c r="AN2934" s="37"/>
      <c r="AO2934" s="37"/>
      <c r="AP2934" s="37"/>
      <c r="AQ2934" s="37"/>
      <c r="AR2934" s="37"/>
      <c r="AS2934" s="37"/>
      <c r="AT2934" s="37"/>
      <c r="AU2934" s="37"/>
      <c r="AV2934" s="37"/>
      <c r="AW2934" s="37"/>
      <c r="AX2934" s="37"/>
      <c r="AY2934" s="37"/>
      <c r="AZ2934" s="37"/>
      <c r="BA2934" s="37"/>
      <c r="BB2934" s="37"/>
      <c r="BC2934" s="37"/>
      <c r="BD2934" s="37"/>
      <c r="BE2934" s="37"/>
      <c r="BF2934" s="37"/>
      <c r="BG2934" s="37"/>
      <c r="BH2934" s="37"/>
      <c r="BI2934" s="37"/>
      <c r="BJ2934" s="37"/>
      <c r="BK2934" s="37"/>
      <c r="BL2934" s="37"/>
      <c r="BM2934" s="37"/>
    </row>
    <row r="2935" spans="1:65" s="40" customFormat="1" ht="23.25" x14ac:dyDescent="0.35">
      <c r="A2935" s="37"/>
      <c r="B2935" s="37"/>
      <c r="C2935" s="41"/>
      <c r="D2935" s="38"/>
      <c r="E2935" s="57"/>
      <c r="F2935" s="42"/>
      <c r="G2935" s="43"/>
      <c r="H2935" s="37"/>
      <c r="I2935" s="37"/>
      <c r="J2935" s="38"/>
      <c r="K2935" s="37"/>
      <c r="L2935" s="38"/>
      <c r="M2935" s="39"/>
      <c r="P2935" s="37"/>
      <c r="Q2935" s="37"/>
      <c r="R2935" s="37"/>
      <c r="S2935" s="37"/>
      <c r="T2935" s="37"/>
      <c r="U2935" s="37"/>
      <c r="V2935" s="37"/>
      <c r="W2935" s="37"/>
      <c r="X2935" s="37"/>
      <c r="Y2935" s="37"/>
      <c r="Z2935" s="37"/>
      <c r="AA2935" s="37"/>
      <c r="AB2935" s="37"/>
      <c r="AC2935" s="37"/>
      <c r="AD2935" s="37"/>
      <c r="AE2935" s="37"/>
      <c r="AF2935" s="37"/>
      <c r="AG2935" s="37"/>
      <c r="AH2935" s="37"/>
      <c r="AI2935" s="37"/>
      <c r="AJ2935" s="37"/>
      <c r="AK2935" s="37"/>
      <c r="AL2935" s="37"/>
      <c r="AM2935" s="37"/>
      <c r="AN2935" s="37"/>
      <c r="AO2935" s="37"/>
      <c r="AP2935" s="37"/>
      <c r="AQ2935" s="37"/>
      <c r="AR2935" s="37"/>
      <c r="AS2935" s="37"/>
      <c r="AT2935" s="37"/>
      <c r="AU2935" s="37"/>
      <c r="AV2935" s="37"/>
      <c r="AW2935" s="37"/>
      <c r="AX2935" s="37"/>
      <c r="AY2935" s="37"/>
      <c r="AZ2935" s="37"/>
      <c r="BA2935" s="37"/>
      <c r="BB2935" s="37"/>
      <c r="BC2935" s="37"/>
      <c r="BD2935" s="37"/>
      <c r="BE2935" s="37"/>
      <c r="BF2935" s="37"/>
      <c r="BG2935" s="37"/>
      <c r="BH2935" s="37"/>
      <c r="BI2935" s="37"/>
      <c r="BJ2935" s="37"/>
      <c r="BK2935" s="37"/>
      <c r="BL2935" s="37"/>
      <c r="BM2935" s="37"/>
    </row>
    <row r="2936" spans="1:65" s="40" customFormat="1" ht="23.25" x14ac:dyDescent="0.35">
      <c r="A2936" s="37"/>
      <c r="B2936" s="37"/>
      <c r="C2936" s="41"/>
      <c r="D2936" s="38"/>
      <c r="E2936" s="57"/>
      <c r="F2936" s="42"/>
      <c r="G2936" s="43"/>
      <c r="H2936" s="37"/>
      <c r="I2936" s="37"/>
      <c r="J2936" s="38"/>
      <c r="K2936" s="37"/>
      <c r="L2936" s="38"/>
      <c r="M2936" s="39"/>
      <c r="P2936" s="37"/>
      <c r="Q2936" s="37"/>
      <c r="R2936" s="37"/>
      <c r="S2936" s="37"/>
      <c r="T2936" s="37"/>
      <c r="U2936" s="37"/>
      <c r="V2936" s="37"/>
      <c r="W2936" s="37"/>
      <c r="X2936" s="37"/>
      <c r="Y2936" s="37"/>
      <c r="Z2936" s="37"/>
      <c r="AA2936" s="37"/>
      <c r="AB2936" s="37"/>
      <c r="AC2936" s="37"/>
      <c r="AD2936" s="37"/>
      <c r="AE2936" s="37"/>
      <c r="AF2936" s="37"/>
      <c r="AG2936" s="37"/>
      <c r="AH2936" s="37"/>
      <c r="AI2936" s="37"/>
      <c r="AJ2936" s="37"/>
      <c r="AK2936" s="37"/>
      <c r="AL2936" s="37"/>
      <c r="AM2936" s="37"/>
      <c r="AN2936" s="37"/>
      <c r="AO2936" s="37"/>
      <c r="AP2936" s="37"/>
      <c r="AQ2936" s="37"/>
      <c r="AR2936" s="37"/>
      <c r="AS2936" s="37"/>
      <c r="AT2936" s="37"/>
      <c r="AU2936" s="37"/>
      <c r="AV2936" s="37"/>
      <c r="AW2936" s="37"/>
      <c r="AX2936" s="37"/>
      <c r="AY2936" s="37"/>
      <c r="AZ2936" s="37"/>
      <c r="BA2936" s="37"/>
      <c r="BB2936" s="37"/>
      <c r="BC2936" s="37"/>
      <c r="BD2936" s="37"/>
      <c r="BE2936" s="37"/>
      <c r="BF2936" s="37"/>
      <c r="BG2936" s="37"/>
      <c r="BH2936" s="37"/>
      <c r="BI2936" s="37"/>
      <c r="BJ2936" s="37"/>
      <c r="BK2936" s="37"/>
      <c r="BL2936" s="37"/>
      <c r="BM2936" s="37"/>
    </row>
    <row r="2937" spans="1:65" s="40" customFormat="1" ht="23.25" x14ac:dyDescent="0.35">
      <c r="A2937" s="37"/>
      <c r="B2937" s="37"/>
      <c r="C2937" s="41"/>
      <c r="D2937" s="38"/>
      <c r="E2937" s="57"/>
      <c r="F2937" s="42"/>
      <c r="G2937" s="43"/>
      <c r="H2937" s="37"/>
      <c r="I2937" s="37"/>
      <c r="J2937" s="38"/>
      <c r="K2937" s="37"/>
      <c r="L2937" s="38"/>
      <c r="M2937" s="39"/>
      <c r="P2937" s="37"/>
      <c r="Q2937" s="37"/>
      <c r="R2937" s="37"/>
      <c r="S2937" s="37"/>
      <c r="T2937" s="37"/>
      <c r="U2937" s="37"/>
      <c r="V2937" s="37"/>
      <c r="W2937" s="37"/>
      <c r="X2937" s="37"/>
      <c r="Y2937" s="37"/>
      <c r="Z2937" s="37"/>
      <c r="AA2937" s="37"/>
      <c r="AB2937" s="37"/>
      <c r="AC2937" s="37"/>
      <c r="AD2937" s="37"/>
      <c r="AE2937" s="37"/>
      <c r="AF2937" s="37"/>
      <c r="AG2937" s="37"/>
      <c r="AH2937" s="37"/>
      <c r="AI2937" s="37"/>
      <c r="AJ2937" s="37"/>
      <c r="AK2937" s="37"/>
      <c r="AL2937" s="37"/>
      <c r="AM2937" s="37"/>
      <c r="AN2937" s="37"/>
      <c r="AO2937" s="37"/>
      <c r="AP2937" s="37"/>
      <c r="AQ2937" s="37"/>
      <c r="AR2937" s="37"/>
      <c r="AS2937" s="37"/>
      <c r="AT2937" s="37"/>
      <c r="AU2937" s="37"/>
      <c r="AV2937" s="37"/>
      <c r="AW2937" s="37"/>
      <c r="AX2937" s="37"/>
      <c r="AY2937" s="37"/>
      <c r="AZ2937" s="37"/>
      <c r="BA2937" s="37"/>
      <c r="BB2937" s="37"/>
      <c r="BC2937" s="37"/>
      <c r="BD2937" s="37"/>
      <c r="BE2937" s="37"/>
      <c r="BF2937" s="37"/>
      <c r="BG2937" s="37"/>
      <c r="BH2937" s="37"/>
      <c r="BI2937" s="37"/>
      <c r="BJ2937" s="37"/>
      <c r="BK2937" s="37"/>
      <c r="BL2937" s="37"/>
      <c r="BM2937" s="37"/>
    </row>
    <row r="2938" spans="1:65" s="40" customFormat="1" ht="23.25" x14ac:dyDescent="0.35">
      <c r="A2938" s="37"/>
      <c r="B2938" s="37"/>
      <c r="C2938" s="41"/>
      <c r="D2938" s="38"/>
      <c r="E2938" s="57"/>
      <c r="F2938" s="42"/>
      <c r="G2938" s="43"/>
      <c r="H2938" s="37"/>
      <c r="I2938" s="37"/>
      <c r="J2938" s="38"/>
      <c r="K2938" s="37"/>
      <c r="L2938" s="38"/>
      <c r="M2938" s="39"/>
      <c r="P2938" s="37"/>
      <c r="Q2938" s="37"/>
      <c r="R2938" s="37"/>
      <c r="S2938" s="37"/>
      <c r="T2938" s="37"/>
      <c r="U2938" s="37"/>
      <c r="V2938" s="37"/>
      <c r="W2938" s="37"/>
      <c r="X2938" s="37"/>
      <c r="Y2938" s="37"/>
      <c r="Z2938" s="37"/>
      <c r="AA2938" s="37"/>
      <c r="AB2938" s="37"/>
      <c r="AC2938" s="37"/>
      <c r="AD2938" s="37"/>
      <c r="AE2938" s="37"/>
      <c r="AF2938" s="37"/>
      <c r="AG2938" s="37"/>
      <c r="AH2938" s="37"/>
      <c r="AI2938" s="37"/>
      <c r="AJ2938" s="37"/>
      <c r="AK2938" s="37"/>
      <c r="AL2938" s="37"/>
      <c r="AM2938" s="37"/>
      <c r="AN2938" s="37"/>
      <c r="AO2938" s="37"/>
      <c r="AP2938" s="37"/>
      <c r="AQ2938" s="37"/>
      <c r="AR2938" s="37"/>
      <c r="AS2938" s="37"/>
      <c r="AT2938" s="37"/>
      <c r="AU2938" s="37"/>
      <c r="AV2938" s="37"/>
      <c r="AW2938" s="37"/>
      <c r="AX2938" s="37"/>
      <c r="AY2938" s="37"/>
      <c r="AZ2938" s="37"/>
      <c r="BA2938" s="37"/>
      <c r="BB2938" s="37"/>
      <c r="BC2938" s="37"/>
      <c r="BD2938" s="37"/>
      <c r="BE2938" s="37"/>
      <c r="BF2938" s="37"/>
      <c r="BG2938" s="37"/>
      <c r="BH2938" s="37"/>
      <c r="BI2938" s="37"/>
      <c r="BJ2938" s="37"/>
      <c r="BK2938" s="37"/>
      <c r="BL2938" s="37"/>
      <c r="BM2938" s="37"/>
    </row>
    <row r="2939" spans="1:65" s="40" customFormat="1" ht="23.25" x14ac:dyDescent="0.35">
      <c r="A2939" s="37"/>
      <c r="B2939" s="37"/>
      <c r="C2939" s="41"/>
      <c r="D2939" s="38"/>
      <c r="E2939" s="57"/>
      <c r="F2939" s="42"/>
      <c r="G2939" s="43"/>
      <c r="H2939" s="37"/>
      <c r="I2939" s="37"/>
      <c r="J2939" s="38"/>
      <c r="K2939" s="37"/>
      <c r="L2939" s="38"/>
      <c r="M2939" s="39"/>
      <c r="P2939" s="37"/>
      <c r="Q2939" s="37"/>
      <c r="R2939" s="37"/>
      <c r="S2939" s="37"/>
      <c r="T2939" s="37"/>
      <c r="U2939" s="37"/>
      <c r="V2939" s="37"/>
      <c r="W2939" s="37"/>
      <c r="X2939" s="37"/>
      <c r="Y2939" s="37"/>
      <c r="Z2939" s="37"/>
      <c r="AA2939" s="37"/>
      <c r="AB2939" s="37"/>
      <c r="AC2939" s="37"/>
      <c r="AD2939" s="37"/>
      <c r="AE2939" s="37"/>
      <c r="AF2939" s="37"/>
      <c r="AG2939" s="37"/>
      <c r="AH2939" s="37"/>
      <c r="AI2939" s="37"/>
      <c r="AJ2939" s="37"/>
      <c r="AK2939" s="37"/>
      <c r="AL2939" s="37"/>
      <c r="AM2939" s="37"/>
      <c r="AN2939" s="37"/>
      <c r="AO2939" s="37"/>
      <c r="AP2939" s="37"/>
      <c r="AQ2939" s="37"/>
      <c r="AR2939" s="37"/>
      <c r="AS2939" s="37"/>
      <c r="AT2939" s="37"/>
      <c r="AU2939" s="37"/>
      <c r="AV2939" s="37"/>
      <c r="AW2939" s="37"/>
      <c r="AX2939" s="37"/>
      <c r="AY2939" s="37"/>
      <c r="AZ2939" s="37"/>
      <c r="BA2939" s="37"/>
      <c r="BB2939" s="37"/>
      <c r="BC2939" s="37"/>
      <c r="BD2939" s="37"/>
      <c r="BE2939" s="37"/>
      <c r="BF2939" s="37"/>
      <c r="BG2939" s="37"/>
      <c r="BH2939" s="37"/>
      <c r="BI2939" s="37"/>
      <c r="BJ2939" s="37"/>
      <c r="BK2939" s="37"/>
      <c r="BL2939" s="37"/>
      <c r="BM2939" s="37"/>
    </row>
    <row r="2940" spans="1:65" s="40" customFormat="1" ht="23.25" x14ac:dyDescent="0.35">
      <c r="A2940" s="37"/>
      <c r="B2940" s="37"/>
      <c r="C2940" s="41"/>
      <c r="D2940" s="38"/>
      <c r="E2940" s="57"/>
      <c r="F2940" s="42"/>
      <c r="G2940" s="43"/>
      <c r="H2940" s="37"/>
      <c r="I2940" s="37"/>
      <c r="J2940" s="38"/>
      <c r="K2940" s="37"/>
      <c r="L2940" s="38"/>
      <c r="M2940" s="39"/>
      <c r="P2940" s="37"/>
      <c r="Q2940" s="37"/>
      <c r="R2940" s="37"/>
      <c r="S2940" s="37"/>
      <c r="T2940" s="37"/>
      <c r="U2940" s="37"/>
      <c r="V2940" s="37"/>
      <c r="W2940" s="37"/>
      <c r="X2940" s="37"/>
      <c r="Y2940" s="37"/>
      <c r="Z2940" s="37"/>
      <c r="AA2940" s="37"/>
      <c r="AB2940" s="37"/>
      <c r="AC2940" s="37"/>
      <c r="AD2940" s="37"/>
      <c r="AE2940" s="37"/>
      <c r="AF2940" s="37"/>
      <c r="AG2940" s="37"/>
      <c r="AH2940" s="37"/>
      <c r="AI2940" s="37"/>
      <c r="AJ2940" s="37"/>
      <c r="AK2940" s="37"/>
      <c r="AL2940" s="37"/>
      <c r="AM2940" s="37"/>
      <c r="AN2940" s="37"/>
      <c r="AO2940" s="37"/>
      <c r="AP2940" s="37"/>
      <c r="AQ2940" s="37"/>
      <c r="AR2940" s="37"/>
      <c r="AS2940" s="37"/>
      <c r="AT2940" s="37"/>
      <c r="AU2940" s="37"/>
      <c r="AV2940" s="37"/>
      <c r="AW2940" s="37"/>
      <c r="AX2940" s="37"/>
      <c r="AY2940" s="37"/>
      <c r="AZ2940" s="37"/>
      <c r="BA2940" s="37"/>
      <c r="BB2940" s="37"/>
      <c r="BC2940" s="37"/>
      <c r="BD2940" s="37"/>
      <c r="BE2940" s="37"/>
      <c r="BF2940" s="37"/>
      <c r="BG2940" s="37"/>
      <c r="BH2940" s="37"/>
      <c r="BI2940" s="37"/>
      <c r="BJ2940" s="37"/>
      <c r="BK2940" s="37"/>
      <c r="BL2940" s="37"/>
      <c r="BM2940" s="37"/>
    </row>
    <row r="2941" spans="1:65" s="40" customFormat="1" ht="23.25" x14ac:dyDescent="0.35">
      <c r="A2941" s="37"/>
      <c r="B2941" s="37"/>
      <c r="C2941" s="41"/>
      <c r="D2941" s="38"/>
      <c r="E2941" s="57"/>
      <c r="F2941" s="42"/>
      <c r="G2941" s="43"/>
      <c r="H2941" s="37"/>
      <c r="I2941" s="37"/>
      <c r="J2941" s="38"/>
      <c r="K2941" s="37"/>
      <c r="L2941" s="38"/>
      <c r="M2941" s="39"/>
      <c r="P2941" s="37"/>
      <c r="Q2941" s="37"/>
      <c r="R2941" s="37"/>
      <c r="S2941" s="37"/>
      <c r="T2941" s="37"/>
      <c r="U2941" s="37"/>
      <c r="V2941" s="37"/>
      <c r="W2941" s="37"/>
      <c r="X2941" s="37"/>
      <c r="Y2941" s="37"/>
      <c r="Z2941" s="37"/>
      <c r="AA2941" s="37"/>
      <c r="AB2941" s="37"/>
      <c r="AC2941" s="37"/>
      <c r="AD2941" s="37"/>
      <c r="AE2941" s="37"/>
      <c r="AF2941" s="37"/>
      <c r="AG2941" s="37"/>
      <c r="AH2941" s="37"/>
      <c r="AI2941" s="37"/>
      <c r="AJ2941" s="37"/>
      <c r="AK2941" s="37"/>
      <c r="AL2941" s="37"/>
      <c r="AM2941" s="37"/>
      <c r="AN2941" s="37"/>
      <c r="AO2941" s="37"/>
      <c r="AP2941" s="37"/>
      <c r="AQ2941" s="37"/>
      <c r="AR2941" s="37"/>
      <c r="AS2941" s="37"/>
      <c r="AT2941" s="37"/>
      <c r="AU2941" s="37"/>
      <c r="AV2941" s="37"/>
      <c r="AW2941" s="37"/>
      <c r="AX2941" s="37"/>
      <c r="AY2941" s="37"/>
      <c r="AZ2941" s="37"/>
      <c r="BA2941" s="37"/>
      <c r="BB2941" s="37"/>
      <c r="BC2941" s="37"/>
      <c r="BD2941" s="37"/>
      <c r="BE2941" s="37"/>
      <c r="BF2941" s="37"/>
      <c r="BG2941" s="37"/>
      <c r="BH2941" s="37"/>
      <c r="BI2941" s="37"/>
      <c r="BJ2941" s="37"/>
      <c r="BK2941" s="37"/>
      <c r="BL2941" s="37"/>
      <c r="BM2941" s="37"/>
    </row>
    <row r="2942" spans="1:65" s="40" customFormat="1" ht="23.25" x14ac:dyDescent="0.35">
      <c r="A2942" s="37"/>
      <c r="B2942" s="37"/>
      <c r="C2942" s="41"/>
      <c r="D2942" s="38"/>
      <c r="E2942" s="57"/>
      <c r="F2942" s="42"/>
      <c r="G2942" s="43"/>
      <c r="H2942" s="37"/>
      <c r="I2942" s="37"/>
      <c r="J2942" s="38"/>
      <c r="K2942" s="37"/>
      <c r="L2942" s="38"/>
      <c r="M2942" s="39"/>
      <c r="P2942" s="37"/>
      <c r="Q2942" s="37"/>
      <c r="R2942" s="37"/>
      <c r="S2942" s="37"/>
      <c r="T2942" s="37"/>
      <c r="U2942" s="37"/>
      <c r="V2942" s="37"/>
      <c r="W2942" s="37"/>
      <c r="X2942" s="37"/>
      <c r="Y2942" s="37"/>
      <c r="Z2942" s="37"/>
      <c r="AA2942" s="37"/>
      <c r="AB2942" s="37"/>
      <c r="AC2942" s="37"/>
      <c r="AD2942" s="37"/>
      <c r="AE2942" s="37"/>
      <c r="AF2942" s="37"/>
      <c r="AG2942" s="37"/>
      <c r="AH2942" s="37"/>
      <c r="AI2942" s="37"/>
      <c r="AJ2942" s="37"/>
      <c r="AK2942" s="37"/>
      <c r="AL2942" s="37"/>
      <c r="AM2942" s="37"/>
      <c r="AN2942" s="37"/>
      <c r="AO2942" s="37"/>
      <c r="AP2942" s="37"/>
      <c r="AQ2942" s="37"/>
      <c r="AR2942" s="37"/>
      <c r="AS2942" s="37"/>
      <c r="AT2942" s="37"/>
      <c r="AU2942" s="37"/>
      <c r="AV2942" s="37"/>
      <c r="AW2942" s="37"/>
      <c r="AX2942" s="37"/>
      <c r="AY2942" s="37"/>
      <c r="AZ2942" s="37"/>
      <c r="BA2942" s="37"/>
      <c r="BB2942" s="37"/>
      <c r="BC2942" s="37"/>
      <c r="BD2942" s="37"/>
      <c r="BE2942" s="37"/>
      <c r="BF2942" s="37"/>
      <c r="BG2942" s="37"/>
      <c r="BH2942" s="37"/>
      <c r="BI2942" s="37"/>
      <c r="BJ2942" s="37"/>
      <c r="BK2942" s="37"/>
      <c r="BL2942" s="37"/>
      <c r="BM2942" s="37"/>
    </row>
    <row r="2943" spans="1:65" s="40" customFormat="1" ht="23.25" x14ac:dyDescent="0.35">
      <c r="A2943" s="37"/>
      <c r="B2943" s="37"/>
      <c r="C2943" s="41"/>
      <c r="D2943" s="38"/>
      <c r="E2943" s="57"/>
      <c r="F2943" s="42"/>
      <c r="G2943" s="43"/>
      <c r="H2943" s="37"/>
      <c r="I2943" s="37"/>
      <c r="J2943" s="38"/>
      <c r="K2943" s="37"/>
      <c r="L2943" s="38"/>
      <c r="M2943" s="39"/>
      <c r="P2943" s="37"/>
      <c r="Q2943" s="37"/>
      <c r="R2943" s="37"/>
      <c r="S2943" s="37"/>
      <c r="T2943" s="37"/>
      <c r="U2943" s="37"/>
      <c r="V2943" s="37"/>
      <c r="W2943" s="37"/>
      <c r="X2943" s="37"/>
      <c r="Y2943" s="37"/>
      <c r="Z2943" s="37"/>
      <c r="AA2943" s="37"/>
      <c r="AB2943" s="37"/>
      <c r="AC2943" s="37"/>
      <c r="AD2943" s="37"/>
      <c r="AE2943" s="37"/>
      <c r="AF2943" s="37"/>
      <c r="AG2943" s="37"/>
      <c r="AH2943" s="37"/>
      <c r="AI2943" s="37"/>
      <c r="AJ2943" s="37"/>
      <c r="AK2943" s="37"/>
      <c r="AL2943" s="37"/>
      <c r="AM2943" s="37"/>
      <c r="AN2943" s="37"/>
      <c r="AO2943" s="37"/>
      <c r="AP2943" s="37"/>
      <c r="AQ2943" s="37"/>
      <c r="AR2943" s="37"/>
      <c r="AS2943" s="37"/>
      <c r="AT2943" s="37"/>
      <c r="AU2943" s="37"/>
      <c r="AV2943" s="37"/>
      <c r="AW2943" s="37"/>
      <c r="AX2943" s="37"/>
      <c r="AY2943" s="37"/>
      <c r="AZ2943" s="37"/>
      <c r="BA2943" s="37"/>
      <c r="BB2943" s="37"/>
      <c r="BC2943" s="37"/>
      <c r="BD2943" s="37"/>
      <c r="BE2943" s="37"/>
      <c r="BF2943" s="37"/>
      <c r="BG2943" s="37"/>
      <c r="BH2943" s="37"/>
      <c r="BI2943" s="37"/>
      <c r="BJ2943" s="37"/>
      <c r="BK2943" s="37"/>
      <c r="BL2943" s="37"/>
      <c r="BM2943" s="37"/>
    </row>
    <row r="2944" spans="1:65" s="40" customFormat="1" ht="23.25" x14ac:dyDescent="0.35">
      <c r="A2944" s="37"/>
      <c r="B2944" s="37"/>
      <c r="C2944" s="41"/>
      <c r="D2944" s="38"/>
      <c r="E2944" s="57"/>
      <c r="F2944" s="42"/>
      <c r="G2944" s="43"/>
      <c r="H2944" s="37"/>
      <c r="I2944" s="37"/>
      <c r="J2944" s="38"/>
      <c r="K2944" s="37"/>
      <c r="L2944" s="38"/>
      <c r="M2944" s="39"/>
      <c r="P2944" s="37"/>
      <c r="Q2944" s="37"/>
      <c r="R2944" s="37"/>
      <c r="S2944" s="37"/>
      <c r="T2944" s="37"/>
      <c r="U2944" s="37"/>
      <c r="V2944" s="37"/>
      <c r="W2944" s="37"/>
      <c r="X2944" s="37"/>
      <c r="Y2944" s="37"/>
      <c r="Z2944" s="37"/>
      <c r="AA2944" s="37"/>
      <c r="AB2944" s="37"/>
      <c r="AC2944" s="37"/>
      <c r="AD2944" s="37"/>
      <c r="AE2944" s="37"/>
      <c r="AF2944" s="37"/>
      <c r="AG2944" s="37"/>
      <c r="AH2944" s="37"/>
      <c r="AI2944" s="37"/>
      <c r="AJ2944" s="37"/>
      <c r="AK2944" s="37"/>
      <c r="AL2944" s="37"/>
      <c r="AM2944" s="37"/>
      <c r="AN2944" s="37"/>
      <c r="AO2944" s="37"/>
      <c r="AP2944" s="37"/>
      <c r="AQ2944" s="37"/>
      <c r="AR2944" s="37"/>
      <c r="AS2944" s="37"/>
      <c r="AT2944" s="37"/>
      <c r="AU2944" s="37"/>
      <c r="AV2944" s="37"/>
      <c r="AW2944" s="37"/>
      <c r="AX2944" s="37"/>
      <c r="AY2944" s="37"/>
      <c r="AZ2944" s="37"/>
      <c r="BA2944" s="37"/>
      <c r="BB2944" s="37"/>
      <c r="BC2944" s="37"/>
      <c r="BD2944" s="37"/>
      <c r="BE2944" s="37"/>
      <c r="BF2944" s="37"/>
      <c r="BG2944" s="37"/>
      <c r="BH2944" s="37"/>
      <c r="BI2944" s="37"/>
      <c r="BJ2944" s="37"/>
      <c r="BK2944" s="37"/>
      <c r="BL2944" s="37"/>
      <c r="BM2944" s="37"/>
    </row>
    <row r="2945" spans="1:65" s="40" customFormat="1" ht="23.25" x14ac:dyDescent="0.35">
      <c r="A2945" s="37"/>
      <c r="B2945" s="37"/>
      <c r="C2945" s="41"/>
      <c r="D2945" s="38"/>
      <c r="E2945" s="57"/>
      <c r="F2945" s="42"/>
      <c r="G2945" s="43"/>
      <c r="H2945" s="37"/>
      <c r="I2945" s="37"/>
      <c r="J2945" s="38"/>
      <c r="K2945" s="37"/>
      <c r="L2945" s="38"/>
      <c r="M2945" s="39"/>
      <c r="P2945" s="37"/>
      <c r="Q2945" s="37"/>
      <c r="R2945" s="37"/>
      <c r="S2945" s="37"/>
      <c r="T2945" s="37"/>
      <c r="U2945" s="37"/>
      <c r="V2945" s="37"/>
      <c r="W2945" s="37"/>
      <c r="X2945" s="37"/>
      <c r="Y2945" s="37"/>
      <c r="Z2945" s="37"/>
      <c r="AA2945" s="37"/>
      <c r="AB2945" s="37"/>
      <c r="AC2945" s="37"/>
      <c r="AD2945" s="37"/>
      <c r="AE2945" s="37"/>
      <c r="AF2945" s="37"/>
      <c r="AG2945" s="37"/>
      <c r="AH2945" s="37"/>
      <c r="AI2945" s="37"/>
      <c r="AJ2945" s="37"/>
      <c r="AK2945" s="37"/>
      <c r="AL2945" s="37"/>
      <c r="AM2945" s="37"/>
      <c r="AN2945" s="37"/>
      <c r="AO2945" s="37"/>
      <c r="AP2945" s="37"/>
      <c r="AQ2945" s="37"/>
      <c r="AR2945" s="37"/>
      <c r="AS2945" s="37"/>
      <c r="AT2945" s="37"/>
      <c r="AU2945" s="37"/>
      <c r="AV2945" s="37"/>
      <c r="AW2945" s="37"/>
      <c r="AX2945" s="37"/>
      <c r="AY2945" s="37"/>
      <c r="AZ2945" s="37"/>
      <c r="BA2945" s="37"/>
      <c r="BB2945" s="37"/>
      <c r="BC2945" s="37"/>
      <c r="BD2945" s="37"/>
      <c r="BE2945" s="37"/>
      <c r="BF2945" s="37"/>
      <c r="BG2945" s="37"/>
      <c r="BH2945" s="37"/>
      <c r="BI2945" s="37"/>
      <c r="BJ2945" s="37"/>
      <c r="BK2945" s="37"/>
      <c r="BL2945" s="37"/>
      <c r="BM2945" s="37"/>
    </row>
    <row r="2946" spans="1:65" s="40" customFormat="1" ht="23.25" x14ac:dyDescent="0.35">
      <c r="A2946" s="37"/>
      <c r="B2946" s="37"/>
      <c r="C2946" s="41"/>
      <c r="D2946" s="38"/>
      <c r="E2946" s="57"/>
      <c r="F2946" s="42"/>
      <c r="G2946" s="43"/>
      <c r="H2946" s="37"/>
      <c r="I2946" s="37"/>
      <c r="J2946" s="38"/>
      <c r="K2946" s="37"/>
      <c r="L2946" s="38"/>
      <c r="M2946" s="39"/>
      <c r="P2946" s="37"/>
      <c r="Q2946" s="37"/>
      <c r="R2946" s="37"/>
      <c r="S2946" s="37"/>
      <c r="T2946" s="37"/>
      <c r="U2946" s="37"/>
      <c r="V2946" s="37"/>
      <c r="W2946" s="37"/>
      <c r="X2946" s="37"/>
      <c r="Y2946" s="37"/>
      <c r="Z2946" s="37"/>
      <c r="AA2946" s="37"/>
      <c r="AB2946" s="37"/>
      <c r="AC2946" s="37"/>
      <c r="AD2946" s="37"/>
      <c r="AE2946" s="37"/>
      <c r="AF2946" s="37"/>
      <c r="AG2946" s="37"/>
      <c r="AH2946" s="37"/>
      <c r="AI2946" s="37"/>
      <c r="AJ2946" s="37"/>
      <c r="AK2946" s="37"/>
      <c r="AL2946" s="37"/>
      <c r="AM2946" s="37"/>
      <c r="AN2946" s="37"/>
      <c r="AO2946" s="37"/>
      <c r="AP2946" s="37"/>
      <c r="AQ2946" s="37"/>
      <c r="AR2946" s="37"/>
      <c r="AS2946" s="37"/>
      <c r="AT2946" s="37"/>
      <c r="AU2946" s="37"/>
      <c r="AV2946" s="37"/>
      <c r="AW2946" s="37"/>
      <c r="AX2946" s="37"/>
      <c r="AY2946" s="37"/>
      <c r="AZ2946" s="37"/>
      <c r="BA2946" s="37"/>
      <c r="BB2946" s="37"/>
      <c r="BC2946" s="37"/>
      <c r="BD2946" s="37"/>
      <c r="BE2946" s="37"/>
      <c r="BF2946" s="37"/>
      <c r="BG2946" s="37"/>
      <c r="BH2946" s="37"/>
      <c r="BI2946" s="37"/>
      <c r="BJ2946" s="37"/>
      <c r="BK2946" s="37"/>
      <c r="BL2946" s="37"/>
      <c r="BM2946" s="37"/>
    </row>
    <row r="2947" spans="1:65" s="40" customFormat="1" ht="23.25" x14ac:dyDescent="0.35">
      <c r="A2947" s="37"/>
      <c r="B2947" s="37"/>
      <c r="C2947" s="41"/>
      <c r="D2947" s="38"/>
      <c r="E2947" s="57"/>
      <c r="F2947" s="42"/>
      <c r="G2947" s="43"/>
      <c r="H2947" s="37"/>
      <c r="I2947" s="37"/>
      <c r="J2947" s="38"/>
      <c r="K2947" s="37"/>
      <c r="L2947" s="38"/>
      <c r="M2947" s="39"/>
      <c r="P2947" s="37"/>
      <c r="Q2947" s="37"/>
      <c r="R2947" s="37"/>
      <c r="S2947" s="37"/>
      <c r="T2947" s="37"/>
      <c r="U2947" s="37"/>
      <c r="V2947" s="37"/>
      <c r="W2947" s="37"/>
      <c r="X2947" s="37"/>
      <c r="Y2947" s="37"/>
      <c r="Z2947" s="37"/>
      <c r="AA2947" s="37"/>
      <c r="AB2947" s="37"/>
      <c r="AC2947" s="37"/>
      <c r="AD2947" s="37"/>
      <c r="AE2947" s="37"/>
      <c r="AF2947" s="37"/>
      <c r="AG2947" s="37"/>
      <c r="AH2947" s="37"/>
      <c r="AI2947" s="37"/>
      <c r="AJ2947" s="37"/>
      <c r="AK2947" s="37"/>
      <c r="AL2947" s="37"/>
      <c r="AM2947" s="37"/>
      <c r="AN2947" s="37"/>
      <c r="AO2947" s="37"/>
      <c r="AP2947" s="37"/>
      <c r="AQ2947" s="37"/>
      <c r="AR2947" s="37"/>
      <c r="AS2947" s="37"/>
      <c r="AT2947" s="37"/>
      <c r="AU2947" s="37"/>
      <c r="AV2947" s="37"/>
      <c r="AW2947" s="37"/>
      <c r="AX2947" s="37"/>
      <c r="AY2947" s="37"/>
      <c r="AZ2947" s="37"/>
      <c r="BA2947" s="37"/>
      <c r="BB2947" s="37"/>
      <c r="BC2947" s="37"/>
      <c r="BD2947" s="37"/>
      <c r="BE2947" s="37"/>
      <c r="BF2947" s="37"/>
      <c r="BG2947" s="37"/>
      <c r="BH2947" s="37"/>
      <c r="BI2947" s="37"/>
      <c r="BJ2947" s="37"/>
      <c r="BK2947" s="37"/>
      <c r="BL2947" s="37"/>
      <c r="BM2947" s="37"/>
    </row>
    <row r="2948" spans="1:65" s="40" customFormat="1" ht="23.25" x14ac:dyDescent="0.35">
      <c r="A2948" s="37"/>
      <c r="B2948" s="37"/>
      <c r="C2948" s="41"/>
      <c r="D2948" s="38"/>
      <c r="E2948" s="57"/>
      <c r="F2948" s="42"/>
      <c r="G2948" s="43"/>
      <c r="H2948" s="37"/>
      <c r="I2948" s="37"/>
      <c r="J2948" s="38"/>
      <c r="K2948" s="37"/>
      <c r="L2948" s="38"/>
      <c r="M2948" s="39"/>
      <c r="P2948" s="37"/>
      <c r="Q2948" s="37"/>
      <c r="R2948" s="37"/>
      <c r="S2948" s="37"/>
      <c r="T2948" s="37"/>
      <c r="U2948" s="37"/>
      <c r="V2948" s="37"/>
      <c r="W2948" s="37"/>
      <c r="X2948" s="37"/>
      <c r="Y2948" s="37"/>
      <c r="Z2948" s="37"/>
      <c r="AA2948" s="37"/>
      <c r="AB2948" s="37"/>
      <c r="AC2948" s="37"/>
      <c r="AD2948" s="37"/>
      <c r="AE2948" s="37"/>
      <c r="AF2948" s="37"/>
      <c r="AG2948" s="37"/>
      <c r="AH2948" s="37"/>
      <c r="AI2948" s="37"/>
      <c r="AJ2948" s="37"/>
      <c r="AK2948" s="37"/>
      <c r="AL2948" s="37"/>
      <c r="AM2948" s="37"/>
      <c r="AN2948" s="37"/>
      <c r="AO2948" s="37"/>
      <c r="AP2948" s="37"/>
      <c r="AQ2948" s="37"/>
      <c r="AR2948" s="37"/>
      <c r="AS2948" s="37"/>
      <c r="AT2948" s="37"/>
      <c r="AU2948" s="37"/>
      <c r="AV2948" s="37"/>
      <c r="AW2948" s="37"/>
      <c r="AX2948" s="37"/>
      <c r="AY2948" s="37"/>
      <c r="AZ2948" s="37"/>
      <c r="BA2948" s="37"/>
      <c r="BB2948" s="37"/>
      <c r="BC2948" s="37"/>
      <c r="BD2948" s="37"/>
      <c r="BE2948" s="37"/>
      <c r="BF2948" s="37"/>
      <c r="BG2948" s="37"/>
      <c r="BH2948" s="37"/>
      <c r="BI2948" s="37"/>
      <c r="BJ2948" s="37"/>
      <c r="BK2948" s="37"/>
      <c r="BL2948" s="37"/>
      <c r="BM2948" s="37"/>
    </row>
    <row r="2949" spans="1:65" s="40" customFormat="1" ht="23.25" x14ac:dyDescent="0.35">
      <c r="A2949" s="37"/>
      <c r="B2949" s="37"/>
      <c r="C2949" s="41"/>
      <c r="D2949" s="38"/>
      <c r="E2949" s="57"/>
      <c r="F2949" s="42"/>
      <c r="G2949" s="43"/>
      <c r="H2949" s="37"/>
      <c r="I2949" s="37"/>
      <c r="J2949" s="38"/>
      <c r="K2949" s="37"/>
      <c r="L2949" s="38"/>
      <c r="M2949" s="39"/>
      <c r="P2949" s="37"/>
      <c r="Q2949" s="37"/>
      <c r="R2949" s="37"/>
      <c r="S2949" s="37"/>
      <c r="T2949" s="37"/>
      <c r="U2949" s="37"/>
      <c r="V2949" s="37"/>
      <c r="W2949" s="37"/>
      <c r="X2949" s="37"/>
      <c r="Y2949" s="37"/>
      <c r="Z2949" s="37"/>
      <c r="AA2949" s="37"/>
      <c r="AB2949" s="37"/>
      <c r="AC2949" s="37"/>
      <c r="AD2949" s="37"/>
      <c r="AE2949" s="37"/>
      <c r="AF2949" s="37"/>
      <c r="AG2949" s="37"/>
      <c r="AH2949" s="37"/>
      <c r="AI2949" s="37"/>
      <c r="AJ2949" s="37"/>
      <c r="AK2949" s="37"/>
      <c r="AL2949" s="37"/>
      <c r="AM2949" s="37"/>
      <c r="AN2949" s="37"/>
      <c r="AO2949" s="37"/>
      <c r="AP2949" s="37"/>
      <c r="AQ2949" s="37"/>
      <c r="AR2949" s="37"/>
      <c r="AS2949" s="37"/>
      <c r="AT2949" s="37"/>
      <c r="AU2949" s="37"/>
      <c r="AV2949" s="37"/>
      <c r="AW2949" s="37"/>
      <c r="AX2949" s="37"/>
      <c r="AY2949" s="37"/>
      <c r="AZ2949" s="37"/>
      <c r="BA2949" s="37"/>
      <c r="BB2949" s="37"/>
      <c r="BC2949" s="37"/>
      <c r="BD2949" s="37"/>
      <c r="BE2949" s="37"/>
      <c r="BF2949" s="37"/>
      <c r="BG2949" s="37"/>
      <c r="BH2949" s="37"/>
      <c r="BI2949" s="37"/>
      <c r="BJ2949" s="37"/>
      <c r="BK2949" s="37"/>
      <c r="BL2949" s="37"/>
      <c r="BM2949" s="37"/>
    </row>
    <row r="2950" spans="1:65" s="40" customFormat="1" ht="23.25" x14ac:dyDescent="0.35">
      <c r="A2950" s="37"/>
      <c r="B2950" s="37"/>
      <c r="C2950" s="41"/>
      <c r="D2950" s="38"/>
      <c r="E2950" s="57"/>
      <c r="F2950" s="42"/>
      <c r="G2950" s="43"/>
      <c r="H2950" s="37"/>
      <c r="I2950" s="37"/>
      <c r="J2950" s="38"/>
      <c r="K2950" s="37"/>
      <c r="L2950" s="38"/>
      <c r="M2950" s="39"/>
      <c r="P2950" s="37"/>
      <c r="Q2950" s="37"/>
      <c r="R2950" s="37"/>
      <c r="S2950" s="37"/>
      <c r="T2950" s="37"/>
      <c r="U2950" s="37"/>
      <c r="V2950" s="37"/>
      <c r="W2950" s="37"/>
      <c r="X2950" s="37"/>
      <c r="Y2950" s="37"/>
      <c r="Z2950" s="37"/>
      <c r="AA2950" s="37"/>
      <c r="AB2950" s="37"/>
      <c r="AC2950" s="37"/>
      <c r="AD2950" s="37"/>
      <c r="AE2950" s="37"/>
      <c r="AF2950" s="37"/>
      <c r="AG2950" s="37"/>
      <c r="AH2950" s="37"/>
      <c r="AI2950" s="37"/>
      <c r="AJ2950" s="37"/>
      <c r="AK2950" s="37"/>
      <c r="AL2950" s="37"/>
      <c r="AM2950" s="37"/>
      <c r="AN2950" s="37"/>
      <c r="AO2950" s="37"/>
      <c r="AP2950" s="37"/>
      <c r="AQ2950" s="37"/>
      <c r="AR2950" s="37"/>
      <c r="AS2950" s="37"/>
      <c r="AT2950" s="37"/>
      <c r="AU2950" s="37"/>
      <c r="AV2950" s="37"/>
      <c r="AW2950" s="37"/>
      <c r="AX2950" s="37"/>
      <c r="AY2950" s="37"/>
      <c r="AZ2950" s="37"/>
      <c r="BA2950" s="37"/>
      <c r="BB2950" s="37"/>
      <c r="BC2950" s="37"/>
      <c r="BD2950" s="37"/>
      <c r="BE2950" s="37"/>
      <c r="BF2950" s="37"/>
      <c r="BG2950" s="37"/>
      <c r="BH2950" s="37"/>
      <c r="BI2950" s="37"/>
      <c r="BJ2950" s="37"/>
      <c r="BK2950" s="37"/>
      <c r="BL2950" s="37"/>
      <c r="BM2950" s="37"/>
    </row>
    <row r="2951" spans="1:65" s="40" customFormat="1" ht="23.25" x14ac:dyDescent="0.35">
      <c r="A2951" s="37"/>
      <c r="B2951" s="37"/>
      <c r="C2951" s="41"/>
      <c r="D2951" s="38"/>
      <c r="E2951" s="57"/>
      <c r="F2951" s="42"/>
      <c r="G2951" s="43"/>
      <c r="H2951" s="37"/>
      <c r="I2951" s="37"/>
      <c r="J2951" s="38"/>
      <c r="K2951" s="37"/>
      <c r="L2951" s="38"/>
      <c r="M2951" s="39"/>
      <c r="P2951" s="37"/>
      <c r="Q2951" s="37"/>
      <c r="R2951" s="37"/>
      <c r="S2951" s="37"/>
      <c r="T2951" s="37"/>
      <c r="U2951" s="37"/>
      <c r="V2951" s="37"/>
      <c r="W2951" s="37"/>
      <c r="X2951" s="37"/>
      <c r="Y2951" s="37"/>
      <c r="Z2951" s="37"/>
      <c r="AA2951" s="37"/>
      <c r="AB2951" s="37"/>
      <c r="AC2951" s="37"/>
      <c r="AD2951" s="37"/>
      <c r="AE2951" s="37"/>
      <c r="AF2951" s="37"/>
      <c r="AG2951" s="37"/>
      <c r="AH2951" s="37"/>
      <c r="AI2951" s="37"/>
      <c r="AJ2951" s="37"/>
      <c r="AK2951" s="37"/>
      <c r="AL2951" s="37"/>
      <c r="AM2951" s="37"/>
      <c r="AN2951" s="37"/>
      <c r="AO2951" s="37"/>
      <c r="AP2951" s="37"/>
      <c r="AQ2951" s="37"/>
      <c r="AR2951" s="37"/>
      <c r="AS2951" s="37"/>
      <c r="AT2951" s="37"/>
      <c r="AU2951" s="37"/>
      <c r="AV2951" s="37"/>
      <c r="AW2951" s="37"/>
      <c r="AX2951" s="37"/>
      <c r="AY2951" s="37"/>
      <c r="AZ2951" s="37"/>
      <c r="BA2951" s="37"/>
      <c r="BB2951" s="37"/>
      <c r="BC2951" s="37"/>
      <c r="BD2951" s="37"/>
      <c r="BE2951" s="37"/>
      <c r="BF2951" s="37"/>
      <c r="BG2951" s="37"/>
      <c r="BH2951" s="37"/>
      <c r="BI2951" s="37"/>
      <c r="BJ2951" s="37"/>
      <c r="BK2951" s="37"/>
      <c r="BL2951" s="37"/>
      <c r="BM2951" s="37"/>
    </row>
    <row r="2952" spans="1:65" s="40" customFormat="1" ht="23.25" x14ac:dyDescent="0.35">
      <c r="A2952" s="37"/>
      <c r="B2952" s="37"/>
      <c r="C2952" s="41"/>
      <c r="D2952" s="38"/>
      <c r="E2952" s="57"/>
      <c r="F2952" s="42"/>
      <c r="G2952" s="43"/>
      <c r="H2952" s="37"/>
      <c r="I2952" s="37"/>
      <c r="J2952" s="38"/>
      <c r="K2952" s="37"/>
      <c r="L2952" s="38"/>
      <c r="M2952" s="39"/>
      <c r="P2952" s="37"/>
      <c r="Q2952" s="37"/>
      <c r="R2952" s="37"/>
      <c r="S2952" s="37"/>
      <c r="T2952" s="37"/>
      <c r="U2952" s="37"/>
      <c r="V2952" s="37"/>
      <c r="W2952" s="37"/>
      <c r="X2952" s="37"/>
      <c r="Y2952" s="37"/>
      <c r="Z2952" s="37"/>
      <c r="AA2952" s="37"/>
      <c r="AB2952" s="37"/>
      <c r="AC2952" s="37"/>
      <c r="AD2952" s="37"/>
      <c r="AE2952" s="37"/>
      <c r="AF2952" s="37"/>
      <c r="AG2952" s="37"/>
      <c r="AH2952" s="37"/>
      <c r="AI2952" s="37"/>
      <c r="AJ2952" s="37"/>
      <c r="AK2952" s="37"/>
      <c r="AL2952" s="37"/>
      <c r="AM2952" s="37"/>
      <c r="AN2952" s="37"/>
      <c r="AO2952" s="37"/>
      <c r="AP2952" s="37"/>
      <c r="AQ2952" s="37"/>
      <c r="AR2952" s="37"/>
      <c r="AS2952" s="37"/>
      <c r="AT2952" s="37"/>
      <c r="AU2952" s="37"/>
      <c r="AV2952" s="37"/>
      <c r="AW2952" s="37"/>
      <c r="AX2952" s="37"/>
      <c r="AY2952" s="37"/>
      <c r="AZ2952" s="37"/>
      <c r="BA2952" s="37"/>
      <c r="BB2952" s="37"/>
      <c r="BC2952" s="37"/>
      <c r="BD2952" s="37"/>
      <c r="BE2952" s="37"/>
      <c r="BF2952" s="37"/>
      <c r="BG2952" s="37"/>
      <c r="BH2952" s="37"/>
      <c r="BI2952" s="37"/>
      <c r="BJ2952" s="37"/>
      <c r="BK2952" s="37"/>
      <c r="BL2952" s="37"/>
      <c r="BM2952" s="37"/>
    </row>
    <row r="2953" spans="1:65" s="40" customFormat="1" ht="23.25" x14ac:dyDescent="0.35">
      <c r="A2953" s="37"/>
      <c r="B2953" s="37"/>
      <c r="C2953" s="41"/>
      <c r="D2953" s="38"/>
      <c r="E2953" s="57"/>
      <c r="F2953" s="42"/>
      <c r="G2953" s="43"/>
      <c r="H2953" s="37"/>
      <c r="I2953" s="37"/>
      <c r="J2953" s="38"/>
      <c r="K2953" s="37"/>
      <c r="L2953" s="38"/>
      <c r="M2953" s="39"/>
      <c r="P2953" s="37"/>
      <c r="Q2953" s="37"/>
      <c r="R2953" s="37"/>
      <c r="S2953" s="37"/>
      <c r="T2953" s="37"/>
      <c r="U2953" s="37"/>
      <c r="V2953" s="37"/>
      <c r="W2953" s="37"/>
      <c r="X2953" s="37"/>
      <c r="Y2953" s="37"/>
      <c r="Z2953" s="37"/>
      <c r="AA2953" s="37"/>
      <c r="AB2953" s="37"/>
      <c r="AC2953" s="37"/>
      <c r="AD2953" s="37"/>
      <c r="AE2953" s="37"/>
      <c r="AF2953" s="37"/>
      <c r="AG2953" s="37"/>
      <c r="AH2953" s="37"/>
      <c r="AI2953" s="37"/>
      <c r="AJ2953" s="37"/>
      <c r="AK2953" s="37"/>
      <c r="AL2953" s="37"/>
      <c r="AM2953" s="37"/>
      <c r="AN2953" s="37"/>
      <c r="AO2953" s="37"/>
      <c r="AP2953" s="37"/>
      <c r="AQ2953" s="37"/>
      <c r="AR2953" s="37"/>
      <c r="AS2953" s="37"/>
      <c r="AT2953" s="37"/>
      <c r="AU2953" s="37"/>
      <c r="AV2953" s="37"/>
      <c r="AW2953" s="37"/>
      <c r="AX2953" s="37"/>
      <c r="AY2953" s="37"/>
      <c r="AZ2953" s="37"/>
      <c r="BA2953" s="37"/>
      <c r="BB2953" s="37"/>
      <c r="BC2953" s="37"/>
      <c r="BD2953" s="37"/>
      <c r="BE2953" s="37"/>
      <c r="BF2953" s="37"/>
      <c r="BG2953" s="37"/>
      <c r="BH2953" s="37"/>
      <c r="BI2953" s="37"/>
      <c r="BJ2953" s="37"/>
      <c r="BK2953" s="37"/>
      <c r="BL2953" s="37"/>
      <c r="BM2953" s="37"/>
    </row>
    <row r="2954" spans="1:65" s="40" customFormat="1" ht="23.25" x14ac:dyDescent="0.35">
      <c r="A2954" s="37"/>
      <c r="B2954" s="37"/>
      <c r="C2954" s="41"/>
      <c r="D2954" s="38"/>
      <c r="E2954" s="57"/>
      <c r="F2954" s="42"/>
      <c r="G2954" s="43"/>
      <c r="H2954" s="37"/>
      <c r="I2954" s="37"/>
      <c r="J2954" s="38"/>
      <c r="K2954" s="37"/>
      <c r="L2954" s="38"/>
      <c r="M2954" s="39"/>
      <c r="P2954" s="37"/>
      <c r="Q2954" s="37"/>
      <c r="R2954" s="37"/>
      <c r="S2954" s="37"/>
      <c r="T2954" s="37"/>
      <c r="U2954" s="37"/>
      <c r="V2954" s="37"/>
      <c r="W2954" s="37"/>
      <c r="X2954" s="37"/>
      <c r="Y2954" s="37"/>
      <c r="Z2954" s="37"/>
      <c r="AA2954" s="37"/>
      <c r="AB2954" s="37"/>
      <c r="AC2954" s="37"/>
      <c r="AD2954" s="37"/>
      <c r="AE2954" s="37"/>
      <c r="AF2954" s="37"/>
      <c r="AG2954" s="37"/>
      <c r="AH2954" s="37"/>
      <c r="AI2954" s="37"/>
      <c r="AJ2954" s="37"/>
      <c r="AK2954" s="37"/>
      <c r="AL2954" s="37"/>
      <c r="AM2954" s="37"/>
      <c r="AN2954" s="37"/>
      <c r="AO2954" s="37"/>
      <c r="AP2954" s="37"/>
      <c r="AQ2954" s="37"/>
      <c r="AR2954" s="37"/>
      <c r="AS2954" s="37"/>
      <c r="AT2954" s="37"/>
      <c r="AU2954" s="37"/>
      <c r="AV2954" s="37"/>
      <c r="AW2954" s="37"/>
      <c r="AX2954" s="37"/>
      <c r="AY2954" s="37"/>
      <c r="AZ2954" s="37"/>
      <c r="BA2954" s="37"/>
      <c r="BB2954" s="37"/>
      <c r="BC2954" s="37"/>
      <c r="BD2954" s="37"/>
      <c r="BE2954" s="37"/>
      <c r="BF2954" s="37"/>
      <c r="BG2954" s="37"/>
      <c r="BH2954" s="37"/>
      <c r="BI2954" s="37"/>
      <c r="BJ2954" s="37"/>
      <c r="BK2954" s="37"/>
      <c r="BL2954" s="37"/>
      <c r="BM2954" s="37"/>
    </row>
    <row r="2955" spans="1:65" s="40" customFormat="1" ht="23.25" x14ac:dyDescent="0.35">
      <c r="A2955" s="37"/>
      <c r="B2955" s="37"/>
      <c r="C2955" s="41"/>
      <c r="D2955" s="38"/>
      <c r="E2955" s="57"/>
      <c r="F2955" s="42"/>
      <c r="G2955" s="43"/>
      <c r="H2955" s="37"/>
      <c r="I2955" s="37"/>
      <c r="J2955" s="38"/>
      <c r="K2955" s="37"/>
      <c r="L2955" s="38"/>
      <c r="M2955" s="39"/>
      <c r="P2955" s="37"/>
      <c r="Q2955" s="37"/>
      <c r="R2955" s="37"/>
      <c r="S2955" s="37"/>
      <c r="T2955" s="37"/>
      <c r="U2955" s="37"/>
      <c r="V2955" s="37"/>
      <c r="W2955" s="37"/>
      <c r="X2955" s="37"/>
      <c r="Y2955" s="37"/>
      <c r="Z2955" s="37"/>
      <c r="AA2955" s="37"/>
      <c r="AB2955" s="37"/>
      <c r="AC2955" s="37"/>
      <c r="AD2955" s="37"/>
      <c r="AE2955" s="37"/>
      <c r="AF2955" s="37"/>
      <c r="AG2955" s="37"/>
      <c r="AH2955" s="37"/>
      <c r="AI2955" s="37"/>
      <c r="AJ2955" s="37"/>
      <c r="AK2955" s="37"/>
      <c r="AL2955" s="37"/>
      <c r="AM2955" s="37"/>
      <c r="AN2955" s="37"/>
      <c r="AO2955" s="37"/>
      <c r="AP2955" s="37"/>
      <c r="AQ2955" s="37"/>
      <c r="AR2955" s="37"/>
      <c r="AS2955" s="37"/>
      <c r="AT2955" s="37"/>
      <c r="AU2955" s="37"/>
      <c r="AV2955" s="37"/>
      <c r="AW2955" s="37"/>
      <c r="AX2955" s="37"/>
      <c r="AY2955" s="37"/>
      <c r="AZ2955" s="37"/>
      <c r="BA2955" s="37"/>
      <c r="BB2955" s="37"/>
      <c r="BC2955" s="37"/>
      <c r="BD2955" s="37"/>
      <c r="BE2955" s="37"/>
      <c r="BF2955" s="37"/>
      <c r="BG2955" s="37"/>
      <c r="BH2955" s="37"/>
      <c r="BI2955" s="37"/>
      <c r="BJ2955" s="37"/>
      <c r="BK2955" s="37"/>
      <c r="BL2955" s="37"/>
      <c r="BM2955" s="37"/>
    </row>
    <row r="2956" spans="1:65" s="40" customFormat="1" ht="23.25" x14ac:dyDescent="0.35">
      <c r="A2956" s="37"/>
      <c r="B2956" s="37"/>
      <c r="C2956" s="41"/>
      <c r="D2956" s="38"/>
      <c r="E2956" s="57"/>
      <c r="F2956" s="42"/>
      <c r="G2956" s="43"/>
      <c r="H2956" s="37"/>
      <c r="I2956" s="37"/>
      <c r="J2956" s="38"/>
      <c r="K2956" s="37"/>
      <c r="L2956" s="38"/>
      <c r="M2956" s="39"/>
      <c r="P2956" s="37"/>
      <c r="Q2956" s="37"/>
      <c r="R2956" s="37"/>
      <c r="S2956" s="37"/>
      <c r="T2956" s="37"/>
      <c r="U2956" s="37"/>
      <c r="V2956" s="37"/>
      <c r="W2956" s="37"/>
      <c r="X2956" s="37"/>
      <c r="Y2956" s="37"/>
      <c r="Z2956" s="37"/>
      <c r="AA2956" s="37"/>
      <c r="AB2956" s="37"/>
      <c r="AC2956" s="37"/>
      <c r="AD2956" s="37"/>
      <c r="AE2956" s="37"/>
      <c r="AF2956" s="37"/>
      <c r="AG2956" s="37"/>
      <c r="AH2956" s="37"/>
      <c r="AI2956" s="37"/>
      <c r="AJ2956" s="37"/>
      <c r="AK2956" s="37"/>
      <c r="AL2956" s="37"/>
      <c r="AM2956" s="37"/>
      <c r="AN2956" s="37"/>
      <c r="AO2956" s="37"/>
      <c r="AP2956" s="37"/>
      <c r="AQ2956" s="37"/>
      <c r="AR2956" s="37"/>
      <c r="AS2956" s="37"/>
      <c r="AT2956" s="37"/>
      <c r="AU2956" s="37"/>
      <c r="AV2956" s="37"/>
      <c r="AW2956" s="37"/>
      <c r="AX2956" s="37"/>
      <c r="AY2956" s="37"/>
      <c r="AZ2956" s="37"/>
      <c r="BA2956" s="37"/>
      <c r="BB2956" s="37"/>
      <c r="BC2956" s="37"/>
      <c r="BD2956" s="37"/>
      <c r="BE2956" s="37"/>
      <c r="BF2956" s="37"/>
      <c r="BG2956" s="37"/>
      <c r="BH2956" s="37"/>
      <c r="BI2956" s="37"/>
      <c r="BJ2956" s="37"/>
      <c r="BK2956" s="37"/>
      <c r="BL2956" s="37"/>
      <c r="BM2956" s="37"/>
    </row>
    <row r="2957" spans="1:65" s="40" customFormat="1" ht="23.25" x14ac:dyDescent="0.35">
      <c r="A2957" s="37"/>
      <c r="B2957" s="37"/>
      <c r="C2957" s="41"/>
      <c r="D2957" s="38"/>
      <c r="E2957" s="57"/>
      <c r="F2957" s="42"/>
      <c r="G2957" s="43"/>
      <c r="H2957" s="37"/>
      <c r="I2957" s="37"/>
      <c r="J2957" s="38"/>
      <c r="K2957" s="37"/>
      <c r="L2957" s="38"/>
      <c r="M2957" s="39"/>
      <c r="P2957" s="37"/>
      <c r="Q2957" s="37"/>
      <c r="R2957" s="37"/>
      <c r="S2957" s="37"/>
      <c r="T2957" s="37"/>
      <c r="U2957" s="37"/>
      <c r="V2957" s="37"/>
      <c r="W2957" s="37"/>
      <c r="X2957" s="37"/>
      <c r="Y2957" s="37"/>
      <c r="Z2957" s="37"/>
      <c r="AA2957" s="37"/>
      <c r="AB2957" s="37"/>
      <c r="AC2957" s="37"/>
      <c r="AD2957" s="37"/>
      <c r="AE2957" s="37"/>
      <c r="AF2957" s="37"/>
      <c r="AG2957" s="37"/>
      <c r="AH2957" s="37"/>
      <c r="AI2957" s="37"/>
      <c r="AJ2957" s="37"/>
      <c r="AK2957" s="37"/>
      <c r="AL2957" s="37"/>
      <c r="AM2957" s="37"/>
      <c r="AN2957" s="37"/>
      <c r="AO2957" s="37"/>
      <c r="AP2957" s="37"/>
      <c r="AQ2957" s="37"/>
      <c r="AR2957" s="37"/>
      <c r="AS2957" s="37"/>
      <c r="AT2957" s="37"/>
      <c r="AU2957" s="37"/>
      <c r="AV2957" s="37"/>
      <c r="AW2957" s="37"/>
      <c r="AX2957" s="37"/>
      <c r="AY2957" s="37"/>
      <c r="AZ2957" s="37"/>
      <c r="BA2957" s="37"/>
      <c r="BB2957" s="37"/>
      <c r="BC2957" s="37"/>
      <c r="BD2957" s="37"/>
      <c r="BE2957" s="37"/>
      <c r="BF2957" s="37"/>
      <c r="BG2957" s="37"/>
      <c r="BH2957" s="37"/>
      <c r="BI2957" s="37"/>
      <c r="BJ2957" s="37"/>
      <c r="BK2957" s="37"/>
      <c r="BL2957" s="37"/>
      <c r="BM2957" s="37"/>
    </row>
    <row r="2958" spans="1:65" s="40" customFormat="1" ht="23.25" x14ac:dyDescent="0.35">
      <c r="A2958" s="37"/>
      <c r="B2958" s="37"/>
      <c r="C2958" s="41"/>
      <c r="D2958" s="38"/>
      <c r="E2958" s="57"/>
      <c r="F2958" s="42"/>
      <c r="G2958" s="43"/>
      <c r="H2958" s="37"/>
      <c r="I2958" s="37"/>
      <c r="J2958" s="38"/>
      <c r="K2958" s="37"/>
      <c r="L2958" s="38"/>
      <c r="M2958" s="39"/>
      <c r="P2958" s="37"/>
      <c r="Q2958" s="37"/>
      <c r="R2958" s="37"/>
      <c r="S2958" s="37"/>
      <c r="T2958" s="37"/>
      <c r="U2958" s="37"/>
      <c r="V2958" s="37"/>
      <c r="W2958" s="37"/>
      <c r="X2958" s="37"/>
      <c r="Y2958" s="37"/>
      <c r="Z2958" s="37"/>
      <c r="AA2958" s="37"/>
      <c r="AB2958" s="37"/>
      <c r="AC2958" s="37"/>
      <c r="AD2958" s="37"/>
      <c r="AE2958" s="37"/>
      <c r="AF2958" s="37"/>
      <c r="AG2958" s="37"/>
      <c r="AH2958" s="37"/>
      <c r="AI2958" s="37"/>
      <c r="AJ2958" s="37"/>
      <c r="AK2958" s="37"/>
      <c r="AL2958" s="37"/>
      <c r="AM2958" s="37"/>
      <c r="AN2958" s="37"/>
      <c r="AO2958" s="37"/>
      <c r="AP2958" s="37"/>
      <c r="AQ2958" s="37"/>
      <c r="AR2958" s="37"/>
      <c r="AS2958" s="37"/>
      <c r="AT2958" s="37"/>
      <c r="AU2958" s="37"/>
      <c r="AV2958" s="37"/>
      <c r="AW2958" s="37"/>
      <c r="AX2958" s="37"/>
      <c r="AY2958" s="37"/>
      <c r="AZ2958" s="37"/>
      <c r="BA2958" s="37"/>
      <c r="BB2958" s="37"/>
      <c r="BC2958" s="37"/>
      <c r="BD2958" s="37"/>
      <c r="BE2958" s="37"/>
      <c r="BF2958" s="37"/>
      <c r="BG2958" s="37"/>
      <c r="BH2958" s="37"/>
      <c r="BI2958" s="37"/>
      <c r="BJ2958" s="37"/>
      <c r="BK2958" s="37"/>
      <c r="BL2958" s="37"/>
      <c r="BM2958" s="37"/>
    </row>
    <row r="2959" spans="1:65" s="40" customFormat="1" ht="23.25" x14ac:dyDescent="0.35">
      <c r="A2959" s="37"/>
      <c r="B2959" s="37"/>
      <c r="C2959" s="41"/>
      <c r="D2959" s="38"/>
      <c r="E2959" s="57"/>
      <c r="F2959" s="42"/>
      <c r="G2959" s="43"/>
      <c r="H2959" s="37"/>
      <c r="I2959" s="37"/>
      <c r="J2959" s="38"/>
      <c r="K2959" s="37"/>
      <c r="L2959" s="38"/>
      <c r="M2959" s="39"/>
      <c r="P2959" s="37"/>
      <c r="Q2959" s="37"/>
      <c r="R2959" s="37"/>
      <c r="S2959" s="37"/>
      <c r="T2959" s="37"/>
      <c r="U2959" s="37"/>
      <c r="V2959" s="37"/>
      <c r="W2959" s="37"/>
      <c r="X2959" s="37"/>
      <c r="Y2959" s="37"/>
      <c r="Z2959" s="37"/>
      <c r="AA2959" s="37"/>
      <c r="AB2959" s="37"/>
      <c r="AC2959" s="37"/>
      <c r="AD2959" s="37"/>
      <c r="AE2959" s="37"/>
      <c r="AF2959" s="37"/>
      <c r="AG2959" s="37"/>
      <c r="AH2959" s="37"/>
      <c r="AI2959" s="37"/>
      <c r="AJ2959" s="37"/>
      <c r="AK2959" s="37"/>
      <c r="AL2959" s="37"/>
      <c r="AM2959" s="37"/>
      <c r="AN2959" s="37"/>
      <c r="AO2959" s="37"/>
      <c r="AP2959" s="37"/>
      <c r="AQ2959" s="37"/>
      <c r="AR2959" s="37"/>
      <c r="AS2959" s="37"/>
      <c r="AT2959" s="37"/>
      <c r="AU2959" s="37"/>
      <c r="AV2959" s="37"/>
      <c r="AW2959" s="37"/>
      <c r="AX2959" s="37"/>
      <c r="AY2959" s="37"/>
      <c r="AZ2959" s="37"/>
      <c r="BA2959" s="37"/>
      <c r="BB2959" s="37"/>
      <c r="BC2959" s="37"/>
      <c r="BD2959" s="37"/>
      <c r="BE2959" s="37"/>
      <c r="BF2959" s="37"/>
      <c r="BG2959" s="37"/>
      <c r="BH2959" s="37"/>
      <c r="BI2959" s="37"/>
      <c r="BJ2959" s="37"/>
      <c r="BK2959" s="37"/>
      <c r="BL2959" s="37"/>
      <c r="BM2959" s="37"/>
    </row>
    <row r="2960" spans="1:65" s="40" customFormat="1" ht="23.25" x14ac:dyDescent="0.35">
      <c r="A2960" s="37"/>
      <c r="B2960" s="37"/>
      <c r="C2960" s="41"/>
      <c r="D2960" s="38"/>
      <c r="E2960" s="57"/>
      <c r="F2960" s="42"/>
      <c r="G2960" s="43"/>
      <c r="H2960" s="37"/>
      <c r="I2960" s="37"/>
      <c r="J2960" s="38"/>
      <c r="K2960" s="37"/>
      <c r="L2960" s="38"/>
      <c r="M2960" s="39"/>
      <c r="P2960" s="37"/>
      <c r="Q2960" s="37"/>
      <c r="R2960" s="37"/>
      <c r="S2960" s="37"/>
      <c r="T2960" s="37"/>
      <c r="U2960" s="37"/>
      <c r="V2960" s="37"/>
      <c r="W2960" s="37"/>
      <c r="X2960" s="37"/>
      <c r="Y2960" s="37"/>
      <c r="Z2960" s="37"/>
      <c r="AA2960" s="37"/>
      <c r="AB2960" s="37"/>
      <c r="AC2960" s="37"/>
      <c r="AD2960" s="37"/>
      <c r="AE2960" s="37"/>
      <c r="AF2960" s="37"/>
      <c r="AG2960" s="37"/>
      <c r="AH2960" s="37"/>
      <c r="AI2960" s="37"/>
      <c r="AJ2960" s="37"/>
      <c r="AK2960" s="37"/>
      <c r="AL2960" s="37"/>
      <c r="AM2960" s="37"/>
      <c r="AN2960" s="37"/>
      <c r="AO2960" s="37"/>
      <c r="AP2960" s="37"/>
      <c r="AQ2960" s="37"/>
      <c r="AR2960" s="37"/>
      <c r="AS2960" s="37"/>
      <c r="AT2960" s="37"/>
      <c r="AU2960" s="37"/>
      <c r="AV2960" s="37"/>
      <c r="AW2960" s="37"/>
      <c r="AX2960" s="37"/>
      <c r="AY2960" s="37"/>
      <c r="AZ2960" s="37"/>
      <c r="BA2960" s="37"/>
      <c r="BB2960" s="37"/>
      <c r="BC2960" s="37"/>
      <c r="BD2960" s="37"/>
      <c r="BE2960" s="37"/>
      <c r="BF2960" s="37"/>
      <c r="BG2960" s="37"/>
      <c r="BH2960" s="37"/>
      <c r="BI2960" s="37"/>
      <c r="BJ2960" s="37"/>
      <c r="BK2960" s="37"/>
      <c r="BL2960" s="37"/>
      <c r="BM2960" s="37"/>
    </row>
    <row r="2961" spans="1:65" s="40" customFormat="1" ht="23.25" x14ac:dyDescent="0.35">
      <c r="A2961" s="37"/>
      <c r="B2961" s="37"/>
      <c r="C2961" s="41"/>
      <c r="D2961" s="38"/>
      <c r="E2961" s="57"/>
      <c r="F2961" s="42"/>
      <c r="G2961" s="43"/>
      <c r="H2961" s="37"/>
      <c r="I2961" s="37"/>
      <c r="J2961" s="38"/>
      <c r="K2961" s="37"/>
      <c r="L2961" s="38"/>
      <c r="M2961" s="39"/>
      <c r="P2961" s="37"/>
      <c r="Q2961" s="37"/>
      <c r="R2961" s="37"/>
      <c r="S2961" s="37"/>
      <c r="T2961" s="37"/>
      <c r="U2961" s="37"/>
      <c r="V2961" s="37"/>
      <c r="W2961" s="37"/>
      <c r="X2961" s="37"/>
      <c r="Y2961" s="37"/>
      <c r="Z2961" s="37"/>
      <c r="AA2961" s="37"/>
      <c r="AB2961" s="37"/>
      <c r="AC2961" s="37"/>
      <c r="AD2961" s="37"/>
      <c r="AE2961" s="37"/>
      <c r="AF2961" s="37"/>
      <c r="AG2961" s="37"/>
      <c r="AH2961" s="37"/>
      <c r="AI2961" s="37"/>
      <c r="AJ2961" s="37"/>
      <c r="AK2961" s="37"/>
      <c r="AL2961" s="37"/>
      <c r="AM2961" s="37"/>
      <c r="AN2961" s="37"/>
      <c r="AO2961" s="37"/>
      <c r="AP2961" s="37"/>
      <c r="AQ2961" s="37"/>
      <c r="AR2961" s="37"/>
      <c r="AS2961" s="37"/>
      <c r="AT2961" s="37"/>
      <c r="AU2961" s="37"/>
      <c r="AV2961" s="37"/>
      <c r="AW2961" s="37"/>
      <c r="AX2961" s="37"/>
      <c r="AY2961" s="37"/>
      <c r="AZ2961" s="37"/>
      <c r="BA2961" s="37"/>
      <c r="BB2961" s="37"/>
      <c r="BC2961" s="37"/>
      <c r="BD2961" s="37"/>
      <c r="BE2961" s="37"/>
      <c r="BF2961" s="37"/>
      <c r="BG2961" s="37"/>
      <c r="BH2961" s="37"/>
      <c r="BI2961" s="37"/>
      <c r="BJ2961" s="37"/>
      <c r="BK2961" s="37"/>
      <c r="BL2961" s="37"/>
      <c r="BM2961" s="37"/>
    </row>
    <row r="2962" spans="1:65" s="40" customFormat="1" ht="23.25" x14ac:dyDescent="0.35">
      <c r="A2962" s="37"/>
      <c r="B2962" s="37"/>
      <c r="C2962" s="41"/>
      <c r="D2962" s="38"/>
      <c r="E2962" s="57"/>
      <c r="F2962" s="42"/>
      <c r="G2962" s="43"/>
      <c r="H2962" s="37"/>
      <c r="I2962" s="37"/>
      <c r="J2962" s="38"/>
      <c r="K2962" s="37"/>
      <c r="L2962" s="38"/>
      <c r="M2962" s="39"/>
      <c r="P2962" s="37"/>
      <c r="Q2962" s="37"/>
      <c r="R2962" s="37"/>
      <c r="S2962" s="37"/>
      <c r="T2962" s="37"/>
      <c r="U2962" s="37"/>
      <c r="V2962" s="37"/>
      <c r="W2962" s="37"/>
      <c r="X2962" s="37"/>
      <c r="Y2962" s="37"/>
      <c r="Z2962" s="37"/>
      <c r="AA2962" s="37"/>
      <c r="AB2962" s="37"/>
      <c r="AC2962" s="37"/>
      <c r="AD2962" s="37"/>
      <c r="AE2962" s="37"/>
      <c r="AF2962" s="37"/>
      <c r="AG2962" s="37"/>
      <c r="AH2962" s="37"/>
      <c r="AI2962" s="37"/>
      <c r="AJ2962" s="37"/>
      <c r="AK2962" s="37"/>
      <c r="AL2962" s="37"/>
      <c r="AM2962" s="37"/>
      <c r="AN2962" s="37"/>
      <c r="AO2962" s="37"/>
      <c r="AP2962" s="37"/>
      <c r="AQ2962" s="37"/>
      <c r="AR2962" s="37"/>
      <c r="AS2962" s="37"/>
      <c r="AT2962" s="37"/>
      <c r="AU2962" s="37"/>
      <c r="AV2962" s="37"/>
      <c r="AW2962" s="37"/>
      <c r="AX2962" s="37"/>
      <c r="AY2962" s="37"/>
      <c r="AZ2962" s="37"/>
      <c r="BA2962" s="37"/>
      <c r="BB2962" s="37"/>
      <c r="BC2962" s="37"/>
      <c r="BD2962" s="37"/>
      <c r="BE2962" s="37"/>
      <c r="BF2962" s="37"/>
      <c r="BG2962" s="37"/>
      <c r="BH2962" s="37"/>
      <c r="BI2962" s="37"/>
      <c r="BJ2962" s="37"/>
      <c r="BK2962" s="37"/>
      <c r="BL2962" s="37"/>
      <c r="BM2962" s="37"/>
    </row>
    <row r="2963" spans="1:65" s="40" customFormat="1" ht="23.25" x14ac:dyDescent="0.35">
      <c r="A2963" s="37"/>
      <c r="B2963" s="37"/>
      <c r="C2963" s="41"/>
      <c r="D2963" s="38"/>
      <c r="E2963" s="57"/>
      <c r="F2963" s="42"/>
      <c r="G2963" s="43"/>
      <c r="H2963" s="37"/>
      <c r="I2963" s="37"/>
      <c r="J2963" s="38"/>
      <c r="K2963" s="37"/>
      <c r="L2963" s="38"/>
      <c r="M2963" s="39"/>
      <c r="P2963" s="37"/>
      <c r="Q2963" s="37"/>
      <c r="R2963" s="37"/>
      <c r="S2963" s="37"/>
      <c r="T2963" s="37"/>
      <c r="U2963" s="37"/>
      <c r="V2963" s="37"/>
      <c r="W2963" s="37"/>
      <c r="X2963" s="37"/>
      <c r="Y2963" s="37"/>
      <c r="Z2963" s="37"/>
      <c r="AA2963" s="37"/>
      <c r="AB2963" s="37"/>
      <c r="AC2963" s="37"/>
      <c r="AD2963" s="37"/>
      <c r="AE2963" s="37"/>
      <c r="AF2963" s="37"/>
      <c r="AG2963" s="37"/>
      <c r="AH2963" s="37"/>
      <c r="AI2963" s="37"/>
      <c r="AJ2963" s="37"/>
      <c r="AK2963" s="37"/>
      <c r="AL2963" s="37"/>
      <c r="AM2963" s="37"/>
      <c r="AN2963" s="37"/>
      <c r="AO2963" s="37"/>
      <c r="AP2963" s="37"/>
      <c r="AQ2963" s="37"/>
      <c r="AR2963" s="37"/>
      <c r="AS2963" s="37"/>
      <c r="AT2963" s="37"/>
      <c r="AU2963" s="37"/>
      <c r="AV2963" s="37"/>
      <c r="AW2963" s="37"/>
      <c r="AX2963" s="37"/>
      <c r="AY2963" s="37"/>
      <c r="AZ2963" s="37"/>
      <c r="BA2963" s="37"/>
      <c r="BB2963" s="37"/>
      <c r="BC2963" s="37"/>
      <c r="BD2963" s="37"/>
      <c r="BE2963" s="37"/>
      <c r="BF2963" s="37"/>
      <c r="BG2963" s="37"/>
      <c r="BH2963" s="37"/>
      <c r="BI2963" s="37"/>
      <c r="BJ2963" s="37"/>
      <c r="BK2963" s="37"/>
      <c r="BL2963" s="37"/>
      <c r="BM2963" s="37"/>
    </row>
    <row r="2964" spans="1:65" s="40" customFormat="1" ht="23.25" x14ac:dyDescent="0.35">
      <c r="A2964" s="37"/>
      <c r="B2964" s="37"/>
      <c r="C2964" s="41"/>
      <c r="D2964" s="38"/>
      <c r="E2964" s="57"/>
      <c r="F2964" s="42"/>
      <c r="G2964" s="43"/>
      <c r="H2964" s="37"/>
      <c r="I2964" s="37"/>
      <c r="J2964" s="38"/>
      <c r="K2964" s="37"/>
      <c r="L2964" s="38"/>
      <c r="M2964" s="39"/>
      <c r="P2964" s="37"/>
      <c r="Q2964" s="37"/>
      <c r="R2964" s="37"/>
      <c r="S2964" s="37"/>
      <c r="T2964" s="37"/>
      <c r="U2964" s="37"/>
      <c r="V2964" s="37"/>
      <c r="W2964" s="37"/>
      <c r="X2964" s="37"/>
      <c r="Y2964" s="37"/>
      <c r="Z2964" s="37"/>
      <c r="AA2964" s="37"/>
      <c r="AB2964" s="37"/>
      <c r="AC2964" s="37"/>
      <c r="AD2964" s="37"/>
      <c r="AE2964" s="37"/>
      <c r="AF2964" s="37"/>
      <c r="AG2964" s="37"/>
      <c r="AH2964" s="37"/>
      <c r="AI2964" s="37"/>
      <c r="AJ2964" s="37"/>
      <c r="AK2964" s="37"/>
      <c r="AL2964" s="37"/>
      <c r="AM2964" s="37"/>
      <c r="AN2964" s="37"/>
      <c r="AO2964" s="37"/>
      <c r="AP2964" s="37"/>
      <c r="AQ2964" s="37"/>
      <c r="AR2964" s="37"/>
      <c r="AS2964" s="37"/>
      <c r="AT2964" s="37"/>
      <c r="AU2964" s="37"/>
      <c r="AV2964" s="37"/>
      <c r="AW2964" s="37"/>
      <c r="AX2964" s="37"/>
      <c r="AY2964" s="37"/>
      <c r="AZ2964" s="37"/>
      <c r="BA2964" s="37"/>
      <c r="BB2964" s="37"/>
      <c r="BC2964" s="37"/>
      <c r="BD2964" s="37"/>
      <c r="BE2964" s="37"/>
      <c r="BF2964" s="37"/>
      <c r="BG2964" s="37"/>
      <c r="BH2964" s="37"/>
      <c r="BI2964" s="37"/>
      <c r="BJ2964" s="37"/>
      <c r="BK2964" s="37"/>
      <c r="BL2964" s="37"/>
      <c r="BM2964" s="37"/>
    </row>
    <row r="2965" spans="1:65" s="40" customFormat="1" ht="23.25" x14ac:dyDescent="0.35">
      <c r="A2965" s="37"/>
      <c r="B2965" s="37"/>
      <c r="C2965" s="41"/>
      <c r="D2965" s="38"/>
      <c r="E2965" s="57"/>
      <c r="F2965" s="42"/>
      <c r="G2965" s="43"/>
      <c r="H2965" s="37"/>
      <c r="I2965" s="37"/>
      <c r="J2965" s="38"/>
      <c r="K2965" s="37"/>
      <c r="L2965" s="38"/>
      <c r="M2965" s="39"/>
      <c r="P2965" s="37"/>
      <c r="Q2965" s="37"/>
      <c r="R2965" s="37"/>
      <c r="S2965" s="37"/>
      <c r="T2965" s="37"/>
      <c r="U2965" s="37"/>
      <c r="V2965" s="37"/>
      <c r="W2965" s="37"/>
      <c r="X2965" s="37"/>
      <c r="Y2965" s="37"/>
      <c r="Z2965" s="37"/>
      <c r="AA2965" s="37"/>
      <c r="AB2965" s="37"/>
      <c r="AC2965" s="37"/>
      <c r="AD2965" s="37"/>
      <c r="AE2965" s="37"/>
      <c r="AF2965" s="37"/>
      <c r="AG2965" s="37"/>
      <c r="AH2965" s="37"/>
      <c r="AI2965" s="37"/>
      <c r="AJ2965" s="37"/>
      <c r="AK2965" s="37"/>
      <c r="AL2965" s="37"/>
      <c r="AM2965" s="37"/>
      <c r="AN2965" s="37"/>
      <c r="AO2965" s="37"/>
      <c r="AP2965" s="37"/>
      <c r="AQ2965" s="37"/>
      <c r="AR2965" s="37"/>
      <c r="AS2965" s="37"/>
      <c r="AT2965" s="37"/>
      <c r="AU2965" s="37"/>
      <c r="AV2965" s="37"/>
      <c r="AW2965" s="37"/>
      <c r="AX2965" s="37"/>
      <c r="AY2965" s="37"/>
      <c r="AZ2965" s="37"/>
      <c r="BA2965" s="37"/>
      <c r="BB2965" s="37"/>
      <c r="BC2965" s="37"/>
      <c r="BD2965" s="37"/>
      <c r="BE2965" s="37"/>
      <c r="BF2965" s="37"/>
      <c r="BG2965" s="37"/>
      <c r="BH2965" s="37"/>
      <c r="BI2965" s="37"/>
      <c r="BJ2965" s="37"/>
      <c r="BK2965" s="37"/>
      <c r="BL2965" s="37"/>
      <c r="BM2965" s="37"/>
    </row>
    <row r="2966" spans="1:65" s="40" customFormat="1" ht="23.25" x14ac:dyDescent="0.35">
      <c r="A2966" s="37"/>
      <c r="B2966" s="37"/>
      <c r="C2966" s="41"/>
      <c r="D2966" s="38"/>
      <c r="E2966" s="57"/>
      <c r="F2966" s="42"/>
      <c r="G2966" s="43"/>
      <c r="H2966" s="37"/>
      <c r="I2966" s="37"/>
      <c r="J2966" s="38"/>
      <c r="K2966" s="37"/>
      <c r="L2966" s="38"/>
      <c r="M2966" s="39"/>
      <c r="P2966" s="37"/>
      <c r="Q2966" s="37"/>
      <c r="R2966" s="37"/>
      <c r="S2966" s="37"/>
      <c r="T2966" s="37"/>
      <c r="U2966" s="37"/>
      <c r="V2966" s="37"/>
      <c r="W2966" s="37"/>
      <c r="X2966" s="37"/>
      <c r="Y2966" s="37"/>
      <c r="Z2966" s="37"/>
      <c r="AA2966" s="37"/>
      <c r="AB2966" s="37"/>
      <c r="AC2966" s="37"/>
      <c r="AD2966" s="37"/>
      <c r="AE2966" s="37"/>
      <c r="AF2966" s="37"/>
      <c r="AG2966" s="37"/>
      <c r="AH2966" s="37"/>
      <c r="AI2966" s="37"/>
      <c r="AJ2966" s="37"/>
      <c r="AK2966" s="37"/>
      <c r="AL2966" s="37"/>
      <c r="AM2966" s="37"/>
      <c r="AN2966" s="37"/>
      <c r="AO2966" s="37"/>
      <c r="AP2966" s="37"/>
      <c r="AQ2966" s="37"/>
      <c r="AR2966" s="37"/>
      <c r="AS2966" s="37"/>
      <c r="AT2966" s="37"/>
      <c r="AU2966" s="37"/>
      <c r="AV2966" s="37"/>
      <c r="AW2966" s="37"/>
      <c r="AX2966" s="37"/>
      <c r="AY2966" s="37"/>
      <c r="AZ2966" s="37"/>
      <c r="BA2966" s="37"/>
      <c r="BB2966" s="37"/>
      <c r="BC2966" s="37"/>
      <c r="BD2966" s="37"/>
      <c r="BE2966" s="37"/>
      <c r="BF2966" s="37"/>
      <c r="BG2966" s="37"/>
      <c r="BH2966" s="37"/>
      <c r="BI2966" s="37"/>
      <c r="BJ2966" s="37"/>
      <c r="BK2966" s="37"/>
      <c r="BL2966" s="37"/>
      <c r="BM2966" s="37"/>
    </row>
    <row r="2967" spans="1:65" s="40" customFormat="1" ht="23.25" x14ac:dyDescent="0.35">
      <c r="A2967" s="37"/>
      <c r="B2967" s="37"/>
      <c r="C2967" s="41"/>
      <c r="D2967" s="38"/>
      <c r="E2967" s="57"/>
      <c r="F2967" s="42"/>
      <c r="G2967" s="43"/>
      <c r="H2967" s="37"/>
      <c r="I2967" s="37"/>
      <c r="J2967" s="38"/>
      <c r="K2967" s="37"/>
      <c r="L2967" s="38"/>
      <c r="M2967" s="39"/>
      <c r="P2967" s="37"/>
      <c r="Q2967" s="37"/>
      <c r="R2967" s="37"/>
      <c r="S2967" s="37"/>
      <c r="T2967" s="37"/>
      <c r="U2967" s="37"/>
      <c r="V2967" s="37"/>
      <c r="W2967" s="37"/>
      <c r="X2967" s="37"/>
      <c r="Y2967" s="37"/>
      <c r="Z2967" s="37"/>
      <c r="AA2967" s="37"/>
      <c r="AB2967" s="37"/>
      <c r="AC2967" s="37"/>
      <c r="AD2967" s="37"/>
      <c r="AE2967" s="37"/>
      <c r="AF2967" s="37"/>
      <c r="AG2967" s="37"/>
      <c r="AH2967" s="37"/>
      <c r="AI2967" s="37"/>
      <c r="AJ2967" s="37"/>
      <c r="AK2967" s="37"/>
      <c r="AL2967" s="37"/>
      <c r="AM2967" s="37"/>
      <c r="AN2967" s="37"/>
      <c r="AO2967" s="37"/>
      <c r="AP2967" s="37"/>
      <c r="AQ2967" s="37"/>
      <c r="AR2967" s="37"/>
      <c r="AS2967" s="37"/>
      <c r="AT2967" s="37"/>
      <c r="AU2967" s="37"/>
      <c r="AV2967" s="37"/>
      <c r="AW2967" s="37"/>
      <c r="AX2967" s="37"/>
      <c r="AY2967" s="37"/>
      <c r="AZ2967" s="37"/>
      <c r="BA2967" s="37"/>
      <c r="BB2967" s="37"/>
      <c r="BC2967" s="37"/>
      <c r="BD2967" s="37"/>
      <c r="BE2967" s="37"/>
      <c r="BF2967" s="37"/>
      <c r="BG2967" s="37"/>
      <c r="BH2967" s="37"/>
      <c r="BI2967" s="37"/>
      <c r="BJ2967" s="37"/>
      <c r="BK2967" s="37"/>
      <c r="BL2967" s="37"/>
      <c r="BM2967" s="37"/>
    </row>
    <row r="2968" spans="1:65" s="40" customFormat="1" ht="23.25" x14ac:dyDescent="0.35">
      <c r="A2968" s="37"/>
      <c r="B2968" s="37"/>
      <c r="C2968" s="41"/>
      <c r="D2968" s="38"/>
      <c r="E2968" s="57"/>
      <c r="F2968" s="42"/>
      <c r="G2968" s="43"/>
      <c r="H2968" s="37"/>
      <c r="I2968" s="37"/>
      <c r="J2968" s="38"/>
      <c r="K2968" s="37"/>
      <c r="L2968" s="38"/>
      <c r="M2968" s="39"/>
      <c r="P2968" s="37"/>
      <c r="Q2968" s="37"/>
      <c r="R2968" s="37"/>
      <c r="S2968" s="37"/>
      <c r="T2968" s="37"/>
      <c r="U2968" s="37"/>
      <c r="V2968" s="37"/>
      <c r="W2968" s="37"/>
      <c r="X2968" s="37"/>
      <c r="Y2968" s="37"/>
      <c r="Z2968" s="37"/>
      <c r="AA2968" s="37"/>
      <c r="AB2968" s="37"/>
      <c r="AC2968" s="37"/>
      <c r="AD2968" s="37"/>
      <c r="AE2968" s="37"/>
      <c r="AF2968" s="37"/>
      <c r="AG2968" s="37"/>
      <c r="AH2968" s="37"/>
      <c r="AI2968" s="37"/>
      <c r="AJ2968" s="37"/>
      <c r="AK2968" s="37"/>
      <c r="AL2968" s="37"/>
      <c r="AM2968" s="37"/>
      <c r="AN2968" s="37"/>
      <c r="AO2968" s="37"/>
      <c r="AP2968" s="37"/>
      <c r="AQ2968" s="37"/>
      <c r="AR2968" s="37"/>
      <c r="AS2968" s="37"/>
      <c r="AT2968" s="37"/>
      <c r="AU2968" s="37"/>
      <c r="AV2968" s="37"/>
      <c r="AW2968" s="37"/>
      <c r="AX2968" s="37"/>
      <c r="AY2968" s="37"/>
      <c r="AZ2968" s="37"/>
      <c r="BA2968" s="37"/>
      <c r="BB2968" s="37"/>
      <c r="BC2968" s="37"/>
      <c r="BD2968" s="37"/>
      <c r="BE2968" s="37"/>
      <c r="BF2968" s="37"/>
      <c r="BG2968" s="37"/>
      <c r="BH2968" s="37"/>
      <c r="BI2968" s="37"/>
      <c r="BJ2968" s="37"/>
      <c r="BK2968" s="37"/>
      <c r="BL2968" s="37"/>
      <c r="BM2968" s="37"/>
    </row>
    <row r="2969" spans="1:65" s="40" customFormat="1" ht="23.25" x14ac:dyDescent="0.35">
      <c r="A2969" s="37"/>
      <c r="B2969" s="37"/>
      <c r="C2969" s="41"/>
      <c r="D2969" s="38"/>
      <c r="E2969" s="57"/>
      <c r="F2969" s="42"/>
      <c r="G2969" s="43"/>
      <c r="H2969" s="37"/>
      <c r="I2969" s="37"/>
      <c r="J2969" s="38"/>
      <c r="K2969" s="37"/>
      <c r="L2969" s="38"/>
      <c r="M2969" s="39"/>
      <c r="P2969" s="37"/>
      <c r="Q2969" s="37"/>
      <c r="R2969" s="37"/>
      <c r="S2969" s="37"/>
      <c r="T2969" s="37"/>
      <c r="U2969" s="37"/>
      <c r="V2969" s="37"/>
      <c r="W2969" s="37"/>
      <c r="X2969" s="37"/>
      <c r="Y2969" s="37"/>
      <c r="Z2969" s="37"/>
      <c r="AA2969" s="37"/>
      <c r="AB2969" s="37"/>
      <c r="AC2969" s="37"/>
      <c r="AD2969" s="37"/>
      <c r="AE2969" s="37"/>
      <c r="AF2969" s="37"/>
      <c r="AG2969" s="37"/>
      <c r="AH2969" s="37"/>
      <c r="AI2969" s="37"/>
      <c r="AJ2969" s="37"/>
      <c r="AK2969" s="37"/>
      <c r="AL2969" s="37"/>
      <c r="AM2969" s="37"/>
      <c r="AN2969" s="37"/>
      <c r="AO2969" s="37"/>
      <c r="AP2969" s="37"/>
      <c r="AQ2969" s="37"/>
      <c r="AR2969" s="37"/>
      <c r="AS2969" s="37"/>
      <c r="AT2969" s="37"/>
      <c r="AU2969" s="37"/>
      <c r="AV2969" s="37"/>
      <c r="AW2969" s="37"/>
      <c r="AX2969" s="37"/>
      <c r="AY2969" s="37"/>
      <c r="AZ2969" s="37"/>
      <c r="BA2969" s="37"/>
      <c r="BB2969" s="37"/>
      <c r="BC2969" s="37"/>
      <c r="BD2969" s="37"/>
      <c r="BE2969" s="37"/>
      <c r="BF2969" s="37"/>
      <c r="BG2969" s="37"/>
      <c r="BH2969" s="37"/>
      <c r="BI2969" s="37"/>
      <c r="BJ2969" s="37"/>
      <c r="BK2969" s="37"/>
      <c r="BL2969" s="37"/>
      <c r="BM2969" s="37"/>
    </row>
    <row r="2970" spans="1:65" s="40" customFormat="1" ht="23.25" x14ac:dyDescent="0.35">
      <c r="A2970" s="37"/>
      <c r="B2970" s="37"/>
      <c r="C2970" s="41"/>
      <c r="D2970" s="38"/>
      <c r="E2970" s="57"/>
      <c r="F2970" s="42"/>
      <c r="G2970" s="43"/>
      <c r="H2970" s="37"/>
      <c r="I2970" s="37"/>
      <c r="J2970" s="38"/>
      <c r="K2970" s="37"/>
      <c r="L2970" s="38"/>
      <c r="M2970" s="39"/>
      <c r="P2970" s="37"/>
      <c r="Q2970" s="37"/>
      <c r="R2970" s="37"/>
      <c r="S2970" s="37"/>
      <c r="T2970" s="37"/>
      <c r="U2970" s="37"/>
      <c r="V2970" s="37"/>
      <c r="W2970" s="37"/>
      <c r="X2970" s="37"/>
      <c r="Y2970" s="37"/>
      <c r="Z2970" s="37"/>
      <c r="AA2970" s="37"/>
      <c r="AB2970" s="37"/>
      <c r="AC2970" s="37"/>
      <c r="AD2970" s="37"/>
      <c r="AE2970" s="37"/>
      <c r="AF2970" s="37"/>
      <c r="AG2970" s="37"/>
      <c r="AH2970" s="37"/>
      <c r="AI2970" s="37"/>
      <c r="AJ2970" s="37"/>
      <c r="AK2970" s="37"/>
      <c r="AL2970" s="37"/>
      <c r="AM2970" s="37"/>
      <c r="AN2970" s="37"/>
      <c r="AO2970" s="37"/>
      <c r="AP2970" s="37"/>
      <c r="AQ2970" s="37"/>
      <c r="AR2970" s="37"/>
      <c r="AS2970" s="37"/>
      <c r="AT2970" s="37"/>
      <c r="AU2970" s="37"/>
      <c r="AV2970" s="37"/>
      <c r="AW2970" s="37"/>
      <c r="AX2970" s="37"/>
      <c r="AY2970" s="37"/>
      <c r="AZ2970" s="37"/>
      <c r="BA2970" s="37"/>
      <c r="BB2970" s="37"/>
      <c r="BC2970" s="37"/>
      <c r="BD2970" s="37"/>
      <c r="BE2970" s="37"/>
      <c r="BF2970" s="37"/>
      <c r="BG2970" s="37"/>
      <c r="BH2970" s="37"/>
      <c r="BI2970" s="37"/>
      <c r="BJ2970" s="37"/>
      <c r="BK2970" s="37"/>
      <c r="BL2970" s="37"/>
      <c r="BM2970" s="37"/>
    </row>
    <row r="2971" spans="1:65" s="40" customFormat="1" ht="23.25" x14ac:dyDescent="0.35">
      <c r="A2971" s="37"/>
      <c r="B2971" s="37"/>
      <c r="C2971" s="41"/>
      <c r="D2971" s="38"/>
      <c r="E2971" s="57"/>
      <c r="F2971" s="42"/>
      <c r="G2971" s="43"/>
      <c r="H2971" s="37"/>
      <c r="I2971" s="37"/>
      <c r="J2971" s="38"/>
      <c r="K2971" s="37"/>
      <c r="L2971" s="38"/>
      <c r="M2971" s="39"/>
      <c r="P2971" s="37"/>
      <c r="Q2971" s="37"/>
      <c r="R2971" s="37"/>
      <c r="S2971" s="37"/>
      <c r="T2971" s="37"/>
      <c r="U2971" s="37"/>
      <c r="V2971" s="37"/>
      <c r="W2971" s="37"/>
      <c r="X2971" s="37"/>
      <c r="Y2971" s="37"/>
      <c r="Z2971" s="37"/>
      <c r="AA2971" s="37"/>
      <c r="AB2971" s="37"/>
      <c r="AC2971" s="37"/>
      <c r="AD2971" s="37"/>
      <c r="AE2971" s="37"/>
      <c r="AF2971" s="37"/>
      <c r="AG2971" s="37"/>
      <c r="AH2971" s="37"/>
      <c r="AI2971" s="37"/>
      <c r="AJ2971" s="37"/>
      <c r="AK2971" s="37"/>
      <c r="AL2971" s="37"/>
      <c r="AM2971" s="37"/>
      <c r="AN2971" s="37"/>
      <c r="AO2971" s="37"/>
      <c r="AP2971" s="37"/>
      <c r="AQ2971" s="37"/>
      <c r="AR2971" s="37"/>
      <c r="AS2971" s="37"/>
      <c r="AT2971" s="37"/>
      <c r="AU2971" s="37"/>
      <c r="AV2971" s="37"/>
      <c r="AW2971" s="37"/>
      <c r="AX2971" s="37"/>
      <c r="AY2971" s="37"/>
      <c r="AZ2971" s="37"/>
      <c r="BA2971" s="37"/>
      <c r="BB2971" s="37"/>
      <c r="BC2971" s="37"/>
      <c r="BD2971" s="37"/>
      <c r="BE2971" s="37"/>
      <c r="BF2971" s="37"/>
      <c r="BG2971" s="37"/>
      <c r="BH2971" s="37"/>
      <c r="BI2971" s="37"/>
      <c r="BJ2971" s="37"/>
      <c r="BK2971" s="37"/>
      <c r="BL2971" s="37"/>
      <c r="BM2971" s="37"/>
    </row>
    <row r="2972" spans="1:65" s="40" customFormat="1" ht="23.25" x14ac:dyDescent="0.35">
      <c r="A2972" s="37"/>
      <c r="B2972" s="37"/>
      <c r="C2972" s="41"/>
      <c r="D2972" s="38"/>
      <c r="E2972" s="57"/>
      <c r="F2972" s="42"/>
      <c r="G2972" s="43"/>
      <c r="H2972" s="37"/>
      <c r="I2972" s="37"/>
      <c r="J2972" s="38"/>
      <c r="K2972" s="37"/>
      <c r="L2972" s="38"/>
      <c r="M2972" s="39"/>
      <c r="P2972" s="37"/>
      <c r="Q2972" s="37"/>
      <c r="R2972" s="37"/>
      <c r="S2972" s="37"/>
      <c r="T2972" s="37"/>
      <c r="U2972" s="37"/>
      <c r="V2972" s="37"/>
      <c r="W2972" s="37"/>
      <c r="X2972" s="37"/>
      <c r="Y2972" s="37"/>
      <c r="Z2972" s="37"/>
      <c r="AA2972" s="37"/>
      <c r="AB2972" s="37"/>
      <c r="AC2972" s="37"/>
      <c r="AD2972" s="37"/>
      <c r="AE2972" s="37"/>
      <c r="AF2972" s="37"/>
      <c r="AG2972" s="37"/>
      <c r="AH2972" s="37"/>
      <c r="AI2972" s="37"/>
      <c r="AJ2972" s="37"/>
      <c r="AK2972" s="37"/>
      <c r="AL2972" s="37"/>
      <c r="AM2972" s="37"/>
      <c r="AN2972" s="37"/>
      <c r="AO2972" s="37"/>
      <c r="AP2972" s="37"/>
      <c r="AQ2972" s="37"/>
      <c r="AR2972" s="37"/>
      <c r="AS2972" s="37"/>
      <c r="AT2972" s="37"/>
      <c r="AU2972" s="37"/>
      <c r="AV2972" s="37"/>
      <c r="AW2972" s="37"/>
      <c r="AX2972" s="37"/>
      <c r="AY2972" s="37"/>
      <c r="AZ2972" s="37"/>
      <c r="BA2972" s="37"/>
      <c r="BB2972" s="37"/>
      <c r="BC2972" s="37"/>
      <c r="BD2972" s="37"/>
      <c r="BE2972" s="37"/>
      <c r="BF2972" s="37"/>
      <c r="BG2972" s="37"/>
      <c r="BH2972" s="37"/>
      <c r="BI2972" s="37"/>
      <c r="BJ2972" s="37"/>
      <c r="BK2972" s="37"/>
      <c r="BL2972" s="37"/>
      <c r="BM2972" s="37"/>
    </row>
    <row r="2973" spans="1:65" s="40" customFormat="1" ht="23.25" x14ac:dyDescent="0.35">
      <c r="A2973" s="37"/>
      <c r="B2973" s="37"/>
      <c r="C2973" s="41"/>
      <c r="D2973" s="38"/>
      <c r="E2973" s="57"/>
      <c r="F2973" s="42"/>
      <c r="G2973" s="43"/>
      <c r="H2973" s="37"/>
      <c r="I2973" s="37"/>
      <c r="J2973" s="38"/>
      <c r="K2973" s="37"/>
      <c r="L2973" s="38"/>
      <c r="M2973" s="39"/>
      <c r="P2973" s="37"/>
      <c r="Q2973" s="37"/>
      <c r="R2973" s="37"/>
      <c r="S2973" s="37"/>
      <c r="T2973" s="37"/>
      <c r="U2973" s="37"/>
      <c r="V2973" s="37"/>
      <c r="W2973" s="37"/>
      <c r="X2973" s="37"/>
      <c r="Y2973" s="37"/>
      <c r="Z2973" s="37"/>
      <c r="AA2973" s="37"/>
      <c r="AB2973" s="37"/>
      <c r="AC2973" s="37"/>
      <c r="AD2973" s="37"/>
      <c r="AE2973" s="37"/>
      <c r="AF2973" s="37"/>
      <c r="AG2973" s="37"/>
      <c r="AH2973" s="37"/>
      <c r="AI2973" s="37"/>
      <c r="AJ2973" s="37"/>
      <c r="AK2973" s="37"/>
      <c r="AL2973" s="37"/>
      <c r="AM2973" s="37"/>
      <c r="AN2973" s="37"/>
      <c r="AO2973" s="37"/>
      <c r="AP2973" s="37"/>
      <c r="AQ2973" s="37"/>
      <c r="AR2973" s="37"/>
      <c r="AS2973" s="37"/>
      <c r="AT2973" s="37"/>
      <c r="AU2973" s="37"/>
      <c r="AV2973" s="37"/>
      <c r="AW2973" s="37"/>
      <c r="AX2973" s="37"/>
      <c r="AY2973" s="37"/>
      <c r="AZ2973" s="37"/>
      <c r="BA2973" s="37"/>
      <c r="BB2973" s="37"/>
      <c r="BC2973" s="37"/>
      <c r="BD2973" s="37"/>
      <c r="BE2973" s="37"/>
      <c r="BF2973" s="37"/>
      <c r="BG2973" s="37"/>
      <c r="BH2973" s="37"/>
      <c r="BI2973" s="37"/>
      <c r="BJ2973" s="37"/>
      <c r="BK2973" s="37"/>
      <c r="BL2973" s="37"/>
      <c r="BM2973" s="37"/>
    </row>
    <row r="2974" spans="1:65" s="40" customFormat="1" ht="23.25" x14ac:dyDescent="0.35">
      <c r="A2974" s="37"/>
      <c r="B2974" s="37"/>
      <c r="C2974" s="41"/>
      <c r="D2974" s="38"/>
      <c r="E2974" s="57"/>
      <c r="F2974" s="42"/>
      <c r="G2974" s="43"/>
      <c r="H2974" s="37"/>
      <c r="I2974" s="37"/>
      <c r="J2974" s="38"/>
      <c r="K2974" s="37"/>
      <c r="L2974" s="38"/>
      <c r="M2974" s="39"/>
      <c r="P2974" s="37"/>
      <c r="Q2974" s="37"/>
      <c r="R2974" s="37"/>
      <c r="S2974" s="37"/>
      <c r="T2974" s="37"/>
      <c r="U2974" s="37"/>
      <c r="V2974" s="37"/>
      <c r="W2974" s="37"/>
      <c r="X2974" s="37"/>
      <c r="Y2974" s="37"/>
      <c r="Z2974" s="37"/>
      <c r="AA2974" s="37"/>
      <c r="AB2974" s="37"/>
      <c r="AC2974" s="37"/>
      <c r="AD2974" s="37"/>
      <c r="AE2974" s="37"/>
      <c r="AF2974" s="37"/>
      <c r="AG2974" s="37"/>
      <c r="AH2974" s="37"/>
      <c r="AI2974" s="37"/>
      <c r="AJ2974" s="37"/>
      <c r="AK2974" s="37"/>
      <c r="AL2974" s="37"/>
      <c r="AM2974" s="37"/>
      <c r="AN2974" s="37"/>
      <c r="AO2974" s="37"/>
      <c r="AP2974" s="37"/>
      <c r="AQ2974" s="37"/>
      <c r="AR2974" s="37"/>
      <c r="AS2974" s="37"/>
      <c r="AT2974" s="37"/>
      <c r="AU2974" s="37"/>
      <c r="AV2974" s="37"/>
      <c r="AW2974" s="37"/>
      <c r="AX2974" s="37"/>
      <c r="AY2974" s="37"/>
      <c r="AZ2974" s="37"/>
      <c r="BA2974" s="37"/>
      <c r="BB2974" s="37"/>
      <c r="BC2974" s="37"/>
      <c r="BD2974" s="37"/>
      <c r="BE2974" s="37"/>
      <c r="BF2974" s="37"/>
      <c r="BG2974" s="37"/>
      <c r="BH2974" s="37"/>
      <c r="BI2974" s="37"/>
      <c r="BJ2974" s="37"/>
      <c r="BK2974" s="37"/>
      <c r="BL2974" s="37"/>
      <c r="BM2974" s="37"/>
    </row>
    <row r="2975" spans="1:65" s="40" customFormat="1" ht="23.25" x14ac:dyDescent="0.35">
      <c r="A2975" s="37"/>
      <c r="B2975" s="37"/>
      <c r="C2975" s="41"/>
      <c r="D2975" s="38"/>
      <c r="E2975" s="57"/>
      <c r="F2975" s="42"/>
      <c r="G2975" s="43"/>
      <c r="H2975" s="37"/>
      <c r="I2975" s="37"/>
      <c r="J2975" s="38"/>
      <c r="K2975" s="37"/>
      <c r="L2975" s="38"/>
      <c r="M2975" s="39"/>
      <c r="P2975" s="37"/>
      <c r="Q2975" s="37"/>
      <c r="R2975" s="37"/>
      <c r="S2975" s="37"/>
      <c r="T2975" s="37"/>
      <c r="U2975" s="37"/>
      <c r="V2975" s="37"/>
      <c r="W2975" s="37"/>
      <c r="X2975" s="37"/>
      <c r="Y2975" s="37"/>
      <c r="Z2975" s="37"/>
      <c r="AA2975" s="37"/>
      <c r="AB2975" s="37"/>
      <c r="AC2975" s="37"/>
      <c r="AD2975" s="37"/>
      <c r="AE2975" s="37"/>
      <c r="AF2975" s="37"/>
      <c r="AG2975" s="37"/>
      <c r="AH2975" s="37"/>
      <c r="AI2975" s="37"/>
      <c r="AJ2975" s="37"/>
      <c r="AK2975" s="37"/>
      <c r="AL2975" s="37"/>
      <c r="AM2975" s="37"/>
      <c r="AN2975" s="37"/>
      <c r="AO2975" s="37"/>
      <c r="AP2975" s="37"/>
      <c r="AQ2975" s="37"/>
      <c r="AR2975" s="37"/>
      <c r="AS2975" s="37"/>
      <c r="AT2975" s="37"/>
      <c r="AU2975" s="37"/>
      <c r="AV2975" s="37"/>
      <c r="AW2975" s="37"/>
      <c r="AX2975" s="37"/>
      <c r="AY2975" s="37"/>
      <c r="AZ2975" s="37"/>
      <c r="BA2975" s="37"/>
      <c r="BB2975" s="37"/>
      <c r="BC2975" s="37"/>
      <c r="BD2975" s="37"/>
      <c r="BE2975" s="37"/>
      <c r="BF2975" s="37"/>
      <c r="BG2975" s="37"/>
      <c r="BH2975" s="37"/>
      <c r="BI2975" s="37"/>
      <c r="BJ2975" s="37"/>
      <c r="BK2975" s="37"/>
      <c r="BL2975" s="37"/>
      <c r="BM2975" s="37"/>
    </row>
    <row r="2976" spans="1:65" s="40" customFormat="1" ht="23.25" x14ac:dyDescent="0.35">
      <c r="A2976" s="37"/>
      <c r="B2976" s="37"/>
      <c r="C2976" s="41"/>
      <c r="D2976" s="38"/>
      <c r="E2976" s="57"/>
      <c r="F2976" s="42"/>
      <c r="G2976" s="43"/>
      <c r="H2976" s="37"/>
      <c r="I2976" s="37"/>
      <c r="J2976" s="38"/>
      <c r="K2976" s="37"/>
      <c r="L2976" s="38"/>
      <c r="M2976" s="39"/>
      <c r="P2976" s="37"/>
      <c r="Q2976" s="37"/>
      <c r="R2976" s="37"/>
      <c r="S2976" s="37"/>
      <c r="T2976" s="37"/>
      <c r="U2976" s="37"/>
      <c r="V2976" s="37"/>
      <c r="W2976" s="37"/>
      <c r="X2976" s="37"/>
      <c r="Y2976" s="37"/>
      <c r="Z2976" s="37"/>
      <c r="AA2976" s="37"/>
      <c r="AB2976" s="37"/>
      <c r="AC2976" s="37"/>
      <c r="AD2976" s="37"/>
      <c r="AE2976" s="37"/>
      <c r="AF2976" s="37"/>
      <c r="AG2976" s="37"/>
      <c r="AH2976" s="37"/>
      <c r="AI2976" s="37"/>
      <c r="AJ2976" s="37"/>
      <c r="AK2976" s="37"/>
      <c r="AL2976" s="37"/>
      <c r="AM2976" s="37"/>
      <c r="AN2976" s="37"/>
      <c r="AO2976" s="37"/>
      <c r="AP2976" s="37"/>
      <c r="AQ2976" s="37"/>
      <c r="AR2976" s="37"/>
      <c r="AS2976" s="37"/>
      <c r="AT2976" s="37"/>
      <c r="AU2976" s="37"/>
      <c r="AV2976" s="37"/>
      <c r="AW2976" s="37"/>
      <c r="AX2976" s="37"/>
      <c r="AY2976" s="37"/>
      <c r="AZ2976" s="37"/>
      <c r="BA2976" s="37"/>
      <c r="BB2976" s="37"/>
      <c r="BC2976" s="37"/>
      <c r="BD2976" s="37"/>
      <c r="BE2976" s="37"/>
      <c r="BF2976" s="37"/>
      <c r="BG2976" s="37"/>
      <c r="BH2976" s="37"/>
      <c r="BI2976" s="37"/>
      <c r="BJ2976" s="37"/>
      <c r="BK2976" s="37"/>
      <c r="BL2976" s="37"/>
      <c r="BM2976" s="37"/>
    </row>
    <row r="2977" spans="1:65" s="40" customFormat="1" ht="23.25" x14ac:dyDescent="0.35">
      <c r="A2977" s="37"/>
      <c r="B2977" s="37"/>
      <c r="C2977" s="41"/>
      <c r="D2977" s="38"/>
      <c r="E2977" s="57"/>
      <c r="F2977" s="42"/>
      <c r="G2977" s="43"/>
      <c r="H2977" s="37"/>
      <c r="I2977" s="37"/>
      <c r="J2977" s="38"/>
      <c r="K2977" s="37"/>
      <c r="L2977" s="38"/>
      <c r="M2977" s="39"/>
      <c r="P2977" s="37"/>
      <c r="Q2977" s="37"/>
      <c r="R2977" s="37"/>
      <c r="S2977" s="37"/>
      <c r="T2977" s="37"/>
      <c r="U2977" s="37"/>
      <c r="V2977" s="37"/>
      <c r="W2977" s="37"/>
      <c r="X2977" s="37"/>
      <c r="Y2977" s="37"/>
      <c r="Z2977" s="37"/>
      <c r="AA2977" s="37"/>
      <c r="AB2977" s="37"/>
      <c r="AC2977" s="37"/>
      <c r="AD2977" s="37"/>
      <c r="AE2977" s="37"/>
      <c r="AF2977" s="37"/>
      <c r="AG2977" s="37"/>
      <c r="AH2977" s="37"/>
      <c r="AI2977" s="37"/>
      <c r="AJ2977" s="37"/>
      <c r="AK2977" s="37"/>
      <c r="AL2977" s="37"/>
      <c r="AM2977" s="37"/>
      <c r="AN2977" s="37"/>
      <c r="AO2977" s="37"/>
      <c r="AP2977" s="37"/>
      <c r="AQ2977" s="37"/>
      <c r="AR2977" s="37"/>
      <c r="AS2977" s="37"/>
      <c r="AT2977" s="37"/>
      <c r="AU2977" s="37"/>
      <c r="AV2977" s="37"/>
      <c r="AW2977" s="37"/>
      <c r="AX2977" s="37"/>
      <c r="AY2977" s="37"/>
      <c r="AZ2977" s="37"/>
      <c r="BA2977" s="37"/>
      <c r="BB2977" s="37"/>
      <c r="BC2977" s="37"/>
      <c r="BD2977" s="37"/>
      <c r="BE2977" s="37"/>
      <c r="BF2977" s="37"/>
      <c r="BG2977" s="37"/>
      <c r="BH2977" s="37"/>
      <c r="BI2977" s="37"/>
      <c r="BJ2977" s="37"/>
      <c r="BK2977" s="37"/>
      <c r="BL2977" s="37"/>
      <c r="BM2977" s="37"/>
    </row>
    <row r="2978" spans="1:65" s="40" customFormat="1" ht="23.25" x14ac:dyDescent="0.35">
      <c r="A2978" s="37"/>
      <c r="B2978" s="37"/>
      <c r="C2978" s="41"/>
      <c r="D2978" s="38"/>
      <c r="E2978" s="57"/>
      <c r="F2978" s="42"/>
      <c r="G2978" s="43"/>
      <c r="H2978" s="37"/>
      <c r="I2978" s="37"/>
      <c r="J2978" s="38"/>
      <c r="K2978" s="37"/>
      <c r="L2978" s="38"/>
      <c r="M2978" s="39"/>
      <c r="P2978" s="37"/>
      <c r="Q2978" s="37"/>
      <c r="R2978" s="37"/>
      <c r="S2978" s="37"/>
      <c r="T2978" s="37"/>
      <c r="U2978" s="37"/>
      <c r="V2978" s="37"/>
      <c r="W2978" s="37"/>
      <c r="X2978" s="37"/>
      <c r="Y2978" s="37"/>
      <c r="Z2978" s="37"/>
      <c r="AA2978" s="37"/>
      <c r="AB2978" s="37"/>
      <c r="AC2978" s="37"/>
      <c r="AD2978" s="37"/>
      <c r="AE2978" s="37"/>
      <c r="AF2978" s="37"/>
      <c r="AG2978" s="37"/>
      <c r="AH2978" s="37"/>
      <c r="AI2978" s="37"/>
      <c r="AJ2978" s="37"/>
      <c r="AK2978" s="37"/>
      <c r="AL2978" s="37"/>
      <c r="AM2978" s="37"/>
      <c r="AN2978" s="37"/>
      <c r="AO2978" s="37"/>
      <c r="AP2978" s="37"/>
      <c r="AQ2978" s="37"/>
      <c r="AR2978" s="37"/>
      <c r="AS2978" s="37"/>
      <c r="AT2978" s="37"/>
      <c r="AU2978" s="37"/>
      <c r="AV2978" s="37"/>
      <c r="AW2978" s="37"/>
      <c r="AX2978" s="37"/>
      <c r="AY2978" s="37"/>
      <c r="AZ2978" s="37"/>
      <c r="BA2978" s="37"/>
      <c r="BB2978" s="37"/>
      <c r="BC2978" s="37"/>
      <c r="BD2978" s="37"/>
      <c r="BE2978" s="37"/>
      <c r="BF2978" s="37"/>
      <c r="BG2978" s="37"/>
      <c r="BH2978" s="37"/>
      <c r="BI2978" s="37"/>
      <c r="BJ2978" s="37"/>
      <c r="BK2978" s="37"/>
      <c r="BL2978" s="37"/>
      <c r="BM2978" s="37"/>
    </row>
    <row r="2979" spans="1:65" s="40" customFormat="1" ht="23.25" x14ac:dyDescent="0.35">
      <c r="A2979" s="37"/>
      <c r="B2979" s="37"/>
      <c r="C2979" s="41"/>
      <c r="D2979" s="38"/>
      <c r="E2979" s="57"/>
      <c r="F2979" s="42"/>
      <c r="G2979" s="43"/>
      <c r="H2979" s="37"/>
      <c r="I2979" s="37"/>
      <c r="J2979" s="38"/>
      <c r="K2979" s="37"/>
      <c r="L2979" s="38"/>
      <c r="M2979" s="39"/>
      <c r="P2979" s="37"/>
      <c r="Q2979" s="37"/>
      <c r="R2979" s="37"/>
      <c r="S2979" s="37"/>
      <c r="T2979" s="37"/>
      <c r="U2979" s="37"/>
      <c r="V2979" s="37"/>
      <c r="W2979" s="37"/>
      <c r="X2979" s="37"/>
      <c r="Y2979" s="37"/>
      <c r="Z2979" s="37"/>
      <c r="AA2979" s="37"/>
      <c r="AB2979" s="37"/>
      <c r="AC2979" s="37"/>
      <c r="AD2979" s="37"/>
      <c r="AE2979" s="37"/>
      <c r="AF2979" s="37"/>
      <c r="AG2979" s="37"/>
      <c r="AH2979" s="37"/>
      <c r="AI2979" s="37"/>
      <c r="AJ2979" s="37"/>
      <c r="AK2979" s="37"/>
      <c r="AL2979" s="37"/>
      <c r="AM2979" s="37"/>
      <c r="AN2979" s="37"/>
      <c r="AO2979" s="37"/>
      <c r="AP2979" s="37"/>
      <c r="AQ2979" s="37"/>
      <c r="AR2979" s="37"/>
      <c r="AS2979" s="37"/>
      <c r="AT2979" s="37"/>
      <c r="AU2979" s="37"/>
      <c r="AV2979" s="37"/>
      <c r="AW2979" s="37"/>
      <c r="AX2979" s="37"/>
      <c r="AY2979" s="37"/>
      <c r="AZ2979" s="37"/>
      <c r="BA2979" s="37"/>
      <c r="BB2979" s="37"/>
      <c r="BC2979" s="37"/>
      <c r="BD2979" s="37"/>
      <c r="BE2979" s="37"/>
      <c r="BF2979" s="37"/>
      <c r="BG2979" s="37"/>
      <c r="BH2979" s="37"/>
      <c r="BI2979" s="37"/>
      <c r="BJ2979" s="37"/>
      <c r="BK2979" s="37"/>
      <c r="BL2979" s="37"/>
      <c r="BM2979" s="37"/>
    </row>
    <row r="2980" spans="1:65" s="40" customFormat="1" ht="23.25" x14ac:dyDescent="0.35">
      <c r="A2980" s="37"/>
      <c r="B2980" s="37"/>
      <c r="C2980" s="41"/>
      <c r="D2980" s="38"/>
      <c r="E2980" s="57"/>
      <c r="F2980" s="42"/>
      <c r="G2980" s="43"/>
      <c r="H2980" s="37"/>
      <c r="I2980" s="37"/>
      <c r="J2980" s="38"/>
      <c r="K2980" s="37"/>
      <c r="L2980" s="38"/>
      <c r="M2980" s="39"/>
      <c r="P2980" s="37"/>
      <c r="Q2980" s="37"/>
      <c r="R2980" s="37"/>
      <c r="S2980" s="37"/>
      <c r="T2980" s="37"/>
      <c r="U2980" s="37"/>
      <c r="V2980" s="37"/>
      <c r="W2980" s="37"/>
      <c r="X2980" s="37"/>
      <c r="Y2980" s="37"/>
      <c r="Z2980" s="37"/>
      <c r="AA2980" s="37"/>
      <c r="AB2980" s="37"/>
      <c r="AC2980" s="37"/>
      <c r="AD2980" s="37"/>
      <c r="AE2980" s="37"/>
      <c r="AF2980" s="37"/>
      <c r="AG2980" s="37"/>
      <c r="AH2980" s="37"/>
      <c r="AI2980" s="37"/>
      <c r="AJ2980" s="37"/>
      <c r="AK2980" s="37"/>
      <c r="AL2980" s="37"/>
      <c r="AM2980" s="37"/>
      <c r="AN2980" s="37"/>
      <c r="AO2980" s="37"/>
      <c r="AP2980" s="37"/>
      <c r="AQ2980" s="37"/>
      <c r="AR2980" s="37"/>
      <c r="AS2980" s="37"/>
      <c r="AT2980" s="37"/>
      <c r="AU2980" s="37"/>
      <c r="AV2980" s="37"/>
      <c r="AW2980" s="37"/>
      <c r="AX2980" s="37"/>
      <c r="AY2980" s="37"/>
      <c r="AZ2980" s="37"/>
      <c r="BA2980" s="37"/>
      <c r="BB2980" s="37"/>
      <c r="BC2980" s="37"/>
      <c r="BD2980" s="37"/>
      <c r="BE2980" s="37"/>
      <c r="BF2980" s="37"/>
      <c r="BG2980" s="37"/>
      <c r="BH2980" s="37"/>
      <c r="BI2980" s="37"/>
      <c r="BJ2980" s="37"/>
      <c r="BK2980" s="37"/>
      <c r="BL2980" s="37"/>
      <c r="BM2980" s="37"/>
    </row>
    <row r="2981" spans="1:65" s="40" customFormat="1" ht="23.25" x14ac:dyDescent="0.35">
      <c r="A2981" s="37"/>
      <c r="B2981" s="37"/>
      <c r="C2981" s="41"/>
      <c r="D2981" s="38"/>
      <c r="E2981" s="57"/>
      <c r="F2981" s="42"/>
      <c r="G2981" s="43"/>
      <c r="H2981" s="37"/>
      <c r="I2981" s="37"/>
      <c r="J2981" s="38"/>
      <c r="K2981" s="37"/>
      <c r="L2981" s="38"/>
      <c r="M2981" s="39"/>
      <c r="P2981" s="37"/>
      <c r="Q2981" s="37"/>
      <c r="R2981" s="37"/>
      <c r="S2981" s="37"/>
      <c r="T2981" s="37"/>
      <c r="U2981" s="37"/>
      <c r="V2981" s="37"/>
      <c r="W2981" s="37"/>
      <c r="X2981" s="37"/>
      <c r="Y2981" s="37"/>
      <c r="Z2981" s="37"/>
      <c r="AA2981" s="37"/>
      <c r="AB2981" s="37"/>
      <c r="AC2981" s="37"/>
      <c r="AD2981" s="37"/>
      <c r="AE2981" s="37"/>
      <c r="AF2981" s="37"/>
      <c r="AG2981" s="37"/>
      <c r="AH2981" s="37"/>
      <c r="AI2981" s="37"/>
      <c r="AJ2981" s="37"/>
      <c r="AK2981" s="37"/>
      <c r="AL2981" s="37"/>
      <c r="AM2981" s="37"/>
      <c r="AN2981" s="37"/>
      <c r="AO2981" s="37"/>
      <c r="AP2981" s="37"/>
      <c r="AQ2981" s="37"/>
      <c r="AR2981" s="37"/>
      <c r="AS2981" s="37"/>
      <c r="AT2981" s="37"/>
      <c r="AU2981" s="37"/>
      <c r="AV2981" s="37"/>
      <c r="AW2981" s="37"/>
      <c r="AX2981" s="37"/>
      <c r="AY2981" s="37"/>
      <c r="AZ2981" s="37"/>
      <c r="BA2981" s="37"/>
      <c r="BB2981" s="37"/>
      <c r="BC2981" s="37"/>
      <c r="BD2981" s="37"/>
      <c r="BE2981" s="37"/>
      <c r="BF2981" s="37"/>
      <c r="BG2981" s="37"/>
      <c r="BH2981" s="37"/>
      <c r="BI2981" s="37"/>
      <c r="BJ2981" s="37"/>
      <c r="BK2981" s="37"/>
      <c r="BL2981" s="37"/>
      <c r="BM2981" s="37"/>
    </row>
    <row r="2982" spans="1:65" s="40" customFormat="1" ht="23.25" x14ac:dyDescent="0.35">
      <c r="A2982" s="37"/>
      <c r="B2982" s="37"/>
      <c r="C2982" s="41"/>
      <c r="D2982" s="38"/>
      <c r="E2982" s="57"/>
      <c r="F2982" s="42"/>
      <c r="G2982" s="43"/>
      <c r="H2982" s="37"/>
      <c r="I2982" s="37"/>
      <c r="J2982" s="38"/>
      <c r="K2982" s="37"/>
      <c r="L2982" s="38"/>
      <c r="M2982" s="39"/>
      <c r="P2982" s="37"/>
      <c r="Q2982" s="37"/>
      <c r="R2982" s="37"/>
      <c r="S2982" s="37"/>
      <c r="T2982" s="37"/>
      <c r="U2982" s="37"/>
      <c r="V2982" s="37"/>
      <c r="W2982" s="37"/>
      <c r="X2982" s="37"/>
      <c r="Y2982" s="37"/>
      <c r="Z2982" s="37"/>
      <c r="AA2982" s="37"/>
      <c r="AB2982" s="37"/>
      <c r="AC2982" s="37"/>
      <c r="AD2982" s="37"/>
      <c r="AE2982" s="37"/>
      <c r="AF2982" s="37"/>
      <c r="AG2982" s="37"/>
      <c r="AH2982" s="37"/>
      <c r="AI2982" s="37"/>
      <c r="AJ2982" s="37"/>
      <c r="AK2982" s="37"/>
      <c r="AL2982" s="37"/>
      <c r="AM2982" s="37"/>
      <c r="AN2982" s="37"/>
      <c r="AO2982" s="37"/>
      <c r="AP2982" s="37"/>
      <c r="AQ2982" s="37"/>
      <c r="AR2982" s="37"/>
      <c r="AS2982" s="37"/>
      <c r="AT2982" s="37"/>
      <c r="AU2982" s="37"/>
      <c r="AV2982" s="37"/>
      <c r="AW2982" s="37"/>
      <c r="AX2982" s="37"/>
      <c r="AY2982" s="37"/>
      <c r="AZ2982" s="37"/>
      <c r="BA2982" s="37"/>
      <c r="BB2982" s="37"/>
      <c r="BC2982" s="37"/>
      <c r="BD2982" s="37"/>
      <c r="BE2982" s="37"/>
      <c r="BF2982" s="37"/>
      <c r="BG2982" s="37"/>
      <c r="BH2982" s="37"/>
      <c r="BI2982" s="37"/>
      <c r="BJ2982" s="37"/>
      <c r="BK2982" s="37"/>
      <c r="BL2982" s="37"/>
      <c r="BM2982" s="37"/>
    </row>
    <row r="2983" spans="1:65" s="40" customFormat="1" ht="23.25" x14ac:dyDescent="0.35">
      <c r="A2983" s="37"/>
      <c r="B2983" s="37"/>
      <c r="C2983" s="41"/>
      <c r="D2983" s="38"/>
      <c r="E2983" s="57"/>
      <c r="F2983" s="42"/>
      <c r="G2983" s="43"/>
      <c r="H2983" s="37"/>
      <c r="I2983" s="37"/>
      <c r="J2983" s="38"/>
      <c r="K2983" s="37"/>
      <c r="L2983" s="38"/>
      <c r="M2983" s="39"/>
      <c r="P2983" s="37"/>
      <c r="Q2983" s="37"/>
      <c r="R2983" s="37"/>
      <c r="S2983" s="37"/>
      <c r="T2983" s="37"/>
      <c r="U2983" s="37"/>
      <c r="V2983" s="37"/>
      <c r="W2983" s="37"/>
      <c r="X2983" s="37"/>
      <c r="Y2983" s="37"/>
      <c r="Z2983" s="37"/>
      <c r="AA2983" s="37"/>
      <c r="AB2983" s="37"/>
      <c r="AC2983" s="37"/>
      <c r="AD2983" s="37"/>
      <c r="AE2983" s="37"/>
      <c r="AF2983" s="37"/>
      <c r="AG2983" s="37"/>
      <c r="AH2983" s="37"/>
      <c r="AI2983" s="37"/>
      <c r="AJ2983" s="37"/>
      <c r="AK2983" s="37"/>
      <c r="AL2983" s="37"/>
      <c r="AM2983" s="37"/>
      <c r="AN2983" s="37"/>
      <c r="AO2983" s="37"/>
      <c r="AP2983" s="37"/>
      <c r="AQ2983" s="37"/>
      <c r="AR2983" s="37"/>
      <c r="AS2983" s="37"/>
      <c r="AT2983" s="37"/>
      <c r="AU2983" s="37"/>
      <c r="AV2983" s="37"/>
      <c r="AW2983" s="37"/>
      <c r="AX2983" s="37"/>
      <c r="AY2983" s="37"/>
      <c r="AZ2983" s="37"/>
      <c r="BA2983" s="37"/>
      <c r="BB2983" s="37"/>
      <c r="BC2983" s="37"/>
      <c r="BD2983" s="37"/>
      <c r="BE2983" s="37"/>
      <c r="BF2983" s="37"/>
      <c r="BG2983" s="37"/>
      <c r="BH2983" s="37"/>
      <c r="BI2983" s="37"/>
      <c r="BJ2983" s="37"/>
      <c r="BK2983" s="37"/>
      <c r="BL2983" s="37"/>
      <c r="BM2983" s="37"/>
    </row>
    <row r="2984" spans="1:65" s="40" customFormat="1" ht="23.25" x14ac:dyDescent="0.35">
      <c r="A2984" s="37"/>
      <c r="B2984" s="37"/>
      <c r="C2984" s="41"/>
      <c r="D2984" s="38"/>
      <c r="E2984" s="57"/>
      <c r="F2984" s="42"/>
      <c r="G2984" s="43"/>
      <c r="H2984" s="37"/>
      <c r="I2984" s="37"/>
      <c r="J2984" s="38"/>
      <c r="K2984" s="37"/>
      <c r="L2984" s="38"/>
      <c r="M2984" s="39"/>
      <c r="P2984" s="37"/>
      <c r="Q2984" s="37"/>
      <c r="R2984" s="37"/>
      <c r="S2984" s="37"/>
      <c r="T2984" s="37"/>
      <c r="U2984" s="37"/>
      <c r="V2984" s="37"/>
      <c r="W2984" s="37"/>
      <c r="X2984" s="37"/>
      <c r="Y2984" s="37"/>
      <c r="Z2984" s="37"/>
      <c r="AA2984" s="37"/>
      <c r="AB2984" s="37"/>
      <c r="AC2984" s="37"/>
      <c r="AD2984" s="37"/>
      <c r="AE2984" s="37"/>
      <c r="AF2984" s="37"/>
      <c r="AG2984" s="37"/>
      <c r="AH2984" s="37"/>
      <c r="AI2984" s="37"/>
      <c r="AJ2984" s="37"/>
      <c r="AK2984" s="37"/>
      <c r="AL2984" s="37"/>
      <c r="AM2984" s="37"/>
      <c r="AN2984" s="37"/>
      <c r="AO2984" s="37"/>
      <c r="AP2984" s="37"/>
      <c r="AQ2984" s="37"/>
      <c r="AR2984" s="37"/>
      <c r="AS2984" s="37"/>
      <c r="AT2984" s="37"/>
      <c r="AU2984" s="37"/>
      <c r="AV2984" s="37"/>
      <c r="AW2984" s="37"/>
      <c r="AX2984" s="37"/>
      <c r="AY2984" s="37"/>
      <c r="AZ2984" s="37"/>
      <c r="BA2984" s="37"/>
      <c r="BB2984" s="37"/>
      <c r="BC2984" s="37"/>
      <c r="BD2984" s="37"/>
      <c r="BE2984" s="37"/>
      <c r="BF2984" s="37"/>
      <c r="BG2984" s="37"/>
      <c r="BH2984" s="37"/>
      <c r="BI2984" s="37"/>
      <c r="BJ2984" s="37"/>
      <c r="BK2984" s="37"/>
      <c r="BL2984" s="37"/>
      <c r="BM2984" s="37"/>
    </row>
    <row r="2985" spans="1:65" s="40" customFormat="1" ht="23.25" x14ac:dyDescent="0.35">
      <c r="A2985" s="37"/>
      <c r="B2985" s="37"/>
      <c r="C2985" s="41"/>
      <c r="D2985" s="38"/>
      <c r="E2985" s="57"/>
      <c r="F2985" s="42"/>
      <c r="G2985" s="43"/>
      <c r="H2985" s="37"/>
      <c r="I2985" s="37"/>
      <c r="J2985" s="38"/>
      <c r="K2985" s="37"/>
      <c r="L2985" s="38"/>
      <c r="M2985" s="39"/>
      <c r="P2985" s="37"/>
      <c r="Q2985" s="37"/>
      <c r="R2985" s="37"/>
      <c r="S2985" s="37"/>
      <c r="T2985" s="37"/>
      <c r="U2985" s="37"/>
      <c r="V2985" s="37"/>
      <c r="W2985" s="37"/>
      <c r="X2985" s="37"/>
      <c r="Y2985" s="37"/>
      <c r="Z2985" s="37"/>
      <c r="AA2985" s="37"/>
      <c r="AB2985" s="37"/>
      <c r="AC2985" s="37"/>
      <c r="AD2985" s="37"/>
      <c r="AE2985" s="37"/>
      <c r="AF2985" s="37"/>
      <c r="AG2985" s="37"/>
      <c r="AH2985" s="37"/>
      <c r="AI2985" s="37"/>
      <c r="AJ2985" s="37"/>
      <c r="AK2985" s="37"/>
      <c r="AL2985" s="37"/>
      <c r="AM2985" s="37"/>
      <c r="AN2985" s="37"/>
      <c r="AO2985" s="37"/>
      <c r="AP2985" s="37"/>
      <c r="AQ2985" s="37"/>
      <c r="AR2985" s="37"/>
      <c r="AS2985" s="37"/>
      <c r="AT2985" s="37"/>
      <c r="AU2985" s="37"/>
      <c r="AV2985" s="37"/>
      <c r="AW2985" s="37"/>
      <c r="AX2985" s="37"/>
      <c r="AY2985" s="37"/>
      <c r="AZ2985" s="37"/>
      <c r="BA2985" s="37"/>
      <c r="BB2985" s="37"/>
      <c r="BC2985" s="37"/>
      <c r="BD2985" s="37"/>
      <c r="BE2985" s="37"/>
      <c r="BF2985" s="37"/>
      <c r="BG2985" s="37"/>
      <c r="BH2985" s="37"/>
      <c r="BI2985" s="37"/>
      <c r="BJ2985" s="37"/>
      <c r="BK2985" s="37"/>
      <c r="BL2985" s="37"/>
      <c r="BM2985" s="37"/>
    </row>
    <row r="2986" spans="1:65" s="40" customFormat="1" ht="23.25" x14ac:dyDescent="0.35">
      <c r="A2986" s="37"/>
      <c r="B2986" s="37"/>
      <c r="C2986" s="41"/>
      <c r="D2986" s="38"/>
      <c r="E2986" s="57"/>
      <c r="F2986" s="42"/>
      <c r="G2986" s="43"/>
      <c r="H2986" s="37"/>
      <c r="I2986" s="37"/>
      <c r="J2986" s="38"/>
      <c r="K2986" s="37"/>
      <c r="L2986" s="38"/>
      <c r="M2986" s="39"/>
      <c r="P2986" s="37"/>
      <c r="Q2986" s="37"/>
      <c r="R2986" s="37"/>
      <c r="S2986" s="37"/>
      <c r="T2986" s="37"/>
      <c r="U2986" s="37"/>
      <c r="V2986" s="37"/>
      <c r="W2986" s="37"/>
      <c r="X2986" s="37"/>
      <c r="Y2986" s="37"/>
      <c r="Z2986" s="37"/>
      <c r="AA2986" s="37"/>
      <c r="AB2986" s="37"/>
      <c r="AC2986" s="37"/>
      <c r="AD2986" s="37"/>
      <c r="AE2986" s="37"/>
      <c r="AF2986" s="37"/>
      <c r="AG2986" s="37"/>
      <c r="AH2986" s="37"/>
      <c r="AI2986" s="37"/>
      <c r="AJ2986" s="37"/>
      <c r="AK2986" s="37"/>
      <c r="AL2986" s="37"/>
      <c r="AM2986" s="37"/>
      <c r="AN2986" s="37"/>
      <c r="AO2986" s="37"/>
      <c r="AP2986" s="37"/>
      <c r="AQ2986" s="37"/>
      <c r="AR2986" s="37"/>
      <c r="AS2986" s="37"/>
      <c r="AT2986" s="37"/>
      <c r="AU2986" s="37"/>
      <c r="AV2986" s="37"/>
      <c r="AW2986" s="37"/>
      <c r="AX2986" s="37"/>
      <c r="AY2986" s="37"/>
      <c r="AZ2986" s="37"/>
      <c r="BA2986" s="37"/>
      <c r="BB2986" s="37"/>
      <c r="BC2986" s="37"/>
      <c r="BD2986" s="37"/>
      <c r="BE2986" s="37"/>
      <c r="BF2986" s="37"/>
      <c r="BG2986" s="37"/>
      <c r="BH2986" s="37"/>
      <c r="BI2986" s="37"/>
      <c r="BJ2986" s="37"/>
      <c r="BK2986" s="37"/>
      <c r="BL2986" s="37"/>
      <c r="BM2986" s="37"/>
    </row>
    <row r="2987" spans="1:65" s="40" customFormat="1" ht="23.25" x14ac:dyDescent="0.35">
      <c r="A2987" s="37"/>
      <c r="B2987" s="37"/>
      <c r="C2987" s="41"/>
      <c r="D2987" s="38"/>
      <c r="E2987" s="57"/>
      <c r="F2987" s="42"/>
      <c r="G2987" s="43"/>
      <c r="H2987" s="37"/>
      <c r="I2987" s="37"/>
      <c r="J2987" s="38"/>
      <c r="K2987" s="37"/>
      <c r="L2987" s="38"/>
      <c r="M2987" s="39"/>
      <c r="P2987" s="37"/>
      <c r="Q2987" s="37"/>
      <c r="R2987" s="37"/>
      <c r="S2987" s="37"/>
      <c r="T2987" s="37"/>
      <c r="U2987" s="37"/>
      <c r="V2987" s="37"/>
      <c r="W2987" s="37"/>
      <c r="X2987" s="37"/>
      <c r="Y2987" s="37"/>
      <c r="Z2987" s="37"/>
      <c r="AA2987" s="37"/>
      <c r="AB2987" s="37"/>
      <c r="AC2987" s="37"/>
      <c r="AD2987" s="37"/>
      <c r="AE2987" s="37"/>
      <c r="AF2987" s="37"/>
      <c r="AG2987" s="37"/>
      <c r="AH2987" s="37"/>
      <c r="AI2987" s="37"/>
      <c r="AJ2987" s="37"/>
      <c r="AK2987" s="37"/>
      <c r="AL2987" s="37"/>
      <c r="AM2987" s="37"/>
      <c r="AN2987" s="37"/>
      <c r="AO2987" s="37"/>
      <c r="AP2987" s="37"/>
      <c r="AQ2987" s="37"/>
      <c r="AR2987" s="37"/>
      <c r="AS2987" s="37"/>
      <c r="AT2987" s="37"/>
      <c r="AU2987" s="37"/>
      <c r="AV2987" s="37"/>
      <c r="AW2987" s="37"/>
      <c r="AX2987" s="37"/>
      <c r="AY2987" s="37"/>
      <c r="AZ2987" s="37"/>
      <c r="BA2987" s="37"/>
      <c r="BB2987" s="37"/>
      <c r="BC2987" s="37"/>
      <c r="BD2987" s="37"/>
      <c r="BE2987" s="37"/>
      <c r="BF2987" s="37"/>
      <c r="BG2987" s="37"/>
      <c r="BH2987" s="37"/>
      <c r="BI2987" s="37"/>
      <c r="BJ2987" s="37"/>
      <c r="BK2987" s="37"/>
      <c r="BL2987" s="37"/>
      <c r="BM2987" s="37"/>
    </row>
    <row r="2988" spans="1:65" s="40" customFormat="1" ht="23.25" x14ac:dyDescent="0.35">
      <c r="A2988" s="37"/>
      <c r="B2988" s="37"/>
      <c r="C2988" s="41"/>
      <c r="D2988" s="38"/>
      <c r="E2988" s="57"/>
      <c r="F2988" s="42"/>
      <c r="G2988" s="43"/>
      <c r="H2988" s="37"/>
      <c r="I2988" s="37"/>
      <c r="J2988" s="38"/>
      <c r="K2988" s="37"/>
      <c r="L2988" s="38"/>
      <c r="M2988" s="39"/>
      <c r="P2988" s="37"/>
      <c r="Q2988" s="37"/>
      <c r="R2988" s="37"/>
      <c r="S2988" s="37"/>
      <c r="T2988" s="37"/>
      <c r="U2988" s="37"/>
      <c r="V2988" s="37"/>
      <c r="W2988" s="37"/>
      <c r="X2988" s="37"/>
      <c r="Y2988" s="37"/>
      <c r="Z2988" s="37"/>
      <c r="AA2988" s="37"/>
      <c r="AB2988" s="37"/>
      <c r="AC2988" s="37"/>
      <c r="AD2988" s="37"/>
      <c r="AE2988" s="37"/>
      <c r="AF2988" s="37"/>
      <c r="AG2988" s="37"/>
      <c r="AH2988" s="37"/>
      <c r="AI2988" s="37"/>
      <c r="AJ2988" s="37"/>
      <c r="AK2988" s="37"/>
      <c r="AL2988" s="37"/>
      <c r="AM2988" s="37"/>
      <c r="AN2988" s="37"/>
      <c r="AO2988" s="37"/>
      <c r="AP2988" s="37"/>
      <c r="AQ2988" s="37"/>
      <c r="AR2988" s="37"/>
      <c r="AS2988" s="37"/>
      <c r="AT2988" s="37"/>
      <c r="AU2988" s="37"/>
      <c r="AV2988" s="37"/>
      <c r="AW2988" s="37"/>
      <c r="AX2988" s="37"/>
      <c r="AY2988" s="37"/>
      <c r="AZ2988" s="37"/>
      <c r="BA2988" s="37"/>
      <c r="BB2988" s="37"/>
      <c r="BC2988" s="37"/>
      <c r="BD2988" s="37"/>
      <c r="BE2988" s="37"/>
      <c r="BF2988" s="37"/>
      <c r="BG2988" s="37"/>
      <c r="BH2988" s="37"/>
      <c r="BI2988" s="37"/>
      <c r="BJ2988" s="37"/>
      <c r="BK2988" s="37"/>
      <c r="BL2988" s="37"/>
      <c r="BM2988" s="37"/>
    </row>
    <row r="2989" spans="1:65" s="40" customFormat="1" ht="23.25" x14ac:dyDescent="0.35">
      <c r="A2989" s="37"/>
      <c r="B2989" s="37"/>
      <c r="C2989" s="41"/>
      <c r="D2989" s="38"/>
      <c r="E2989" s="57"/>
      <c r="F2989" s="42"/>
      <c r="G2989" s="43"/>
      <c r="H2989" s="37"/>
      <c r="I2989" s="37"/>
      <c r="J2989" s="38"/>
      <c r="K2989" s="37"/>
      <c r="L2989" s="38"/>
      <c r="M2989" s="39"/>
      <c r="P2989" s="37"/>
      <c r="Q2989" s="37"/>
      <c r="R2989" s="37"/>
      <c r="S2989" s="37"/>
      <c r="T2989" s="37"/>
      <c r="U2989" s="37"/>
      <c r="V2989" s="37"/>
      <c r="W2989" s="37"/>
      <c r="X2989" s="37"/>
      <c r="Y2989" s="37"/>
      <c r="Z2989" s="37"/>
      <c r="AA2989" s="37"/>
      <c r="AB2989" s="37"/>
      <c r="AC2989" s="37"/>
      <c r="AD2989" s="37"/>
      <c r="AE2989" s="37"/>
      <c r="AF2989" s="37"/>
      <c r="AG2989" s="37"/>
      <c r="AH2989" s="37"/>
      <c r="AI2989" s="37"/>
      <c r="AJ2989" s="37"/>
      <c r="AK2989" s="37"/>
      <c r="AL2989" s="37"/>
      <c r="AM2989" s="37"/>
      <c r="AN2989" s="37"/>
      <c r="AO2989" s="37"/>
      <c r="AP2989" s="37"/>
      <c r="AQ2989" s="37"/>
      <c r="AR2989" s="37"/>
      <c r="AS2989" s="37"/>
      <c r="AT2989" s="37"/>
      <c r="AU2989" s="37"/>
      <c r="AV2989" s="37"/>
      <c r="AW2989" s="37"/>
      <c r="AX2989" s="37"/>
      <c r="AY2989" s="37"/>
      <c r="AZ2989" s="37"/>
      <c r="BA2989" s="37"/>
      <c r="BB2989" s="37"/>
      <c r="BC2989" s="37"/>
      <c r="BD2989" s="37"/>
      <c r="BE2989" s="37"/>
      <c r="BF2989" s="37"/>
      <c r="BG2989" s="37"/>
      <c r="BH2989" s="37"/>
      <c r="BI2989" s="37"/>
      <c r="BJ2989" s="37"/>
      <c r="BK2989" s="37"/>
      <c r="BL2989" s="37"/>
      <c r="BM2989" s="37"/>
    </row>
    <row r="2990" spans="1:65" s="40" customFormat="1" ht="23.25" x14ac:dyDescent="0.35">
      <c r="A2990" s="37"/>
      <c r="B2990" s="37"/>
      <c r="C2990" s="41"/>
      <c r="D2990" s="38"/>
      <c r="E2990" s="57"/>
      <c r="F2990" s="42"/>
      <c r="G2990" s="43"/>
      <c r="H2990" s="37"/>
      <c r="I2990" s="37"/>
      <c r="J2990" s="38"/>
      <c r="K2990" s="37"/>
      <c r="L2990" s="38"/>
      <c r="M2990" s="39"/>
      <c r="P2990" s="37"/>
      <c r="Q2990" s="37"/>
      <c r="R2990" s="37"/>
      <c r="S2990" s="37"/>
      <c r="T2990" s="37"/>
      <c r="U2990" s="37"/>
      <c r="V2990" s="37"/>
      <c r="W2990" s="37"/>
      <c r="X2990" s="37"/>
      <c r="Y2990" s="37"/>
      <c r="Z2990" s="37"/>
      <c r="AA2990" s="37"/>
      <c r="AB2990" s="37"/>
      <c r="AC2990" s="37"/>
      <c r="AD2990" s="37"/>
      <c r="AE2990" s="37"/>
      <c r="AF2990" s="37"/>
      <c r="AG2990" s="37"/>
      <c r="AH2990" s="37"/>
      <c r="AI2990" s="37"/>
      <c r="AJ2990" s="37"/>
      <c r="AK2990" s="37"/>
      <c r="AL2990" s="37"/>
      <c r="AM2990" s="37"/>
      <c r="AN2990" s="37"/>
      <c r="AO2990" s="37"/>
      <c r="AP2990" s="37"/>
      <c r="AQ2990" s="37"/>
      <c r="AR2990" s="37"/>
      <c r="AS2990" s="37"/>
      <c r="AT2990" s="37"/>
      <c r="AU2990" s="37"/>
      <c r="AV2990" s="37"/>
      <c r="AW2990" s="37"/>
      <c r="AX2990" s="37"/>
      <c r="AY2990" s="37"/>
      <c r="AZ2990" s="37"/>
      <c r="BA2990" s="37"/>
      <c r="BB2990" s="37"/>
      <c r="BC2990" s="37"/>
      <c r="BD2990" s="37"/>
      <c r="BE2990" s="37"/>
      <c r="BF2990" s="37"/>
      <c r="BG2990" s="37"/>
      <c r="BH2990" s="37"/>
      <c r="BI2990" s="37"/>
      <c r="BJ2990" s="37"/>
      <c r="BK2990" s="37"/>
      <c r="BL2990" s="37"/>
      <c r="BM2990" s="37"/>
    </row>
    <row r="2991" spans="1:65" s="40" customFormat="1" ht="23.25" x14ac:dyDescent="0.35">
      <c r="A2991" s="37"/>
      <c r="B2991" s="37"/>
      <c r="C2991" s="41"/>
      <c r="D2991" s="38"/>
      <c r="E2991" s="57"/>
      <c r="F2991" s="42"/>
      <c r="G2991" s="43"/>
      <c r="H2991" s="37"/>
      <c r="I2991" s="37"/>
      <c r="J2991" s="38"/>
      <c r="K2991" s="37"/>
      <c r="L2991" s="38"/>
      <c r="M2991" s="39"/>
      <c r="P2991" s="37"/>
      <c r="Q2991" s="37"/>
      <c r="R2991" s="37"/>
      <c r="S2991" s="37"/>
      <c r="T2991" s="37"/>
      <c r="U2991" s="37"/>
      <c r="V2991" s="37"/>
      <c r="W2991" s="37"/>
      <c r="X2991" s="37"/>
      <c r="Y2991" s="37"/>
      <c r="Z2991" s="37"/>
      <c r="AA2991" s="37"/>
      <c r="AB2991" s="37"/>
      <c r="AC2991" s="37"/>
      <c r="AD2991" s="37"/>
      <c r="AE2991" s="37"/>
      <c r="AF2991" s="37"/>
      <c r="AG2991" s="37"/>
      <c r="AH2991" s="37"/>
      <c r="AI2991" s="37"/>
      <c r="AJ2991" s="37"/>
      <c r="AK2991" s="37"/>
      <c r="AL2991" s="37"/>
      <c r="AM2991" s="37"/>
      <c r="AN2991" s="37"/>
      <c r="AO2991" s="37"/>
      <c r="AP2991" s="37"/>
      <c r="AQ2991" s="37"/>
      <c r="AR2991" s="37"/>
      <c r="AS2991" s="37"/>
      <c r="AT2991" s="37"/>
      <c r="AU2991" s="37"/>
      <c r="AV2991" s="37"/>
      <c r="AW2991" s="37"/>
      <c r="AX2991" s="37"/>
      <c r="AY2991" s="37"/>
      <c r="AZ2991" s="37"/>
      <c r="BA2991" s="37"/>
      <c r="BB2991" s="37"/>
      <c r="BC2991" s="37"/>
      <c r="BD2991" s="37"/>
      <c r="BE2991" s="37"/>
      <c r="BF2991" s="37"/>
      <c r="BG2991" s="37"/>
      <c r="BH2991" s="37"/>
      <c r="BI2991" s="37"/>
      <c r="BJ2991" s="37"/>
      <c r="BK2991" s="37"/>
      <c r="BL2991" s="37"/>
      <c r="BM2991" s="37"/>
    </row>
    <row r="2992" spans="1:65" s="40" customFormat="1" ht="23.25" x14ac:dyDescent="0.35">
      <c r="A2992" s="37"/>
      <c r="B2992" s="37"/>
      <c r="C2992" s="41"/>
      <c r="D2992" s="38"/>
      <c r="E2992" s="57"/>
      <c r="F2992" s="42"/>
      <c r="G2992" s="43"/>
      <c r="H2992" s="37"/>
      <c r="I2992" s="37"/>
      <c r="J2992" s="38"/>
      <c r="K2992" s="37"/>
      <c r="L2992" s="38"/>
      <c r="M2992" s="39"/>
      <c r="P2992" s="37"/>
      <c r="Q2992" s="37"/>
      <c r="R2992" s="37"/>
      <c r="S2992" s="37"/>
      <c r="T2992" s="37"/>
      <c r="U2992" s="37"/>
      <c r="V2992" s="37"/>
      <c r="W2992" s="37"/>
      <c r="X2992" s="37"/>
      <c r="Y2992" s="37"/>
      <c r="Z2992" s="37"/>
      <c r="AA2992" s="37"/>
      <c r="AB2992" s="37"/>
      <c r="AC2992" s="37"/>
      <c r="AD2992" s="37"/>
      <c r="AE2992" s="37"/>
      <c r="AF2992" s="37"/>
      <c r="AG2992" s="37"/>
      <c r="AH2992" s="37"/>
      <c r="AI2992" s="37"/>
      <c r="AJ2992" s="37"/>
      <c r="AK2992" s="37"/>
      <c r="AL2992" s="37"/>
      <c r="AM2992" s="37"/>
      <c r="AN2992" s="37"/>
      <c r="AO2992" s="37"/>
      <c r="AP2992" s="37"/>
      <c r="AQ2992" s="37"/>
      <c r="AR2992" s="37"/>
      <c r="AS2992" s="37"/>
      <c r="AT2992" s="37"/>
      <c r="AU2992" s="37"/>
      <c r="AV2992" s="37"/>
      <c r="AW2992" s="37"/>
      <c r="AX2992" s="37"/>
      <c r="AY2992" s="37"/>
      <c r="AZ2992" s="37"/>
      <c r="BA2992" s="37"/>
      <c r="BB2992" s="37"/>
      <c r="BC2992" s="37"/>
      <c r="BD2992" s="37"/>
      <c r="BE2992" s="37"/>
      <c r="BF2992" s="37"/>
      <c r="BG2992" s="37"/>
      <c r="BH2992" s="37"/>
      <c r="BI2992" s="37"/>
      <c r="BJ2992" s="37"/>
      <c r="BK2992" s="37"/>
      <c r="BL2992" s="37"/>
      <c r="BM2992" s="37"/>
    </row>
    <row r="2993" spans="1:65" s="40" customFormat="1" ht="23.25" x14ac:dyDescent="0.35">
      <c r="A2993" s="37"/>
      <c r="B2993" s="37"/>
      <c r="C2993" s="41"/>
      <c r="D2993" s="38"/>
      <c r="E2993" s="57"/>
      <c r="F2993" s="42"/>
      <c r="G2993" s="43"/>
      <c r="H2993" s="37"/>
      <c r="I2993" s="37"/>
      <c r="J2993" s="38"/>
      <c r="K2993" s="37"/>
      <c r="L2993" s="38"/>
      <c r="M2993" s="39"/>
      <c r="P2993" s="37"/>
      <c r="Q2993" s="37"/>
      <c r="R2993" s="37"/>
      <c r="S2993" s="37"/>
      <c r="T2993" s="37"/>
      <c r="U2993" s="37"/>
      <c r="V2993" s="37"/>
      <c r="W2993" s="37"/>
      <c r="X2993" s="37"/>
      <c r="Y2993" s="37"/>
      <c r="Z2993" s="37"/>
      <c r="AA2993" s="37"/>
      <c r="AB2993" s="37"/>
      <c r="AC2993" s="37"/>
      <c r="AD2993" s="37"/>
      <c r="AE2993" s="37"/>
      <c r="AF2993" s="37"/>
      <c r="AG2993" s="37"/>
      <c r="AH2993" s="37"/>
      <c r="AI2993" s="37"/>
      <c r="AJ2993" s="37"/>
      <c r="AK2993" s="37"/>
      <c r="AL2993" s="37"/>
      <c r="AM2993" s="37"/>
      <c r="AN2993" s="37"/>
      <c r="AO2993" s="37"/>
      <c r="AP2993" s="37"/>
      <c r="AQ2993" s="37"/>
      <c r="AR2993" s="37"/>
      <c r="AS2993" s="37"/>
      <c r="AT2993" s="37"/>
      <c r="AU2993" s="37"/>
      <c r="AV2993" s="37"/>
      <c r="AW2993" s="37"/>
      <c r="AX2993" s="37"/>
      <c r="AY2993" s="37"/>
      <c r="AZ2993" s="37"/>
      <c r="BA2993" s="37"/>
      <c r="BB2993" s="37"/>
      <c r="BC2993" s="37"/>
      <c r="BD2993" s="37"/>
      <c r="BE2993" s="37"/>
      <c r="BF2993" s="37"/>
      <c r="BG2993" s="37"/>
      <c r="BH2993" s="37"/>
      <c r="BI2993" s="37"/>
      <c r="BJ2993" s="37"/>
      <c r="BK2993" s="37"/>
      <c r="BL2993" s="37"/>
      <c r="BM2993" s="37"/>
    </row>
    <row r="2994" spans="1:65" s="40" customFormat="1" ht="23.25" x14ac:dyDescent="0.35">
      <c r="A2994" s="37"/>
      <c r="B2994" s="37"/>
      <c r="C2994" s="41"/>
      <c r="D2994" s="38"/>
      <c r="E2994" s="57"/>
      <c r="F2994" s="42"/>
      <c r="G2994" s="43"/>
      <c r="H2994" s="37"/>
      <c r="I2994" s="37"/>
      <c r="J2994" s="38"/>
      <c r="K2994" s="37"/>
      <c r="L2994" s="38"/>
      <c r="M2994" s="39"/>
      <c r="P2994" s="37"/>
      <c r="Q2994" s="37"/>
      <c r="R2994" s="37"/>
      <c r="S2994" s="37"/>
      <c r="T2994" s="37"/>
      <c r="U2994" s="37"/>
      <c r="V2994" s="37"/>
      <c r="W2994" s="37"/>
      <c r="X2994" s="37"/>
      <c r="Y2994" s="37"/>
      <c r="Z2994" s="37"/>
      <c r="AA2994" s="37"/>
      <c r="AB2994" s="37"/>
      <c r="AC2994" s="37"/>
      <c r="AD2994" s="37"/>
      <c r="AE2994" s="37"/>
      <c r="AF2994" s="37"/>
      <c r="AG2994" s="37"/>
      <c r="AH2994" s="37"/>
      <c r="AI2994" s="37"/>
      <c r="AJ2994" s="37"/>
      <c r="AK2994" s="37"/>
      <c r="AL2994" s="37"/>
      <c r="AM2994" s="37"/>
      <c r="AN2994" s="37"/>
      <c r="AO2994" s="37"/>
      <c r="AP2994" s="37"/>
      <c r="AQ2994" s="37"/>
      <c r="AR2994" s="37"/>
      <c r="AS2994" s="37"/>
      <c r="AT2994" s="37"/>
      <c r="AU2994" s="37"/>
      <c r="AV2994" s="37"/>
      <c r="AW2994" s="37"/>
      <c r="AX2994" s="37"/>
      <c r="AY2994" s="37"/>
      <c r="AZ2994" s="37"/>
      <c r="BA2994" s="37"/>
      <c r="BB2994" s="37"/>
      <c r="BC2994" s="37"/>
      <c r="BD2994" s="37"/>
      <c r="BE2994" s="37"/>
      <c r="BF2994" s="37"/>
      <c r="BG2994" s="37"/>
      <c r="BH2994" s="37"/>
      <c r="BI2994" s="37"/>
      <c r="BJ2994" s="37"/>
      <c r="BK2994" s="37"/>
      <c r="BL2994" s="37"/>
      <c r="BM2994" s="37"/>
    </row>
    <row r="2995" spans="1:65" s="40" customFormat="1" ht="23.25" x14ac:dyDescent="0.35">
      <c r="A2995" s="37"/>
      <c r="B2995" s="37"/>
      <c r="C2995" s="41"/>
      <c r="D2995" s="38"/>
      <c r="E2995" s="57"/>
      <c r="F2995" s="42"/>
      <c r="G2995" s="43"/>
      <c r="H2995" s="37"/>
      <c r="I2995" s="37"/>
      <c r="J2995" s="38"/>
      <c r="K2995" s="37"/>
      <c r="L2995" s="38"/>
      <c r="M2995" s="39"/>
      <c r="P2995" s="37"/>
      <c r="Q2995" s="37"/>
      <c r="R2995" s="37"/>
      <c r="S2995" s="37"/>
      <c r="T2995" s="37"/>
      <c r="U2995" s="37"/>
      <c r="V2995" s="37"/>
      <c r="W2995" s="37"/>
      <c r="X2995" s="37"/>
      <c r="Y2995" s="37"/>
      <c r="Z2995" s="37"/>
      <c r="AA2995" s="37"/>
      <c r="AB2995" s="37"/>
      <c r="AC2995" s="37"/>
      <c r="AD2995" s="37"/>
      <c r="AE2995" s="37"/>
      <c r="AF2995" s="37"/>
      <c r="AG2995" s="37"/>
      <c r="AH2995" s="37"/>
      <c r="AI2995" s="37"/>
      <c r="AJ2995" s="37"/>
      <c r="AK2995" s="37"/>
      <c r="AL2995" s="37"/>
      <c r="AM2995" s="37"/>
      <c r="AN2995" s="37"/>
      <c r="AO2995" s="37"/>
      <c r="AP2995" s="37"/>
      <c r="AQ2995" s="37"/>
      <c r="AR2995" s="37"/>
      <c r="AS2995" s="37"/>
      <c r="AT2995" s="37"/>
      <c r="AU2995" s="37"/>
      <c r="AV2995" s="37"/>
      <c r="AW2995" s="37"/>
      <c r="AX2995" s="37"/>
      <c r="AY2995" s="37"/>
      <c r="AZ2995" s="37"/>
      <c r="BA2995" s="37"/>
      <c r="BB2995" s="37"/>
      <c r="BC2995" s="37"/>
      <c r="BD2995" s="37"/>
      <c r="BE2995" s="37"/>
      <c r="BF2995" s="37"/>
      <c r="BG2995" s="37"/>
      <c r="BH2995" s="37"/>
      <c r="BI2995" s="37"/>
      <c r="BJ2995" s="37"/>
      <c r="BK2995" s="37"/>
      <c r="BL2995" s="37"/>
      <c r="BM2995" s="37"/>
    </row>
    <row r="2996" spans="1:65" s="40" customFormat="1" ht="23.25" x14ac:dyDescent="0.35">
      <c r="A2996" s="37"/>
      <c r="B2996" s="37"/>
      <c r="C2996" s="41"/>
      <c r="D2996" s="38"/>
      <c r="E2996" s="57"/>
      <c r="F2996" s="42"/>
      <c r="G2996" s="43"/>
      <c r="H2996" s="37"/>
      <c r="I2996" s="37"/>
      <c r="J2996" s="38"/>
      <c r="K2996" s="37"/>
      <c r="L2996" s="38"/>
      <c r="M2996" s="39"/>
      <c r="P2996" s="37"/>
      <c r="Q2996" s="37"/>
      <c r="R2996" s="37"/>
      <c r="S2996" s="37"/>
      <c r="T2996" s="37"/>
      <c r="U2996" s="37"/>
      <c r="V2996" s="37"/>
      <c r="W2996" s="37"/>
      <c r="X2996" s="37"/>
      <c r="Y2996" s="37"/>
      <c r="Z2996" s="37"/>
      <c r="AA2996" s="37"/>
      <c r="AB2996" s="37"/>
      <c r="AC2996" s="37"/>
      <c r="AD2996" s="37"/>
      <c r="AE2996" s="37"/>
      <c r="AF2996" s="37"/>
      <c r="AG2996" s="37"/>
      <c r="AH2996" s="37"/>
      <c r="AI2996" s="37"/>
      <c r="AJ2996" s="37"/>
      <c r="AK2996" s="37"/>
      <c r="AL2996" s="37"/>
      <c r="AM2996" s="37"/>
      <c r="AN2996" s="37"/>
      <c r="AO2996" s="37"/>
      <c r="AP2996" s="37"/>
      <c r="AQ2996" s="37"/>
      <c r="AR2996" s="37"/>
      <c r="AS2996" s="37"/>
      <c r="AT2996" s="37"/>
      <c r="AU2996" s="37"/>
      <c r="AV2996" s="37"/>
      <c r="AW2996" s="37"/>
      <c r="AX2996" s="37"/>
      <c r="AY2996" s="37"/>
      <c r="AZ2996" s="37"/>
      <c r="BA2996" s="37"/>
      <c r="BB2996" s="37"/>
      <c r="BC2996" s="37"/>
      <c r="BD2996" s="37"/>
      <c r="BE2996" s="37"/>
      <c r="BF2996" s="37"/>
      <c r="BG2996" s="37"/>
      <c r="BH2996" s="37"/>
      <c r="BI2996" s="37"/>
      <c r="BJ2996" s="37"/>
      <c r="BK2996" s="37"/>
      <c r="BL2996" s="37"/>
      <c r="BM2996" s="37"/>
    </row>
    <row r="2997" spans="1:65" s="40" customFormat="1" ht="23.25" x14ac:dyDescent="0.35">
      <c r="A2997" s="37"/>
      <c r="B2997" s="37"/>
      <c r="C2997" s="41"/>
      <c r="D2997" s="38"/>
      <c r="E2997" s="57"/>
      <c r="F2997" s="42"/>
      <c r="G2997" s="43"/>
      <c r="H2997" s="37"/>
      <c r="I2997" s="37"/>
      <c r="J2997" s="38"/>
      <c r="K2997" s="37"/>
      <c r="L2997" s="38"/>
      <c r="M2997" s="39"/>
      <c r="P2997" s="37"/>
      <c r="Q2997" s="37"/>
      <c r="R2997" s="37"/>
      <c r="S2997" s="37"/>
      <c r="T2997" s="37"/>
      <c r="U2997" s="37"/>
      <c r="V2997" s="37"/>
      <c r="W2997" s="37"/>
      <c r="X2997" s="37"/>
      <c r="Y2997" s="37"/>
      <c r="Z2997" s="37"/>
      <c r="AA2997" s="37"/>
      <c r="AB2997" s="37"/>
      <c r="AC2997" s="37"/>
      <c r="AD2997" s="37"/>
      <c r="AE2997" s="37"/>
      <c r="AF2997" s="37"/>
      <c r="AG2997" s="37"/>
      <c r="AH2997" s="37"/>
      <c r="AI2997" s="37"/>
      <c r="AJ2997" s="37"/>
      <c r="AK2997" s="37"/>
      <c r="AL2997" s="37"/>
      <c r="AM2997" s="37"/>
      <c r="AN2997" s="37"/>
      <c r="AO2997" s="37"/>
      <c r="AP2997" s="37"/>
      <c r="AQ2997" s="37"/>
      <c r="AR2997" s="37"/>
      <c r="AS2997" s="37"/>
      <c r="AT2997" s="37"/>
      <c r="AU2997" s="37"/>
      <c r="AV2997" s="37"/>
      <c r="AW2997" s="37"/>
      <c r="AX2997" s="37"/>
      <c r="AY2997" s="37"/>
      <c r="AZ2997" s="37"/>
      <c r="BA2997" s="37"/>
      <c r="BB2997" s="37"/>
      <c r="BC2997" s="37"/>
      <c r="BD2997" s="37"/>
      <c r="BE2997" s="37"/>
      <c r="BF2997" s="37"/>
      <c r="BG2997" s="37"/>
      <c r="BH2997" s="37"/>
      <c r="BI2997" s="37"/>
      <c r="BJ2997" s="37"/>
      <c r="BK2997" s="37"/>
      <c r="BL2997" s="37"/>
      <c r="BM2997" s="37"/>
    </row>
    <row r="2998" spans="1:65" s="40" customFormat="1" ht="23.25" x14ac:dyDescent="0.35">
      <c r="A2998" s="37"/>
      <c r="B2998" s="37"/>
      <c r="C2998" s="41"/>
      <c r="D2998" s="38"/>
      <c r="E2998" s="57"/>
      <c r="F2998" s="42"/>
      <c r="G2998" s="43"/>
      <c r="H2998" s="37"/>
      <c r="I2998" s="37"/>
      <c r="J2998" s="38"/>
      <c r="K2998" s="37"/>
      <c r="L2998" s="38"/>
      <c r="M2998" s="39"/>
      <c r="P2998" s="37"/>
      <c r="Q2998" s="37"/>
      <c r="R2998" s="37"/>
      <c r="S2998" s="37"/>
      <c r="T2998" s="37"/>
      <c r="U2998" s="37"/>
      <c r="V2998" s="37"/>
      <c r="W2998" s="37"/>
      <c r="X2998" s="37"/>
      <c r="Y2998" s="37"/>
      <c r="Z2998" s="37"/>
      <c r="AA2998" s="37"/>
      <c r="AB2998" s="37"/>
      <c r="AC2998" s="37"/>
      <c r="AD2998" s="37"/>
      <c r="AE2998" s="37"/>
      <c r="AF2998" s="37"/>
      <c r="AG2998" s="37"/>
      <c r="AH2998" s="37"/>
      <c r="AI2998" s="37"/>
      <c r="AJ2998" s="37"/>
      <c r="AK2998" s="37"/>
      <c r="AL2998" s="37"/>
      <c r="AM2998" s="37"/>
      <c r="AN2998" s="37"/>
      <c r="AO2998" s="37"/>
      <c r="AP2998" s="37"/>
      <c r="AQ2998" s="37"/>
      <c r="AR2998" s="37"/>
      <c r="AS2998" s="37"/>
      <c r="AT2998" s="37"/>
      <c r="AU2998" s="37"/>
      <c r="AV2998" s="37"/>
      <c r="AW2998" s="37"/>
      <c r="AX2998" s="37"/>
      <c r="AY2998" s="37"/>
      <c r="AZ2998" s="37"/>
      <c r="BA2998" s="37"/>
      <c r="BB2998" s="37"/>
      <c r="BC2998" s="37"/>
      <c r="BD2998" s="37"/>
      <c r="BE2998" s="37"/>
      <c r="BF2998" s="37"/>
      <c r="BG2998" s="37"/>
      <c r="BH2998" s="37"/>
      <c r="BI2998" s="37"/>
      <c r="BJ2998" s="37"/>
      <c r="BK2998" s="37"/>
      <c r="BL2998" s="37"/>
      <c r="BM2998" s="37"/>
    </row>
    <row r="2999" spans="1:65" s="40" customFormat="1" ht="23.25" x14ac:dyDescent="0.35">
      <c r="A2999" s="37"/>
      <c r="B2999" s="37"/>
      <c r="C2999" s="41"/>
      <c r="D2999" s="38"/>
      <c r="E2999" s="57"/>
      <c r="F2999" s="42"/>
      <c r="G2999" s="43"/>
      <c r="H2999" s="37"/>
      <c r="I2999" s="37"/>
      <c r="J2999" s="38"/>
      <c r="K2999" s="37"/>
      <c r="L2999" s="38"/>
      <c r="M2999" s="39"/>
      <c r="P2999" s="37"/>
      <c r="Q2999" s="37"/>
      <c r="R2999" s="37"/>
      <c r="S2999" s="37"/>
      <c r="T2999" s="37"/>
      <c r="U2999" s="37"/>
      <c r="V2999" s="37"/>
      <c r="W2999" s="37"/>
      <c r="X2999" s="37"/>
      <c r="Y2999" s="37"/>
      <c r="Z2999" s="37"/>
      <c r="AA2999" s="37"/>
      <c r="AB2999" s="37"/>
      <c r="AC2999" s="37"/>
      <c r="AD2999" s="37"/>
      <c r="AE2999" s="37"/>
      <c r="AF2999" s="37"/>
      <c r="AG2999" s="37"/>
      <c r="AH2999" s="37"/>
      <c r="AI2999" s="37"/>
      <c r="AJ2999" s="37"/>
      <c r="AK2999" s="37"/>
      <c r="AL2999" s="37"/>
      <c r="AM2999" s="37"/>
      <c r="AN2999" s="37"/>
      <c r="AO2999" s="37"/>
      <c r="AP2999" s="37"/>
      <c r="AQ2999" s="37"/>
      <c r="AR2999" s="37"/>
      <c r="AS2999" s="37"/>
      <c r="AT2999" s="37"/>
      <c r="AU2999" s="37"/>
      <c r="AV2999" s="37"/>
      <c r="AW2999" s="37"/>
      <c r="AX2999" s="37"/>
      <c r="AY2999" s="37"/>
      <c r="AZ2999" s="37"/>
      <c r="BA2999" s="37"/>
      <c r="BB2999" s="37"/>
      <c r="BC2999" s="37"/>
      <c r="BD2999" s="37"/>
      <c r="BE2999" s="37"/>
      <c r="BF2999" s="37"/>
      <c r="BG2999" s="37"/>
      <c r="BH2999" s="37"/>
      <c r="BI2999" s="37"/>
      <c r="BJ2999" s="37"/>
      <c r="BK2999" s="37"/>
      <c r="BL2999" s="37"/>
      <c r="BM2999" s="37"/>
    </row>
    <row r="3000" spans="1:65" s="40" customFormat="1" ht="23.25" x14ac:dyDescent="0.35">
      <c r="A3000" s="37"/>
      <c r="B3000" s="37"/>
      <c r="C3000" s="41"/>
      <c r="D3000" s="38"/>
      <c r="E3000" s="57"/>
      <c r="F3000" s="42"/>
      <c r="G3000" s="43"/>
      <c r="H3000" s="37"/>
      <c r="I3000" s="37"/>
      <c r="J3000" s="38"/>
      <c r="K3000" s="37"/>
      <c r="L3000" s="38"/>
      <c r="M3000" s="39"/>
      <c r="P3000" s="37"/>
      <c r="Q3000" s="37"/>
      <c r="R3000" s="37"/>
      <c r="S3000" s="37"/>
      <c r="T3000" s="37"/>
      <c r="U3000" s="37"/>
      <c r="V3000" s="37"/>
      <c r="W3000" s="37"/>
      <c r="X3000" s="37"/>
      <c r="Y3000" s="37"/>
      <c r="Z3000" s="37"/>
      <c r="AA3000" s="37"/>
      <c r="AB3000" s="37"/>
      <c r="AC3000" s="37"/>
      <c r="AD3000" s="37"/>
      <c r="AE3000" s="37"/>
      <c r="AF3000" s="37"/>
      <c r="AG3000" s="37"/>
      <c r="AH3000" s="37"/>
      <c r="AI3000" s="37"/>
      <c r="AJ3000" s="37"/>
      <c r="AK3000" s="37"/>
      <c r="AL3000" s="37"/>
      <c r="AM3000" s="37"/>
      <c r="AN3000" s="37"/>
      <c r="AO3000" s="37"/>
      <c r="AP3000" s="37"/>
      <c r="AQ3000" s="37"/>
      <c r="AR3000" s="37"/>
      <c r="AS3000" s="37"/>
      <c r="AT3000" s="37"/>
      <c r="AU3000" s="37"/>
      <c r="AV3000" s="37"/>
      <c r="AW3000" s="37"/>
      <c r="AX3000" s="37"/>
      <c r="AY3000" s="37"/>
      <c r="AZ3000" s="37"/>
      <c r="BA3000" s="37"/>
      <c r="BB3000" s="37"/>
      <c r="BC3000" s="37"/>
      <c r="BD3000" s="37"/>
      <c r="BE3000" s="37"/>
      <c r="BF3000" s="37"/>
      <c r="BG3000" s="37"/>
      <c r="BH3000" s="37"/>
      <c r="BI3000" s="37"/>
      <c r="BJ3000" s="37"/>
      <c r="BK3000" s="37"/>
      <c r="BL3000" s="37"/>
      <c r="BM3000" s="37"/>
    </row>
    <row r="3001" spans="1:65" s="40" customFormat="1" ht="23.25" x14ac:dyDescent="0.35">
      <c r="A3001" s="37"/>
      <c r="B3001" s="37"/>
      <c r="C3001" s="41"/>
      <c r="D3001" s="38"/>
      <c r="E3001" s="57"/>
      <c r="F3001" s="42"/>
      <c r="G3001" s="43"/>
      <c r="H3001" s="37"/>
      <c r="I3001" s="37"/>
      <c r="J3001" s="38"/>
      <c r="K3001" s="37"/>
      <c r="L3001" s="38"/>
      <c r="M3001" s="39"/>
      <c r="P3001" s="37"/>
      <c r="Q3001" s="37"/>
      <c r="R3001" s="37"/>
      <c r="S3001" s="37"/>
      <c r="T3001" s="37"/>
      <c r="U3001" s="37"/>
      <c r="V3001" s="37"/>
      <c r="W3001" s="37"/>
      <c r="X3001" s="37"/>
      <c r="Y3001" s="37"/>
      <c r="Z3001" s="37"/>
      <c r="AA3001" s="37"/>
      <c r="AB3001" s="37"/>
      <c r="AC3001" s="37"/>
      <c r="AD3001" s="37"/>
      <c r="AE3001" s="37"/>
      <c r="AF3001" s="37"/>
      <c r="AG3001" s="37"/>
      <c r="AH3001" s="37"/>
      <c r="AI3001" s="37"/>
      <c r="AJ3001" s="37"/>
      <c r="AK3001" s="37"/>
      <c r="AL3001" s="37"/>
      <c r="AM3001" s="37"/>
      <c r="AN3001" s="37"/>
      <c r="AO3001" s="37"/>
      <c r="AP3001" s="37"/>
      <c r="AQ3001" s="37"/>
      <c r="AR3001" s="37"/>
      <c r="AS3001" s="37"/>
      <c r="AT3001" s="37"/>
      <c r="AU3001" s="37"/>
      <c r="AV3001" s="37"/>
      <c r="AW3001" s="37"/>
      <c r="AX3001" s="37"/>
      <c r="AY3001" s="37"/>
      <c r="AZ3001" s="37"/>
      <c r="BA3001" s="37"/>
      <c r="BB3001" s="37"/>
      <c r="BC3001" s="37"/>
      <c r="BD3001" s="37"/>
      <c r="BE3001" s="37"/>
      <c r="BF3001" s="37"/>
      <c r="BG3001" s="37"/>
      <c r="BH3001" s="37"/>
      <c r="BI3001" s="37"/>
      <c r="BJ3001" s="37"/>
      <c r="BK3001" s="37"/>
      <c r="BL3001" s="37"/>
      <c r="BM3001" s="37"/>
    </row>
    <row r="3002" spans="1:65" s="40" customFormat="1" ht="23.25" x14ac:dyDescent="0.35">
      <c r="A3002" s="37"/>
      <c r="B3002" s="37"/>
      <c r="C3002" s="41"/>
      <c r="D3002" s="38"/>
      <c r="E3002" s="57"/>
      <c r="F3002" s="42"/>
      <c r="G3002" s="43"/>
      <c r="H3002" s="37"/>
      <c r="I3002" s="37"/>
      <c r="J3002" s="38"/>
      <c r="K3002" s="37"/>
      <c r="L3002" s="38"/>
      <c r="M3002" s="39"/>
      <c r="P3002" s="37"/>
      <c r="Q3002" s="37"/>
      <c r="R3002" s="37"/>
      <c r="S3002" s="37"/>
      <c r="T3002" s="37"/>
      <c r="U3002" s="37"/>
      <c r="V3002" s="37"/>
      <c r="W3002" s="37"/>
      <c r="X3002" s="37"/>
      <c r="Y3002" s="37"/>
      <c r="Z3002" s="37"/>
      <c r="AA3002" s="37"/>
      <c r="AB3002" s="37"/>
      <c r="AC3002" s="37"/>
      <c r="AD3002" s="37"/>
      <c r="AE3002" s="37"/>
      <c r="AF3002" s="37"/>
      <c r="AG3002" s="37"/>
      <c r="AH3002" s="37"/>
      <c r="AI3002" s="37"/>
      <c r="AJ3002" s="37"/>
      <c r="AK3002" s="37"/>
      <c r="AL3002" s="37"/>
      <c r="AM3002" s="37"/>
      <c r="AN3002" s="37"/>
      <c r="AO3002" s="37"/>
      <c r="AP3002" s="37"/>
      <c r="AQ3002" s="37"/>
      <c r="AR3002" s="37"/>
      <c r="AS3002" s="37"/>
      <c r="AT3002" s="37"/>
      <c r="AU3002" s="37"/>
      <c r="AV3002" s="37"/>
      <c r="AW3002" s="37"/>
      <c r="AX3002" s="37"/>
      <c r="AY3002" s="37"/>
      <c r="AZ3002" s="37"/>
      <c r="BA3002" s="37"/>
      <c r="BB3002" s="37"/>
      <c r="BC3002" s="37"/>
      <c r="BD3002" s="37"/>
      <c r="BE3002" s="37"/>
      <c r="BF3002" s="37"/>
      <c r="BG3002" s="37"/>
      <c r="BH3002" s="37"/>
      <c r="BI3002" s="37"/>
      <c r="BJ3002" s="37"/>
      <c r="BK3002" s="37"/>
      <c r="BL3002" s="37"/>
      <c r="BM3002" s="37"/>
    </row>
    <row r="3003" spans="1:65" s="40" customFormat="1" ht="23.25" x14ac:dyDescent="0.35">
      <c r="A3003" s="37"/>
      <c r="B3003" s="37"/>
      <c r="C3003" s="41"/>
      <c r="D3003" s="38"/>
      <c r="E3003" s="57"/>
      <c r="F3003" s="42"/>
      <c r="G3003" s="43"/>
      <c r="H3003" s="37"/>
      <c r="I3003" s="37"/>
      <c r="J3003" s="38"/>
      <c r="K3003" s="37"/>
      <c r="L3003" s="38"/>
      <c r="M3003" s="39"/>
      <c r="P3003" s="37"/>
      <c r="Q3003" s="37"/>
      <c r="R3003" s="37"/>
      <c r="S3003" s="37"/>
      <c r="T3003" s="37"/>
      <c r="U3003" s="37"/>
      <c r="V3003" s="37"/>
      <c r="W3003" s="37"/>
      <c r="X3003" s="37"/>
      <c r="Y3003" s="37"/>
      <c r="Z3003" s="37"/>
      <c r="AA3003" s="37"/>
      <c r="AB3003" s="37"/>
      <c r="AC3003" s="37"/>
      <c r="AD3003" s="37"/>
      <c r="AE3003" s="37"/>
      <c r="AF3003" s="37"/>
      <c r="AG3003" s="37"/>
      <c r="AH3003" s="37"/>
      <c r="AI3003" s="37"/>
      <c r="AJ3003" s="37"/>
      <c r="AK3003" s="37"/>
      <c r="AL3003" s="37"/>
      <c r="AM3003" s="37"/>
      <c r="AN3003" s="37"/>
      <c r="AO3003" s="37"/>
      <c r="AP3003" s="37"/>
      <c r="AQ3003" s="37"/>
      <c r="AR3003" s="37"/>
      <c r="AS3003" s="37"/>
      <c r="AT3003" s="37"/>
      <c r="AU3003" s="37"/>
      <c r="AV3003" s="37"/>
      <c r="AW3003" s="37"/>
      <c r="AX3003" s="37"/>
      <c r="AY3003" s="37"/>
      <c r="AZ3003" s="37"/>
      <c r="BA3003" s="37"/>
      <c r="BB3003" s="37"/>
      <c r="BC3003" s="37"/>
      <c r="BD3003" s="37"/>
      <c r="BE3003" s="37"/>
      <c r="BF3003" s="37"/>
      <c r="BG3003" s="37"/>
      <c r="BH3003" s="37"/>
      <c r="BI3003" s="37"/>
      <c r="BJ3003" s="37"/>
      <c r="BK3003" s="37"/>
      <c r="BL3003" s="37"/>
      <c r="BM3003" s="37"/>
    </row>
    <row r="3004" spans="1:65" s="40" customFormat="1" ht="23.25" x14ac:dyDescent="0.35">
      <c r="A3004" s="37"/>
      <c r="B3004" s="37"/>
      <c r="C3004" s="41"/>
      <c r="D3004" s="38"/>
      <c r="E3004" s="57"/>
      <c r="F3004" s="42"/>
      <c r="G3004" s="43"/>
      <c r="H3004" s="37"/>
      <c r="I3004" s="37"/>
      <c r="J3004" s="38"/>
      <c r="K3004" s="37"/>
      <c r="L3004" s="38"/>
      <c r="M3004" s="39"/>
      <c r="P3004" s="37"/>
      <c r="Q3004" s="37"/>
      <c r="R3004" s="37"/>
      <c r="S3004" s="37"/>
      <c r="T3004" s="37"/>
      <c r="U3004" s="37"/>
      <c r="V3004" s="37"/>
      <c r="W3004" s="37"/>
      <c r="X3004" s="37"/>
      <c r="Y3004" s="37"/>
      <c r="Z3004" s="37"/>
      <c r="AA3004" s="37"/>
      <c r="AB3004" s="37"/>
      <c r="AC3004" s="37"/>
      <c r="AD3004" s="37"/>
      <c r="AE3004" s="37"/>
      <c r="AF3004" s="37"/>
      <c r="AG3004" s="37"/>
      <c r="AH3004" s="37"/>
      <c r="AI3004" s="37"/>
      <c r="AJ3004" s="37"/>
      <c r="AK3004" s="37"/>
      <c r="AL3004" s="37"/>
      <c r="AM3004" s="37"/>
      <c r="AN3004" s="37"/>
      <c r="AO3004" s="37"/>
      <c r="AP3004" s="37"/>
      <c r="AQ3004" s="37"/>
      <c r="AR3004" s="37"/>
      <c r="AS3004" s="37"/>
      <c r="AT3004" s="37"/>
      <c r="AU3004" s="37"/>
      <c r="AV3004" s="37"/>
      <c r="AW3004" s="37"/>
      <c r="AX3004" s="37"/>
      <c r="AY3004" s="37"/>
      <c r="AZ3004" s="37"/>
      <c r="BA3004" s="37"/>
      <c r="BB3004" s="37"/>
      <c r="BC3004" s="37"/>
      <c r="BD3004" s="37"/>
      <c r="BE3004" s="37"/>
      <c r="BF3004" s="37"/>
      <c r="BG3004" s="37"/>
      <c r="BH3004" s="37"/>
      <c r="BI3004" s="37"/>
      <c r="BJ3004" s="37"/>
      <c r="BK3004" s="37"/>
      <c r="BL3004" s="37"/>
      <c r="BM3004" s="37"/>
    </row>
    <row r="3005" spans="1:65" s="40" customFormat="1" ht="23.25" x14ac:dyDescent="0.35">
      <c r="A3005" s="37"/>
      <c r="B3005" s="37"/>
      <c r="C3005" s="41"/>
      <c r="D3005" s="38"/>
      <c r="E3005" s="57"/>
      <c r="F3005" s="42"/>
      <c r="G3005" s="43"/>
      <c r="H3005" s="37"/>
      <c r="I3005" s="37"/>
      <c r="J3005" s="38"/>
      <c r="K3005" s="37"/>
      <c r="L3005" s="38"/>
      <c r="M3005" s="39"/>
      <c r="P3005" s="37"/>
      <c r="Q3005" s="37"/>
      <c r="R3005" s="37"/>
      <c r="S3005" s="37"/>
      <c r="T3005" s="37"/>
      <c r="U3005" s="37"/>
      <c r="V3005" s="37"/>
      <c r="W3005" s="37"/>
      <c r="X3005" s="37"/>
      <c r="Y3005" s="37"/>
      <c r="Z3005" s="37"/>
      <c r="AA3005" s="37"/>
      <c r="AB3005" s="37"/>
      <c r="AC3005" s="37"/>
      <c r="AD3005" s="37"/>
      <c r="AE3005" s="37"/>
      <c r="AF3005" s="37"/>
      <c r="AG3005" s="37"/>
      <c r="AH3005" s="37"/>
      <c r="AI3005" s="37"/>
      <c r="AJ3005" s="37"/>
      <c r="AK3005" s="37"/>
      <c r="AL3005" s="37"/>
      <c r="AM3005" s="37"/>
      <c r="AN3005" s="37"/>
      <c r="AO3005" s="37"/>
      <c r="AP3005" s="37"/>
      <c r="AQ3005" s="37"/>
      <c r="AR3005" s="37"/>
      <c r="AS3005" s="37"/>
      <c r="AT3005" s="37"/>
      <c r="AU3005" s="37"/>
      <c r="AV3005" s="37"/>
      <c r="AW3005" s="37"/>
      <c r="AX3005" s="37"/>
      <c r="AY3005" s="37"/>
      <c r="AZ3005" s="37"/>
      <c r="BA3005" s="37"/>
      <c r="BB3005" s="37"/>
      <c r="BC3005" s="37"/>
      <c r="BD3005" s="37"/>
      <c r="BE3005" s="37"/>
      <c r="BF3005" s="37"/>
      <c r="BG3005" s="37"/>
      <c r="BH3005" s="37"/>
      <c r="BI3005" s="37"/>
      <c r="BJ3005" s="37"/>
      <c r="BK3005" s="37"/>
      <c r="BL3005" s="37"/>
      <c r="BM3005" s="37"/>
    </row>
    <row r="3006" spans="1:65" s="40" customFormat="1" ht="23.25" x14ac:dyDescent="0.35">
      <c r="A3006" s="37"/>
      <c r="B3006" s="37"/>
      <c r="C3006" s="41"/>
      <c r="D3006" s="38"/>
      <c r="E3006" s="57"/>
      <c r="F3006" s="42"/>
      <c r="G3006" s="43"/>
      <c r="H3006" s="37"/>
      <c r="I3006" s="37"/>
      <c r="J3006" s="38"/>
      <c r="K3006" s="37"/>
      <c r="L3006" s="38"/>
      <c r="M3006" s="39"/>
      <c r="P3006" s="37"/>
      <c r="Q3006" s="37"/>
      <c r="R3006" s="37"/>
      <c r="S3006" s="37"/>
      <c r="T3006" s="37"/>
      <c r="U3006" s="37"/>
      <c r="V3006" s="37"/>
      <c r="W3006" s="37"/>
      <c r="X3006" s="37"/>
      <c r="Y3006" s="37"/>
      <c r="Z3006" s="37"/>
      <c r="AA3006" s="37"/>
      <c r="AB3006" s="37"/>
      <c r="AC3006" s="37"/>
      <c r="AD3006" s="37"/>
      <c r="AE3006" s="37"/>
      <c r="AF3006" s="37"/>
      <c r="AG3006" s="37"/>
      <c r="AH3006" s="37"/>
      <c r="AI3006" s="37"/>
      <c r="AJ3006" s="37"/>
      <c r="AK3006" s="37"/>
      <c r="AL3006" s="37"/>
      <c r="AM3006" s="37"/>
      <c r="AN3006" s="37"/>
      <c r="AO3006" s="37"/>
      <c r="AP3006" s="37"/>
      <c r="AQ3006" s="37"/>
      <c r="AR3006" s="37"/>
      <c r="AS3006" s="37"/>
      <c r="AT3006" s="37"/>
      <c r="AU3006" s="37"/>
      <c r="AV3006" s="37"/>
      <c r="AW3006" s="37"/>
      <c r="AX3006" s="37"/>
      <c r="AY3006" s="37"/>
      <c r="AZ3006" s="37"/>
      <c r="BA3006" s="37"/>
      <c r="BB3006" s="37"/>
      <c r="BC3006" s="37"/>
      <c r="BD3006" s="37"/>
      <c r="BE3006" s="37"/>
      <c r="BF3006" s="37"/>
      <c r="BG3006" s="37"/>
      <c r="BH3006" s="37"/>
      <c r="BI3006" s="37"/>
      <c r="BJ3006" s="37"/>
      <c r="BK3006" s="37"/>
      <c r="BL3006" s="37"/>
      <c r="BM3006" s="37"/>
    </row>
    <row r="3007" spans="1:65" s="40" customFormat="1" ht="23.25" x14ac:dyDescent="0.35">
      <c r="A3007" s="37"/>
      <c r="B3007" s="37"/>
      <c r="C3007" s="41"/>
      <c r="D3007" s="38"/>
      <c r="E3007" s="57"/>
      <c r="F3007" s="42"/>
      <c r="G3007" s="43"/>
      <c r="H3007" s="37"/>
      <c r="I3007" s="37"/>
      <c r="J3007" s="38"/>
      <c r="K3007" s="37"/>
      <c r="L3007" s="38"/>
      <c r="M3007" s="39"/>
      <c r="P3007" s="37"/>
      <c r="Q3007" s="37"/>
      <c r="R3007" s="37"/>
      <c r="S3007" s="37"/>
      <c r="T3007" s="37"/>
      <c r="U3007" s="37"/>
      <c r="V3007" s="37"/>
      <c r="W3007" s="37"/>
      <c r="X3007" s="37"/>
      <c r="Y3007" s="37"/>
      <c r="Z3007" s="37"/>
      <c r="AA3007" s="37"/>
      <c r="AB3007" s="37"/>
      <c r="AC3007" s="37"/>
      <c r="AD3007" s="37"/>
      <c r="AE3007" s="37"/>
      <c r="AF3007" s="37"/>
      <c r="AG3007" s="37"/>
      <c r="AH3007" s="37"/>
      <c r="AI3007" s="37"/>
      <c r="AJ3007" s="37"/>
      <c r="AK3007" s="37"/>
      <c r="AL3007" s="37"/>
      <c r="AM3007" s="37"/>
      <c r="AN3007" s="37"/>
      <c r="AO3007" s="37"/>
      <c r="AP3007" s="37"/>
      <c r="AQ3007" s="37"/>
      <c r="AR3007" s="37"/>
      <c r="AS3007" s="37"/>
      <c r="AT3007" s="37"/>
      <c r="AU3007" s="37"/>
      <c r="AV3007" s="37"/>
      <c r="AW3007" s="37"/>
      <c r="AX3007" s="37"/>
      <c r="AY3007" s="37"/>
      <c r="AZ3007" s="37"/>
      <c r="BA3007" s="37"/>
      <c r="BB3007" s="37"/>
      <c r="BC3007" s="37"/>
      <c r="BD3007" s="37"/>
      <c r="BE3007" s="37"/>
      <c r="BF3007" s="37"/>
      <c r="BG3007" s="37"/>
      <c r="BH3007" s="37"/>
      <c r="BI3007" s="37"/>
      <c r="BJ3007" s="37"/>
      <c r="BK3007" s="37"/>
      <c r="BL3007" s="37"/>
      <c r="BM3007" s="37"/>
    </row>
    <row r="3008" spans="1:65" s="40" customFormat="1" ht="23.25" x14ac:dyDescent="0.35">
      <c r="A3008" s="37"/>
      <c r="B3008" s="37"/>
      <c r="C3008" s="41"/>
      <c r="D3008" s="38"/>
      <c r="E3008" s="57"/>
      <c r="F3008" s="42"/>
      <c r="G3008" s="43"/>
      <c r="H3008" s="37"/>
      <c r="I3008" s="37"/>
      <c r="J3008" s="38"/>
      <c r="K3008" s="37"/>
      <c r="L3008" s="38"/>
      <c r="M3008" s="39"/>
      <c r="P3008" s="37"/>
      <c r="Q3008" s="37"/>
      <c r="R3008" s="37"/>
      <c r="S3008" s="37"/>
      <c r="T3008" s="37"/>
      <c r="U3008" s="37"/>
      <c r="V3008" s="37"/>
      <c r="W3008" s="37"/>
      <c r="X3008" s="37"/>
      <c r="Y3008" s="37"/>
      <c r="Z3008" s="37"/>
      <c r="AA3008" s="37"/>
      <c r="AB3008" s="37"/>
      <c r="AC3008" s="37"/>
      <c r="AD3008" s="37"/>
      <c r="AE3008" s="37"/>
      <c r="AF3008" s="37"/>
      <c r="AG3008" s="37"/>
      <c r="AH3008" s="37"/>
      <c r="AI3008" s="37"/>
      <c r="AJ3008" s="37"/>
      <c r="AK3008" s="37"/>
      <c r="AL3008" s="37"/>
      <c r="AM3008" s="37"/>
      <c r="AN3008" s="37"/>
      <c r="AO3008" s="37"/>
      <c r="AP3008" s="37"/>
      <c r="AQ3008" s="37"/>
      <c r="AR3008" s="37"/>
      <c r="AS3008" s="37"/>
      <c r="AT3008" s="37"/>
      <c r="AU3008" s="37"/>
      <c r="AV3008" s="37"/>
      <c r="AW3008" s="37"/>
      <c r="AX3008" s="37"/>
      <c r="AY3008" s="37"/>
      <c r="AZ3008" s="37"/>
      <c r="BA3008" s="37"/>
      <c r="BB3008" s="37"/>
      <c r="BC3008" s="37"/>
      <c r="BD3008" s="37"/>
      <c r="BE3008" s="37"/>
      <c r="BF3008" s="37"/>
      <c r="BG3008" s="37"/>
      <c r="BH3008" s="37"/>
      <c r="BI3008" s="37"/>
      <c r="BJ3008" s="37"/>
      <c r="BK3008" s="37"/>
      <c r="BL3008" s="37"/>
      <c r="BM3008" s="37"/>
    </row>
    <row r="3009" spans="1:65" s="40" customFormat="1" ht="23.25" x14ac:dyDescent="0.35">
      <c r="A3009" s="37"/>
      <c r="B3009" s="37"/>
      <c r="C3009" s="41"/>
      <c r="D3009" s="38"/>
      <c r="E3009" s="57"/>
      <c r="F3009" s="42"/>
      <c r="G3009" s="43"/>
      <c r="H3009" s="37"/>
      <c r="I3009" s="37"/>
      <c r="J3009" s="38"/>
      <c r="K3009" s="37"/>
      <c r="L3009" s="38"/>
      <c r="M3009" s="39"/>
      <c r="P3009" s="37"/>
      <c r="Q3009" s="37"/>
      <c r="R3009" s="37"/>
      <c r="S3009" s="37"/>
      <c r="T3009" s="37"/>
      <c r="U3009" s="37"/>
      <c r="V3009" s="37"/>
      <c r="W3009" s="37"/>
      <c r="X3009" s="37"/>
      <c r="Y3009" s="37"/>
      <c r="Z3009" s="37"/>
      <c r="AA3009" s="37"/>
      <c r="AB3009" s="37"/>
      <c r="AC3009" s="37"/>
      <c r="AD3009" s="37"/>
      <c r="AE3009" s="37"/>
      <c r="AF3009" s="37"/>
      <c r="AG3009" s="37"/>
      <c r="AH3009" s="37"/>
      <c r="AI3009" s="37"/>
      <c r="AJ3009" s="37"/>
      <c r="AK3009" s="37"/>
      <c r="AL3009" s="37"/>
      <c r="AM3009" s="37"/>
      <c r="AN3009" s="37"/>
      <c r="AO3009" s="37"/>
      <c r="AP3009" s="37"/>
      <c r="AQ3009" s="37"/>
      <c r="AR3009" s="37"/>
      <c r="AS3009" s="37"/>
      <c r="AT3009" s="37"/>
      <c r="AU3009" s="37"/>
      <c r="AV3009" s="37"/>
      <c r="AW3009" s="37"/>
      <c r="AX3009" s="37"/>
      <c r="AY3009" s="37"/>
      <c r="AZ3009" s="37"/>
      <c r="BA3009" s="37"/>
      <c r="BB3009" s="37"/>
      <c r="BC3009" s="37"/>
      <c r="BD3009" s="37"/>
      <c r="BE3009" s="37"/>
      <c r="BF3009" s="37"/>
      <c r="BG3009" s="37"/>
      <c r="BH3009" s="37"/>
      <c r="BI3009" s="37"/>
      <c r="BJ3009" s="37"/>
      <c r="BK3009" s="37"/>
      <c r="BL3009" s="37"/>
      <c r="BM3009" s="37"/>
    </row>
    <row r="3010" spans="1:65" s="40" customFormat="1" ht="23.25" x14ac:dyDescent="0.35">
      <c r="A3010" s="37"/>
      <c r="B3010" s="37"/>
      <c r="C3010" s="41"/>
      <c r="D3010" s="38"/>
      <c r="E3010" s="57"/>
      <c r="F3010" s="42"/>
      <c r="G3010" s="43"/>
      <c r="H3010" s="37"/>
      <c r="I3010" s="37"/>
      <c r="J3010" s="38"/>
      <c r="K3010" s="37"/>
      <c r="L3010" s="38"/>
      <c r="M3010" s="39"/>
      <c r="P3010" s="37"/>
      <c r="Q3010" s="37"/>
      <c r="R3010" s="37"/>
      <c r="S3010" s="37"/>
      <c r="T3010" s="37"/>
      <c r="U3010" s="37"/>
      <c r="V3010" s="37"/>
      <c r="W3010" s="37"/>
      <c r="X3010" s="37"/>
      <c r="Y3010" s="37"/>
      <c r="Z3010" s="37"/>
      <c r="AA3010" s="37"/>
      <c r="AB3010" s="37"/>
      <c r="AC3010" s="37"/>
      <c r="AD3010" s="37"/>
      <c r="AE3010" s="37"/>
      <c r="AF3010" s="37"/>
      <c r="AG3010" s="37"/>
      <c r="AH3010" s="37"/>
      <c r="AI3010" s="37"/>
      <c r="AJ3010" s="37"/>
      <c r="AK3010" s="37"/>
      <c r="AL3010" s="37"/>
      <c r="AM3010" s="37"/>
      <c r="AN3010" s="37"/>
      <c r="AO3010" s="37"/>
      <c r="AP3010" s="37"/>
      <c r="AQ3010" s="37"/>
      <c r="AR3010" s="37"/>
      <c r="AS3010" s="37"/>
      <c r="AT3010" s="37"/>
      <c r="AU3010" s="37"/>
      <c r="AV3010" s="37"/>
      <c r="AW3010" s="37"/>
      <c r="AX3010" s="37"/>
      <c r="AY3010" s="37"/>
      <c r="AZ3010" s="37"/>
      <c r="BA3010" s="37"/>
      <c r="BB3010" s="37"/>
      <c r="BC3010" s="37"/>
      <c r="BD3010" s="37"/>
      <c r="BE3010" s="37"/>
      <c r="BF3010" s="37"/>
      <c r="BG3010" s="37"/>
      <c r="BH3010" s="37"/>
      <c r="BI3010" s="37"/>
      <c r="BJ3010" s="37"/>
      <c r="BK3010" s="37"/>
      <c r="BL3010" s="37"/>
      <c r="BM3010" s="37"/>
    </row>
    <row r="3011" spans="1:65" s="40" customFormat="1" ht="23.25" x14ac:dyDescent="0.35">
      <c r="A3011" s="37"/>
      <c r="B3011" s="37"/>
      <c r="C3011" s="41"/>
      <c r="D3011" s="38"/>
      <c r="E3011" s="57"/>
      <c r="F3011" s="42"/>
      <c r="G3011" s="43"/>
      <c r="H3011" s="37"/>
      <c r="I3011" s="37"/>
      <c r="J3011" s="38"/>
      <c r="K3011" s="37"/>
      <c r="L3011" s="38"/>
      <c r="M3011" s="39"/>
      <c r="P3011" s="37"/>
      <c r="Q3011" s="37"/>
      <c r="R3011" s="37"/>
      <c r="S3011" s="37"/>
      <c r="T3011" s="37"/>
      <c r="U3011" s="37"/>
      <c r="V3011" s="37"/>
      <c r="W3011" s="37"/>
      <c r="X3011" s="37"/>
      <c r="Y3011" s="37"/>
      <c r="Z3011" s="37"/>
      <c r="AA3011" s="37"/>
      <c r="AB3011" s="37"/>
      <c r="AC3011" s="37"/>
      <c r="AD3011" s="37"/>
      <c r="AE3011" s="37"/>
      <c r="AF3011" s="37"/>
      <c r="AG3011" s="37"/>
      <c r="AH3011" s="37"/>
      <c r="AI3011" s="37"/>
      <c r="AJ3011" s="37"/>
      <c r="AK3011" s="37"/>
      <c r="AL3011" s="37"/>
      <c r="AM3011" s="37"/>
      <c r="AN3011" s="37"/>
      <c r="AO3011" s="37"/>
      <c r="AP3011" s="37"/>
      <c r="AQ3011" s="37"/>
      <c r="AR3011" s="37"/>
      <c r="AS3011" s="37"/>
      <c r="AT3011" s="37"/>
      <c r="AU3011" s="37"/>
      <c r="AV3011" s="37"/>
      <c r="AW3011" s="37"/>
      <c r="AX3011" s="37"/>
      <c r="AY3011" s="37"/>
      <c r="AZ3011" s="37"/>
      <c r="BA3011" s="37"/>
      <c r="BB3011" s="37"/>
      <c r="BC3011" s="37"/>
      <c r="BD3011" s="37"/>
      <c r="BE3011" s="37"/>
      <c r="BF3011" s="37"/>
      <c r="BG3011" s="37"/>
      <c r="BH3011" s="37"/>
      <c r="BI3011" s="37"/>
      <c r="BJ3011" s="37"/>
      <c r="BK3011" s="37"/>
      <c r="BL3011" s="37"/>
      <c r="BM3011" s="37"/>
    </row>
    <row r="3012" spans="1:65" s="40" customFormat="1" ht="23.25" x14ac:dyDescent="0.35">
      <c r="A3012" s="37"/>
      <c r="B3012" s="37"/>
      <c r="C3012" s="41"/>
      <c r="D3012" s="38"/>
      <c r="E3012" s="57"/>
      <c r="F3012" s="42"/>
      <c r="G3012" s="43"/>
      <c r="H3012" s="37"/>
      <c r="I3012" s="37"/>
      <c r="J3012" s="38"/>
      <c r="K3012" s="37"/>
      <c r="L3012" s="38"/>
      <c r="M3012" s="39"/>
      <c r="P3012" s="37"/>
      <c r="Q3012" s="37"/>
      <c r="R3012" s="37"/>
      <c r="S3012" s="37"/>
      <c r="T3012" s="37"/>
      <c r="U3012" s="37"/>
      <c r="V3012" s="37"/>
      <c r="W3012" s="37"/>
      <c r="X3012" s="37"/>
      <c r="Y3012" s="37"/>
      <c r="Z3012" s="37"/>
      <c r="AA3012" s="37"/>
      <c r="AB3012" s="37"/>
      <c r="AC3012" s="37"/>
      <c r="AD3012" s="37"/>
      <c r="AE3012" s="37"/>
      <c r="AF3012" s="37"/>
      <c r="AG3012" s="37"/>
      <c r="AH3012" s="37"/>
      <c r="AI3012" s="37"/>
      <c r="AJ3012" s="37"/>
      <c r="AK3012" s="37"/>
      <c r="AL3012" s="37"/>
      <c r="AM3012" s="37"/>
      <c r="AN3012" s="37"/>
      <c r="AO3012" s="37"/>
      <c r="AP3012" s="37"/>
      <c r="AQ3012" s="37"/>
      <c r="AR3012" s="37"/>
      <c r="AS3012" s="37"/>
      <c r="AT3012" s="37"/>
      <c r="AU3012" s="37"/>
      <c r="AV3012" s="37"/>
      <c r="AW3012" s="37"/>
      <c r="AX3012" s="37"/>
      <c r="AY3012" s="37"/>
      <c r="AZ3012" s="37"/>
      <c r="BA3012" s="37"/>
      <c r="BB3012" s="37"/>
      <c r="BC3012" s="37"/>
      <c r="BD3012" s="37"/>
      <c r="BE3012" s="37"/>
      <c r="BF3012" s="37"/>
      <c r="BG3012" s="37"/>
      <c r="BH3012" s="37"/>
      <c r="BI3012" s="37"/>
      <c r="BJ3012" s="37"/>
      <c r="BK3012" s="37"/>
      <c r="BL3012" s="37"/>
      <c r="BM3012" s="37"/>
    </row>
    <row r="3013" spans="1:65" s="40" customFormat="1" ht="23.25" x14ac:dyDescent="0.35">
      <c r="A3013" s="37"/>
      <c r="B3013" s="37"/>
      <c r="C3013" s="41"/>
      <c r="D3013" s="38"/>
      <c r="E3013" s="57"/>
      <c r="F3013" s="42"/>
      <c r="G3013" s="43"/>
      <c r="H3013" s="37"/>
      <c r="I3013" s="37"/>
      <c r="J3013" s="38"/>
      <c r="K3013" s="37"/>
      <c r="L3013" s="38"/>
      <c r="M3013" s="39"/>
      <c r="P3013" s="37"/>
      <c r="Q3013" s="37"/>
      <c r="R3013" s="37"/>
      <c r="S3013" s="37"/>
      <c r="T3013" s="37"/>
      <c r="U3013" s="37"/>
      <c r="V3013" s="37"/>
      <c r="W3013" s="37"/>
      <c r="X3013" s="37"/>
      <c r="Y3013" s="37"/>
      <c r="Z3013" s="37"/>
      <c r="AA3013" s="37"/>
      <c r="AB3013" s="37"/>
      <c r="AC3013" s="37"/>
      <c r="AD3013" s="37"/>
      <c r="AE3013" s="37"/>
      <c r="AF3013" s="37"/>
      <c r="AG3013" s="37"/>
      <c r="AH3013" s="37"/>
      <c r="AI3013" s="37"/>
      <c r="AJ3013" s="37"/>
      <c r="AK3013" s="37"/>
      <c r="AL3013" s="37"/>
      <c r="AM3013" s="37"/>
      <c r="AN3013" s="37"/>
      <c r="AO3013" s="37"/>
      <c r="AP3013" s="37"/>
      <c r="AQ3013" s="37"/>
      <c r="AR3013" s="37"/>
      <c r="AS3013" s="37"/>
      <c r="AT3013" s="37"/>
      <c r="AU3013" s="37"/>
      <c r="AV3013" s="37"/>
      <c r="AW3013" s="37"/>
      <c r="AX3013" s="37"/>
      <c r="AY3013" s="37"/>
      <c r="AZ3013" s="37"/>
      <c r="BA3013" s="37"/>
      <c r="BB3013" s="37"/>
      <c r="BC3013" s="37"/>
      <c r="BD3013" s="37"/>
      <c r="BE3013" s="37"/>
      <c r="BF3013" s="37"/>
      <c r="BG3013" s="37"/>
      <c r="BH3013" s="37"/>
      <c r="BI3013" s="37"/>
      <c r="BJ3013" s="37"/>
      <c r="BK3013" s="37"/>
      <c r="BL3013" s="37"/>
      <c r="BM3013" s="37"/>
    </row>
    <row r="3014" spans="1:65" s="40" customFormat="1" ht="23.25" x14ac:dyDescent="0.35">
      <c r="A3014" s="37"/>
      <c r="B3014" s="37"/>
      <c r="C3014" s="41"/>
      <c r="D3014" s="38"/>
      <c r="E3014" s="57"/>
      <c r="F3014" s="42"/>
      <c r="G3014" s="43"/>
      <c r="H3014" s="37"/>
      <c r="I3014" s="37"/>
      <c r="J3014" s="38"/>
      <c r="K3014" s="37"/>
      <c r="L3014" s="38"/>
      <c r="M3014" s="39"/>
      <c r="P3014" s="37"/>
      <c r="Q3014" s="37"/>
      <c r="R3014" s="37"/>
      <c r="S3014" s="37"/>
      <c r="T3014" s="37"/>
      <c r="U3014" s="37"/>
      <c r="V3014" s="37"/>
      <c r="W3014" s="37"/>
      <c r="X3014" s="37"/>
      <c r="Y3014" s="37"/>
      <c r="Z3014" s="37"/>
      <c r="AA3014" s="37"/>
      <c r="AB3014" s="37"/>
      <c r="AC3014" s="37"/>
      <c r="AD3014" s="37"/>
      <c r="AE3014" s="37"/>
      <c r="AF3014" s="37"/>
      <c r="AG3014" s="37"/>
      <c r="AH3014" s="37"/>
      <c r="AI3014" s="37"/>
      <c r="AJ3014" s="37"/>
      <c r="AK3014" s="37"/>
      <c r="AL3014" s="37"/>
      <c r="AM3014" s="37"/>
      <c r="AN3014" s="37"/>
      <c r="AO3014" s="37"/>
      <c r="AP3014" s="37"/>
      <c r="AQ3014" s="37"/>
      <c r="AR3014" s="37"/>
      <c r="AS3014" s="37"/>
      <c r="AT3014" s="37"/>
      <c r="AU3014" s="37"/>
      <c r="AV3014" s="37"/>
      <c r="AW3014" s="37"/>
      <c r="AX3014" s="37"/>
      <c r="AY3014" s="37"/>
      <c r="AZ3014" s="37"/>
      <c r="BA3014" s="37"/>
      <c r="BB3014" s="37"/>
      <c r="BC3014" s="37"/>
      <c r="BD3014" s="37"/>
      <c r="BE3014" s="37"/>
      <c r="BF3014" s="37"/>
      <c r="BG3014" s="37"/>
      <c r="BH3014" s="37"/>
      <c r="BI3014" s="37"/>
      <c r="BJ3014" s="37"/>
      <c r="BK3014" s="37"/>
      <c r="BL3014" s="37"/>
      <c r="BM3014" s="37"/>
    </row>
    <row r="3015" spans="1:65" s="40" customFormat="1" ht="23.25" x14ac:dyDescent="0.35">
      <c r="A3015" s="37"/>
      <c r="B3015" s="37"/>
      <c r="C3015" s="41"/>
      <c r="D3015" s="38"/>
      <c r="E3015" s="57"/>
      <c r="F3015" s="42"/>
      <c r="G3015" s="43"/>
      <c r="H3015" s="37"/>
      <c r="I3015" s="37"/>
      <c r="J3015" s="38"/>
      <c r="K3015" s="37"/>
      <c r="L3015" s="38"/>
      <c r="M3015" s="39"/>
      <c r="P3015" s="37"/>
      <c r="Q3015" s="37"/>
      <c r="R3015" s="37"/>
      <c r="S3015" s="37"/>
      <c r="T3015" s="37"/>
      <c r="U3015" s="37"/>
      <c r="V3015" s="37"/>
      <c r="W3015" s="37"/>
      <c r="X3015" s="37"/>
      <c r="Y3015" s="37"/>
      <c r="Z3015" s="37"/>
      <c r="AA3015" s="37"/>
      <c r="AB3015" s="37"/>
      <c r="AC3015" s="37"/>
      <c r="AD3015" s="37"/>
      <c r="AE3015" s="37"/>
      <c r="AF3015" s="37"/>
      <c r="AG3015" s="37"/>
      <c r="AH3015" s="37"/>
      <c r="AI3015" s="37"/>
      <c r="AJ3015" s="37"/>
      <c r="AK3015" s="37"/>
      <c r="AL3015" s="37"/>
      <c r="AM3015" s="37"/>
      <c r="AN3015" s="37"/>
      <c r="AO3015" s="37"/>
      <c r="AP3015" s="37"/>
      <c r="AQ3015" s="37"/>
      <c r="AR3015" s="37"/>
      <c r="AS3015" s="37"/>
      <c r="AT3015" s="37"/>
      <c r="AU3015" s="37"/>
      <c r="AV3015" s="37"/>
      <c r="AW3015" s="37"/>
      <c r="AX3015" s="37"/>
      <c r="AY3015" s="37"/>
      <c r="AZ3015" s="37"/>
      <c r="BA3015" s="37"/>
      <c r="BB3015" s="37"/>
      <c r="BC3015" s="37"/>
      <c r="BD3015" s="37"/>
      <c r="BE3015" s="37"/>
      <c r="BF3015" s="37"/>
      <c r="BG3015" s="37"/>
      <c r="BH3015" s="37"/>
      <c r="BI3015" s="37"/>
      <c r="BJ3015" s="37"/>
      <c r="BK3015" s="37"/>
      <c r="BL3015" s="37"/>
      <c r="BM3015" s="37"/>
    </row>
    <row r="3016" spans="1:65" s="40" customFormat="1" ht="23.25" x14ac:dyDescent="0.35">
      <c r="A3016" s="37"/>
      <c r="B3016" s="37"/>
      <c r="C3016" s="41"/>
      <c r="D3016" s="38"/>
      <c r="E3016" s="57"/>
      <c r="F3016" s="42"/>
      <c r="G3016" s="43"/>
      <c r="H3016" s="37"/>
      <c r="I3016" s="37"/>
      <c r="J3016" s="38"/>
      <c r="K3016" s="37"/>
      <c r="L3016" s="38"/>
      <c r="M3016" s="39"/>
      <c r="P3016" s="37"/>
      <c r="Q3016" s="37"/>
      <c r="R3016" s="37"/>
      <c r="S3016" s="37"/>
      <c r="T3016" s="37"/>
      <c r="U3016" s="37"/>
      <c r="V3016" s="37"/>
      <c r="W3016" s="37"/>
      <c r="X3016" s="37"/>
      <c r="Y3016" s="37"/>
      <c r="Z3016" s="37"/>
      <c r="AA3016" s="37"/>
      <c r="AB3016" s="37"/>
      <c r="AC3016" s="37"/>
      <c r="AD3016" s="37"/>
      <c r="AE3016" s="37"/>
      <c r="AF3016" s="37"/>
      <c r="AG3016" s="37"/>
      <c r="AH3016" s="37"/>
      <c r="AI3016" s="37"/>
      <c r="AJ3016" s="37"/>
      <c r="AK3016" s="37"/>
      <c r="AL3016" s="37"/>
      <c r="AM3016" s="37"/>
      <c r="AN3016" s="37"/>
      <c r="AO3016" s="37"/>
      <c r="AP3016" s="37"/>
      <c r="AQ3016" s="37"/>
      <c r="AR3016" s="37"/>
      <c r="AS3016" s="37"/>
      <c r="AT3016" s="37"/>
      <c r="AU3016" s="37"/>
      <c r="AV3016" s="37"/>
      <c r="AW3016" s="37"/>
      <c r="AX3016" s="37"/>
      <c r="AY3016" s="37"/>
      <c r="AZ3016" s="37"/>
      <c r="BA3016" s="37"/>
      <c r="BB3016" s="37"/>
      <c r="BC3016" s="37"/>
      <c r="BD3016" s="37"/>
      <c r="BE3016" s="37"/>
      <c r="BF3016" s="37"/>
      <c r="BG3016" s="37"/>
      <c r="BH3016" s="37"/>
      <c r="BI3016" s="37"/>
      <c r="BJ3016" s="37"/>
      <c r="BK3016" s="37"/>
      <c r="BL3016" s="37"/>
      <c r="BM3016" s="37"/>
    </row>
    <row r="3017" spans="1:65" s="40" customFormat="1" ht="23.25" x14ac:dyDescent="0.35">
      <c r="A3017" s="37"/>
      <c r="B3017" s="37"/>
      <c r="C3017" s="41"/>
      <c r="D3017" s="38"/>
      <c r="E3017" s="57"/>
      <c r="F3017" s="42"/>
      <c r="G3017" s="43"/>
      <c r="H3017" s="37"/>
      <c r="I3017" s="37"/>
      <c r="J3017" s="38"/>
      <c r="K3017" s="37"/>
      <c r="L3017" s="38"/>
      <c r="M3017" s="39"/>
      <c r="P3017" s="37"/>
      <c r="Q3017" s="37"/>
      <c r="R3017" s="37"/>
      <c r="S3017" s="37"/>
      <c r="T3017" s="37"/>
      <c r="U3017" s="37"/>
      <c r="V3017" s="37"/>
      <c r="W3017" s="37"/>
      <c r="X3017" s="37"/>
      <c r="Y3017" s="37"/>
      <c r="Z3017" s="37"/>
      <c r="AA3017" s="37"/>
      <c r="AB3017" s="37"/>
      <c r="AC3017" s="37"/>
      <c r="AD3017" s="37"/>
      <c r="AE3017" s="37"/>
      <c r="AF3017" s="37"/>
      <c r="AG3017" s="37"/>
      <c r="AH3017" s="37"/>
      <c r="AI3017" s="37"/>
      <c r="AJ3017" s="37"/>
      <c r="AK3017" s="37"/>
      <c r="AL3017" s="37"/>
      <c r="AM3017" s="37"/>
      <c r="AN3017" s="37"/>
      <c r="AO3017" s="37"/>
      <c r="AP3017" s="37"/>
      <c r="AQ3017" s="37"/>
      <c r="AR3017" s="37"/>
      <c r="AS3017" s="37"/>
      <c r="AT3017" s="37"/>
      <c r="AU3017" s="37"/>
      <c r="AV3017" s="37"/>
      <c r="AW3017" s="37"/>
      <c r="AX3017" s="37"/>
      <c r="AY3017" s="37"/>
      <c r="AZ3017" s="37"/>
      <c r="BA3017" s="37"/>
      <c r="BB3017" s="37"/>
      <c r="BC3017" s="37"/>
      <c r="BD3017" s="37"/>
      <c r="BE3017" s="37"/>
      <c r="BF3017" s="37"/>
      <c r="BG3017" s="37"/>
      <c r="BH3017" s="37"/>
      <c r="BI3017" s="37"/>
      <c r="BJ3017" s="37"/>
      <c r="BK3017" s="37"/>
      <c r="BL3017" s="37"/>
      <c r="BM3017" s="37"/>
    </row>
    <row r="3018" spans="1:65" s="40" customFormat="1" ht="23.25" x14ac:dyDescent="0.35">
      <c r="A3018" s="37"/>
      <c r="B3018" s="37"/>
      <c r="C3018" s="41"/>
      <c r="D3018" s="38"/>
      <c r="E3018" s="57"/>
      <c r="F3018" s="42"/>
      <c r="G3018" s="43"/>
      <c r="H3018" s="37"/>
      <c r="I3018" s="37"/>
      <c r="J3018" s="38"/>
      <c r="K3018" s="37"/>
      <c r="L3018" s="38"/>
      <c r="M3018" s="39"/>
      <c r="P3018" s="37"/>
      <c r="Q3018" s="37"/>
      <c r="R3018" s="37"/>
      <c r="S3018" s="37"/>
      <c r="T3018" s="37"/>
      <c r="U3018" s="37"/>
      <c r="V3018" s="37"/>
      <c r="W3018" s="37"/>
      <c r="X3018" s="37"/>
      <c r="Y3018" s="37"/>
      <c r="Z3018" s="37"/>
      <c r="AA3018" s="37"/>
      <c r="AB3018" s="37"/>
      <c r="AC3018" s="37"/>
      <c r="AD3018" s="37"/>
      <c r="AE3018" s="37"/>
      <c r="AF3018" s="37"/>
      <c r="AG3018" s="37"/>
      <c r="AH3018" s="37"/>
      <c r="AI3018" s="37"/>
      <c r="AJ3018" s="37"/>
      <c r="AK3018" s="37"/>
      <c r="AL3018" s="37"/>
      <c r="AM3018" s="37"/>
      <c r="AN3018" s="37"/>
      <c r="AO3018" s="37"/>
      <c r="AP3018" s="37"/>
      <c r="AQ3018" s="37"/>
      <c r="AR3018" s="37"/>
      <c r="AS3018" s="37"/>
      <c r="AT3018" s="37"/>
      <c r="AU3018" s="37"/>
      <c r="AV3018" s="37"/>
      <c r="AW3018" s="37"/>
      <c r="AX3018" s="37"/>
      <c r="AY3018" s="37"/>
      <c r="AZ3018" s="37"/>
      <c r="BA3018" s="37"/>
      <c r="BB3018" s="37"/>
      <c r="BC3018" s="37"/>
      <c r="BD3018" s="37"/>
      <c r="BE3018" s="37"/>
      <c r="BF3018" s="37"/>
      <c r="BG3018" s="37"/>
      <c r="BH3018" s="37"/>
      <c r="BI3018" s="37"/>
      <c r="BJ3018" s="37"/>
      <c r="BK3018" s="37"/>
      <c r="BL3018" s="37"/>
      <c r="BM3018" s="37"/>
    </row>
    <row r="3019" spans="1:65" s="40" customFormat="1" ht="23.25" x14ac:dyDescent="0.35">
      <c r="A3019" s="37"/>
      <c r="B3019" s="37"/>
      <c r="C3019" s="41"/>
      <c r="D3019" s="38"/>
      <c r="E3019" s="57"/>
      <c r="F3019" s="42"/>
      <c r="G3019" s="43"/>
      <c r="H3019" s="37"/>
      <c r="I3019" s="37"/>
      <c r="J3019" s="38"/>
      <c r="K3019" s="37"/>
      <c r="L3019" s="38"/>
      <c r="M3019" s="39"/>
      <c r="P3019" s="37"/>
      <c r="Q3019" s="37"/>
      <c r="R3019" s="37"/>
      <c r="S3019" s="37"/>
      <c r="T3019" s="37"/>
      <c r="U3019" s="37"/>
      <c r="V3019" s="37"/>
      <c r="W3019" s="37"/>
      <c r="X3019" s="37"/>
      <c r="Y3019" s="37"/>
      <c r="Z3019" s="37"/>
      <c r="AA3019" s="37"/>
      <c r="AB3019" s="37"/>
      <c r="AC3019" s="37"/>
      <c r="AD3019" s="37"/>
      <c r="AE3019" s="37"/>
      <c r="AF3019" s="37"/>
      <c r="AG3019" s="37"/>
      <c r="AH3019" s="37"/>
      <c r="AI3019" s="37"/>
      <c r="AJ3019" s="37"/>
      <c r="AK3019" s="37"/>
      <c r="AL3019" s="37"/>
      <c r="AM3019" s="37"/>
      <c r="AN3019" s="37"/>
      <c r="AO3019" s="37"/>
      <c r="AP3019" s="37"/>
      <c r="AQ3019" s="37"/>
      <c r="AR3019" s="37"/>
      <c r="AS3019" s="37"/>
      <c r="AT3019" s="37"/>
      <c r="AU3019" s="37"/>
      <c r="AV3019" s="37"/>
      <c r="AW3019" s="37"/>
      <c r="AX3019" s="37"/>
      <c r="AY3019" s="37"/>
      <c r="AZ3019" s="37"/>
      <c r="BA3019" s="37"/>
      <c r="BB3019" s="37"/>
      <c r="BC3019" s="37"/>
      <c r="BD3019" s="37"/>
      <c r="BE3019" s="37"/>
      <c r="BF3019" s="37"/>
      <c r="BG3019" s="37"/>
      <c r="BH3019" s="37"/>
      <c r="BI3019" s="37"/>
      <c r="BJ3019" s="37"/>
      <c r="BK3019" s="37"/>
      <c r="BL3019" s="37"/>
      <c r="BM3019" s="37"/>
    </row>
    <row r="3020" spans="1:65" s="40" customFormat="1" ht="23.25" x14ac:dyDescent="0.35">
      <c r="A3020" s="37"/>
      <c r="B3020" s="37"/>
      <c r="C3020" s="41"/>
      <c r="D3020" s="38"/>
      <c r="E3020" s="57"/>
      <c r="F3020" s="42"/>
      <c r="G3020" s="43"/>
      <c r="H3020" s="37"/>
      <c r="I3020" s="37"/>
      <c r="J3020" s="38"/>
      <c r="K3020" s="37"/>
      <c r="L3020" s="38"/>
      <c r="M3020" s="39"/>
      <c r="P3020" s="37"/>
      <c r="Q3020" s="37"/>
      <c r="R3020" s="37"/>
      <c r="S3020" s="37"/>
      <c r="T3020" s="37"/>
      <c r="U3020" s="37"/>
      <c r="V3020" s="37"/>
      <c r="W3020" s="37"/>
      <c r="X3020" s="37"/>
      <c r="Y3020" s="37"/>
      <c r="Z3020" s="37"/>
      <c r="AA3020" s="37"/>
      <c r="AB3020" s="37"/>
      <c r="AC3020" s="37"/>
      <c r="AD3020" s="37"/>
      <c r="AE3020" s="37"/>
      <c r="AF3020" s="37"/>
      <c r="AG3020" s="37"/>
      <c r="AH3020" s="37"/>
      <c r="AI3020" s="37"/>
      <c r="AJ3020" s="37"/>
      <c r="AK3020" s="37"/>
      <c r="AL3020" s="37"/>
      <c r="AM3020" s="37"/>
      <c r="AN3020" s="37"/>
      <c r="AO3020" s="37"/>
      <c r="AP3020" s="37"/>
      <c r="AQ3020" s="37"/>
      <c r="AR3020" s="37"/>
      <c r="AS3020" s="37"/>
      <c r="AT3020" s="37"/>
      <c r="AU3020" s="37"/>
      <c r="AV3020" s="37"/>
      <c r="AW3020" s="37"/>
      <c r="AX3020" s="37"/>
      <c r="AY3020" s="37"/>
      <c r="AZ3020" s="37"/>
      <c r="BA3020" s="37"/>
      <c r="BB3020" s="37"/>
      <c r="BC3020" s="37"/>
      <c r="BD3020" s="37"/>
      <c r="BE3020" s="37"/>
      <c r="BF3020" s="37"/>
      <c r="BG3020" s="37"/>
      <c r="BH3020" s="37"/>
      <c r="BI3020" s="37"/>
      <c r="BJ3020" s="37"/>
      <c r="BK3020" s="37"/>
      <c r="BL3020" s="37"/>
      <c r="BM3020" s="37"/>
    </row>
    <row r="3021" spans="1:65" s="40" customFormat="1" ht="23.25" x14ac:dyDescent="0.35">
      <c r="A3021" s="37"/>
      <c r="B3021" s="37"/>
      <c r="C3021" s="41"/>
      <c r="D3021" s="38"/>
      <c r="E3021" s="57"/>
      <c r="F3021" s="42"/>
      <c r="G3021" s="43"/>
      <c r="H3021" s="37"/>
      <c r="I3021" s="37"/>
      <c r="J3021" s="38"/>
      <c r="K3021" s="37"/>
      <c r="L3021" s="38"/>
      <c r="M3021" s="39"/>
      <c r="P3021" s="37"/>
      <c r="Q3021" s="37"/>
      <c r="R3021" s="37"/>
      <c r="S3021" s="37"/>
      <c r="T3021" s="37"/>
      <c r="U3021" s="37"/>
      <c r="V3021" s="37"/>
      <c r="W3021" s="37"/>
      <c r="X3021" s="37"/>
      <c r="Y3021" s="37"/>
      <c r="Z3021" s="37"/>
      <c r="AA3021" s="37"/>
      <c r="AB3021" s="37"/>
      <c r="AC3021" s="37"/>
      <c r="AD3021" s="37"/>
      <c r="AE3021" s="37"/>
      <c r="AF3021" s="37"/>
      <c r="AG3021" s="37"/>
      <c r="AH3021" s="37"/>
      <c r="AI3021" s="37"/>
      <c r="AJ3021" s="37"/>
      <c r="AK3021" s="37"/>
      <c r="AL3021" s="37"/>
      <c r="AM3021" s="37"/>
      <c r="AN3021" s="37"/>
      <c r="AO3021" s="37"/>
      <c r="AP3021" s="37"/>
      <c r="AQ3021" s="37"/>
      <c r="AR3021" s="37"/>
      <c r="AS3021" s="37"/>
      <c r="AT3021" s="37"/>
      <c r="AU3021" s="37"/>
      <c r="AV3021" s="37"/>
      <c r="AW3021" s="37"/>
      <c r="AX3021" s="37"/>
      <c r="AY3021" s="37"/>
      <c r="AZ3021" s="37"/>
      <c r="BA3021" s="37"/>
      <c r="BB3021" s="37"/>
      <c r="BC3021" s="37"/>
      <c r="BD3021" s="37"/>
      <c r="BE3021" s="37"/>
      <c r="BF3021" s="37"/>
      <c r="BG3021" s="37"/>
      <c r="BH3021" s="37"/>
      <c r="BI3021" s="37"/>
      <c r="BJ3021" s="37"/>
      <c r="BK3021" s="37"/>
      <c r="BL3021" s="37"/>
      <c r="BM3021" s="37"/>
    </row>
    <row r="3022" spans="1:65" s="40" customFormat="1" ht="23.25" x14ac:dyDescent="0.35">
      <c r="A3022" s="37"/>
      <c r="B3022" s="37"/>
      <c r="C3022" s="41"/>
      <c r="D3022" s="38"/>
      <c r="E3022" s="57"/>
      <c r="F3022" s="42"/>
      <c r="G3022" s="43"/>
      <c r="H3022" s="37"/>
      <c r="I3022" s="37"/>
      <c r="J3022" s="38"/>
      <c r="K3022" s="37"/>
      <c r="L3022" s="38"/>
      <c r="M3022" s="39"/>
      <c r="P3022" s="37"/>
      <c r="Q3022" s="37"/>
      <c r="R3022" s="37"/>
      <c r="S3022" s="37"/>
      <c r="T3022" s="37"/>
      <c r="U3022" s="37"/>
      <c r="V3022" s="37"/>
      <c r="W3022" s="37"/>
      <c r="X3022" s="37"/>
      <c r="Y3022" s="37"/>
      <c r="Z3022" s="37"/>
      <c r="AA3022" s="37"/>
      <c r="AB3022" s="37"/>
      <c r="AC3022" s="37"/>
      <c r="AD3022" s="37"/>
      <c r="AE3022" s="37"/>
      <c r="AF3022" s="37"/>
      <c r="AG3022" s="37"/>
      <c r="AH3022" s="37"/>
      <c r="AI3022" s="37"/>
      <c r="AJ3022" s="37"/>
      <c r="AK3022" s="37"/>
      <c r="AL3022" s="37"/>
      <c r="AM3022" s="37"/>
      <c r="AN3022" s="37"/>
      <c r="AO3022" s="37"/>
      <c r="AP3022" s="37"/>
      <c r="AQ3022" s="37"/>
      <c r="AR3022" s="37"/>
      <c r="AS3022" s="37"/>
      <c r="AT3022" s="37"/>
      <c r="AU3022" s="37"/>
      <c r="AV3022" s="37"/>
      <c r="AW3022" s="37"/>
      <c r="AX3022" s="37"/>
      <c r="AY3022" s="37"/>
      <c r="AZ3022" s="37"/>
      <c r="BA3022" s="37"/>
      <c r="BB3022" s="37"/>
      <c r="BC3022" s="37"/>
      <c r="BD3022" s="37"/>
      <c r="BE3022" s="37"/>
      <c r="BF3022" s="37"/>
      <c r="BG3022" s="37"/>
      <c r="BH3022" s="37"/>
      <c r="BI3022" s="37"/>
      <c r="BJ3022" s="37"/>
      <c r="BK3022" s="37"/>
      <c r="BL3022" s="37"/>
      <c r="BM3022" s="37"/>
    </row>
    <row r="3023" spans="1:65" s="40" customFormat="1" ht="23.25" x14ac:dyDescent="0.35">
      <c r="A3023" s="37"/>
      <c r="B3023" s="37"/>
      <c r="C3023" s="41"/>
      <c r="D3023" s="38"/>
      <c r="E3023" s="57"/>
      <c r="F3023" s="42"/>
      <c r="G3023" s="43"/>
      <c r="H3023" s="37"/>
      <c r="I3023" s="37"/>
      <c r="J3023" s="38"/>
      <c r="K3023" s="37"/>
      <c r="L3023" s="38"/>
      <c r="M3023" s="39"/>
      <c r="P3023" s="37"/>
      <c r="Q3023" s="37"/>
      <c r="R3023" s="37"/>
      <c r="S3023" s="37"/>
      <c r="T3023" s="37"/>
      <c r="U3023" s="37"/>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7"/>
      <c r="AR3023" s="37"/>
      <c r="AS3023" s="37"/>
      <c r="AT3023" s="37"/>
      <c r="AU3023" s="37"/>
      <c r="AV3023" s="37"/>
      <c r="AW3023" s="37"/>
      <c r="AX3023" s="37"/>
      <c r="AY3023" s="37"/>
      <c r="AZ3023" s="37"/>
      <c r="BA3023" s="37"/>
      <c r="BB3023" s="37"/>
      <c r="BC3023" s="37"/>
      <c r="BD3023" s="37"/>
      <c r="BE3023" s="37"/>
      <c r="BF3023" s="37"/>
      <c r="BG3023" s="37"/>
      <c r="BH3023" s="37"/>
      <c r="BI3023" s="37"/>
      <c r="BJ3023" s="37"/>
      <c r="BK3023" s="37"/>
      <c r="BL3023" s="37"/>
      <c r="BM3023" s="37"/>
    </row>
    <row r="3024" spans="1:65" s="40" customFormat="1" ht="23.25" x14ac:dyDescent="0.35">
      <c r="A3024" s="37"/>
      <c r="B3024" s="37"/>
      <c r="C3024" s="41"/>
      <c r="D3024" s="38"/>
      <c r="E3024" s="57"/>
      <c r="F3024" s="42"/>
      <c r="G3024" s="43"/>
      <c r="H3024" s="37"/>
      <c r="I3024" s="37"/>
      <c r="J3024" s="38"/>
      <c r="K3024" s="37"/>
      <c r="L3024" s="38"/>
      <c r="M3024" s="39"/>
      <c r="P3024" s="37"/>
      <c r="Q3024" s="37"/>
      <c r="R3024" s="37"/>
      <c r="S3024" s="37"/>
      <c r="T3024" s="37"/>
      <c r="U3024" s="37"/>
      <c r="V3024" s="37"/>
      <c r="W3024" s="37"/>
      <c r="X3024" s="37"/>
      <c r="Y3024" s="37"/>
      <c r="Z3024" s="37"/>
      <c r="AA3024" s="37"/>
      <c r="AB3024" s="37"/>
      <c r="AC3024" s="37"/>
      <c r="AD3024" s="37"/>
      <c r="AE3024" s="37"/>
      <c r="AF3024" s="37"/>
      <c r="AG3024" s="37"/>
      <c r="AH3024" s="37"/>
      <c r="AI3024" s="37"/>
      <c r="AJ3024" s="37"/>
      <c r="AK3024" s="37"/>
      <c r="AL3024" s="37"/>
      <c r="AM3024" s="37"/>
      <c r="AN3024" s="37"/>
      <c r="AO3024" s="37"/>
      <c r="AP3024" s="37"/>
      <c r="AQ3024" s="37"/>
      <c r="AR3024" s="37"/>
      <c r="AS3024" s="37"/>
      <c r="AT3024" s="37"/>
      <c r="AU3024" s="37"/>
      <c r="AV3024" s="37"/>
      <c r="AW3024" s="37"/>
      <c r="AX3024" s="37"/>
      <c r="AY3024" s="37"/>
      <c r="AZ3024" s="37"/>
      <c r="BA3024" s="37"/>
      <c r="BB3024" s="37"/>
      <c r="BC3024" s="37"/>
      <c r="BD3024" s="37"/>
      <c r="BE3024" s="37"/>
      <c r="BF3024" s="37"/>
      <c r="BG3024" s="37"/>
      <c r="BH3024" s="37"/>
      <c r="BI3024" s="37"/>
      <c r="BJ3024" s="37"/>
      <c r="BK3024" s="37"/>
      <c r="BL3024" s="37"/>
      <c r="BM3024" s="37"/>
    </row>
    <row r="3025" spans="1:65" s="40" customFormat="1" ht="23.25" x14ac:dyDescent="0.35">
      <c r="A3025" s="37"/>
      <c r="B3025" s="37"/>
      <c r="C3025" s="41"/>
      <c r="D3025" s="38"/>
      <c r="E3025" s="57"/>
      <c r="F3025" s="42"/>
      <c r="G3025" s="43"/>
      <c r="H3025" s="37"/>
      <c r="I3025" s="37"/>
      <c r="J3025" s="38"/>
      <c r="K3025" s="37"/>
      <c r="L3025" s="38"/>
      <c r="M3025" s="39"/>
      <c r="P3025" s="37"/>
      <c r="Q3025" s="37"/>
      <c r="R3025" s="37"/>
      <c r="S3025" s="37"/>
      <c r="T3025" s="37"/>
      <c r="U3025" s="37"/>
      <c r="V3025" s="37"/>
      <c r="W3025" s="37"/>
      <c r="X3025" s="37"/>
      <c r="Y3025" s="37"/>
      <c r="Z3025" s="37"/>
      <c r="AA3025" s="37"/>
      <c r="AB3025" s="37"/>
      <c r="AC3025" s="37"/>
      <c r="AD3025" s="37"/>
      <c r="AE3025" s="37"/>
      <c r="AF3025" s="37"/>
      <c r="AG3025" s="37"/>
      <c r="AH3025" s="37"/>
      <c r="AI3025" s="37"/>
      <c r="AJ3025" s="37"/>
      <c r="AK3025" s="37"/>
      <c r="AL3025" s="37"/>
      <c r="AM3025" s="37"/>
      <c r="AN3025" s="37"/>
      <c r="AO3025" s="37"/>
      <c r="AP3025" s="37"/>
      <c r="AQ3025" s="37"/>
      <c r="AR3025" s="37"/>
      <c r="AS3025" s="37"/>
      <c r="AT3025" s="37"/>
      <c r="AU3025" s="37"/>
      <c r="AV3025" s="37"/>
      <c r="AW3025" s="37"/>
      <c r="AX3025" s="37"/>
      <c r="AY3025" s="37"/>
      <c r="AZ3025" s="37"/>
      <c r="BA3025" s="37"/>
      <c r="BB3025" s="37"/>
      <c r="BC3025" s="37"/>
      <c r="BD3025" s="37"/>
      <c r="BE3025" s="37"/>
      <c r="BF3025" s="37"/>
      <c r="BG3025" s="37"/>
      <c r="BH3025" s="37"/>
      <c r="BI3025" s="37"/>
      <c r="BJ3025" s="37"/>
      <c r="BK3025" s="37"/>
      <c r="BL3025" s="37"/>
      <c r="BM3025" s="37"/>
    </row>
    <row r="3026" spans="1:65" s="40" customFormat="1" ht="23.25" x14ac:dyDescent="0.35">
      <c r="A3026" s="37"/>
      <c r="B3026" s="37"/>
      <c r="C3026" s="41"/>
      <c r="D3026" s="38"/>
      <c r="E3026" s="57"/>
      <c r="F3026" s="42"/>
      <c r="G3026" s="43"/>
      <c r="H3026" s="37"/>
      <c r="I3026" s="37"/>
      <c r="J3026" s="38"/>
      <c r="K3026" s="37"/>
      <c r="L3026" s="38"/>
      <c r="M3026" s="39"/>
      <c r="P3026" s="37"/>
      <c r="Q3026" s="37"/>
      <c r="R3026" s="37"/>
      <c r="S3026" s="37"/>
      <c r="T3026" s="37"/>
      <c r="U3026" s="37"/>
      <c r="V3026" s="37"/>
      <c r="W3026" s="37"/>
      <c r="X3026" s="37"/>
      <c r="Y3026" s="37"/>
      <c r="Z3026" s="37"/>
      <c r="AA3026" s="37"/>
      <c r="AB3026" s="37"/>
      <c r="AC3026" s="37"/>
      <c r="AD3026" s="37"/>
      <c r="AE3026" s="37"/>
      <c r="AF3026" s="37"/>
      <c r="AG3026" s="37"/>
      <c r="AH3026" s="37"/>
      <c r="AI3026" s="37"/>
      <c r="AJ3026" s="37"/>
      <c r="AK3026" s="37"/>
      <c r="AL3026" s="37"/>
      <c r="AM3026" s="37"/>
      <c r="AN3026" s="37"/>
      <c r="AO3026" s="37"/>
      <c r="AP3026" s="37"/>
      <c r="AQ3026" s="37"/>
      <c r="AR3026" s="37"/>
      <c r="AS3026" s="37"/>
      <c r="AT3026" s="37"/>
      <c r="AU3026" s="37"/>
      <c r="AV3026" s="37"/>
      <c r="AW3026" s="37"/>
      <c r="AX3026" s="37"/>
      <c r="AY3026" s="37"/>
      <c r="AZ3026" s="37"/>
      <c r="BA3026" s="37"/>
      <c r="BB3026" s="37"/>
      <c r="BC3026" s="37"/>
      <c r="BD3026" s="37"/>
      <c r="BE3026" s="37"/>
      <c r="BF3026" s="37"/>
      <c r="BG3026" s="37"/>
      <c r="BH3026" s="37"/>
      <c r="BI3026" s="37"/>
      <c r="BJ3026" s="37"/>
      <c r="BK3026" s="37"/>
      <c r="BL3026" s="37"/>
      <c r="BM3026" s="37"/>
    </row>
    <row r="3027" spans="1:65" s="40" customFormat="1" ht="23.25" x14ac:dyDescent="0.35">
      <c r="A3027" s="37"/>
      <c r="B3027" s="37"/>
      <c r="C3027" s="41"/>
      <c r="D3027" s="38"/>
      <c r="E3027" s="57"/>
      <c r="F3027" s="42"/>
      <c r="G3027" s="43"/>
      <c r="H3027" s="37"/>
      <c r="I3027" s="37"/>
      <c r="J3027" s="38"/>
      <c r="K3027" s="37"/>
      <c r="L3027" s="38"/>
      <c r="M3027" s="39"/>
      <c r="P3027" s="37"/>
      <c r="Q3027" s="37"/>
      <c r="R3027" s="37"/>
      <c r="S3027" s="37"/>
      <c r="T3027" s="37"/>
      <c r="U3027" s="37"/>
      <c r="V3027" s="37"/>
      <c r="W3027" s="37"/>
      <c r="X3027" s="37"/>
      <c r="Y3027" s="37"/>
      <c r="Z3027" s="37"/>
      <c r="AA3027" s="37"/>
      <c r="AB3027" s="37"/>
      <c r="AC3027" s="37"/>
      <c r="AD3027" s="37"/>
      <c r="AE3027" s="37"/>
      <c r="AF3027" s="37"/>
      <c r="AG3027" s="37"/>
      <c r="AH3027" s="37"/>
      <c r="AI3027" s="37"/>
      <c r="AJ3027" s="37"/>
      <c r="AK3027" s="37"/>
      <c r="AL3027" s="37"/>
      <c r="AM3027" s="37"/>
      <c r="AN3027" s="37"/>
      <c r="AO3027" s="37"/>
      <c r="AP3027" s="37"/>
      <c r="AQ3027" s="37"/>
      <c r="AR3027" s="37"/>
      <c r="AS3027" s="37"/>
      <c r="AT3027" s="37"/>
      <c r="AU3027" s="37"/>
      <c r="AV3027" s="37"/>
      <c r="AW3027" s="37"/>
      <c r="AX3027" s="37"/>
      <c r="AY3027" s="37"/>
      <c r="AZ3027" s="37"/>
      <c r="BA3027" s="37"/>
      <c r="BB3027" s="37"/>
      <c r="BC3027" s="37"/>
      <c r="BD3027" s="37"/>
      <c r="BE3027" s="37"/>
      <c r="BF3027" s="37"/>
      <c r="BG3027" s="37"/>
      <c r="BH3027" s="37"/>
      <c r="BI3027" s="37"/>
      <c r="BJ3027" s="37"/>
      <c r="BK3027" s="37"/>
      <c r="BL3027" s="37"/>
      <c r="BM3027" s="37"/>
    </row>
    <row r="3028" spans="1:65" s="40" customFormat="1" ht="23.25" x14ac:dyDescent="0.35">
      <c r="A3028" s="37"/>
      <c r="B3028" s="37"/>
      <c r="C3028" s="41"/>
      <c r="D3028" s="38"/>
      <c r="E3028" s="57"/>
      <c r="F3028" s="42"/>
      <c r="G3028" s="43"/>
      <c r="H3028" s="37"/>
      <c r="I3028" s="37"/>
      <c r="J3028" s="38"/>
      <c r="K3028" s="37"/>
      <c r="L3028" s="38"/>
      <c r="M3028" s="39"/>
      <c r="P3028" s="37"/>
      <c r="Q3028" s="37"/>
      <c r="R3028" s="37"/>
      <c r="S3028" s="37"/>
      <c r="T3028" s="37"/>
      <c r="U3028" s="37"/>
      <c r="V3028" s="37"/>
      <c r="W3028" s="37"/>
      <c r="X3028" s="37"/>
      <c r="Y3028" s="37"/>
      <c r="Z3028" s="37"/>
      <c r="AA3028" s="37"/>
      <c r="AB3028" s="37"/>
      <c r="AC3028" s="37"/>
      <c r="AD3028" s="37"/>
      <c r="AE3028" s="37"/>
      <c r="AF3028" s="37"/>
      <c r="AG3028" s="37"/>
      <c r="AH3028" s="37"/>
      <c r="AI3028" s="37"/>
      <c r="AJ3028" s="37"/>
      <c r="AK3028" s="37"/>
      <c r="AL3028" s="37"/>
      <c r="AM3028" s="37"/>
      <c r="AN3028" s="37"/>
      <c r="AO3028" s="37"/>
      <c r="AP3028" s="37"/>
      <c r="AQ3028" s="37"/>
      <c r="AR3028" s="37"/>
      <c r="AS3028" s="37"/>
      <c r="AT3028" s="37"/>
      <c r="AU3028" s="37"/>
      <c r="AV3028" s="37"/>
      <c r="AW3028" s="37"/>
      <c r="AX3028" s="37"/>
      <c r="AY3028" s="37"/>
      <c r="AZ3028" s="37"/>
      <c r="BA3028" s="37"/>
      <c r="BB3028" s="37"/>
      <c r="BC3028" s="37"/>
      <c r="BD3028" s="37"/>
      <c r="BE3028" s="37"/>
      <c r="BF3028" s="37"/>
      <c r="BG3028" s="37"/>
      <c r="BH3028" s="37"/>
      <c r="BI3028" s="37"/>
      <c r="BJ3028" s="37"/>
      <c r="BK3028" s="37"/>
      <c r="BL3028" s="37"/>
      <c r="BM3028" s="37"/>
    </row>
    <row r="3029" spans="1:65" s="40" customFormat="1" ht="23.25" x14ac:dyDescent="0.35">
      <c r="A3029" s="37"/>
      <c r="B3029" s="37"/>
      <c r="C3029" s="41"/>
      <c r="D3029" s="38"/>
      <c r="E3029" s="57"/>
      <c r="F3029" s="42"/>
      <c r="G3029" s="43"/>
      <c r="H3029" s="37"/>
      <c r="I3029" s="37"/>
      <c r="J3029" s="38"/>
      <c r="K3029" s="37"/>
      <c r="L3029" s="38"/>
      <c r="M3029" s="39"/>
      <c r="P3029" s="37"/>
      <c r="Q3029" s="37"/>
      <c r="R3029" s="37"/>
      <c r="S3029" s="37"/>
      <c r="T3029" s="37"/>
      <c r="U3029" s="37"/>
      <c r="V3029" s="37"/>
      <c r="W3029" s="37"/>
      <c r="X3029" s="37"/>
      <c r="Y3029" s="37"/>
      <c r="Z3029" s="37"/>
      <c r="AA3029" s="37"/>
      <c r="AB3029" s="37"/>
      <c r="AC3029" s="37"/>
      <c r="AD3029" s="37"/>
      <c r="AE3029" s="37"/>
      <c r="AF3029" s="37"/>
      <c r="AG3029" s="37"/>
      <c r="AH3029" s="37"/>
      <c r="AI3029" s="37"/>
      <c r="AJ3029" s="37"/>
      <c r="AK3029" s="37"/>
      <c r="AL3029" s="37"/>
      <c r="AM3029" s="37"/>
      <c r="AN3029" s="37"/>
      <c r="AO3029" s="37"/>
      <c r="AP3029" s="37"/>
      <c r="AQ3029" s="37"/>
      <c r="AR3029" s="37"/>
      <c r="AS3029" s="37"/>
      <c r="AT3029" s="37"/>
      <c r="AU3029" s="37"/>
      <c r="AV3029" s="37"/>
      <c r="AW3029" s="37"/>
      <c r="AX3029" s="37"/>
      <c r="AY3029" s="37"/>
      <c r="AZ3029" s="37"/>
      <c r="BA3029" s="37"/>
      <c r="BB3029" s="37"/>
      <c r="BC3029" s="37"/>
      <c r="BD3029" s="37"/>
      <c r="BE3029" s="37"/>
      <c r="BF3029" s="37"/>
      <c r="BG3029" s="37"/>
      <c r="BH3029" s="37"/>
      <c r="BI3029" s="37"/>
      <c r="BJ3029" s="37"/>
      <c r="BK3029" s="37"/>
      <c r="BL3029" s="37"/>
      <c r="BM3029" s="37"/>
    </row>
    <row r="3030" spans="1:65" s="40" customFormat="1" ht="23.25" x14ac:dyDescent="0.35">
      <c r="A3030" s="37"/>
      <c r="B3030" s="37"/>
      <c r="C3030" s="41"/>
      <c r="D3030" s="38"/>
      <c r="E3030" s="57"/>
      <c r="F3030" s="42"/>
      <c r="G3030" s="43"/>
      <c r="H3030" s="37"/>
      <c r="I3030" s="37"/>
      <c r="J3030" s="38"/>
      <c r="K3030" s="37"/>
      <c r="L3030" s="38"/>
      <c r="M3030" s="39"/>
      <c r="P3030" s="37"/>
      <c r="Q3030" s="37"/>
      <c r="R3030" s="37"/>
      <c r="S3030" s="37"/>
      <c r="T3030" s="37"/>
      <c r="U3030" s="37"/>
      <c r="V3030" s="37"/>
      <c r="W3030" s="37"/>
      <c r="X3030" s="37"/>
      <c r="Y3030" s="37"/>
      <c r="Z3030" s="37"/>
      <c r="AA3030" s="37"/>
      <c r="AB3030" s="37"/>
      <c r="AC3030" s="37"/>
      <c r="AD3030" s="37"/>
      <c r="AE3030" s="37"/>
      <c r="AF3030" s="37"/>
      <c r="AG3030" s="37"/>
      <c r="AH3030" s="37"/>
      <c r="AI3030" s="37"/>
      <c r="AJ3030" s="37"/>
      <c r="AK3030" s="37"/>
      <c r="AL3030" s="37"/>
      <c r="AM3030" s="37"/>
      <c r="AN3030" s="37"/>
      <c r="AO3030" s="37"/>
      <c r="AP3030" s="37"/>
      <c r="AQ3030" s="37"/>
      <c r="AR3030" s="37"/>
      <c r="AS3030" s="37"/>
      <c r="AT3030" s="37"/>
      <c r="AU3030" s="37"/>
      <c r="AV3030" s="37"/>
      <c r="AW3030" s="37"/>
      <c r="AX3030" s="37"/>
      <c r="AY3030" s="37"/>
      <c r="AZ3030" s="37"/>
      <c r="BA3030" s="37"/>
      <c r="BB3030" s="37"/>
      <c r="BC3030" s="37"/>
      <c r="BD3030" s="37"/>
      <c r="BE3030" s="37"/>
      <c r="BF3030" s="37"/>
      <c r="BG3030" s="37"/>
      <c r="BH3030" s="37"/>
      <c r="BI3030" s="37"/>
      <c r="BJ3030" s="37"/>
      <c r="BK3030" s="37"/>
      <c r="BL3030" s="37"/>
      <c r="BM3030" s="37"/>
    </row>
    <row r="3031" spans="1:65" s="40" customFormat="1" ht="23.25" x14ac:dyDescent="0.35">
      <c r="A3031" s="37"/>
      <c r="B3031" s="37"/>
      <c r="C3031" s="41"/>
      <c r="D3031" s="38"/>
      <c r="E3031" s="57"/>
      <c r="F3031" s="42"/>
      <c r="G3031" s="43"/>
      <c r="H3031" s="37"/>
      <c r="I3031" s="37"/>
      <c r="J3031" s="38"/>
      <c r="K3031" s="37"/>
      <c r="L3031" s="38"/>
      <c r="M3031" s="39"/>
      <c r="P3031" s="37"/>
      <c r="Q3031" s="37"/>
      <c r="R3031" s="37"/>
      <c r="S3031" s="37"/>
      <c r="T3031" s="37"/>
      <c r="U3031" s="37"/>
      <c r="V3031" s="37"/>
      <c r="W3031" s="37"/>
      <c r="X3031" s="37"/>
      <c r="Y3031" s="37"/>
      <c r="Z3031" s="37"/>
      <c r="AA3031" s="37"/>
      <c r="AB3031" s="37"/>
      <c r="AC3031" s="37"/>
      <c r="AD3031" s="37"/>
      <c r="AE3031" s="37"/>
      <c r="AF3031" s="37"/>
      <c r="AG3031" s="37"/>
      <c r="AH3031" s="37"/>
      <c r="AI3031" s="37"/>
      <c r="AJ3031" s="37"/>
      <c r="AK3031" s="37"/>
      <c r="AL3031" s="37"/>
      <c r="AM3031" s="37"/>
      <c r="AN3031" s="37"/>
      <c r="AO3031" s="37"/>
      <c r="AP3031" s="37"/>
      <c r="AQ3031" s="37"/>
      <c r="AR3031" s="37"/>
      <c r="AS3031" s="37"/>
      <c r="AT3031" s="37"/>
      <c r="AU3031" s="37"/>
      <c r="AV3031" s="37"/>
      <c r="AW3031" s="37"/>
      <c r="AX3031" s="37"/>
      <c r="AY3031" s="37"/>
      <c r="AZ3031" s="37"/>
      <c r="BA3031" s="37"/>
      <c r="BB3031" s="37"/>
      <c r="BC3031" s="37"/>
      <c r="BD3031" s="37"/>
      <c r="BE3031" s="37"/>
      <c r="BF3031" s="37"/>
      <c r="BG3031" s="37"/>
      <c r="BH3031" s="37"/>
      <c r="BI3031" s="37"/>
      <c r="BJ3031" s="37"/>
      <c r="BK3031" s="37"/>
      <c r="BL3031" s="37"/>
      <c r="BM3031" s="37"/>
    </row>
    <row r="3032" spans="1:65" s="40" customFormat="1" ht="23.25" x14ac:dyDescent="0.35">
      <c r="A3032" s="37"/>
      <c r="B3032" s="37"/>
      <c r="C3032" s="41"/>
      <c r="D3032" s="38"/>
      <c r="E3032" s="57"/>
      <c r="F3032" s="42"/>
      <c r="G3032" s="43"/>
      <c r="H3032" s="37"/>
      <c r="I3032" s="37"/>
      <c r="J3032" s="38"/>
      <c r="K3032" s="37"/>
      <c r="L3032" s="38"/>
      <c r="M3032" s="39"/>
      <c r="P3032" s="37"/>
      <c r="Q3032" s="37"/>
      <c r="R3032" s="37"/>
      <c r="S3032" s="37"/>
      <c r="T3032" s="37"/>
      <c r="U3032" s="37"/>
      <c r="V3032" s="37"/>
      <c r="W3032" s="37"/>
      <c r="X3032" s="37"/>
      <c r="Y3032" s="37"/>
      <c r="Z3032" s="37"/>
      <c r="AA3032" s="37"/>
      <c r="AB3032" s="37"/>
      <c r="AC3032" s="37"/>
      <c r="AD3032" s="37"/>
      <c r="AE3032" s="37"/>
      <c r="AF3032" s="37"/>
      <c r="AG3032" s="37"/>
      <c r="AH3032" s="37"/>
      <c r="AI3032" s="37"/>
      <c r="AJ3032" s="37"/>
      <c r="AK3032" s="37"/>
      <c r="AL3032" s="37"/>
      <c r="AM3032" s="37"/>
      <c r="AN3032" s="37"/>
      <c r="AO3032" s="37"/>
      <c r="AP3032" s="37"/>
      <c r="AQ3032" s="37"/>
      <c r="AR3032" s="37"/>
      <c r="AS3032" s="37"/>
      <c r="AT3032" s="37"/>
      <c r="AU3032" s="37"/>
      <c r="AV3032" s="37"/>
      <c r="AW3032" s="37"/>
      <c r="AX3032" s="37"/>
      <c r="AY3032" s="37"/>
      <c r="AZ3032" s="37"/>
      <c r="BA3032" s="37"/>
      <c r="BB3032" s="37"/>
      <c r="BC3032" s="37"/>
      <c r="BD3032" s="37"/>
      <c r="BE3032" s="37"/>
      <c r="BF3032" s="37"/>
      <c r="BG3032" s="37"/>
      <c r="BH3032" s="37"/>
      <c r="BI3032" s="37"/>
      <c r="BJ3032" s="37"/>
      <c r="BK3032" s="37"/>
      <c r="BL3032" s="37"/>
      <c r="BM3032" s="37"/>
    </row>
    <row r="3033" spans="1:65" s="40" customFormat="1" ht="23.25" x14ac:dyDescent="0.35">
      <c r="A3033" s="37"/>
      <c r="B3033" s="37"/>
      <c r="C3033" s="41"/>
      <c r="D3033" s="38"/>
      <c r="E3033" s="57"/>
      <c r="F3033" s="42"/>
      <c r="G3033" s="43"/>
      <c r="H3033" s="37"/>
      <c r="I3033" s="37"/>
      <c r="J3033" s="38"/>
      <c r="K3033" s="37"/>
      <c r="L3033" s="38"/>
      <c r="M3033" s="39"/>
      <c r="P3033" s="37"/>
      <c r="Q3033" s="37"/>
      <c r="R3033" s="37"/>
      <c r="S3033" s="37"/>
      <c r="T3033" s="37"/>
      <c r="U3033" s="37"/>
      <c r="V3033" s="37"/>
      <c r="W3033" s="37"/>
      <c r="X3033" s="37"/>
      <c r="Y3033" s="37"/>
      <c r="Z3033" s="37"/>
      <c r="AA3033" s="37"/>
      <c r="AB3033" s="37"/>
      <c r="AC3033" s="37"/>
      <c r="AD3033" s="37"/>
      <c r="AE3033" s="37"/>
      <c r="AF3033" s="37"/>
      <c r="AG3033" s="37"/>
      <c r="AH3033" s="37"/>
      <c r="AI3033" s="37"/>
      <c r="AJ3033" s="37"/>
      <c r="AK3033" s="37"/>
      <c r="AL3033" s="37"/>
      <c r="AM3033" s="37"/>
      <c r="AN3033" s="37"/>
      <c r="AO3033" s="37"/>
      <c r="AP3033" s="37"/>
      <c r="AQ3033" s="37"/>
      <c r="AR3033" s="37"/>
      <c r="AS3033" s="37"/>
      <c r="AT3033" s="37"/>
      <c r="AU3033" s="37"/>
      <c r="AV3033" s="37"/>
      <c r="AW3033" s="37"/>
      <c r="AX3033" s="37"/>
      <c r="AY3033" s="37"/>
      <c r="AZ3033" s="37"/>
      <c r="BA3033" s="37"/>
      <c r="BB3033" s="37"/>
      <c r="BC3033" s="37"/>
      <c r="BD3033" s="37"/>
      <c r="BE3033" s="37"/>
      <c r="BF3033" s="37"/>
      <c r="BG3033" s="37"/>
      <c r="BH3033" s="37"/>
      <c r="BI3033" s="37"/>
      <c r="BJ3033" s="37"/>
      <c r="BK3033" s="37"/>
      <c r="BL3033" s="37"/>
      <c r="BM3033" s="37"/>
    </row>
    <row r="3034" spans="1:65" s="40" customFormat="1" ht="23.25" x14ac:dyDescent="0.35">
      <c r="A3034" s="37"/>
      <c r="B3034" s="37"/>
      <c r="C3034" s="41"/>
      <c r="D3034" s="38"/>
      <c r="E3034" s="57"/>
      <c r="F3034" s="42"/>
      <c r="G3034" s="43"/>
      <c r="H3034" s="37"/>
      <c r="I3034" s="37"/>
      <c r="J3034" s="38"/>
      <c r="K3034" s="37"/>
      <c r="L3034" s="38"/>
      <c r="M3034" s="39"/>
      <c r="P3034" s="37"/>
      <c r="Q3034" s="37"/>
      <c r="R3034" s="37"/>
      <c r="S3034" s="37"/>
      <c r="T3034" s="37"/>
      <c r="U3034" s="37"/>
      <c r="V3034" s="37"/>
      <c r="W3034" s="37"/>
      <c r="X3034" s="37"/>
      <c r="Y3034" s="37"/>
      <c r="Z3034" s="37"/>
      <c r="AA3034" s="37"/>
      <c r="AB3034" s="37"/>
      <c r="AC3034" s="37"/>
      <c r="AD3034" s="37"/>
      <c r="AE3034" s="37"/>
      <c r="AF3034" s="37"/>
      <c r="AG3034" s="37"/>
      <c r="AH3034" s="37"/>
      <c r="AI3034" s="37"/>
      <c r="AJ3034" s="37"/>
      <c r="AK3034" s="37"/>
      <c r="AL3034" s="37"/>
      <c r="AM3034" s="37"/>
      <c r="AN3034" s="37"/>
      <c r="AO3034" s="37"/>
      <c r="AP3034" s="37"/>
      <c r="AQ3034" s="37"/>
      <c r="AR3034" s="37"/>
      <c r="AS3034" s="37"/>
      <c r="AT3034" s="37"/>
      <c r="AU3034" s="37"/>
      <c r="AV3034" s="37"/>
      <c r="AW3034" s="37"/>
      <c r="AX3034" s="37"/>
      <c r="AY3034" s="37"/>
      <c r="AZ3034" s="37"/>
      <c r="BA3034" s="37"/>
      <c r="BB3034" s="37"/>
      <c r="BC3034" s="37"/>
      <c r="BD3034" s="37"/>
      <c r="BE3034" s="37"/>
      <c r="BF3034" s="37"/>
      <c r="BG3034" s="37"/>
      <c r="BH3034" s="37"/>
      <c r="BI3034" s="37"/>
      <c r="BJ3034" s="37"/>
      <c r="BK3034" s="37"/>
      <c r="BL3034" s="37"/>
      <c r="BM3034" s="37"/>
    </row>
    <row r="3035" spans="1:65" s="40" customFormat="1" ht="23.25" x14ac:dyDescent="0.35">
      <c r="A3035" s="37"/>
      <c r="B3035" s="37"/>
      <c r="C3035" s="41"/>
      <c r="D3035" s="38"/>
      <c r="E3035" s="57"/>
      <c r="F3035" s="42"/>
      <c r="G3035" s="43"/>
      <c r="H3035" s="37"/>
      <c r="I3035" s="37"/>
      <c r="J3035" s="38"/>
      <c r="K3035" s="37"/>
      <c r="L3035" s="38"/>
      <c r="M3035" s="39"/>
      <c r="P3035" s="37"/>
      <c r="Q3035" s="37"/>
      <c r="R3035" s="37"/>
      <c r="S3035" s="37"/>
      <c r="T3035" s="37"/>
      <c r="U3035" s="37"/>
      <c r="V3035" s="37"/>
      <c r="W3035" s="37"/>
      <c r="X3035" s="37"/>
      <c r="Y3035" s="37"/>
      <c r="Z3035" s="37"/>
      <c r="AA3035" s="37"/>
      <c r="AB3035" s="37"/>
      <c r="AC3035" s="37"/>
      <c r="AD3035" s="37"/>
      <c r="AE3035" s="37"/>
      <c r="AF3035" s="37"/>
      <c r="AG3035" s="37"/>
      <c r="AH3035" s="37"/>
      <c r="AI3035" s="37"/>
      <c r="AJ3035" s="37"/>
      <c r="AK3035" s="37"/>
      <c r="AL3035" s="37"/>
      <c r="AM3035" s="37"/>
      <c r="AN3035" s="37"/>
      <c r="AO3035" s="37"/>
      <c r="AP3035" s="37"/>
      <c r="AQ3035" s="37"/>
      <c r="AR3035" s="37"/>
      <c r="AS3035" s="37"/>
      <c r="AT3035" s="37"/>
      <c r="AU3035" s="37"/>
      <c r="AV3035" s="37"/>
      <c r="AW3035" s="37"/>
      <c r="AX3035" s="37"/>
      <c r="AY3035" s="37"/>
      <c r="AZ3035" s="37"/>
      <c r="BA3035" s="37"/>
      <c r="BB3035" s="37"/>
      <c r="BC3035" s="37"/>
      <c r="BD3035" s="37"/>
      <c r="BE3035" s="37"/>
      <c r="BF3035" s="37"/>
      <c r="BG3035" s="37"/>
      <c r="BH3035" s="37"/>
      <c r="BI3035" s="37"/>
      <c r="BJ3035" s="37"/>
      <c r="BK3035" s="37"/>
      <c r="BL3035" s="37"/>
      <c r="BM3035" s="37"/>
    </row>
    <row r="3036" spans="1:65" s="40" customFormat="1" ht="23.25" x14ac:dyDescent="0.35">
      <c r="A3036" s="37"/>
      <c r="B3036" s="37"/>
      <c r="C3036" s="41"/>
      <c r="D3036" s="38"/>
      <c r="E3036" s="57"/>
      <c r="F3036" s="42"/>
      <c r="G3036" s="43"/>
      <c r="H3036" s="37"/>
      <c r="I3036" s="37"/>
      <c r="J3036" s="38"/>
      <c r="K3036" s="37"/>
      <c r="L3036" s="38"/>
      <c r="M3036" s="39"/>
      <c r="P3036" s="37"/>
      <c r="Q3036" s="37"/>
      <c r="R3036" s="37"/>
      <c r="S3036" s="37"/>
      <c r="T3036" s="37"/>
      <c r="U3036" s="37"/>
      <c r="V3036" s="37"/>
      <c r="W3036" s="37"/>
      <c r="X3036" s="37"/>
      <c r="Y3036" s="37"/>
      <c r="Z3036" s="37"/>
      <c r="AA3036" s="37"/>
      <c r="AB3036" s="37"/>
      <c r="AC3036" s="37"/>
      <c r="AD3036" s="37"/>
      <c r="AE3036" s="37"/>
      <c r="AF3036" s="37"/>
      <c r="AG3036" s="37"/>
      <c r="AH3036" s="37"/>
      <c r="AI3036" s="37"/>
      <c r="AJ3036" s="37"/>
      <c r="AK3036" s="37"/>
      <c r="AL3036" s="37"/>
      <c r="AM3036" s="37"/>
      <c r="AN3036" s="37"/>
      <c r="AO3036" s="37"/>
      <c r="AP3036" s="37"/>
      <c r="AQ3036" s="37"/>
      <c r="AR3036" s="37"/>
      <c r="AS3036" s="37"/>
      <c r="AT3036" s="37"/>
      <c r="AU3036" s="37"/>
      <c r="AV3036" s="37"/>
      <c r="AW3036" s="37"/>
      <c r="AX3036" s="37"/>
      <c r="AY3036" s="37"/>
      <c r="AZ3036" s="37"/>
      <c r="BA3036" s="37"/>
      <c r="BB3036" s="37"/>
      <c r="BC3036" s="37"/>
      <c r="BD3036" s="37"/>
      <c r="BE3036" s="37"/>
      <c r="BF3036" s="37"/>
      <c r="BG3036" s="37"/>
      <c r="BH3036" s="37"/>
      <c r="BI3036" s="37"/>
      <c r="BJ3036" s="37"/>
      <c r="BK3036" s="37"/>
      <c r="BL3036" s="37"/>
      <c r="BM3036" s="37"/>
    </row>
    <row r="3037" spans="1:65" s="40" customFormat="1" ht="23.25" x14ac:dyDescent="0.35">
      <c r="A3037" s="37"/>
      <c r="B3037" s="37"/>
      <c r="C3037" s="41"/>
      <c r="D3037" s="38"/>
      <c r="E3037" s="57"/>
      <c r="F3037" s="42"/>
      <c r="G3037" s="43"/>
      <c r="H3037" s="37"/>
      <c r="I3037" s="37"/>
      <c r="J3037" s="38"/>
      <c r="K3037" s="37"/>
      <c r="L3037" s="38"/>
      <c r="M3037" s="39"/>
      <c r="P3037" s="37"/>
      <c r="Q3037" s="37"/>
      <c r="R3037" s="37"/>
      <c r="S3037" s="37"/>
      <c r="T3037" s="37"/>
      <c r="U3037" s="37"/>
      <c r="V3037" s="37"/>
      <c r="W3037" s="37"/>
      <c r="X3037" s="37"/>
      <c r="Y3037" s="37"/>
      <c r="Z3037" s="37"/>
      <c r="AA3037" s="37"/>
      <c r="AB3037" s="37"/>
      <c r="AC3037" s="37"/>
      <c r="AD3037" s="37"/>
      <c r="AE3037" s="37"/>
      <c r="AF3037" s="37"/>
      <c r="AG3037" s="37"/>
      <c r="AH3037" s="37"/>
      <c r="AI3037" s="37"/>
      <c r="AJ3037" s="37"/>
      <c r="AK3037" s="37"/>
      <c r="AL3037" s="37"/>
      <c r="AM3037" s="37"/>
      <c r="AN3037" s="37"/>
      <c r="AO3037" s="37"/>
      <c r="AP3037" s="37"/>
      <c r="AQ3037" s="37"/>
      <c r="AR3037" s="37"/>
      <c r="AS3037" s="37"/>
      <c r="AT3037" s="37"/>
      <c r="AU3037" s="37"/>
      <c r="AV3037" s="37"/>
      <c r="AW3037" s="37"/>
      <c r="AX3037" s="37"/>
      <c r="AY3037" s="37"/>
      <c r="AZ3037" s="37"/>
      <c r="BA3037" s="37"/>
      <c r="BB3037" s="37"/>
      <c r="BC3037" s="37"/>
      <c r="BD3037" s="37"/>
      <c r="BE3037" s="37"/>
      <c r="BF3037" s="37"/>
      <c r="BG3037" s="37"/>
      <c r="BH3037" s="37"/>
      <c r="BI3037" s="37"/>
      <c r="BJ3037" s="37"/>
      <c r="BK3037" s="37"/>
      <c r="BL3037" s="37"/>
      <c r="BM3037" s="37"/>
    </row>
    <row r="3038" spans="1:65" s="40" customFormat="1" ht="23.25" x14ac:dyDescent="0.35">
      <c r="A3038" s="37"/>
      <c r="B3038" s="37"/>
      <c r="C3038" s="41"/>
      <c r="D3038" s="38"/>
      <c r="E3038" s="57"/>
      <c r="F3038" s="42"/>
      <c r="G3038" s="43"/>
      <c r="H3038" s="37"/>
      <c r="I3038" s="37"/>
      <c r="J3038" s="38"/>
      <c r="K3038" s="37"/>
      <c r="L3038" s="38"/>
      <c r="M3038" s="39"/>
      <c r="P3038" s="37"/>
      <c r="Q3038" s="37"/>
      <c r="R3038" s="37"/>
      <c r="S3038" s="37"/>
      <c r="T3038" s="37"/>
      <c r="U3038" s="37"/>
      <c r="V3038" s="37"/>
      <c r="W3038" s="37"/>
      <c r="X3038" s="37"/>
      <c r="Y3038" s="37"/>
      <c r="Z3038" s="37"/>
      <c r="AA3038" s="37"/>
      <c r="AB3038" s="37"/>
      <c r="AC3038" s="37"/>
      <c r="AD3038" s="37"/>
      <c r="AE3038" s="37"/>
      <c r="AF3038" s="37"/>
      <c r="AG3038" s="37"/>
      <c r="AH3038" s="37"/>
      <c r="AI3038" s="37"/>
      <c r="AJ3038" s="37"/>
      <c r="AK3038" s="37"/>
      <c r="AL3038" s="37"/>
      <c r="AM3038" s="37"/>
      <c r="AN3038" s="37"/>
      <c r="AO3038" s="37"/>
      <c r="AP3038" s="37"/>
      <c r="AQ3038" s="37"/>
      <c r="AR3038" s="37"/>
      <c r="AS3038" s="37"/>
      <c r="AT3038" s="37"/>
      <c r="AU3038" s="37"/>
      <c r="AV3038" s="37"/>
      <c r="AW3038" s="37"/>
      <c r="AX3038" s="37"/>
      <c r="AY3038" s="37"/>
      <c r="AZ3038" s="37"/>
      <c r="BA3038" s="37"/>
      <c r="BB3038" s="37"/>
      <c r="BC3038" s="37"/>
      <c r="BD3038" s="37"/>
      <c r="BE3038" s="37"/>
      <c r="BF3038" s="37"/>
      <c r="BG3038" s="37"/>
      <c r="BH3038" s="37"/>
      <c r="BI3038" s="37"/>
      <c r="BJ3038" s="37"/>
      <c r="BK3038" s="37"/>
      <c r="BL3038" s="37"/>
      <c r="BM3038" s="37"/>
    </row>
    <row r="3039" spans="1:65" s="40" customFormat="1" ht="23.25" x14ac:dyDescent="0.35">
      <c r="A3039" s="37"/>
      <c r="B3039" s="37"/>
      <c r="C3039" s="41"/>
      <c r="D3039" s="38"/>
      <c r="E3039" s="57"/>
      <c r="F3039" s="42"/>
      <c r="G3039" s="43"/>
      <c r="H3039" s="37"/>
      <c r="I3039" s="37"/>
      <c r="J3039" s="38"/>
      <c r="K3039" s="37"/>
      <c r="L3039" s="38"/>
      <c r="M3039" s="39"/>
      <c r="P3039" s="37"/>
      <c r="Q3039" s="37"/>
      <c r="R3039" s="37"/>
      <c r="S3039" s="37"/>
      <c r="T3039" s="37"/>
      <c r="U3039" s="37"/>
      <c r="V3039" s="37"/>
      <c r="W3039" s="37"/>
      <c r="X3039" s="37"/>
      <c r="Y3039" s="37"/>
      <c r="Z3039" s="37"/>
      <c r="AA3039" s="37"/>
      <c r="AB3039" s="37"/>
      <c r="AC3039" s="37"/>
      <c r="AD3039" s="37"/>
      <c r="AE3039" s="37"/>
      <c r="AF3039" s="37"/>
      <c r="AG3039" s="37"/>
      <c r="AH3039" s="37"/>
      <c r="AI3039" s="37"/>
      <c r="AJ3039" s="37"/>
      <c r="AK3039" s="37"/>
      <c r="AL3039" s="37"/>
      <c r="AM3039" s="37"/>
      <c r="AN3039" s="37"/>
      <c r="AO3039" s="37"/>
      <c r="AP3039" s="37"/>
      <c r="AQ3039" s="37"/>
      <c r="AR3039" s="37"/>
      <c r="AS3039" s="37"/>
      <c r="AT3039" s="37"/>
      <c r="AU3039" s="37"/>
      <c r="AV3039" s="37"/>
      <c r="AW3039" s="37"/>
      <c r="AX3039" s="37"/>
      <c r="AY3039" s="37"/>
      <c r="AZ3039" s="37"/>
      <c r="BA3039" s="37"/>
      <c r="BB3039" s="37"/>
      <c r="BC3039" s="37"/>
      <c r="BD3039" s="37"/>
      <c r="BE3039" s="37"/>
      <c r="BF3039" s="37"/>
      <c r="BG3039" s="37"/>
      <c r="BH3039" s="37"/>
      <c r="BI3039" s="37"/>
      <c r="BJ3039" s="37"/>
      <c r="BK3039" s="37"/>
      <c r="BL3039" s="37"/>
      <c r="BM3039" s="37"/>
    </row>
    <row r="3040" spans="1:65" s="40" customFormat="1" ht="23.25" x14ac:dyDescent="0.35">
      <c r="A3040" s="37"/>
      <c r="B3040" s="37"/>
      <c r="C3040" s="41"/>
      <c r="D3040" s="38"/>
      <c r="E3040" s="57"/>
      <c r="F3040" s="42"/>
      <c r="G3040" s="43"/>
      <c r="H3040" s="37"/>
      <c r="I3040" s="37"/>
      <c r="J3040" s="38"/>
      <c r="K3040" s="37"/>
      <c r="L3040" s="38"/>
      <c r="M3040" s="39"/>
      <c r="P3040" s="37"/>
      <c r="Q3040" s="37"/>
      <c r="R3040" s="37"/>
      <c r="S3040" s="37"/>
      <c r="T3040" s="37"/>
      <c r="U3040" s="37"/>
      <c r="V3040" s="37"/>
      <c r="W3040" s="37"/>
      <c r="X3040" s="37"/>
      <c r="Y3040" s="37"/>
      <c r="Z3040" s="37"/>
      <c r="AA3040" s="37"/>
      <c r="AB3040" s="37"/>
      <c r="AC3040" s="37"/>
      <c r="AD3040" s="37"/>
      <c r="AE3040" s="37"/>
      <c r="AF3040" s="37"/>
      <c r="AG3040" s="37"/>
      <c r="AH3040" s="37"/>
      <c r="AI3040" s="37"/>
      <c r="AJ3040" s="37"/>
      <c r="AK3040" s="37"/>
      <c r="AL3040" s="37"/>
      <c r="AM3040" s="37"/>
      <c r="AN3040" s="37"/>
      <c r="AO3040" s="37"/>
      <c r="AP3040" s="37"/>
      <c r="AQ3040" s="37"/>
      <c r="AR3040" s="37"/>
      <c r="AS3040" s="37"/>
      <c r="AT3040" s="37"/>
      <c r="AU3040" s="37"/>
      <c r="AV3040" s="37"/>
      <c r="AW3040" s="37"/>
      <c r="AX3040" s="37"/>
      <c r="AY3040" s="37"/>
      <c r="AZ3040" s="37"/>
      <c r="BA3040" s="37"/>
      <c r="BB3040" s="37"/>
      <c r="BC3040" s="37"/>
      <c r="BD3040" s="37"/>
      <c r="BE3040" s="37"/>
      <c r="BF3040" s="37"/>
      <c r="BG3040" s="37"/>
      <c r="BH3040" s="37"/>
      <c r="BI3040" s="37"/>
      <c r="BJ3040" s="37"/>
      <c r="BK3040" s="37"/>
      <c r="BL3040" s="37"/>
      <c r="BM3040" s="37"/>
    </row>
    <row r="3041" spans="1:65" s="40" customFormat="1" ht="23.25" x14ac:dyDescent="0.35">
      <c r="A3041" s="37"/>
      <c r="B3041" s="37"/>
      <c r="C3041" s="41"/>
      <c r="D3041" s="38"/>
      <c r="E3041" s="57"/>
      <c r="F3041" s="42"/>
      <c r="G3041" s="43"/>
      <c r="H3041" s="37"/>
      <c r="I3041" s="37"/>
      <c r="J3041" s="38"/>
      <c r="K3041" s="37"/>
      <c r="L3041" s="38"/>
      <c r="M3041" s="39"/>
      <c r="P3041" s="37"/>
      <c r="Q3041" s="37"/>
      <c r="R3041" s="37"/>
      <c r="S3041" s="37"/>
      <c r="T3041" s="37"/>
      <c r="U3041" s="37"/>
      <c r="V3041" s="37"/>
      <c r="W3041" s="37"/>
      <c r="X3041" s="37"/>
      <c r="Y3041" s="37"/>
      <c r="Z3041" s="37"/>
      <c r="AA3041" s="37"/>
      <c r="AB3041" s="37"/>
      <c r="AC3041" s="37"/>
      <c r="AD3041" s="37"/>
      <c r="AE3041" s="37"/>
      <c r="AF3041" s="37"/>
      <c r="AG3041" s="37"/>
      <c r="AH3041" s="37"/>
      <c r="AI3041" s="37"/>
      <c r="AJ3041" s="37"/>
      <c r="AK3041" s="37"/>
      <c r="AL3041" s="37"/>
      <c r="AM3041" s="37"/>
      <c r="AN3041" s="37"/>
      <c r="AO3041" s="37"/>
      <c r="AP3041" s="37"/>
      <c r="AQ3041" s="37"/>
      <c r="AR3041" s="37"/>
      <c r="AS3041" s="37"/>
      <c r="AT3041" s="37"/>
      <c r="AU3041" s="37"/>
      <c r="AV3041" s="37"/>
      <c r="AW3041" s="37"/>
      <c r="AX3041" s="37"/>
      <c r="AY3041" s="37"/>
      <c r="AZ3041" s="37"/>
      <c r="BA3041" s="37"/>
      <c r="BB3041" s="37"/>
      <c r="BC3041" s="37"/>
      <c r="BD3041" s="37"/>
      <c r="BE3041" s="37"/>
      <c r="BF3041" s="37"/>
      <c r="BG3041" s="37"/>
      <c r="BH3041" s="37"/>
      <c r="BI3041" s="37"/>
      <c r="BJ3041" s="37"/>
      <c r="BK3041" s="37"/>
      <c r="BL3041" s="37"/>
      <c r="BM3041" s="37"/>
    </row>
    <row r="3042" spans="1:65" s="40" customFormat="1" ht="23.25" x14ac:dyDescent="0.35">
      <c r="A3042" s="37"/>
      <c r="B3042" s="37"/>
      <c r="C3042" s="41"/>
      <c r="D3042" s="38"/>
      <c r="E3042" s="57"/>
      <c r="F3042" s="42"/>
      <c r="G3042" s="43"/>
      <c r="H3042" s="37"/>
      <c r="I3042" s="37"/>
      <c r="J3042" s="38"/>
      <c r="K3042" s="37"/>
      <c r="L3042" s="38"/>
      <c r="M3042" s="39"/>
      <c r="P3042" s="37"/>
      <c r="Q3042" s="37"/>
      <c r="R3042" s="37"/>
      <c r="S3042" s="37"/>
      <c r="T3042" s="37"/>
      <c r="U3042" s="37"/>
      <c r="V3042" s="37"/>
      <c r="W3042" s="37"/>
      <c r="X3042" s="37"/>
      <c r="Y3042" s="37"/>
      <c r="Z3042" s="37"/>
      <c r="AA3042" s="37"/>
      <c r="AB3042" s="37"/>
      <c r="AC3042" s="37"/>
      <c r="AD3042" s="37"/>
      <c r="AE3042" s="37"/>
      <c r="AF3042" s="37"/>
      <c r="AG3042" s="37"/>
      <c r="AH3042" s="37"/>
      <c r="AI3042" s="37"/>
      <c r="AJ3042" s="37"/>
      <c r="AK3042" s="37"/>
      <c r="AL3042" s="37"/>
      <c r="AM3042" s="37"/>
      <c r="AN3042" s="37"/>
      <c r="AO3042" s="37"/>
      <c r="AP3042" s="37"/>
      <c r="AQ3042" s="37"/>
      <c r="AR3042" s="37"/>
      <c r="AS3042" s="37"/>
      <c r="AT3042" s="37"/>
      <c r="AU3042" s="37"/>
      <c r="AV3042" s="37"/>
      <c r="AW3042" s="37"/>
      <c r="AX3042" s="37"/>
      <c r="AY3042" s="37"/>
      <c r="AZ3042" s="37"/>
      <c r="BA3042" s="37"/>
      <c r="BB3042" s="37"/>
      <c r="BC3042" s="37"/>
      <c r="BD3042" s="37"/>
      <c r="BE3042" s="37"/>
      <c r="BF3042" s="37"/>
      <c r="BG3042" s="37"/>
      <c r="BH3042" s="37"/>
      <c r="BI3042" s="37"/>
      <c r="BJ3042" s="37"/>
      <c r="BK3042" s="37"/>
      <c r="BL3042" s="37"/>
      <c r="BM3042" s="37"/>
    </row>
    <row r="3043" spans="1:65" s="40" customFormat="1" ht="23.25" x14ac:dyDescent="0.35">
      <c r="A3043" s="37"/>
      <c r="B3043" s="37"/>
      <c r="C3043" s="41"/>
      <c r="D3043" s="38"/>
      <c r="E3043" s="57"/>
      <c r="F3043" s="42"/>
      <c r="G3043" s="43"/>
      <c r="H3043" s="37"/>
      <c r="I3043" s="37"/>
      <c r="J3043" s="38"/>
      <c r="K3043" s="37"/>
      <c r="L3043" s="38"/>
      <c r="M3043" s="39"/>
      <c r="P3043" s="37"/>
      <c r="Q3043" s="37"/>
      <c r="R3043" s="37"/>
      <c r="S3043" s="37"/>
      <c r="T3043" s="37"/>
      <c r="U3043" s="37"/>
      <c r="V3043" s="37"/>
      <c r="W3043" s="37"/>
      <c r="X3043" s="37"/>
      <c r="Y3043" s="37"/>
      <c r="Z3043" s="37"/>
      <c r="AA3043" s="37"/>
      <c r="AB3043" s="37"/>
      <c r="AC3043" s="37"/>
      <c r="AD3043" s="37"/>
      <c r="AE3043" s="37"/>
      <c r="AF3043" s="37"/>
      <c r="AG3043" s="37"/>
      <c r="AH3043" s="37"/>
      <c r="AI3043" s="37"/>
      <c r="AJ3043" s="37"/>
      <c r="AK3043" s="37"/>
      <c r="AL3043" s="37"/>
      <c r="AM3043" s="37"/>
      <c r="AN3043" s="37"/>
      <c r="AO3043" s="37"/>
      <c r="AP3043" s="37"/>
      <c r="AQ3043" s="37"/>
      <c r="AR3043" s="37"/>
      <c r="AS3043" s="37"/>
      <c r="AT3043" s="37"/>
      <c r="AU3043" s="37"/>
      <c r="AV3043" s="37"/>
      <c r="AW3043" s="37"/>
      <c r="AX3043" s="37"/>
      <c r="AY3043" s="37"/>
      <c r="AZ3043" s="37"/>
      <c r="BA3043" s="37"/>
      <c r="BB3043" s="37"/>
      <c r="BC3043" s="37"/>
      <c r="BD3043" s="37"/>
      <c r="BE3043" s="37"/>
      <c r="BF3043" s="37"/>
      <c r="BG3043" s="37"/>
      <c r="BH3043" s="37"/>
      <c r="BI3043" s="37"/>
      <c r="BJ3043" s="37"/>
      <c r="BK3043" s="37"/>
      <c r="BL3043" s="37"/>
      <c r="BM3043" s="37"/>
    </row>
    <row r="3044" spans="1:65" s="40" customFormat="1" ht="23.25" x14ac:dyDescent="0.35">
      <c r="A3044" s="37"/>
      <c r="B3044" s="37"/>
      <c r="C3044" s="41"/>
      <c r="D3044" s="38"/>
      <c r="E3044" s="57"/>
      <c r="F3044" s="42"/>
      <c r="G3044" s="43"/>
      <c r="H3044" s="37"/>
      <c r="I3044" s="37"/>
      <c r="J3044" s="38"/>
      <c r="K3044" s="37"/>
      <c r="L3044" s="38"/>
      <c r="M3044" s="39"/>
      <c r="P3044" s="37"/>
      <c r="Q3044" s="37"/>
      <c r="R3044" s="37"/>
      <c r="S3044" s="37"/>
      <c r="T3044" s="37"/>
      <c r="U3044" s="37"/>
      <c r="V3044" s="37"/>
      <c r="W3044" s="37"/>
      <c r="X3044" s="37"/>
      <c r="Y3044" s="37"/>
      <c r="Z3044" s="37"/>
      <c r="AA3044" s="37"/>
      <c r="AB3044" s="37"/>
      <c r="AC3044" s="37"/>
      <c r="AD3044" s="37"/>
      <c r="AE3044" s="37"/>
      <c r="AF3044" s="37"/>
      <c r="AG3044" s="37"/>
      <c r="AH3044" s="37"/>
      <c r="AI3044" s="37"/>
      <c r="AJ3044" s="37"/>
      <c r="AK3044" s="37"/>
      <c r="AL3044" s="37"/>
      <c r="AM3044" s="37"/>
      <c r="AN3044" s="37"/>
      <c r="AO3044" s="37"/>
      <c r="AP3044" s="37"/>
      <c r="AQ3044" s="37"/>
      <c r="AR3044" s="37"/>
      <c r="AS3044" s="37"/>
      <c r="AT3044" s="37"/>
      <c r="AU3044" s="37"/>
      <c r="AV3044" s="37"/>
      <c r="AW3044" s="37"/>
      <c r="AX3044" s="37"/>
      <c r="AY3044" s="37"/>
      <c r="AZ3044" s="37"/>
      <c r="BA3044" s="37"/>
      <c r="BB3044" s="37"/>
      <c r="BC3044" s="37"/>
      <c r="BD3044" s="37"/>
      <c r="BE3044" s="37"/>
      <c r="BF3044" s="37"/>
      <c r="BG3044" s="37"/>
      <c r="BH3044" s="37"/>
      <c r="BI3044" s="37"/>
      <c r="BJ3044" s="37"/>
      <c r="BK3044" s="37"/>
      <c r="BL3044" s="37"/>
      <c r="BM3044" s="37"/>
    </row>
    <row r="3045" spans="1:65" s="40" customFormat="1" ht="23.25" x14ac:dyDescent="0.35">
      <c r="A3045" s="37"/>
      <c r="B3045" s="37"/>
      <c r="C3045" s="41"/>
      <c r="D3045" s="38"/>
      <c r="E3045" s="57"/>
      <c r="F3045" s="42"/>
      <c r="G3045" s="43"/>
      <c r="H3045" s="37"/>
      <c r="I3045" s="37"/>
      <c r="J3045" s="38"/>
      <c r="K3045" s="37"/>
      <c r="L3045" s="38"/>
      <c r="M3045" s="39"/>
      <c r="P3045" s="37"/>
      <c r="Q3045" s="37"/>
      <c r="R3045" s="37"/>
      <c r="S3045" s="37"/>
      <c r="T3045" s="37"/>
      <c r="U3045" s="37"/>
      <c r="V3045" s="37"/>
      <c r="W3045" s="37"/>
      <c r="X3045" s="37"/>
      <c r="Y3045" s="37"/>
      <c r="Z3045" s="37"/>
      <c r="AA3045" s="37"/>
      <c r="AB3045" s="37"/>
      <c r="AC3045" s="37"/>
      <c r="AD3045" s="37"/>
      <c r="AE3045" s="37"/>
      <c r="AF3045" s="37"/>
      <c r="AG3045" s="37"/>
      <c r="AH3045" s="37"/>
      <c r="AI3045" s="37"/>
      <c r="AJ3045" s="37"/>
      <c r="AK3045" s="37"/>
      <c r="AL3045" s="37"/>
      <c r="AM3045" s="37"/>
      <c r="AN3045" s="37"/>
      <c r="AO3045" s="37"/>
      <c r="AP3045" s="37"/>
      <c r="AQ3045" s="37"/>
      <c r="AR3045" s="37"/>
      <c r="AS3045" s="37"/>
      <c r="AT3045" s="37"/>
      <c r="AU3045" s="37"/>
      <c r="AV3045" s="37"/>
      <c r="AW3045" s="37"/>
      <c r="AX3045" s="37"/>
      <c r="AY3045" s="37"/>
      <c r="AZ3045" s="37"/>
      <c r="BA3045" s="37"/>
      <c r="BB3045" s="37"/>
      <c r="BC3045" s="37"/>
      <c r="BD3045" s="37"/>
      <c r="BE3045" s="37"/>
      <c r="BF3045" s="37"/>
      <c r="BG3045" s="37"/>
      <c r="BH3045" s="37"/>
      <c r="BI3045" s="37"/>
      <c r="BJ3045" s="37"/>
      <c r="BK3045" s="37"/>
      <c r="BL3045" s="37"/>
      <c r="BM3045" s="37"/>
    </row>
    <row r="3046" spans="1:65" s="40" customFormat="1" ht="23.25" x14ac:dyDescent="0.35">
      <c r="A3046" s="37"/>
      <c r="B3046" s="37"/>
      <c r="C3046" s="41"/>
      <c r="D3046" s="38"/>
      <c r="E3046" s="57"/>
      <c r="F3046" s="42"/>
      <c r="G3046" s="43"/>
      <c r="H3046" s="37"/>
      <c r="I3046" s="37"/>
      <c r="J3046" s="38"/>
      <c r="K3046" s="37"/>
      <c r="L3046" s="38"/>
      <c r="M3046" s="39"/>
      <c r="P3046" s="37"/>
      <c r="Q3046" s="37"/>
      <c r="R3046" s="37"/>
      <c r="S3046" s="37"/>
      <c r="T3046" s="37"/>
      <c r="U3046" s="37"/>
      <c r="V3046" s="37"/>
      <c r="W3046" s="37"/>
      <c r="X3046" s="37"/>
      <c r="Y3046" s="37"/>
      <c r="Z3046" s="37"/>
      <c r="AA3046" s="37"/>
      <c r="AB3046" s="37"/>
      <c r="AC3046" s="37"/>
      <c r="AD3046" s="37"/>
      <c r="AE3046" s="37"/>
      <c r="AF3046" s="37"/>
      <c r="AG3046" s="37"/>
      <c r="AH3046" s="37"/>
      <c r="AI3046" s="37"/>
      <c r="AJ3046" s="37"/>
      <c r="AK3046" s="37"/>
      <c r="AL3046" s="37"/>
      <c r="AM3046" s="37"/>
      <c r="AN3046" s="37"/>
      <c r="AO3046" s="37"/>
      <c r="AP3046" s="37"/>
      <c r="AQ3046" s="37"/>
      <c r="AR3046" s="37"/>
      <c r="AS3046" s="37"/>
      <c r="AT3046" s="37"/>
      <c r="AU3046" s="37"/>
      <c r="AV3046" s="37"/>
      <c r="AW3046" s="37"/>
      <c r="AX3046" s="37"/>
      <c r="AY3046" s="37"/>
      <c r="AZ3046" s="37"/>
      <c r="BA3046" s="37"/>
      <c r="BB3046" s="37"/>
      <c r="BC3046" s="37"/>
      <c r="BD3046" s="37"/>
      <c r="BE3046" s="37"/>
      <c r="BF3046" s="37"/>
      <c r="BG3046" s="37"/>
      <c r="BH3046" s="37"/>
      <c r="BI3046" s="37"/>
      <c r="BJ3046" s="37"/>
      <c r="BK3046" s="37"/>
      <c r="BL3046" s="37"/>
      <c r="BM3046" s="37"/>
    </row>
    <row r="3047" spans="1:65" s="40" customFormat="1" ht="23.25" x14ac:dyDescent="0.35">
      <c r="A3047" s="37"/>
      <c r="B3047" s="37"/>
      <c r="C3047" s="41"/>
      <c r="D3047" s="38"/>
      <c r="E3047" s="57"/>
      <c r="F3047" s="42"/>
      <c r="G3047" s="43"/>
      <c r="H3047" s="37"/>
      <c r="I3047" s="37"/>
      <c r="J3047" s="38"/>
      <c r="K3047" s="37"/>
      <c r="L3047" s="38"/>
      <c r="M3047" s="39"/>
      <c r="P3047" s="37"/>
      <c r="Q3047" s="37"/>
      <c r="R3047" s="37"/>
      <c r="S3047" s="37"/>
      <c r="T3047" s="37"/>
      <c r="U3047" s="37"/>
      <c r="V3047" s="37"/>
      <c r="W3047" s="37"/>
      <c r="X3047" s="37"/>
      <c r="Y3047" s="37"/>
      <c r="Z3047" s="37"/>
      <c r="AA3047" s="37"/>
      <c r="AB3047" s="37"/>
      <c r="AC3047" s="37"/>
      <c r="AD3047" s="37"/>
      <c r="AE3047" s="37"/>
      <c r="AF3047" s="37"/>
      <c r="AG3047" s="37"/>
      <c r="AH3047" s="37"/>
      <c r="AI3047" s="37"/>
      <c r="AJ3047" s="37"/>
      <c r="AK3047" s="37"/>
      <c r="AL3047" s="37"/>
      <c r="AM3047" s="37"/>
      <c r="AN3047" s="37"/>
      <c r="AO3047" s="37"/>
      <c r="AP3047" s="37"/>
      <c r="AQ3047" s="37"/>
      <c r="AR3047" s="37"/>
      <c r="AS3047" s="37"/>
      <c r="AT3047" s="37"/>
      <c r="AU3047" s="37"/>
      <c r="AV3047" s="37"/>
      <c r="AW3047" s="37"/>
      <c r="AX3047" s="37"/>
      <c r="AY3047" s="37"/>
      <c r="AZ3047" s="37"/>
      <c r="BA3047" s="37"/>
      <c r="BB3047" s="37"/>
      <c r="BC3047" s="37"/>
      <c r="BD3047" s="37"/>
      <c r="BE3047" s="37"/>
      <c r="BF3047" s="37"/>
      <c r="BG3047" s="37"/>
      <c r="BH3047" s="37"/>
      <c r="BI3047" s="37"/>
      <c r="BJ3047" s="37"/>
      <c r="BK3047" s="37"/>
      <c r="BL3047" s="37"/>
      <c r="BM3047" s="37"/>
    </row>
    <row r="3048" spans="1:65" s="40" customFormat="1" ht="23.25" x14ac:dyDescent="0.35">
      <c r="A3048" s="37"/>
      <c r="B3048" s="37"/>
      <c r="C3048" s="41"/>
      <c r="D3048" s="38"/>
      <c r="E3048" s="57"/>
      <c r="F3048" s="42"/>
      <c r="G3048" s="43"/>
      <c r="H3048" s="37"/>
      <c r="I3048" s="37"/>
      <c r="J3048" s="38"/>
      <c r="K3048" s="37"/>
      <c r="L3048" s="38"/>
      <c r="M3048" s="39"/>
      <c r="P3048" s="37"/>
      <c r="Q3048" s="37"/>
      <c r="R3048" s="37"/>
      <c r="S3048" s="37"/>
      <c r="T3048" s="37"/>
      <c r="U3048" s="37"/>
      <c r="V3048" s="37"/>
      <c r="W3048" s="37"/>
      <c r="X3048" s="37"/>
      <c r="Y3048" s="37"/>
      <c r="Z3048" s="37"/>
      <c r="AA3048" s="37"/>
      <c r="AB3048" s="37"/>
      <c r="AC3048" s="37"/>
      <c r="AD3048" s="37"/>
      <c r="AE3048" s="37"/>
      <c r="AF3048" s="37"/>
      <c r="AG3048" s="37"/>
      <c r="AH3048" s="37"/>
      <c r="AI3048" s="37"/>
      <c r="AJ3048" s="37"/>
      <c r="AK3048" s="37"/>
      <c r="AL3048" s="37"/>
      <c r="AM3048" s="37"/>
      <c r="AN3048" s="37"/>
      <c r="AO3048" s="37"/>
      <c r="AP3048" s="37"/>
      <c r="AQ3048" s="37"/>
      <c r="AR3048" s="37"/>
      <c r="AS3048" s="37"/>
      <c r="AT3048" s="37"/>
      <c r="AU3048" s="37"/>
      <c r="AV3048" s="37"/>
      <c r="AW3048" s="37"/>
      <c r="AX3048" s="37"/>
      <c r="AY3048" s="37"/>
      <c r="AZ3048" s="37"/>
      <c r="BA3048" s="37"/>
      <c r="BB3048" s="37"/>
      <c r="BC3048" s="37"/>
      <c r="BD3048" s="37"/>
      <c r="BE3048" s="37"/>
      <c r="BF3048" s="37"/>
      <c r="BG3048" s="37"/>
      <c r="BH3048" s="37"/>
      <c r="BI3048" s="37"/>
      <c r="BJ3048" s="37"/>
      <c r="BK3048" s="37"/>
      <c r="BL3048" s="37"/>
      <c r="BM3048" s="37"/>
    </row>
    <row r="3049" spans="1:65" s="40" customFormat="1" ht="23.25" x14ac:dyDescent="0.35">
      <c r="A3049" s="37"/>
      <c r="B3049" s="37"/>
      <c r="C3049" s="41"/>
      <c r="D3049" s="38"/>
      <c r="E3049" s="57"/>
      <c r="F3049" s="42"/>
      <c r="G3049" s="43"/>
      <c r="H3049" s="37"/>
      <c r="I3049" s="37"/>
      <c r="J3049" s="38"/>
      <c r="K3049" s="37"/>
      <c r="L3049" s="38"/>
      <c r="M3049" s="39"/>
      <c r="P3049" s="37"/>
      <c r="Q3049" s="37"/>
      <c r="R3049" s="37"/>
      <c r="S3049" s="37"/>
      <c r="T3049" s="37"/>
      <c r="U3049" s="37"/>
      <c r="V3049" s="37"/>
      <c r="W3049" s="37"/>
      <c r="X3049" s="37"/>
      <c r="Y3049" s="37"/>
      <c r="Z3049" s="37"/>
      <c r="AA3049" s="37"/>
      <c r="AB3049" s="37"/>
      <c r="AC3049" s="37"/>
      <c r="AD3049" s="37"/>
      <c r="AE3049" s="37"/>
      <c r="AF3049" s="37"/>
      <c r="AG3049" s="37"/>
      <c r="AH3049" s="37"/>
      <c r="AI3049" s="37"/>
      <c r="AJ3049" s="37"/>
      <c r="AK3049" s="37"/>
      <c r="AL3049" s="37"/>
      <c r="AM3049" s="37"/>
      <c r="AN3049" s="37"/>
      <c r="AO3049" s="37"/>
      <c r="AP3049" s="37"/>
      <c r="AQ3049" s="37"/>
      <c r="AR3049" s="37"/>
      <c r="AS3049" s="37"/>
      <c r="AT3049" s="37"/>
      <c r="AU3049" s="37"/>
      <c r="AV3049" s="37"/>
      <c r="AW3049" s="37"/>
      <c r="AX3049" s="37"/>
      <c r="AY3049" s="37"/>
      <c r="AZ3049" s="37"/>
      <c r="BA3049" s="37"/>
      <c r="BB3049" s="37"/>
      <c r="BC3049" s="37"/>
      <c r="BD3049" s="37"/>
      <c r="BE3049" s="37"/>
      <c r="BF3049" s="37"/>
      <c r="BG3049" s="37"/>
      <c r="BH3049" s="37"/>
      <c r="BI3049" s="37"/>
      <c r="BJ3049" s="37"/>
      <c r="BK3049" s="37"/>
      <c r="BL3049" s="37"/>
      <c r="BM3049" s="37"/>
    </row>
    <row r="3050" spans="1:65" s="40" customFormat="1" ht="23.25" x14ac:dyDescent="0.35">
      <c r="A3050" s="37"/>
      <c r="B3050" s="37"/>
      <c r="C3050" s="41"/>
      <c r="D3050" s="38"/>
      <c r="E3050" s="57"/>
      <c r="F3050" s="42"/>
      <c r="G3050" s="43"/>
      <c r="H3050" s="37"/>
      <c r="I3050" s="37"/>
      <c r="J3050" s="38"/>
      <c r="K3050" s="37"/>
      <c r="L3050" s="38"/>
      <c r="M3050" s="39"/>
      <c r="P3050" s="37"/>
      <c r="Q3050" s="37"/>
      <c r="R3050" s="37"/>
      <c r="S3050" s="37"/>
      <c r="T3050" s="37"/>
      <c r="U3050" s="37"/>
      <c r="V3050" s="37"/>
      <c r="W3050" s="37"/>
      <c r="X3050" s="37"/>
      <c r="Y3050" s="37"/>
      <c r="Z3050" s="37"/>
      <c r="AA3050" s="37"/>
      <c r="AB3050" s="37"/>
      <c r="AC3050" s="37"/>
      <c r="AD3050" s="37"/>
      <c r="AE3050" s="37"/>
      <c r="AF3050" s="37"/>
      <c r="AG3050" s="37"/>
      <c r="AH3050" s="37"/>
      <c r="AI3050" s="37"/>
      <c r="AJ3050" s="37"/>
      <c r="AK3050" s="37"/>
      <c r="AL3050" s="37"/>
      <c r="AM3050" s="37"/>
      <c r="AN3050" s="37"/>
      <c r="AO3050" s="37"/>
      <c r="AP3050" s="37"/>
      <c r="AQ3050" s="37"/>
      <c r="AR3050" s="37"/>
      <c r="AS3050" s="37"/>
      <c r="AT3050" s="37"/>
      <c r="AU3050" s="37"/>
      <c r="AV3050" s="37"/>
      <c r="AW3050" s="37"/>
      <c r="AX3050" s="37"/>
      <c r="AY3050" s="37"/>
      <c r="AZ3050" s="37"/>
      <c r="BA3050" s="37"/>
      <c r="BB3050" s="37"/>
      <c r="BC3050" s="37"/>
      <c r="BD3050" s="37"/>
      <c r="BE3050" s="37"/>
      <c r="BF3050" s="37"/>
      <c r="BG3050" s="37"/>
      <c r="BH3050" s="37"/>
      <c r="BI3050" s="37"/>
      <c r="BJ3050" s="37"/>
      <c r="BK3050" s="37"/>
      <c r="BL3050" s="37"/>
      <c r="BM3050" s="37"/>
    </row>
    <row r="3051" spans="1:65" s="40" customFormat="1" ht="23.25" x14ac:dyDescent="0.35">
      <c r="A3051" s="37"/>
      <c r="B3051" s="37"/>
      <c r="C3051" s="41"/>
      <c r="D3051" s="38"/>
      <c r="E3051" s="57"/>
      <c r="F3051" s="42"/>
      <c r="G3051" s="43"/>
      <c r="H3051" s="37"/>
      <c r="I3051" s="37"/>
      <c r="J3051" s="38"/>
      <c r="K3051" s="37"/>
      <c r="L3051" s="38"/>
      <c r="M3051" s="39"/>
      <c r="P3051" s="37"/>
      <c r="Q3051" s="37"/>
      <c r="R3051" s="37"/>
      <c r="S3051" s="37"/>
      <c r="T3051" s="37"/>
      <c r="U3051" s="37"/>
      <c r="V3051" s="37"/>
      <c r="W3051" s="37"/>
      <c r="X3051" s="37"/>
      <c r="Y3051" s="37"/>
      <c r="Z3051" s="37"/>
      <c r="AA3051" s="37"/>
      <c r="AB3051" s="37"/>
      <c r="AC3051" s="37"/>
      <c r="AD3051" s="37"/>
      <c r="AE3051" s="37"/>
      <c r="AF3051" s="37"/>
      <c r="AG3051" s="37"/>
      <c r="AH3051" s="37"/>
      <c r="AI3051" s="37"/>
      <c r="AJ3051" s="37"/>
      <c r="AK3051" s="37"/>
      <c r="AL3051" s="37"/>
      <c r="AM3051" s="37"/>
      <c r="AN3051" s="37"/>
      <c r="AO3051" s="37"/>
      <c r="AP3051" s="37"/>
      <c r="AQ3051" s="37"/>
      <c r="AR3051" s="37"/>
      <c r="AS3051" s="37"/>
      <c r="AT3051" s="37"/>
      <c r="AU3051" s="37"/>
      <c r="AV3051" s="37"/>
      <c r="AW3051" s="37"/>
      <c r="AX3051" s="37"/>
      <c r="AY3051" s="37"/>
      <c r="AZ3051" s="37"/>
      <c r="BA3051" s="37"/>
      <c r="BB3051" s="37"/>
      <c r="BC3051" s="37"/>
      <c r="BD3051" s="37"/>
      <c r="BE3051" s="37"/>
      <c r="BF3051" s="37"/>
      <c r="BG3051" s="37"/>
      <c r="BH3051" s="37"/>
      <c r="BI3051" s="37"/>
      <c r="BJ3051" s="37"/>
      <c r="BK3051" s="37"/>
      <c r="BL3051" s="37"/>
      <c r="BM3051" s="37"/>
    </row>
    <row r="3052" spans="1:65" s="40" customFormat="1" ht="23.25" x14ac:dyDescent="0.35">
      <c r="A3052" s="37"/>
      <c r="B3052" s="37"/>
      <c r="C3052" s="41"/>
      <c r="D3052" s="38"/>
      <c r="E3052" s="57"/>
      <c r="F3052" s="42"/>
      <c r="G3052" s="43"/>
      <c r="H3052" s="37"/>
      <c r="I3052" s="37"/>
      <c r="J3052" s="38"/>
      <c r="K3052" s="37"/>
      <c r="L3052" s="38"/>
      <c r="M3052" s="39"/>
      <c r="P3052" s="37"/>
      <c r="Q3052" s="37"/>
      <c r="R3052" s="37"/>
      <c r="S3052" s="37"/>
      <c r="T3052" s="37"/>
      <c r="U3052" s="37"/>
      <c r="V3052" s="37"/>
      <c r="W3052" s="37"/>
      <c r="X3052" s="37"/>
      <c r="Y3052" s="37"/>
      <c r="Z3052" s="37"/>
      <c r="AA3052" s="37"/>
      <c r="AB3052" s="37"/>
      <c r="AC3052" s="37"/>
      <c r="AD3052" s="37"/>
      <c r="AE3052" s="37"/>
      <c r="AF3052" s="37"/>
      <c r="AG3052" s="37"/>
      <c r="AH3052" s="37"/>
      <c r="AI3052" s="37"/>
      <c r="AJ3052" s="37"/>
      <c r="AK3052" s="37"/>
      <c r="AL3052" s="37"/>
      <c r="AM3052" s="37"/>
      <c r="AN3052" s="37"/>
      <c r="AO3052" s="37"/>
      <c r="AP3052" s="37"/>
      <c r="AQ3052" s="37"/>
      <c r="AR3052" s="37"/>
      <c r="AS3052" s="37"/>
      <c r="AT3052" s="37"/>
      <c r="AU3052" s="37"/>
      <c r="AV3052" s="37"/>
      <c r="AW3052" s="37"/>
      <c r="AX3052" s="37"/>
      <c r="AY3052" s="37"/>
      <c r="AZ3052" s="37"/>
      <c r="BA3052" s="37"/>
      <c r="BB3052" s="37"/>
      <c r="BC3052" s="37"/>
      <c r="BD3052" s="37"/>
      <c r="BE3052" s="37"/>
      <c r="BF3052" s="37"/>
      <c r="BG3052" s="37"/>
      <c r="BH3052" s="37"/>
      <c r="BI3052" s="37"/>
      <c r="BJ3052" s="37"/>
      <c r="BK3052" s="37"/>
      <c r="BL3052" s="37"/>
      <c r="BM3052" s="37"/>
    </row>
    <row r="3053" spans="1:65" s="40" customFormat="1" ht="23.25" x14ac:dyDescent="0.35">
      <c r="A3053" s="37"/>
      <c r="B3053" s="37"/>
      <c r="C3053" s="41"/>
      <c r="D3053" s="38"/>
      <c r="E3053" s="57"/>
      <c r="F3053" s="42"/>
      <c r="G3053" s="43"/>
      <c r="H3053" s="37"/>
      <c r="I3053" s="37"/>
      <c r="J3053" s="38"/>
      <c r="K3053" s="37"/>
      <c r="L3053" s="38"/>
      <c r="M3053" s="39"/>
      <c r="P3053" s="37"/>
      <c r="Q3053" s="37"/>
      <c r="R3053" s="37"/>
      <c r="S3053" s="37"/>
      <c r="T3053" s="37"/>
      <c r="U3053" s="37"/>
      <c r="V3053" s="37"/>
      <c r="W3053" s="37"/>
      <c r="X3053" s="37"/>
      <c r="Y3053" s="37"/>
      <c r="Z3053" s="37"/>
      <c r="AA3053" s="37"/>
      <c r="AB3053" s="37"/>
      <c r="AC3053" s="37"/>
      <c r="AD3053" s="37"/>
      <c r="AE3053" s="37"/>
      <c r="AF3053" s="37"/>
      <c r="AG3053" s="37"/>
      <c r="AH3053" s="37"/>
      <c r="AI3053" s="37"/>
      <c r="AJ3053" s="37"/>
      <c r="AK3053" s="37"/>
      <c r="AL3053" s="37"/>
      <c r="AM3053" s="37"/>
      <c r="AN3053" s="37"/>
      <c r="AO3053" s="37"/>
      <c r="AP3053" s="37"/>
      <c r="AQ3053" s="37"/>
      <c r="AR3053" s="37"/>
      <c r="AS3053" s="37"/>
      <c r="AT3053" s="37"/>
      <c r="AU3053" s="37"/>
      <c r="AV3053" s="37"/>
      <c r="AW3053" s="37"/>
      <c r="AX3053" s="37"/>
      <c r="AY3053" s="37"/>
      <c r="AZ3053" s="37"/>
      <c r="BA3053" s="37"/>
      <c r="BB3053" s="37"/>
      <c r="BC3053" s="37"/>
      <c r="BD3053" s="37"/>
      <c r="BE3053" s="37"/>
      <c r="BF3053" s="37"/>
      <c r="BG3053" s="37"/>
      <c r="BH3053" s="37"/>
      <c r="BI3053" s="37"/>
      <c r="BJ3053" s="37"/>
      <c r="BK3053" s="37"/>
      <c r="BL3053" s="37"/>
      <c r="BM3053" s="37"/>
    </row>
    <row r="3054" spans="1:65" s="40" customFormat="1" ht="23.25" x14ac:dyDescent="0.35">
      <c r="A3054" s="37"/>
      <c r="B3054" s="37"/>
      <c r="C3054" s="41"/>
      <c r="D3054" s="38"/>
      <c r="E3054" s="57"/>
      <c r="F3054" s="42"/>
      <c r="G3054" s="43"/>
      <c r="H3054" s="37"/>
      <c r="I3054" s="37"/>
      <c r="J3054" s="38"/>
      <c r="K3054" s="37"/>
      <c r="L3054" s="38"/>
      <c r="M3054" s="39"/>
      <c r="P3054" s="37"/>
      <c r="Q3054" s="37"/>
      <c r="R3054" s="37"/>
      <c r="S3054" s="37"/>
      <c r="T3054" s="37"/>
      <c r="U3054" s="37"/>
      <c r="V3054" s="37"/>
      <c r="W3054" s="37"/>
      <c r="X3054" s="37"/>
      <c r="Y3054" s="37"/>
      <c r="Z3054" s="37"/>
      <c r="AA3054" s="37"/>
      <c r="AB3054" s="37"/>
      <c r="AC3054" s="37"/>
      <c r="AD3054" s="37"/>
      <c r="AE3054" s="37"/>
      <c r="AF3054" s="37"/>
      <c r="AG3054" s="37"/>
      <c r="AH3054" s="37"/>
      <c r="AI3054" s="37"/>
      <c r="AJ3054" s="37"/>
      <c r="AK3054" s="37"/>
      <c r="AL3054" s="37"/>
      <c r="AM3054" s="37"/>
      <c r="AN3054" s="37"/>
      <c r="AO3054" s="37"/>
      <c r="AP3054" s="37"/>
      <c r="AQ3054" s="37"/>
      <c r="AR3054" s="37"/>
      <c r="AS3054" s="37"/>
      <c r="AT3054" s="37"/>
      <c r="AU3054" s="37"/>
      <c r="AV3054" s="37"/>
      <c r="AW3054" s="37"/>
      <c r="AX3054" s="37"/>
      <c r="AY3054" s="37"/>
      <c r="AZ3054" s="37"/>
      <c r="BA3054" s="37"/>
      <c r="BB3054" s="37"/>
      <c r="BC3054" s="37"/>
      <c r="BD3054" s="37"/>
      <c r="BE3054" s="37"/>
      <c r="BF3054" s="37"/>
      <c r="BG3054" s="37"/>
      <c r="BH3054" s="37"/>
      <c r="BI3054" s="37"/>
      <c r="BJ3054" s="37"/>
      <c r="BK3054" s="37"/>
      <c r="BL3054" s="37"/>
      <c r="BM3054" s="37"/>
    </row>
    <row r="3055" spans="1:65" s="40" customFormat="1" ht="23.25" x14ac:dyDescent="0.35">
      <c r="A3055" s="37"/>
      <c r="B3055" s="37"/>
      <c r="C3055" s="41"/>
      <c r="D3055" s="38"/>
      <c r="E3055" s="57"/>
      <c r="F3055" s="42"/>
      <c r="G3055" s="43"/>
      <c r="H3055" s="37"/>
      <c r="I3055" s="37"/>
      <c r="J3055" s="38"/>
      <c r="K3055" s="37"/>
      <c r="L3055" s="38"/>
      <c r="M3055" s="39"/>
      <c r="P3055" s="37"/>
      <c r="Q3055" s="37"/>
      <c r="R3055" s="37"/>
      <c r="S3055" s="37"/>
      <c r="T3055" s="37"/>
      <c r="U3055" s="37"/>
      <c r="V3055" s="37"/>
      <c r="W3055" s="37"/>
      <c r="X3055" s="37"/>
      <c r="Y3055" s="37"/>
      <c r="Z3055" s="37"/>
      <c r="AA3055" s="37"/>
      <c r="AB3055" s="37"/>
      <c r="AC3055" s="37"/>
      <c r="AD3055" s="37"/>
      <c r="AE3055" s="37"/>
      <c r="AF3055" s="37"/>
      <c r="AG3055" s="37"/>
      <c r="AH3055" s="37"/>
      <c r="AI3055" s="37"/>
      <c r="AJ3055" s="37"/>
      <c r="AK3055" s="37"/>
      <c r="AL3055" s="37"/>
      <c r="AM3055" s="37"/>
      <c r="AN3055" s="37"/>
      <c r="AO3055" s="37"/>
      <c r="AP3055" s="37"/>
      <c r="AQ3055" s="37"/>
      <c r="AR3055" s="37"/>
      <c r="AS3055" s="37"/>
      <c r="AT3055" s="37"/>
      <c r="AU3055" s="37"/>
      <c r="AV3055" s="37"/>
      <c r="AW3055" s="37"/>
      <c r="AX3055" s="37"/>
      <c r="AY3055" s="37"/>
      <c r="AZ3055" s="37"/>
      <c r="BA3055" s="37"/>
      <c r="BB3055" s="37"/>
      <c r="BC3055" s="37"/>
      <c r="BD3055" s="37"/>
      <c r="BE3055" s="37"/>
      <c r="BF3055" s="37"/>
      <c r="BG3055" s="37"/>
      <c r="BH3055" s="37"/>
      <c r="BI3055" s="37"/>
      <c r="BJ3055" s="37"/>
      <c r="BK3055" s="37"/>
      <c r="BL3055" s="37"/>
      <c r="BM3055" s="37"/>
    </row>
    <row r="3056" spans="1:65" s="40" customFormat="1" ht="23.25" x14ac:dyDescent="0.35">
      <c r="A3056" s="37"/>
      <c r="B3056" s="37"/>
      <c r="C3056" s="41"/>
      <c r="D3056" s="38"/>
      <c r="E3056" s="57"/>
      <c r="F3056" s="42"/>
      <c r="G3056" s="43"/>
      <c r="H3056" s="37"/>
      <c r="I3056" s="37"/>
      <c r="J3056" s="38"/>
      <c r="K3056" s="37"/>
      <c r="L3056" s="38"/>
      <c r="M3056" s="39"/>
      <c r="P3056" s="37"/>
      <c r="Q3056" s="37"/>
      <c r="R3056" s="37"/>
      <c r="S3056" s="37"/>
      <c r="T3056" s="37"/>
      <c r="U3056" s="37"/>
      <c r="V3056" s="37"/>
      <c r="W3056" s="37"/>
      <c r="X3056" s="37"/>
      <c r="Y3056" s="37"/>
      <c r="Z3056" s="37"/>
      <c r="AA3056" s="37"/>
      <c r="AB3056" s="37"/>
      <c r="AC3056" s="37"/>
      <c r="AD3056" s="37"/>
      <c r="AE3056" s="37"/>
      <c r="AF3056" s="37"/>
      <c r="AG3056" s="37"/>
      <c r="AH3056" s="37"/>
      <c r="AI3056" s="37"/>
      <c r="AJ3056" s="37"/>
      <c r="AK3056" s="37"/>
      <c r="AL3056" s="37"/>
      <c r="AM3056" s="37"/>
      <c r="AN3056" s="37"/>
      <c r="AO3056" s="37"/>
      <c r="AP3056" s="37"/>
      <c r="AQ3056" s="37"/>
      <c r="AR3056" s="37"/>
      <c r="AS3056" s="37"/>
      <c r="AT3056" s="37"/>
      <c r="AU3056" s="37"/>
      <c r="AV3056" s="37"/>
      <c r="AW3056" s="37"/>
      <c r="AX3056" s="37"/>
      <c r="AY3056" s="37"/>
      <c r="AZ3056" s="37"/>
      <c r="BA3056" s="37"/>
      <c r="BB3056" s="37"/>
      <c r="BC3056" s="37"/>
      <c r="BD3056" s="37"/>
      <c r="BE3056" s="37"/>
      <c r="BF3056" s="37"/>
      <c r="BG3056" s="37"/>
      <c r="BH3056" s="37"/>
      <c r="BI3056" s="37"/>
      <c r="BJ3056" s="37"/>
      <c r="BK3056" s="37"/>
      <c r="BL3056" s="37"/>
      <c r="BM3056" s="37"/>
    </row>
    <row r="3057" spans="1:65" s="40" customFormat="1" ht="23.25" x14ac:dyDescent="0.35">
      <c r="A3057" s="37"/>
      <c r="B3057" s="37"/>
      <c r="C3057" s="41"/>
      <c r="D3057" s="38"/>
      <c r="E3057" s="57"/>
      <c r="F3057" s="42"/>
      <c r="G3057" s="43"/>
      <c r="H3057" s="37"/>
      <c r="I3057" s="37"/>
      <c r="J3057" s="38"/>
      <c r="K3057" s="37"/>
      <c r="L3057" s="38"/>
      <c r="M3057" s="39"/>
      <c r="P3057" s="37"/>
      <c r="Q3057" s="37"/>
      <c r="R3057" s="37"/>
      <c r="S3057" s="37"/>
      <c r="T3057" s="37"/>
      <c r="U3057" s="37"/>
      <c r="V3057" s="37"/>
      <c r="W3057" s="37"/>
      <c r="X3057" s="37"/>
      <c r="Y3057" s="37"/>
      <c r="Z3057" s="37"/>
      <c r="AA3057" s="37"/>
      <c r="AB3057" s="37"/>
      <c r="AC3057" s="37"/>
      <c r="AD3057" s="37"/>
      <c r="AE3057" s="37"/>
      <c r="AF3057" s="37"/>
      <c r="AG3057" s="37"/>
      <c r="AH3057" s="37"/>
      <c r="AI3057" s="37"/>
      <c r="AJ3057" s="37"/>
      <c r="AK3057" s="37"/>
      <c r="AL3057" s="37"/>
      <c r="AM3057" s="37"/>
      <c r="AN3057" s="37"/>
      <c r="AO3057" s="37"/>
      <c r="AP3057" s="37"/>
      <c r="AQ3057" s="37"/>
      <c r="AR3057" s="37"/>
      <c r="AS3057" s="37"/>
      <c r="AT3057" s="37"/>
      <c r="AU3057" s="37"/>
      <c r="AV3057" s="37"/>
      <c r="AW3057" s="37"/>
      <c r="AX3057" s="37"/>
      <c r="AY3057" s="37"/>
      <c r="AZ3057" s="37"/>
      <c r="BA3057" s="37"/>
      <c r="BB3057" s="37"/>
      <c r="BC3057" s="37"/>
      <c r="BD3057" s="37"/>
      <c r="BE3057" s="37"/>
      <c r="BF3057" s="37"/>
      <c r="BG3057" s="37"/>
      <c r="BH3057" s="37"/>
      <c r="BI3057" s="37"/>
      <c r="BJ3057" s="37"/>
      <c r="BK3057" s="37"/>
      <c r="BL3057" s="37"/>
      <c r="BM3057" s="37"/>
    </row>
    <row r="3058" spans="1:65" s="40" customFormat="1" ht="23.25" x14ac:dyDescent="0.35">
      <c r="A3058" s="37"/>
      <c r="B3058" s="37"/>
      <c r="C3058" s="41"/>
      <c r="D3058" s="38"/>
      <c r="E3058" s="57"/>
      <c r="F3058" s="42"/>
      <c r="G3058" s="43"/>
      <c r="H3058" s="37"/>
      <c r="I3058" s="37"/>
      <c r="J3058" s="38"/>
      <c r="K3058" s="37"/>
      <c r="L3058" s="38"/>
      <c r="M3058" s="39"/>
      <c r="P3058" s="37"/>
      <c r="Q3058" s="37"/>
      <c r="R3058" s="37"/>
      <c r="S3058" s="37"/>
      <c r="T3058" s="37"/>
      <c r="U3058" s="37"/>
      <c r="V3058" s="37"/>
      <c r="W3058" s="37"/>
      <c r="X3058" s="37"/>
      <c r="Y3058" s="37"/>
      <c r="Z3058" s="37"/>
      <c r="AA3058" s="37"/>
      <c r="AB3058" s="37"/>
      <c r="AC3058" s="37"/>
      <c r="AD3058" s="37"/>
      <c r="AE3058" s="37"/>
      <c r="AF3058" s="37"/>
      <c r="AG3058" s="37"/>
      <c r="AH3058" s="37"/>
      <c r="AI3058" s="37"/>
      <c r="AJ3058" s="37"/>
      <c r="AK3058" s="37"/>
      <c r="AL3058" s="37"/>
      <c r="AM3058" s="37"/>
      <c r="AN3058" s="37"/>
      <c r="AO3058" s="37"/>
      <c r="AP3058" s="37"/>
      <c r="AQ3058" s="37"/>
      <c r="AR3058" s="37"/>
      <c r="AS3058" s="37"/>
      <c r="AT3058" s="37"/>
      <c r="AU3058" s="37"/>
      <c r="AV3058" s="37"/>
      <c r="AW3058" s="37"/>
      <c r="AX3058" s="37"/>
      <c r="AY3058" s="37"/>
      <c r="AZ3058" s="37"/>
      <c r="BA3058" s="37"/>
      <c r="BB3058" s="37"/>
      <c r="BC3058" s="37"/>
      <c r="BD3058" s="37"/>
      <c r="BE3058" s="37"/>
      <c r="BF3058" s="37"/>
      <c r="BG3058" s="37"/>
      <c r="BH3058" s="37"/>
      <c r="BI3058" s="37"/>
      <c r="BJ3058" s="37"/>
      <c r="BK3058" s="37"/>
      <c r="BL3058" s="37"/>
      <c r="BM3058" s="37"/>
    </row>
    <row r="3059" spans="1:65" s="40" customFormat="1" ht="23.25" x14ac:dyDescent="0.35">
      <c r="A3059" s="37"/>
      <c r="B3059" s="37"/>
      <c r="C3059" s="41"/>
      <c r="D3059" s="38"/>
      <c r="E3059" s="57"/>
      <c r="F3059" s="42"/>
      <c r="G3059" s="43"/>
      <c r="H3059" s="37"/>
      <c r="I3059" s="37"/>
      <c r="J3059" s="38"/>
      <c r="K3059" s="37"/>
      <c r="L3059" s="38"/>
      <c r="M3059" s="39"/>
      <c r="P3059" s="37"/>
      <c r="Q3059" s="37"/>
      <c r="R3059" s="37"/>
      <c r="S3059" s="37"/>
      <c r="T3059" s="37"/>
      <c r="U3059" s="37"/>
      <c r="V3059" s="37"/>
      <c r="W3059" s="37"/>
      <c r="X3059" s="37"/>
      <c r="Y3059" s="37"/>
      <c r="Z3059" s="37"/>
      <c r="AA3059" s="37"/>
      <c r="AB3059" s="37"/>
      <c r="AC3059" s="37"/>
      <c r="AD3059" s="37"/>
      <c r="AE3059" s="37"/>
      <c r="AF3059" s="37"/>
      <c r="AG3059" s="37"/>
      <c r="AH3059" s="37"/>
      <c r="AI3059" s="37"/>
      <c r="AJ3059" s="37"/>
      <c r="AK3059" s="37"/>
      <c r="AL3059" s="37"/>
      <c r="AM3059" s="37"/>
      <c r="AN3059" s="37"/>
      <c r="AO3059" s="37"/>
      <c r="AP3059" s="37"/>
      <c r="AQ3059" s="37"/>
      <c r="AR3059" s="37"/>
      <c r="AS3059" s="37"/>
      <c r="AT3059" s="37"/>
      <c r="AU3059" s="37"/>
      <c r="AV3059" s="37"/>
      <c r="AW3059" s="37"/>
      <c r="AX3059" s="37"/>
      <c r="AY3059" s="37"/>
      <c r="AZ3059" s="37"/>
      <c r="BA3059" s="37"/>
      <c r="BB3059" s="37"/>
      <c r="BC3059" s="37"/>
      <c r="BD3059" s="37"/>
      <c r="BE3059" s="37"/>
      <c r="BF3059" s="37"/>
      <c r="BG3059" s="37"/>
      <c r="BH3059" s="37"/>
      <c r="BI3059" s="37"/>
      <c r="BJ3059" s="37"/>
      <c r="BK3059" s="37"/>
      <c r="BL3059" s="37"/>
      <c r="BM3059" s="37"/>
    </row>
    <row r="3060" spans="1:65" s="40" customFormat="1" ht="23.25" x14ac:dyDescent="0.35">
      <c r="A3060" s="37"/>
      <c r="B3060" s="37"/>
      <c r="C3060" s="41"/>
      <c r="D3060" s="38"/>
      <c r="E3060" s="57"/>
      <c r="F3060" s="42"/>
      <c r="G3060" s="43"/>
      <c r="H3060" s="37"/>
      <c r="I3060" s="37"/>
      <c r="J3060" s="38"/>
      <c r="K3060" s="37"/>
      <c r="L3060" s="38"/>
      <c r="M3060" s="39"/>
      <c r="P3060" s="37"/>
      <c r="Q3060" s="37"/>
      <c r="R3060" s="37"/>
      <c r="S3060" s="37"/>
      <c r="T3060" s="37"/>
      <c r="U3060" s="37"/>
      <c r="V3060" s="37"/>
      <c r="W3060" s="37"/>
      <c r="X3060" s="37"/>
      <c r="Y3060" s="37"/>
      <c r="Z3060" s="37"/>
      <c r="AA3060" s="37"/>
      <c r="AB3060" s="37"/>
      <c r="AC3060" s="37"/>
      <c r="AD3060" s="37"/>
      <c r="AE3060" s="37"/>
      <c r="AF3060" s="37"/>
      <c r="AG3060" s="37"/>
      <c r="AH3060" s="37"/>
      <c r="AI3060" s="37"/>
      <c r="AJ3060" s="37"/>
      <c r="AK3060" s="37"/>
      <c r="AL3060" s="37"/>
      <c r="AM3060" s="37"/>
      <c r="AN3060" s="37"/>
      <c r="AO3060" s="37"/>
      <c r="AP3060" s="37"/>
      <c r="AQ3060" s="37"/>
      <c r="AR3060" s="37"/>
      <c r="AS3060" s="37"/>
      <c r="AT3060" s="37"/>
      <c r="AU3060" s="37"/>
      <c r="AV3060" s="37"/>
      <c r="AW3060" s="37"/>
      <c r="AX3060" s="37"/>
      <c r="AY3060" s="37"/>
      <c r="AZ3060" s="37"/>
      <c r="BA3060" s="37"/>
      <c r="BB3060" s="37"/>
      <c r="BC3060" s="37"/>
      <c r="BD3060" s="37"/>
      <c r="BE3060" s="37"/>
      <c r="BF3060" s="37"/>
      <c r="BG3060" s="37"/>
      <c r="BH3060" s="37"/>
      <c r="BI3060" s="37"/>
      <c r="BJ3060" s="37"/>
      <c r="BK3060" s="37"/>
      <c r="BL3060" s="37"/>
      <c r="BM3060" s="37"/>
    </row>
    <row r="3061" spans="1:65" s="40" customFormat="1" ht="23.25" x14ac:dyDescent="0.35">
      <c r="A3061" s="37"/>
      <c r="B3061" s="37"/>
      <c r="C3061" s="41"/>
      <c r="D3061" s="38"/>
      <c r="E3061" s="57"/>
      <c r="F3061" s="42"/>
      <c r="G3061" s="43"/>
      <c r="H3061" s="37"/>
      <c r="I3061" s="37"/>
      <c r="J3061" s="38"/>
      <c r="K3061" s="37"/>
      <c r="L3061" s="38"/>
      <c r="M3061" s="39"/>
      <c r="P3061" s="37"/>
      <c r="Q3061" s="37"/>
      <c r="R3061" s="37"/>
      <c r="S3061" s="37"/>
      <c r="T3061" s="37"/>
      <c r="U3061" s="37"/>
      <c r="V3061" s="37"/>
      <c r="W3061" s="37"/>
      <c r="X3061" s="37"/>
      <c r="Y3061" s="37"/>
      <c r="Z3061" s="37"/>
      <c r="AA3061" s="37"/>
      <c r="AB3061" s="37"/>
      <c r="AC3061" s="37"/>
      <c r="AD3061" s="37"/>
      <c r="AE3061" s="37"/>
      <c r="AF3061" s="37"/>
      <c r="AG3061" s="37"/>
      <c r="AH3061" s="37"/>
      <c r="AI3061" s="37"/>
      <c r="AJ3061" s="37"/>
      <c r="AK3061" s="37"/>
      <c r="AL3061" s="37"/>
      <c r="AM3061" s="37"/>
      <c r="AN3061" s="37"/>
      <c r="AO3061" s="37"/>
      <c r="AP3061" s="37"/>
      <c r="AQ3061" s="37"/>
      <c r="AR3061" s="37"/>
      <c r="AS3061" s="37"/>
      <c r="AT3061" s="37"/>
      <c r="AU3061" s="37"/>
      <c r="AV3061" s="37"/>
      <c r="AW3061" s="37"/>
      <c r="AX3061" s="37"/>
      <c r="AY3061" s="37"/>
      <c r="AZ3061" s="37"/>
      <c r="BA3061" s="37"/>
      <c r="BB3061" s="37"/>
      <c r="BC3061" s="37"/>
      <c r="BD3061" s="37"/>
      <c r="BE3061" s="37"/>
      <c r="BF3061" s="37"/>
      <c r="BG3061" s="37"/>
      <c r="BH3061" s="37"/>
      <c r="BI3061" s="37"/>
      <c r="BJ3061" s="37"/>
      <c r="BK3061" s="37"/>
      <c r="BL3061" s="37"/>
      <c r="BM3061" s="37"/>
    </row>
    <row r="3062" spans="1:65" s="40" customFormat="1" ht="23.25" x14ac:dyDescent="0.35">
      <c r="A3062" s="37"/>
      <c r="B3062" s="37"/>
      <c r="C3062" s="41"/>
      <c r="D3062" s="38"/>
      <c r="E3062" s="57"/>
      <c r="F3062" s="42"/>
      <c r="G3062" s="43"/>
      <c r="H3062" s="37"/>
      <c r="I3062" s="37"/>
      <c r="J3062" s="38"/>
      <c r="K3062" s="37"/>
      <c r="L3062" s="38"/>
      <c r="M3062" s="39"/>
      <c r="P3062" s="37"/>
      <c r="Q3062" s="37"/>
      <c r="R3062" s="37"/>
      <c r="S3062" s="37"/>
      <c r="T3062" s="37"/>
      <c r="U3062" s="37"/>
      <c r="V3062" s="37"/>
      <c r="W3062" s="37"/>
      <c r="X3062" s="37"/>
      <c r="Y3062" s="37"/>
      <c r="Z3062" s="37"/>
      <c r="AA3062" s="37"/>
      <c r="AB3062" s="37"/>
      <c r="AC3062" s="37"/>
      <c r="AD3062" s="37"/>
      <c r="AE3062" s="37"/>
      <c r="AF3062" s="37"/>
      <c r="AG3062" s="37"/>
      <c r="AH3062" s="37"/>
      <c r="AI3062" s="37"/>
      <c r="AJ3062" s="37"/>
      <c r="AK3062" s="37"/>
      <c r="AL3062" s="37"/>
      <c r="AM3062" s="37"/>
      <c r="AN3062" s="37"/>
      <c r="AO3062" s="37"/>
      <c r="AP3062" s="37"/>
      <c r="AQ3062" s="37"/>
      <c r="AR3062" s="37"/>
      <c r="AS3062" s="37"/>
      <c r="AT3062" s="37"/>
      <c r="AU3062" s="37"/>
      <c r="AV3062" s="37"/>
      <c r="AW3062" s="37"/>
      <c r="AX3062" s="37"/>
      <c r="AY3062" s="37"/>
      <c r="AZ3062" s="37"/>
      <c r="BA3062" s="37"/>
      <c r="BB3062" s="37"/>
      <c r="BC3062" s="37"/>
      <c r="BD3062" s="37"/>
      <c r="BE3062" s="37"/>
      <c r="BF3062" s="37"/>
      <c r="BG3062" s="37"/>
      <c r="BH3062" s="37"/>
      <c r="BI3062" s="37"/>
      <c r="BJ3062" s="37"/>
      <c r="BK3062" s="37"/>
      <c r="BL3062" s="37"/>
      <c r="BM3062" s="37"/>
    </row>
    <row r="3063" spans="1:65" s="40" customFormat="1" ht="23.25" x14ac:dyDescent="0.35">
      <c r="A3063" s="37"/>
      <c r="B3063" s="37"/>
      <c r="C3063" s="41"/>
      <c r="D3063" s="38"/>
      <c r="E3063" s="57"/>
      <c r="F3063" s="42"/>
      <c r="G3063" s="43"/>
      <c r="H3063" s="37"/>
      <c r="I3063" s="37"/>
      <c r="J3063" s="38"/>
      <c r="K3063" s="37"/>
      <c r="L3063" s="38"/>
      <c r="M3063" s="39"/>
      <c r="P3063" s="37"/>
      <c r="Q3063" s="37"/>
      <c r="R3063" s="37"/>
      <c r="S3063" s="37"/>
      <c r="T3063" s="37"/>
      <c r="U3063" s="37"/>
      <c r="V3063" s="37"/>
      <c r="W3063" s="37"/>
      <c r="X3063" s="37"/>
      <c r="Y3063" s="37"/>
      <c r="Z3063" s="37"/>
      <c r="AA3063" s="37"/>
      <c r="AB3063" s="37"/>
      <c r="AC3063" s="37"/>
      <c r="AD3063" s="37"/>
      <c r="AE3063" s="37"/>
      <c r="AF3063" s="37"/>
      <c r="AG3063" s="37"/>
      <c r="AH3063" s="37"/>
      <c r="AI3063" s="37"/>
      <c r="AJ3063" s="37"/>
      <c r="AK3063" s="37"/>
      <c r="AL3063" s="37"/>
      <c r="AM3063" s="37"/>
      <c r="AN3063" s="37"/>
      <c r="AO3063" s="37"/>
      <c r="AP3063" s="37"/>
      <c r="AQ3063" s="37"/>
      <c r="AR3063" s="37"/>
      <c r="AS3063" s="37"/>
      <c r="AT3063" s="37"/>
      <c r="AU3063" s="37"/>
      <c r="AV3063" s="37"/>
      <c r="AW3063" s="37"/>
      <c r="AX3063" s="37"/>
      <c r="AY3063" s="37"/>
      <c r="AZ3063" s="37"/>
      <c r="BA3063" s="37"/>
      <c r="BB3063" s="37"/>
      <c r="BC3063" s="37"/>
      <c r="BD3063" s="37"/>
      <c r="BE3063" s="37"/>
      <c r="BF3063" s="37"/>
      <c r="BG3063" s="37"/>
      <c r="BH3063" s="37"/>
      <c r="BI3063" s="37"/>
      <c r="BJ3063" s="37"/>
      <c r="BK3063" s="37"/>
      <c r="BL3063" s="37"/>
      <c r="BM3063" s="37"/>
    </row>
    <row r="3064" spans="1:65" s="40" customFormat="1" ht="23.25" x14ac:dyDescent="0.35">
      <c r="A3064" s="37"/>
      <c r="B3064" s="37"/>
      <c r="C3064" s="41"/>
      <c r="D3064" s="38"/>
      <c r="E3064" s="57"/>
      <c r="F3064" s="42"/>
      <c r="G3064" s="43"/>
      <c r="H3064" s="37"/>
      <c r="I3064" s="37"/>
      <c r="J3064" s="38"/>
      <c r="K3064" s="37"/>
      <c r="L3064" s="38"/>
      <c r="M3064" s="39"/>
      <c r="P3064" s="37"/>
      <c r="Q3064" s="37"/>
      <c r="R3064" s="37"/>
      <c r="S3064" s="37"/>
      <c r="T3064" s="37"/>
      <c r="U3064" s="37"/>
      <c r="V3064" s="37"/>
      <c r="W3064" s="37"/>
      <c r="X3064" s="37"/>
      <c r="Y3064" s="37"/>
      <c r="Z3064" s="37"/>
      <c r="AA3064" s="37"/>
      <c r="AB3064" s="37"/>
      <c r="AC3064" s="37"/>
      <c r="AD3064" s="37"/>
      <c r="AE3064" s="37"/>
      <c r="AF3064" s="37"/>
      <c r="AG3064" s="37"/>
      <c r="AH3064" s="37"/>
      <c r="AI3064" s="37"/>
      <c r="AJ3064" s="37"/>
      <c r="AK3064" s="37"/>
      <c r="AL3064" s="37"/>
      <c r="AM3064" s="37"/>
      <c r="AN3064" s="37"/>
      <c r="AO3064" s="37"/>
      <c r="AP3064" s="37"/>
      <c r="AQ3064" s="37"/>
      <c r="AR3064" s="37"/>
      <c r="AS3064" s="37"/>
      <c r="AT3064" s="37"/>
      <c r="AU3064" s="37"/>
      <c r="AV3064" s="37"/>
      <c r="AW3064" s="37"/>
      <c r="AX3064" s="37"/>
      <c r="AY3064" s="37"/>
      <c r="AZ3064" s="37"/>
      <c r="BA3064" s="37"/>
      <c r="BB3064" s="37"/>
      <c r="BC3064" s="37"/>
      <c r="BD3064" s="37"/>
      <c r="BE3064" s="37"/>
      <c r="BF3064" s="37"/>
      <c r="BG3064" s="37"/>
      <c r="BH3064" s="37"/>
      <c r="BI3064" s="37"/>
      <c r="BJ3064" s="37"/>
      <c r="BK3064" s="37"/>
      <c r="BL3064" s="37"/>
      <c r="BM3064" s="37"/>
    </row>
    <row r="3065" spans="1:65" s="40" customFormat="1" ht="23.25" x14ac:dyDescent="0.35">
      <c r="A3065" s="37"/>
      <c r="B3065" s="37"/>
      <c r="C3065" s="41"/>
      <c r="D3065" s="38"/>
      <c r="E3065" s="57"/>
      <c r="F3065" s="42"/>
      <c r="G3065" s="43"/>
      <c r="H3065" s="37"/>
      <c r="I3065" s="37"/>
      <c r="J3065" s="38"/>
      <c r="K3065" s="37"/>
      <c r="L3065" s="38"/>
      <c r="M3065" s="39"/>
      <c r="P3065" s="37"/>
      <c r="Q3065" s="37"/>
      <c r="R3065" s="37"/>
      <c r="S3065" s="37"/>
      <c r="T3065" s="37"/>
      <c r="U3065" s="37"/>
      <c r="V3065" s="37"/>
      <c r="W3065" s="37"/>
      <c r="X3065" s="37"/>
      <c r="Y3065" s="37"/>
      <c r="Z3065" s="37"/>
      <c r="AA3065" s="37"/>
      <c r="AB3065" s="37"/>
      <c r="AC3065" s="37"/>
      <c r="AD3065" s="37"/>
      <c r="AE3065" s="37"/>
      <c r="AF3065" s="37"/>
      <c r="AG3065" s="37"/>
      <c r="AH3065" s="37"/>
      <c r="AI3065" s="37"/>
      <c r="AJ3065" s="37"/>
      <c r="AK3065" s="37"/>
      <c r="AL3065" s="37"/>
      <c r="AM3065" s="37"/>
      <c r="AN3065" s="37"/>
      <c r="AO3065" s="37"/>
      <c r="AP3065" s="37"/>
      <c r="AQ3065" s="37"/>
      <c r="AR3065" s="37"/>
      <c r="AS3065" s="37"/>
      <c r="AT3065" s="37"/>
      <c r="AU3065" s="37"/>
      <c r="AV3065" s="37"/>
      <c r="AW3065" s="37"/>
      <c r="AX3065" s="37"/>
      <c r="AY3065" s="37"/>
      <c r="AZ3065" s="37"/>
      <c r="BA3065" s="37"/>
      <c r="BB3065" s="37"/>
      <c r="BC3065" s="37"/>
      <c r="BD3065" s="37"/>
      <c r="BE3065" s="37"/>
      <c r="BF3065" s="37"/>
      <c r="BG3065" s="37"/>
      <c r="BH3065" s="37"/>
      <c r="BI3065" s="37"/>
      <c r="BJ3065" s="37"/>
      <c r="BK3065" s="37"/>
      <c r="BL3065" s="37"/>
      <c r="BM3065" s="37"/>
    </row>
    <row r="3066" spans="1:65" s="40" customFormat="1" ht="23.25" x14ac:dyDescent="0.35">
      <c r="A3066" s="37"/>
      <c r="B3066" s="37"/>
      <c r="C3066" s="41"/>
      <c r="D3066" s="38"/>
      <c r="E3066" s="57"/>
      <c r="F3066" s="42"/>
      <c r="G3066" s="43"/>
      <c r="H3066" s="37"/>
      <c r="I3066" s="37"/>
      <c r="J3066" s="38"/>
      <c r="K3066" s="37"/>
      <c r="L3066" s="38"/>
      <c r="M3066" s="39"/>
      <c r="P3066" s="37"/>
      <c r="Q3066" s="37"/>
      <c r="R3066" s="37"/>
      <c r="S3066" s="37"/>
      <c r="T3066" s="37"/>
      <c r="U3066" s="37"/>
      <c r="V3066" s="37"/>
      <c r="W3066" s="37"/>
      <c r="X3066" s="37"/>
      <c r="Y3066" s="37"/>
      <c r="Z3066" s="37"/>
      <c r="AA3066" s="37"/>
      <c r="AB3066" s="37"/>
      <c r="AC3066" s="37"/>
      <c r="AD3066" s="37"/>
      <c r="AE3066" s="37"/>
      <c r="AF3066" s="37"/>
      <c r="AG3066" s="37"/>
      <c r="AH3066" s="37"/>
      <c r="AI3066" s="37"/>
      <c r="AJ3066" s="37"/>
      <c r="AK3066" s="37"/>
      <c r="AL3066" s="37"/>
      <c r="AM3066" s="37"/>
      <c r="AN3066" s="37"/>
      <c r="AO3066" s="37"/>
      <c r="AP3066" s="37"/>
      <c r="AQ3066" s="37"/>
      <c r="AR3066" s="37"/>
      <c r="AS3066" s="37"/>
      <c r="AT3066" s="37"/>
      <c r="AU3066" s="37"/>
      <c r="AV3066" s="37"/>
      <c r="AW3066" s="37"/>
      <c r="AX3066" s="37"/>
      <c r="AY3066" s="37"/>
      <c r="AZ3066" s="37"/>
      <c r="BA3066" s="37"/>
      <c r="BB3066" s="37"/>
      <c r="BC3066" s="37"/>
      <c r="BD3066" s="37"/>
      <c r="BE3066" s="37"/>
      <c r="BF3066" s="37"/>
      <c r="BG3066" s="37"/>
      <c r="BH3066" s="37"/>
      <c r="BI3066" s="37"/>
      <c r="BJ3066" s="37"/>
      <c r="BK3066" s="37"/>
      <c r="BL3066" s="37"/>
      <c r="BM3066" s="37"/>
    </row>
    <row r="3067" spans="1:65" s="40" customFormat="1" ht="23.25" x14ac:dyDescent="0.35">
      <c r="A3067" s="37"/>
      <c r="B3067" s="37"/>
      <c r="C3067" s="41"/>
      <c r="D3067" s="38"/>
      <c r="E3067" s="57"/>
      <c r="F3067" s="42"/>
      <c r="G3067" s="43"/>
      <c r="H3067" s="37"/>
      <c r="I3067" s="37"/>
      <c r="J3067" s="38"/>
      <c r="K3067" s="37"/>
      <c r="L3067" s="38"/>
      <c r="M3067" s="39"/>
      <c r="P3067" s="37"/>
      <c r="Q3067" s="37"/>
      <c r="R3067" s="37"/>
      <c r="S3067" s="37"/>
      <c r="T3067" s="37"/>
      <c r="U3067" s="37"/>
      <c r="V3067" s="37"/>
      <c r="W3067" s="37"/>
      <c r="X3067" s="37"/>
      <c r="Y3067" s="37"/>
      <c r="Z3067" s="37"/>
      <c r="AA3067" s="37"/>
      <c r="AB3067" s="37"/>
      <c r="AC3067" s="37"/>
      <c r="AD3067" s="37"/>
      <c r="AE3067" s="37"/>
      <c r="AF3067" s="37"/>
      <c r="AG3067" s="37"/>
      <c r="AH3067" s="37"/>
      <c r="AI3067" s="37"/>
      <c r="AJ3067" s="37"/>
      <c r="AK3067" s="37"/>
      <c r="AL3067" s="37"/>
      <c r="AM3067" s="37"/>
      <c r="AN3067" s="37"/>
      <c r="AO3067" s="37"/>
      <c r="AP3067" s="37"/>
      <c r="AQ3067" s="37"/>
      <c r="AR3067" s="37"/>
      <c r="AS3067" s="37"/>
      <c r="AT3067" s="37"/>
      <c r="AU3067" s="37"/>
      <c r="AV3067" s="37"/>
      <c r="AW3067" s="37"/>
      <c r="AX3067" s="37"/>
      <c r="AY3067" s="37"/>
      <c r="AZ3067" s="37"/>
      <c r="BA3067" s="37"/>
      <c r="BB3067" s="37"/>
      <c r="BC3067" s="37"/>
      <c r="BD3067" s="37"/>
      <c r="BE3067" s="37"/>
      <c r="BF3067" s="37"/>
      <c r="BG3067" s="37"/>
      <c r="BH3067" s="37"/>
      <c r="BI3067" s="37"/>
      <c r="BJ3067" s="37"/>
      <c r="BK3067" s="37"/>
      <c r="BL3067" s="37"/>
      <c r="BM3067" s="37"/>
    </row>
    <row r="3068" spans="1:65" s="40" customFormat="1" ht="23.25" x14ac:dyDescent="0.35">
      <c r="A3068" s="37"/>
      <c r="B3068" s="37"/>
      <c r="C3068" s="41"/>
      <c r="D3068" s="38"/>
      <c r="E3068" s="57"/>
      <c r="F3068" s="42"/>
      <c r="G3068" s="43"/>
      <c r="H3068" s="37"/>
      <c r="I3068" s="37"/>
      <c r="J3068" s="38"/>
      <c r="K3068" s="37"/>
      <c r="L3068" s="38"/>
      <c r="M3068" s="39"/>
      <c r="P3068" s="37"/>
      <c r="Q3068" s="37"/>
      <c r="R3068" s="37"/>
      <c r="S3068" s="37"/>
      <c r="T3068" s="37"/>
      <c r="U3068" s="37"/>
      <c r="V3068" s="37"/>
      <c r="W3068" s="37"/>
      <c r="X3068" s="37"/>
      <c r="Y3068" s="37"/>
      <c r="Z3068" s="37"/>
      <c r="AA3068" s="37"/>
      <c r="AB3068" s="37"/>
      <c r="AC3068" s="37"/>
      <c r="AD3068" s="37"/>
      <c r="AE3068" s="37"/>
      <c r="AF3068" s="37"/>
      <c r="AG3068" s="37"/>
      <c r="AH3068" s="37"/>
      <c r="AI3068" s="37"/>
      <c r="AJ3068" s="37"/>
      <c r="AK3068" s="37"/>
      <c r="AL3068" s="37"/>
      <c r="AM3068" s="37"/>
      <c r="AN3068" s="37"/>
      <c r="AO3068" s="37"/>
      <c r="AP3068" s="37"/>
      <c r="AQ3068" s="37"/>
      <c r="AR3068" s="37"/>
      <c r="AS3068" s="37"/>
      <c r="AT3068" s="37"/>
      <c r="AU3068" s="37"/>
      <c r="AV3068" s="37"/>
      <c r="AW3068" s="37"/>
      <c r="AX3068" s="37"/>
      <c r="AY3068" s="37"/>
      <c r="AZ3068" s="37"/>
      <c r="BA3068" s="37"/>
      <c r="BB3068" s="37"/>
      <c r="BC3068" s="37"/>
      <c r="BD3068" s="37"/>
      <c r="BE3068" s="37"/>
      <c r="BF3068" s="37"/>
      <c r="BG3068" s="37"/>
      <c r="BH3068" s="37"/>
      <c r="BI3068" s="37"/>
      <c r="BJ3068" s="37"/>
      <c r="BK3068" s="37"/>
      <c r="BL3068" s="37"/>
      <c r="BM3068" s="37"/>
    </row>
    <row r="3069" spans="1:65" s="40" customFormat="1" ht="23.25" x14ac:dyDescent="0.35">
      <c r="A3069" s="37"/>
      <c r="B3069" s="37"/>
      <c r="C3069" s="41"/>
      <c r="D3069" s="38"/>
      <c r="E3069" s="57"/>
      <c r="F3069" s="42"/>
      <c r="G3069" s="43"/>
      <c r="H3069" s="37"/>
      <c r="I3069" s="37"/>
      <c r="J3069" s="38"/>
      <c r="K3069" s="37"/>
      <c r="L3069" s="38"/>
      <c r="M3069" s="39"/>
      <c r="P3069" s="37"/>
      <c r="Q3069" s="37"/>
      <c r="R3069" s="37"/>
      <c r="S3069" s="37"/>
      <c r="T3069" s="37"/>
      <c r="U3069" s="37"/>
      <c r="V3069" s="37"/>
      <c r="W3069" s="37"/>
      <c r="X3069" s="37"/>
      <c r="Y3069" s="37"/>
      <c r="Z3069" s="37"/>
      <c r="AA3069" s="37"/>
      <c r="AB3069" s="37"/>
      <c r="AC3069" s="37"/>
      <c r="AD3069" s="37"/>
      <c r="AE3069" s="37"/>
      <c r="AF3069" s="37"/>
      <c r="AG3069" s="37"/>
      <c r="AH3069" s="37"/>
      <c r="AI3069" s="37"/>
      <c r="AJ3069" s="37"/>
      <c r="AK3069" s="37"/>
      <c r="AL3069" s="37"/>
      <c r="AM3069" s="37"/>
      <c r="AN3069" s="37"/>
      <c r="AO3069" s="37"/>
      <c r="AP3069" s="37"/>
      <c r="AQ3069" s="37"/>
      <c r="AR3069" s="37"/>
      <c r="AS3069" s="37"/>
      <c r="AT3069" s="37"/>
      <c r="AU3069" s="37"/>
      <c r="AV3069" s="37"/>
      <c r="AW3069" s="37"/>
      <c r="AX3069" s="37"/>
      <c r="AY3069" s="37"/>
      <c r="AZ3069" s="37"/>
      <c r="BA3069" s="37"/>
      <c r="BB3069" s="37"/>
      <c r="BC3069" s="37"/>
      <c r="BD3069" s="37"/>
      <c r="BE3069" s="37"/>
      <c r="BF3069" s="37"/>
      <c r="BG3069" s="37"/>
      <c r="BH3069" s="37"/>
      <c r="BI3069" s="37"/>
      <c r="BJ3069" s="37"/>
      <c r="BK3069" s="37"/>
      <c r="BL3069" s="37"/>
      <c r="BM3069" s="37"/>
    </row>
    <row r="3070" spans="1:65" s="40" customFormat="1" ht="23.25" x14ac:dyDescent="0.35">
      <c r="A3070" s="37"/>
      <c r="B3070" s="37"/>
      <c r="C3070" s="41"/>
      <c r="D3070" s="38"/>
      <c r="E3070" s="57"/>
      <c r="F3070" s="42"/>
      <c r="G3070" s="43"/>
      <c r="H3070" s="37"/>
      <c r="I3070" s="37"/>
      <c r="J3070" s="38"/>
      <c r="K3070" s="37"/>
      <c r="L3070" s="38"/>
      <c r="M3070" s="39"/>
      <c r="P3070" s="37"/>
      <c r="Q3070" s="37"/>
      <c r="R3070" s="37"/>
      <c r="S3070" s="37"/>
      <c r="T3070" s="37"/>
      <c r="U3070" s="37"/>
      <c r="V3070" s="37"/>
      <c r="W3070" s="37"/>
      <c r="X3070" s="37"/>
      <c r="Y3070" s="37"/>
      <c r="Z3070" s="37"/>
      <c r="AA3070" s="37"/>
      <c r="AB3070" s="37"/>
      <c r="AC3070" s="37"/>
      <c r="AD3070" s="37"/>
      <c r="AE3070" s="37"/>
      <c r="AF3070" s="37"/>
      <c r="AG3070" s="37"/>
      <c r="AH3070" s="37"/>
      <c r="AI3070" s="37"/>
      <c r="AJ3070" s="37"/>
      <c r="AK3070" s="37"/>
      <c r="AL3070" s="37"/>
      <c r="AM3070" s="37"/>
      <c r="AN3070" s="37"/>
      <c r="AO3070" s="37"/>
      <c r="AP3070" s="37"/>
      <c r="AQ3070" s="37"/>
      <c r="AR3070" s="37"/>
      <c r="AS3070" s="37"/>
      <c r="AT3070" s="37"/>
      <c r="AU3070" s="37"/>
      <c r="AV3070" s="37"/>
      <c r="AW3070" s="37"/>
      <c r="AX3070" s="37"/>
      <c r="AY3070" s="37"/>
      <c r="AZ3070" s="37"/>
      <c r="BA3070" s="37"/>
      <c r="BB3070" s="37"/>
      <c r="BC3070" s="37"/>
      <c r="BD3070" s="37"/>
      <c r="BE3070" s="37"/>
      <c r="BF3070" s="37"/>
      <c r="BG3070" s="37"/>
      <c r="BH3070" s="37"/>
      <c r="BI3070" s="37"/>
      <c r="BJ3070" s="37"/>
      <c r="BK3070" s="37"/>
      <c r="BL3070" s="37"/>
      <c r="BM3070" s="37"/>
    </row>
    <row r="3071" spans="1:65" s="40" customFormat="1" ht="23.25" x14ac:dyDescent="0.35">
      <c r="A3071" s="37"/>
      <c r="B3071" s="37"/>
      <c r="C3071" s="41"/>
      <c r="D3071" s="38"/>
      <c r="E3071" s="57"/>
      <c r="F3071" s="42"/>
      <c r="G3071" s="43"/>
      <c r="H3071" s="37"/>
      <c r="I3071" s="37"/>
      <c r="J3071" s="38"/>
      <c r="K3071" s="37"/>
      <c r="L3071" s="38"/>
      <c r="M3071" s="39"/>
      <c r="P3071" s="37"/>
      <c r="Q3071" s="37"/>
      <c r="R3071" s="37"/>
      <c r="S3071" s="37"/>
      <c r="T3071" s="37"/>
      <c r="U3071" s="37"/>
      <c r="V3071" s="37"/>
      <c r="W3071" s="37"/>
      <c r="X3071" s="37"/>
      <c r="Y3071" s="37"/>
      <c r="Z3071" s="37"/>
      <c r="AA3071" s="37"/>
      <c r="AB3071" s="37"/>
      <c r="AC3071" s="37"/>
      <c r="AD3071" s="37"/>
      <c r="AE3071" s="37"/>
      <c r="AF3071" s="37"/>
      <c r="AG3071" s="37"/>
      <c r="AH3071" s="37"/>
      <c r="AI3071" s="37"/>
      <c r="AJ3071" s="37"/>
      <c r="AK3071" s="37"/>
      <c r="AL3071" s="37"/>
      <c r="AM3071" s="37"/>
      <c r="AN3071" s="37"/>
      <c r="AO3071" s="37"/>
      <c r="AP3071" s="37"/>
      <c r="AQ3071" s="37"/>
      <c r="AR3071" s="37"/>
      <c r="AS3071" s="37"/>
      <c r="AT3071" s="37"/>
      <c r="AU3071" s="37"/>
      <c r="AV3071" s="37"/>
      <c r="AW3071" s="37"/>
      <c r="AX3071" s="37"/>
      <c r="AY3071" s="37"/>
      <c r="AZ3071" s="37"/>
      <c r="BA3071" s="37"/>
      <c r="BB3071" s="37"/>
      <c r="BC3071" s="37"/>
      <c r="BD3071" s="37"/>
      <c r="BE3071" s="37"/>
      <c r="BF3071" s="37"/>
      <c r="BG3071" s="37"/>
      <c r="BH3071" s="37"/>
      <c r="BI3071" s="37"/>
      <c r="BJ3071" s="37"/>
      <c r="BK3071" s="37"/>
      <c r="BL3071" s="37"/>
      <c r="BM3071" s="37"/>
    </row>
    <row r="3072" spans="1:65" s="40" customFormat="1" ht="23.25" x14ac:dyDescent="0.35">
      <c r="A3072" s="37"/>
      <c r="B3072" s="37"/>
      <c r="C3072" s="41"/>
      <c r="D3072" s="38"/>
      <c r="E3072" s="57"/>
      <c r="F3072" s="42"/>
      <c r="G3072" s="43"/>
      <c r="H3072" s="37"/>
      <c r="I3072" s="37"/>
      <c r="J3072" s="38"/>
      <c r="K3072" s="37"/>
      <c r="L3072" s="38"/>
      <c r="M3072" s="39"/>
      <c r="P3072" s="37"/>
      <c r="Q3072" s="37"/>
      <c r="R3072" s="37"/>
      <c r="S3072" s="37"/>
      <c r="T3072" s="37"/>
      <c r="U3072" s="37"/>
      <c r="V3072" s="37"/>
      <c r="W3072" s="37"/>
      <c r="X3072" s="37"/>
      <c r="Y3072" s="37"/>
      <c r="Z3072" s="37"/>
      <c r="AA3072" s="37"/>
      <c r="AB3072" s="37"/>
      <c r="AC3072" s="37"/>
      <c r="AD3072" s="37"/>
      <c r="AE3072" s="37"/>
      <c r="AF3072" s="37"/>
      <c r="AG3072" s="37"/>
      <c r="AH3072" s="37"/>
      <c r="AI3072" s="37"/>
      <c r="AJ3072" s="37"/>
      <c r="AK3072" s="37"/>
      <c r="AL3072" s="37"/>
      <c r="AM3072" s="37"/>
      <c r="AN3072" s="37"/>
      <c r="AO3072" s="37"/>
      <c r="AP3072" s="37"/>
      <c r="AQ3072" s="37"/>
      <c r="AR3072" s="37"/>
      <c r="AS3072" s="37"/>
      <c r="AT3072" s="37"/>
      <c r="AU3072" s="37"/>
      <c r="AV3072" s="37"/>
      <c r="AW3072" s="37"/>
      <c r="AX3072" s="37"/>
      <c r="AY3072" s="37"/>
      <c r="AZ3072" s="37"/>
      <c r="BA3072" s="37"/>
      <c r="BB3072" s="37"/>
      <c r="BC3072" s="37"/>
      <c r="BD3072" s="37"/>
      <c r="BE3072" s="37"/>
      <c r="BF3072" s="37"/>
      <c r="BG3072" s="37"/>
      <c r="BH3072" s="37"/>
      <c r="BI3072" s="37"/>
      <c r="BJ3072" s="37"/>
      <c r="BK3072" s="37"/>
      <c r="BL3072" s="37"/>
      <c r="BM3072" s="37"/>
    </row>
    <row r="3073" spans="1:65" s="40" customFormat="1" ht="23.25" x14ac:dyDescent="0.35">
      <c r="A3073" s="37"/>
      <c r="B3073" s="37"/>
      <c r="C3073" s="41"/>
      <c r="D3073" s="38"/>
      <c r="E3073" s="57"/>
      <c r="F3073" s="42"/>
      <c r="G3073" s="43"/>
      <c r="H3073" s="37"/>
      <c r="I3073" s="37"/>
      <c r="J3073" s="38"/>
      <c r="K3073" s="37"/>
      <c r="L3073" s="38"/>
      <c r="M3073" s="39"/>
      <c r="P3073" s="37"/>
      <c r="Q3073" s="37"/>
      <c r="R3073" s="37"/>
      <c r="S3073" s="37"/>
      <c r="T3073" s="37"/>
      <c r="U3073" s="37"/>
      <c r="V3073" s="37"/>
      <c r="W3073" s="37"/>
      <c r="X3073" s="37"/>
      <c r="Y3073" s="37"/>
      <c r="Z3073" s="37"/>
      <c r="AA3073" s="37"/>
      <c r="AB3073" s="37"/>
      <c r="AC3073" s="37"/>
      <c r="AD3073" s="37"/>
      <c r="AE3073" s="37"/>
      <c r="AF3073" s="37"/>
      <c r="AG3073" s="37"/>
      <c r="AH3073" s="37"/>
      <c r="AI3073" s="37"/>
      <c r="AJ3073" s="37"/>
      <c r="AK3073" s="37"/>
      <c r="AL3073" s="37"/>
      <c r="AM3073" s="37"/>
      <c r="AN3073" s="37"/>
      <c r="AO3073" s="37"/>
      <c r="AP3073" s="37"/>
      <c r="AQ3073" s="37"/>
      <c r="AR3073" s="37"/>
      <c r="AS3073" s="37"/>
      <c r="AT3073" s="37"/>
      <c r="AU3073" s="37"/>
      <c r="AV3073" s="37"/>
      <c r="AW3073" s="37"/>
      <c r="AX3073" s="37"/>
      <c r="AY3073" s="37"/>
      <c r="AZ3073" s="37"/>
      <c r="BA3073" s="37"/>
      <c r="BB3073" s="37"/>
      <c r="BC3073" s="37"/>
      <c r="BD3073" s="37"/>
      <c r="BE3073" s="37"/>
      <c r="BF3073" s="37"/>
      <c r="BG3073" s="37"/>
      <c r="BH3073" s="37"/>
      <c r="BI3073" s="37"/>
      <c r="BJ3073" s="37"/>
      <c r="BK3073" s="37"/>
      <c r="BL3073" s="37"/>
      <c r="BM3073" s="37"/>
    </row>
    <row r="3074" spans="1:65" s="40" customFormat="1" ht="23.25" x14ac:dyDescent="0.35">
      <c r="A3074" s="37"/>
      <c r="B3074" s="37"/>
      <c r="C3074" s="41"/>
      <c r="D3074" s="38"/>
      <c r="E3074" s="57"/>
      <c r="F3074" s="42"/>
      <c r="G3074" s="43"/>
      <c r="H3074" s="37"/>
      <c r="I3074" s="37"/>
      <c r="J3074" s="38"/>
      <c r="K3074" s="37"/>
      <c r="L3074" s="38"/>
      <c r="M3074" s="39"/>
      <c r="P3074" s="37"/>
      <c r="Q3074" s="37"/>
      <c r="R3074" s="37"/>
      <c r="S3074" s="37"/>
      <c r="T3074" s="37"/>
      <c r="U3074" s="37"/>
      <c r="V3074" s="37"/>
      <c r="W3074" s="37"/>
      <c r="X3074" s="37"/>
      <c r="Y3074" s="37"/>
      <c r="Z3074" s="37"/>
      <c r="AA3074" s="37"/>
      <c r="AB3074" s="37"/>
      <c r="AC3074" s="37"/>
      <c r="AD3074" s="37"/>
      <c r="AE3074" s="37"/>
      <c r="AF3074" s="37"/>
      <c r="AG3074" s="37"/>
      <c r="AH3074" s="37"/>
      <c r="AI3074" s="37"/>
      <c r="AJ3074" s="37"/>
      <c r="AK3074" s="37"/>
      <c r="AL3074" s="37"/>
      <c r="AM3074" s="37"/>
      <c r="AN3074" s="37"/>
      <c r="AO3074" s="37"/>
      <c r="AP3074" s="37"/>
      <c r="AQ3074" s="37"/>
      <c r="AR3074" s="37"/>
      <c r="AS3074" s="37"/>
      <c r="AT3074" s="37"/>
      <c r="AU3074" s="37"/>
      <c r="AV3074" s="37"/>
      <c r="AW3074" s="37"/>
      <c r="AX3074" s="37"/>
      <c r="AY3074" s="37"/>
      <c r="AZ3074" s="37"/>
      <c r="BA3074" s="37"/>
      <c r="BB3074" s="37"/>
      <c r="BC3074" s="37"/>
      <c r="BD3074" s="37"/>
      <c r="BE3074" s="37"/>
      <c r="BF3074" s="37"/>
      <c r="BG3074" s="37"/>
      <c r="BH3074" s="37"/>
      <c r="BI3074" s="37"/>
      <c r="BJ3074" s="37"/>
      <c r="BK3074" s="37"/>
      <c r="BL3074" s="37"/>
      <c r="BM3074" s="37"/>
    </row>
    <row r="3075" spans="1:65" s="40" customFormat="1" ht="23.25" x14ac:dyDescent="0.35">
      <c r="A3075" s="37"/>
      <c r="B3075" s="37"/>
      <c r="C3075" s="41"/>
      <c r="D3075" s="38"/>
      <c r="E3075" s="57"/>
      <c r="F3075" s="42"/>
      <c r="G3075" s="43"/>
      <c r="H3075" s="37"/>
      <c r="I3075" s="37"/>
      <c r="J3075" s="38"/>
      <c r="K3075" s="37"/>
      <c r="L3075" s="38"/>
      <c r="M3075" s="39"/>
      <c r="P3075" s="37"/>
      <c r="Q3075" s="37"/>
      <c r="R3075" s="37"/>
      <c r="S3075" s="37"/>
      <c r="T3075" s="37"/>
      <c r="U3075" s="37"/>
      <c r="V3075" s="37"/>
      <c r="W3075" s="37"/>
      <c r="X3075" s="37"/>
      <c r="Y3075" s="37"/>
      <c r="Z3075" s="37"/>
      <c r="AA3075" s="37"/>
      <c r="AB3075" s="37"/>
      <c r="AC3075" s="37"/>
      <c r="AD3075" s="37"/>
      <c r="AE3075" s="37"/>
      <c r="AF3075" s="37"/>
      <c r="AG3075" s="37"/>
      <c r="AH3075" s="37"/>
      <c r="AI3075" s="37"/>
      <c r="AJ3075" s="37"/>
      <c r="AK3075" s="37"/>
      <c r="AL3075" s="37"/>
      <c r="AM3075" s="37"/>
      <c r="AN3075" s="37"/>
      <c r="AO3075" s="37"/>
      <c r="AP3075" s="37"/>
      <c r="AQ3075" s="37"/>
      <c r="AR3075" s="37"/>
      <c r="AS3075" s="37"/>
      <c r="AT3075" s="37"/>
      <c r="AU3075" s="37"/>
      <c r="AV3075" s="37"/>
      <c r="AW3075" s="37"/>
      <c r="AX3075" s="37"/>
      <c r="AY3075" s="37"/>
      <c r="AZ3075" s="37"/>
      <c r="BA3075" s="37"/>
      <c r="BB3075" s="37"/>
      <c r="BC3075" s="37"/>
      <c r="BD3075" s="37"/>
      <c r="BE3075" s="37"/>
      <c r="BF3075" s="37"/>
      <c r="BG3075" s="37"/>
      <c r="BH3075" s="37"/>
      <c r="BI3075" s="37"/>
      <c r="BJ3075" s="37"/>
      <c r="BK3075" s="37"/>
      <c r="BL3075" s="37"/>
      <c r="BM3075" s="37"/>
    </row>
    <row r="3076" spans="1:65" s="40" customFormat="1" ht="23.25" x14ac:dyDescent="0.35">
      <c r="A3076" s="37"/>
      <c r="B3076" s="37"/>
      <c r="C3076" s="41"/>
      <c r="D3076" s="38"/>
      <c r="E3076" s="57"/>
      <c r="F3076" s="42"/>
      <c r="G3076" s="43"/>
      <c r="H3076" s="37"/>
      <c r="I3076" s="37"/>
      <c r="J3076" s="38"/>
      <c r="K3076" s="37"/>
      <c r="L3076" s="38"/>
      <c r="M3076" s="39"/>
      <c r="P3076" s="37"/>
      <c r="Q3076" s="37"/>
      <c r="R3076" s="37"/>
      <c r="S3076" s="37"/>
      <c r="T3076" s="37"/>
      <c r="U3076" s="37"/>
      <c r="V3076" s="37"/>
      <c r="W3076" s="37"/>
      <c r="X3076" s="37"/>
      <c r="Y3076" s="37"/>
      <c r="Z3076" s="37"/>
      <c r="AA3076" s="37"/>
      <c r="AB3076" s="37"/>
      <c r="AC3076" s="37"/>
      <c r="AD3076" s="37"/>
      <c r="AE3076" s="37"/>
      <c r="AF3076" s="37"/>
      <c r="AG3076" s="37"/>
      <c r="AH3076" s="37"/>
      <c r="AI3076" s="37"/>
      <c r="AJ3076" s="37"/>
      <c r="AK3076" s="37"/>
      <c r="AL3076" s="37"/>
      <c r="AM3076" s="37"/>
      <c r="AN3076" s="37"/>
      <c r="AO3076" s="37"/>
      <c r="AP3076" s="37"/>
      <c r="AQ3076" s="37"/>
      <c r="AR3076" s="37"/>
      <c r="AS3076" s="37"/>
      <c r="AT3076" s="37"/>
      <c r="AU3076" s="37"/>
      <c r="AV3076" s="37"/>
      <c r="AW3076" s="37"/>
      <c r="AX3076" s="37"/>
      <c r="AY3076" s="37"/>
      <c r="AZ3076" s="37"/>
      <c r="BA3076" s="37"/>
      <c r="BB3076" s="37"/>
      <c r="BC3076" s="37"/>
      <c r="BD3076" s="37"/>
      <c r="BE3076" s="37"/>
      <c r="BF3076" s="37"/>
      <c r="BG3076" s="37"/>
      <c r="BH3076" s="37"/>
      <c r="BI3076" s="37"/>
      <c r="BJ3076" s="37"/>
      <c r="BK3076" s="37"/>
      <c r="BL3076" s="37"/>
      <c r="BM3076" s="37"/>
    </row>
    <row r="3077" spans="1:65" s="40" customFormat="1" ht="23.25" x14ac:dyDescent="0.35">
      <c r="A3077" s="37"/>
      <c r="B3077" s="37"/>
      <c r="C3077" s="41"/>
      <c r="D3077" s="38"/>
      <c r="E3077" s="57"/>
      <c r="F3077" s="42"/>
      <c r="G3077" s="43"/>
      <c r="H3077" s="37"/>
      <c r="I3077" s="37"/>
      <c r="J3077" s="38"/>
      <c r="K3077" s="37"/>
      <c r="L3077" s="38"/>
      <c r="M3077" s="39"/>
      <c r="P3077" s="37"/>
      <c r="Q3077" s="37"/>
      <c r="R3077" s="37"/>
      <c r="S3077" s="37"/>
      <c r="T3077" s="37"/>
      <c r="U3077" s="37"/>
      <c r="V3077" s="37"/>
      <c r="W3077" s="37"/>
      <c r="X3077" s="37"/>
      <c r="Y3077" s="37"/>
      <c r="Z3077" s="37"/>
      <c r="AA3077" s="37"/>
      <c r="AB3077" s="37"/>
      <c r="AC3077" s="37"/>
      <c r="AD3077" s="37"/>
      <c r="AE3077" s="37"/>
      <c r="AF3077" s="37"/>
      <c r="AG3077" s="37"/>
      <c r="AH3077" s="37"/>
      <c r="AI3077" s="37"/>
      <c r="AJ3077" s="37"/>
      <c r="AK3077" s="37"/>
      <c r="AL3077" s="37"/>
      <c r="AM3077" s="37"/>
      <c r="AN3077" s="37"/>
      <c r="AO3077" s="37"/>
      <c r="AP3077" s="37"/>
      <c r="AQ3077" s="37"/>
      <c r="AR3077" s="37"/>
      <c r="AS3077" s="37"/>
      <c r="AT3077" s="37"/>
      <c r="AU3077" s="37"/>
      <c r="AV3077" s="37"/>
      <c r="AW3077" s="37"/>
      <c r="AX3077" s="37"/>
      <c r="AY3077" s="37"/>
      <c r="AZ3077" s="37"/>
      <c r="BA3077" s="37"/>
      <c r="BB3077" s="37"/>
      <c r="BC3077" s="37"/>
      <c r="BD3077" s="37"/>
      <c r="BE3077" s="37"/>
      <c r="BF3077" s="37"/>
      <c r="BG3077" s="37"/>
      <c r="BH3077" s="37"/>
      <c r="BI3077" s="37"/>
      <c r="BJ3077" s="37"/>
      <c r="BK3077" s="37"/>
      <c r="BL3077" s="37"/>
      <c r="BM3077" s="37"/>
    </row>
    <row r="3078" spans="1:65" s="40" customFormat="1" ht="23.25" x14ac:dyDescent="0.35">
      <c r="A3078" s="37"/>
      <c r="B3078" s="37"/>
      <c r="C3078" s="41"/>
      <c r="D3078" s="38"/>
      <c r="E3078" s="57"/>
      <c r="F3078" s="42"/>
      <c r="G3078" s="43"/>
      <c r="H3078" s="37"/>
      <c r="I3078" s="37"/>
      <c r="J3078" s="38"/>
      <c r="K3078" s="37"/>
      <c r="L3078" s="38"/>
      <c r="M3078" s="39"/>
      <c r="P3078" s="37"/>
      <c r="Q3078" s="37"/>
      <c r="R3078" s="37"/>
      <c r="S3078" s="37"/>
      <c r="T3078" s="37"/>
      <c r="U3078" s="37"/>
      <c r="V3078" s="37"/>
      <c r="W3078" s="37"/>
      <c r="X3078" s="37"/>
      <c r="Y3078" s="37"/>
      <c r="Z3078" s="37"/>
      <c r="AA3078" s="37"/>
      <c r="AB3078" s="37"/>
      <c r="AC3078" s="37"/>
      <c r="AD3078" s="37"/>
      <c r="AE3078" s="37"/>
      <c r="AF3078" s="37"/>
      <c r="AG3078" s="37"/>
      <c r="AH3078" s="37"/>
      <c r="AI3078" s="37"/>
      <c r="AJ3078" s="37"/>
      <c r="AK3078" s="37"/>
      <c r="AL3078" s="37"/>
      <c r="AM3078" s="37"/>
      <c r="AN3078" s="37"/>
      <c r="AO3078" s="37"/>
      <c r="AP3078" s="37"/>
      <c r="AQ3078" s="37"/>
      <c r="AR3078" s="37"/>
      <c r="AS3078" s="37"/>
      <c r="AT3078" s="37"/>
      <c r="AU3078" s="37"/>
      <c r="AV3078" s="37"/>
      <c r="AW3078" s="37"/>
      <c r="AX3078" s="37"/>
      <c r="AY3078" s="37"/>
      <c r="AZ3078" s="37"/>
      <c r="BA3078" s="37"/>
      <c r="BB3078" s="37"/>
      <c r="BC3078" s="37"/>
      <c r="BD3078" s="37"/>
      <c r="BE3078" s="37"/>
      <c r="BF3078" s="37"/>
      <c r="BG3078" s="37"/>
      <c r="BH3078" s="37"/>
      <c r="BI3078" s="37"/>
      <c r="BJ3078" s="37"/>
      <c r="BK3078" s="37"/>
      <c r="BL3078" s="37"/>
      <c r="BM3078" s="37"/>
    </row>
    <row r="3079" spans="1:65" s="40" customFormat="1" ht="23.25" x14ac:dyDescent="0.35">
      <c r="A3079" s="37"/>
      <c r="B3079" s="37"/>
      <c r="C3079" s="41"/>
      <c r="D3079" s="38"/>
      <c r="E3079" s="57"/>
      <c r="F3079" s="42"/>
      <c r="G3079" s="43"/>
      <c r="H3079" s="37"/>
      <c r="I3079" s="37"/>
      <c r="J3079" s="38"/>
      <c r="K3079" s="37"/>
      <c r="L3079" s="38"/>
      <c r="M3079" s="39"/>
      <c r="P3079" s="37"/>
      <c r="Q3079" s="37"/>
      <c r="R3079" s="37"/>
      <c r="S3079" s="37"/>
      <c r="T3079" s="37"/>
      <c r="U3079" s="37"/>
      <c r="V3079" s="37"/>
      <c r="W3079" s="37"/>
      <c r="X3079" s="37"/>
      <c r="Y3079" s="37"/>
      <c r="Z3079" s="37"/>
      <c r="AA3079" s="37"/>
      <c r="AB3079" s="37"/>
      <c r="AC3079" s="37"/>
      <c r="AD3079" s="37"/>
      <c r="AE3079" s="37"/>
      <c r="AF3079" s="37"/>
      <c r="AG3079" s="37"/>
      <c r="AH3079" s="37"/>
      <c r="AI3079" s="37"/>
      <c r="AJ3079" s="37"/>
      <c r="AK3079" s="37"/>
      <c r="AL3079" s="37"/>
      <c r="AM3079" s="37"/>
      <c r="AN3079" s="37"/>
      <c r="AO3079" s="37"/>
      <c r="AP3079" s="37"/>
      <c r="AQ3079" s="37"/>
      <c r="AR3079" s="37"/>
      <c r="AS3079" s="37"/>
      <c r="AT3079" s="37"/>
      <c r="AU3079" s="37"/>
      <c r="AV3079" s="37"/>
      <c r="AW3079" s="37"/>
      <c r="AX3079" s="37"/>
      <c r="AY3079" s="37"/>
      <c r="AZ3079" s="37"/>
      <c r="BA3079" s="37"/>
      <c r="BB3079" s="37"/>
      <c r="BC3079" s="37"/>
      <c r="BD3079" s="37"/>
      <c r="BE3079" s="37"/>
      <c r="BF3079" s="37"/>
      <c r="BG3079" s="37"/>
      <c r="BH3079" s="37"/>
      <c r="BI3079" s="37"/>
      <c r="BJ3079" s="37"/>
      <c r="BK3079" s="37"/>
      <c r="BL3079" s="37"/>
      <c r="BM3079" s="37"/>
    </row>
    <row r="3080" spans="1:65" s="40" customFormat="1" ht="23.25" x14ac:dyDescent="0.35">
      <c r="A3080" s="37"/>
      <c r="B3080" s="37"/>
      <c r="C3080" s="41"/>
      <c r="D3080" s="38"/>
      <c r="E3080" s="57"/>
      <c r="F3080" s="42"/>
      <c r="G3080" s="43"/>
      <c r="H3080" s="37"/>
      <c r="I3080" s="37"/>
      <c r="J3080" s="38"/>
      <c r="K3080" s="37"/>
      <c r="L3080" s="38"/>
      <c r="M3080" s="39"/>
      <c r="P3080" s="37"/>
      <c r="Q3080" s="37"/>
      <c r="R3080" s="37"/>
      <c r="S3080" s="37"/>
      <c r="T3080" s="37"/>
      <c r="U3080" s="37"/>
      <c r="V3080" s="37"/>
      <c r="W3080" s="37"/>
      <c r="X3080" s="37"/>
      <c r="Y3080" s="37"/>
      <c r="Z3080" s="37"/>
      <c r="AA3080" s="37"/>
      <c r="AB3080" s="37"/>
      <c r="AC3080" s="37"/>
      <c r="AD3080" s="37"/>
      <c r="AE3080" s="37"/>
      <c r="AF3080" s="37"/>
      <c r="AG3080" s="37"/>
      <c r="AH3080" s="37"/>
      <c r="AI3080" s="37"/>
      <c r="AJ3080" s="37"/>
      <c r="AK3080" s="37"/>
      <c r="AL3080" s="37"/>
      <c r="AM3080" s="37"/>
      <c r="AN3080" s="37"/>
      <c r="AO3080" s="37"/>
      <c r="AP3080" s="37"/>
      <c r="AQ3080" s="37"/>
      <c r="AR3080" s="37"/>
      <c r="AS3080" s="37"/>
      <c r="AT3080" s="37"/>
      <c r="AU3080" s="37"/>
      <c r="AV3080" s="37"/>
      <c r="AW3080" s="37"/>
      <c r="AX3080" s="37"/>
      <c r="AY3080" s="37"/>
      <c r="AZ3080" s="37"/>
      <c r="BA3080" s="37"/>
      <c r="BB3080" s="37"/>
      <c r="BC3080" s="37"/>
      <c r="BD3080" s="37"/>
      <c r="BE3080" s="37"/>
      <c r="BF3080" s="37"/>
      <c r="BG3080" s="37"/>
      <c r="BH3080" s="37"/>
      <c r="BI3080" s="37"/>
      <c r="BJ3080" s="37"/>
      <c r="BK3080" s="37"/>
      <c r="BL3080" s="37"/>
      <c r="BM3080" s="37"/>
    </row>
    <row r="3081" spans="1:65" s="40" customFormat="1" ht="23.25" x14ac:dyDescent="0.35">
      <c r="A3081" s="37"/>
      <c r="B3081" s="37"/>
      <c r="C3081" s="41"/>
      <c r="D3081" s="38"/>
      <c r="E3081" s="57"/>
      <c r="F3081" s="42"/>
      <c r="G3081" s="43"/>
      <c r="H3081" s="37"/>
      <c r="I3081" s="37"/>
      <c r="J3081" s="38"/>
      <c r="K3081" s="37"/>
      <c r="L3081" s="38"/>
      <c r="M3081" s="39"/>
      <c r="P3081" s="37"/>
      <c r="Q3081" s="37"/>
      <c r="R3081" s="37"/>
      <c r="S3081" s="37"/>
      <c r="T3081" s="37"/>
      <c r="U3081" s="37"/>
      <c r="V3081" s="37"/>
      <c r="W3081" s="37"/>
      <c r="X3081" s="37"/>
      <c r="Y3081" s="37"/>
      <c r="Z3081" s="37"/>
      <c r="AA3081" s="37"/>
      <c r="AB3081" s="37"/>
      <c r="AC3081" s="37"/>
      <c r="AD3081" s="37"/>
      <c r="AE3081" s="37"/>
      <c r="AF3081" s="37"/>
      <c r="AG3081" s="37"/>
      <c r="AH3081" s="37"/>
      <c r="AI3081" s="37"/>
      <c r="AJ3081" s="37"/>
      <c r="AK3081" s="37"/>
      <c r="AL3081" s="37"/>
      <c r="AM3081" s="37"/>
      <c r="AN3081" s="37"/>
      <c r="AO3081" s="37"/>
      <c r="AP3081" s="37"/>
      <c r="AQ3081" s="37"/>
      <c r="AR3081" s="37"/>
      <c r="AS3081" s="37"/>
      <c r="AT3081" s="37"/>
      <c r="AU3081" s="37"/>
      <c r="AV3081" s="37"/>
      <c r="AW3081" s="37"/>
      <c r="AX3081" s="37"/>
      <c r="AY3081" s="37"/>
      <c r="AZ3081" s="37"/>
      <c r="BA3081" s="37"/>
      <c r="BB3081" s="37"/>
      <c r="BC3081" s="37"/>
      <c r="BD3081" s="37"/>
      <c r="BE3081" s="37"/>
      <c r="BF3081" s="37"/>
      <c r="BG3081" s="37"/>
      <c r="BH3081" s="37"/>
      <c r="BI3081" s="37"/>
      <c r="BJ3081" s="37"/>
      <c r="BK3081" s="37"/>
      <c r="BL3081" s="37"/>
      <c r="BM3081" s="37"/>
    </row>
    <row r="3082" spans="1:65" s="40" customFormat="1" ht="23.25" x14ac:dyDescent="0.35">
      <c r="A3082" s="37"/>
      <c r="B3082" s="37"/>
      <c r="C3082" s="41"/>
      <c r="D3082" s="38"/>
      <c r="E3082" s="57"/>
      <c r="F3082" s="42"/>
      <c r="G3082" s="43"/>
      <c r="H3082" s="37"/>
      <c r="I3082" s="37"/>
      <c r="J3082" s="38"/>
      <c r="K3082" s="37"/>
      <c r="L3082" s="38"/>
      <c r="M3082" s="39"/>
      <c r="P3082" s="37"/>
      <c r="Q3082" s="37"/>
      <c r="R3082" s="37"/>
      <c r="S3082" s="37"/>
      <c r="T3082" s="37"/>
      <c r="U3082" s="37"/>
      <c r="V3082" s="37"/>
      <c r="W3082" s="37"/>
      <c r="X3082" s="37"/>
      <c r="Y3082" s="37"/>
      <c r="Z3082" s="37"/>
      <c r="AA3082" s="37"/>
      <c r="AB3082" s="37"/>
      <c r="AC3082" s="37"/>
      <c r="AD3082" s="37"/>
      <c r="AE3082" s="37"/>
      <c r="AF3082" s="37"/>
      <c r="AG3082" s="37"/>
      <c r="AH3082" s="37"/>
      <c r="AI3082" s="37"/>
      <c r="AJ3082" s="37"/>
      <c r="AK3082" s="37"/>
      <c r="AL3082" s="37"/>
      <c r="AM3082" s="37"/>
      <c r="AN3082" s="37"/>
      <c r="AO3082" s="37"/>
      <c r="AP3082" s="37"/>
      <c r="AQ3082" s="37"/>
      <c r="AR3082" s="37"/>
      <c r="AS3082" s="37"/>
      <c r="AT3082" s="37"/>
      <c r="AU3082" s="37"/>
      <c r="AV3082" s="37"/>
      <c r="AW3082" s="37"/>
      <c r="AX3082" s="37"/>
      <c r="AY3082" s="37"/>
      <c r="AZ3082" s="37"/>
      <c r="BA3082" s="37"/>
      <c r="BB3082" s="37"/>
      <c r="BC3082" s="37"/>
      <c r="BD3082" s="37"/>
      <c r="BE3082" s="37"/>
      <c r="BF3082" s="37"/>
      <c r="BG3082" s="37"/>
      <c r="BH3082" s="37"/>
      <c r="BI3082" s="37"/>
      <c r="BJ3082" s="37"/>
      <c r="BK3082" s="37"/>
      <c r="BL3082" s="37"/>
      <c r="BM3082" s="37"/>
    </row>
    <row r="3083" spans="1:65" s="40" customFormat="1" ht="23.25" x14ac:dyDescent="0.35">
      <c r="A3083" s="37"/>
      <c r="B3083" s="37"/>
      <c r="C3083" s="41"/>
      <c r="D3083" s="38"/>
      <c r="E3083" s="57"/>
      <c r="F3083" s="42"/>
      <c r="G3083" s="43"/>
      <c r="H3083" s="37"/>
      <c r="I3083" s="37"/>
      <c r="J3083" s="38"/>
      <c r="K3083" s="37"/>
      <c r="L3083" s="38"/>
      <c r="M3083" s="39"/>
      <c r="P3083" s="37"/>
      <c r="Q3083" s="37"/>
      <c r="R3083" s="37"/>
      <c r="S3083" s="37"/>
      <c r="T3083" s="37"/>
      <c r="U3083" s="37"/>
      <c r="V3083" s="37"/>
      <c r="W3083" s="37"/>
      <c r="X3083" s="37"/>
      <c r="Y3083" s="37"/>
      <c r="Z3083" s="37"/>
      <c r="AA3083" s="37"/>
      <c r="AB3083" s="37"/>
      <c r="AC3083" s="37"/>
      <c r="AD3083" s="37"/>
      <c r="AE3083" s="37"/>
      <c r="AF3083" s="37"/>
      <c r="AG3083" s="37"/>
      <c r="AH3083" s="37"/>
      <c r="AI3083" s="37"/>
      <c r="AJ3083" s="37"/>
      <c r="AK3083" s="37"/>
      <c r="AL3083" s="37"/>
      <c r="AM3083" s="37"/>
      <c r="AN3083" s="37"/>
      <c r="AO3083" s="37"/>
      <c r="AP3083" s="37"/>
      <c r="AQ3083" s="37"/>
      <c r="AR3083" s="37"/>
      <c r="AS3083" s="37"/>
      <c r="AT3083" s="37"/>
      <c r="AU3083" s="37"/>
      <c r="AV3083" s="37"/>
      <c r="AW3083" s="37"/>
      <c r="AX3083" s="37"/>
      <c r="AY3083" s="37"/>
      <c r="AZ3083" s="37"/>
      <c r="BA3083" s="37"/>
      <c r="BB3083" s="37"/>
      <c r="BC3083" s="37"/>
      <c r="BD3083" s="37"/>
      <c r="BE3083" s="37"/>
      <c r="BF3083" s="37"/>
      <c r="BG3083" s="37"/>
      <c r="BH3083" s="37"/>
      <c r="BI3083" s="37"/>
      <c r="BJ3083" s="37"/>
      <c r="BK3083" s="37"/>
      <c r="BL3083" s="37"/>
      <c r="BM3083" s="37"/>
    </row>
    <row r="3084" spans="1:65" s="40" customFormat="1" ht="23.25" x14ac:dyDescent="0.35">
      <c r="A3084" s="37"/>
      <c r="B3084" s="37"/>
      <c r="C3084" s="41"/>
      <c r="D3084" s="38"/>
      <c r="E3084" s="57"/>
      <c r="F3084" s="42"/>
      <c r="G3084" s="43"/>
      <c r="H3084" s="37"/>
      <c r="I3084" s="37"/>
      <c r="J3084" s="38"/>
      <c r="K3084" s="37"/>
      <c r="L3084" s="38"/>
      <c r="M3084" s="39"/>
      <c r="P3084" s="37"/>
      <c r="Q3084" s="37"/>
      <c r="R3084" s="37"/>
      <c r="S3084" s="37"/>
      <c r="T3084" s="37"/>
      <c r="U3084" s="37"/>
      <c r="V3084" s="37"/>
      <c r="W3084" s="37"/>
      <c r="X3084" s="37"/>
      <c r="Y3084" s="37"/>
      <c r="Z3084" s="37"/>
      <c r="AA3084" s="37"/>
      <c r="AB3084" s="37"/>
      <c r="AC3084" s="37"/>
      <c r="AD3084" s="37"/>
      <c r="AE3084" s="37"/>
      <c r="AF3084" s="37"/>
      <c r="AG3084" s="37"/>
      <c r="AH3084" s="37"/>
      <c r="AI3084" s="37"/>
      <c r="AJ3084" s="37"/>
      <c r="AK3084" s="37"/>
      <c r="AL3084" s="37"/>
      <c r="AM3084" s="37"/>
      <c r="AN3084" s="37"/>
      <c r="AO3084" s="37"/>
      <c r="AP3084" s="37"/>
      <c r="AQ3084" s="37"/>
      <c r="AR3084" s="37"/>
      <c r="AS3084" s="37"/>
      <c r="AT3084" s="37"/>
      <c r="AU3084" s="37"/>
      <c r="AV3084" s="37"/>
      <c r="AW3084" s="37"/>
      <c r="AX3084" s="37"/>
      <c r="AY3084" s="37"/>
      <c r="AZ3084" s="37"/>
      <c r="BA3084" s="37"/>
      <c r="BB3084" s="37"/>
      <c r="BC3084" s="37"/>
      <c r="BD3084" s="37"/>
      <c r="BE3084" s="37"/>
      <c r="BF3084" s="37"/>
      <c r="BG3084" s="37"/>
      <c r="BH3084" s="37"/>
      <c r="BI3084" s="37"/>
      <c r="BJ3084" s="37"/>
      <c r="BK3084" s="37"/>
      <c r="BL3084" s="37"/>
      <c r="BM3084" s="37"/>
    </row>
    <row r="3085" spans="1:65" s="40" customFormat="1" ht="23.25" x14ac:dyDescent="0.35">
      <c r="A3085" s="37"/>
      <c r="B3085" s="37"/>
      <c r="C3085" s="41"/>
      <c r="D3085" s="38"/>
      <c r="E3085" s="57"/>
      <c r="F3085" s="42"/>
      <c r="G3085" s="43"/>
      <c r="H3085" s="37"/>
      <c r="I3085" s="37"/>
      <c r="J3085" s="38"/>
      <c r="K3085" s="37"/>
      <c r="L3085" s="38"/>
      <c r="M3085" s="39"/>
      <c r="P3085" s="37"/>
      <c r="Q3085" s="37"/>
      <c r="R3085" s="37"/>
      <c r="S3085" s="37"/>
      <c r="T3085" s="37"/>
      <c r="U3085" s="37"/>
      <c r="V3085" s="37"/>
      <c r="W3085" s="37"/>
      <c r="X3085" s="37"/>
      <c r="Y3085" s="37"/>
      <c r="Z3085" s="37"/>
      <c r="AA3085" s="37"/>
      <c r="AB3085" s="37"/>
      <c r="AC3085" s="37"/>
      <c r="AD3085" s="37"/>
      <c r="AE3085" s="37"/>
      <c r="AF3085" s="37"/>
      <c r="AG3085" s="37"/>
      <c r="AH3085" s="37"/>
      <c r="AI3085" s="37"/>
      <c r="AJ3085" s="37"/>
      <c r="AK3085" s="37"/>
      <c r="AL3085" s="37"/>
      <c r="AM3085" s="37"/>
      <c r="AN3085" s="37"/>
      <c r="AO3085" s="37"/>
      <c r="AP3085" s="37"/>
      <c r="AQ3085" s="37"/>
      <c r="AR3085" s="37"/>
      <c r="AS3085" s="37"/>
      <c r="AT3085" s="37"/>
      <c r="AU3085" s="37"/>
      <c r="AV3085" s="37"/>
      <c r="AW3085" s="37"/>
      <c r="AX3085" s="37"/>
      <c r="AY3085" s="37"/>
      <c r="AZ3085" s="37"/>
      <c r="BA3085" s="37"/>
      <c r="BB3085" s="37"/>
      <c r="BC3085" s="37"/>
      <c r="BD3085" s="37"/>
      <c r="BE3085" s="37"/>
      <c r="BF3085" s="37"/>
      <c r="BG3085" s="37"/>
      <c r="BH3085" s="37"/>
      <c r="BI3085" s="37"/>
      <c r="BJ3085" s="37"/>
      <c r="BK3085" s="37"/>
      <c r="BL3085" s="37"/>
      <c r="BM3085" s="37"/>
    </row>
    <row r="3086" spans="1:65" s="40" customFormat="1" ht="23.25" x14ac:dyDescent="0.35">
      <c r="A3086" s="37"/>
      <c r="B3086" s="37"/>
      <c r="C3086" s="41"/>
      <c r="D3086" s="38"/>
      <c r="E3086" s="57"/>
      <c r="F3086" s="42"/>
      <c r="G3086" s="43"/>
      <c r="H3086" s="37"/>
      <c r="I3086" s="37"/>
      <c r="J3086" s="38"/>
      <c r="K3086" s="37"/>
      <c r="L3086" s="38"/>
      <c r="M3086" s="39"/>
      <c r="P3086" s="37"/>
      <c r="Q3086" s="37"/>
      <c r="R3086" s="37"/>
      <c r="S3086" s="37"/>
      <c r="T3086" s="37"/>
      <c r="U3086" s="37"/>
      <c r="V3086" s="37"/>
      <c r="W3086" s="37"/>
      <c r="X3086" s="37"/>
      <c r="Y3086" s="37"/>
      <c r="Z3086" s="37"/>
      <c r="AA3086" s="37"/>
      <c r="AB3086" s="37"/>
      <c r="AC3086" s="37"/>
      <c r="AD3086" s="37"/>
      <c r="AE3086" s="37"/>
      <c r="AF3086" s="37"/>
      <c r="AG3086" s="37"/>
      <c r="AH3086" s="37"/>
      <c r="AI3086" s="37"/>
      <c r="AJ3086" s="37"/>
      <c r="AK3086" s="37"/>
      <c r="AL3086" s="37"/>
      <c r="AM3086" s="37"/>
      <c r="AN3086" s="37"/>
      <c r="AO3086" s="37"/>
      <c r="AP3086" s="37"/>
      <c r="AQ3086" s="37"/>
      <c r="AR3086" s="37"/>
      <c r="AS3086" s="37"/>
      <c r="AT3086" s="37"/>
      <c r="AU3086" s="37"/>
      <c r="AV3086" s="37"/>
      <c r="AW3086" s="37"/>
      <c r="AX3086" s="37"/>
      <c r="AY3086" s="37"/>
      <c r="AZ3086" s="37"/>
      <c r="BA3086" s="37"/>
      <c r="BB3086" s="37"/>
      <c r="BC3086" s="37"/>
      <c r="BD3086" s="37"/>
      <c r="BE3086" s="37"/>
      <c r="BF3086" s="37"/>
      <c r="BG3086" s="37"/>
      <c r="BH3086" s="37"/>
      <c r="BI3086" s="37"/>
      <c r="BJ3086" s="37"/>
      <c r="BK3086" s="37"/>
      <c r="BL3086" s="37"/>
      <c r="BM3086" s="37"/>
    </row>
    <row r="3087" spans="1:65" s="40" customFormat="1" ht="23.25" x14ac:dyDescent="0.35">
      <c r="A3087" s="37"/>
      <c r="B3087" s="37"/>
      <c r="C3087" s="41"/>
      <c r="D3087" s="38"/>
      <c r="E3087" s="57"/>
      <c r="F3087" s="42"/>
      <c r="G3087" s="43"/>
      <c r="H3087" s="37"/>
      <c r="I3087" s="37"/>
      <c r="J3087" s="38"/>
      <c r="K3087" s="37"/>
      <c r="L3087" s="38"/>
      <c r="M3087" s="39"/>
      <c r="P3087" s="37"/>
      <c r="Q3087" s="37"/>
      <c r="R3087" s="37"/>
      <c r="S3087" s="37"/>
      <c r="T3087" s="37"/>
      <c r="U3087" s="37"/>
      <c r="V3087" s="37"/>
      <c r="W3087" s="37"/>
      <c r="X3087" s="37"/>
      <c r="Y3087" s="37"/>
      <c r="Z3087" s="37"/>
      <c r="AA3087" s="37"/>
      <c r="AB3087" s="37"/>
      <c r="AC3087" s="37"/>
      <c r="AD3087" s="37"/>
      <c r="AE3087" s="37"/>
      <c r="AF3087" s="37"/>
      <c r="AG3087" s="37"/>
      <c r="AH3087" s="37"/>
      <c r="AI3087" s="37"/>
      <c r="AJ3087" s="37"/>
      <c r="AK3087" s="37"/>
      <c r="AL3087" s="37"/>
      <c r="AM3087" s="37"/>
      <c r="AN3087" s="37"/>
      <c r="AO3087" s="37"/>
      <c r="AP3087" s="37"/>
      <c r="AQ3087" s="37"/>
      <c r="AR3087" s="37"/>
      <c r="AS3087" s="37"/>
      <c r="AT3087" s="37"/>
      <c r="AU3087" s="37"/>
      <c r="AV3087" s="37"/>
      <c r="AW3087" s="37"/>
      <c r="AX3087" s="37"/>
      <c r="AY3087" s="37"/>
      <c r="AZ3087" s="37"/>
      <c r="BA3087" s="37"/>
      <c r="BB3087" s="37"/>
      <c r="BC3087" s="37"/>
      <c r="BD3087" s="37"/>
      <c r="BE3087" s="37"/>
      <c r="BF3087" s="37"/>
      <c r="BG3087" s="37"/>
      <c r="BH3087" s="37"/>
      <c r="BI3087" s="37"/>
      <c r="BJ3087" s="37"/>
      <c r="BK3087" s="37"/>
      <c r="BL3087" s="37"/>
      <c r="BM3087" s="37"/>
    </row>
    <row r="3088" spans="1:65" s="40" customFormat="1" ht="23.25" x14ac:dyDescent="0.35">
      <c r="A3088" s="37"/>
      <c r="B3088" s="37"/>
      <c r="C3088" s="41"/>
      <c r="D3088" s="38"/>
      <c r="E3088" s="57"/>
      <c r="F3088" s="42"/>
      <c r="G3088" s="43"/>
      <c r="H3088" s="37"/>
      <c r="I3088" s="37"/>
      <c r="J3088" s="38"/>
      <c r="K3088" s="37"/>
      <c r="L3088" s="38"/>
      <c r="M3088" s="39"/>
      <c r="P3088" s="37"/>
      <c r="Q3088" s="37"/>
      <c r="R3088" s="37"/>
      <c r="S3088" s="37"/>
      <c r="T3088" s="37"/>
      <c r="U3088" s="37"/>
      <c r="V3088" s="37"/>
      <c r="W3088" s="37"/>
      <c r="X3088" s="37"/>
      <c r="Y3088" s="37"/>
      <c r="Z3088" s="37"/>
      <c r="AA3088" s="37"/>
      <c r="AB3088" s="37"/>
      <c r="AC3088" s="37"/>
      <c r="AD3088" s="37"/>
      <c r="AE3088" s="37"/>
      <c r="AF3088" s="37"/>
      <c r="AG3088" s="37"/>
      <c r="AH3088" s="37"/>
      <c r="AI3088" s="37"/>
      <c r="AJ3088" s="37"/>
      <c r="AK3088" s="37"/>
      <c r="AL3088" s="37"/>
      <c r="AM3088" s="37"/>
      <c r="AN3088" s="37"/>
      <c r="AO3088" s="37"/>
      <c r="AP3088" s="37"/>
      <c r="AQ3088" s="37"/>
      <c r="AR3088" s="37"/>
      <c r="AS3088" s="37"/>
      <c r="AT3088" s="37"/>
      <c r="AU3088" s="37"/>
      <c r="AV3088" s="37"/>
      <c r="AW3088" s="37"/>
      <c r="AX3088" s="37"/>
      <c r="AY3088" s="37"/>
      <c r="AZ3088" s="37"/>
      <c r="BA3088" s="37"/>
      <c r="BB3088" s="37"/>
      <c r="BC3088" s="37"/>
      <c r="BD3088" s="37"/>
      <c r="BE3088" s="37"/>
      <c r="BF3088" s="37"/>
      <c r="BG3088" s="37"/>
      <c r="BH3088" s="37"/>
      <c r="BI3088" s="37"/>
      <c r="BJ3088" s="37"/>
      <c r="BK3088" s="37"/>
      <c r="BL3088" s="37"/>
      <c r="BM3088" s="37"/>
    </row>
    <row r="3089" spans="1:65" s="40" customFormat="1" ht="23.25" x14ac:dyDescent="0.35">
      <c r="A3089" s="37"/>
      <c r="B3089" s="37"/>
      <c r="C3089" s="41"/>
      <c r="D3089" s="38"/>
      <c r="E3089" s="57"/>
      <c r="F3089" s="42"/>
      <c r="G3089" s="43"/>
      <c r="H3089" s="37"/>
      <c r="I3089" s="37"/>
      <c r="J3089" s="38"/>
      <c r="K3089" s="37"/>
      <c r="L3089" s="38"/>
      <c r="M3089" s="39"/>
      <c r="P3089" s="37"/>
      <c r="Q3089" s="37"/>
      <c r="R3089" s="37"/>
      <c r="S3089" s="37"/>
      <c r="T3089" s="37"/>
      <c r="U3089" s="37"/>
      <c r="V3089" s="37"/>
      <c r="W3089" s="37"/>
      <c r="X3089" s="37"/>
      <c r="Y3089" s="37"/>
      <c r="Z3089" s="37"/>
      <c r="AA3089" s="37"/>
      <c r="AB3089" s="37"/>
      <c r="AC3089" s="37"/>
      <c r="AD3089" s="37"/>
      <c r="AE3089" s="37"/>
      <c r="AF3089" s="37"/>
      <c r="AG3089" s="37"/>
      <c r="AH3089" s="37"/>
      <c r="AI3089" s="37"/>
      <c r="AJ3089" s="37"/>
      <c r="AK3089" s="37"/>
      <c r="AL3089" s="37"/>
      <c r="AM3089" s="37"/>
      <c r="AN3089" s="37"/>
      <c r="AO3089" s="37"/>
      <c r="AP3089" s="37"/>
      <c r="AQ3089" s="37"/>
      <c r="AR3089" s="37"/>
      <c r="AS3089" s="37"/>
      <c r="AT3089" s="37"/>
      <c r="AU3089" s="37"/>
      <c r="AV3089" s="37"/>
      <c r="AW3089" s="37"/>
      <c r="AX3089" s="37"/>
      <c r="AY3089" s="37"/>
      <c r="AZ3089" s="37"/>
      <c r="BA3089" s="37"/>
      <c r="BB3089" s="37"/>
      <c r="BC3089" s="37"/>
      <c r="BD3089" s="37"/>
      <c r="BE3089" s="37"/>
      <c r="BF3089" s="37"/>
      <c r="BG3089" s="37"/>
      <c r="BH3089" s="37"/>
      <c r="BI3089" s="37"/>
      <c r="BJ3089" s="37"/>
      <c r="BK3089" s="37"/>
      <c r="BL3089" s="37"/>
      <c r="BM3089" s="37"/>
    </row>
    <row r="3090" spans="1:65" s="40" customFormat="1" ht="23.25" x14ac:dyDescent="0.35">
      <c r="A3090" s="37"/>
      <c r="B3090" s="37"/>
      <c r="C3090" s="41"/>
      <c r="D3090" s="38"/>
      <c r="E3090" s="57"/>
      <c r="F3090" s="42"/>
      <c r="G3090" s="43"/>
      <c r="H3090" s="37"/>
      <c r="I3090" s="37"/>
      <c r="J3090" s="38"/>
      <c r="K3090" s="37"/>
      <c r="L3090" s="38"/>
      <c r="M3090" s="39"/>
      <c r="P3090" s="37"/>
      <c r="Q3090" s="37"/>
      <c r="R3090" s="37"/>
      <c r="S3090" s="37"/>
      <c r="T3090" s="37"/>
      <c r="U3090" s="37"/>
      <c r="V3090" s="37"/>
      <c r="W3090" s="37"/>
      <c r="X3090" s="37"/>
      <c r="Y3090" s="37"/>
      <c r="Z3090" s="37"/>
      <c r="AA3090" s="37"/>
      <c r="AB3090" s="37"/>
      <c r="AC3090" s="37"/>
      <c r="AD3090" s="37"/>
      <c r="AE3090" s="37"/>
      <c r="AF3090" s="37"/>
      <c r="AG3090" s="37"/>
      <c r="AH3090" s="37"/>
      <c r="AI3090" s="37"/>
      <c r="AJ3090" s="37"/>
      <c r="AK3090" s="37"/>
      <c r="AL3090" s="37"/>
      <c r="AM3090" s="37"/>
      <c r="AN3090" s="37"/>
      <c r="AO3090" s="37"/>
      <c r="AP3090" s="37"/>
      <c r="AQ3090" s="37"/>
      <c r="AR3090" s="37"/>
      <c r="AS3090" s="37"/>
      <c r="AT3090" s="37"/>
      <c r="AU3090" s="37"/>
      <c r="AV3090" s="37"/>
      <c r="AW3090" s="37"/>
      <c r="AX3090" s="37"/>
      <c r="AY3090" s="37"/>
      <c r="AZ3090" s="37"/>
      <c r="BA3090" s="37"/>
      <c r="BB3090" s="37"/>
      <c r="BC3090" s="37"/>
      <c r="BD3090" s="37"/>
      <c r="BE3090" s="37"/>
      <c r="BF3090" s="37"/>
      <c r="BG3090" s="37"/>
      <c r="BH3090" s="37"/>
      <c r="BI3090" s="37"/>
      <c r="BJ3090" s="37"/>
      <c r="BK3090" s="37"/>
      <c r="BL3090" s="37"/>
      <c r="BM3090" s="37"/>
    </row>
    <row r="3091" spans="1:65" s="40" customFormat="1" ht="23.25" x14ac:dyDescent="0.35">
      <c r="A3091" s="37"/>
      <c r="B3091" s="37"/>
      <c r="C3091" s="41"/>
      <c r="D3091" s="38"/>
      <c r="E3091" s="57"/>
      <c r="F3091" s="42"/>
      <c r="G3091" s="43"/>
      <c r="H3091" s="37"/>
      <c r="I3091" s="37"/>
      <c r="J3091" s="38"/>
      <c r="K3091" s="37"/>
      <c r="L3091" s="38"/>
      <c r="M3091" s="39"/>
      <c r="P3091" s="37"/>
      <c r="Q3091" s="37"/>
      <c r="R3091" s="37"/>
      <c r="S3091" s="37"/>
      <c r="T3091" s="37"/>
      <c r="U3091" s="37"/>
      <c r="V3091" s="37"/>
      <c r="W3091" s="37"/>
      <c r="X3091" s="37"/>
      <c r="Y3091" s="37"/>
      <c r="Z3091" s="37"/>
      <c r="AA3091" s="37"/>
      <c r="AB3091" s="37"/>
      <c r="AC3091" s="37"/>
      <c r="AD3091" s="37"/>
      <c r="AE3091" s="37"/>
      <c r="AF3091" s="37"/>
      <c r="AG3091" s="37"/>
      <c r="AH3091" s="37"/>
      <c r="AI3091" s="37"/>
      <c r="AJ3091" s="37"/>
      <c r="AK3091" s="37"/>
      <c r="AL3091" s="37"/>
      <c r="AM3091" s="37"/>
      <c r="AN3091" s="37"/>
      <c r="AO3091" s="37"/>
      <c r="AP3091" s="37"/>
      <c r="AQ3091" s="37"/>
      <c r="AR3091" s="37"/>
      <c r="AS3091" s="37"/>
      <c r="AT3091" s="37"/>
      <c r="AU3091" s="37"/>
      <c r="AV3091" s="37"/>
      <c r="AW3091" s="37"/>
      <c r="AX3091" s="37"/>
      <c r="AY3091" s="37"/>
      <c r="AZ3091" s="37"/>
      <c r="BA3091" s="37"/>
      <c r="BB3091" s="37"/>
      <c r="BC3091" s="37"/>
      <c r="BD3091" s="37"/>
      <c r="BE3091" s="37"/>
      <c r="BF3091" s="37"/>
      <c r="BG3091" s="37"/>
      <c r="BH3091" s="37"/>
      <c r="BI3091" s="37"/>
      <c r="BJ3091" s="37"/>
      <c r="BK3091" s="37"/>
      <c r="BL3091" s="37"/>
      <c r="BM3091" s="37"/>
    </row>
    <row r="3092" spans="1:65" s="40" customFormat="1" ht="23.25" x14ac:dyDescent="0.35">
      <c r="A3092" s="37"/>
      <c r="B3092" s="37"/>
      <c r="C3092" s="41"/>
      <c r="D3092" s="38"/>
      <c r="E3092" s="57"/>
      <c r="F3092" s="42"/>
      <c r="G3092" s="43"/>
      <c r="H3092" s="37"/>
      <c r="I3092" s="37"/>
      <c r="J3092" s="38"/>
      <c r="K3092" s="37"/>
      <c r="L3092" s="38"/>
      <c r="M3092" s="39"/>
      <c r="P3092" s="37"/>
      <c r="Q3092" s="37"/>
      <c r="R3092" s="37"/>
      <c r="S3092" s="37"/>
      <c r="T3092" s="37"/>
      <c r="U3092" s="37"/>
      <c r="V3092" s="37"/>
      <c r="W3092" s="37"/>
      <c r="X3092" s="37"/>
      <c r="Y3092" s="37"/>
      <c r="Z3092" s="37"/>
      <c r="AA3092" s="37"/>
      <c r="AB3092" s="37"/>
      <c r="AC3092" s="37"/>
      <c r="AD3092" s="37"/>
      <c r="AE3092" s="37"/>
      <c r="AF3092" s="37"/>
      <c r="AG3092" s="37"/>
      <c r="AH3092" s="37"/>
      <c r="AI3092" s="37"/>
      <c r="AJ3092" s="37"/>
      <c r="AK3092" s="37"/>
      <c r="AL3092" s="37"/>
      <c r="AM3092" s="37"/>
      <c r="AN3092" s="37"/>
      <c r="AO3092" s="37"/>
      <c r="AP3092" s="37"/>
      <c r="AQ3092" s="37"/>
      <c r="AR3092" s="37"/>
      <c r="AS3092" s="37"/>
      <c r="AT3092" s="37"/>
      <c r="AU3092" s="37"/>
      <c r="AV3092" s="37"/>
      <c r="AW3092" s="37"/>
      <c r="AX3092" s="37"/>
      <c r="AY3092" s="37"/>
      <c r="AZ3092" s="37"/>
      <c r="BA3092" s="37"/>
      <c r="BB3092" s="37"/>
      <c r="BC3092" s="37"/>
      <c r="BD3092" s="37"/>
      <c r="BE3092" s="37"/>
      <c r="BF3092" s="37"/>
      <c r="BG3092" s="37"/>
      <c r="BH3092" s="37"/>
      <c r="BI3092" s="37"/>
      <c r="BJ3092" s="37"/>
      <c r="BK3092" s="37"/>
      <c r="BL3092" s="37"/>
      <c r="BM3092" s="37"/>
    </row>
    <row r="3093" spans="1:65" s="40" customFormat="1" ht="23.25" x14ac:dyDescent="0.35">
      <c r="A3093" s="37"/>
      <c r="B3093" s="37"/>
      <c r="C3093" s="41"/>
      <c r="D3093" s="38"/>
      <c r="E3093" s="57"/>
      <c r="F3093" s="42"/>
      <c r="G3093" s="43"/>
      <c r="H3093" s="37"/>
      <c r="I3093" s="37"/>
      <c r="J3093" s="38"/>
      <c r="K3093" s="37"/>
      <c r="L3093" s="38"/>
      <c r="M3093" s="39"/>
      <c r="P3093" s="37"/>
      <c r="Q3093" s="37"/>
      <c r="R3093" s="37"/>
      <c r="S3093" s="37"/>
      <c r="T3093" s="37"/>
      <c r="U3093" s="37"/>
      <c r="V3093" s="37"/>
      <c r="W3093" s="37"/>
      <c r="X3093" s="37"/>
      <c r="Y3093" s="37"/>
      <c r="Z3093" s="37"/>
      <c r="AA3093" s="37"/>
      <c r="AB3093" s="37"/>
      <c r="AC3093" s="37"/>
      <c r="AD3093" s="37"/>
      <c r="AE3093" s="37"/>
      <c r="AF3093" s="37"/>
      <c r="AG3093" s="37"/>
      <c r="AH3093" s="37"/>
      <c r="AI3093" s="37"/>
      <c r="AJ3093" s="37"/>
      <c r="AK3093" s="37"/>
      <c r="AL3093" s="37"/>
      <c r="AM3093" s="37"/>
      <c r="AN3093" s="37"/>
      <c r="AO3093" s="37"/>
      <c r="AP3093" s="37"/>
      <c r="AQ3093" s="37"/>
      <c r="AR3093" s="37"/>
      <c r="AS3093" s="37"/>
      <c r="AT3093" s="37"/>
      <c r="AU3093" s="37"/>
      <c r="AV3093" s="37"/>
      <c r="AW3093" s="37"/>
      <c r="AX3093" s="37"/>
      <c r="AY3093" s="37"/>
      <c r="AZ3093" s="37"/>
      <c r="BA3093" s="37"/>
      <c r="BB3093" s="37"/>
      <c r="BC3093" s="37"/>
      <c r="BD3093" s="37"/>
      <c r="BE3093" s="37"/>
      <c r="BF3093" s="37"/>
      <c r="BG3093" s="37"/>
      <c r="BH3093" s="37"/>
      <c r="BI3093" s="37"/>
      <c r="BJ3093" s="37"/>
      <c r="BK3093" s="37"/>
      <c r="BL3093" s="37"/>
      <c r="BM3093" s="37"/>
    </row>
    <row r="3094" spans="1:65" s="40" customFormat="1" ht="23.25" x14ac:dyDescent="0.35">
      <c r="A3094" s="37"/>
      <c r="B3094" s="37"/>
      <c r="C3094" s="41"/>
      <c r="D3094" s="38"/>
      <c r="E3094" s="57"/>
      <c r="F3094" s="42"/>
      <c r="G3094" s="43"/>
      <c r="H3094" s="37"/>
      <c r="I3094" s="37"/>
      <c r="J3094" s="38"/>
      <c r="K3094" s="37"/>
      <c r="L3094" s="38"/>
      <c r="M3094" s="39"/>
      <c r="P3094" s="37"/>
      <c r="Q3094" s="37"/>
      <c r="R3094" s="37"/>
      <c r="S3094" s="37"/>
      <c r="T3094" s="37"/>
      <c r="U3094" s="37"/>
      <c r="V3094" s="37"/>
      <c r="W3094" s="37"/>
      <c r="X3094" s="37"/>
      <c r="Y3094" s="37"/>
      <c r="Z3094" s="37"/>
      <c r="AA3094" s="37"/>
      <c r="AB3094" s="37"/>
      <c r="AC3094" s="37"/>
      <c r="AD3094" s="37"/>
      <c r="AE3094" s="37"/>
      <c r="AF3094" s="37"/>
      <c r="AG3094" s="37"/>
      <c r="AH3094" s="37"/>
      <c r="AI3094" s="37"/>
      <c r="AJ3094" s="37"/>
      <c r="AK3094" s="37"/>
      <c r="AL3094" s="37"/>
      <c r="AM3094" s="37"/>
      <c r="AN3094" s="37"/>
      <c r="AO3094" s="37"/>
      <c r="AP3094" s="37"/>
      <c r="AQ3094" s="37"/>
      <c r="AR3094" s="37"/>
      <c r="AS3094" s="37"/>
      <c r="AT3094" s="37"/>
      <c r="AU3094" s="37"/>
      <c r="AV3094" s="37"/>
      <c r="AW3094" s="37"/>
      <c r="AX3094" s="37"/>
      <c r="AY3094" s="37"/>
      <c r="AZ3094" s="37"/>
      <c r="BA3094" s="37"/>
      <c r="BB3094" s="37"/>
      <c r="BC3094" s="37"/>
      <c r="BD3094" s="37"/>
      <c r="BE3094" s="37"/>
      <c r="BF3094" s="37"/>
      <c r="BG3094" s="37"/>
      <c r="BH3094" s="37"/>
      <c r="BI3094" s="37"/>
      <c r="BJ3094" s="37"/>
      <c r="BK3094" s="37"/>
      <c r="BL3094" s="37"/>
      <c r="BM3094" s="37"/>
    </row>
    <row r="3095" spans="1:65" s="40" customFormat="1" ht="23.25" x14ac:dyDescent="0.35">
      <c r="A3095" s="37"/>
      <c r="B3095" s="37"/>
      <c r="C3095" s="41"/>
      <c r="D3095" s="38"/>
      <c r="E3095" s="57"/>
      <c r="F3095" s="42"/>
      <c r="G3095" s="43"/>
      <c r="H3095" s="37"/>
      <c r="I3095" s="37"/>
      <c r="J3095" s="38"/>
      <c r="K3095" s="37"/>
      <c r="L3095" s="38"/>
      <c r="M3095" s="39"/>
      <c r="P3095" s="37"/>
      <c r="Q3095" s="37"/>
      <c r="R3095" s="37"/>
      <c r="S3095" s="37"/>
      <c r="T3095" s="37"/>
      <c r="U3095" s="37"/>
      <c r="V3095" s="37"/>
      <c r="W3095" s="37"/>
      <c r="X3095" s="37"/>
      <c r="Y3095" s="37"/>
      <c r="Z3095" s="37"/>
      <c r="AA3095" s="37"/>
      <c r="AB3095" s="37"/>
      <c r="AC3095" s="37"/>
      <c r="AD3095" s="37"/>
      <c r="AE3095" s="37"/>
      <c r="AF3095" s="37"/>
      <c r="AG3095" s="37"/>
      <c r="AH3095" s="37"/>
      <c r="AI3095" s="37"/>
      <c r="AJ3095" s="37"/>
      <c r="AK3095" s="37"/>
      <c r="AL3095" s="37"/>
      <c r="AM3095" s="37"/>
      <c r="AN3095" s="37"/>
      <c r="AO3095" s="37"/>
      <c r="AP3095" s="37"/>
      <c r="AQ3095" s="37"/>
      <c r="AR3095" s="37"/>
      <c r="AS3095" s="37"/>
      <c r="AT3095" s="37"/>
      <c r="AU3095" s="37"/>
      <c r="AV3095" s="37"/>
      <c r="AW3095" s="37"/>
      <c r="AX3095" s="37"/>
      <c r="AY3095" s="37"/>
      <c r="AZ3095" s="37"/>
      <c r="BA3095" s="37"/>
      <c r="BB3095" s="37"/>
      <c r="BC3095" s="37"/>
      <c r="BD3095" s="37"/>
      <c r="BE3095" s="37"/>
      <c r="BF3095" s="37"/>
      <c r="BG3095" s="37"/>
      <c r="BH3095" s="37"/>
      <c r="BI3095" s="37"/>
      <c r="BJ3095" s="37"/>
      <c r="BK3095" s="37"/>
      <c r="BL3095" s="37"/>
      <c r="BM3095" s="37"/>
    </row>
    <row r="3096" spans="1:65" s="40" customFormat="1" ht="23.25" x14ac:dyDescent="0.35">
      <c r="A3096" s="37"/>
      <c r="B3096" s="37"/>
      <c r="C3096" s="41"/>
      <c r="D3096" s="38"/>
      <c r="E3096" s="57"/>
      <c r="F3096" s="42"/>
      <c r="G3096" s="43"/>
      <c r="H3096" s="37"/>
      <c r="I3096" s="37"/>
      <c r="J3096" s="38"/>
      <c r="K3096" s="37"/>
      <c r="L3096" s="38"/>
      <c r="M3096" s="39"/>
      <c r="P3096" s="37"/>
      <c r="Q3096" s="37"/>
      <c r="R3096" s="37"/>
      <c r="S3096" s="37"/>
      <c r="T3096" s="37"/>
      <c r="U3096" s="37"/>
      <c r="V3096" s="37"/>
      <c r="W3096" s="37"/>
      <c r="X3096" s="37"/>
      <c r="Y3096" s="37"/>
      <c r="Z3096" s="37"/>
      <c r="AA3096" s="37"/>
      <c r="AB3096" s="37"/>
      <c r="AC3096" s="37"/>
      <c r="AD3096" s="37"/>
      <c r="AE3096" s="37"/>
      <c r="AF3096" s="37"/>
      <c r="AG3096" s="37"/>
      <c r="AH3096" s="37"/>
      <c r="AI3096" s="37"/>
      <c r="AJ3096" s="37"/>
      <c r="AK3096" s="37"/>
      <c r="AL3096" s="37"/>
      <c r="AM3096" s="37"/>
      <c r="AN3096" s="37"/>
      <c r="AO3096" s="37"/>
      <c r="AP3096" s="37"/>
      <c r="AQ3096" s="37"/>
      <c r="AR3096" s="37"/>
      <c r="AS3096" s="37"/>
      <c r="AT3096" s="37"/>
      <c r="AU3096" s="37"/>
      <c r="AV3096" s="37"/>
      <c r="AW3096" s="37"/>
      <c r="AX3096" s="37"/>
      <c r="AY3096" s="37"/>
      <c r="AZ3096" s="37"/>
      <c r="BA3096" s="37"/>
      <c r="BB3096" s="37"/>
      <c r="BC3096" s="37"/>
      <c r="BD3096" s="37"/>
      <c r="BE3096" s="37"/>
      <c r="BF3096" s="37"/>
      <c r="BG3096" s="37"/>
      <c r="BH3096" s="37"/>
      <c r="BI3096" s="37"/>
      <c r="BJ3096" s="37"/>
      <c r="BK3096" s="37"/>
      <c r="BL3096" s="37"/>
      <c r="BM3096" s="37"/>
    </row>
    <row r="3097" spans="1:65" s="40" customFormat="1" ht="23.25" x14ac:dyDescent="0.35">
      <c r="A3097" s="37"/>
      <c r="B3097" s="37"/>
      <c r="C3097" s="41"/>
      <c r="D3097" s="38"/>
      <c r="E3097" s="57"/>
      <c r="F3097" s="42"/>
      <c r="G3097" s="43"/>
      <c r="H3097" s="37"/>
      <c r="I3097" s="37"/>
      <c r="J3097" s="38"/>
      <c r="K3097" s="37"/>
      <c r="L3097" s="38"/>
      <c r="M3097" s="39"/>
      <c r="P3097" s="37"/>
      <c r="Q3097" s="37"/>
      <c r="R3097" s="37"/>
      <c r="S3097" s="37"/>
      <c r="T3097" s="37"/>
      <c r="U3097" s="37"/>
      <c r="V3097" s="37"/>
      <c r="W3097" s="37"/>
      <c r="X3097" s="37"/>
      <c r="Y3097" s="37"/>
      <c r="Z3097" s="37"/>
      <c r="AA3097" s="37"/>
      <c r="AB3097" s="37"/>
      <c r="AC3097" s="37"/>
      <c r="AD3097" s="37"/>
      <c r="AE3097" s="37"/>
      <c r="AF3097" s="37"/>
      <c r="AG3097" s="37"/>
      <c r="AH3097" s="37"/>
      <c r="AI3097" s="37"/>
      <c r="AJ3097" s="37"/>
      <c r="AK3097" s="37"/>
      <c r="AL3097" s="37"/>
      <c r="AM3097" s="37"/>
      <c r="AN3097" s="37"/>
      <c r="AO3097" s="37"/>
      <c r="AP3097" s="37"/>
      <c r="AQ3097" s="37"/>
      <c r="AR3097" s="37"/>
      <c r="AS3097" s="37"/>
      <c r="AT3097" s="37"/>
      <c r="AU3097" s="37"/>
      <c r="AV3097" s="37"/>
      <c r="AW3097" s="37"/>
      <c r="AX3097" s="37"/>
      <c r="AY3097" s="37"/>
      <c r="AZ3097" s="37"/>
      <c r="BA3097" s="37"/>
      <c r="BB3097" s="37"/>
      <c r="BC3097" s="37"/>
      <c r="BD3097" s="37"/>
      <c r="BE3097" s="37"/>
      <c r="BF3097" s="37"/>
      <c r="BG3097" s="37"/>
      <c r="BH3097" s="37"/>
      <c r="BI3097" s="37"/>
      <c r="BJ3097" s="37"/>
      <c r="BK3097" s="37"/>
      <c r="BL3097" s="37"/>
      <c r="BM3097" s="37"/>
    </row>
    <row r="3098" spans="1:65" s="40" customFormat="1" ht="23.25" x14ac:dyDescent="0.35">
      <c r="A3098" s="37"/>
      <c r="B3098" s="37"/>
      <c r="C3098" s="41"/>
      <c r="D3098" s="38"/>
      <c r="E3098" s="57"/>
      <c r="F3098" s="42"/>
      <c r="G3098" s="43"/>
      <c r="H3098" s="37"/>
      <c r="I3098" s="37"/>
      <c r="J3098" s="38"/>
      <c r="K3098" s="37"/>
      <c r="L3098" s="38"/>
      <c r="M3098" s="39"/>
      <c r="P3098" s="37"/>
      <c r="Q3098" s="37"/>
      <c r="R3098" s="37"/>
      <c r="S3098" s="37"/>
      <c r="T3098" s="37"/>
      <c r="U3098" s="37"/>
      <c r="V3098" s="37"/>
      <c r="W3098" s="37"/>
      <c r="X3098" s="37"/>
      <c r="Y3098" s="37"/>
      <c r="Z3098" s="37"/>
      <c r="AA3098" s="37"/>
      <c r="AB3098" s="37"/>
      <c r="AC3098" s="37"/>
      <c r="AD3098" s="37"/>
      <c r="AE3098" s="37"/>
      <c r="AF3098" s="37"/>
      <c r="AG3098" s="37"/>
      <c r="AH3098" s="37"/>
      <c r="AI3098" s="37"/>
      <c r="AJ3098" s="37"/>
      <c r="AK3098" s="37"/>
      <c r="AL3098" s="37"/>
      <c r="AM3098" s="37"/>
      <c r="AN3098" s="37"/>
      <c r="AO3098" s="37"/>
      <c r="AP3098" s="37"/>
      <c r="AQ3098" s="37"/>
      <c r="AR3098" s="37"/>
      <c r="AS3098" s="37"/>
      <c r="AT3098" s="37"/>
      <c r="AU3098" s="37"/>
      <c r="AV3098" s="37"/>
      <c r="AW3098" s="37"/>
      <c r="AX3098" s="37"/>
      <c r="AY3098" s="37"/>
      <c r="AZ3098" s="37"/>
      <c r="BA3098" s="37"/>
      <c r="BB3098" s="37"/>
      <c r="BC3098" s="37"/>
      <c r="BD3098" s="37"/>
      <c r="BE3098" s="37"/>
      <c r="BF3098" s="37"/>
      <c r="BG3098" s="37"/>
      <c r="BH3098" s="37"/>
      <c r="BI3098" s="37"/>
      <c r="BJ3098" s="37"/>
      <c r="BK3098" s="37"/>
      <c r="BL3098" s="37"/>
      <c r="BM3098" s="37"/>
    </row>
    <row r="3099" spans="1:65" s="40" customFormat="1" ht="23.25" x14ac:dyDescent="0.35">
      <c r="A3099" s="37"/>
      <c r="B3099" s="37"/>
      <c r="C3099" s="41"/>
      <c r="D3099" s="38"/>
      <c r="E3099" s="57"/>
      <c r="F3099" s="42"/>
      <c r="G3099" s="43"/>
      <c r="H3099" s="37"/>
      <c r="I3099" s="37"/>
      <c r="J3099" s="38"/>
      <c r="K3099" s="37"/>
      <c r="L3099" s="38"/>
      <c r="M3099" s="39"/>
      <c r="P3099" s="37"/>
      <c r="Q3099" s="37"/>
      <c r="R3099" s="37"/>
      <c r="S3099" s="37"/>
      <c r="T3099" s="37"/>
      <c r="U3099" s="37"/>
      <c r="V3099" s="37"/>
      <c r="W3099" s="37"/>
      <c r="X3099" s="37"/>
      <c r="Y3099" s="37"/>
      <c r="Z3099" s="37"/>
      <c r="AA3099" s="37"/>
      <c r="AB3099" s="37"/>
      <c r="AC3099" s="37"/>
      <c r="AD3099" s="37"/>
      <c r="AE3099" s="37"/>
      <c r="AF3099" s="37"/>
      <c r="AG3099" s="37"/>
      <c r="AH3099" s="37"/>
      <c r="AI3099" s="37"/>
      <c r="AJ3099" s="37"/>
      <c r="AK3099" s="37"/>
      <c r="AL3099" s="37"/>
      <c r="AM3099" s="37"/>
      <c r="AN3099" s="37"/>
      <c r="AO3099" s="37"/>
      <c r="AP3099" s="37"/>
      <c r="AQ3099" s="37"/>
      <c r="AR3099" s="37"/>
      <c r="AS3099" s="37"/>
      <c r="AT3099" s="37"/>
      <c r="AU3099" s="37"/>
      <c r="AV3099" s="37"/>
      <c r="AW3099" s="37"/>
      <c r="AX3099" s="37"/>
      <c r="AY3099" s="37"/>
      <c r="AZ3099" s="37"/>
      <c r="BA3099" s="37"/>
      <c r="BB3099" s="37"/>
      <c r="BC3099" s="37"/>
      <c r="BD3099" s="37"/>
      <c r="BE3099" s="37"/>
      <c r="BF3099" s="37"/>
      <c r="BG3099" s="37"/>
      <c r="BH3099" s="37"/>
      <c r="BI3099" s="37"/>
      <c r="BJ3099" s="37"/>
      <c r="BK3099" s="37"/>
      <c r="BL3099" s="37"/>
      <c r="BM3099" s="37"/>
    </row>
    <row r="3100" spans="1:65" s="40" customFormat="1" ht="23.25" x14ac:dyDescent="0.35">
      <c r="A3100" s="37"/>
      <c r="B3100" s="37"/>
      <c r="C3100" s="41"/>
      <c r="D3100" s="38"/>
      <c r="E3100" s="57"/>
      <c r="F3100" s="42"/>
      <c r="G3100" s="43"/>
      <c r="H3100" s="37"/>
      <c r="I3100" s="37"/>
      <c r="J3100" s="38"/>
      <c r="K3100" s="37"/>
      <c r="L3100" s="38"/>
      <c r="M3100" s="39"/>
      <c r="P3100" s="37"/>
      <c r="Q3100" s="37"/>
      <c r="R3100" s="37"/>
      <c r="S3100" s="37"/>
      <c r="T3100" s="37"/>
      <c r="U3100" s="37"/>
      <c r="V3100" s="37"/>
      <c r="W3100" s="37"/>
      <c r="X3100" s="37"/>
      <c r="Y3100" s="37"/>
      <c r="Z3100" s="37"/>
      <c r="AA3100" s="37"/>
      <c r="AB3100" s="37"/>
      <c r="AC3100" s="37"/>
      <c r="AD3100" s="37"/>
      <c r="AE3100" s="37"/>
      <c r="AF3100" s="37"/>
      <c r="AG3100" s="37"/>
      <c r="AH3100" s="37"/>
      <c r="AI3100" s="37"/>
      <c r="AJ3100" s="37"/>
      <c r="AK3100" s="37"/>
      <c r="AL3100" s="37"/>
      <c r="AM3100" s="37"/>
      <c r="AN3100" s="37"/>
      <c r="AO3100" s="37"/>
      <c r="AP3100" s="37"/>
      <c r="AQ3100" s="37"/>
      <c r="AR3100" s="37"/>
      <c r="AS3100" s="37"/>
      <c r="AT3100" s="37"/>
      <c r="AU3100" s="37"/>
      <c r="AV3100" s="37"/>
      <c r="AW3100" s="37"/>
      <c r="AX3100" s="37"/>
      <c r="AY3100" s="37"/>
      <c r="AZ3100" s="37"/>
      <c r="BA3100" s="37"/>
      <c r="BB3100" s="37"/>
      <c r="BC3100" s="37"/>
      <c r="BD3100" s="37"/>
      <c r="BE3100" s="37"/>
      <c r="BF3100" s="37"/>
      <c r="BG3100" s="37"/>
      <c r="BH3100" s="37"/>
      <c r="BI3100" s="37"/>
      <c r="BJ3100" s="37"/>
      <c r="BK3100" s="37"/>
      <c r="BL3100" s="37"/>
      <c r="BM3100" s="37"/>
    </row>
    <row r="3101" spans="1:65" s="40" customFormat="1" ht="23.25" x14ac:dyDescent="0.35">
      <c r="A3101" s="37"/>
      <c r="B3101" s="37"/>
      <c r="C3101" s="41"/>
      <c r="D3101" s="38"/>
      <c r="E3101" s="57"/>
      <c r="F3101" s="42"/>
      <c r="G3101" s="43"/>
      <c r="H3101" s="37"/>
      <c r="I3101" s="37"/>
      <c r="J3101" s="38"/>
      <c r="K3101" s="37"/>
      <c r="L3101" s="38"/>
      <c r="M3101" s="39"/>
      <c r="P3101" s="37"/>
      <c r="Q3101" s="37"/>
      <c r="R3101" s="37"/>
      <c r="S3101" s="37"/>
      <c r="T3101" s="37"/>
      <c r="U3101" s="37"/>
      <c r="V3101" s="37"/>
      <c r="W3101" s="37"/>
      <c r="X3101" s="37"/>
      <c r="Y3101" s="37"/>
      <c r="Z3101" s="37"/>
      <c r="AA3101" s="37"/>
      <c r="AB3101" s="37"/>
      <c r="AC3101" s="37"/>
      <c r="AD3101" s="37"/>
      <c r="AE3101" s="37"/>
      <c r="AF3101" s="37"/>
      <c r="AG3101" s="37"/>
      <c r="AH3101" s="37"/>
      <c r="AI3101" s="37"/>
      <c r="AJ3101" s="37"/>
      <c r="AK3101" s="37"/>
      <c r="AL3101" s="37"/>
      <c r="AM3101" s="37"/>
      <c r="AN3101" s="37"/>
      <c r="AO3101" s="37"/>
      <c r="AP3101" s="37"/>
      <c r="AQ3101" s="37"/>
      <c r="AR3101" s="37"/>
      <c r="AS3101" s="37"/>
      <c r="AT3101" s="37"/>
      <c r="AU3101" s="37"/>
      <c r="AV3101" s="37"/>
      <c r="AW3101" s="37"/>
      <c r="AX3101" s="37"/>
      <c r="AY3101" s="37"/>
      <c r="AZ3101" s="37"/>
      <c r="BA3101" s="37"/>
      <c r="BB3101" s="37"/>
      <c r="BC3101" s="37"/>
      <c r="BD3101" s="37"/>
      <c r="BE3101" s="37"/>
      <c r="BF3101" s="37"/>
      <c r="BG3101" s="37"/>
      <c r="BH3101" s="37"/>
      <c r="BI3101" s="37"/>
      <c r="BJ3101" s="37"/>
      <c r="BK3101" s="37"/>
      <c r="BL3101" s="37"/>
      <c r="BM3101" s="37"/>
    </row>
    <row r="3102" spans="1:65" s="40" customFormat="1" ht="23.25" x14ac:dyDescent="0.35">
      <c r="A3102" s="37"/>
      <c r="B3102" s="37"/>
      <c r="C3102" s="41"/>
      <c r="D3102" s="38"/>
      <c r="E3102" s="57"/>
      <c r="F3102" s="42"/>
      <c r="G3102" s="43"/>
      <c r="H3102" s="37"/>
      <c r="I3102" s="37"/>
      <c r="J3102" s="38"/>
      <c r="K3102" s="37"/>
      <c r="L3102" s="38"/>
      <c r="M3102" s="39"/>
      <c r="P3102" s="37"/>
      <c r="Q3102" s="37"/>
      <c r="R3102" s="37"/>
      <c r="S3102" s="37"/>
      <c r="T3102" s="37"/>
      <c r="U3102" s="37"/>
      <c r="V3102" s="37"/>
      <c r="W3102" s="37"/>
      <c r="X3102" s="37"/>
      <c r="Y3102" s="37"/>
      <c r="Z3102" s="37"/>
      <c r="AA3102" s="37"/>
      <c r="AB3102" s="37"/>
      <c r="AC3102" s="37"/>
      <c r="AD3102" s="37"/>
      <c r="AE3102" s="37"/>
      <c r="AF3102" s="37"/>
      <c r="AG3102" s="37"/>
      <c r="AH3102" s="37"/>
      <c r="AI3102" s="37"/>
      <c r="AJ3102" s="37"/>
      <c r="AK3102" s="37"/>
      <c r="AL3102" s="37"/>
      <c r="AM3102" s="37"/>
      <c r="AN3102" s="37"/>
      <c r="AO3102" s="37"/>
      <c r="AP3102" s="37"/>
      <c r="AQ3102" s="37"/>
      <c r="AR3102" s="37"/>
      <c r="AS3102" s="37"/>
      <c r="AT3102" s="37"/>
      <c r="AU3102" s="37"/>
      <c r="AV3102" s="37"/>
      <c r="AW3102" s="37"/>
      <c r="AX3102" s="37"/>
      <c r="AY3102" s="37"/>
      <c r="AZ3102" s="37"/>
      <c r="BA3102" s="37"/>
      <c r="BB3102" s="37"/>
      <c r="BC3102" s="37"/>
      <c r="BD3102" s="37"/>
      <c r="BE3102" s="37"/>
      <c r="BF3102" s="37"/>
      <c r="BG3102" s="37"/>
      <c r="BH3102" s="37"/>
      <c r="BI3102" s="37"/>
      <c r="BJ3102" s="37"/>
      <c r="BK3102" s="37"/>
      <c r="BL3102" s="37"/>
      <c r="BM3102" s="37"/>
    </row>
    <row r="3103" spans="1:65" s="40" customFormat="1" ht="23.25" x14ac:dyDescent="0.35">
      <c r="A3103" s="37"/>
      <c r="B3103" s="37"/>
      <c r="C3103" s="41"/>
      <c r="D3103" s="38"/>
      <c r="E3103" s="57"/>
      <c r="F3103" s="42"/>
      <c r="G3103" s="43"/>
      <c r="H3103" s="37"/>
      <c r="I3103" s="37"/>
      <c r="J3103" s="38"/>
      <c r="K3103" s="37"/>
      <c r="L3103" s="38"/>
      <c r="M3103" s="39"/>
      <c r="P3103" s="37"/>
      <c r="Q3103" s="37"/>
      <c r="R3103" s="37"/>
      <c r="S3103" s="37"/>
      <c r="T3103" s="37"/>
      <c r="U3103" s="37"/>
      <c r="V3103" s="37"/>
      <c r="W3103" s="37"/>
      <c r="X3103" s="37"/>
      <c r="Y3103" s="37"/>
      <c r="Z3103" s="37"/>
      <c r="AA3103" s="37"/>
      <c r="AB3103" s="37"/>
      <c r="AC3103" s="37"/>
      <c r="AD3103" s="37"/>
      <c r="AE3103" s="37"/>
      <c r="AF3103" s="37"/>
      <c r="AG3103" s="37"/>
      <c r="AH3103" s="37"/>
      <c r="AI3103" s="37"/>
      <c r="AJ3103" s="37"/>
      <c r="AK3103" s="37"/>
      <c r="AL3103" s="37"/>
      <c r="AM3103" s="37"/>
      <c r="AN3103" s="37"/>
      <c r="AO3103" s="37"/>
      <c r="AP3103" s="37"/>
      <c r="AQ3103" s="37"/>
      <c r="AR3103" s="37"/>
      <c r="AS3103" s="37"/>
      <c r="AT3103" s="37"/>
      <c r="AU3103" s="37"/>
      <c r="AV3103" s="37"/>
      <c r="AW3103" s="37"/>
      <c r="AX3103" s="37"/>
      <c r="AY3103" s="37"/>
      <c r="AZ3103" s="37"/>
      <c r="BA3103" s="37"/>
      <c r="BB3103" s="37"/>
      <c r="BC3103" s="37"/>
      <c r="BD3103" s="37"/>
      <c r="BE3103" s="37"/>
      <c r="BF3103" s="37"/>
      <c r="BG3103" s="37"/>
      <c r="BH3103" s="37"/>
      <c r="BI3103" s="37"/>
      <c r="BJ3103" s="37"/>
      <c r="BK3103" s="37"/>
      <c r="BL3103" s="37"/>
      <c r="BM3103" s="37"/>
    </row>
    <row r="3104" spans="1:65" s="40" customFormat="1" ht="23.25" x14ac:dyDescent="0.35">
      <c r="A3104" s="37"/>
      <c r="B3104" s="37"/>
      <c r="C3104" s="41"/>
      <c r="D3104" s="38"/>
      <c r="E3104" s="57"/>
      <c r="F3104" s="42"/>
      <c r="G3104" s="43"/>
      <c r="H3104" s="37"/>
      <c r="I3104" s="37"/>
      <c r="J3104" s="38"/>
      <c r="K3104" s="37"/>
      <c r="L3104" s="38"/>
      <c r="M3104" s="39"/>
      <c r="P3104" s="37"/>
      <c r="Q3104" s="37"/>
      <c r="R3104" s="37"/>
      <c r="S3104" s="37"/>
      <c r="T3104" s="37"/>
      <c r="U3104" s="37"/>
      <c r="V3104" s="37"/>
      <c r="W3104" s="37"/>
      <c r="X3104" s="37"/>
      <c r="Y3104" s="37"/>
      <c r="Z3104" s="37"/>
      <c r="AA3104" s="37"/>
      <c r="AB3104" s="37"/>
      <c r="AC3104" s="37"/>
      <c r="AD3104" s="37"/>
      <c r="AE3104" s="37"/>
      <c r="AF3104" s="37"/>
      <c r="AG3104" s="37"/>
      <c r="AH3104" s="37"/>
      <c r="AI3104" s="37"/>
      <c r="AJ3104" s="37"/>
      <c r="AK3104" s="37"/>
      <c r="AL3104" s="37"/>
      <c r="AM3104" s="37"/>
      <c r="AN3104" s="37"/>
      <c r="AO3104" s="37"/>
      <c r="AP3104" s="37"/>
      <c r="AQ3104" s="37"/>
      <c r="AR3104" s="37"/>
      <c r="AS3104" s="37"/>
      <c r="AT3104" s="37"/>
      <c r="AU3104" s="37"/>
      <c r="AV3104" s="37"/>
      <c r="AW3104" s="37"/>
      <c r="AX3104" s="37"/>
      <c r="AY3104" s="37"/>
      <c r="AZ3104" s="37"/>
      <c r="BA3104" s="37"/>
      <c r="BB3104" s="37"/>
      <c r="BC3104" s="37"/>
      <c r="BD3104" s="37"/>
      <c r="BE3104" s="37"/>
      <c r="BF3104" s="37"/>
      <c r="BG3104" s="37"/>
      <c r="BH3104" s="37"/>
      <c r="BI3104" s="37"/>
      <c r="BJ3104" s="37"/>
      <c r="BK3104" s="37"/>
      <c r="BL3104" s="37"/>
      <c r="BM3104" s="37"/>
    </row>
    <row r="3105" spans="1:65" s="40" customFormat="1" ht="23.25" x14ac:dyDescent="0.35">
      <c r="A3105" s="37"/>
      <c r="B3105" s="37"/>
      <c r="C3105" s="41"/>
      <c r="D3105" s="38"/>
      <c r="E3105" s="57"/>
      <c r="F3105" s="42"/>
      <c r="G3105" s="43"/>
      <c r="H3105" s="37"/>
      <c r="I3105" s="37"/>
      <c r="J3105" s="38"/>
      <c r="K3105" s="37"/>
      <c r="L3105" s="38"/>
      <c r="M3105" s="39"/>
      <c r="P3105" s="37"/>
      <c r="Q3105" s="37"/>
      <c r="R3105" s="37"/>
      <c r="S3105" s="37"/>
      <c r="T3105" s="37"/>
      <c r="U3105" s="37"/>
      <c r="V3105" s="37"/>
      <c r="W3105" s="37"/>
      <c r="X3105" s="37"/>
      <c r="Y3105" s="37"/>
      <c r="Z3105" s="37"/>
      <c r="AA3105" s="37"/>
      <c r="AB3105" s="37"/>
      <c r="AC3105" s="37"/>
      <c r="AD3105" s="37"/>
      <c r="AE3105" s="37"/>
      <c r="AF3105" s="37"/>
      <c r="AG3105" s="37"/>
      <c r="AH3105" s="37"/>
      <c r="AI3105" s="37"/>
      <c r="AJ3105" s="37"/>
      <c r="AK3105" s="37"/>
      <c r="AL3105" s="37"/>
      <c r="AM3105" s="37"/>
      <c r="AN3105" s="37"/>
      <c r="AO3105" s="37"/>
      <c r="AP3105" s="37"/>
      <c r="AQ3105" s="37"/>
      <c r="AR3105" s="37"/>
      <c r="AS3105" s="37"/>
      <c r="AT3105" s="37"/>
      <c r="AU3105" s="37"/>
      <c r="AV3105" s="37"/>
      <c r="AW3105" s="37"/>
      <c r="AX3105" s="37"/>
      <c r="AY3105" s="37"/>
      <c r="AZ3105" s="37"/>
      <c r="BA3105" s="37"/>
      <c r="BB3105" s="37"/>
      <c r="BC3105" s="37"/>
      <c r="BD3105" s="37"/>
      <c r="BE3105" s="37"/>
      <c r="BF3105" s="37"/>
      <c r="BG3105" s="37"/>
      <c r="BH3105" s="37"/>
      <c r="BI3105" s="37"/>
      <c r="BJ3105" s="37"/>
      <c r="BK3105" s="37"/>
      <c r="BL3105" s="37"/>
      <c r="BM3105" s="37"/>
    </row>
    <row r="3106" spans="1:65" s="40" customFormat="1" ht="23.25" x14ac:dyDescent="0.35">
      <c r="A3106" s="37"/>
      <c r="B3106" s="37"/>
      <c r="C3106" s="41"/>
      <c r="D3106" s="38"/>
      <c r="E3106" s="57"/>
      <c r="F3106" s="42"/>
      <c r="G3106" s="43"/>
      <c r="H3106" s="37"/>
      <c r="I3106" s="37"/>
      <c r="J3106" s="38"/>
      <c r="K3106" s="37"/>
      <c r="L3106" s="38"/>
      <c r="M3106" s="39"/>
      <c r="P3106" s="37"/>
      <c r="Q3106" s="37"/>
      <c r="R3106" s="37"/>
      <c r="S3106" s="37"/>
      <c r="T3106" s="37"/>
      <c r="U3106" s="37"/>
      <c r="V3106" s="37"/>
      <c r="W3106" s="37"/>
      <c r="X3106" s="37"/>
      <c r="Y3106" s="37"/>
      <c r="Z3106" s="37"/>
      <c r="AA3106" s="37"/>
      <c r="AB3106" s="37"/>
      <c r="AC3106" s="37"/>
      <c r="AD3106" s="37"/>
      <c r="AE3106" s="37"/>
      <c r="AF3106" s="37"/>
      <c r="AG3106" s="37"/>
      <c r="AH3106" s="37"/>
      <c r="AI3106" s="37"/>
      <c r="AJ3106" s="37"/>
      <c r="AK3106" s="37"/>
      <c r="AL3106" s="37"/>
      <c r="AM3106" s="37"/>
      <c r="AN3106" s="37"/>
      <c r="AO3106" s="37"/>
      <c r="AP3106" s="37"/>
      <c r="AQ3106" s="37"/>
      <c r="AR3106" s="37"/>
      <c r="AS3106" s="37"/>
      <c r="AT3106" s="37"/>
      <c r="AU3106" s="37"/>
      <c r="AV3106" s="37"/>
      <c r="AW3106" s="37"/>
      <c r="AX3106" s="37"/>
      <c r="AY3106" s="37"/>
      <c r="AZ3106" s="37"/>
      <c r="BA3106" s="37"/>
      <c r="BB3106" s="37"/>
      <c r="BC3106" s="37"/>
      <c r="BD3106" s="37"/>
      <c r="BE3106" s="37"/>
      <c r="BF3106" s="37"/>
      <c r="BG3106" s="37"/>
      <c r="BH3106" s="37"/>
      <c r="BI3106" s="37"/>
      <c r="BJ3106" s="37"/>
      <c r="BK3106" s="37"/>
      <c r="BL3106" s="37"/>
      <c r="BM3106" s="37"/>
    </row>
    <row r="3107" spans="1:65" s="40" customFormat="1" ht="23.25" x14ac:dyDescent="0.35">
      <c r="A3107" s="37"/>
      <c r="B3107" s="37"/>
      <c r="C3107" s="41"/>
      <c r="D3107" s="38"/>
      <c r="E3107" s="57"/>
      <c r="F3107" s="42"/>
      <c r="G3107" s="43"/>
      <c r="H3107" s="37"/>
      <c r="I3107" s="37"/>
      <c r="J3107" s="38"/>
      <c r="K3107" s="37"/>
      <c r="L3107" s="38"/>
      <c r="M3107" s="39"/>
      <c r="P3107" s="37"/>
      <c r="Q3107" s="37"/>
      <c r="R3107" s="37"/>
      <c r="S3107" s="37"/>
      <c r="T3107" s="37"/>
      <c r="U3107" s="37"/>
      <c r="V3107" s="37"/>
      <c r="W3107" s="37"/>
      <c r="X3107" s="37"/>
      <c r="Y3107" s="37"/>
      <c r="Z3107" s="37"/>
      <c r="AA3107" s="37"/>
      <c r="AB3107" s="37"/>
      <c r="AC3107" s="37"/>
      <c r="AD3107" s="37"/>
      <c r="AE3107" s="37"/>
      <c r="AF3107" s="37"/>
      <c r="AG3107" s="37"/>
      <c r="AH3107" s="37"/>
      <c r="AI3107" s="37"/>
      <c r="AJ3107" s="37"/>
      <c r="AK3107" s="37"/>
      <c r="AL3107" s="37"/>
      <c r="AM3107" s="37"/>
      <c r="AN3107" s="37"/>
      <c r="AO3107" s="37"/>
      <c r="AP3107" s="37"/>
      <c r="AQ3107" s="37"/>
      <c r="AR3107" s="37"/>
      <c r="AS3107" s="37"/>
      <c r="AT3107" s="37"/>
      <c r="AU3107" s="37"/>
      <c r="AV3107" s="37"/>
      <c r="AW3107" s="37"/>
      <c r="AX3107" s="37"/>
      <c r="AY3107" s="37"/>
      <c r="AZ3107" s="37"/>
      <c r="BA3107" s="37"/>
      <c r="BB3107" s="37"/>
      <c r="BC3107" s="37"/>
      <c r="BD3107" s="37"/>
      <c r="BE3107" s="37"/>
      <c r="BF3107" s="37"/>
      <c r="BG3107" s="37"/>
      <c r="BH3107" s="37"/>
      <c r="BI3107" s="37"/>
      <c r="BJ3107" s="37"/>
      <c r="BK3107" s="37"/>
      <c r="BL3107" s="37"/>
      <c r="BM3107" s="37"/>
    </row>
    <row r="3108" spans="1:65" s="40" customFormat="1" ht="23.25" x14ac:dyDescent="0.35">
      <c r="A3108" s="37"/>
      <c r="B3108" s="37"/>
      <c r="C3108" s="41"/>
      <c r="D3108" s="38"/>
      <c r="E3108" s="57"/>
      <c r="F3108" s="42"/>
      <c r="G3108" s="43"/>
      <c r="H3108" s="37"/>
      <c r="I3108" s="37"/>
      <c r="J3108" s="38"/>
      <c r="K3108" s="37"/>
      <c r="L3108" s="38"/>
      <c r="M3108" s="39"/>
      <c r="P3108" s="37"/>
      <c r="Q3108" s="37"/>
      <c r="R3108" s="37"/>
      <c r="S3108" s="37"/>
      <c r="T3108" s="37"/>
      <c r="U3108" s="37"/>
      <c r="V3108" s="37"/>
      <c r="W3108" s="37"/>
      <c r="X3108" s="37"/>
      <c r="Y3108" s="37"/>
      <c r="Z3108" s="37"/>
      <c r="AA3108" s="37"/>
      <c r="AB3108" s="37"/>
      <c r="AC3108" s="37"/>
      <c r="AD3108" s="37"/>
      <c r="AE3108" s="37"/>
      <c r="AF3108" s="37"/>
      <c r="AG3108" s="37"/>
      <c r="AH3108" s="37"/>
      <c r="AI3108" s="37"/>
      <c r="AJ3108" s="37"/>
      <c r="AK3108" s="37"/>
      <c r="AL3108" s="37"/>
      <c r="AM3108" s="37"/>
      <c r="AN3108" s="37"/>
      <c r="AO3108" s="37"/>
      <c r="AP3108" s="37"/>
      <c r="AQ3108" s="37"/>
      <c r="AR3108" s="37"/>
      <c r="AS3108" s="37"/>
      <c r="AT3108" s="37"/>
      <c r="AU3108" s="37"/>
      <c r="AV3108" s="37"/>
      <c r="AW3108" s="37"/>
      <c r="AX3108" s="37"/>
      <c r="AY3108" s="37"/>
      <c r="AZ3108" s="37"/>
      <c r="BA3108" s="37"/>
      <c r="BB3108" s="37"/>
      <c r="BC3108" s="37"/>
      <c r="BD3108" s="37"/>
      <c r="BE3108" s="37"/>
      <c r="BF3108" s="37"/>
      <c r="BG3108" s="37"/>
      <c r="BH3108" s="37"/>
      <c r="BI3108" s="37"/>
      <c r="BJ3108" s="37"/>
      <c r="BK3108" s="37"/>
      <c r="BL3108" s="37"/>
      <c r="BM3108" s="37"/>
    </row>
    <row r="3109" spans="1:65" s="40" customFormat="1" ht="23.25" x14ac:dyDescent="0.35">
      <c r="A3109" s="37"/>
      <c r="B3109" s="37"/>
      <c r="C3109" s="41"/>
      <c r="D3109" s="38"/>
      <c r="E3109" s="57"/>
      <c r="F3109" s="42"/>
      <c r="G3109" s="43"/>
      <c r="H3109" s="37"/>
      <c r="I3109" s="37"/>
      <c r="J3109" s="38"/>
      <c r="K3109" s="37"/>
      <c r="L3109" s="38"/>
      <c r="M3109" s="39"/>
      <c r="P3109" s="37"/>
      <c r="Q3109" s="37"/>
      <c r="R3109" s="37"/>
      <c r="S3109" s="37"/>
      <c r="T3109" s="37"/>
      <c r="U3109" s="37"/>
      <c r="V3109" s="37"/>
      <c r="W3109" s="37"/>
      <c r="X3109" s="37"/>
      <c r="Y3109" s="37"/>
      <c r="Z3109" s="37"/>
      <c r="AA3109" s="37"/>
      <c r="AB3109" s="37"/>
      <c r="AC3109" s="37"/>
      <c r="AD3109" s="37"/>
      <c r="AE3109" s="37"/>
      <c r="AF3109" s="37"/>
      <c r="AG3109" s="37"/>
      <c r="AH3109" s="37"/>
      <c r="AI3109" s="37"/>
      <c r="AJ3109" s="37"/>
      <c r="AK3109" s="37"/>
      <c r="AL3109" s="37"/>
      <c r="AM3109" s="37"/>
      <c r="AN3109" s="37"/>
      <c r="AO3109" s="37"/>
      <c r="AP3109" s="37"/>
      <c r="AQ3109" s="37"/>
      <c r="AR3109" s="37"/>
      <c r="AS3109" s="37"/>
      <c r="AT3109" s="37"/>
      <c r="AU3109" s="37"/>
      <c r="AV3109" s="37"/>
      <c r="AW3109" s="37"/>
      <c r="AX3109" s="37"/>
      <c r="AY3109" s="37"/>
      <c r="AZ3109" s="37"/>
      <c r="BA3109" s="37"/>
      <c r="BB3109" s="37"/>
      <c r="BC3109" s="37"/>
      <c r="BD3109" s="37"/>
      <c r="BE3109" s="37"/>
      <c r="BF3109" s="37"/>
      <c r="BG3109" s="37"/>
      <c r="BH3109" s="37"/>
      <c r="BI3109" s="37"/>
      <c r="BJ3109" s="37"/>
      <c r="BK3109" s="37"/>
      <c r="BL3109" s="37"/>
      <c r="BM3109" s="37"/>
    </row>
    <row r="3110" spans="1:65" s="40" customFormat="1" ht="23.25" x14ac:dyDescent="0.35">
      <c r="A3110" s="37"/>
      <c r="B3110" s="37"/>
      <c r="C3110" s="41"/>
      <c r="D3110" s="38"/>
      <c r="E3110" s="57"/>
      <c r="F3110" s="42"/>
      <c r="G3110" s="43"/>
      <c r="H3110" s="37"/>
      <c r="I3110" s="37"/>
      <c r="J3110" s="38"/>
      <c r="K3110" s="37"/>
      <c r="L3110" s="38"/>
      <c r="M3110" s="39"/>
      <c r="P3110" s="37"/>
      <c r="Q3110" s="37"/>
      <c r="R3110" s="37"/>
      <c r="S3110" s="37"/>
      <c r="T3110" s="37"/>
      <c r="U3110" s="37"/>
      <c r="V3110" s="37"/>
      <c r="W3110" s="37"/>
      <c r="X3110" s="37"/>
      <c r="Y3110" s="37"/>
      <c r="Z3110" s="37"/>
      <c r="AA3110" s="37"/>
      <c r="AB3110" s="37"/>
      <c r="AC3110" s="37"/>
      <c r="AD3110" s="37"/>
      <c r="AE3110" s="37"/>
      <c r="AF3110" s="37"/>
      <c r="AG3110" s="37"/>
      <c r="AH3110" s="37"/>
      <c r="AI3110" s="37"/>
      <c r="AJ3110" s="37"/>
      <c r="AK3110" s="37"/>
      <c r="AL3110" s="37"/>
      <c r="AM3110" s="37"/>
      <c r="AN3110" s="37"/>
      <c r="AO3110" s="37"/>
      <c r="AP3110" s="37"/>
      <c r="AQ3110" s="37"/>
      <c r="AR3110" s="37"/>
      <c r="AS3110" s="37"/>
      <c r="AT3110" s="37"/>
      <c r="AU3110" s="37"/>
      <c r="AV3110" s="37"/>
      <c r="AW3110" s="37"/>
      <c r="AX3110" s="37"/>
      <c r="AY3110" s="37"/>
      <c r="AZ3110" s="37"/>
      <c r="BA3110" s="37"/>
      <c r="BB3110" s="37"/>
      <c r="BC3110" s="37"/>
      <c r="BD3110" s="37"/>
      <c r="BE3110" s="37"/>
      <c r="BF3110" s="37"/>
      <c r="BG3110" s="37"/>
      <c r="BH3110" s="37"/>
      <c r="BI3110" s="37"/>
      <c r="BJ3110" s="37"/>
      <c r="BK3110" s="37"/>
      <c r="BL3110" s="37"/>
      <c r="BM3110" s="37"/>
    </row>
    <row r="3111" spans="1:65" s="40" customFormat="1" ht="23.25" x14ac:dyDescent="0.35">
      <c r="A3111" s="37"/>
      <c r="B3111" s="37"/>
      <c r="C3111" s="41"/>
      <c r="D3111" s="38"/>
      <c r="E3111" s="57"/>
      <c r="F3111" s="42"/>
      <c r="G3111" s="43"/>
      <c r="H3111" s="37"/>
      <c r="I3111" s="37"/>
      <c r="J3111" s="38"/>
      <c r="K3111" s="37"/>
      <c r="L3111" s="38"/>
      <c r="M3111" s="39"/>
      <c r="P3111" s="37"/>
      <c r="Q3111" s="37"/>
      <c r="R3111" s="37"/>
      <c r="S3111" s="37"/>
      <c r="T3111" s="37"/>
      <c r="U3111" s="37"/>
      <c r="V3111" s="37"/>
      <c r="W3111" s="37"/>
      <c r="X3111" s="37"/>
      <c r="Y3111" s="37"/>
      <c r="Z3111" s="37"/>
      <c r="AA3111" s="37"/>
      <c r="AB3111" s="37"/>
      <c r="AC3111" s="37"/>
      <c r="AD3111" s="37"/>
      <c r="AE3111" s="37"/>
      <c r="AF3111" s="37"/>
      <c r="AG3111" s="37"/>
      <c r="AH3111" s="37"/>
      <c r="AI3111" s="37"/>
      <c r="AJ3111" s="37"/>
      <c r="AK3111" s="37"/>
      <c r="AL3111" s="37"/>
      <c r="AM3111" s="37"/>
      <c r="AN3111" s="37"/>
      <c r="AO3111" s="37"/>
      <c r="AP3111" s="37"/>
      <c r="AQ3111" s="37"/>
      <c r="AR3111" s="37"/>
      <c r="AS3111" s="37"/>
      <c r="AT3111" s="37"/>
      <c r="AU3111" s="37"/>
      <c r="AV3111" s="37"/>
      <c r="AW3111" s="37"/>
      <c r="AX3111" s="37"/>
      <c r="AY3111" s="37"/>
      <c r="AZ3111" s="37"/>
      <c r="BA3111" s="37"/>
      <c r="BB3111" s="37"/>
      <c r="BC3111" s="37"/>
      <c r="BD3111" s="37"/>
      <c r="BE3111" s="37"/>
      <c r="BF3111" s="37"/>
      <c r="BG3111" s="37"/>
      <c r="BH3111" s="37"/>
      <c r="BI3111" s="37"/>
      <c r="BJ3111" s="37"/>
      <c r="BK3111" s="37"/>
      <c r="BL3111" s="37"/>
      <c r="BM3111" s="37"/>
    </row>
    <row r="3112" spans="1:65" s="40" customFormat="1" ht="23.25" x14ac:dyDescent="0.35">
      <c r="A3112" s="37"/>
      <c r="B3112" s="37"/>
      <c r="C3112" s="41"/>
      <c r="D3112" s="38"/>
      <c r="E3112" s="57"/>
      <c r="F3112" s="42"/>
      <c r="G3112" s="43"/>
      <c r="H3112" s="37"/>
      <c r="I3112" s="37"/>
      <c r="J3112" s="38"/>
      <c r="K3112" s="37"/>
      <c r="L3112" s="38"/>
      <c r="M3112" s="39"/>
      <c r="P3112" s="37"/>
      <c r="Q3112" s="37"/>
      <c r="R3112" s="37"/>
      <c r="S3112" s="37"/>
      <c r="T3112" s="37"/>
      <c r="U3112" s="37"/>
      <c r="V3112" s="37"/>
      <c r="W3112" s="37"/>
      <c r="X3112" s="37"/>
      <c r="Y3112" s="37"/>
      <c r="Z3112" s="37"/>
      <c r="AA3112" s="37"/>
      <c r="AB3112" s="37"/>
      <c r="AC3112" s="37"/>
      <c r="AD3112" s="37"/>
      <c r="AE3112" s="37"/>
      <c r="AF3112" s="37"/>
      <c r="AG3112" s="37"/>
      <c r="AH3112" s="37"/>
      <c r="AI3112" s="37"/>
      <c r="AJ3112" s="37"/>
      <c r="AK3112" s="37"/>
      <c r="AL3112" s="37"/>
      <c r="AM3112" s="37"/>
      <c r="AN3112" s="37"/>
      <c r="AO3112" s="37"/>
      <c r="AP3112" s="37"/>
      <c r="AQ3112" s="37"/>
      <c r="AR3112" s="37"/>
      <c r="AS3112" s="37"/>
      <c r="AT3112" s="37"/>
      <c r="AU3112" s="37"/>
      <c r="AV3112" s="37"/>
      <c r="AW3112" s="37"/>
      <c r="AX3112" s="37"/>
      <c r="AY3112" s="37"/>
      <c r="AZ3112" s="37"/>
      <c r="BA3112" s="37"/>
      <c r="BB3112" s="37"/>
      <c r="BC3112" s="37"/>
      <c r="BD3112" s="37"/>
      <c r="BE3112" s="37"/>
      <c r="BF3112" s="37"/>
      <c r="BG3112" s="37"/>
      <c r="BH3112" s="37"/>
      <c r="BI3112" s="37"/>
      <c r="BJ3112" s="37"/>
      <c r="BK3112" s="37"/>
      <c r="BL3112" s="37"/>
      <c r="BM3112" s="37"/>
    </row>
    <row r="3113" spans="1:65" s="40" customFormat="1" ht="23.25" x14ac:dyDescent="0.35">
      <c r="A3113" s="37"/>
      <c r="B3113" s="37"/>
      <c r="C3113" s="41"/>
      <c r="D3113" s="38"/>
      <c r="E3113" s="57"/>
      <c r="F3113" s="42"/>
      <c r="G3113" s="43"/>
      <c r="H3113" s="37"/>
      <c r="I3113" s="37"/>
      <c r="J3113" s="38"/>
      <c r="K3113" s="37"/>
      <c r="L3113" s="38"/>
      <c r="M3113" s="39"/>
      <c r="P3113" s="37"/>
      <c r="Q3113" s="37"/>
      <c r="R3113" s="37"/>
      <c r="S3113" s="37"/>
      <c r="T3113" s="37"/>
      <c r="U3113" s="37"/>
      <c r="V3113" s="37"/>
      <c r="W3113" s="37"/>
      <c r="X3113" s="37"/>
      <c r="Y3113" s="37"/>
      <c r="Z3113" s="37"/>
      <c r="AA3113" s="37"/>
      <c r="AB3113" s="37"/>
      <c r="AC3113" s="37"/>
      <c r="AD3113" s="37"/>
      <c r="AE3113" s="37"/>
      <c r="AF3113" s="37"/>
      <c r="AG3113" s="37"/>
      <c r="AH3113" s="37"/>
      <c r="AI3113" s="37"/>
      <c r="AJ3113" s="37"/>
      <c r="AK3113" s="37"/>
      <c r="AL3113" s="37"/>
      <c r="AM3113" s="37"/>
      <c r="AN3113" s="37"/>
      <c r="AO3113" s="37"/>
      <c r="AP3113" s="37"/>
      <c r="AQ3113" s="37"/>
      <c r="AR3113" s="37"/>
      <c r="AS3113" s="37"/>
      <c r="AT3113" s="37"/>
      <c r="AU3113" s="37"/>
      <c r="AV3113" s="37"/>
      <c r="AW3113" s="37"/>
      <c r="AX3113" s="37"/>
      <c r="AY3113" s="37"/>
      <c r="AZ3113" s="37"/>
      <c r="BA3113" s="37"/>
      <c r="BB3113" s="37"/>
      <c r="BC3113" s="37"/>
      <c r="BD3113" s="37"/>
      <c r="BE3113" s="37"/>
      <c r="BF3113" s="37"/>
      <c r="BG3113" s="37"/>
      <c r="BH3113" s="37"/>
      <c r="BI3113" s="37"/>
      <c r="BJ3113" s="37"/>
      <c r="BK3113" s="37"/>
      <c r="BL3113" s="37"/>
      <c r="BM3113" s="37"/>
    </row>
    <row r="3114" spans="1:65" s="40" customFormat="1" ht="23.25" x14ac:dyDescent="0.35">
      <c r="A3114" s="37"/>
      <c r="B3114" s="37"/>
      <c r="C3114" s="41"/>
      <c r="D3114" s="38"/>
      <c r="E3114" s="57"/>
      <c r="F3114" s="42"/>
      <c r="G3114" s="43"/>
      <c r="H3114" s="37"/>
      <c r="I3114" s="37"/>
      <c r="J3114" s="38"/>
      <c r="K3114" s="37"/>
      <c r="L3114" s="38"/>
      <c r="M3114" s="39"/>
      <c r="P3114" s="37"/>
      <c r="Q3114" s="37"/>
      <c r="R3114" s="37"/>
      <c r="S3114" s="37"/>
      <c r="T3114" s="37"/>
      <c r="U3114" s="37"/>
      <c r="V3114" s="37"/>
      <c r="W3114" s="37"/>
      <c r="X3114" s="37"/>
      <c r="Y3114" s="37"/>
      <c r="Z3114" s="37"/>
      <c r="AA3114" s="37"/>
      <c r="AB3114" s="37"/>
      <c r="AC3114" s="37"/>
      <c r="AD3114" s="37"/>
      <c r="AE3114" s="37"/>
      <c r="AF3114" s="37"/>
      <c r="AG3114" s="37"/>
      <c r="AH3114" s="37"/>
      <c r="AI3114" s="37"/>
      <c r="AJ3114" s="37"/>
      <c r="AK3114" s="37"/>
      <c r="AL3114" s="37"/>
      <c r="AM3114" s="37"/>
      <c r="AN3114" s="37"/>
      <c r="AO3114" s="37"/>
      <c r="AP3114" s="37"/>
      <c r="AQ3114" s="37"/>
      <c r="AR3114" s="37"/>
      <c r="AS3114" s="37"/>
      <c r="AT3114" s="37"/>
      <c r="AU3114" s="37"/>
      <c r="AV3114" s="37"/>
      <c r="AW3114" s="37"/>
      <c r="AX3114" s="37"/>
      <c r="AY3114" s="37"/>
      <c r="AZ3114" s="37"/>
      <c r="BA3114" s="37"/>
      <c r="BB3114" s="37"/>
      <c r="BC3114" s="37"/>
      <c r="BD3114" s="37"/>
      <c r="BE3114" s="37"/>
      <c r="BF3114" s="37"/>
      <c r="BG3114" s="37"/>
      <c r="BH3114" s="37"/>
      <c r="BI3114" s="37"/>
      <c r="BJ3114" s="37"/>
      <c r="BK3114" s="37"/>
      <c r="BL3114" s="37"/>
      <c r="BM3114" s="37"/>
    </row>
    <row r="3115" spans="1:65" s="40" customFormat="1" ht="23.25" x14ac:dyDescent="0.35">
      <c r="A3115" s="37"/>
      <c r="B3115" s="37"/>
      <c r="C3115" s="41"/>
      <c r="D3115" s="38"/>
      <c r="E3115" s="57"/>
      <c r="F3115" s="42"/>
      <c r="G3115" s="43"/>
      <c r="H3115" s="37"/>
      <c r="I3115" s="37"/>
      <c r="J3115" s="38"/>
      <c r="K3115" s="37"/>
      <c r="L3115" s="38"/>
      <c r="M3115" s="39"/>
      <c r="P3115" s="37"/>
      <c r="Q3115" s="37"/>
      <c r="R3115" s="37"/>
      <c r="S3115" s="37"/>
      <c r="T3115" s="37"/>
      <c r="U3115" s="37"/>
      <c r="V3115" s="37"/>
      <c r="W3115" s="37"/>
      <c r="X3115" s="37"/>
      <c r="Y3115" s="37"/>
      <c r="Z3115" s="37"/>
      <c r="AA3115" s="37"/>
      <c r="AB3115" s="37"/>
      <c r="AC3115" s="37"/>
      <c r="AD3115" s="37"/>
      <c r="AE3115" s="37"/>
      <c r="AF3115" s="37"/>
      <c r="AG3115" s="37"/>
      <c r="AH3115" s="37"/>
      <c r="AI3115" s="37"/>
      <c r="AJ3115" s="37"/>
      <c r="AK3115" s="37"/>
      <c r="AL3115" s="37"/>
      <c r="AM3115" s="37"/>
      <c r="AN3115" s="37"/>
      <c r="AO3115" s="37"/>
      <c r="AP3115" s="37"/>
      <c r="AQ3115" s="37"/>
      <c r="AR3115" s="37"/>
      <c r="AS3115" s="37"/>
      <c r="AT3115" s="37"/>
      <c r="AU3115" s="37"/>
      <c r="AV3115" s="37"/>
      <c r="AW3115" s="37"/>
      <c r="AX3115" s="37"/>
      <c r="AY3115" s="37"/>
      <c r="AZ3115" s="37"/>
      <c r="BA3115" s="37"/>
      <c r="BB3115" s="37"/>
      <c r="BC3115" s="37"/>
      <c r="BD3115" s="37"/>
      <c r="BE3115" s="37"/>
      <c r="BF3115" s="37"/>
      <c r="BG3115" s="37"/>
      <c r="BH3115" s="37"/>
      <c r="BI3115" s="37"/>
      <c r="BJ3115" s="37"/>
      <c r="BK3115" s="37"/>
      <c r="BL3115" s="37"/>
      <c r="BM3115" s="37"/>
    </row>
    <row r="3116" spans="1:65" s="40" customFormat="1" ht="23.25" x14ac:dyDescent="0.35">
      <c r="A3116" s="37"/>
      <c r="B3116" s="37"/>
      <c r="C3116" s="41"/>
      <c r="D3116" s="38"/>
      <c r="E3116" s="57"/>
      <c r="F3116" s="42"/>
      <c r="G3116" s="43"/>
      <c r="H3116" s="37"/>
      <c r="I3116" s="37"/>
      <c r="J3116" s="38"/>
      <c r="K3116" s="37"/>
      <c r="L3116" s="38"/>
      <c r="M3116" s="39"/>
      <c r="P3116" s="37"/>
      <c r="Q3116" s="37"/>
      <c r="R3116" s="37"/>
      <c r="S3116" s="37"/>
      <c r="T3116" s="37"/>
      <c r="U3116" s="37"/>
      <c r="V3116" s="37"/>
      <c r="W3116" s="37"/>
      <c r="X3116" s="37"/>
      <c r="Y3116" s="37"/>
      <c r="Z3116" s="37"/>
      <c r="AA3116" s="37"/>
      <c r="AB3116" s="37"/>
      <c r="AC3116" s="37"/>
      <c r="AD3116" s="37"/>
      <c r="AE3116" s="37"/>
      <c r="AF3116" s="37"/>
      <c r="AG3116" s="37"/>
      <c r="AH3116" s="37"/>
      <c r="AI3116" s="37"/>
      <c r="AJ3116" s="37"/>
      <c r="AK3116" s="37"/>
      <c r="AL3116" s="37"/>
      <c r="AM3116" s="37"/>
      <c r="AN3116" s="37"/>
      <c r="AO3116" s="37"/>
      <c r="AP3116" s="37"/>
      <c r="AQ3116" s="37"/>
      <c r="AR3116" s="37"/>
      <c r="AS3116" s="37"/>
      <c r="AT3116" s="37"/>
      <c r="AU3116" s="37"/>
      <c r="AV3116" s="37"/>
      <c r="AW3116" s="37"/>
      <c r="AX3116" s="37"/>
      <c r="AY3116" s="37"/>
      <c r="AZ3116" s="37"/>
      <c r="BA3116" s="37"/>
      <c r="BB3116" s="37"/>
      <c r="BC3116" s="37"/>
      <c r="BD3116" s="37"/>
      <c r="BE3116" s="37"/>
      <c r="BF3116" s="37"/>
      <c r="BG3116" s="37"/>
      <c r="BH3116" s="37"/>
      <c r="BI3116" s="37"/>
      <c r="BJ3116" s="37"/>
      <c r="BK3116" s="37"/>
      <c r="BL3116" s="37"/>
      <c r="BM3116" s="37"/>
    </row>
    <row r="3117" spans="1:65" s="40" customFormat="1" ht="23.25" x14ac:dyDescent="0.35">
      <c r="A3117" s="37"/>
      <c r="B3117" s="37"/>
      <c r="C3117" s="41"/>
      <c r="D3117" s="38"/>
      <c r="E3117" s="57"/>
      <c r="F3117" s="42"/>
      <c r="G3117" s="43"/>
      <c r="H3117" s="37"/>
      <c r="I3117" s="37"/>
      <c r="J3117" s="38"/>
      <c r="K3117" s="37"/>
      <c r="L3117" s="38"/>
      <c r="M3117" s="39"/>
      <c r="P3117" s="37"/>
      <c r="Q3117" s="37"/>
      <c r="R3117" s="37"/>
      <c r="S3117" s="37"/>
      <c r="T3117" s="37"/>
      <c r="U3117" s="37"/>
      <c r="V3117" s="37"/>
      <c r="W3117" s="37"/>
      <c r="X3117" s="37"/>
      <c r="Y3117" s="37"/>
      <c r="Z3117" s="37"/>
      <c r="AA3117" s="37"/>
      <c r="AB3117" s="37"/>
      <c r="AC3117" s="37"/>
      <c r="AD3117" s="37"/>
      <c r="AE3117" s="37"/>
      <c r="AF3117" s="37"/>
      <c r="AG3117" s="37"/>
      <c r="AH3117" s="37"/>
      <c r="AI3117" s="37"/>
      <c r="AJ3117" s="37"/>
      <c r="AK3117" s="37"/>
      <c r="AL3117" s="37"/>
      <c r="AM3117" s="37"/>
      <c r="AN3117" s="37"/>
      <c r="AO3117" s="37"/>
      <c r="AP3117" s="37"/>
      <c r="AQ3117" s="37"/>
      <c r="AR3117" s="37"/>
      <c r="AS3117" s="37"/>
      <c r="AT3117" s="37"/>
      <c r="AU3117" s="37"/>
      <c r="AV3117" s="37"/>
      <c r="AW3117" s="37"/>
      <c r="AX3117" s="37"/>
      <c r="AY3117" s="37"/>
      <c r="AZ3117" s="37"/>
      <c r="BA3117" s="37"/>
      <c r="BB3117" s="37"/>
      <c r="BC3117" s="37"/>
      <c r="BD3117" s="37"/>
      <c r="BE3117" s="37"/>
      <c r="BF3117" s="37"/>
      <c r="BG3117" s="37"/>
      <c r="BH3117" s="37"/>
      <c r="BI3117" s="37"/>
      <c r="BJ3117" s="37"/>
      <c r="BK3117" s="37"/>
      <c r="BL3117" s="37"/>
      <c r="BM3117" s="37"/>
    </row>
    <row r="3118" spans="1:65" s="40" customFormat="1" ht="23.25" x14ac:dyDescent="0.35">
      <c r="A3118" s="37"/>
      <c r="B3118" s="37"/>
      <c r="C3118" s="41"/>
      <c r="D3118" s="38"/>
      <c r="E3118" s="57"/>
      <c r="F3118" s="42"/>
      <c r="G3118" s="43"/>
      <c r="H3118" s="37"/>
      <c r="I3118" s="37"/>
      <c r="J3118" s="38"/>
      <c r="K3118" s="37"/>
      <c r="L3118" s="38"/>
      <c r="M3118" s="39"/>
      <c r="P3118" s="37"/>
      <c r="Q3118" s="37"/>
      <c r="R3118" s="37"/>
      <c r="S3118" s="37"/>
      <c r="T3118" s="37"/>
      <c r="U3118" s="37"/>
      <c r="V3118" s="37"/>
      <c r="W3118" s="37"/>
      <c r="X3118" s="37"/>
      <c r="Y3118" s="37"/>
      <c r="Z3118" s="37"/>
      <c r="AA3118" s="37"/>
      <c r="AB3118" s="37"/>
      <c r="AC3118" s="37"/>
      <c r="AD3118" s="37"/>
      <c r="AE3118" s="37"/>
      <c r="AF3118" s="37"/>
      <c r="AG3118" s="37"/>
      <c r="AH3118" s="37"/>
      <c r="AI3118" s="37"/>
      <c r="AJ3118" s="37"/>
      <c r="AK3118" s="37"/>
      <c r="AL3118" s="37"/>
      <c r="AM3118" s="37"/>
      <c r="AN3118" s="37"/>
      <c r="AO3118" s="37"/>
      <c r="AP3118" s="37"/>
      <c r="AQ3118" s="37"/>
      <c r="AR3118" s="37"/>
      <c r="AS3118" s="37"/>
      <c r="AT3118" s="37"/>
      <c r="AU3118" s="37"/>
      <c r="AV3118" s="37"/>
      <c r="AW3118" s="37"/>
      <c r="AX3118" s="37"/>
      <c r="AY3118" s="37"/>
      <c r="AZ3118" s="37"/>
      <c r="BA3118" s="37"/>
      <c r="BB3118" s="37"/>
      <c r="BC3118" s="37"/>
      <c r="BD3118" s="37"/>
      <c r="BE3118" s="37"/>
      <c r="BF3118" s="37"/>
      <c r="BG3118" s="37"/>
      <c r="BH3118" s="37"/>
      <c r="BI3118" s="37"/>
      <c r="BJ3118" s="37"/>
      <c r="BK3118" s="37"/>
      <c r="BL3118" s="37"/>
      <c r="BM3118" s="37"/>
    </row>
    <row r="3119" spans="1:65" s="40" customFormat="1" ht="23.25" x14ac:dyDescent="0.35">
      <c r="A3119" s="37"/>
      <c r="B3119" s="37"/>
      <c r="C3119" s="41"/>
      <c r="D3119" s="38"/>
      <c r="E3119" s="57"/>
      <c r="F3119" s="42"/>
      <c r="G3119" s="43"/>
      <c r="H3119" s="37"/>
      <c r="I3119" s="37"/>
      <c r="J3119" s="38"/>
      <c r="K3119" s="37"/>
      <c r="L3119" s="38"/>
      <c r="M3119" s="39"/>
      <c r="P3119" s="37"/>
      <c r="Q3119" s="37"/>
      <c r="R3119" s="37"/>
      <c r="S3119" s="37"/>
      <c r="T3119" s="37"/>
      <c r="U3119" s="37"/>
      <c r="V3119" s="37"/>
      <c r="W3119" s="37"/>
      <c r="X3119" s="37"/>
      <c r="Y3119" s="37"/>
      <c r="Z3119" s="37"/>
      <c r="AA3119" s="37"/>
      <c r="AB3119" s="37"/>
      <c r="AC3119" s="37"/>
      <c r="AD3119" s="37"/>
      <c r="AE3119" s="37"/>
      <c r="AF3119" s="37"/>
      <c r="AG3119" s="37"/>
      <c r="AH3119" s="37"/>
      <c r="AI3119" s="37"/>
      <c r="AJ3119" s="37"/>
      <c r="AK3119" s="37"/>
      <c r="AL3119" s="37"/>
      <c r="AM3119" s="37"/>
      <c r="AN3119" s="37"/>
      <c r="AO3119" s="37"/>
      <c r="AP3119" s="37"/>
      <c r="AQ3119" s="37"/>
      <c r="AR3119" s="37"/>
      <c r="AS3119" s="37"/>
      <c r="AT3119" s="37"/>
      <c r="AU3119" s="37"/>
      <c r="AV3119" s="37"/>
      <c r="AW3119" s="37"/>
      <c r="AX3119" s="37"/>
      <c r="AY3119" s="37"/>
      <c r="AZ3119" s="37"/>
      <c r="BA3119" s="37"/>
      <c r="BB3119" s="37"/>
      <c r="BC3119" s="37"/>
      <c r="BD3119" s="37"/>
      <c r="BE3119" s="37"/>
      <c r="BF3119" s="37"/>
      <c r="BG3119" s="37"/>
      <c r="BH3119" s="37"/>
      <c r="BI3119" s="37"/>
      <c r="BJ3119" s="37"/>
      <c r="BK3119" s="37"/>
      <c r="BL3119" s="37"/>
      <c r="BM3119" s="37"/>
    </row>
    <row r="3120" spans="1:65" s="40" customFormat="1" ht="23.25" x14ac:dyDescent="0.35">
      <c r="A3120" s="37"/>
      <c r="B3120" s="37"/>
      <c r="C3120" s="41"/>
      <c r="D3120" s="38"/>
      <c r="E3120" s="57"/>
      <c r="F3120" s="42"/>
      <c r="G3120" s="43"/>
      <c r="H3120" s="37"/>
      <c r="I3120" s="37"/>
      <c r="J3120" s="38"/>
      <c r="K3120" s="37"/>
      <c r="L3120" s="38"/>
      <c r="M3120" s="39"/>
      <c r="P3120" s="37"/>
      <c r="Q3120" s="37"/>
      <c r="R3120" s="37"/>
      <c r="S3120" s="37"/>
      <c r="T3120" s="37"/>
      <c r="U3120" s="37"/>
      <c r="V3120" s="37"/>
      <c r="W3120" s="37"/>
      <c r="X3120" s="37"/>
      <c r="Y3120" s="37"/>
      <c r="Z3120" s="37"/>
      <c r="AA3120" s="37"/>
      <c r="AB3120" s="37"/>
      <c r="AC3120" s="37"/>
      <c r="AD3120" s="37"/>
      <c r="AE3120" s="37"/>
      <c r="AF3120" s="37"/>
      <c r="AG3120" s="37"/>
      <c r="AH3120" s="37"/>
      <c r="AI3120" s="37"/>
      <c r="AJ3120" s="37"/>
      <c r="AK3120" s="37"/>
      <c r="AL3120" s="37"/>
      <c r="AM3120" s="37"/>
      <c r="AN3120" s="37"/>
      <c r="AO3120" s="37"/>
      <c r="AP3120" s="37"/>
      <c r="AQ3120" s="37"/>
      <c r="AR3120" s="37"/>
      <c r="AS3120" s="37"/>
      <c r="AT3120" s="37"/>
      <c r="AU3120" s="37"/>
      <c r="AV3120" s="37"/>
      <c r="AW3120" s="37"/>
      <c r="AX3120" s="37"/>
      <c r="AY3120" s="37"/>
      <c r="AZ3120" s="37"/>
      <c r="BA3120" s="37"/>
      <c r="BB3120" s="37"/>
      <c r="BC3120" s="37"/>
      <c r="BD3120" s="37"/>
      <c r="BE3120" s="37"/>
      <c r="BF3120" s="37"/>
      <c r="BG3120" s="37"/>
      <c r="BH3120" s="37"/>
      <c r="BI3120" s="37"/>
      <c r="BJ3120" s="37"/>
      <c r="BK3120" s="37"/>
      <c r="BL3120" s="37"/>
      <c r="BM3120" s="37"/>
    </row>
    <row r="3121" spans="1:65" s="40" customFormat="1" ht="23.25" x14ac:dyDescent="0.35">
      <c r="A3121" s="37"/>
      <c r="B3121" s="37"/>
      <c r="C3121" s="41"/>
      <c r="D3121" s="38"/>
      <c r="E3121" s="57"/>
      <c r="F3121" s="42"/>
      <c r="G3121" s="43"/>
      <c r="H3121" s="37"/>
      <c r="I3121" s="37"/>
      <c r="J3121" s="38"/>
      <c r="K3121" s="37"/>
      <c r="L3121" s="38"/>
      <c r="M3121" s="39"/>
      <c r="P3121" s="37"/>
      <c r="Q3121" s="37"/>
      <c r="R3121" s="37"/>
      <c r="S3121" s="37"/>
      <c r="T3121" s="37"/>
      <c r="U3121" s="37"/>
      <c r="V3121" s="37"/>
      <c r="W3121" s="37"/>
      <c r="X3121" s="37"/>
      <c r="Y3121" s="37"/>
      <c r="Z3121" s="37"/>
      <c r="AA3121" s="37"/>
      <c r="AB3121" s="37"/>
      <c r="AC3121" s="37"/>
      <c r="AD3121" s="37"/>
      <c r="AE3121" s="37"/>
      <c r="AF3121" s="37"/>
      <c r="AG3121" s="37"/>
      <c r="AH3121" s="37"/>
      <c r="AI3121" s="37"/>
      <c r="AJ3121" s="37"/>
      <c r="AK3121" s="37"/>
      <c r="AL3121" s="37"/>
      <c r="AM3121" s="37"/>
      <c r="AN3121" s="37"/>
      <c r="AO3121" s="37"/>
      <c r="AP3121" s="37"/>
      <c r="AQ3121" s="37"/>
      <c r="AR3121" s="37"/>
      <c r="AS3121" s="37"/>
      <c r="AT3121" s="37"/>
      <c r="AU3121" s="37"/>
      <c r="AV3121" s="37"/>
      <c r="AW3121" s="37"/>
      <c r="AX3121" s="37"/>
      <c r="AY3121" s="37"/>
      <c r="AZ3121" s="37"/>
      <c r="BA3121" s="37"/>
      <c r="BB3121" s="37"/>
      <c r="BC3121" s="37"/>
      <c r="BD3121" s="37"/>
      <c r="BE3121" s="37"/>
      <c r="BF3121" s="37"/>
      <c r="BG3121" s="37"/>
      <c r="BH3121" s="37"/>
      <c r="BI3121" s="37"/>
      <c r="BJ3121" s="37"/>
      <c r="BK3121" s="37"/>
      <c r="BL3121" s="37"/>
      <c r="BM3121" s="37"/>
    </row>
    <row r="3122" spans="1:65" s="40" customFormat="1" ht="23.25" x14ac:dyDescent="0.35">
      <c r="A3122" s="37"/>
      <c r="B3122" s="37"/>
      <c r="C3122" s="41"/>
      <c r="D3122" s="38"/>
      <c r="E3122" s="57"/>
      <c r="F3122" s="42"/>
      <c r="G3122" s="43"/>
      <c r="H3122" s="37"/>
      <c r="I3122" s="37"/>
      <c r="J3122" s="38"/>
      <c r="K3122" s="37"/>
      <c r="L3122" s="38"/>
      <c r="M3122" s="39"/>
      <c r="P3122" s="37"/>
      <c r="Q3122" s="37"/>
      <c r="R3122" s="37"/>
      <c r="S3122" s="37"/>
      <c r="T3122" s="37"/>
      <c r="U3122" s="37"/>
      <c r="V3122" s="37"/>
      <c r="W3122" s="37"/>
      <c r="X3122" s="37"/>
      <c r="Y3122" s="37"/>
      <c r="Z3122" s="37"/>
      <c r="AA3122" s="37"/>
      <c r="AB3122" s="37"/>
      <c r="AC3122" s="37"/>
      <c r="AD3122" s="37"/>
      <c r="AE3122" s="37"/>
      <c r="AF3122" s="37"/>
      <c r="AG3122" s="37"/>
      <c r="AH3122" s="37"/>
      <c r="AI3122" s="37"/>
      <c r="AJ3122" s="37"/>
      <c r="AK3122" s="37"/>
      <c r="AL3122" s="37"/>
      <c r="AM3122" s="37"/>
      <c r="AN3122" s="37"/>
      <c r="AO3122" s="37"/>
      <c r="AP3122" s="37"/>
      <c r="AQ3122" s="37"/>
      <c r="AR3122" s="37"/>
      <c r="AS3122" s="37"/>
      <c r="AT3122" s="37"/>
      <c r="AU3122" s="37"/>
      <c r="AV3122" s="37"/>
      <c r="AW3122" s="37"/>
      <c r="AX3122" s="37"/>
      <c r="AY3122" s="37"/>
      <c r="AZ3122" s="37"/>
      <c r="BA3122" s="37"/>
      <c r="BB3122" s="37"/>
      <c r="BC3122" s="37"/>
      <c r="BD3122" s="37"/>
      <c r="BE3122" s="37"/>
      <c r="BF3122" s="37"/>
      <c r="BG3122" s="37"/>
      <c r="BH3122" s="37"/>
      <c r="BI3122" s="37"/>
      <c r="BJ3122" s="37"/>
      <c r="BK3122" s="37"/>
      <c r="BL3122" s="37"/>
      <c r="BM3122" s="37"/>
    </row>
    <row r="3123" spans="1:65" s="40" customFormat="1" ht="23.25" x14ac:dyDescent="0.35">
      <c r="A3123" s="37"/>
      <c r="B3123" s="37"/>
      <c r="C3123" s="41"/>
      <c r="D3123" s="38"/>
      <c r="E3123" s="57"/>
      <c r="F3123" s="42"/>
      <c r="G3123" s="43"/>
      <c r="H3123" s="37"/>
      <c r="I3123" s="37"/>
      <c r="J3123" s="38"/>
      <c r="K3123" s="37"/>
      <c r="L3123" s="38"/>
      <c r="M3123" s="39"/>
      <c r="P3123" s="37"/>
      <c r="Q3123" s="37"/>
      <c r="R3123" s="37"/>
      <c r="S3123" s="37"/>
      <c r="T3123" s="37"/>
      <c r="U3123" s="37"/>
      <c r="V3123" s="37"/>
      <c r="W3123" s="37"/>
      <c r="X3123" s="37"/>
      <c r="Y3123" s="37"/>
      <c r="Z3123" s="37"/>
      <c r="AA3123" s="37"/>
      <c r="AB3123" s="37"/>
      <c r="AC3123" s="37"/>
      <c r="AD3123" s="37"/>
      <c r="AE3123" s="37"/>
      <c r="AF3123" s="37"/>
      <c r="AG3123" s="37"/>
      <c r="AH3123" s="37"/>
      <c r="AI3123" s="37"/>
      <c r="AJ3123" s="37"/>
      <c r="AK3123" s="37"/>
      <c r="AL3123" s="37"/>
      <c r="AM3123" s="37"/>
      <c r="AN3123" s="37"/>
      <c r="AO3123" s="37"/>
      <c r="AP3123" s="37"/>
      <c r="AQ3123" s="37"/>
      <c r="AR3123" s="37"/>
      <c r="AS3123" s="37"/>
      <c r="AT3123" s="37"/>
      <c r="AU3123" s="37"/>
      <c r="AV3123" s="37"/>
      <c r="AW3123" s="37"/>
      <c r="AX3123" s="37"/>
      <c r="AY3123" s="37"/>
      <c r="AZ3123" s="37"/>
      <c r="BA3123" s="37"/>
      <c r="BB3123" s="37"/>
      <c r="BC3123" s="37"/>
      <c r="BD3123" s="37"/>
      <c r="BE3123" s="37"/>
      <c r="BF3123" s="37"/>
      <c r="BG3123" s="37"/>
      <c r="BH3123" s="37"/>
      <c r="BI3123" s="37"/>
      <c r="BJ3123" s="37"/>
      <c r="BK3123" s="37"/>
      <c r="BL3123" s="37"/>
      <c r="BM3123" s="37"/>
    </row>
    <row r="3124" spans="1:65" s="40" customFormat="1" ht="23.25" x14ac:dyDescent="0.35">
      <c r="A3124" s="37"/>
      <c r="B3124" s="37"/>
      <c r="C3124" s="41"/>
      <c r="D3124" s="38"/>
      <c r="E3124" s="57"/>
      <c r="F3124" s="42"/>
      <c r="G3124" s="43"/>
      <c r="H3124" s="37"/>
      <c r="I3124" s="37"/>
      <c r="J3124" s="38"/>
      <c r="K3124" s="37"/>
      <c r="L3124" s="38"/>
      <c r="M3124" s="39"/>
      <c r="P3124" s="37"/>
      <c r="Q3124" s="37"/>
      <c r="R3124" s="37"/>
      <c r="S3124" s="37"/>
      <c r="T3124" s="37"/>
      <c r="U3124" s="37"/>
      <c r="V3124" s="37"/>
      <c r="W3124" s="37"/>
      <c r="X3124" s="37"/>
      <c r="Y3124" s="37"/>
      <c r="Z3124" s="37"/>
      <c r="AA3124" s="37"/>
      <c r="AB3124" s="37"/>
      <c r="AC3124" s="37"/>
      <c r="AD3124" s="37"/>
      <c r="AE3124" s="37"/>
      <c r="AF3124" s="37"/>
      <c r="AG3124" s="37"/>
      <c r="AH3124" s="37"/>
      <c r="AI3124" s="37"/>
      <c r="AJ3124" s="37"/>
      <c r="AK3124" s="37"/>
      <c r="AL3124" s="37"/>
      <c r="AM3124" s="37"/>
      <c r="AN3124" s="37"/>
      <c r="AO3124" s="37"/>
      <c r="AP3124" s="37"/>
      <c r="AQ3124" s="37"/>
      <c r="AR3124" s="37"/>
      <c r="AS3124" s="37"/>
      <c r="AT3124" s="37"/>
      <c r="AU3124" s="37"/>
      <c r="AV3124" s="37"/>
      <c r="AW3124" s="37"/>
      <c r="AX3124" s="37"/>
      <c r="AY3124" s="37"/>
      <c r="AZ3124" s="37"/>
      <c r="BA3124" s="37"/>
      <c r="BB3124" s="37"/>
      <c r="BC3124" s="37"/>
      <c r="BD3124" s="37"/>
      <c r="BE3124" s="37"/>
      <c r="BF3124" s="37"/>
      <c r="BG3124" s="37"/>
      <c r="BH3124" s="37"/>
      <c r="BI3124" s="37"/>
      <c r="BJ3124" s="37"/>
      <c r="BK3124" s="37"/>
      <c r="BL3124" s="37"/>
      <c r="BM3124" s="37"/>
    </row>
    <row r="3125" spans="1:65" s="40" customFormat="1" ht="23.25" x14ac:dyDescent="0.35">
      <c r="A3125" s="37"/>
      <c r="B3125" s="37"/>
      <c r="C3125" s="41"/>
      <c r="D3125" s="38"/>
      <c r="E3125" s="57"/>
      <c r="F3125" s="42"/>
      <c r="G3125" s="43"/>
      <c r="H3125" s="37"/>
      <c r="I3125" s="37"/>
      <c r="J3125" s="38"/>
      <c r="K3125" s="37"/>
      <c r="L3125" s="38"/>
      <c r="M3125" s="39"/>
      <c r="P3125" s="37"/>
      <c r="Q3125" s="37"/>
      <c r="R3125" s="37"/>
      <c r="S3125" s="37"/>
      <c r="T3125" s="37"/>
      <c r="U3125" s="37"/>
      <c r="V3125" s="37"/>
      <c r="W3125" s="37"/>
      <c r="X3125" s="37"/>
      <c r="Y3125" s="37"/>
      <c r="Z3125" s="37"/>
      <c r="AA3125" s="37"/>
      <c r="AB3125" s="37"/>
      <c r="AC3125" s="37"/>
      <c r="AD3125" s="37"/>
      <c r="AE3125" s="37"/>
      <c r="AF3125" s="37"/>
      <c r="AG3125" s="37"/>
      <c r="AH3125" s="37"/>
      <c r="AI3125" s="37"/>
      <c r="AJ3125" s="37"/>
      <c r="AK3125" s="37"/>
      <c r="AL3125" s="37"/>
      <c r="AM3125" s="37"/>
      <c r="AN3125" s="37"/>
      <c r="AO3125" s="37"/>
      <c r="AP3125" s="37"/>
      <c r="AQ3125" s="37"/>
      <c r="AR3125" s="37"/>
      <c r="AS3125" s="37"/>
      <c r="AT3125" s="37"/>
      <c r="AU3125" s="37"/>
      <c r="AV3125" s="37"/>
      <c r="AW3125" s="37"/>
      <c r="AX3125" s="37"/>
      <c r="AY3125" s="37"/>
      <c r="AZ3125" s="37"/>
      <c r="BA3125" s="37"/>
      <c r="BB3125" s="37"/>
      <c r="BC3125" s="37"/>
      <c r="BD3125" s="37"/>
      <c r="BE3125" s="37"/>
      <c r="BF3125" s="37"/>
      <c r="BG3125" s="37"/>
      <c r="BH3125" s="37"/>
      <c r="BI3125" s="37"/>
      <c r="BJ3125" s="37"/>
      <c r="BK3125" s="37"/>
      <c r="BL3125" s="37"/>
      <c r="BM3125" s="37"/>
    </row>
    <row r="3126" spans="1:65" s="40" customFormat="1" ht="23.25" x14ac:dyDescent="0.35">
      <c r="A3126" s="37"/>
      <c r="B3126" s="37"/>
      <c r="C3126" s="41"/>
      <c r="D3126" s="38"/>
      <c r="E3126" s="57"/>
      <c r="F3126" s="42"/>
      <c r="G3126" s="43"/>
      <c r="H3126" s="37"/>
      <c r="I3126" s="37"/>
      <c r="J3126" s="38"/>
      <c r="K3126" s="37"/>
      <c r="L3126" s="38"/>
      <c r="M3126" s="39"/>
      <c r="P3126" s="37"/>
      <c r="Q3126" s="37"/>
      <c r="R3126" s="37"/>
      <c r="S3126" s="37"/>
      <c r="T3126" s="37"/>
      <c r="U3126" s="37"/>
      <c r="V3126" s="37"/>
      <c r="W3126" s="37"/>
      <c r="X3126" s="37"/>
      <c r="Y3126" s="37"/>
      <c r="Z3126" s="37"/>
      <c r="AA3126" s="37"/>
      <c r="AB3126" s="37"/>
      <c r="AC3126" s="37"/>
      <c r="AD3126" s="37"/>
      <c r="AE3126" s="37"/>
      <c r="AF3126" s="37"/>
      <c r="AG3126" s="37"/>
      <c r="AH3126" s="37"/>
      <c r="AI3126" s="37"/>
      <c r="AJ3126" s="37"/>
      <c r="AK3126" s="37"/>
      <c r="AL3126" s="37"/>
      <c r="AM3126" s="37"/>
      <c r="AN3126" s="37"/>
      <c r="AO3126" s="37"/>
      <c r="AP3126" s="37"/>
      <c r="AQ3126" s="37"/>
      <c r="AR3126" s="37"/>
      <c r="AS3126" s="37"/>
      <c r="AT3126" s="37"/>
      <c r="AU3126" s="37"/>
      <c r="AV3126" s="37"/>
      <c r="AW3126" s="37"/>
      <c r="AX3126" s="37"/>
      <c r="AY3126" s="37"/>
      <c r="AZ3126" s="37"/>
      <c r="BA3126" s="37"/>
      <c r="BB3126" s="37"/>
      <c r="BC3126" s="37"/>
      <c r="BD3126" s="37"/>
      <c r="BE3126" s="37"/>
      <c r="BF3126" s="37"/>
      <c r="BG3126" s="37"/>
      <c r="BH3126" s="37"/>
      <c r="BI3126" s="37"/>
      <c r="BJ3126" s="37"/>
      <c r="BK3126" s="37"/>
      <c r="BL3126" s="37"/>
      <c r="BM3126" s="37"/>
    </row>
    <row r="3127" spans="1:65" s="40" customFormat="1" ht="23.25" x14ac:dyDescent="0.35">
      <c r="A3127" s="37"/>
      <c r="B3127" s="37"/>
      <c r="C3127" s="41"/>
      <c r="D3127" s="38"/>
      <c r="E3127" s="57"/>
      <c r="F3127" s="42"/>
      <c r="G3127" s="43"/>
      <c r="H3127" s="37"/>
      <c r="I3127" s="37"/>
      <c r="J3127" s="38"/>
      <c r="K3127" s="37"/>
      <c r="L3127" s="38"/>
      <c r="M3127" s="39"/>
      <c r="P3127" s="37"/>
      <c r="Q3127" s="37"/>
      <c r="R3127" s="37"/>
      <c r="S3127" s="37"/>
      <c r="T3127" s="37"/>
      <c r="U3127" s="37"/>
      <c r="V3127" s="37"/>
      <c r="W3127" s="37"/>
      <c r="X3127" s="37"/>
      <c r="Y3127" s="37"/>
      <c r="Z3127" s="37"/>
      <c r="AA3127" s="37"/>
      <c r="AB3127" s="37"/>
      <c r="AC3127" s="37"/>
      <c r="AD3127" s="37"/>
      <c r="AE3127" s="37"/>
      <c r="AF3127" s="37"/>
      <c r="AG3127" s="37"/>
      <c r="AH3127" s="37"/>
      <c r="AI3127" s="37"/>
      <c r="AJ3127" s="37"/>
      <c r="AK3127" s="37"/>
      <c r="AL3127" s="37"/>
      <c r="AM3127" s="37"/>
      <c r="AN3127" s="37"/>
      <c r="AO3127" s="37"/>
      <c r="AP3127" s="37"/>
      <c r="AQ3127" s="37"/>
      <c r="AR3127" s="37"/>
      <c r="AS3127" s="37"/>
      <c r="AT3127" s="37"/>
      <c r="AU3127" s="37"/>
      <c r="AV3127" s="37"/>
      <c r="AW3127" s="37"/>
      <c r="AX3127" s="37"/>
      <c r="AY3127" s="37"/>
      <c r="AZ3127" s="37"/>
      <c r="BA3127" s="37"/>
      <c r="BB3127" s="37"/>
      <c r="BC3127" s="37"/>
      <c r="BD3127" s="37"/>
      <c r="BE3127" s="37"/>
      <c r="BF3127" s="37"/>
      <c r="BG3127" s="37"/>
      <c r="BH3127" s="37"/>
      <c r="BI3127" s="37"/>
      <c r="BJ3127" s="37"/>
      <c r="BK3127" s="37"/>
      <c r="BL3127" s="37"/>
      <c r="BM3127" s="37"/>
    </row>
    <row r="3128" spans="1:65" s="40" customFormat="1" ht="23.25" x14ac:dyDescent="0.35">
      <c r="A3128" s="37"/>
      <c r="B3128" s="37"/>
      <c r="C3128" s="41"/>
      <c r="D3128" s="38"/>
      <c r="E3128" s="57"/>
      <c r="F3128" s="42"/>
      <c r="G3128" s="43"/>
      <c r="H3128" s="37"/>
      <c r="I3128" s="37"/>
      <c r="J3128" s="38"/>
      <c r="K3128" s="37"/>
      <c r="L3128" s="38"/>
      <c r="M3128" s="39"/>
      <c r="P3128" s="37"/>
      <c r="Q3128" s="37"/>
      <c r="R3128" s="37"/>
      <c r="S3128" s="37"/>
      <c r="T3128" s="37"/>
      <c r="U3128" s="37"/>
      <c r="V3128" s="37"/>
      <c r="W3128" s="37"/>
      <c r="X3128" s="37"/>
      <c r="Y3128" s="37"/>
      <c r="Z3128" s="37"/>
      <c r="AA3128" s="37"/>
      <c r="AB3128" s="37"/>
      <c r="AC3128" s="37"/>
      <c r="AD3128" s="37"/>
      <c r="AE3128" s="37"/>
      <c r="AF3128" s="37"/>
      <c r="AG3128" s="37"/>
      <c r="AH3128" s="37"/>
      <c r="AI3128" s="37"/>
      <c r="AJ3128" s="37"/>
      <c r="AK3128" s="37"/>
      <c r="AL3128" s="37"/>
      <c r="AM3128" s="37"/>
      <c r="AN3128" s="37"/>
      <c r="AO3128" s="37"/>
      <c r="AP3128" s="37"/>
      <c r="AQ3128" s="37"/>
      <c r="AR3128" s="37"/>
      <c r="AS3128" s="37"/>
      <c r="AT3128" s="37"/>
      <c r="AU3128" s="37"/>
      <c r="AV3128" s="37"/>
      <c r="AW3128" s="37"/>
      <c r="AX3128" s="37"/>
      <c r="AY3128" s="37"/>
      <c r="AZ3128" s="37"/>
      <c r="BA3128" s="37"/>
      <c r="BB3128" s="37"/>
      <c r="BC3128" s="37"/>
      <c r="BD3128" s="37"/>
      <c r="BE3128" s="37"/>
      <c r="BF3128" s="37"/>
      <c r="BG3128" s="37"/>
      <c r="BH3128" s="37"/>
      <c r="BI3128" s="37"/>
      <c r="BJ3128" s="37"/>
      <c r="BK3128" s="37"/>
      <c r="BL3128" s="37"/>
      <c r="BM3128" s="37"/>
    </row>
    <row r="3129" spans="1:65" s="40" customFormat="1" ht="23.25" x14ac:dyDescent="0.35">
      <c r="A3129" s="37"/>
      <c r="B3129" s="37"/>
      <c r="C3129" s="41"/>
      <c r="D3129" s="38"/>
      <c r="E3129" s="57"/>
      <c r="F3129" s="42"/>
      <c r="G3129" s="43"/>
      <c r="H3129" s="37"/>
      <c r="I3129" s="37"/>
      <c r="J3129" s="38"/>
      <c r="K3129" s="37"/>
      <c r="L3129" s="38"/>
      <c r="M3129" s="39"/>
      <c r="P3129" s="37"/>
      <c r="Q3129" s="37"/>
      <c r="R3129" s="37"/>
      <c r="S3129" s="37"/>
      <c r="T3129" s="37"/>
      <c r="U3129" s="37"/>
      <c r="V3129" s="37"/>
      <c r="W3129" s="37"/>
      <c r="X3129" s="37"/>
      <c r="Y3129" s="37"/>
      <c r="Z3129" s="37"/>
      <c r="AA3129" s="37"/>
      <c r="AB3129" s="37"/>
      <c r="AC3129" s="37"/>
      <c r="AD3129" s="37"/>
      <c r="AE3129" s="37"/>
      <c r="AF3129" s="37"/>
      <c r="AG3129" s="37"/>
      <c r="AH3129" s="37"/>
      <c r="AI3129" s="37"/>
      <c r="AJ3129" s="37"/>
      <c r="AK3129" s="37"/>
      <c r="AL3129" s="37"/>
      <c r="AM3129" s="37"/>
      <c r="AN3129" s="37"/>
      <c r="AO3129" s="37"/>
      <c r="AP3129" s="37"/>
      <c r="AQ3129" s="37"/>
      <c r="AR3129" s="37"/>
      <c r="AS3129" s="37"/>
      <c r="AT3129" s="37"/>
      <c r="AU3129" s="37"/>
      <c r="AV3129" s="37"/>
      <c r="AW3129" s="37"/>
      <c r="AX3129" s="37"/>
      <c r="AY3129" s="37"/>
      <c r="AZ3129" s="37"/>
      <c r="BA3129" s="37"/>
      <c r="BB3129" s="37"/>
      <c r="BC3129" s="37"/>
      <c r="BD3129" s="37"/>
      <c r="BE3129" s="37"/>
      <c r="BF3129" s="37"/>
      <c r="BG3129" s="37"/>
      <c r="BH3129" s="37"/>
      <c r="BI3129" s="37"/>
      <c r="BJ3129" s="37"/>
      <c r="BK3129" s="37"/>
      <c r="BL3129" s="37"/>
      <c r="BM3129" s="37"/>
    </row>
    <row r="3130" spans="1:65" s="40" customFormat="1" ht="23.25" x14ac:dyDescent="0.35">
      <c r="A3130" s="37"/>
      <c r="B3130" s="37"/>
      <c r="C3130" s="41"/>
      <c r="D3130" s="38"/>
      <c r="E3130" s="57"/>
      <c r="F3130" s="42"/>
      <c r="G3130" s="43"/>
      <c r="H3130" s="37"/>
      <c r="I3130" s="37"/>
      <c r="J3130" s="38"/>
      <c r="K3130" s="37"/>
      <c r="L3130" s="38"/>
      <c r="M3130" s="39"/>
      <c r="P3130" s="37"/>
      <c r="Q3130" s="37"/>
      <c r="R3130" s="37"/>
      <c r="S3130" s="37"/>
      <c r="T3130" s="37"/>
      <c r="U3130" s="37"/>
      <c r="V3130" s="37"/>
      <c r="W3130" s="37"/>
      <c r="X3130" s="37"/>
      <c r="Y3130" s="37"/>
      <c r="Z3130" s="37"/>
      <c r="AA3130" s="37"/>
      <c r="AB3130" s="37"/>
      <c r="AC3130" s="37"/>
      <c r="AD3130" s="37"/>
      <c r="AE3130" s="37"/>
      <c r="AF3130" s="37"/>
      <c r="AG3130" s="37"/>
      <c r="AH3130" s="37"/>
      <c r="AI3130" s="37"/>
      <c r="AJ3130" s="37"/>
      <c r="AK3130" s="37"/>
      <c r="AL3130" s="37"/>
      <c r="AM3130" s="37"/>
      <c r="AN3130" s="37"/>
      <c r="AO3130" s="37"/>
      <c r="AP3130" s="37"/>
      <c r="AQ3130" s="37"/>
      <c r="AR3130" s="37"/>
      <c r="AS3130" s="37"/>
      <c r="AT3130" s="37"/>
      <c r="AU3130" s="37"/>
      <c r="AV3130" s="37"/>
      <c r="AW3130" s="37"/>
      <c r="AX3130" s="37"/>
      <c r="AY3130" s="37"/>
      <c r="AZ3130" s="37"/>
      <c r="BA3130" s="37"/>
      <c r="BB3130" s="37"/>
      <c r="BC3130" s="37"/>
      <c r="BD3130" s="37"/>
      <c r="BE3130" s="37"/>
      <c r="BF3130" s="37"/>
      <c r="BG3130" s="37"/>
      <c r="BH3130" s="37"/>
      <c r="BI3130" s="37"/>
      <c r="BJ3130" s="37"/>
      <c r="BK3130" s="37"/>
      <c r="BL3130" s="37"/>
      <c r="BM3130" s="37"/>
    </row>
    <row r="3131" spans="1:65" s="40" customFormat="1" ht="23.25" x14ac:dyDescent="0.35">
      <c r="A3131" s="37"/>
      <c r="B3131" s="37"/>
      <c r="C3131" s="41"/>
      <c r="D3131" s="38"/>
      <c r="E3131" s="57"/>
      <c r="F3131" s="42"/>
      <c r="G3131" s="43"/>
      <c r="H3131" s="37"/>
      <c r="I3131" s="37"/>
      <c r="J3131" s="38"/>
      <c r="K3131" s="37"/>
      <c r="L3131" s="38"/>
      <c r="M3131" s="39"/>
      <c r="P3131" s="37"/>
      <c r="Q3131" s="37"/>
      <c r="R3131" s="37"/>
      <c r="S3131" s="37"/>
      <c r="T3131" s="37"/>
      <c r="U3131" s="37"/>
      <c r="V3131" s="37"/>
      <c r="W3131" s="37"/>
      <c r="X3131" s="37"/>
      <c r="Y3131" s="37"/>
      <c r="Z3131" s="37"/>
      <c r="AA3131" s="37"/>
      <c r="AB3131" s="37"/>
      <c r="AC3131" s="37"/>
      <c r="AD3131" s="37"/>
      <c r="AE3131" s="37"/>
      <c r="AF3131" s="37"/>
      <c r="AG3131" s="37"/>
      <c r="AH3131" s="37"/>
      <c r="AI3131" s="37"/>
      <c r="AJ3131" s="37"/>
      <c r="AK3131" s="37"/>
      <c r="AL3131" s="37"/>
      <c r="AM3131" s="37"/>
      <c r="AN3131" s="37"/>
      <c r="AO3131" s="37"/>
      <c r="AP3131" s="37"/>
      <c r="AQ3131" s="37"/>
      <c r="AR3131" s="37"/>
      <c r="AS3131" s="37"/>
      <c r="AT3131" s="37"/>
      <c r="AU3131" s="37"/>
      <c r="AV3131" s="37"/>
      <c r="AW3131" s="37"/>
      <c r="AX3131" s="37"/>
      <c r="AY3131" s="37"/>
      <c r="AZ3131" s="37"/>
      <c r="BA3131" s="37"/>
      <c r="BB3131" s="37"/>
      <c r="BC3131" s="37"/>
      <c r="BD3131" s="37"/>
      <c r="BE3131" s="37"/>
      <c r="BF3131" s="37"/>
      <c r="BG3131" s="37"/>
      <c r="BH3131" s="37"/>
      <c r="BI3131" s="37"/>
      <c r="BJ3131" s="37"/>
      <c r="BK3131" s="37"/>
      <c r="BL3131" s="37"/>
      <c r="BM3131" s="37"/>
    </row>
    <row r="3132" spans="1:65" s="40" customFormat="1" ht="23.25" x14ac:dyDescent="0.35">
      <c r="A3132" s="37"/>
      <c r="B3132" s="37"/>
      <c r="C3132" s="41"/>
      <c r="D3132" s="38"/>
      <c r="E3132" s="57"/>
      <c r="F3132" s="42"/>
      <c r="G3132" s="43"/>
      <c r="H3132" s="37"/>
      <c r="I3132" s="37"/>
      <c r="J3132" s="38"/>
      <c r="K3132" s="37"/>
      <c r="L3132" s="38"/>
      <c r="M3132" s="39"/>
      <c r="P3132" s="37"/>
      <c r="Q3132" s="37"/>
      <c r="R3132" s="37"/>
      <c r="S3132" s="37"/>
      <c r="T3132" s="37"/>
      <c r="U3132" s="37"/>
      <c r="V3132" s="37"/>
      <c r="W3132" s="37"/>
      <c r="X3132" s="37"/>
      <c r="Y3132" s="37"/>
      <c r="Z3132" s="37"/>
      <c r="AA3132" s="37"/>
      <c r="AB3132" s="37"/>
      <c r="AC3132" s="37"/>
      <c r="AD3132" s="37"/>
      <c r="AE3132" s="37"/>
      <c r="AF3132" s="37"/>
      <c r="AG3132" s="37"/>
      <c r="AH3132" s="37"/>
      <c r="AI3132" s="37"/>
      <c r="AJ3132" s="37"/>
      <c r="AK3132" s="37"/>
      <c r="AL3132" s="37"/>
      <c r="AM3132" s="37"/>
      <c r="AN3132" s="37"/>
      <c r="AO3132" s="37"/>
      <c r="AP3132" s="37"/>
      <c r="AQ3132" s="37"/>
      <c r="AR3132" s="37"/>
      <c r="AS3132" s="37"/>
      <c r="AT3132" s="37"/>
      <c r="AU3132" s="37"/>
      <c r="AV3132" s="37"/>
      <c r="AW3132" s="37"/>
      <c r="AX3132" s="37"/>
      <c r="AY3132" s="37"/>
      <c r="AZ3132" s="37"/>
      <c r="BA3132" s="37"/>
      <c r="BB3132" s="37"/>
      <c r="BC3132" s="37"/>
      <c r="BD3132" s="37"/>
      <c r="BE3132" s="37"/>
      <c r="BF3132" s="37"/>
      <c r="BG3132" s="37"/>
      <c r="BH3132" s="37"/>
      <c r="BI3132" s="37"/>
      <c r="BJ3132" s="37"/>
      <c r="BK3132" s="37"/>
      <c r="BL3132" s="37"/>
      <c r="BM3132" s="37"/>
    </row>
    <row r="3133" spans="1:65" s="40" customFormat="1" ht="23.25" x14ac:dyDescent="0.35">
      <c r="A3133" s="37"/>
      <c r="B3133" s="37"/>
      <c r="C3133" s="41"/>
      <c r="D3133" s="38"/>
      <c r="E3133" s="57"/>
      <c r="F3133" s="42"/>
      <c r="G3133" s="43"/>
      <c r="H3133" s="37"/>
      <c r="I3133" s="37"/>
      <c r="J3133" s="38"/>
      <c r="K3133" s="37"/>
      <c r="L3133" s="38"/>
      <c r="M3133" s="39"/>
      <c r="P3133" s="37"/>
      <c r="Q3133" s="37"/>
      <c r="R3133" s="37"/>
      <c r="S3133" s="37"/>
      <c r="T3133" s="37"/>
      <c r="U3133" s="37"/>
      <c r="V3133" s="37"/>
      <c r="W3133" s="37"/>
      <c r="X3133" s="37"/>
      <c r="Y3133" s="37"/>
      <c r="Z3133" s="37"/>
      <c r="AA3133" s="37"/>
      <c r="AB3133" s="37"/>
      <c r="AC3133" s="37"/>
      <c r="AD3133" s="37"/>
      <c r="AE3133" s="37"/>
      <c r="AF3133" s="37"/>
      <c r="AG3133" s="37"/>
      <c r="AH3133" s="37"/>
      <c r="AI3133" s="37"/>
      <c r="AJ3133" s="37"/>
      <c r="AK3133" s="37"/>
      <c r="AL3133" s="37"/>
      <c r="AM3133" s="37"/>
      <c r="AN3133" s="37"/>
      <c r="AO3133" s="37"/>
      <c r="AP3133" s="37"/>
      <c r="AQ3133" s="37"/>
      <c r="AR3133" s="37"/>
      <c r="AS3133" s="37"/>
      <c r="AT3133" s="37"/>
      <c r="AU3133" s="37"/>
      <c r="AV3133" s="37"/>
      <c r="AW3133" s="37"/>
      <c r="AX3133" s="37"/>
      <c r="AY3133" s="37"/>
      <c r="AZ3133" s="37"/>
      <c r="BA3133" s="37"/>
      <c r="BB3133" s="37"/>
      <c r="BC3133" s="37"/>
      <c r="BD3133" s="37"/>
      <c r="BE3133" s="37"/>
      <c r="BF3133" s="37"/>
      <c r="BG3133" s="37"/>
      <c r="BH3133" s="37"/>
      <c r="BI3133" s="37"/>
      <c r="BJ3133" s="37"/>
      <c r="BK3133" s="37"/>
      <c r="BL3133" s="37"/>
      <c r="BM3133" s="37"/>
    </row>
    <row r="3134" spans="1:65" s="40" customFormat="1" ht="23.25" x14ac:dyDescent="0.35">
      <c r="A3134" s="37"/>
      <c r="B3134" s="37"/>
      <c r="C3134" s="41"/>
      <c r="D3134" s="38"/>
      <c r="E3134" s="57"/>
      <c r="F3134" s="42"/>
      <c r="G3134" s="43"/>
      <c r="H3134" s="37"/>
      <c r="I3134" s="37"/>
      <c r="J3134" s="38"/>
      <c r="K3134" s="37"/>
      <c r="L3134" s="38"/>
      <c r="M3134" s="39"/>
      <c r="P3134" s="37"/>
      <c r="Q3134" s="37"/>
      <c r="R3134" s="37"/>
      <c r="S3134" s="37"/>
      <c r="T3134" s="37"/>
      <c r="U3134" s="37"/>
      <c r="V3134" s="37"/>
      <c r="W3134" s="37"/>
      <c r="X3134" s="37"/>
      <c r="Y3134" s="37"/>
      <c r="Z3134" s="37"/>
      <c r="AA3134" s="37"/>
      <c r="AB3134" s="37"/>
      <c r="AC3134" s="37"/>
      <c r="AD3134" s="37"/>
      <c r="AE3134" s="37"/>
      <c r="AF3134" s="37"/>
      <c r="AG3134" s="37"/>
      <c r="AH3134" s="37"/>
      <c r="AI3134" s="37"/>
      <c r="AJ3134" s="37"/>
      <c r="AK3134" s="37"/>
      <c r="AL3134" s="37"/>
      <c r="AM3134" s="37"/>
      <c r="AN3134" s="37"/>
      <c r="AO3134" s="37"/>
      <c r="AP3134" s="37"/>
      <c r="AQ3134" s="37"/>
      <c r="AR3134" s="37"/>
      <c r="AS3134" s="37"/>
      <c r="AT3134" s="37"/>
      <c r="AU3134" s="37"/>
      <c r="AV3134" s="37"/>
      <c r="AW3134" s="37"/>
      <c r="AX3134" s="37"/>
      <c r="AY3134" s="37"/>
      <c r="AZ3134" s="37"/>
      <c r="BA3134" s="37"/>
      <c r="BB3134" s="37"/>
      <c r="BC3134" s="37"/>
      <c r="BD3134" s="37"/>
      <c r="BE3134" s="37"/>
      <c r="BF3134" s="37"/>
      <c r="BG3134" s="37"/>
      <c r="BH3134" s="37"/>
      <c r="BI3134" s="37"/>
      <c r="BJ3134" s="37"/>
      <c r="BK3134" s="37"/>
      <c r="BL3134" s="37"/>
      <c r="BM3134" s="37"/>
    </row>
    <row r="3135" spans="1:65" s="40" customFormat="1" ht="23.25" x14ac:dyDescent="0.35">
      <c r="A3135" s="37"/>
      <c r="B3135" s="37"/>
      <c r="C3135" s="41"/>
      <c r="D3135" s="38"/>
      <c r="E3135" s="57"/>
      <c r="F3135" s="42"/>
      <c r="G3135" s="43"/>
      <c r="H3135" s="37"/>
      <c r="I3135" s="37"/>
      <c r="J3135" s="38"/>
      <c r="K3135" s="37"/>
      <c r="L3135" s="38"/>
      <c r="M3135" s="39"/>
      <c r="P3135" s="37"/>
      <c r="Q3135" s="37"/>
      <c r="R3135" s="37"/>
      <c r="S3135" s="37"/>
      <c r="T3135" s="37"/>
      <c r="U3135" s="37"/>
      <c r="V3135" s="37"/>
      <c r="W3135" s="37"/>
      <c r="X3135" s="37"/>
      <c r="Y3135" s="37"/>
      <c r="Z3135" s="37"/>
      <c r="AA3135" s="37"/>
      <c r="AB3135" s="37"/>
      <c r="AC3135" s="37"/>
      <c r="AD3135" s="37"/>
      <c r="AE3135" s="37"/>
      <c r="AF3135" s="37"/>
      <c r="AG3135" s="37"/>
      <c r="AH3135" s="37"/>
      <c r="AI3135" s="37"/>
      <c r="AJ3135" s="37"/>
      <c r="AK3135" s="37"/>
      <c r="AL3135" s="37"/>
      <c r="AM3135" s="37"/>
      <c r="AN3135" s="37"/>
      <c r="AO3135" s="37"/>
      <c r="AP3135" s="37"/>
      <c r="AQ3135" s="37"/>
      <c r="AR3135" s="37"/>
      <c r="AS3135" s="37"/>
      <c r="AT3135" s="37"/>
      <c r="AU3135" s="37"/>
      <c r="AV3135" s="37"/>
      <c r="AW3135" s="37"/>
      <c r="AX3135" s="37"/>
      <c r="AY3135" s="37"/>
      <c r="AZ3135" s="37"/>
      <c r="BA3135" s="37"/>
      <c r="BB3135" s="37"/>
      <c r="BC3135" s="37"/>
      <c r="BD3135" s="37"/>
      <c r="BE3135" s="37"/>
      <c r="BF3135" s="37"/>
      <c r="BG3135" s="37"/>
      <c r="BH3135" s="37"/>
      <c r="BI3135" s="37"/>
      <c r="BJ3135" s="37"/>
      <c r="BK3135" s="37"/>
      <c r="BL3135" s="37"/>
      <c r="BM3135" s="37"/>
    </row>
    <row r="3136" spans="1:65" s="40" customFormat="1" ht="23.25" x14ac:dyDescent="0.35">
      <c r="A3136" s="37"/>
      <c r="B3136" s="37"/>
      <c r="C3136" s="41"/>
      <c r="D3136" s="38"/>
      <c r="E3136" s="57"/>
      <c r="F3136" s="42"/>
      <c r="G3136" s="43"/>
      <c r="H3136" s="37"/>
      <c r="I3136" s="37"/>
      <c r="J3136" s="38"/>
      <c r="K3136" s="37"/>
      <c r="L3136" s="38"/>
      <c r="M3136" s="39"/>
      <c r="P3136" s="37"/>
      <c r="Q3136" s="37"/>
      <c r="R3136" s="37"/>
      <c r="S3136" s="37"/>
      <c r="T3136" s="37"/>
      <c r="U3136" s="37"/>
      <c r="V3136" s="37"/>
      <c r="W3136" s="37"/>
      <c r="X3136" s="37"/>
      <c r="Y3136" s="37"/>
      <c r="Z3136" s="37"/>
      <c r="AA3136" s="37"/>
      <c r="AB3136" s="37"/>
      <c r="AC3136" s="37"/>
      <c r="AD3136" s="37"/>
      <c r="AE3136" s="37"/>
      <c r="AF3136" s="37"/>
      <c r="AG3136" s="37"/>
      <c r="AH3136" s="37"/>
      <c r="AI3136" s="37"/>
      <c r="AJ3136" s="37"/>
      <c r="AK3136" s="37"/>
      <c r="AL3136" s="37"/>
      <c r="AM3136" s="37"/>
      <c r="AN3136" s="37"/>
      <c r="AO3136" s="37"/>
      <c r="AP3136" s="37"/>
      <c r="AQ3136" s="37"/>
      <c r="AR3136" s="37"/>
      <c r="AS3136" s="37"/>
      <c r="AT3136" s="37"/>
      <c r="AU3136" s="37"/>
      <c r="AV3136" s="37"/>
      <c r="AW3136" s="37"/>
      <c r="AX3136" s="37"/>
      <c r="AY3136" s="37"/>
      <c r="AZ3136" s="37"/>
      <c r="BA3136" s="37"/>
      <c r="BB3136" s="37"/>
      <c r="BC3136" s="37"/>
      <c r="BD3136" s="37"/>
      <c r="BE3136" s="37"/>
      <c r="BF3136" s="37"/>
      <c r="BG3136" s="37"/>
      <c r="BH3136" s="37"/>
      <c r="BI3136" s="37"/>
      <c r="BJ3136" s="37"/>
      <c r="BK3136" s="37"/>
      <c r="BL3136" s="37"/>
      <c r="BM3136" s="37"/>
    </row>
    <row r="3137" spans="1:65" s="40" customFormat="1" ht="23.25" x14ac:dyDescent="0.35">
      <c r="A3137" s="37"/>
      <c r="B3137" s="37"/>
      <c r="C3137" s="41"/>
      <c r="D3137" s="38"/>
      <c r="E3137" s="57"/>
      <c r="F3137" s="42"/>
      <c r="G3137" s="43"/>
      <c r="H3137" s="37"/>
      <c r="I3137" s="37"/>
      <c r="J3137" s="38"/>
      <c r="K3137" s="37"/>
      <c r="L3137" s="38"/>
      <c r="M3137" s="39"/>
      <c r="P3137" s="37"/>
      <c r="Q3137" s="37"/>
      <c r="R3137" s="37"/>
      <c r="S3137" s="37"/>
      <c r="T3137" s="37"/>
      <c r="U3137" s="37"/>
      <c r="V3137" s="37"/>
      <c r="W3137" s="37"/>
      <c r="X3137" s="37"/>
      <c r="Y3137" s="37"/>
      <c r="Z3137" s="37"/>
      <c r="AA3137" s="37"/>
      <c r="AB3137" s="37"/>
      <c r="AC3137" s="37"/>
      <c r="AD3137" s="37"/>
      <c r="AE3137" s="37"/>
      <c r="AF3137" s="37"/>
      <c r="AG3137" s="37"/>
      <c r="AH3137" s="37"/>
      <c r="AI3137" s="37"/>
      <c r="AJ3137" s="37"/>
      <c r="AK3137" s="37"/>
      <c r="AL3137" s="37"/>
      <c r="AM3137" s="37"/>
      <c r="AN3137" s="37"/>
      <c r="AO3137" s="37"/>
      <c r="AP3137" s="37"/>
      <c r="AQ3137" s="37"/>
      <c r="AR3137" s="37"/>
      <c r="AS3137" s="37"/>
      <c r="AT3137" s="37"/>
      <c r="AU3137" s="37"/>
      <c r="AV3137" s="37"/>
      <c r="AW3137" s="37"/>
      <c r="AX3137" s="37"/>
      <c r="AY3137" s="37"/>
      <c r="AZ3137" s="37"/>
      <c r="BA3137" s="37"/>
      <c r="BB3137" s="37"/>
      <c r="BC3137" s="37"/>
      <c r="BD3137" s="37"/>
      <c r="BE3137" s="37"/>
      <c r="BF3137" s="37"/>
      <c r="BG3137" s="37"/>
      <c r="BH3137" s="37"/>
      <c r="BI3137" s="37"/>
      <c r="BJ3137" s="37"/>
      <c r="BK3137" s="37"/>
      <c r="BL3137" s="37"/>
      <c r="BM3137" s="37"/>
    </row>
    <row r="3138" spans="1:65" s="40" customFormat="1" ht="23.25" x14ac:dyDescent="0.35">
      <c r="A3138" s="37"/>
      <c r="B3138" s="37"/>
      <c r="C3138" s="41"/>
      <c r="D3138" s="38"/>
      <c r="E3138" s="57"/>
      <c r="F3138" s="42"/>
      <c r="G3138" s="43"/>
      <c r="H3138" s="37"/>
      <c r="I3138" s="37"/>
      <c r="J3138" s="38"/>
      <c r="K3138" s="37"/>
      <c r="L3138" s="38"/>
      <c r="M3138" s="39"/>
      <c r="P3138" s="37"/>
      <c r="Q3138" s="37"/>
      <c r="R3138" s="37"/>
      <c r="S3138" s="37"/>
      <c r="T3138" s="37"/>
      <c r="U3138" s="37"/>
      <c r="V3138" s="37"/>
      <c r="W3138" s="37"/>
      <c r="X3138" s="37"/>
      <c r="Y3138" s="37"/>
      <c r="Z3138" s="37"/>
      <c r="AA3138" s="37"/>
      <c r="AB3138" s="37"/>
      <c r="AC3138" s="37"/>
      <c r="AD3138" s="37"/>
      <c r="AE3138" s="37"/>
      <c r="AF3138" s="37"/>
      <c r="AG3138" s="37"/>
      <c r="AH3138" s="37"/>
      <c r="AI3138" s="37"/>
      <c r="AJ3138" s="37"/>
      <c r="AK3138" s="37"/>
      <c r="AL3138" s="37"/>
      <c r="AM3138" s="37"/>
      <c r="AN3138" s="37"/>
      <c r="AO3138" s="37"/>
      <c r="AP3138" s="37"/>
      <c r="AQ3138" s="37"/>
      <c r="AR3138" s="37"/>
      <c r="AS3138" s="37"/>
      <c r="AT3138" s="37"/>
      <c r="AU3138" s="37"/>
      <c r="AV3138" s="37"/>
      <c r="AW3138" s="37"/>
      <c r="AX3138" s="37"/>
      <c r="AY3138" s="37"/>
      <c r="AZ3138" s="37"/>
      <c r="BA3138" s="37"/>
      <c r="BB3138" s="37"/>
      <c r="BC3138" s="37"/>
      <c r="BD3138" s="37"/>
      <c r="BE3138" s="37"/>
      <c r="BF3138" s="37"/>
      <c r="BG3138" s="37"/>
      <c r="BH3138" s="37"/>
      <c r="BI3138" s="37"/>
      <c r="BJ3138" s="37"/>
      <c r="BK3138" s="37"/>
      <c r="BL3138" s="37"/>
      <c r="BM3138" s="37"/>
    </row>
    <row r="3139" spans="1:65" s="40" customFormat="1" ht="23.25" x14ac:dyDescent="0.35">
      <c r="A3139" s="37"/>
      <c r="B3139" s="37"/>
      <c r="C3139" s="41"/>
      <c r="D3139" s="38"/>
      <c r="E3139" s="57"/>
      <c r="F3139" s="42"/>
      <c r="G3139" s="43"/>
      <c r="H3139" s="37"/>
      <c r="I3139" s="37"/>
      <c r="J3139" s="38"/>
      <c r="K3139" s="37"/>
      <c r="L3139" s="38"/>
      <c r="M3139" s="39"/>
      <c r="P3139" s="37"/>
      <c r="Q3139" s="37"/>
      <c r="R3139" s="37"/>
      <c r="S3139" s="37"/>
      <c r="T3139" s="37"/>
      <c r="U3139" s="37"/>
      <c r="V3139" s="37"/>
      <c r="W3139" s="37"/>
      <c r="X3139" s="37"/>
      <c r="Y3139" s="37"/>
      <c r="Z3139" s="37"/>
      <c r="AA3139" s="37"/>
      <c r="AB3139" s="37"/>
      <c r="AC3139" s="37"/>
      <c r="AD3139" s="37"/>
      <c r="AE3139" s="37"/>
      <c r="AF3139" s="37"/>
      <c r="AG3139" s="37"/>
      <c r="AH3139" s="37"/>
      <c r="AI3139" s="37"/>
      <c r="AJ3139" s="37"/>
      <c r="AK3139" s="37"/>
      <c r="AL3139" s="37"/>
      <c r="AM3139" s="37"/>
      <c r="AN3139" s="37"/>
      <c r="AO3139" s="37"/>
      <c r="AP3139" s="37"/>
      <c r="AQ3139" s="37"/>
      <c r="AR3139" s="37"/>
      <c r="AS3139" s="37"/>
      <c r="AT3139" s="37"/>
      <c r="AU3139" s="37"/>
      <c r="AV3139" s="37"/>
      <c r="AW3139" s="37"/>
      <c r="AX3139" s="37"/>
      <c r="AY3139" s="37"/>
      <c r="AZ3139" s="37"/>
      <c r="BA3139" s="37"/>
      <c r="BB3139" s="37"/>
      <c r="BC3139" s="37"/>
      <c r="BD3139" s="37"/>
      <c r="BE3139" s="37"/>
      <c r="BF3139" s="37"/>
      <c r="BG3139" s="37"/>
      <c r="BH3139" s="37"/>
      <c r="BI3139" s="37"/>
      <c r="BJ3139" s="37"/>
      <c r="BK3139" s="37"/>
      <c r="BL3139" s="37"/>
      <c r="BM3139" s="37"/>
    </row>
    <row r="3140" spans="1:65" s="40" customFormat="1" ht="23.25" x14ac:dyDescent="0.35">
      <c r="A3140" s="37"/>
      <c r="B3140" s="37"/>
      <c r="C3140" s="41"/>
      <c r="D3140" s="38"/>
      <c r="E3140" s="57"/>
      <c r="F3140" s="42"/>
      <c r="G3140" s="43"/>
      <c r="H3140" s="37"/>
      <c r="I3140" s="37"/>
      <c r="J3140" s="38"/>
      <c r="K3140" s="37"/>
      <c r="L3140" s="38"/>
      <c r="M3140" s="39"/>
      <c r="P3140" s="37"/>
      <c r="Q3140" s="37"/>
      <c r="R3140" s="37"/>
      <c r="S3140" s="37"/>
      <c r="T3140" s="37"/>
      <c r="U3140" s="37"/>
      <c r="V3140" s="37"/>
      <c r="W3140" s="37"/>
      <c r="X3140" s="37"/>
      <c r="Y3140" s="37"/>
      <c r="Z3140" s="37"/>
      <c r="AA3140" s="37"/>
      <c r="AB3140" s="37"/>
      <c r="AC3140" s="37"/>
      <c r="AD3140" s="37"/>
      <c r="AE3140" s="37"/>
      <c r="AF3140" s="37"/>
      <c r="AG3140" s="37"/>
      <c r="AH3140" s="37"/>
      <c r="AI3140" s="37"/>
      <c r="AJ3140" s="37"/>
      <c r="AK3140" s="37"/>
      <c r="AL3140" s="37"/>
      <c r="AM3140" s="37"/>
      <c r="AN3140" s="37"/>
      <c r="AO3140" s="37"/>
      <c r="AP3140" s="37"/>
      <c r="AQ3140" s="37"/>
      <c r="AR3140" s="37"/>
      <c r="AS3140" s="37"/>
      <c r="AT3140" s="37"/>
      <c r="AU3140" s="37"/>
      <c r="AV3140" s="37"/>
      <c r="AW3140" s="37"/>
      <c r="AX3140" s="37"/>
      <c r="AY3140" s="37"/>
      <c r="AZ3140" s="37"/>
      <c r="BA3140" s="37"/>
      <c r="BB3140" s="37"/>
      <c r="BC3140" s="37"/>
      <c r="BD3140" s="37"/>
      <c r="BE3140" s="37"/>
      <c r="BF3140" s="37"/>
      <c r="BG3140" s="37"/>
      <c r="BH3140" s="37"/>
      <c r="BI3140" s="37"/>
      <c r="BJ3140" s="37"/>
      <c r="BK3140" s="37"/>
      <c r="BL3140" s="37"/>
      <c r="BM3140" s="37"/>
    </row>
    <row r="3141" spans="1:65" s="40" customFormat="1" ht="23.25" x14ac:dyDescent="0.35">
      <c r="A3141" s="37"/>
      <c r="B3141" s="37"/>
      <c r="C3141" s="41"/>
      <c r="D3141" s="38"/>
      <c r="E3141" s="57"/>
      <c r="F3141" s="42"/>
      <c r="G3141" s="43"/>
      <c r="H3141" s="37"/>
      <c r="I3141" s="37"/>
      <c r="J3141" s="38"/>
      <c r="K3141" s="37"/>
      <c r="L3141" s="38"/>
      <c r="M3141" s="39"/>
      <c r="P3141" s="37"/>
      <c r="Q3141" s="37"/>
      <c r="R3141" s="37"/>
      <c r="S3141" s="37"/>
      <c r="T3141" s="37"/>
      <c r="U3141" s="37"/>
      <c r="V3141" s="37"/>
      <c r="W3141" s="37"/>
      <c r="X3141" s="37"/>
      <c r="Y3141" s="37"/>
      <c r="Z3141" s="37"/>
      <c r="AA3141" s="37"/>
      <c r="AB3141" s="37"/>
      <c r="AC3141" s="37"/>
      <c r="AD3141" s="37"/>
      <c r="AE3141" s="37"/>
      <c r="AF3141" s="37"/>
      <c r="AG3141" s="37"/>
      <c r="AH3141" s="37"/>
      <c r="AI3141" s="37"/>
      <c r="AJ3141" s="37"/>
      <c r="AK3141" s="37"/>
      <c r="AL3141" s="37"/>
      <c r="AM3141" s="37"/>
      <c r="AN3141" s="37"/>
      <c r="AO3141" s="37"/>
      <c r="AP3141" s="37"/>
      <c r="AQ3141" s="37"/>
      <c r="AR3141" s="37"/>
      <c r="AS3141" s="37"/>
      <c r="AT3141" s="37"/>
      <c r="AU3141" s="37"/>
      <c r="AV3141" s="37"/>
      <c r="AW3141" s="37"/>
      <c r="AX3141" s="37"/>
      <c r="AY3141" s="37"/>
      <c r="AZ3141" s="37"/>
      <c r="BA3141" s="37"/>
      <c r="BB3141" s="37"/>
      <c r="BC3141" s="37"/>
      <c r="BD3141" s="37"/>
      <c r="BE3141" s="37"/>
      <c r="BF3141" s="37"/>
      <c r="BG3141" s="37"/>
      <c r="BH3141" s="37"/>
      <c r="BI3141" s="37"/>
      <c r="BJ3141" s="37"/>
      <c r="BK3141" s="37"/>
      <c r="BL3141" s="37"/>
      <c r="BM3141" s="37"/>
    </row>
    <row r="3142" spans="1:65" s="40" customFormat="1" ht="23.25" x14ac:dyDescent="0.35">
      <c r="A3142" s="37"/>
      <c r="B3142" s="37"/>
      <c r="C3142" s="41"/>
      <c r="D3142" s="38"/>
      <c r="E3142" s="57"/>
      <c r="F3142" s="42"/>
      <c r="G3142" s="43"/>
      <c r="H3142" s="37"/>
      <c r="I3142" s="37"/>
      <c r="J3142" s="38"/>
      <c r="K3142" s="37"/>
      <c r="L3142" s="38"/>
      <c r="M3142" s="39"/>
      <c r="P3142" s="37"/>
      <c r="Q3142" s="37"/>
      <c r="R3142" s="37"/>
      <c r="S3142" s="37"/>
      <c r="T3142" s="37"/>
      <c r="U3142" s="37"/>
      <c r="V3142" s="37"/>
      <c r="W3142" s="37"/>
      <c r="X3142" s="37"/>
      <c r="Y3142" s="37"/>
      <c r="Z3142" s="37"/>
      <c r="AA3142" s="37"/>
      <c r="AB3142" s="37"/>
      <c r="AC3142" s="37"/>
      <c r="AD3142" s="37"/>
      <c r="AE3142" s="37"/>
      <c r="AF3142" s="37"/>
      <c r="AG3142" s="37"/>
      <c r="AH3142" s="37"/>
      <c r="AI3142" s="37"/>
      <c r="AJ3142" s="37"/>
      <c r="AK3142" s="37"/>
      <c r="AL3142" s="37"/>
      <c r="AM3142" s="37"/>
      <c r="AN3142" s="37"/>
      <c r="AO3142" s="37"/>
      <c r="AP3142" s="37"/>
      <c r="AQ3142" s="37"/>
      <c r="AR3142" s="37"/>
      <c r="AS3142" s="37"/>
      <c r="AT3142" s="37"/>
      <c r="AU3142" s="37"/>
      <c r="AV3142" s="37"/>
      <c r="AW3142" s="37"/>
      <c r="AX3142" s="37"/>
      <c r="AY3142" s="37"/>
      <c r="AZ3142" s="37"/>
      <c r="BA3142" s="37"/>
      <c r="BB3142" s="37"/>
      <c r="BC3142" s="37"/>
      <c r="BD3142" s="37"/>
      <c r="BE3142" s="37"/>
      <c r="BF3142" s="37"/>
      <c r="BG3142" s="37"/>
      <c r="BH3142" s="37"/>
      <c r="BI3142" s="37"/>
      <c r="BJ3142" s="37"/>
      <c r="BK3142" s="37"/>
      <c r="BL3142" s="37"/>
      <c r="BM3142" s="37"/>
    </row>
    <row r="3143" spans="1:65" s="40" customFormat="1" ht="23.25" x14ac:dyDescent="0.35">
      <c r="A3143" s="37"/>
      <c r="B3143" s="37"/>
      <c r="C3143" s="41"/>
      <c r="D3143" s="38"/>
      <c r="E3143" s="57"/>
      <c r="F3143" s="42"/>
      <c r="G3143" s="43"/>
      <c r="H3143" s="37"/>
      <c r="I3143" s="37"/>
      <c r="J3143" s="38"/>
      <c r="K3143" s="37"/>
      <c r="L3143" s="38"/>
      <c r="M3143" s="39"/>
      <c r="P3143" s="37"/>
      <c r="Q3143" s="37"/>
      <c r="R3143" s="37"/>
      <c r="S3143" s="37"/>
      <c r="T3143" s="37"/>
      <c r="U3143" s="37"/>
      <c r="V3143" s="37"/>
      <c r="W3143" s="37"/>
      <c r="X3143" s="37"/>
      <c r="Y3143" s="37"/>
      <c r="Z3143" s="37"/>
      <c r="AA3143" s="37"/>
      <c r="AB3143" s="37"/>
      <c r="AC3143" s="37"/>
      <c r="AD3143" s="37"/>
      <c r="AE3143" s="37"/>
      <c r="AF3143" s="37"/>
      <c r="AG3143" s="37"/>
      <c r="AH3143" s="37"/>
      <c r="AI3143" s="37"/>
      <c r="AJ3143" s="37"/>
      <c r="AK3143" s="37"/>
      <c r="AL3143" s="37"/>
      <c r="AM3143" s="37"/>
      <c r="AN3143" s="37"/>
      <c r="AO3143" s="37"/>
      <c r="AP3143" s="37"/>
      <c r="AQ3143" s="37"/>
      <c r="AR3143" s="37"/>
      <c r="AS3143" s="37"/>
      <c r="AT3143" s="37"/>
      <c r="AU3143" s="37"/>
      <c r="AV3143" s="37"/>
      <c r="AW3143" s="37"/>
      <c r="AX3143" s="37"/>
      <c r="AY3143" s="37"/>
      <c r="AZ3143" s="37"/>
      <c r="BA3143" s="37"/>
      <c r="BB3143" s="37"/>
      <c r="BC3143" s="37"/>
      <c r="BD3143" s="37"/>
      <c r="BE3143" s="37"/>
      <c r="BF3143" s="37"/>
      <c r="BG3143" s="37"/>
      <c r="BH3143" s="37"/>
      <c r="BI3143" s="37"/>
      <c r="BJ3143" s="37"/>
      <c r="BK3143" s="37"/>
      <c r="BL3143" s="37"/>
      <c r="BM3143" s="37"/>
    </row>
    <row r="3144" spans="1:65" s="40" customFormat="1" ht="23.25" x14ac:dyDescent="0.35">
      <c r="A3144" s="37"/>
      <c r="B3144" s="37"/>
      <c r="C3144" s="41"/>
      <c r="D3144" s="38"/>
      <c r="E3144" s="57"/>
      <c r="F3144" s="42"/>
      <c r="G3144" s="43"/>
      <c r="H3144" s="37"/>
      <c r="I3144" s="37"/>
      <c r="J3144" s="38"/>
      <c r="K3144" s="37"/>
      <c r="L3144" s="38"/>
      <c r="M3144" s="39"/>
      <c r="P3144" s="37"/>
      <c r="Q3144" s="37"/>
      <c r="R3144" s="37"/>
      <c r="S3144" s="37"/>
      <c r="T3144" s="37"/>
      <c r="U3144" s="37"/>
      <c r="V3144" s="37"/>
      <c r="W3144" s="37"/>
      <c r="X3144" s="37"/>
      <c r="Y3144" s="37"/>
      <c r="Z3144" s="37"/>
      <c r="AA3144" s="37"/>
      <c r="AB3144" s="37"/>
      <c r="AC3144" s="37"/>
      <c r="AD3144" s="37"/>
      <c r="AE3144" s="37"/>
      <c r="AF3144" s="37"/>
      <c r="AG3144" s="37"/>
      <c r="AH3144" s="37"/>
      <c r="AI3144" s="37"/>
      <c r="AJ3144" s="37"/>
      <c r="AK3144" s="37"/>
      <c r="AL3144" s="37"/>
      <c r="AM3144" s="37"/>
      <c r="AN3144" s="37"/>
      <c r="AO3144" s="37"/>
      <c r="AP3144" s="37"/>
      <c r="AQ3144" s="37"/>
      <c r="AR3144" s="37"/>
      <c r="AS3144" s="37"/>
      <c r="AT3144" s="37"/>
      <c r="AU3144" s="37"/>
      <c r="AV3144" s="37"/>
      <c r="AW3144" s="37"/>
      <c r="AX3144" s="37"/>
      <c r="AY3144" s="37"/>
      <c r="AZ3144" s="37"/>
      <c r="BA3144" s="37"/>
      <c r="BB3144" s="37"/>
      <c r="BC3144" s="37"/>
      <c r="BD3144" s="37"/>
      <c r="BE3144" s="37"/>
      <c r="BF3144" s="37"/>
      <c r="BG3144" s="37"/>
      <c r="BH3144" s="37"/>
      <c r="BI3144" s="37"/>
      <c r="BJ3144" s="37"/>
      <c r="BK3144" s="37"/>
      <c r="BL3144" s="37"/>
      <c r="BM3144" s="37"/>
    </row>
    <row r="3145" spans="1:65" s="40" customFormat="1" ht="23.25" x14ac:dyDescent="0.35">
      <c r="A3145" s="37"/>
      <c r="B3145" s="37"/>
      <c r="C3145" s="41"/>
      <c r="D3145" s="38"/>
      <c r="E3145" s="57"/>
      <c r="F3145" s="42"/>
      <c r="G3145" s="43"/>
      <c r="H3145" s="37"/>
      <c r="I3145" s="37"/>
      <c r="J3145" s="38"/>
      <c r="K3145" s="37"/>
      <c r="L3145" s="38"/>
      <c r="M3145" s="39"/>
      <c r="P3145" s="37"/>
      <c r="Q3145" s="37"/>
      <c r="R3145" s="37"/>
      <c r="S3145" s="37"/>
      <c r="T3145" s="37"/>
      <c r="U3145" s="37"/>
      <c r="V3145" s="37"/>
      <c r="W3145" s="37"/>
      <c r="X3145" s="37"/>
      <c r="Y3145" s="37"/>
      <c r="Z3145" s="37"/>
      <c r="AA3145" s="37"/>
      <c r="AB3145" s="37"/>
      <c r="AC3145" s="37"/>
      <c r="AD3145" s="37"/>
      <c r="AE3145" s="37"/>
      <c r="AF3145" s="37"/>
      <c r="AG3145" s="37"/>
      <c r="AH3145" s="37"/>
      <c r="AI3145" s="37"/>
      <c r="AJ3145" s="37"/>
      <c r="AK3145" s="37"/>
      <c r="AL3145" s="37"/>
      <c r="AM3145" s="37"/>
      <c r="AN3145" s="37"/>
      <c r="AO3145" s="37"/>
      <c r="AP3145" s="37"/>
      <c r="AQ3145" s="37"/>
      <c r="AR3145" s="37"/>
      <c r="AS3145" s="37"/>
      <c r="AT3145" s="37"/>
      <c r="AU3145" s="37"/>
      <c r="AV3145" s="37"/>
      <c r="AW3145" s="37"/>
      <c r="AX3145" s="37"/>
      <c r="AY3145" s="37"/>
      <c r="AZ3145" s="37"/>
      <c r="BA3145" s="37"/>
      <c r="BB3145" s="37"/>
      <c r="BC3145" s="37"/>
      <c r="BD3145" s="37"/>
      <c r="BE3145" s="37"/>
      <c r="BF3145" s="37"/>
      <c r="BG3145" s="37"/>
      <c r="BH3145" s="37"/>
      <c r="BI3145" s="37"/>
      <c r="BJ3145" s="37"/>
      <c r="BK3145" s="37"/>
      <c r="BL3145" s="37"/>
      <c r="BM3145" s="37"/>
    </row>
    <row r="3146" spans="1:65" s="40" customFormat="1" ht="23.25" x14ac:dyDescent="0.35">
      <c r="A3146" s="37"/>
      <c r="B3146" s="37"/>
      <c r="C3146" s="41"/>
      <c r="D3146" s="38"/>
      <c r="E3146" s="57"/>
      <c r="F3146" s="42"/>
      <c r="G3146" s="43"/>
      <c r="H3146" s="37"/>
      <c r="I3146" s="37"/>
      <c r="J3146" s="38"/>
      <c r="K3146" s="37"/>
      <c r="L3146" s="38"/>
      <c r="M3146" s="39"/>
      <c r="P3146" s="37"/>
      <c r="Q3146" s="37"/>
      <c r="R3146" s="37"/>
      <c r="S3146" s="37"/>
      <c r="T3146" s="37"/>
      <c r="U3146" s="37"/>
      <c r="V3146" s="37"/>
      <c r="W3146" s="37"/>
      <c r="X3146" s="37"/>
      <c r="Y3146" s="37"/>
      <c r="Z3146" s="37"/>
      <c r="AA3146" s="37"/>
      <c r="AB3146" s="37"/>
      <c r="AC3146" s="37"/>
      <c r="AD3146" s="37"/>
      <c r="AE3146" s="37"/>
      <c r="AF3146" s="37"/>
      <c r="AG3146" s="37"/>
      <c r="AH3146" s="37"/>
      <c r="AI3146" s="37"/>
      <c r="AJ3146" s="37"/>
      <c r="AK3146" s="37"/>
      <c r="AL3146" s="37"/>
      <c r="AM3146" s="37"/>
      <c r="AN3146" s="37"/>
      <c r="AO3146" s="37"/>
      <c r="AP3146" s="37"/>
      <c r="AQ3146" s="37"/>
      <c r="AR3146" s="37"/>
      <c r="AS3146" s="37"/>
      <c r="AT3146" s="37"/>
      <c r="AU3146" s="37"/>
      <c r="AV3146" s="37"/>
      <c r="AW3146" s="37"/>
      <c r="AX3146" s="37"/>
      <c r="AY3146" s="37"/>
      <c r="AZ3146" s="37"/>
      <c r="BA3146" s="37"/>
      <c r="BB3146" s="37"/>
      <c r="BC3146" s="37"/>
      <c r="BD3146" s="37"/>
      <c r="BE3146" s="37"/>
      <c r="BF3146" s="37"/>
      <c r="BG3146" s="37"/>
      <c r="BH3146" s="37"/>
      <c r="BI3146" s="37"/>
      <c r="BJ3146" s="37"/>
      <c r="BK3146" s="37"/>
      <c r="BL3146" s="37"/>
      <c r="BM3146" s="37"/>
    </row>
    <row r="3147" spans="1:65" s="40" customFormat="1" ht="23.25" x14ac:dyDescent="0.35">
      <c r="A3147" s="37"/>
      <c r="B3147" s="37"/>
      <c r="C3147" s="41"/>
      <c r="D3147" s="38"/>
      <c r="E3147" s="57"/>
      <c r="F3147" s="42"/>
      <c r="G3147" s="43"/>
      <c r="H3147" s="37"/>
      <c r="I3147" s="37"/>
      <c r="J3147" s="38"/>
      <c r="K3147" s="37"/>
      <c r="L3147" s="38"/>
      <c r="M3147" s="39"/>
      <c r="P3147" s="37"/>
      <c r="Q3147" s="37"/>
      <c r="R3147" s="37"/>
      <c r="S3147" s="37"/>
      <c r="T3147" s="37"/>
      <c r="U3147" s="37"/>
      <c r="V3147" s="37"/>
      <c r="W3147" s="37"/>
      <c r="X3147" s="37"/>
      <c r="Y3147" s="37"/>
      <c r="Z3147" s="37"/>
      <c r="AA3147" s="37"/>
      <c r="AB3147" s="37"/>
      <c r="AC3147" s="37"/>
      <c r="AD3147" s="37"/>
      <c r="AE3147" s="37"/>
      <c r="AF3147" s="37"/>
      <c r="AG3147" s="37"/>
      <c r="AH3147" s="37"/>
      <c r="AI3147" s="37"/>
      <c r="AJ3147" s="37"/>
      <c r="AK3147" s="37"/>
      <c r="AL3147" s="37"/>
      <c r="AM3147" s="37"/>
      <c r="AN3147" s="37"/>
      <c r="AO3147" s="37"/>
      <c r="AP3147" s="37"/>
      <c r="AQ3147" s="37"/>
      <c r="AR3147" s="37"/>
      <c r="AS3147" s="37"/>
      <c r="AT3147" s="37"/>
      <c r="AU3147" s="37"/>
      <c r="AV3147" s="37"/>
      <c r="AW3147" s="37"/>
      <c r="AX3147" s="37"/>
      <c r="AY3147" s="37"/>
      <c r="AZ3147" s="37"/>
      <c r="BA3147" s="37"/>
      <c r="BB3147" s="37"/>
      <c r="BC3147" s="37"/>
      <c r="BD3147" s="37"/>
      <c r="BE3147" s="37"/>
      <c r="BF3147" s="37"/>
      <c r="BG3147" s="37"/>
      <c r="BH3147" s="37"/>
      <c r="BI3147" s="37"/>
      <c r="BJ3147" s="37"/>
      <c r="BK3147" s="37"/>
      <c r="BL3147" s="37"/>
      <c r="BM3147" s="37"/>
    </row>
    <row r="3148" spans="1:65" s="40" customFormat="1" ht="23.25" x14ac:dyDescent="0.35">
      <c r="A3148" s="37"/>
      <c r="B3148" s="37"/>
      <c r="C3148" s="41"/>
      <c r="D3148" s="38"/>
      <c r="E3148" s="57"/>
      <c r="F3148" s="42"/>
      <c r="G3148" s="43"/>
      <c r="H3148" s="37"/>
      <c r="I3148" s="37"/>
      <c r="J3148" s="38"/>
      <c r="K3148" s="37"/>
      <c r="L3148" s="38"/>
      <c r="M3148" s="39"/>
      <c r="P3148" s="37"/>
      <c r="Q3148" s="37"/>
      <c r="R3148" s="37"/>
      <c r="S3148" s="37"/>
      <c r="T3148" s="37"/>
      <c r="U3148" s="37"/>
      <c r="V3148" s="37"/>
      <c r="W3148" s="37"/>
      <c r="X3148" s="37"/>
      <c r="Y3148" s="37"/>
      <c r="Z3148" s="37"/>
      <c r="AA3148" s="37"/>
      <c r="AB3148" s="37"/>
      <c r="AC3148" s="37"/>
      <c r="AD3148" s="37"/>
      <c r="AE3148" s="37"/>
      <c r="AF3148" s="37"/>
      <c r="AG3148" s="37"/>
      <c r="AH3148" s="37"/>
      <c r="AI3148" s="37"/>
      <c r="AJ3148" s="37"/>
      <c r="AK3148" s="37"/>
      <c r="AL3148" s="37"/>
      <c r="AM3148" s="37"/>
      <c r="AN3148" s="37"/>
      <c r="AO3148" s="37"/>
      <c r="AP3148" s="37"/>
      <c r="AQ3148" s="37"/>
      <c r="AR3148" s="37"/>
      <c r="AS3148" s="37"/>
      <c r="AT3148" s="37"/>
      <c r="AU3148" s="37"/>
      <c r="AV3148" s="37"/>
      <c r="AW3148" s="37"/>
      <c r="AX3148" s="37"/>
      <c r="AY3148" s="37"/>
      <c r="AZ3148" s="37"/>
      <c r="BA3148" s="37"/>
      <c r="BB3148" s="37"/>
      <c r="BC3148" s="37"/>
      <c r="BD3148" s="37"/>
      <c r="BE3148" s="37"/>
      <c r="BF3148" s="37"/>
      <c r="BG3148" s="37"/>
      <c r="BH3148" s="37"/>
      <c r="BI3148" s="37"/>
      <c r="BJ3148" s="37"/>
      <c r="BK3148" s="37"/>
      <c r="BL3148" s="37"/>
      <c r="BM3148" s="37"/>
    </row>
    <row r="3149" spans="1:65" s="40" customFormat="1" ht="23.25" x14ac:dyDescent="0.35">
      <c r="A3149" s="37"/>
      <c r="B3149" s="37"/>
      <c r="C3149" s="41"/>
      <c r="D3149" s="38"/>
      <c r="E3149" s="57"/>
      <c r="F3149" s="42"/>
      <c r="G3149" s="43"/>
      <c r="H3149" s="37"/>
      <c r="I3149" s="37"/>
      <c r="J3149" s="38"/>
      <c r="K3149" s="37"/>
      <c r="L3149" s="38"/>
      <c r="M3149" s="39"/>
      <c r="P3149" s="37"/>
      <c r="Q3149" s="37"/>
      <c r="R3149" s="37"/>
      <c r="S3149" s="37"/>
      <c r="T3149" s="37"/>
      <c r="U3149" s="37"/>
      <c r="V3149" s="37"/>
      <c r="W3149" s="37"/>
      <c r="X3149" s="37"/>
      <c r="Y3149" s="37"/>
      <c r="Z3149" s="37"/>
      <c r="AA3149" s="37"/>
      <c r="AB3149" s="37"/>
      <c r="AC3149" s="37"/>
      <c r="AD3149" s="37"/>
      <c r="AE3149" s="37"/>
      <c r="AF3149" s="37"/>
      <c r="AG3149" s="37"/>
      <c r="AH3149" s="37"/>
      <c r="AI3149" s="37"/>
      <c r="AJ3149" s="37"/>
      <c r="AK3149" s="37"/>
      <c r="AL3149" s="37"/>
      <c r="AM3149" s="37"/>
      <c r="AN3149" s="37"/>
      <c r="AO3149" s="37"/>
      <c r="AP3149" s="37"/>
      <c r="AQ3149" s="37"/>
      <c r="AR3149" s="37"/>
      <c r="AS3149" s="37"/>
      <c r="AT3149" s="37"/>
      <c r="AU3149" s="37"/>
      <c r="AV3149" s="37"/>
      <c r="AW3149" s="37"/>
      <c r="AX3149" s="37"/>
      <c r="AY3149" s="37"/>
      <c r="AZ3149" s="37"/>
      <c r="BA3149" s="37"/>
      <c r="BB3149" s="37"/>
      <c r="BC3149" s="37"/>
      <c r="BD3149" s="37"/>
      <c r="BE3149" s="37"/>
      <c r="BF3149" s="37"/>
      <c r="BG3149" s="37"/>
      <c r="BH3149" s="37"/>
      <c r="BI3149" s="37"/>
      <c r="BJ3149" s="37"/>
      <c r="BK3149" s="37"/>
      <c r="BL3149" s="37"/>
      <c r="BM3149" s="37"/>
    </row>
    <row r="3150" spans="1:65" s="40" customFormat="1" ht="23.25" x14ac:dyDescent="0.35">
      <c r="A3150" s="37"/>
      <c r="B3150" s="37"/>
      <c r="C3150" s="41"/>
      <c r="D3150" s="38"/>
      <c r="E3150" s="57"/>
      <c r="F3150" s="42"/>
      <c r="G3150" s="43"/>
      <c r="H3150" s="37"/>
      <c r="I3150" s="37"/>
      <c r="J3150" s="38"/>
      <c r="K3150" s="37"/>
      <c r="L3150" s="38"/>
      <c r="M3150" s="39"/>
      <c r="P3150" s="37"/>
      <c r="Q3150" s="37"/>
      <c r="R3150" s="37"/>
      <c r="S3150" s="37"/>
      <c r="T3150" s="37"/>
      <c r="U3150" s="37"/>
      <c r="V3150" s="37"/>
      <c r="W3150" s="37"/>
      <c r="X3150" s="37"/>
      <c r="Y3150" s="37"/>
      <c r="Z3150" s="37"/>
      <c r="AA3150" s="37"/>
      <c r="AB3150" s="37"/>
      <c r="AC3150" s="37"/>
      <c r="AD3150" s="37"/>
      <c r="AE3150" s="37"/>
      <c r="AF3150" s="37"/>
      <c r="AG3150" s="37"/>
      <c r="AH3150" s="37"/>
      <c r="AI3150" s="37"/>
      <c r="AJ3150" s="37"/>
      <c r="AK3150" s="37"/>
      <c r="AL3150" s="37"/>
      <c r="AM3150" s="37"/>
      <c r="AN3150" s="37"/>
      <c r="AO3150" s="37"/>
      <c r="AP3150" s="37"/>
      <c r="AQ3150" s="37"/>
      <c r="AR3150" s="37"/>
      <c r="AS3150" s="37"/>
      <c r="AT3150" s="37"/>
      <c r="AU3150" s="37"/>
      <c r="AV3150" s="37"/>
      <c r="AW3150" s="37"/>
      <c r="AX3150" s="37"/>
      <c r="AY3150" s="37"/>
      <c r="AZ3150" s="37"/>
      <c r="BA3150" s="37"/>
      <c r="BB3150" s="37"/>
      <c r="BC3150" s="37"/>
      <c r="BD3150" s="37"/>
      <c r="BE3150" s="37"/>
      <c r="BF3150" s="37"/>
      <c r="BG3150" s="37"/>
      <c r="BH3150" s="37"/>
      <c r="BI3150" s="37"/>
      <c r="BJ3150" s="37"/>
      <c r="BK3150" s="37"/>
      <c r="BL3150" s="37"/>
      <c r="BM3150" s="37"/>
    </row>
    <row r="3151" spans="1:65" s="40" customFormat="1" ht="23.25" x14ac:dyDescent="0.35">
      <c r="A3151" s="37"/>
      <c r="B3151" s="37"/>
      <c r="C3151" s="41"/>
      <c r="D3151" s="38"/>
      <c r="E3151" s="57"/>
      <c r="F3151" s="42"/>
      <c r="G3151" s="43"/>
      <c r="H3151" s="37"/>
      <c r="I3151" s="37"/>
      <c r="J3151" s="38"/>
      <c r="K3151" s="37"/>
      <c r="L3151" s="38"/>
      <c r="M3151" s="39"/>
      <c r="P3151" s="37"/>
      <c r="Q3151" s="37"/>
      <c r="R3151" s="37"/>
      <c r="S3151" s="37"/>
      <c r="T3151" s="37"/>
      <c r="U3151" s="37"/>
      <c r="V3151" s="37"/>
      <c r="W3151" s="37"/>
      <c r="X3151" s="37"/>
      <c r="Y3151" s="37"/>
      <c r="Z3151" s="37"/>
      <c r="AA3151" s="37"/>
      <c r="AB3151" s="37"/>
      <c r="AC3151" s="37"/>
      <c r="AD3151" s="37"/>
      <c r="AE3151" s="37"/>
      <c r="AF3151" s="37"/>
      <c r="AG3151" s="37"/>
      <c r="AH3151" s="37"/>
      <c r="AI3151" s="37"/>
      <c r="AJ3151" s="37"/>
      <c r="AK3151" s="37"/>
      <c r="AL3151" s="37"/>
      <c r="AM3151" s="37"/>
      <c r="AN3151" s="37"/>
      <c r="AO3151" s="37"/>
      <c r="AP3151" s="37"/>
      <c r="AQ3151" s="37"/>
      <c r="AR3151" s="37"/>
      <c r="AS3151" s="37"/>
      <c r="AT3151" s="37"/>
      <c r="AU3151" s="37"/>
      <c r="AV3151" s="37"/>
      <c r="AW3151" s="37"/>
      <c r="AX3151" s="37"/>
      <c r="AY3151" s="37"/>
      <c r="AZ3151" s="37"/>
      <c r="BA3151" s="37"/>
      <c r="BB3151" s="37"/>
      <c r="BC3151" s="37"/>
      <c r="BD3151" s="37"/>
      <c r="BE3151" s="37"/>
      <c r="BF3151" s="37"/>
      <c r="BG3151" s="37"/>
      <c r="BH3151" s="37"/>
      <c r="BI3151" s="37"/>
      <c r="BJ3151" s="37"/>
      <c r="BK3151" s="37"/>
      <c r="BL3151" s="37"/>
      <c r="BM3151" s="37"/>
    </row>
    <row r="3152" spans="1:65" s="40" customFormat="1" ht="23.25" x14ac:dyDescent="0.35">
      <c r="A3152" s="37"/>
      <c r="B3152" s="37"/>
      <c r="C3152" s="41"/>
      <c r="D3152" s="38"/>
      <c r="E3152" s="57"/>
      <c r="F3152" s="42"/>
      <c r="G3152" s="43"/>
      <c r="H3152" s="37"/>
      <c r="I3152" s="37"/>
      <c r="J3152" s="38"/>
      <c r="K3152" s="37"/>
      <c r="L3152" s="38"/>
      <c r="M3152" s="39"/>
      <c r="P3152" s="37"/>
      <c r="Q3152" s="37"/>
      <c r="R3152" s="37"/>
      <c r="S3152" s="37"/>
      <c r="T3152" s="37"/>
      <c r="U3152" s="37"/>
      <c r="V3152" s="37"/>
      <c r="W3152" s="37"/>
      <c r="X3152" s="37"/>
      <c r="Y3152" s="37"/>
      <c r="Z3152" s="37"/>
      <c r="AA3152" s="37"/>
      <c r="AB3152" s="37"/>
      <c r="AC3152" s="37"/>
      <c r="AD3152" s="37"/>
      <c r="AE3152" s="37"/>
      <c r="AF3152" s="37"/>
      <c r="AG3152" s="37"/>
      <c r="AH3152" s="37"/>
      <c r="AI3152" s="37"/>
      <c r="AJ3152" s="37"/>
      <c r="AK3152" s="37"/>
      <c r="AL3152" s="37"/>
      <c r="AM3152" s="37"/>
      <c r="AN3152" s="37"/>
      <c r="AO3152" s="37"/>
      <c r="AP3152" s="37"/>
      <c r="AQ3152" s="37"/>
      <c r="AR3152" s="37"/>
      <c r="AS3152" s="37"/>
      <c r="AT3152" s="37"/>
      <c r="AU3152" s="37"/>
      <c r="AV3152" s="37"/>
      <c r="AW3152" s="37"/>
      <c r="AX3152" s="37"/>
      <c r="AY3152" s="37"/>
      <c r="AZ3152" s="37"/>
      <c r="BA3152" s="37"/>
      <c r="BB3152" s="37"/>
      <c r="BC3152" s="37"/>
      <c r="BD3152" s="37"/>
      <c r="BE3152" s="37"/>
      <c r="BF3152" s="37"/>
      <c r="BG3152" s="37"/>
      <c r="BH3152" s="37"/>
      <c r="BI3152" s="37"/>
      <c r="BJ3152" s="37"/>
      <c r="BK3152" s="37"/>
      <c r="BL3152" s="37"/>
      <c r="BM3152" s="37"/>
    </row>
    <row r="3153" spans="1:65" s="40" customFormat="1" ht="23.25" x14ac:dyDescent="0.35">
      <c r="A3153" s="37"/>
      <c r="B3153" s="37"/>
      <c r="C3153" s="41"/>
      <c r="D3153" s="38"/>
      <c r="E3153" s="57"/>
      <c r="F3153" s="42"/>
      <c r="G3153" s="43"/>
      <c r="H3153" s="37"/>
      <c r="I3153" s="37"/>
      <c r="J3153" s="38"/>
      <c r="K3153" s="37"/>
      <c r="L3153" s="38"/>
      <c r="M3153" s="39"/>
      <c r="P3153" s="37"/>
      <c r="Q3153" s="37"/>
      <c r="R3153" s="37"/>
      <c r="S3153" s="37"/>
      <c r="T3153" s="37"/>
      <c r="U3153" s="37"/>
      <c r="V3153" s="37"/>
      <c r="W3153" s="37"/>
      <c r="X3153" s="37"/>
      <c r="Y3153" s="37"/>
      <c r="Z3153" s="37"/>
      <c r="AA3153" s="37"/>
      <c r="AB3153" s="37"/>
      <c r="AC3153" s="37"/>
      <c r="AD3153" s="37"/>
      <c r="AE3153" s="37"/>
      <c r="AF3153" s="37"/>
      <c r="AG3153" s="37"/>
      <c r="AH3153" s="37"/>
      <c r="AI3153" s="37"/>
      <c r="AJ3153" s="37"/>
      <c r="AK3153" s="37"/>
      <c r="AL3153" s="37"/>
      <c r="AM3153" s="37"/>
      <c r="AN3153" s="37"/>
      <c r="AO3153" s="37"/>
      <c r="AP3153" s="37"/>
      <c r="AQ3153" s="37"/>
      <c r="AR3153" s="37"/>
      <c r="AS3153" s="37"/>
      <c r="AT3153" s="37"/>
      <c r="AU3153" s="37"/>
      <c r="AV3153" s="37"/>
      <c r="AW3153" s="37"/>
      <c r="AX3153" s="37"/>
      <c r="AY3153" s="37"/>
      <c r="AZ3153" s="37"/>
      <c r="BA3153" s="37"/>
      <c r="BB3153" s="37"/>
      <c r="BC3153" s="37"/>
      <c r="BD3153" s="37"/>
      <c r="BE3153" s="37"/>
      <c r="BF3153" s="37"/>
      <c r="BG3153" s="37"/>
      <c r="BH3153" s="37"/>
      <c r="BI3153" s="37"/>
      <c r="BJ3153" s="37"/>
      <c r="BK3153" s="37"/>
      <c r="BL3153" s="37"/>
      <c r="BM3153" s="37"/>
    </row>
    <row r="3154" spans="1:65" s="40" customFormat="1" ht="23.25" x14ac:dyDescent="0.35">
      <c r="A3154" s="37"/>
      <c r="B3154" s="37"/>
      <c r="C3154" s="41"/>
      <c r="D3154" s="38"/>
      <c r="E3154" s="57"/>
      <c r="F3154" s="42"/>
      <c r="G3154" s="43"/>
      <c r="H3154" s="37"/>
      <c r="I3154" s="37"/>
      <c r="J3154" s="38"/>
      <c r="K3154" s="37"/>
      <c r="L3154" s="38"/>
      <c r="M3154" s="39"/>
      <c r="P3154" s="37"/>
      <c r="Q3154" s="37"/>
      <c r="R3154" s="37"/>
      <c r="S3154" s="37"/>
      <c r="T3154" s="37"/>
      <c r="U3154" s="37"/>
      <c r="V3154" s="37"/>
      <c r="W3154" s="37"/>
      <c r="X3154" s="37"/>
      <c r="Y3154" s="37"/>
      <c r="Z3154" s="37"/>
      <c r="AA3154" s="37"/>
      <c r="AB3154" s="37"/>
      <c r="AC3154" s="37"/>
      <c r="AD3154" s="37"/>
      <c r="AE3154" s="37"/>
      <c r="AF3154" s="37"/>
      <c r="AG3154" s="37"/>
      <c r="AH3154" s="37"/>
      <c r="AI3154" s="37"/>
      <c r="AJ3154" s="37"/>
      <c r="AK3154" s="37"/>
      <c r="AL3154" s="37"/>
      <c r="AM3154" s="37"/>
      <c r="AN3154" s="37"/>
      <c r="AO3154" s="37"/>
      <c r="AP3154" s="37"/>
      <c r="AQ3154" s="37"/>
      <c r="AR3154" s="37"/>
      <c r="AS3154" s="37"/>
      <c r="AT3154" s="37"/>
      <c r="AU3154" s="37"/>
      <c r="AV3154" s="37"/>
      <c r="AW3154" s="37"/>
      <c r="AX3154" s="37"/>
      <c r="AY3154" s="37"/>
      <c r="AZ3154" s="37"/>
      <c r="BA3154" s="37"/>
      <c r="BB3154" s="37"/>
      <c r="BC3154" s="37"/>
      <c r="BD3154" s="37"/>
      <c r="BE3154" s="37"/>
      <c r="BF3154" s="37"/>
      <c r="BG3154" s="37"/>
      <c r="BH3154" s="37"/>
      <c r="BI3154" s="37"/>
      <c r="BJ3154" s="37"/>
      <c r="BK3154" s="37"/>
      <c r="BL3154" s="37"/>
      <c r="BM3154" s="37"/>
    </row>
    <row r="3155" spans="1:65" s="40" customFormat="1" ht="23.25" x14ac:dyDescent="0.35">
      <c r="A3155" s="37"/>
      <c r="B3155" s="37"/>
      <c r="C3155" s="41"/>
      <c r="D3155" s="38"/>
      <c r="E3155" s="57"/>
      <c r="F3155" s="42"/>
      <c r="G3155" s="43"/>
      <c r="H3155" s="37"/>
      <c r="I3155" s="37"/>
      <c r="J3155" s="38"/>
      <c r="K3155" s="37"/>
      <c r="L3155" s="38"/>
      <c r="M3155" s="39"/>
      <c r="P3155" s="37"/>
      <c r="Q3155" s="37"/>
      <c r="R3155" s="37"/>
      <c r="S3155" s="37"/>
      <c r="T3155" s="37"/>
      <c r="U3155" s="37"/>
      <c r="V3155" s="37"/>
      <c r="W3155" s="37"/>
      <c r="X3155" s="37"/>
      <c r="Y3155" s="37"/>
      <c r="Z3155" s="37"/>
      <c r="AA3155" s="37"/>
      <c r="AB3155" s="37"/>
      <c r="AC3155" s="37"/>
      <c r="AD3155" s="37"/>
      <c r="AE3155" s="37"/>
      <c r="AF3155" s="37"/>
      <c r="AG3155" s="37"/>
      <c r="AH3155" s="37"/>
      <c r="AI3155" s="37"/>
      <c r="AJ3155" s="37"/>
      <c r="AK3155" s="37"/>
      <c r="AL3155" s="37"/>
      <c r="AM3155" s="37"/>
      <c r="AN3155" s="37"/>
      <c r="AO3155" s="37"/>
      <c r="AP3155" s="37"/>
      <c r="AQ3155" s="37"/>
      <c r="AR3155" s="37"/>
      <c r="AS3155" s="37"/>
      <c r="AT3155" s="37"/>
      <c r="AU3155" s="37"/>
      <c r="AV3155" s="37"/>
      <c r="AW3155" s="37"/>
      <c r="AX3155" s="37"/>
      <c r="AY3155" s="37"/>
      <c r="AZ3155" s="37"/>
      <c r="BA3155" s="37"/>
      <c r="BB3155" s="37"/>
      <c r="BC3155" s="37"/>
      <c r="BD3155" s="37"/>
      <c r="BE3155" s="37"/>
      <c r="BF3155" s="37"/>
      <c r="BG3155" s="37"/>
      <c r="BH3155" s="37"/>
      <c r="BI3155" s="37"/>
      <c r="BJ3155" s="37"/>
      <c r="BK3155" s="37"/>
      <c r="BL3155" s="37"/>
      <c r="BM3155" s="37"/>
    </row>
    <row r="3156" spans="1:65" s="40" customFormat="1" ht="23.25" x14ac:dyDescent="0.35">
      <c r="A3156" s="37"/>
      <c r="B3156" s="37"/>
      <c r="C3156" s="41"/>
      <c r="D3156" s="38"/>
      <c r="E3156" s="57"/>
      <c r="F3156" s="42"/>
      <c r="G3156" s="43"/>
      <c r="H3156" s="37"/>
      <c r="I3156" s="37"/>
      <c r="J3156" s="38"/>
      <c r="K3156" s="37"/>
      <c r="L3156" s="38"/>
      <c r="M3156" s="39"/>
      <c r="P3156" s="37"/>
      <c r="Q3156" s="37"/>
      <c r="R3156" s="37"/>
      <c r="S3156" s="37"/>
      <c r="T3156" s="37"/>
      <c r="U3156" s="37"/>
      <c r="V3156" s="37"/>
      <c r="W3156" s="37"/>
      <c r="X3156" s="37"/>
      <c r="Y3156" s="37"/>
      <c r="Z3156" s="37"/>
      <c r="AA3156" s="37"/>
      <c r="AB3156" s="37"/>
      <c r="AC3156" s="37"/>
      <c r="AD3156" s="37"/>
      <c r="AE3156" s="37"/>
      <c r="AF3156" s="37"/>
      <c r="AG3156" s="37"/>
      <c r="AH3156" s="37"/>
      <c r="AI3156" s="37"/>
      <c r="AJ3156" s="37"/>
      <c r="AK3156" s="37"/>
      <c r="AL3156" s="37"/>
      <c r="AM3156" s="37"/>
      <c r="AN3156" s="37"/>
      <c r="AO3156" s="37"/>
      <c r="AP3156" s="37"/>
      <c r="AQ3156" s="37"/>
      <c r="AR3156" s="37"/>
      <c r="AS3156" s="37"/>
      <c r="AT3156" s="37"/>
      <c r="AU3156" s="37"/>
      <c r="AV3156" s="37"/>
      <c r="AW3156" s="37"/>
      <c r="AX3156" s="37"/>
      <c r="AY3156" s="37"/>
      <c r="AZ3156" s="37"/>
      <c r="BA3156" s="37"/>
      <c r="BB3156" s="37"/>
      <c r="BC3156" s="37"/>
      <c r="BD3156" s="37"/>
      <c r="BE3156" s="37"/>
      <c r="BF3156" s="37"/>
      <c r="BG3156" s="37"/>
      <c r="BH3156" s="37"/>
      <c r="BI3156" s="37"/>
      <c r="BJ3156" s="37"/>
      <c r="BK3156" s="37"/>
      <c r="BL3156" s="37"/>
      <c r="BM3156" s="37"/>
    </row>
    <row r="3157" spans="1:65" s="40" customFormat="1" ht="23.25" x14ac:dyDescent="0.35">
      <c r="A3157" s="37"/>
      <c r="B3157" s="37"/>
      <c r="C3157" s="41"/>
      <c r="D3157" s="38"/>
      <c r="E3157" s="57"/>
      <c r="F3157" s="42"/>
      <c r="G3157" s="43"/>
      <c r="H3157" s="37"/>
      <c r="I3157" s="37"/>
      <c r="J3157" s="38"/>
      <c r="K3157" s="37"/>
      <c r="L3157" s="38"/>
      <c r="M3157" s="39"/>
      <c r="P3157" s="37"/>
      <c r="Q3157" s="37"/>
      <c r="R3157" s="37"/>
      <c r="S3157" s="37"/>
      <c r="T3157" s="37"/>
      <c r="U3157" s="37"/>
      <c r="V3157" s="37"/>
      <c r="W3157" s="37"/>
      <c r="X3157" s="37"/>
      <c r="Y3157" s="37"/>
      <c r="Z3157" s="37"/>
      <c r="AA3157" s="37"/>
      <c r="AB3157" s="37"/>
      <c r="AC3157" s="37"/>
      <c r="AD3157" s="37"/>
      <c r="AE3157" s="37"/>
      <c r="AF3157" s="37"/>
      <c r="AG3157" s="37"/>
      <c r="AH3157" s="37"/>
      <c r="AI3157" s="37"/>
      <c r="AJ3157" s="37"/>
      <c r="AK3157" s="37"/>
      <c r="AL3157" s="37"/>
      <c r="AM3157" s="37"/>
      <c r="AN3157" s="37"/>
      <c r="AO3157" s="37"/>
      <c r="AP3157" s="37"/>
      <c r="AQ3157" s="37"/>
      <c r="AR3157" s="37"/>
      <c r="AS3157" s="37"/>
      <c r="AT3157" s="37"/>
      <c r="AU3157" s="37"/>
      <c r="AV3157" s="37"/>
      <c r="AW3157" s="37"/>
      <c r="AX3157" s="37"/>
      <c r="AY3157" s="37"/>
      <c r="AZ3157" s="37"/>
      <c r="BA3157" s="37"/>
      <c r="BB3157" s="37"/>
      <c r="BC3157" s="37"/>
      <c r="BD3157" s="37"/>
      <c r="BE3157" s="37"/>
      <c r="BF3157" s="37"/>
      <c r="BG3157" s="37"/>
      <c r="BH3157" s="37"/>
      <c r="BI3157" s="37"/>
      <c r="BJ3157" s="37"/>
      <c r="BK3157" s="37"/>
      <c r="BL3157" s="37"/>
      <c r="BM3157" s="37"/>
    </row>
    <row r="3158" spans="1:65" s="40" customFormat="1" ht="23.25" x14ac:dyDescent="0.35">
      <c r="A3158" s="37"/>
      <c r="B3158" s="37"/>
      <c r="C3158" s="41"/>
      <c r="D3158" s="38"/>
      <c r="E3158" s="57"/>
      <c r="F3158" s="42"/>
      <c r="G3158" s="43"/>
      <c r="H3158" s="37"/>
      <c r="I3158" s="37"/>
      <c r="J3158" s="38"/>
      <c r="K3158" s="37"/>
      <c r="L3158" s="38"/>
      <c r="M3158" s="39"/>
      <c r="P3158" s="37"/>
      <c r="Q3158" s="37"/>
      <c r="R3158" s="37"/>
      <c r="S3158" s="37"/>
      <c r="T3158" s="37"/>
      <c r="U3158" s="37"/>
      <c r="V3158" s="37"/>
      <c r="W3158" s="37"/>
      <c r="X3158" s="37"/>
      <c r="Y3158" s="37"/>
      <c r="Z3158" s="37"/>
      <c r="AA3158" s="37"/>
      <c r="AB3158" s="37"/>
      <c r="AC3158" s="37"/>
      <c r="AD3158" s="37"/>
      <c r="AE3158" s="37"/>
      <c r="AF3158" s="37"/>
      <c r="AG3158" s="37"/>
      <c r="AH3158" s="37"/>
      <c r="AI3158" s="37"/>
      <c r="AJ3158" s="37"/>
      <c r="AK3158" s="37"/>
      <c r="AL3158" s="37"/>
      <c r="AM3158" s="37"/>
      <c r="AN3158" s="37"/>
      <c r="AO3158" s="37"/>
      <c r="AP3158" s="37"/>
      <c r="AQ3158" s="37"/>
      <c r="AR3158" s="37"/>
      <c r="AS3158" s="37"/>
      <c r="AT3158" s="37"/>
      <c r="AU3158" s="37"/>
      <c r="AV3158" s="37"/>
      <c r="AW3158" s="37"/>
      <c r="AX3158" s="37"/>
      <c r="AY3158" s="37"/>
      <c r="AZ3158" s="37"/>
      <c r="BA3158" s="37"/>
      <c r="BB3158" s="37"/>
      <c r="BC3158" s="37"/>
      <c r="BD3158" s="37"/>
      <c r="BE3158" s="37"/>
      <c r="BF3158" s="37"/>
      <c r="BG3158" s="37"/>
      <c r="BH3158" s="37"/>
      <c r="BI3158" s="37"/>
      <c r="BJ3158" s="37"/>
      <c r="BK3158" s="37"/>
      <c r="BL3158" s="37"/>
      <c r="BM3158" s="37"/>
    </row>
    <row r="3159" spans="1:65" s="40" customFormat="1" ht="23.25" x14ac:dyDescent="0.35">
      <c r="A3159" s="37"/>
      <c r="B3159" s="37"/>
      <c r="C3159" s="41"/>
      <c r="D3159" s="38"/>
      <c r="E3159" s="57"/>
      <c r="F3159" s="42"/>
      <c r="G3159" s="43"/>
      <c r="H3159" s="37"/>
      <c r="I3159" s="37"/>
      <c r="J3159" s="38"/>
      <c r="K3159" s="37"/>
      <c r="L3159" s="38"/>
      <c r="M3159" s="39"/>
      <c r="P3159" s="37"/>
      <c r="Q3159" s="37"/>
      <c r="R3159" s="37"/>
      <c r="S3159" s="37"/>
      <c r="T3159" s="37"/>
      <c r="U3159" s="37"/>
      <c r="V3159" s="37"/>
      <c r="W3159" s="37"/>
      <c r="X3159" s="37"/>
      <c r="Y3159" s="37"/>
      <c r="Z3159" s="37"/>
      <c r="AA3159" s="37"/>
      <c r="AB3159" s="37"/>
      <c r="AC3159" s="37"/>
      <c r="AD3159" s="37"/>
      <c r="AE3159" s="37"/>
      <c r="AF3159" s="37"/>
      <c r="AG3159" s="37"/>
      <c r="AH3159" s="37"/>
      <c r="AI3159" s="37"/>
      <c r="AJ3159" s="37"/>
      <c r="AK3159" s="37"/>
      <c r="AL3159" s="37"/>
      <c r="AM3159" s="37"/>
      <c r="AN3159" s="37"/>
      <c r="AO3159" s="37"/>
      <c r="AP3159" s="37"/>
      <c r="AQ3159" s="37"/>
      <c r="AR3159" s="37"/>
      <c r="AS3159" s="37"/>
      <c r="AT3159" s="37"/>
      <c r="AU3159" s="37"/>
      <c r="AV3159" s="37"/>
      <c r="AW3159" s="37"/>
      <c r="AX3159" s="37"/>
      <c r="AY3159" s="37"/>
      <c r="AZ3159" s="37"/>
      <c r="BA3159" s="37"/>
      <c r="BB3159" s="37"/>
      <c r="BC3159" s="37"/>
      <c r="BD3159" s="37"/>
      <c r="BE3159" s="37"/>
      <c r="BF3159" s="37"/>
      <c r="BG3159" s="37"/>
      <c r="BH3159" s="37"/>
      <c r="BI3159" s="37"/>
      <c r="BJ3159" s="37"/>
      <c r="BK3159" s="37"/>
      <c r="BL3159" s="37"/>
      <c r="BM3159" s="37"/>
    </row>
    <row r="3160" spans="1:65" s="40" customFormat="1" ht="23.25" x14ac:dyDescent="0.35">
      <c r="A3160" s="37"/>
      <c r="B3160" s="37"/>
      <c r="C3160" s="41"/>
      <c r="D3160" s="38"/>
      <c r="E3160" s="57"/>
      <c r="F3160" s="42"/>
      <c r="G3160" s="43"/>
      <c r="H3160" s="37"/>
      <c r="I3160" s="37"/>
      <c r="J3160" s="38"/>
      <c r="K3160" s="37"/>
      <c r="L3160" s="38"/>
      <c r="M3160" s="39"/>
      <c r="P3160" s="37"/>
      <c r="Q3160" s="37"/>
      <c r="R3160" s="37"/>
      <c r="S3160" s="37"/>
      <c r="T3160" s="37"/>
      <c r="U3160" s="37"/>
      <c r="V3160" s="37"/>
      <c r="W3160" s="37"/>
      <c r="X3160" s="37"/>
      <c r="Y3160" s="37"/>
      <c r="Z3160" s="37"/>
      <c r="AA3160" s="37"/>
      <c r="AB3160" s="37"/>
      <c r="AC3160" s="37"/>
      <c r="AD3160" s="37"/>
      <c r="AE3160" s="37"/>
      <c r="AF3160" s="37"/>
      <c r="AG3160" s="37"/>
      <c r="AH3160" s="37"/>
      <c r="AI3160" s="37"/>
      <c r="AJ3160" s="37"/>
      <c r="AK3160" s="37"/>
      <c r="AL3160" s="37"/>
      <c r="AM3160" s="37"/>
      <c r="AN3160" s="37"/>
      <c r="AO3160" s="37"/>
      <c r="AP3160" s="37"/>
      <c r="AQ3160" s="37"/>
      <c r="AR3160" s="37"/>
      <c r="AS3160" s="37"/>
      <c r="AT3160" s="37"/>
      <c r="AU3160" s="37"/>
      <c r="AV3160" s="37"/>
      <c r="AW3160" s="37"/>
      <c r="AX3160" s="37"/>
      <c r="AY3160" s="37"/>
      <c r="AZ3160" s="37"/>
      <c r="BA3160" s="37"/>
      <c r="BB3160" s="37"/>
      <c r="BC3160" s="37"/>
      <c r="BD3160" s="37"/>
      <c r="BE3160" s="37"/>
      <c r="BF3160" s="37"/>
      <c r="BG3160" s="37"/>
      <c r="BH3160" s="37"/>
      <c r="BI3160" s="37"/>
      <c r="BJ3160" s="37"/>
      <c r="BK3160" s="37"/>
      <c r="BL3160" s="37"/>
      <c r="BM3160" s="37"/>
    </row>
    <row r="3161" spans="1:65" s="40" customFormat="1" ht="23.25" x14ac:dyDescent="0.35">
      <c r="A3161" s="37"/>
      <c r="B3161" s="37"/>
      <c r="C3161" s="41"/>
      <c r="D3161" s="38"/>
      <c r="E3161" s="57"/>
      <c r="F3161" s="42"/>
      <c r="G3161" s="43"/>
      <c r="H3161" s="37"/>
      <c r="I3161" s="37"/>
      <c r="J3161" s="38"/>
      <c r="K3161" s="37"/>
      <c r="L3161" s="38"/>
      <c r="M3161" s="39"/>
      <c r="P3161" s="37"/>
      <c r="Q3161" s="37"/>
      <c r="R3161" s="37"/>
      <c r="S3161" s="37"/>
      <c r="T3161" s="37"/>
      <c r="U3161" s="37"/>
      <c r="V3161" s="37"/>
      <c r="W3161" s="37"/>
      <c r="X3161" s="37"/>
      <c r="Y3161" s="37"/>
      <c r="Z3161" s="37"/>
      <c r="AA3161" s="37"/>
      <c r="AB3161" s="37"/>
      <c r="AC3161" s="37"/>
      <c r="AD3161" s="37"/>
      <c r="AE3161" s="37"/>
      <c r="AF3161" s="37"/>
      <c r="AG3161" s="37"/>
      <c r="AH3161" s="37"/>
      <c r="AI3161" s="37"/>
      <c r="AJ3161" s="37"/>
      <c r="AK3161" s="37"/>
      <c r="AL3161" s="37"/>
      <c r="AM3161" s="37"/>
      <c r="AN3161" s="37"/>
      <c r="AO3161" s="37"/>
      <c r="AP3161" s="37"/>
      <c r="AQ3161" s="37"/>
      <c r="AR3161" s="37"/>
      <c r="AS3161" s="37"/>
      <c r="AT3161" s="37"/>
      <c r="AU3161" s="37"/>
      <c r="AV3161" s="37"/>
      <c r="AW3161" s="37"/>
      <c r="AX3161" s="37"/>
      <c r="AY3161" s="37"/>
      <c r="AZ3161" s="37"/>
      <c r="BA3161" s="37"/>
      <c r="BB3161" s="37"/>
      <c r="BC3161" s="37"/>
      <c r="BD3161" s="37"/>
      <c r="BE3161" s="37"/>
      <c r="BF3161" s="37"/>
      <c r="BG3161" s="37"/>
      <c r="BH3161" s="37"/>
      <c r="BI3161" s="37"/>
      <c r="BJ3161" s="37"/>
      <c r="BK3161" s="37"/>
      <c r="BL3161" s="37"/>
      <c r="BM3161" s="37"/>
    </row>
    <row r="3162" spans="1:65" s="40" customFormat="1" ht="23.25" x14ac:dyDescent="0.35">
      <c r="A3162" s="37"/>
      <c r="B3162" s="37"/>
      <c r="C3162" s="41"/>
      <c r="D3162" s="38"/>
      <c r="E3162" s="57"/>
      <c r="F3162" s="42"/>
      <c r="G3162" s="43"/>
      <c r="H3162" s="37"/>
      <c r="I3162" s="37"/>
      <c r="J3162" s="38"/>
      <c r="K3162" s="37"/>
      <c r="L3162" s="38"/>
      <c r="M3162" s="39"/>
      <c r="P3162" s="37"/>
      <c r="Q3162" s="37"/>
      <c r="R3162" s="37"/>
      <c r="S3162" s="37"/>
      <c r="T3162" s="37"/>
      <c r="U3162" s="37"/>
      <c r="V3162" s="37"/>
      <c r="W3162" s="37"/>
      <c r="X3162" s="37"/>
      <c r="Y3162" s="37"/>
      <c r="Z3162" s="37"/>
      <c r="AA3162" s="37"/>
      <c r="AB3162" s="37"/>
      <c r="AC3162" s="37"/>
      <c r="AD3162" s="37"/>
      <c r="AE3162" s="37"/>
      <c r="AF3162" s="37"/>
      <c r="AG3162" s="37"/>
      <c r="AH3162" s="37"/>
      <c r="AI3162" s="37"/>
      <c r="AJ3162" s="37"/>
      <c r="AK3162" s="37"/>
      <c r="AL3162" s="37"/>
      <c r="AM3162" s="37"/>
      <c r="AN3162" s="37"/>
      <c r="AO3162" s="37"/>
      <c r="AP3162" s="37"/>
      <c r="AQ3162" s="37"/>
      <c r="AR3162" s="37"/>
      <c r="AS3162" s="37"/>
      <c r="AT3162" s="37"/>
      <c r="AU3162" s="37"/>
      <c r="AV3162" s="37"/>
      <c r="AW3162" s="37"/>
      <c r="AX3162" s="37"/>
      <c r="AY3162" s="37"/>
      <c r="AZ3162" s="37"/>
      <c r="BA3162" s="37"/>
      <c r="BB3162" s="37"/>
      <c r="BC3162" s="37"/>
      <c r="BD3162" s="37"/>
      <c r="BE3162" s="37"/>
      <c r="BF3162" s="37"/>
      <c r="BG3162" s="37"/>
      <c r="BH3162" s="37"/>
      <c r="BI3162" s="37"/>
      <c r="BJ3162" s="37"/>
      <c r="BK3162" s="37"/>
      <c r="BL3162" s="37"/>
      <c r="BM3162" s="37"/>
    </row>
    <row r="3163" spans="1:65" s="40" customFormat="1" ht="23.25" x14ac:dyDescent="0.35">
      <c r="A3163" s="37"/>
      <c r="B3163" s="37"/>
      <c r="C3163" s="41"/>
      <c r="D3163" s="38"/>
      <c r="E3163" s="57"/>
      <c r="F3163" s="42"/>
      <c r="G3163" s="43"/>
      <c r="H3163" s="37"/>
      <c r="I3163" s="37"/>
      <c r="J3163" s="38"/>
      <c r="K3163" s="37"/>
      <c r="L3163" s="38"/>
      <c r="M3163" s="39"/>
      <c r="P3163" s="37"/>
      <c r="Q3163" s="37"/>
      <c r="R3163" s="37"/>
      <c r="S3163" s="37"/>
      <c r="T3163" s="37"/>
      <c r="U3163" s="37"/>
      <c r="V3163" s="37"/>
      <c r="W3163" s="37"/>
      <c r="X3163" s="37"/>
      <c r="Y3163" s="37"/>
      <c r="Z3163" s="37"/>
      <c r="AA3163" s="37"/>
      <c r="AB3163" s="37"/>
      <c r="AC3163" s="37"/>
      <c r="AD3163" s="37"/>
      <c r="AE3163" s="37"/>
      <c r="AF3163" s="37"/>
      <c r="AG3163" s="37"/>
      <c r="AH3163" s="37"/>
      <c r="AI3163" s="37"/>
      <c r="AJ3163" s="37"/>
      <c r="AK3163" s="37"/>
      <c r="AL3163" s="37"/>
      <c r="AM3163" s="37"/>
      <c r="AN3163" s="37"/>
      <c r="AO3163" s="37"/>
      <c r="AP3163" s="37"/>
      <c r="AQ3163" s="37"/>
      <c r="AR3163" s="37"/>
      <c r="AS3163" s="37"/>
      <c r="AT3163" s="37"/>
      <c r="AU3163" s="37"/>
      <c r="AV3163" s="37"/>
      <c r="AW3163" s="37"/>
      <c r="AX3163" s="37"/>
      <c r="AY3163" s="37"/>
      <c r="AZ3163" s="37"/>
      <c r="BA3163" s="37"/>
      <c r="BB3163" s="37"/>
      <c r="BC3163" s="37"/>
      <c r="BD3163" s="37"/>
      <c r="BE3163" s="37"/>
      <c r="BF3163" s="37"/>
      <c r="BG3163" s="37"/>
      <c r="BH3163" s="37"/>
      <c r="BI3163" s="37"/>
      <c r="BJ3163" s="37"/>
      <c r="BK3163" s="37"/>
      <c r="BL3163" s="37"/>
      <c r="BM3163" s="37"/>
    </row>
    <row r="3164" spans="1:65" s="40" customFormat="1" ht="23.25" x14ac:dyDescent="0.35">
      <c r="A3164" s="37"/>
      <c r="B3164" s="37"/>
      <c r="C3164" s="41"/>
      <c r="D3164" s="38"/>
      <c r="E3164" s="57"/>
      <c r="F3164" s="42"/>
      <c r="G3164" s="43"/>
      <c r="H3164" s="37"/>
      <c r="I3164" s="37"/>
      <c r="J3164" s="38"/>
      <c r="K3164" s="37"/>
      <c r="L3164" s="38"/>
      <c r="M3164" s="39"/>
      <c r="P3164" s="37"/>
      <c r="Q3164" s="37"/>
      <c r="R3164" s="37"/>
      <c r="S3164" s="37"/>
      <c r="T3164" s="37"/>
      <c r="U3164" s="37"/>
      <c r="V3164" s="37"/>
      <c r="W3164" s="37"/>
      <c r="X3164" s="37"/>
      <c r="Y3164" s="37"/>
      <c r="Z3164" s="37"/>
      <c r="AA3164" s="37"/>
      <c r="AB3164" s="37"/>
      <c r="AC3164" s="37"/>
      <c r="AD3164" s="37"/>
      <c r="AE3164" s="37"/>
      <c r="AF3164" s="37"/>
      <c r="AG3164" s="37"/>
      <c r="AH3164" s="37"/>
      <c r="AI3164" s="37"/>
      <c r="AJ3164" s="37"/>
      <c r="AK3164" s="37"/>
      <c r="AL3164" s="37"/>
      <c r="AM3164" s="37"/>
      <c r="AN3164" s="37"/>
      <c r="AO3164" s="37"/>
      <c r="AP3164" s="37"/>
      <c r="AQ3164" s="37"/>
      <c r="AR3164" s="37"/>
      <c r="AS3164" s="37"/>
      <c r="AT3164" s="37"/>
      <c r="AU3164" s="37"/>
      <c r="AV3164" s="37"/>
      <c r="AW3164" s="37"/>
      <c r="AX3164" s="37"/>
      <c r="AY3164" s="37"/>
      <c r="AZ3164" s="37"/>
      <c r="BA3164" s="37"/>
      <c r="BB3164" s="37"/>
      <c r="BC3164" s="37"/>
      <c r="BD3164" s="37"/>
      <c r="BE3164" s="37"/>
      <c r="BF3164" s="37"/>
      <c r="BG3164" s="37"/>
      <c r="BH3164" s="37"/>
      <c r="BI3164" s="37"/>
      <c r="BJ3164" s="37"/>
      <c r="BK3164" s="37"/>
      <c r="BL3164" s="37"/>
      <c r="BM3164" s="37"/>
    </row>
    <row r="3165" spans="1:65" s="40" customFormat="1" ht="23.25" x14ac:dyDescent="0.35">
      <c r="A3165" s="37"/>
      <c r="B3165" s="37"/>
      <c r="C3165" s="41"/>
      <c r="D3165" s="38"/>
      <c r="E3165" s="57"/>
      <c r="F3165" s="42"/>
      <c r="G3165" s="43"/>
      <c r="H3165" s="37"/>
      <c r="I3165" s="37"/>
      <c r="J3165" s="38"/>
      <c r="K3165" s="37"/>
      <c r="L3165" s="38"/>
      <c r="M3165" s="39"/>
      <c r="P3165" s="37"/>
      <c r="Q3165" s="37"/>
      <c r="R3165" s="37"/>
      <c r="S3165" s="37"/>
      <c r="T3165" s="37"/>
      <c r="U3165" s="37"/>
      <c r="V3165" s="37"/>
      <c r="W3165" s="37"/>
      <c r="X3165" s="37"/>
      <c r="Y3165" s="37"/>
      <c r="Z3165" s="37"/>
      <c r="AA3165" s="37"/>
      <c r="AB3165" s="37"/>
      <c r="AC3165" s="37"/>
      <c r="AD3165" s="37"/>
      <c r="AE3165" s="37"/>
      <c r="AF3165" s="37"/>
      <c r="AG3165" s="37"/>
      <c r="AH3165" s="37"/>
      <c r="AI3165" s="37"/>
      <c r="AJ3165" s="37"/>
      <c r="AK3165" s="37"/>
      <c r="AL3165" s="37"/>
      <c r="AM3165" s="37"/>
      <c r="AN3165" s="37"/>
      <c r="AO3165" s="37"/>
      <c r="AP3165" s="37"/>
      <c r="AQ3165" s="37"/>
      <c r="AR3165" s="37"/>
      <c r="AS3165" s="37"/>
      <c r="AT3165" s="37"/>
      <c r="AU3165" s="37"/>
      <c r="AV3165" s="37"/>
      <c r="AW3165" s="37"/>
      <c r="AX3165" s="37"/>
      <c r="AY3165" s="37"/>
      <c r="AZ3165" s="37"/>
      <c r="BA3165" s="37"/>
      <c r="BB3165" s="37"/>
      <c r="BC3165" s="37"/>
      <c r="BD3165" s="37"/>
      <c r="BE3165" s="37"/>
      <c r="BF3165" s="37"/>
      <c r="BG3165" s="37"/>
      <c r="BH3165" s="37"/>
      <c r="BI3165" s="37"/>
      <c r="BJ3165" s="37"/>
      <c r="BK3165" s="37"/>
      <c r="BL3165" s="37"/>
      <c r="BM3165" s="37"/>
    </row>
    <row r="3166" spans="1:65" s="40" customFormat="1" ht="23.25" x14ac:dyDescent="0.35">
      <c r="A3166" s="37"/>
      <c r="B3166" s="37"/>
      <c r="C3166" s="41"/>
      <c r="D3166" s="38"/>
      <c r="E3166" s="57"/>
      <c r="F3166" s="42"/>
      <c r="G3166" s="43"/>
      <c r="H3166" s="37"/>
      <c r="I3166" s="37"/>
      <c r="J3166" s="38"/>
      <c r="K3166" s="37"/>
      <c r="L3166" s="38"/>
      <c r="M3166" s="39"/>
      <c r="P3166" s="37"/>
      <c r="Q3166" s="37"/>
      <c r="R3166" s="37"/>
      <c r="S3166" s="37"/>
      <c r="T3166" s="37"/>
      <c r="U3166" s="37"/>
      <c r="V3166" s="37"/>
      <c r="W3166" s="37"/>
      <c r="X3166" s="37"/>
      <c r="Y3166" s="37"/>
      <c r="Z3166" s="37"/>
      <c r="AA3166" s="37"/>
      <c r="AB3166" s="37"/>
      <c r="AC3166" s="37"/>
      <c r="AD3166" s="37"/>
      <c r="AE3166" s="37"/>
      <c r="AF3166" s="37"/>
      <c r="AG3166" s="37"/>
      <c r="AH3166" s="37"/>
      <c r="AI3166" s="37"/>
      <c r="AJ3166" s="37"/>
      <c r="AK3166" s="37"/>
      <c r="AL3166" s="37"/>
      <c r="AM3166" s="37"/>
      <c r="AN3166" s="37"/>
      <c r="AO3166" s="37"/>
      <c r="AP3166" s="37"/>
      <c r="AQ3166" s="37"/>
      <c r="AR3166" s="37"/>
      <c r="AS3166" s="37"/>
      <c r="AT3166" s="37"/>
      <c r="AU3166" s="37"/>
      <c r="AV3166" s="37"/>
      <c r="AW3166" s="37"/>
      <c r="AX3166" s="37"/>
      <c r="AY3166" s="37"/>
      <c r="AZ3166" s="37"/>
      <c r="BA3166" s="37"/>
      <c r="BB3166" s="37"/>
      <c r="BC3166" s="37"/>
      <c r="BD3166" s="37"/>
      <c r="BE3166" s="37"/>
      <c r="BF3166" s="37"/>
      <c r="BG3166" s="37"/>
      <c r="BH3166" s="37"/>
      <c r="BI3166" s="37"/>
      <c r="BJ3166" s="37"/>
      <c r="BK3166" s="37"/>
      <c r="BL3166" s="37"/>
      <c r="BM3166" s="37"/>
    </row>
    <row r="3167" spans="1:65" s="40" customFormat="1" ht="23.25" x14ac:dyDescent="0.35">
      <c r="A3167" s="37"/>
      <c r="B3167" s="37"/>
      <c r="C3167" s="41"/>
      <c r="D3167" s="38"/>
      <c r="E3167" s="57"/>
      <c r="F3167" s="42"/>
      <c r="G3167" s="43"/>
      <c r="H3167" s="37"/>
      <c r="I3167" s="37"/>
      <c r="J3167" s="38"/>
      <c r="K3167" s="37"/>
      <c r="L3167" s="38"/>
      <c r="M3167" s="39"/>
      <c r="P3167" s="37"/>
      <c r="Q3167" s="37"/>
      <c r="R3167" s="37"/>
      <c r="S3167" s="37"/>
      <c r="T3167" s="37"/>
      <c r="U3167" s="37"/>
      <c r="V3167" s="37"/>
      <c r="W3167" s="37"/>
      <c r="X3167" s="37"/>
      <c r="Y3167" s="37"/>
      <c r="Z3167" s="37"/>
      <c r="AA3167" s="37"/>
      <c r="AB3167" s="37"/>
      <c r="AC3167" s="37"/>
      <c r="AD3167" s="37"/>
      <c r="AE3167" s="37"/>
      <c r="AF3167" s="37"/>
      <c r="AG3167" s="37"/>
      <c r="AH3167" s="37"/>
      <c r="AI3167" s="37"/>
      <c r="AJ3167" s="37"/>
      <c r="AK3167" s="37"/>
      <c r="AL3167" s="37"/>
      <c r="AM3167" s="37"/>
      <c r="AN3167" s="37"/>
      <c r="AO3167" s="37"/>
      <c r="AP3167" s="37"/>
      <c r="AQ3167" s="37"/>
      <c r="AR3167" s="37"/>
      <c r="AS3167" s="37"/>
      <c r="AT3167" s="37"/>
      <c r="AU3167" s="37"/>
      <c r="AV3167" s="37"/>
      <c r="AW3167" s="37"/>
      <c r="AX3167" s="37"/>
      <c r="AY3167" s="37"/>
      <c r="AZ3167" s="37"/>
      <c r="BA3167" s="37"/>
      <c r="BB3167" s="37"/>
      <c r="BC3167" s="37"/>
      <c r="BD3167" s="37"/>
      <c r="BE3167" s="37"/>
      <c r="BF3167" s="37"/>
      <c r="BG3167" s="37"/>
      <c r="BH3167" s="37"/>
      <c r="BI3167" s="37"/>
      <c r="BJ3167" s="37"/>
      <c r="BK3167" s="37"/>
      <c r="BL3167" s="37"/>
      <c r="BM3167" s="37"/>
    </row>
    <row r="3168" spans="1:65" s="40" customFormat="1" ht="23.25" x14ac:dyDescent="0.35">
      <c r="A3168" s="37"/>
      <c r="B3168" s="37"/>
      <c r="C3168" s="41"/>
      <c r="D3168" s="38"/>
      <c r="E3168" s="57"/>
      <c r="F3168" s="42"/>
      <c r="G3168" s="43"/>
      <c r="H3168" s="37"/>
      <c r="I3168" s="37"/>
      <c r="J3168" s="38"/>
      <c r="K3168" s="37"/>
      <c r="L3168" s="38"/>
      <c r="M3168" s="39"/>
      <c r="P3168" s="37"/>
      <c r="Q3168" s="37"/>
      <c r="R3168" s="37"/>
      <c r="S3168" s="37"/>
      <c r="T3168" s="37"/>
      <c r="U3168" s="37"/>
      <c r="V3168" s="37"/>
      <c r="W3168" s="37"/>
      <c r="X3168" s="37"/>
      <c r="Y3168" s="37"/>
      <c r="Z3168" s="37"/>
      <c r="AA3168" s="37"/>
      <c r="AB3168" s="37"/>
      <c r="AC3168" s="37"/>
      <c r="AD3168" s="37"/>
      <c r="AE3168" s="37"/>
      <c r="AF3168" s="37"/>
      <c r="AG3168" s="37"/>
      <c r="AH3168" s="37"/>
      <c r="AI3168" s="37"/>
      <c r="AJ3168" s="37"/>
      <c r="AK3168" s="37"/>
      <c r="AL3168" s="37"/>
      <c r="AM3168" s="37"/>
      <c r="AN3168" s="37"/>
      <c r="AO3168" s="37"/>
      <c r="AP3168" s="37"/>
      <c r="AQ3168" s="37"/>
      <c r="AR3168" s="37"/>
      <c r="AS3168" s="37"/>
      <c r="AT3168" s="37"/>
      <c r="AU3168" s="37"/>
      <c r="AV3168" s="37"/>
      <c r="AW3168" s="37"/>
      <c r="AX3168" s="37"/>
      <c r="AY3168" s="37"/>
      <c r="AZ3168" s="37"/>
      <c r="BA3168" s="37"/>
      <c r="BB3168" s="37"/>
      <c r="BC3168" s="37"/>
      <c r="BD3168" s="37"/>
      <c r="BE3168" s="37"/>
      <c r="BF3168" s="37"/>
      <c r="BG3168" s="37"/>
      <c r="BH3168" s="37"/>
      <c r="BI3168" s="37"/>
      <c r="BJ3168" s="37"/>
      <c r="BK3168" s="37"/>
      <c r="BL3168" s="37"/>
      <c r="BM3168" s="37"/>
    </row>
    <row r="3169" spans="1:65" s="40" customFormat="1" ht="23.25" x14ac:dyDescent="0.35">
      <c r="A3169" s="37"/>
      <c r="B3169" s="37"/>
      <c r="C3169" s="41"/>
      <c r="D3169" s="38"/>
      <c r="E3169" s="57"/>
      <c r="F3169" s="42"/>
      <c r="G3169" s="43"/>
      <c r="H3169" s="37"/>
      <c r="I3169" s="37"/>
      <c r="J3169" s="38"/>
      <c r="K3169" s="37"/>
      <c r="L3169" s="38"/>
      <c r="M3169" s="39"/>
      <c r="P3169" s="37"/>
      <c r="Q3169" s="37"/>
      <c r="R3169" s="37"/>
      <c r="S3169" s="37"/>
      <c r="T3169" s="37"/>
      <c r="U3169" s="37"/>
      <c r="V3169" s="37"/>
      <c r="W3169" s="37"/>
      <c r="X3169" s="37"/>
      <c r="Y3169" s="37"/>
      <c r="Z3169" s="37"/>
      <c r="AA3169" s="37"/>
      <c r="AB3169" s="37"/>
      <c r="AC3169" s="37"/>
      <c r="AD3169" s="37"/>
      <c r="AE3169" s="37"/>
      <c r="AF3169" s="37"/>
      <c r="AG3169" s="37"/>
      <c r="AH3169" s="37"/>
      <c r="AI3169" s="37"/>
      <c r="AJ3169" s="37"/>
      <c r="AK3169" s="37"/>
      <c r="AL3169" s="37"/>
      <c r="AM3169" s="37"/>
      <c r="AN3169" s="37"/>
      <c r="AO3169" s="37"/>
      <c r="AP3169" s="37"/>
      <c r="AQ3169" s="37"/>
      <c r="AR3169" s="37"/>
      <c r="AS3169" s="37"/>
      <c r="AT3169" s="37"/>
      <c r="AU3169" s="37"/>
      <c r="AV3169" s="37"/>
      <c r="AW3169" s="37"/>
      <c r="AX3169" s="37"/>
      <c r="AY3169" s="37"/>
      <c r="AZ3169" s="37"/>
      <c r="BA3169" s="37"/>
      <c r="BB3169" s="37"/>
      <c r="BC3169" s="37"/>
      <c r="BD3169" s="37"/>
      <c r="BE3169" s="37"/>
      <c r="BF3169" s="37"/>
      <c r="BG3169" s="37"/>
      <c r="BH3169" s="37"/>
      <c r="BI3169" s="37"/>
      <c r="BJ3169" s="37"/>
      <c r="BK3169" s="37"/>
      <c r="BL3169" s="37"/>
      <c r="BM3169" s="37"/>
    </row>
    <row r="3170" spans="1:65" s="40" customFormat="1" ht="23.25" x14ac:dyDescent="0.35">
      <c r="A3170" s="37"/>
      <c r="B3170" s="37"/>
      <c r="C3170" s="41"/>
      <c r="D3170" s="38"/>
      <c r="E3170" s="57"/>
      <c r="F3170" s="42"/>
      <c r="G3170" s="43"/>
      <c r="H3170" s="37"/>
      <c r="I3170" s="37"/>
      <c r="J3170" s="38"/>
      <c r="K3170" s="37"/>
      <c r="L3170" s="38"/>
      <c r="M3170" s="39"/>
      <c r="P3170" s="37"/>
      <c r="Q3170" s="37"/>
      <c r="R3170" s="37"/>
      <c r="S3170" s="37"/>
      <c r="T3170" s="37"/>
      <c r="U3170" s="37"/>
      <c r="V3170" s="37"/>
      <c r="W3170" s="37"/>
      <c r="X3170" s="37"/>
      <c r="Y3170" s="37"/>
      <c r="Z3170" s="37"/>
      <c r="AA3170" s="37"/>
      <c r="AB3170" s="37"/>
      <c r="AC3170" s="37"/>
      <c r="AD3170" s="37"/>
      <c r="AE3170" s="37"/>
      <c r="AF3170" s="37"/>
      <c r="AG3170" s="37"/>
      <c r="AH3170" s="37"/>
      <c r="AI3170" s="37"/>
      <c r="AJ3170" s="37"/>
      <c r="AK3170" s="37"/>
      <c r="AL3170" s="37"/>
      <c r="AM3170" s="37"/>
      <c r="AN3170" s="37"/>
      <c r="AO3170" s="37"/>
      <c r="AP3170" s="37"/>
      <c r="AQ3170" s="37"/>
      <c r="AR3170" s="37"/>
      <c r="AS3170" s="37"/>
      <c r="AT3170" s="37"/>
      <c r="AU3170" s="37"/>
      <c r="AV3170" s="37"/>
      <c r="AW3170" s="37"/>
      <c r="AX3170" s="37"/>
      <c r="AY3170" s="37"/>
      <c r="AZ3170" s="37"/>
      <c r="BA3170" s="37"/>
      <c r="BB3170" s="37"/>
      <c r="BC3170" s="37"/>
      <c r="BD3170" s="37"/>
      <c r="BE3170" s="37"/>
      <c r="BF3170" s="37"/>
      <c r="BG3170" s="37"/>
      <c r="BH3170" s="37"/>
      <c r="BI3170" s="37"/>
      <c r="BJ3170" s="37"/>
      <c r="BK3170" s="37"/>
      <c r="BL3170" s="37"/>
      <c r="BM3170" s="37"/>
    </row>
    <row r="3171" spans="1:65" s="40" customFormat="1" ht="23.25" x14ac:dyDescent="0.35">
      <c r="A3171" s="37"/>
      <c r="B3171" s="37"/>
      <c r="C3171" s="41"/>
      <c r="D3171" s="38"/>
      <c r="E3171" s="57"/>
      <c r="F3171" s="42"/>
      <c r="G3171" s="43"/>
      <c r="H3171" s="37"/>
      <c r="I3171" s="37"/>
      <c r="J3171" s="38"/>
      <c r="K3171" s="37"/>
      <c r="L3171" s="38"/>
      <c r="M3171" s="39"/>
      <c r="P3171" s="37"/>
      <c r="Q3171" s="37"/>
      <c r="R3171" s="37"/>
      <c r="S3171" s="37"/>
      <c r="T3171" s="37"/>
      <c r="U3171" s="37"/>
      <c r="V3171" s="37"/>
      <c r="W3171" s="37"/>
      <c r="X3171" s="37"/>
      <c r="Y3171" s="37"/>
      <c r="Z3171" s="37"/>
      <c r="AA3171" s="37"/>
      <c r="AB3171" s="37"/>
      <c r="AC3171" s="37"/>
      <c r="AD3171" s="37"/>
      <c r="AE3171" s="37"/>
      <c r="AF3171" s="37"/>
      <c r="AG3171" s="37"/>
      <c r="AH3171" s="37"/>
      <c r="AI3171" s="37"/>
      <c r="AJ3171" s="37"/>
      <c r="AK3171" s="37"/>
      <c r="AL3171" s="37"/>
      <c r="AM3171" s="37"/>
      <c r="AN3171" s="37"/>
      <c r="AO3171" s="37"/>
      <c r="AP3171" s="37"/>
      <c r="AQ3171" s="37"/>
      <c r="AR3171" s="37"/>
      <c r="AS3171" s="37"/>
      <c r="AT3171" s="37"/>
      <c r="AU3171" s="37"/>
      <c r="AV3171" s="37"/>
      <c r="AW3171" s="37"/>
      <c r="AX3171" s="37"/>
      <c r="AY3171" s="37"/>
      <c r="AZ3171" s="37"/>
      <c r="BA3171" s="37"/>
      <c r="BB3171" s="37"/>
      <c r="BC3171" s="37"/>
      <c r="BD3171" s="37"/>
      <c r="BE3171" s="37"/>
      <c r="BF3171" s="37"/>
      <c r="BG3171" s="37"/>
      <c r="BH3171" s="37"/>
      <c r="BI3171" s="37"/>
      <c r="BJ3171" s="37"/>
      <c r="BK3171" s="37"/>
      <c r="BL3171" s="37"/>
      <c r="BM3171" s="37"/>
    </row>
    <row r="3172" spans="1:65" s="40" customFormat="1" ht="23.25" x14ac:dyDescent="0.35">
      <c r="A3172" s="37"/>
      <c r="B3172" s="37"/>
      <c r="C3172" s="41"/>
      <c r="D3172" s="38"/>
      <c r="E3172" s="57"/>
      <c r="F3172" s="42"/>
      <c r="G3172" s="43"/>
      <c r="H3172" s="37"/>
      <c r="I3172" s="37"/>
      <c r="J3172" s="38"/>
      <c r="K3172" s="37"/>
      <c r="L3172" s="38"/>
      <c r="M3172" s="39"/>
      <c r="P3172" s="37"/>
      <c r="Q3172" s="37"/>
      <c r="R3172" s="37"/>
      <c r="S3172" s="37"/>
      <c r="T3172" s="37"/>
      <c r="U3172" s="37"/>
      <c r="V3172" s="37"/>
      <c r="W3172" s="37"/>
      <c r="X3172" s="37"/>
      <c r="Y3172" s="37"/>
      <c r="Z3172" s="37"/>
      <c r="AA3172" s="37"/>
      <c r="AB3172" s="37"/>
      <c r="AC3172" s="37"/>
      <c r="AD3172" s="37"/>
      <c r="AE3172" s="37"/>
      <c r="AF3172" s="37"/>
      <c r="AG3172" s="37"/>
      <c r="AH3172" s="37"/>
      <c r="AI3172" s="37"/>
      <c r="AJ3172" s="37"/>
      <c r="AK3172" s="37"/>
      <c r="AL3172" s="37"/>
      <c r="AM3172" s="37"/>
      <c r="AN3172" s="37"/>
      <c r="AO3172" s="37"/>
      <c r="AP3172" s="37"/>
      <c r="AQ3172" s="37"/>
      <c r="AR3172" s="37"/>
      <c r="AS3172" s="37"/>
      <c r="AT3172" s="37"/>
      <c r="AU3172" s="37"/>
      <c r="AV3172" s="37"/>
      <c r="AW3172" s="37"/>
      <c r="AX3172" s="37"/>
      <c r="AY3172" s="37"/>
      <c r="AZ3172" s="37"/>
      <c r="BA3172" s="37"/>
      <c r="BB3172" s="37"/>
      <c r="BC3172" s="37"/>
      <c r="BD3172" s="37"/>
      <c r="BE3172" s="37"/>
      <c r="BF3172" s="37"/>
      <c r="BG3172" s="37"/>
      <c r="BH3172" s="37"/>
      <c r="BI3172" s="37"/>
      <c r="BJ3172" s="37"/>
      <c r="BK3172" s="37"/>
      <c r="BL3172" s="37"/>
      <c r="BM3172" s="37"/>
    </row>
    <row r="3173" spans="1:65" s="40" customFormat="1" ht="23.25" x14ac:dyDescent="0.35">
      <c r="A3173" s="37"/>
      <c r="B3173" s="37"/>
      <c r="C3173" s="41"/>
      <c r="D3173" s="38"/>
      <c r="E3173" s="57"/>
      <c r="F3173" s="42"/>
      <c r="G3173" s="43"/>
      <c r="H3173" s="37"/>
      <c r="I3173" s="37"/>
      <c r="J3173" s="38"/>
      <c r="K3173" s="37"/>
      <c r="L3173" s="38"/>
      <c r="M3173" s="39"/>
      <c r="P3173" s="37"/>
      <c r="Q3173" s="37"/>
      <c r="R3173" s="37"/>
      <c r="S3173" s="37"/>
      <c r="T3173" s="37"/>
      <c r="U3173" s="37"/>
      <c r="V3173" s="37"/>
      <c r="W3173" s="37"/>
      <c r="X3173" s="37"/>
      <c r="Y3173" s="37"/>
      <c r="Z3173" s="37"/>
      <c r="AA3173" s="37"/>
      <c r="AB3173" s="37"/>
      <c r="AC3173" s="37"/>
      <c r="AD3173" s="37"/>
      <c r="AE3173" s="37"/>
      <c r="AF3173" s="37"/>
      <c r="AG3173" s="37"/>
      <c r="AH3173" s="37"/>
      <c r="AI3173" s="37"/>
      <c r="AJ3173" s="37"/>
      <c r="AK3173" s="37"/>
      <c r="AL3173" s="37"/>
      <c r="AM3173" s="37"/>
      <c r="AN3173" s="37"/>
      <c r="AO3173" s="37"/>
      <c r="AP3173" s="37"/>
      <c r="AQ3173" s="37"/>
      <c r="AR3173" s="37"/>
      <c r="AS3173" s="37"/>
      <c r="AT3173" s="37"/>
      <c r="AU3173" s="37"/>
      <c r="AV3173" s="37"/>
      <c r="AW3173" s="37"/>
      <c r="AX3173" s="37"/>
      <c r="AY3173" s="37"/>
      <c r="AZ3173" s="37"/>
      <c r="BA3173" s="37"/>
      <c r="BB3173" s="37"/>
      <c r="BC3173" s="37"/>
      <c r="BD3173" s="37"/>
      <c r="BE3173" s="37"/>
      <c r="BF3173" s="37"/>
      <c r="BG3173" s="37"/>
      <c r="BH3173" s="37"/>
      <c r="BI3173" s="37"/>
      <c r="BJ3173" s="37"/>
      <c r="BK3173" s="37"/>
      <c r="BL3173" s="37"/>
      <c r="BM3173" s="37"/>
    </row>
    <row r="3174" spans="1:65" s="40" customFormat="1" ht="23.25" x14ac:dyDescent="0.35">
      <c r="A3174" s="37"/>
      <c r="B3174" s="37"/>
      <c r="C3174" s="41"/>
      <c r="D3174" s="38"/>
      <c r="E3174" s="57"/>
      <c r="F3174" s="42"/>
      <c r="G3174" s="43"/>
      <c r="H3174" s="37"/>
      <c r="I3174" s="37"/>
      <c r="J3174" s="38"/>
      <c r="K3174" s="37"/>
      <c r="L3174" s="38"/>
      <c r="M3174" s="39"/>
      <c r="P3174" s="37"/>
      <c r="Q3174" s="37"/>
      <c r="R3174" s="37"/>
      <c r="S3174" s="37"/>
      <c r="T3174" s="37"/>
      <c r="U3174" s="37"/>
      <c r="V3174" s="37"/>
      <c r="W3174" s="37"/>
      <c r="X3174" s="37"/>
      <c r="Y3174" s="37"/>
      <c r="Z3174" s="37"/>
      <c r="AA3174" s="37"/>
      <c r="AB3174" s="37"/>
      <c r="AC3174" s="37"/>
      <c r="AD3174" s="37"/>
      <c r="AE3174" s="37"/>
      <c r="AF3174" s="37"/>
      <c r="AG3174" s="37"/>
      <c r="AH3174" s="37"/>
      <c r="AI3174" s="37"/>
      <c r="AJ3174" s="37"/>
      <c r="AK3174" s="37"/>
      <c r="AL3174" s="37"/>
      <c r="AM3174" s="37"/>
      <c r="AN3174" s="37"/>
      <c r="AO3174" s="37"/>
      <c r="AP3174" s="37"/>
      <c r="AQ3174" s="37"/>
      <c r="AR3174" s="37"/>
      <c r="AS3174" s="37"/>
      <c r="AT3174" s="37"/>
      <c r="AU3174" s="37"/>
      <c r="AV3174" s="37"/>
      <c r="AW3174" s="37"/>
      <c r="AX3174" s="37"/>
      <c r="AY3174" s="37"/>
      <c r="AZ3174" s="37"/>
      <c r="BA3174" s="37"/>
      <c r="BB3174" s="37"/>
      <c r="BC3174" s="37"/>
      <c r="BD3174" s="37"/>
      <c r="BE3174" s="37"/>
      <c r="BF3174" s="37"/>
      <c r="BG3174" s="37"/>
      <c r="BH3174" s="37"/>
      <c r="BI3174" s="37"/>
      <c r="BJ3174" s="37"/>
      <c r="BK3174" s="37"/>
      <c r="BL3174" s="37"/>
      <c r="BM3174" s="37"/>
    </row>
    <row r="3175" spans="1:65" s="40" customFormat="1" ht="23.25" x14ac:dyDescent="0.35">
      <c r="A3175" s="37"/>
      <c r="B3175" s="37"/>
      <c r="C3175" s="41"/>
      <c r="D3175" s="38"/>
      <c r="E3175" s="57"/>
      <c r="F3175" s="42"/>
      <c r="G3175" s="43"/>
      <c r="H3175" s="37"/>
      <c r="I3175" s="37"/>
      <c r="J3175" s="38"/>
      <c r="K3175" s="37"/>
      <c r="L3175" s="38"/>
      <c r="M3175" s="39"/>
      <c r="P3175" s="37"/>
      <c r="Q3175" s="37"/>
      <c r="R3175" s="37"/>
      <c r="S3175" s="37"/>
      <c r="T3175" s="37"/>
      <c r="U3175" s="37"/>
      <c r="V3175" s="37"/>
      <c r="W3175" s="37"/>
      <c r="X3175" s="37"/>
      <c r="Y3175" s="37"/>
      <c r="Z3175" s="37"/>
      <c r="AA3175" s="37"/>
      <c r="AB3175" s="37"/>
      <c r="AC3175" s="37"/>
      <c r="AD3175" s="37"/>
      <c r="AE3175" s="37"/>
      <c r="AF3175" s="37"/>
      <c r="AG3175" s="37"/>
      <c r="AH3175" s="37"/>
      <c r="AI3175" s="37"/>
      <c r="AJ3175" s="37"/>
      <c r="AK3175" s="37"/>
      <c r="AL3175" s="37"/>
      <c r="AM3175" s="37"/>
      <c r="AN3175" s="37"/>
      <c r="AO3175" s="37"/>
      <c r="AP3175" s="37"/>
      <c r="AQ3175" s="37"/>
      <c r="AR3175" s="37"/>
      <c r="AS3175" s="37"/>
      <c r="AT3175" s="37"/>
      <c r="AU3175" s="37"/>
      <c r="AV3175" s="37"/>
      <c r="AW3175" s="37"/>
      <c r="AX3175" s="37"/>
      <c r="AY3175" s="37"/>
      <c r="AZ3175" s="37"/>
      <c r="BA3175" s="37"/>
      <c r="BB3175" s="37"/>
      <c r="BC3175" s="37"/>
      <c r="BD3175" s="37"/>
      <c r="BE3175" s="37"/>
      <c r="BF3175" s="37"/>
      <c r="BG3175" s="37"/>
      <c r="BH3175" s="37"/>
      <c r="BI3175" s="37"/>
      <c r="BJ3175" s="37"/>
      <c r="BK3175" s="37"/>
      <c r="BL3175" s="37"/>
      <c r="BM3175" s="37"/>
    </row>
    <row r="3176" spans="1:65" s="40" customFormat="1" ht="23.25" x14ac:dyDescent="0.35">
      <c r="A3176" s="37"/>
      <c r="B3176" s="37"/>
      <c r="C3176" s="41"/>
      <c r="D3176" s="38"/>
      <c r="E3176" s="57"/>
      <c r="F3176" s="42"/>
      <c r="G3176" s="43"/>
      <c r="H3176" s="37"/>
      <c r="I3176" s="37"/>
      <c r="J3176" s="38"/>
      <c r="K3176" s="37"/>
      <c r="L3176" s="38"/>
      <c r="M3176" s="39"/>
      <c r="P3176" s="37"/>
      <c r="Q3176" s="37"/>
      <c r="R3176" s="37"/>
      <c r="S3176" s="37"/>
      <c r="T3176" s="37"/>
      <c r="U3176" s="37"/>
      <c r="V3176" s="37"/>
      <c r="W3176" s="37"/>
      <c r="X3176" s="37"/>
      <c r="Y3176" s="37"/>
      <c r="Z3176" s="37"/>
      <c r="AA3176" s="37"/>
      <c r="AB3176" s="37"/>
      <c r="AC3176" s="37"/>
      <c r="AD3176" s="37"/>
      <c r="AE3176" s="37"/>
      <c r="AF3176" s="37"/>
      <c r="AG3176" s="37"/>
      <c r="AH3176" s="37"/>
      <c r="AI3176" s="37"/>
      <c r="AJ3176" s="37"/>
      <c r="AK3176" s="37"/>
      <c r="AL3176" s="37"/>
      <c r="AM3176" s="37"/>
      <c r="AN3176" s="37"/>
      <c r="AO3176" s="37"/>
      <c r="AP3176" s="37"/>
      <c r="AQ3176" s="37"/>
      <c r="AR3176" s="37"/>
      <c r="AS3176" s="37"/>
      <c r="AT3176" s="37"/>
      <c r="AU3176" s="37"/>
      <c r="AV3176" s="37"/>
      <c r="AW3176" s="37"/>
      <c r="AX3176" s="37"/>
      <c r="AY3176" s="37"/>
      <c r="AZ3176" s="37"/>
      <c r="BA3176" s="37"/>
      <c r="BB3176" s="37"/>
      <c r="BC3176" s="37"/>
      <c r="BD3176" s="37"/>
      <c r="BE3176" s="37"/>
      <c r="BF3176" s="37"/>
      <c r="BG3176" s="37"/>
      <c r="BH3176" s="37"/>
      <c r="BI3176" s="37"/>
      <c r="BJ3176" s="37"/>
      <c r="BK3176" s="37"/>
      <c r="BL3176" s="37"/>
      <c r="BM3176" s="37"/>
    </row>
    <row r="3177" spans="1:65" s="40" customFormat="1" ht="23.25" x14ac:dyDescent="0.35">
      <c r="A3177" s="37"/>
      <c r="B3177" s="37"/>
      <c r="C3177" s="41"/>
      <c r="D3177" s="38"/>
      <c r="E3177" s="57"/>
      <c r="F3177" s="42"/>
      <c r="G3177" s="43"/>
      <c r="H3177" s="37"/>
      <c r="I3177" s="37"/>
      <c r="J3177" s="38"/>
      <c r="K3177" s="37"/>
      <c r="L3177" s="38"/>
      <c r="M3177" s="39"/>
      <c r="P3177" s="37"/>
      <c r="Q3177" s="37"/>
      <c r="R3177" s="37"/>
      <c r="S3177" s="37"/>
      <c r="T3177" s="37"/>
      <c r="U3177" s="37"/>
      <c r="V3177" s="37"/>
      <c r="W3177" s="37"/>
      <c r="X3177" s="37"/>
      <c r="Y3177" s="37"/>
      <c r="Z3177" s="37"/>
      <c r="AA3177" s="37"/>
      <c r="AB3177" s="37"/>
      <c r="AC3177" s="37"/>
      <c r="AD3177" s="37"/>
      <c r="AE3177" s="37"/>
      <c r="AF3177" s="37"/>
      <c r="AG3177" s="37"/>
      <c r="AH3177" s="37"/>
      <c r="AI3177" s="37"/>
      <c r="AJ3177" s="37"/>
      <c r="AK3177" s="37"/>
      <c r="AL3177" s="37"/>
      <c r="AM3177" s="37"/>
      <c r="AN3177" s="37"/>
      <c r="AO3177" s="37"/>
      <c r="AP3177" s="37"/>
      <c r="AQ3177" s="37"/>
      <c r="AR3177" s="37"/>
      <c r="AS3177" s="37"/>
      <c r="AT3177" s="37"/>
      <c r="AU3177" s="37"/>
      <c r="AV3177" s="37"/>
      <c r="AW3177" s="37"/>
      <c r="AX3177" s="37"/>
      <c r="AY3177" s="37"/>
      <c r="AZ3177" s="37"/>
      <c r="BA3177" s="37"/>
      <c r="BB3177" s="37"/>
      <c r="BC3177" s="37"/>
      <c r="BD3177" s="37"/>
      <c r="BE3177" s="37"/>
      <c r="BF3177" s="37"/>
      <c r="BG3177" s="37"/>
      <c r="BH3177" s="37"/>
      <c r="BI3177" s="37"/>
      <c r="BJ3177" s="37"/>
      <c r="BK3177" s="37"/>
      <c r="BL3177" s="37"/>
      <c r="BM3177" s="37"/>
    </row>
    <row r="3178" spans="1:65" s="40" customFormat="1" ht="23.25" x14ac:dyDescent="0.35">
      <c r="A3178" s="37"/>
      <c r="B3178" s="37"/>
      <c r="C3178" s="41"/>
      <c r="D3178" s="38"/>
      <c r="E3178" s="57"/>
      <c r="F3178" s="42"/>
      <c r="G3178" s="43"/>
      <c r="H3178" s="37"/>
      <c r="I3178" s="37"/>
      <c r="J3178" s="38"/>
      <c r="K3178" s="37"/>
      <c r="L3178" s="38"/>
      <c r="M3178" s="39"/>
      <c r="P3178" s="37"/>
      <c r="Q3178" s="37"/>
      <c r="R3178" s="37"/>
      <c r="S3178" s="37"/>
      <c r="T3178" s="37"/>
      <c r="U3178" s="37"/>
      <c r="V3178" s="37"/>
      <c r="W3178" s="37"/>
      <c r="X3178" s="37"/>
      <c r="Y3178" s="37"/>
      <c r="Z3178" s="37"/>
      <c r="AA3178" s="37"/>
      <c r="AB3178" s="37"/>
      <c r="AC3178" s="37"/>
      <c r="AD3178" s="37"/>
      <c r="AE3178" s="37"/>
      <c r="AF3178" s="37"/>
      <c r="AG3178" s="37"/>
      <c r="AH3178" s="37"/>
      <c r="AI3178" s="37"/>
      <c r="AJ3178" s="37"/>
      <c r="AK3178" s="37"/>
      <c r="AL3178" s="37"/>
      <c r="AM3178" s="37"/>
      <c r="AN3178" s="37"/>
      <c r="AO3178" s="37"/>
      <c r="AP3178" s="37"/>
      <c r="AQ3178" s="37"/>
      <c r="AR3178" s="37"/>
      <c r="AS3178" s="37"/>
      <c r="AT3178" s="37"/>
      <c r="AU3178" s="37"/>
      <c r="AV3178" s="37"/>
      <c r="AW3178" s="37"/>
      <c r="AX3178" s="37"/>
      <c r="AY3178" s="37"/>
      <c r="AZ3178" s="37"/>
      <c r="BA3178" s="37"/>
      <c r="BB3178" s="37"/>
      <c r="BC3178" s="37"/>
      <c r="BD3178" s="37"/>
      <c r="BE3178" s="37"/>
      <c r="BF3178" s="37"/>
      <c r="BG3178" s="37"/>
      <c r="BH3178" s="37"/>
      <c r="BI3178" s="37"/>
      <c r="BJ3178" s="37"/>
      <c r="BK3178" s="37"/>
      <c r="BL3178" s="37"/>
      <c r="BM3178" s="37"/>
    </row>
    <row r="3179" spans="1:65" s="40" customFormat="1" ht="23.25" x14ac:dyDescent="0.35">
      <c r="A3179" s="37"/>
      <c r="B3179" s="37"/>
      <c r="C3179" s="41"/>
      <c r="D3179" s="38"/>
      <c r="E3179" s="57"/>
      <c r="F3179" s="42"/>
      <c r="G3179" s="43"/>
      <c r="H3179" s="37"/>
      <c r="I3179" s="37"/>
      <c r="J3179" s="38"/>
      <c r="K3179" s="37"/>
      <c r="L3179" s="38"/>
      <c r="M3179" s="39"/>
      <c r="P3179" s="37"/>
      <c r="Q3179" s="37"/>
      <c r="R3179" s="37"/>
      <c r="S3179" s="37"/>
      <c r="T3179" s="37"/>
      <c r="U3179" s="37"/>
      <c r="V3179" s="37"/>
      <c r="W3179" s="37"/>
      <c r="X3179" s="37"/>
      <c r="Y3179" s="37"/>
      <c r="Z3179" s="37"/>
      <c r="AA3179" s="37"/>
      <c r="AB3179" s="37"/>
      <c r="AC3179" s="37"/>
      <c r="AD3179" s="37"/>
      <c r="AE3179" s="37"/>
      <c r="AF3179" s="37"/>
      <c r="AG3179" s="37"/>
      <c r="AH3179" s="37"/>
      <c r="AI3179" s="37"/>
      <c r="AJ3179" s="37"/>
      <c r="AK3179" s="37"/>
      <c r="AL3179" s="37"/>
      <c r="AM3179" s="37"/>
      <c r="AN3179" s="37"/>
      <c r="AO3179" s="37"/>
      <c r="AP3179" s="37"/>
      <c r="AQ3179" s="37"/>
      <c r="AR3179" s="37"/>
      <c r="AS3179" s="37"/>
      <c r="AT3179" s="37"/>
      <c r="AU3179" s="37"/>
      <c r="AV3179" s="37"/>
      <c r="AW3179" s="37"/>
      <c r="AX3179" s="37"/>
      <c r="AY3179" s="37"/>
      <c r="AZ3179" s="37"/>
      <c r="BA3179" s="37"/>
      <c r="BB3179" s="37"/>
      <c r="BC3179" s="37"/>
      <c r="BD3179" s="37"/>
      <c r="BE3179" s="37"/>
      <c r="BF3179" s="37"/>
      <c r="BG3179" s="37"/>
      <c r="BH3179" s="37"/>
      <c r="BI3179" s="37"/>
      <c r="BJ3179" s="37"/>
      <c r="BK3179" s="37"/>
      <c r="BL3179" s="37"/>
      <c r="BM3179" s="37"/>
    </row>
    <row r="3180" spans="1:65" s="40" customFormat="1" ht="23.25" x14ac:dyDescent="0.35">
      <c r="A3180" s="37"/>
      <c r="B3180" s="37"/>
      <c r="C3180" s="41"/>
      <c r="D3180" s="38"/>
      <c r="E3180" s="57"/>
      <c r="F3180" s="42"/>
      <c r="G3180" s="43"/>
      <c r="H3180" s="37"/>
      <c r="I3180" s="37"/>
      <c r="J3180" s="38"/>
      <c r="K3180" s="37"/>
      <c r="L3180" s="38"/>
      <c r="M3180" s="39"/>
      <c r="P3180" s="37"/>
      <c r="Q3180" s="37"/>
      <c r="R3180" s="37"/>
      <c r="S3180" s="37"/>
      <c r="T3180" s="37"/>
      <c r="U3180" s="37"/>
      <c r="V3180" s="37"/>
      <c r="W3180" s="37"/>
      <c r="X3180" s="37"/>
      <c r="Y3180" s="37"/>
      <c r="Z3180" s="37"/>
      <c r="AA3180" s="37"/>
      <c r="AB3180" s="37"/>
      <c r="AC3180" s="37"/>
      <c r="AD3180" s="37"/>
      <c r="AE3180" s="37"/>
      <c r="AF3180" s="37"/>
      <c r="AG3180" s="37"/>
      <c r="AH3180" s="37"/>
      <c r="AI3180" s="37"/>
      <c r="AJ3180" s="37"/>
      <c r="AK3180" s="37"/>
      <c r="AL3180" s="37"/>
      <c r="AM3180" s="37"/>
      <c r="AN3180" s="37"/>
      <c r="AO3180" s="37"/>
      <c r="AP3180" s="37"/>
      <c r="AQ3180" s="37"/>
      <c r="AR3180" s="37"/>
      <c r="AS3180" s="37"/>
      <c r="AT3180" s="37"/>
      <c r="AU3180" s="37"/>
      <c r="AV3180" s="37"/>
      <c r="AW3180" s="37"/>
      <c r="AX3180" s="37"/>
      <c r="AY3180" s="37"/>
      <c r="AZ3180" s="37"/>
      <c r="BA3180" s="37"/>
      <c r="BB3180" s="37"/>
      <c r="BC3180" s="37"/>
      <c r="BD3180" s="37"/>
      <c r="BE3180" s="37"/>
      <c r="BF3180" s="37"/>
      <c r="BG3180" s="37"/>
      <c r="BH3180" s="37"/>
      <c r="BI3180" s="37"/>
      <c r="BJ3180" s="37"/>
      <c r="BK3180" s="37"/>
      <c r="BL3180" s="37"/>
      <c r="BM3180" s="37"/>
    </row>
    <row r="3181" spans="1:65" s="40" customFormat="1" ht="23.25" x14ac:dyDescent="0.35">
      <c r="A3181" s="37"/>
      <c r="B3181" s="37"/>
      <c r="C3181" s="41"/>
      <c r="D3181" s="38"/>
      <c r="E3181" s="57"/>
      <c r="F3181" s="42"/>
      <c r="G3181" s="43"/>
      <c r="H3181" s="37"/>
      <c r="I3181" s="37"/>
      <c r="J3181" s="38"/>
      <c r="K3181" s="37"/>
      <c r="L3181" s="38"/>
      <c r="M3181" s="39"/>
      <c r="P3181" s="37"/>
      <c r="Q3181" s="37"/>
      <c r="R3181" s="37"/>
      <c r="S3181" s="37"/>
      <c r="T3181" s="37"/>
      <c r="U3181" s="37"/>
      <c r="V3181" s="37"/>
      <c r="W3181" s="37"/>
      <c r="X3181" s="37"/>
      <c r="Y3181" s="37"/>
      <c r="Z3181" s="37"/>
      <c r="AA3181" s="37"/>
      <c r="AB3181" s="37"/>
      <c r="AC3181" s="37"/>
      <c r="AD3181" s="37"/>
      <c r="AE3181" s="37"/>
      <c r="AF3181" s="37"/>
      <c r="AG3181" s="37"/>
      <c r="AH3181" s="37"/>
      <c r="AI3181" s="37"/>
      <c r="AJ3181" s="37"/>
      <c r="AK3181" s="37"/>
      <c r="AL3181" s="37"/>
      <c r="AM3181" s="37"/>
      <c r="AN3181" s="37"/>
      <c r="AO3181" s="37"/>
      <c r="AP3181" s="37"/>
      <c r="AQ3181" s="37"/>
      <c r="AR3181" s="37"/>
      <c r="AS3181" s="37"/>
      <c r="AT3181" s="37"/>
      <c r="AU3181" s="37"/>
      <c r="AV3181" s="37"/>
      <c r="AW3181" s="37"/>
      <c r="AX3181" s="37"/>
      <c r="AY3181" s="37"/>
      <c r="AZ3181" s="37"/>
      <c r="BA3181" s="37"/>
      <c r="BB3181" s="37"/>
      <c r="BC3181" s="37"/>
      <c r="BD3181" s="37"/>
      <c r="BE3181" s="37"/>
      <c r="BF3181" s="37"/>
      <c r="BG3181" s="37"/>
      <c r="BH3181" s="37"/>
      <c r="BI3181" s="37"/>
      <c r="BJ3181" s="37"/>
      <c r="BK3181" s="37"/>
      <c r="BL3181" s="37"/>
      <c r="BM3181" s="37"/>
    </row>
    <row r="3182" spans="1:65" s="40" customFormat="1" ht="23.25" x14ac:dyDescent="0.35">
      <c r="A3182" s="37"/>
      <c r="B3182" s="37"/>
      <c r="C3182" s="41"/>
      <c r="D3182" s="38"/>
      <c r="E3182" s="57"/>
      <c r="F3182" s="42"/>
      <c r="G3182" s="43"/>
      <c r="H3182" s="37"/>
      <c r="I3182" s="37"/>
      <c r="J3182" s="38"/>
      <c r="K3182" s="37"/>
      <c r="L3182" s="38"/>
      <c r="M3182" s="39"/>
      <c r="P3182" s="37"/>
      <c r="Q3182" s="37"/>
      <c r="R3182" s="37"/>
      <c r="S3182" s="37"/>
      <c r="T3182" s="37"/>
      <c r="U3182" s="37"/>
      <c r="V3182" s="37"/>
      <c r="W3182" s="37"/>
      <c r="X3182" s="37"/>
      <c r="Y3182" s="37"/>
      <c r="Z3182" s="37"/>
      <c r="AA3182" s="37"/>
      <c r="AB3182" s="37"/>
      <c r="AC3182" s="37"/>
      <c r="AD3182" s="37"/>
      <c r="AE3182" s="37"/>
      <c r="AF3182" s="37"/>
      <c r="AG3182" s="37"/>
      <c r="AH3182" s="37"/>
      <c r="AI3182" s="37"/>
      <c r="AJ3182" s="37"/>
      <c r="AK3182" s="37"/>
      <c r="AL3182" s="37"/>
      <c r="AM3182" s="37"/>
      <c r="AN3182" s="37"/>
      <c r="AO3182" s="37"/>
      <c r="AP3182" s="37"/>
      <c r="AQ3182" s="37"/>
      <c r="AR3182" s="37"/>
      <c r="AS3182" s="37"/>
      <c r="AT3182" s="37"/>
      <c r="AU3182" s="37"/>
      <c r="AV3182" s="37"/>
      <c r="AW3182" s="37"/>
      <c r="AX3182" s="37"/>
      <c r="AY3182" s="37"/>
      <c r="AZ3182" s="37"/>
      <c r="BA3182" s="37"/>
      <c r="BB3182" s="37"/>
      <c r="BC3182" s="37"/>
      <c r="BD3182" s="37"/>
      <c r="BE3182" s="37"/>
      <c r="BF3182" s="37"/>
      <c r="BG3182" s="37"/>
      <c r="BH3182" s="37"/>
      <c r="BI3182" s="37"/>
      <c r="BJ3182" s="37"/>
      <c r="BK3182" s="37"/>
      <c r="BL3182" s="37"/>
      <c r="BM3182" s="37"/>
    </row>
    <row r="3183" spans="1:65" s="40" customFormat="1" ht="23.25" x14ac:dyDescent="0.35">
      <c r="A3183" s="37"/>
      <c r="B3183" s="37"/>
      <c r="C3183" s="41"/>
      <c r="D3183" s="38"/>
      <c r="E3183" s="57"/>
      <c r="F3183" s="42"/>
      <c r="G3183" s="43"/>
      <c r="H3183" s="37"/>
      <c r="I3183" s="37"/>
      <c r="J3183" s="38"/>
      <c r="K3183" s="37"/>
      <c r="L3183" s="38"/>
      <c r="M3183" s="39"/>
      <c r="P3183" s="37"/>
      <c r="Q3183" s="37"/>
      <c r="R3183" s="37"/>
      <c r="S3183" s="37"/>
      <c r="T3183" s="37"/>
      <c r="U3183" s="37"/>
      <c r="V3183" s="37"/>
      <c r="W3183" s="37"/>
      <c r="X3183" s="37"/>
      <c r="Y3183" s="37"/>
      <c r="Z3183" s="37"/>
      <c r="AA3183" s="37"/>
      <c r="AB3183" s="37"/>
      <c r="AC3183" s="37"/>
      <c r="AD3183" s="37"/>
      <c r="AE3183" s="37"/>
      <c r="AF3183" s="37"/>
      <c r="AG3183" s="37"/>
      <c r="AH3183" s="37"/>
      <c r="AI3183" s="37"/>
      <c r="AJ3183" s="37"/>
      <c r="AK3183" s="37"/>
      <c r="AL3183" s="37"/>
      <c r="AM3183" s="37"/>
      <c r="AN3183" s="37"/>
      <c r="AO3183" s="37"/>
      <c r="AP3183" s="37"/>
      <c r="AQ3183" s="37"/>
      <c r="AR3183" s="37"/>
      <c r="AS3183" s="37"/>
      <c r="AT3183" s="37"/>
      <c r="AU3183" s="37"/>
      <c r="AV3183" s="37"/>
      <c r="AW3183" s="37"/>
      <c r="AX3183" s="37"/>
      <c r="AY3183" s="37"/>
      <c r="AZ3183" s="37"/>
      <c r="BA3183" s="37"/>
      <c r="BB3183" s="37"/>
      <c r="BC3183" s="37"/>
      <c r="BD3183" s="37"/>
      <c r="BE3183" s="37"/>
      <c r="BF3183" s="37"/>
      <c r="BG3183" s="37"/>
      <c r="BH3183" s="37"/>
      <c r="BI3183" s="37"/>
      <c r="BJ3183" s="37"/>
      <c r="BK3183" s="37"/>
      <c r="BL3183" s="37"/>
      <c r="BM3183" s="37"/>
    </row>
    <row r="3184" spans="1:65" s="40" customFormat="1" ht="23.25" x14ac:dyDescent="0.35">
      <c r="A3184" s="37"/>
      <c r="B3184" s="37"/>
      <c r="C3184" s="41"/>
      <c r="D3184" s="38"/>
      <c r="E3184" s="57"/>
      <c r="F3184" s="42"/>
      <c r="G3184" s="43"/>
      <c r="H3184" s="37"/>
      <c r="I3184" s="37"/>
      <c r="J3184" s="38"/>
      <c r="K3184" s="37"/>
      <c r="L3184" s="38"/>
      <c r="M3184" s="39"/>
      <c r="P3184" s="37"/>
      <c r="Q3184" s="37"/>
      <c r="R3184" s="37"/>
      <c r="S3184" s="37"/>
      <c r="T3184" s="37"/>
      <c r="U3184" s="37"/>
      <c r="V3184" s="37"/>
      <c r="W3184" s="37"/>
      <c r="X3184" s="37"/>
      <c r="Y3184" s="37"/>
      <c r="Z3184" s="37"/>
      <c r="AA3184" s="37"/>
      <c r="AB3184" s="37"/>
      <c r="AC3184" s="37"/>
      <c r="AD3184" s="37"/>
      <c r="AE3184" s="37"/>
      <c r="AF3184" s="37"/>
      <c r="AG3184" s="37"/>
      <c r="AH3184" s="37"/>
      <c r="AI3184" s="37"/>
      <c r="AJ3184" s="37"/>
      <c r="AK3184" s="37"/>
      <c r="AL3184" s="37"/>
      <c r="AM3184" s="37"/>
      <c r="AN3184" s="37"/>
      <c r="AO3184" s="37"/>
      <c r="AP3184" s="37"/>
      <c r="AQ3184" s="37"/>
      <c r="AR3184" s="37"/>
      <c r="AS3184" s="37"/>
      <c r="AT3184" s="37"/>
      <c r="AU3184" s="37"/>
      <c r="AV3184" s="37"/>
      <c r="AW3184" s="37"/>
      <c r="AX3184" s="37"/>
      <c r="AY3184" s="37"/>
      <c r="AZ3184" s="37"/>
      <c r="BA3184" s="37"/>
      <c r="BB3184" s="37"/>
      <c r="BC3184" s="37"/>
      <c r="BD3184" s="37"/>
      <c r="BE3184" s="37"/>
      <c r="BF3184" s="37"/>
      <c r="BG3184" s="37"/>
      <c r="BH3184" s="37"/>
      <c r="BI3184" s="37"/>
      <c r="BJ3184" s="37"/>
      <c r="BK3184" s="37"/>
      <c r="BL3184" s="37"/>
      <c r="BM3184" s="37"/>
    </row>
    <row r="3185" spans="1:65" s="40" customFormat="1" ht="23.25" x14ac:dyDescent="0.35">
      <c r="A3185" s="37"/>
      <c r="B3185" s="37"/>
      <c r="C3185" s="41"/>
      <c r="D3185" s="38"/>
      <c r="E3185" s="57"/>
      <c r="F3185" s="42"/>
      <c r="G3185" s="43"/>
      <c r="H3185" s="37"/>
      <c r="I3185" s="37"/>
      <c r="J3185" s="38"/>
      <c r="K3185" s="37"/>
      <c r="L3185" s="38"/>
      <c r="M3185" s="39"/>
      <c r="P3185" s="37"/>
      <c r="Q3185" s="37"/>
      <c r="R3185" s="37"/>
      <c r="S3185" s="37"/>
      <c r="T3185" s="37"/>
      <c r="U3185" s="37"/>
      <c r="V3185" s="37"/>
      <c r="W3185" s="37"/>
      <c r="X3185" s="37"/>
      <c r="Y3185" s="37"/>
      <c r="Z3185" s="37"/>
      <c r="AA3185" s="37"/>
      <c r="AB3185" s="37"/>
      <c r="AC3185" s="37"/>
      <c r="AD3185" s="37"/>
      <c r="AE3185" s="37"/>
      <c r="AF3185" s="37"/>
      <c r="AG3185" s="37"/>
      <c r="AH3185" s="37"/>
      <c r="AI3185" s="37"/>
      <c r="AJ3185" s="37"/>
      <c r="AK3185" s="37"/>
      <c r="AL3185" s="37"/>
      <c r="AM3185" s="37"/>
      <c r="AN3185" s="37"/>
      <c r="AO3185" s="37"/>
      <c r="AP3185" s="37"/>
      <c r="AQ3185" s="37"/>
      <c r="AR3185" s="37"/>
      <c r="AS3185" s="37"/>
      <c r="AT3185" s="37"/>
      <c r="AU3185" s="37"/>
      <c r="AV3185" s="37"/>
      <c r="AW3185" s="37"/>
      <c r="AX3185" s="37"/>
      <c r="AY3185" s="37"/>
      <c r="AZ3185" s="37"/>
      <c r="BA3185" s="37"/>
      <c r="BB3185" s="37"/>
      <c r="BC3185" s="37"/>
      <c r="BD3185" s="37"/>
      <c r="BE3185" s="37"/>
      <c r="BF3185" s="37"/>
      <c r="BG3185" s="37"/>
      <c r="BH3185" s="37"/>
      <c r="BI3185" s="37"/>
      <c r="BJ3185" s="37"/>
      <c r="BK3185" s="37"/>
      <c r="BL3185" s="37"/>
      <c r="BM3185" s="37"/>
    </row>
    <row r="3186" spans="1:65" s="40" customFormat="1" ht="23.25" x14ac:dyDescent="0.35">
      <c r="A3186" s="37"/>
      <c r="B3186" s="37"/>
      <c r="C3186" s="41"/>
      <c r="D3186" s="38"/>
      <c r="E3186" s="57"/>
      <c r="F3186" s="42"/>
      <c r="G3186" s="43"/>
      <c r="H3186" s="37"/>
      <c r="I3186" s="37"/>
      <c r="J3186" s="38"/>
      <c r="K3186" s="37"/>
      <c r="L3186" s="38"/>
      <c r="M3186" s="39"/>
      <c r="P3186" s="37"/>
      <c r="Q3186" s="37"/>
      <c r="R3186" s="37"/>
      <c r="S3186" s="37"/>
      <c r="T3186" s="37"/>
      <c r="U3186" s="37"/>
      <c r="V3186" s="37"/>
      <c r="W3186" s="37"/>
      <c r="X3186" s="37"/>
      <c r="Y3186" s="37"/>
      <c r="Z3186" s="37"/>
      <c r="AA3186" s="37"/>
      <c r="AB3186" s="37"/>
      <c r="AC3186" s="37"/>
      <c r="AD3186" s="37"/>
      <c r="AE3186" s="37"/>
      <c r="AF3186" s="37"/>
      <c r="AG3186" s="37"/>
      <c r="AH3186" s="37"/>
      <c r="AI3186" s="37"/>
      <c r="AJ3186" s="37"/>
      <c r="AK3186" s="37"/>
      <c r="AL3186" s="37"/>
      <c r="AM3186" s="37"/>
      <c r="AN3186" s="37"/>
      <c r="AO3186" s="37"/>
      <c r="AP3186" s="37"/>
      <c r="AQ3186" s="37"/>
      <c r="AR3186" s="37"/>
      <c r="AS3186" s="37"/>
      <c r="AT3186" s="37"/>
      <c r="AU3186" s="37"/>
      <c r="AV3186" s="37"/>
      <c r="AW3186" s="37"/>
      <c r="AX3186" s="37"/>
      <c r="AY3186" s="37"/>
      <c r="AZ3186" s="37"/>
      <c r="BA3186" s="37"/>
      <c r="BB3186" s="37"/>
      <c r="BC3186" s="37"/>
      <c r="BD3186" s="37"/>
      <c r="BE3186" s="37"/>
      <c r="BF3186" s="37"/>
      <c r="BG3186" s="37"/>
      <c r="BH3186" s="37"/>
      <c r="BI3186" s="37"/>
      <c r="BJ3186" s="37"/>
      <c r="BK3186" s="37"/>
      <c r="BL3186" s="37"/>
      <c r="BM3186" s="37"/>
    </row>
    <row r="3187" spans="1:65" s="40" customFormat="1" ht="23.25" x14ac:dyDescent="0.35">
      <c r="A3187" s="37"/>
      <c r="B3187" s="37"/>
      <c r="C3187" s="41"/>
      <c r="D3187" s="38"/>
      <c r="E3187" s="57"/>
      <c r="F3187" s="42"/>
      <c r="G3187" s="43"/>
      <c r="H3187" s="37"/>
      <c r="I3187" s="37"/>
      <c r="J3187" s="38"/>
      <c r="K3187" s="37"/>
      <c r="L3187" s="38"/>
      <c r="M3187" s="39"/>
      <c r="P3187" s="37"/>
      <c r="Q3187" s="37"/>
      <c r="R3187" s="37"/>
      <c r="S3187" s="37"/>
      <c r="T3187" s="37"/>
      <c r="U3187" s="37"/>
      <c r="V3187" s="37"/>
      <c r="W3187" s="37"/>
      <c r="X3187" s="37"/>
      <c r="Y3187" s="37"/>
      <c r="Z3187" s="37"/>
      <c r="AA3187" s="37"/>
      <c r="AB3187" s="37"/>
      <c r="AC3187" s="37"/>
      <c r="AD3187" s="37"/>
      <c r="AE3187" s="37"/>
      <c r="AF3187" s="37"/>
      <c r="AG3187" s="37"/>
      <c r="AH3187" s="37"/>
      <c r="AI3187" s="37"/>
      <c r="AJ3187" s="37"/>
      <c r="AK3187" s="37"/>
      <c r="AL3187" s="37"/>
      <c r="AM3187" s="37"/>
      <c r="AN3187" s="37"/>
      <c r="AO3187" s="37"/>
      <c r="AP3187" s="37"/>
      <c r="AQ3187" s="37"/>
      <c r="AR3187" s="37"/>
      <c r="AS3187" s="37"/>
      <c r="AT3187" s="37"/>
      <c r="AU3187" s="37"/>
      <c r="AV3187" s="37"/>
      <c r="AW3187" s="37"/>
      <c r="AX3187" s="37"/>
      <c r="AY3187" s="37"/>
      <c r="AZ3187" s="37"/>
      <c r="BA3187" s="37"/>
      <c r="BB3187" s="37"/>
      <c r="BC3187" s="37"/>
      <c r="BD3187" s="37"/>
      <c r="BE3187" s="37"/>
      <c r="BF3187" s="37"/>
      <c r="BG3187" s="37"/>
      <c r="BH3187" s="37"/>
      <c r="BI3187" s="37"/>
      <c r="BJ3187" s="37"/>
      <c r="BK3187" s="37"/>
      <c r="BL3187" s="37"/>
      <c r="BM3187" s="37"/>
    </row>
    <row r="3188" spans="1:65" s="40" customFormat="1" ht="23.25" x14ac:dyDescent="0.35">
      <c r="A3188" s="37"/>
      <c r="B3188" s="37"/>
      <c r="C3188" s="41"/>
      <c r="D3188" s="38"/>
      <c r="E3188" s="57"/>
      <c r="F3188" s="42"/>
      <c r="G3188" s="43"/>
      <c r="H3188" s="37"/>
      <c r="I3188" s="37"/>
      <c r="J3188" s="38"/>
      <c r="K3188" s="37"/>
      <c r="L3188" s="38"/>
      <c r="M3188" s="39"/>
      <c r="P3188" s="37"/>
      <c r="Q3188" s="37"/>
      <c r="R3188" s="37"/>
      <c r="S3188" s="37"/>
      <c r="T3188" s="37"/>
      <c r="U3188" s="37"/>
      <c r="V3188" s="37"/>
      <c r="W3188" s="37"/>
      <c r="X3188" s="37"/>
      <c r="Y3188" s="37"/>
      <c r="Z3188" s="37"/>
      <c r="AA3188" s="37"/>
      <c r="AB3188" s="37"/>
      <c r="AC3188" s="37"/>
      <c r="AD3188" s="37"/>
      <c r="AE3188" s="37"/>
      <c r="AF3188" s="37"/>
      <c r="AG3188" s="37"/>
      <c r="AH3188" s="37"/>
      <c r="AI3188" s="37"/>
      <c r="AJ3188" s="37"/>
      <c r="AK3188" s="37"/>
      <c r="AL3188" s="37"/>
      <c r="AM3188" s="37"/>
      <c r="AN3188" s="37"/>
      <c r="AO3188" s="37"/>
      <c r="AP3188" s="37"/>
      <c r="AQ3188" s="37"/>
      <c r="AR3188" s="37"/>
      <c r="AS3188" s="37"/>
      <c r="AT3188" s="37"/>
      <c r="AU3188" s="37"/>
      <c r="AV3188" s="37"/>
      <c r="AW3188" s="37"/>
      <c r="AX3188" s="37"/>
      <c r="AY3188" s="37"/>
      <c r="AZ3188" s="37"/>
      <c r="BA3188" s="37"/>
      <c r="BB3188" s="37"/>
      <c r="BC3188" s="37"/>
      <c r="BD3188" s="37"/>
      <c r="BE3188" s="37"/>
      <c r="BF3188" s="37"/>
      <c r="BG3188" s="37"/>
      <c r="BH3188" s="37"/>
      <c r="BI3188" s="37"/>
      <c r="BJ3188" s="37"/>
      <c r="BK3188" s="37"/>
      <c r="BL3188" s="37"/>
      <c r="BM3188" s="37"/>
    </row>
    <row r="3189" spans="1:65" s="40" customFormat="1" ht="23.25" x14ac:dyDescent="0.35">
      <c r="A3189" s="37"/>
      <c r="B3189" s="37"/>
      <c r="C3189" s="41"/>
      <c r="D3189" s="38"/>
      <c r="E3189" s="57"/>
      <c r="F3189" s="42"/>
      <c r="G3189" s="43"/>
      <c r="H3189" s="37"/>
      <c r="I3189" s="37"/>
      <c r="J3189" s="38"/>
      <c r="K3189" s="37"/>
      <c r="L3189" s="38"/>
      <c r="M3189" s="39"/>
      <c r="P3189" s="37"/>
      <c r="Q3189" s="37"/>
      <c r="R3189" s="37"/>
      <c r="S3189" s="37"/>
      <c r="T3189" s="37"/>
      <c r="U3189" s="37"/>
      <c r="V3189" s="37"/>
      <c r="W3189" s="37"/>
      <c r="X3189" s="37"/>
      <c r="Y3189" s="37"/>
      <c r="Z3189" s="37"/>
      <c r="AA3189" s="37"/>
      <c r="AB3189" s="37"/>
      <c r="AC3189" s="37"/>
      <c r="AD3189" s="37"/>
      <c r="AE3189" s="37"/>
      <c r="AF3189" s="37"/>
      <c r="AG3189" s="37"/>
      <c r="AH3189" s="37"/>
      <c r="AI3189" s="37"/>
      <c r="AJ3189" s="37"/>
      <c r="AK3189" s="37"/>
      <c r="AL3189" s="37"/>
      <c r="AM3189" s="37"/>
      <c r="AN3189" s="37"/>
      <c r="AO3189" s="37"/>
      <c r="AP3189" s="37"/>
      <c r="AQ3189" s="37"/>
      <c r="AR3189" s="37"/>
      <c r="AS3189" s="37"/>
      <c r="AT3189" s="37"/>
      <c r="AU3189" s="37"/>
      <c r="AV3189" s="37"/>
      <c r="AW3189" s="37"/>
      <c r="AX3189" s="37"/>
      <c r="AY3189" s="37"/>
      <c r="AZ3189" s="37"/>
      <c r="BA3189" s="37"/>
      <c r="BB3189" s="37"/>
      <c r="BC3189" s="37"/>
      <c r="BD3189" s="37"/>
      <c r="BE3189" s="37"/>
      <c r="BF3189" s="37"/>
      <c r="BG3189" s="37"/>
      <c r="BH3189" s="37"/>
      <c r="BI3189" s="37"/>
      <c r="BJ3189" s="37"/>
      <c r="BK3189" s="37"/>
      <c r="BL3189" s="37"/>
      <c r="BM3189" s="37"/>
    </row>
    <row r="3190" spans="1:65" s="40" customFormat="1" ht="23.25" x14ac:dyDescent="0.35">
      <c r="A3190" s="37"/>
      <c r="B3190" s="37"/>
      <c r="C3190" s="41"/>
      <c r="D3190" s="38"/>
      <c r="E3190" s="57"/>
      <c r="F3190" s="42"/>
      <c r="G3190" s="43"/>
      <c r="H3190" s="37"/>
      <c r="I3190" s="37"/>
      <c r="J3190" s="38"/>
      <c r="K3190" s="37"/>
      <c r="L3190" s="38"/>
      <c r="M3190" s="39"/>
      <c r="P3190" s="37"/>
      <c r="Q3190" s="37"/>
      <c r="R3190" s="37"/>
      <c r="S3190" s="37"/>
      <c r="T3190" s="37"/>
      <c r="U3190" s="37"/>
      <c r="V3190" s="37"/>
      <c r="W3190" s="37"/>
      <c r="X3190" s="37"/>
      <c r="Y3190" s="37"/>
      <c r="Z3190" s="37"/>
      <c r="AA3190" s="37"/>
      <c r="AB3190" s="37"/>
      <c r="AC3190" s="37"/>
      <c r="AD3190" s="37"/>
      <c r="AE3190" s="37"/>
      <c r="AF3190" s="37"/>
      <c r="AG3190" s="37"/>
      <c r="AH3190" s="37"/>
      <c r="AI3190" s="37"/>
      <c r="AJ3190" s="37"/>
      <c r="AK3190" s="37"/>
      <c r="AL3190" s="37"/>
      <c r="AM3190" s="37"/>
      <c r="AN3190" s="37"/>
      <c r="AO3190" s="37"/>
      <c r="AP3190" s="37"/>
      <c r="AQ3190" s="37"/>
      <c r="AR3190" s="37"/>
      <c r="AS3190" s="37"/>
      <c r="AT3190" s="37"/>
      <c r="AU3190" s="37"/>
      <c r="AV3190" s="37"/>
      <c r="AW3190" s="37"/>
      <c r="AX3190" s="37"/>
      <c r="AY3190" s="37"/>
      <c r="AZ3190" s="37"/>
      <c r="BA3190" s="37"/>
      <c r="BB3190" s="37"/>
      <c r="BC3190" s="37"/>
      <c r="BD3190" s="37"/>
      <c r="BE3190" s="37"/>
      <c r="BF3190" s="37"/>
      <c r="BG3190" s="37"/>
      <c r="BH3190" s="37"/>
      <c r="BI3190" s="37"/>
      <c r="BJ3190" s="37"/>
      <c r="BK3190" s="37"/>
      <c r="BL3190" s="37"/>
      <c r="BM3190" s="37"/>
    </row>
    <row r="3191" spans="1:65" s="40" customFormat="1" ht="23.25" x14ac:dyDescent="0.35">
      <c r="A3191" s="37"/>
      <c r="B3191" s="37"/>
      <c r="C3191" s="41"/>
      <c r="D3191" s="38"/>
      <c r="E3191" s="57"/>
      <c r="F3191" s="42"/>
      <c r="G3191" s="43"/>
      <c r="H3191" s="37"/>
      <c r="I3191" s="37"/>
      <c r="J3191" s="38"/>
      <c r="K3191" s="37"/>
      <c r="L3191" s="38"/>
      <c r="M3191" s="39"/>
      <c r="P3191" s="37"/>
      <c r="Q3191" s="37"/>
      <c r="R3191" s="37"/>
      <c r="S3191" s="37"/>
      <c r="T3191" s="37"/>
      <c r="U3191" s="37"/>
      <c r="V3191" s="37"/>
      <c r="W3191" s="37"/>
      <c r="X3191" s="37"/>
      <c r="Y3191" s="37"/>
      <c r="Z3191" s="37"/>
      <c r="AA3191" s="37"/>
      <c r="AB3191" s="37"/>
      <c r="AC3191" s="37"/>
      <c r="AD3191" s="37"/>
      <c r="AE3191" s="37"/>
      <c r="AF3191" s="37"/>
      <c r="AG3191" s="37"/>
      <c r="AH3191" s="37"/>
      <c r="AI3191" s="37"/>
      <c r="AJ3191" s="37"/>
      <c r="AK3191" s="37"/>
      <c r="AL3191" s="37"/>
      <c r="AM3191" s="37"/>
      <c r="AN3191" s="37"/>
      <c r="AO3191" s="37"/>
      <c r="AP3191" s="37"/>
      <c r="AQ3191" s="37"/>
      <c r="AR3191" s="37"/>
      <c r="AS3191" s="37"/>
      <c r="AT3191" s="37"/>
      <c r="AU3191" s="37"/>
      <c r="AV3191" s="37"/>
      <c r="AW3191" s="37"/>
      <c r="AX3191" s="37"/>
      <c r="AY3191" s="37"/>
      <c r="AZ3191" s="37"/>
      <c r="BA3191" s="37"/>
      <c r="BB3191" s="37"/>
      <c r="BC3191" s="37"/>
      <c r="BD3191" s="37"/>
      <c r="BE3191" s="37"/>
      <c r="BF3191" s="37"/>
      <c r="BG3191" s="37"/>
      <c r="BH3191" s="37"/>
      <c r="BI3191" s="37"/>
      <c r="BJ3191" s="37"/>
      <c r="BK3191" s="37"/>
      <c r="BL3191" s="37"/>
      <c r="BM3191" s="37"/>
    </row>
    <row r="3192" spans="1:65" s="40" customFormat="1" ht="23.25" x14ac:dyDescent="0.35">
      <c r="A3192" s="37"/>
      <c r="B3192" s="37"/>
      <c r="C3192" s="41"/>
      <c r="D3192" s="38"/>
      <c r="E3192" s="57"/>
      <c r="F3192" s="42"/>
      <c r="G3192" s="43"/>
      <c r="H3192" s="37"/>
      <c r="I3192" s="37"/>
      <c r="J3192" s="38"/>
      <c r="K3192" s="37"/>
      <c r="L3192" s="38"/>
      <c r="M3192" s="39"/>
      <c r="P3192" s="37"/>
      <c r="Q3192" s="37"/>
      <c r="R3192" s="37"/>
      <c r="S3192" s="37"/>
      <c r="T3192" s="37"/>
      <c r="U3192" s="37"/>
      <c r="V3192" s="37"/>
      <c r="W3192" s="37"/>
      <c r="X3192" s="37"/>
      <c r="Y3192" s="37"/>
      <c r="Z3192" s="37"/>
      <c r="AA3192" s="37"/>
      <c r="AB3192" s="37"/>
      <c r="AC3192" s="37"/>
      <c r="AD3192" s="37"/>
      <c r="AE3192" s="37"/>
      <c r="AF3192" s="37"/>
      <c r="AG3192" s="37"/>
      <c r="AH3192" s="37"/>
      <c r="AI3192" s="37"/>
      <c r="AJ3192" s="37"/>
      <c r="AK3192" s="37"/>
      <c r="AL3192" s="37"/>
      <c r="AM3192" s="37"/>
      <c r="AN3192" s="37"/>
      <c r="AO3192" s="37"/>
      <c r="AP3192" s="37"/>
      <c r="AQ3192" s="37"/>
      <c r="AR3192" s="37"/>
      <c r="AS3192" s="37"/>
      <c r="AT3192" s="37"/>
      <c r="AU3192" s="37"/>
      <c r="AV3192" s="37"/>
      <c r="AW3192" s="37"/>
      <c r="AX3192" s="37"/>
      <c r="AY3192" s="37"/>
      <c r="AZ3192" s="37"/>
      <c r="BA3192" s="37"/>
      <c r="BB3192" s="37"/>
      <c r="BC3192" s="37"/>
      <c r="BD3192" s="37"/>
      <c r="BE3192" s="37"/>
      <c r="BF3192" s="37"/>
      <c r="BG3192" s="37"/>
      <c r="BH3192" s="37"/>
      <c r="BI3192" s="37"/>
      <c r="BJ3192" s="37"/>
      <c r="BK3192" s="37"/>
      <c r="BL3192" s="37"/>
      <c r="BM3192" s="37"/>
    </row>
    <row r="3193" spans="1:65" s="40" customFormat="1" ht="23.25" x14ac:dyDescent="0.35">
      <c r="A3193" s="37"/>
      <c r="B3193" s="37"/>
      <c r="C3193" s="41"/>
      <c r="D3193" s="38"/>
      <c r="E3193" s="57"/>
      <c r="F3193" s="42"/>
      <c r="G3193" s="43"/>
      <c r="H3193" s="37"/>
      <c r="I3193" s="37"/>
      <c r="J3193" s="38"/>
      <c r="K3193" s="37"/>
      <c r="L3193" s="38"/>
      <c r="M3193" s="39"/>
      <c r="P3193" s="37"/>
      <c r="Q3193" s="37"/>
      <c r="R3193" s="37"/>
      <c r="S3193" s="37"/>
      <c r="T3193" s="37"/>
      <c r="U3193" s="37"/>
      <c r="V3193" s="37"/>
      <c r="W3193" s="37"/>
      <c r="X3193" s="37"/>
      <c r="Y3193" s="37"/>
      <c r="Z3193" s="37"/>
      <c r="AA3193" s="37"/>
      <c r="AB3193" s="37"/>
      <c r="AC3193" s="37"/>
      <c r="AD3193" s="37"/>
      <c r="AE3193" s="37"/>
      <c r="AF3193" s="37"/>
      <c r="AG3193" s="37"/>
      <c r="AH3193" s="37"/>
      <c r="AI3193" s="37"/>
      <c r="AJ3193" s="37"/>
      <c r="AK3193" s="37"/>
      <c r="AL3193" s="37"/>
      <c r="AM3193" s="37"/>
      <c r="AN3193" s="37"/>
      <c r="AO3193" s="37"/>
      <c r="AP3193" s="37"/>
      <c r="AQ3193" s="37"/>
      <c r="AR3193" s="37"/>
      <c r="AS3193" s="37"/>
      <c r="AT3193" s="37"/>
      <c r="AU3193" s="37"/>
      <c r="AV3193" s="37"/>
      <c r="AW3193" s="37"/>
      <c r="AX3193" s="37"/>
      <c r="AY3193" s="37"/>
      <c r="AZ3193" s="37"/>
      <c r="BA3193" s="37"/>
      <c r="BB3193" s="37"/>
      <c r="BC3193" s="37"/>
      <c r="BD3193" s="37"/>
      <c r="BE3193" s="37"/>
      <c r="BF3193" s="37"/>
      <c r="BG3193" s="37"/>
      <c r="BH3193" s="37"/>
      <c r="BI3193" s="37"/>
      <c r="BJ3193" s="37"/>
      <c r="BK3193" s="37"/>
      <c r="BL3193" s="37"/>
      <c r="BM3193" s="37"/>
    </row>
    <row r="3194" spans="1:65" s="40" customFormat="1" ht="23.25" x14ac:dyDescent="0.35">
      <c r="A3194" s="37"/>
      <c r="B3194" s="37"/>
      <c r="C3194" s="41"/>
      <c r="D3194" s="38"/>
      <c r="E3194" s="57"/>
      <c r="F3194" s="42"/>
      <c r="G3194" s="43"/>
      <c r="H3194" s="37"/>
      <c r="I3194" s="37"/>
      <c r="J3194" s="38"/>
      <c r="K3194" s="37"/>
      <c r="L3194" s="38"/>
      <c r="M3194" s="39"/>
      <c r="P3194" s="37"/>
      <c r="Q3194" s="37"/>
      <c r="R3194" s="37"/>
      <c r="S3194" s="37"/>
      <c r="T3194" s="37"/>
      <c r="U3194" s="37"/>
      <c r="V3194" s="37"/>
      <c r="W3194" s="37"/>
      <c r="X3194" s="37"/>
      <c r="Y3194" s="37"/>
      <c r="Z3194" s="37"/>
      <c r="AA3194" s="37"/>
      <c r="AB3194" s="37"/>
      <c r="AC3194" s="37"/>
      <c r="AD3194" s="37"/>
      <c r="AE3194" s="37"/>
      <c r="AF3194" s="37"/>
      <c r="AG3194" s="37"/>
      <c r="AH3194" s="37"/>
      <c r="AI3194" s="37"/>
      <c r="AJ3194" s="37"/>
      <c r="AK3194" s="37"/>
      <c r="AL3194" s="37"/>
      <c r="AM3194" s="37"/>
      <c r="AN3194" s="37"/>
      <c r="AO3194" s="37"/>
      <c r="AP3194" s="37"/>
      <c r="AQ3194" s="37"/>
      <c r="AR3194" s="37"/>
      <c r="AS3194" s="37"/>
      <c r="AT3194" s="37"/>
      <c r="AU3194" s="37"/>
      <c r="AV3194" s="37"/>
      <c r="AW3194" s="37"/>
      <c r="AX3194" s="37"/>
      <c r="AY3194" s="37"/>
      <c r="AZ3194" s="37"/>
      <c r="BA3194" s="37"/>
      <c r="BB3194" s="37"/>
      <c r="BC3194" s="37"/>
      <c r="BD3194" s="37"/>
      <c r="BE3194" s="37"/>
      <c r="BF3194" s="37"/>
      <c r="BG3194" s="37"/>
      <c r="BH3194" s="37"/>
      <c r="BI3194" s="37"/>
      <c r="BJ3194" s="37"/>
      <c r="BK3194" s="37"/>
      <c r="BL3194" s="37"/>
      <c r="BM3194" s="37"/>
    </row>
    <row r="3195" spans="1:65" s="40" customFormat="1" ht="23.25" x14ac:dyDescent="0.35">
      <c r="A3195" s="37"/>
      <c r="B3195" s="37"/>
      <c r="C3195" s="41"/>
      <c r="D3195" s="38"/>
      <c r="E3195" s="57"/>
      <c r="F3195" s="42"/>
      <c r="G3195" s="43"/>
      <c r="H3195" s="37"/>
      <c r="I3195" s="37"/>
      <c r="J3195" s="38"/>
      <c r="K3195" s="37"/>
      <c r="L3195" s="38"/>
      <c r="M3195" s="39"/>
      <c r="P3195" s="37"/>
      <c r="Q3195" s="37"/>
      <c r="R3195" s="37"/>
      <c r="S3195" s="37"/>
      <c r="T3195" s="37"/>
      <c r="U3195" s="37"/>
      <c r="V3195" s="37"/>
      <c r="W3195" s="37"/>
      <c r="X3195" s="37"/>
      <c r="Y3195" s="37"/>
      <c r="Z3195" s="37"/>
      <c r="AA3195" s="37"/>
      <c r="AB3195" s="37"/>
      <c r="AC3195" s="37"/>
      <c r="AD3195" s="37"/>
      <c r="AE3195" s="37"/>
      <c r="AF3195" s="37"/>
      <c r="AG3195" s="37"/>
      <c r="AH3195" s="37"/>
      <c r="AI3195" s="37"/>
      <c r="AJ3195" s="37"/>
      <c r="AK3195" s="37"/>
      <c r="AL3195" s="37"/>
      <c r="AM3195" s="37"/>
      <c r="AN3195" s="37"/>
      <c r="AO3195" s="37"/>
      <c r="AP3195" s="37"/>
      <c r="AQ3195" s="37"/>
      <c r="AR3195" s="37"/>
      <c r="AS3195" s="37"/>
      <c r="AT3195" s="37"/>
      <c r="AU3195" s="37"/>
      <c r="AV3195" s="37"/>
      <c r="AW3195" s="37"/>
      <c r="AX3195" s="37"/>
      <c r="AY3195" s="37"/>
      <c r="AZ3195" s="37"/>
      <c r="BA3195" s="37"/>
      <c r="BB3195" s="37"/>
      <c r="BC3195" s="37"/>
      <c r="BD3195" s="37"/>
      <c r="BE3195" s="37"/>
      <c r="BF3195" s="37"/>
      <c r="BG3195" s="37"/>
      <c r="BH3195" s="37"/>
      <c r="BI3195" s="37"/>
      <c r="BJ3195" s="37"/>
      <c r="BK3195" s="37"/>
      <c r="BL3195" s="37"/>
      <c r="BM3195" s="37"/>
    </row>
    <row r="3196" spans="1:65" s="40" customFormat="1" ht="23.25" x14ac:dyDescent="0.35">
      <c r="A3196" s="37"/>
      <c r="B3196" s="37"/>
      <c r="C3196" s="41"/>
      <c r="D3196" s="38"/>
      <c r="E3196" s="57"/>
      <c r="F3196" s="42"/>
      <c r="G3196" s="43"/>
      <c r="H3196" s="37"/>
      <c r="I3196" s="37"/>
      <c r="J3196" s="38"/>
      <c r="K3196" s="37"/>
      <c r="L3196" s="38"/>
      <c r="M3196" s="39"/>
      <c r="P3196" s="37"/>
      <c r="Q3196" s="37"/>
      <c r="R3196" s="37"/>
      <c r="S3196" s="37"/>
      <c r="T3196" s="37"/>
      <c r="U3196" s="37"/>
      <c r="V3196" s="37"/>
      <c r="W3196" s="37"/>
      <c r="X3196" s="37"/>
      <c r="Y3196" s="37"/>
      <c r="Z3196" s="37"/>
      <c r="AA3196" s="37"/>
      <c r="AB3196" s="37"/>
      <c r="AC3196" s="37"/>
      <c r="AD3196" s="37"/>
      <c r="AE3196" s="37"/>
      <c r="AF3196" s="37"/>
      <c r="AG3196" s="37"/>
      <c r="AH3196" s="37"/>
      <c r="AI3196" s="37"/>
      <c r="AJ3196" s="37"/>
      <c r="AK3196" s="37"/>
      <c r="AL3196" s="37"/>
      <c r="AM3196" s="37"/>
      <c r="AN3196" s="37"/>
      <c r="AO3196" s="37"/>
      <c r="AP3196" s="37"/>
      <c r="AQ3196" s="37"/>
      <c r="AR3196" s="37"/>
      <c r="AS3196" s="37"/>
      <c r="AT3196" s="37"/>
      <c r="AU3196" s="37"/>
      <c r="AV3196" s="37"/>
      <c r="AW3196" s="37"/>
      <c r="AX3196" s="37"/>
      <c r="AY3196" s="37"/>
      <c r="AZ3196" s="37"/>
      <c r="BA3196" s="37"/>
      <c r="BB3196" s="37"/>
      <c r="BC3196" s="37"/>
      <c r="BD3196" s="37"/>
      <c r="BE3196" s="37"/>
      <c r="BF3196" s="37"/>
      <c r="BG3196" s="37"/>
      <c r="BH3196" s="37"/>
      <c r="BI3196" s="37"/>
      <c r="BJ3196" s="37"/>
      <c r="BK3196" s="37"/>
      <c r="BL3196" s="37"/>
      <c r="BM3196" s="37"/>
    </row>
    <row r="3197" spans="1:65" s="40" customFormat="1" ht="23.25" x14ac:dyDescent="0.35">
      <c r="A3197" s="37"/>
      <c r="B3197" s="37"/>
      <c r="C3197" s="41"/>
      <c r="D3197" s="38"/>
      <c r="E3197" s="57"/>
      <c r="F3197" s="42"/>
      <c r="G3197" s="43"/>
      <c r="H3197" s="37"/>
      <c r="I3197" s="37"/>
      <c r="J3197" s="38"/>
      <c r="K3197" s="37"/>
      <c r="L3197" s="38"/>
      <c r="M3197" s="39"/>
      <c r="P3197" s="37"/>
      <c r="Q3197" s="37"/>
      <c r="R3197" s="37"/>
      <c r="S3197" s="37"/>
      <c r="T3197" s="37"/>
      <c r="U3197" s="37"/>
      <c r="V3197" s="37"/>
      <c r="W3197" s="37"/>
      <c r="X3197" s="37"/>
      <c r="Y3197" s="37"/>
      <c r="Z3197" s="37"/>
      <c r="AA3197" s="37"/>
      <c r="AB3197" s="37"/>
      <c r="AC3197" s="37"/>
      <c r="AD3197" s="37"/>
      <c r="AE3197" s="37"/>
      <c r="AF3197" s="37"/>
      <c r="AG3197" s="37"/>
      <c r="AH3197" s="37"/>
      <c r="AI3197" s="37"/>
      <c r="AJ3197" s="37"/>
      <c r="AK3197" s="37"/>
      <c r="AL3197" s="37"/>
      <c r="AM3197" s="37"/>
      <c r="AN3197" s="37"/>
      <c r="AO3197" s="37"/>
      <c r="AP3197" s="37"/>
      <c r="AQ3197" s="37"/>
      <c r="AR3197" s="37"/>
      <c r="AS3197" s="37"/>
      <c r="AT3197" s="37"/>
      <c r="AU3197" s="37"/>
      <c r="AV3197" s="37"/>
      <c r="AW3197" s="37"/>
      <c r="AX3197" s="37"/>
      <c r="AY3197" s="37"/>
      <c r="AZ3197" s="37"/>
      <c r="BA3197" s="37"/>
      <c r="BB3197" s="37"/>
      <c r="BC3197" s="37"/>
      <c r="BD3197" s="37"/>
      <c r="BE3197" s="37"/>
      <c r="BF3197" s="37"/>
      <c r="BG3197" s="37"/>
      <c r="BH3197" s="37"/>
      <c r="BI3197" s="37"/>
      <c r="BJ3197" s="37"/>
      <c r="BK3197" s="37"/>
      <c r="BL3197" s="37"/>
      <c r="BM3197" s="37"/>
    </row>
    <row r="3198" spans="1:65" s="40" customFormat="1" ht="23.25" x14ac:dyDescent="0.35">
      <c r="A3198" s="37"/>
      <c r="B3198" s="37"/>
      <c r="C3198" s="41"/>
      <c r="D3198" s="38"/>
      <c r="E3198" s="57"/>
      <c r="F3198" s="42"/>
      <c r="G3198" s="43"/>
      <c r="H3198" s="37"/>
      <c r="I3198" s="37"/>
      <c r="J3198" s="38"/>
      <c r="K3198" s="37"/>
      <c r="L3198" s="38"/>
      <c r="M3198" s="39"/>
      <c r="P3198" s="37"/>
      <c r="Q3198" s="37"/>
      <c r="R3198" s="37"/>
      <c r="S3198" s="37"/>
      <c r="T3198" s="37"/>
      <c r="U3198" s="37"/>
      <c r="V3198" s="37"/>
      <c r="W3198" s="37"/>
      <c r="X3198" s="37"/>
      <c r="Y3198" s="37"/>
      <c r="Z3198" s="37"/>
      <c r="AA3198" s="37"/>
      <c r="AB3198" s="37"/>
      <c r="AC3198" s="37"/>
      <c r="AD3198" s="37"/>
      <c r="AE3198" s="37"/>
      <c r="AF3198" s="37"/>
      <c r="AG3198" s="37"/>
      <c r="AH3198" s="37"/>
      <c r="AI3198" s="37"/>
      <c r="AJ3198" s="37"/>
      <c r="AK3198" s="37"/>
      <c r="AL3198" s="37"/>
      <c r="AM3198" s="37"/>
      <c r="AN3198" s="37"/>
      <c r="AO3198" s="37"/>
      <c r="AP3198" s="37"/>
      <c r="AQ3198" s="37"/>
      <c r="AR3198" s="37"/>
      <c r="AS3198" s="37"/>
      <c r="AT3198" s="37"/>
      <c r="AU3198" s="37"/>
      <c r="AV3198" s="37"/>
      <c r="AW3198" s="37"/>
      <c r="AX3198" s="37"/>
      <c r="AY3198" s="37"/>
      <c r="AZ3198" s="37"/>
      <c r="BA3198" s="37"/>
      <c r="BB3198" s="37"/>
      <c r="BC3198" s="37"/>
      <c r="BD3198" s="37"/>
      <c r="BE3198" s="37"/>
      <c r="BF3198" s="37"/>
      <c r="BG3198" s="37"/>
      <c r="BH3198" s="37"/>
      <c r="BI3198" s="37"/>
      <c r="BJ3198" s="37"/>
      <c r="BK3198" s="37"/>
      <c r="BL3198" s="37"/>
      <c r="BM3198" s="37"/>
    </row>
    <row r="3199" spans="1:65" s="40" customFormat="1" ht="23.25" x14ac:dyDescent="0.35">
      <c r="A3199" s="37"/>
      <c r="B3199" s="37"/>
      <c r="C3199" s="41"/>
      <c r="D3199" s="38"/>
      <c r="E3199" s="57"/>
      <c r="F3199" s="42"/>
      <c r="G3199" s="43"/>
      <c r="H3199" s="37"/>
      <c r="I3199" s="37"/>
      <c r="J3199" s="38"/>
      <c r="K3199" s="37"/>
      <c r="L3199" s="38"/>
      <c r="M3199" s="39"/>
      <c r="P3199" s="37"/>
      <c r="Q3199" s="37"/>
      <c r="R3199" s="37"/>
      <c r="S3199" s="37"/>
      <c r="T3199" s="37"/>
      <c r="U3199" s="37"/>
      <c r="V3199" s="37"/>
      <c r="W3199" s="37"/>
      <c r="X3199" s="37"/>
      <c r="Y3199" s="37"/>
      <c r="Z3199" s="37"/>
      <c r="AA3199" s="37"/>
      <c r="AB3199" s="37"/>
      <c r="AC3199" s="37"/>
      <c r="AD3199" s="37"/>
      <c r="AE3199" s="37"/>
      <c r="AF3199" s="37"/>
      <c r="AG3199" s="37"/>
      <c r="AH3199" s="37"/>
      <c r="AI3199" s="37"/>
      <c r="AJ3199" s="37"/>
      <c r="AK3199" s="37"/>
      <c r="AL3199" s="37"/>
      <c r="AM3199" s="37"/>
      <c r="AN3199" s="37"/>
      <c r="AO3199" s="37"/>
      <c r="AP3199" s="37"/>
      <c r="AQ3199" s="37"/>
      <c r="AR3199" s="37"/>
      <c r="AS3199" s="37"/>
      <c r="AT3199" s="37"/>
      <c r="AU3199" s="37"/>
      <c r="AV3199" s="37"/>
      <c r="AW3199" s="37"/>
      <c r="AX3199" s="37"/>
      <c r="AY3199" s="37"/>
      <c r="AZ3199" s="37"/>
      <c r="BA3199" s="37"/>
      <c r="BB3199" s="37"/>
      <c r="BC3199" s="37"/>
      <c r="BD3199" s="37"/>
      <c r="BE3199" s="37"/>
      <c r="BF3199" s="37"/>
      <c r="BG3199" s="37"/>
      <c r="BH3199" s="37"/>
      <c r="BI3199" s="37"/>
      <c r="BJ3199" s="37"/>
      <c r="BK3199" s="37"/>
      <c r="BL3199" s="37"/>
      <c r="BM3199" s="37"/>
    </row>
    <row r="3200" spans="1:65" s="40" customFormat="1" ht="23.25" x14ac:dyDescent="0.35">
      <c r="A3200" s="37"/>
      <c r="B3200" s="37"/>
      <c r="C3200" s="41"/>
      <c r="D3200" s="38"/>
      <c r="E3200" s="57"/>
      <c r="F3200" s="42"/>
      <c r="G3200" s="43"/>
      <c r="H3200" s="37"/>
      <c r="I3200" s="37"/>
      <c r="J3200" s="38"/>
      <c r="K3200" s="37"/>
      <c r="L3200" s="38"/>
      <c r="M3200" s="39"/>
      <c r="P3200" s="37"/>
      <c r="Q3200" s="37"/>
      <c r="R3200" s="37"/>
      <c r="S3200" s="37"/>
      <c r="T3200" s="37"/>
      <c r="U3200" s="37"/>
      <c r="V3200" s="37"/>
      <c r="W3200" s="37"/>
      <c r="X3200" s="37"/>
      <c r="Y3200" s="37"/>
      <c r="Z3200" s="37"/>
      <c r="AA3200" s="37"/>
      <c r="AB3200" s="37"/>
      <c r="AC3200" s="37"/>
      <c r="AD3200" s="37"/>
      <c r="AE3200" s="37"/>
      <c r="AF3200" s="37"/>
      <c r="AG3200" s="37"/>
      <c r="AH3200" s="37"/>
      <c r="AI3200" s="37"/>
      <c r="AJ3200" s="37"/>
      <c r="AK3200" s="37"/>
      <c r="AL3200" s="37"/>
      <c r="AM3200" s="37"/>
      <c r="AN3200" s="37"/>
      <c r="AO3200" s="37"/>
      <c r="AP3200" s="37"/>
      <c r="AQ3200" s="37"/>
      <c r="AR3200" s="37"/>
      <c r="AS3200" s="37"/>
      <c r="AT3200" s="37"/>
      <c r="AU3200" s="37"/>
      <c r="AV3200" s="37"/>
      <c r="AW3200" s="37"/>
      <c r="AX3200" s="37"/>
      <c r="AY3200" s="37"/>
      <c r="AZ3200" s="37"/>
      <c r="BA3200" s="37"/>
      <c r="BB3200" s="37"/>
      <c r="BC3200" s="37"/>
      <c r="BD3200" s="37"/>
      <c r="BE3200" s="37"/>
      <c r="BF3200" s="37"/>
      <c r="BG3200" s="37"/>
      <c r="BH3200" s="37"/>
      <c r="BI3200" s="37"/>
      <c r="BJ3200" s="37"/>
      <c r="BK3200" s="37"/>
      <c r="BL3200" s="37"/>
      <c r="BM3200" s="37"/>
    </row>
    <row r="3201" spans="1:65" s="40" customFormat="1" ht="23.25" x14ac:dyDescent="0.35">
      <c r="A3201" s="37"/>
      <c r="B3201" s="37"/>
      <c r="C3201" s="41"/>
      <c r="D3201" s="38"/>
      <c r="E3201" s="57"/>
      <c r="F3201" s="42"/>
      <c r="G3201" s="43"/>
      <c r="H3201" s="37"/>
      <c r="I3201" s="37"/>
      <c r="J3201" s="38"/>
      <c r="K3201" s="37"/>
      <c r="L3201" s="38"/>
      <c r="M3201" s="39"/>
      <c r="P3201" s="37"/>
      <c r="Q3201" s="37"/>
      <c r="R3201" s="37"/>
      <c r="S3201" s="37"/>
      <c r="T3201" s="37"/>
      <c r="U3201" s="37"/>
      <c r="V3201" s="37"/>
      <c r="W3201" s="37"/>
      <c r="X3201" s="37"/>
      <c r="Y3201" s="37"/>
      <c r="Z3201" s="37"/>
      <c r="AA3201" s="37"/>
      <c r="AB3201" s="37"/>
      <c r="AC3201" s="37"/>
      <c r="AD3201" s="37"/>
      <c r="AE3201" s="37"/>
      <c r="AF3201" s="37"/>
      <c r="AG3201" s="37"/>
      <c r="AH3201" s="37"/>
      <c r="AI3201" s="37"/>
      <c r="AJ3201" s="37"/>
      <c r="AK3201" s="37"/>
      <c r="AL3201" s="37"/>
      <c r="AM3201" s="37"/>
      <c r="AN3201" s="37"/>
      <c r="AO3201" s="37"/>
      <c r="AP3201" s="37"/>
      <c r="AQ3201" s="37"/>
      <c r="AR3201" s="37"/>
      <c r="AS3201" s="37"/>
      <c r="AT3201" s="37"/>
      <c r="AU3201" s="37"/>
      <c r="AV3201" s="37"/>
      <c r="AW3201" s="37"/>
      <c r="AX3201" s="37"/>
      <c r="AY3201" s="37"/>
      <c r="AZ3201" s="37"/>
      <c r="BA3201" s="37"/>
      <c r="BB3201" s="37"/>
      <c r="BC3201" s="37"/>
      <c r="BD3201" s="37"/>
      <c r="BE3201" s="37"/>
      <c r="BF3201" s="37"/>
      <c r="BG3201" s="37"/>
      <c r="BH3201" s="37"/>
      <c r="BI3201" s="37"/>
      <c r="BJ3201" s="37"/>
      <c r="BK3201" s="37"/>
      <c r="BL3201" s="37"/>
      <c r="BM3201" s="37"/>
    </row>
    <row r="3202" spans="1:65" s="40" customFormat="1" ht="23.25" x14ac:dyDescent="0.35">
      <c r="A3202" s="37"/>
      <c r="B3202" s="37"/>
      <c r="C3202" s="41"/>
      <c r="D3202" s="38"/>
      <c r="E3202" s="57"/>
      <c r="F3202" s="42"/>
      <c r="G3202" s="43"/>
      <c r="H3202" s="37"/>
      <c r="I3202" s="37"/>
      <c r="J3202" s="38"/>
      <c r="K3202" s="37"/>
      <c r="L3202" s="38"/>
      <c r="M3202" s="39"/>
      <c r="P3202" s="37"/>
      <c r="Q3202" s="37"/>
      <c r="R3202" s="37"/>
      <c r="S3202" s="37"/>
      <c r="T3202" s="37"/>
      <c r="U3202" s="37"/>
      <c r="V3202" s="37"/>
      <c r="W3202" s="37"/>
      <c r="X3202" s="37"/>
      <c r="Y3202" s="37"/>
      <c r="Z3202" s="37"/>
      <c r="AA3202" s="37"/>
      <c r="AB3202" s="37"/>
      <c r="AC3202" s="37"/>
      <c r="AD3202" s="37"/>
      <c r="AE3202" s="37"/>
      <c r="AF3202" s="37"/>
      <c r="AG3202" s="37"/>
      <c r="AH3202" s="37"/>
      <c r="AI3202" s="37"/>
      <c r="AJ3202" s="37"/>
      <c r="AK3202" s="37"/>
      <c r="AL3202" s="37"/>
      <c r="AM3202" s="37"/>
      <c r="AN3202" s="37"/>
      <c r="AO3202" s="37"/>
      <c r="AP3202" s="37"/>
      <c r="AQ3202" s="37"/>
      <c r="AR3202" s="37"/>
      <c r="AS3202" s="37"/>
      <c r="AT3202" s="37"/>
      <c r="AU3202" s="37"/>
      <c r="AV3202" s="37"/>
      <c r="AW3202" s="37"/>
      <c r="AX3202" s="37"/>
      <c r="AY3202" s="37"/>
      <c r="AZ3202" s="37"/>
      <c r="BA3202" s="37"/>
      <c r="BB3202" s="37"/>
      <c r="BC3202" s="37"/>
      <c r="BD3202" s="37"/>
      <c r="BE3202" s="37"/>
      <c r="BF3202" s="37"/>
      <c r="BG3202" s="37"/>
      <c r="BH3202" s="37"/>
      <c r="BI3202" s="37"/>
      <c r="BJ3202" s="37"/>
      <c r="BK3202" s="37"/>
      <c r="BL3202" s="37"/>
      <c r="BM3202" s="37"/>
    </row>
    <row r="3203" spans="1:65" s="40" customFormat="1" ht="23.25" x14ac:dyDescent="0.35">
      <c r="A3203" s="37"/>
      <c r="B3203" s="37"/>
      <c r="C3203" s="41"/>
      <c r="D3203" s="38"/>
      <c r="E3203" s="57"/>
      <c r="F3203" s="42"/>
      <c r="G3203" s="43"/>
      <c r="H3203" s="37"/>
      <c r="I3203" s="37"/>
      <c r="J3203" s="38"/>
      <c r="K3203" s="37"/>
      <c r="L3203" s="38"/>
      <c r="M3203" s="39"/>
      <c r="P3203" s="37"/>
      <c r="Q3203" s="37"/>
      <c r="R3203" s="37"/>
      <c r="S3203" s="37"/>
      <c r="T3203" s="37"/>
      <c r="U3203" s="37"/>
      <c r="V3203" s="37"/>
      <c r="W3203" s="37"/>
      <c r="X3203" s="37"/>
      <c r="Y3203" s="37"/>
      <c r="Z3203" s="37"/>
      <c r="AA3203" s="37"/>
      <c r="AB3203" s="37"/>
      <c r="AC3203" s="37"/>
      <c r="AD3203" s="37"/>
      <c r="AE3203" s="37"/>
      <c r="AF3203" s="37"/>
      <c r="AG3203" s="37"/>
      <c r="AH3203" s="37"/>
      <c r="AI3203" s="37"/>
      <c r="AJ3203" s="37"/>
      <c r="AK3203" s="37"/>
      <c r="AL3203" s="37"/>
      <c r="AM3203" s="37"/>
      <c r="AN3203" s="37"/>
      <c r="AO3203" s="37"/>
      <c r="AP3203" s="37"/>
      <c r="AQ3203" s="37"/>
      <c r="AR3203" s="37"/>
      <c r="AS3203" s="37"/>
      <c r="AT3203" s="37"/>
      <c r="AU3203" s="37"/>
      <c r="AV3203" s="37"/>
      <c r="AW3203" s="37"/>
      <c r="AX3203" s="37"/>
      <c r="AY3203" s="37"/>
      <c r="AZ3203" s="37"/>
      <c r="BA3203" s="37"/>
      <c r="BB3203" s="37"/>
      <c r="BC3203" s="37"/>
      <c r="BD3203" s="37"/>
      <c r="BE3203" s="37"/>
      <c r="BF3203" s="37"/>
      <c r="BG3203" s="37"/>
      <c r="BH3203" s="37"/>
      <c r="BI3203" s="37"/>
      <c r="BJ3203" s="37"/>
      <c r="BK3203" s="37"/>
      <c r="BL3203" s="37"/>
      <c r="BM3203" s="37"/>
    </row>
    <row r="3204" spans="1:65" s="40" customFormat="1" ht="23.25" x14ac:dyDescent="0.35">
      <c r="A3204" s="37"/>
      <c r="B3204" s="37"/>
      <c r="C3204" s="41"/>
      <c r="D3204" s="38"/>
      <c r="E3204" s="57"/>
      <c r="F3204" s="42"/>
      <c r="G3204" s="43"/>
      <c r="H3204" s="37"/>
      <c r="I3204" s="37"/>
      <c r="J3204" s="38"/>
      <c r="K3204" s="37"/>
      <c r="L3204" s="38"/>
      <c r="M3204" s="39"/>
      <c r="P3204" s="37"/>
      <c r="Q3204" s="37"/>
      <c r="R3204" s="37"/>
      <c r="S3204" s="37"/>
      <c r="T3204" s="37"/>
      <c r="U3204" s="37"/>
      <c r="V3204" s="37"/>
      <c r="W3204" s="37"/>
      <c r="X3204" s="37"/>
      <c r="Y3204" s="37"/>
      <c r="Z3204" s="37"/>
      <c r="AA3204" s="37"/>
      <c r="AB3204" s="37"/>
      <c r="AC3204" s="37"/>
      <c r="AD3204" s="37"/>
      <c r="AE3204" s="37"/>
      <c r="AF3204" s="37"/>
      <c r="AG3204" s="37"/>
      <c r="AH3204" s="37"/>
      <c r="AI3204" s="37"/>
      <c r="AJ3204" s="37"/>
      <c r="AK3204" s="37"/>
      <c r="AL3204" s="37"/>
      <c r="AM3204" s="37"/>
      <c r="AN3204" s="37"/>
      <c r="AO3204" s="37"/>
      <c r="AP3204" s="37"/>
      <c r="AQ3204" s="37"/>
      <c r="AR3204" s="37"/>
      <c r="AS3204" s="37"/>
      <c r="AT3204" s="37"/>
      <c r="AU3204" s="37"/>
      <c r="AV3204" s="37"/>
      <c r="AW3204" s="37"/>
      <c r="AX3204" s="37"/>
      <c r="AY3204" s="37"/>
      <c r="AZ3204" s="37"/>
      <c r="BA3204" s="37"/>
      <c r="BB3204" s="37"/>
      <c r="BC3204" s="37"/>
      <c r="BD3204" s="37"/>
      <c r="BE3204" s="37"/>
      <c r="BF3204" s="37"/>
      <c r="BG3204" s="37"/>
      <c r="BH3204" s="37"/>
      <c r="BI3204" s="37"/>
      <c r="BJ3204" s="37"/>
      <c r="BK3204" s="37"/>
      <c r="BL3204" s="37"/>
      <c r="BM3204" s="37"/>
    </row>
    <row r="3205" spans="1:65" s="40" customFormat="1" ht="23.25" x14ac:dyDescent="0.35">
      <c r="A3205" s="37"/>
      <c r="B3205" s="37"/>
      <c r="C3205" s="41"/>
      <c r="D3205" s="38"/>
      <c r="E3205" s="57"/>
      <c r="F3205" s="42"/>
      <c r="G3205" s="43"/>
      <c r="H3205" s="37"/>
      <c r="I3205" s="37"/>
      <c r="J3205" s="38"/>
      <c r="K3205" s="37"/>
      <c r="L3205" s="38"/>
      <c r="M3205" s="39"/>
      <c r="P3205" s="37"/>
      <c r="Q3205" s="37"/>
      <c r="R3205" s="37"/>
      <c r="S3205" s="37"/>
      <c r="T3205" s="37"/>
      <c r="U3205" s="37"/>
      <c r="V3205" s="37"/>
      <c r="W3205" s="37"/>
      <c r="X3205" s="37"/>
      <c r="Y3205" s="37"/>
      <c r="Z3205" s="37"/>
      <c r="AA3205" s="37"/>
      <c r="AB3205" s="37"/>
      <c r="AC3205" s="37"/>
      <c r="AD3205" s="37"/>
      <c r="AE3205" s="37"/>
      <c r="AF3205" s="37"/>
      <c r="AG3205" s="37"/>
      <c r="AH3205" s="37"/>
      <c r="AI3205" s="37"/>
      <c r="AJ3205" s="37"/>
      <c r="AK3205" s="37"/>
      <c r="AL3205" s="37"/>
      <c r="AM3205" s="37"/>
      <c r="AN3205" s="37"/>
      <c r="AO3205" s="37"/>
      <c r="AP3205" s="37"/>
      <c r="AQ3205" s="37"/>
      <c r="AR3205" s="37"/>
      <c r="AS3205" s="37"/>
      <c r="AT3205" s="37"/>
      <c r="AU3205" s="37"/>
      <c r="AV3205" s="37"/>
      <c r="AW3205" s="37"/>
      <c r="AX3205" s="37"/>
      <c r="AY3205" s="37"/>
      <c r="AZ3205" s="37"/>
      <c r="BA3205" s="37"/>
      <c r="BB3205" s="37"/>
      <c r="BC3205" s="37"/>
      <c r="BD3205" s="37"/>
      <c r="BE3205" s="37"/>
      <c r="BF3205" s="37"/>
      <c r="BG3205" s="37"/>
      <c r="BH3205" s="37"/>
      <c r="BI3205" s="37"/>
      <c r="BJ3205" s="37"/>
      <c r="BK3205" s="37"/>
      <c r="BL3205" s="37"/>
      <c r="BM3205" s="37"/>
    </row>
    <row r="3206" spans="1:65" s="40" customFormat="1" ht="23.25" x14ac:dyDescent="0.35">
      <c r="A3206" s="37"/>
      <c r="B3206" s="37"/>
      <c r="C3206" s="41"/>
      <c r="D3206" s="38"/>
      <c r="E3206" s="57"/>
      <c r="F3206" s="42"/>
      <c r="G3206" s="43"/>
      <c r="H3206" s="37"/>
      <c r="I3206" s="37"/>
      <c r="J3206" s="38"/>
      <c r="K3206" s="37"/>
      <c r="L3206" s="38"/>
      <c r="M3206" s="39"/>
      <c r="P3206" s="37"/>
      <c r="Q3206" s="37"/>
      <c r="R3206" s="37"/>
      <c r="S3206" s="37"/>
      <c r="T3206" s="37"/>
      <c r="U3206" s="37"/>
      <c r="V3206" s="37"/>
      <c r="W3206" s="37"/>
      <c r="X3206" s="37"/>
      <c r="Y3206" s="37"/>
      <c r="Z3206" s="37"/>
      <c r="AA3206" s="37"/>
      <c r="AB3206" s="37"/>
      <c r="AC3206" s="37"/>
      <c r="AD3206" s="37"/>
      <c r="AE3206" s="37"/>
      <c r="AF3206" s="37"/>
      <c r="AG3206" s="37"/>
      <c r="AH3206" s="37"/>
      <c r="AI3206" s="37"/>
      <c r="AJ3206" s="37"/>
      <c r="AK3206" s="37"/>
      <c r="AL3206" s="37"/>
      <c r="AM3206" s="37"/>
      <c r="AN3206" s="37"/>
      <c r="AO3206" s="37"/>
      <c r="AP3206" s="37"/>
      <c r="AQ3206" s="37"/>
      <c r="AR3206" s="37"/>
      <c r="AS3206" s="37"/>
      <c r="AT3206" s="37"/>
      <c r="AU3206" s="37"/>
      <c r="AV3206" s="37"/>
      <c r="AW3206" s="37"/>
      <c r="AX3206" s="37"/>
      <c r="AY3206" s="37"/>
      <c r="AZ3206" s="37"/>
      <c r="BA3206" s="37"/>
      <c r="BB3206" s="37"/>
      <c r="BC3206" s="37"/>
      <c r="BD3206" s="37"/>
      <c r="BE3206" s="37"/>
      <c r="BF3206" s="37"/>
      <c r="BG3206" s="37"/>
      <c r="BH3206" s="37"/>
      <c r="BI3206" s="37"/>
      <c r="BJ3206" s="37"/>
      <c r="BK3206" s="37"/>
      <c r="BL3206" s="37"/>
      <c r="BM3206" s="37"/>
    </row>
    <row r="3207" spans="1:65" s="40" customFormat="1" ht="23.25" x14ac:dyDescent="0.35">
      <c r="A3207" s="37"/>
      <c r="B3207" s="37"/>
      <c r="C3207" s="41"/>
      <c r="D3207" s="38"/>
      <c r="E3207" s="57"/>
      <c r="F3207" s="42"/>
      <c r="G3207" s="43"/>
      <c r="H3207" s="37"/>
      <c r="I3207" s="37"/>
      <c r="J3207" s="38"/>
      <c r="K3207" s="37"/>
      <c r="L3207" s="38"/>
      <c r="M3207" s="39"/>
      <c r="P3207" s="37"/>
      <c r="Q3207" s="37"/>
      <c r="R3207" s="37"/>
      <c r="S3207" s="37"/>
      <c r="T3207" s="37"/>
      <c r="U3207" s="37"/>
      <c r="V3207" s="37"/>
      <c r="W3207" s="37"/>
      <c r="X3207" s="37"/>
      <c r="Y3207" s="37"/>
      <c r="Z3207" s="37"/>
      <c r="AA3207" s="37"/>
      <c r="AB3207" s="37"/>
      <c r="AC3207" s="37"/>
      <c r="AD3207" s="37"/>
      <c r="AE3207" s="37"/>
      <c r="AF3207" s="37"/>
      <c r="AG3207" s="37"/>
      <c r="AH3207" s="37"/>
      <c r="AI3207" s="37"/>
      <c r="AJ3207" s="37"/>
      <c r="AK3207" s="37"/>
      <c r="AL3207" s="37"/>
      <c r="AM3207" s="37"/>
      <c r="AN3207" s="37"/>
      <c r="AO3207" s="37"/>
      <c r="AP3207" s="37"/>
      <c r="AQ3207" s="37"/>
      <c r="AR3207" s="37"/>
      <c r="AS3207" s="37"/>
      <c r="AT3207" s="37"/>
      <c r="AU3207" s="37"/>
      <c r="AV3207" s="37"/>
      <c r="AW3207" s="37"/>
      <c r="AX3207" s="37"/>
      <c r="AY3207" s="37"/>
      <c r="AZ3207" s="37"/>
      <c r="BA3207" s="37"/>
      <c r="BB3207" s="37"/>
      <c r="BC3207" s="37"/>
      <c r="BD3207" s="37"/>
      <c r="BE3207" s="37"/>
      <c r="BF3207" s="37"/>
      <c r="BG3207" s="37"/>
      <c r="BH3207" s="37"/>
      <c r="BI3207" s="37"/>
      <c r="BJ3207" s="37"/>
      <c r="BK3207" s="37"/>
      <c r="BL3207" s="37"/>
      <c r="BM3207" s="37"/>
    </row>
    <row r="3208" spans="1:65" s="40" customFormat="1" ht="23.25" x14ac:dyDescent="0.35">
      <c r="A3208" s="37"/>
      <c r="B3208" s="37"/>
      <c r="C3208" s="41"/>
      <c r="D3208" s="38"/>
      <c r="E3208" s="57"/>
      <c r="F3208" s="42"/>
      <c r="G3208" s="43"/>
      <c r="H3208" s="37"/>
      <c r="I3208" s="37"/>
      <c r="J3208" s="38"/>
      <c r="K3208" s="37"/>
      <c r="L3208" s="38"/>
      <c r="M3208" s="39"/>
      <c r="P3208" s="37"/>
      <c r="Q3208" s="37"/>
      <c r="R3208" s="37"/>
      <c r="S3208" s="37"/>
      <c r="T3208" s="37"/>
      <c r="U3208" s="37"/>
      <c r="V3208" s="37"/>
      <c r="W3208" s="37"/>
      <c r="X3208" s="37"/>
      <c r="Y3208" s="37"/>
      <c r="Z3208" s="37"/>
      <c r="AA3208" s="37"/>
      <c r="AB3208" s="37"/>
      <c r="AC3208" s="37"/>
      <c r="AD3208" s="37"/>
      <c r="AE3208" s="37"/>
      <c r="AF3208" s="37"/>
      <c r="AG3208" s="37"/>
      <c r="AH3208" s="37"/>
      <c r="AI3208" s="37"/>
      <c r="AJ3208" s="37"/>
      <c r="AK3208" s="37"/>
      <c r="AL3208" s="37"/>
      <c r="AM3208" s="37"/>
      <c r="AN3208" s="37"/>
      <c r="AO3208" s="37"/>
      <c r="AP3208" s="37"/>
      <c r="AQ3208" s="37"/>
      <c r="AR3208" s="37"/>
      <c r="AS3208" s="37"/>
      <c r="AT3208" s="37"/>
      <c r="AU3208" s="37"/>
      <c r="AV3208" s="37"/>
      <c r="AW3208" s="37"/>
      <c r="AX3208" s="37"/>
      <c r="AY3208" s="37"/>
      <c r="AZ3208" s="37"/>
      <c r="BA3208" s="37"/>
      <c r="BB3208" s="37"/>
      <c r="BC3208" s="37"/>
      <c r="BD3208" s="37"/>
      <c r="BE3208" s="37"/>
      <c r="BF3208" s="37"/>
      <c r="BG3208" s="37"/>
      <c r="BH3208" s="37"/>
      <c r="BI3208" s="37"/>
      <c r="BJ3208" s="37"/>
      <c r="BK3208" s="37"/>
      <c r="BL3208" s="37"/>
      <c r="BM3208" s="37"/>
    </row>
    <row r="3209" spans="1:65" s="40" customFormat="1" ht="23.25" x14ac:dyDescent="0.35">
      <c r="A3209" s="37"/>
      <c r="B3209" s="37"/>
      <c r="C3209" s="41"/>
      <c r="D3209" s="38"/>
      <c r="E3209" s="57"/>
      <c r="F3209" s="42"/>
      <c r="G3209" s="43"/>
      <c r="H3209" s="37"/>
      <c r="I3209" s="37"/>
      <c r="J3209" s="38"/>
      <c r="K3209" s="37"/>
      <c r="L3209" s="38"/>
      <c r="M3209" s="39"/>
      <c r="P3209" s="37"/>
      <c r="Q3209" s="37"/>
      <c r="R3209" s="37"/>
      <c r="S3209" s="37"/>
      <c r="T3209" s="37"/>
      <c r="U3209" s="37"/>
      <c r="V3209" s="37"/>
      <c r="W3209" s="37"/>
      <c r="X3209" s="37"/>
      <c r="Y3209" s="37"/>
      <c r="Z3209" s="37"/>
      <c r="AA3209" s="37"/>
      <c r="AB3209" s="37"/>
      <c r="AC3209" s="37"/>
      <c r="AD3209" s="37"/>
      <c r="AE3209" s="37"/>
      <c r="AF3209" s="37"/>
      <c r="AG3209" s="37"/>
      <c r="AH3209" s="37"/>
      <c r="AI3209" s="37"/>
      <c r="AJ3209" s="37"/>
      <c r="AK3209" s="37"/>
      <c r="AL3209" s="37"/>
      <c r="AM3209" s="37"/>
      <c r="AN3209" s="37"/>
      <c r="AO3209" s="37"/>
      <c r="AP3209" s="37"/>
      <c r="AQ3209" s="37"/>
      <c r="AR3209" s="37"/>
      <c r="AS3209" s="37"/>
      <c r="AT3209" s="37"/>
      <c r="AU3209" s="37"/>
      <c r="AV3209" s="37"/>
      <c r="AW3209" s="37"/>
      <c r="AX3209" s="37"/>
      <c r="AY3209" s="37"/>
      <c r="AZ3209" s="37"/>
      <c r="BA3209" s="37"/>
      <c r="BB3209" s="37"/>
      <c r="BC3209" s="37"/>
      <c r="BD3209" s="37"/>
      <c r="BE3209" s="37"/>
      <c r="BF3209" s="37"/>
      <c r="BG3209" s="37"/>
      <c r="BH3209" s="37"/>
      <c r="BI3209" s="37"/>
      <c r="BJ3209" s="37"/>
      <c r="BK3209" s="37"/>
      <c r="BL3209" s="37"/>
      <c r="BM3209" s="37"/>
    </row>
    <row r="3210" spans="1:65" s="40" customFormat="1" ht="23.25" x14ac:dyDescent="0.35">
      <c r="A3210" s="37"/>
      <c r="B3210" s="37"/>
      <c r="C3210" s="41"/>
      <c r="D3210" s="38"/>
      <c r="E3210" s="57"/>
      <c r="F3210" s="42"/>
      <c r="G3210" s="43"/>
      <c r="H3210" s="37"/>
      <c r="I3210" s="37"/>
      <c r="J3210" s="38"/>
      <c r="K3210" s="37"/>
      <c r="L3210" s="38"/>
      <c r="M3210" s="39"/>
      <c r="P3210" s="37"/>
      <c r="Q3210" s="37"/>
      <c r="R3210" s="37"/>
      <c r="S3210" s="37"/>
      <c r="T3210" s="37"/>
      <c r="U3210" s="37"/>
      <c r="V3210" s="37"/>
      <c r="W3210" s="37"/>
      <c r="X3210" s="37"/>
      <c r="Y3210" s="37"/>
      <c r="Z3210" s="37"/>
      <c r="AA3210" s="37"/>
      <c r="AB3210" s="37"/>
      <c r="AC3210" s="37"/>
      <c r="AD3210" s="37"/>
      <c r="AE3210" s="37"/>
      <c r="AF3210" s="37"/>
      <c r="AG3210" s="37"/>
      <c r="AH3210" s="37"/>
      <c r="AI3210" s="37"/>
      <c r="AJ3210" s="37"/>
      <c r="AK3210" s="37"/>
      <c r="AL3210" s="37"/>
      <c r="AM3210" s="37"/>
      <c r="AN3210" s="37"/>
      <c r="AO3210" s="37"/>
      <c r="AP3210" s="37"/>
      <c r="AQ3210" s="37"/>
      <c r="AR3210" s="37"/>
      <c r="AS3210" s="37"/>
      <c r="AT3210" s="37"/>
      <c r="AU3210" s="37"/>
      <c r="AV3210" s="37"/>
      <c r="AW3210" s="37"/>
      <c r="AX3210" s="37"/>
      <c r="AY3210" s="37"/>
      <c r="AZ3210" s="37"/>
      <c r="BA3210" s="37"/>
      <c r="BB3210" s="37"/>
      <c r="BC3210" s="37"/>
      <c r="BD3210" s="37"/>
      <c r="BE3210" s="37"/>
      <c r="BF3210" s="37"/>
      <c r="BG3210" s="37"/>
      <c r="BH3210" s="37"/>
      <c r="BI3210" s="37"/>
      <c r="BJ3210" s="37"/>
      <c r="BK3210" s="37"/>
      <c r="BL3210" s="37"/>
      <c r="BM3210" s="37"/>
    </row>
    <row r="3211" spans="1:65" s="40" customFormat="1" ht="23.25" x14ac:dyDescent="0.35">
      <c r="A3211" s="37"/>
      <c r="B3211" s="37"/>
      <c r="C3211" s="41"/>
      <c r="D3211" s="38"/>
      <c r="E3211" s="57"/>
      <c r="F3211" s="42"/>
      <c r="G3211" s="43"/>
      <c r="H3211" s="37"/>
      <c r="I3211" s="37"/>
      <c r="J3211" s="38"/>
      <c r="K3211" s="37"/>
      <c r="L3211" s="38"/>
      <c r="M3211" s="39"/>
      <c r="P3211" s="37"/>
      <c r="Q3211" s="37"/>
      <c r="R3211" s="37"/>
      <c r="S3211" s="37"/>
      <c r="T3211" s="37"/>
      <c r="U3211" s="37"/>
      <c r="V3211" s="37"/>
      <c r="W3211" s="37"/>
      <c r="X3211" s="37"/>
      <c r="Y3211" s="37"/>
      <c r="Z3211" s="37"/>
      <c r="AA3211" s="37"/>
      <c r="AB3211" s="37"/>
      <c r="AC3211" s="37"/>
      <c r="AD3211" s="37"/>
      <c r="AE3211" s="37"/>
      <c r="AF3211" s="37"/>
      <c r="AG3211" s="37"/>
      <c r="AH3211" s="37"/>
      <c r="AI3211" s="37"/>
      <c r="AJ3211" s="37"/>
      <c r="AK3211" s="37"/>
      <c r="AL3211" s="37"/>
      <c r="AM3211" s="37"/>
      <c r="AN3211" s="37"/>
      <c r="AO3211" s="37"/>
      <c r="AP3211" s="37"/>
      <c r="AQ3211" s="37"/>
      <c r="AR3211" s="37"/>
      <c r="AS3211" s="37"/>
      <c r="AT3211" s="37"/>
      <c r="AU3211" s="37"/>
      <c r="AV3211" s="37"/>
      <c r="AW3211" s="37"/>
      <c r="AX3211" s="37"/>
      <c r="AY3211" s="37"/>
      <c r="AZ3211" s="37"/>
      <c r="BA3211" s="37"/>
      <c r="BB3211" s="37"/>
      <c r="BC3211" s="37"/>
      <c r="BD3211" s="37"/>
      <c r="BE3211" s="37"/>
      <c r="BF3211" s="37"/>
      <c r="BG3211" s="37"/>
      <c r="BH3211" s="37"/>
      <c r="BI3211" s="37"/>
      <c r="BJ3211" s="37"/>
      <c r="BK3211" s="37"/>
      <c r="BL3211" s="37"/>
      <c r="BM3211" s="37"/>
    </row>
    <row r="3212" spans="1:65" s="40" customFormat="1" ht="23.25" x14ac:dyDescent="0.35">
      <c r="A3212" s="37"/>
      <c r="B3212" s="37"/>
      <c r="C3212" s="41"/>
      <c r="D3212" s="38"/>
      <c r="E3212" s="57"/>
      <c r="F3212" s="42"/>
      <c r="G3212" s="43"/>
      <c r="H3212" s="37"/>
      <c r="I3212" s="37"/>
      <c r="J3212" s="38"/>
      <c r="K3212" s="37"/>
      <c r="L3212" s="38"/>
      <c r="M3212" s="39"/>
      <c r="P3212" s="37"/>
      <c r="Q3212" s="37"/>
      <c r="R3212" s="37"/>
      <c r="S3212" s="37"/>
      <c r="T3212" s="37"/>
      <c r="U3212" s="37"/>
      <c r="V3212" s="37"/>
      <c r="W3212" s="37"/>
      <c r="X3212" s="37"/>
      <c r="Y3212" s="37"/>
      <c r="Z3212" s="37"/>
      <c r="AA3212" s="37"/>
      <c r="AB3212" s="37"/>
      <c r="AC3212" s="37"/>
      <c r="AD3212" s="37"/>
      <c r="AE3212" s="37"/>
      <c r="AF3212" s="37"/>
      <c r="AG3212" s="37"/>
      <c r="AH3212" s="37"/>
      <c r="AI3212" s="37"/>
      <c r="AJ3212" s="37"/>
      <c r="AK3212" s="37"/>
      <c r="AL3212" s="37"/>
      <c r="AM3212" s="37"/>
      <c r="AN3212" s="37"/>
      <c r="AO3212" s="37"/>
      <c r="AP3212" s="37"/>
      <c r="AQ3212" s="37"/>
      <c r="AR3212" s="37"/>
      <c r="AS3212" s="37"/>
      <c r="AT3212" s="37"/>
      <c r="AU3212" s="37"/>
      <c r="AV3212" s="37"/>
      <c r="AW3212" s="37"/>
      <c r="AX3212" s="37"/>
      <c r="AY3212" s="37"/>
      <c r="AZ3212" s="37"/>
      <c r="BA3212" s="37"/>
      <c r="BB3212" s="37"/>
      <c r="BC3212" s="37"/>
      <c r="BD3212" s="37"/>
      <c r="BE3212" s="37"/>
      <c r="BF3212" s="37"/>
      <c r="BG3212" s="37"/>
      <c r="BH3212" s="37"/>
      <c r="BI3212" s="37"/>
      <c r="BJ3212" s="37"/>
      <c r="BK3212" s="37"/>
      <c r="BL3212" s="37"/>
      <c r="BM3212" s="37"/>
    </row>
    <row r="3213" spans="1:65" s="40" customFormat="1" ht="23.25" x14ac:dyDescent="0.35">
      <c r="A3213" s="37"/>
      <c r="B3213" s="37"/>
      <c r="C3213" s="41"/>
      <c r="D3213" s="38"/>
      <c r="E3213" s="57"/>
      <c r="F3213" s="42"/>
      <c r="G3213" s="43"/>
      <c r="H3213" s="37"/>
      <c r="I3213" s="37"/>
      <c r="J3213" s="38"/>
      <c r="K3213" s="37"/>
      <c r="L3213" s="38"/>
      <c r="M3213" s="39"/>
      <c r="P3213" s="37"/>
      <c r="Q3213" s="37"/>
      <c r="R3213" s="37"/>
      <c r="S3213" s="37"/>
      <c r="T3213" s="37"/>
      <c r="U3213" s="37"/>
      <c r="V3213" s="37"/>
      <c r="W3213" s="37"/>
      <c r="X3213" s="37"/>
      <c r="Y3213" s="37"/>
      <c r="Z3213" s="37"/>
      <c r="AA3213" s="37"/>
      <c r="AB3213" s="37"/>
      <c r="AC3213" s="37"/>
      <c r="AD3213" s="37"/>
      <c r="AE3213" s="37"/>
      <c r="AF3213" s="37"/>
      <c r="AG3213" s="37"/>
      <c r="AH3213" s="37"/>
      <c r="AI3213" s="37"/>
      <c r="AJ3213" s="37"/>
      <c r="AK3213" s="37"/>
      <c r="AL3213" s="37"/>
      <c r="AM3213" s="37"/>
      <c r="AN3213" s="37"/>
      <c r="AO3213" s="37"/>
      <c r="AP3213" s="37"/>
      <c r="AQ3213" s="37"/>
      <c r="AR3213" s="37"/>
      <c r="AS3213" s="37"/>
      <c r="AT3213" s="37"/>
      <c r="AU3213" s="37"/>
      <c r="AV3213" s="37"/>
      <c r="AW3213" s="37"/>
      <c r="AX3213" s="37"/>
      <c r="AY3213" s="37"/>
      <c r="AZ3213" s="37"/>
      <c r="BA3213" s="37"/>
      <c r="BB3213" s="37"/>
      <c r="BC3213" s="37"/>
      <c r="BD3213" s="37"/>
      <c r="BE3213" s="37"/>
      <c r="BF3213" s="37"/>
      <c r="BG3213" s="37"/>
      <c r="BH3213" s="37"/>
      <c r="BI3213" s="37"/>
      <c r="BJ3213" s="37"/>
      <c r="BK3213" s="37"/>
      <c r="BL3213" s="37"/>
      <c r="BM3213" s="37"/>
    </row>
    <row r="3214" spans="1:65" s="40" customFormat="1" ht="23.25" x14ac:dyDescent="0.35">
      <c r="A3214" s="37"/>
      <c r="B3214" s="37"/>
      <c r="C3214" s="41"/>
      <c r="D3214" s="38"/>
      <c r="E3214" s="57"/>
      <c r="F3214" s="42"/>
      <c r="G3214" s="43"/>
      <c r="H3214" s="37"/>
      <c r="I3214" s="37"/>
      <c r="J3214" s="38"/>
      <c r="K3214" s="37"/>
      <c r="L3214" s="38"/>
      <c r="M3214" s="39"/>
      <c r="P3214" s="37"/>
      <c r="Q3214" s="37"/>
      <c r="R3214" s="37"/>
      <c r="S3214" s="37"/>
      <c r="T3214" s="37"/>
      <c r="U3214" s="37"/>
      <c r="V3214" s="37"/>
      <c r="W3214" s="37"/>
      <c r="X3214" s="37"/>
      <c r="Y3214" s="37"/>
      <c r="Z3214" s="37"/>
      <c r="AA3214" s="37"/>
      <c r="AB3214" s="37"/>
      <c r="AC3214" s="37"/>
      <c r="AD3214" s="37"/>
      <c r="AE3214" s="37"/>
      <c r="AF3214" s="37"/>
      <c r="AG3214" s="37"/>
      <c r="AH3214" s="37"/>
      <c r="AI3214" s="37"/>
      <c r="AJ3214" s="37"/>
      <c r="AK3214" s="37"/>
      <c r="AL3214" s="37"/>
      <c r="AM3214" s="37"/>
      <c r="AN3214" s="37"/>
      <c r="AO3214" s="37"/>
      <c r="AP3214" s="37"/>
      <c r="AQ3214" s="37"/>
      <c r="AR3214" s="37"/>
      <c r="AS3214" s="37"/>
      <c r="AT3214" s="37"/>
      <c r="AU3214" s="37"/>
      <c r="AV3214" s="37"/>
      <c r="AW3214" s="37"/>
      <c r="AX3214" s="37"/>
      <c r="AY3214" s="37"/>
      <c r="AZ3214" s="37"/>
      <c r="BA3214" s="37"/>
      <c r="BB3214" s="37"/>
      <c r="BC3214" s="37"/>
      <c r="BD3214" s="37"/>
      <c r="BE3214" s="37"/>
      <c r="BF3214" s="37"/>
      <c r="BG3214" s="37"/>
      <c r="BH3214" s="37"/>
      <c r="BI3214" s="37"/>
      <c r="BJ3214" s="37"/>
      <c r="BK3214" s="37"/>
      <c r="BL3214" s="37"/>
      <c r="BM3214" s="37"/>
    </row>
    <row r="3215" spans="1:65" s="40" customFormat="1" ht="23.25" x14ac:dyDescent="0.35">
      <c r="A3215" s="37"/>
      <c r="B3215" s="37"/>
      <c r="C3215" s="41"/>
      <c r="D3215" s="38"/>
      <c r="E3215" s="57"/>
      <c r="F3215" s="42"/>
      <c r="G3215" s="43"/>
      <c r="H3215" s="37"/>
      <c r="I3215" s="37"/>
      <c r="J3215" s="38"/>
      <c r="K3215" s="37"/>
      <c r="L3215" s="38"/>
      <c r="M3215" s="39"/>
      <c r="P3215" s="37"/>
      <c r="Q3215" s="37"/>
      <c r="R3215" s="37"/>
      <c r="S3215" s="37"/>
      <c r="T3215" s="37"/>
      <c r="U3215" s="37"/>
      <c r="V3215" s="37"/>
      <c r="W3215" s="37"/>
      <c r="X3215" s="37"/>
      <c r="Y3215" s="37"/>
      <c r="Z3215" s="37"/>
      <c r="AA3215" s="37"/>
      <c r="AB3215" s="37"/>
      <c r="AC3215" s="37"/>
      <c r="AD3215" s="37"/>
      <c r="AE3215" s="37"/>
      <c r="AF3215" s="37"/>
      <c r="AG3215" s="37"/>
      <c r="AH3215" s="37"/>
      <c r="AI3215" s="37"/>
      <c r="AJ3215" s="37"/>
      <c r="AK3215" s="37"/>
      <c r="AL3215" s="37"/>
      <c r="AM3215" s="37"/>
      <c r="AN3215" s="37"/>
      <c r="AO3215" s="37"/>
      <c r="AP3215" s="37"/>
      <c r="AQ3215" s="37"/>
      <c r="AR3215" s="37"/>
      <c r="AS3215" s="37"/>
      <c r="AT3215" s="37"/>
      <c r="AU3215" s="37"/>
      <c r="AV3215" s="37"/>
      <c r="AW3215" s="37"/>
      <c r="AX3215" s="37"/>
      <c r="AY3215" s="37"/>
      <c r="AZ3215" s="37"/>
      <c r="BA3215" s="37"/>
      <c r="BB3215" s="37"/>
      <c r="BC3215" s="37"/>
      <c r="BD3215" s="37"/>
      <c r="BE3215" s="37"/>
      <c r="BF3215" s="37"/>
      <c r="BG3215" s="37"/>
      <c r="BH3215" s="37"/>
      <c r="BI3215" s="37"/>
      <c r="BJ3215" s="37"/>
      <c r="BK3215" s="37"/>
      <c r="BL3215" s="37"/>
      <c r="BM3215" s="37"/>
    </row>
    <row r="3216" spans="1:65" s="40" customFormat="1" ht="23.25" x14ac:dyDescent="0.35">
      <c r="A3216" s="37"/>
      <c r="B3216" s="37"/>
      <c r="C3216" s="41"/>
      <c r="D3216" s="38"/>
      <c r="E3216" s="57"/>
      <c r="F3216" s="42"/>
      <c r="G3216" s="43"/>
      <c r="H3216" s="37"/>
      <c r="I3216" s="37"/>
      <c r="J3216" s="38"/>
      <c r="K3216" s="37"/>
      <c r="L3216" s="38"/>
      <c r="M3216" s="39"/>
      <c r="P3216" s="37"/>
      <c r="Q3216" s="37"/>
      <c r="R3216" s="37"/>
      <c r="S3216" s="37"/>
      <c r="T3216" s="37"/>
      <c r="U3216" s="37"/>
      <c r="V3216" s="37"/>
      <c r="W3216" s="37"/>
      <c r="X3216" s="37"/>
      <c r="Y3216" s="37"/>
      <c r="Z3216" s="37"/>
      <c r="AA3216" s="37"/>
      <c r="AB3216" s="37"/>
      <c r="AC3216" s="37"/>
      <c r="AD3216" s="37"/>
      <c r="AE3216" s="37"/>
      <c r="AF3216" s="37"/>
      <c r="AG3216" s="37"/>
      <c r="AH3216" s="37"/>
      <c r="AI3216" s="37"/>
      <c r="AJ3216" s="37"/>
      <c r="AK3216" s="37"/>
      <c r="AL3216" s="37"/>
      <c r="AM3216" s="37"/>
      <c r="AN3216" s="37"/>
      <c r="AO3216" s="37"/>
      <c r="AP3216" s="37"/>
      <c r="AQ3216" s="37"/>
      <c r="AR3216" s="37"/>
      <c r="AS3216" s="37"/>
      <c r="AT3216" s="37"/>
      <c r="AU3216" s="37"/>
      <c r="AV3216" s="37"/>
      <c r="AW3216" s="37"/>
      <c r="AX3216" s="37"/>
      <c r="AY3216" s="37"/>
      <c r="AZ3216" s="37"/>
      <c r="BA3216" s="37"/>
      <c r="BB3216" s="37"/>
      <c r="BC3216" s="37"/>
      <c r="BD3216" s="37"/>
      <c r="BE3216" s="37"/>
      <c r="BF3216" s="37"/>
      <c r="BG3216" s="37"/>
      <c r="BH3216" s="37"/>
      <c r="BI3216" s="37"/>
      <c r="BJ3216" s="37"/>
      <c r="BK3216" s="37"/>
      <c r="BL3216" s="37"/>
      <c r="BM3216" s="37"/>
    </row>
    <row r="3217" spans="1:65" s="40" customFormat="1" ht="23.25" x14ac:dyDescent="0.35">
      <c r="A3217" s="37"/>
      <c r="B3217" s="37"/>
      <c r="C3217" s="41"/>
      <c r="D3217" s="38"/>
      <c r="E3217" s="57"/>
      <c r="F3217" s="42"/>
      <c r="G3217" s="43"/>
      <c r="H3217" s="37"/>
      <c r="I3217" s="37"/>
      <c r="J3217" s="38"/>
      <c r="K3217" s="37"/>
      <c r="L3217" s="38"/>
      <c r="M3217" s="39"/>
      <c r="P3217" s="37"/>
      <c r="Q3217" s="37"/>
      <c r="R3217" s="37"/>
      <c r="S3217" s="37"/>
      <c r="T3217" s="37"/>
      <c r="U3217" s="37"/>
      <c r="V3217" s="37"/>
      <c r="W3217" s="37"/>
      <c r="X3217" s="37"/>
      <c r="Y3217" s="37"/>
      <c r="Z3217" s="37"/>
      <c r="AA3217" s="37"/>
      <c r="AB3217" s="37"/>
      <c r="AC3217" s="37"/>
      <c r="AD3217" s="37"/>
      <c r="AE3217" s="37"/>
      <c r="AF3217" s="37"/>
      <c r="AG3217" s="37"/>
      <c r="AH3217" s="37"/>
      <c r="AI3217" s="37"/>
      <c r="AJ3217" s="37"/>
      <c r="AK3217" s="37"/>
      <c r="AL3217" s="37"/>
      <c r="AM3217" s="37"/>
      <c r="AN3217" s="37"/>
      <c r="AO3217" s="37"/>
      <c r="AP3217" s="37"/>
      <c r="AQ3217" s="37"/>
      <c r="AR3217" s="37"/>
      <c r="AS3217" s="37"/>
      <c r="AT3217" s="37"/>
      <c r="AU3217" s="37"/>
      <c r="AV3217" s="37"/>
      <c r="AW3217" s="37"/>
      <c r="AX3217" s="37"/>
      <c r="AY3217" s="37"/>
      <c r="AZ3217" s="37"/>
      <c r="BA3217" s="37"/>
      <c r="BB3217" s="37"/>
      <c r="BC3217" s="37"/>
      <c r="BD3217" s="37"/>
      <c r="BE3217" s="37"/>
      <c r="BF3217" s="37"/>
      <c r="BG3217" s="37"/>
      <c r="BH3217" s="37"/>
      <c r="BI3217" s="37"/>
      <c r="BJ3217" s="37"/>
      <c r="BK3217" s="37"/>
      <c r="BL3217" s="37"/>
      <c r="BM3217" s="37"/>
    </row>
    <row r="3218" spans="1:65" s="40" customFormat="1" ht="23.25" x14ac:dyDescent="0.35">
      <c r="A3218" s="37"/>
      <c r="B3218" s="37"/>
      <c r="C3218" s="41"/>
      <c r="D3218" s="38"/>
      <c r="E3218" s="57"/>
      <c r="F3218" s="42"/>
      <c r="G3218" s="43"/>
      <c r="H3218" s="37"/>
      <c r="I3218" s="37"/>
      <c r="J3218" s="38"/>
      <c r="K3218" s="37"/>
      <c r="L3218" s="38"/>
      <c r="M3218" s="39"/>
      <c r="P3218" s="37"/>
      <c r="Q3218" s="37"/>
      <c r="R3218" s="37"/>
      <c r="S3218" s="37"/>
      <c r="T3218" s="37"/>
      <c r="U3218" s="37"/>
      <c r="V3218" s="37"/>
      <c r="W3218" s="37"/>
      <c r="X3218" s="37"/>
      <c r="Y3218" s="37"/>
      <c r="Z3218" s="37"/>
      <c r="AA3218" s="37"/>
      <c r="AB3218" s="37"/>
      <c r="AC3218" s="37"/>
      <c r="AD3218" s="37"/>
      <c r="AE3218" s="37"/>
      <c r="AF3218" s="37"/>
      <c r="AG3218" s="37"/>
      <c r="AH3218" s="37"/>
      <c r="AI3218" s="37"/>
      <c r="AJ3218" s="37"/>
      <c r="AK3218" s="37"/>
      <c r="AL3218" s="37"/>
      <c r="AM3218" s="37"/>
      <c r="AN3218" s="37"/>
      <c r="AO3218" s="37"/>
      <c r="AP3218" s="37"/>
      <c r="AQ3218" s="37"/>
      <c r="AR3218" s="37"/>
      <c r="AS3218" s="37"/>
      <c r="AT3218" s="37"/>
      <c r="AU3218" s="37"/>
      <c r="AV3218" s="37"/>
      <c r="AW3218" s="37"/>
      <c r="AX3218" s="37"/>
      <c r="AY3218" s="37"/>
      <c r="AZ3218" s="37"/>
      <c r="BA3218" s="37"/>
      <c r="BB3218" s="37"/>
      <c r="BC3218" s="37"/>
      <c r="BD3218" s="37"/>
      <c r="BE3218" s="37"/>
      <c r="BF3218" s="37"/>
      <c r="BG3218" s="37"/>
      <c r="BH3218" s="37"/>
      <c r="BI3218" s="37"/>
      <c r="BJ3218" s="37"/>
      <c r="BK3218" s="37"/>
      <c r="BL3218" s="37"/>
      <c r="BM3218" s="37"/>
    </row>
    <row r="3219" spans="1:65" s="40" customFormat="1" ht="23.25" x14ac:dyDescent="0.35">
      <c r="A3219" s="37"/>
      <c r="B3219" s="37"/>
      <c r="C3219" s="41"/>
      <c r="D3219" s="38"/>
      <c r="E3219" s="57"/>
      <c r="F3219" s="42"/>
      <c r="G3219" s="43"/>
      <c r="H3219" s="37"/>
      <c r="I3219" s="37"/>
      <c r="J3219" s="38"/>
      <c r="K3219" s="37"/>
      <c r="L3219" s="38"/>
      <c r="M3219" s="39"/>
      <c r="P3219" s="37"/>
      <c r="Q3219" s="37"/>
      <c r="R3219" s="37"/>
      <c r="S3219" s="37"/>
      <c r="T3219" s="37"/>
      <c r="U3219" s="37"/>
      <c r="V3219" s="37"/>
      <c r="W3219" s="37"/>
      <c r="X3219" s="37"/>
      <c r="Y3219" s="37"/>
      <c r="Z3219" s="37"/>
      <c r="AA3219" s="37"/>
      <c r="AB3219" s="37"/>
      <c r="AC3219" s="37"/>
      <c r="AD3219" s="37"/>
      <c r="AE3219" s="37"/>
      <c r="AF3219" s="37"/>
      <c r="AG3219" s="37"/>
      <c r="AH3219" s="37"/>
      <c r="AI3219" s="37"/>
      <c r="AJ3219" s="37"/>
      <c r="AK3219" s="37"/>
      <c r="AL3219" s="37"/>
      <c r="AM3219" s="37"/>
      <c r="AN3219" s="37"/>
      <c r="AO3219" s="37"/>
      <c r="AP3219" s="37"/>
      <c r="AQ3219" s="37"/>
      <c r="AR3219" s="37"/>
      <c r="AS3219" s="37"/>
      <c r="AT3219" s="37"/>
      <c r="AU3219" s="37"/>
      <c r="AV3219" s="37"/>
      <c r="AW3219" s="37"/>
      <c r="AX3219" s="37"/>
      <c r="AY3219" s="37"/>
      <c r="AZ3219" s="37"/>
      <c r="BA3219" s="37"/>
      <c r="BB3219" s="37"/>
      <c r="BC3219" s="37"/>
      <c r="BD3219" s="37"/>
      <c r="BE3219" s="37"/>
      <c r="BF3219" s="37"/>
      <c r="BG3219" s="37"/>
      <c r="BH3219" s="37"/>
      <c r="BI3219" s="37"/>
      <c r="BJ3219" s="37"/>
      <c r="BK3219" s="37"/>
      <c r="BL3219" s="37"/>
      <c r="BM3219" s="37"/>
    </row>
    <row r="3220" spans="1:65" s="40" customFormat="1" ht="23.25" x14ac:dyDescent="0.35">
      <c r="A3220" s="37"/>
      <c r="B3220" s="37"/>
      <c r="C3220" s="41"/>
      <c r="D3220" s="38"/>
      <c r="E3220" s="57"/>
      <c r="F3220" s="42"/>
      <c r="G3220" s="43"/>
      <c r="H3220" s="37"/>
      <c r="I3220" s="37"/>
      <c r="J3220" s="38"/>
      <c r="K3220" s="37"/>
      <c r="L3220" s="38"/>
      <c r="M3220" s="39"/>
      <c r="P3220" s="37"/>
      <c r="Q3220" s="37"/>
      <c r="R3220" s="37"/>
      <c r="S3220" s="37"/>
      <c r="T3220" s="37"/>
      <c r="U3220" s="37"/>
      <c r="V3220" s="37"/>
      <c r="W3220" s="37"/>
      <c r="X3220" s="37"/>
      <c r="Y3220" s="37"/>
      <c r="Z3220" s="37"/>
      <c r="AA3220" s="37"/>
      <c r="AB3220" s="37"/>
      <c r="AC3220" s="37"/>
      <c r="AD3220" s="37"/>
      <c r="AE3220" s="37"/>
      <c r="AF3220" s="37"/>
      <c r="AG3220" s="37"/>
      <c r="AH3220" s="37"/>
      <c r="AI3220" s="37"/>
      <c r="AJ3220" s="37"/>
      <c r="AK3220" s="37"/>
      <c r="AL3220" s="37"/>
      <c r="AM3220" s="37"/>
      <c r="AN3220" s="37"/>
      <c r="AO3220" s="37"/>
      <c r="AP3220" s="37"/>
      <c r="AQ3220" s="37"/>
      <c r="AR3220" s="37"/>
      <c r="AS3220" s="37"/>
      <c r="AT3220" s="37"/>
      <c r="AU3220" s="37"/>
      <c r="AV3220" s="37"/>
      <c r="AW3220" s="37"/>
      <c r="AX3220" s="37"/>
      <c r="AY3220" s="37"/>
      <c r="AZ3220" s="37"/>
      <c r="BA3220" s="37"/>
      <c r="BB3220" s="37"/>
      <c r="BC3220" s="37"/>
      <c r="BD3220" s="37"/>
      <c r="BE3220" s="37"/>
      <c r="BF3220" s="37"/>
      <c r="BG3220" s="37"/>
      <c r="BH3220" s="37"/>
      <c r="BI3220" s="37"/>
      <c r="BJ3220" s="37"/>
      <c r="BK3220" s="37"/>
      <c r="BL3220" s="37"/>
      <c r="BM3220" s="37"/>
    </row>
    <row r="3221" spans="1:65" s="40" customFormat="1" ht="23.25" x14ac:dyDescent="0.35">
      <c r="A3221" s="37"/>
      <c r="B3221" s="37"/>
      <c r="C3221" s="41"/>
      <c r="D3221" s="38"/>
      <c r="E3221" s="57"/>
      <c r="F3221" s="42"/>
      <c r="G3221" s="43"/>
      <c r="H3221" s="37"/>
      <c r="I3221" s="37"/>
      <c r="J3221" s="38"/>
      <c r="K3221" s="37"/>
      <c r="L3221" s="38"/>
      <c r="M3221" s="39"/>
      <c r="P3221" s="37"/>
      <c r="Q3221" s="37"/>
      <c r="R3221" s="37"/>
      <c r="S3221" s="37"/>
      <c r="T3221" s="37"/>
      <c r="U3221" s="37"/>
      <c r="V3221" s="37"/>
      <c r="W3221" s="37"/>
      <c r="X3221" s="37"/>
      <c r="Y3221" s="37"/>
      <c r="Z3221" s="37"/>
      <c r="AA3221" s="37"/>
      <c r="AB3221" s="37"/>
      <c r="AC3221" s="37"/>
      <c r="AD3221" s="37"/>
      <c r="AE3221" s="37"/>
      <c r="AF3221" s="37"/>
      <c r="AG3221" s="37"/>
      <c r="AH3221" s="37"/>
      <c r="AI3221" s="37"/>
      <c r="AJ3221" s="37"/>
      <c r="AK3221" s="37"/>
      <c r="AL3221" s="37"/>
      <c r="AM3221" s="37"/>
      <c r="AN3221" s="37"/>
      <c r="AO3221" s="37"/>
      <c r="AP3221" s="37"/>
      <c r="AQ3221" s="37"/>
      <c r="AR3221" s="37"/>
      <c r="AS3221" s="37"/>
      <c r="AT3221" s="37"/>
      <c r="AU3221" s="37"/>
      <c r="AV3221" s="37"/>
      <c r="AW3221" s="37"/>
      <c r="AX3221" s="37"/>
      <c r="AY3221" s="37"/>
      <c r="AZ3221" s="37"/>
      <c r="BA3221" s="37"/>
      <c r="BB3221" s="37"/>
      <c r="BC3221" s="37"/>
      <c r="BD3221" s="37"/>
      <c r="BE3221" s="37"/>
      <c r="BF3221" s="37"/>
      <c r="BG3221" s="37"/>
      <c r="BH3221" s="37"/>
      <c r="BI3221" s="37"/>
      <c r="BJ3221" s="37"/>
      <c r="BK3221" s="37"/>
      <c r="BL3221" s="37"/>
      <c r="BM3221" s="37"/>
    </row>
    <row r="3222" spans="1:65" s="40" customFormat="1" ht="23.25" x14ac:dyDescent="0.35">
      <c r="A3222" s="37"/>
      <c r="B3222" s="37"/>
      <c r="C3222" s="41"/>
      <c r="D3222" s="38"/>
      <c r="E3222" s="57"/>
      <c r="F3222" s="42"/>
      <c r="G3222" s="43"/>
      <c r="H3222" s="37"/>
      <c r="I3222" s="37"/>
      <c r="J3222" s="38"/>
      <c r="K3222" s="37"/>
      <c r="L3222" s="38"/>
      <c r="M3222" s="39"/>
      <c r="P3222" s="37"/>
      <c r="Q3222" s="37"/>
      <c r="R3222" s="37"/>
      <c r="S3222" s="37"/>
      <c r="T3222" s="37"/>
      <c r="U3222" s="37"/>
      <c r="V3222" s="37"/>
      <c r="W3222" s="37"/>
      <c r="X3222" s="37"/>
      <c r="Y3222" s="37"/>
      <c r="Z3222" s="37"/>
      <c r="AA3222" s="37"/>
      <c r="AB3222" s="37"/>
      <c r="AC3222" s="37"/>
      <c r="AD3222" s="37"/>
      <c r="AE3222" s="37"/>
      <c r="AF3222" s="37"/>
      <c r="AG3222" s="37"/>
      <c r="AH3222" s="37"/>
      <c r="AI3222" s="37"/>
      <c r="AJ3222" s="37"/>
      <c r="AK3222" s="37"/>
      <c r="AL3222" s="37"/>
      <c r="AM3222" s="37"/>
      <c r="AN3222" s="37"/>
      <c r="AO3222" s="37"/>
      <c r="AP3222" s="37"/>
      <c r="AQ3222" s="37"/>
      <c r="AR3222" s="37"/>
      <c r="AS3222" s="37"/>
      <c r="AT3222" s="37"/>
      <c r="AU3222" s="37"/>
      <c r="AV3222" s="37"/>
      <c r="AW3222" s="37"/>
      <c r="AX3222" s="37"/>
      <c r="AY3222" s="37"/>
      <c r="AZ3222" s="37"/>
      <c r="BA3222" s="37"/>
      <c r="BB3222" s="37"/>
      <c r="BC3222" s="37"/>
      <c r="BD3222" s="37"/>
      <c r="BE3222" s="37"/>
      <c r="BF3222" s="37"/>
      <c r="BG3222" s="37"/>
      <c r="BH3222" s="37"/>
      <c r="BI3222" s="37"/>
      <c r="BJ3222" s="37"/>
      <c r="BK3222" s="37"/>
      <c r="BL3222" s="37"/>
      <c r="BM3222" s="37"/>
    </row>
    <row r="3223" spans="1:65" s="40" customFormat="1" ht="23.25" x14ac:dyDescent="0.35">
      <c r="A3223" s="37"/>
      <c r="B3223" s="37"/>
      <c r="C3223" s="41"/>
      <c r="D3223" s="38"/>
      <c r="E3223" s="57"/>
      <c r="F3223" s="42"/>
      <c r="G3223" s="43"/>
      <c r="H3223" s="37"/>
      <c r="I3223" s="37"/>
      <c r="J3223" s="38"/>
      <c r="K3223" s="37"/>
      <c r="L3223" s="38"/>
      <c r="M3223" s="39"/>
      <c r="P3223" s="37"/>
      <c r="Q3223" s="37"/>
      <c r="R3223" s="37"/>
      <c r="S3223" s="37"/>
      <c r="T3223" s="37"/>
      <c r="U3223" s="37"/>
      <c r="V3223" s="37"/>
      <c r="W3223" s="37"/>
      <c r="X3223" s="37"/>
      <c r="Y3223" s="37"/>
      <c r="Z3223" s="37"/>
      <c r="AA3223" s="37"/>
      <c r="AB3223" s="37"/>
      <c r="AC3223" s="37"/>
      <c r="AD3223" s="37"/>
      <c r="AE3223" s="37"/>
      <c r="AF3223" s="37"/>
      <c r="AG3223" s="37"/>
      <c r="AH3223" s="37"/>
      <c r="AI3223" s="37"/>
      <c r="AJ3223" s="37"/>
      <c r="AK3223" s="37"/>
      <c r="AL3223" s="37"/>
      <c r="AM3223" s="37"/>
      <c r="AN3223" s="37"/>
      <c r="AO3223" s="37"/>
      <c r="AP3223" s="37"/>
      <c r="AQ3223" s="37"/>
      <c r="AR3223" s="37"/>
      <c r="AS3223" s="37"/>
      <c r="AT3223" s="37"/>
      <c r="AU3223" s="37"/>
      <c r="AV3223" s="37"/>
      <c r="AW3223" s="37"/>
      <c r="AX3223" s="37"/>
      <c r="AY3223" s="37"/>
      <c r="AZ3223" s="37"/>
      <c r="BA3223" s="37"/>
      <c r="BB3223" s="37"/>
      <c r="BC3223" s="37"/>
      <c r="BD3223" s="37"/>
      <c r="BE3223" s="37"/>
      <c r="BF3223" s="37"/>
      <c r="BG3223" s="37"/>
      <c r="BH3223" s="37"/>
      <c r="BI3223" s="37"/>
      <c r="BJ3223" s="37"/>
      <c r="BK3223" s="37"/>
      <c r="BL3223" s="37"/>
      <c r="BM3223" s="37"/>
    </row>
    <row r="3224" spans="1:65" s="40" customFormat="1" ht="23.25" x14ac:dyDescent="0.35">
      <c r="A3224" s="37"/>
      <c r="B3224" s="37"/>
      <c r="C3224" s="41"/>
      <c r="D3224" s="38"/>
      <c r="E3224" s="57"/>
      <c r="F3224" s="42"/>
      <c r="G3224" s="43"/>
      <c r="H3224" s="37"/>
      <c r="I3224" s="37"/>
      <c r="J3224" s="38"/>
      <c r="K3224" s="37"/>
      <c r="L3224" s="38"/>
      <c r="M3224" s="39"/>
      <c r="P3224" s="37"/>
      <c r="Q3224" s="37"/>
      <c r="R3224" s="37"/>
      <c r="S3224" s="37"/>
      <c r="T3224" s="37"/>
      <c r="U3224" s="37"/>
      <c r="V3224" s="37"/>
      <c r="W3224" s="37"/>
      <c r="X3224" s="37"/>
      <c r="Y3224" s="37"/>
      <c r="Z3224" s="37"/>
      <c r="AA3224" s="37"/>
      <c r="AB3224" s="37"/>
      <c r="AC3224" s="37"/>
      <c r="AD3224" s="37"/>
      <c r="AE3224" s="37"/>
      <c r="AF3224" s="37"/>
      <c r="AG3224" s="37"/>
      <c r="AH3224" s="37"/>
      <c r="AI3224" s="37"/>
      <c r="AJ3224" s="37"/>
      <c r="AK3224" s="37"/>
      <c r="AL3224" s="37"/>
      <c r="AM3224" s="37"/>
      <c r="AN3224" s="37"/>
      <c r="AO3224" s="37"/>
      <c r="AP3224" s="37"/>
      <c r="AQ3224" s="37"/>
      <c r="AR3224" s="37"/>
      <c r="AS3224" s="37"/>
      <c r="AT3224" s="37"/>
      <c r="AU3224" s="37"/>
      <c r="AV3224" s="37"/>
      <c r="AW3224" s="37"/>
      <c r="AX3224" s="37"/>
      <c r="AY3224" s="37"/>
      <c r="AZ3224" s="37"/>
      <c r="BA3224" s="37"/>
      <c r="BB3224" s="37"/>
      <c r="BC3224" s="37"/>
      <c r="BD3224" s="37"/>
      <c r="BE3224" s="37"/>
      <c r="BF3224" s="37"/>
      <c r="BG3224" s="37"/>
      <c r="BH3224" s="37"/>
      <c r="BI3224" s="37"/>
      <c r="BJ3224" s="37"/>
      <c r="BK3224" s="37"/>
      <c r="BL3224" s="37"/>
      <c r="BM3224" s="37"/>
    </row>
    <row r="3225" spans="1:65" s="40" customFormat="1" ht="23.25" x14ac:dyDescent="0.35">
      <c r="A3225" s="37"/>
      <c r="B3225" s="37"/>
      <c r="C3225" s="41"/>
      <c r="D3225" s="38"/>
      <c r="E3225" s="57"/>
      <c r="F3225" s="42"/>
      <c r="G3225" s="43"/>
      <c r="H3225" s="37"/>
      <c r="I3225" s="37"/>
      <c r="J3225" s="38"/>
      <c r="K3225" s="37"/>
      <c r="L3225" s="38"/>
      <c r="M3225" s="39"/>
      <c r="P3225" s="37"/>
      <c r="Q3225" s="37"/>
      <c r="R3225" s="37"/>
      <c r="S3225" s="37"/>
      <c r="T3225" s="37"/>
      <c r="U3225" s="37"/>
      <c r="V3225" s="37"/>
      <c r="W3225" s="37"/>
      <c r="X3225" s="37"/>
      <c r="Y3225" s="37"/>
      <c r="Z3225" s="37"/>
      <c r="AA3225" s="37"/>
      <c r="AB3225" s="37"/>
      <c r="AC3225" s="37"/>
      <c r="AD3225" s="37"/>
      <c r="AE3225" s="37"/>
      <c r="AF3225" s="37"/>
      <c r="AG3225" s="37"/>
      <c r="AH3225" s="37"/>
      <c r="AI3225" s="37"/>
      <c r="AJ3225" s="37"/>
      <c r="AK3225" s="37"/>
      <c r="AL3225" s="37"/>
      <c r="AM3225" s="37"/>
      <c r="AN3225" s="37"/>
      <c r="AO3225" s="37"/>
      <c r="AP3225" s="37"/>
      <c r="AQ3225" s="37"/>
      <c r="AR3225" s="37"/>
      <c r="AS3225" s="37"/>
      <c r="AT3225" s="37"/>
      <c r="AU3225" s="37"/>
      <c r="AV3225" s="37"/>
      <c r="AW3225" s="37"/>
      <c r="AX3225" s="37"/>
      <c r="AY3225" s="37"/>
      <c r="AZ3225" s="37"/>
      <c r="BA3225" s="37"/>
      <c r="BB3225" s="37"/>
      <c r="BC3225" s="37"/>
      <c r="BD3225" s="37"/>
      <c r="BE3225" s="37"/>
      <c r="BF3225" s="37"/>
      <c r="BG3225" s="37"/>
      <c r="BH3225" s="37"/>
      <c r="BI3225" s="37"/>
      <c r="BJ3225" s="37"/>
      <c r="BK3225" s="37"/>
      <c r="BL3225" s="37"/>
      <c r="BM3225" s="37"/>
    </row>
    <row r="3226" spans="1:65" s="40" customFormat="1" ht="23.25" x14ac:dyDescent="0.35">
      <c r="A3226" s="37"/>
      <c r="B3226" s="37"/>
      <c r="C3226" s="41"/>
      <c r="D3226" s="38"/>
      <c r="E3226" s="57"/>
      <c r="F3226" s="42"/>
      <c r="G3226" s="43"/>
      <c r="H3226" s="37"/>
      <c r="I3226" s="37"/>
      <c r="J3226" s="38"/>
      <c r="K3226" s="37"/>
      <c r="L3226" s="38"/>
      <c r="M3226" s="39"/>
      <c r="P3226" s="37"/>
      <c r="Q3226" s="37"/>
      <c r="R3226" s="37"/>
      <c r="S3226" s="37"/>
      <c r="T3226" s="37"/>
      <c r="U3226" s="37"/>
      <c r="V3226" s="37"/>
      <c r="W3226" s="37"/>
      <c r="X3226" s="37"/>
      <c r="Y3226" s="37"/>
      <c r="Z3226" s="37"/>
      <c r="AA3226" s="37"/>
      <c r="AB3226" s="37"/>
      <c r="AC3226" s="37"/>
      <c r="AD3226" s="37"/>
      <c r="AE3226" s="37"/>
      <c r="AF3226" s="37"/>
      <c r="AG3226" s="37"/>
      <c r="AH3226" s="37"/>
      <c r="AI3226" s="37"/>
      <c r="AJ3226" s="37"/>
      <c r="AK3226" s="37"/>
      <c r="AL3226" s="37"/>
      <c r="AM3226" s="37"/>
      <c r="AN3226" s="37"/>
      <c r="AO3226" s="37"/>
      <c r="AP3226" s="37"/>
      <c r="AQ3226" s="37"/>
      <c r="AR3226" s="37"/>
      <c r="AS3226" s="37"/>
      <c r="AT3226" s="37"/>
      <c r="AU3226" s="37"/>
      <c r="AV3226" s="37"/>
      <c r="AW3226" s="37"/>
      <c r="AX3226" s="37"/>
      <c r="AY3226" s="37"/>
      <c r="AZ3226" s="37"/>
      <c r="BA3226" s="37"/>
      <c r="BB3226" s="37"/>
      <c r="BC3226" s="37"/>
      <c r="BD3226" s="37"/>
      <c r="BE3226" s="37"/>
      <c r="BF3226" s="37"/>
      <c r="BG3226" s="37"/>
      <c r="BH3226" s="37"/>
      <c r="BI3226" s="37"/>
      <c r="BJ3226" s="37"/>
      <c r="BK3226" s="37"/>
      <c r="BL3226" s="37"/>
      <c r="BM3226" s="37"/>
    </row>
    <row r="3227" spans="1:65" s="40" customFormat="1" ht="23.25" x14ac:dyDescent="0.35">
      <c r="A3227" s="37"/>
      <c r="B3227" s="37"/>
      <c r="C3227" s="41"/>
      <c r="D3227" s="38"/>
      <c r="E3227" s="57"/>
      <c r="F3227" s="42"/>
      <c r="G3227" s="43"/>
      <c r="H3227" s="37"/>
      <c r="I3227" s="37"/>
      <c r="J3227" s="38"/>
      <c r="K3227" s="37"/>
      <c r="L3227" s="38"/>
      <c r="M3227" s="39"/>
      <c r="P3227" s="37"/>
      <c r="Q3227" s="37"/>
      <c r="R3227" s="37"/>
      <c r="S3227" s="37"/>
      <c r="T3227" s="37"/>
      <c r="U3227" s="37"/>
      <c r="V3227" s="37"/>
      <c r="W3227" s="37"/>
      <c r="X3227" s="37"/>
      <c r="Y3227" s="37"/>
      <c r="Z3227" s="37"/>
      <c r="AA3227" s="37"/>
      <c r="AB3227" s="37"/>
      <c r="AC3227" s="37"/>
      <c r="AD3227" s="37"/>
      <c r="AE3227" s="37"/>
      <c r="AF3227" s="37"/>
      <c r="AG3227" s="37"/>
      <c r="AH3227" s="37"/>
      <c r="AI3227" s="37"/>
      <c r="AJ3227" s="37"/>
      <c r="AK3227" s="37"/>
      <c r="AL3227" s="37"/>
      <c r="AM3227" s="37"/>
      <c r="AN3227" s="37"/>
      <c r="AO3227" s="37"/>
      <c r="AP3227" s="37"/>
      <c r="AQ3227" s="37"/>
      <c r="AR3227" s="37"/>
      <c r="AS3227" s="37"/>
      <c r="AT3227" s="37"/>
      <c r="AU3227" s="37"/>
      <c r="AV3227" s="37"/>
      <c r="AW3227" s="37"/>
      <c r="AX3227" s="37"/>
      <c r="AY3227" s="37"/>
      <c r="AZ3227" s="37"/>
      <c r="BA3227" s="37"/>
      <c r="BB3227" s="37"/>
      <c r="BC3227" s="37"/>
      <c r="BD3227" s="37"/>
      <c r="BE3227" s="37"/>
      <c r="BF3227" s="37"/>
      <c r="BG3227" s="37"/>
      <c r="BH3227" s="37"/>
      <c r="BI3227" s="37"/>
      <c r="BJ3227" s="37"/>
      <c r="BK3227" s="37"/>
      <c r="BL3227" s="37"/>
      <c r="BM3227" s="37"/>
    </row>
    <row r="3228" spans="1:65" s="40" customFormat="1" ht="23.25" x14ac:dyDescent="0.35">
      <c r="A3228" s="37"/>
      <c r="B3228" s="37"/>
      <c r="C3228" s="41"/>
      <c r="D3228" s="38"/>
      <c r="E3228" s="57"/>
      <c r="F3228" s="42"/>
      <c r="G3228" s="43"/>
      <c r="H3228" s="37"/>
      <c r="I3228" s="37"/>
      <c r="J3228" s="38"/>
      <c r="K3228" s="37"/>
      <c r="L3228" s="38"/>
      <c r="M3228" s="39"/>
      <c r="P3228" s="37"/>
      <c r="Q3228" s="37"/>
      <c r="R3228" s="37"/>
      <c r="S3228" s="37"/>
      <c r="T3228" s="37"/>
      <c r="U3228" s="37"/>
      <c r="V3228" s="37"/>
      <c r="W3228" s="37"/>
      <c r="X3228" s="37"/>
      <c r="Y3228" s="37"/>
      <c r="Z3228" s="37"/>
      <c r="AA3228" s="37"/>
      <c r="AB3228" s="37"/>
      <c r="AC3228" s="37"/>
      <c r="AD3228" s="37"/>
      <c r="AE3228" s="37"/>
      <c r="AF3228" s="37"/>
      <c r="AG3228" s="37"/>
      <c r="AH3228" s="37"/>
      <c r="AI3228" s="37"/>
      <c r="AJ3228" s="37"/>
      <c r="AK3228" s="37"/>
      <c r="AL3228" s="37"/>
      <c r="AM3228" s="37"/>
      <c r="AN3228" s="37"/>
      <c r="AO3228" s="37"/>
      <c r="AP3228" s="37"/>
      <c r="AQ3228" s="37"/>
      <c r="AR3228" s="37"/>
      <c r="AS3228" s="37"/>
      <c r="AT3228" s="37"/>
      <c r="AU3228" s="37"/>
      <c r="AV3228" s="37"/>
      <c r="AW3228" s="37"/>
      <c r="AX3228" s="37"/>
      <c r="AY3228" s="37"/>
      <c r="AZ3228" s="37"/>
      <c r="BA3228" s="37"/>
      <c r="BB3228" s="37"/>
      <c r="BC3228" s="37"/>
      <c r="BD3228" s="37"/>
      <c r="BE3228" s="37"/>
      <c r="BF3228" s="37"/>
      <c r="BG3228" s="37"/>
      <c r="BH3228" s="37"/>
      <c r="BI3228" s="37"/>
      <c r="BJ3228" s="37"/>
      <c r="BK3228" s="37"/>
      <c r="BL3228" s="37"/>
      <c r="BM3228" s="37"/>
    </row>
    <row r="3229" spans="1:65" s="40" customFormat="1" ht="23.25" x14ac:dyDescent="0.35">
      <c r="A3229" s="37"/>
      <c r="B3229" s="37"/>
      <c r="C3229" s="41"/>
      <c r="D3229" s="38"/>
      <c r="E3229" s="57"/>
      <c r="F3229" s="42"/>
      <c r="G3229" s="43"/>
      <c r="H3229" s="37"/>
      <c r="I3229" s="37"/>
      <c r="J3229" s="38"/>
      <c r="K3229" s="37"/>
      <c r="L3229" s="38"/>
      <c r="M3229" s="39"/>
      <c r="P3229" s="37"/>
      <c r="Q3229" s="37"/>
      <c r="R3229" s="37"/>
      <c r="S3229" s="37"/>
      <c r="T3229" s="37"/>
      <c r="U3229" s="37"/>
      <c r="V3229" s="37"/>
      <c r="W3229" s="37"/>
      <c r="X3229" s="37"/>
      <c r="Y3229" s="37"/>
      <c r="Z3229" s="37"/>
      <c r="AA3229" s="37"/>
      <c r="AB3229" s="37"/>
      <c r="AC3229" s="37"/>
      <c r="AD3229" s="37"/>
      <c r="AE3229" s="37"/>
      <c r="AF3229" s="37"/>
      <c r="AG3229" s="37"/>
      <c r="AH3229" s="37"/>
      <c r="AI3229" s="37"/>
      <c r="AJ3229" s="37"/>
      <c r="AK3229" s="37"/>
      <c r="AL3229" s="37"/>
      <c r="AM3229" s="37"/>
      <c r="AN3229" s="37"/>
      <c r="AO3229" s="37"/>
      <c r="AP3229" s="37"/>
      <c r="AQ3229" s="37"/>
      <c r="AR3229" s="37"/>
      <c r="AS3229" s="37"/>
      <c r="AT3229" s="37"/>
      <c r="AU3229" s="37"/>
      <c r="AV3229" s="37"/>
      <c r="AW3229" s="37"/>
      <c r="AX3229" s="37"/>
      <c r="AY3229" s="37"/>
      <c r="AZ3229" s="37"/>
      <c r="BA3229" s="37"/>
      <c r="BB3229" s="37"/>
      <c r="BC3229" s="37"/>
      <c r="BD3229" s="37"/>
      <c r="BE3229" s="37"/>
      <c r="BF3229" s="37"/>
      <c r="BG3229" s="37"/>
      <c r="BH3229" s="37"/>
      <c r="BI3229" s="37"/>
      <c r="BJ3229" s="37"/>
      <c r="BK3229" s="37"/>
      <c r="BL3229" s="37"/>
      <c r="BM3229" s="37"/>
    </row>
    <row r="3230" spans="1:65" s="40" customFormat="1" ht="23.25" x14ac:dyDescent="0.35">
      <c r="A3230" s="37"/>
      <c r="B3230" s="37"/>
      <c r="C3230" s="41"/>
      <c r="D3230" s="38"/>
      <c r="E3230" s="57"/>
      <c r="F3230" s="42"/>
      <c r="G3230" s="43"/>
      <c r="H3230" s="37"/>
      <c r="I3230" s="37"/>
      <c r="J3230" s="38"/>
      <c r="K3230" s="37"/>
      <c r="L3230" s="38"/>
      <c r="M3230" s="39"/>
      <c r="P3230" s="37"/>
      <c r="Q3230" s="37"/>
      <c r="R3230" s="37"/>
      <c r="S3230" s="37"/>
      <c r="T3230" s="37"/>
      <c r="U3230" s="37"/>
      <c r="V3230" s="37"/>
      <c r="W3230" s="37"/>
      <c r="X3230" s="37"/>
      <c r="Y3230" s="37"/>
      <c r="Z3230" s="37"/>
      <c r="AA3230" s="37"/>
      <c r="AB3230" s="37"/>
      <c r="AC3230" s="37"/>
      <c r="AD3230" s="37"/>
      <c r="AE3230" s="37"/>
      <c r="AF3230" s="37"/>
      <c r="AG3230" s="37"/>
      <c r="AH3230" s="37"/>
      <c r="AI3230" s="37"/>
      <c r="AJ3230" s="37"/>
      <c r="AK3230" s="37"/>
      <c r="AL3230" s="37"/>
      <c r="AM3230" s="37"/>
      <c r="AN3230" s="37"/>
      <c r="AO3230" s="37"/>
      <c r="AP3230" s="37"/>
      <c r="AQ3230" s="37"/>
      <c r="AR3230" s="37"/>
      <c r="AS3230" s="37"/>
      <c r="AT3230" s="37"/>
      <c r="AU3230" s="37"/>
      <c r="AV3230" s="37"/>
      <c r="AW3230" s="37"/>
      <c r="AX3230" s="37"/>
      <c r="AY3230" s="37"/>
      <c r="AZ3230" s="37"/>
      <c r="BA3230" s="37"/>
      <c r="BB3230" s="37"/>
      <c r="BC3230" s="37"/>
      <c r="BD3230" s="37"/>
      <c r="BE3230" s="37"/>
      <c r="BF3230" s="37"/>
      <c r="BG3230" s="37"/>
      <c r="BH3230" s="37"/>
      <c r="BI3230" s="37"/>
      <c r="BJ3230" s="37"/>
      <c r="BK3230" s="37"/>
      <c r="BL3230" s="37"/>
      <c r="BM3230" s="37"/>
    </row>
    <row r="3231" spans="1:65" s="40" customFormat="1" ht="23.25" x14ac:dyDescent="0.35">
      <c r="A3231" s="37"/>
      <c r="B3231" s="37"/>
      <c r="C3231" s="41"/>
      <c r="D3231" s="38"/>
      <c r="E3231" s="57"/>
      <c r="F3231" s="42"/>
      <c r="G3231" s="43"/>
      <c r="H3231" s="37"/>
      <c r="I3231" s="37"/>
      <c r="J3231" s="38"/>
      <c r="K3231" s="37"/>
      <c r="L3231" s="38"/>
      <c r="M3231" s="39"/>
      <c r="P3231" s="37"/>
      <c r="Q3231" s="37"/>
      <c r="R3231" s="37"/>
      <c r="S3231" s="37"/>
      <c r="T3231" s="37"/>
      <c r="U3231" s="37"/>
      <c r="V3231" s="37"/>
      <c r="W3231" s="37"/>
      <c r="X3231" s="37"/>
      <c r="Y3231" s="37"/>
      <c r="Z3231" s="37"/>
      <c r="AA3231" s="37"/>
      <c r="AB3231" s="37"/>
      <c r="AC3231" s="37"/>
      <c r="AD3231" s="37"/>
      <c r="AE3231" s="37"/>
      <c r="AF3231" s="37"/>
      <c r="AG3231" s="37"/>
      <c r="AH3231" s="37"/>
      <c r="AI3231" s="37"/>
      <c r="AJ3231" s="37"/>
      <c r="AK3231" s="37"/>
      <c r="AL3231" s="37"/>
      <c r="AM3231" s="37"/>
      <c r="AN3231" s="37"/>
      <c r="AO3231" s="37"/>
      <c r="AP3231" s="37"/>
      <c r="AQ3231" s="37"/>
      <c r="AR3231" s="37"/>
      <c r="AS3231" s="37"/>
      <c r="AT3231" s="37"/>
      <c r="AU3231" s="37"/>
      <c r="AV3231" s="37"/>
      <c r="AW3231" s="37"/>
      <c r="AX3231" s="37"/>
      <c r="AY3231" s="37"/>
      <c r="AZ3231" s="37"/>
      <c r="BA3231" s="37"/>
      <c r="BB3231" s="37"/>
      <c r="BC3231" s="37"/>
      <c r="BD3231" s="37"/>
      <c r="BE3231" s="37"/>
      <c r="BF3231" s="37"/>
      <c r="BG3231" s="37"/>
      <c r="BH3231" s="37"/>
      <c r="BI3231" s="37"/>
      <c r="BJ3231" s="37"/>
      <c r="BK3231" s="37"/>
      <c r="BL3231" s="37"/>
      <c r="BM3231" s="37"/>
    </row>
    <row r="3232" spans="1:65" s="40" customFormat="1" ht="23.25" x14ac:dyDescent="0.35">
      <c r="A3232" s="37"/>
      <c r="B3232" s="37"/>
      <c r="C3232" s="41"/>
      <c r="D3232" s="38"/>
      <c r="E3232" s="57"/>
      <c r="F3232" s="42"/>
      <c r="G3232" s="43"/>
      <c r="H3232" s="37"/>
      <c r="I3232" s="37"/>
      <c r="J3232" s="38"/>
      <c r="K3232" s="37"/>
      <c r="L3232" s="38"/>
      <c r="M3232" s="39"/>
      <c r="P3232" s="37"/>
      <c r="Q3232" s="37"/>
      <c r="R3232" s="37"/>
      <c r="S3232" s="37"/>
      <c r="T3232" s="37"/>
      <c r="U3232" s="37"/>
      <c r="V3232" s="37"/>
      <c r="W3232" s="37"/>
      <c r="X3232" s="37"/>
      <c r="Y3232" s="37"/>
      <c r="Z3232" s="37"/>
      <c r="AA3232" s="37"/>
      <c r="AB3232" s="37"/>
      <c r="AC3232" s="37"/>
      <c r="AD3232" s="37"/>
      <c r="AE3232" s="37"/>
      <c r="AF3232" s="37"/>
      <c r="AG3232" s="37"/>
      <c r="AH3232" s="37"/>
      <c r="AI3232" s="37"/>
      <c r="AJ3232" s="37"/>
      <c r="AK3232" s="37"/>
      <c r="AL3232" s="37"/>
      <c r="AM3232" s="37"/>
      <c r="AN3232" s="37"/>
      <c r="AO3232" s="37"/>
      <c r="AP3232" s="37"/>
      <c r="AQ3232" s="37"/>
      <c r="AR3232" s="37"/>
      <c r="AS3232" s="37"/>
      <c r="AT3232" s="37"/>
      <c r="AU3232" s="37"/>
      <c r="AV3232" s="37"/>
      <c r="AW3232" s="37"/>
      <c r="AX3232" s="37"/>
      <c r="AY3232" s="37"/>
      <c r="AZ3232" s="37"/>
      <c r="BA3232" s="37"/>
      <c r="BB3232" s="37"/>
      <c r="BC3232" s="37"/>
      <c r="BD3232" s="37"/>
      <c r="BE3232" s="37"/>
      <c r="BF3232" s="37"/>
      <c r="BG3232" s="37"/>
      <c r="BH3232" s="37"/>
      <c r="BI3232" s="37"/>
      <c r="BJ3232" s="37"/>
      <c r="BK3232" s="37"/>
      <c r="BL3232" s="37"/>
      <c r="BM3232" s="37"/>
    </row>
    <row r="3233" spans="1:65" s="40" customFormat="1" ht="23.25" x14ac:dyDescent="0.35">
      <c r="A3233" s="37"/>
      <c r="B3233" s="37"/>
      <c r="C3233" s="41"/>
      <c r="D3233" s="38"/>
      <c r="E3233" s="57"/>
      <c r="F3233" s="42"/>
      <c r="G3233" s="43"/>
      <c r="H3233" s="37"/>
      <c r="I3233" s="37"/>
      <c r="J3233" s="38"/>
      <c r="K3233" s="37"/>
      <c r="L3233" s="38"/>
      <c r="M3233" s="39"/>
      <c r="P3233" s="37"/>
      <c r="Q3233" s="37"/>
      <c r="R3233" s="37"/>
      <c r="S3233" s="37"/>
      <c r="T3233" s="37"/>
      <c r="U3233" s="37"/>
      <c r="V3233" s="37"/>
      <c r="W3233" s="37"/>
      <c r="X3233" s="37"/>
      <c r="Y3233" s="37"/>
      <c r="Z3233" s="37"/>
      <c r="AA3233" s="37"/>
      <c r="AB3233" s="37"/>
      <c r="AC3233" s="37"/>
      <c r="AD3233" s="37"/>
      <c r="AE3233" s="37"/>
      <c r="AF3233" s="37"/>
      <c r="AG3233" s="37"/>
      <c r="AH3233" s="37"/>
      <c r="AI3233" s="37"/>
      <c r="AJ3233" s="37"/>
      <c r="AK3233" s="37"/>
      <c r="AL3233" s="37"/>
      <c r="AM3233" s="37"/>
      <c r="AN3233" s="37"/>
      <c r="AO3233" s="37"/>
      <c r="AP3233" s="37"/>
      <c r="AQ3233" s="37"/>
      <c r="AR3233" s="37"/>
      <c r="AS3233" s="37"/>
      <c r="AT3233" s="37"/>
      <c r="AU3233" s="37"/>
      <c r="AV3233" s="37"/>
      <c r="AW3233" s="37"/>
      <c r="AX3233" s="37"/>
      <c r="AY3233" s="37"/>
      <c r="AZ3233" s="37"/>
      <c r="BA3233" s="37"/>
      <c r="BB3233" s="37"/>
      <c r="BC3233" s="37"/>
      <c r="BD3233" s="37"/>
      <c r="BE3233" s="37"/>
      <c r="BF3233" s="37"/>
      <c r="BG3233" s="37"/>
      <c r="BH3233" s="37"/>
      <c r="BI3233" s="37"/>
      <c r="BJ3233" s="37"/>
      <c r="BK3233" s="37"/>
      <c r="BL3233" s="37"/>
      <c r="BM3233" s="37"/>
    </row>
    <row r="3234" spans="1:65" s="40" customFormat="1" ht="23.25" x14ac:dyDescent="0.35">
      <c r="A3234" s="37"/>
      <c r="B3234" s="37"/>
      <c r="C3234" s="41"/>
      <c r="D3234" s="38"/>
      <c r="E3234" s="57"/>
      <c r="F3234" s="42"/>
      <c r="G3234" s="43"/>
      <c r="H3234" s="37"/>
      <c r="I3234" s="37"/>
      <c r="J3234" s="38"/>
      <c r="K3234" s="37"/>
      <c r="L3234" s="38"/>
      <c r="M3234" s="39"/>
      <c r="P3234" s="37"/>
      <c r="Q3234" s="37"/>
      <c r="R3234" s="37"/>
      <c r="S3234" s="37"/>
      <c r="T3234" s="37"/>
      <c r="U3234" s="37"/>
      <c r="V3234" s="37"/>
      <c r="W3234" s="37"/>
      <c r="X3234" s="37"/>
      <c r="Y3234" s="37"/>
      <c r="Z3234" s="37"/>
      <c r="AA3234" s="37"/>
      <c r="AB3234" s="37"/>
      <c r="AC3234" s="37"/>
      <c r="AD3234" s="37"/>
      <c r="AE3234" s="37"/>
      <c r="AF3234" s="37"/>
      <c r="AG3234" s="37"/>
      <c r="AH3234" s="37"/>
      <c r="AI3234" s="37"/>
      <c r="AJ3234" s="37"/>
      <c r="AK3234" s="37"/>
      <c r="AL3234" s="37"/>
      <c r="AM3234" s="37"/>
      <c r="AN3234" s="37"/>
      <c r="AO3234" s="37"/>
      <c r="AP3234" s="37"/>
      <c r="AQ3234" s="37"/>
      <c r="AR3234" s="37"/>
      <c r="AS3234" s="37"/>
      <c r="AT3234" s="37"/>
      <c r="AU3234" s="37"/>
      <c r="AV3234" s="37"/>
      <c r="AW3234" s="37"/>
      <c r="AX3234" s="37"/>
      <c r="AY3234" s="37"/>
      <c r="AZ3234" s="37"/>
      <c r="BA3234" s="37"/>
      <c r="BB3234" s="37"/>
      <c r="BC3234" s="37"/>
      <c r="BD3234" s="37"/>
      <c r="BE3234" s="37"/>
      <c r="BF3234" s="37"/>
      <c r="BG3234" s="37"/>
      <c r="BH3234" s="37"/>
      <c r="BI3234" s="37"/>
      <c r="BJ3234" s="37"/>
      <c r="BK3234" s="37"/>
      <c r="BL3234" s="37"/>
      <c r="BM3234" s="37"/>
    </row>
    <row r="3235" spans="1:65" s="40" customFormat="1" ht="23.25" x14ac:dyDescent="0.35">
      <c r="A3235" s="37"/>
      <c r="B3235" s="37"/>
      <c r="C3235" s="41"/>
      <c r="D3235" s="38"/>
      <c r="E3235" s="57"/>
      <c r="F3235" s="42"/>
      <c r="G3235" s="43"/>
      <c r="H3235" s="37"/>
      <c r="I3235" s="37"/>
      <c r="J3235" s="38"/>
      <c r="K3235" s="37"/>
      <c r="L3235" s="38"/>
      <c r="M3235" s="39"/>
      <c r="P3235" s="37"/>
      <c r="Q3235" s="37"/>
      <c r="R3235" s="37"/>
      <c r="S3235" s="37"/>
      <c r="T3235" s="37"/>
      <c r="U3235" s="37"/>
      <c r="V3235" s="37"/>
      <c r="W3235" s="37"/>
      <c r="X3235" s="37"/>
      <c r="Y3235" s="37"/>
      <c r="Z3235" s="37"/>
      <c r="AA3235" s="37"/>
      <c r="AB3235" s="37"/>
      <c r="AC3235" s="37"/>
      <c r="AD3235" s="37"/>
      <c r="AE3235" s="37"/>
      <c r="AF3235" s="37"/>
      <c r="AG3235" s="37"/>
      <c r="AH3235" s="37"/>
      <c r="AI3235" s="37"/>
      <c r="AJ3235" s="37"/>
      <c r="AK3235" s="37"/>
      <c r="AL3235" s="37"/>
      <c r="AM3235" s="37"/>
      <c r="AN3235" s="37"/>
      <c r="AO3235" s="37"/>
      <c r="AP3235" s="37"/>
      <c r="AQ3235" s="37"/>
      <c r="AR3235" s="37"/>
      <c r="AS3235" s="37"/>
      <c r="AT3235" s="37"/>
      <c r="AU3235" s="37"/>
      <c r="AV3235" s="37"/>
      <c r="AW3235" s="37"/>
      <c r="AX3235" s="37"/>
      <c r="AY3235" s="37"/>
      <c r="AZ3235" s="37"/>
      <c r="BA3235" s="37"/>
      <c r="BB3235" s="37"/>
      <c r="BC3235" s="37"/>
      <c r="BD3235" s="37"/>
      <c r="BE3235" s="37"/>
      <c r="BF3235" s="37"/>
      <c r="BG3235" s="37"/>
      <c r="BH3235" s="37"/>
      <c r="BI3235" s="37"/>
      <c r="BJ3235" s="37"/>
      <c r="BK3235" s="37"/>
      <c r="BL3235" s="37"/>
      <c r="BM3235" s="37"/>
    </row>
    <row r="3236" spans="1:65" s="40" customFormat="1" ht="23.25" x14ac:dyDescent="0.35">
      <c r="A3236" s="37"/>
      <c r="B3236" s="37"/>
      <c r="C3236" s="41"/>
      <c r="D3236" s="38"/>
      <c r="E3236" s="57"/>
      <c r="F3236" s="42"/>
      <c r="G3236" s="43"/>
      <c r="H3236" s="37"/>
      <c r="I3236" s="37"/>
      <c r="J3236" s="38"/>
      <c r="K3236" s="37"/>
      <c r="L3236" s="38"/>
      <c r="M3236" s="39"/>
      <c r="P3236" s="37"/>
      <c r="Q3236" s="37"/>
      <c r="R3236" s="37"/>
      <c r="S3236" s="37"/>
      <c r="T3236" s="37"/>
      <c r="U3236" s="37"/>
      <c r="V3236" s="37"/>
      <c r="W3236" s="37"/>
      <c r="X3236" s="37"/>
      <c r="Y3236" s="37"/>
      <c r="Z3236" s="37"/>
      <c r="AA3236" s="37"/>
      <c r="AB3236" s="37"/>
      <c r="AC3236" s="37"/>
      <c r="AD3236" s="37"/>
      <c r="AE3236" s="37"/>
      <c r="AF3236" s="37"/>
      <c r="AG3236" s="37"/>
      <c r="AH3236" s="37"/>
      <c r="AI3236" s="37"/>
      <c r="AJ3236" s="37"/>
      <c r="AK3236" s="37"/>
      <c r="AL3236" s="37"/>
      <c r="AM3236" s="37"/>
      <c r="AN3236" s="37"/>
      <c r="AO3236" s="37"/>
      <c r="AP3236" s="37"/>
      <c r="AQ3236" s="37"/>
      <c r="AR3236" s="37"/>
      <c r="AS3236" s="37"/>
      <c r="AT3236" s="37"/>
      <c r="AU3236" s="37"/>
      <c r="AV3236" s="37"/>
      <c r="AW3236" s="37"/>
      <c r="AX3236" s="37"/>
      <c r="AY3236" s="37"/>
      <c r="AZ3236" s="37"/>
      <c r="BA3236" s="37"/>
      <c r="BB3236" s="37"/>
      <c r="BC3236" s="37"/>
      <c r="BD3236" s="37"/>
      <c r="BE3236" s="37"/>
      <c r="BF3236" s="37"/>
      <c r="BG3236" s="37"/>
      <c r="BH3236" s="37"/>
      <c r="BI3236" s="37"/>
      <c r="BJ3236" s="37"/>
      <c r="BK3236" s="37"/>
      <c r="BL3236" s="37"/>
      <c r="BM3236" s="37"/>
    </row>
    <row r="3237" spans="1:65" s="40" customFormat="1" ht="23.25" x14ac:dyDescent="0.35">
      <c r="A3237" s="37"/>
      <c r="B3237" s="37"/>
      <c r="C3237" s="41"/>
      <c r="D3237" s="38"/>
      <c r="E3237" s="57"/>
      <c r="F3237" s="42"/>
      <c r="G3237" s="43"/>
      <c r="H3237" s="37"/>
      <c r="I3237" s="37"/>
      <c r="J3237" s="38"/>
      <c r="K3237" s="37"/>
      <c r="L3237" s="38"/>
      <c r="M3237" s="39"/>
      <c r="P3237" s="37"/>
      <c r="Q3237" s="37"/>
      <c r="R3237" s="37"/>
      <c r="S3237" s="37"/>
      <c r="T3237" s="37"/>
      <c r="U3237" s="37"/>
      <c r="V3237" s="37"/>
      <c r="W3237" s="37"/>
      <c r="X3237" s="37"/>
      <c r="Y3237" s="37"/>
      <c r="Z3237" s="37"/>
      <c r="AA3237" s="37"/>
      <c r="AB3237" s="37"/>
      <c r="AC3237" s="37"/>
      <c r="AD3237" s="37"/>
      <c r="AE3237" s="37"/>
      <c r="AF3237" s="37"/>
      <c r="AG3237" s="37"/>
      <c r="AH3237" s="37"/>
      <c r="AI3237" s="37"/>
      <c r="AJ3237" s="37"/>
      <c r="AK3237" s="37"/>
      <c r="AL3237" s="37"/>
      <c r="AM3237" s="37"/>
      <c r="AN3237" s="37"/>
      <c r="AO3237" s="37"/>
      <c r="AP3237" s="37"/>
      <c r="AQ3237" s="37"/>
      <c r="AR3237" s="37"/>
      <c r="AS3237" s="37"/>
      <c r="AT3237" s="37"/>
      <c r="AU3237" s="37"/>
      <c r="AV3237" s="37"/>
      <c r="AW3237" s="37"/>
      <c r="AX3237" s="37"/>
      <c r="AY3237" s="37"/>
      <c r="AZ3237" s="37"/>
      <c r="BA3237" s="37"/>
      <c r="BB3237" s="37"/>
      <c r="BC3237" s="37"/>
      <c r="BD3237" s="37"/>
      <c r="BE3237" s="37"/>
      <c r="BF3237" s="37"/>
      <c r="BG3237" s="37"/>
      <c r="BH3237" s="37"/>
      <c r="BI3237" s="37"/>
      <c r="BJ3237" s="37"/>
      <c r="BK3237" s="37"/>
      <c r="BL3237" s="37"/>
      <c r="BM3237" s="37"/>
    </row>
    <row r="3238" spans="1:65" s="40" customFormat="1" ht="23.25" x14ac:dyDescent="0.35">
      <c r="A3238" s="37"/>
      <c r="B3238" s="37"/>
      <c r="C3238" s="41"/>
      <c r="D3238" s="38"/>
      <c r="E3238" s="57"/>
      <c r="F3238" s="42"/>
      <c r="G3238" s="43"/>
      <c r="H3238" s="37"/>
      <c r="I3238" s="37"/>
      <c r="J3238" s="38"/>
      <c r="K3238" s="37"/>
      <c r="L3238" s="38"/>
      <c r="M3238" s="39"/>
      <c r="P3238" s="37"/>
      <c r="Q3238" s="37"/>
      <c r="R3238" s="37"/>
      <c r="S3238" s="37"/>
      <c r="T3238" s="37"/>
      <c r="U3238" s="37"/>
      <c r="V3238" s="37"/>
      <c r="W3238" s="37"/>
      <c r="X3238" s="37"/>
      <c r="Y3238" s="37"/>
      <c r="Z3238" s="37"/>
      <c r="AA3238" s="37"/>
      <c r="AB3238" s="37"/>
      <c r="AC3238" s="37"/>
      <c r="AD3238" s="37"/>
      <c r="AE3238" s="37"/>
      <c r="AF3238" s="37"/>
      <c r="AG3238" s="37"/>
      <c r="AH3238" s="37"/>
      <c r="AI3238" s="37"/>
      <c r="AJ3238" s="37"/>
      <c r="AK3238" s="37"/>
      <c r="AL3238" s="37"/>
      <c r="AM3238" s="37"/>
      <c r="AN3238" s="37"/>
      <c r="AO3238" s="37"/>
      <c r="AP3238" s="37"/>
      <c r="AQ3238" s="37"/>
      <c r="AR3238" s="37"/>
      <c r="AS3238" s="37"/>
      <c r="AT3238" s="37"/>
      <c r="AU3238" s="37"/>
      <c r="AV3238" s="37"/>
      <c r="AW3238" s="37"/>
      <c r="AX3238" s="37"/>
      <c r="AY3238" s="37"/>
      <c r="AZ3238" s="37"/>
      <c r="BA3238" s="37"/>
      <c r="BB3238" s="37"/>
      <c r="BC3238" s="37"/>
      <c r="BD3238" s="37"/>
      <c r="BE3238" s="37"/>
      <c r="BF3238" s="37"/>
      <c r="BG3238" s="37"/>
      <c r="BH3238" s="37"/>
      <c r="BI3238" s="37"/>
      <c r="BJ3238" s="37"/>
      <c r="BK3238" s="37"/>
      <c r="BL3238" s="37"/>
      <c r="BM3238" s="37"/>
    </row>
    <row r="3239" spans="1:65" s="40" customFormat="1" ht="23.25" x14ac:dyDescent="0.35">
      <c r="A3239" s="37"/>
      <c r="B3239" s="37"/>
      <c r="C3239" s="41"/>
      <c r="D3239" s="38"/>
      <c r="E3239" s="57"/>
      <c r="F3239" s="42"/>
      <c r="G3239" s="43"/>
      <c r="H3239" s="37"/>
      <c r="I3239" s="37"/>
      <c r="J3239" s="38"/>
      <c r="K3239" s="37"/>
      <c r="L3239" s="38"/>
      <c r="M3239" s="39"/>
      <c r="P3239" s="37"/>
      <c r="Q3239" s="37"/>
      <c r="R3239" s="37"/>
      <c r="S3239" s="37"/>
      <c r="T3239" s="37"/>
      <c r="U3239" s="37"/>
      <c r="V3239" s="37"/>
      <c r="W3239" s="37"/>
      <c r="X3239" s="37"/>
      <c r="Y3239" s="37"/>
      <c r="Z3239" s="37"/>
      <c r="AA3239" s="37"/>
      <c r="AB3239" s="37"/>
      <c r="AC3239" s="37"/>
      <c r="AD3239" s="37"/>
      <c r="AE3239" s="37"/>
      <c r="AF3239" s="37"/>
      <c r="AG3239" s="37"/>
      <c r="AH3239" s="37"/>
      <c r="AI3239" s="37"/>
      <c r="AJ3239" s="37"/>
      <c r="AK3239" s="37"/>
      <c r="AL3239" s="37"/>
      <c r="AM3239" s="37"/>
      <c r="AN3239" s="37"/>
      <c r="AO3239" s="37"/>
      <c r="AP3239" s="37"/>
      <c r="AQ3239" s="37"/>
      <c r="AR3239" s="37"/>
      <c r="AS3239" s="37"/>
      <c r="AT3239" s="37"/>
      <c r="AU3239" s="37"/>
      <c r="AV3239" s="37"/>
      <c r="AW3239" s="37"/>
      <c r="AX3239" s="37"/>
      <c r="AY3239" s="37"/>
      <c r="AZ3239" s="37"/>
      <c r="BA3239" s="37"/>
      <c r="BB3239" s="37"/>
      <c r="BC3239" s="37"/>
      <c r="BD3239" s="37"/>
      <c r="BE3239" s="37"/>
      <c r="BF3239" s="37"/>
      <c r="BG3239" s="37"/>
      <c r="BH3239" s="37"/>
      <c r="BI3239" s="37"/>
      <c r="BJ3239" s="37"/>
      <c r="BK3239" s="37"/>
      <c r="BL3239" s="37"/>
      <c r="BM3239" s="37"/>
    </row>
    <row r="3240" spans="1:65" s="40" customFormat="1" ht="23.25" x14ac:dyDescent="0.35">
      <c r="A3240" s="37"/>
      <c r="B3240" s="37"/>
      <c r="C3240" s="41"/>
      <c r="D3240" s="38"/>
      <c r="E3240" s="57"/>
      <c r="F3240" s="42"/>
      <c r="G3240" s="43"/>
      <c r="H3240" s="37"/>
      <c r="I3240" s="37"/>
      <c r="J3240" s="38"/>
      <c r="K3240" s="37"/>
      <c r="L3240" s="38"/>
      <c r="M3240" s="39"/>
      <c r="P3240" s="37"/>
      <c r="Q3240" s="37"/>
      <c r="R3240" s="37"/>
      <c r="S3240" s="37"/>
      <c r="T3240" s="37"/>
      <c r="U3240" s="37"/>
      <c r="V3240" s="37"/>
      <c r="W3240" s="37"/>
      <c r="X3240" s="37"/>
      <c r="Y3240" s="37"/>
      <c r="Z3240" s="37"/>
      <c r="AA3240" s="37"/>
      <c r="AB3240" s="37"/>
      <c r="AC3240" s="37"/>
      <c r="AD3240" s="37"/>
      <c r="AE3240" s="37"/>
      <c r="AF3240" s="37"/>
      <c r="AG3240" s="37"/>
      <c r="AH3240" s="37"/>
      <c r="AI3240" s="37"/>
      <c r="AJ3240" s="37"/>
      <c r="AK3240" s="37"/>
      <c r="AL3240" s="37"/>
      <c r="AM3240" s="37"/>
      <c r="AN3240" s="37"/>
      <c r="AO3240" s="37"/>
      <c r="AP3240" s="37"/>
      <c r="AQ3240" s="37"/>
      <c r="AR3240" s="37"/>
      <c r="AS3240" s="37"/>
      <c r="AT3240" s="37"/>
      <c r="AU3240" s="37"/>
      <c r="AV3240" s="37"/>
      <c r="AW3240" s="37"/>
      <c r="AX3240" s="37"/>
      <c r="AY3240" s="37"/>
      <c r="AZ3240" s="37"/>
      <c r="BA3240" s="37"/>
      <c r="BB3240" s="37"/>
      <c r="BC3240" s="37"/>
      <c r="BD3240" s="37"/>
      <c r="BE3240" s="37"/>
      <c r="BF3240" s="37"/>
      <c r="BG3240" s="37"/>
      <c r="BH3240" s="37"/>
      <c r="BI3240" s="37"/>
      <c r="BJ3240" s="37"/>
      <c r="BK3240" s="37"/>
      <c r="BL3240" s="37"/>
      <c r="BM3240" s="37"/>
    </row>
    <row r="3241" spans="1:65" s="40" customFormat="1" ht="23.25" x14ac:dyDescent="0.35">
      <c r="A3241" s="37"/>
      <c r="B3241" s="37"/>
      <c r="C3241" s="41"/>
      <c r="D3241" s="38"/>
      <c r="E3241" s="57"/>
      <c r="F3241" s="42"/>
      <c r="G3241" s="43"/>
      <c r="H3241" s="37"/>
      <c r="I3241" s="37"/>
      <c r="J3241" s="38"/>
      <c r="K3241" s="37"/>
      <c r="L3241" s="38"/>
      <c r="M3241" s="39"/>
      <c r="P3241" s="37"/>
      <c r="Q3241" s="37"/>
      <c r="R3241" s="37"/>
      <c r="S3241" s="37"/>
      <c r="T3241" s="37"/>
      <c r="U3241" s="37"/>
      <c r="V3241" s="37"/>
      <c r="W3241" s="37"/>
      <c r="X3241" s="37"/>
      <c r="Y3241" s="37"/>
      <c r="Z3241" s="37"/>
      <c r="AA3241" s="37"/>
      <c r="AB3241" s="37"/>
      <c r="AC3241" s="37"/>
      <c r="AD3241" s="37"/>
      <c r="AE3241" s="37"/>
      <c r="AF3241" s="37"/>
      <c r="AG3241" s="37"/>
      <c r="AH3241" s="37"/>
      <c r="AI3241" s="37"/>
      <c r="AJ3241" s="37"/>
      <c r="AK3241" s="37"/>
      <c r="AL3241" s="37"/>
      <c r="AM3241" s="37"/>
      <c r="AN3241" s="37"/>
      <c r="AO3241" s="37"/>
      <c r="AP3241" s="37"/>
      <c r="AQ3241" s="37"/>
      <c r="AR3241" s="37"/>
      <c r="AS3241" s="37"/>
      <c r="AT3241" s="37"/>
      <c r="AU3241" s="37"/>
      <c r="AV3241" s="37"/>
      <c r="AW3241" s="37"/>
      <c r="AX3241" s="37"/>
      <c r="AY3241" s="37"/>
      <c r="AZ3241" s="37"/>
      <c r="BA3241" s="37"/>
      <c r="BB3241" s="37"/>
      <c r="BC3241" s="37"/>
      <c r="BD3241" s="37"/>
      <c r="BE3241" s="37"/>
      <c r="BF3241" s="37"/>
      <c r="BG3241" s="37"/>
      <c r="BH3241" s="37"/>
      <c r="BI3241" s="37"/>
      <c r="BJ3241" s="37"/>
      <c r="BK3241" s="37"/>
      <c r="BL3241" s="37"/>
      <c r="BM3241" s="37"/>
    </row>
    <row r="3242" spans="1:65" s="40" customFormat="1" ht="23.25" x14ac:dyDescent="0.35">
      <c r="A3242" s="37"/>
      <c r="B3242" s="37"/>
      <c r="C3242" s="41"/>
      <c r="D3242" s="38"/>
      <c r="E3242" s="57"/>
      <c r="F3242" s="42"/>
      <c r="G3242" s="43"/>
      <c r="H3242" s="37"/>
      <c r="I3242" s="37"/>
      <c r="J3242" s="38"/>
      <c r="K3242" s="37"/>
      <c r="L3242" s="38"/>
      <c r="M3242" s="39"/>
      <c r="P3242" s="37"/>
      <c r="Q3242" s="37"/>
      <c r="R3242" s="37"/>
      <c r="S3242" s="37"/>
      <c r="T3242" s="37"/>
      <c r="U3242" s="37"/>
      <c r="V3242" s="37"/>
      <c r="W3242" s="37"/>
      <c r="X3242" s="37"/>
      <c r="Y3242" s="37"/>
      <c r="Z3242" s="37"/>
      <c r="AA3242" s="37"/>
      <c r="AB3242" s="37"/>
      <c r="AC3242" s="37"/>
      <c r="AD3242" s="37"/>
      <c r="AE3242" s="37"/>
      <c r="AF3242" s="37"/>
      <c r="AG3242" s="37"/>
      <c r="AH3242" s="37"/>
      <c r="AI3242" s="37"/>
      <c r="AJ3242" s="37"/>
      <c r="AK3242" s="37"/>
      <c r="AL3242" s="37"/>
      <c r="AM3242" s="37"/>
      <c r="AN3242" s="37"/>
      <c r="AO3242" s="37"/>
      <c r="AP3242" s="37"/>
      <c r="AQ3242" s="37"/>
      <c r="AR3242" s="37"/>
      <c r="AS3242" s="37"/>
      <c r="AT3242" s="37"/>
      <c r="AU3242" s="37"/>
      <c r="AV3242" s="37"/>
      <c r="AW3242" s="37"/>
      <c r="AX3242" s="37"/>
      <c r="AY3242" s="37"/>
      <c r="AZ3242" s="37"/>
      <c r="BA3242" s="37"/>
      <c r="BB3242" s="37"/>
      <c r="BC3242" s="37"/>
      <c r="BD3242" s="37"/>
      <c r="BE3242" s="37"/>
      <c r="BF3242" s="37"/>
      <c r="BG3242" s="37"/>
      <c r="BH3242" s="37"/>
      <c r="BI3242" s="37"/>
      <c r="BJ3242" s="37"/>
      <c r="BK3242" s="37"/>
      <c r="BL3242" s="37"/>
      <c r="BM3242" s="37"/>
    </row>
    <row r="3243" spans="1:65" s="40" customFormat="1" ht="23.25" x14ac:dyDescent="0.35">
      <c r="A3243" s="37"/>
      <c r="B3243" s="37"/>
      <c r="C3243" s="41"/>
      <c r="D3243" s="38"/>
      <c r="E3243" s="57"/>
      <c r="F3243" s="42"/>
      <c r="G3243" s="43"/>
      <c r="H3243" s="37"/>
      <c r="I3243" s="37"/>
      <c r="J3243" s="38"/>
      <c r="K3243" s="37"/>
      <c r="L3243" s="38"/>
      <c r="M3243" s="39"/>
      <c r="P3243" s="37"/>
      <c r="Q3243" s="37"/>
      <c r="R3243" s="37"/>
      <c r="S3243" s="37"/>
      <c r="T3243" s="37"/>
      <c r="U3243" s="37"/>
      <c r="V3243" s="37"/>
      <c r="W3243" s="37"/>
      <c r="X3243" s="37"/>
      <c r="Y3243" s="37"/>
      <c r="Z3243" s="37"/>
      <c r="AA3243" s="37"/>
      <c r="AB3243" s="37"/>
      <c r="AC3243" s="37"/>
      <c r="AD3243" s="37"/>
      <c r="AE3243" s="37"/>
      <c r="AF3243" s="37"/>
      <c r="AG3243" s="37"/>
      <c r="AH3243" s="37"/>
      <c r="AI3243" s="37"/>
      <c r="AJ3243" s="37"/>
      <c r="AK3243" s="37"/>
      <c r="AL3243" s="37"/>
      <c r="AM3243" s="37"/>
      <c r="AN3243" s="37"/>
      <c r="AO3243" s="37"/>
      <c r="AP3243" s="37"/>
      <c r="AQ3243" s="37"/>
      <c r="AR3243" s="37"/>
      <c r="AS3243" s="37"/>
      <c r="AT3243" s="37"/>
      <c r="AU3243" s="37"/>
      <c r="AV3243" s="37"/>
      <c r="AW3243" s="37"/>
      <c r="AX3243" s="37"/>
      <c r="AY3243" s="37"/>
      <c r="AZ3243" s="37"/>
      <c r="BA3243" s="37"/>
      <c r="BB3243" s="37"/>
      <c r="BC3243" s="37"/>
      <c r="BD3243" s="37"/>
      <c r="BE3243" s="37"/>
      <c r="BF3243" s="37"/>
      <c r="BG3243" s="37"/>
      <c r="BH3243" s="37"/>
      <c r="BI3243" s="37"/>
      <c r="BJ3243" s="37"/>
      <c r="BK3243" s="37"/>
      <c r="BL3243" s="37"/>
      <c r="BM3243" s="37"/>
    </row>
    <row r="3244" spans="1:65" s="40" customFormat="1" ht="23.25" x14ac:dyDescent="0.35">
      <c r="A3244" s="37"/>
      <c r="B3244" s="37"/>
      <c r="C3244" s="41"/>
      <c r="D3244" s="38"/>
      <c r="E3244" s="57"/>
      <c r="F3244" s="42"/>
      <c r="G3244" s="43"/>
      <c r="H3244" s="37"/>
      <c r="I3244" s="37"/>
      <c r="J3244" s="38"/>
      <c r="K3244" s="37"/>
      <c r="L3244" s="38"/>
      <c r="M3244" s="39"/>
      <c r="P3244" s="37"/>
      <c r="Q3244" s="37"/>
      <c r="R3244" s="37"/>
      <c r="S3244" s="37"/>
      <c r="T3244" s="37"/>
      <c r="U3244" s="37"/>
      <c r="V3244" s="37"/>
      <c r="W3244" s="37"/>
      <c r="X3244" s="37"/>
      <c r="Y3244" s="37"/>
      <c r="Z3244" s="37"/>
      <c r="AA3244" s="37"/>
      <c r="AB3244" s="37"/>
      <c r="AC3244" s="37"/>
      <c r="AD3244" s="37"/>
      <c r="AE3244" s="37"/>
      <c r="AF3244" s="37"/>
      <c r="AG3244" s="37"/>
      <c r="AH3244" s="37"/>
      <c r="AI3244" s="37"/>
      <c r="AJ3244" s="37"/>
      <c r="AK3244" s="37"/>
      <c r="AL3244" s="37"/>
      <c r="AM3244" s="37"/>
      <c r="AN3244" s="37"/>
      <c r="AO3244" s="37"/>
      <c r="AP3244" s="37"/>
      <c r="AQ3244" s="37"/>
      <c r="AR3244" s="37"/>
      <c r="AS3244" s="37"/>
      <c r="AT3244" s="37"/>
      <c r="AU3244" s="37"/>
      <c r="AV3244" s="37"/>
      <c r="AW3244" s="37"/>
      <c r="AX3244" s="37"/>
      <c r="AY3244" s="37"/>
      <c r="AZ3244" s="37"/>
      <c r="BA3244" s="37"/>
      <c r="BB3244" s="37"/>
      <c r="BC3244" s="37"/>
      <c r="BD3244" s="37"/>
      <c r="BE3244" s="37"/>
      <c r="BF3244" s="37"/>
      <c r="BG3244" s="37"/>
      <c r="BH3244" s="37"/>
      <c r="BI3244" s="37"/>
      <c r="BJ3244" s="37"/>
      <c r="BK3244" s="37"/>
      <c r="BL3244" s="37"/>
      <c r="BM3244" s="37"/>
    </row>
    <row r="3245" spans="1:65" s="40" customFormat="1" ht="23.25" x14ac:dyDescent="0.35">
      <c r="A3245" s="37"/>
      <c r="B3245" s="37"/>
      <c r="C3245" s="41"/>
      <c r="D3245" s="38"/>
      <c r="E3245" s="57"/>
      <c r="F3245" s="42"/>
      <c r="G3245" s="43"/>
      <c r="H3245" s="37"/>
      <c r="I3245" s="37"/>
      <c r="J3245" s="38"/>
      <c r="K3245" s="37"/>
      <c r="L3245" s="38"/>
      <c r="M3245" s="39"/>
      <c r="P3245" s="37"/>
      <c r="Q3245" s="37"/>
      <c r="R3245" s="37"/>
      <c r="S3245" s="37"/>
      <c r="T3245" s="37"/>
      <c r="U3245" s="37"/>
      <c r="V3245" s="37"/>
      <c r="W3245" s="37"/>
      <c r="X3245" s="37"/>
      <c r="Y3245" s="37"/>
      <c r="Z3245" s="37"/>
      <c r="AA3245" s="37"/>
      <c r="AB3245" s="37"/>
      <c r="AC3245" s="37"/>
      <c r="AD3245" s="37"/>
      <c r="AE3245" s="37"/>
      <c r="AF3245" s="37"/>
      <c r="AG3245" s="37"/>
      <c r="AH3245" s="37"/>
      <c r="AI3245" s="37"/>
      <c r="AJ3245" s="37"/>
      <c r="AK3245" s="37"/>
      <c r="AL3245" s="37"/>
      <c r="AM3245" s="37"/>
      <c r="AN3245" s="37"/>
      <c r="AO3245" s="37"/>
      <c r="AP3245" s="37"/>
      <c r="AQ3245" s="37"/>
      <c r="AR3245" s="37"/>
      <c r="AS3245" s="37"/>
      <c r="AT3245" s="37"/>
      <c r="AU3245" s="37"/>
      <c r="AV3245" s="37"/>
      <c r="AW3245" s="37"/>
      <c r="AX3245" s="37"/>
      <c r="AY3245" s="37"/>
      <c r="AZ3245" s="37"/>
      <c r="BA3245" s="37"/>
      <c r="BB3245" s="37"/>
      <c r="BC3245" s="37"/>
      <c r="BD3245" s="37"/>
      <c r="BE3245" s="37"/>
      <c r="BF3245" s="37"/>
      <c r="BG3245" s="37"/>
      <c r="BH3245" s="37"/>
      <c r="BI3245" s="37"/>
      <c r="BJ3245" s="37"/>
      <c r="BK3245" s="37"/>
      <c r="BL3245" s="37"/>
      <c r="BM3245" s="37"/>
    </row>
    <row r="3246" spans="1:65" s="40" customFormat="1" ht="23.25" x14ac:dyDescent="0.35">
      <c r="A3246" s="37"/>
      <c r="B3246" s="37"/>
      <c r="C3246" s="41"/>
      <c r="D3246" s="38"/>
      <c r="E3246" s="57"/>
      <c r="F3246" s="42"/>
      <c r="G3246" s="43"/>
      <c r="H3246" s="37"/>
      <c r="I3246" s="37"/>
      <c r="J3246" s="38"/>
      <c r="K3246" s="37"/>
      <c r="L3246" s="38"/>
      <c r="M3246" s="39"/>
      <c r="P3246" s="37"/>
      <c r="Q3246" s="37"/>
      <c r="R3246" s="37"/>
      <c r="S3246" s="37"/>
      <c r="T3246" s="37"/>
      <c r="U3246" s="37"/>
      <c r="V3246" s="37"/>
      <c r="W3246" s="37"/>
      <c r="X3246" s="37"/>
      <c r="Y3246" s="37"/>
      <c r="Z3246" s="37"/>
      <c r="AA3246" s="37"/>
      <c r="AB3246" s="37"/>
      <c r="AC3246" s="37"/>
      <c r="AD3246" s="37"/>
      <c r="AE3246" s="37"/>
      <c r="AF3246" s="37"/>
      <c r="AG3246" s="37"/>
      <c r="AH3246" s="37"/>
      <c r="AI3246" s="37"/>
      <c r="AJ3246" s="37"/>
      <c r="AK3246" s="37"/>
      <c r="AL3246" s="37"/>
      <c r="AM3246" s="37"/>
      <c r="AN3246" s="37"/>
      <c r="AO3246" s="37"/>
      <c r="AP3246" s="37"/>
      <c r="AQ3246" s="37"/>
      <c r="AR3246" s="37"/>
      <c r="AS3246" s="37"/>
      <c r="AT3246" s="37"/>
      <c r="AU3246" s="37"/>
      <c r="AV3246" s="37"/>
      <c r="AW3246" s="37"/>
      <c r="AX3246" s="37"/>
      <c r="AY3246" s="37"/>
      <c r="AZ3246" s="37"/>
      <c r="BA3246" s="37"/>
      <c r="BB3246" s="37"/>
      <c r="BC3246" s="37"/>
      <c r="BD3246" s="37"/>
      <c r="BE3246" s="37"/>
      <c r="BF3246" s="37"/>
      <c r="BG3246" s="37"/>
      <c r="BH3246" s="37"/>
      <c r="BI3246" s="37"/>
      <c r="BJ3246" s="37"/>
      <c r="BK3246" s="37"/>
      <c r="BL3246" s="37"/>
      <c r="BM3246" s="37"/>
    </row>
    <row r="3247" spans="1:65" s="40" customFormat="1" ht="23.25" x14ac:dyDescent="0.35">
      <c r="A3247" s="37"/>
      <c r="B3247" s="37"/>
      <c r="C3247" s="41"/>
      <c r="D3247" s="38"/>
      <c r="E3247" s="57"/>
      <c r="F3247" s="42"/>
      <c r="G3247" s="43"/>
      <c r="H3247" s="37"/>
      <c r="I3247" s="37"/>
      <c r="J3247" s="38"/>
      <c r="K3247" s="37"/>
      <c r="L3247" s="38"/>
      <c r="M3247" s="39"/>
      <c r="P3247" s="37"/>
      <c r="Q3247" s="37"/>
      <c r="R3247" s="37"/>
      <c r="S3247" s="37"/>
      <c r="T3247" s="37"/>
      <c r="U3247" s="37"/>
      <c r="V3247" s="37"/>
      <c r="W3247" s="37"/>
      <c r="X3247" s="37"/>
      <c r="Y3247" s="37"/>
      <c r="Z3247" s="37"/>
      <c r="AA3247" s="37"/>
      <c r="AB3247" s="37"/>
      <c r="AC3247" s="37"/>
      <c r="AD3247" s="37"/>
      <c r="AE3247" s="37"/>
      <c r="AF3247" s="37"/>
      <c r="AG3247" s="37"/>
      <c r="AH3247" s="37"/>
      <c r="AI3247" s="37"/>
      <c r="AJ3247" s="37"/>
      <c r="AK3247" s="37"/>
      <c r="AL3247" s="37"/>
      <c r="AM3247" s="37"/>
      <c r="AN3247" s="37"/>
      <c r="AO3247" s="37"/>
      <c r="AP3247" s="37"/>
      <c r="AQ3247" s="37"/>
      <c r="AR3247" s="37"/>
      <c r="AS3247" s="37"/>
      <c r="AT3247" s="37"/>
      <c r="AU3247" s="37"/>
      <c r="AV3247" s="37"/>
      <c r="AW3247" s="37"/>
      <c r="AX3247" s="37"/>
      <c r="AY3247" s="37"/>
      <c r="AZ3247" s="37"/>
      <c r="BA3247" s="37"/>
      <c r="BB3247" s="37"/>
      <c r="BC3247" s="37"/>
      <c r="BD3247" s="37"/>
      <c r="BE3247" s="37"/>
      <c r="BF3247" s="37"/>
      <c r="BG3247" s="37"/>
      <c r="BH3247" s="37"/>
      <c r="BI3247" s="37"/>
      <c r="BJ3247" s="37"/>
      <c r="BK3247" s="37"/>
      <c r="BL3247" s="37"/>
      <c r="BM3247" s="37"/>
    </row>
    <row r="3248" spans="1:65" s="40" customFormat="1" ht="23.25" x14ac:dyDescent="0.35">
      <c r="A3248" s="37"/>
      <c r="B3248" s="37"/>
      <c r="C3248" s="41"/>
      <c r="D3248" s="38"/>
      <c r="E3248" s="57"/>
      <c r="F3248" s="42"/>
      <c r="G3248" s="43"/>
      <c r="H3248" s="37"/>
      <c r="I3248" s="37"/>
      <c r="J3248" s="38"/>
      <c r="K3248" s="37"/>
      <c r="L3248" s="38"/>
      <c r="M3248" s="39"/>
      <c r="P3248" s="37"/>
      <c r="Q3248" s="37"/>
      <c r="R3248" s="37"/>
      <c r="S3248" s="37"/>
      <c r="T3248" s="37"/>
      <c r="U3248" s="37"/>
      <c r="V3248" s="37"/>
      <c r="W3248" s="37"/>
      <c r="X3248" s="37"/>
      <c r="Y3248" s="37"/>
      <c r="Z3248" s="37"/>
      <c r="AA3248" s="37"/>
      <c r="AB3248" s="37"/>
      <c r="AC3248" s="37"/>
      <c r="AD3248" s="37"/>
      <c r="AE3248" s="37"/>
      <c r="AF3248" s="37"/>
      <c r="AG3248" s="37"/>
      <c r="AH3248" s="37"/>
      <c r="AI3248" s="37"/>
      <c r="AJ3248" s="37"/>
      <c r="AK3248" s="37"/>
      <c r="AL3248" s="37"/>
      <c r="AM3248" s="37"/>
      <c r="AN3248" s="37"/>
      <c r="AO3248" s="37"/>
      <c r="AP3248" s="37"/>
      <c r="AQ3248" s="37"/>
      <c r="AR3248" s="37"/>
      <c r="AS3248" s="37"/>
      <c r="AT3248" s="37"/>
      <c r="AU3248" s="37"/>
      <c r="AV3248" s="37"/>
      <c r="AW3248" s="37"/>
      <c r="AX3248" s="37"/>
      <c r="AY3248" s="37"/>
      <c r="AZ3248" s="37"/>
      <c r="BA3248" s="37"/>
      <c r="BB3248" s="37"/>
      <c r="BC3248" s="37"/>
      <c r="BD3248" s="37"/>
      <c r="BE3248" s="37"/>
      <c r="BF3248" s="37"/>
      <c r="BG3248" s="37"/>
      <c r="BH3248" s="37"/>
      <c r="BI3248" s="37"/>
      <c r="BJ3248" s="37"/>
      <c r="BK3248" s="37"/>
      <c r="BL3248" s="37"/>
      <c r="BM3248" s="37"/>
    </row>
    <row r="3249" spans="1:65" s="40" customFormat="1" ht="23.25" x14ac:dyDescent="0.35">
      <c r="A3249" s="37"/>
      <c r="B3249" s="37"/>
      <c r="C3249" s="41"/>
      <c r="D3249" s="38"/>
      <c r="E3249" s="57"/>
      <c r="F3249" s="42"/>
      <c r="G3249" s="43"/>
      <c r="H3249" s="37"/>
      <c r="I3249" s="37"/>
      <c r="J3249" s="38"/>
      <c r="K3249" s="37"/>
      <c r="L3249" s="38"/>
      <c r="M3249" s="39"/>
      <c r="P3249" s="37"/>
      <c r="Q3249" s="37"/>
      <c r="R3249" s="37"/>
      <c r="S3249" s="37"/>
      <c r="T3249" s="37"/>
      <c r="U3249" s="37"/>
      <c r="V3249" s="37"/>
      <c r="W3249" s="37"/>
      <c r="X3249" s="37"/>
      <c r="Y3249" s="37"/>
      <c r="Z3249" s="37"/>
      <c r="AA3249" s="37"/>
      <c r="AB3249" s="37"/>
      <c r="AC3249" s="37"/>
      <c r="AD3249" s="37"/>
      <c r="AE3249" s="37"/>
      <c r="AF3249" s="37"/>
      <c r="AG3249" s="37"/>
      <c r="AH3249" s="37"/>
      <c r="AI3249" s="37"/>
      <c r="AJ3249" s="37"/>
      <c r="AK3249" s="37"/>
      <c r="AL3249" s="37"/>
      <c r="AM3249" s="37"/>
      <c r="AN3249" s="37"/>
      <c r="AO3249" s="37"/>
      <c r="AP3249" s="37"/>
      <c r="AQ3249" s="37"/>
      <c r="AR3249" s="37"/>
      <c r="AS3249" s="37"/>
      <c r="AT3249" s="37"/>
      <c r="AU3249" s="37"/>
      <c r="AV3249" s="37"/>
      <c r="AW3249" s="37"/>
      <c r="AX3249" s="37"/>
      <c r="AY3249" s="37"/>
      <c r="AZ3249" s="37"/>
      <c r="BA3249" s="37"/>
      <c r="BB3249" s="37"/>
      <c r="BC3249" s="37"/>
      <c r="BD3249" s="37"/>
      <c r="BE3249" s="37"/>
      <c r="BF3249" s="37"/>
      <c r="BG3249" s="37"/>
      <c r="BH3249" s="37"/>
      <c r="BI3249" s="37"/>
      <c r="BJ3249" s="37"/>
      <c r="BK3249" s="37"/>
      <c r="BL3249" s="37"/>
      <c r="BM3249" s="37"/>
    </row>
    <row r="3250" spans="1:65" s="40" customFormat="1" ht="23.25" x14ac:dyDescent="0.35">
      <c r="A3250" s="37"/>
      <c r="B3250" s="37"/>
      <c r="C3250" s="41"/>
      <c r="D3250" s="38"/>
      <c r="E3250" s="57"/>
      <c r="F3250" s="42"/>
      <c r="G3250" s="43"/>
      <c r="H3250" s="37"/>
      <c r="I3250" s="37"/>
      <c r="J3250" s="38"/>
      <c r="K3250" s="37"/>
      <c r="L3250" s="38"/>
      <c r="M3250" s="39"/>
      <c r="P3250" s="37"/>
      <c r="Q3250" s="37"/>
      <c r="R3250" s="37"/>
      <c r="S3250" s="37"/>
      <c r="T3250" s="37"/>
      <c r="U3250" s="37"/>
      <c r="V3250" s="37"/>
      <c r="W3250" s="37"/>
      <c r="X3250" s="37"/>
      <c r="Y3250" s="37"/>
      <c r="Z3250" s="37"/>
      <c r="AA3250" s="37"/>
      <c r="AB3250" s="37"/>
      <c r="AC3250" s="37"/>
      <c r="AD3250" s="37"/>
      <c r="AE3250" s="37"/>
      <c r="AF3250" s="37"/>
      <c r="AG3250" s="37"/>
      <c r="AH3250" s="37"/>
      <c r="AI3250" s="37"/>
      <c r="AJ3250" s="37"/>
      <c r="AK3250" s="37"/>
      <c r="AL3250" s="37"/>
      <c r="AM3250" s="37"/>
      <c r="AN3250" s="37"/>
      <c r="AO3250" s="37"/>
      <c r="AP3250" s="37"/>
      <c r="AQ3250" s="37"/>
      <c r="AR3250" s="37"/>
      <c r="AS3250" s="37"/>
      <c r="AT3250" s="37"/>
      <c r="AU3250" s="37"/>
      <c r="AV3250" s="37"/>
      <c r="AW3250" s="37"/>
      <c r="AX3250" s="37"/>
      <c r="AY3250" s="37"/>
      <c r="AZ3250" s="37"/>
      <c r="BA3250" s="37"/>
      <c r="BB3250" s="37"/>
      <c r="BC3250" s="37"/>
      <c r="BD3250" s="37"/>
      <c r="BE3250" s="37"/>
      <c r="BF3250" s="37"/>
      <c r="BG3250" s="37"/>
      <c r="BH3250" s="37"/>
      <c r="BI3250" s="37"/>
      <c r="BJ3250" s="37"/>
      <c r="BK3250" s="37"/>
      <c r="BL3250" s="37"/>
      <c r="BM3250" s="37"/>
    </row>
    <row r="3251" spans="1:65" s="40" customFormat="1" ht="23.25" x14ac:dyDescent="0.35">
      <c r="A3251" s="37"/>
      <c r="B3251" s="37"/>
      <c r="C3251" s="41"/>
      <c r="D3251" s="38"/>
      <c r="E3251" s="57"/>
      <c r="F3251" s="42"/>
      <c r="G3251" s="43"/>
      <c r="H3251" s="37"/>
      <c r="I3251" s="37"/>
      <c r="J3251" s="38"/>
      <c r="K3251" s="37"/>
      <c r="L3251" s="38"/>
      <c r="M3251" s="39"/>
      <c r="P3251" s="37"/>
      <c r="Q3251" s="37"/>
      <c r="R3251" s="37"/>
      <c r="S3251" s="37"/>
      <c r="T3251" s="37"/>
      <c r="U3251" s="37"/>
      <c r="V3251" s="37"/>
      <c r="W3251" s="37"/>
      <c r="X3251" s="37"/>
      <c r="Y3251" s="37"/>
      <c r="Z3251" s="37"/>
      <c r="AA3251" s="37"/>
      <c r="AB3251" s="37"/>
      <c r="AC3251" s="37"/>
      <c r="AD3251" s="37"/>
      <c r="AE3251" s="37"/>
      <c r="AF3251" s="37"/>
      <c r="AG3251" s="37"/>
      <c r="AH3251" s="37"/>
      <c r="AI3251" s="37"/>
      <c r="AJ3251" s="37"/>
      <c r="AK3251" s="37"/>
      <c r="AL3251" s="37"/>
      <c r="AM3251" s="37"/>
      <c r="AN3251" s="37"/>
      <c r="AO3251" s="37"/>
      <c r="AP3251" s="37"/>
      <c r="AQ3251" s="37"/>
      <c r="AR3251" s="37"/>
      <c r="AS3251" s="37"/>
      <c r="AT3251" s="37"/>
      <c r="AU3251" s="37"/>
      <c r="AV3251" s="37"/>
      <c r="AW3251" s="37"/>
      <c r="AX3251" s="37"/>
      <c r="AY3251" s="37"/>
      <c r="AZ3251" s="37"/>
      <c r="BA3251" s="37"/>
      <c r="BB3251" s="37"/>
      <c r="BC3251" s="37"/>
      <c r="BD3251" s="37"/>
      <c r="BE3251" s="37"/>
      <c r="BF3251" s="37"/>
      <c r="BG3251" s="37"/>
      <c r="BH3251" s="37"/>
      <c r="BI3251" s="37"/>
      <c r="BJ3251" s="37"/>
      <c r="BK3251" s="37"/>
      <c r="BL3251" s="37"/>
      <c r="BM3251" s="37"/>
    </row>
    <row r="3252" spans="1:65" s="40" customFormat="1" ht="23.25" x14ac:dyDescent="0.35">
      <c r="A3252" s="37"/>
      <c r="B3252" s="37"/>
      <c r="C3252" s="41"/>
      <c r="D3252" s="38"/>
      <c r="E3252" s="57"/>
      <c r="F3252" s="42"/>
      <c r="G3252" s="43"/>
      <c r="H3252" s="37"/>
      <c r="I3252" s="37"/>
      <c r="J3252" s="38"/>
      <c r="K3252" s="37"/>
      <c r="L3252" s="38"/>
      <c r="M3252" s="39"/>
      <c r="P3252" s="37"/>
      <c r="Q3252" s="37"/>
      <c r="R3252" s="37"/>
      <c r="S3252" s="37"/>
      <c r="T3252" s="37"/>
      <c r="U3252" s="37"/>
      <c r="V3252" s="37"/>
      <c r="W3252" s="37"/>
      <c r="X3252" s="37"/>
      <c r="Y3252" s="37"/>
      <c r="Z3252" s="37"/>
      <c r="AA3252" s="37"/>
      <c r="AB3252" s="37"/>
      <c r="AC3252" s="37"/>
      <c r="AD3252" s="37"/>
      <c r="AE3252" s="37"/>
      <c r="AF3252" s="37"/>
      <c r="AG3252" s="37"/>
      <c r="AH3252" s="37"/>
      <c r="AI3252" s="37"/>
      <c r="AJ3252" s="37"/>
      <c r="AK3252" s="37"/>
      <c r="AL3252" s="37"/>
      <c r="AM3252" s="37"/>
      <c r="AN3252" s="37"/>
      <c r="AO3252" s="37"/>
      <c r="AP3252" s="37"/>
      <c r="AQ3252" s="37"/>
      <c r="AR3252" s="37"/>
      <c r="AS3252" s="37"/>
      <c r="AT3252" s="37"/>
      <c r="AU3252" s="37"/>
      <c r="AV3252" s="37"/>
      <c r="AW3252" s="37"/>
      <c r="AX3252" s="37"/>
      <c r="AY3252" s="37"/>
      <c r="AZ3252" s="37"/>
      <c r="BA3252" s="37"/>
      <c r="BB3252" s="37"/>
      <c r="BC3252" s="37"/>
      <c r="BD3252" s="37"/>
      <c r="BE3252" s="37"/>
      <c r="BF3252" s="37"/>
      <c r="BG3252" s="37"/>
      <c r="BH3252" s="37"/>
      <c r="BI3252" s="37"/>
      <c r="BJ3252" s="37"/>
      <c r="BK3252" s="37"/>
      <c r="BL3252" s="37"/>
      <c r="BM3252" s="37"/>
    </row>
    <row r="3253" spans="1:65" s="40" customFormat="1" ht="23.25" x14ac:dyDescent="0.35">
      <c r="A3253" s="37"/>
      <c r="B3253" s="37"/>
      <c r="C3253" s="41"/>
      <c r="D3253" s="38"/>
      <c r="E3253" s="57"/>
      <c r="F3253" s="42"/>
      <c r="G3253" s="43"/>
      <c r="H3253" s="37"/>
      <c r="I3253" s="37"/>
      <c r="J3253" s="38"/>
      <c r="K3253" s="37"/>
      <c r="L3253" s="38"/>
      <c r="M3253" s="39"/>
      <c r="P3253" s="37"/>
      <c r="Q3253" s="37"/>
      <c r="R3253" s="37"/>
      <c r="S3253" s="37"/>
      <c r="T3253" s="37"/>
      <c r="U3253" s="37"/>
      <c r="V3253" s="37"/>
      <c r="W3253" s="37"/>
      <c r="X3253" s="37"/>
      <c r="Y3253" s="37"/>
      <c r="Z3253" s="37"/>
      <c r="AA3253" s="37"/>
      <c r="AB3253" s="37"/>
      <c r="AC3253" s="37"/>
      <c r="AD3253" s="37"/>
      <c r="AE3253" s="37"/>
      <c r="AF3253" s="37"/>
      <c r="AG3253" s="37"/>
      <c r="AH3253" s="37"/>
      <c r="AI3253" s="37"/>
      <c r="AJ3253" s="37"/>
      <c r="AK3253" s="37"/>
      <c r="AL3253" s="37"/>
      <c r="AM3253" s="37"/>
      <c r="AN3253" s="37"/>
      <c r="AO3253" s="37"/>
      <c r="AP3253" s="37"/>
      <c r="AQ3253" s="37"/>
      <c r="AR3253" s="37"/>
      <c r="AS3253" s="37"/>
      <c r="AT3253" s="37"/>
      <c r="AU3253" s="37"/>
      <c r="AV3253" s="37"/>
      <c r="AW3253" s="37"/>
      <c r="AX3253" s="37"/>
      <c r="AY3253" s="37"/>
      <c r="AZ3253" s="37"/>
      <c r="BA3253" s="37"/>
      <c r="BB3253" s="37"/>
      <c r="BC3253" s="37"/>
      <c r="BD3253" s="37"/>
      <c r="BE3253" s="37"/>
      <c r="BF3253" s="37"/>
      <c r="BG3253" s="37"/>
      <c r="BH3253" s="37"/>
      <c r="BI3253" s="37"/>
      <c r="BJ3253" s="37"/>
      <c r="BK3253" s="37"/>
      <c r="BL3253" s="37"/>
      <c r="BM3253" s="37"/>
    </row>
    <row r="3254" spans="1:65" s="40" customFormat="1" ht="23.25" x14ac:dyDescent="0.35">
      <c r="A3254" s="37"/>
      <c r="B3254" s="37"/>
      <c r="C3254" s="41"/>
      <c r="D3254" s="38"/>
      <c r="E3254" s="57"/>
      <c r="F3254" s="42"/>
      <c r="G3254" s="43"/>
      <c r="H3254" s="37"/>
      <c r="I3254" s="37"/>
      <c r="J3254" s="38"/>
      <c r="K3254" s="37"/>
      <c r="L3254" s="38"/>
      <c r="M3254" s="39"/>
      <c r="P3254" s="37"/>
      <c r="Q3254" s="37"/>
      <c r="R3254" s="37"/>
      <c r="S3254" s="37"/>
      <c r="T3254" s="37"/>
      <c r="U3254" s="37"/>
      <c r="V3254" s="37"/>
      <c r="W3254" s="37"/>
      <c r="X3254" s="37"/>
      <c r="Y3254" s="37"/>
      <c r="Z3254" s="37"/>
      <c r="AA3254" s="37"/>
      <c r="AB3254" s="37"/>
      <c r="AC3254" s="37"/>
      <c r="AD3254" s="37"/>
      <c r="AE3254" s="37"/>
      <c r="AF3254" s="37"/>
      <c r="AG3254" s="37"/>
      <c r="AH3254" s="37"/>
      <c r="AI3254" s="37"/>
      <c r="AJ3254" s="37"/>
      <c r="AK3254" s="37"/>
      <c r="AL3254" s="37"/>
      <c r="AM3254" s="37"/>
      <c r="AN3254" s="37"/>
      <c r="AO3254" s="37"/>
      <c r="AP3254" s="37"/>
      <c r="AQ3254" s="37"/>
      <c r="AR3254" s="37"/>
      <c r="AS3254" s="37"/>
      <c r="AT3254" s="37"/>
      <c r="AU3254" s="37"/>
      <c r="AV3254" s="37"/>
      <c r="AW3254" s="37"/>
      <c r="AX3254" s="37"/>
      <c r="AY3254" s="37"/>
      <c r="AZ3254" s="37"/>
      <c r="BA3254" s="37"/>
      <c r="BB3254" s="37"/>
      <c r="BC3254" s="37"/>
      <c r="BD3254" s="37"/>
      <c r="BE3254" s="37"/>
      <c r="BF3254" s="37"/>
      <c r="BG3254" s="37"/>
      <c r="BH3254" s="37"/>
      <c r="BI3254" s="37"/>
      <c r="BJ3254" s="37"/>
      <c r="BK3254" s="37"/>
      <c r="BL3254" s="37"/>
      <c r="BM3254" s="37"/>
    </row>
    <row r="3255" spans="1:65" s="40" customFormat="1" ht="23.25" x14ac:dyDescent="0.35">
      <c r="A3255" s="37"/>
      <c r="B3255" s="37"/>
      <c r="C3255" s="41"/>
      <c r="D3255" s="38"/>
      <c r="E3255" s="57"/>
      <c r="F3255" s="42"/>
      <c r="G3255" s="43"/>
      <c r="H3255" s="37"/>
      <c r="I3255" s="37"/>
      <c r="J3255" s="38"/>
      <c r="K3255" s="37"/>
      <c r="L3255" s="38"/>
      <c r="M3255" s="39"/>
      <c r="P3255" s="37"/>
      <c r="Q3255" s="37"/>
      <c r="R3255" s="37"/>
      <c r="S3255" s="37"/>
      <c r="T3255" s="37"/>
      <c r="U3255" s="37"/>
      <c r="V3255" s="37"/>
      <c r="W3255" s="37"/>
      <c r="X3255" s="37"/>
      <c r="Y3255" s="37"/>
      <c r="Z3255" s="37"/>
      <c r="AA3255" s="37"/>
      <c r="AB3255" s="37"/>
      <c r="AC3255" s="37"/>
      <c r="AD3255" s="37"/>
      <c r="AE3255" s="37"/>
      <c r="AF3255" s="37"/>
      <c r="AG3255" s="37"/>
      <c r="AH3255" s="37"/>
      <c r="AI3255" s="37"/>
      <c r="AJ3255" s="37"/>
      <c r="AK3255" s="37"/>
      <c r="AL3255" s="37"/>
      <c r="AM3255" s="37"/>
      <c r="AN3255" s="37"/>
      <c r="AO3255" s="37"/>
      <c r="AP3255" s="37"/>
      <c r="AQ3255" s="37"/>
      <c r="AR3255" s="37"/>
      <c r="AS3255" s="37"/>
      <c r="AT3255" s="37"/>
      <c r="AU3255" s="37"/>
      <c r="AV3255" s="37"/>
      <c r="AW3255" s="37"/>
      <c r="AX3255" s="37"/>
      <c r="AY3255" s="37"/>
      <c r="AZ3255" s="37"/>
      <c r="BA3255" s="37"/>
      <c r="BB3255" s="37"/>
      <c r="BC3255" s="37"/>
      <c r="BD3255" s="37"/>
      <c r="BE3255" s="37"/>
      <c r="BF3255" s="37"/>
      <c r="BG3255" s="37"/>
      <c r="BH3255" s="37"/>
      <c r="BI3255" s="37"/>
      <c r="BJ3255" s="37"/>
      <c r="BK3255" s="37"/>
      <c r="BL3255" s="37"/>
      <c r="BM3255" s="37"/>
    </row>
    <row r="3256" spans="1:65" s="40" customFormat="1" ht="23.25" x14ac:dyDescent="0.35">
      <c r="A3256" s="37"/>
      <c r="B3256" s="37"/>
      <c r="C3256" s="41"/>
      <c r="D3256" s="38"/>
      <c r="E3256" s="57"/>
      <c r="F3256" s="42"/>
      <c r="G3256" s="43"/>
      <c r="H3256" s="37"/>
      <c r="I3256" s="37"/>
      <c r="J3256" s="38"/>
      <c r="K3256" s="37"/>
      <c r="L3256" s="38"/>
      <c r="M3256" s="39"/>
      <c r="P3256" s="37"/>
      <c r="Q3256" s="37"/>
      <c r="R3256" s="37"/>
      <c r="S3256" s="37"/>
      <c r="T3256" s="37"/>
      <c r="U3256" s="37"/>
      <c r="V3256" s="37"/>
      <c r="W3256" s="37"/>
      <c r="X3256" s="37"/>
      <c r="Y3256" s="37"/>
      <c r="Z3256" s="37"/>
      <c r="AA3256" s="37"/>
      <c r="AB3256" s="37"/>
      <c r="AC3256" s="37"/>
      <c r="AD3256" s="37"/>
      <c r="AE3256" s="37"/>
      <c r="AF3256" s="37"/>
      <c r="AG3256" s="37"/>
      <c r="AH3256" s="37"/>
      <c r="AI3256" s="37"/>
      <c r="AJ3256" s="37"/>
      <c r="AK3256" s="37"/>
      <c r="AL3256" s="37"/>
      <c r="AM3256" s="37"/>
      <c r="AN3256" s="37"/>
      <c r="AO3256" s="37"/>
      <c r="AP3256" s="37"/>
      <c r="AQ3256" s="37"/>
      <c r="AR3256" s="37"/>
      <c r="AS3256" s="37"/>
      <c r="AT3256" s="37"/>
      <c r="AU3256" s="37"/>
      <c r="AV3256" s="37"/>
      <c r="AW3256" s="37"/>
      <c r="AX3256" s="37"/>
      <c r="AY3256" s="37"/>
      <c r="AZ3256" s="37"/>
      <c r="BA3256" s="37"/>
      <c r="BB3256" s="37"/>
      <c r="BC3256" s="37"/>
      <c r="BD3256" s="37"/>
      <c r="BE3256" s="37"/>
      <c r="BF3256" s="37"/>
      <c r="BG3256" s="37"/>
      <c r="BH3256" s="37"/>
      <c r="BI3256" s="37"/>
      <c r="BJ3256" s="37"/>
      <c r="BK3256" s="37"/>
      <c r="BL3256" s="37"/>
      <c r="BM3256" s="37"/>
    </row>
    <row r="3257" spans="1:65" s="40" customFormat="1" ht="23.25" x14ac:dyDescent="0.35">
      <c r="A3257" s="37"/>
      <c r="B3257" s="37"/>
      <c r="C3257" s="41"/>
      <c r="D3257" s="38"/>
      <c r="E3257" s="57"/>
      <c r="F3257" s="42"/>
      <c r="G3257" s="43"/>
      <c r="H3257" s="37"/>
      <c r="I3257" s="37"/>
      <c r="J3257" s="38"/>
      <c r="K3257" s="37"/>
      <c r="L3257" s="38"/>
      <c r="M3257" s="39"/>
      <c r="P3257" s="37"/>
      <c r="Q3257" s="37"/>
      <c r="R3257" s="37"/>
      <c r="S3257" s="37"/>
      <c r="T3257" s="37"/>
      <c r="U3257" s="37"/>
      <c r="V3257" s="37"/>
      <c r="W3257" s="37"/>
      <c r="X3257" s="37"/>
      <c r="Y3257" s="37"/>
      <c r="Z3257" s="37"/>
      <c r="AA3257" s="37"/>
      <c r="AB3257" s="37"/>
      <c r="AC3257" s="37"/>
      <c r="AD3257" s="37"/>
      <c r="AE3257" s="37"/>
      <c r="AF3257" s="37"/>
      <c r="AG3257" s="37"/>
      <c r="AH3257" s="37"/>
      <c r="AI3257" s="37"/>
      <c r="AJ3257" s="37"/>
      <c r="AK3257" s="37"/>
      <c r="AL3257" s="37"/>
      <c r="AM3257" s="37"/>
      <c r="AN3257" s="37"/>
      <c r="AO3257" s="37"/>
      <c r="AP3257" s="37"/>
      <c r="AQ3257" s="37"/>
      <c r="AR3257" s="37"/>
      <c r="AS3257" s="37"/>
      <c r="AT3257" s="37"/>
      <c r="AU3257" s="37"/>
      <c r="AV3257" s="37"/>
      <c r="AW3257" s="37"/>
      <c r="AX3257" s="37"/>
      <c r="AY3257" s="37"/>
      <c r="AZ3257" s="37"/>
      <c r="BA3257" s="37"/>
      <c r="BB3257" s="37"/>
      <c r="BC3257" s="37"/>
      <c r="BD3257" s="37"/>
      <c r="BE3257" s="37"/>
      <c r="BF3257" s="37"/>
      <c r="BG3257" s="37"/>
      <c r="BH3257" s="37"/>
      <c r="BI3257" s="37"/>
      <c r="BJ3257" s="37"/>
      <c r="BK3257" s="37"/>
      <c r="BL3257" s="37"/>
      <c r="BM3257" s="37"/>
    </row>
    <row r="3258" spans="1:65" s="40" customFormat="1" ht="23.25" x14ac:dyDescent="0.35">
      <c r="A3258" s="37"/>
      <c r="B3258" s="37"/>
      <c r="C3258" s="41"/>
      <c r="D3258" s="38"/>
      <c r="E3258" s="57"/>
      <c r="F3258" s="42"/>
      <c r="G3258" s="43"/>
      <c r="H3258" s="37"/>
      <c r="I3258" s="37"/>
      <c r="J3258" s="38"/>
      <c r="K3258" s="37"/>
      <c r="L3258" s="38"/>
      <c r="M3258" s="39"/>
      <c r="P3258" s="37"/>
      <c r="Q3258" s="37"/>
      <c r="R3258" s="37"/>
      <c r="S3258" s="37"/>
      <c r="T3258" s="37"/>
      <c r="U3258" s="37"/>
      <c r="V3258" s="37"/>
      <c r="W3258" s="37"/>
      <c r="X3258" s="37"/>
      <c r="Y3258" s="37"/>
      <c r="Z3258" s="37"/>
      <c r="AA3258" s="37"/>
      <c r="AB3258" s="37"/>
      <c r="AC3258" s="37"/>
      <c r="AD3258" s="37"/>
      <c r="AE3258" s="37"/>
      <c r="AF3258" s="37"/>
      <c r="AG3258" s="37"/>
      <c r="AH3258" s="37"/>
      <c r="AI3258" s="37"/>
      <c r="AJ3258" s="37"/>
      <c r="AK3258" s="37"/>
      <c r="AL3258" s="37"/>
      <c r="AM3258" s="37"/>
      <c r="AN3258" s="37"/>
      <c r="AO3258" s="37"/>
      <c r="AP3258" s="37"/>
      <c r="AQ3258" s="37"/>
      <c r="AR3258" s="37"/>
      <c r="AS3258" s="37"/>
      <c r="AT3258" s="37"/>
      <c r="AU3258" s="37"/>
      <c r="AV3258" s="37"/>
      <c r="AW3258" s="37"/>
      <c r="AX3258" s="37"/>
      <c r="AY3258" s="37"/>
      <c r="AZ3258" s="37"/>
      <c r="BA3258" s="37"/>
      <c r="BB3258" s="37"/>
      <c r="BC3258" s="37"/>
      <c r="BD3258" s="37"/>
      <c r="BE3258" s="37"/>
      <c r="BF3258" s="37"/>
      <c r="BG3258" s="37"/>
      <c r="BH3258" s="37"/>
      <c r="BI3258" s="37"/>
      <c r="BJ3258" s="37"/>
      <c r="BK3258" s="37"/>
      <c r="BL3258" s="37"/>
      <c r="BM3258" s="37"/>
    </row>
    <row r="3259" spans="1:65" s="40" customFormat="1" ht="23.25" x14ac:dyDescent="0.35">
      <c r="A3259" s="37"/>
      <c r="B3259" s="37"/>
      <c r="C3259" s="41"/>
      <c r="D3259" s="38"/>
      <c r="E3259" s="57"/>
      <c r="F3259" s="42"/>
      <c r="G3259" s="43"/>
      <c r="H3259" s="37"/>
      <c r="I3259" s="37"/>
      <c r="J3259" s="38"/>
      <c r="K3259" s="37"/>
      <c r="L3259" s="38"/>
      <c r="M3259" s="39"/>
      <c r="P3259" s="37"/>
      <c r="Q3259" s="37"/>
      <c r="R3259" s="37"/>
      <c r="S3259" s="37"/>
      <c r="T3259" s="37"/>
      <c r="U3259" s="37"/>
      <c r="V3259" s="37"/>
      <c r="W3259" s="37"/>
      <c r="X3259" s="37"/>
      <c r="Y3259" s="37"/>
      <c r="Z3259" s="37"/>
      <c r="AA3259" s="37"/>
      <c r="AB3259" s="37"/>
      <c r="AC3259" s="37"/>
      <c r="AD3259" s="37"/>
      <c r="AE3259" s="37"/>
      <c r="AF3259" s="37"/>
      <c r="AG3259" s="37"/>
      <c r="AH3259" s="37"/>
      <c r="AI3259" s="37"/>
      <c r="AJ3259" s="37"/>
      <c r="AK3259" s="37"/>
      <c r="AL3259" s="37"/>
      <c r="AM3259" s="37"/>
      <c r="AN3259" s="37"/>
      <c r="AO3259" s="37"/>
      <c r="AP3259" s="37"/>
      <c r="AQ3259" s="37"/>
      <c r="AR3259" s="37"/>
      <c r="AS3259" s="37"/>
      <c r="AT3259" s="37"/>
      <c r="AU3259" s="37"/>
      <c r="AV3259" s="37"/>
      <c r="AW3259" s="37"/>
      <c r="AX3259" s="37"/>
      <c r="AY3259" s="37"/>
      <c r="AZ3259" s="37"/>
      <c r="BA3259" s="37"/>
      <c r="BB3259" s="37"/>
      <c r="BC3259" s="37"/>
      <c r="BD3259" s="37"/>
      <c r="BE3259" s="37"/>
      <c r="BF3259" s="37"/>
      <c r="BG3259" s="37"/>
      <c r="BH3259" s="37"/>
      <c r="BI3259" s="37"/>
      <c r="BJ3259" s="37"/>
      <c r="BK3259" s="37"/>
      <c r="BL3259" s="37"/>
      <c r="BM3259" s="37"/>
    </row>
    <row r="3260" spans="1:65" s="40" customFormat="1" ht="23.25" x14ac:dyDescent="0.35">
      <c r="A3260" s="37"/>
      <c r="B3260" s="37"/>
      <c r="C3260" s="41"/>
      <c r="D3260" s="38"/>
      <c r="E3260" s="57"/>
      <c r="F3260" s="42"/>
      <c r="G3260" s="43"/>
      <c r="H3260" s="37"/>
      <c r="I3260" s="37"/>
      <c r="J3260" s="38"/>
      <c r="K3260" s="37"/>
      <c r="L3260" s="38"/>
      <c r="M3260" s="39"/>
      <c r="P3260" s="37"/>
      <c r="Q3260" s="37"/>
      <c r="R3260" s="37"/>
      <c r="S3260" s="37"/>
      <c r="T3260" s="37"/>
      <c r="U3260" s="37"/>
      <c r="V3260" s="37"/>
      <c r="W3260" s="37"/>
      <c r="X3260" s="37"/>
      <c r="Y3260" s="37"/>
      <c r="Z3260" s="37"/>
      <c r="AA3260" s="37"/>
      <c r="AB3260" s="37"/>
      <c r="AC3260" s="37"/>
      <c r="AD3260" s="37"/>
      <c r="AE3260" s="37"/>
      <c r="AF3260" s="37"/>
      <c r="AG3260" s="37"/>
      <c r="AH3260" s="37"/>
      <c r="AI3260" s="37"/>
      <c r="AJ3260" s="37"/>
      <c r="AK3260" s="37"/>
      <c r="AL3260" s="37"/>
      <c r="AM3260" s="37"/>
      <c r="AN3260" s="37"/>
      <c r="AO3260" s="37"/>
      <c r="AP3260" s="37"/>
      <c r="AQ3260" s="37"/>
      <c r="AR3260" s="37"/>
      <c r="AS3260" s="37"/>
      <c r="AT3260" s="37"/>
      <c r="AU3260" s="37"/>
      <c r="AV3260" s="37"/>
      <c r="AW3260" s="37"/>
      <c r="AX3260" s="37"/>
      <c r="AY3260" s="37"/>
      <c r="AZ3260" s="37"/>
      <c r="BA3260" s="37"/>
      <c r="BB3260" s="37"/>
      <c r="BC3260" s="37"/>
      <c r="BD3260" s="37"/>
      <c r="BE3260" s="37"/>
      <c r="BF3260" s="37"/>
      <c r="BG3260" s="37"/>
      <c r="BH3260" s="37"/>
      <c r="BI3260" s="37"/>
      <c r="BJ3260" s="37"/>
      <c r="BK3260" s="37"/>
      <c r="BL3260" s="37"/>
      <c r="BM3260" s="37"/>
    </row>
    <row r="3261" spans="1:65" s="40" customFormat="1" ht="23.25" x14ac:dyDescent="0.35">
      <c r="A3261" s="37"/>
      <c r="B3261" s="37"/>
      <c r="C3261" s="41"/>
      <c r="D3261" s="38"/>
      <c r="E3261" s="57"/>
      <c r="F3261" s="42"/>
      <c r="G3261" s="43"/>
      <c r="H3261" s="37"/>
      <c r="I3261" s="37"/>
      <c r="J3261" s="38"/>
      <c r="K3261" s="37"/>
      <c r="L3261" s="38"/>
      <c r="M3261" s="39"/>
      <c r="P3261" s="37"/>
      <c r="Q3261" s="37"/>
      <c r="R3261" s="37"/>
      <c r="S3261" s="37"/>
      <c r="T3261" s="37"/>
      <c r="U3261" s="37"/>
      <c r="V3261" s="37"/>
      <c r="W3261" s="37"/>
      <c r="X3261" s="37"/>
      <c r="Y3261" s="37"/>
      <c r="Z3261" s="37"/>
      <c r="AA3261" s="37"/>
      <c r="AB3261" s="37"/>
      <c r="AC3261" s="37"/>
      <c r="AD3261" s="37"/>
      <c r="AE3261" s="37"/>
      <c r="AF3261" s="37"/>
      <c r="AG3261" s="37"/>
      <c r="AH3261" s="37"/>
      <c r="AI3261" s="37"/>
      <c r="AJ3261" s="37"/>
      <c r="AK3261" s="37"/>
      <c r="AL3261" s="37"/>
      <c r="AM3261" s="37"/>
      <c r="AN3261" s="37"/>
      <c r="AO3261" s="37"/>
      <c r="AP3261" s="37"/>
      <c r="AQ3261" s="37"/>
      <c r="AR3261" s="37"/>
      <c r="AS3261" s="37"/>
      <c r="AT3261" s="37"/>
      <c r="AU3261" s="37"/>
      <c r="AV3261" s="37"/>
      <c r="AW3261" s="37"/>
      <c r="AX3261" s="37"/>
      <c r="AY3261" s="37"/>
      <c r="AZ3261" s="37"/>
      <c r="BA3261" s="37"/>
      <c r="BB3261" s="37"/>
      <c r="BC3261" s="37"/>
      <c r="BD3261" s="37"/>
      <c r="BE3261" s="37"/>
      <c r="BF3261" s="37"/>
      <c r="BG3261" s="37"/>
      <c r="BH3261" s="37"/>
      <c r="BI3261" s="37"/>
      <c r="BJ3261" s="37"/>
      <c r="BK3261" s="37"/>
      <c r="BL3261" s="37"/>
      <c r="BM3261" s="37"/>
    </row>
    <row r="3262" spans="1:65" s="40" customFormat="1" ht="23.25" x14ac:dyDescent="0.35">
      <c r="A3262" s="37"/>
      <c r="B3262" s="37"/>
      <c r="C3262" s="41"/>
      <c r="D3262" s="38"/>
      <c r="E3262" s="57"/>
      <c r="F3262" s="42"/>
      <c r="G3262" s="43"/>
      <c r="H3262" s="37"/>
      <c r="I3262" s="37"/>
      <c r="J3262" s="38"/>
      <c r="K3262" s="37"/>
      <c r="L3262" s="38"/>
      <c r="M3262" s="39"/>
      <c r="P3262" s="37"/>
      <c r="Q3262" s="37"/>
      <c r="R3262" s="37"/>
      <c r="S3262" s="37"/>
      <c r="T3262" s="37"/>
      <c r="U3262" s="37"/>
      <c r="V3262" s="37"/>
      <c r="W3262" s="37"/>
      <c r="X3262" s="37"/>
      <c r="Y3262" s="37"/>
      <c r="Z3262" s="37"/>
      <c r="AA3262" s="37"/>
      <c r="AB3262" s="37"/>
      <c r="AC3262" s="37"/>
      <c r="AD3262" s="37"/>
      <c r="AE3262" s="37"/>
      <c r="AF3262" s="37"/>
      <c r="AG3262" s="37"/>
      <c r="AH3262" s="37"/>
      <c r="AI3262" s="37"/>
      <c r="AJ3262" s="37"/>
      <c r="AK3262" s="37"/>
      <c r="AL3262" s="37"/>
      <c r="AM3262" s="37"/>
      <c r="AN3262" s="37"/>
      <c r="AO3262" s="37"/>
      <c r="AP3262" s="37"/>
      <c r="AQ3262" s="37"/>
      <c r="AR3262" s="37"/>
      <c r="AS3262" s="37"/>
      <c r="AT3262" s="37"/>
      <c r="AU3262" s="37"/>
      <c r="AV3262" s="37"/>
      <c r="AW3262" s="37"/>
      <c r="AX3262" s="37"/>
      <c r="AY3262" s="37"/>
      <c r="AZ3262" s="37"/>
      <c r="BA3262" s="37"/>
      <c r="BB3262" s="37"/>
      <c r="BC3262" s="37"/>
      <c r="BD3262" s="37"/>
      <c r="BE3262" s="37"/>
      <c r="BF3262" s="37"/>
      <c r="BG3262" s="37"/>
      <c r="BH3262" s="37"/>
      <c r="BI3262" s="37"/>
      <c r="BJ3262" s="37"/>
      <c r="BK3262" s="37"/>
      <c r="BL3262" s="37"/>
      <c r="BM3262" s="37"/>
    </row>
    <row r="3263" spans="1:65" s="40" customFormat="1" ht="23.25" x14ac:dyDescent="0.35">
      <c r="A3263" s="37"/>
      <c r="B3263" s="37"/>
      <c r="C3263" s="41"/>
      <c r="D3263" s="38"/>
      <c r="E3263" s="57"/>
      <c r="F3263" s="42"/>
      <c r="G3263" s="43"/>
      <c r="H3263" s="37"/>
      <c r="I3263" s="37"/>
      <c r="J3263" s="38"/>
      <c r="K3263" s="37"/>
      <c r="L3263" s="38"/>
      <c r="M3263" s="39"/>
      <c r="P3263" s="37"/>
      <c r="Q3263" s="37"/>
      <c r="R3263" s="37"/>
      <c r="S3263" s="37"/>
      <c r="T3263" s="37"/>
      <c r="U3263" s="37"/>
      <c r="V3263" s="37"/>
      <c r="W3263" s="37"/>
      <c r="X3263" s="37"/>
      <c r="Y3263" s="37"/>
      <c r="Z3263" s="37"/>
      <c r="AA3263" s="37"/>
      <c r="AB3263" s="37"/>
      <c r="AC3263" s="37"/>
      <c r="AD3263" s="37"/>
      <c r="AE3263" s="37"/>
      <c r="AF3263" s="37"/>
      <c r="AG3263" s="37"/>
      <c r="AH3263" s="37"/>
      <c r="AI3263" s="37"/>
      <c r="AJ3263" s="37"/>
      <c r="AK3263" s="37"/>
      <c r="AL3263" s="37"/>
      <c r="AM3263" s="37"/>
      <c r="AN3263" s="37"/>
      <c r="AO3263" s="37"/>
      <c r="AP3263" s="37"/>
      <c r="AQ3263" s="37"/>
      <c r="AR3263" s="37"/>
      <c r="AS3263" s="37"/>
      <c r="AT3263" s="37"/>
      <c r="AU3263" s="37"/>
      <c r="AV3263" s="37"/>
      <c r="AW3263" s="37"/>
      <c r="AX3263" s="37"/>
      <c r="AY3263" s="37"/>
      <c r="AZ3263" s="37"/>
      <c r="BA3263" s="37"/>
      <c r="BB3263" s="37"/>
      <c r="BC3263" s="37"/>
      <c r="BD3263" s="37"/>
      <c r="BE3263" s="37"/>
      <c r="BF3263" s="37"/>
      <c r="BG3263" s="37"/>
      <c r="BH3263" s="37"/>
      <c r="BI3263" s="37"/>
      <c r="BJ3263" s="37"/>
      <c r="BK3263" s="37"/>
      <c r="BL3263" s="37"/>
      <c r="BM3263" s="37"/>
    </row>
    <row r="3264" spans="1:65" s="40" customFormat="1" ht="23.25" x14ac:dyDescent="0.35">
      <c r="A3264" s="37"/>
      <c r="B3264" s="37"/>
      <c r="C3264" s="41"/>
      <c r="D3264" s="38"/>
      <c r="E3264" s="57"/>
      <c r="F3264" s="42"/>
      <c r="G3264" s="43"/>
      <c r="H3264" s="37"/>
      <c r="I3264" s="37"/>
      <c r="J3264" s="38"/>
      <c r="K3264" s="37"/>
      <c r="L3264" s="38"/>
      <c r="M3264" s="39"/>
      <c r="P3264" s="37"/>
      <c r="Q3264" s="37"/>
      <c r="R3264" s="37"/>
      <c r="S3264" s="37"/>
      <c r="T3264" s="37"/>
      <c r="U3264" s="37"/>
      <c r="V3264" s="37"/>
      <c r="W3264" s="37"/>
      <c r="X3264" s="37"/>
      <c r="Y3264" s="37"/>
      <c r="Z3264" s="37"/>
      <c r="AA3264" s="37"/>
      <c r="AB3264" s="37"/>
      <c r="AC3264" s="37"/>
      <c r="AD3264" s="37"/>
      <c r="AE3264" s="37"/>
      <c r="AF3264" s="37"/>
      <c r="AG3264" s="37"/>
      <c r="AH3264" s="37"/>
      <c r="AI3264" s="37"/>
      <c r="AJ3264" s="37"/>
      <c r="AK3264" s="37"/>
      <c r="AL3264" s="37"/>
      <c r="AM3264" s="37"/>
      <c r="AN3264" s="37"/>
      <c r="AO3264" s="37"/>
      <c r="AP3264" s="37"/>
      <c r="AQ3264" s="37"/>
      <c r="AR3264" s="37"/>
      <c r="AS3264" s="37"/>
      <c r="AT3264" s="37"/>
      <c r="AU3264" s="37"/>
      <c r="AV3264" s="37"/>
      <c r="AW3264" s="37"/>
      <c r="AX3264" s="37"/>
      <c r="AY3264" s="37"/>
      <c r="AZ3264" s="37"/>
      <c r="BA3264" s="37"/>
      <c r="BB3264" s="37"/>
      <c r="BC3264" s="37"/>
      <c r="BD3264" s="37"/>
      <c r="BE3264" s="37"/>
      <c r="BF3264" s="37"/>
      <c r="BG3264" s="37"/>
      <c r="BH3264" s="37"/>
      <c r="BI3264" s="37"/>
      <c r="BJ3264" s="37"/>
      <c r="BK3264" s="37"/>
      <c r="BL3264" s="37"/>
      <c r="BM3264" s="37"/>
    </row>
    <row r="3265" spans="1:65" s="40" customFormat="1" ht="23.25" x14ac:dyDescent="0.35">
      <c r="A3265" s="37"/>
      <c r="B3265" s="37"/>
      <c r="C3265" s="41"/>
      <c r="D3265" s="38"/>
      <c r="E3265" s="57"/>
      <c r="F3265" s="42"/>
      <c r="G3265" s="43"/>
      <c r="H3265" s="37"/>
      <c r="I3265" s="37"/>
      <c r="J3265" s="38"/>
      <c r="K3265" s="37"/>
      <c r="L3265" s="38"/>
      <c r="M3265" s="39"/>
      <c r="P3265" s="37"/>
      <c r="Q3265" s="37"/>
      <c r="R3265" s="37"/>
      <c r="S3265" s="37"/>
      <c r="T3265" s="37"/>
      <c r="U3265" s="37"/>
      <c r="V3265" s="37"/>
      <c r="W3265" s="37"/>
      <c r="X3265" s="37"/>
      <c r="Y3265" s="37"/>
      <c r="Z3265" s="37"/>
      <c r="AA3265" s="37"/>
      <c r="AB3265" s="37"/>
      <c r="AC3265" s="37"/>
      <c r="AD3265" s="37"/>
      <c r="AE3265" s="37"/>
      <c r="AF3265" s="37"/>
      <c r="AG3265" s="37"/>
      <c r="AH3265" s="37"/>
      <c r="AI3265" s="37"/>
      <c r="AJ3265" s="37"/>
      <c r="AK3265" s="37"/>
      <c r="AL3265" s="37"/>
      <c r="AM3265" s="37"/>
      <c r="AN3265" s="37"/>
      <c r="AO3265" s="37"/>
      <c r="AP3265" s="37"/>
      <c r="AQ3265" s="37"/>
      <c r="AR3265" s="37"/>
      <c r="AS3265" s="37"/>
      <c r="AT3265" s="37"/>
      <c r="AU3265" s="37"/>
      <c r="AV3265" s="37"/>
      <c r="AW3265" s="37"/>
      <c r="AX3265" s="37"/>
      <c r="AY3265" s="37"/>
      <c r="AZ3265" s="37"/>
      <c r="BA3265" s="37"/>
      <c r="BB3265" s="37"/>
      <c r="BC3265" s="37"/>
      <c r="BD3265" s="37"/>
      <c r="BE3265" s="37"/>
      <c r="BF3265" s="37"/>
      <c r="BG3265" s="37"/>
      <c r="BH3265" s="37"/>
      <c r="BI3265" s="37"/>
      <c r="BJ3265" s="37"/>
      <c r="BK3265" s="37"/>
      <c r="BL3265" s="37"/>
      <c r="BM3265" s="37"/>
    </row>
    <row r="3266" spans="1:65" s="40" customFormat="1" ht="23.25" x14ac:dyDescent="0.35">
      <c r="A3266" s="37"/>
      <c r="B3266" s="37"/>
      <c r="C3266" s="41"/>
      <c r="D3266" s="38"/>
      <c r="E3266" s="57"/>
      <c r="F3266" s="42"/>
      <c r="G3266" s="43"/>
      <c r="H3266" s="37"/>
      <c r="I3266" s="37"/>
      <c r="J3266" s="38"/>
      <c r="K3266" s="37"/>
      <c r="L3266" s="38"/>
      <c r="M3266" s="39"/>
      <c r="P3266" s="37"/>
      <c r="Q3266" s="37"/>
      <c r="R3266" s="37"/>
      <c r="S3266" s="37"/>
      <c r="T3266" s="37"/>
      <c r="U3266" s="37"/>
      <c r="V3266" s="37"/>
      <c r="W3266" s="37"/>
      <c r="X3266" s="37"/>
      <c r="Y3266" s="37"/>
      <c r="Z3266" s="37"/>
      <c r="AA3266" s="37"/>
      <c r="AB3266" s="37"/>
      <c r="AC3266" s="37"/>
      <c r="AD3266" s="37"/>
      <c r="AE3266" s="37"/>
      <c r="AF3266" s="37"/>
      <c r="AG3266" s="37"/>
      <c r="AH3266" s="37"/>
      <c r="AI3266" s="37"/>
      <c r="AJ3266" s="37"/>
      <c r="AK3266" s="37"/>
      <c r="AL3266" s="37"/>
      <c r="AM3266" s="37"/>
      <c r="AN3266" s="37"/>
      <c r="AO3266" s="37"/>
      <c r="AP3266" s="37"/>
      <c r="AQ3266" s="37"/>
      <c r="AR3266" s="37"/>
      <c r="AS3266" s="37"/>
      <c r="AT3266" s="37"/>
      <c r="AU3266" s="37"/>
      <c r="AV3266" s="37"/>
      <c r="AW3266" s="37"/>
      <c r="AX3266" s="37"/>
      <c r="AY3266" s="37"/>
      <c r="AZ3266" s="37"/>
      <c r="BA3266" s="37"/>
      <c r="BB3266" s="37"/>
      <c r="BC3266" s="37"/>
      <c r="BD3266" s="37"/>
      <c r="BE3266" s="37"/>
      <c r="BF3266" s="37"/>
      <c r="BG3266" s="37"/>
      <c r="BH3266" s="37"/>
      <c r="BI3266" s="37"/>
      <c r="BJ3266" s="37"/>
      <c r="BK3266" s="37"/>
      <c r="BL3266" s="37"/>
      <c r="BM3266" s="37"/>
    </row>
    <row r="3267" spans="1:65" s="40" customFormat="1" ht="23.25" x14ac:dyDescent="0.35">
      <c r="A3267" s="37"/>
      <c r="B3267" s="37"/>
      <c r="C3267" s="41"/>
      <c r="D3267" s="38"/>
      <c r="E3267" s="57"/>
      <c r="F3267" s="42"/>
      <c r="G3267" s="43"/>
      <c r="H3267" s="37"/>
      <c r="I3267" s="37"/>
      <c r="J3267" s="38"/>
      <c r="K3267" s="37"/>
      <c r="L3267" s="38"/>
      <c r="M3267" s="39"/>
      <c r="P3267" s="37"/>
      <c r="Q3267" s="37"/>
      <c r="R3267" s="37"/>
      <c r="S3267" s="37"/>
      <c r="T3267" s="37"/>
      <c r="U3267" s="37"/>
      <c r="V3267" s="37"/>
      <c r="W3267" s="37"/>
      <c r="X3267" s="37"/>
      <c r="Y3267" s="37"/>
      <c r="Z3267" s="37"/>
      <c r="AA3267" s="37"/>
      <c r="AB3267" s="37"/>
      <c r="AC3267" s="37"/>
      <c r="AD3267" s="37"/>
      <c r="AE3267" s="37"/>
      <c r="AF3267" s="37"/>
      <c r="AG3267" s="37"/>
      <c r="AH3267" s="37"/>
      <c r="AI3267" s="37"/>
      <c r="AJ3267" s="37"/>
      <c r="AK3267" s="37"/>
      <c r="AL3267" s="37"/>
      <c r="AM3267" s="37"/>
      <c r="AN3267" s="37"/>
      <c r="AO3267" s="37"/>
      <c r="AP3267" s="37"/>
      <c r="AQ3267" s="37"/>
      <c r="AR3267" s="37"/>
      <c r="AS3267" s="37"/>
      <c r="AT3267" s="37"/>
      <c r="AU3267" s="37"/>
      <c r="AV3267" s="37"/>
      <c r="AW3267" s="37"/>
      <c r="AX3267" s="37"/>
      <c r="AY3267" s="37"/>
      <c r="AZ3267" s="37"/>
      <c r="BA3267" s="37"/>
      <c r="BB3267" s="37"/>
      <c r="BC3267" s="37"/>
      <c r="BD3267" s="37"/>
      <c r="BE3267" s="37"/>
      <c r="BF3267" s="37"/>
      <c r="BG3267" s="37"/>
      <c r="BH3267" s="37"/>
      <c r="BI3267" s="37"/>
      <c r="BJ3267" s="37"/>
      <c r="BK3267" s="37"/>
      <c r="BL3267" s="37"/>
      <c r="BM3267" s="37"/>
    </row>
    <row r="3268" spans="1:65" s="40" customFormat="1" ht="23.25" x14ac:dyDescent="0.35">
      <c r="A3268" s="37"/>
      <c r="B3268" s="37"/>
      <c r="C3268" s="41"/>
      <c r="D3268" s="38"/>
      <c r="E3268" s="57"/>
      <c r="F3268" s="42"/>
      <c r="G3268" s="43"/>
      <c r="H3268" s="37"/>
      <c r="I3268" s="37"/>
      <c r="J3268" s="38"/>
      <c r="K3268" s="37"/>
      <c r="L3268" s="38"/>
      <c r="M3268" s="39"/>
      <c r="P3268" s="37"/>
      <c r="Q3268" s="37"/>
      <c r="R3268" s="37"/>
      <c r="S3268" s="37"/>
      <c r="T3268" s="37"/>
      <c r="U3268" s="37"/>
      <c r="V3268" s="37"/>
      <c r="W3268" s="37"/>
      <c r="X3268" s="37"/>
      <c r="Y3268" s="37"/>
      <c r="Z3268" s="37"/>
      <c r="AA3268" s="37"/>
      <c r="AB3268" s="37"/>
      <c r="AC3268" s="37"/>
      <c r="AD3268" s="37"/>
      <c r="AE3268" s="37"/>
      <c r="AF3268" s="37"/>
      <c r="AG3268" s="37"/>
      <c r="AH3268" s="37"/>
      <c r="AI3268" s="37"/>
      <c r="AJ3268" s="37"/>
      <c r="AK3268" s="37"/>
      <c r="AL3268" s="37"/>
      <c r="AM3268" s="37"/>
      <c r="AN3268" s="37"/>
      <c r="AO3268" s="37"/>
      <c r="AP3268" s="37"/>
      <c r="AQ3268" s="37"/>
      <c r="AR3268" s="37"/>
      <c r="AS3268" s="37"/>
      <c r="AT3268" s="37"/>
      <c r="AU3268" s="37"/>
      <c r="AV3268" s="37"/>
      <c r="AW3268" s="37"/>
      <c r="AX3268" s="37"/>
      <c r="AY3268" s="37"/>
      <c r="AZ3268" s="37"/>
      <c r="BA3268" s="37"/>
      <c r="BB3268" s="37"/>
      <c r="BC3268" s="37"/>
      <c r="BD3268" s="37"/>
      <c r="BE3268" s="37"/>
      <c r="BF3268" s="37"/>
      <c r="BG3268" s="37"/>
      <c r="BH3268" s="37"/>
      <c r="BI3268" s="37"/>
      <c r="BJ3268" s="37"/>
      <c r="BK3268" s="37"/>
      <c r="BL3268" s="37"/>
      <c r="BM3268" s="37"/>
    </row>
    <row r="3269" spans="1:65" s="40" customFormat="1" ht="23.25" x14ac:dyDescent="0.35">
      <c r="A3269" s="37"/>
      <c r="B3269" s="37"/>
      <c r="C3269" s="41"/>
      <c r="D3269" s="38"/>
      <c r="E3269" s="57"/>
      <c r="F3269" s="42"/>
      <c r="G3269" s="43"/>
      <c r="H3269" s="37"/>
      <c r="I3269" s="37"/>
      <c r="J3269" s="38"/>
      <c r="K3269" s="37"/>
      <c r="L3269" s="38"/>
      <c r="M3269" s="39"/>
      <c r="P3269" s="37"/>
      <c r="Q3269" s="37"/>
      <c r="R3269" s="37"/>
      <c r="S3269" s="37"/>
      <c r="T3269" s="37"/>
      <c r="U3269" s="37"/>
      <c r="V3269" s="37"/>
      <c r="W3269" s="37"/>
      <c r="X3269" s="37"/>
      <c r="Y3269" s="37"/>
      <c r="Z3269" s="37"/>
      <c r="AA3269" s="37"/>
      <c r="AB3269" s="37"/>
      <c r="AC3269" s="37"/>
      <c r="AD3269" s="37"/>
      <c r="AE3269" s="37"/>
      <c r="AF3269" s="37"/>
      <c r="AG3269" s="37"/>
      <c r="AH3269" s="37"/>
      <c r="AI3269" s="37"/>
      <c r="AJ3269" s="37"/>
      <c r="AK3269" s="37"/>
      <c r="AL3269" s="37"/>
      <c r="AM3269" s="37"/>
      <c r="AN3269" s="37"/>
      <c r="AO3269" s="37"/>
      <c r="AP3269" s="37"/>
      <c r="AQ3269" s="37"/>
      <c r="AR3269" s="37"/>
      <c r="AS3269" s="37"/>
      <c r="AT3269" s="37"/>
      <c r="AU3269" s="37"/>
      <c r="AV3269" s="37"/>
      <c r="AW3269" s="37"/>
      <c r="AX3269" s="37"/>
      <c r="AY3269" s="37"/>
      <c r="AZ3269" s="37"/>
      <c r="BA3269" s="37"/>
      <c r="BB3269" s="37"/>
      <c r="BC3269" s="37"/>
      <c r="BD3269" s="37"/>
      <c r="BE3269" s="37"/>
      <c r="BF3269" s="37"/>
      <c r="BG3269" s="37"/>
      <c r="BH3269" s="37"/>
      <c r="BI3269" s="37"/>
      <c r="BJ3269" s="37"/>
      <c r="BK3269" s="37"/>
      <c r="BL3269" s="37"/>
      <c r="BM3269" s="37"/>
    </row>
    <row r="3270" spans="1:65" s="40" customFormat="1" ht="23.25" x14ac:dyDescent="0.35">
      <c r="A3270" s="37"/>
      <c r="B3270" s="37"/>
      <c r="C3270" s="41"/>
      <c r="D3270" s="38"/>
      <c r="E3270" s="57"/>
      <c r="F3270" s="42"/>
      <c r="G3270" s="43"/>
      <c r="H3270" s="37"/>
      <c r="I3270" s="37"/>
      <c r="J3270" s="38"/>
      <c r="K3270" s="37"/>
      <c r="L3270" s="38"/>
      <c r="M3270" s="39"/>
      <c r="P3270" s="37"/>
      <c r="Q3270" s="37"/>
      <c r="R3270" s="37"/>
      <c r="S3270" s="37"/>
      <c r="T3270" s="37"/>
      <c r="U3270" s="37"/>
      <c r="V3270" s="37"/>
      <c r="W3270" s="37"/>
      <c r="X3270" s="37"/>
      <c r="Y3270" s="37"/>
      <c r="Z3270" s="37"/>
      <c r="AA3270" s="37"/>
      <c r="AB3270" s="37"/>
      <c r="AC3270" s="37"/>
      <c r="AD3270" s="37"/>
      <c r="AE3270" s="37"/>
      <c r="AF3270" s="37"/>
      <c r="AG3270" s="37"/>
      <c r="AH3270" s="37"/>
      <c r="AI3270" s="37"/>
      <c r="AJ3270" s="37"/>
      <c r="AK3270" s="37"/>
      <c r="AL3270" s="37"/>
      <c r="AM3270" s="37"/>
      <c r="AN3270" s="37"/>
      <c r="AO3270" s="37"/>
      <c r="AP3270" s="37"/>
      <c r="AQ3270" s="37"/>
      <c r="AR3270" s="37"/>
      <c r="AS3270" s="37"/>
      <c r="AT3270" s="37"/>
      <c r="AU3270" s="37"/>
      <c r="AV3270" s="37"/>
      <c r="AW3270" s="37"/>
      <c r="AX3270" s="37"/>
      <c r="AY3270" s="37"/>
      <c r="AZ3270" s="37"/>
      <c r="BA3270" s="37"/>
      <c r="BB3270" s="37"/>
      <c r="BC3270" s="37"/>
      <c r="BD3270" s="37"/>
      <c r="BE3270" s="37"/>
      <c r="BF3270" s="37"/>
      <c r="BG3270" s="37"/>
      <c r="BH3270" s="37"/>
      <c r="BI3270" s="37"/>
      <c r="BJ3270" s="37"/>
      <c r="BK3270" s="37"/>
      <c r="BL3270" s="37"/>
      <c r="BM3270" s="37"/>
    </row>
    <row r="3271" spans="1:65" s="40" customFormat="1" ht="23.25" x14ac:dyDescent="0.35">
      <c r="A3271" s="37"/>
      <c r="B3271" s="37"/>
      <c r="C3271" s="41"/>
      <c r="D3271" s="38"/>
      <c r="E3271" s="57"/>
      <c r="F3271" s="42"/>
      <c r="G3271" s="43"/>
      <c r="H3271" s="37"/>
      <c r="I3271" s="37"/>
      <c r="J3271" s="38"/>
      <c r="K3271" s="37"/>
      <c r="L3271" s="38"/>
      <c r="M3271" s="39"/>
      <c r="P3271" s="37"/>
      <c r="Q3271" s="37"/>
      <c r="R3271" s="37"/>
      <c r="S3271" s="37"/>
      <c r="T3271" s="37"/>
      <c r="U3271" s="37"/>
      <c r="V3271" s="37"/>
      <c r="W3271" s="37"/>
      <c r="X3271" s="37"/>
      <c r="Y3271" s="37"/>
      <c r="Z3271" s="37"/>
      <c r="AA3271" s="37"/>
      <c r="AB3271" s="37"/>
      <c r="AC3271" s="37"/>
      <c r="AD3271" s="37"/>
      <c r="AE3271" s="37"/>
      <c r="AF3271" s="37"/>
      <c r="AG3271" s="37"/>
      <c r="AH3271" s="37"/>
      <c r="AI3271" s="37"/>
      <c r="AJ3271" s="37"/>
      <c r="AK3271" s="37"/>
      <c r="AL3271" s="37"/>
      <c r="AM3271" s="37"/>
      <c r="AN3271" s="37"/>
      <c r="AO3271" s="37"/>
      <c r="AP3271" s="37"/>
      <c r="AQ3271" s="37"/>
      <c r="AR3271" s="37"/>
      <c r="AS3271" s="37"/>
      <c r="AT3271" s="37"/>
      <c r="AU3271" s="37"/>
      <c r="AV3271" s="37"/>
      <c r="AW3271" s="37"/>
      <c r="AX3271" s="37"/>
      <c r="AY3271" s="37"/>
      <c r="AZ3271" s="37"/>
      <c r="BA3271" s="37"/>
      <c r="BB3271" s="37"/>
      <c r="BC3271" s="37"/>
      <c r="BD3271" s="37"/>
      <c r="BE3271" s="37"/>
      <c r="BF3271" s="37"/>
      <c r="BG3271" s="37"/>
      <c r="BH3271" s="37"/>
      <c r="BI3271" s="37"/>
      <c r="BJ3271" s="37"/>
      <c r="BK3271" s="37"/>
      <c r="BL3271" s="37"/>
      <c r="BM3271" s="37"/>
    </row>
    <row r="3272" spans="1:65" s="40" customFormat="1" ht="23.25" x14ac:dyDescent="0.35">
      <c r="A3272" s="37"/>
      <c r="B3272" s="37"/>
      <c r="C3272" s="41"/>
      <c r="D3272" s="38"/>
      <c r="E3272" s="57"/>
      <c r="F3272" s="42"/>
      <c r="G3272" s="43"/>
      <c r="H3272" s="37"/>
      <c r="I3272" s="37"/>
      <c r="J3272" s="38"/>
      <c r="K3272" s="37"/>
      <c r="L3272" s="38"/>
      <c r="M3272" s="39"/>
      <c r="P3272" s="37"/>
      <c r="Q3272" s="37"/>
      <c r="R3272" s="37"/>
      <c r="S3272" s="37"/>
      <c r="T3272" s="37"/>
      <c r="U3272" s="37"/>
      <c r="V3272" s="37"/>
      <c r="W3272" s="37"/>
      <c r="X3272" s="37"/>
      <c r="Y3272" s="37"/>
      <c r="Z3272" s="37"/>
      <c r="AA3272" s="37"/>
      <c r="AB3272" s="37"/>
      <c r="AC3272" s="37"/>
      <c r="AD3272" s="37"/>
      <c r="AE3272" s="37"/>
      <c r="AF3272" s="37"/>
      <c r="AG3272" s="37"/>
      <c r="AH3272" s="37"/>
      <c r="AI3272" s="37"/>
      <c r="AJ3272" s="37"/>
      <c r="AK3272" s="37"/>
      <c r="AL3272" s="37"/>
      <c r="AM3272" s="37"/>
      <c r="AN3272" s="37"/>
      <c r="AO3272" s="37"/>
      <c r="AP3272" s="37"/>
      <c r="AQ3272" s="37"/>
      <c r="AR3272" s="37"/>
      <c r="AS3272" s="37"/>
      <c r="AT3272" s="37"/>
      <c r="AU3272" s="37"/>
      <c r="AV3272" s="37"/>
      <c r="AW3272" s="37"/>
      <c r="AX3272" s="37"/>
      <c r="AY3272" s="37"/>
      <c r="AZ3272" s="37"/>
      <c r="BA3272" s="37"/>
      <c r="BB3272" s="37"/>
      <c r="BC3272" s="37"/>
      <c r="BD3272" s="37"/>
      <c r="BE3272" s="37"/>
      <c r="BF3272" s="37"/>
      <c r="BG3272" s="37"/>
      <c r="BH3272" s="37"/>
      <c r="BI3272" s="37"/>
      <c r="BJ3272" s="37"/>
      <c r="BK3272" s="37"/>
      <c r="BL3272" s="37"/>
      <c r="BM3272" s="37"/>
    </row>
    <row r="3273" spans="1:65" s="40" customFormat="1" ht="23.25" x14ac:dyDescent="0.35">
      <c r="A3273" s="37"/>
      <c r="B3273" s="37"/>
      <c r="C3273" s="41"/>
      <c r="D3273" s="38"/>
      <c r="E3273" s="57"/>
      <c r="F3273" s="42"/>
      <c r="G3273" s="43"/>
      <c r="H3273" s="37"/>
      <c r="I3273" s="37"/>
      <c r="J3273" s="38"/>
      <c r="K3273" s="37"/>
      <c r="L3273" s="38"/>
      <c r="M3273" s="39"/>
      <c r="P3273" s="37"/>
      <c r="Q3273" s="37"/>
      <c r="R3273" s="37"/>
      <c r="S3273" s="37"/>
      <c r="T3273" s="37"/>
      <c r="U3273" s="37"/>
      <c r="V3273" s="37"/>
      <c r="W3273" s="37"/>
      <c r="X3273" s="37"/>
      <c r="Y3273" s="37"/>
      <c r="Z3273" s="37"/>
      <c r="AA3273" s="37"/>
      <c r="AB3273" s="37"/>
      <c r="AC3273" s="37"/>
      <c r="AD3273" s="37"/>
      <c r="AE3273" s="37"/>
      <c r="AF3273" s="37"/>
      <c r="AG3273" s="37"/>
      <c r="AH3273" s="37"/>
      <c r="AI3273" s="37"/>
      <c r="AJ3273" s="37"/>
      <c r="AK3273" s="37"/>
      <c r="AL3273" s="37"/>
      <c r="AM3273" s="37"/>
      <c r="AN3273" s="37"/>
      <c r="AO3273" s="37"/>
      <c r="AP3273" s="37"/>
      <c r="AQ3273" s="37"/>
      <c r="AR3273" s="37"/>
      <c r="AS3273" s="37"/>
      <c r="AT3273" s="37"/>
      <c r="AU3273" s="37"/>
      <c r="AV3273" s="37"/>
      <c r="AW3273" s="37"/>
      <c r="AX3273" s="37"/>
      <c r="AY3273" s="37"/>
      <c r="AZ3273" s="37"/>
      <c r="BA3273" s="37"/>
      <c r="BB3273" s="37"/>
      <c r="BC3273" s="37"/>
      <c r="BD3273" s="37"/>
      <c r="BE3273" s="37"/>
      <c r="BF3273" s="37"/>
      <c r="BG3273" s="37"/>
      <c r="BH3273" s="37"/>
      <c r="BI3273" s="37"/>
      <c r="BJ3273" s="37"/>
      <c r="BK3273" s="37"/>
      <c r="BL3273" s="37"/>
      <c r="BM3273" s="37"/>
    </row>
    <row r="3274" spans="1:65" s="40" customFormat="1" ht="23.25" x14ac:dyDescent="0.35">
      <c r="A3274" s="37"/>
      <c r="B3274" s="37"/>
      <c r="C3274" s="41"/>
      <c r="D3274" s="38"/>
      <c r="E3274" s="57"/>
      <c r="F3274" s="42"/>
      <c r="G3274" s="43"/>
      <c r="H3274" s="37"/>
      <c r="I3274" s="37"/>
      <c r="J3274" s="38"/>
      <c r="K3274" s="37"/>
      <c r="L3274" s="38"/>
      <c r="M3274" s="39"/>
      <c r="P3274" s="37"/>
      <c r="Q3274" s="37"/>
      <c r="R3274" s="37"/>
      <c r="S3274" s="37"/>
      <c r="T3274" s="37"/>
      <c r="U3274" s="37"/>
      <c r="V3274" s="37"/>
      <c r="W3274" s="37"/>
      <c r="X3274" s="37"/>
      <c r="Y3274" s="37"/>
      <c r="Z3274" s="37"/>
      <c r="AA3274" s="37"/>
      <c r="AB3274" s="37"/>
      <c r="AC3274" s="37"/>
      <c r="AD3274" s="37"/>
      <c r="AE3274" s="37"/>
      <c r="AF3274" s="37"/>
      <c r="AG3274" s="37"/>
      <c r="AH3274" s="37"/>
      <c r="AI3274" s="37"/>
      <c r="AJ3274" s="37"/>
      <c r="AK3274" s="37"/>
      <c r="AL3274" s="37"/>
      <c r="AM3274" s="37"/>
      <c r="AN3274" s="37"/>
      <c r="AO3274" s="37"/>
      <c r="AP3274" s="37"/>
      <c r="AQ3274" s="37"/>
      <c r="AR3274" s="37"/>
      <c r="AS3274" s="37"/>
      <c r="AT3274" s="37"/>
      <c r="AU3274" s="37"/>
      <c r="AV3274" s="37"/>
      <c r="AW3274" s="37"/>
      <c r="AX3274" s="37"/>
      <c r="AY3274" s="37"/>
      <c r="AZ3274" s="37"/>
      <c r="BA3274" s="37"/>
      <c r="BB3274" s="37"/>
      <c r="BC3274" s="37"/>
      <c r="BD3274" s="37"/>
      <c r="BE3274" s="37"/>
      <c r="BF3274" s="37"/>
      <c r="BG3274" s="37"/>
      <c r="BH3274" s="37"/>
      <c r="BI3274" s="37"/>
      <c r="BJ3274" s="37"/>
      <c r="BK3274" s="37"/>
      <c r="BL3274" s="37"/>
      <c r="BM3274" s="37"/>
    </row>
    <row r="3275" spans="1:65" s="40" customFormat="1" ht="23.25" x14ac:dyDescent="0.35">
      <c r="A3275" s="37"/>
      <c r="B3275" s="37"/>
      <c r="C3275" s="41"/>
      <c r="D3275" s="38"/>
      <c r="E3275" s="57"/>
      <c r="F3275" s="42"/>
      <c r="G3275" s="43"/>
      <c r="H3275" s="37"/>
      <c r="I3275" s="37"/>
      <c r="J3275" s="38"/>
      <c r="K3275" s="37"/>
      <c r="L3275" s="38"/>
      <c r="M3275" s="39"/>
      <c r="P3275" s="37"/>
      <c r="Q3275" s="37"/>
      <c r="R3275" s="37"/>
      <c r="S3275" s="37"/>
      <c r="T3275" s="37"/>
      <c r="U3275" s="37"/>
      <c r="V3275" s="37"/>
      <c r="W3275" s="37"/>
      <c r="X3275" s="37"/>
      <c r="Y3275" s="37"/>
      <c r="Z3275" s="37"/>
      <c r="AA3275" s="37"/>
      <c r="AB3275" s="37"/>
      <c r="AC3275" s="37"/>
      <c r="AD3275" s="37"/>
      <c r="AE3275" s="37"/>
      <c r="AF3275" s="37"/>
      <c r="AG3275" s="37"/>
      <c r="AH3275" s="37"/>
      <c r="AI3275" s="37"/>
      <c r="AJ3275" s="37"/>
      <c r="AK3275" s="37"/>
      <c r="AL3275" s="37"/>
      <c r="AM3275" s="37"/>
      <c r="AN3275" s="37"/>
      <c r="AO3275" s="37"/>
      <c r="AP3275" s="37"/>
      <c r="AQ3275" s="37"/>
      <c r="AR3275" s="37"/>
      <c r="AS3275" s="37"/>
      <c r="AT3275" s="37"/>
      <c r="AU3275" s="37"/>
      <c r="AV3275" s="37"/>
      <c r="AW3275" s="37"/>
      <c r="AX3275" s="37"/>
      <c r="AY3275" s="37"/>
      <c r="AZ3275" s="37"/>
      <c r="BA3275" s="37"/>
      <c r="BB3275" s="37"/>
      <c r="BC3275" s="37"/>
      <c r="BD3275" s="37"/>
      <c r="BE3275" s="37"/>
      <c r="BF3275" s="37"/>
      <c r="BG3275" s="37"/>
      <c r="BH3275" s="37"/>
      <c r="BI3275" s="37"/>
      <c r="BJ3275" s="37"/>
      <c r="BK3275" s="37"/>
      <c r="BL3275" s="37"/>
      <c r="BM3275" s="37"/>
    </row>
    <row r="3276" spans="1:65" s="40" customFormat="1" ht="23.25" x14ac:dyDescent="0.35">
      <c r="A3276" s="37"/>
      <c r="B3276" s="37"/>
      <c r="C3276" s="41"/>
      <c r="D3276" s="38"/>
      <c r="E3276" s="57"/>
      <c r="F3276" s="42"/>
      <c r="G3276" s="43"/>
      <c r="H3276" s="37"/>
      <c r="I3276" s="37"/>
      <c r="J3276" s="38"/>
      <c r="K3276" s="37"/>
      <c r="L3276" s="38"/>
      <c r="M3276" s="39"/>
      <c r="P3276" s="37"/>
      <c r="Q3276" s="37"/>
      <c r="R3276" s="37"/>
      <c r="S3276" s="37"/>
      <c r="T3276" s="37"/>
      <c r="U3276" s="37"/>
      <c r="V3276" s="37"/>
      <c r="W3276" s="37"/>
      <c r="X3276" s="37"/>
      <c r="Y3276" s="37"/>
      <c r="Z3276" s="37"/>
      <c r="AA3276" s="37"/>
      <c r="AB3276" s="37"/>
      <c r="AC3276" s="37"/>
      <c r="AD3276" s="37"/>
      <c r="AE3276" s="37"/>
      <c r="AF3276" s="37"/>
      <c r="AG3276" s="37"/>
      <c r="AH3276" s="37"/>
      <c r="AI3276" s="37"/>
      <c r="AJ3276" s="37"/>
      <c r="AK3276" s="37"/>
      <c r="AL3276" s="37"/>
      <c r="AM3276" s="37"/>
      <c r="AN3276" s="37"/>
      <c r="AO3276" s="37"/>
      <c r="AP3276" s="37"/>
      <c r="AQ3276" s="37"/>
      <c r="AR3276" s="37"/>
      <c r="AS3276" s="37"/>
      <c r="AT3276" s="37"/>
      <c r="AU3276" s="37"/>
      <c r="AV3276" s="37"/>
      <c r="AW3276" s="37"/>
      <c r="AX3276" s="37"/>
      <c r="AY3276" s="37"/>
      <c r="AZ3276" s="37"/>
      <c r="BA3276" s="37"/>
      <c r="BB3276" s="37"/>
      <c r="BC3276" s="37"/>
      <c r="BD3276" s="37"/>
      <c r="BE3276" s="37"/>
      <c r="BF3276" s="37"/>
      <c r="BG3276" s="37"/>
      <c r="BH3276" s="37"/>
      <c r="BI3276" s="37"/>
      <c r="BJ3276" s="37"/>
      <c r="BK3276" s="37"/>
      <c r="BL3276" s="37"/>
      <c r="BM3276" s="37"/>
    </row>
    <row r="3277" spans="1:65" s="40" customFormat="1" ht="23.25" x14ac:dyDescent="0.35">
      <c r="A3277" s="37"/>
      <c r="B3277" s="37"/>
      <c r="C3277" s="41"/>
      <c r="D3277" s="38"/>
      <c r="E3277" s="57"/>
      <c r="F3277" s="42"/>
      <c r="G3277" s="43"/>
      <c r="H3277" s="37"/>
      <c r="I3277" s="37"/>
      <c r="J3277" s="38"/>
      <c r="K3277" s="37"/>
      <c r="L3277" s="38"/>
      <c r="M3277" s="39"/>
      <c r="P3277" s="37"/>
      <c r="Q3277" s="37"/>
      <c r="R3277" s="37"/>
      <c r="S3277" s="37"/>
      <c r="T3277" s="37"/>
      <c r="U3277" s="37"/>
      <c r="V3277" s="37"/>
      <c r="W3277" s="37"/>
      <c r="X3277" s="37"/>
      <c r="Y3277" s="37"/>
      <c r="Z3277" s="37"/>
      <c r="AA3277" s="37"/>
      <c r="AB3277" s="37"/>
      <c r="AC3277" s="37"/>
      <c r="AD3277" s="37"/>
      <c r="AE3277" s="37"/>
      <c r="AF3277" s="37"/>
      <c r="AG3277" s="37"/>
      <c r="AH3277" s="37"/>
      <c r="AI3277" s="37"/>
      <c r="AJ3277" s="37"/>
      <c r="AK3277" s="37"/>
      <c r="AL3277" s="37"/>
      <c r="AM3277" s="37"/>
      <c r="AN3277" s="37"/>
      <c r="AO3277" s="37"/>
      <c r="AP3277" s="37"/>
      <c r="AQ3277" s="37"/>
      <c r="AR3277" s="37"/>
      <c r="AS3277" s="37"/>
      <c r="AT3277" s="37"/>
      <c r="AU3277" s="37"/>
      <c r="AV3277" s="37"/>
      <c r="AW3277" s="37"/>
      <c r="AX3277" s="37"/>
      <c r="AY3277" s="37"/>
      <c r="AZ3277" s="37"/>
      <c r="BA3277" s="37"/>
      <c r="BB3277" s="37"/>
      <c r="BC3277" s="37"/>
      <c r="BD3277" s="37"/>
      <c r="BE3277" s="37"/>
      <c r="BF3277" s="37"/>
      <c r="BG3277" s="37"/>
      <c r="BH3277" s="37"/>
      <c r="BI3277" s="37"/>
      <c r="BJ3277" s="37"/>
      <c r="BK3277" s="37"/>
      <c r="BL3277" s="37"/>
      <c r="BM3277" s="37"/>
    </row>
    <row r="3278" spans="1:65" s="40" customFormat="1" ht="23.25" x14ac:dyDescent="0.35">
      <c r="A3278" s="37"/>
      <c r="B3278" s="37"/>
      <c r="C3278" s="41"/>
      <c r="D3278" s="38"/>
      <c r="E3278" s="57"/>
      <c r="F3278" s="42"/>
      <c r="G3278" s="43"/>
      <c r="H3278" s="37"/>
      <c r="I3278" s="37"/>
      <c r="J3278" s="38"/>
      <c r="K3278" s="37"/>
      <c r="L3278" s="38"/>
      <c r="M3278" s="39"/>
      <c r="P3278" s="37"/>
      <c r="Q3278" s="37"/>
      <c r="R3278" s="37"/>
      <c r="S3278" s="37"/>
      <c r="T3278" s="37"/>
      <c r="U3278" s="37"/>
      <c r="V3278" s="37"/>
      <c r="W3278" s="37"/>
      <c r="X3278" s="37"/>
      <c r="Y3278" s="37"/>
      <c r="Z3278" s="37"/>
      <c r="AA3278" s="37"/>
      <c r="AB3278" s="37"/>
      <c r="AC3278" s="37"/>
      <c r="AD3278" s="37"/>
      <c r="AE3278" s="37"/>
      <c r="AF3278" s="37"/>
      <c r="AG3278" s="37"/>
      <c r="AH3278" s="37"/>
      <c r="AI3278" s="37"/>
      <c r="AJ3278" s="37"/>
      <c r="AK3278" s="37"/>
      <c r="AL3278" s="37"/>
      <c r="AM3278" s="37"/>
      <c r="AN3278" s="37"/>
      <c r="AO3278" s="37"/>
      <c r="AP3278" s="37"/>
      <c r="AQ3278" s="37"/>
      <c r="AR3278" s="37"/>
      <c r="AS3278" s="37"/>
      <c r="AT3278" s="37"/>
      <c r="AU3278" s="37"/>
      <c r="AV3278" s="37"/>
      <c r="AW3278" s="37"/>
      <c r="AX3278" s="37"/>
      <c r="AY3278" s="37"/>
      <c r="AZ3278" s="37"/>
      <c r="BA3278" s="37"/>
      <c r="BB3278" s="37"/>
      <c r="BC3278" s="37"/>
      <c r="BD3278" s="37"/>
      <c r="BE3278" s="37"/>
      <c r="BF3278" s="37"/>
      <c r="BG3278" s="37"/>
      <c r="BH3278" s="37"/>
      <c r="BI3278" s="37"/>
      <c r="BJ3278" s="37"/>
      <c r="BK3278" s="37"/>
      <c r="BL3278" s="37"/>
      <c r="BM3278" s="37"/>
    </row>
    <row r="3279" spans="1:65" s="40" customFormat="1" ht="23.25" x14ac:dyDescent="0.35">
      <c r="A3279" s="37"/>
      <c r="B3279" s="37"/>
      <c r="C3279" s="41"/>
      <c r="D3279" s="38"/>
      <c r="E3279" s="57"/>
      <c r="F3279" s="42"/>
      <c r="G3279" s="43"/>
      <c r="H3279" s="37"/>
      <c r="I3279" s="37"/>
      <c r="J3279" s="38"/>
      <c r="K3279" s="37"/>
      <c r="L3279" s="38"/>
      <c r="M3279" s="39"/>
      <c r="P3279" s="37"/>
      <c r="Q3279" s="37"/>
      <c r="R3279" s="37"/>
      <c r="S3279" s="37"/>
      <c r="T3279" s="37"/>
      <c r="U3279" s="37"/>
      <c r="V3279" s="37"/>
      <c r="W3279" s="37"/>
      <c r="X3279" s="37"/>
      <c r="Y3279" s="37"/>
      <c r="Z3279" s="37"/>
      <c r="AA3279" s="37"/>
      <c r="AB3279" s="37"/>
      <c r="AC3279" s="37"/>
      <c r="AD3279" s="37"/>
      <c r="AE3279" s="37"/>
      <c r="AF3279" s="37"/>
      <c r="AG3279" s="37"/>
      <c r="AH3279" s="37"/>
      <c r="AI3279" s="37"/>
      <c r="AJ3279" s="37"/>
      <c r="AK3279" s="37"/>
      <c r="AL3279" s="37"/>
      <c r="AM3279" s="37"/>
      <c r="AN3279" s="37"/>
      <c r="AO3279" s="37"/>
      <c r="AP3279" s="37"/>
      <c r="AQ3279" s="37"/>
      <c r="AR3279" s="37"/>
      <c r="AS3279" s="37"/>
      <c r="AT3279" s="37"/>
      <c r="AU3279" s="37"/>
      <c r="AV3279" s="37"/>
      <c r="AW3279" s="37"/>
      <c r="AX3279" s="37"/>
      <c r="AY3279" s="37"/>
      <c r="AZ3279" s="37"/>
      <c r="BA3279" s="37"/>
      <c r="BB3279" s="37"/>
      <c r="BC3279" s="37"/>
      <c r="BD3279" s="37"/>
      <c r="BE3279" s="37"/>
      <c r="BF3279" s="37"/>
      <c r="BG3279" s="37"/>
      <c r="BH3279" s="37"/>
      <c r="BI3279" s="37"/>
      <c r="BJ3279" s="37"/>
      <c r="BK3279" s="37"/>
      <c r="BL3279" s="37"/>
      <c r="BM3279" s="37"/>
    </row>
    <row r="3280" spans="1:65" s="40" customFormat="1" ht="23.25" x14ac:dyDescent="0.35">
      <c r="A3280" s="37"/>
      <c r="B3280" s="37"/>
      <c r="C3280" s="41"/>
      <c r="D3280" s="38"/>
      <c r="E3280" s="57"/>
      <c r="F3280" s="42"/>
      <c r="G3280" s="43"/>
      <c r="H3280" s="37"/>
      <c r="I3280" s="37"/>
      <c r="J3280" s="38"/>
      <c r="K3280" s="37"/>
      <c r="L3280" s="38"/>
      <c r="M3280" s="39"/>
      <c r="P3280" s="37"/>
      <c r="Q3280" s="37"/>
      <c r="R3280" s="37"/>
      <c r="S3280" s="37"/>
      <c r="T3280" s="37"/>
      <c r="U3280" s="37"/>
      <c r="V3280" s="37"/>
      <c r="W3280" s="37"/>
      <c r="X3280" s="37"/>
      <c r="Y3280" s="37"/>
      <c r="Z3280" s="37"/>
      <c r="AA3280" s="37"/>
      <c r="AB3280" s="37"/>
      <c r="AC3280" s="37"/>
      <c r="AD3280" s="37"/>
      <c r="AE3280" s="37"/>
      <c r="AF3280" s="37"/>
      <c r="AG3280" s="37"/>
      <c r="AH3280" s="37"/>
      <c r="AI3280" s="37"/>
      <c r="AJ3280" s="37"/>
      <c r="AK3280" s="37"/>
      <c r="AL3280" s="37"/>
      <c r="AM3280" s="37"/>
      <c r="AN3280" s="37"/>
      <c r="AO3280" s="37"/>
      <c r="AP3280" s="37"/>
      <c r="AQ3280" s="37"/>
      <c r="AR3280" s="37"/>
      <c r="AS3280" s="37"/>
      <c r="AT3280" s="37"/>
      <c r="AU3280" s="37"/>
      <c r="AV3280" s="37"/>
      <c r="AW3280" s="37"/>
      <c r="AX3280" s="37"/>
      <c r="AY3280" s="37"/>
      <c r="AZ3280" s="37"/>
      <c r="BA3280" s="37"/>
      <c r="BB3280" s="37"/>
      <c r="BC3280" s="37"/>
      <c r="BD3280" s="37"/>
      <c r="BE3280" s="37"/>
      <c r="BF3280" s="37"/>
      <c r="BG3280" s="37"/>
      <c r="BH3280" s="37"/>
      <c r="BI3280" s="37"/>
      <c r="BJ3280" s="37"/>
      <c r="BK3280" s="37"/>
      <c r="BL3280" s="37"/>
      <c r="BM3280" s="37"/>
    </row>
    <row r="3281" spans="1:65" s="40" customFormat="1" ht="23.25" x14ac:dyDescent="0.35">
      <c r="A3281" s="37"/>
      <c r="B3281" s="37"/>
      <c r="C3281" s="41"/>
      <c r="D3281" s="38"/>
      <c r="E3281" s="57"/>
      <c r="F3281" s="42"/>
      <c r="G3281" s="43"/>
      <c r="H3281" s="37"/>
      <c r="I3281" s="37"/>
      <c r="J3281" s="38"/>
      <c r="K3281" s="37"/>
      <c r="L3281" s="38"/>
      <c r="M3281" s="39"/>
      <c r="P3281" s="37"/>
      <c r="Q3281" s="37"/>
      <c r="R3281" s="37"/>
      <c r="S3281" s="37"/>
      <c r="T3281" s="37"/>
      <c r="U3281" s="37"/>
      <c r="V3281" s="37"/>
      <c r="W3281" s="37"/>
      <c r="X3281" s="37"/>
      <c r="Y3281" s="37"/>
      <c r="Z3281" s="37"/>
      <c r="AA3281" s="37"/>
      <c r="AB3281" s="37"/>
      <c r="AC3281" s="37"/>
      <c r="AD3281" s="37"/>
      <c r="AE3281" s="37"/>
      <c r="AF3281" s="37"/>
      <c r="AG3281" s="37"/>
      <c r="AH3281" s="37"/>
      <c r="AI3281" s="37"/>
      <c r="AJ3281" s="37"/>
      <c r="AK3281" s="37"/>
      <c r="AL3281" s="37"/>
      <c r="AM3281" s="37"/>
      <c r="AN3281" s="37"/>
      <c r="AO3281" s="37"/>
      <c r="AP3281" s="37"/>
      <c r="AQ3281" s="37"/>
      <c r="AR3281" s="37"/>
      <c r="AS3281" s="37"/>
      <c r="AT3281" s="37"/>
      <c r="AU3281" s="37"/>
      <c r="AV3281" s="37"/>
      <c r="AW3281" s="37"/>
      <c r="AX3281" s="37"/>
      <c r="AY3281" s="37"/>
      <c r="AZ3281" s="37"/>
      <c r="BA3281" s="37"/>
      <c r="BB3281" s="37"/>
      <c r="BC3281" s="37"/>
      <c r="BD3281" s="37"/>
      <c r="BE3281" s="37"/>
      <c r="BF3281" s="37"/>
      <c r="BG3281" s="37"/>
      <c r="BH3281" s="37"/>
      <c r="BI3281" s="37"/>
      <c r="BJ3281" s="37"/>
      <c r="BK3281" s="37"/>
      <c r="BL3281" s="37"/>
      <c r="BM3281" s="37"/>
    </row>
    <row r="3282" spans="1:65" s="40" customFormat="1" ht="23.25" x14ac:dyDescent="0.35">
      <c r="A3282" s="37"/>
      <c r="B3282" s="37"/>
      <c r="C3282" s="41"/>
      <c r="D3282" s="38"/>
      <c r="E3282" s="57"/>
      <c r="F3282" s="42"/>
      <c r="G3282" s="43"/>
      <c r="H3282" s="37"/>
      <c r="I3282" s="37"/>
      <c r="J3282" s="38"/>
      <c r="K3282" s="37"/>
      <c r="L3282" s="38"/>
      <c r="M3282" s="39"/>
      <c r="P3282" s="37"/>
      <c r="Q3282" s="37"/>
      <c r="R3282" s="37"/>
      <c r="S3282" s="37"/>
      <c r="T3282" s="37"/>
      <c r="U3282" s="37"/>
      <c r="V3282" s="37"/>
      <c r="W3282" s="37"/>
      <c r="X3282" s="37"/>
      <c r="Y3282" s="37"/>
      <c r="Z3282" s="37"/>
      <c r="AA3282" s="37"/>
      <c r="AB3282" s="37"/>
      <c r="AC3282" s="37"/>
      <c r="AD3282" s="37"/>
      <c r="AE3282" s="37"/>
      <c r="AF3282" s="37"/>
      <c r="AG3282" s="37"/>
      <c r="AH3282" s="37"/>
      <c r="AI3282" s="37"/>
      <c r="AJ3282" s="37"/>
      <c r="AK3282" s="37"/>
      <c r="AL3282" s="37"/>
      <c r="AM3282" s="37"/>
      <c r="AN3282" s="37"/>
      <c r="AO3282" s="37"/>
      <c r="AP3282" s="37"/>
      <c r="AQ3282" s="37"/>
      <c r="AR3282" s="37"/>
      <c r="AS3282" s="37"/>
      <c r="AT3282" s="37"/>
      <c r="AU3282" s="37"/>
      <c r="AV3282" s="37"/>
      <c r="AW3282" s="37"/>
      <c r="AX3282" s="37"/>
      <c r="AY3282" s="37"/>
      <c r="AZ3282" s="37"/>
      <c r="BA3282" s="37"/>
      <c r="BB3282" s="37"/>
      <c r="BC3282" s="37"/>
      <c r="BD3282" s="37"/>
      <c r="BE3282" s="37"/>
      <c r="BF3282" s="37"/>
      <c r="BG3282" s="37"/>
      <c r="BH3282" s="37"/>
      <c r="BI3282" s="37"/>
      <c r="BJ3282" s="37"/>
      <c r="BK3282" s="37"/>
      <c r="BL3282" s="37"/>
      <c r="BM3282" s="37"/>
    </row>
    <row r="3283" spans="1:65" s="40" customFormat="1" ht="23.25" x14ac:dyDescent="0.35">
      <c r="A3283" s="37"/>
      <c r="B3283" s="37"/>
      <c r="C3283" s="41"/>
      <c r="D3283" s="38"/>
      <c r="E3283" s="57"/>
      <c r="F3283" s="42"/>
      <c r="G3283" s="43"/>
      <c r="H3283" s="37"/>
      <c r="I3283" s="37"/>
      <c r="J3283" s="38"/>
      <c r="K3283" s="37"/>
      <c r="L3283" s="38"/>
      <c r="M3283" s="39"/>
      <c r="P3283" s="37"/>
      <c r="Q3283" s="37"/>
      <c r="R3283" s="37"/>
      <c r="S3283" s="37"/>
      <c r="T3283" s="37"/>
      <c r="U3283" s="37"/>
      <c r="V3283" s="37"/>
      <c r="W3283" s="37"/>
      <c r="X3283" s="37"/>
      <c r="Y3283" s="37"/>
      <c r="Z3283" s="37"/>
      <c r="AA3283" s="37"/>
      <c r="AB3283" s="37"/>
      <c r="AC3283" s="37"/>
      <c r="AD3283" s="37"/>
      <c r="AE3283" s="37"/>
      <c r="AF3283" s="37"/>
      <c r="AG3283" s="37"/>
      <c r="AH3283" s="37"/>
      <c r="AI3283" s="37"/>
      <c r="AJ3283" s="37"/>
      <c r="AK3283" s="37"/>
      <c r="AL3283" s="37"/>
      <c r="AM3283" s="37"/>
      <c r="AN3283" s="37"/>
      <c r="AO3283" s="37"/>
      <c r="AP3283" s="37"/>
      <c r="AQ3283" s="37"/>
      <c r="AR3283" s="37"/>
      <c r="AS3283" s="37"/>
      <c r="AT3283" s="37"/>
      <c r="AU3283" s="37"/>
      <c r="AV3283" s="37"/>
      <c r="AW3283" s="37"/>
      <c r="AX3283" s="37"/>
      <c r="AY3283" s="37"/>
      <c r="AZ3283" s="37"/>
      <c r="BA3283" s="37"/>
      <c r="BB3283" s="37"/>
      <c r="BC3283" s="37"/>
      <c r="BD3283" s="37"/>
      <c r="BE3283" s="37"/>
      <c r="BF3283" s="37"/>
      <c r="BG3283" s="37"/>
      <c r="BH3283" s="37"/>
      <c r="BI3283" s="37"/>
      <c r="BJ3283" s="37"/>
      <c r="BK3283" s="37"/>
      <c r="BL3283" s="37"/>
      <c r="BM3283" s="37"/>
    </row>
    <row r="3284" spans="1:65" s="40" customFormat="1" ht="23.25" x14ac:dyDescent="0.35">
      <c r="A3284" s="37"/>
      <c r="B3284" s="37"/>
      <c r="C3284" s="41"/>
      <c r="D3284" s="38"/>
      <c r="E3284" s="57"/>
      <c r="F3284" s="42"/>
      <c r="G3284" s="43"/>
      <c r="H3284" s="37"/>
      <c r="I3284" s="37"/>
      <c r="J3284" s="38"/>
      <c r="K3284" s="37"/>
      <c r="L3284" s="38"/>
      <c r="M3284" s="39"/>
      <c r="P3284" s="37"/>
      <c r="Q3284" s="37"/>
      <c r="R3284" s="37"/>
      <c r="S3284" s="37"/>
      <c r="T3284" s="37"/>
      <c r="U3284" s="37"/>
      <c r="V3284" s="37"/>
      <c r="W3284" s="37"/>
      <c r="X3284" s="37"/>
      <c r="Y3284" s="37"/>
      <c r="Z3284" s="37"/>
      <c r="AA3284" s="37"/>
      <c r="AB3284" s="37"/>
      <c r="AC3284" s="37"/>
      <c r="AD3284" s="37"/>
      <c r="AE3284" s="37"/>
      <c r="AF3284" s="37"/>
      <c r="AG3284" s="37"/>
      <c r="AH3284" s="37"/>
      <c r="AI3284" s="37"/>
      <c r="AJ3284" s="37"/>
      <c r="AK3284" s="37"/>
      <c r="AL3284" s="37"/>
      <c r="AM3284" s="37"/>
      <c r="AN3284" s="37"/>
      <c r="AO3284" s="37"/>
      <c r="AP3284" s="37"/>
      <c r="AQ3284" s="37"/>
      <c r="AR3284" s="37"/>
      <c r="AS3284" s="37"/>
      <c r="AT3284" s="37"/>
      <c r="AU3284" s="37"/>
      <c r="AV3284" s="37"/>
      <c r="AW3284" s="37"/>
      <c r="AX3284" s="37"/>
      <c r="AY3284" s="37"/>
      <c r="AZ3284" s="37"/>
      <c r="BA3284" s="37"/>
      <c r="BB3284" s="37"/>
      <c r="BC3284" s="37"/>
      <c r="BD3284" s="37"/>
      <c r="BE3284" s="37"/>
      <c r="BF3284" s="37"/>
      <c r="BG3284" s="37"/>
      <c r="BH3284" s="37"/>
      <c r="BI3284" s="37"/>
      <c r="BJ3284" s="37"/>
      <c r="BK3284" s="37"/>
      <c r="BL3284" s="37"/>
      <c r="BM3284" s="37"/>
    </row>
    <row r="3285" spans="1:65" s="40" customFormat="1" ht="23.25" x14ac:dyDescent="0.35">
      <c r="A3285" s="37"/>
      <c r="B3285" s="37"/>
      <c r="C3285" s="41"/>
      <c r="D3285" s="38"/>
      <c r="E3285" s="57"/>
      <c r="F3285" s="42"/>
      <c r="G3285" s="43"/>
      <c r="H3285" s="37"/>
      <c r="I3285" s="37"/>
      <c r="J3285" s="38"/>
      <c r="K3285" s="37"/>
      <c r="L3285" s="38"/>
      <c r="M3285" s="39"/>
      <c r="P3285" s="37"/>
      <c r="Q3285" s="37"/>
      <c r="R3285" s="37"/>
      <c r="S3285" s="37"/>
      <c r="T3285" s="37"/>
      <c r="U3285" s="37"/>
      <c r="V3285" s="37"/>
      <c r="W3285" s="37"/>
      <c r="X3285" s="37"/>
      <c r="Y3285" s="37"/>
      <c r="Z3285" s="37"/>
      <c r="AA3285" s="37"/>
      <c r="AB3285" s="37"/>
      <c r="AC3285" s="37"/>
      <c r="AD3285" s="37"/>
      <c r="AE3285" s="37"/>
      <c r="AF3285" s="37"/>
      <c r="AG3285" s="37"/>
      <c r="AH3285" s="37"/>
      <c r="AI3285" s="37"/>
      <c r="AJ3285" s="37"/>
      <c r="AK3285" s="37"/>
      <c r="AL3285" s="37"/>
      <c r="AM3285" s="37"/>
      <c r="AN3285" s="37"/>
      <c r="AO3285" s="37"/>
      <c r="AP3285" s="37"/>
      <c r="AQ3285" s="37"/>
      <c r="AR3285" s="37"/>
      <c r="AS3285" s="37"/>
      <c r="AT3285" s="37"/>
      <c r="AU3285" s="37"/>
      <c r="AV3285" s="37"/>
      <c r="AW3285" s="37"/>
      <c r="AX3285" s="37"/>
      <c r="AY3285" s="37"/>
      <c r="AZ3285" s="37"/>
      <c r="BA3285" s="37"/>
      <c r="BB3285" s="37"/>
      <c r="BC3285" s="37"/>
      <c r="BD3285" s="37"/>
      <c r="BE3285" s="37"/>
      <c r="BF3285" s="37"/>
      <c r="BG3285" s="37"/>
      <c r="BH3285" s="37"/>
      <c r="BI3285" s="37"/>
      <c r="BJ3285" s="37"/>
      <c r="BK3285" s="37"/>
      <c r="BL3285" s="37"/>
      <c r="BM3285" s="37"/>
    </row>
    <row r="3286" spans="1:65" s="40" customFormat="1" ht="23.25" x14ac:dyDescent="0.35">
      <c r="A3286" s="37"/>
      <c r="B3286" s="37"/>
      <c r="C3286" s="41"/>
      <c r="D3286" s="38"/>
      <c r="E3286" s="57"/>
      <c r="F3286" s="42"/>
      <c r="G3286" s="43"/>
      <c r="H3286" s="37"/>
      <c r="I3286" s="37"/>
      <c r="J3286" s="38"/>
      <c r="K3286" s="37"/>
      <c r="L3286" s="38"/>
      <c r="M3286" s="39"/>
      <c r="P3286" s="37"/>
      <c r="Q3286" s="37"/>
      <c r="R3286" s="37"/>
      <c r="S3286" s="37"/>
      <c r="T3286" s="37"/>
      <c r="U3286" s="37"/>
      <c r="V3286" s="37"/>
      <c r="W3286" s="37"/>
      <c r="X3286" s="37"/>
      <c r="Y3286" s="37"/>
      <c r="Z3286" s="37"/>
      <c r="AA3286" s="37"/>
      <c r="AB3286" s="37"/>
      <c r="AC3286" s="37"/>
      <c r="AD3286" s="37"/>
      <c r="AE3286" s="37"/>
      <c r="AF3286" s="37"/>
      <c r="AG3286" s="37"/>
      <c r="AH3286" s="37"/>
      <c r="AI3286" s="37"/>
      <c r="AJ3286" s="37"/>
      <c r="AK3286" s="37"/>
      <c r="AL3286" s="37"/>
      <c r="AM3286" s="37"/>
      <c r="AN3286" s="37"/>
      <c r="AO3286" s="37"/>
      <c r="AP3286" s="37"/>
      <c r="AQ3286" s="37"/>
      <c r="AR3286" s="37"/>
      <c r="AS3286" s="37"/>
      <c r="AT3286" s="37"/>
      <c r="AU3286" s="37"/>
      <c r="AV3286" s="37"/>
      <c r="AW3286" s="37"/>
      <c r="AX3286" s="37"/>
      <c r="AY3286" s="37"/>
      <c r="AZ3286" s="37"/>
      <c r="BA3286" s="37"/>
      <c r="BB3286" s="37"/>
      <c r="BC3286" s="37"/>
      <c r="BD3286" s="37"/>
      <c r="BE3286" s="37"/>
      <c r="BF3286" s="37"/>
      <c r="BG3286" s="37"/>
      <c r="BH3286" s="37"/>
      <c r="BI3286" s="37"/>
      <c r="BJ3286" s="37"/>
      <c r="BK3286" s="37"/>
      <c r="BL3286" s="37"/>
      <c r="BM3286" s="37"/>
    </row>
    <row r="3287" spans="1:65" s="40" customFormat="1" ht="23.25" x14ac:dyDescent="0.35">
      <c r="A3287" s="37"/>
      <c r="B3287" s="37"/>
      <c r="C3287" s="41"/>
      <c r="D3287" s="38"/>
      <c r="E3287" s="57"/>
      <c r="F3287" s="42"/>
      <c r="G3287" s="43"/>
      <c r="H3287" s="37"/>
      <c r="I3287" s="37"/>
      <c r="J3287" s="38"/>
      <c r="K3287" s="37"/>
      <c r="L3287" s="38"/>
      <c r="M3287" s="39"/>
      <c r="P3287" s="37"/>
      <c r="Q3287" s="37"/>
      <c r="R3287" s="37"/>
      <c r="S3287" s="37"/>
      <c r="T3287" s="37"/>
      <c r="U3287" s="37"/>
      <c r="V3287" s="37"/>
      <c r="W3287" s="37"/>
      <c r="X3287" s="37"/>
      <c r="Y3287" s="37"/>
      <c r="Z3287" s="37"/>
      <c r="AA3287" s="37"/>
      <c r="AB3287" s="37"/>
      <c r="AC3287" s="37"/>
      <c r="AD3287" s="37"/>
      <c r="AE3287" s="37"/>
      <c r="AF3287" s="37"/>
      <c r="AG3287" s="37"/>
      <c r="AH3287" s="37"/>
      <c r="AI3287" s="37"/>
      <c r="AJ3287" s="37"/>
      <c r="AK3287" s="37"/>
      <c r="AL3287" s="37"/>
      <c r="AM3287" s="37"/>
      <c r="AN3287" s="37"/>
      <c r="AO3287" s="37"/>
      <c r="AP3287" s="37"/>
      <c r="AQ3287" s="37"/>
      <c r="AR3287" s="37"/>
      <c r="AS3287" s="37"/>
      <c r="AT3287" s="37"/>
      <c r="AU3287" s="37"/>
      <c r="AV3287" s="37"/>
      <c r="AW3287" s="37"/>
      <c r="AX3287" s="37"/>
      <c r="AY3287" s="37"/>
      <c r="AZ3287" s="37"/>
      <c r="BA3287" s="37"/>
      <c r="BB3287" s="37"/>
      <c r="BC3287" s="37"/>
      <c r="BD3287" s="37"/>
      <c r="BE3287" s="37"/>
      <c r="BF3287" s="37"/>
      <c r="BG3287" s="37"/>
      <c r="BH3287" s="37"/>
      <c r="BI3287" s="37"/>
      <c r="BJ3287" s="37"/>
      <c r="BK3287" s="37"/>
      <c r="BL3287" s="37"/>
      <c r="BM3287" s="37"/>
    </row>
    <row r="3288" spans="1:65" s="40" customFormat="1" ht="23.25" x14ac:dyDescent="0.35">
      <c r="A3288" s="37"/>
      <c r="B3288" s="37"/>
      <c r="C3288" s="41"/>
      <c r="D3288" s="38"/>
      <c r="E3288" s="57"/>
      <c r="F3288" s="42"/>
      <c r="G3288" s="43"/>
      <c r="H3288" s="37"/>
      <c r="I3288" s="37"/>
      <c r="J3288" s="38"/>
      <c r="K3288" s="37"/>
      <c r="L3288" s="38"/>
      <c r="M3288" s="39"/>
      <c r="P3288" s="37"/>
      <c r="Q3288" s="37"/>
      <c r="R3288" s="37"/>
      <c r="S3288" s="37"/>
      <c r="T3288" s="37"/>
      <c r="U3288" s="37"/>
      <c r="V3288" s="37"/>
      <c r="W3288" s="37"/>
      <c r="X3288" s="37"/>
      <c r="Y3288" s="37"/>
      <c r="Z3288" s="37"/>
      <c r="AA3288" s="37"/>
      <c r="AB3288" s="37"/>
      <c r="AC3288" s="37"/>
      <c r="AD3288" s="37"/>
      <c r="AE3288" s="37"/>
      <c r="AF3288" s="37"/>
      <c r="AG3288" s="37"/>
      <c r="AH3288" s="37"/>
      <c r="AI3288" s="37"/>
      <c r="AJ3288" s="37"/>
      <c r="AK3288" s="37"/>
      <c r="AL3288" s="37"/>
      <c r="AM3288" s="37"/>
      <c r="AN3288" s="37"/>
      <c r="AO3288" s="37"/>
      <c r="AP3288" s="37"/>
      <c r="AQ3288" s="37"/>
      <c r="AR3288" s="37"/>
      <c r="AS3288" s="37"/>
      <c r="AT3288" s="37"/>
      <c r="AU3288" s="37"/>
      <c r="AV3288" s="37"/>
      <c r="AW3288" s="37"/>
      <c r="AX3288" s="37"/>
      <c r="AY3288" s="37"/>
      <c r="AZ3288" s="37"/>
      <c r="BA3288" s="37"/>
      <c r="BB3288" s="37"/>
      <c r="BC3288" s="37"/>
      <c r="BD3288" s="37"/>
      <c r="BE3288" s="37"/>
      <c r="BF3288" s="37"/>
      <c r="BG3288" s="37"/>
      <c r="BH3288" s="37"/>
      <c r="BI3288" s="37"/>
      <c r="BJ3288" s="37"/>
      <c r="BK3288" s="37"/>
      <c r="BL3288" s="37"/>
      <c r="BM3288" s="37"/>
    </row>
    <row r="3289" spans="1:65" s="40" customFormat="1" ht="23.25" x14ac:dyDescent="0.35">
      <c r="A3289" s="37"/>
      <c r="B3289" s="37"/>
      <c r="C3289" s="41"/>
      <c r="D3289" s="38"/>
      <c r="E3289" s="57"/>
      <c r="F3289" s="42"/>
      <c r="G3289" s="43"/>
      <c r="H3289" s="37"/>
      <c r="I3289" s="37"/>
      <c r="J3289" s="38"/>
      <c r="K3289" s="37"/>
      <c r="L3289" s="38"/>
      <c r="M3289" s="39"/>
      <c r="P3289" s="37"/>
      <c r="Q3289" s="37"/>
      <c r="R3289" s="37"/>
      <c r="S3289" s="37"/>
      <c r="T3289" s="37"/>
      <c r="U3289" s="37"/>
      <c r="V3289" s="37"/>
      <c r="W3289" s="37"/>
      <c r="X3289" s="37"/>
      <c r="Y3289" s="37"/>
      <c r="Z3289" s="37"/>
      <c r="AA3289" s="37"/>
      <c r="AB3289" s="37"/>
      <c r="AC3289" s="37"/>
      <c r="AD3289" s="37"/>
      <c r="AE3289" s="37"/>
      <c r="AF3289" s="37"/>
      <c r="AG3289" s="37"/>
      <c r="AH3289" s="37"/>
      <c r="AI3289" s="37"/>
      <c r="AJ3289" s="37"/>
      <c r="AK3289" s="37"/>
      <c r="AL3289" s="37"/>
      <c r="AM3289" s="37"/>
      <c r="AN3289" s="37"/>
      <c r="AO3289" s="37"/>
      <c r="AP3289" s="37"/>
      <c r="AQ3289" s="37"/>
      <c r="AR3289" s="37"/>
      <c r="AS3289" s="37"/>
      <c r="AT3289" s="37"/>
      <c r="AU3289" s="37"/>
      <c r="AV3289" s="37"/>
      <c r="AW3289" s="37"/>
      <c r="AX3289" s="37"/>
      <c r="AY3289" s="37"/>
      <c r="AZ3289" s="37"/>
      <c r="BA3289" s="37"/>
      <c r="BB3289" s="37"/>
      <c r="BC3289" s="37"/>
      <c r="BD3289" s="37"/>
      <c r="BE3289" s="37"/>
      <c r="BF3289" s="37"/>
      <c r="BG3289" s="37"/>
      <c r="BH3289" s="37"/>
      <c r="BI3289" s="37"/>
      <c r="BJ3289" s="37"/>
      <c r="BK3289" s="37"/>
      <c r="BL3289" s="37"/>
      <c r="BM3289" s="37"/>
    </row>
    <row r="3290" spans="1:65" s="40" customFormat="1" ht="23.25" x14ac:dyDescent="0.35">
      <c r="A3290" s="37"/>
      <c r="B3290" s="37"/>
      <c r="C3290" s="41"/>
      <c r="D3290" s="38"/>
      <c r="E3290" s="57"/>
      <c r="F3290" s="42"/>
      <c r="G3290" s="43"/>
      <c r="H3290" s="37"/>
      <c r="I3290" s="37"/>
      <c r="J3290" s="38"/>
      <c r="K3290" s="37"/>
      <c r="L3290" s="38"/>
      <c r="M3290" s="39"/>
      <c r="P3290" s="37"/>
      <c r="Q3290" s="37"/>
      <c r="R3290" s="37"/>
      <c r="S3290" s="37"/>
      <c r="T3290" s="37"/>
      <c r="U3290" s="37"/>
      <c r="V3290" s="37"/>
      <c r="W3290" s="37"/>
      <c r="X3290" s="37"/>
      <c r="Y3290" s="37"/>
      <c r="Z3290" s="37"/>
      <c r="AA3290" s="37"/>
      <c r="AB3290" s="37"/>
      <c r="AC3290" s="37"/>
      <c r="AD3290" s="37"/>
      <c r="AE3290" s="37"/>
      <c r="AF3290" s="37"/>
      <c r="AG3290" s="37"/>
      <c r="AH3290" s="37"/>
      <c r="AI3290" s="37"/>
      <c r="AJ3290" s="37"/>
      <c r="AK3290" s="37"/>
      <c r="AL3290" s="37"/>
      <c r="AM3290" s="37"/>
      <c r="AN3290" s="37"/>
      <c r="AO3290" s="37"/>
      <c r="AP3290" s="37"/>
      <c r="AQ3290" s="37"/>
      <c r="AR3290" s="37"/>
      <c r="AS3290" s="37"/>
      <c r="AT3290" s="37"/>
      <c r="AU3290" s="37"/>
      <c r="AV3290" s="37"/>
      <c r="AW3290" s="37"/>
      <c r="AX3290" s="37"/>
      <c r="AY3290" s="37"/>
      <c r="AZ3290" s="37"/>
      <c r="BA3290" s="37"/>
      <c r="BB3290" s="37"/>
      <c r="BC3290" s="37"/>
      <c r="BD3290" s="37"/>
      <c r="BE3290" s="37"/>
      <c r="BF3290" s="37"/>
      <c r="BG3290" s="37"/>
      <c r="BH3290" s="37"/>
      <c r="BI3290" s="37"/>
      <c r="BJ3290" s="37"/>
      <c r="BK3290" s="37"/>
      <c r="BL3290" s="37"/>
      <c r="BM3290" s="37"/>
    </row>
    <row r="3291" spans="1:65" s="40" customFormat="1" ht="23.25" x14ac:dyDescent="0.35">
      <c r="A3291" s="37"/>
      <c r="B3291" s="37"/>
      <c r="C3291" s="41"/>
      <c r="D3291" s="38"/>
      <c r="E3291" s="57"/>
      <c r="F3291" s="42"/>
      <c r="G3291" s="43"/>
      <c r="H3291" s="37"/>
      <c r="I3291" s="37"/>
      <c r="J3291" s="38"/>
      <c r="K3291" s="37"/>
      <c r="L3291" s="38"/>
      <c r="M3291" s="39"/>
      <c r="P3291" s="37"/>
      <c r="Q3291" s="37"/>
      <c r="R3291" s="37"/>
      <c r="S3291" s="37"/>
      <c r="T3291" s="37"/>
      <c r="U3291" s="37"/>
      <c r="V3291" s="37"/>
      <c r="W3291" s="37"/>
      <c r="X3291" s="37"/>
      <c r="Y3291" s="37"/>
      <c r="Z3291" s="37"/>
      <c r="AA3291" s="37"/>
      <c r="AB3291" s="37"/>
      <c r="AC3291" s="37"/>
      <c r="AD3291" s="37"/>
      <c r="AE3291" s="37"/>
      <c r="AF3291" s="37"/>
      <c r="AG3291" s="37"/>
      <c r="AH3291" s="37"/>
      <c r="AI3291" s="37"/>
      <c r="AJ3291" s="37"/>
      <c r="AK3291" s="37"/>
      <c r="AL3291" s="37"/>
      <c r="AM3291" s="37"/>
      <c r="AN3291" s="37"/>
      <c r="AO3291" s="37"/>
      <c r="AP3291" s="37"/>
      <c r="AQ3291" s="37"/>
      <c r="AR3291" s="37"/>
      <c r="AS3291" s="37"/>
      <c r="AT3291" s="37"/>
      <c r="AU3291" s="37"/>
      <c r="AV3291" s="37"/>
      <c r="AW3291" s="37"/>
      <c r="AX3291" s="37"/>
      <c r="AY3291" s="37"/>
      <c r="AZ3291" s="37"/>
      <c r="BA3291" s="37"/>
      <c r="BB3291" s="37"/>
      <c r="BC3291" s="37"/>
      <c r="BD3291" s="37"/>
      <c r="BE3291" s="37"/>
      <c r="BF3291" s="37"/>
      <c r="BG3291" s="37"/>
      <c r="BH3291" s="37"/>
      <c r="BI3291" s="37"/>
      <c r="BJ3291" s="37"/>
      <c r="BK3291" s="37"/>
      <c r="BL3291" s="37"/>
      <c r="BM3291" s="37"/>
    </row>
    <row r="3292" spans="1:65" s="40" customFormat="1" ht="23.25" x14ac:dyDescent="0.35">
      <c r="A3292" s="37"/>
      <c r="B3292" s="37"/>
      <c r="C3292" s="41"/>
      <c r="D3292" s="38"/>
      <c r="E3292" s="57"/>
      <c r="F3292" s="42"/>
      <c r="G3292" s="43"/>
      <c r="H3292" s="37"/>
      <c r="I3292" s="37"/>
      <c r="J3292" s="38"/>
      <c r="K3292" s="37"/>
      <c r="L3292" s="38"/>
      <c r="M3292" s="39"/>
      <c r="P3292" s="37"/>
      <c r="Q3292" s="37"/>
      <c r="R3292" s="37"/>
      <c r="S3292" s="37"/>
      <c r="T3292" s="37"/>
      <c r="U3292" s="37"/>
      <c r="V3292" s="37"/>
      <c r="W3292" s="37"/>
      <c r="X3292" s="37"/>
      <c r="Y3292" s="37"/>
      <c r="Z3292" s="37"/>
      <c r="AA3292" s="37"/>
      <c r="AB3292" s="37"/>
      <c r="AC3292" s="37"/>
      <c r="AD3292" s="37"/>
      <c r="AE3292" s="37"/>
      <c r="AF3292" s="37"/>
      <c r="AG3292" s="37"/>
      <c r="AH3292" s="37"/>
      <c r="AI3292" s="37"/>
      <c r="AJ3292" s="37"/>
      <c r="AK3292" s="37"/>
      <c r="AL3292" s="37"/>
      <c r="AM3292" s="37"/>
      <c r="AN3292" s="37"/>
      <c r="AO3292" s="37"/>
      <c r="AP3292" s="37"/>
      <c r="AQ3292" s="37"/>
      <c r="AR3292" s="37"/>
      <c r="AS3292" s="37"/>
      <c r="AT3292" s="37"/>
      <c r="AU3292" s="37"/>
      <c r="AV3292" s="37"/>
      <c r="AW3292" s="37"/>
      <c r="AX3292" s="37"/>
      <c r="AY3292" s="37"/>
      <c r="AZ3292" s="37"/>
      <c r="BA3292" s="37"/>
      <c r="BB3292" s="37"/>
      <c r="BC3292" s="37"/>
      <c r="BD3292" s="37"/>
      <c r="BE3292" s="37"/>
      <c r="BF3292" s="37"/>
      <c r="BG3292" s="37"/>
      <c r="BH3292" s="37"/>
      <c r="BI3292" s="37"/>
      <c r="BJ3292" s="37"/>
      <c r="BK3292" s="37"/>
      <c r="BL3292" s="37"/>
      <c r="BM3292" s="37"/>
    </row>
    <row r="3293" spans="1:65" s="40" customFormat="1" ht="23.25" x14ac:dyDescent="0.35">
      <c r="A3293" s="37"/>
      <c r="B3293" s="37"/>
      <c r="C3293" s="41"/>
      <c r="D3293" s="38"/>
      <c r="E3293" s="57"/>
      <c r="F3293" s="42"/>
      <c r="G3293" s="43"/>
      <c r="H3293" s="37"/>
      <c r="I3293" s="37"/>
      <c r="J3293" s="38"/>
      <c r="K3293" s="37"/>
      <c r="L3293" s="38"/>
      <c r="M3293" s="39"/>
      <c r="P3293" s="37"/>
      <c r="Q3293" s="37"/>
      <c r="R3293" s="37"/>
      <c r="S3293" s="37"/>
      <c r="T3293" s="37"/>
      <c r="U3293" s="37"/>
      <c r="V3293" s="37"/>
      <c r="W3293" s="37"/>
      <c r="X3293" s="37"/>
      <c r="Y3293" s="37"/>
      <c r="Z3293" s="37"/>
      <c r="AA3293" s="37"/>
      <c r="AB3293" s="37"/>
      <c r="AC3293" s="37"/>
      <c r="AD3293" s="37"/>
      <c r="AE3293" s="37"/>
      <c r="AF3293" s="37"/>
      <c r="AG3293" s="37"/>
      <c r="AH3293" s="37"/>
      <c r="AI3293" s="37"/>
      <c r="AJ3293" s="37"/>
      <c r="AK3293" s="37"/>
      <c r="AL3293" s="37"/>
      <c r="AM3293" s="37"/>
      <c r="AN3293" s="37"/>
      <c r="AO3293" s="37"/>
      <c r="AP3293" s="37"/>
      <c r="AQ3293" s="37"/>
      <c r="AR3293" s="37"/>
      <c r="AS3293" s="37"/>
      <c r="AT3293" s="37"/>
      <c r="AU3293" s="37"/>
      <c r="AV3293" s="37"/>
      <c r="AW3293" s="37"/>
      <c r="AX3293" s="37"/>
      <c r="AY3293" s="37"/>
      <c r="AZ3293" s="37"/>
      <c r="BA3293" s="37"/>
      <c r="BB3293" s="37"/>
      <c r="BC3293" s="37"/>
      <c r="BD3293" s="37"/>
      <c r="BE3293" s="37"/>
      <c r="BF3293" s="37"/>
      <c r="BG3293" s="37"/>
      <c r="BH3293" s="37"/>
      <c r="BI3293" s="37"/>
      <c r="BJ3293" s="37"/>
      <c r="BK3293" s="37"/>
      <c r="BL3293" s="37"/>
      <c r="BM3293" s="37"/>
    </row>
    <row r="3294" spans="1:65" s="40" customFormat="1" ht="23.25" x14ac:dyDescent="0.35">
      <c r="A3294" s="37"/>
      <c r="B3294" s="37"/>
      <c r="C3294" s="41"/>
      <c r="D3294" s="38"/>
      <c r="E3294" s="57"/>
      <c r="F3294" s="42"/>
      <c r="G3294" s="43"/>
      <c r="H3294" s="37"/>
      <c r="I3294" s="37"/>
      <c r="J3294" s="38"/>
      <c r="K3294" s="37"/>
      <c r="L3294" s="38"/>
      <c r="M3294" s="39"/>
      <c r="P3294" s="37"/>
      <c r="Q3294" s="37"/>
      <c r="R3294" s="37"/>
      <c r="S3294" s="37"/>
      <c r="T3294" s="37"/>
      <c r="U3294" s="37"/>
      <c r="V3294" s="37"/>
      <c r="W3294" s="37"/>
      <c r="X3294" s="37"/>
      <c r="Y3294" s="37"/>
      <c r="Z3294" s="37"/>
      <c r="AA3294" s="37"/>
      <c r="AB3294" s="37"/>
      <c r="AC3294" s="37"/>
      <c r="AD3294" s="37"/>
      <c r="AE3294" s="37"/>
      <c r="AF3294" s="37"/>
      <c r="AG3294" s="37"/>
      <c r="AH3294" s="37"/>
      <c r="AI3294" s="37"/>
      <c r="AJ3294" s="37"/>
      <c r="AK3294" s="37"/>
      <c r="AL3294" s="37"/>
      <c r="AM3294" s="37"/>
      <c r="AN3294" s="37"/>
      <c r="AO3294" s="37"/>
      <c r="AP3294" s="37"/>
      <c r="AQ3294" s="37"/>
      <c r="AR3294" s="37"/>
      <c r="AS3294" s="37"/>
      <c r="AT3294" s="37"/>
      <c r="AU3294" s="37"/>
      <c r="AV3294" s="37"/>
      <c r="AW3294" s="37"/>
      <c r="AX3294" s="37"/>
      <c r="AY3294" s="37"/>
      <c r="AZ3294" s="37"/>
      <c r="BA3294" s="37"/>
      <c r="BB3294" s="37"/>
      <c r="BC3294" s="37"/>
      <c r="BD3294" s="37"/>
      <c r="BE3294" s="37"/>
      <c r="BF3294" s="37"/>
      <c r="BG3294" s="37"/>
      <c r="BH3294" s="37"/>
      <c r="BI3294" s="37"/>
      <c r="BJ3294" s="37"/>
      <c r="BK3294" s="37"/>
      <c r="BL3294" s="37"/>
      <c r="BM3294" s="37"/>
    </row>
    <row r="3295" spans="1:65" s="40" customFormat="1" ht="23.25" x14ac:dyDescent="0.35">
      <c r="A3295" s="37"/>
      <c r="B3295" s="37"/>
      <c r="C3295" s="41"/>
      <c r="D3295" s="38"/>
      <c r="E3295" s="57"/>
      <c r="F3295" s="42"/>
      <c r="G3295" s="43"/>
      <c r="H3295" s="37"/>
      <c r="I3295" s="37"/>
      <c r="J3295" s="38"/>
      <c r="K3295" s="37"/>
      <c r="L3295" s="38"/>
      <c r="M3295" s="39"/>
      <c r="P3295" s="37"/>
      <c r="Q3295" s="37"/>
      <c r="R3295" s="37"/>
      <c r="S3295" s="37"/>
      <c r="T3295" s="37"/>
      <c r="U3295" s="37"/>
      <c r="V3295" s="37"/>
      <c r="W3295" s="37"/>
      <c r="X3295" s="37"/>
      <c r="Y3295" s="37"/>
      <c r="Z3295" s="37"/>
      <c r="AA3295" s="37"/>
      <c r="AB3295" s="37"/>
      <c r="AC3295" s="37"/>
      <c r="AD3295" s="37"/>
      <c r="AE3295" s="37"/>
      <c r="AF3295" s="37"/>
      <c r="AG3295" s="37"/>
      <c r="AH3295" s="37"/>
      <c r="AI3295" s="37"/>
      <c r="AJ3295" s="37"/>
      <c r="AK3295" s="37"/>
      <c r="AL3295" s="37"/>
      <c r="AM3295" s="37"/>
      <c r="AN3295" s="37"/>
      <c r="AO3295" s="37"/>
      <c r="AP3295" s="37"/>
      <c r="AQ3295" s="37"/>
      <c r="AR3295" s="37"/>
      <c r="AS3295" s="37"/>
      <c r="AT3295" s="37"/>
      <c r="AU3295" s="37"/>
      <c r="AV3295" s="37"/>
      <c r="AW3295" s="37"/>
      <c r="AX3295" s="37"/>
      <c r="AY3295" s="37"/>
      <c r="AZ3295" s="37"/>
      <c r="BA3295" s="37"/>
      <c r="BB3295" s="37"/>
      <c r="BC3295" s="37"/>
      <c r="BD3295" s="37"/>
      <c r="BE3295" s="37"/>
      <c r="BF3295" s="37"/>
      <c r="BG3295" s="37"/>
      <c r="BH3295" s="37"/>
      <c r="BI3295" s="37"/>
      <c r="BJ3295" s="37"/>
      <c r="BK3295" s="37"/>
      <c r="BL3295" s="37"/>
      <c r="BM3295" s="37"/>
    </row>
    <row r="3296" spans="1:65" s="40" customFormat="1" ht="23.25" x14ac:dyDescent="0.35">
      <c r="A3296" s="37"/>
      <c r="B3296" s="37"/>
      <c r="C3296" s="41"/>
      <c r="D3296" s="38"/>
      <c r="E3296" s="57"/>
      <c r="F3296" s="42"/>
      <c r="G3296" s="43"/>
      <c r="H3296" s="37"/>
      <c r="I3296" s="37"/>
      <c r="J3296" s="38"/>
      <c r="K3296" s="37"/>
      <c r="L3296" s="38"/>
      <c r="M3296" s="39"/>
      <c r="P3296" s="37"/>
      <c r="Q3296" s="37"/>
      <c r="R3296" s="37"/>
      <c r="S3296" s="37"/>
      <c r="T3296" s="37"/>
      <c r="U3296" s="37"/>
      <c r="V3296" s="37"/>
      <c r="W3296" s="37"/>
      <c r="X3296" s="37"/>
      <c r="Y3296" s="37"/>
      <c r="Z3296" s="37"/>
      <c r="AA3296" s="37"/>
      <c r="AB3296" s="37"/>
      <c r="AC3296" s="37"/>
      <c r="AD3296" s="37"/>
      <c r="AE3296" s="37"/>
      <c r="AF3296" s="37"/>
      <c r="AG3296" s="37"/>
      <c r="AH3296" s="37"/>
      <c r="AI3296" s="37"/>
      <c r="AJ3296" s="37"/>
      <c r="AK3296" s="37"/>
      <c r="AL3296" s="37"/>
      <c r="AM3296" s="37"/>
      <c r="AN3296" s="37"/>
      <c r="AO3296" s="37"/>
      <c r="AP3296" s="37"/>
      <c r="AQ3296" s="37"/>
      <c r="AR3296" s="37"/>
      <c r="AS3296" s="37"/>
      <c r="AT3296" s="37"/>
      <c r="AU3296" s="37"/>
      <c r="AV3296" s="37"/>
      <c r="AW3296" s="37"/>
      <c r="AX3296" s="37"/>
      <c r="AY3296" s="37"/>
      <c r="AZ3296" s="37"/>
      <c r="BA3296" s="37"/>
      <c r="BB3296" s="37"/>
      <c r="BC3296" s="37"/>
      <c r="BD3296" s="37"/>
      <c r="BE3296" s="37"/>
      <c r="BF3296" s="37"/>
      <c r="BG3296" s="37"/>
      <c r="BH3296" s="37"/>
      <c r="BI3296" s="37"/>
      <c r="BJ3296" s="37"/>
      <c r="BK3296" s="37"/>
      <c r="BL3296" s="37"/>
      <c r="BM3296" s="37"/>
    </row>
    <row r="3297" spans="1:65" s="40" customFormat="1" ht="23.25" x14ac:dyDescent="0.35">
      <c r="A3297" s="37"/>
      <c r="B3297" s="37"/>
      <c r="C3297" s="41"/>
      <c r="D3297" s="38"/>
      <c r="E3297" s="57"/>
      <c r="F3297" s="42"/>
      <c r="G3297" s="43"/>
      <c r="H3297" s="37"/>
      <c r="I3297" s="37"/>
      <c r="J3297" s="38"/>
      <c r="K3297" s="37"/>
      <c r="L3297" s="38"/>
      <c r="M3297" s="39"/>
      <c r="P3297" s="37"/>
      <c r="Q3297" s="37"/>
      <c r="R3297" s="37"/>
      <c r="S3297" s="37"/>
      <c r="T3297" s="37"/>
      <c r="U3297" s="37"/>
      <c r="V3297" s="37"/>
      <c r="W3297" s="37"/>
      <c r="X3297" s="37"/>
      <c r="Y3297" s="37"/>
      <c r="Z3297" s="37"/>
      <c r="AA3297" s="37"/>
      <c r="AB3297" s="37"/>
      <c r="AC3297" s="37"/>
      <c r="AD3297" s="37"/>
      <c r="AE3297" s="37"/>
      <c r="AF3297" s="37"/>
      <c r="AG3297" s="37"/>
      <c r="AH3297" s="37"/>
      <c r="AI3297" s="37"/>
      <c r="AJ3297" s="37"/>
      <c r="AK3297" s="37"/>
      <c r="AL3297" s="37"/>
      <c r="AM3297" s="37"/>
      <c r="AN3297" s="37"/>
      <c r="AO3297" s="37"/>
      <c r="AP3297" s="37"/>
      <c r="AQ3297" s="37"/>
      <c r="AR3297" s="37"/>
      <c r="AS3297" s="37"/>
      <c r="AT3297" s="37"/>
      <c r="AU3297" s="37"/>
      <c r="AV3297" s="37"/>
      <c r="AW3297" s="37"/>
      <c r="AX3297" s="37"/>
      <c r="AY3297" s="37"/>
      <c r="AZ3297" s="37"/>
      <c r="BA3297" s="37"/>
      <c r="BB3297" s="37"/>
      <c r="BC3297" s="37"/>
      <c r="BD3297" s="37"/>
      <c r="BE3297" s="37"/>
      <c r="BF3297" s="37"/>
      <c r="BG3297" s="37"/>
      <c r="BH3297" s="37"/>
      <c r="BI3297" s="37"/>
      <c r="BJ3297" s="37"/>
      <c r="BK3297" s="37"/>
      <c r="BL3297" s="37"/>
      <c r="BM3297" s="37"/>
    </row>
    <row r="3298" spans="1:65" s="40" customFormat="1" ht="23.25" x14ac:dyDescent="0.35">
      <c r="A3298" s="37"/>
      <c r="B3298" s="37"/>
      <c r="C3298" s="41"/>
      <c r="D3298" s="38"/>
      <c r="E3298" s="57"/>
      <c r="F3298" s="42"/>
      <c r="G3298" s="43"/>
      <c r="H3298" s="37"/>
      <c r="I3298" s="37"/>
      <c r="J3298" s="38"/>
      <c r="K3298" s="37"/>
      <c r="L3298" s="38"/>
      <c r="M3298" s="39"/>
      <c r="P3298" s="37"/>
      <c r="Q3298" s="37"/>
      <c r="R3298" s="37"/>
      <c r="S3298" s="37"/>
      <c r="T3298" s="37"/>
      <c r="U3298" s="37"/>
      <c r="V3298" s="37"/>
      <c r="W3298" s="37"/>
      <c r="X3298" s="37"/>
      <c r="Y3298" s="37"/>
      <c r="Z3298" s="37"/>
      <c r="AA3298" s="37"/>
      <c r="AB3298" s="37"/>
      <c r="AC3298" s="37"/>
      <c r="AD3298" s="37"/>
      <c r="AE3298" s="37"/>
      <c r="AF3298" s="37"/>
      <c r="AG3298" s="37"/>
      <c r="AH3298" s="37"/>
      <c r="AI3298" s="37"/>
      <c r="AJ3298" s="37"/>
      <c r="AK3298" s="37"/>
      <c r="AL3298" s="37"/>
      <c r="AM3298" s="37"/>
      <c r="AN3298" s="37"/>
      <c r="AO3298" s="37"/>
      <c r="AP3298" s="37"/>
      <c r="AQ3298" s="37"/>
      <c r="AR3298" s="37"/>
      <c r="AS3298" s="37"/>
      <c r="AT3298" s="37"/>
      <c r="AU3298" s="37"/>
      <c r="AV3298" s="37"/>
      <c r="AW3298" s="37"/>
      <c r="AX3298" s="37"/>
      <c r="AY3298" s="37"/>
      <c r="AZ3298" s="37"/>
      <c r="BA3298" s="37"/>
      <c r="BB3298" s="37"/>
      <c r="BC3298" s="37"/>
      <c r="BD3298" s="37"/>
      <c r="BE3298" s="37"/>
      <c r="BF3298" s="37"/>
      <c r="BG3298" s="37"/>
      <c r="BH3298" s="37"/>
      <c r="BI3298" s="37"/>
      <c r="BJ3298" s="37"/>
      <c r="BK3298" s="37"/>
      <c r="BL3298" s="37"/>
      <c r="BM3298" s="37"/>
    </row>
    <row r="3299" spans="1:65" s="40" customFormat="1" ht="23.25" x14ac:dyDescent="0.35">
      <c r="A3299" s="37"/>
      <c r="B3299" s="37"/>
      <c r="C3299" s="41"/>
      <c r="D3299" s="38"/>
      <c r="E3299" s="57"/>
      <c r="F3299" s="42"/>
      <c r="G3299" s="43"/>
      <c r="H3299" s="37"/>
      <c r="I3299" s="37"/>
      <c r="J3299" s="38"/>
      <c r="K3299" s="37"/>
      <c r="L3299" s="38"/>
      <c r="M3299" s="39"/>
      <c r="P3299" s="37"/>
      <c r="Q3299" s="37"/>
      <c r="R3299" s="37"/>
      <c r="S3299" s="37"/>
      <c r="T3299" s="37"/>
      <c r="U3299" s="37"/>
      <c r="V3299" s="37"/>
      <c r="W3299" s="37"/>
      <c r="X3299" s="37"/>
      <c r="Y3299" s="37"/>
      <c r="Z3299" s="37"/>
      <c r="AA3299" s="37"/>
      <c r="AB3299" s="37"/>
      <c r="AC3299" s="37"/>
      <c r="AD3299" s="37"/>
      <c r="AE3299" s="37"/>
      <c r="AF3299" s="37"/>
      <c r="AG3299" s="37"/>
      <c r="AH3299" s="37"/>
      <c r="AI3299" s="37"/>
      <c r="AJ3299" s="37"/>
      <c r="AK3299" s="37"/>
      <c r="AL3299" s="37"/>
      <c r="AM3299" s="37"/>
      <c r="AN3299" s="37"/>
      <c r="AO3299" s="37"/>
      <c r="AP3299" s="37"/>
      <c r="AQ3299" s="37"/>
      <c r="AR3299" s="37"/>
      <c r="AS3299" s="37"/>
      <c r="AT3299" s="37"/>
      <c r="AU3299" s="37"/>
      <c r="AV3299" s="37"/>
      <c r="AW3299" s="37"/>
      <c r="AX3299" s="37"/>
      <c r="AY3299" s="37"/>
      <c r="AZ3299" s="37"/>
      <c r="BA3299" s="37"/>
      <c r="BB3299" s="37"/>
      <c r="BC3299" s="37"/>
      <c r="BD3299" s="37"/>
      <c r="BE3299" s="37"/>
      <c r="BF3299" s="37"/>
      <c r="BG3299" s="37"/>
      <c r="BH3299" s="37"/>
      <c r="BI3299" s="37"/>
      <c r="BJ3299" s="37"/>
      <c r="BK3299" s="37"/>
      <c r="BL3299" s="37"/>
      <c r="BM3299" s="37"/>
    </row>
    <row r="3300" spans="1:65" s="40" customFormat="1" ht="23.25" x14ac:dyDescent="0.35">
      <c r="A3300" s="37"/>
      <c r="B3300" s="37"/>
      <c r="C3300" s="41"/>
      <c r="D3300" s="38"/>
      <c r="E3300" s="57"/>
      <c r="F3300" s="42"/>
      <c r="G3300" s="43"/>
      <c r="H3300" s="37"/>
      <c r="I3300" s="37"/>
      <c r="J3300" s="38"/>
      <c r="K3300" s="37"/>
      <c r="L3300" s="38"/>
      <c r="M3300" s="39"/>
      <c r="P3300" s="37"/>
      <c r="Q3300" s="37"/>
      <c r="R3300" s="37"/>
      <c r="S3300" s="37"/>
      <c r="T3300" s="37"/>
      <c r="U3300" s="37"/>
      <c r="V3300" s="37"/>
      <c r="W3300" s="37"/>
      <c r="X3300" s="37"/>
      <c r="Y3300" s="37"/>
      <c r="Z3300" s="37"/>
      <c r="AA3300" s="37"/>
      <c r="AB3300" s="37"/>
      <c r="AC3300" s="37"/>
      <c r="AD3300" s="37"/>
      <c r="AE3300" s="37"/>
      <c r="AF3300" s="37"/>
      <c r="AG3300" s="37"/>
      <c r="AH3300" s="37"/>
      <c r="AI3300" s="37"/>
      <c r="AJ3300" s="37"/>
      <c r="AK3300" s="37"/>
      <c r="AL3300" s="37"/>
      <c r="AM3300" s="37"/>
      <c r="AN3300" s="37"/>
      <c r="AO3300" s="37"/>
      <c r="AP3300" s="37"/>
      <c r="AQ3300" s="37"/>
      <c r="AR3300" s="37"/>
      <c r="AS3300" s="37"/>
      <c r="AT3300" s="37"/>
      <c r="AU3300" s="37"/>
      <c r="AV3300" s="37"/>
      <c r="AW3300" s="37"/>
      <c r="AX3300" s="37"/>
      <c r="AY3300" s="37"/>
      <c r="AZ3300" s="37"/>
      <c r="BA3300" s="37"/>
      <c r="BB3300" s="37"/>
      <c r="BC3300" s="37"/>
      <c r="BD3300" s="37"/>
      <c r="BE3300" s="37"/>
      <c r="BF3300" s="37"/>
      <c r="BG3300" s="37"/>
      <c r="BH3300" s="37"/>
      <c r="BI3300" s="37"/>
      <c r="BJ3300" s="37"/>
      <c r="BK3300" s="37"/>
      <c r="BL3300" s="37"/>
      <c r="BM3300" s="37"/>
    </row>
    <row r="3301" spans="1:65" s="40" customFormat="1" ht="23.25" x14ac:dyDescent="0.35">
      <c r="A3301" s="37"/>
      <c r="B3301" s="37"/>
      <c r="C3301" s="41"/>
      <c r="D3301" s="38"/>
      <c r="E3301" s="57"/>
      <c r="F3301" s="42"/>
      <c r="G3301" s="43"/>
      <c r="H3301" s="37"/>
      <c r="I3301" s="37"/>
      <c r="J3301" s="38"/>
      <c r="K3301" s="37"/>
      <c r="L3301" s="38"/>
      <c r="M3301" s="39"/>
      <c r="P3301" s="37"/>
      <c r="Q3301" s="37"/>
      <c r="R3301" s="37"/>
      <c r="S3301" s="37"/>
      <c r="T3301" s="37"/>
      <c r="U3301" s="37"/>
      <c r="V3301" s="37"/>
      <c r="W3301" s="37"/>
      <c r="X3301" s="37"/>
      <c r="Y3301" s="37"/>
      <c r="Z3301" s="37"/>
      <c r="AA3301" s="37"/>
      <c r="AB3301" s="37"/>
      <c r="AC3301" s="37"/>
      <c r="AD3301" s="37"/>
      <c r="AE3301" s="37"/>
      <c r="AF3301" s="37"/>
      <c r="AG3301" s="37"/>
      <c r="AH3301" s="37"/>
      <c r="AI3301" s="37"/>
      <c r="AJ3301" s="37"/>
      <c r="AK3301" s="37"/>
      <c r="AL3301" s="37"/>
      <c r="AM3301" s="37"/>
      <c r="AN3301" s="37"/>
      <c r="AO3301" s="37"/>
      <c r="AP3301" s="37"/>
      <c r="AQ3301" s="37"/>
      <c r="AR3301" s="37"/>
      <c r="AS3301" s="37"/>
      <c r="AT3301" s="37"/>
      <c r="AU3301" s="37"/>
      <c r="AV3301" s="37"/>
      <c r="AW3301" s="37"/>
      <c r="AX3301" s="37"/>
      <c r="AY3301" s="37"/>
      <c r="AZ3301" s="37"/>
      <c r="BA3301" s="37"/>
      <c r="BB3301" s="37"/>
      <c r="BC3301" s="37"/>
      <c r="BD3301" s="37"/>
      <c r="BE3301" s="37"/>
      <c r="BF3301" s="37"/>
      <c r="BG3301" s="37"/>
      <c r="BH3301" s="37"/>
      <c r="BI3301" s="37"/>
      <c r="BJ3301" s="37"/>
      <c r="BK3301" s="37"/>
      <c r="BL3301" s="37"/>
      <c r="BM3301" s="37"/>
    </row>
    <row r="3302" spans="1:65" s="40" customFormat="1" ht="23.25" x14ac:dyDescent="0.35">
      <c r="A3302" s="37"/>
      <c r="B3302" s="37"/>
      <c r="C3302" s="41"/>
      <c r="D3302" s="38"/>
      <c r="E3302" s="57"/>
      <c r="F3302" s="42"/>
      <c r="G3302" s="43"/>
      <c r="H3302" s="37"/>
      <c r="I3302" s="37"/>
      <c r="J3302" s="38"/>
      <c r="K3302" s="37"/>
      <c r="L3302" s="38"/>
      <c r="M3302" s="39"/>
      <c r="P3302" s="37"/>
      <c r="Q3302" s="37"/>
      <c r="R3302" s="37"/>
      <c r="S3302" s="37"/>
      <c r="T3302" s="37"/>
      <c r="U3302" s="37"/>
      <c r="V3302" s="37"/>
      <c r="W3302" s="37"/>
      <c r="X3302" s="37"/>
      <c r="Y3302" s="37"/>
      <c r="Z3302" s="37"/>
      <c r="AA3302" s="37"/>
      <c r="AB3302" s="37"/>
      <c r="AC3302" s="37"/>
      <c r="AD3302" s="37"/>
      <c r="AE3302" s="37"/>
      <c r="AF3302" s="37"/>
      <c r="AG3302" s="37"/>
      <c r="AH3302" s="37"/>
      <c r="AI3302" s="37"/>
      <c r="AJ3302" s="37"/>
      <c r="AK3302" s="37"/>
      <c r="AL3302" s="37"/>
      <c r="AM3302" s="37"/>
      <c r="AN3302" s="37"/>
      <c r="AO3302" s="37"/>
      <c r="AP3302" s="37"/>
      <c r="AQ3302" s="37"/>
      <c r="AR3302" s="37"/>
      <c r="AS3302" s="37"/>
      <c r="AT3302" s="37"/>
      <c r="AU3302" s="37"/>
      <c r="AV3302" s="37"/>
      <c r="AW3302" s="37"/>
      <c r="AX3302" s="37"/>
      <c r="AY3302" s="37"/>
      <c r="AZ3302" s="37"/>
      <c r="BA3302" s="37"/>
      <c r="BB3302" s="37"/>
      <c r="BC3302" s="37"/>
      <c r="BD3302" s="37"/>
      <c r="BE3302" s="37"/>
      <c r="BF3302" s="37"/>
      <c r="BG3302" s="37"/>
      <c r="BH3302" s="37"/>
      <c r="BI3302" s="37"/>
      <c r="BJ3302" s="37"/>
      <c r="BK3302" s="37"/>
      <c r="BL3302" s="37"/>
      <c r="BM3302" s="37"/>
    </row>
    <row r="3303" spans="1:65" s="40" customFormat="1" ht="23.25" x14ac:dyDescent="0.35">
      <c r="A3303" s="37"/>
      <c r="B3303" s="37"/>
      <c r="C3303" s="41"/>
      <c r="D3303" s="38"/>
      <c r="E3303" s="57"/>
      <c r="F3303" s="42"/>
      <c r="G3303" s="43"/>
      <c r="H3303" s="37"/>
      <c r="I3303" s="37"/>
      <c r="J3303" s="38"/>
      <c r="K3303" s="37"/>
      <c r="L3303" s="38"/>
      <c r="M3303" s="39"/>
      <c r="P3303" s="37"/>
      <c r="Q3303" s="37"/>
      <c r="R3303" s="37"/>
      <c r="S3303" s="37"/>
      <c r="T3303" s="37"/>
      <c r="U3303" s="37"/>
      <c r="V3303" s="37"/>
      <c r="W3303" s="37"/>
      <c r="X3303" s="37"/>
      <c r="Y3303" s="37"/>
      <c r="Z3303" s="37"/>
      <c r="AA3303" s="37"/>
      <c r="AB3303" s="37"/>
      <c r="AC3303" s="37"/>
      <c r="AD3303" s="37"/>
      <c r="AE3303" s="37"/>
      <c r="AF3303" s="37"/>
      <c r="AG3303" s="37"/>
      <c r="AH3303" s="37"/>
      <c r="AI3303" s="37"/>
      <c r="AJ3303" s="37"/>
      <c r="AK3303" s="37"/>
      <c r="AL3303" s="37"/>
      <c r="AM3303" s="37"/>
      <c r="AN3303" s="37"/>
      <c r="AO3303" s="37"/>
      <c r="AP3303" s="37"/>
      <c r="AQ3303" s="37"/>
      <c r="AR3303" s="37"/>
      <c r="AS3303" s="37"/>
      <c r="AT3303" s="37"/>
      <c r="AU3303" s="37"/>
      <c r="AV3303" s="37"/>
      <c r="AW3303" s="37"/>
      <c r="AX3303" s="37"/>
      <c r="AY3303" s="37"/>
      <c r="AZ3303" s="37"/>
      <c r="BA3303" s="37"/>
      <c r="BB3303" s="37"/>
      <c r="BC3303" s="37"/>
      <c r="BD3303" s="37"/>
      <c r="BE3303" s="37"/>
      <c r="BF3303" s="37"/>
      <c r="BG3303" s="37"/>
      <c r="BH3303" s="37"/>
      <c r="BI3303" s="37"/>
      <c r="BJ3303" s="37"/>
      <c r="BK3303" s="37"/>
      <c r="BL3303" s="37"/>
      <c r="BM3303" s="37"/>
    </row>
    <row r="3304" spans="1:65" s="40" customFormat="1" ht="23.25" x14ac:dyDescent="0.35">
      <c r="A3304" s="37"/>
      <c r="B3304" s="37"/>
      <c r="C3304" s="41"/>
      <c r="D3304" s="38"/>
      <c r="E3304" s="57"/>
      <c r="F3304" s="42"/>
      <c r="G3304" s="43"/>
      <c r="H3304" s="37"/>
      <c r="I3304" s="37"/>
      <c r="J3304" s="38"/>
      <c r="K3304" s="37"/>
      <c r="L3304" s="38"/>
      <c r="M3304" s="39"/>
      <c r="P3304" s="37"/>
      <c r="Q3304" s="37"/>
      <c r="R3304" s="37"/>
      <c r="S3304" s="37"/>
      <c r="T3304" s="37"/>
      <c r="U3304" s="37"/>
      <c r="V3304" s="37"/>
      <c r="W3304" s="37"/>
      <c r="X3304" s="37"/>
      <c r="Y3304" s="37"/>
      <c r="Z3304" s="37"/>
      <c r="AA3304" s="37"/>
      <c r="AB3304" s="37"/>
      <c r="AC3304" s="37"/>
      <c r="AD3304" s="37"/>
      <c r="AE3304" s="37"/>
      <c r="AF3304" s="37"/>
      <c r="AG3304" s="37"/>
      <c r="AH3304" s="37"/>
      <c r="AI3304" s="37"/>
      <c r="AJ3304" s="37"/>
      <c r="AK3304" s="37"/>
      <c r="AL3304" s="37"/>
      <c r="AM3304" s="37"/>
      <c r="AN3304" s="37"/>
      <c r="AO3304" s="37"/>
      <c r="AP3304" s="37"/>
      <c r="AQ3304" s="37"/>
      <c r="AR3304" s="37"/>
      <c r="AS3304" s="37"/>
      <c r="AT3304" s="37"/>
      <c r="AU3304" s="37"/>
      <c r="AV3304" s="37"/>
      <c r="AW3304" s="37"/>
      <c r="AX3304" s="37"/>
      <c r="AY3304" s="37"/>
      <c r="AZ3304" s="37"/>
      <c r="BA3304" s="37"/>
      <c r="BB3304" s="37"/>
      <c r="BC3304" s="37"/>
      <c r="BD3304" s="37"/>
      <c r="BE3304" s="37"/>
      <c r="BF3304" s="37"/>
      <c r="BG3304" s="37"/>
      <c r="BH3304" s="37"/>
      <c r="BI3304" s="37"/>
      <c r="BJ3304" s="37"/>
      <c r="BK3304" s="37"/>
      <c r="BL3304" s="37"/>
      <c r="BM3304" s="37"/>
    </row>
    <row r="3305" spans="1:65" s="40" customFormat="1" ht="23.25" x14ac:dyDescent="0.35">
      <c r="A3305" s="37"/>
      <c r="B3305" s="37"/>
      <c r="C3305" s="41"/>
      <c r="D3305" s="38"/>
      <c r="E3305" s="57"/>
      <c r="F3305" s="42"/>
      <c r="G3305" s="43"/>
      <c r="H3305" s="37"/>
      <c r="I3305" s="37"/>
      <c r="J3305" s="38"/>
      <c r="K3305" s="37"/>
      <c r="L3305" s="38"/>
      <c r="M3305" s="39"/>
      <c r="P3305" s="37"/>
      <c r="Q3305" s="37"/>
      <c r="R3305" s="37"/>
      <c r="S3305" s="37"/>
      <c r="T3305" s="37"/>
      <c r="U3305" s="37"/>
      <c r="V3305" s="37"/>
      <c r="W3305" s="37"/>
      <c r="X3305" s="37"/>
      <c r="Y3305" s="37"/>
      <c r="Z3305" s="37"/>
      <c r="AA3305" s="37"/>
      <c r="AB3305" s="37"/>
      <c r="AC3305" s="37"/>
      <c r="AD3305" s="37"/>
      <c r="AE3305" s="37"/>
      <c r="AF3305" s="37"/>
      <c r="AG3305" s="37"/>
      <c r="AH3305" s="37"/>
      <c r="AI3305" s="37"/>
      <c r="AJ3305" s="37"/>
      <c r="AK3305" s="37"/>
      <c r="AL3305" s="37"/>
      <c r="AM3305" s="37"/>
      <c r="AN3305" s="37"/>
      <c r="AO3305" s="37"/>
      <c r="AP3305" s="37"/>
      <c r="AQ3305" s="37"/>
      <c r="AR3305" s="37"/>
      <c r="AS3305" s="37"/>
      <c r="AT3305" s="37"/>
      <c r="AU3305" s="37"/>
      <c r="AV3305" s="37"/>
      <c r="AW3305" s="37"/>
      <c r="AX3305" s="37"/>
      <c r="AY3305" s="37"/>
      <c r="AZ3305" s="37"/>
      <c r="BA3305" s="37"/>
      <c r="BB3305" s="37"/>
      <c r="BC3305" s="37"/>
      <c r="BD3305" s="37"/>
      <c r="BE3305" s="37"/>
      <c r="BF3305" s="37"/>
      <c r="BG3305" s="37"/>
      <c r="BH3305" s="37"/>
      <c r="BI3305" s="37"/>
      <c r="BJ3305" s="37"/>
      <c r="BK3305" s="37"/>
      <c r="BL3305" s="37"/>
      <c r="BM3305" s="37"/>
    </row>
    <row r="3306" spans="1:65" s="40" customFormat="1" ht="23.25" x14ac:dyDescent="0.35">
      <c r="A3306" s="37"/>
      <c r="B3306" s="37"/>
      <c r="C3306" s="41"/>
      <c r="D3306" s="38"/>
      <c r="E3306" s="57"/>
      <c r="F3306" s="42"/>
      <c r="G3306" s="43"/>
      <c r="H3306" s="37"/>
      <c r="I3306" s="37"/>
      <c r="J3306" s="38"/>
      <c r="K3306" s="37"/>
      <c r="L3306" s="38"/>
      <c r="M3306" s="39"/>
      <c r="P3306" s="37"/>
      <c r="Q3306" s="37"/>
      <c r="R3306" s="37"/>
      <c r="S3306" s="37"/>
      <c r="T3306" s="37"/>
      <c r="U3306" s="37"/>
      <c r="V3306" s="37"/>
      <c r="W3306" s="37"/>
      <c r="X3306" s="37"/>
      <c r="Y3306" s="37"/>
      <c r="Z3306" s="37"/>
      <c r="AA3306" s="37"/>
      <c r="AB3306" s="37"/>
      <c r="AC3306" s="37"/>
      <c r="AD3306" s="37"/>
      <c r="AE3306" s="37"/>
      <c r="AF3306" s="37"/>
      <c r="AG3306" s="37"/>
      <c r="AH3306" s="37"/>
      <c r="AI3306" s="37"/>
      <c r="AJ3306" s="37"/>
      <c r="AK3306" s="37"/>
      <c r="AL3306" s="37"/>
      <c r="AM3306" s="37"/>
      <c r="AN3306" s="37"/>
      <c r="AO3306" s="37"/>
      <c r="AP3306" s="37"/>
      <c r="AQ3306" s="37"/>
      <c r="AR3306" s="37"/>
      <c r="AS3306" s="37"/>
      <c r="AT3306" s="37"/>
      <c r="AU3306" s="37"/>
      <c r="AV3306" s="37"/>
      <c r="AW3306" s="37"/>
      <c r="AX3306" s="37"/>
      <c r="AY3306" s="37"/>
      <c r="AZ3306" s="37"/>
      <c r="BA3306" s="37"/>
      <c r="BB3306" s="37"/>
      <c r="BC3306" s="37"/>
      <c r="BD3306" s="37"/>
      <c r="BE3306" s="37"/>
      <c r="BF3306" s="37"/>
      <c r="BG3306" s="37"/>
      <c r="BH3306" s="37"/>
      <c r="BI3306" s="37"/>
      <c r="BJ3306" s="37"/>
      <c r="BK3306" s="37"/>
      <c r="BL3306" s="37"/>
      <c r="BM3306" s="37"/>
    </row>
    <row r="3307" spans="1:65" s="40" customFormat="1" ht="23.25" x14ac:dyDescent="0.35">
      <c r="A3307" s="37"/>
      <c r="B3307" s="37"/>
      <c r="C3307" s="41"/>
      <c r="D3307" s="38"/>
      <c r="E3307" s="57"/>
      <c r="F3307" s="42"/>
      <c r="G3307" s="43"/>
      <c r="H3307" s="37"/>
      <c r="I3307" s="37"/>
      <c r="J3307" s="38"/>
      <c r="K3307" s="37"/>
      <c r="L3307" s="38"/>
      <c r="M3307" s="39"/>
      <c r="P3307" s="37"/>
      <c r="Q3307" s="37"/>
      <c r="R3307" s="37"/>
      <c r="S3307" s="37"/>
      <c r="T3307" s="37"/>
      <c r="U3307" s="37"/>
      <c r="V3307" s="37"/>
      <c r="W3307" s="37"/>
      <c r="X3307" s="37"/>
      <c r="Y3307" s="37"/>
      <c r="Z3307" s="37"/>
      <c r="AA3307" s="37"/>
      <c r="AB3307" s="37"/>
      <c r="AC3307" s="37"/>
      <c r="AD3307" s="37"/>
      <c r="AE3307" s="37"/>
      <c r="AF3307" s="37"/>
      <c r="AG3307" s="37"/>
      <c r="AH3307" s="37"/>
      <c r="AI3307" s="37"/>
      <c r="AJ3307" s="37"/>
      <c r="AK3307" s="37"/>
      <c r="AL3307" s="37"/>
      <c r="AM3307" s="37"/>
      <c r="AN3307" s="37"/>
      <c r="AO3307" s="37"/>
      <c r="AP3307" s="37"/>
      <c r="AQ3307" s="37"/>
      <c r="AR3307" s="37"/>
      <c r="AS3307" s="37"/>
      <c r="AT3307" s="37"/>
      <c r="AU3307" s="37"/>
      <c r="AV3307" s="37"/>
      <c r="AW3307" s="37"/>
      <c r="AX3307" s="37"/>
      <c r="AY3307" s="37"/>
      <c r="AZ3307" s="37"/>
      <c r="BA3307" s="37"/>
      <c r="BB3307" s="37"/>
      <c r="BC3307" s="37"/>
      <c r="BD3307" s="37"/>
      <c r="BE3307" s="37"/>
      <c r="BF3307" s="37"/>
      <c r="BG3307" s="37"/>
      <c r="BH3307" s="37"/>
      <c r="BI3307" s="37"/>
      <c r="BJ3307" s="37"/>
      <c r="BK3307" s="37"/>
      <c r="BL3307" s="37"/>
      <c r="BM3307" s="37"/>
    </row>
    <row r="3308" spans="1:65" s="40" customFormat="1" ht="23.25" x14ac:dyDescent="0.35">
      <c r="A3308" s="37"/>
      <c r="B3308" s="37"/>
      <c r="C3308" s="41"/>
      <c r="D3308" s="38"/>
      <c r="E3308" s="57"/>
      <c r="F3308" s="42"/>
      <c r="G3308" s="43"/>
      <c r="H3308" s="37"/>
      <c r="I3308" s="37"/>
      <c r="J3308" s="38"/>
      <c r="K3308" s="37"/>
      <c r="L3308" s="38"/>
      <c r="M3308" s="39"/>
      <c r="P3308" s="37"/>
      <c r="Q3308" s="37"/>
      <c r="R3308" s="37"/>
      <c r="S3308" s="37"/>
      <c r="T3308" s="37"/>
      <c r="U3308" s="37"/>
      <c r="V3308" s="37"/>
      <c r="W3308" s="37"/>
      <c r="X3308" s="37"/>
      <c r="Y3308" s="37"/>
      <c r="Z3308" s="37"/>
      <c r="AA3308" s="37"/>
      <c r="AB3308" s="37"/>
      <c r="AC3308" s="37"/>
      <c r="AD3308" s="37"/>
      <c r="AE3308" s="37"/>
      <c r="AF3308" s="37"/>
      <c r="AG3308" s="37"/>
      <c r="AH3308" s="37"/>
      <c r="AI3308" s="37"/>
      <c r="AJ3308" s="37"/>
      <c r="AK3308" s="37"/>
      <c r="AL3308" s="37"/>
      <c r="AM3308" s="37"/>
      <c r="AN3308" s="37"/>
      <c r="AO3308" s="37"/>
      <c r="AP3308" s="37"/>
      <c r="AQ3308" s="37"/>
      <c r="AR3308" s="37"/>
      <c r="AS3308" s="37"/>
      <c r="AT3308" s="37"/>
      <c r="AU3308" s="37"/>
      <c r="AV3308" s="37"/>
      <c r="AW3308" s="37"/>
      <c r="AX3308" s="37"/>
      <c r="AY3308" s="37"/>
      <c r="AZ3308" s="37"/>
      <c r="BA3308" s="37"/>
      <c r="BB3308" s="37"/>
      <c r="BC3308" s="37"/>
      <c r="BD3308" s="37"/>
      <c r="BE3308" s="37"/>
      <c r="BF3308" s="37"/>
      <c r="BG3308" s="37"/>
      <c r="BH3308" s="37"/>
      <c r="BI3308" s="37"/>
      <c r="BJ3308" s="37"/>
      <c r="BK3308" s="37"/>
      <c r="BL3308" s="37"/>
      <c r="BM3308" s="37"/>
    </row>
    <row r="3309" spans="1:65" s="40" customFormat="1" ht="23.25" x14ac:dyDescent="0.35">
      <c r="A3309" s="37"/>
      <c r="B3309" s="37"/>
      <c r="C3309" s="41"/>
      <c r="D3309" s="38"/>
      <c r="E3309" s="57"/>
      <c r="F3309" s="42"/>
      <c r="G3309" s="43"/>
      <c r="H3309" s="37"/>
      <c r="I3309" s="37"/>
      <c r="J3309" s="38"/>
      <c r="K3309" s="37"/>
      <c r="L3309" s="38"/>
      <c r="M3309" s="39"/>
      <c r="P3309" s="37"/>
      <c r="Q3309" s="37"/>
      <c r="R3309" s="37"/>
      <c r="S3309" s="37"/>
      <c r="T3309" s="37"/>
      <c r="U3309" s="37"/>
      <c r="V3309" s="37"/>
      <c r="W3309" s="37"/>
      <c r="X3309" s="37"/>
      <c r="Y3309" s="37"/>
      <c r="Z3309" s="37"/>
      <c r="AA3309" s="37"/>
      <c r="AB3309" s="37"/>
      <c r="AC3309" s="37"/>
      <c r="AD3309" s="37"/>
      <c r="AE3309" s="37"/>
      <c r="AF3309" s="37"/>
      <c r="AG3309" s="37"/>
      <c r="AH3309" s="37"/>
      <c r="AI3309" s="37"/>
      <c r="AJ3309" s="37"/>
      <c r="AK3309" s="37"/>
      <c r="AL3309" s="37"/>
      <c r="AM3309" s="37"/>
      <c r="AN3309" s="37"/>
      <c r="AO3309" s="37"/>
      <c r="AP3309" s="37"/>
      <c r="AQ3309" s="37"/>
      <c r="AR3309" s="37"/>
      <c r="AS3309" s="37"/>
      <c r="AT3309" s="37"/>
      <c r="AU3309" s="37"/>
      <c r="AV3309" s="37"/>
      <c r="AW3309" s="37"/>
      <c r="AX3309" s="37"/>
      <c r="AY3309" s="37"/>
      <c r="AZ3309" s="37"/>
      <c r="BA3309" s="37"/>
      <c r="BB3309" s="37"/>
      <c r="BC3309" s="37"/>
      <c r="BD3309" s="37"/>
      <c r="BE3309" s="37"/>
      <c r="BF3309" s="37"/>
      <c r="BG3309" s="37"/>
      <c r="BH3309" s="37"/>
      <c r="BI3309" s="37"/>
      <c r="BJ3309" s="37"/>
      <c r="BK3309" s="37"/>
      <c r="BL3309" s="37"/>
      <c r="BM3309" s="37"/>
    </row>
    <row r="3310" spans="1:65" s="40" customFormat="1" ht="23.25" x14ac:dyDescent="0.35">
      <c r="A3310" s="37"/>
      <c r="B3310" s="37"/>
      <c r="C3310" s="41"/>
      <c r="D3310" s="38"/>
      <c r="E3310" s="57"/>
      <c r="F3310" s="42"/>
      <c r="G3310" s="43"/>
      <c r="H3310" s="37"/>
      <c r="I3310" s="37"/>
      <c r="J3310" s="38"/>
      <c r="K3310" s="37"/>
      <c r="L3310" s="38"/>
      <c r="M3310" s="39"/>
      <c r="P3310" s="37"/>
      <c r="Q3310" s="37"/>
      <c r="R3310" s="37"/>
      <c r="S3310" s="37"/>
      <c r="T3310" s="37"/>
      <c r="U3310" s="37"/>
      <c r="V3310" s="37"/>
      <c r="W3310" s="37"/>
      <c r="X3310" s="37"/>
      <c r="Y3310" s="37"/>
      <c r="Z3310" s="37"/>
      <c r="AA3310" s="37"/>
      <c r="AB3310" s="37"/>
      <c r="AC3310" s="37"/>
      <c r="AD3310" s="37"/>
      <c r="AE3310" s="37"/>
      <c r="AF3310" s="37"/>
      <c r="AG3310" s="37"/>
      <c r="AH3310" s="37"/>
      <c r="AI3310" s="37"/>
      <c r="AJ3310" s="37"/>
      <c r="AK3310" s="37"/>
      <c r="AL3310" s="37"/>
      <c r="AM3310" s="37"/>
      <c r="AN3310" s="37"/>
      <c r="AO3310" s="37"/>
      <c r="AP3310" s="37"/>
      <c r="AQ3310" s="37"/>
      <c r="AR3310" s="37"/>
      <c r="AS3310" s="37"/>
      <c r="AT3310" s="37"/>
      <c r="AU3310" s="37"/>
      <c r="AV3310" s="37"/>
      <c r="AW3310" s="37"/>
      <c r="AX3310" s="37"/>
      <c r="AY3310" s="37"/>
      <c r="AZ3310" s="37"/>
      <c r="BA3310" s="37"/>
      <c r="BB3310" s="37"/>
      <c r="BC3310" s="37"/>
      <c r="BD3310" s="37"/>
      <c r="BE3310" s="37"/>
      <c r="BF3310" s="37"/>
      <c r="BG3310" s="37"/>
      <c r="BH3310" s="37"/>
      <c r="BI3310" s="37"/>
      <c r="BJ3310" s="37"/>
      <c r="BK3310" s="37"/>
      <c r="BL3310" s="37"/>
      <c r="BM3310" s="37"/>
    </row>
    <row r="3311" spans="1:65" s="40" customFormat="1" ht="23.25" x14ac:dyDescent="0.35">
      <c r="A3311" s="37"/>
      <c r="B3311" s="37"/>
      <c r="C3311" s="41"/>
      <c r="D3311" s="38"/>
      <c r="E3311" s="57"/>
      <c r="F3311" s="42"/>
      <c r="G3311" s="43"/>
      <c r="H3311" s="37"/>
      <c r="I3311" s="37"/>
      <c r="J3311" s="38"/>
      <c r="K3311" s="37"/>
      <c r="L3311" s="38"/>
      <c r="M3311" s="39"/>
      <c r="P3311" s="37"/>
      <c r="Q3311" s="37"/>
      <c r="R3311" s="37"/>
      <c r="S3311" s="37"/>
      <c r="T3311" s="37"/>
      <c r="U3311" s="37"/>
      <c r="V3311" s="37"/>
      <c r="W3311" s="37"/>
      <c r="X3311" s="37"/>
      <c r="Y3311" s="37"/>
      <c r="Z3311" s="37"/>
      <c r="AA3311" s="37"/>
      <c r="AB3311" s="37"/>
      <c r="AC3311" s="37"/>
      <c r="AD3311" s="37"/>
      <c r="AE3311" s="37"/>
      <c r="AF3311" s="37"/>
      <c r="AG3311" s="37"/>
      <c r="AH3311" s="37"/>
      <c r="AI3311" s="37"/>
      <c r="AJ3311" s="37"/>
      <c r="AK3311" s="37"/>
      <c r="AL3311" s="37"/>
      <c r="AM3311" s="37"/>
      <c r="AN3311" s="37"/>
      <c r="AO3311" s="37"/>
      <c r="AP3311" s="37"/>
      <c r="AQ3311" s="37"/>
      <c r="AR3311" s="37"/>
      <c r="AS3311" s="37"/>
      <c r="AT3311" s="37"/>
      <c r="AU3311" s="37"/>
      <c r="AV3311" s="37"/>
      <c r="AW3311" s="37"/>
      <c r="AX3311" s="37"/>
      <c r="AY3311" s="37"/>
      <c r="AZ3311" s="37"/>
      <c r="BA3311" s="37"/>
      <c r="BB3311" s="37"/>
      <c r="BC3311" s="37"/>
      <c r="BD3311" s="37"/>
      <c r="BE3311" s="37"/>
      <c r="BF3311" s="37"/>
      <c r="BG3311" s="37"/>
      <c r="BH3311" s="37"/>
      <c r="BI3311" s="37"/>
      <c r="BJ3311" s="37"/>
      <c r="BK3311" s="37"/>
      <c r="BL3311" s="37"/>
      <c r="BM3311" s="37"/>
    </row>
    <row r="3312" spans="1:65" s="40" customFormat="1" ht="23.25" x14ac:dyDescent="0.35">
      <c r="A3312" s="37"/>
      <c r="B3312" s="37"/>
      <c r="C3312" s="41"/>
      <c r="D3312" s="38"/>
      <c r="E3312" s="57"/>
      <c r="F3312" s="42"/>
      <c r="G3312" s="43"/>
      <c r="H3312" s="37"/>
      <c r="I3312" s="37"/>
      <c r="J3312" s="38"/>
      <c r="K3312" s="37"/>
      <c r="L3312" s="38"/>
      <c r="M3312" s="39"/>
      <c r="P3312" s="37"/>
      <c r="Q3312" s="37"/>
      <c r="R3312" s="37"/>
      <c r="S3312" s="37"/>
      <c r="T3312" s="37"/>
      <c r="U3312" s="37"/>
      <c r="V3312" s="37"/>
      <c r="W3312" s="37"/>
      <c r="X3312" s="37"/>
      <c r="Y3312" s="37"/>
      <c r="Z3312" s="37"/>
      <c r="AA3312" s="37"/>
      <c r="AB3312" s="37"/>
      <c r="AC3312" s="37"/>
      <c r="AD3312" s="37"/>
      <c r="AE3312" s="37"/>
      <c r="AF3312" s="37"/>
      <c r="AG3312" s="37"/>
      <c r="AH3312" s="37"/>
      <c r="AI3312" s="37"/>
      <c r="AJ3312" s="37"/>
      <c r="AK3312" s="37"/>
      <c r="AL3312" s="37"/>
      <c r="AM3312" s="37"/>
      <c r="AN3312" s="37"/>
      <c r="AO3312" s="37"/>
      <c r="AP3312" s="37"/>
      <c r="AQ3312" s="37"/>
      <c r="AR3312" s="37"/>
      <c r="AS3312" s="37"/>
      <c r="AT3312" s="37"/>
      <c r="AU3312" s="37"/>
      <c r="AV3312" s="37"/>
      <c r="AW3312" s="37"/>
      <c r="AX3312" s="37"/>
      <c r="AY3312" s="37"/>
      <c r="AZ3312" s="37"/>
      <c r="BA3312" s="37"/>
      <c r="BB3312" s="37"/>
      <c r="BC3312" s="37"/>
      <c r="BD3312" s="37"/>
      <c r="BE3312" s="37"/>
      <c r="BF3312" s="37"/>
      <c r="BG3312" s="37"/>
      <c r="BH3312" s="37"/>
      <c r="BI3312" s="37"/>
      <c r="BJ3312" s="37"/>
      <c r="BK3312" s="37"/>
      <c r="BL3312" s="37"/>
      <c r="BM3312" s="37"/>
    </row>
    <row r="3313" spans="1:65" s="40" customFormat="1" ht="23.25" x14ac:dyDescent="0.35">
      <c r="A3313" s="37"/>
      <c r="B3313" s="37"/>
      <c r="C3313" s="41"/>
      <c r="D3313" s="38"/>
      <c r="E3313" s="57"/>
      <c r="F3313" s="42"/>
      <c r="G3313" s="43"/>
      <c r="H3313" s="37"/>
      <c r="I3313" s="37"/>
      <c r="J3313" s="38"/>
      <c r="K3313" s="37"/>
      <c r="L3313" s="38"/>
      <c r="M3313" s="39"/>
      <c r="P3313" s="37"/>
      <c r="Q3313" s="37"/>
      <c r="R3313" s="37"/>
      <c r="S3313" s="37"/>
      <c r="T3313" s="37"/>
      <c r="U3313" s="37"/>
      <c r="V3313" s="37"/>
      <c r="W3313" s="37"/>
      <c r="X3313" s="37"/>
      <c r="Y3313" s="37"/>
      <c r="Z3313" s="37"/>
      <c r="AA3313" s="37"/>
      <c r="AB3313" s="37"/>
      <c r="AC3313" s="37"/>
      <c r="AD3313" s="37"/>
      <c r="AE3313" s="37"/>
      <c r="AF3313" s="37"/>
      <c r="AG3313" s="37"/>
      <c r="AH3313" s="37"/>
      <c r="AI3313" s="37"/>
      <c r="AJ3313" s="37"/>
      <c r="AK3313" s="37"/>
      <c r="AL3313" s="37"/>
      <c r="AM3313" s="37"/>
      <c r="AN3313" s="37"/>
      <c r="AO3313" s="37"/>
      <c r="AP3313" s="37"/>
      <c r="AQ3313" s="37"/>
      <c r="AR3313" s="37"/>
      <c r="AS3313" s="37"/>
      <c r="AT3313" s="37"/>
      <c r="AU3313" s="37"/>
      <c r="AV3313" s="37"/>
      <c r="AW3313" s="37"/>
      <c r="AX3313" s="37"/>
      <c r="AY3313" s="37"/>
      <c r="AZ3313" s="37"/>
      <c r="BA3313" s="37"/>
      <c r="BB3313" s="37"/>
      <c r="BC3313" s="37"/>
      <c r="BD3313" s="37"/>
      <c r="BE3313" s="37"/>
      <c r="BF3313" s="37"/>
      <c r="BG3313" s="37"/>
      <c r="BH3313" s="37"/>
      <c r="BI3313" s="37"/>
      <c r="BJ3313" s="37"/>
      <c r="BK3313" s="37"/>
      <c r="BL3313" s="37"/>
      <c r="BM3313" s="37"/>
    </row>
    <row r="3314" spans="1:65" s="40" customFormat="1" ht="23.25" x14ac:dyDescent="0.35">
      <c r="A3314" s="37"/>
      <c r="B3314" s="37"/>
      <c r="C3314" s="41"/>
      <c r="D3314" s="38"/>
      <c r="E3314" s="57"/>
      <c r="F3314" s="42"/>
      <c r="G3314" s="43"/>
      <c r="H3314" s="37"/>
      <c r="I3314" s="37"/>
      <c r="J3314" s="38"/>
      <c r="K3314" s="37"/>
      <c r="L3314" s="38"/>
      <c r="M3314" s="39"/>
      <c r="P3314" s="37"/>
      <c r="Q3314" s="37"/>
      <c r="R3314" s="37"/>
      <c r="S3314" s="37"/>
      <c r="T3314" s="37"/>
      <c r="U3314" s="37"/>
      <c r="V3314" s="37"/>
      <c r="W3314" s="37"/>
      <c r="X3314" s="37"/>
      <c r="Y3314" s="37"/>
      <c r="Z3314" s="37"/>
      <c r="AA3314" s="37"/>
      <c r="AB3314" s="37"/>
      <c r="AC3314" s="37"/>
      <c r="AD3314" s="37"/>
      <c r="AE3314" s="37"/>
      <c r="AF3314" s="37"/>
      <c r="AG3314" s="37"/>
      <c r="AH3314" s="37"/>
      <c r="AI3314" s="37"/>
      <c r="AJ3314" s="37"/>
      <c r="AK3314" s="37"/>
      <c r="AL3314" s="37"/>
      <c r="AM3314" s="37"/>
      <c r="AN3314" s="37"/>
      <c r="AO3314" s="37"/>
      <c r="AP3314" s="37"/>
      <c r="AQ3314" s="37"/>
      <c r="AR3314" s="37"/>
      <c r="AS3314" s="37"/>
      <c r="AT3314" s="37"/>
      <c r="AU3314" s="37"/>
      <c r="AV3314" s="37"/>
      <c r="AW3314" s="37"/>
      <c r="AX3314" s="37"/>
      <c r="AY3314" s="37"/>
      <c r="AZ3314" s="37"/>
      <c r="BA3314" s="37"/>
      <c r="BB3314" s="37"/>
      <c r="BC3314" s="37"/>
      <c r="BD3314" s="37"/>
      <c r="BE3314" s="37"/>
      <c r="BF3314" s="37"/>
      <c r="BG3314" s="37"/>
      <c r="BH3314" s="37"/>
      <c r="BI3314" s="37"/>
      <c r="BJ3314" s="37"/>
      <c r="BK3314" s="37"/>
      <c r="BL3314" s="37"/>
      <c r="BM3314" s="37"/>
    </row>
    <row r="3315" spans="1:65" s="40" customFormat="1" ht="23.25" x14ac:dyDescent="0.35">
      <c r="A3315" s="37"/>
      <c r="B3315" s="37"/>
      <c r="C3315" s="41"/>
      <c r="D3315" s="38"/>
      <c r="E3315" s="57"/>
      <c r="F3315" s="42"/>
      <c r="G3315" s="43"/>
      <c r="H3315" s="37"/>
      <c r="I3315" s="37"/>
      <c r="J3315" s="38"/>
      <c r="K3315" s="37"/>
      <c r="L3315" s="38"/>
      <c r="M3315" s="39"/>
      <c r="P3315" s="37"/>
      <c r="Q3315" s="37"/>
      <c r="R3315" s="37"/>
      <c r="S3315" s="37"/>
      <c r="T3315" s="37"/>
      <c r="U3315" s="37"/>
      <c r="V3315" s="37"/>
      <c r="W3315" s="37"/>
      <c r="X3315" s="37"/>
      <c r="Y3315" s="37"/>
      <c r="Z3315" s="37"/>
      <c r="AA3315" s="37"/>
      <c r="AB3315" s="37"/>
      <c r="AC3315" s="37"/>
      <c r="AD3315" s="37"/>
      <c r="AE3315" s="37"/>
      <c r="AF3315" s="37"/>
      <c r="AG3315" s="37"/>
      <c r="AH3315" s="37"/>
      <c r="AI3315" s="37"/>
      <c r="AJ3315" s="37"/>
      <c r="AK3315" s="37"/>
      <c r="AL3315" s="37"/>
      <c r="AM3315" s="37"/>
      <c r="AN3315" s="37"/>
      <c r="AO3315" s="37"/>
      <c r="AP3315" s="37"/>
      <c r="AQ3315" s="37"/>
      <c r="AR3315" s="37"/>
      <c r="AS3315" s="37"/>
      <c r="AT3315" s="37"/>
      <c r="AU3315" s="37"/>
      <c r="AV3315" s="37"/>
      <c r="AW3315" s="37"/>
      <c r="AX3315" s="37"/>
      <c r="AY3315" s="37"/>
      <c r="AZ3315" s="37"/>
      <c r="BA3315" s="37"/>
      <c r="BB3315" s="37"/>
      <c r="BC3315" s="37"/>
      <c r="BD3315" s="37"/>
      <c r="BE3315" s="37"/>
      <c r="BF3315" s="37"/>
      <c r="BG3315" s="37"/>
      <c r="BH3315" s="37"/>
      <c r="BI3315" s="37"/>
      <c r="BJ3315" s="37"/>
      <c r="BK3315" s="37"/>
      <c r="BL3315" s="37"/>
      <c r="BM3315" s="37"/>
    </row>
    <row r="3316" spans="1:65" s="40" customFormat="1" ht="23.25" x14ac:dyDescent="0.35">
      <c r="A3316" s="37"/>
      <c r="B3316" s="37"/>
      <c r="C3316" s="41"/>
      <c r="D3316" s="38"/>
      <c r="E3316" s="57"/>
      <c r="F3316" s="42"/>
      <c r="G3316" s="43"/>
      <c r="H3316" s="37"/>
      <c r="I3316" s="37"/>
      <c r="J3316" s="38"/>
      <c r="K3316" s="37"/>
      <c r="L3316" s="38"/>
      <c r="M3316" s="39"/>
      <c r="P3316" s="37"/>
      <c r="Q3316" s="37"/>
      <c r="R3316" s="37"/>
      <c r="S3316" s="37"/>
      <c r="T3316" s="37"/>
      <c r="U3316" s="37"/>
      <c r="V3316" s="37"/>
      <c r="W3316" s="37"/>
      <c r="X3316" s="37"/>
      <c r="Y3316" s="37"/>
      <c r="Z3316" s="37"/>
      <c r="AA3316" s="37"/>
      <c r="AB3316" s="37"/>
      <c r="AC3316" s="37"/>
      <c r="AD3316" s="37"/>
      <c r="AE3316" s="37"/>
      <c r="AF3316" s="37"/>
      <c r="AG3316" s="37"/>
      <c r="AH3316" s="37"/>
      <c r="AI3316" s="37"/>
      <c r="AJ3316" s="37"/>
      <c r="AK3316" s="37"/>
      <c r="AL3316" s="37"/>
      <c r="AM3316" s="37"/>
      <c r="AN3316" s="37"/>
      <c r="AO3316" s="37"/>
      <c r="AP3316" s="37"/>
      <c r="AQ3316" s="37"/>
      <c r="AR3316" s="37"/>
      <c r="AS3316" s="37"/>
      <c r="AT3316" s="37"/>
      <c r="AU3316" s="37"/>
      <c r="AV3316" s="37"/>
      <c r="AW3316" s="37"/>
      <c r="AX3316" s="37"/>
      <c r="AY3316" s="37"/>
      <c r="AZ3316" s="37"/>
      <c r="BA3316" s="37"/>
      <c r="BB3316" s="37"/>
      <c r="BC3316" s="37"/>
      <c r="BD3316" s="37"/>
      <c r="BE3316" s="37"/>
      <c r="BF3316" s="37"/>
      <c r="BG3316" s="37"/>
      <c r="BH3316" s="37"/>
      <c r="BI3316" s="37"/>
      <c r="BJ3316" s="37"/>
      <c r="BK3316" s="37"/>
      <c r="BL3316" s="37"/>
      <c r="BM3316" s="37"/>
    </row>
    <row r="3317" spans="1:65" s="40" customFormat="1" ht="23.25" x14ac:dyDescent="0.35">
      <c r="A3317" s="37"/>
      <c r="B3317" s="37"/>
      <c r="C3317" s="41"/>
      <c r="D3317" s="38"/>
      <c r="E3317" s="57"/>
      <c r="F3317" s="42"/>
      <c r="G3317" s="43"/>
      <c r="H3317" s="37"/>
      <c r="I3317" s="37"/>
      <c r="J3317" s="38"/>
      <c r="K3317" s="37"/>
      <c r="L3317" s="38"/>
      <c r="M3317" s="39"/>
      <c r="P3317" s="37"/>
      <c r="Q3317" s="37"/>
      <c r="R3317" s="37"/>
      <c r="S3317" s="37"/>
      <c r="T3317" s="37"/>
      <c r="U3317" s="37"/>
      <c r="V3317" s="37"/>
      <c r="W3317" s="37"/>
      <c r="X3317" s="37"/>
      <c r="Y3317" s="37"/>
      <c r="Z3317" s="37"/>
      <c r="AA3317" s="37"/>
      <c r="AB3317" s="37"/>
      <c r="AC3317" s="37"/>
      <c r="AD3317" s="37"/>
      <c r="AE3317" s="37"/>
      <c r="AF3317" s="37"/>
      <c r="AG3317" s="37"/>
      <c r="AH3317" s="37"/>
      <c r="AI3317" s="37"/>
      <c r="AJ3317" s="37"/>
      <c r="AK3317" s="37"/>
      <c r="AL3317" s="37"/>
      <c r="AM3317" s="37"/>
      <c r="AN3317" s="37"/>
      <c r="AO3317" s="37"/>
      <c r="AP3317" s="37"/>
      <c r="AQ3317" s="37"/>
      <c r="AR3317" s="37"/>
      <c r="AS3317" s="37"/>
      <c r="AT3317" s="37"/>
      <c r="AU3317" s="37"/>
      <c r="AV3317" s="37"/>
      <c r="AW3317" s="37"/>
      <c r="AX3317" s="37"/>
      <c r="AY3317" s="37"/>
      <c r="AZ3317" s="37"/>
      <c r="BA3317" s="37"/>
      <c r="BB3317" s="37"/>
      <c r="BC3317" s="37"/>
      <c r="BD3317" s="37"/>
      <c r="BE3317" s="37"/>
      <c r="BF3317" s="37"/>
      <c r="BG3317" s="37"/>
      <c r="BH3317" s="37"/>
      <c r="BI3317" s="37"/>
      <c r="BJ3317" s="37"/>
      <c r="BK3317" s="37"/>
      <c r="BL3317" s="37"/>
      <c r="BM3317" s="37"/>
    </row>
    <row r="3318" spans="1:65" s="40" customFormat="1" ht="23.25" x14ac:dyDescent="0.35">
      <c r="A3318" s="37"/>
      <c r="B3318" s="37"/>
      <c r="C3318" s="41"/>
      <c r="D3318" s="38"/>
      <c r="E3318" s="57"/>
      <c r="F3318" s="42"/>
      <c r="G3318" s="43"/>
      <c r="H3318" s="37"/>
      <c r="I3318" s="37"/>
      <c r="J3318" s="38"/>
      <c r="K3318" s="37"/>
      <c r="L3318" s="38"/>
      <c r="M3318" s="39"/>
      <c r="P3318" s="37"/>
      <c r="Q3318" s="37"/>
      <c r="R3318" s="37"/>
      <c r="S3318" s="37"/>
      <c r="T3318" s="37"/>
      <c r="U3318" s="37"/>
      <c r="V3318" s="37"/>
      <c r="W3318" s="37"/>
      <c r="X3318" s="37"/>
      <c r="Y3318" s="37"/>
      <c r="Z3318" s="37"/>
      <c r="AA3318" s="37"/>
      <c r="AB3318" s="37"/>
      <c r="AC3318" s="37"/>
      <c r="AD3318" s="37"/>
      <c r="AE3318" s="37"/>
      <c r="AF3318" s="37"/>
      <c r="AG3318" s="37"/>
      <c r="AH3318" s="37"/>
      <c r="AI3318" s="37"/>
      <c r="AJ3318" s="37"/>
      <c r="AK3318" s="37"/>
      <c r="AL3318" s="37"/>
      <c r="AM3318" s="37"/>
      <c r="AN3318" s="37"/>
      <c r="AO3318" s="37"/>
      <c r="AP3318" s="37"/>
      <c r="AQ3318" s="37"/>
      <c r="AR3318" s="37"/>
      <c r="AS3318" s="37"/>
      <c r="AT3318" s="37"/>
      <c r="AU3318" s="37"/>
      <c r="AV3318" s="37"/>
      <c r="AW3318" s="37"/>
      <c r="AX3318" s="37"/>
      <c r="AY3318" s="37"/>
      <c r="AZ3318" s="37"/>
      <c r="BA3318" s="37"/>
      <c r="BB3318" s="37"/>
      <c r="BC3318" s="37"/>
      <c r="BD3318" s="37"/>
      <c r="BE3318" s="37"/>
      <c r="BF3318" s="37"/>
      <c r="BG3318" s="37"/>
      <c r="BH3318" s="37"/>
      <c r="BI3318" s="37"/>
      <c r="BJ3318" s="37"/>
      <c r="BK3318" s="37"/>
      <c r="BL3318" s="37"/>
      <c r="BM3318" s="37"/>
    </row>
    <row r="3319" spans="1:65" s="40" customFormat="1" ht="23.25" x14ac:dyDescent="0.35">
      <c r="A3319" s="37"/>
      <c r="B3319" s="37"/>
      <c r="C3319" s="41"/>
      <c r="D3319" s="38"/>
      <c r="E3319" s="57"/>
      <c r="F3319" s="42"/>
      <c r="G3319" s="43"/>
      <c r="H3319" s="37"/>
      <c r="I3319" s="37"/>
      <c r="J3319" s="38"/>
      <c r="K3319" s="37"/>
      <c r="L3319" s="38"/>
      <c r="M3319" s="39"/>
      <c r="P3319" s="37"/>
      <c r="Q3319" s="37"/>
      <c r="R3319" s="37"/>
      <c r="S3319" s="37"/>
      <c r="T3319" s="37"/>
      <c r="U3319" s="37"/>
      <c r="V3319" s="37"/>
      <c r="W3319" s="37"/>
      <c r="X3319" s="37"/>
      <c r="Y3319" s="37"/>
      <c r="Z3319" s="37"/>
      <c r="AA3319" s="37"/>
      <c r="AB3319" s="37"/>
      <c r="AC3319" s="37"/>
      <c r="AD3319" s="37"/>
      <c r="AE3319" s="37"/>
      <c r="AF3319" s="37"/>
      <c r="AG3319" s="37"/>
      <c r="AH3319" s="37"/>
      <c r="AI3319" s="37"/>
      <c r="AJ3319" s="37"/>
      <c r="AK3319" s="37"/>
      <c r="AL3319" s="37"/>
      <c r="AM3319" s="37"/>
      <c r="AN3319" s="37"/>
      <c r="AO3319" s="37"/>
      <c r="AP3319" s="37"/>
      <c r="AQ3319" s="37"/>
      <c r="AR3319" s="37"/>
      <c r="AS3319" s="37"/>
      <c r="AT3319" s="37"/>
      <c r="AU3319" s="37"/>
      <c r="AV3319" s="37"/>
      <c r="AW3319" s="37"/>
      <c r="AX3319" s="37"/>
      <c r="AY3319" s="37"/>
      <c r="AZ3319" s="37"/>
      <c r="BA3319" s="37"/>
      <c r="BB3319" s="37"/>
      <c r="BC3319" s="37"/>
      <c r="BD3319" s="37"/>
      <c r="BE3319" s="37"/>
      <c r="BF3319" s="37"/>
      <c r="BG3319" s="37"/>
      <c r="BH3319" s="37"/>
      <c r="BI3319" s="37"/>
      <c r="BJ3319" s="37"/>
      <c r="BK3319" s="37"/>
      <c r="BL3319" s="37"/>
      <c r="BM3319" s="37"/>
    </row>
    <row r="3320" spans="1:65" s="40" customFormat="1" ht="23.25" x14ac:dyDescent="0.35">
      <c r="A3320" s="37"/>
      <c r="B3320" s="37"/>
      <c r="C3320" s="41"/>
      <c r="D3320" s="38"/>
      <c r="E3320" s="57"/>
      <c r="F3320" s="42"/>
      <c r="G3320" s="43"/>
      <c r="H3320" s="37"/>
      <c r="I3320" s="37"/>
      <c r="J3320" s="38"/>
      <c r="K3320" s="37"/>
      <c r="L3320" s="38"/>
      <c r="M3320" s="39"/>
      <c r="P3320" s="37"/>
      <c r="Q3320" s="37"/>
      <c r="R3320" s="37"/>
      <c r="S3320" s="37"/>
      <c r="T3320" s="37"/>
      <c r="U3320" s="37"/>
      <c r="V3320" s="37"/>
      <c r="W3320" s="37"/>
      <c r="X3320" s="37"/>
      <c r="Y3320" s="37"/>
      <c r="Z3320" s="37"/>
      <c r="AA3320" s="37"/>
      <c r="AB3320" s="37"/>
      <c r="AC3320" s="37"/>
      <c r="AD3320" s="37"/>
      <c r="AE3320" s="37"/>
      <c r="AF3320" s="37"/>
      <c r="AG3320" s="37"/>
      <c r="AH3320" s="37"/>
      <c r="AI3320" s="37"/>
      <c r="AJ3320" s="37"/>
      <c r="AK3320" s="37"/>
      <c r="AL3320" s="37"/>
      <c r="AM3320" s="37"/>
      <c r="AN3320" s="37"/>
      <c r="AO3320" s="37"/>
      <c r="AP3320" s="37"/>
      <c r="AQ3320" s="37"/>
      <c r="AR3320" s="37"/>
      <c r="AS3320" s="37"/>
      <c r="AT3320" s="37"/>
      <c r="AU3320" s="37"/>
      <c r="AV3320" s="37"/>
      <c r="AW3320" s="37"/>
      <c r="AX3320" s="37"/>
      <c r="AY3320" s="37"/>
      <c r="AZ3320" s="37"/>
      <c r="BA3320" s="37"/>
      <c r="BB3320" s="37"/>
      <c r="BC3320" s="37"/>
      <c r="BD3320" s="37"/>
      <c r="BE3320" s="37"/>
      <c r="BF3320" s="37"/>
      <c r="BG3320" s="37"/>
      <c r="BH3320" s="37"/>
      <c r="BI3320" s="37"/>
      <c r="BJ3320" s="37"/>
      <c r="BK3320" s="37"/>
      <c r="BL3320" s="37"/>
      <c r="BM3320" s="37"/>
    </row>
    <row r="3321" spans="1:65" s="40" customFormat="1" ht="23.25" x14ac:dyDescent="0.35">
      <c r="A3321" s="37"/>
      <c r="B3321" s="37"/>
      <c r="C3321" s="41"/>
      <c r="D3321" s="38"/>
      <c r="E3321" s="57"/>
      <c r="F3321" s="42"/>
      <c r="G3321" s="43"/>
      <c r="H3321" s="37"/>
      <c r="I3321" s="37"/>
      <c r="J3321" s="38"/>
      <c r="K3321" s="37"/>
      <c r="L3321" s="38"/>
      <c r="M3321" s="39"/>
      <c r="P3321" s="37"/>
      <c r="Q3321" s="37"/>
      <c r="R3321" s="37"/>
      <c r="S3321" s="37"/>
      <c r="T3321" s="37"/>
      <c r="U3321" s="37"/>
      <c r="V3321" s="37"/>
      <c r="W3321" s="37"/>
      <c r="X3321" s="37"/>
      <c r="Y3321" s="37"/>
      <c r="Z3321" s="37"/>
      <c r="AA3321" s="37"/>
      <c r="AB3321" s="37"/>
      <c r="AC3321" s="37"/>
      <c r="AD3321" s="37"/>
      <c r="AE3321" s="37"/>
      <c r="AF3321" s="37"/>
      <c r="AG3321" s="37"/>
      <c r="AH3321" s="37"/>
      <c r="AI3321" s="37"/>
      <c r="AJ3321" s="37"/>
      <c r="AK3321" s="37"/>
      <c r="AL3321" s="37"/>
      <c r="AM3321" s="37"/>
      <c r="AN3321" s="37"/>
      <c r="AO3321" s="37"/>
      <c r="AP3321" s="37"/>
      <c r="AQ3321" s="37"/>
      <c r="AR3321" s="37"/>
      <c r="AS3321" s="37"/>
      <c r="AT3321" s="37"/>
      <c r="AU3321" s="37"/>
      <c r="AV3321" s="37"/>
      <c r="AW3321" s="37"/>
      <c r="AX3321" s="37"/>
      <c r="AY3321" s="37"/>
      <c r="AZ3321" s="37"/>
      <c r="BA3321" s="37"/>
      <c r="BB3321" s="37"/>
      <c r="BC3321" s="37"/>
      <c r="BD3321" s="37"/>
      <c r="BE3321" s="37"/>
      <c r="BF3321" s="37"/>
      <c r="BG3321" s="37"/>
      <c r="BH3321" s="37"/>
      <c r="BI3321" s="37"/>
      <c r="BJ3321" s="37"/>
      <c r="BK3321" s="37"/>
      <c r="BL3321" s="37"/>
      <c r="BM3321" s="37"/>
    </row>
    <row r="3322" spans="1:65" s="40" customFormat="1" ht="23.25" x14ac:dyDescent="0.35">
      <c r="A3322" s="37"/>
      <c r="B3322" s="37"/>
      <c r="C3322" s="41"/>
      <c r="D3322" s="38"/>
      <c r="E3322" s="57"/>
      <c r="F3322" s="42"/>
      <c r="G3322" s="43"/>
      <c r="H3322" s="37"/>
      <c r="I3322" s="37"/>
      <c r="J3322" s="38"/>
      <c r="K3322" s="37"/>
      <c r="L3322" s="38"/>
      <c r="M3322" s="39"/>
      <c r="P3322" s="37"/>
      <c r="Q3322" s="37"/>
      <c r="R3322" s="37"/>
      <c r="S3322" s="37"/>
      <c r="T3322" s="37"/>
      <c r="U3322" s="37"/>
      <c r="V3322" s="37"/>
      <c r="W3322" s="37"/>
      <c r="X3322" s="37"/>
      <c r="Y3322" s="37"/>
      <c r="Z3322" s="37"/>
      <c r="AA3322" s="37"/>
      <c r="AB3322" s="37"/>
      <c r="AC3322" s="37"/>
      <c r="AD3322" s="37"/>
      <c r="AE3322" s="37"/>
      <c r="AF3322" s="37"/>
      <c r="AG3322" s="37"/>
      <c r="AH3322" s="37"/>
      <c r="AI3322" s="37"/>
      <c r="AJ3322" s="37"/>
      <c r="AK3322" s="37"/>
      <c r="AL3322" s="37"/>
      <c r="AM3322" s="37"/>
      <c r="AN3322" s="37"/>
      <c r="AO3322" s="37"/>
      <c r="AP3322" s="37"/>
      <c r="AQ3322" s="37"/>
      <c r="AR3322" s="37"/>
      <c r="AS3322" s="37"/>
      <c r="AT3322" s="37"/>
      <c r="AU3322" s="37"/>
      <c r="AV3322" s="37"/>
      <c r="AW3322" s="37"/>
      <c r="AX3322" s="37"/>
      <c r="AY3322" s="37"/>
      <c r="AZ3322" s="37"/>
      <c r="BA3322" s="37"/>
      <c r="BB3322" s="37"/>
      <c r="BC3322" s="37"/>
      <c r="BD3322" s="37"/>
      <c r="BE3322" s="37"/>
      <c r="BF3322" s="37"/>
      <c r="BG3322" s="37"/>
      <c r="BH3322" s="37"/>
      <c r="BI3322" s="37"/>
      <c r="BJ3322" s="37"/>
      <c r="BK3322" s="37"/>
      <c r="BL3322" s="37"/>
      <c r="BM3322" s="37"/>
    </row>
    <row r="3323" spans="1:65" s="40" customFormat="1" ht="23.25" x14ac:dyDescent="0.35">
      <c r="A3323" s="37"/>
      <c r="B3323" s="37"/>
      <c r="C3323" s="41"/>
      <c r="D3323" s="38"/>
      <c r="E3323" s="57"/>
      <c r="F3323" s="42"/>
      <c r="G3323" s="43"/>
      <c r="H3323" s="37"/>
      <c r="I3323" s="37"/>
      <c r="J3323" s="38"/>
      <c r="K3323" s="37"/>
      <c r="L3323" s="38"/>
      <c r="M3323" s="39"/>
      <c r="P3323" s="37"/>
      <c r="Q3323" s="37"/>
      <c r="R3323" s="37"/>
      <c r="S3323" s="37"/>
      <c r="T3323" s="37"/>
      <c r="U3323" s="37"/>
      <c r="V3323" s="37"/>
      <c r="W3323" s="37"/>
      <c r="X3323" s="37"/>
      <c r="Y3323" s="37"/>
      <c r="Z3323" s="37"/>
      <c r="AA3323" s="37"/>
      <c r="AB3323" s="37"/>
      <c r="AC3323" s="37"/>
      <c r="AD3323" s="37"/>
      <c r="AE3323" s="37"/>
      <c r="AF3323" s="37"/>
      <c r="AG3323" s="37"/>
      <c r="AH3323" s="37"/>
      <c r="AI3323" s="37"/>
      <c r="AJ3323" s="37"/>
      <c r="AK3323" s="37"/>
      <c r="AL3323" s="37"/>
      <c r="AM3323" s="37"/>
      <c r="AN3323" s="37"/>
      <c r="AO3323" s="37"/>
      <c r="AP3323" s="37"/>
      <c r="AQ3323" s="37"/>
      <c r="AR3323" s="37"/>
      <c r="AS3323" s="37"/>
      <c r="AT3323" s="37"/>
      <c r="AU3323" s="37"/>
      <c r="AV3323" s="37"/>
      <c r="AW3323" s="37"/>
      <c r="AX3323" s="37"/>
      <c r="AY3323" s="37"/>
      <c r="AZ3323" s="37"/>
      <c r="BA3323" s="37"/>
      <c r="BB3323" s="37"/>
      <c r="BC3323" s="37"/>
      <c r="BD3323" s="37"/>
      <c r="BE3323" s="37"/>
      <c r="BF3323" s="37"/>
      <c r="BG3323" s="37"/>
      <c r="BH3323" s="37"/>
      <c r="BI3323" s="37"/>
      <c r="BJ3323" s="37"/>
      <c r="BK3323" s="37"/>
      <c r="BL3323" s="37"/>
      <c r="BM3323" s="37"/>
    </row>
    <row r="3324" spans="1:65" s="40" customFormat="1" ht="23.25" x14ac:dyDescent="0.35">
      <c r="A3324" s="37"/>
      <c r="B3324" s="37"/>
      <c r="C3324" s="41"/>
      <c r="D3324" s="38"/>
      <c r="E3324" s="57"/>
      <c r="F3324" s="42"/>
      <c r="G3324" s="43"/>
      <c r="H3324" s="37"/>
      <c r="I3324" s="37"/>
      <c r="J3324" s="38"/>
      <c r="K3324" s="37"/>
      <c r="L3324" s="38"/>
      <c r="M3324" s="39"/>
      <c r="P3324" s="37"/>
      <c r="Q3324" s="37"/>
      <c r="R3324" s="37"/>
      <c r="S3324" s="37"/>
      <c r="T3324" s="37"/>
      <c r="U3324" s="37"/>
      <c r="V3324" s="37"/>
      <c r="W3324" s="37"/>
      <c r="X3324" s="37"/>
      <c r="Y3324" s="37"/>
      <c r="Z3324" s="37"/>
      <c r="AA3324" s="37"/>
      <c r="AB3324" s="37"/>
      <c r="AC3324" s="37"/>
      <c r="AD3324" s="37"/>
      <c r="AE3324" s="37"/>
      <c r="AF3324" s="37"/>
      <c r="AG3324" s="37"/>
      <c r="AH3324" s="37"/>
      <c r="AI3324" s="37"/>
      <c r="AJ3324" s="37"/>
      <c r="AK3324" s="37"/>
      <c r="AL3324" s="37"/>
      <c r="AM3324" s="37"/>
      <c r="AN3324" s="37"/>
      <c r="AO3324" s="37"/>
      <c r="AP3324" s="37"/>
      <c r="AQ3324" s="37"/>
      <c r="AR3324" s="37"/>
      <c r="AS3324" s="37"/>
      <c r="AT3324" s="37"/>
      <c r="AU3324" s="37"/>
      <c r="AV3324" s="37"/>
      <c r="AW3324" s="37"/>
      <c r="AX3324" s="37"/>
      <c r="AY3324" s="37"/>
      <c r="AZ3324" s="37"/>
      <c r="BA3324" s="37"/>
      <c r="BB3324" s="37"/>
      <c r="BC3324" s="37"/>
      <c r="BD3324" s="37"/>
      <c r="BE3324" s="37"/>
      <c r="BF3324" s="37"/>
      <c r="BG3324" s="37"/>
      <c r="BH3324" s="37"/>
      <c r="BI3324" s="37"/>
      <c r="BJ3324" s="37"/>
      <c r="BK3324" s="37"/>
      <c r="BL3324" s="37"/>
      <c r="BM3324" s="37"/>
    </row>
    <row r="3325" spans="1:65" s="40" customFormat="1" ht="23.25" x14ac:dyDescent="0.35">
      <c r="A3325" s="37"/>
      <c r="B3325" s="37"/>
      <c r="C3325" s="41"/>
      <c r="D3325" s="38"/>
      <c r="E3325" s="57"/>
      <c r="F3325" s="42"/>
      <c r="G3325" s="43"/>
      <c r="H3325" s="37"/>
      <c r="I3325" s="37"/>
      <c r="J3325" s="38"/>
      <c r="K3325" s="37"/>
      <c r="L3325" s="38"/>
      <c r="M3325" s="39"/>
      <c r="P3325" s="37"/>
      <c r="Q3325" s="37"/>
      <c r="R3325" s="37"/>
      <c r="S3325" s="37"/>
      <c r="T3325" s="37"/>
      <c r="U3325" s="37"/>
      <c r="V3325" s="37"/>
      <c r="W3325" s="37"/>
      <c r="X3325" s="37"/>
      <c r="Y3325" s="37"/>
      <c r="Z3325" s="37"/>
      <c r="AA3325" s="37"/>
      <c r="AB3325" s="37"/>
      <c r="AC3325" s="37"/>
      <c r="AD3325" s="37"/>
      <c r="AE3325" s="37"/>
      <c r="AF3325" s="37"/>
      <c r="AG3325" s="37"/>
      <c r="AH3325" s="37"/>
      <c r="AI3325" s="37"/>
      <c r="AJ3325" s="37"/>
      <c r="AK3325" s="37"/>
      <c r="AL3325" s="37"/>
      <c r="AM3325" s="37"/>
      <c r="AN3325" s="37"/>
      <c r="AO3325" s="37"/>
      <c r="AP3325" s="37"/>
      <c r="AQ3325" s="37"/>
      <c r="AR3325" s="37"/>
      <c r="AS3325" s="37"/>
      <c r="AT3325" s="37"/>
      <c r="AU3325" s="37"/>
      <c r="AV3325" s="37"/>
      <c r="AW3325" s="37"/>
      <c r="AX3325" s="37"/>
      <c r="AY3325" s="37"/>
      <c r="AZ3325" s="37"/>
      <c r="BA3325" s="37"/>
      <c r="BB3325" s="37"/>
      <c r="BC3325" s="37"/>
      <c r="BD3325" s="37"/>
      <c r="BE3325" s="37"/>
      <c r="BF3325" s="37"/>
      <c r="BG3325" s="37"/>
      <c r="BH3325" s="37"/>
      <c r="BI3325" s="37"/>
      <c r="BJ3325" s="37"/>
      <c r="BK3325" s="37"/>
      <c r="BL3325" s="37"/>
      <c r="BM3325" s="37"/>
    </row>
    <row r="3326" spans="1:65" s="40" customFormat="1" ht="23.25" x14ac:dyDescent="0.35">
      <c r="A3326" s="37"/>
      <c r="B3326" s="37"/>
      <c r="C3326" s="41"/>
      <c r="D3326" s="38"/>
      <c r="E3326" s="57"/>
      <c r="F3326" s="42"/>
      <c r="G3326" s="43"/>
      <c r="H3326" s="37"/>
      <c r="I3326" s="37"/>
      <c r="J3326" s="38"/>
      <c r="K3326" s="37"/>
      <c r="L3326" s="38"/>
      <c r="M3326" s="39"/>
      <c r="P3326" s="37"/>
      <c r="Q3326" s="37"/>
      <c r="R3326" s="37"/>
      <c r="S3326" s="37"/>
      <c r="T3326" s="37"/>
      <c r="U3326" s="37"/>
      <c r="V3326" s="37"/>
      <c r="W3326" s="37"/>
      <c r="X3326" s="37"/>
      <c r="Y3326" s="37"/>
      <c r="Z3326" s="37"/>
      <c r="AA3326" s="37"/>
      <c r="AB3326" s="37"/>
      <c r="AC3326" s="37"/>
      <c r="AD3326" s="37"/>
      <c r="AE3326" s="37"/>
      <c r="AF3326" s="37"/>
      <c r="AG3326" s="37"/>
      <c r="AH3326" s="37"/>
      <c r="AI3326" s="37"/>
      <c r="AJ3326" s="37"/>
      <c r="AK3326" s="37"/>
      <c r="AL3326" s="37"/>
      <c r="AM3326" s="37"/>
      <c r="AN3326" s="37"/>
      <c r="AO3326" s="37"/>
      <c r="AP3326" s="37"/>
      <c r="AQ3326" s="37"/>
      <c r="AR3326" s="37"/>
      <c r="AS3326" s="37"/>
      <c r="AT3326" s="37"/>
      <c r="AU3326" s="37"/>
      <c r="AV3326" s="37"/>
      <c r="AW3326" s="37"/>
      <c r="AX3326" s="37"/>
      <c r="AY3326" s="37"/>
      <c r="AZ3326" s="37"/>
      <c r="BA3326" s="37"/>
      <c r="BB3326" s="37"/>
      <c r="BC3326" s="37"/>
      <c r="BD3326" s="37"/>
      <c r="BE3326" s="37"/>
      <c r="BF3326" s="37"/>
      <c r="BG3326" s="37"/>
      <c r="BH3326" s="37"/>
      <c r="BI3326" s="37"/>
      <c r="BJ3326" s="37"/>
      <c r="BK3326" s="37"/>
      <c r="BL3326" s="37"/>
      <c r="BM3326" s="37"/>
    </row>
    <row r="3327" spans="1:65" s="40" customFormat="1" ht="23.25" x14ac:dyDescent="0.35">
      <c r="A3327" s="37"/>
      <c r="B3327" s="37"/>
      <c r="C3327" s="41"/>
      <c r="D3327" s="38"/>
      <c r="E3327" s="57"/>
      <c r="F3327" s="42"/>
      <c r="G3327" s="43"/>
      <c r="H3327" s="37"/>
      <c r="I3327" s="37"/>
      <c r="J3327" s="38"/>
      <c r="K3327" s="37"/>
      <c r="L3327" s="38"/>
      <c r="M3327" s="39"/>
      <c r="P3327" s="37"/>
      <c r="Q3327" s="37"/>
      <c r="R3327" s="37"/>
      <c r="S3327" s="37"/>
      <c r="T3327" s="37"/>
      <c r="U3327" s="37"/>
      <c r="V3327" s="37"/>
      <c r="W3327" s="37"/>
      <c r="X3327" s="37"/>
      <c r="Y3327" s="37"/>
      <c r="Z3327" s="37"/>
      <c r="AA3327" s="37"/>
      <c r="AB3327" s="37"/>
      <c r="AC3327" s="37"/>
      <c r="AD3327" s="37"/>
      <c r="AE3327" s="37"/>
      <c r="AF3327" s="37"/>
      <c r="AG3327" s="37"/>
      <c r="AH3327" s="37"/>
      <c r="AI3327" s="37"/>
      <c r="AJ3327" s="37"/>
      <c r="AK3327" s="37"/>
      <c r="AL3327" s="37"/>
      <c r="AM3327" s="37"/>
      <c r="AN3327" s="37"/>
      <c r="AO3327" s="37"/>
      <c r="AP3327" s="37"/>
      <c r="AQ3327" s="37"/>
      <c r="AR3327" s="37"/>
      <c r="AS3327" s="37"/>
      <c r="AT3327" s="37"/>
      <c r="AU3327" s="37"/>
      <c r="AV3327" s="37"/>
      <c r="AW3327" s="37"/>
      <c r="AX3327" s="37"/>
      <c r="AY3327" s="37"/>
      <c r="AZ3327" s="37"/>
      <c r="BA3327" s="37"/>
      <c r="BB3327" s="37"/>
      <c r="BC3327" s="37"/>
      <c r="BD3327" s="37"/>
      <c r="BE3327" s="37"/>
      <c r="BF3327" s="37"/>
      <c r="BG3327" s="37"/>
      <c r="BH3327" s="37"/>
      <c r="BI3327" s="37"/>
      <c r="BJ3327" s="37"/>
      <c r="BK3327" s="37"/>
      <c r="BL3327" s="37"/>
      <c r="BM3327" s="37"/>
    </row>
    <row r="3328" spans="1:65" s="40" customFormat="1" ht="23.25" x14ac:dyDescent="0.35">
      <c r="A3328" s="37"/>
      <c r="B3328" s="37"/>
      <c r="C3328" s="41"/>
      <c r="D3328" s="38"/>
      <c r="E3328" s="57"/>
      <c r="F3328" s="42"/>
      <c r="G3328" s="43"/>
      <c r="H3328" s="37"/>
      <c r="I3328" s="37"/>
      <c r="J3328" s="38"/>
      <c r="K3328" s="37"/>
      <c r="L3328" s="38"/>
      <c r="M3328" s="39"/>
      <c r="P3328" s="37"/>
      <c r="Q3328" s="37"/>
      <c r="R3328" s="37"/>
      <c r="S3328" s="37"/>
      <c r="T3328" s="37"/>
      <c r="U3328" s="37"/>
      <c r="V3328" s="37"/>
      <c r="W3328" s="37"/>
      <c r="X3328" s="37"/>
      <c r="Y3328" s="37"/>
      <c r="Z3328" s="37"/>
      <c r="AA3328" s="37"/>
      <c r="AB3328" s="37"/>
      <c r="AC3328" s="37"/>
      <c r="AD3328" s="37"/>
      <c r="AE3328" s="37"/>
      <c r="AF3328" s="37"/>
      <c r="AG3328" s="37"/>
      <c r="AH3328" s="37"/>
      <c r="AI3328" s="37"/>
      <c r="AJ3328" s="37"/>
      <c r="AK3328" s="37"/>
      <c r="AL3328" s="37"/>
      <c r="AM3328" s="37"/>
      <c r="AN3328" s="37"/>
      <c r="AO3328" s="37"/>
      <c r="AP3328" s="37"/>
      <c r="AQ3328" s="37"/>
      <c r="AR3328" s="37"/>
      <c r="AS3328" s="37"/>
      <c r="AT3328" s="37"/>
      <c r="AU3328" s="37"/>
      <c r="AV3328" s="37"/>
      <c r="AW3328" s="37"/>
      <c r="AX3328" s="37"/>
      <c r="AY3328" s="37"/>
      <c r="AZ3328" s="37"/>
      <c r="BA3328" s="37"/>
      <c r="BB3328" s="37"/>
      <c r="BC3328" s="37"/>
      <c r="BD3328" s="37"/>
      <c r="BE3328" s="37"/>
      <c r="BF3328" s="37"/>
      <c r="BG3328" s="37"/>
      <c r="BH3328" s="37"/>
      <c r="BI3328" s="37"/>
      <c r="BJ3328" s="37"/>
      <c r="BK3328" s="37"/>
      <c r="BL3328" s="37"/>
      <c r="BM3328" s="37"/>
    </row>
    <row r="3329" spans="1:65" s="40" customFormat="1" ht="23.25" x14ac:dyDescent="0.35">
      <c r="A3329" s="37"/>
      <c r="B3329" s="37"/>
      <c r="C3329" s="41"/>
      <c r="D3329" s="38"/>
      <c r="E3329" s="57"/>
      <c r="F3329" s="42"/>
      <c r="G3329" s="43"/>
      <c r="H3329" s="37"/>
      <c r="I3329" s="37"/>
      <c r="J3329" s="38"/>
      <c r="K3329" s="37"/>
      <c r="L3329" s="38"/>
      <c r="M3329" s="39"/>
      <c r="P3329" s="37"/>
      <c r="Q3329" s="37"/>
      <c r="R3329" s="37"/>
      <c r="S3329" s="37"/>
      <c r="T3329" s="37"/>
      <c r="U3329" s="37"/>
      <c r="V3329" s="37"/>
      <c r="W3329" s="37"/>
      <c r="X3329" s="37"/>
      <c r="Y3329" s="37"/>
      <c r="Z3329" s="37"/>
      <c r="AA3329" s="37"/>
      <c r="AB3329" s="37"/>
      <c r="AC3329" s="37"/>
      <c r="AD3329" s="37"/>
      <c r="AE3329" s="37"/>
      <c r="AF3329" s="37"/>
      <c r="AG3329" s="37"/>
      <c r="AH3329" s="37"/>
      <c r="AI3329" s="37"/>
      <c r="AJ3329" s="37"/>
      <c r="AK3329" s="37"/>
      <c r="AL3329" s="37"/>
      <c r="AM3329" s="37"/>
      <c r="AN3329" s="37"/>
      <c r="AO3329" s="37"/>
      <c r="AP3329" s="37"/>
      <c r="AQ3329" s="37"/>
      <c r="AR3329" s="37"/>
      <c r="AS3329" s="37"/>
      <c r="AT3329" s="37"/>
      <c r="AU3329" s="37"/>
      <c r="AV3329" s="37"/>
      <c r="AW3329" s="37"/>
      <c r="AX3329" s="37"/>
      <c r="AY3329" s="37"/>
      <c r="AZ3329" s="37"/>
      <c r="BA3329" s="37"/>
      <c r="BB3329" s="37"/>
      <c r="BC3329" s="37"/>
      <c r="BD3329" s="37"/>
      <c r="BE3329" s="37"/>
      <c r="BF3329" s="37"/>
      <c r="BG3329" s="37"/>
      <c r="BH3329" s="37"/>
      <c r="BI3329" s="37"/>
      <c r="BJ3329" s="37"/>
      <c r="BK3329" s="37"/>
      <c r="BL3329" s="37"/>
      <c r="BM3329" s="37"/>
    </row>
    <row r="3330" spans="1:65" s="40" customFormat="1" ht="23.25" x14ac:dyDescent="0.35">
      <c r="A3330" s="37"/>
      <c r="B3330" s="37"/>
      <c r="C3330" s="41"/>
      <c r="D3330" s="38"/>
      <c r="E3330" s="57"/>
      <c r="F3330" s="42"/>
      <c r="G3330" s="43"/>
      <c r="H3330" s="37"/>
      <c r="I3330" s="37"/>
      <c r="J3330" s="38"/>
      <c r="K3330" s="37"/>
      <c r="L3330" s="38"/>
      <c r="M3330" s="39"/>
      <c r="P3330" s="37"/>
      <c r="Q3330" s="37"/>
      <c r="R3330" s="37"/>
      <c r="S3330" s="37"/>
      <c r="T3330" s="37"/>
      <c r="U3330" s="37"/>
      <c r="V3330" s="37"/>
      <c r="W3330" s="37"/>
      <c r="X3330" s="37"/>
      <c r="Y3330" s="37"/>
      <c r="Z3330" s="37"/>
      <c r="AA3330" s="37"/>
      <c r="AB3330" s="37"/>
      <c r="AC3330" s="37"/>
      <c r="AD3330" s="37"/>
      <c r="AE3330" s="37"/>
      <c r="AF3330" s="37"/>
      <c r="AG3330" s="37"/>
      <c r="AH3330" s="37"/>
      <c r="AI3330" s="37"/>
      <c r="AJ3330" s="37"/>
      <c r="AK3330" s="37"/>
      <c r="AL3330" s="37"/>
      <c r="AM3330" s="37"/>
      <c r="AN3330" s="37"/>
      <c r="AO3330" s="37"/>
      <c r="AP3330" s="37"/>
      <c r="AQ3330" s="37"/>
      <c r="AR3330" s="37"/>
      <c r="AS3330" s="37"/>
      <c r="AT3330" s="37"/>
      <c r="AU3330" s="37"/>
      <c r="AV3330" s="37"/>
      <c r="AW3330" s="37"/>
      <c r="AX3330" s="37"/>
      <c r="AY3330" s="37"/>
      <c r="AZ3330" s="37"/>
      <c r="BA3330" s="37"/>
      <c r="BB3330" s="37"/>
      <c r="BC3330" s="37"/>
      <c r="BD3330" s="37"/>
      <c r="BE3330" s="37"/>
      <c r="BF3330" s="37"/>
      <c r="BG3330" s="37"/>
      <c r="BH3330" s="37"/>
      <c r="BI3330" s="37"/>
      <c r="BJ3330" s="37"/>
      <c r="BK3330" s="37"/>
      <c r="BL3330" s="37"/>
      <c r="BM3330" s="37"/>
    </row>
    <row r="3331" spans="1:65" s="40" customFormat="1" ht="23.25" x14ac:dyDescent="0.35">
      <c r="A3331" s="37"/>
      <c r="B3331" s="37"/>
      <c r="C3331" s="41"/>
      <c r="D3331" s="38"/>
      <c r="E3331" s="57"/>
      <c r="F3331" s="42"/>
      <c r="G3331" s="43"/>
      <c r="H3331" s="37"/>
      <c r="I3331" s="37"/>
      <c r="J3331" s="38"/>
      <c r="K3331" s="37"/>
      <c r="L3331" s="38"/>
      <c r="M3331" s="39"/>
      <c r="P3331" s="37"/>
      <c r="Q3331" s="37"/>
      <c r="R3331" s="37"/>
      <c r="S3331" s="37"/>
      <c r="T3331" s="37"/>
      <c r="U3331" s="37"/>
      <c r="V3331" s="37"/>
      <c r="W3331" s="37"/>
      <c r="X3331" s="37"/>
      <c r="Y3331" s="37"/>
      <c r="Z3331" s="37"/>
      <c r="AA3331" s="37"/>
      <c r="AB3331" s="37"/>
      <c r="AC3331" s="37"/>
      <c r="AD3331" s="37"/>
      <c r="AE3331" s="37"/>
      <c r="AF3331" s="37"/>
      <c r="AG3331" s="37"/>
      <c r="AH3331" s="37"/>
      <c r="AI3331" s="37"/>
      <c r="AJ3331" s="37"/>
      <c r="AK3331" s="37"/>
      <c r="AL3331" s="37"/>
      <c r="AM3331" s="37"/>
      <c r="AN3331" s="37"/>
      <c r="AO3331" s="37"/>
      <c r="AP3331" s="37"/>
      <c r="AQ3331" s="37"/>
      <c r="AR3331" s="37"/>
      <c r="AS3331" s="37"/>
      <c r="AT3331" s="37"/>
      <c r="AU3331" s="37"/>
      <c r="AV3331" s="37"/>
      <c r="AW3331" s="37"/>
      <c r="AX3331" s="37"/>
      <c r="AY3331" s="37"/>
      <c r="AZ3331" s="37"/>
      <c r="BA3331" s="37"/>
      <c r="BB3331" s="37"/>
      <c r="BC3331" s="37"/>
      <c r="BD3331" s="37"/>
      <c r="BE3331" s="37"/>
      <c r="BF3331" s="37"/>
      <c r="BG3331" s="37"/>
      <c r="BH3331" s="37"/>
      <c r="BI3331" s="37"/>
      <c r="BJ3331" s="37"/>
      <c r="BK3331" s="37"/>
      <c r="BL3331" s="37"/>
      <c r="BM3331" s="37"/>
    </row>
    <row r="3332" spans="1:65" s="40" customFormat="1" ht="23.25" x14ac:dyDescent="0.35">
      <c r="A3332" s="37"/>
      <c r="B3332" s="37"/>
      <c r="C3332" s="41"/>
      <c r="D3332" s="38"/>
      <c r="E3332" s="57"/>
      <c r="F3332" s="42"/>
      <c r="G3332" s="43"/>
      <c r="H3332" s="37"/>
      <c r="I3332" s="37"/>
      <c r="J3332" s="38"/>
      <c r="K3332" s="37"/>
      <c r="L3332" s="38"/>
      <c r="M3332" s="39"/>
      <c r="P3332" s="37"/>
      <c r="Q3332" s="37"/>
      <c r="R3332" s="37"/>
      <c r="S3332" s="37"/>
      <c r="T3332" s="37"/>
      <c r="U3332" s="37"/>
      <c r="V3332" s="37"/>
      <c r="W3332" s="37"/>
      <c r="X3332" s="37"/>
      <c r="Y3332" s="37"/>
      <c r="Z3332" s="37"/>
      <c r="AA3332" s="37"/>
      <c r="AB3332" s="37"/>
      <c r="AC3332" s="37"/>
      <c r="AD3332" s="37"/>
      <c r="AE3332" s="37"/>
      <c r="AF3332" s="37"/>
      <c r="AG3332" s="37"/>
      <c r="AH3332" s="37"/>
      <c r="AI3332" s="37"/>
      <c r="AJ3332" s="37"/>
      <c r="AK3332" s="37"/>
      <c r="AL3332" s="37"/>
      <c r="AM3332" s="37"/>
      <c r="AN3332" s="37"/>
      <c r="AO3332" s="37"/>
      <c r="AP3332" s="37"/>
      <c r="AQ3332" s="37"/>
      <c r="AR3332" s="37"/>
      <c r="AS3332" s="37"/>
      <c r="AT3332" s="37"/>
      <c r="AU3332" s="37"/>
      <c r="AV3332" s="37"/>
      <c r="AW3332" s="37"/>
      <c r="AX3332" s="37"/>
      <c r="AY3332" s="37"/>
      <c r="AZ3332" s="37"/>
      <c r="BA3332" s="37"/>
      <c r="BB3332" s="37"/>
      <c r="BC3332" s="37"/>
      <c r="BD3332" s="37"/>
      <c r="BE3332" s="37"/>
      <c r="BF3332" s="37"/>
      <c r="BG3332" s="37"/>
      <c r="BH3332" s="37"/>
      <c r="BI3332" s="37"/>
      <c r="BJ3332" s="37"/>
      <c r="BK3332" s="37"/>
      <c r="BL3332" s="37"/>
      <c r="BM3332" s="37"/>
    </row>
    <row r="3333" spans="1:65" s="40" customFormat="1" ht="23.25" x14ac:dyDescent="0.35">
      <c r="A3333" s="37"/>
      <c r="B3333" s="37"/>
      <c r="C3333" s="41"/>
      <c r="D3333" s="38"/>
      <c r="E3333" s="57"/>
      <c r="F3333" s="42"/>
      <c r="G3333" s="43"/>
      <c r="H3333" s="37"/>
      <c r="I3333" s="37"/>
      <c r="J3333" s="38"/>
      <c r="K3333" s="37"/>
      <c r="L3333" s="38"/>
      <c r="M3333" s="39"/>
      <c r="P3333" s="37"/>
      <c r="Q3333" s="37"/>
      <c r="R3333" s="37"/>
      <c r="S3333" s="37"/>
      <c r="T3333" s="37"/>
      <c r="U3333" s="37"/>
      <c r="V3333" s="37"/>
      <c r="W3333" s="37"/>
      <c r="X3333" s="37"/>
      <c r="Y3333" s="37"/>
      <c r="Z3333" s="37"/>
      <c r="AA3333" s="37"/>
      <c r="AB3333" s="37"/>
      <c r="AC3333" s="37"/>
      <c r="AD3333" s="37"/>
      <c r="AE3333" s="37"/>
      <c r="AF3333" s="37"/>
      <c r="AG3333" s="37"/>
      <c r="AH3333" s="37"/>
      <c r="AI3333" s="37"/>
      <c r="AJ3333" s="37"/>
      <c r="AK3333" s="37"/>
      <c r="AL3333" s="37"/>
      <c r="AM3333" s="37"/>
      <c r="AN3333" s="37"/>
      <c r="AO3333" s="37"/>
      <c r="AP3333" s="37"/>
      <c r="AQ3333" s="37"/>
      <c r="AR3333" s="37"/>
      <c r="AS3333" s="37"/>
      <c r="AT3333" s="37"/>
      <c r="AU3333" s="37"/>
      <c r="AV3333" s="37"/>
      <c r="AW3333" s="37"/>
      <c r="AX3333" s="37"/>
      <c r="AY3333" s="37"/>
      <c r="AZ3333" s="37"/>
      <c r="BA3333" s="37"/>
      <c r="BB3333" s="37"/>
      <c r="BC3333" s="37"/>
      <c r="BD3333" s="37"/>
      <c r="BE3333" s="37"/>
      <c r="BF3333" s="37"/>
      <c r="BG3333" s="37"/>
      <c r="BH3333" s="37"/>
      <c r="BI3333" s="37"/>
      <c r="BJ3333" s="37"/>
      <c r="BK3333" s="37"/>
      <c r="BL3333" s="37"/>
      <c r="BM3333" s="37"/>
    </row>
    <row r="3334" spans="1:65" s="40" customFormat="1" ht="23.25" x14ac:dyDescent="0.35">
      <c r="A3334" s="37"/>
      <c r="B3334" s="37"/>
      <c r="C3334" s="41"/>
      <c r="D3334" s="38"/>
      <c r="E3334" s="57"/>
      <c r="F3334" s="42"/>
      <c r="G3334" s="43"/>
      <c r="H3334" s="37"/>
      <c r="I3334" s="37"/>
      <c r="J3334" s="38"/>
      <c r="K3334" s="37"/>
      <c r="L3334" s="38"/>
      <c r="M3334" s="39"/>
      <c r="P3334" s="37"/>
      <c r="Q3334" s="37"/>
      <c r="R3334" s="37"/>
      <c r="S3334" s="37"/>
      <c r="T3334" s="37"/>
      <c r="U3334" s="37"/>
      <c r="V3334" s="37"/>
      <c r="W3334" s="37"/>
      <c r="X3334" s="37"/>
      <c r="Y3334" s="37"/>
      <c r="Z3334" s="37"/>
      <c r="AA3334" s="37"/>
      <c r="AB3334" s="37"/>
      <c r="AC3334" s="37"/>
      <c r="AD3334" s="37"/>
      <c r="AE3334" s="37"/>
      <c r="AF3334" s="37"/>
      <c r="AG3334" s="37"/>
      <c r="AH3334" s="37"/>
      <c r="AI3334" s="37"/>
      <c r="AJ3334" s="37"/>
      <c r="AK3334" s="37"/>
      <c r="AL3334" s="37"/>
      <c r="AM3334" s="37"/>
      <c r="AN3334" s="37"/>
      <c r="AO3334" s="37"/>
      <c r="AP3334" s="37"/>
      <c r="AQ3334" s="37"/>
      <c r="AR3334" s="37"/>
      <c r="AS3334" s="37"/>
      <c r="AT3334" s="37"/>
      <c r="AU3334" s="37"/>
      <c r="AV3334" s="37"/>
      <c r="AW3334" s="37"/>
      <c r="AX3334" s="37"/>
      <c r="AY3334" s="37"/>
      <c r="AZ3334" s="37"/>
      <c r="BA3334" s="37"/>
      <c r="BB3334" s="37"/>
      <c r="BC3334" s="37"/>
      <c r="BD3334" s="37"/>
      <c r="BE3334" s="37"/>
      <c r="BF3334" s="37"/>
      <c r="BG3334" s="37"/>
      <c r="BH3334" s="37"/>
      <c r="BI3334" s="37"/>
      <c r="BJ3334" s="37"/>
      <c r="BK3334" s="37"/>
      <c r="BL3334" s="37"/>
      <c r="BM3334" s="37"/>
    </row>
    <row r="3335" spans="1:65" s="40" customFormat="1" ht="23.25" x14ac:dyDescent="0.35">
      <c r="A3335" s="37"/>
      <c r="B3335" s="37"/>
      <c r="C3335" s="41"/>
      <c r="D3335" s="38"/>
      <c r="E3335" s="57"/>
      <c r="F3335" s="42"/>
      <c r="G3335" s="43"/>
      <c r="H3335" s="37"/>
      <c r="I3335" s="37"/>
      <c r="J3335" s="38"/>
      <c r="K3335" s="37"/>
      <c r="L3335" s="38"/>
      <c r="M3335" s="39"/>
      <c r="P3335" s="37"/>
      <c r="Q3335" s="37"/>
      <c r="R3335" s="37"/>
      <c r="S3335" s="37"/>
      <c r="T3335" s="37"/>
      <c r="U3335" s="37"/>
      <c r="V3335" s="37"/>
      <c r="W3335" s="37"/>
      <c r="X3335" s="37"/>
      <c r="Y3335" s="37"/>
      <c r="Z3335" s="37"/>
      <c r="AA3335" s="37"/>
      <c r="AB3335" s="37"/>
      <c r="AC3335" s="37"/>
      <c r="AD3335" s="37"/>
      <c r="AE3335" s="37"/>
      <c r="AF3335" s="37"/>
      <c r="AG3335" s="37"/>
      <c r="AH3335" s="37"/>
      <c r="AI3335" s="37"/>
      <c r="AJ3335" s="37"/>
      <c r="AK3335" s="37"/>
      <c r="AL3335" s="37"/>
      <c r="AM3335" s="37"/>
      <c r="AN3335" s="37"/>
      <c r="AO3335" s="37"/>
      <c r="AP3335" s="37"/>
      <c r="AQ3335" s="37"/>
      <c r="AR3335" s="37"/>
      <c r="AS3335" s="37"/>
      <c r="AT3335" s="37"/>
      <c r="AU3335" s="37"/>
      <c r="AV3335" s="37"/>
      <c r="AW3335" s="37"/>
      <c r="AX3335" s="37"/>
      <c r="AY3335" s="37"/>
      <c r="AZ3335" s="37"/>
      <c r="BA3335" s="37"/>
      <c r="BB3335" s="37"/>
      <c r="BC3335" s="37"/>
      <c r="BD3335" s="37"/>
      <c r="BE3335" s="37"/>
      <c r="BF3335" s="37"/>
      <c r="BG3335" s="37"/>
      <c r="BH3335" s="37"/>
      <c r="BI3335" s="37"/>
      <c r="BJ3335" s="37"/>
      <c r="BK3335" s="37"/>
      <c r="BL3335" s="37"/>
      <c r="BM3335" s="37"/>
    </row>
    <row r="3336" spans="1:65" s="40" customFormat="1" ht="23.25" x14ac:dyDescent="0.35">
      <c r="A3336" s="37"/>
      <c r="B3336" s="37"/>
      <c r="C3336" s="41"/>
      <c r="D3336" s="38"/>
      <c r="E3336" s="57"/>
      <c r="F3336" s="42"/>
      <c r="G3336" s="43"/>
      <c r="H3336" s="37"/>
      <c r="I3336" s="37"/>
      <c r="J3336" s="38"/>
      <c r="K3336" s="37"/>
      <c r="L3336" s="38"/>
      <c r="M3336" s="39"/>
      <c r="P3336" s="37"/>
      <c r="Q3336" s="37"/>
      <c r="R3336" s="37"/>
      <c r="S3336" s="37"/>
      <c r="T3336" s="37"/>
      <c r="U3336" s="37"/>
      <c r="V3336" s="37"/>
      <c r="W3336" s="37"/>
      <c r="X3336" s="37"/>
      <c r="Y3336" s="37"/>
      <c r="Z3336" s="37"/>
      <c r="AA3336" s="37"/>
      <c r="AB3336" s="37"/>
      <c r="AC3336" s="37"/>
      <c r="AD3336" s="37"/>
      <c r="AE3336" s="37"/>
      <c r="AF3336" s="37"/>
      <c r="AG3336" s="37"/>
      <c r="AH3336" s="37"/>
      <c r="AI3336" s="37"/>
      <c r="AJ3336" s="37"/>
      <c r="AK3336" s="37"/>
      <c r="AL3336" s="37"/>
      <c r="AM3336" s="37"/>
      <c r="AN3336" s="37"/>
      <c r="AO3336" s="37"/>
      <c r="AP3336" s="37"/>
      <c r="AQ3336" s="37"/>
      <c r="AR3336" s="37"/>
      <c r="AS3336" s="37"/>
      <c r="AT3336" s="37"/>
      <c r="AU3336" s="37"/>
      <c r="AV3336" s="37"/>
      <c r="AW3336" s="37"/>
      <c r="AX3336" s="37"/>
      <c r="AY3336" s="37"/>
      <c r="AZ3336" s="37"/>
      <c r="BA3336" s="37"/>
      <c r="BB3336" s="37"/>
      <c r="BC3336" s="37"/>
      <c r="BD3336" s="37"/>
      <c r="BE3336" s="37"/>
      <c r="BF3336" s="37"/>
      <c r="BG3336" s="37"/>
      <c r="BH3336" s="37"/>
      <c r="BI3336" s="37"/>
      <c r="BJ3336" s="37"/>
      <c r="BK3336" s="37"/>
      <c r="BL3336" s="37"/>
      <c r="BM3336" s="37"/>
    </row>
    <row r="3337" spans="1:65" s="40" customFormat="1" ht="23.25" x14ac:dyDescent="0.35">
      <c r="A3337" s="37"/>
      <c r="B3337" s="37"/>
      <c r="C3337" s="41"/>
      <c r="D3337" s="38"/>
      <c r="E3337" s="57"/>
      <c r="F3337" s="42"/>
      <c r="G3337" s="43"/>
      <c r="H3337" s="37"/>
      <c r="I3337" s="37"/>
      <c r="J3337" s="38"/>
      <c r="K3337" s="37"/>
      <c r="L3337" s="38"/>
      <c r="M3337" s="39"/>
      <c r="P3337" s="37"/>
      <c r="Q3337" s="37"/>
      <c r="R3337" s="37"/>
      <c r="S3337" s="37"/>
      <c r="T3337" s="37"/>
      <c r="U3337" s="37"/>
      <c r="V3337" s="37"/>
      <c r="W3337" s="37"/>
      <c r="X3337" s="37"/>
      <c r="Y3337" s="37"/>
      <c r="Z3337" s="37"/>
      <c r="AA3337" s="37"/>
      <c r="AB3337" s="37"/>
      <c r="AC3337" s="37"/>
      <c r="AD3337" s="37"/>
      <c r="AE3337" s="37"/>
      <c r="AF3337" s="37"/>
      <c r="AG3337" s="37"/>
      <c r="AH3337" s="37"/>
      <c r="AI3337" s="37"/>
      <c r="AJ3337" s="37"/>
      <c r="AK3337" s="37"/>
      <c r="AL3337" s="37"/>
      <c r="AM3337" s="37"/>
      <c r="AN3337" s="37"/>
      <c r="AO3337" s="37"/>
      <c r="AP3337" s="37"/>
      <c r="AQ3337" s="37"/>
      <c r="AR3337" s="37"/>
      <c r="AS3337" s="37"/>
      <c r="AT3337" s="37"/>
      <c r="AU3337" s="37"/>
      <c r="AV3337" s="37"/>
      <c r="AW3337" s="37"/>
      <c r="AX3337" s="37"/>
      <c r="AY3337" s="37"/>
      <c r="AZ3337" s="37"/>
      <c r="BA3337" s="37"/>
      <c r="BB3337" s="37"/>
      <c r="BC3337" s="37"/>
      <c r="BD3337" s="37"/>
      <c r="BE3337" s="37"/>
      <c r="BF3337" s="37"/>
      <c r="BG3337" s="37"/>
      <c r="BH3337" s="37"/>
      <c r="BI3337" s="37"/>
      <c r="BJ3337" s="37"/>
      <c r="BK3337" s="37"/>
      <c r="BL3337" s="37"/>
      <c r="BM3337" s="37"/>
    </row>
    <row r="3338" spans="1:65" s="40" customFormat="1" ht="23.25" x14ac:dyDescent="0.35">
      <c r="A3338" s="37"/>
      <c r="B3338" s="37"/>
      <c r="C3338" s="41"/>
      <c r="D3338" s="38"/>
      <c r="E3338" s="57"/>
      <c r="F3338" s="42"/>
      <c r="G3338" s="43"/>
      <c r="H3338" s="37"/>
      <c r="I3338" s="37"/>
      <c r="J3338" s="38"/>
      <c r="K3338" s="37"/>
      <c r="L3338" s="38"/>
      <c r="M3338" s="39"/>
      <c r="P3338" s="37"/>
      <c r="Q3338" s="37"/>
      <c r="R3338" s="37"/>
      <c r="S3338" s="37"/>
      <c r="T3338" s="37"/>
      <c r="U3338" s="37"/>
      <c r="V3338" s="37"/>
      <c r="W3338" s="37"/>
      <c r="X3338" s="37"/>
      <c r="Y3338" s="37"/>
      <c r="Z3338" s="37"/>
      <c r="AA3338" s="37"/>
      <c r="AB3338" s="37"/>
      <c r="AC3338" s="37"/>
      <c r="AD3338" s="37"/>
      <c r="AE3338" s="37"/>
      <c r="AF3338" s="37"/>
      <c r="AG3338" s="37"/>
      <c r="AH3338" s="37"/>
      <c r="AI3338" s="37"/>
      <c r="AJ3338" s="37"/>
      <c r="AK3338" s="37"/>
      <c r="AL3338" s="37"/>
      <c r="AM3338" s="37"/>
      <c r="AN3338" s="37"/>
      <c r="AO3338" s="37"/>
      <c r="AP3338" s="37"/>
      <c r="AQ3338" s="37"/>
      <c r="AR3338" s="37"/>
      <c r="AS3338" s="37"/>
      <c r="AT3338" s="37"/>
      <c r="AU3338" s="37"/>
      <c r="AV3338" s="37"/>
      <c r="AW3338" s="37"/>
      <c r="AX3338" s="37"/>
      <c r="AY3338" s="37"/>
      <c r="AZ3338" s="37"/>
      <c r="BA3338" s="37"/>
      <c r="BB3338" s="37"/>
      <c r="BC3338" s="37"/>
      <c r="BD3338" s="37"/>
      <c r="BE3338" s="37"/>
      <c r="BF3338" s="37"/>
      <c r="BG3338" s="37"/>
      <c r="BH3338" s="37"/>
      <c r="BI3338" s="37"/>
      <c r="BJ3338" s="37"/>
      <c r="BK3338" s="37"/>
      <c r="BL3338" s="37"/>
      <c r="BM3338" s="37"/>
    </row>
    <row r="3339" spans="1:65" s="40" customFormat="1" ht="23.25" x14ac:dyDescent="0.35">
      <c r="A3339" s="37"/>
      <c r="B3339" s="37"/>
      <c r="C3339" s="41"/>
      <c r="D3339" s="38"/>
      <c r="E3339" s="57"/>
      <c r="F3339" s="42"/>
      <c r="G3339" s="43"/>
      <c r="H3339" s="37"/>
      <c r="I3339" s="37"/>
      <c r="J3339" s="38"/>
      <c r="K3339" s="37"/>
      <c r="L3339" s="38"/>
      <c r="M3339" s="39"/>
      <c r="P3339" s="37"/>
      <c r="Q3339" s="37"/>
      <c r="R3339" s="37"/>
      <c r="S3339" s="37"/>
      <c r="T3339" s="37"/>
      <c r="U3339" s="37"/>
      <c r="V3339" s="37"/>
      <c r="W3339" s="37"/>
      <c r="X3339" s="37"/>
      <c r="Y3339" s="37"/>
      <c r="Z3339" s="37"/>
      <c r="AA3339" s="37"/>
      <c r="AB3339" s="37"/>
      <c r="AC3339" s="37"/>
      <c r="AD3339" s="37"/>
      <c r="AE3339" s="37"/>
      <c r="AF3339" s="37"/>
      <c r="AG3339" s="37"/>
      <c r="AH3339" s="37"/>
      <c r="AI3339" s="37"/>
      <c r="AJ3339" s="37"/>
      <c r="AK3339" s="37"/>
      <c r="AL3339" s="37"/>
      <c r="AM3339" s="37"/>
      <c r="AN3339" s="37"/>
      <c r="AO3339" s="37"/>
      <c r="AP3339" s="37"/>
      <c r="AQ3339" s="37"/>
      <c r="AR3339" s="37"/>
      <c r="AS3339" s="37"/>
      <c r="AT3339" s="37"/>
      <c r="AU3339" s="37"/>
      <c r="AV3339" s="37"/>
      <c r="AW3339" s="37"/>
      <c r="AX3339" s="37"/>
      <c r="AY3339" s="37"/>
      <c r="AZ3339" s="37"/>
      <c r="BA3339" s="37"/>
      <c r="BB3339" s="37"/>
      <c r="BC3339" s="37"/>
      <c r="BD3339" s="37"/>
      <c r="BE3339" s="37"/>
      <c r="BF3339" s="37"/>
      <c r="BG3339" s="37"/>
      <c r="BH3339" s="37"/>
      <c r="BI3339" s="37"/>
      <c r="BJ3339" s="37"/>
      <c r="BK3339" s="37"/>
      <c r="BL3339" s="37"/>
      <c r="BM3339" s="37"/>
    </row>
    <row r="3340" spans="1:65" s="40" customFormat="1" ht="23.25" x14ac:dyDescent="0.35">
      <c r="A3340" s="37"/>
      <c r="B3340" s="37"/>
      <c r="C3340" s="41"/>
      <c r="D3340" s="38"/>
      <c r="E3340" s="57"/>
      <c r="F3340" s="42"/>
      <c r="G3340" s="43"/>
      <c r="H3340" s="37"/>
      <c r="I3340" s="37"/>
      <c r="J3340" s="38"/>
      <c r="K3340" s="37"/>
      <c r="L3340" s="38"/>
      <c r="M3340" s="39"/>
      <c r="P3340" s="37"/>
      <c r="Q3340" s="37"/>
      <c r="R3340" s="37"/>
      <c r="S3340" s="37"/>
      <c r="T3340" s="37"/>
      <c r="U3340" s="37"/>
      <c r="V3340" s="37"/>
      <c r="W3340" s="37"/>
      <c r="X3340" s="37"/>
      <c r="Y3340" s="37"/>
      <c r="Z3340" s="37"/>
      <c r="AA3340" s="37"/>
      <c r="AB3340" s="37"/>
      <c r="AC3340" s="37"/>
      <c r="AD3340" s="37"/>
      <c r="AE3340" s="37"/>
      <c r="AF3340" s="37"/>
      <c r="AG3340" s="37"/>
      <c r="AH3340" s="37"/>
      <c r="AI3340" s="37"/>
      <c r="AJ3340" s="37"/>
      <c r="AK3340" s="37"/>
      <c r="AL3340" s="37"/>
      <c r="AM3340" s="37"/>
      <c r="AN3340" s="37"/>
      <c r="AO3340" s="37"/>
      <c r="AP3340" s="37"/>
      <c r="AQ3340" s="37"/>
      <c r="AR3340" s="37"/>
      <c r="AS3340" s="37"/>
      <c r="AT3340" s="37"/>
      <c r="AU3340" s="37"/>
      <c r="AV3340" s="37"/>
      <c r="AW3340" s="37"/>
      <c r="AX3340" s="37"/>
      <c r="AY3340" s="37"/>
      <c r="AZ3340" s="37"/>
      <c r="BA3340" s="37"/>
      <c r="BB3340" s="37"/>
      <c r="BC3340" s="37"/>
      <c r="BD3340" s="37"/>
      <c r="BE3340" s="37"/>
      <c r="BF3340" s="37"/>
      <c r="BG3340" s="37"/>
      <c r="BH3340" s="37"/>
      <c r="BI3340" s="37"/>
      <c r="BJ3340" s="37"/>
      <c r="BK3340" s="37"/>
      <c r="BL3340" s="37"/>
      <c r="BM3340" s="37"/>
    </row>
    <row r="3341" spans="1:65" s="40" customFormat="1" ht="23.25" x14ac:dyDescent="0.35">
      <c r="A3341" s="37"/>
      <c r="B3341" s="37"/>
      <c r="C3341" s="41"/>
      <c r="D3341" s="38"/>
      <c r="E3341" s="57"/>
      <c r="F3341" s="42"/>
      <c r="G3341" s="43"/>
      <c r="H3341" s="37"/>
      <c r="I3341" s="37"/>
      <c r="J3341" s="38"/>
      <c r="K3341" s="37"/>
      <c r="L3341" s="38"/>
      <c r="M3341" s="39"/>
      <c r="P3341" s="37"/>
      <c r="Q3341" s="37"/>
      <c r="R3341" s="37"/>
      <c r="S3341" s="37"/>
      <c r="T3341" s="37"/>
      <c r="U3341" s="37"/>
      <c r="V3341" s="37"/>
      <c r="W3341" s="37"/>
      <c r="X3341" s="37"/>
      <c r="Y3341" s="37"/>
      <c r="Z3341" s="37"/>
      <c r="AA3341" s="37"/>
      <c r="AB3341" s="37"/>
      <c r="AC3341" s="37"/>
      <c r="AD3341" s="37"/>
      <c r="AE3341" s="37"/>
      <c r="AF3341" s="37"/>
      <c r="AG3341" s="37"/>
      <c r="AH3341" s="37"/>
      <c r="AI3341" s="37"/>
      <c r="AJ3341" s="37"/>
      <c r="AK3341" s="37"/>
      <c r="AL3341" s="37"/>
      <c r="AM3341" s="37"/>
      <c r="AN3341" s="37"/>
      <c r="AO3341" s="37"/>
      <c r="AP3341" s="37"/>
      <c r="AQ3341" s="37"/>
      <c r="AR3341" s="37"/>
      <c r="AS3341" s="37"/>
      <c r="AT3341" s="37"/>
      <c r="AU3341" s="37"/>
      <c r="AV3341" s="37"/>
      <c r="AW3341" s="37"/>
      <c r="AX3341" s="37"/>
      <c r="AY3341" s="37"/>
      <c r="AZ3341" s="37"/>
      <c r="BA3341" s="37"/>
      <c r="BB3341" s="37"/>
      <c r="BC3341" s="37"/>
      <c r="BD3341" s="37"/>
      <c r="BE3341" s="37"/>
      <c r="BF3341" s="37"/>
      <c r="BG3341" s="37"/>
      <c r="BH3341" s="37"/>
      <c r="BI3341" s="37"/>
      <c r="BJ3341" s="37"/>
      <c r="BK3341" s="37"/>
      <c r="BL3341" s="37"/>
      <c r="BM3341" s="37"/>
    </row>
    <row r="3342" spans="1:65" s="40" customFormat="1" ht="23.25" x14ac:dyDescent="0.35">
      <c r="A3342" s="37"/>
      <c r="B3342" s="37"/>
      <c r="C3342" s="41"/>
      <c r="D3342" s="38"/>
      <c r="E3342" s="57"/>
      <c r="F3342" s="42"/>
      <c r="G3342" s="43"/>
      <c r="H3342" s="37"/>
      <c r="I3342" s="37"/>
      <c r="J3342" s="38"/>
      <c r="K3342" s="37"/>
      <c r="L3342" s="38"/>
      <c r="M3342" s="39"/>
      <c r="P3342" s="37"/>
      <c r="Q3342" s="37"/>
      <c r="R3342" s="37"/>
      <c r="S3342" s="37"/>
      <c r="T3342" s="37"/>
      <c r="U3342" s="37"/>
      <c r="V3342" s="37"/>
      <c r="W3342" s="37"/>
      <c r="X3342" s="37"/>
      <c r="Y3342" s="37"/>
      <c r="Z3342" s="37"/>
      <c r="AA3342" s="37"/>
      <c r="AB3342" s="37"/>
      <c r="AC3342" s="37"/>
      <c r="AD3342" s="37"/>
      <c r="AE3342" s="37"/>
      <c r="AF3342" s="37"/>
      <c r="AG3342" s="37"/>
      <c r="AH3342" s="37"/>
      <c r="AI3342" s="37"/>
      <c r="AJ3342" s="37"/>
      <c r="AK3342" s="37"/>
      <c r="AL3342" s="37"/>
      <c r="AM3342" s="37"/>
      <c r="AN3342" s="37"/>
      <c r="AO3342" s="37"/>
      <c r="AP3342" s="37"/>
      <c r="AQ3342" s="37"/>
      <c r="AR3342" s="37"/>
      <c r="AS3342" s="37"/>
      <c r="AT3342" s="37"/>
      <c r="AU3342" s="37"/>
      <c r="AV3342" s="37"/>
      <c r="AW3342" s="37"/>
      <c r="AX3342" s="37"/>
      <c r="AY3342" s="37"/>
      <c r="AZ3342" s="37"/>
      <c r="BA3342" s="37"/>
      <c r="BB3342" s="37"/>
      <c r="BC3342" s="37"/>
      <c r="BD3342" s="37"/>
      <c r="BE3342" s="37"/>
      <c r="BF3342" s="37"/>
      <c r="BG3342" s="37"/>
      <c r="BH3342" s="37"/>
      <c r="BI3342" s="37"/>
      <c r="BJ3342" s="37"/>
      <c r="BK3342" s="37"/>
      <c r="BL3342" s="37"/>
      <c r="BM3342" s="37"/>
    </row>
    <row r="3343" spans="1:65" s="40" customFormat="1" ht="23.25" x14ac:dyDescent="0.35">
      <c r="A3343" s="37"/>
      <c r="B3343" s="37"/>
      <c r="C3343" s="41"/>
      <c r="D3343" s="38"/>
      <c r="E3343" s="57"/>
      <c r="F3343" s="42"/>
      <c r="G3343" s="43"/>
      <c r="H3343" s="37"/>
      <c r="I3343" s="37"/>
      <c r="J3343" s="38"/>
      <c r="K3343" s="37"/>
      <c r="L3343" s="38"/>
      <c r="M3343" s="39"/>
      <c r="P3343" s="37"/>
      <c r="Q3343" s="37"/>
      <c r="R3343" s="37"/>
      <c r="S3343" s="37"/>
      <c r="T3343" s="37"/>
      <c r="U3343" s="37"/>
      <c r="V3343" s="37"/>
      <c r="W3343" s="37"/>
      <c r="X3343" s="37"/>
      <c r="Y3343" s="37"/>
      <c r="Z3343" s="37"/>
      <c r="AA3343" s="37"/>
      <c r="AB3343" s="37"/>
      <c r="AC3343" s="37"/>
      <c r="AD3343" s="37"/>
      <c r="AE3343" s="37"/>
      <c r="AF3343" s="37"/>
      <c r="AG3343" s="37"/>
      <c r="AH3343" s="37"/>
      <c r="AI3343" s="37"/>
      <c r="AJ3343" s="37"/>
      <c r="AK3343" s="37"/>
      <c r="AL3343" s="37"/>
      <c r="AM3343" s="37"/>
      <c r="AN3343" s="37"/>
      <c r="AO3343" s="37"/>
      <c r="AP3343" s="37"/>
      <c r="AQ3343" s="37"/>
      <c r="AR3343" s="37"/>
      <c r="AS3343" s="37"/>
      <c r="AT3343" s="37"/>
      <c r="AU3343" s="37"/>
      <c r="AV3343" s="37"/>
      <c r="AW3343" s="37"/>
      <c r="AX3343" s="37"/>
      <c r="AY3343" s="37"/>
      <c r="AZ3343" s="37"/>
      <c r="BA3343" s="37"/>
      <c r="BB3343" s="37"/>
      <c r="BC3343" s="37"/>
      <c r="BD3343" s="37"/>
      <c r="BE3343" s="37"/>
      <c r="BF3343" s="37"/>
      <c r="BG3343" s="37"/>
      <c r="BH3343" s="37"/>
      <c r="BI3343" s="37"/>
      <c r="BJ3343" s="37"/>
      <c r="BK3343" s="37"/>
      <c r="BL3343" s="37"/>
      <c r="BM3343" s="37"/>
    </row>
    <row r="3344" spans="1:65" s="40" customFormat="1" ht="23.25" x14ac:dyDescent="0.35">
      <c r="A3344" s="37"/>
      <c r="B3344" s="37"/>
      <c r="C3344" s="41"/>
      <c r="D3344" s="38"/>
      <c r="E3344" s="57"/>
      <c r="F3344" s="42"/>
      <c r="G3344" s="43"/>
      <c r="H3344" s="37"/>
      <c r="I3344" s="37"/>
      <c r="J3344" s="38"/>
      <c r="K3344" s="37"/>
      <c r="L3344" s="38"/>
      <c r="M3344" s="39"/>
      <c r="P3344" s="37"/>
      <c r="Q3344" s="37"/>
      <c r="R3344" s="37"/>
      <c r="S3344" s="37"/>
      <c r="T3344" s="37"/>
      <c r="U3344" s="37"/>
      <c r="V3344" s="37"/>
      <c r="W3344" s="37"/>
      <c r="X3344" s="37"/>
      <c r="Y3344" s="37"/>
      <c r="Z3344" s="37"/>
      <c r="AA3344" s="37"/>
      <c r="AB3344" s="37"/>
      <c r="AC3344" s="37"/>
      <c r="AD3344" s="37"/>
      <c r="AE3344" s="37"/>
      <c r="AF3344" s="37"/>
      <c r="AG3344" s="37"/>
      <c r="AH3344" s="37"/>
      <c r="AI3344" s="37"/>
      <c r="AJ3344" s="37"/>
      <c r="AK3344" s="37"/>
      <c r="AL3344" s="37"/>
      <c r="AM3344" s="37"/>
      <c r="AN3344" s="37"/>
      <c r="AO3344" s="37"/>
      <c r="AP3344" s="37"/>
      <c r="AQ3344" s="37"/>
      <c r="AR3344" s="37"/>
      <c r="AS3344" s="37"/>
      <c r="AT3344" s="37"/>
      <c r="AU3344" s="37"/>
      <c r="AV3344" s="37"/>
      <c r="AW3344" s="37"/>
      <c r="AX3344" s="37"/>
      <c r="AY3344" s="37"/>
      <c r="AZ3344" s="37"/>
      <c r="BA3344" s="37"/>
      <c r="BB3344" s="37"/>
      <c r="BC3344" s="37"/>
      <c r="BD3344" s="37"/>
      <c r="BE3344" s="37"/>
      <c r="BF3344" s="37"/>
      <c r="BG3344" s="37"/>
      <c r="BH3344" s="37"/>
      <c r="BI3344" s="37"/>
      <c r="BJ3344" s="37"/>
      <c r="BK3344" s="37"/>
      <c r="BL3344" s="37"/>
      <c r="BM3344" s="37"/>
    </row>
    <row r="3345" spans="1:65" s="40" customFormat="1" ht="23.25" x14ac:dyDescent="0.35">
      <c r="A3345" s="37"/>
      <c r="B3345" s="37"/>
      <c r="C3345" s="41"/>
      <c r="D3345" s="38"/>
      <c r="E3345" s="57"/>
      <c r="F3345" s="42"/>
      <c r="G3345" s="43"/>
      <c r="H3345" s="37"/>
      <c r="I3345" s="37"/>
      <c r="J3345" s="38"/>
      <c r="K3345" s="37"/>
      <c r="L3345" s="38"/>
      <c r="M3345" s="39"/>
      <c r="P3345" s="37"/>
      <c r="Q3345" s="37"/>
      <c r="R3345" s="37"/>
      <c r="S3345" s="37"/>
      <c r="T3345" s="37"/>
      <c r="U3345" s="37"/>
      <c r="V3345" s="37"/>
      <c r="W3345" s="37"/>
      <c r="X3345" s="37"/>
      <c r="Y3345" s="37"/>
      <c r="Z3345" s="37"/>
      <c r="AA3345" s="37"/>
      <c r="AB3345" s="37"/>
      <c r="AC3345" s="37"/>
      <c r="AD3345" s="37"/>
      <c r="AE3345" s="37"/>
      <c r="AF3345" s="37"/>
      <c r="AG3345" s="37"/>
      <c r="AH3345" s="37"/>
      <c r="AI3345" s="37"/>
      <c r="AJ3345" s="37"/>
      <c r="AK3345" s="37"/>
      <c r="AL3345" s="37"/>
      <c r="AM3345" s="37"/>
      <c r="AN3345" s="37"/>
      <c r="AO3345" s="37"/>
      <c r="AP3345" s="37"/>
      <c r="AQ3345" s="37"/>
      <c r="AR3345" s="37"/>
      <c r="AS3345" s="37"/>
      <c r="AT3345" s="37"/>
      <c r="AU3345" s="37"/>
      <c r="AV3345" s="37"/>
      <c r="AW3345" s="37"/>
      <c r="AX3345" s="37"/>
      <c r="AY3345" s="37"/>
      <c r="AZ3345" s="37"/>
      <c r="BA3345" s="37"/>
      <c r="BB3345" s="37"/>
      <c r="BC3345" s="37"/>
      <c r="BD3345" s="37"/>
      <c r="BE3345" s="37"/>
      <c r="BF3345" s="37"/>
      <c r="BG3345" s="37"/>
      <c r="BH3345" s="37"/>
      <c r="BI3345" s="37"/>
      <c r="BJ3345" s="37"/>
      <c r="BK3345" s="37"/>
      <c r="BL3345" s="37"/>
      <c r="BM3345" s="37"/>
    </row>
    <row r="3346" spans="1:65" s="40" customFormat="1" ht="23.25" x14ac:dyDescent="0.35">
      <c r="A3346" s="37"/>
      <c r="B3346" s="37"/>
      <c r="C3346" s="41"/>
      <c r="D3346" s="38"/>
      <c r="E3346" s="57"/>
      <c r="F3346" s="42"/>
      <c r="G3346" s="43"/>
      <c r="H3346" s="37"/>
      <c r="I3346" s="37"/>
      <c r="J3346" s="38"/>
      <c r="K3346" s="37"/>
      <c r="L3346" s="38"/>
      <c r="M3346" s="39"/>
      <c r="P3346" s="37"/>
      <c r="Q3346" s="37"/>
      <c r="R3346" s="37"/>
      <c r="S3346" s="37"/>
      <c r="T3346" s="37"/>
      <c r="U3346" s="37"/>
      <c r="V3346" s="37"/>
      <c r="W3346" s="37"/>
      <c r="X3346" s="37"/>
      <c r="Y3346" s="37"/>
      <c r="Z3346" s="37"/>
      <c r="AA3346" s="37"/>
      <c r="AB3346" s="37"/>
      <c r="AC3346" s="37"/>
      <c r="AD3346" s="37"/>
      <c r="AE3346" s="37"/>
      <c r="AF3346" s="37"/>
      <c r="AG3346" s="37"/>
      <c r="AH3346" s="37"/>
      <c r="AI3346" s="37"/>
      <c r="AJ3346" s="37"/>
      <c r="AK3346" s="37"/>
      <c r="AL3346" s="37"/>
      <c r="AM3346" s="37"/>
      <c r="AN3346" s="37"/>
      <c r="AO3346" s="37"/>
      <c r="AP3346" s="37"/>
      <c r="AQ3346" s="37"/>
      <c r="AR3346" s="37"/>
      <c r="AS3346" s="37"/>
      <c r="AT3346" s="37"/>
      <c r="AU3346" s="37"/>
      <c r="AV3346" s="37"/>
      <c r="AW3346" s="37"/>
      <c r="AX3346" s="37"/>
      <c r="AY3346" s="37"/>
      <c r="AZ3346" s="37"/>
      <c r="BA3346" s="37"/>
      <c r="BB3346" s="37"/>
      <c r="BC3346" s="37"/>
      <c r="BD3346" s="37"/>
      <c r="BE3346" s="37"/>
      <c r="BF3346" s="37"/>
      <c r="BG3346" s="37"/>
      <c r="BH3346" s="37"/>
      <c r="BI3346" s="37"/>
      <c r="BJ3346" s="37"/>
      <c r="BK3346" s="37"/>
      <c r="BL3346" s="37"/>
      <c r="BM3346" s="37"/>
    </row>
    <row r="3347" spans="1:65" s="40" customFormat="1" ht="23.25" x14ac:dyDescent="0.35">
      <c r="A3347" s="37"/>
      <c r="B3347" s="37"/>
      <c r="C3347" s="41"/>
      <c r="D3347" s="38"/>
      <c r="E3347" s="57"/>
      <c r="F3347" s="42"/>
      <c r="G3347" s="43"/>
      <c r="H3347" s="37"/>
      <c r="I3347" s="37"/>
      <c r="J3347" s="38"/>
      <c r="K3347" s="37"/>
      <c r="L3347" s="38"/>
      <c r="M3347" s="39"/>
      <c r="P3347" s="37"/>
      <c r="Q3347" s="37"/>
      <c r="R3347" s="37"/>
      <c r="S3347" s="37"/>
      <c r="T3347" s="37"/>
      <c r="U3347" s="37"/>
      <c r="V3347" s="37"/>
      <c r="W3347" s="37"/>
      <c r="X3347" s="37"/>
      <c r="Y3347" s="37"/>
      <c r="Z3347" s="37"/>
      <c r="AA3347" s="37"/>
      <c r="AB3347" s="37"/>
      <c r="AC3347" s="37"/>
      <c r="AD3347" s="37"/>
      <c r="AE3347" s="37"/>
      <c r="AF3347" s="37"/>
      <c r="AG3347" s="37"/>
      <c r="AH3347" s="37"/>
      <c r="AI3347" s="37"/>
      <c r="AJ3347" s="37"/>
      <c r="AK3347" s="37"/>
      <c r="AL3347" s="37"/>
      <c r="AM3347" s="37"/>
      <c r="AN3347" s="37"/>
      <c r="AO3347" s="37"/>
      <c r="AP3347" s="37"/>
      <c r="AQ3347" s="37"/>
      <c r="AR3347" s="37"/>
      <c r="AS3347" s="37"/>
      <c r="AT3347" s="37"/>
      <c r="AU3347" s="37"/>
      <c r="AV3347" s="37"/>
      <c r="AW3347" s="37"/>
      <c r="AX3347" s="37"/>
      <c r="AY3347" s="37"/>
      <c r="AZ3347" s="37"/>
      <c r="BA3347" s="37"/>
      <c r="BB3347" s="37"/>
      <c r="BC3347" s="37"/>
      <c r="BD3347" s="37"/>
      <c r="BE3347" s="37"/>
      <c r="BF3347" s="37"/>
      <c r="BG3347" s="37"/>
      <c r="BH3347" s="37"/>
      <c r="BI3347" s="37"/>
      <c r="BJ3347" s="37"/>
      <c r="BK3347" s="37"/>
      <c r="BL3347" s="37"/>
      <c r="BM3347" s="37"/>
    </row>
    <row r="3348" spans="1:65" s="40" customFormat="1" ht="23.25" x14ac:dyDescent="0.35">
      <c r="A3348" s="37"/>
      <c r="B3348" s="37"/>
      <c r="C3348" s="41"/>
      <c r="D3348" s="38"/>
      <c r="E3348" s="57"/>
      <c r="F3348" s="42"/>
      <c r="G3348" s="43"/>
      <c r="H3348" s="37"/>
      <c r="I3348" s="37"/>
      <c r="J3348" s="38"/>
      <c r="K3348" s="37"/>
      <c r="L3348" s="38"/>
      <c r="M3348" s="39"/>
      <c r="P3348" s="37"/>
      <c r="Q3348" s="37"/>
      <c r="R3348" s="37"/>
      <c r="S3348" s="37"/>
      <c r="T3348" s="37"/>
      <c r="U3348" s="37"/>
      <c r="V3348" s="37"/>
      <c r="W3348" s="37"/>
      <c r="X3348" s="37"/>
      <c r="Y3348" s="37"/>
      <c r="Z3348" s="37"/>
      <c r="AA3348" s="37"/>
      <c r="AB3348" s="37"/>
      <c r="AC3348" s="37"/>
      <c r="AD3348" s="37"/>
      <c r="AE3348" s="37"/>
      <c r="AF3348" s="37"/>
      <c r="AG3348" s="37"/>
      <c r="AH3348" s="37"/>
      <c r="AI3348" s="37"/>
      <c r="AJ3348" s="37"/>
      <c r="AK3348" s="37"/>
      <c r="AL3348" s="37"/>
      <c r="AM3348" s="37"/>
      <c r="AN3348" s="37"/>
      <c r="AO3348" s="37"/>
      <c r="AP3348" s="37"/>
      <c r="AQ3348" s="37"/>
      <c r="AR3348" s="37"/>
      <c r="AS3348" s="37"/>
      <c r="AT3348" s="37"/>
      <c r="AU3348" s="37"/>
      <c r="AV3348" s="37"/>
      <c r="AW3348" s="37"/>
      <c r="AX3348" s="37"/>
      <c r="AY3348" s="37"/>
      <c r="AZ3348" s="37"/>
      <c r="BA3348" s="37"/>
      <c r="BB3348" s="37"/>
      <c r="BC3348" s="37"/>
      <c r="BD3348" s="37"/>
      <c r="BE3348" s="37"/>
      <c r="BF3348" s="37"/>
      <c r="BG3348" s="37"/>
      <c r="BH3348" s="37"/>
      <c r="BI3348" s="37"/>
      <c r="BJ3348" s="37"/>
      <c r="BK3348" s="37"/>
      <c r="BL3348" s="37"/>
      <c r="BM3348" s="37"/>
    </row>
    <row r="3349" spans="1:65" s="40" customFormat="1" ht="23.25" x14ac:dyDescent="0.35">
      <c r="A3349" s="37"/>
      <c r="B3349" s="37"/>
      <c r="C3349" s="41"/>
      <c r="D3349" s="38"/>
      <c r="E3349" s="57"/>
      <c r="F3349" s="42"/>
      <c r="G3349" s="43"/>
      <c r="H3349" s="37"/>
      <c r="I3349" s="37"/>
      <c r="J3349" s="38"/>
      <c r="K3349" s="37"/>
      <c r="L3349" s="38"/>
      <c r="M3349" s="39"/>
      <c r="P3349" s="37"/>
      <c r="Q3349" s="37"/>
      <c r="R3349" s="37"/>
      <c r="S3349" s="37"/>
      <c r="T3349" s="37"/>
      <c r="U3349" s="37"/>
      <c r="V3349" s="37"/>
      <c r="W3349" s="37"/>
      <c r="X3349" s="37"/>
      <c r="Y3349" s="37"/>
      <c r="Z3349" s="37"/>
      <c r="AA3349" s="37"/>
      <c r="AB3349" s="37"/>
      <c r="AC3349" s="37"/>
      <c r="AD3349" s="37"/>
      <c r="AE3349" s="37"/>
      <c r="AF3349" s="37"/>
      <c r="AG3349" s="37"/>
      <c r="AH3349" s="37"/>
      <c r="AI3349" s="37"/>
      <c r="AJ3349" s="37"/>
      <c r="AK3349" s="37"/>
      <c r="AL3349" s="37"/>
      <c r="AM3349" s="37"/>
      <c r="AN3349" s="37"/>
      <c r="AO3349" s="37"/>
      <c r="AP3349" s="37"/>
      <c r="AQ3349" s="37"/>
      <c r="AR3349" s="37"/>
      <c r="AS3349" s="37"/>
      <c r="AT3349" s="37"/>
      <c r="AU3349" s="37"/>
      <c r="AV3349" s="37"/>
      <c r="AW3349" s="37"/>
      <c r="AX3349" s="37"/>
      <c r="AY3349" s="37"/>
      <c r="AZ3349" s="37"/>
      <c r="BA3349" s="37"/>
      <c r="BB3349" s="37"/>
      <c r="BC3349" s="37"/>
      <c r="BD3349" s="37"/>
      <c r="BE3349" s="37"/>
      <c r="BF3349" s="37"/>
      <c r="BG3349" s="37"/>
      <c r="BH3349" s="37"/>
      <c r="BI3349" s="37"/>
      <c r="BJ3349" s="37"/>
      <c r="BK3349" s="37"/>
      <c r="BL3349" s="37"/>
      <c r="BM3349" s="37"/>
    </row>
    <row r="3350" spans="1:65" s="40" customFormat="1" ht="23.25" x14ac:dyDescent="0.35">
      <c r="A3350" s="37"/>
      <c r="B3350" s="37"/>
      <c r="C3350" s="41"/>
      <c r="D3350" s="38"/>
      <c r="E3350" s="57"/>
      <c r="F3350" s="42"/>
      <c r="G3350" s="43"/>
      <c r="H3350" s="37"/>
      <c r="I3350" s="37"/>
      <c r="J3350" s="38"/>
      <c r="K3350" s="37"/>
      <c r="L3350" s="38"/>
      <c r="M3350" s="39"/>
      <c r="P3350" s="37"/>
      <c r="Q3350" s="37"/>
      <c r="R3350" s="37"/>
      <c r="S3350" s="37"/>
      <c r="T3350" s="37"/>
      <c r="U3350" s="37"/>
      <c r="V3350" s="37"/>
      <c r="W3350" s="37"/>
      <c r="X3350" s="37"/>
      <c r="Y3350" s="37"/>
      <c r="Z3350" s="37"/>
      <c r="AA3350" s="37"/>
      <c r="AB3350" s="37"/>
      <c r="AC3350" s="37"/>
      <c r="AD3350" s="37"/>
      <c r="AE3350" s="37"/>
      <c r="AF3350" s="37"/>
      <c r="AG3350" s="37"/>
      <c r="AH3350" s="37"/>
      <c r="AI3350" s="37"/>
      <c r="AJ3350" s="37"/>
      <c r="AK3350" s="37"/>
      <c r="AL3350" s="37"/>
      <c r="AM3350" s="37"/>
      <c r="AN3350" s="37"/>
      <c r="AO3350" s="37"/>
      <c r="AP3350" s="37"/>
      <c r="AQ3350" s="37"/>
      <c r="AR3350" s="37"/>
      <c r="AS3350" s="37"/>
      <c r="AT3350" s="37"/>
      <c r="AU3350" s="37"/>
      <c r="AV3350" s="37"/>
      <c r="AW3350" s="37"/>
      <c r="AX3350" s="37"/>
      <c r="AY3350" s="37"/>
      <c r="AZ3350" s="37"/>
      <c r="BA3350" s="37"/>
      <c r="BB3350" s="37"/>
      <c r="BC3350" s="37"/>
      <c r="BD3350" s="37"/>
      <c r="BE3350" s="37"/>
      <c r="BF3350" s="37"/>
      <c r="BG3350" s="37"/>
      <c r="BH3350" s="37"/>
      <c r="BI3350" s="37"/>
      <c r="BJ3350" s="37"/>
      <c r="BK3350" s="37"/>
      <c r="BL3350" s="37"/>
      <c r="BM3350" s="37"/>
    </row>
    <row r="3351" spans="1:65" s="40" customFormat="1" ht="23.25" x14ac:dyDescent="0.35">
      <c r="A3351" s="37"/>
      <c r="B3351" s="37"/>
      <c r="C3351" s="41"/>
      <c r="D3351" s="38"/>
      <c r="E3351" s="57"/>
      <c r="F3351" s="42"/>
      <c r="G3351" s="43"/>
      <c r="H3351" s="37"/>
      <c r="I3351" s="37"/>
      <c r="J3351" s="38"/>
      <c r="K3351" s="37"/>
      <c r="L3351" s="38"/>
      <c r="M3351" s="39"/>
      <c r="P3351" s="37"/>
      <c r="Q3351" s="37"/>
      <c r="R3351" s="37"/>
      <c r="S3351" s="37"/>
      <c r="T3351" s="37"/>
      <c r="U3351" s="37"/>
      <c r="V3351" s="37"/>
      <c r="W3351" s="37"/>
      <c r="X3351" s="37"/>
      <c r="Y3351" s="37"/>
      <c r="Z3351" s="37"/>
      <c r="AA3351" s="37"/>
      <c r="AB3351" s="37"/>
      <c r="AC3351" s="37"/>
      <c r="AD3351" s="37"/>
      <c r="AE3351" s="37"/>
      <c r="AF3351" s="37"/>
      <c r="AG3351" s="37"/>
      <c r="AH3351" s="37"/>
      <c r="AI3351" s="37"/>
      <c r="AJ3351" s="37"/>
      <c r="AK3351" s="37"/>
      <c r="AL3351" s="37"/>
      <c r="AM3351" s="37"/>
      <c r="AN3351" s="37"/>
      <c r="AO3351" s="37"/>
      <c r="AP3351" s="37"/>
      <c r="AQ3351" s="37"/>
      <c r="AR3351" s="37"/>
      <c r="AS3351" s="37"/>
      <c r="AT3351" s="37"/>
      <c r="AU3351" s="37"/>
      <c r="AV3351" s="37"/>
      <c r="AW3351" s="37"/>
      <c r="AX3351" s="37"/>
      <c r="AY3351" s="37"/>
      <c r="AZ3351" s="37"/>
      <c r="BA3351" s="37"/>
      <c r="BB3351" s="37"/>
      <c r="BC3351" s="37"/>
      <c r="BD3351" s="37"/>
      <c r="BE3351" s="37"/>
      <c r="BF3351" s="37"/>
      <c r="BG3351" s="37"/>
      <c r="BH3351" s="37"/>
      <c r="BI3351" s="37"/>
      <c r="BJ3351" s="37"/>
      <c r="BK3351" s="37"/>
      <c r="BL3351" s="37"/>
      <c r="BM3351" s="37"/>
    </row>
    <row r="3352" spans="1:65" s="40" customFormat="1" ht="23.25" x14ac:dyDescent="0.35">
      <c r="A3352" s="37"/>
      <c r="B3352" s="37"/>
      <c r="C3352" s="41"/>
      <c r="D3352" s="38"/>
      <c r="E3352" s="57"/>
      <c r="F3352" s="42"/>
      <c r="G3352" s="43"/>
      <c r="H3352" s="37"/>
      <c r="I3352" s="37"/>
      <c r="J3352" s="38"/>
      <c r="K3352" s="37"/>
      <c r="L3352" s="38"/>
      <c r="M3352" s="39"/>
      <c r="P3352" s="37"/>
      <c r="Q3352" s="37"/>
      <c r="R3352" s="37"/>
      <c r="S3352" s="37"/>
      <c r="T3352" s="37"/>
      <c r="U3352" s="37"/>
      <c r="V3352" s="37"/>
      <c r="W3352" s="37"/>
      <c r="X3352" s="37"/>
      <c r="Y3352" s="37"/>
      <c r="Z3352" s="37"/>
      <c r="AA3352" s="37"/>
      <c r="AB3352" s="37"/>
      <c r="AC3352" s="37"/>
      <c r="AD3352" s="37"/>
      <c r="AE3352" s="37"/>
      <c r="AF3352" s="37"/>
      <c r="AG3352" s="37"/>
      <c r="AH3352" s="37"/>
      <c r="AI3352" s="37"/>
      <c r="AJ3352" s="37"/>
      <c r="AK3352" s="37"/>
      <c r="AL3352" s="37"/>
      <c r="AM3352" s="37"/>
      <c r="AN3352" s="37"/>
      <c r="AO3352" s="37"/>
      <c r="AP3352" s="37"/>
      <c r="AQ3352" s="37"/>
      <c r="AR3352" s="37"/>
      <c r="AS3352" s="37"/>
      <c r="AT3352" s="37"/>
      <c r="AU3352" s="37"/>
      <c r="AV3352" s="37"/>
      <c r="AW3352" s="37"/>
      <c r="AX3352" s="37"/>
      <c r="AY3352" s="37"/>
      <c r="AZ3352" s="37"/>
      <c r="BA3352" s="37"/>
      <c r="BB3352" s="37"/>
      <c r="BC3352" s="37"/>
      <c r="BD3352" s="37"/>
      <c r="BE3352" s="37"/>
      <c r="BF3352" s="37"/>
      <c r="BG3352" s="37"/>
      <c r="BH3352" s="37"/>
      <c r="BI3352" s="37"/>
      <c r="BJ3352" s="37"/>
      <c r="BK3352" s="37"/>
      <c r="BL3352" s="37"/>
      <c r="BM3352" s="37"/>
    </row>
    <row r="3353" spans="1:65" s="40" customFormat="1" ht="23.25" x14ac:dyDescent="0.35">
      <c r="A3353" s="37"/>
      <c r="B3353" s="37"/>
      <c r="C3353" s="41"/>
      <c r="D3353" s="38"/>
      <c r="E3353" s="57"/>
      <c r="F3353" s="42"/>
      <c r="G3353" s="43"/>
      <c r="H3353" s="37"/>
      <c r="I3353" s="37"/>
      <c r="J3353" s="38"/>
      <c r="K3353" s="37"/>
      <c r="L3353" s="38"/>
      <c r="M3353" s="39"/>
      <c r="P3353" s="37"/>
      <c r="Q3353" s="37"/>
      <c r="R3353" s="37"/>
      <c r="S3353" s="37"/>
      <c r="T3353" s="37"/>
      <c r="U3353" s="37"/>
      <c r="V3353" s="37"/>
      <c r="W3353" s="37"/>
      <c r="X3353" s="37"/>
      <c r="Y3353" s="37"/>
      <c r="Z3353" s="37"/>
      <c r="AA3353" s="37"/>
      <c r="AB3353" s="37"/>
      <c r="AC3353" s="37"/>
      <c r="AD3353" s="37"/>
      <c r="AE3353" s="37"/>
      <c r="AF3353" s="37"/>
      <c r="AG3353" s="37"/>
      <c r="AH3353" s="37"/>
      <c r="AI3353" s="37"/>
      <c r="AJ3353" s="37"/>
      <c r="AK3353" s="37"/>
      <c r="AL3353" s="37"/>
      <c r="AM3353" s="37"/>
      <c r="AN3353" s="37"/>
      <c r="AO3353" s="37"/>
      <c r="AP3353" s="37"/>
      <c r="AQ3353" s="37"/>
      <c r="AR3353" s="37"/>
      <c r="AS3353" s="37"/>
      <c r="AT3353" s="37"/>
      <c r="AU3353" s="37"/>
      <c r="AV3353" s="37"/>
      <c r="AW3353" s="37"/>
      <c r="AX3353" s="37"/>
      <c r="AY3353" s="37"/>
      <c r="AZ3353" s="37"/>
      <c r="BA3353" s="37"/>
      <c r="BB3353" s="37"/>
      <c r="BC3353" s="37"/>
      <c r="BD3353" s="37"/>
      <c r="BE3353" s="37"/>
      <c r="BF3353" s="37"/>
      <c r="BG3353" s="37"/>
      <c r="BH3353" s="37"/>
      <c r="BI3353" s="37"/>
      <c r="BJ3353" s="37"/>
      <c r="BK3353" s="37"/>
      <c r="BL3353" s="37"/>
      <c r="BM3353" s="37"/>
    </row>
    <row r="3354" spans="1:65" s="40" customFormat="1" ht="23.25" x14ac:dyDescent="0.35">
      <c r="A3354" s="37"/>
      <c r="B3354" s="37"/>
      <c r="C3354" s="41"/>
      <c r="D3354" s="38"/>
      <c r="E3354" s="57"/>
      <c r="F3354" s="42"/>
      <c r="G3354" s="43"/>
      <c r="H3354" s="37"/>
      <c r="I3354" s="37"/>
      <c r="J3354" s="38"/>
      <c r="K3354" s="37"/>
      <c r="L3354" s="38"/>
      <c r="M3354" s="39"/>
      <c r="P3354" s="37"/>
      <c r="Q3354" s="37"/>
      <c r="R3354" s="37"/>
      <c r="S3354" s="37"/>
      <c r="T3354" s="37"/>
      <c r="U3354" s="37"/>
      <c r="V3354" s="37"/>
      <c r="W3354" s="37"/>
      <c r="X3354" s="37"/>
      <c r="Y3354" s="37"/>
      <c r="Z3354" s="37"/>
      <c r="AA3354" s="37"/>
      <c r="AB3354" s="37"/>
      <c r="AC3354" s="37"/>
      <c r="AD3354" s="37"/>
      <c r="AE3354" s="37"/>
      <c r="AF3354" s="37"/>
      <c r="AG3354" s="37"/>
      <c r="AH3354" s="37"/>
      <c r="AI3354" s="37"/>
      <c r="AJ3354" s="37"/>
      <c r="AK3354" s="37"/>
      <c r="AL3354" s="37"/>
      <c r="AM3354" s="37"/>
      <c r="AN3354" s="37"/>
      <c r="AO3354" s="37"/>
      <c r="AP3354" s="37"/>
      <c r="AQ3354" s="37"/>
      <c r="AR3354" s="37"/>
      <c r="AS3354" s="37"/>
      <c r="AT3354" s="37"/>
      <c r="AU3354" s="37"/>
      <c r="AV3354" s="37"/>
      <c r="AW3354" s="37"/>
      <c r="AX3354" s="37"/>
      <c r="AY3354" s="37"/>
      <c r="AZ3354" s="37"/>
      <c r="BA3354" s="37"/>
      <c r="BB3354" s="37"/>
      <c r="BC3354" s="37"/>
      <c r="BD3354" s="37"/>
      <c r="BE3354" s="37"/>
      <c r="BF3354" s="37"/>
      <c r="BG3354" s="37"/>
      <c r="BH3354" s="37"/>
      <c r="BI3354" s="37"/>
      <c r="BJ3354" s="37"/>
      <c r="BK3354" s="37"/>
      <c r="BL3354" s="37"/>
      <c r="BM3354" s="37"/>
    </row>
    <row r="3355" spans="1:65" s="40" customFormat="1" ht="23.25" x14ac:dyDescent="0.35">
      <c r="A3355" s="37"/>
      <c r="B3355" s="37"/>
      <c r="C3355" s="41"/>
      <c r="D3355" s="38"/>
      <c r="E3355" s="57"/>
      <c r="F3355" s="42"/>
      <c r="G3355" s="43"/>
      <c r="H3355" s="37"/>
      <c r="I3355" s="37"/>
      <c r="J3355" s="38"/>
      <c r="K3355" s="37"/>
      <c r="L3355" s="38"/>
      <c r="M3355" s="39"/>
      <c r="P3355" s="37"/>
      <c r="Q3355" s="37"/>
      <c r="R3355" s="37"/>
      <c r="S3355" s="37"/>
      <c r="T3355" s="37"/>
      <c r="U3355" s="37"/>
      <c r="V3355" s="37"/>
      <c r="W3355" s="37"/>
      <c r="X3355" s="37"/>
      <c r="Y3355" s="37"/>
      <c r="Z3355" s="37"/>
      <c r="AA3355" s="37"/>
      <c r="AB3355" s="37"/>
      <c r="AC3355" s="37"/>
      <c r="AD3355" s="37"/>
      <c r="AE3355" s="37"/>
      <c r="AF3355" s="37"/>
      <c r="AG3355" s="37"/>
      <c r="AH3355" s="37"/>
      <c r="AI3355" s="37"/>
      <c r="AJ3355" s="37"/>
      <c r="AK3355" s="37"/>
      <c r="AL3355" s="37"/>
      <c r="AM3355" s="37"/>
      <c r="AN3355" s="37"/>
      <c r="AO3355" s="37"/>
      <c r="AP3355" s="37"/>
      <c r="AQ3355" s="37"/>
      <c r="AR3355" s="37"/>
      <c r="AS3355" s="37"/>
      <c r="AT3355" s="37"/>
      <c r="AU3355" s="37"/>
      <c r="AV3355" s="37"/>
      <c r="AW3355" s="37"/>
      <c r="AX3355" s="37"/>
      <c r="AY3355" s="37"/>
      <c r="AZ3355" s="37"/>
      <c r="BA3355" s="37"/>
      <c r="BB3355" s="37"/>
      <c r="BC3355" s="37"/>
      <c r="BD3355" s="37"/>
      <c r="BE3355" s="37"/>
      <c r="BF3355" s="37"/>
      <c r="BG3355" s="37"/>
      <c r="BH3355" s="37"/>
      <c r="BI3355" s="37"/>
      <c r="BJ3355" s="37"/>
      <c r="BK3355" s="37"/>
      <c r="BL3355" s="37"/>
      <c r="BM3355" s="37"/>
    </row>
    <row r="3356" spans="1:65" s="40" customFormat="1" ht="23.25" x14ac:dyDescent="0.35">
      <c r="A3356" s="37"/>
      <c r="B3356" s="37"/>
      <c r="C3356" s="41"/>
      <c r="D3356" s="38"/>
      <c r="E3356" s="57"/>
      <c r="F3356" s="42"/>
      <c r="G3356" s="43"/>
      <c r="H3356" s="37"/>
      <c r="I3356" s="37"/>
      <c r="J3356" s="38"/>
      <c r="K3356" s="37"/>
      <c r="L3356" s="38"/>
      <c r="M3356" s="39"/>
      <c r="P3356" s="37"/>
      <c r="Q3356" s="37"/>
      <c r="R3356" s="37"/>
      <c r="S3356" s="37"/>
      <c r="T3356" s="37"/>
      <c r="U3356" s="37"/>
      <c r="V3356" s="37"/>
      <c r="W3356" s="37"/>
      <c r="X3356" s="37"/>
      <c r="Y3356" s="37"/>
      <c r="Z3356" s="37"/>
      <c r="AA3356" s="37"/>
      <c r="AB3356" s="37"/>
      <c r="AC3356" s="37"/>
      <c r="AD3356" s="37"/>
      <c r="AE3356" s="37"/>
      <c r="AF3356" s="37"/>
      <c r="AG3356" s="37"/>
      <c r="AH3356" s="37"/>
      <c r="AI3356" s="37"/>
      <c r="AJ3356" s="37"/>
      <c r="AK3356" s="37"/>
      <c r="AL3356" s="37"/>
      <c r="AM3356" s="37"/>
      <c r="AN3356" s="37"/>
      <c r="AO3356" s="37"/>
      <c r="AP3356" s="37"/>
      <c r="AQ3356" s="37"/>
      <c r="AR3356" s="37"/>
      <c r="AS3356" s="37"/>
      <c r="AT3356" s="37"/>
      <c r="AU3356" s="37"/>
      <c r="AV3356" s="37"/>
      <c r="AW3356" s="37"/>
      <c r="AX3356" s="37"/>
      <c r="AY3356" s="37"/>
      <c r="AZ3356" s="37"/>
      <c r="BA3356" s="37"/>
      <c r="BB3356" s="37"/>
      <c r="BC3356" s="37"/>
      <c r="BD3356" s="37"/>
      <c r="BE3356" s="37"/>
      <c r="BF3356" s="37"/>
      <c r="BG3356" s="37"/>
      <c r="BH3356" s="37"/>
      <c r="BI3356" s="37"/>
      <c r="BJ3356" s="37"/>
      <c r="BK3356" s="37"/>
      <c r="BL3356" s="37"/>
      <c r="BM3356" s="37"/>
    </row>
    <row r="3357" spans="1:65" s="40" customFormat="1" ht="23.25" x14ac:dyDescent="0.35">
      <c r="A3357" s="37"/>
      <c r="B3357" s="37"/>
      <c r="C3357" s="41"/>
      <c r="D3357" s="38"/>
      <c r="E3357" s="57"/>
      <c r="F3357" s="42"/>
      <c r="G3357" s="43"/>
      <c r="H3357" s="37"/>
      <c r="I3357" s="37"/>
      <c r="J3357" s="38"/>
      <c r="K3357" s="37"/>
      <c r="L3357" s="38"/>
      <c r="M3357" s="39"/>
      <c r="P3357" s="37"/>
      <c r="Q3357" s="37"/>
      <c r="R3357" s="37"/>
      <c r="S3357" s="37"/>
      <c r="T3357" s="37"/>
      <c r="U3357" s="37"/>
      <c r="V3357" s="37"/>
      <c r="W3357" s="37"/>
      <c r="X3357" s="37"/>
      <c r="Y3357" s="37"/>
      <c r="Z3357" s="37"/>
      <c r="AA3357" s="37"/>
      <c r="AB3357" s="37"/>
      <c r="AC3357" s="37"/>
      <c r="AD3357" s="37"/>
      <c r="AE3357" s="37"/>
      <c r="AF3357" s="37"/>
      <c r="AG3357" s="37"/>
      <c r="AH3357" s="37"/>
      <c r="AI3357" s="37"/>
      <c r="AJ3357" s="37"/>
      <c r="AK3357" s="37"/>
      <c r="AL3357" s="37"/>
      <c r="AM3357" s="37"/>
      <c r="AN3357" s="37"/>
      <c r="AO3357" s="37"/>
      <c r="AP3357" s="37"/>
      <c r="AQ3357" s="37"/>
      <c r="AR3357" s="37"/>
      <c r="AS3357" s="37"/>
      <c r="AT3357" s="37"/>
      <c r="AU3357" s="37"/>
      <c r="AV3357" s="37"/>
      <c r="AW3357" s="37"/>
      <c r="AX3357" s="37"/>
      <c r="AY3357" s="37"/>
      <c r="AZ3357" s="37"/>
      <c r="BA3357" s="37"/>
      <c r="BB3357" s="37"/>
      <c r="BC3357" s="37"/>
      <c r="BD3357" s="37"/>
      <c r="BE3357" s="37"/>
      <c r="BF3357" s="37"/>
      <c r="BG3357" s="37"/>
      <c r="BH3357" s="37"/>
      <c r="BI3357" s="37"/>
      <c r="BJ3357" s="37"/>
      <c r="BK3357" s="37"/>
      <c r="BL3357" s="37"/>
      <c r="BM3357" s="37"/>
    </row>
    <row r="3358" spans="1:65" s="40" customFormat="1" ht="23.25" x14ac:dyDescent="0.35">
      <c r="A3358" s="37"/>
      <c r="B3358" s="37"/>
      <c r="C3358" s="41"/>
      <c r="D3358" s="38"/>
      <c r="E3358" s="57"/>
      <c r="F3358" s="42"/>
      <c r="G3358" s="43"/>
      <c r="H3358" s="37"/>
      <c r="I3358" s="37"/>
      <c r="J3358" s="38"/>
      <c r="K3358" s="37"/>
      <c r="L3358" s="38"/>
      <c r="M3358" s="39"/>
      <c r="P3358" s="37"/>
      <c r="Q3358" s="37"/>
      <c r="R3358" s="37"/>
      <c r="S3358" s="37"/>
      <c r="T3358" s="37"/>
      <c r="U3358" s="37"/>
      <c r="V3358" s="37"/>
      <c r="W3358" s="37"/>
      <c r="X3358" s="37"/>
      <c r="Y3358" s="37"/>
      <c r="Z3358" s="37"/>
      <c r="AA3358" s="37"/>
      <c r="AB3358" s="37"/>
      <c r="AC3358" s="37"/>
      <c r="AD3358" s="37"/>
      <c r="AE3358" s="37"/>
      <c r="AF3358" s="37"/>
      <c r="AG3358" s="37"/>
      <c r="AH3358" s="37"/>
      <c r="AI3358" s="37"/>
      <c r="AJ3358" s="37"/>
      <c r="AK3358" s="37"/>
      <c r="AL3358" s="37"/>
      <c r="AM3358" s="37"/>
      <c r="AN3358" s="37"/>
      <c r="AO3358" s="37"/>
      <c r="AP3358" s="37"/>
      <c r="AQ3358" s="37"/>
      <c r="AR3358" s="37"/>
      <c r="AS3358" s="37"/>
      <c r="AT3358" s="37"/>
      <c r="AU3358" s="37"/>
      <c r="AV3358" s="37"/>
      <c r="AW3358" s="37"/>
      <c r="AX3358" s="37"/>
      <c r="AY3358" s="37"/>
      <c r="AZ3358" s="37"/>
      <c r="BA3358" s="37"/>
      <c r="BB3358" s="37"/>
      <c r="BC3358" s="37"/>
      <c r="BD3358" s="37"/>
      <c r="BE3358" s="37"/>
      <c r="BF3358" s="37"/>
      <c r="BG3358" s="37"/>
      <c r="BH3358" s="37"/>
      <c r="BI3358" s="37"/>
      <c r="BJ3358" s="37"/>
      <c r="BK3358" s="37"/>
      <c r="BL3358" s="37"/>
      <c r="BM3358" s="37"/>
    </row>
    <row r="3359" spans="1:65" s="40" customFormat="1" ht="23.25" x14ac:dyDescent="0.35">
      <c r="A3359" s="37"/>
      <c r="B3359" s="37"/>
      <c r="C3359" s="41"/>
      <c r="D3359" s="38"/>
      <c r="E3359" s="57"/>
      <c r="F3359" s="42"/>
      <c r="G3359" s="43"/>
      <c r="H3359" s="37"/>
      <c r="I3359" s="37"/>
      <c r="J3359" s="38"/>
      <c r="K3359" s="37"/>
      <c r="L3359" s="38"/>
      <c r="M3359" s="39"/>
      <c r="P3359" s="37"/>
      <c r="Q3359" s="37"/>
      <c r="R3359" s="37"/>
      <c r="S3359" s="37"/>
      <c r="T3359" s="37"/>
      <c r="U3359" s="37"/>
      <c r="V3359" s="37"/>
      <c r="W3359" s="37"/>
      <c r="X3359" s="37"/>
      <c r="Y3359" s="37"/>
      <c r="Z3359" s="37"/>
      <c r="AA3359" s="37"/>
      <c r="AB3359" s="37"/>
      <c r="AC3359" s="37"/>
      <c r="AD3359" s="37"/>
      <c r="AE3359" s="37"/>
      <c r="AF3359" s="37"/>
      <c r="AG3359" s="37"/>
      <c r="AH3359" s="37"/>
      <c r="AI3359" s="37"/>
      <c r="AJ3359" s="37"/>
      <c r="AK3359" s="37"/>
      <c r="AL3359" s="37"/>
      <c r="AM3359" s="37"/>
      <c r="AN3359" s="37"/>
      <c r="AO3359" s="37"/>
      <c r="AP3359" s="37"/>
      <c r="AQ3359" s="37"/>
      <c r="AR3359" s="37"/>
      <c r="AS3359" s="37"/>
      <c r="AT3359" s="37"/>
      <c r="AU3359" s="37"/>
      <c r="AV3359" s="37"/>
      <c r="AW3359" s="37"/>
      <c r="AX3359" s="37"/>
      <c r="AY3359" s="37"/>
      <c r="AZ3359" s="37"/>
      <c r="BA3359" s="37"/>
      <c r="BB3359" s="37"/>
      <c r="BC3359" s="37"/>
      <c r="BD3359" s="37"/>
      <c r="BE3359" s="37"/>
      <c r="BF3359" s="37"/>
      <c r="BG3359" s="37"/>
      <c r="BH3359" s="37"/>
      <c r="BI3359" s="37"/>
      <c r="BJ3359" s="37"/>
      <c r="BK3359" s="37"/>
      <c r="BL3359" s="37"/>
      <c r="BM3359" s="37"/>
    </row>
    <row r="3360" spans="1:65" s="40" customFormat="1" ht="23.25" x14ac:dyDescent="0.35">
      <c r="A3360" s="37"/>
      <c r="B3360" s="37"/>
      <c r="C3360" s="41"/>
      <c r="D3360" s="38"/>
      <c r="E3360" s="57"/>
      <c r="F3360" s="42"/>
      <c r="G3360" s="43"/>
      <c r="H3360" s="37"/>
      <c r="I3360" s="37"/>
      <c r="J3360" s="38"/>
      <c r="K3360" s="37"/>
      <c r="L3360" s="38"/>
      <c r="M3360" s="39"/>
      <c r="P3360" s="37"/>
      <c r="Q3360" s="37"/>
      <c r="R3360" s="37"/>
      <c r="S3360" s="37"/>
      <c r="T3360" s="37"/>
      <c r="U3360" s="37"/>
      <c r="V3360" s="37"/>
      <c r="W3360" s="37"/>
      <c r="X3360" s="37"/>
      <c r="Y3360" s="37"/>
      <c r="Z3360" s="37"/>
      <c r="AA3360" s="37"/>
      <c r="AB3360" s="37"/>
      <c r="AC3360" s="37"/>
      <c r="AD3360" s="37"/>
      <c r="AE3360" s="37"/>
      <c r="AF3360" s="37"/>
      <c r="AG3360" s="37"/>
      <c r="AH3360" s="37"/>
      <c r="AI3360" s="37"/>
      <c r="AJ3360" s="37"/>
      <c r="AK3360" s="37"/>
      <c r="AL3360" s="37"/>
      <c r="AM3360" s="37"/>
      <c r="AN3360" s="37"/>
      <c r="AO3360" s="37"/>
      <c r="AP3360" s="37"/>
      <c r="AQ3360" s="37"/>
      <c r="AR3360" s="37"/>
      <c r="AS3360" s="37"/>
      <c r="AT3360" s="37"/>
      <c r="AU3360" s="37"/>
      <c r="AV3360" s="37"/>
      <c r="AW3360" s="37"/>
      <c r="AX3360" s="37"/>
      <c r="AY3360" s="37"/>
      <c r="AZ3360" s="37"/>
      <c r="BA3360" s="37"/>
      <c r="BB3360" s="37"/>
      <c r="BC3360" s="37"/>
      <c r="BD3360" s="37"/>
      <c r="BE3360" s="37"/>
      <c r="BF3360" s="37"/>
      <c r="BG3360" s="37"/>
      <c r="BH3360" s="37"/>
      <c r="BI3360" s="37"/>
      <c r="BJ3360" s="37"/>
      <c r="BK3360" s="37"/>
      <c r="BL3360" s="37"/>
      <c r="BM3360" s="37"/>
    </row>
    <row r="3361" spans="1:65" s="40" customFormat="1" ht="23.25" x14ac:dyDescent="0.35">
      <c r="A3361" s="37"/>
      <c r="B3361" s="37"/>
      <c r="C3361" s="41"/>
      <c r="D3361" s="38"/>
      <c r="E3361" s="57"/>
      <c r="F3361" s="42"/>
      <c r="G3361" s="43"/>
      <c r="H3361" s="37"/>
      <c r="I3361" s="37"/>
      <c r="J3361" s="38"/>
      <c r="K3361" s="37"/>
      <c r="L3361" s="38"/>
      <c r="M3361" s="39"/>
      <c r="P3361" s="37"/>
      <c r="Q3361" s="37"/>
      <c r="R3361" s="37"/>
      <c r="S3361" s="37"/>
      <c r="T3361" s="37"/>
      <c r="U3361" s="37"/>
      <c r="V3361" s="37"/>
      <c r="W3361" s="37"/>
      <c r="X3361" s="37"/>
      <c r="Y3361" s="37"/>
      <c r="Z3361" s="37"/>
      <c r="AA3361" s="37"/>
      <c r="AB3361" s="37"/>
      <c r="AC3361" s="37"/>
      <c r="AD3361" s="37"/>
      <c r="AE3361" s="37"/>
      <c r="AF3361" s="37"/>
      <c r="AG3361" s="37"/>
      <c r="AH3361" s="37"/>
      <c r="AI3361" s="37"/>
      <c r="AJ3361" s="37"/>
      <c r="AK3361" s="37"/>
      <c r="AL3361" s="37"/>
      <c r="AM3361" s="37"/>
      <c r="AN3361" s="37"/>
      <c r="AO3361" s="37"/>
      <c r="AP3361" s="37"/>
      <c r="AQ3361" s="37"/>
      <c r="AR3361" s="37"/>
      <c r="AS3361" s="37"/>
      <c r="AT3361" s="37"/>
      <c r="AU3361" s="37"/>
      <c r="AV3361" s="37"/>
      <c r="AW3361" s="37"/>
      <c r="AX3361" s="37"/>
      <c r="AY3361" s="37"/>
      <c r="AZ3361" s="37"/>
      <c r="BA3361" s="37"/>
      <c r="BB3361" s="37"/>
      <c r="BC3361" s="37"/>
      <c r="BD3361" s="37"/>
      <c r="BE3361" s="37"/>
      <c r="BF3361" s="37"/>
      <c r="BG3361" s="37"/>
      <c r="BH3361" s="37"/>
      <c r="BI3361" s="37"/>
      <c r="BJ3361" s="37"/>
      <c r="BK3361" s="37"/>
      <c r="BL3361" s="37"/>
      <c r="BM3361" s="37"/>
    </row>
    <row r="3362" spans="1:65" s="40" customFormat="1" ht="23.25" x14ac:dyDescent="0.35">
      <c r="A3362" s="37"/>
      <c r="B3362" s="37"/>
      <c r="C3362" s="41"/>
      <c r="D3362" s="38"/>
      <c r="E3362" s="57"/>
      <c r="F3362" s="42"/>
      <c r="G3362" s="43"/>
      <c r="H3362" s="37"/>
      <c r="I3362" s="37"/>
      <c r="J3362" s="38"/>
      <c r="K3362" s="37"/>
      <c r="L3362" s="38"/>
      <c r="M3362" s="39"/>
      <c r="P3362" s="37"/>
      <c r="Q3362" s="37"/>
      <c r="R3362" s="37"/>
      <c r="S3362" s="37"/>
      <c r="T3362" s="37"/>
      <c r="U3362" s="37"/>
      <c r="V3362" s="37"/>
      <c r="W3362" s="37"/>
      <c r="X3362" s="37"/>
      <c r="Y3362" s="37"/>
      <c r="Z3362" s="37"/>
      <c r="AA3362" s="37"/>
      <c r="AB3362" s="37"/>
      <c r="AC3362" s="37"/>
      <c r="AD3362" s="37"/>
      <c r="AE3362" s="37"/>
      <c r="AF3362" s="37"/>
      <c r="AG3362" s="37"/>
      <c r="AH3362" s="37"/>
      <c r="AI3362" s="37"/>
      <c r="AJ3362" s="37"/>
      <c r="AK3362" s="37"/>
      <c r="AL3362" s="37"/>
      <c r="AM3362" s="37"/>
      <c r="AN3362" s="37"/>
      <c r="AO3362" s="37"/>
      <c r="AP3362" s="37"/>
      <c r="AQ3362" s="37"/>
      <c r="AR3362" s="37"/>
      <c r="AS3362" s="37"/>
      <c r="AT3362" s="37"/>
      <c r="AU3362" s="37"/>
      <c r="AV3362" s="37"/>
      <c r="AW3362" s="37"/>
      <c r="AX3362" s="37"/>
      <c r="AY3362" s="37"/>
      <c r="AZ3362" s="37"/>
      <c r="BA3362" s="37"/>
      <c r="BB3362" s="37"/>
      <c r="BC3362" s="37"/>
      <c r="BD3362" s="37"/>
      <c r="BE3362" s="37"/>
      <c r="BF3362" s="37"/>
      <c r="BG3362" s="37"/>
      <c r="BH3362" s="37"/>
      <c r="BI3362" s="37"/>
      <c r="BJ3362" s="37"/>
      <c r="BK3362" s="37"/>
      <c r="BL3362" s="37"/>
      <c r="BM3362" s="37"/>
    </row>
    <row r="3363" spans="1:65" s="40" customFormat="1" ht="23.25" x14ac:dyDescent="0.35">
      <c r="A3363" s="37"/>
      <c r="B3363" s="37"/>
      <c r="C3363" s="41"/>
      <c r="D3363" s="38"/>
      <c r="E3363" s="57"/>
      <c r="F3363" s="42"/>
      <c r="G3363" s="43"/>
      <c r="H3363" s="37"/>
      <c r="I3363" s="37"/>
      <c r="J3363" s="38"/>
      <c r="K3363" s="37"/>
      <c r="L3363" s="38"/>
      <c r="M3363" s="39"/>
      <c r="P3363" s="37"/>
      <c r="Q3363" s="37"/>
      <c r="R3363" s="37"/>
      <c r="S3363" s="37"/>
      <c r="T3363" s="37"/>
      <c r="U3363" s="37"/>
      <c r="V3363" s="37"/>
      <c r="W3363" s="37"/>
      <c r="X3363" s="37"/>
      <c r="Y3363" s="37"/>
      <c r="Z3363" s="37"/>
      <c r="AA3363" s="37"/>
      <c r="AB3363" s="37"/>
      <c r="AC3363" s="37"/>
      <c r="AD3363" s="37"/>
      <c r="AE3363" s="37"/>
      <c r="AF3363" s="37"/>
      <c r="AG3363" s="37"/>
      <c r="AH3363" s="37"/>
      <c r="AI3363" s="37"/>
      <c r="AJ3363" s="37"/>
      <c r="AK3363" s="37"/>
      <c r="AL3363" s="37"/>
      <c r="AM3363" s="37"/>
      <c r="AN3363" s="37"/>
      <c r="AO3363" s="37"/>
      <c r="AP3363" s="37"/>
      <c r="AQ3363" s="37"/>
      <c r="AR3363" s="37"/>
      <c r="AS3363" s="37"/>
      <c r="AT3363" s="37"/>
      <c r="AU3363" s="37"/>
      <c r="AV3363" s="37"/>
      <c r="AW3363" s="37"/>
      <c r="AX3363" s="37"/>
      <c r="AY3363" s="37"/>
      <c r="AZ3363" s="37"/>
      <c r="BA3363" s="37"/>
      <c r="BB3363" s="37"/>
      <c r="BC3363" s="37"/>
      <c r="BD3363" s="37"/>
      <c r="BE3363" s="37"/>
      <c r="BF3363" s="37"/>
      <c r="BG3363" s="37"/>
      <c r="BH3363" s="37"/>
      <c r="BI3363" s="37"/>
      <c r="BJ3363" s="37"/>
      <c r="BK3363" s="37"/>
      <c r="BL3363" s="37"/>
      <c r="BM3363" s="37"/>
    </row>
    <row r="3364" spans="1:65" s="40" customFormat="1" ht="23.25" x14ac:dyDescent="0.35">
      <c r="A3364" s="37"/>
      <c r="B3364" s="37"/>
      <c r="C3364" s="41"/>
      <c r="D3364" s="38"/>
      <c r="E3364" s="57"/>
      <c r="F3364" s="42"/>
      <c r="G3364" s="43"/>
      <c r="H3364" s="37"/>
      <c r="I3364" s="37"/>
      <c r="J3364" s="38"/>
      <c r="K3364" s="37"/>
      <c r="L3364" s="38"/>
      <c r="M3364" s="39"/>
      <c r="P3364" s="37"/>
      <c r="Q3364" s="37"/>
      <c r="R3364" s="37"/>
      <c r="S3364" s="37"/>
      <c r="T3364" s="37"/>
      <c r="U3364" s="37"/>
      <c r="V3364" s="37"/>
      <c r="W3364" s="37"/>
      <c r="X3364" s="37"/>
      <c r="Y3364" s="37"/>
      <c r="Z3364" s="37"/>
      <c r="AA3364" s="37"/>
      <c r="AB3364" s="37"/>
      <c r="AC3364" s="37"/>
      <c r="AD3364" s="37"/>
      <c r="AE3364" s="37"/>
      <c r="AF3364" s="37"/>
      <c r="AG3364" s="37"/>
      <c r="AH3364" s="37"/>
      <c r="AI3364" s="37"/>
      <c r="AJ3364" s="37"/>
      <c r="AK3364" s="37"/>
      <c r="AL3364" s="37"/>
      <c r="AM3364" s="37"/>
      <c r="AN3364" s="37"/>
      <c r="AO3364" s="37"/>
      <c r="AP3364" s="37"/>
      <c r="AQ3364" s="37"/>
      <c r="AR3364" s="37"/>
      <c r="AS3364" s="37"/>
      <c r="AT3364" s="37"/>
      <c r="AU3364" s="37"/>
      <c r="AV3364" s="37"/>
      <c r="AW3364" s="37"/>
      <c r="AX3364" s="37"/>
      <c r="AY3364" s="37"/>
      <c r="AZ3364" s="37"/>
      <c r="BA3364" s="37"/>
      <c r="BB3364" s="37"/>
      <c r="BC3364" s="37"/>
      <c r="BD3364" s="37"/>
      <c r="BE3364" s="37"/>
      <c r="BF3364" s="37"/>
      <c r="BG3364" s="37"/>
      <c r="BH3364" s="37"/>
      <c r="BI3364" s="37"/>
      <c r="BJ3364" s="37"/>
      <c r="BK3364" s="37"/>
      <c r="BL3364" s="37"/>
      <c r="BM3364" s="37"/>
    </row>
    <row r="3365" spans="1:65" s="40" customFormat="1" ht="23.25" x14ac:dyDescent="0.35">
      <c r="A3365" s="37"/>
      <c r="B3365" s="37"/>
      <c r="C3365" s="41"/>
      <c r="D3365" s="38"/>
      <c r="E3365" s="57"/>
      <c r="F3365" s="42"/>
      <c r="G3365" s="43"/>
      <c r="H3365" s="37"/>
      <c r="I3365" s="37"/>
      <c r="J3365" s="38"/>
      <c r="K3365" s="37"/>
      <c r="L3365" s="38"/>
      <c r="M3365" s="39"/>
      <c r="P3365" s="37"/>
      <c r="Q3365" s="37"/>
      <c r="R3365" s="37"/>
      <c r="S3365" s="37"/>
      <c r="T3365" s="37"/>
      <c r="U3365" s="37"/>
      <c r="V3365" s="37"/>
      <c r="W3365" s="37"/>
      <c r="X3365" s="37"/>
      <c r="Y3365" s="37"/>
      <c r="Z3365" s="37"/>
      <c r="AA3365" s="37"/>
      <c r="AB3365" s="37"/>
      <c r="AC3365" s="37"/>
      <c r="AD3365" s="37"/>
      <c r="AE3365" s="37"/>
      <c r="AF3365" s="37"/>
      <c r="AG3365" s="37"/>
      <c r="AH3365" s="37"/>
      <c r="AI3365" s="37"/>
      <c r="AJ3365" s="37"/>
      <c r="AK3365" s="37"/>
      <c r="AL3365" s="37"/>
      <c r="AM3365" s="37"/>
      <c r="AN3365" s="37"/>
      <c r="AO3365" s="37"/>
      <c r="AP3365" s="37"/>
      <c r="AQ3365" s="37"/>
      <c r="AR3365" s="37"/>
      <c r="AS3365" s="37"/>
      <c r="AT3365" s="37"/>
      <c r="AU3365" s="37"/>
      <c r="AV3365" s="37"/>
      <c r="AW3365" s="37"/>
      <c r="AX3365" s="37"/>
      <c r="AY3365" s="37"/>
      <c r="AZ3365" s="37"/>
      <c r="BA3365" s="37"/>
      <c r="BB3365" s="37"/>
      <c r="BC3365" s="37"/>
      <c r="BD3365" s="37"/>
      <c r="BE3365" s="37"/>
      <c r="BF3365" s="37"/>
      <c r="BG3365" s="37"/>
      <c r="BH3365" s="37"/>
      <c r="BI3365" s="37"/>
      <c r="BJ3365" s="37"/>
      <c r="BK3365" s="37"/>
      <c r="BL3365" s="37"/>
      <c r="BM3365" s="37"/>
    </row>
    <row r="3366" spans="1:65" s="40" customFormat="1" ht="23.25" x14ac:dyDescent="0.35">
      <c r="A3366" s="37"/>
      <c r="B3366" s="37"/>
      <c r="C3366" s="41"/>
      <c r="D3366" s="38"/>
      <c r="E3366" s="57"/>
      <c r="F3366" s="42"/>
      <c r="G3366" s="43"/>
      <c r="H3366" s="37"/>
      <c r="I3366" s="37"/>
      <c r="J3366" s="38"/>
      <c r="K3366" s="37"/>
      <c r="L3366" s="38"/>
      <c r="M3366" s="39"/>
      <c r="P3366" s="37"/>
      <c r="Q3366" s="37"/>
      <c r="R3366" s="37"/>
      <c r="S3366" s="37"/>
      <c r="T3366" s="37"/>
      <c r="U3366" s="37"/>
      <c r="V3366" s="37"/>
      <c r="W3366" s="37"/>
      <c r="X3366" s="37"/>
      <c r="Y3366" s="37"/>
      <c r="Z3366" s="37"/>
      <c r="AA3366" s="37"/>
      <c r="AB3366" s="37"/>
      <c r="AC3366" s="37"/>
      <c r="AD3366" s="37"/>
      <c r="AE3366" s="37"/>
      <c r="AF3366" s="37"/>
      <c r="AG3366" s="37"/>
      <c r="AH3366" s="37"/>
      <c r="AI3366" s="37"/>
      <c r="AJ3366" s="37"/>
      <c r="AK3366" s="37"/>
      <c r="AL3366" s="37"/>
      <c r="AM3366" s="37"/>
      <c r="AN3366" s="37"/>
      <c r="AO3366" s="37"/>
      <c r="AP3366" s="37"/>
      <c r="AQ3366" s="37"/>
      <c r="AR3366" s="37"/>
      <c r="AS3366" s="37"/>
      <c r="AT3366" s="37"/>
      <c r="AU3366" s="37"/>
      <c r="AV3366" s="37"/>
      <c r="AW3366" s="37"/>
      <c r="AX3366" s="37"/>
      <c r="AY3366" s="37"/>
      <c r="AZ3366" s="37"/>
      <c r="BA3366" s="37"/>
      <c r="BB3366" s="37"/>
      <c r="BC3366" s="37"/>
      <c r="BD3366" s="37"/>
      <c r="BE3366" s="37"/>
      <c r="BF3366" s="37"/>
      <c r="BG3366" s="37"/>
      <c r="BH3366" s="37"/>
      <c r="BI3366" s="37"/>
      <c r="BJ3366" s="37"/>
      <c r="BK3366" s="37"/>
      <c r="BL3366" s="37"/>
      <c r="BM3366" s="37"/>
    </row>
    <row r="3367" spans="1:65" s="40" customFormat="1" ht="23.25" x14ac:dyDescent="0.35">
      <c r="A3367" s="37"/>
      <c r="B3367" s="37"/>
      <c r="C3367" s="41"/>
      <c r="D3367" s="38"/>
      <c r="E3367" s="57"/>
      <c r="F3367" s="42"/>
      <c r="G3367" s="43"/>
      <c r="H3367" s="37"/>
      <c r="I3367" s="37"/>
      <c r="J3367" s="38"/>
      <c r="K3367" s="37"/>
      <c r="L3367" s="38"/>
      <c r="M3367" s="39"/>
      <c r="P3367" s="37"/>
      <c r="Q3367" s="37"/>
      <c r="R3367" s="37"/>
      <c r="S3367" s="37"/>
      <c r="T3367" s="37"/>
      <c r="U3367" s="37"/>
      <c r="V3367" s="37"/>
      <c r="W3367" s="37"/>
      <c r="X3367" s="37"/>
      <c r="Y3367" s="37"/>
      <c r="Z3367" s="37"/>
      <c r="AA3367" s="37"/>
      <c r="AB3367" s="37"/>
      <c r="AC3367" s="37"/>
      <c r="AD3367" s="37"/>
      <c r="AE3367" s="37"/>
      <c r="AF3367" s="37"/>
      <c r="AG3367" s="37"/>
      <c r="AH3367" s="37"/>
      <c r="AI3367" s="37"/>
      <c r="AJ3367" s="37"/>
      <c r="AK3367" s="37"/>
      <c r="AL3367" s="37"/>
      <c r="AM3367" s="37"/>
      <c r="AN3367" s="37"/>
      <c r="AO3367" s="37"/>
      <c r="AP3367" s="37"/>
      <c r="AQ3367" s="37"/>
      <c r="AR3367" s="37"/>
      <c r="AS3367" s="37"/>
      <c r="AT3367" s="37"/>
      <c r="AU3367" s="37"/>
      <c r="AV3367" s="37"/>
      <c r="AW3367" s="37"/>
      <c r="AX3367" s="37"/>
      <c r="AY3367" s="37"/>
      <c r="AZ3367" s="37"/>
      <c r="BA3367" s="37"/>
      <c r="BB3367" s="37"/>
      <c r="BC3367" s="37"/>
      <c r="BD3367" s="37"/>
      <c r="BE3367" s="37"/>
      <c r="BF3367" s="37"/>
      <c r="BG3367" s="37"/>
      <c r="BH3367" s="37"/>
      <c r="BI3367" s="37"/>
      <c r="BJ3367" s="37"/>
      <c r="BK3367" s="37"/>
      <c r="BL3367" s="37"/>
      <c r="BM3367" s="37"/>
    </row>
    <row r="3368" spans="1:65" s="40" customFormat="1" ht="23.25" x14ac:dyDescent="0.35">
      <c r="A3368" s="37"/>
      <c r="B3368" s="37"/>
      <c r="C3368" s="41"/>
      <c r="D3368" s="38"/>
      <c r="E3368" s="57"/>
      <c r="F3368" s="42"/>
      <c r="G3368" s="43"/>
      <c r="H3368" s="37"/>
      <c r="I3368" s="37"/>
      <c r="J3368" s="38"/>
      <c r="K3368" s="37"/>
      <c r="L3368" s="38"/>
      <c r="M3368" s="39"/>
      <c r="P3368" s="37"/>
      <c r="Q3368" s="37"/>
      <c r="R3368" s="37"/>
      <c r="S3368" s="37"/>
      <c r="T3368" s="37"/>
      <c r="U3368" s="37"/>
      <c r="V3368" s="37"/>
      <c r="W3368" s="37"/>
      <c r="X3368" s="37"/>
      <c r="Y3368" s="37"/>
      <c r="Z3368" s="37"/>
      <c r="AA3368" s="37"/>
      <c r="AB3368" s="37"/>
      <c r="AC3368" s="37"/>
      <c r="AD3368" s="37"/>
      <c r="AE3368" s="37"/>
      <c r="AF3368" s="37"/>
      <c r="AG3368" s="37"/>
      <c r="AH3368" s="37"/>
      <c r="AI3368" s="37"/>
      <c r="AJ3368" s="37"/>
      <c r="AK3368" s="37"/>
      <c r="AL3368" s="37"/>
      <c r="AM3368" s="37"/>
      <c r="AN3368" s="37"/>
      <c r="AO3368" s="37"/>
      <c r="AP3368" s="37"/>
      <c r="AQ3368" s="37"/>
      <c r="AR3368" s="37"/>
      <c r="AS3368" s="37"/>
      <c r="AT3368" s="37"/>
      <c r="AU3368" s="37"/>
      <c r="AV3368" s="37"/>
      <c r="AW3368" s="37"/>
      <c r="AX3368" s="37"/>
      <c r="AY3368" s="37"/>
      <c r="AZ3368" s="37"/>
      <c r="BA3368" s="37"/>
      <c r="BB3368" s="37"/>
      <c r="BC3368" s="37"/>
      <c r="BD3368" s="37"/>
      <c r="BE3368" s="37"/>
      <c r="BF3368" s="37"/>
      <c r="BG3368" s="37"/>
      <c r="BH3368" s="37"/>
      <c r="BI3368" s="37"/>
      <c r="BJ3368" s="37"/>
      <c r="BK3368" s="37"/>
      <c r="BL3368" s="37"/>
      <c r="BM3368" s="37"/>
    </row>
    <row r="3369" spans="1:65" s="40" customFormat="1" ht="23.25" x14ac:dyDescent="0.35">
      <c r="A3369" s="37"/>
      <c r="B3369" s="37"/>
      <c r="C3369" s="41"/>
      <c r="D3369" s="38"/>
      <c r="E3369" s="57"/>
      <c r="F3369" s="42"/>
      <c r="G3369" s="43"/>
      <c r="H3369" s="37"/>
      <c r="I3369" s="37"/>
      <c r="J3369" s="38"/>
      <c r="K3369" s="37"/>
      <c r="L3369" s="38"/>
      <c r="M3369" s="39"/>
      <c r="P3369" s="37"/>
      <c r="Q3369" s="37"/>
      <c r="R3369" s="37"/>
      <c r="S3369" s="37"/>
      <c r="T3369" s="37"/>
      <c r="U3369" s="37"/>
      <c r="V3369" s="37"/>
      <c r="W3369" s="37"/>
      <c r="X3369" s="37"/>
      <c r="Y3369" s="37"/>
      <c r="Z3369" s="37"/>
      <c r="AA3369" s="37"/>
      <c r="AB3369" s="37"/>
      <c r="AC3369" s="37"/>
      <c r="AD3369" s="37"/>
      <c r="AE3369" s="37"/>
      <c r="AF3369" s="37"/>
      <c r="AG3369" s="37"/>
      <c r="AH3369" s="37"/>
      <c r="AI3369" s="37"/>
      <c r="AJ3369" s="37"/>
      <c r="AK3369" s="37"/>
      <c r="AL3369" s="37"/>
      <c r="AM3369" s="37"/>
      <c r="AN3369" s="37"/>
      <c r="AO3369" s="37"/>
      <c r="AP3369" s="37"/>
      <c r="AQ3369" s="37"/>
      <c r="AR3369" s="37"/>
      <c r="AS3369" s="37"/>
      <c r="AT3369" s="37"/>
      <c r="AU3369" s="37"/>
      <c r="AV3369" s="37"/>
      <c r="AW3369" s="37"/>
      <c r="AX3369" s="37"/>
      <c r="AY3369" s="37"/>
      <c r="AZ3369" s="37"/>
      <c r="BA3369" s="37"/>
      <c r="BB3369" s="37"/>
      <c r="BC3369" s="37"/>
      <c r="BD3369" s="37"/>
      <c r="BE3369" s="37"/>
      <c r="BF3369" s="37"/>
      <c r="BG3369" s="37"/>
      <c r="BH3369" s="37"/>
      <c r="BI3369" s="37"/>
      <c r="BJ3369" s="37"/>
      <c r="BK3369" s="37"/>
      <c r="BL3369" s="37"/>
      <c r="BM3369" s="37"/>
    </row>
    <row r="3370" spans="1:65" s="40" customFormat="1" ht="23.25" x14ac:dyDescent="0.35">
      <c r="A3370" s="37"/>
      <c r="B3370" s="37"/>
      <c r="C3370" s="41"/>
      <c r="D3370" s="38"/>
      <c r="E3370" s="57"/>
      <c r="F3370" s="42"/>
      <c r="G3370" s="43"/>
      <c r="H3370" s="37"/>
      <c r="I3370" s="37"/>
      <c r="J3370" s="38"/>
      <c r="K3370" s="37"/>
      <c r="L3370" s="38"/>
      <c r="M3370" s="39"/>
      <c r="P3370" s="37"/>
      <c r="Q3370" s="37"/>
      <c r="R3370" s="37"/>
      <c r="S3370" s="37"/>
      <c r="T3370" s="37"/>
      <c r="U3370" s="37"/>
      <c r="V3370" s="37"/>
      <c r="W3370" s="37"/>
      <c r="X3370" s="37"/>
      <c r="Y3370" s="37"/>
      <c r="Z3370" s="37"/>
      <c r="AA3370" s="37"/>
      <c r="AB3370" s="37"/>
      <c r="AC3370" s="37"/>
      <c r="AD3370" s="37"/>
      <c r="AE3370" s="37"/>
      <c r="AF3370" s="37"/>
      <c r="AG3370" s="37"/>
      <c r="AH3370" s="37"/>
      <c r="AI3370" s="37"/>
      <c r="AJ3370" s="37"/>
      <c r="AK3370" s="37"/>
      <c r="AL3370" s="37"/>
      <c r="AM3370" s="37"/>
      <c r="AN3370" s="37"/>
      <c r="AO3370" s="37"/>
      <c r="AP3370" s="37"/>
      <c r="AQ3370" s="37"/>
      <c r="AR3370" s="37"/>
      <c r="AS3370" s="37"/>
      <c r="AT3370" s="37"/>
      <c r="AU3370" s="37"/>
      <c r="AV3370" s="37"/>
      <c r="AW3370" s="37"/>
      <c r="AX3370" s="37"/>
      <c r="AY3370" s="37"/>
      <c r="AZ3370" s="37"/>
      <c r="BA3370" s="37"/>
      <c r="BB3370" s="37"/>
      <c r="BC3370" s="37"/>
      <c r="BD3370" s="37"/>
      <c r="BE3370" s="37"/>
      <c r="BF3370" s="37"/>
      <c r="BG3370" s="37"/>
      <c r="BH3370" s="37"/>
      <c r="BI3370" s="37"/>
      <c r="BJ3370" s="37"/>
      <c r="BK3370" s="37"/>
      <c r="BL3370" s="37"/>
      <c r="BM3370" s="37"/>
    </row>
    <row r="3371" spans="1:65" s="40" customFormat="1" ht="23.25" x14ac:dyDescent="0.35">
      <c r="A3371" s="37"/>
      <c r="B3371" s="37"/>
      <c r="C3371" s="41"/>
      <c r="D3371" s="38"/>
      <c r="E3371" s="57"/>
      <c r="F3371" s="42"/>
      <c r="G3371" s="43"/>
      <c r="H3371" s="37"/>
      <c r="I3371" s="37"/>
      <c r="J3371" s="38"/>
      <c r="K3371" s="37"/>
      <c r="L3371" s="38"/>
      <c r="M3371" s="39"/>
      <c r="P3371" s="37"/>
      <c r="Q3371" s="37"/>
      <c r="R3371" s="37"/>
      <c r="S3371" s="37"/>
      <c r="T3371" s="37"/>
      <c r="U3371" s="37"/>
      <c r="V3371" s="37"/>
      <c r="W3371" s="37"/>
      <c r="X3371" s="37"/>
      <c r="Y3371" s="37"/>
      <c r="Z3371" s="37"/>
      <c r="AA3371" s="37"/>
      <c r="AB3371" s="37"/>
      <c r="AC3371" s="37"/>
      <c r="AD3371" s="37"/>
      <c r="AE3371" s="37"/>
      <c r="AF3371" s="37"/>
      <c r="AG3371" s="37"/>
      <c r="AH3371" s="37"/>
      <c r="AI3371" s="37"/>
      <c r="AJ3371" s="37"/>
      <c r="AK3371" s="37"/>
      <c r="AL3371" s="37"/>
      <c r="AM3371" s="37"/>
      <c r="AN3371" s="37"/>
      <c r="AO3371" s="37"/>
      <c r="AP3371" s="37"/>
      <c r="AQ3371" s="37"/>
      <c r="AR3371" s="37"/>
      <c r="AS3371" s="37"/>
      <c r="AT3371" s="37"/>
      <c r="AU3371" s="37"/>
      <c r="AV3371" s="37"/>
      <c r="AW3371" s="37"/>
      <c r="AX3371" s="37"/>
      <c r="AY3371" s="37"/>
      <c r="AZ3371" s="37"/>
      <c r="BA3371" s="37"/>
      <c r="BB3371" s="37"/>
      <c r="BC3371" s="37"/>
      <c r="BD3371" s="37"/>
      <c r="BE3371" s="37"/>
      <c r="BF3371" s="37"/>
      <c r="BG3371" s="37"/>
      <c r="BH3371" s="37"/>
      <c r="BI3371" s="37"/>
      <c r="BJ3371" s="37"/>
      <c r="BK3371" s="37"/>
      <c r="BL3371" s="37"/>
      <c r="BM3371" s="37"/>
    </row>
    <row r="3372" spans="1:65" s="40" customFormat="1" ht="23.25" x14ac:dyDescent="0.35">
      <c r="A3372" s="37"/>
      <c r="B3372" s="37"/>
      <c r="C3372" s="41"/>
      <c r="D3372" s="38"/>
      <c r="E3372" s="57"/>
      <c r="F3372" s="42"/>
      <c r="G3372" s="43"/>
      <c r="H3372" s="37"/>
      <c r="I3372" s="37"/>
      <c r="J3372" s="38"/>
      <c r="K3372" s="37"/>
      <c r="L3372" s="38"/>
      <c r="M3372" s="39"/>
      <c r="P3372" s="37"/>
      <c r="Q3372" s="37"/>
      <c r="R3372" s="37"/>
      <c r="S3372" s="37"/>
      <c r="T3372" s="37"/>
      <c r="U3372" s="37"/>
      <c r="V3372" s="37"/>
      <c r="W3372" s="37"/>
      <c r="X3372" s="37"/>
      <c r="Y3372" s="37"/>
      <c r="Z3372" s="37"/>
      <c r="AA3372" s="37"/>
      <c r="AB3372" s="37"/>
      <c r="AC3372" s="37"/>
      <c r="AD3372" s="37"/>
      <c r="AE3372" s="37"/>
      <c r="AF3372" s="37"/>
      <c r="AG3372" s="37"/>
      <c r="AH3372" s="37"/>
      <c r="AI3372" s="37"/>
      <c r="AJ3372" s="37"/>
      <c r="AK3372" s="37"/>
      <c r="AL3372" s="37"/>
      <c r="AM3372" s="37"/>
      <c r="AN3372" s="37"/>
      <c r="AO3372" s="37"/>
      <c r="AP3372" s="37"/>
      <c r="AQ3372" s="37"/>
      <c r="AR3372" s="37"/>
      <c r="AS3372" s="37"/>
      <c r="AT3372" s="37"/>
      <c r="AU3372" s="37"/>
      <c r="AV3372" s="37"/>
      <c r="AW3372" s="37"/>
      <c r="AX3372" s="37"/>
      <c r="AY3372" s="37"/>
      <c r="AZ3372" s="37"/>
      <c r="BA3372" s="37"/>
      <c r="BB3372" s="37"/>
      <c r="BC3372" s="37"/>
      <c r="BD3372" s="37"/>
      <c r="BE3372" s="37"/>
      <c r="BF3372" s="37"/>
      <c r="BG3372" s="37"/>
      <c r="BH3372" s="37"/>
      <c r="BI3372" s="37"/>
      <c r="BJ3372" s="37"/>
      <c r="BK3372" s="37"/>
      <c r="BL3372" s="37"/>
      <c r="BM3372" s="37"/>
    </row>
    <row r="3373" spans="1:65" s="40" customFormat="1" ht="23.25" x14ac:dyDescent="0.35">
      <c r="A3373" s="37"/>
      <c r="B3373" s="37"/>
      <c r="C3373" s="41"/>
      <c r="D3373" s="38"/>
      <c r="E3373" s="57"/>
      <c r="F3373" s="42"/>
      <c r="G3373" s="43"/>
      <c r="H3373" s="37"/>
      <c r="I3373" s="37"/>
      <c r="J3373" s="38"/>
      <c r="K3373" s="37"/>
      <c r="L3373" s="38"/>
      <c r="M3373" s="39"/>
      <c r="P3373" s="37"/>
      <c r="Q3373" s="37"/>
      <c r="R3373" s="37"/>
      <c r="S3373" s="37"/>
      <c r="T3373" s="37"/>
      <c r="U3373" s="37"/>
      <c r="V3373" s="37"/>
      <c r="W3373" s="37"/>
      <c r="X3373" s="37"/>
      <c r="Y3373" s="37"/>
      <c r="Z3373" s="37"/>
      <c r="AA3373" s="37"/>
      <c r="AB3373" s="37"/>
      <c r="AC3373" s="37"/>
      <c r="AD3373" s="37"/>
      <c r="AE3373" s="37"/>
      <c r="AF3373" s="37"/>
      <c r="AG3373" s="37"/>
      <c r="AH3373" s="37"/>
      <c r="AI3373" s="37"/>
      <c r="AJ3373" s="37"/>
      <c r="AK3373" s="37"/>
      <c r="AL3373" s="37"/>
      <c r="AM3373" s="37"/>
      <c r="AN3373" s="37"/>
      <c r="AO3373" s="37"/>
      <c r="AP3373" s="37"/>
      <c r="AQ3373" s="37"/>
      <c r="AR3373" s="37"/>
      <c r="AS3373" s="37"/>
      <c r="AT3373" s="37"/>
      <c r="AU3373" s="37"/>
      <c r="AV3373" s="37"/>
      <c r="AW3373" s="37"/>
      <c r="AX3373" s="37"/>
      <c r="AY3373" s="37"/>
      <c r="AZ3373" s="37"/>
      <c r="BA3373" s="37"/>
      <c r="BB3373" s="37"/>
      <c r="BC3373" s="37"/>
      <c r="BD3373" s="37"/>
      <c r="BE3373" s="37"/>
      <c r="BF3373" s="37"/>
      <c r="BG3373" s="37"/>
      <c r="BH3373" s="37"/>
      <c r="BI3373" s="37"/>
      <c r="BJ3373" s="37"/>
      <c r="BK3373" s="37"/>
      <c r="BL3373" s="37"/>
      <c r="BM3373" s="37"/>
    </row>
    <row r="3374" spans="1:65" s="40" customFormat="1" ht="23.25" x14ac:dyDescent="0.35">
      <c r="A3374" s="37"/>
      <c r="B3374" s="37"/>
      <c r="C3374" s="41"/>
      <c r="D3374" s="38"/>
      <c r="E3374" s="57"/>
      <c r="F3374" s="42"/>
      <c r="G3374" s="43"/>
      <c r="H3374" s="37"/>
      <c r="I3374" s="37"/>
      <c r="J3374" s="38"/>
      <c r="K3374" s="37"/>
      <c r="L3374" s="38"/>
      <c r="M3374" s="39"/>
      <c r="P3374" s="37"/>
      <c r="Q3374" s="37"/>
      <c r="R3374" s="37"/>
      <c r="S3374" s="37"/>
      <c r="T3374" s="37"/>
      <c r="U3374" s="37"/>
      <c r="V3374" s="37"/>
      <c r="W3374" s="37"/>
      <c r="X3374" s="37"/>
      <c r="Y3374" s="37"/>
      <c r="Z3374" s="37"/>
      <c r="AA3374" s="37"/>
      <c r="AB3374" s="37"/>
      <c r="AC3374" s="37"/>
      <c r="AD3374" s="37"/>
      <c r="AE3374" s="37"/>
      <c r="AF3374" s="37"/>
      <c r="AG3374" s="37"/>
      <c r="AH3374" s="37"/>
      <c r="AI3374" s="37"/>
      <c r="AJ3374" s="37"/>
      <c r="AK3374" s="37"/>
      <c r="AL3374" s="37"/>
      <c r="AM3374" s="37"/>
      <c r="AN3374" s="37"/>
      <c r="AO3374" s="37"/>
      <c r="AP3374" s="37"/>
      <c r="AQ3374" s="37"/>
      <c r="AR3374" s="37"/>
      <c r="AS3374" s="37"/>
      <c r="AT3374" s="37"/>
      <c r="AU3374" s="37"/>
      <c r="AV3374" s="37"/>
      <c r="AW3374" s="37"/>
      <c r="AX3374" s="37"/>
      <c r="AY3374" s="37"/>
      <c r="AZ3374" s="37"/>
      <c r="BA3374" s="37"/>
      <c r="BB3374" s="37"/>
      <c r="BC3374" s="37"/>
      <c r="BD3374" s="37"/>
      <c r="BE3374" s="37"/>
      <c r="BF3374" s="37"/>
      <c r="BG3374" s="37"/>
      <c r="BH3374" s="37"/>
      <c r="BI3374" s="37"/>
      <c r="BJ3374" s="37"/>
      <c r="BK3374" s="37"/>
      <c r="BL3374" s="37"/>
      <c r="BM3374" s="37"/>
    </row>
    <row r="3375" spans="1:65" s="40" customFormat="1" ht="23.25" x14ac:dyDescent="0.35">
      <c r="A3375" s="37"/>
      <c r="B3375" s="37"/>
      <c r="C3375" s="41"/>
      <c r="D3375" s="38"/>
      <c r="E3375" s="57"/>
      <c r="F3375" s="42"/>
      <c r="G3375" s="43"/>
      <c r="H3375" s="37"/>
      <c r="I3375" s="37"/>
      <c r="J3375" s="38"/>
      <c r="K3375" s="37"/>
      <c r="L3375" s="38"/>
      <c r="M3375" s="39"/>
      <c r="P3375" s="37"/>
      <c r="Q3375" s="37"/>
      <c r="R3375" s="37"/>
      <c r="S3375" s="37"/>
      <c r="T3375" s="37"/>
      <c r="U3375" s="37"/>
      <c r="V3375" s="37"/>
      <c r="W3375" s="37"/>
      <c r="X3375" s="37"/>
      <c r="Y3375" s="37"/>
      <c r="Z3375" s="37"/>
      <c r="AA3375" s="37"/>
      <c r="AB3375" s="37"/>
      <c r="AC3375" s="37"/>
      <c r="AD3375" s="37"/>
      <c r="AE3375" s="37"/>
      <c r="AF3375" s="37"/>
      <c r="AG3375" s="37"/>
      <c r="AH3375" s="37"/>
      <c r="AI3375" s="37"/>
      <c r="AJ3375" s="37"/>
      <c r="AK3375" s="37"/>
      <c r="AL3375" s="37"/>
      <c r="AM3375" s="37"/>
      <c r="AN3375" s="37"/>
      <c r="AO3375" s="37"/>
      <c r="AP3375" s="37"/>
      <c r="AQ3375" s="37"/>
      <c r="AR3375" s="37"/>
      <c r="AS3375" s="37"/>
      <c r="AT3375" s="37"/>
      <c r="AU3375" s="37"/>
      <c r="AV3375" s="37"/>
      <c r="AW3375" s="37"/>
      <c r="AX3375" s="37"/>
      <c r="AY3375" s="37"/>
      <c r="AZ3375" s="37"/>
      <c r="BA3375" s="37"/>
      <c r="BB3375" s="37"/>
      <c r="BC3375" s="37"/>
      <c r="BD3375" s="37"/>
      <c r="BE3375" s="37"/>
      <c r="BF3375" s="37"/>
      <c r="BG3375" s="37"/>
      <c r="BH3375" s="37"/>
      <c r="BI3375" s="37"/>
      <c r="BJ3375" s="37"/>
      <c r="BK3375" s="37"/>
      <c r="BL3375" s="37"/>
      <c r="BM3375" s="37"/>
    </row>
    <row r="3376" spans="1:65" s="40" customFormat="1" ht="23.25" x14ac:dyDescent="0.35">
      <c r="A3376" s="37"/>
      <c r="B3376" s="37"/>
      <c r="C3376" s="41"/>
      <c r="D3376" s="38"/>
      <c r="E3376" s="57"/>
      <c r="F3376" s="42"/>
      <c r="G3376" s="43"/>
      <c r="H3376" s="37"/>
      <c r="I3376" s="37"/>
      <c r="J3376" s="38"/>
      <c r="K3376" s="37"/>
      <c r="L3376" s="38"/>
      <c r="M3376" s="39"/>
      <c r="P3376" s="37"/>
      <c r="Q3376" s="37"/>
      <c r="R3376" s="37"/>
      <c r="S3376" s="37"/>
      <c r="T3376" s="37"/>
      <c r="U3376" s="37"/>
      <c r="V3376" s="37"/>
      <c r="W3376" s="37"/>
      <c r="X3376" s="37"/>
      <c r="Y3376" s="37"/>
      <c r="Z3376" s="37"/>
      <c r="AA3376" s="37"/>
      <c r="AB3376" s="37"/>
      <c r="AC3376" s="37"/>
      <c r="AD3376" s="37"/>
      <c r="AE3376" s="37"/>
      <c r="AF3376" s="37"/>
      <c r="AG3376" s="37"/>
      <c r="AH3376" s="37"/>
      <c r="AI3376" s="37"/>
      <c r="AJ3376" s="37"/>
      <c r="AK3376" s="37"/>
      <c r="AL3376" s="37"/>
      <c r="AM3376" s="37"/>
      <c r="AN3376" s="37"/>
      <c r="AO3376" s="37"/>
      <c r="AP3376" s="37"/>
      <c r="AQ3376" s="37"/>
      <c r="AR3376" s="37"/>
      <c r="AS3376" s="37"/>
      <c r="AT3376" s="37"/>
      <c r="AU3376" s="37"/>
      <c r="AV3376" s="37"/>
      <c r="AW3376" s="37"/>
      <c r="AX3376" s="37"/>
      <c r="AY3376" s="37"/>
      <c r="AZ3376" s="37"/>
      <c r="BA3376" s="37"/>
      <c r="BB3376" s="37"/>
      <c r="BC3376" s="37"/>
      <c r="BD3376" s="37"/>
      <c r="BE3376" s="37"/>
      <c r="BF3376" s="37"/>
      <c r="BG3376" s="37"/>
      <c r="BH3376" s="37"/>
      <c r="BI3376" s="37"/>
      <c r="BJ3376" s="37"/>
      <c r="BK3376" s="37"/>
      <c r="BL3376" s="37"/>
      <c r="BM3376" s="37"/>
    </row>
    <row r="3377" spans="1:65" s="40" customFormat="1" ht="23.25" x14ac:dyDescent="0.35">
      <c r="A3377" s="37"/>
      <c r="B3377" s="37"/>
      <c r="C3377" s="41"/>
      <c r="D3377" s="38"/>
      <c r="E3377" s="57"/>
      <c r="F3377" s="42"/>
      <c r="G3377" s="43"/>
      <c r="H3377" s="37"/>
      <c r="I3377" s="37"/>
      <c r="J3377" s="38"/>
      <c r="K3377" s="37"/>
      <c r="L3377" s="38"/>
      <c r="M3377" s="39"/>
      <c r="P3377" s="37"/>
      <c r="Q3377" s="37"/>
      <c r="R3377" s="37"/>
      <c r="S3377" s="37"/>
      <c r="T3377" s="37"/>
      <c r="U3377" s="37"/>
      <c r="V3377" s="37"/>
      <c r="W3377" s="37"/>
      <c r="X3377" s="37"/>
      <c r="Y3377" s="37"/>
      <c r="Z3377" s="37"/>
      <c r="AA3377" s="37"/>
      <c r="AB3377" s="37"/>
      <c r="AC3377" s="37"/>
      <c r="AD3377" s="37"/>
      <c r="AE3377" s="37"/>
      <c r="AF3377" s="37"/>
      <c r="AG3377" s="37"/>
      <c r="AH3377" s="37"/>
      <c r="AI3377" s="37"/>
      <c r="AJ3377" s="37"/>
      <c r="AK3377" s="37"/>
      <c r="AL3377" s="37"/>
      <c r="AM3377" s="37"/>
      <c r="AN3377" s="37"/>
      <c r="AO3377" s="37"/>
      <c r="AP3377" s="37"/>
      <c r="AQ3377" s="37"/>
      <c r="AR3377" s="37"/>
      <c r="AS3377" s="37"/>
      <c r="AT3377" s="37"/>
      <c r="AU3377" s="37"/>
      <c r="AV3377" s="37"/>
      <c r="AW3377" s="37"/>
      <c r="AX3377" s="37"/>
      <c r="AY3377" s="37"/>
      <c r="AZ3377" s="37"/>
      <c r="BA3377" s="37"/>
      <c r="BB3377" s="37"/>
      <c r="BC3377" s="37"/>
      <c r="BD3377" s="37"/>
      <c r="BE3377" s="37"/>
      <c r="BF3377" s="37"/>
      <c r="BG3377" s="37"/>
      <c r="BH3377" s="37"/>
      <c r="BI3377" s="37"/>
      <c r="BJ3377" s="37"/>
      <c r="BK3377" s="37"/>
      <c r="BL3377" s="37"/>
      <c r="BM3377" s="37"/>
    </row>
    <row r="3378" spans="1:65" s="40" customFormat="1" ht="23.25" x14ac:dyDescent="0.35">
      <c r="A3378" s="37"/>
      <c r="B3378" s="37"/>
      <c r="C3378" s="41"/>
      <c r="D3378" s="38"/>
      <c r="E3378" s="57"/>
      <c r="F3378" s="42"/>
      <c r="G3378" s="43"/>
      <c r="H3378" s="37"/>
      <c r="I3378" s="37"/>
      <c r="J3378" s="38"/>
      <c r="K3378" s="37"/>
      <c r="L3378" s="38"/>
      <c r="M3378" s="39"/>
      <c r="P3378" s="37"/>
      <c r="Q3378" s="37"/>
      <c r="R3378" s="37"/>
      <c r="S3378" s="37"/>
      <c r="T3378" s="37"/>
      <c r="U3378" s="37"/>
      <c r="V3378" s="37"/>
      <c r="W3378" s="37"/>
      <c r="X3378" s="37"/>
      <c r="Y3378" s="37"/>
      <c r="Z3378" s="37"/>
      <c r="AA3378" s="37"/>
      <c r="AB3378" s="37"/>
      <c r="AC3378" s="37"/>
      <c r="AD3378" s="37"/>
      <c r="AE3378" s="37"/>
      <c r="AF3378" s="37"/>
      <c r="AG3378" s="37"/>
      <c r="AH3378" s="37"/>
      <c r="AI3378" s="37"/>
      <c r="AJ3378" s="37"/>
      <c r="AK3378" s="37"/>
      <c r="AL3378" s="37"/>
      <c r="AM3378" s="37"/>
      <c r="AN3378" s="37"/>
      <c r="AO3378" s="37"/>
      <c r="AP3378" s="37"/>
      <c r="AQ3378" s="37"/>
      <c r="AR3378" s="37"/>
      <c r="AS3378" s="37"/>
      <c r="AT3378" s="37"/>
      <c r="AU3378" s="37"/>
      <c r="AV3378" s="37"/>
      <c r="AW3378" s="37"/>
      <c r="AX3378" s="37"/>
      <c r="AY3378" s="37"/>
      <c r="AZ3378" s="37"/>
      <c r="BA3378" s="37"/>
      <c r="BB3378" s="37"/>
      <c r="BC3378" s="37"/>
      <c r="BD3378" s="37"/>
      <c r="BE3378" s="37"/>
      <c r="BF3378" s="37"/>
      <c r="BG3378" s="37"/>
      <c r="BH3378" s="37"/>
      <c r="BI3378" s="37"/>
      <c r="BJ3378" s="37"/>
      <c r="BK3378" s="37"/>
      <c r="BL3378" s="37"/>
      <c r="BM3378" s="37"/>
    </row>
    <row r="3379" spans="1:65" s="40" customFormat="1" ht="23.25" x14ac:dyDescent="0.35">
      <c r="A3379" s="37"/>
      <c r="B3379" s="37"/>
      <c r="C3379" s="41"/>
      <c r="D3379" s="38"/>
      <c r="E3379" s="57"/>
      <c r="F3379" s="42"/>
      <c r="G3379" s="43"/>
      <c r="H3379" s="37"/>
      <c r="I3379" s="37"/>
      <c r="J3379" s="38"/>
      <c r="K3379" s="37"/>
      <c r="L3379" s="38"/>
      <c r="M3379" s="39"/>
      <c r="P3379" s="37"/>
      <c r="Q3379" s="37"/>
      <c r="R3379" s="37"/>
      <c r="S3379" s="37"/>
      <c r="T3379" s="37"/>
      <c r="U3379" s="37"/>
      <c r="V3379" s="37"/>
      <c r="W3379" s="37"/>
      <c r="X3379" s="37"/>
      <c r="Y3379" s="37"/>
      <c r="Z3379" s="37"/>
      <c r="AA3379" s="37"/>
      <c r="AB3379" s="37"/>
      <c r="AC3379" s="37"/>
      <c r="AD3379" s="37"/>
      <c r="AE3379" s="37"/>
      <c r="AF3379" s="37"/>
      <c r="AG3379" s="37"/>
      <c r="AH3379" s="37"/>
      <c r="AI3379" s="37"/>
      <c r="AJ3379" s="37"/>
      <c r="AK3379" s="37"/>
      <c r="AL3379" s="37"/>
      <c r="AM3379" s="37"/>
      <c r="AN3379" s="37"/>
      <c r="AO3379" s="37"/>
      <c r="AP3379" s="37"/>
      <c r="AQ3379" s="37"/>
      <c r="AR3379" s="37"/>
      <c r="AS3379" s="37"/>
      <c r="AT3379" s="37"/>
      <c r="AU3379" s="37"/>
      <c r="AV3379" s="37"/>
      <c r="AW3379" s="37"/>
      <c r="AX3379" s="37"/>
      <c r="AY3379" s="37"/>
      <c r="AZ3379" s="37"/>
      <c r="BA3379" s="37"/>
      <c r="BB3379" s="37"/>
      <c r="BC3379" s="37"/>
      <c r="BD3379" s="37"/>
      <c r="BE3379" s="37"/>
      <c r="BF3379" s="37"/>
      <c r="BG3379" s="37"/>
      <c r="BH3379" s="37"/>
      <c r="BI3379" s="37"/>
      <c r="BJ3379" s="37"/>
      <c r="BK3379" s="37"/>
      <c r="BL3379" s="37"/>
      <c r="BM3379" s="37"/>
    </row>
    <row r="3380" spans="1:65" s="40" customFormat="1" ht="23.25" x14ac:dyDescent="0.35">
      <c r="A3380" s="37"/>
      <c r="B3380" s="37"/>
      <c r="C3380" s="41"/>
      <c r="D3380" s="38"/>
      <c r="E3380" s="57"/>
      <c r="F3380" s="42"/>
      <c r="G3380" s="43"/>
      <c r="H3380" s="37"/>
      <c r="I3380" s="37"/>
      <c r="J3380" s="38"/>
      <c r="K3380" s="37"/>
      <c r="L3380" s="38"/>
      <c r="M3380" s="39"/>
      <c r="P3380" s="37"/>
      <c r="Q3380" s="37"/>
      <c r="R3380" s="37"/>
      <c r="S3380" s="37"/>
      <c r="T3380" s="37"/>
      <c r="U3380" s="37"/>
      <c r="V3380" s="37"/>
      <c r="W3380" s="37"/>
      <c r="X3380" s="37"/>
      <c r="Y3380" s="37"/>
      <c r="Z3380" s="37"/>
      <c r="AA3380" s="37"/>
      <c r="AB3380" s="37"/>
      <c r="AC3380" s="37"/>
      <c r="AD3380" s="37"/>
      <c r="AE3380" s="37"/>
      <c r="AF3380" s="37"/>
      <c r="AG3380" s="37"/>
      <c r="AH3380" s="37"/>
      <c r="AI3380" s="37"/>
      <c r="AJ3380" s="37"/>
      <c r="AK3380" s="37"/>
      <c r="AL3380" s="37"/>
      <c r="AM3380" s="37"/>
      <c r="AN3380" s="37"/>
      <c r="AO3380" s="37"/>
      <c r="AP3380" s="37"/>
      <c r="AQ3380" s="37"/>
      <c r="AR3380" s="37"/>
      <c r="AS3380" s="37"/>
      <c r="AT3380" s="37"/>
      <c r="AU3380" s="37"/>
      <c r="AV3380" s="37"/>
      <c r="AW3380" s="37"/>
      <c r="AX3380" s="37"/>
      <c r="AY3380" s="37"/>
      <c r="AZ3380" s="37"/>
      <c r="BA3380" s="37"/>
      <c r="BB3380" s="37"/>
      <c r="BC3380" s="37"/>
      <c r="BD3380" s="37"/>
      <c r="BE3380" s="37"/>
      <c r="BF3380" s="37"/>
      <c r="BG3380" s="37"/>
      <c r="BH3380" s="37"/>
      <c r="BI3380" s="37"/>
      <c r="BJ3380" s="37"/>
      <c r="BK3380" s="37"/>
      <c r="BL3380" s="37"/>
      <c r="BM3380" s="37"/>
    </row>
    <row r="3381" spans="1:65" s="40" customFormat="1" ht="23.25" x14ac:dyDescent="0.35">
      <c r="A3381" s="37"/>
      <c r="B3381" s="37"/>
      <c r="C3381" s="41"/>
      <c r="D3381" s="38"/>
      <c r="E3381" s="57"/>
      <c r="F3381" s="42"/>
      <c r="G3381" s="43"/>
      <c r="H3381" s="37"/>
      <c r="I3381" s="37"/>
      <c r="J3381" s="38"/>
      <c r="K3381" s="37"/>
      <c r="L3381" s="38"/>
      <c r="M3381" s="39"/>
      <c r="P3381" s="37"/>
      <c r="Q3381" s="37"/>
      <c r="R3381" s="37"/>
      <c r="S3381" s="37"/>
      <c r="T3381" s="37"/>
      <c r="U3381" s="37"/>
      <c r="V3381" s="37"/>
      <c r="W3381" s="37"/>
      <c r="X3381" s="37"/>
      <c r="Y3381" s="37"/>
      <c r="Z3381" s="37"/>
      <c r="AA3381" s="37"/>
      <c r="AB3381" s="37"/>
      <c r="AC3381" s="37"/>
      <c r="AD3381" s="37"/>
      <c r="AE3381" s="37"/>
      <c r="AF3381" s="37"/>
      <c r="AG3381" s="37"/>
      <c r="AH3381" s="37"/>
      <c r="AI3381" s="37"/>
      <c r="AJ3381" s="37"/>
      <c r="AK3381" s="37"/>
      <c r="AL3381" s="37"/>
      <c r="AM3381" s="37"/>
      <c r="AN3381" s="37"/>
      <c r="AO3381" s="37"/>
      <c r="AP3381" s="37"/>
      <c r="AQ3381" s="37"/>
      <c r="AR3381" s="37"/>
      <c r="AS3381" s="37"/>
      <c r="AT3381" s="37"/>
      <c r="AU3381" s="37"/>
      <c r="AV3381" s="37"/>
      <c r="AW3381" s="37"/>
      <c r="AX3381" s="37"/>
      <c r="AY3381" s="37"/>
      <c r="AZ3381" s="37"/>
      <c r="BA3381" s="37"/>
      <c r="BB3381" s="37"/>
      <c r="BC3381" s="37"/>
      <c r="BD3381" s="37"/>
      <c r="BE3381" s="37"/>
      <c r="BF3381" s="37"/>
      <c r="BG3381" s="37"/>
      <c r="BH3381" s="37"/>
      <c r="BI3381" s="37"/>
      <c r="BJ3381" s="37"/>
      <c r="BK3381" s="37"/>
      <c r="BL3381" s="37"/>
      <c r="BM3381" s="37"/>
    </row>
    <row r="3382" spans="1:65" s="40" customFormat="1" ht="23.25" x14ac:dyDescent="0.35">
      <c r="A3382" s="37"/>
      <c r="B3382" s="37"/>
      <c r="C3382" s="41"/>
      <c r="D3382" s="38"/>
      <c r="E3382" s="57"/>
      <c r="F3382" s="42"/>
      <c r="G3382" s="43"/>
      <c r="H3382" s="37"/>
      <c r="I3382" s="37"/>
      <c r="J3382" s="38"/>
      <c r="K3382" s="37"/>
      <c r="L3382" s="38"/>
      <c r="M3382" s="39"/>
      <c r="P3382" s="37"/>
      <c r="Q3382" s="37"/>
      <c r="R3382" s="37"/>
      <c r="S3382" s="37"/>
      <c r="T3382" s="37"/>
      <c r="U3382" s="37"/>
      <c r="V3382" s="37"/>
      <c r="W3382" s="37"/>
      <c r="X3382" s="37"/>
      <c r="Y3382" s="37"/>
      <c r="Z3382" s="37"/>
      <c r="AA3382" s="37"/>
      <c r="AB3382" s="37"/>
      <c r="AC3382" s="37"/>
      <c r="AD3382" s="37"/>
      <c r="AE3382" s="37"/>
      <c r="AF3382" s="37"/>
      <c r="AG3382" s="37"/>
      <c r="AH3382" s="37"/>
      <c r="AI3382" s="37"/>
      <c r="AJ3382" s="37"/>
      <c r="AK3382" s="37"/>
      <c r="AL3382" s="37"/>
      <c r="AM3382" s="37"/>
      <c r="AN3382" s="37"/>
      <c r="AO3382" s="37"/>
      <c r="AP3382" s="37"/>
      <c r="AQ3382" s="37"/>
      <c r="AR3382" s="37"/>
      <c r="AS3382" s="37"/>
      <c r="AT3382" s="37"/>
      <c r="AU3382" s="37"/>
      <c r="AV3382" s="37"/>
      <c r="AW3382" s="37"/>
      <c r="AX3382" s="37"/>
      <c r="AY3382" s="37"/>
      <c r="AZ3382" s="37"/>
      <c r="BA3382" s="37"/>
      <c r="BB3382" s="37"/>
      <c r="BC3382" s="37"/>
      <c r="BD3382" s="37"/>
      <c r="BE3382" s="37"/>
      <c r="BF3382" s="37"/>
      <c r="BG3382" s="37"/>
      <c r="BH3382" s="37"/>
      <c r="BI3382" s="37"/>
      <c r="BJ3382" s="37"/>
      <c r="BK3382" s="37"/>
      <c r="BL3382" s="37"/>
      <c r="BM3382" s="37"/>
    </row>
    <row r="3383" spans="1:65" s="40" customFormat="1" ht="23.25" x14ac:dyDescent="0.35">
      <c r="A3383" s="37"/>
      <c r="B3383" s="37"/>
      <c r="C3383" s="41"/>
      <c r="D3383" s="38"/>
      <c r="E3383" s="57"/>
      <c r="F3383" s="42"/>
      <c r="G3383" s="43"/>
      <c r="H3383" s="37"/>
      <c r="I3383" s="37"/>
      <c r="J3383" s="38"/>
      <c r="K3383" s="37"/>
      <c r="L3383" s="38"/>
      <c r="M3383" s="39"/>
      <c r="P3383" s="37"/>
      <c r="Q3383" s="37"/>
      <c r="R3383" s="37"/>
      <c r="S3383" s="37"/>
      <c r="T3383" s="37"/>
      <c r="U3383" s="37"/>
      <c r="V3383" s="37"/>
      <c r="W3383" s="37"/>
      <c r="X3383" s="37"/>
      <c r="Y3383" s="37"/>
      <c r="Z3383" s="37"/>
      <c r="AA3383" s="37"/>
      <c r="AB3383" s="37"/>
      <c r="AC3383" s="37"/>
      <c r="AD3383" s="37"/>
      <c r="AE3383" s="37"/>
      <c r="AF3383" s="37"/>
      <c r="AG3383" s="37"/>
      <c r="AH3383" s="37"/>
      <c r="AI3383" s="37"/>
      <c r="AJ3383" s="37"/>
      <c r="AK3383" s="37"/>
      <c r="AL3383" s="37"/>
      <c r="AM3383" s="37"/>
      <c r="AN3383" s="37"/>
      <c r="AO3383" s="37"/>
      <c r="AP3383" s="37"/>
      <c r="AQ3383" s="37"/>
      <c r="AR3383" s="37"/>
      <c r="AS3383" s="37"/>
      <c r="AT3383" s="37"/>
      <c r="AU3383" s="37"/>
      <c r="AV3383" s="37"/>
      <c r="AW3383" s="37"/>
      <c r="AX3383" s="37"/>
      <c r="AY3383" s="37"/>
      <c r="AZ3383" s="37"/>
      <c r="BA3383" s="37"/>
      <c r="BB3383" s="37"/>
      <c r="BC3383" s="37"/>
      <c r="BD3383" s="37"/>
      <c r="BE3383" s="37"/>
      <c r="BF3383" s="37"/>
      <c r="BG3383" s="37"/>
      <c r="BH3383" s="37"/>
      <c r="BI3383" s="37"/>
      <c r="BJ3383" s="37"/>
      <c r="BK3383" s="37"/>
      <c r="BL3383" s="37"/>
      <c r="BM3383" s="37"/>
    </row>
    <row r="3384" spans="1:65" s="40" customFormat="1" ht="23.25" x14ac:dyDescent="0.35">
      <c r="A3384" s="37"/>
      <c r="B3384" s="37"/>
      <c r="C3384" s="41"/>
      <c r="D3384" s="38"/>
      <c r="E3384" s="57"/>
      <c r="F3384" s="42"/>
      <c r="G3384" s="43"/>
      <c r="H3384" s="37"/>
      <c r="I3384" s="37"/>
      <c r="J3384" s="38"/>
      <c r="K3384" s="37"/>
      <c r="L3384" s="38"/>
      <c r="M3384" s="39"/>
      <c r="P3384" s="37"/>
      <c r="Q3384" s="37"/>
      <c r="R3384" s="37"/>
      <c r="S3384" s="37"/>
      <c r="T3384" s="37"/>
      <c r="U3384" s="37"/>
      <c r="V3384" s="37"/>
      <c r="W3384" s="37"/>
      <c r="X3384" s="37"/>
      <c r="Y3384" s="37"/>
      <c r="Z3384" s="37"/>
      <c r="AA3384" s="37"/>
      <c r="AB3384" s="37"/>
      <c r="AC3384" s="37"/>
      <c r="AD3384" s="37"/>
      <c r="AE3384" s="37"/>
      <c r="AF3384" s="37"/>
      <c r="AG3384" s="37"/>
      <c r="AH3384" s="37"/>
      <c r="AI3384" s="37"/>
      <c r="AJ3384" s="37"/>
      <c r="AK3384" s="37"/>
      <c r="AL3384" s="37"/>
      <c r="AM3384" s="37"/>
      <c r="AN3384" s="37"/>
      <c r="AO3384" s="37"/>
      <c r="AP3384" s="37"/>
      <c r="AQ3384" s="37"/>
      <c r="AR3384" s="37"/>
      <c r="AS3384" s="37"/>
      <c r="AT3384" s="37"/>
      <c r="AU3384" s="37"/>
      <c r="AV3384" s="37"/>
      <c r="AW3384" s="37"/>
      <c r="AX3384" s="37"/>
      <c r="AY3384" s="37"/>
      <c r="AZ3384" s="37"/>
      <c r="BA3384" s="37"/>
      <c r="BB3384" s="37"/>
      <c r="BC3384" s="37"/>
      <c r="BD3384" s="37"/>
      <c r="BE3384" s="37"/>
      <c r="BF3384" s="37"/>
      <c r="BG3384" s="37"/>
      <c r="BH3384" s="37"/>
      <c r="BI3384" s="37"/>
      <c r="BJ3384" s="37"/>
      <c r="BK3384" s="37"/>
      <c r="BL3384" s="37"/>
      <c r="BM3384" s="37"/>
    </row>
    <row r="3385" spans="1:65" s="40" customFormat="1" ht="23.25" x14ac:dyDescent="0.35">
      <c r="A3385" s="37"/>
      <c r="B3385" s="37"/>
      <c r="C3385" s="41"/>
      <c r="D3385" s="38"/>
      <c r="E3385" s="57"/>
      <c r="F3385" s="42"/>
      <c r="G3385" s="43"/>
      <c r="H3385" s="37"/>
      <c r="I3385" s="37"/>
      <c r="J3385" s="38"/>
      <c r="K3385" s="37"/>
      <c r="L3385" s="38"/>
      <c r="M3385" s="39"/>
      <c r="P3385" s="37"/>
      <c r="Q3385" s="37"/>
      <c r="R3385" s="37"/>
      <c r="S3385" s="37"/>
      <c r="T3385" s="37"/>
      <c r="U3385" s="37"/>
      <c r="V3385" s="37"/>
      <c r="W3385" s="37"/>
      <c r="X3385" s="37"/>
      <c r="Y3385" s="37"/>
      <c r="Z3385" s="37"/>
      <c r="AA3385" s="37"/>
      <c r="AB3385" s="37"/>
      <c r="AC3385" s="37"/>
      <c r="AD3385" s="37"/>
      <c r="AE3385" s="37"/>
      <c r="AF3385" s="37"/>
      <c r="AG3385" s="37"/>
      <c r="AH3385" s="37"/>
      <c r="AI3385" s="37"/>
      <c r="AJ3385" s="37"/>
      <c r="AK3385" s="37"/>
      <c r="AL3385" s="37"/>
      <c r="AM3385" s="37"/>
      <c r="AN3385" s="37"/>
      <c r="AO3385" s="37"/>
      <c r="AP3385" s="37"/>
      <c r="AQ3385" s="37"/>
      <c r="AR3385" s="37"/>
      <c r="AS3385" s="37"/>
      <c r="AT3385" s="37"/>
      <c r="AU3385" s="37"/>
      <c r="AV3385" s="37"/>
      <c r="AW3385" s="37"/>
      <c r="AX3385" s="37"/>
      <c r="AY3385" s="37"/>
      <c r="AZ3385" s="37"/>
      <c r="BA3385" s="37"/>
      <c r="BB3385" s="37"/>
      <c r="BC3385" s="37"/>
      <c r="BD3385" s="37"/>
      <c r="BE3385" s="37"/>
      <c r="BF3385" s="37"/>
      <c r="BG3385" s="37"/>
      <c r="BH3385" s="37"/>
      <c r="BI3385" s="37"/>
      <c r="BJ3385" s="37"/>
      <c r="BK3385" s="37"/>
      <c r="BL3385" s="37"/>
      <c r="BM3385" s="37"/>
    </row>
    <row r="3386" spans="1:65" s="40" customFormat="1" ht="23.25" x14ac:dyDescent="0.35">
      <c r="A3386" s="37"/>
      <c r="B3386" s="37"/>
      <c r="C3386" s="41"/>
      <c r="D3386" s="38"/>
      <c r="E3386" s="57"/>
      <c r="F3386" s="42"/>
      <c r="G3386" s="43"/>
      <c r="H3386" s="37"/>
      <c r="I3386" s="37"/>
      <c r="J3386" s="38"/>
      <c r="K3386" s="37"/>
      <c r="L3386" s="38"/>
      <c r="M3386" s="39"/>
      <c r="P3386" s="37"/>
      <c r="Q3386" s="37"/>
      <c r="R3386" s="37"/>
      <c r="S3386" s="37"/>
      <c r="T3386" s="37"/>
      <c r="U3386" s="37"/>
      <c r="V3386" s="37"/>
      <c r="W3386" s="37"/>
      <c r="X3386" s="37"/>
      <c r="Y3386" s="37"/>
      <c r="Z3386" s="37"/>
      <c r="AA3386" s="37"/>
      <c r="AB3386" s="37"/>
      <c r="AC3386" s="37"/>
      <c r="AD3386" s="37"/>
      <c r="AE3386" s="37"/>
      <c r="AF3386" s="37"/>
      <c r="AG3386" s="37"/>
      <c r="AH3386" s="37"/>
      <c r="AI3386" s="37"/>
      <c r="AJ3386" s="37"/>
      <c r="AK3386" s="37"/>
      <c r="AL3386" s="37"/>
      <c r="AM3386" s="37"/>
      <c r="AN3386" s="37"/>
      <c r="AO3386" s="37"/>
      <c r="AP3386" s="37"/>
      <c r="AQ3386" s="37"/>
      <c r="AR3386" s="37"/>
      <c r="AS3386" s="37"/>
      <c r="AT3386" s="37"/>
      <c r="AU3386" s="37"/>
      <c r="AV3386" s="37"/>
      <c r="AW3386" s="37"/>
      <c r="AX3386" s="37"/>
      <c r="AY3386" s="37"/>
      <c r="AZ3386" s="37"/>
      <c r="BA3386" s="37"/>
      <c r="BB3386" s="37"/>
      <c r="BC3386" s="37"/>
      <c r="BD3386" s="37"/>
      <c r="BE3386" s="37"/>
      <c r="BF3386" s="37"/>
      <c r="BG3386" s="37"/>
      <c r="BH3386" s="37"/>
      <c r="BI3386" s="37"/>
      <c r="BJ3386" s="37"/>
      <c r="BK3386" s="37"/>
      <c r="BL3386" s="37"/>
      <c r="BM3386" s="37"/>
    </row>
    <row r="3387" spans="1:65" s="40" customFormat="1" ht="23.25" x14ac:dyDescent="0.35">
      <c r="A3387" s="37"/>
      <c r="B3387" s="37"/>
      <c r="C3387" s="41"/>
      <c r="D3387" s="38"/>
      <c r="E3387" s="57"/>
      <c r="F3387" s="42"/>
      <c r="G3387" s="43"/>
      <c r="H3387" s="37"/>
      <c r="I3387" s="37"/>
      <c r="J3387" s="38"/>
      <c r="K3387" s="37"/>
      <c r="L3387" s="38"/>
      <c r="M3387" s="39"/>
      <c r="P3387" s="37"/>
      <c r="Q3387" s="37"/>
      <c r="R3387" s="37"/>
      <c r="S3387" s="37"/>
      <c r="T3387" s="37"/>
      <c r="U3387" s="37"/>
      <c r="V3387" s="37"/>
      <c r="W3387" s="37"/>
      <c r="X3387" s="37"/>
      <c r="Y3387" s="37"/>
      <c r="Z3387" s="37"/>
      <c r="AA3387" s="37"/>
      <c r="AB3387" s="37"/>
      <c r="AC3387" s="37"/>
      <c r="AD3387" s="37"/>
      <c r="AE3387" s="37"/>
      <c r="AF3387" s="37"/>
      <c r="AG3387" s="37"/>
      <c r="AH3387" s="37"/>
      <c r="AI3387" s="37"/>
      <c r="AJ3387" s="37"/>
      <c r="AK3387" s="37"/>
      <c r="AL3387" s="37"/>
      <c r="AM3387" s="37"/>
      <c r="AN3387" s="37"/>
      <c r="AO3387" s="37"/>
      <c r="AP3387" s="37"/>
      <c r="AQ3387" s="37"/>
      <c r="AR3387" s="37"/>
      <c r="AS3387" s="37"/>
      <c r="AT3387" s="37"/>
      <c r="AU3387" s="37"/>
      <c r="AV3387" s="37"/>
      <c r="AW3387" s="37"/>
      <c r="AX3387" s="37"/>
      <c r="AY3387" s="37"/>
      <c r="AZ3387" s="37"/>
      <c r="BA3387" s="37"/>
      <c r="BB3387" s="37"/>
      <c r="BC3387" s="37"/>
      <c r="BD3387" s="37"/>
      <c r="BE3387" s="37"/>
      <c r="BF3387" s="37"/>
      <c r="BG3387" s="37"/>
      <c r="BH3387" s="37"/>
      <c r="BI3387" s="37"/>
      <c r="BJ3387" s="37"/>
      <c r="BK3387" s="37"/>
      <c r="BL3387" s="37"/>
      <c r="BM3387" s="37"/>
    </row>
    <row r="3388" spans="1:65" s="40" customFormat="1" ht="23.25" x14ac:dyDescent="0.35">
      <c r="A3388" s="37"/>
      <c r="B3388" s="37"/>
      <c r="C3388" s="41"/>
      <c r="D3388" s="38"/>
      <c r="E3388" s="57"/>
      <c r="F3388" s="42"/>
      <c r="G3388" s="43"/>
      <c r="H3388" s="37"/>
      <c r="I3388" s="37"/>
      <c r="J3388" s="38"/>
      <c r="K3388" s="37"/>
      <c r="L3388" s="38"/>
      <c r="M3388" s="39"/>
      <c r="P3388" s="37"/>
      <c r="Q3388" s="37"/>
      <c r="R3388" s="37"/>
      <c r="S3388" s="37"/>
      <c r="T3388" s="37"/>
      <c r="U3388" s="37"/>
      <c r="V3388" s="37"/>
      <c r="W3388" s="37"/>
      <c r="X3388" s="37"/>
      <c r="Y3388" s="37"/>
      <c r="Z3388" s="37"/>
      <c r="AA3388" s="37"/>
      <c r="AB3388" s="37"/>
      <c r="AC3388" s="37"/>
      <c r="AD3388" s="37"/>
      <c r="AE3388" s="37"/>
      <c r="AF3388" s="37"/>
      <c r="AG3388" s="37"/>
      <c r="AH3388" s="37"/>
      <c r="AI3388" s="37"/>
      <c r="AJ3388" s="37"/>
      <c r="AK3388" s="37"/>
      <c r="AL3388" s="37"/>
      <c r="AM3388" s="37"/>
      <c r="AN3388" s="37"/>
      <c r="AO3388" s="37"/>
      <c r="AP3388" s="37"/>
      <c r="AQ3388" s="37"/>
      <c r="AR3388" s="37"/>
      <c r="AS3388" s="37"/>
      <c r="AT3388" s="37"/>
      <c r="AU3388" s="37"/>
      <c r="AV3388" s="37"/>
      <c r="AW3388" s="37"/>
      <c r="AX3388" s="37"/>
      <c r="AY3388" s="37"/>
      <c r="AZ3388" s="37"/>
      <c r="BA3388" s="37"/>
      <c r="BB3388" s="37"/>
      <c r="BC3388" s="37"/>
      <c r="BD3388" s="37"/>
      <c r="BE3388" s="37"/>
      <c r="BF3388" s="37"/>
      <c r="BG3388" s="37"/>
      <c r="BH3388" s="37"/>
      <c r="BI3388" s="37"/>
      <c r="BJ3388" s="37"/>
      <c r="BK3388" s="37"/>
      <c r="BL3388" s="37"/>
      <c r="BM3388" s="37"/>
    </row>
    <row r="3389" spans="1:65" s="40" customFormat="1" ht="23.25" x14ac:dyDescent="0.35">
      <c r="A3389" s="37"/>
      <c r="B3389" s="37"/>
      <c r="C3389" s="41"/>
      <c r="D3389" s="38"/>
      <c r="E3389" s="57"/>
      <c r="F3389" s="42"/>
      <c r="G3389" s="43"/>
      <c r="H3389" s="37"/>
      <c r="I3389" s="37"/>
      <c r="J3389" s="38"/>
      <c r="K3389" s="37"/>
      <c r="L3389" s="38"/>
      <c r="M3389" s="39"/>
      <c r="P3389" s="37"/>
      <c r="Q3389" s="37"/>
      <c r="R3389" s="37"/>
      <c r="S3389" s="37"/>
      <c r="T3389" s="37"/>
      <c r="U3389" s="37"/>
      <c r="V3389" s="37"/>
      <c r="W3389" s="37"/>
      <c r="X3389" s="37"/>
      <c r="Y3389" s="37"/>
      <c r="Z3389" s="37"/>
      <c r="AA3389" s="37"/>
      <c r="AB3389" s="37"/>
      <c r="AC3389" s="37"/>
      <c r="AD3389" s="37"/>
      <c r="AE3389" s="37"/>
      <c r="AF3389" s="37"/>
      <c r="AG3389" s="37"/>
      <c r="AH3389" s="37"/>
      <c r="AI3389" s="37"/>
      <c r="AJ3389" s="37"/>
      <c r="AK3389" s="37"/>
      <c r="AL3389" s="37"/>
      <c r="AM3389" s="37"/>
      <c r="AN3389" s="37"/>
      <c r="AO3389" s="37"/>
      <c r="AP3389" s="37"/>
      <c r="AQ3389" s="37"/>
      <c r="AR3389" s="37"/>
      <c r="AS3389" s="37"/>
      <c r="AT3389" s="37"/>
      <c r="AU3389" s="37"/>
      <c r="AV3389" s="37"/>
      <c r="AW3389" s="37"/>
      <c r="AX3389" s="37"/>
      <c r="AY3389" s="37"/>
      <c r="AZ3389" s="37"/>
      <c r="BA3389" s="37"/>
      <c r="BB3389" s="37"/>
      <c r="BC3389" s="37"/>
      <c r="BD3389" s="37"/>
      <c r="BE3389" s="37"/>
      <c r="BF3389" s="37"/>
      <c r="BG3389" s="37"/>
      <c r="BH3389" s="37"/>
      <c r="BI3389" s="37"/>
      <c r="BJ3389" s="37"/>
      <c r="BK3389" s="37"/>
      <c r="BL3389" s="37"/>
      <c r="BM3389" s="37"/>
    </row>
    <row r="3390" spans="1:65" s="40" customFormat="1" ht="23.25" x14ac:dyDescent="0.35">
      <c r="A3390" s="37"/>
      <c r="B3390" s="37"/>
      <c r="C3390" s="41"/>
      <c r="D3390" s="38"/>
      <c r="E3390" s="57"/>
      <c r="F3390" s="42"/>
      <c r="G3390" s="43"/>
      <c r="H3390" s="37"/>
      <c r="I3390" s="37"/>
      <c r="J3390" s="38"/>
      <c r="K3390" s="37"/>
      <c r="L3390" s="38"/>
      <c r="M3390" s="39"/>
      <c r="P3390" s="37"/>
      <c r="Q3390" s="37"/>
      <c r="R3390" s="37"/>
      <c r="S3390" s="37"/>
      <c r="T3390" s="37"/>
      <c r="U3390" s="37"/>
      <c r="V3390" s="37"/>
      <c r="W3390" s="37"/>
      <c r="X3390" s="37"/>
      <c r="Y3390" s="37"/>
      <c r="Z3390" s="37"/>
      <c r="AA3390" s="37"/>
      <c r="AB3390" s="37"/>
      <c r="AC3390" s="37"/>
      <c r="AD3390" s="37"/>
      <c r="AE3390" s="37"/>
      <c r="AF3390" s="37"/>
      <c r="AG3390" s="37"/>
      <c r="AH3390" s="37"/>
      <c r="AI3390" s="37"/>
      <c r="AJ3390" s="37"/>
      <c r="AK3390" s="37"/>
      <c r="AL3390" s="37"/>
      <c r="AM3390" s="37"/>
      <c r="AN3390" s="37"/>
      <c r="AO3390" s="37"/>
      <c r="AP3390" s="37"/>
      <c r="AQ3390" s="37"/>
      <c r="AR3390" s="37"/>
      <c r="AS3390" s="37"/>
      <c r="AT3390" s="37"/>
      <c r="AU3390" s="37"/>
      <c r="AV3390" s="37"/>
      <c r="AW3390" s="37"/>
      <c r="AX3390" s="37"/>
      <c r="AY3390" s="37"/>
      <c r="AZ3390" s="37"/>
      <c r="BA3390" s="37"/>
      <c r="BB3390" s="37"/>
      <c r="BC3390" s="37"/>
      <c r="BD3390" s="37"/>
      <c r="BE3390" s="37"/>
      <c r="BF3390" s="37"/>
      <c r="BG3390" s="37"/>
      <c r="BH3390" s="37"/>
      <c r="BI3390" s="37"/>
      <c r="BJ3390" s="37"/>
      <c r="BK3390" s="37"/>
      <c r="BL3390" s="37"/>
      <c r="BM3390" s="37"/>
    </row>
    <row r="3391" spans="1:65" s="40" customFormat="1" ht="23.25" x14ac:dyDescent="0.35">
      <c r="A3391" s="37"/>
      <c r="B3391" s="37"/>
      <c r="C3391" s="41"/>
      <c r="D3391" s="38"/>
      <c r="E3391" s="57"/>
      <c r="F3391" s="42"/>
      <c r="G3391" s="43"/>
      <c r="H3391" s="37"/>
      <c r="I3391" s="37"/>
      <c r="J3391" s="38"/>
      <c r="K3391" s="37"/>
      <c r="L3391" s="38"/>
      <c r="M3391" s="39"/>
      <c r="P3391" s="37"/>
      <c r="Q3391" s="37"/>
      <c r="R3391" s="37"/>
      <c r="S3391" s="37"/>
      <c r="T3391" s="37"/>
      <c r="U3391" s="37"/>
      <c r="V3391" s="37"/>
      <c r="W3391" s="37"/>
      <c r="X3391" s="37"/>
      <c r="Y3391" s="37"/>
      <c r="Z3391" s="37"/>
      <c r="AA3391" s="37"/>
      <c r="AB3391" s="37"/>
      <c r="AC3391" s="37"/>
      <c r="AD3391" s="37"/>
      <c r="AE3391" s="37"/>
      <c r="AF3391" s="37"/>
      <c r="AG3391" s="37"/>
      <c r="AH3391" s="37"/>
      <c r="AI3391" s="37"/>
      <c r="AJ3391" s="37"/>
      <c r="AK3391" s="37"/>
      <c r="AL3391" s="37"/>
      <c r="AM3391" s="37"/>
      <c r="AN3391" s="37"/>
      <c r="AO3391" s="37"/>
      <c r="AP3391" s="37"/>
      <c r="AQ3391" s="37"/>
      <c r="AR3391" s="37"/>
      <c r="AS3391" s="37"/>
      <c r="AT3391" s="37"/>
      <c r="AU3391" s="37"/>
      <c r="AV3391" s="37"/>
      <c r="AW3391" s="37"/>
      <c r="AX3391" s="37"/>
      <c r="AY3391" s="37"/>
      <c r="AZ3391" s="37"/>
      <c r="BA3391" s="37"/>
      <c r="BB3391" s="37"/>
      <c r="BC3391" s="37"/>
      <c r="BD3391" s="37"/>
      <c r="BE3391" s="37"/>
      <c r="BF3391" s="37"/>
      <c r="BG3391" s="37"/>
      <c r="BH3391" s="37"/>
      <c r="BI3391" s="37"/>
      <c r="BJ3391" s="37"/>
      <c r="BK3391" s="37"/>
      <c r="BL3391" s="37"/>
      <c r="BM3391" s="37"/>
    </row>
    <row r="3392" spans="1:65" s="40" customFormat="1" ht="23.25" x14ac:dyDescent="0.35">
      <c r="A3392" s="37"/>
      <c r="B3392" s="37"/>
      <c r="C3392" s="41"/>
      <c r="D3392" s="38"/>
      <c r="E3392" s="57"/>
      <c r="F3392" s="42"/>
      <c r="G3392" s="43"/>
      <c r="H3392" s="37"/>
      <c r="I3392" s="37"/>
      <c r="J3392" s="38"/>
      <c r="K3392" s="37"/>
      <c r="L3392" s="38"/>
      <c r="M3392" s="39"/>
      <c r="P3392" s="37"/>
      <c r="Q3392" s="37"/>
      <c r="R3392" s="37"/>
      <c r="S3392" s="37"/>
      <c r="T3392" s="37"/>
      <c r="U3392" s="37"/>
      <c r="V3392" s="37"/>
      <c r="W3392" s="37"/>
      <c r="X3392" s="37"/>
      <c r="Y3392" s="37"/>
      <c r="Z3392" s="37"/>
      <c r="AA3392" s="37"/>
      <c r="AB3392" s="37"/>
      <c r="AC3392" s="37"/>
      <c r="AD3392" s="37"/>
      <c r="AE3392" s="37"/>
      <c r="AF3392" s="37"/>
      <c r="AG3392" s="37"/>
      <c r="AH3392" s="37"/>
      <c r="AI3392" s="37"/>
      <c r="AJ3392" s="37"/>
      <c r="AK3392" s="37"/>
      <c r="AL3392" s="37"/>
      <c r="AM3392" s="37"/>
      <c r="AN3392" s="37"/>
      <c r="AO3392" s="37"/>
      <c r="AP3392" s="37"/>
      <c r="AQ3392" s="37"/>
      <c r="AR3392" s="37"/>
      <c r="AS3392" s="37"/>
      <c r="AT3392" s="37"/>
      <c r="AU3392" s="37"/>
      <c r="AV3392" s="37"/>
      <c r="AW3392" s="37"/>
      <c r="AX3392" s="37"/>
      <c r="AY3392" s="37"/>
      <c r="AZ3392" s="37"/>
      <c r="BA3392" s="37"/>
      <c r="BB3392" s="37"/>
      <c r="BC3392" s="37"/>
      <c r="BD3392" s="37"/>
      <c r="BE3392" s="37"/>
      <c r="BF3392" s="37"/>
      <c r="BG3392" s="37"/>
      <c r="BH3392" s="37"/>
      <c r="BI3392" s="37"/>
      <c r="BJ3392" s="37"/>
      <c r="BK3392" s="37"/>
      <c r="BL3392" s="37"/>
      <c r="BM3392" s="37"/>
    </row>
    <row r="3393" spans="1:65" s="40" customFormat="1" ht="23.25" x14ac:dyDescent="0.35">
      <c r="A3393" s="37"/>
      <c r="B3393" s="37"/>
      <c r="C3393" s="41"/>
      <c r="D3393" s="38"/>
      <c r="E3393" s="57"/>
      <c r="F3393" s="42"/>
      <c r="G3393" s="43"/>
      <c r="H3393" s="37"/>
      <c r="I3393" s="37"/>
      <c r="J3393" s="38"/>
      <c r="K3393" s="37"/>
      <c r="L3393" s="38"/>
      <c r="M3393" s="39"/>
      <c r="P3393" s="37"/>
      <c r="Q3393" s="37"/>
      <c r="R3393" s="37"/>
      <c r="S3393" s="37"/>
      <c r="T3393" s="37"/>
      <c r="U3393" s="37"/>
      <c r="V3393" s="37"/>
      <c r="W3393" s="37"/>
      <c r="X3393" s="37"/>
      <c r="Y3393" s="37"/>
      <c r="Z3393" s="37"/>
      <c r="AA3393" s="37"/>
      <c r="AB3393" s="37"/>
      <c r="AC3393" s="37"/>
      <c r="AD3393" s="37"/>
      <c r="AE3393" s="37"/>
      <c r="AF3393" s="37"/>
      <c r="AG3393" s="37"/>
      <c r="AH3393" s="37"/>
      <c r="AI3393" s="37"/>
      <c r="AJ3393" s="37"/>
      <c r="AK3393" s="37"/>
      <c r="AL3393" s="37"/>
      <c r="AM3393" s="37"/>
      <c r="AN3393" s="37"/>
      <c r="AO3393" s="37"/>
      <c r="AP3393" s="37"/>
      <c r="AQ3393" s="37"/>
      <c r="AR3393" s="37"/>
      <c r="AS3393" s="37"/>
      <c r="AT3393" s="37"/>
      <c r="AU3393" s="37"/>
      <c r="AV3393" s="37"/>
      <c r="AW3393" s="37"/>
      <c r="AX3393" s="37"/>
      <c r="AY3393" s="37"/>
      <c r="AZ3393" s="37"/>
      <c r="BA3393" s="37"/>
      <c r="BB3393" s="37"/>
      <c r="BC3393" s="37"/>
      <c r="BD3393" s="37"/>
      <c r="BE3393" s="37"/>
      <c r="BF3393" s="37"/>
      <c r="BG3393" s="37"/>
      <c r="BH3393" s="37"/>
      <c r="BI3393" s="37"/>
      <c r="BJ3393" s="37"/>
      <c r="BK3393" s="37"/>
      <c r="BL3393" s="37"/>
      <c r="BM3393" s="37"/>
    </row>
    <row r="3394" spans="1:65" s="40" customFormat="1" ht="23.25" x14ac:dyDescent="0.35">
      <c r="A3394" s="37"/>
      <c r="B3394" s="37"/>
      <c r="C3394" s="41"/>
      <c r="D3394" s="38"/>
      <c r="E3394" s="57"/>
      <c r="F3394" s="42"/>
      <c r="G3394" s="43"/>
      <c r="H3394" s="37"/>
      <c r="I3394" s="37"/>
      <c r="J3394" s="38"/>
      <c r="K3394" s="37"/>
      <c r="L3394" s="38"/>
      <c r="M3394" s="39"/>
      <c r="P3394" s="37"/>
      <c r="Q3394" s="37"/>
      <c r="R3394" s="37"/>
      <c r="S3394" s="37"/>
      <c r="T3394" s="37"/>
      <c r="U3394" s="37"/>
      <c r="V3394" s="37"/>
      <c r="W3394" s="37"/>
      <c r="X3394" s="37"/>
      <c r="Y3394" s="37"/>
      <c r="Z3394" s="37"/>
      <c r="AA3394" s="37"/>
      <c r="AB3394" s="37"/>
      <c r="AC3394" s="37"/>
      <c r="AD3394" s="37"/>
      <c r="AE3394" s="37"/>
      <c r="AF3394" s="37"/>
      <c r="AG3394" s="37"/>
      <c r="AH3394" s="37"/>
      <c r="AI3394" s="37"/>
      <c r="AJ3394" s="37"/>
      <c r="AK3394" s="37"/>
      <c r="AL3394" s="37"/>
      <c r="AM3394" s="37"/>
      <c r="AN3394" s="37"/>
      <c r="AO3394" s="37"/>
      <c r="AP3394" s="37"/>
      <c r="AQ3394" s="37"/>
      <c r="AR3394" s="37"/>
      <c r="AS3394" s="37"/>
      <c r="AT3394" s="37"/>
      <c r="AU3394" s="37"/>
      <c r="AV3394" s="37"/>
      <c r="AW3394" s="37"/>
      <c r="AX3394" s="37"/>
      <c r="AY3394" s="37"/>
      <c r="AZ3394" s="37"/>
      <c r="BA3394" s="37"/>
      <c r="BB3394" s="37"/>
      <c r="BC3394" s="37"/>
      <c r="BD3394" s="37"/>
      <c r="BE3394" s="37"/>
      <c r="BF3394" s="37"/>
      <c r="BG3394" s="37"/>
      <c r="BH3394" s="37"/>
      <c r="BI3394" s="37"/>
      <c r="BJ3394" s="37"/>
      <c r="BK3394" s="37"/>
      <c r="BL3394" s="37"/>
      <c r="BM3394" s="37"/>
    </row>
    <row r="3395" spans="1:65" s="40" customFormat="1" ht="23.25" x14ac:dyDescent="0.35">
      <c r="A3395" s="37"/>
      <c r="B3395" s="37"/>
      <c r="C3395" s="41"/>
      <c r="D3395" s="38"/>
      <c r="E3395" s="57"/>
      <c r="F3395" s="42"/>
      <c r="G3395" s="43"/>
      <c r="H3395" s="37"/>
      <c r="I3395" s="37"/>
      <c r="J3395" s="38"/>
      <c r="K3395" s="37"/>
      <c r="L3395" s="38"/>
      <c r="M3395" s="39"/>
      <c r="P3395" s="37"/>
      <c r="Q3395" s="37"/>
      <c r="R3395" s="37"/>
      <c r="S3395" s="37"/>
      <c r="T3395" s="37"/>
      <c r="U3395" s="37"/>
      <c r="V3395" s="37"/>
      <c r="W3395" s="37"/>
      <c r="X3395" s="37"/>
      <c r="Y3395" s="37"/>
      <c r="Z3395" s="37"/>
      <c r="AA3395" s="37"/>
      <c r="AB3395" s="37"/>
      <c r="AC3395" s="37"/>
      <c r="AD3395" s="37"/>
      <c r="AE3395" s="37"/>
      <c r="AF3395" s="37"/>
      <c r="AG3395" s="37"/>
      <c r="AH3395" s="37"/>
      <c r="AI3395" s="37"/>
      <c r="AJ3395" s="37"/>
      <c r="AK3395" s="37"/>
      <c r="AL3395" s="37"/>
      <c r="AM3395" s="37"/>
      <c r="AN3395" s="37"/>
      <c r="AO3395" s="37"/>
      <c r="AP3395" s="37"/>
      <c r="AQ3395" s="37"/>
      <c r="AR3395" s="37"/>
      <c r="AS3395" s="37"/>
      <c r="AT3395" s="37"/>
      <c r="AU3395" s="37"/>
      <c r="AV3395" s="37"/>
      <c r="AW3395" s="37"/>
      <c r="AX3395" s="37"/>
      <c r="AY3395" s="37"/>
      <c r="AZ3395" s="37"/>
      <c r="BA3395" s="37"/>
      <c r="BB3395" s="37"/>
      <c r="BC3395" s="37"/>
      <c r="BD3395" s="37"/>
      <c r="BE3395" s="37"/>
      <c r="BF3395" s="37"/>
      <c r="BG3395" s="37"/>
      <c r="BH3395" s="37"/>
      <c r="BI3395" s="37"/>
      <c r="BJ3395" s="37"/>
      <c r="BK3395" s="37"/>
      <c r="BL3395" s="37"/>
      <c r="BM3395" s="37"/>
    </row>
    <row r="3396" spans="1:65" s="40" customFormat="1" ht="23.25" x14ac:dyDescent="0.35">
      <c r="A3396" s="37"/>
      <c r="B3396" s="37"/>
      <c r="C3396" s="41"/>
      <c r="D3396" s="38"/>
      <c r="E3396" s="57"/>
      <c r="F3396" s="42"/>
      <c r="G3396" s="43"/>
      <c r="H3396" s="37"/>
      <c r="I3396" s="37"/>
      <c r="J3396" s="38"/>
      <c r="K3396" s="37"/>
      <c r="L3396" s="38"/>
      <c r="M3396" s="39"/>
      <c r="P3396" s="37"/>
      <c r="Q3396" s="37"/>
      <c r="R3396" s="37"/>
      <c r="S3396" s="37"/>
      <c r="T3396" s="37"/>
      <c r="U3396" s="37"/>
      <c r="V3396" s="37"/>
      <c r="W3396" s="37"/>
      <c r="X3396" s="37"/>
      <c r="Y3396" s="37"/>
      <c r="Z3396" s="37"/>
      <c r="AA3396" s="37"/>
      <c r="AB3396" s="37"/>
      <c r="AC3396" s="37"/>
      <c r="AD3396" s="37"/>
      <c r="AE3396" s="37"/>
      <c r="AF3396" s="37"/>
      <c r="AG3396" s="37"/>
      <c r="AH3396" s="37"/>
      <c r="AI3396" s="37"/>
      <c r="AJ3396" s="37"/>
      <c r="AK3396" s="37"/>
      <c r="AL3396" s="37"/>
      <c r="AM3396" s="37"/>
      <c r="AN3396" s="37"/>
      <c r="AO3396" s="37"/>
      <c r="AP3396" s="37"/>
      <c r="AQ3396" s="37"/>
      <c r="AR3396" s="37"/>
      <c r="AS3396" s="37"/>
      <c r="AT3396" s="37"/>
      <c r="AU3396" s="37"/>
      <c r="AV3396" s="37"/>
      <c r="AW3396" s="37"/>
      <c r="AX3396" s="37"/>
      <c r="AY3396" s="37"/>
      <c r="AZ3396" s="37"/>
      <c r="BA3396" s="37"/>
      <c r="BB3396" s="37"/>
      <c r="BC3396" s="37"/>
      <c r="BD3396" s="37"/>
      <c r="BE3396" s="37"/>
      <c r="BF3396" s="37"/>
      <c r="BG3396" s="37"/>
      <c r="BH3396" s="37"/>
      <c r="BI3396" s="37"/>
      <c r="BJ3396" s="37"/>
      <c r="BK3396" s="37"/>
      <c r="BL3396" s="37"/>
      <c r="BM3396" s="37"/>
    </row>
    <row r="3397" spans="1:65" s="40" customFormat="1" ht="23.25" x14ac:dyDescent="0.35">
      <c r="A3397" s="37"/>
      <c r="B3397" s="37"/>
      <c r="C3397" s="41"/>
      <c r="D3397" s="38"/>
      <c r="E3397" s="57"/>
      <c r="F3397" s="42"/>
      <c r="G3397" s="43"/>
      <c r="H3397" s="37"/>
      <c r="I3397" s="37"/>
      <c r="J3397" s="38"/>
      <c r="K3397" s="37"/>
      <c r="L3397" s="38"/>
      <c r="M3397" s="39"/>
      <c r="P3397" s="37"/>
      <c r="Q3397" s="37"/>
      <c r="R3397" s="37"/>
      <c r="S3397" s="37"/>
      <c r="T3397" s="37"/>
      <c r="U3397" s="37"/>
      <c r="V3397" s="37"/>
      <c r="W3397" s="37"/>
      <c r="X3397" s="37"/>
      <c r="Y3397" s="37"/>
      <c r="Z3397" s="37"/>
      <c r="AA3397" s="37"/>
      <c r="AB3397" s="37"/>
      <c r="AC3397" s="37"/>
      <c r="AD3397" s="37"/>
      <c r="AE3397" s="37"/>
      <c r="AF3397" s="37"/>
      <c r="AG3397" s="37"/>
      <c r="AH3397" s="37"/>
      <c r="AI3397" s="37"/>
      <c r="AJ3397" s="37"/>
      <c r="AK3397" s="37"/>
      <c r="AL3397" s="37"/>
      <c r="AM3397" s="37"/>
      <c r="AN3397" s="37"/>
      <c r="AO3397" s="37"/>
      <c r="AP3397" s="37"/>
      <c r="AQ3397" s="37"/>
      <c r="AR3397" s="37"/>
      <c r="AS3397" s="37"/>
      <c r="AT3397" s="37"/>
      <c r="AU3397" s="37"/>
      <c r="AV3397" s="37"/>
      <c r="AW3397" s="37"/>
      <c r="AX3397" s="37"/>
      <c r="AY3397" s="37"/>
      <c r="AZ3397" s="37"/>
      <c r="BA3397" s="37"/>
      <c r="BB3397" s="37"/>
      <c r="BC3397" s="37"/>
      <c r="BD3397" s="37"/>
      <c r="BE3397" s="37"/>
      <c r="BF3397" s="37"/>
      <c r="BG3397" s="37"/>
      <c r="BH3397" s="37"/>
      <c r="BI3397" s="37"/>
      <c r="BJ3397" s="37"/>
      <c r="BK3397" s="37"/>
      <c r="BL3397" s="37"/>
      <c r="BM3397" s="37"/>
    </row>
    <row r="3398" spans="1:65" s="40" customFormat="1" ht="23.25" x14ac:dyDescent="0.35">
      <c r="A3398" s="37"/>
      <c r="B3398" s="37"/>
      <c r="C3398" s="41"/>
      <c r="D3398" s="38"/>
      <c r="E3398" s="57"/>
      <c r="F3398" s="42"/>
      <c r="G3398" s="43"/>
      <c r="H3398" s="37"/>
      <c r="I3398" s="37"/>
      <c r="J3398" s="38"/>
      <c r="K3398" s="37"/>
      <c r="L3398" s="38"/>
      <c r="M3398" s="39"/>
      <c r="P3398" s="37"/>
      <c r="Q3398" s="37"/>
      <c r="R3398" s="37"/>
      <c r="S3398" s="37"/>
      <c r="T3398" s="37"/>
      <c r="U3398" s="37"/>
      <c r="V3398" s="37"/>
      <c r="W3398" s="37"/>
      <c r="X3398" s="37"/>
      <c r="Y3398" s="37"/>
      <c r="Z3398" s="37"/>
      <c r="AA3398" s="37"/>
      <c r="AB3398" s="37"/>
      <c r="AC3398" s="37"/>
      <c r="AD3398" s="37"/>
      <c r="AE3398" s="37"/>
      <c r="AF3398" s="37"/>
      <c r="AG3398" s="37"/>
      <c r="AH3398" s="37"/>
      <c r="AI3398" s="37"/>
      <c r="AJ3398" s="37"/>
      <c r="AK3398" s="37"/>
      <c r="AL3398" s="37"/>
      <c r="AM3398" s="37"/>
      <c r="AN3398" s="37"/>
      <c r="AO3398" s="37"/>
      <c r="AP3398" s="37"/>
      <c r="AQ3398" s="37"/>
      <c r="AR3398" s="37"/>
      <c r="AS3398" s="37"/>
      <c r="AT3398" s="37"/>
      <c r="AU3398" s="37"/>
      <c r="AV3398" s="37"/>
      <c r="AW3398" s="37"/>
      <c r="AX3398" s="37"/>
      <c r="AY3398" s="37"/>
      <c r="AZ3398" s="37"/>
      <c r="BA3398" s="37"/>
      <c r="BB3398" s="37"/>
      <c r="BC3398" s="37"/>
      <c r="BD3398" s="37"/>
      <c r="BE3398" s="37"/>
      <c r="BF3398" s="37"/>
      <c r="BG3398" s="37"/>
      <c r="BH3398" s="37"/>
      <c r="BI3398" s="37"/>
      <c r="BJ3398" s="37"/>
      <c r="BK3398" s="37"/>
      <c r="BL3398" s="37"/>
      <c r="BM3398" s="37"/>
    </row>
    <row r="3399" spans="1:65" s="40" customFormat="1" ht="23.25" x14ac:dyDescent="0.35">
      <c r="A3399" s="37"/>
      <c r="B3399" s="37"/>
      <c r="C3399" s="41"/>
      <c r="D3399" s="38"/>
      <c r="E3399" s="57"/>
      <c r="F3399" s="42"/>
      <c r="G3399" s="43"/>
      <c r="H3399" s="37"/>
      <c r="I3399" s="37"/>
      <c r="J3399" s="38"/>
      <c r="K3399" s="37"/>
      <c r="L3399" s="38"/>
      <c r="M3399" s="39"/>
      <c r="P3399" s="37"/>
      <c r="Q3399" s="37"/>
      <c r="R3399" s="37"/>
      <c r="S3399" s="37"/>
      <c r="T3399" s="37"/>
      <c r="U3399" s="37"/>
      <c r="V3399" s="37"/>
      <c r="W3399" s="37"/>
      <c r="X3399" s="37"/>
      <c r="Y3399" s="37"/>
      <c r="Z3399" s="37"/>
      <c r="AA3399" s="37"/>
      <c r="AB3399" s="37"/>
      <c r="AC3399" s="37"/>
      <c r="AD3399" s="37"/>
      <c r="AE3399" s="37"/>
      <c r="AF3399" s="37"/>
      <c r="AG3399" s="37"/>
      <c r="AH3399" s="37"/>
      <c r="AI3399" s="37"/>
      <c r="AJ3399" s="37"/>
      <c r="AK3399" s="37"/>
      <c r="AL3399" s="37"/>
      <c r="AM3399" s="37"/>
      <c r="AN3399" s="37"/>
      <c r="AO3399" s="37"/>
      <c r="AP3399" s="37"/>
      <c r="AQ3399" s="37"/>
      <c r="AR3399" s="37"/>
      <c r="AS3399" s="37"/>
      <c r="AT3399" s="37"/>
      <c r="AU3399" s="37"/>
      <c r="AV3399" s="37"/>
      <c r="AW3399" s="37"/>
      <c r="AX3399" s="37"/>
      <c r="AY3399" s="37"/>
      <c r="AZ3399" s="37"/>
      <c r="BA3399" s="37"/>
      <c r="BB3399" s="37"/>
      <c r="BC3399" s="37"/>
      <c r="BD3399" s="37"/>
      <c r="BE3399" s="37"/>
      <c r="BF3399" s="37"/>
      <c r="BG3399" s="37"/>
      <c r="BH3399" s="37"/>
      <c r="BI3399" s="37"/>
      <c r="BJ3399" s="37"/>
      <c r="BK3399" s="37"/>
      <c r="BL3399" s="37"/>
      <c r="BM3399" s="37"/>
    </row>
    <row r="3400" spans="1:65" s="40" customFormat="1" ht="23.25" x14ac:dyDescent="0.35">
      <c r="A3400" s="37"/>
      <c r="B3400" s="37"/>
      <c r="C3400" s="41"/>
      <c r="D3400" s="38"/>
      <c r="E3400" s="57"/>
      <c r="F3400" s="42"/>
      <c r="G3400" s="43"/>
      <c r="H3400" s="37"/>
      <c r="I3400" s="37"/>
      <c r="J3400" s="38"/>
      <c r="K3400" s="37"/>
      <c r="L3400" s="38"/>
      <c r="M3400" s="39"/>
      <c r="P3400" s="37"/>
      <c r="Q3400" s="37"/>
      <c r="R3400" s="37"/>
      <c r="S3400" s="37"/>
      <c r="T3400" s="37"/>
      <c r="U3400" s="37"/>
      <c r="V3400" s="37"/>
      <c r="W3400" s="37"/>
      <c r="X3400" s="37"/>
      <c r="Y3400" s="37"/>
      <c r="Z3400" s="37"/>
      <c r="AA3400" s="37"/>
      <c r="AB3400" s="37"/>
      <c r="AC3400" s="37"/>
      <c r="AD3400" s="37"/>
      <c r="AE3400" s="37"/>
      <c r="AF3400" s="37"/>
      <c r="AG3400" s="37"/>
      <c r="AH3400" s="37"/>
      <c r="AI3400" s="37"/>
      <c r="AJ3400" s="37"/>
      <c r="AK3400" s="37"/>
      <c r="AL3400" s="37"/>
      <c r="AM3400" s="37"/>
      <c r="AN3400" s="37"/>
      <c r="AO3400" s="37"/>
      <c r="AP3400" s="37"/>
      <c r="AQ3400" s="37"/>
      <c r="AR3400" s="37"/>
      <c r="AS3400" s="37"/>
      <c r="AT3400" s="37"/>
      <c r="AU3400" s="37"/>
      <c r="AV3400" s="37"/>
      <c r="AW3400" s="37"/>
      <c r="AX3400" s="37"/>
      <c r="AY3400" s="37"/>
      <c r="AZ3400" s="37"/>
      <c r="BA3400" s="37"/>
      <c r="BB3400" s="37"/>
      <c r="BC3400" s="37"/>
      <c r="BD3400" s="37"/>
      <c r="BE3400" s="37"/>
      <c r="BF3400" s="37"/>
      <c r="BG3400" s="37"/>
      <c r="BH3400" s="37"/>
      <c r="BI3400" s="37"/>
      <c r="BJ3400" s="37"/>
      <c r="BK3400" s="37"/>
      <c r="BL3400" s="37"/>
      <c r="BM3400" s="37"/>
    </row>
    <row r="3401" spans="1:65" s="40" customFormat="1" ht="23.25" x14ac:dyDescent="0.35">
      <c r="A3401" s="37"/>
      <c r="B3401" s="37"/>
      <c r="C3401" s="41"/>
      <c r="D3401" s="38"/>
      <c r="E3401" s="57"/>
      <c r="F3401" s="42"/>
      <c r="G3401" s="43"/>
      <c r="H3401" s="37"/>
      <c r="I3401" s="37"/>
      <c r="J3401" s="38"/>
      <c r="K3401" s="37"/>
      <c r="L3401" s="38"/>
      <c r="M3401" s="39"/>
      <c r="P3401" s="37"/>
      <c r="Q3401" s="37"/>
      <c r="R3401" s="37"/>
      <c r="S3401" s="37"/>
      <c r="T3401" s="37"/>
      <c r="U3401" s="37"/>
      <c r="V3401" s="37"/>
      <c r="W3401" s="37"/>
      <c r="X3401" s="37"/>
      <c r="Y3401" s="37"/>
      <c r="Z3401" s="37"/>
      <c r="AA3401" s="37"/>
      <c r="AB3401" s="37"/>
      <c r="AC3401" s="37"/>
      <c r="AD3401" s="37"/>
      <c r="AE3401" s="37"/>
      <c r="AF3401" s="37"/>
      <c r="AG3401" s="37"/>
      <c r="AH3401" s="37"/>
      <c r="AI3401" s="37"/>
      <c r="AJ3401" s="37"/>
      <c r="AK3401" s="37"/>
      <c r="AL3401" s="37"/>
      <c r="AM3401" s="37"/>
      <c r="AN3401" s="37"/>
      <c r="AO3401" s="37"/>
      <c r="AP3401" s="37"/>
      <c r="AQ3401" s="37"/>
      <c r="AR3401" s="37"/>
      <c r="AS3401" s="37"/>
      <c r="AT3401" s="37"/>
      <c r="AU3401" s="37"/>
      <c r="AV3401" s="37"/>
      <c r="AW3401" s="37"/>
      <c r="AX3401" s="37"/>
      <c r="AY3401" s="37"/>
      <c r="AZ3401" s="37"/>
      <c r="BA3401" s="37"/>
      <c r="BB3401" s="37"/>
      <c r="BC3401" s="37"/>
      <c r="BD3401" s="37"/>
      <c r="BE3401" s="37"/>
      <c r="BF3401" s="37"/>
      <c r="BG3401" s="37"/>
      <c r="BH3401" s="37"/>
      <c r="BI3401" s="37"/>
      <c r="BJ3401" s="37"/>
      <c r="BK3401" s="37"/>
      <c r="BL3401" s="37"/>
      <c r="BM3401" s="37"/>
    </row>
    <row r="3402" spans="1:65" s="40" customFormat="1" ht="23.25" x14ac:dyDescent="0.35">
      <c r="A3402" s="37"/>
      <c r="B3402" s="37"/>
      <c r="C3402" s="41"/>
      <c r="D3402" s="38"/>
      <c r="E3402" s="57"/>
      <c r="F3402" s="42"/>
      <c r="G3402" s="43"/>
      <c r="H3402" s="37"/>
      <c r="I3402" s="37"/>
      <c r="J3402" s="38"/>
      <c r="K3402" s="37"/>
      <c r="L3402" s="38"/>
      <c r="M3402" s="39"/>
      <c r="P3402" s="37"/>
      <c r="Q3402" s="37"/>
      <c r="R3402" s="37"/>
      <c r="S3402" s="37"/>
      <c r="T3402" s="37"/>
      <c r="U3402" s="37"/>
      <c r="V3402" s="37"/>
      <c r="W3402" s="37"/>
      <c r="X3402" s="37"/>
      <c r="Y3402" s="37"/>
      <c r="Z3402" s="37"/>
      <c r="AA3402" s="37"/>
      <c r="AB3402" s="37"/>
      <c r="AC3402" s="37"/>
      <c r="AD3402" s="37"/>
      <c r="AE3402" s="37"/>
      <c r="AF3402" s="37"/>
      <c r="AG3402" s="37"/>
      <c r="AH3402" s="37"/>
      <c r="AI3402" s="37"/>
      <c r="AJ3402" s="37"/>
      <c r="AK3402" s="37"/>
      <c r="AL3402" s="37"/>
      <c r="AM3402" s="37"/>
      <c r="AN3402" s="37"/>
      <c r="AO3402" s="37"/>
      <c r="AP3402" s="37"/>
      <c r="AQ3402" s="37"/>
      <c r="AR3402" s="37"/>
      <c r="AS3402" s="37"/>
      <c r="AT3402" s="37"/>
      <c r="AU3402" s="37"/>
      <c r="AV3402" s="37"/>
      <c r="AW3402" s="37"/>
      <c r="AX3402" s="37"/>
      <c r="AY3402" s="37"/>
      <c r="AZ3402" s="37"/>
      <c r="BA3402" s="37"/>
      <c r="BB3402" s="37"/>
      <c r="BC3402" s="37"/>
      <c r="BD3402" s="37"/>
      <c r="BE3402" s="37"/>
      <c r="BF3402" s="37"/>
      <c r="BG3402" s="37"/>
      <c r="BH3402" s="37"/>
      <c r="BI3402" s="37"/>
      <c r="BJ3402" s="37"/>
      <c r="BK3402" s="37"/>
      <c r="BL3402" s="37"/>
      <c r="BM3402" s="37"/>
    </row>
    <row r="3403" spans="1:65" s="40" customFormat="1" ht="23.25" x14ac:dyDescent="0.35">
      <c r="A3403" s="37"/>
      <c r="B3403" s="37"/>
      <c r="C3403" s="41"/>
      <c r="D3403" s="38"/>
      <c r="E3403" s="57"/>
      <c r="F3403" s="42"/>
      <c r="G3403" s="43"/>
      <c r="H3403" s="37"/>
      <c r="I3403" s="37"/>
      <c r="J3403" s="38"/>
      <c r="K3403" s="37"/>
      <c r="L3403" s="38"/>
      <c r="M3403" s="39"/>
      <c r="P3403" s="37"/>
      <c r="Q3403" s="37"/>
      <c r="R3403" s="37"/>
      <c r="S3403" s="37"/>
      <c r="T3403" s="37"/>
      <c r="U3403" s="37"/>
      <c r="V3403" s="37"/>
      <c r="W3403" s="37"/>
      <c r="X3403" s="37"/>
      <c r="Y3403" s="37"/>
      <c r="Z3403" s="37"/>
      <c r="AA3403" s="37"/>
      <c r="AB3403" s="37"/>
      <c r="AC3403" s="37"/>
      <c r="AD3403" s="37"/>
      <c r="AE3403" s="37"/>
      <c r="AF3403" s="37"/>
      <c r="AG3403" s="37"/>
      <c r="AH3403" s="37"/>
      <c r="AI3403" s="37"/>
      <c r="AJ3403" s="37"/>
      <c r="AK3403" s="37"/>
      <c r="AL3403" s="37"/>
      <c r="AM3403" s="37"/>
      <c r="AN3403" s="37"/>
      <c r="AO3403" s="37"/>
      <c r="AP3403" s="37"/>
      <c r="AQ3403" s="37"/>
      <c r="AR3403" s="37"/>
      <c r="AS3403" s="37"/>
      <c r="AT3403" s="37"/>
      <c r="AU3403" s="37"/>
      <c r="AV3403" s="37"/>
      <c r="AW3403" s="37"/>
      <c r="AX3403" s="37"/>
      <c r="AY3403" s="37"/>
      <c r="AZ3403" s="37"/>
      <c r="BA3403" s="37"/>
      <c r="BB3403" s="37"/>
      <c r="BC3403" s="37"/>
      <c r="BD3403" s="37"/>
      <c r="BE3403" s="37"/>
      <c r="BF3403" s="37"/>
      <c r="BG3403" s="37"/>
      <c r="BH3403" s="37"/>
      <c r="BI3403" s="37"/>
      <c r="BJ3403" s="37"/>
      <c r="BK3403" s="37"/>
      <c r="BL3403" s="37"/>
      <c r="BM3403" s="37"/>
    </row>
    <row r="3404" spans="1:65" s="40" customFormat="1" ht="23.25" x14ac:dyDescent="0.35">
      <c r="A3404" s="37"/>
      <c r="B3404" s="37"/>
      <c r="C3404" s="41"/>
      <c r="D3404" s="38"/>
      <c r="E3404" s="57"/>
      <c r="F3404" s="42"/>
      <c r="G3404" s="43"/>
      <c r="H3404" s="37"/>
      <c r="I3404" s="37"/>
      <c r="J3404" s="38"/>
      <c r="K3404" s="37"/>
      <c r="L3404" s="38"/>
      <c r="M3404" s="39"/>
      <c r="P3404" s="37"/>
      <c r="Q3404" s="37"/>
      <c r="R3404" s="37"/>
      <c r="S3404" s="37"/>
      <c r="T3404" s="37"/>
      <c r="U3404" s="37"/>
      <c r="V3404" s="37"/>
      <c r="W3404" s="37"/>
      <c r="X3404" s="37"/>
      <c r="Y3404" s="37"/>
      <c r="Z3404" s="37"/>
      <c r="AA3404" s="37"/>
      <c r="AB3404" s="37"/>
      <c r="AC3404" s="37"/>
      <c r="AD3404" s="37"/>
      <c r="AE3404" s="37"/>
      <c r="AF3404" s="37"/>
      <c r="AG3404" s="37"/>
      <c r="AH3404" s="37"/>
      <c r="AI3404" s="37"/>
      <c r="AJ3404" s="37"/>
      <c r="AK3404" s="37"/>
      <c r="AL3404" s="37"/>
      <c r="AM3404" s="37"/>
      <c r="AN3404" s="37"/>
      <c r="AO3404" s="37"/>
      <c r="AP3404" s="37"/>
      <c r="AQ3404" s="37"/>
      <c r="AR3404" s="37"/>
      <c r="AS3404" s="37"/>
      <c r="AT3404" s="37"/>
      <c r="AU3404" s="37"/>
      <c r="AV3404" s="37"/>
      <c r="AW3404" s="37"/>
      <c r="AX3404" s="37"/>
      <c r="AY3404" s="37"/>
      <c r="AZ3404" s="37"/>
      <c r="BA3404" s="37"/>
      <c r="BB3404" s="37"/>
      <c r="BC3404" s="37"/>
      <c r="BD3404" s="37"/>
      <c r="BE3404" s="37"/>
      <c r="BF3404" s="37"/>
      <c r="BG3404" s="37"/>
      <c r="BH3404" s="37"/>
      <c r="BI3404" s="37"/>
      <c r="BJ3404" s="37"/>
      <c r="BK3404" s="37"/>
      <c r="BL3404" s="37"/>
      <c r="BM3404" s="37"/>
    </row>
    <row r="3405" spans="1:65" s="40" customFormat="1" ht="23.25" x14ac:dyDescent="0.35">
      <c r="A3405" s="37"/>
      <c r="B3405" s="37"/>
      <c r="C3405" s="41"/>
      <c r="D3405" s="38"/>
      <c r="E3405" s="57"/>
      <c r="F3405" s="42"/>
      <c r="G3405" s="43"/>
      <c r="H3405" s="37"/>
      <c r="I3405" s="37"/>
      <c r="J3405" s="38"/>
      <c r="K3405" s="37"/>
      <c r="L3405" s="38"/>
      <c r="M3405" s="39"/>
      <c r="P3405" s="37"/>
      <c r="Q3405" s="37"/>
      <c r="R3405" s="37"/>
      <c r="S3405" s="37"/>
      <c r="T3405" s="37"/>
      <c r="U3405" s="37"/>
      <c r="V3405" s="37"/>
      <c r="W3405" s="37"/>
      <c r="X3405" s="37"/>
      <c r="Y3405" s="37"/>
      <c r="Z3405" s="37"/>
      <c r="AA3405" s="37"/>
      <c r="AB3405" s="37"/>
      <c r="AC3405" s="37"/>
      <c r="AD3405" s="37"/>
      <c r="AE3405" s="37"/>
      <c r="AF3405" s="37"/>
      <c r="AG3405" s="37"/>
      <c r="AH3405" s="37"/>
      <c r="AI3405" s="37"/>
      <c r="AJ3405" s="37"/>
      <c r="AK3405" s="37"/>
      <c r="AL3405" s="37"/>
      <c r="AM3405" s="37"/>
      <c r="AN3405" s="37"/>
      <c r="AO3405" s="37"/>
      <c r="AP3405" s="37"/>
      <c r="AQ3405" s="37"/>
      <c r="AR3405" s="37"/>
      <c r="AS3405" s="37"/>
      <c r="AT3405" s="37"/>
      <c r="AU3405" s="37"/>
      <c r="AV3405" s="37"/>
      <c r="AW3405" s="37"/>
      <c r="AX3405" s="37"/>
      <c r="AY3405" s="37"/>
      <c r="AZ3405" s="37"/>
      <c r="BA3405" s="37"/>
      <c r="BB3405" s="37"/>
      <c r="BC3405" s="37"/>
      <c r="BD3405" s="37"/>
      <c r="BE3405" s="37"/>
      <c r="BF3405" s="37"/>
      <c r="BG3405" s="37"/>
      <c r="BH3405" s="37"/>
      <c r="BI3405" s="37"/>
      <c r="BJ3405" s="37"/>
      <c r="BK3405" s="37"/>
      <c r="BL3405" s="37"/>
      <c r="BM3405" s="37"/>
    </row>
    <row r="3406" spans="1:65" s="40" customFormat="1" ht="23.25" x14ac:dyDescent="0.35">
      <c r="A3406" s="37"/>
      <c r="B3406" s="37"/>
      <c r="C3406" s="41"/>
      <c r="D3406" s="38"/>
      <c r="E3406" s="57"/>
      <c r="F3406" s="42"/>
      <c r="G3406" s="43"/>
      <c r="H3406" s="37"/>
      <c r="I3406" s="37"/>
      <c r="J3406" s="38"/>
      <c r="K3406" s="37"/>
      <c r="L3406" s="38"/>
      <c r="M3406" s="39"/>
      <c r="P3406" s="37"/>
      <c r="Q3406" s="37"/>
      <c r="R3406" s="37"/>
      <c r="S3406" s="37"/>
      <c r="T3406" s="37"/>
      <c r="U3406" s="37"/>
      <c r="V3406" s="37"/>
      <c r="W3406" s="37"/>
      <c r="X3406" s="37"/>
      <c r="Y3406" s="37"/>
      <c r="Z3406" s="37"/>
      <c r="AA3406" s="37"/>
      <c r="AB3406" s="37"/>
      <c r="AC3406" s="37"/>
      <c r="AD3406" s="37"/>
      <c r="AE3406" s="37"/>
      <c r="AF3406" s="37"/>
      <c r="AG3406" s="37"/>
      <c r="AH3406" s="37"/>
      <c r="AI3406" s="37"/>
      <c r="AJ3406" s="37"/>
      <c r="AK3406" s="37"/>
      <c r="AL3406" s="37"/>
      <c r="AM3406" s="37"/>
      <c r="AN3406" s="37"/>
      <c r="AO3406" s="37"/>
      <c r="AP3406" s="37"/>
      <c r="AQ3406" s="37"/>
      <c r="AR3406" s="37"/>
      <c r="AS3406" s="37"/>
      <c r="AT3406" s="37"/>
      <c r="AU3406" s="37"/>
      <c r="AV3406" s="37"/>
      <c r="AW3406" s="37"/>
      <c r="AX3406" s="37"/>
      <c r="AY3406" s="37"/>
      <c r="AZ3406" s="37"/>
      <c r="BA3406" s="37"/>
      <c r="BB3406" s="37"/>
      <c r="BC3406" s="37"/>
      <c r="BD3406" s="37"/>
      <c r="BE3406" s="37"/>
      <c r="BF3406" s="37"/>
      <c r="BG3406" s="37"/>
      <c r="BH3406" s="37"/>
      <c r="BI3406" s="37"/>
      <c r="BJ3406" s="37"/>
      <c r="BK3406" s="37"/>
      <c r="BL3406" s="37"/>
      <c r="BM3406" s="37"/>
    </row>
    <row r="3407" spans="1:65" s="40" customFormat="1" ht="23.25" x14ac:dyDescent="0.35">
      <c r="A3407" s="37"/>
      <c r="B3407" s="37"/>
      <c r="C3407" s="41"/>
      <c r="D3407" s="38"/>
      <c r="E3407" s="57"/>
      <c r="F3407" s="42"/>
      <c r="G3407" s="43"/>
      <c r="H3407" s="37"/>
      <c r="I3407" s="37"/>
      <c r="J3407" s="38"/>
      <c r="K3407" s="37"/>
      <c r="L3407" s="38"/>
      <c r="M3407" s="39"/>
      <c r="P3407" s="37"/>
      <c r="Q3407" s="37"/>
      <c r="R3407" s="37"/>
      <c r="S3407" s="37"/>
      <c r="T3407" s="37"/>
      <c r="U3407" s="37"/>
      <c r="V3407" s="37"/>
      <c r="W3407" s="37"/>
      <c r="X3407" s="37"/>
      <c r="Y3407" s="37"/>
      <c r="Z3407" s="37"/>
      <c r="AA3407" s="37"/>
      <c r="AB3407" s="37"/>
      <c r="AC3407" s="37"/>
      <c r="AD3407" s="37"/>
      <c r="AE3407" s="37"/>
      <c r="AF3407" s="37"/>
      <c r="AG3407" s="37"/>
      <c r="AH3407" s="37"/>
      <c r="AI3407" s="37"/>
      <c r="AJ3407" s="37"/>
      <c r="AK3407" s="37"/>
      <c r="AL3407" s="37"/>
      <c r="AM3407" s="37"/>
      <c r="AN3407" s="37"/>
      <c r="AO3407" s="37"/>
      <c r="AP3407" s="37"/>
      <c r="AQ3407" s="37"/>
      <c r="AR3407" s="37"/>
      <c r="AS3407" s="37"/>
      <c r="AT3407" s="37"/>
      <c r="AU3407" s="37"/>
      <c r="AV3407" s="37"/>
      <c r="AW3407" s="37"/>
      <c r="AX3407" s="37"/>
      <c r="AY3407" s="37"/>
      <c r="AZ3407" s="37"/>
      <c r="BA3407" s="37"/>
      <c r="BB3407" s="37"/>
      <c r="BC3407" s="37"/>
      <c r="BD3407" s="37"/>
      <c r="BE3407" s="37"/>
      <c r="BF3407" s="37"/>
      <c r="BG3407" s="37"/>
      <c r="BH3407" s="37"/>
      <c r="BI3407" s="37"/>
      <c r="BJ3407" s="37"/>
      <c r="BK3407" s="37"/>
      <c r="BL3407" s="37"/>
      <c r="BM3407" s="37"/>
    </row>
    <row r="3408" spans="1:65" s="40" customFormat="1" ht="23.25" x14ac:dyDescent="0.35">
      <c r="A3408" s="37"/>
      <c r="B3408" s="37"/>
      <c r="C3408" s="41"/>
      <c r="D3408" s="38"/>
      <c r="E3408" s="57"/>
      <c r="F3408" s="42"/>
      <c r="G3408" s="43"/>
      <c r="H3408" s="37"/>
      <c r="I3408" s="37"/>
      <c r="J3408" s="38"/>
      <c r="K3408" s="37"/>
      <c r="L3408" s="38"/>
      <c r="M3408" s="39"/>
      <c r="P3408" s="37"/>
      <c r="Q3408" s="37"/>
      <c r="R3408" s="37"/>
      <c r="S3408" s="37"/>
      <c r="T3408" s="37"/>
      <c r="U3408" s="37"/>
      <c r="V3408" s="37"/>
      <c r="W3408" s="37"/>
      <c r="X3408" s="37"/>
      <c r="Y3408" s="37"/>
      <c r="Z3408" s="37"/>
      <c r="AA3408" s="37"/>
      <c r="AB3408" s="37"/>
      <c r="AC3408" s="37"/>
      <c r="AD3408" s="37"/>
      <c r="AE3408" s="37"/>
      <c r="AF3408" s="37"/>
      <c r="AG3408" s="37"/>
      <c r="AH3408" s="37"/>
      <c r="AI3408" s="37"/>
      <c r="AJ3408" s="37"/>
      <c r="AK3408" s="37"/>
      <c r="AL3408" s="37"/>
      <c r="AM3408" s="37"/>
      <c r="AN3408" s="37"/>
      <c r="AO3408" s="37"/>
      <c r="AP3408" s="37"/>
      <c r="AQ3408" s="37"/>
      <c r="AR3408" s="37"/>
      <c r="AS3408" s="37"/>
      <c r="AT3408" s="37"/>
      <c r="AU3408" s="37"/>
      <c r="AV3408" s="37"/>
      <c r="AW3408" s="37"/>
      <c r="AX3408" s="37"/>
      <c r="AY3408" s="37"/>
      <c r="AZ3408" s="37"/>
      <c r="BA3408" s="37"/>
      <c r="BB3408" s="37"/>
      <c r="BC3408" s="37"/>
      <c r="BD3408" s="37"/>
      <c r="BE3408" s="37"/>
      <c r="BF3408" s="37"/>
      <c r="BG3408" s="37"/>
      <c r="BH3408" s="37"/>
      <c r="BI3408" s="37"/>
      <c r="BJ3408" s="37"/>
      <c r="BK3408" s="37"/>
      <c r="BL3408" s="37"/>
      <c r="BM3408" s="37"/>
    </row>
    <row r="3409" spans="1:65" s="40" customFormat="1" ht="23.25" x14ac:dyDescent="0.35">
      <c r="A3409" s="37"/>
      <c r="B3409" s="37"/>
      <c r="C3409" s="41"/>
      <c r="D3409" s="38"/>
      <c r="E3409" s="57"/>
      <c r="F3409" s="42"/>
      <c r="G3409" s="43"/>
      <c r="H3409" s="37"/>
      <c r="I3409" s="37"/>
      <c r="J3409" s="38"/>
      <c r="K3409" s="37"/>
      <c r="L3409" s="38"/>
      <c r="M3409" s="39"/>
      <c r="P3409" s="37"/>
      <c r="Q3409" s="37"/>
      <c r="R3409" s="37"/>
      <c r="S3409" s="37"/>
      <c r="T3409" s="37"/>
      <c r="U3409" s="37"/>
      <c r="V3409" s="37"/>
      <c r="W3409" s="37"/>
      <c r="X3409" s="37"/>
      <c r="Y3409" s="37"/>
      <c r="Z3409" s="37"/>
      <c r="AA3409" s="37"/>
      <c r="AB3409" s="37"/>
      <c r="AC3409" s="37"/>
      <c r="AD3409" s="37"/>
      <c r="AE3409" s="37"/>
      <c r="AF3409" s="37"/>
      <c r="AG3409" s="37"/>
      <c r="AH3409" s="37"/>
      <c r="AI3409" s="37"/>
      <c r="AJ3409" s="37"/>
      <c r="AK3409" s="37"/>
      <c r="AL3409" s="37"/>
      <c r="AM3409" s="37"/>
      <c r="AN3409" s="37"/>
      <c r="AO3409" s="37"/>
      <c r="AP3409" s="37"/>
      <c r="AQ3409" s="37"/>
      <c r="AR3409" s="37"/>
      <c r="AS3409" s="37"/>
      <c r="AT3409" s="37"/>
      <c r="AU3409" s="37"/>
      <c r="AV3409" s="37"/>
      <c r="AW3409" s="37"/>
      <c r="AX3409" s="37"/>
      <c r="AY3409" s="37"/>
      <c r="AZ3409" s="37"/>
      <c r="BA3409" s="37"/>
      <c r="BB3409" s="37"/>
      <c r="BC3409" s="37"/>
      <c r="BD3409" s="37"/>
      <c r="BE3409" s="37"/>
      <c r="BF3409" s="37"/>
      <c r="BG3409" s="37"/>
      <c r="BH3409" s="37"/>
      <c r="BI3409" s="37"/>
      <c r="BJ3409" s="37"/>
      <c r="BK3409" s="37"/>
      <c r="BL3409" s="37"/>
      <c r="BM3409" s="37"/>
    </row>
    <row r="3410" spans="1:65" s="40" customFormat="1" ht="23.25" x14ac:dyDescent="0.35">
      <c r="A3410" s="37"/>
      <c r="B3410" s="37"/>
      <c r="C3410" s="41"/>
      <c r="D3410" s="38"/>
      <c r="E3410" s="57"/>
      <c r="F3410" s="42"/>
      <c r="G3410" s="43"/>
      <c r="H3410" s="37"/>
      <c r="I3410" s="37"/>
      <c r="J3410" s="38"/>
      <c r="K3410" s="37"/>
      <c r="L3410" s="38"/>
      <c r="M3410" s="39"/>
      <c r="P3410" s="37"/>
      <c r="Q3410" s="37"/>
      <c r="R3410" s="37"/>
      <c r="S3410" s="37"/>
      <c r="T3410" s="37"/>
      <c r="U3410" s="37"/>
      <c r="V3410" s="37"/>
      <c r="W3410" s="37"/>
      <c r="X3410" s="37"/>
      <c r="Y3410" s="37"/>
      <c r="Z3410" s="37"/>
      <c r="AA3410" s="37"/>
      <c r="AB3410" s="37"/>
      <c r="AC3410" s="37"/>
      <c r="AD3410" s="37"/>
      <c r="AE3410" s="37"/>
      <c r="AF3410" s="37"/>
      <c r="AG3410" s="37"/>
      <c r="AH3410" s="37"/>
      <c r="AI3410" s="37"/>
      <c r="AJ3410" s="37"/>
      <c r="AK3410" s="37"/>
      <c r="AL3410" s="37"/>
      <c r="AM3410" s="37"/>
      <c r="AN3410" s="37"/>
      <c r="AO3410" s="37"/>
      <c r="AP3410" s="37"/>
      <c r="AQ3410" s="37"/>
      <c r="AR3410" s="37"/>
      <c r="AS3410" s="37"/>
      <c r="AT3410" s="37"/>
      <c r="AU3410" s="37"/>
      <c r="AV3410" s="37"/>
      <c r="AW3410" s="37"/>
      <c r="AX3410" s="37"/>
      <c r="AY3410" s="37"/>
      <c r="AZ3410" s="37"/>
      <c r="BA3410" s="37"/>
      <c r="BB3410" s="37"/>
      <c r="BC3410" s="37"/>
      <c r="BD3410" s="37"/>
      <c r="BE3410" s="37"/>
      <c r="BF3410" s="37"/>
      <c r="BG3410" s="37"/>
      <c r="BH3410" s="37"/>
      <c r="BI3410" s="37"/>
      <c r="BJ3410" s="37"/>
      <c r="BK3410" s="37"/>
      <c r="BL3410" s="37"/>
      <c r="BM3410" s="37"/>
    </row>
    <row r="3411" spans="1:65" s="40" customFormat="1" ht="23.25" x14ac:dyDescent="0.35">
      <c r="A3411" s="37"/>
      <c r="B3411" s="37"/>
      <c r="C3411" s="41"/>
      <c r="D3411" s="38"/>
      <c r="E3411" s="57"/>
      <c r="F3411" s="42"/>
      <c r="G3411" s="43"/>
      <c r="H3411" s="37"/>
      <c r="I3411" s="37"/>
      <c r="J3411" s="38"/>
      <c r="K3411" s="37"/>
      <c r="L3411" s="38"/>
      <c r="M3411" s="39"/>
      <c r="P3411" s="37"/>
      <c r="Q3411" s="37"/>
      <c r="R3411" s="37"/>
      <c r="S3411" s="37"/>
      <c r="T3411" s="37"/>
      <c r="U3411" s="37"/>
      <c r="V3411" s="37"/>
      <c r="W3411" s="37"/>
      <c r="X3411" s="37"/>
      <c r="Y3411" s="37"/>
      <c r="Z3411" s="37"/>
      <c r="AA3411" s="37"/>
      <c r="AB3411" s="37"/>
      <c r="AC3411" s="37"/>
      <c r="AD3411" s="37"/>
      <c r="AE3411" s="37"/>
      <c r="AF3411" s="37"/>
      <c r="AG3411" s="37"/>
      <c r="AH3411" s="37"/>
      <c r="AI3411" s="37"/>
      <c r="AJ3411" s="37"/>
      <c r="AK3411" s="37"/>
      <c r="AL3411" s="37"/>
      <c r="AM3411" s="37"/>
      <c r="AN3411" s="37"/>
      <c r="AO3411" s="37"/>
      <c r="AP3411" s="37"/>
      <c r="AQ3411" s="37"/>
      <c r="AR3411" s="37"/>
      <c r="AS3411" s="37"/>
      <c r="AT3411" s="37"/>
      <c r="AU3411" s="37"/>
      <c r="AV3411" s="37"/>
      <c r="AW3411" s="37"/>
      <c r="AX3411" s="37"/>
      <c r="AY3411" s="37"/>
      <c r="AZ3411" s="37"/>
      <c r="BA3411" s="37"/>
      <c r="BB3411" s="37"/>
      <c r="BC3411" s="37"/>
      <c r="BD3411" s="37"/>
      <c r="BE3411" s="37"/>
      <c r="BF3411" s="37"/>
      <c r="BG3411" s="37"/>
      <c r="BH3411" s="37"/>
      <c r="BI3411" s="37"/>
      <c r="BJ3411" s="37"/>
      <c r="BK3411" s="37"/>
      <c r="BL3411" s="37"/>
      <c r="BM3411" s="37"/>
    </row>
    <row r="3412" spans="1:65" s="40" customFormat="1" ht="23.25" x14ac:dyDescent="0.35">
      <c r="A3412" s="37"/>
      <c r="B3412" s="37"/>
      <c r="C3412" s="41"/>
      <c r="D3412" s="38"/>
      <c r="E3412" s="57"/>
      <c r="F3412" s="42"/>
      <c r="G3412" s="43"/>
      <c r="H3412" s="37"/>
      <c r="I3412" s="37"/>
      <c r="J3412" s="38"/>
      <c r="K3412" s="37"/>
      <c r="L3412" s="38"/>
      <c r="M3412" s="39"/>
      <c r="P3412" s="37"/>
      <c r="Q3412" s="37"/>
      <c r="R3412" s="37"/>
      <c r="S3412" s="37"/>
      <c r="T3412" s="37"/>
      <c r="U3412" s="37"/>
      <c r="V3412" s="37"/>
      <c r="W3412" s="37"/>
      <c r="X3412" s="37"/>
      <c r="Y3412" s="37"/>
      <c r="Z3412" s="37"/>
      <c r="AA3412" s="37"/>
      <c r="AB3412" s="37"/>
      <c r="AC3412" s="37"/>
      <c r="AD3412" s="37"/>
      <c r="AE3412" s="37"/>
      <c r="AF3412" s="37"/>
      <c r="AG3412" s="37"/>
      <c r="AH3412" s="37"/>
      <c r="AI3412" s="37"/>
      <c r="AJ3412" s="37"/>
      <c r="AK3412" s="37"/>
      <c r="AL3412" s="37"/>
      <c r="AM3412" s="37"/>
      <c r="AN3412" s="37"/>
      <c r="AO3412" s="37"/>
      <c r="AP3412" s="37"/>
      <c r="AQ3412" s="37"/>
      <c r="AR3412" s="37"/>
      <c r="AS3412" s="37"/>
      <c r="AT3412" s="37"/>
      <c r="AU3412" s="37"/>
      <c r="AV3412" s="37"/>
      <c r="AW3412" s="37"/>
      <c r="AX3412" s="37"/>
      <c r="AY3412" s="37"/>
      <c r="AZ3412" s="37"/>
      <c r="BA3412" s="37"/>
      <c r="BB3412" s="37"/>
      <c r="BC3412" s="37"/>
      <c r="BD3412" s="37"/>
      <c r="BE3412" s="37"/>
      <c r="BF3412" s="37"/>
      <c r="BG3412" s="37"/>
      <c r="BH3412" s="37"/>
      <c r="BI3412" s="37"/>
      <c r="BJ3412" s="37"/>
      <c r="BK3412" s="37"/>
      <c r="BL3412" s="37"/>
      <c r="BM3412" s="37"/>
    </row>
    <row r="3413" spans="1:65" s="40" customFormat="1" ht="23.25" x14ac:dyDescent="0.35">
      <c r="A3413" s="37"/>
      <c r="B3413" s="37"/>
      <c r="C3413" s="41"/>
      <c r="D3413" s="38"/>
      <c r="E3413" s="57"/>
      <c r="F3413" s="42"/>
      <c r="G3413" s="43"/>
      <c r="H3413" s="37"/>
      <c r="I3413" s="37"/>
      <c r="J3413" s="38"/>
      <c r="K3413" s="37"/>
      <c r="L3413" s="38"/>
      <c r="M3413" s="39"/>
      <c r="P3413" s="37"/>
      <c r="Q3413" s="37"/>
      <c r="R3413" s="37"/>
      <c r="S3413" s="37"/>
      <c r="T3413" s="37"/>
      <c r="U3413" s="37"/>
      <c r="V3413" s="37"/>
      <c r="W3413" s="37"/>
      <c r="X3413" s="37"/>
      <c r="Y3413" s="37"/>
      <c r="Z3413" s="37"/>
      <c r="AA3413" s="37"/>
      <c r="AB3413" s="37"/>
      <c r="AC3413" s="37"/>
      <c r="AD3413" s="37"/>
      <c r="AE3413" s="37"/>
      <c r="AF3413" s="37"/>
      <c r="AG3413" s="37"/>
      <c r="AH3413" s="37"/>
      <c r="AI3413" s="37"/>
      <c r="AJ3413" s="37"/>
      <c r="AK3413" s="37"/>
      <c r="AL3413" s="37"/>
      <c r="AM3413" s="37"/>
      <c r="AN3413" s="37"/>
      <c r="AO3413" s="37"/>
      <c r="AP3413" s="37"/>
      <c r="AQ3413" s="37"/>
      <c r="AR3413" s="37"/>
      <c r="AS3413" s="37"/>
      <c r="AT3413" s="37"/>
      <c r="AU3413" s="37"/>
      <c r="AV3413" s="37"/>
      <c r="AW3413" s="37"/>
      <c r="AX3413" s="37"/>
      <c r="AY3413" s="37"/>
      <c r="AZ3413" s="37"/>
      <c r="BA3413" s="37"/>
      <c r="BB3413" s="37"/>
      <c r="BC3413" s="37"/>
      <c r="BD3413" s="37"/>
      <c r="BE3413" s="37"/>
      <c r="BF3413" s="37"/>
      <c r="BG3413" s="37"/>
      <c r="BH3413" s="37"/>
      <c r="BI3413" s="37"/>
      <c r="BJ3413" s="37"/>
      <c r="BK3413" s="37"/>
      <c r="BL3413" s="37"/>
      <c r="BM3413" s="37"/>
    </row>
    <row r="3414" spans="1:65" s="40" customFormat="1" ht="23.25" x14ac:dyDescent="0.35">
      <c r="A3414" s="37"/>
      <c r="B3414" s="37"/>
      <c r="C3414" s="41"/>
      <c r="D3414" s="38"/>
      <c r="E3414" s="57"/>
      <c r="F3414" s="42"/>
      <c r="G3414" s="43"/>
      <c r="H3414" s="37"/>
      <c r="I3414" s="37"/>
      <c r="J3414" s="38"/>
      <c r="K3414" s="37"/>
      <c r="L3414" s="38"/>
      <c r="M3414" s="39"/>
      <c r="P3414" s="37"/>
      <c r="Q3414" s="37"/>
      <c r="R3414" s="37"/>
      <c r="S3414" s="37"/>
      <c r="T3414" s="37"/>
      <c r="U3414" s="37"/>
      <c r="V3414" s="37"/>
      <c r="W3414" s="37"/>
      <c r="X3414" s="37"/>
      <c r="Y3414" s="37"/>
      <c r="Z3414" s="37"/>
      <c r="AA3414" s="37"/>
      <c r="AB3414" s="37"/>
      <c r="AC3414" s="37"/>
      <c r="AD3414" s="37"/>
      <c r="AE3414" s="37"/>
      <c r="AF3414" s="37"/>
      <c r="AG3414" s="37"/>
      <c r="AH3414" s="37"/>
      <c r="AI3414" s="37"/>
      <c r="AJ3414" s="37"/>
      <c r="AK3414" s="37"/>
      <c r="AL3414" s="37"/>
      <c r="AM3414" s="37"/>
      <c r="AN3414" s="37"/>
      <c r="AO3414" s="37"/>
      <c r="AP3414" s="37"/>
      <c r="AQ3414" s="37"/>
      <c r="AR3414" s="37"/>
      <c r="AS3414" s="37"/>
      <c r="AT3414" s="37"/>
      <c r="AU3414" s="37"/>
      <c r="AV3414" s="37"/>
      <c r="AW3414" s="37"/>
      <c r="AX3414" s="37"/>
      <c r="AY3414" s="37"/>
      <c r="AZ3414" s="37"/>
      <c r="BA3414" s="37"/>
      <c r="BB3414" s="37"/>
      <c r="BC3414" s="37"/>
      <c r="BD3414" s="37"/>
      <c r="BE3414" s="37"/>
      <c r="BF3414" s="37"/>
      <c r="BG3414" s="37"/>
      <c r="BH3414" s="37"/>
      <c r="BI3414" s="37"/>
      <c r="BJ3414" s="37"/>
      <c r="BK3414" s="37"/>
      <c r="BL3414" s="37"/>
      <c r="BM3414" s="37"/>
    </row>
    <row r="3415" spans="1:65" s="40" customFormat="1" ht="23.25" x14ac:dyDescent="0.35">
      <c r="A3415" s="37"/>
      <c r="B3415" s="37"/>
      <c r="C3415" s="41"/>
      <c r="D3415" s="38"/>
      <c r="E3415" s="57"/>
      <c r="F3415" s="42"/>
      <c r="G3415" s="43"/>
      <c r="H3415" s="37"/>
      <c r="I3415" s="37"/>
      <c r="J3415" s="38"/>
      <c r="K3415" s="37"/>
      <c r="L3415" s="38"/>
      <c r="M3415" s="39"/>
      <c r="P3415" s="37"/>
      <c r="Q3415" s="37"/>
      <c r="R3415" s="37"/>
      <c r="S3415" s="37"/>
      <c r="T3415" s="37"/>
      <c r="U3415" s="37"/>
      <c r="V3415" s="37"/>
      <c r="W3415" s="37"/>
      <c r="X3415" s="37"/>
      <c r="Y3415" s="37"/>
      <c r="Z3415" s="37"/>
      <c r="AA3415" s="37"/>
      <c r="AB3415" s="37"/>
      <c r="AC3415" s="37"/>
      <c r="AD3415" s="37"/>
      <c r="AE3415" s="37"/>
      <c r="AF3415" s="37"/>
      <c r="AG3415" s="37"/>
      <c r="AH3415" s="37"/>
      <c r="AI3415" s="37"/>
      <c r="AJ3415" s="37"/>
      <c r="AK3415" s="37"/>
      <c r="AL3415" s="37"/>
      <c r="AM3415" s="37"/>
      <c r="AN3415" s="37"/>
      <c r="AO3415" s="37"/>
      <c r="AP3415" s="37"/>
      <c r="AQ3415" s="37"/>
      <c r="AR3415" s="37"/>
      <c r="AS3415" s="37"/>
      <c r="AT3415" s="37"/>
      <c r="AU3415" s="37"/>
      <c r="AV3415" s="37"/>
      <c r="AW3415" s="37"/>
      <c r="AX3415" s="37"/>
      <c r="AY3415" s="37"/>
      <c r="AZ3415" s="37"/>
      <c r="BA3415" s="37"/>
      <c r="BB3415" s="37"/>
      <c r="BC3415" s="37"/>
      <c r="BD3415" s="37"/>
      <c r="BE3415" s="37"/>
      <c r="BF3415" s="37"/>
      <c r="BG3415" s="37"/>
      <c r="BH3415" s="37"/>
      <c r="BI3415" s="37"/>
      <c r="BJ3415" s="37"/>
      <c r="BK3415" s="37"/>
      <c r="BL3415" s="37"/>
      <c r="BM3415" s="37"/>
    </row>
    <row r="3416" spans="1:65" s="40" customFormat="1" ht="23.25" x14ac:dyDescent="0.35">
      <c r="A3416" s="37"/>
      <c r="B3416" s="37"/>
      <c r="C3416" s="41"/>
      <c r="D3416" s="38"/>
      <c r="E3416" s="57"/>
      <c r="F3416" s="42"/>
      <c r="G3416" s="43"/>
      <c r="H3416" s="37"/>
      <c r="I3416" s="37"/>
      <c r="J3416" s="38"/>
      <c r="K3416" s="37"/>
      <c r="L3416" s="38"/>
      <c r="M3416" s="39"/>
      <c r="P3416" s="37"/>
      <c r="Q3416" s="37"/>
      <c r="R3416" s="37"/>
      <c r="S3416" s="37"/>
      <c r="T3416" s="37"/>
      <c r="U3416" s="37"/>
      <c r="V3416" s="37"/>
      <c r="W3416" s="37"/>
      <c r="X3416" s="37"/>
      <c r="Y3416" s="37"/>
      <c r="Z3416" s="37"/>
      <c r="AA3416" s="37"/>
      <c r="AB3416" s="37"/>
      <c r="AC3416" s="37"/>
      <c r="AD3416" s="37"/>
      <c r="AE3416" s="37"/>
      <c r="AF3416" s="37"/>
      <c r="AG3416" s="37"/>
      <c r="AH3416" s="37"/>
      <c r="AI3416" s="37"/>
      <c r="AJ3416" s="37"/>
      <c r="AK3416" s="37"/>
      <c r="AL3416" s="37"/>
      <c r="AM3416" s="37"/>
      <c r="AN3416" s="37"/>
      <c r="AO3416" s="37"/>
      <c r="AP3416" s="37"/>
      <c r="AQ3416" s="37"/>
      <c r="AR3416" s="37"/>
      <c r="AS3416" s="37"/>
      <c r="AT3416" s="37"/>
      <c r="AU3416" s="37"/>
      <c r="AV3416" s="37"/>
      <c r="AW3416" s="37"/>
      <c r="AX3416" s="37"/>
      <c r="AY3416" s="37"/>
      <c r="AZ3416" s="37"/>
      <c r="BA3416" s="37"/>
      <c r="BB3416" s="37"/>
      <c r="BC3416" s="37"/>
      <c r="BD3416" s="37"/>
      <c r="BE3416" s="37"/>
      <c r="BF3416" s="37"/>
      <c r="BG3416" s="37"/>
      <c r="BH3416" s="37"/>
      <c r="BI3416" s="37"/>
      <c r="BJ3416" s="37"/>
      <c r="BK3416" s="37"/>
      <c r="BL3416" s="37"/>
      <c r="BM3416" s="37"/>
    </row>
    <row r="3417" spans="1:65" s="40" customFormat="1" ht="23.25" x14ac:dyDescent="0.35">
      <c r="A3417" s="37"/>
      <c r="B3417" s="37"/>
      <c r="C3417" s="41"/>
      <c r="D3417" s="38"/>
      <c r="E3417" s="57"/>
      <c r="F3417" s="42"/>
      <c r="G3417" s="43"/>
      <c r="H3417" s="37"/>
      <c r="I3417" s="37"/>
      <c r="J3417" s="38"/>
      <c r="K3417" s="37"/>
      <c r="L3417" s="38"/>
      <c r="M3417" s="39"/>
      <c r="P3417" s="37"/>
      <c r="Q3417" s="37"/>
      <c r="R3417" s="37"/>
      <c r="S3417" s="37"/>
      <c r="T3417" s="37"/>
      <c r="U3417" s="37"/>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7"/>
      <c r="AR3417" s="37"/>
      <c r="AS3417" s="37"/>
      <c r="AT3417" s="37"/>
      <c r="AU3417" s="37"/>
      <c r="AV3417" s="37"/>
      <c r="AW3417" s="37"/>
      <c r="AX3417" s="37"/>
      <c r="AY3417" s="37"/>
      <c r="AZ3417" s="37"/>
      <c r="BA3417" s="37"/>
      <c r="BB3417" s="37"/>
      <c r="BC3417" s="37"/>
      <c r="BD3417" s="37"/>
      <c r="BE3417" s="37"/>
      <c r="BF3417" s="37"/>
      <c r="BG3417" s="37"/>
      <c r="BH3417" s="37"/>
      <c r="BI3417" s="37"/>
      <c r="BJ3417" s="37"/>
      <c r="BK3417" s="37"/>
      <c r="BL3417" s="37"/>
      <c r="BM3417" s="37"/>
    </row>
    <row r="3418" spans="1:65" s="40" customFormat="1" ht="23.25" x14ac:dyDescent="0.35">
      <c r="A3418" s="37"/>
      <c r="B3418" s="37"/>
      <c r="C3418" s="41"/>
      <c r="D3418" s="38"/>
      <c r="E3418" s="57"/>
      <c r="F3418" s="42"/>
      <c r="G3418" s="43"/>
      <c r="H3418" s="37"/>
      <c r="I3418" s="37"/>
      <c r="J3418" s="38"/>
      <c r="K3418" s="37"/>
      <c r="L3418" s="38"/>
      <c r="M3418" s="39"/>
      <c r="P3418" s="37"/>
      <c r="Q3418" s="37"/>
      <c r="R3418" s="37"/>
      <c r="S3418" s="37"/>
      <c r="T3418" s="37"/>
      <c r="U3418" s="37"/>
      <c r="V3418" s="37"/>
      <c r="W3418" s="37"/>
      <c r="X3418" s="37"/>
      <c r="Y3418" s="37"/>
      <c r="Z3418" s="37"/>
      <c r="AA3418" s="37"/>
      <c r="AB3418" s="37"/>
      <c r="AC3418" s="37"/>
      <c r="AD3418" s="37"/>
      <c r="AE3418" s="37"/>
      <c r="AF3418" s="37"/>
      <c r="AG3418" s="37"/>
      <c r="AH3418" s="37"/>
      <c r="AI3418" s="37"/>
      <c r="AJ3418" s="37"/>
      <c r="AK3418" s="37"/>
      <c r="AL3418" s="37"/>
      <c r="AM3418" s="37"/>
      <c r="AN3418" s="37"/>
      <c r="AO3418" s="37"/>
      <c r="AP3418" s="37"/>
      <c r="AQ3418" s="37"/>
      <c r="AR3418" s="37"/>
      <c r="AS3418" s="37"/>
      <c r="AT3418" s="37"/>
      <c r="AU3418" s="37"/>
      <c r="AV3418" s="37"/>
      <c r="AW3418" s="37"/>
      <c r="AX3418" s="37"/>
      <c r="AY3418" s="37"/>
      <c r="AZ3418" s="37"/>
      <c r="BA3418" s="37"/>
      <c r="BB3418" s="37"/>
      <c r="BC3418" s="37"/>
      <c r="BD3418" s="37"/>
      <c r="BE3418" s="37"/>
      <c r="BF3418" s="37"/>
      <c r="BG3418" s="37"/>
      <c r="BH3418" s="37"/>
      <c r="BI3418" s="37"/>
      <c r="BJ3418" s="37"/>
      <c r="BK3418" s="37"/>
      <c r="BL3418" s="37"/>
      <c r="BM3418" s="37"/>
    </row>
    <row r="3419" spans="1:65" s="40" customFormat="1" ht="23.25" x14ac:dyDescent="0.35">
      <c r="A3419" s="37"/>
      <c r="B3419" s="37"/>
      <c r="C3419" s="41"/>
      <c r="D3419" s="38"/>
      <c r="E3419" s="57"/>
      <c r="F3419" s="42"/>
      <c r="G3419" s="43"/>
      <c r="H3419" s="37"/>
      <c r="I3419" s="37"/>
      <c r="J3419" s="38"/>
      <c r="K3419" s="37"/>
      <c r="L3419" s="38"/>
      <c r="M3419" s="39"/>
      <c r="P3419" s="37"/>
      <c r="Q3419" s="37"/>
      <c r="R3419" s="37"/>
      <c r="S3419" s="37"/>
      <c r="T3419" s="37"/>
      <c r="U3419" s="37"/>
      <c r="V3419" s="37"/>
      <c r="W3419" s="37"/>
      <c r="X3419" s="37"/>
      <c r="Y3419" s="37"/>
      <c r="Z3419" s="37"/>
      <c r="AA3419" s="37"/>
      <c r="AB3419" s="37"/>
      <c r="AC3419" s="37"/>
      <c r="AD3419" s="37"/>
      <c r="AE3419" s="37"/>
      <c r="AF3419" s="37"/>
      <c r="AG3419" s="37"/>
      <c r="AH3419" s="37"/>
      <c r="AI3419" s="37"/>
      <c r="AJ3419" s="37"/>
      <c r="AK3419" s="37"/>
      <c r="AL3419" s="37"/>
      <c r="AM3419" s="37"/>
      <c r="AN3419" s="37"/>
      <c r="AO3419" s="37"/>
      <c r="AP3419" s="37"/>
      <c r="AQ3419" s="37"/>
      <c r="AR3419" s="37"/>
      <c r="AS3419" s="37"/>
      <c r="AT3419" s="37"/>
      <c r="AU3419" s="37"/>
      <c r="AV3419" s="37"/>
      <c r="AW3419" s="37"/>
      <c r="AX3419" s="37"/>
      <c r="AY3419" s="37"/>
      <c r="AZ3419" s="37"/>
      <c r="BA3419" s="37"/>
      <c r="BB3419" s="37"/>
      <c r="BC3419" s="37"/>
      <c r="BD3419" s="37"/>
      <c r="BE3419" s="37"/>
      <c r="BF3419" s="37"/>
      <c r="BG3419" s="37"/>
      <c r="BH3419" s="37"/>
      <c r="BI3419" s="37"/>
      <c r="BJ3419" s="37"/>
      <c r="BK3419" s="37"/>
      <c r="BL3419" s="37"/>
      <c r="BM3419" s="37"/>
    </row>
    <row r="3420" spans="1:65" s="40" customFormat="1" ht="23.25" x14ac:dyDescent="0.35">
      <c r="A3420" s="37"/>
      <c r="B3420" s="37"/>
      <c r="C3420" s="41"/>
      <c r="D3420" s="38"/>
      <c r="E3420" s="57"/>
      <c r="F3420" s="42"/>
      <c r="G3420" s="43"/>
      <c r="H3420" s="37"/>
      <c r="I3420" s="37"/>
      <c r="J3420" s="38"/>
      <c r="K3420" s="37"/>
      <c r="L3420" s="38"/>
      <c r="M3420" s="39"/>
      <c r="P3420" s="37"/>
      <c r="Q3420" s="37"/>
      <c r="R3420" s="37"/>
      <c r="S3420" s="37"/>
      <c r="T3420" s="37"/>
      <c r="U3420" s="37"/>
      <c r="V3420" s="37"/>
      <c r="W3420" s="37"/>
      <c r="X3420" s="37"/>
      <c r="Y3420" s="37"/>
      <c r="Z3420" s="37"/>
      <c r="AA3420" s="37"/>
      <c r="AB3420" s="37"/>
      <c r="AC3420" s="37"/>
      <c r="AD3420" s="37"/>
      <c r="AE3420" s="37"/>
      <c r="AF3420" s="37"/>
      <c r="AG3420" s="37"/>
      <c r="AH3420" s="37"/>
      <c r="AI3420" s="37"/>
      <c r="AJ3420" s="37"/>
      <c r="AK3420" s="37"/>
      <c r="AL3420" s="37"/>
      <c r="AM3420" s="37"/>
      <c r="AN3420" s="37"/>
      <c r="AO3420" s="37"/>
      <c r="AP3420" s="37"/>
      <c r="AQ3420" s="37"/>
      <c r="AR3420" s="37"/>
      <c r="AS3420" s="37"/>
      <c r="AT3420" s="37"/>
      <c r="AU3420" s="37"/>
      <c r="AV3420" s="37"/>
      <c r="AW3420" s="37"/>
      <c r="AX3420" s="37"/>
      <c r="AY3420" s="37"/>
      <c r="AZ3420" s="37"/>
      <c r="BA3420" s="37"/>
      <c r="BB3420" s="37"/>
      <c r="BC3420" s="37"/>
      <c r="BD3420" s="37"/>
      <c r="BE3420" s="37"/>
      <c r="BF3420" s="37"/>
      <c r="BG3420" s="37"/>
      <c r="BH3420" s="37"/>
      <c r="BI3420" s="37"/>
      <c r="BJ3420" s="37"/>
      <c r="BK3420" s="37"/>
      <c r="BL3420" s="37"/>
      <c r="BM3420" s="37"/>
    </row>
    <row r="3421" spans="1:65" s="40" customFormat="1" ht="23.25" x14ac:dyDescent="0.35">
      <c r="A3421" s="37"/>
      <c r="B3421" s="37"/>
      <c r="C3421" s="41"/>
      <c r="D3421" s="38"/>
      <c r="E3421" s="57"/>
      <c r="F3421" s="42"/>
      <c r="G3421" s="43"/>
      <c r="H3421" s="37"/>
      <c r="I3421" s="37"/>
      <c r="J3421" s="38"/>
      <c r="K3421" s="37"/>
      <c r="L3421" s="38"/>
      <c r="M3421" s="39"/>
      <c r="P3421" s="37"/>
      <c r="Q3421" s="37"/>
      <c r="R3421" s="37"/>
      <c r="S3421" s="37"/>
      <c r="T3421" s="37"/>
      <c r="U3421" s="37"/>
      <c r="V3421" s="37"/>
      <c r="W3421" s="37"/>
      <c r="X3421" s="37"/>
      <c r="Y3421" s="37"/>
      <c r="Z3421" s="37"/>
      <c r="AA3421" s="37"/>
      <c r="AB3421" s="37"/>
      <c r="AC3421" s="37"/>
      <c r="AD3421" s="37"/>
      <c r="AE3421" s="37"/>
      <c r="AF3421" s="37"/>
      <c r="AG3421" s="37"/>
      <c r="AH3421" s="37"/>
      <c r="AI3421" s="37"/>
      <c r="AJ3421" s="37"/>
      <c r="AK3421" s="37"/>
      <c r="AL3421" s="37"/>
      <c r="AM3421" s="37"/>
      <c r="AN3421" s="37"/>
      <c r="AO3421" s="37"/>
      <c r="AP3421" s="37"/>
      <c r="AQ3421" s="37"/>
      <c r="AR3421" s="37"/>
      <c r="AS3421" s="37"/>
      <c r="AT3421" s="37"/>
      <c r="AU3421" s="37"/>
      <c r="AV3421" s="37"/>
      <c r="AW3421" s="37"/>
      <c r="AX3421" s="37"/>
      <c r="AY3421" s="37"/>
      <c r="AZ3421" s="37"/>
      <c r="BA3421" s="37"/>
      <c r="BB3421" s="37"/>
      <c r="BC3421" s="37"/>
      <c r="BD3421" s="37"/>
      <c r="BE3421" s="37"/>
      <c r="BF3421" s="37"/>
      <c r="BG3421" s="37"/>
      <c r="BH3421" s="37"/>
      <c r="BI3421" s="37"/>
      <c r="BJ3421" s="37"/>
      <c r="BK3421" s="37"/>
      <c r="BL3421" s="37"/>
      <c r="BM3421" s="37"/>
    </row>
    <row r="3422" spans="1:65" s="40" customFormat="1" ht="23.25" x14ac:dyDescent="0.35">
      <c r="A3422" s="37"/>
      <c r="B3422" s="37"/>
      <c r="C3422" s="41"/>
      <c r="D3422" s="38"/>
      <c r="E3422" s="57"/>
      <c r="F3422" s="42"/>
      <c r="G3422" s="43"/>
      <c r="H3422" s="37"/>
      <c r="I3422" s="37"/>
      <c r="J3422" s="38"/>
      <c r="K3422" s="37"/>
      <c r="L3422" s="38"/>
      <c r="M3422" s="39"/>
      <c r="P3422" s="37"/>
      <c r="Q3422" s="37"/>
      <c r="R3422" s="37"/>
      <c r="S3422" s="37"/>
      <c r="T3422" s="37"/>
      <c r="U3422" s="37"/>
      <c r="V3422" s="37"/>
      <c r="W3422" s="37"/>
      <c r="X3422" s="37"/>
      <c r="Y3422" s="37"/>
      <c r="Z3422" s="37"/>
      <c r="AA3422" s="37"/>
      <c r="AB3422" s="37"/>
      <c r="AC3422" s="37"/>
      <c r="AD3422" s="37"/>
      <c r="AE3422" s="37"/>
      <c r="AF3422" s="37"/>
      <c r="AG3422" s="37"/>
      <c r="AH3422" s="37"/>
      <c r="AI3422" s="37"/>
      <c r="AJ3422" s="37"/>
      <c r="AK3422" s="37"/>
      <c r="AL3422" s="37"/>
      <c r="AM3422" s="37"/>
      <c r="AN3422" s="37"/>
      <c r="AO3422" s="37"/>
      <c r="AP3422" s="37"/>
      <c r="AQ3422" s="37"/>
      <c r="AR3422" s="37"/>
      <c r="AS3422" s="37"/>
      <c r="AT3422" s="37"/>
      <c r="AU3422" s="37"/>
      <c r="AV3422" s="37"/>
      <c r="AW3422" s="37"/>
      <c r="AX3422" s="37"/>
      <c r="AY3422" s="37"/>
      <c r="AZ3422" s="37"/>
      <c r="BA3422" s="37"/>
      <c r="BB3422" s="37"/>
      <c r="BC3422" s="37"/>
      <c r="BD3422" s="37"/>
      <c r="BE3422" s="37"/>
      <c r="BF3422" s="37"/>
      <c r="BG3422" s="37"/>
      <c r="BH3422" s="37"/>
      <c r="BI3422" s="37"/>
      <c r="BJ3422" s="37"/>
      <c r="BK3422" s="37"/>
      <c r="BL3422" s="37"/>
      <c r="BM3422" s="37"/>
    </row>
    <row r="3423" spans="1:65" s="40" customFormat="1" ht="23.25" x14ac:dyDescent="0.35">
      <c r="A3423" s="37"/>
      <c r="B3423" s="37"/>
      <c r="C3423" s="41"/>
      <c r="D3423" s="38"/>
      <c r="E3423" s="57"/>
      <c r="F3423" s="42"/>
      <c r="G3423" s="43"/>
      <c r="H3423" s="37"/>
      <c r="I3423" s="37"/>
      <c r="J3423" s="38"/>
      <c r="K3423" s="37"/>
      <c r="L3423" s="38"/>
      <c r="M3423" s="39"/>
      <c r="P3423" s="37"/>
      <c r="Q3423" s="37"/>
      <c r="R3423" s="37"/>
      <c r="S3423" s="37"/>
      <c r="T3423" s="37"/>
      <c r="U3423" s="37"/>
      <c r="V3423" s="37"/>
      <c r="W3423" s="37"/>
      <c r="X3423" s="37"/>
      <c r="Y3423" s="37"/>
      <c r="Z3423" s="37"/>
      <c r="AA3423" s="37"/>
      <c r="AB3423" s="37"/>
      <c r="AC3423" s="37"/>
      <c r="AD3423" s="37"/>
      <c r="AE3423" s="37"/>
      <c r="AF3423" s="37"/>
      <c r="AG3423" s="37"/>
      <c r="AH3423" s="37"/>
      <c r="AI3423" s="37"/>
      <c r="AJ3423" s="37"/>
      <c r="AK3423" s="37"/>
      <c r="AL3423" s="37"/>
      <c r="AM3423" s="37"/>
      <c r="AN3423" s="37"/>
      <c r="AO3423" s="37"/>
      <c r="AP3423" s="37"/>
      <c r="AQ3423" s="37"/>
      <c r="AR3423" s="37"/>
      <c r="AS3423" s="37"/>
      <c r="AT3423" s="37"/>
      <c r="AU3423" s="37"/>
      <c r="AV3423" s="37"/>
      <c r="AW3423" s="37"/>
      <c r="AX3423" s="37"/>
      <c r="AY3423" s="37"/>
      <c r="AZ3423" s="37"/>
      <c r="BA3423" s="37"/>
      <c r="BB3423" s="37"/>
      <c r="BC3423" s="37"/>
      <c r="BD3423" s="37"/>
      <c r="BE3423" s="37"/>
      <c r="BF3423" s="37"/>
      <c r="BG3423" s="37"/>
      <c r="BH3423" s="37"/>
      <c r="BI3423" s="37"/>
      <c r="BJ3423" s="37"/>
      <c r="BK3423" s="37"/>
      <c r="BL3423" s="37"/>
      <c r="BM3423" s="37"/>
    </row>
    <row r="3424" spans="1:65" s="40" customFormat="1" ht="23.25" x14ac:dyDescent="0.35">
      <c r="A3424" s="37"/>
      <c r="B3424" s="37"/>
      <c r="C3424" s="41"/>
      <c r="D3424" s="38"/>
      <c r="E3424" s="57"/>
      <c r="F3424" s="42"/>
      <c r="G3424" s="43"/>
      <c r="H3424" s="37"/>
      <c r="I3424" s="37"/>
      <c r="J3424" s="38"/>
      <c r="K3424" s="37"/>
      <c r="L3424" s="38"/>
      <c r="M3424" s="39"/>
      <c r="P3424" s="37"/>
      <c r="Q3424" s="37"/>
      <c r="R3424" s="37"/>
      <c r="S3424" s="37"/>
      <c r="T3424" s="37"/>
      <c r="U3424" s="37"/>
      <c r="V3424" s="37"/>
      <c r="W3424" s="37"/>
      <c r="X3424" s="37"/>
      <c r="Y3424" s="37"/>
      <c r="Z3424" s="37"/>
      <c r="AA3424" s="37"/>
      <c r="AB3424" s="37"/>
      <c r="AC3424" s="37"/>
      <c r="AD3424" s="37"/>
      <c r="AE3424" s="37"/>
      <c r="AF3424" s="37"/>
      <c r="AG3424" s="37"/>
      <c r="AH3424" s="37"/>
      <c r="AI3424" s="37"/>
      <c r="AJ3424" s="37"/>
      <c r="AK3424" s="37"/>
      <c r="AL3424" s="37"/>
      <c r="AM3424" s="37"/>
      <c r="AN3424" s="37"/>
      <c r="AO3424" s="37"/>
      <c r="AP3424" s="37"/>
      <c r="AQ3424" s="37"/>
      <c r="AR3424" s="37"/>
      <c r="AS3424" s="37"/>
      <c r="AT3424" s="37"/>
      <c r="AU3424" s="37"/>
      <c r="AV3424" s="37"/>
      <c r="AW3424" s="37"/>
      <c r="AX3424" s="37"/>
      <c r="AY3424" s="37"/>
      <c r="AZ3424" s="37"/>
      <c r="BA3424" s="37"/>
      <c r="BB3424" s="37"/>
      <c r="BC3424" s="37"/>
      <c r="BD3424" s="37"/>
      <c r="BE3424" s="37"/>
      <c r="BF3424" s="37"/>
      <c r="BG3424" s="37"/>
      <c r="BH3424" s="37"/>
      <c r="BI3424" s="37"/>
      <c r="BJ3424" s="37"/>
      <c r="BK3424" s="37"/>
      <c r="BL3424" s="37"/>
      <c r="BM3424" s="37"/>
    </row>
    <row r="3425" spans="1:65" s="40" customFormat="1" ht="23.25" x14ac:dyDescent="0.35">
      <c r="A3425" s="37"/>
      <c r="B3425" s="37"/>
      <c r="C3425" s="41"/>
      <c r="D3425" s="38"/>
      <c r="E3425" s="57"/>
      <c r="F3425" s="42"/>
      <c r="G3425" s="43"/>
      <c r="H3425" s="37"/>
      <c r="I3425" s="37"/>
      <c r="J3425" s="38"/>
      <c r="K3425" s="37"/>
      <c r="L3425" s="38"/>
      <c r="M3425" s="39"/>
      <c r="P3425" s="37"/>
      <c r="Q3425" s="37"/>
      <c r="R3425" s="37"/>
      <c r="S3425" s="37"/>
      <c r="T3425" s="37"/>
      <c r="U3425" s="37"/>
      <c r="V3425" s="37"/>
      <c r="W3425" s="37"/>
      <c r="X3425" s="37"/>
      <c r="Y3425" s="37"/>
      <c r="Z3425" s="37"/>
      <c r="AA3425" s="37"/>
      <c r="AB3425" s="37"/>
      <c r="AC3425" s="37"/>
      <c r="AD3425" s="37"/>
      <c r="AE3425" s="37"/>
      <c r="AF3425" s="37"/>
      <c r="AG3425" s="37"/>
      <c r="AH3425" s="37"/>
      <c r="AI3425" s="37"/>
      <c r="AJ3425" s="37"/>
      <c r="AK3425" s="37"/>
      <c r="AL3425" s="37"/>
      <c r="AM3425" s="37"/>
      <c r="AN3425" s="37"/>
      <c r="AO3425" s="37"/>
      <c r="AP3425" s="37"/>
      <c r="AQ3425" s="37"/>
      <c r="AR3425" s="37"/>
      <c r="AS3425" s="37"/>
      <c r="AT3425" s="37"/>
      <c r="AU3425" s="37"/>
      <c r="AV3425" s="37"/>
      <c r="AW3425" s="37"/>
      <c r="AX3425" s="37"/>
      <c r="AY3425" s="37"/>
      <c r="AZ3425" s="37"/>
      <c r="BA3425" s="37"/>
      <c r="BB3425" s="37"/>
      <c r="BC3425" s="37"/>
      <c r="BD3425" s="37"/>
      <c r="BE3425" s="37"/>
      <c r="BF3425" s="37"/>
      <c r="BG3425" s="37"/>
      <c r="BH3425" s="37"/>
      <c r="BI3425" s="37"/>
      <c r="BJ3425" s="37"/>
      <c r="BK3425" s="37"/>
      <c r="BL3425" s="37"/>
      <c r="BM3425" s="37"/>
    </row>
    <row r="3426" spans="1:65" s="40" customFormat="1" ht="23.25" x14ac:dyDescent="0.35">
      <c r="A3426" s="37"/>
      <c r="B3426" s="37"/>
      <c r="C3426" s="41"/>
      <c r="D3426" s="38"/>
      <c r="E3426" s="57"/>
      <c r="F3426" s="42"/>
      <c r="G3426" s="43"/>
      <c r="H3426" s="37"/>
      <c r="I3426" s="37"/>
      <c r="J3426" s="38"/>
      <c r="K3426" s="37"/>
      <c r="L3426" s="38"/>
      <c r="M3426" s="39"/>
      <c r="P3426" s="37"/>
      <c r="Q3426" s="37"/>
      <c r="R3426" s="37"/>
      <c r="S3426" s="37"/>
      <c r="T3426" s="37"/>
      <c r="U3426" s="37"/>
      <c r="V3426" s="37"/>
      <c r="W3426" s="37"/>
      <c r="X3426" s="37"/>
      <c r="Y3426" s="37"/>
      <c r="Z3426" s="37"/>
      <c r="AA3426" s="37"/>
      <c r="AB3426" s="37"/>
      <c r="AC3426" s="37"/>
      <c r="AD3426" s="37"/>
      <c r="AE3426" s="37"/>
      <c r="AF3426" s="37"/>
      <c r="AG3426" s="37"/>
      <c r="AH3426" s="37"/>
      <c r="AI3426" s="37"/>
      <c r="AJ3426" s="37"/>
      <c r="AK3426" s="37"/>
      <c r="AL3426" s="37"/>
      <c r="AM3426" s="37"/>
      <c r="AN3426" s="37"/>
      <c r="AO3426" s="37"/>
      <c r="AP3426" s="37"/>
      <c r="AQ3426" s="37"/>
      <c r="AR3426" s="37"/>
      <c r="AS3426" s="37"/>
      <c r="AT3426" s="37"/>
      <c r="AU3426" s="37"/>
      <c r="AV3426" s="37"/>
      <c r="AW3426" s="37"/>
      <c r="AX3426" s="37"/>
      <c r="AY3426" s="37"/>
      <c r="AZ3426" s="37"/>
      <c r="BA3426" s="37"/>
      <c r="BB3426" s="37"/>
      <c r="BC3426" s="37"/>
      <c r="BD3426" s="37"/>
      <c r="BE3426" s="37"/>
      <c r="BF3426" s="37"/>
      <c r="BG3426" s="37"/>
      <c r="BH3426" s="37"/>
      <c r="BI3426" s="37"/>
      <c r="BJ3426" s="37"/>
      <c r="BK3426" s="37"/>
      <c r="BL3426" s="37"/>
      <c r="BM3426" s="37"/>
    </row>
    <row r="3427" spans="1:65" s="40" customFormat="1" ht="23.25" x14ac:dyDescent="0.35">
      <c r="A3427" s="37"/>
      <c r="B3427" s="37"/>
      <c r="C3427" s="41"/>
      <c r="D3427" s="38"/>
      <c r="E3427" s="57"/>
      <c r="F3427" s="42"/>
      <c r="G3427" s="43"/>
      <c r="H3427" s="37"/>
      <c r="I3427" s="37"/>
      <c r="J3427" s="38"/>
      <c r="K3427" s="37"/>
      <c r="L3427" s="38"/>
      <c r="M3427" s="39"/>
      <c r="P3427" s="37"/>
      <c r="Q3427" s="37"/>
      <c r="R3427" s="37"/>
      <c r="S3427" s="37"/>
      <c r="T3427" s="37"/>
      <c r="U3427" s="37"/>
      <c r="V3427" s="37"/>
      <c r="W3427" s="37"/>
      <c r="X3427" s="37"/>
      <c r="Y3427" s="37"/>
      <c r="Z3427" s="37"/>
      <c r="AA3427" s="37"/>
      <c r="AB3427" s="37"/>
      <c r="AC3427" s="37"/>
      <c r="AD3427" s="37"/>
      <c r="AE3427" s="37"/>
      <c r="AF3427" s="37"/>
      <c r="AG3427" s="37"/>
      <c r="AH3427" s="37"/>
      <c r="AI3427" s="37"/>
      <c r="AJ3427" s="37"/>
      <c r="AK3427" s="37"/>
      <c r="AL3427" s="37"/>
      <c r="AM3427" s="37"/>
      <c r="AN3427" s="37"/>
      <c r="AO3427" s="37"/>
      <c r="AP3427" s="37"/>
      <c r="AQ3427" s="37"/>
      <c r="AR3427" s="37"/>
      <c r="AS3427" s="37"/>
      <c r="AT3427" s="37"/>
      <c r="AU3427" s="37"/>
      <c r="AV3427" s="37"/>
      <c r="AW3427" s="37"/>
      <c r="AX3427" s="37"/>
      <c r="AY3427" s="37"/>
      <c r="AZ3427" s="37"/>
      <c r="BA3427" s="37"/>
      <c r="BB3427" s="37"/>
      <c r="BC3427" s="37"/>
      <c r="BD3427" s="37"/>
      <c r="BE3427" s="37"/>
      <c r="BF3427" s="37"/>
      <c r="BG3427" s="37"/>
      <c r="BH3427" s="37"/>
      <c r="BI3427" s="37"/>
      <c r="BJ3427" s="37"/>
      <c r="BK3427" s="37"/>
      <c r="BL3427" s="37"/>
      <c r="BM3427" s="37"/>
    </row>
    <row r="3428" spans="1:65" s="40" customFormat="1" ht="23.25" x14ac:dyDescent="0.35">
      <c r="A3428" s="37"/>
      <c r="B3428" s="37"/>
      <c r="C3428" s="41"/>
      <c r="D3428" s="38"/>
      <c r="E3428" s="57"/>
      <c r="F3428" s="42"/>
      <c r="G3428" s="43"/>
      <c r="H3428" s="37"/>
      <c r="I3428" s="37"/>
      <c r="J3428" s="38"/>
      <c r="K3428" s="37"/>
      <c r="L3428" s="38"/>
      <c r="M3428" s="39"/>
      <c r="P3428" s="37"/>
      <c r="Q3428" s="37"/>
      <c r="R3428" s="37"/>
      <c r="S3428" s="37"/>
      <c r="T3428" s="37"/>
      <c r="U3428" s="37"/>
      <c r="V3428" s="37"/>
      <c r="W3428" s="37"/>
      <c r="X3428" s="37"/>
      <c r="Y3428" s="37"/>
      <c r="Z3428" s="37"/>
      <c r="AA3428" s="37"/>
      <c r="AB3428" s="37"/>
      <c r="AC3428" s="37"/>
      <c r="AD3428" s="37"/>
      <c r="AE3428" s="37"/>
      <c r="AF3428" s="37"/>
      <c r="AG3428" s="37"/>
      <c r="AH3428" s="37"/>
      <c r="AI3428" s="37"/>
      <c r="AJ3428" s="37"/>
      <c r="AK3428" s="37"/>
      <c r="AL3428" s="37"/>
      <c r="AM3428" s="37"/>
      <c r="AN3428" s="37"/>
      <c r="AO3428" s="37"/>
      <c r="AP3428" s="37"/>
      <c r="AQ3428" s="37"/>
      <c r="AR3428" s="37"/>
      <c r="AS3428" s="37"/>
      <c r="AT3428" s="37"/>
      <c r="AU3428" s="37"/>
      <c r="AV3428" s="37"/>
      <c r="AW3428" s="37"/>
      <c r="AX3428" s="37"/>
      <c r="AY3428" s="37"/>
      <c r="AZ3428" s="37"/>
      <c r="BA3428" s="37"/>
      <c r="BB3428" s="37"/>
      <c r="BC3428" s="37"/>
      <c r="BD3428" s="37"/>
      <c r="BE3428" s="37"/>
      <c r="BF3428" s="37"/>
      <c r="BG3428" s="37"/>
      <c r="BH3428" s="37"/>
      <c r="BI3428" s="37"/>
      <c r="BJ3428" s="37"/>
      <c r="BK3428" s="37"/>
      <c r="BL3428" s="37"/>
      <c r="BM3428" s="37"/>
    </row>
    <row r="3429" spans="1:65" s="40" customFormat="1" ht="23.25" x14ac:dyDescent="0.35">
      <c r="A3429" s="37"/>
      <c r="B3429" s="37"/>
      <c r="C3429" s="41"/>
      <c r="D3429" s="38"/>
      <c r="E3429" s="57"/>
      <c r="F3429" s="42"/>
      <c r="G3429" s="43"/>
      <c r="H3429" s="37"/>
      <c r="I3429" s="37"/>
      <c r="J3429" s="38"/>
      <c r="K3429" s="37"/>
      <c r="L3429" s="38"/>
      <c r="M3429" s="39"/>
      <c r="P3429" s="37"/>
      <c r="Q3429" s="37"/>
      <c r="R3429" s="37"/>
      <c r="S3429" s="37"/>
      <c r="T3429" s="37"/>
      <c r="U3429" s="37"/>
      <c r="V3429" s="37"/>
      <c r="W3429" s="37"/>
      <c r="X3429" s="37"/>
      <c r="Y3429" s="37"/>
      <c r="Z3429" s="37"/>
      <c r="AA3429" s="37"/>
      <c r="AB3429" s="37"/>
      <c r="AC3429" s="37"/>
      <c r="AD3429" s="37"/>
      <c r="AE3429" s="37"/>
      <c r="AF3429" s="37"/>
      <c r="AG3429" s="37"/>
      <c r="AH3429" s="37"/>
      <c r="AI3429" s="37"/>
      <c r="AJ3429" s="37"/>
      <c r="AK3429" s="37"/>
      <c r="AL3429" s="37"/>
      <c r="AM3429" s="37"/>
      <c r="AN3429" s="37"/>
      <c r="AO3429" s="37"/>
      <c r="AP3429" s="37"/>
      <c r="AQ3429" s="37"/>
      <c r="AR3429" s="37"/>
      <c r="AS3429" s="37"/>
      <c r="AT3429" s="37"/>
      <c r="AU3429" s="37"/>
      <c r="AV3429" s="37"/>
      <c r="AW3429" s="37"/>
      <c r="AX3429" s="37"/>
      <c r="AY3429" s="37"/>
      <c r="AZ3429" s="37"/>
      <c r="BA3429" s="37"/>
      <c r="BB3429" s="37"/>
      <c r="BC3429" s="37"/>
      <c r="BD3429" s="37"/>
      <c r="BE3429" s="37"/>
      <c r="BF3429" s="37"/>
      <c r="BG3429" s="37"/>
      <c r="BH3429" s="37"/>
      <c r="BI3429" s="37"/>
      <c r="BJ3429" s="37"/>
      <c r="BK3429" s="37"/>
      <c r="BL3429" s="37"/>
      <c r="BM3429" s="37"/>
    </row>
    <row r="3430" spans="1:65" s="40" customFormat="1" ht="23.25" x14ac:dyDescent="0.35">
      <c r="A3430" s="37"/>
      <c r="B3430" s="37"/>
      <c r="C3430" s="41"/>
      <c r="D3430" s="38"/>
      <c r="E3430" s="57"/>
      <c r="F3430" s="42"/>
      <c r="G3430" s="43"/>
      <c r="H3430" s="37"/>
      <c r="I3430" s="37"/>
      <c r="J3430" s="38"/>
      <c r="K3430" s="37"/>
      <c r="L3430" s="38"/>
      <c r="M3430" s="39"/>
      <c r="P3430" s="37"/>
      <c r="Q3430" s="37"/>
      <c r="R3430" s="37"/>
      <c r="S3430" s="37"/>
      <c r="T3430" s="37"/>
      <c r="U3430" s="37"/>
      <c r="V3430" s="37"/>
      <c r="W3430" s="37"/>
      <c r="X3430" s="37"/>
      <c r="Y3430" s="37"/>
      <c r="Z3430" s="37"/>
      <c r="AA3430" s="37"/>
      <c r="AB3430" s="37"/>
      <c r="AC3430" s="37"/>
      <c r="AD3430" s="37"/>
      <c r="AE3430" s="37"/>
      <c r="AF3430" s="37"/>
      <c r="AG3430" s="37"/>
      <c r="AH3430" s="37"/>
      <c r="AI3430" s="37"/>
      <c r="AJ3430" s="37"/>
      <c r="AK3430" s="37"/>
      <c r="AL3430" s="37"/>
      <c r="AM3430" s="37"/>
      <c r="AN3430" s="37"/>
      <c r="AO3430" s="37"/>
      <c r="AP3430" s="37"/>
      <c r="AQ3430" s="37"/>
      <c r="AR3430" s="37"/>
      <c r="AS3430" s="37"/>
      <c r="AT3430" s="37"/>
      <c r="AU3430" s="37"/>
      <c r="AV3430" s="37"/>
      <c r="AW3430" s="37"/>
      <c r="AX3430" s="37"/>
      <c r="AY3430" s="37"/>
      <c r="AZ3430" s="37"/>
      <c r="BA3430" s="37"/>
      <c r="BB3430" s="37"/>
      <c r="BC3430" s="37"/>
      <c r="BD3430" s="37"/>
      <c r="BE3430" s="37"/>
      <c r="BF3430" s="37"/>
      <c r="BG3430" s="37"/>
      <c r="BH3430" s="37"/>
      <c r="BI3430" s="37"/>
      <c r="BJ3430" s="37"/>
      <c r="BK3430" s="37"/>
      <c r="BL3430" s="37"/>
      <c r="BM3430" s="37"/>
    </row>
    <row r="3431" spans="1:65" s="40" customFormat="1" ht="23.25" x14ac:dyDescent="0.35">
      <c r="A3431" s="37"/>
      <c r="B3431" s="37"/>
      <c r="C3431" s="41"/>
      <c r="D3431" s="38"/>
      <c r="E3431" s="57"/>
      <c r="F3431" s="42"/>
      <c r="G3431" s="43"/>
      <c r="H3431" s="37"/>
      <c r="I3431" s="37"/>
      <c r="J3431" s="38"/>
      <c r="K3431" s="37"/>
      <c r="L3431" s="38"/>
      <c r="M3431" s="39"/>
      <c r="P3431" s="37"/>
      <c r="Q3431" s="37"/>
      <c r="R3431" s="37"/>
      <c r="S3431" s="37"/>
      <c r="T3431" s="37"/>
      <c r="U3431" s="37"/>
      <c r="V3431" s="37"/>
      <c r="W3431" s="37"/>
      <c r="X3431" s="37"/>
      <c r="Y3431" s="37"/>
      <c r="Z3431" s="37"/>
      <c r="AA3431" s="37"/>
      <c r="AB3431" s="37"/>
      <c r="AC3431" s="37"/>
      <c r="AD3431" s="37"/>
      <c r="AE3431" s="37"/>
      <c r="AF3431" s="37"/>
      <c r="AG3431" s="37"/>
      <c r="AH3431" s="37"/>
      <c r="AI3431" s="37"/>
      <c r="AJ3431" s="37"/>
      <c r="AK3431" s="37"/>
      <c r="AL3431" s="37"/>
      <c r="AM3431" s="37"/>
      <c r="AN3431" s="37"/>
      <c r="AO3431" s="37"/>
      <c r="AP3431" s="37"/>
      <c r="AQ3431" s="37"/>
      <c r="AR3431" s="37"/>
      <c r="AS3431" s="37"/>
      <c r="AT3431" s="37"/>
      <c r="AU3431" s="37"/>
      <c r="AV3431" s="37"/>
      <c r="AW3431" s="37"/>
      <c r="AX3431" s="37"/>
      <c r="AY3431" s="37"/>
      <c r="AZ3431" s="37"/>
      <c r="BA3431" s="37"/>
      <c r="BB3431" s="37"/>
      <c r="BC3431" s="37"/>
      <c r="BD3431" s="37"/>
      <c r="BE3431" s="37"/>
      <c r="BF3431" s="37"/>
      <c r="BG3431" s="37"/>
      <c r="BH3431" s="37"/>
      <c r="BI3431" s="37"/>
      <c r="BJ3431" s="37"/>
      <c r="BK3431" s="37"/>
      <c r="BL3431" s="37"/>
      <c r="BM3431" s="37"/>
    </row>
    <row r="3432" spans="1:65" s="40" customFormat="1" ht="23.25" x14ac:dyDescent="0.35">
      <c r="A3432" s="37"/>
      <c r="B3432" s="37"/>
      <c r="C3432" s="41"/>
      <c r="D3432" s="38"/>
      <c r="E3432" s="57"/>
      <c r="F3432" s="42"/>
      <c r="G3432" s="43"/>
      <c r="H3432" s="37"/>
      <c r="I3432" s="37"/>
      <c r="J3432" s="38"/>
      <c r="K3432" s="37"/>
      <c r="L3432" s="38"/>
      <c r="M3432" s="39"/>
      <c r="P3432" s="37"/>
      <c r="Q3432" s="37"/>
      <c r="R3432" s="37"/>
      <c r="S3432" s="37"/>
      <c r="T3432" s="37"/>
      <c r="U3432" s="37"/>
      <c r="V3432" s="37"/>
      <c r="W3432" s="37"/>
      <c r="X3432" s="37"/>
      <c r="Y3432" s="37"/>
      <c r="Z3432" s="37"/>
      <c r="AA3432" s="37"/>
      <c r="AB3432" s="37"/>
      <c r="AC3432" s="37"/>
      <c r="AD3432" s="37"/>
      <c r="AE3432" s="37"/>
      <c r="AF3432" s="37"/>
      <c r="AG3432" s="37"/>
      <c r="AH3432" s="37"/>
      <c r="AI3432" s="37"/>
      <c r="AJ3432" s="37"/>
      <c r="AK3432" s="37"/>
      <c r="AL3432" s="37"/>
      <c r="AM3432" s="37"/>
      <c r="AN3432" s="37"/>
      <c r="AO3432" s="37"/>
      <c r="AP3432" s="37"/>
      <c r="AQ3432" s="37"/>
      <c r="AR3432" s="37"/>
      <c r="AS3432" s="37"/>
      <c r="AT3432" s="37"/>
      <c r="AU3432" s="37"/>
      <c r="AV3432" s="37"/>
      <c r="AW3432" s="37"/>
      <c r="AX3432" s="37"/>
      <c r="AY3432" s="37"/>
      <c r="AZ3432" s="37"/>
      <c r="BA3432" s="37"/>
      <c r="BB3432" s="37"/>
      <c r="BC3432" s="37"/>
      <c r="BD3432" s="37"/>
      <c r="BE3432" s="37"/>
      <c r="BF3432" s="37"/>
      <c r="BG3432" s="37"/>
      <c r="BH3432" s="37"/>
      <c r="BI3432" s="37"/>
      <c r="BJ3432" s="37"/>
      <c r="BK3432" s="37"/>
      <c r="BL3432" s="37"/>
      <c r="BM3432" s="37"/>
    </row>
    <row r="3433" spans="1:65" s="40" customFormat="1" ht="23.25" x14ac:dyDescent="0.35">
      <c r="A3433" s="37"/>
      <c r="B3433" s="37"/>
      <c r="C3433" s="41"/>
      <c r="D3433" s="38"/>
      <c r="E3433" s="57"/>
      <c r="F3433" s="42"/>
      <c r="G3433" s="43"/>
      <c r="H3433" s="37"/>
      <c r="I3433" s="37"/>
      <c r="J3433" s="38"/>
      <c r="K3433" s="37"/>
      <c r="L3433" s="38"/>
      <c r="M3433" s="39"/>
      <c r="P3433" s="37"/>
      <c r="Q3433" s="37"/>
      <c r="R3433" s="37"/>
      <c r="S3433" s="37"/>
      <c r="T3433" s="37"/>
      <c r="U3433" s="37"/>
      <c r="V3433" s="37"/>
      <c r="W3433" s="37"/>
      <c r="X3433" s="37"/>
      <c r="Y3433" s="37"/>
      <c r="Z3433" s="37"/>
      <c r="AA3433" s="37"/>
      <c r="AB3433" s="37"/>
      <c r="AC3433" s="37"/>
      <c r="AD3433" s="37"/>
      <c r="AE3433" s="37"/>
      <c r="AF3433" s="37"/>
      <c r="AG3433" s="37"/>
      <c r="AH3433" s="37"/>
      <c r="AI3433" s="37"/>
      <c r="AJ3433" s="37"/>
      <c r="AK3433" s="37"/>
      <c r="AL3433" s="37"/>
      <c r="AM3433" s="37"/>
      <c r="AN3433" s="37"/>
      <c r="AO3433" s="37"/>
      <c r="AP3433" s="37"/>
      <c r="AQ3433" s="37"/>
      <c r="AR3433" s="37"/>
      <c r="AS3433" s="37"/>
      <c r="AT3433" s="37"/>
      <c r="AU3433" s="37"/>
      <c r="AV3433" s="37"/>
      <c r="AW3433" s="37"/>
      <c r="AX3433" s="37"/>
      <c r="AY3433" s="37"/>
      <c r="AZ3433" s="37"/>
      <c r="BA3433" s="37"/>
      <c r="BB3433" s="37"/>
      <c r="BC3433" s="37"/>
      <c r="BD3433" s="37"/>
      <c r="BE3433" s="37"/>
      <c r="BF3433" s="37"/>
      <c r="BG3433" s="37"/>
      <c r="BH3433" s="37"/>
      <c r="BI3433" s="37"/>
      <c r="BJ3433" s="37"/>
      <c r="BK3433" s="37"/>
      <c r="BL3433" s="37"/>
      <c r="BM3433" s="37"/>
    </row>
    <row r="3434" spans="1:65" s="40" customFormat="1" ht="23.25" x14ac:dyDescent="0.35">
      <c r="A3434" s="37"/>
      <c r="B3434" s="37"/>
      <c r="C3434" s="41"/>
      <c r="D3434" s="38"/>
      <c r="E3434" s="57"/>
      <c r="F3434" s="42"/>
      <c r="G3434" s="43"/>
      <c r="H3434" s="37"/>
      <c r="I3434" s="37"/>
      <c r="J3434" s="38"/>
      <c r="K3434" s="37"/>
      <c r="L3434" s="38"/>
      <c r="M3434" s="39"/>
      <c r="P3434" s="37"/>
      <c r="Q3434" s="37"/>
      <c r="R3434" s="37"/>
      <c r="S3434" s="37"/>
      <c r="T3434" s="37"/>
      <c r="U3434" s="37"/>
      <c r="V3434" s="37"/>
      <c r="W3434" s="37"/>
      <c r="X3434" s="37"/>
      <c r="Y3434" s="37"/>
      <c r="Z3434" s="37"/>
      <c r="AA3434" s="37"/>
      <c r="AB3434" s="37"/>
      <c r="AC3434" s="37"/>
      <c r="AD3434" s="37"/>
      <c r="AE3434" s="37"/>
      <c r="AF3434" s="37"/>
      <c r="AG3434" s="37"/>
      <c r="AH3434" s="37"/>
      <c r="AI3434" s="37"/>
      <c r="AJ3434" s="37"/>
      <c r="AK3434" s="37"/>
      <c r="AL3434" s="37"/>
      <c r="AM3434" s="37"/>
      <c r="AN3434" s="37"/>
      <c r="AO3434" s="37"/>
      <c r="AP3434" s="37"/>
      <c r="AQ3434" s="37"/>
      <c r="AR3434" s="37"/>
      <c r="AS3434" s="37"/>
      <c r="AT3434" s="37"/>
      <c r="AU3434" s="37"/>
      <c r="AV3434" s="37"/>
      <c r="AW3434" s="37"/>
      <c r="AX3434" s="37"/>
      <c r="AY3434" s="37"/>
      <c r="AZ3434" s="37"/>
      <c r="BA3434" s="37"/>
      <c r="BB3434" s="37"/>
      <c r="BC3434" s="37"/>
      <c r="BD3434" s="37"/>
      <c r="BE3434" s="37"/>
      <c r="BF3434" s="37"/>
      <c r="BG3434" s="37"/>
      <c r="BH3434" s="37"/>
      <c r="BI3434" s="37"/>
      <c r="BJ3434" s="37"/>
      <c r="BK3434" s="37"/>
      <c r="BL3434" s="37"/>
      <c r="BM3434" s="37"/>
    </row>
    <row r="3435" spans="1:65" s="40" customFormat="1" ht="23.25" x14ac:dyDescent="0.35">
      <c r="A3435" s="37"/>
      <c r="B3435" s="37"/>
      <c r="C3435" s="41"/>
      <c r="D3435" s="38"/>
      <c r="E3435" s="57"/>
      <c r="F3435" s="42"/>
      <c r="G3435" s="43"/>
      <c r="H3435" s="37"/>
      <c r="I3435" s="37"/>
      <c r="J3435" s="38"/>
      <c r="K3435" s="37"/>
      <c r="L3435" s="38"/>
      <c r="M3435" s="39"/>
      <c r="P3435" s="37"/>
      <c r="Q3435" s="37"/>
      <c r="R3435" s="37"/>
      <c r="S3435" s="37"/>
      <c r="T3435" s="37"/>
      <c r="U3435" s="37"/>
      <c r="V3435" s="37"/>
      <c r="W3435" s="37"/>
      <c r="X3435" s="37"/>
      <c r="Y3435" s="37"/>
      <c r="Z3435" s="37"/>
      <c r="AA3435" s="37"/>
      <c r="AB3435" s="37"/>
      <c r="AC3435" s="37"/>
      <c r="AD3435" s="37"/>
      <c r="AE3435" s="37"/>
      <c r="AF3435" s="37"/>
      <c r="AG3435" s="37"/>
      <c r="AH3435" s="37"/>
      <c r="AI3435" s="37"/>
      <c r="AJ3435" s="37"/>
      <c r="AK3435" s="37"/>
      <c r="AL3435" s="37"/>
      <c r="AM3435" s="37"/>
      <c r="AN3435" s="37"/>
      <c r="AO3435" s="37"/>
      <c r="AP3435" s="37"/>
      <c r="AQ3435" s="37"/>
      <c r="AR3435" s="37"/>
      <c r="AS3435" s="37"/>
      <c r="AT3435" s="37"/>
      <c r="AU3435" s="37"/>
      <c r="AV3435" s="37"/>
      <c r="AW3435" s="37"/>
      <c r="AX3435" s="37"/>
      <c r="AY3435" s="37"/>
      <c r="AZ3435" s="37"/>
      <c r="BA3435" s="37"/>
      <c r="BB3435" s="37"/>
      <c r="BC3435" s="37"/>
      <c r="BD3435" s="37"/>
      <c r="BE3435" s="37"/>
      <c r="BF3435" s="37"/>
      <c r="BG3435" s="37"/>
      <c r="BH3435" s="37"/>
      <c r="BI3435" s="37"/>
      <c r="BJ3435" s="37"/>
      <c r="BK3435" s="37"/>
      <c r="BL3435" s="37"/>
      <c r="BM3435" s="37"/>
    </row>
    <row r="3436" spans="1:65" s="40" customFormat="1" ht="23.25" x14ac:dyDescent="0.35">
      <c r="A3436" s="37"/>
      <c r="B3436" s="37"/>
      <c r="C3436" s="41"/>
      <c r="D3436" s="38"/>
      <c r="E3436" s="57"/>
      <c r="F3436" s="42"/>
      <c r="G3436" s="43"/>
      <c r="H3436" s="37"/>
      <c r="I3436" s="37"/>
      <c r="J3436" s="38"/>
      <c r="K3436" s="37"/>
      <c r="L3436" s="38"/>
      <c r="M3436" s="39"/>
      <c r="P3436" s="37"/>
      <c r="Q3436" s="37"/>
      <c r="R3436" s="37"/>
      <c r="S3436" s="37"/>
      <c r="T3436" s="37"/>
      <c r="U3436" s="37"/>
      <c r="V3436" s="37"/>
      <c r="W3436" s="37"/>
      <c r="X3436" s="37"/>
      <c r="Y3436" s="37"/>
      <c r="Z3436" s="37"/>
      <c r="AA3436" s="37"/>
      <c r="AB3436" s="37"/>
      <c r="AC3436" s="37"/>
      <c r="AD3436" s="37"/>
      <c r="AE3436" s="37"/>
      <c r="AF3436" s="37"/>
      <c r="AG3436" s="37"/>
      <c r="AH3436" s="37"/>
      <c r="AI3436" s="37"/>
      <c r="AJ3436" s="37"/>
      <c r="AK3436" s="37"/>
      <c r="AL3436" s="37"/>
      <c r="AM3436" s="37"/>
      <c r="AN3436" s="37"/>
      <c r="AO3436" s="37"/>
      <c r="AP3436" s="37"/>
      <c r="AQ3436" s="37"/>
      <c r="AR3436" s="37"/>
      <c r="AS3436" s="37"/>
      <c r="AT3436" s="37"/>
      <c r="AU3436" s="37"/>
      <c r="AV3436" s="37"/>
      <c r="AW3436" s="37"/>
      <c r="AX3436" s="37"/>
      <c r="AY3436" s="37"/>
      <c r="AZ3436" s="37"/>
      <c r="BA3436" s="37"/>
      <c r="BB3436" s="37"/>
      <c r="BC3436" s="37"/>
      <c r="BD3436" s="37"/>
      <c r="BE3436" s="37"/>
      <c r="BF3436" s="37"/>
      <c r="BG3436" s="37"/>
      <c r="BH3436" s="37"/>
      <c r="BI3436" s="37"/>
      <c r="BJ3436" s="37"/>
      <c r="BK3436" s="37"/>
      <c r="BL3436" s="37"/>
      <c r="BM3436" s="37"/>
    </row>
    <row r="3437" spans="1:65" s="40" customFormat="1" ht="23.25" x14ac:dyDescent="0.35">
      <c r="A3437" s="37"/>
      <c r="B3437" s="37"/>
      <c r="C3437" s="41"/>
      <c r="D3437" s="38"/>
      <c r="E3437" s="57"/>
      <c r="F3437" s="42"/>
      <c r="G3437" s="43"/>
      <c r="H3437" s="37"/>
      <c r="I3437" s="37"/>
      <c r="J3437" s="38"/>
      <c r="K3437" s="37"/>
      <c r="L3437" s="38"/>
      <c r="M3437" s="39"/>
      <c r="P3437" s="37"/>
      <c r="Q3437" s="37"/>
      <c r="R3437" s="37"/>
      <c r="S3437" s="37"/>
      <c r="T3437" s="37"/>
      <c r="U3437" s="37"/>
      <c r="V3437" s="37"/>
      <c r="W3437" s="37"/>
      <c r="X3437" s="37"/>
      <c r="Y3437" s="37"/>
      <c r="Z3437" s="37"/>
      <c r="AA3437" s="37"/>
      <c r="AB3437" s="37"/>
      <c r="AC3437" s="37"/>
      <c r="AD3437" s="37"/>
      <c r="AE3437" s="37"/>
      <c r="AF3437" s="37"/>
      <c r="AG3437" s="37"/>
      <c r="AH3437" s="37"/>
      <c r="AI3437" s="37"/>
      <c r="AJ3437" s="37"/>
      <c r="AK3437" s="37"/>
      <c r="AL3437" s="37"/>
      <c r="AM3437" s="37"/>
      <c r="AN3437" s="37"/>
      <c r="AO3437" s="37"/>
      <c r="AP3437" s="37"/>
      <c r="AQ3437" s="37"/>
      <c r="AR3437" s="37"/>
      <c r="AS3437" s="37"/>
      <c r="AT3437" s="37"/>
      <c r="AU3437" s="37"/>
      <c r="AV3437" s="37"/>
      <c r="AW3437" s="37"/>
      <c r="AX3437" s="37"/>
      <c r="AY3437" s="37"/>
      <c r="AZ3437" s="37"/>
      <c r="BA3437" s="37"/>
      <c r="BB3437" s="37"/>
      <c r="BC3437" s="37"/>
      <c r="BD3437" s="37"/>
      <c r="BE3437" s="37"/>
      <c r="BF3437" s="37"/>
      <c r="BG3437" s="37"/>
      <c r="BH3437" s="37"/>
      <c r="BI3437" s="37"/>
      <c r="BJ3437" s="37"/>
      <c r="BK3437" s="37"/>
      <c r="BL3437" s="37"/>
      <c r="BM3437" s="37"/>
    </row>
    <row r="3438" spans="1:65" s="40" customFormat="1" ht="23.25" x14ac:dyDescent="0.35">
      <c r="A3438" s="37"/>
      <c r="B3438" s="37"/>
      <c r="C3438" s="41"/>
      <c r="D3438" s="38"/>
      <c r="E3438" s="57"/>
      <c r="F3438" s="42"/>
      <c r="G3438" s="43"/>
      <c r="H3438" s="37"/>
      <c r="I3438" s="37"/>
      <c r="J3438" s="38"/>
      <c r="K3438" s="37"/>
      <c r="L3438" s="38"/>
      <c r="M3438" s="39"/>
      <c r="P3438" s="37"/>
      <c r="Q3438" s="37"/>
      <c r="R3438" s="37"/>
      <c r="S3438" s="37"/>
      <c r="T3438" s="37"/>
      <c r="U3438" s="37"/>
      <c r="V3438" s="37"/>
      <c r="W3438" s="37"/>
      <c r="X3438" s="37"/>
      <c r="Y3438" s="37"/>
      <c r="Z3438" s="37"/>
      <c r="AA3438" s="37"/>
      <c r="AB3438" s="37"/>
      <c r="AC3438" s="37"/>
      <c r="AD3438" s="37"/>
      <c r="AE3438" s="37"/>
      <c r="AF3438" s="37"/>
      <c r="AG3438" s="37"/>
      <c r="AH3438" s="37"/>
      <c r="AI3438" s="37"/>
      <c r="AJ3438" s="37"/>
      <c r="AK3438" s="37"/>
      <c r="AL3438" s="37"/>
      <c r="AM3438" s="37"/>
      <c r="AN3438" s="37"/>
      <c r="AO3438" s="37"/>
      <c r="AP3438" s="37"/>
      <c r="AQ3438" s="37"/>
      <c r="AR3438" s="37"/>
      <c r="AS3438" s="37"/>
      <c r="AT3438" s="37"/>
      <c r="AU3438" s="37"/>
      <c r="AV3438" s="37"/>
      <c r="AW3438" s="37"/>
      <c r="AX3438" s="37"/>
      <c r="AY3438" s="37"/>
      <c r="AZ3438" s="37"/>
      <c r="BA3438" s="37"/>
      <c r="BB3438" s="37"/>
      <c r="BC3438" s="37"/>
      <c r="BD3438" s="37"/>
      <c r="BE3438" s="37"/>
      <c r="BF3438" s="37"/>
      <c r="BG3438" s="37"/>
      <c r="BH3438" s="37"/>
      <c r="BI3438" s="37"/>
      <c r="BJ3438" s="37"/>
      <c r="BK3438" s="37"/>
      <c r="BL3438" s="37"/>
      <c r="BM3438" s="37"/>
    </row>
    <row r="3439" spans="1:65" s="40" customFormat="1" ht="23.25" x14ac:dyDescent="0.35">
      <c r="A3439" s="37"/>
      <c r="B3439" s="37"/>
      <c r="C3439" s="41"/>
      <c r="D3439" s="38"/>
      <c r="E3439" s="57"/>
      <c r="F3439" s="42"/>
      <c r="G3439" s="43"/>
      <c r="H3439" s="37"/>
      <c r="I3439" s="37"/>
      <c r="J3439" s="38"/>
      <c r="K3439" s="37"/>
      <c r="L3439" s="38"/>
      <c r="M3439" s="39"/>
      <c r="P3439" s="37"/>
      <c r="Q3439" s="37"/>
      <c r="R3439" s="37"/>
      <c r="S3439" s="37"/>
      <c r="T3439" s="37"/>
      <c r="U3439" s="37"/>
      <c r="V3439" s="37"/>
      <c r="W3439" s="37"/>
      <c r="X3439" s="37"/>
      <c r="Y3439" s="37"/>
      <c r="Z3439" s="37"/>
      <c r="AA3439" s="37"/>
      <c r="AB3439" s="37"/>
      <c r="AC3439" s="37"/>
      <c r="AD3439" s="37"/>
      <c r="AE3439" s="37"/>
      <c r="AF3439" s="37"/>
      <c r="AG3439" s="37"/>
      <c r="AH3439" s="37"/>
      <c r="AI3439" s="37"/>
      <c r="AJ3439" s="37"/>
      <c r="AK3439" s="37"/>
      <c r="AL3439" s="37"/>
      <c r="AM3439" s="37"/>
      <c r="AN3439" s="37"/>
      <c r="AO3439" s="37"/>
      <c r="AP3439" s="37"/>
      <c r="AQ3439" s="37"/>
      <c r="AR3439" s="37"/>
      <c r="AS3439" s="37"/>
      <c r="AT3439" s="37"/>
      <c r="AU3439" s="37"/>
      <c r="AV3439" s="37"/>
      <c r="AW3439" s="37"/>
      <c r="AX3439" s="37"/>
      <c r="AY3439" s="37"/>
      <c r="AZ3439" s="37"/>
      <c r="BA3439" s="37"/>
      <c r="BB3439" s="37"/>
      <c r="BC3439" s="37"/>
      <c r="BD3439" s="37"/>
      <c r="BE3439" s="37"/>
      <c r="BF3439" s="37"/>
      <c r="BG3439" s="37"/>
      <c r="BH3439" s="37"/>
      <c r="BI3439" s="37"/>
      <c r="BJ3439" s="37"/>
      <c r="BK3439" s="37"/>
      <c r="BL3439" s="37"/>
      <c r="BM3439" s="37"/>
    </row>
    <row r="3440" spans="1:65" s="40" customFormat="1" ht="23.25" x14ac:dyDescent="0.35">
      <c r="A3440" s="37"/>
      <c r="B3440" s="37"/>
      <c r="C3440" s="41"/>
      <c r="D3440" s="38"/>
      <c r="E3440" s="57"/>
      <c r="F3440" s="42"/>
      <c r="G3440" s="43"/>
      <c r="H3440" s="37"/>
      <c r="I3440" s="37"/>
      <c r="J3440" s="38"/>
      <c r="K3440" s="37"/>
      <c r="L3440" s="38"/>
      <c r="M3440" s="39"/>
      <c r="P3440" s="37"/>
      <c r="Q3440" s="37"/>
      <c r="R3440" s="37"/>
      <c r="S3440" s="37"/>
      <c r="T3440" s="37"/>
      <c r="U3440" s="37"/>
      <c r="V3440" s="37"/>
      <c r="W3440" s="37"/>
      <c r="X3440" s="37"/>
      <c r="Y3440" s="37"/>
      <c r="Z3440" s="37"/>
      <c r="AA3440" s="37"/>
      <c r="AB3440" s="37"/>
      <c r="AC3440" s="37"/>
      <c r="AD3440" s="37"/>
      <c r="AE3440" s="37"/>
      <c r="AF3440" s="37"/>
      <c r="AG3440" s="37"/>
      <c r="AH3440" s="37"/>
      <c r="AI3440" s="37"/>
      <c r="AJ3440" s="37"/>
      <c r="AK3440" s="37"/>
      <c r="AL3440" s="37"/>
      <c r="AM3440" s="37"/>
      <c r="AN3440" s="37"/>
      <c r="AO3440" s="37"/>
      <c r="AP3440" s="37"/>
      <c r="AQ3440" s="37"/>
      <c r="AR3440" s="37"/>
      <c r="AS3440" s="37"/>
      <c r="AT3440" s="37"/>
      <c r="AU3440" s="37"/>
      <c r="AV3440" s="37"/>
      <c r="AW3440" s="37"/>
      <c r="AX3440" s="37"/>
      <c r="AY3440" s="37"/>
      <c r="AZ3440" s="37"/>
      <c r="BA3440" s="37"/>
      <c r="BB3440" s="37"/>
      <c r="BC3440" s="37"/>
      <c r="BD3440" s="37"/>
      <c r="BE3440" s="37"/>
      <c r="BF3440" s="37"/>
      <c r="BG3440" s="37"/>
      <c r="BH3440" s="37"/>
      <c r="BI3440" s="37"/>
      <c r="BJ3440" s="37"/>
      <c r="BK3440" s="37"/>
      <c r="BL3440" s="37"/>
      <c r="BM3440" s="37"/>
    </row>
    <row r="3441" spans="1:65" s="40" customFormat="1" ht="23.25" x14ac:dyDescent="0.35">
      <c r="A3441" s="37"/>
      <c r="B3441" s="37"/>
      <c r="C3441" s="41"/>
      <c r="D3441" s="38"/>
      <c r="E3441" s="57"/>
      <c r="F3441" s="42"/>
      <c r="G3441" s="43"/>
      <c r="H3441" s="37"/>
      <c r="I3441" s="37"/>
      <c r="J3441" s="38"/>
      <c r="K3441" s="37"/>
      <c r="L3441" s="38"/>
      <c r="M3441" s="39"/>
      <c r="P3441" s="37"/>
      <c r="Q3441" s="37"/>
      <c r="R3441" s="37"/>
      <c r="S3441" s="37"/>
      <c r="T3441" s="37"/>
      <c r="U3441" s="37"/>
      <c r="V3441" s="37"/>
      <c r="W3441" s="37"/>
      <c r="X3441" s="37"/>
      <c r="Y3441" s="37"/>
      <c r="Z3441" s="37"/>
      <c r="AA3441" s="37"/>
      <c r="AB3441" s="37"/>
      <c r="AC3441" s="37"/>
      <c r="AD3441" s="37"/>
      <c r="AE3441" s="37"/>
      <c r="AF3441" s="37"/>
      <c r="AG3441" s="37"/>
      <c r="AH3441" s="37"/>
      <c r="AI3441" s="37"/>
      <c r="AJ3441" s="37"/>
      <c r="AK3441" s="37"/>
      <c r="AL3441" s="37"/>
      <c r="AM3441" s="37"/>
      <c r="AN3441" s="37"/>
      <c r="AO3441" s="37"/>
      <c r="AP3441" s="37"/>
      <c r="AQ3441" s="37"/>
      <c r="AR3441" s="37"/>
      <c r="AS3441" s="37"/>
      <c r="AT3441" s="37"/>
      <c r="AU3441" s="37"/>
      <c r="AV3441" s="37"/>
      <c r="AW3441" s="37"/>
      <c r="AX3441" s="37"/>
      <c r="AY3441" s="37"/>
      <c r="AZ3441" s="37"/>
      <c r="BA3441" s="37"/>
      <c r="BB3441" s="37"/>
      <c r="BC3441" s="37"/>
      <c r="BD3441" s="37"/>
      <c r="BE3441" s="37"/>
      <c r="BF3441" s="37"/>
      <c r="BG3441" s="37"/>
      <c r="BH3441" s="37"/>
      <c r="BI3441" s="37"/>
      <c r="BJ3441" s="37"/>
      <c r="BK3441" s="37"/>
      <c r="BL3441" s="37"/>
      <c r="BM3441" s="37"/>
    </row>
    <row r="3442" spans="1:65" s="40" customFormat="1" ht="23.25" x14ac:dyDescent="0.35">
      <c r="A3442" s="37"/>
      <c r="B3442" s="37"/>
      <c r="C3442" s="41"/>
      <c r="D3442" s="38"/>
      <c r="E3442" s="57"/>
      <c r="F3442" s="42"/>
      <c r="G3442" s="43"/>
      <c r="H3442" s="37"/>
      <c r="I3442" s="37"/>
      <c r="J3442" s="38"/>
      <c r="K3442" s="37"/>
      <c r="L3442" s="38"/>
      <c r="M3442" s="39"/>
      <c r="P3442" s="37"/>
      <c r="Q3442" s="37"/>
      <c r="R3442" s="37"/>
      <c r="S3442" s="37"/>
      <c r="T3442" s="37"/>
      <c r="U3442" s="37"/>
      <c r="V3442" s="37"/>
      <c r="W3442" s="37"/>
      <c r="X3442" s="37"/>
      <c r="Y3442" s="37"/>
      <c r="Z3442" s="37"/>
      <c r="AA3442" s="37"/>
      <c r="AB3442" s="37"/>
      <c r="AC3442" s="37"/>
      <c r="AD3442" s="37"/>
      <c r="AE3442" s="37"/>
      <c r="AF3442" s="37"/>
      <c r="AG3442" s="37"/>
      <c r="AH3442" s="37"/>
      <c r="AI3442" s="37"/>
      <c r="AJ3442" s="37"/>
      <c r="AK3442" s="37"/>
      <c r="AL3442" s="37"/>
      <c r="AM3442" s="37"/>
      <c r="AN3442" s="37"/>
      <c r="AO3442" s="37"/>
      <c r="AP3442" s="37"/>
      <c r="AQ3442" s="37"/>
      <c r="AR3442" s="37"/>
      <c r="AS3442" s="37"/>
      <c r="AT3442" s="37"/>
      <c r="AU3442" s="37"/>
      <c r="AV3442" s="37"/>
      <c r="AW3442" s="37"/>
      <c r="AX3442" s="37"/>
      <c r="AY3442" s="37"/>
      <c r="AZ3442" s="37"/>
      <c r="BA3442" s="37"/>
      <c r="BB3442" s="37"/>
      <c r="BC3442" s="37"/>
      <c r="BD3442" s="37"/>
      <c r="BE3442" s="37"/>
      <c r="BF3442" s="37"/>
      <c r="BG3442" s="37"/>
      <c r="BH3442" s="37"/>
      <c r="BI3442" s="37"/>
      <c r="BJ3442" s="37"/>
      <c r="BK3442" s="37"/>
      <c r="BL3442" s="37"/>
      <c r="BM3442" s="37"/>
    </row>
    <row r="3443" spans="1:65" s="40" customFormat="1" ht="23.25" x14ac:dyDescent="0.35">
      <c r="A3443" s="37"/>
      <c r="B3443" s="37"/>
      <c r="C3443" s="41"/>
      <c r="D3443" s="38"/>
      <c r="E3443" s="57"/>
      <c r="F3443" s="42"/>
      <c r="G3443" s="43"/>
      <c r="H3443" s="37"/>
      <c r="I3443" s="37"/>
      <c r="J3443" s="38"/>
      <c r="K3443" s="37"/>
      <c r="L3443" s="38"/>
      <c r="M3443" s="39"/>
      <c r="P3443" s="37"/>
      <c r="Q3443" s="37"/>
      <c r="R3443" s="37"/>
      <c r="S3443" s="37"/>
      <c r="T3443" s="37"/>
      <c r="U3443" s="37"/>
      <c r="V3443" s="37"/>
      <c r="W3443" s="37"/>
      <c r="X3443" s="37"/>
      <c r="Y3443" s="37"/>
      <c r="Z3443" s="37"/>
      <c r="AA3443" s="37"/>
      <c r="AB3443" s="37"/>
      <c r="AC3443" s="37"/>
      <c r="AD3443" s="37"/>
      <c r="AE3443" s="37"/>
      <c r="AF3443" s="37"/>
      <c r="AG3443" s="37"/>
      <c r="AH3443" s="37"/>
      <c r="AI3443" s="37"/>
      <c r="AJ3443" s="37"/>
      <c r="AK3443" s="37"/>
      <c r="AL3443" s="37"/>
      <c r="AM3443" s="37"/>
      <c r="AN3443" s="37"/>
      <c r="AO3443" s="37"/>
      <c r="AP3443" s="37"/>
      <c r="AQ3443" s="37"/>
      <c r="AR3443" s="37"/>
      <c r="AS3443" s="37"/>
      <c r="AT3443" s="37"/>
      <c r="AU3443" s="37"/>
      <c r="AV3443" s="37"/>
      <c r="AW3443" s="37"/>
      <c r="AX3443" s="37"/>
      <c r="AY3443" s="37"/>
      <c r="AZ3443" s="37"/>
      <c r="BA3443" s="37"/>
      <c r="BB3443" s="37"/>
      <c r="BC3443" s="37"/>
      <c r="BD3443" s="37"/>
      <c r="BE3443" s="37"/>
      <c r="BF3443" s="37"/>
      <c r="BG3443" s="37"/>
      <c r="BH3443" s="37"/>
      <c r="BI3443" s="37"/>
      <c r="BJ3443" s="37"/>
      <c r="BK3443" s="37"/>
      <c r="BL3443" s="37"/>
      <c r="BM3443" s="37"/>
    </row>
    <row r="3444" spans="1:65" s="40" customFormat="1" ht="23.25" x14ac:dyDescent="0.35">
      <c r="A3444" s="37"/>
      <c r="B3444" s="37"/>
      <c r="C3444" s="41"/>
      <c r="D3444" s="38"/>
      <c r="E3444" s="57"/>
      <c r="F3444" s="42"/>
      <c r="G3444" s="43"/>
      <c r="H3444" s="37"/>
      <c r="I3444" s="37"/>
      <c r="J3444" s="38"/>
      <c r="K3444" s="37"/>
      <c r="L3444" s="38"/>
      <c r="M3444" s="39"/>
      <c r="P3444" s="37"/>
      <c r="Q3444" s="37"/>
      <c r="R3444" s="37"/>
      <c r="S3444" s="37"/>
      <c r="T3444" s="37"/>
      <c r="U3444" s="37"/>
      <c r="V3444" s="37"/>
      <c r="W3444" s="37"/>
      <c r="X3444" s="37"/>
      <c r="Y3444" s="37"/>
      <c r="Z3444" s="37"/>
      <c r="AA3444" s="37"/>
      <c r="AB3444" s="37"/>
      <c r="AC3444" s="37"/>
      <c r="AD3444" s="37"/>
      <c r="AE3444" s="37"/>
      <c r="AF3444" s="37"/>
      <c r="AG3444" s="37"/>
      <c r="AH3444" s="37"/>
      <c r="AI3444" s="37"/>
      <c r="AJ3444" s="37"/>
      <c r="AK3444" s="37"/>
      <c r="AL3444" s="37"/>
      <c r="AM3444" s="37"/>
      <c r="AN3444" s="37"/>
      <c r="AO3444" s="37"/>
      <c r="AP3444" s="37"/>
      <c r="AQ3444" s="37"/>
      <c r="AR3444" s="37"/>
      <c r="AS3444" s="37"/>
      <c r="AT3444" s="37"/>
      <c r="AU3444" s="37"/>
      <c r="AV3444" s="37"/>
      <c r="AW3444" s="37"/>
      <c r="AX3444" s="37"/>
      <c r="AY3444" s="37"/>
      <c r="AZ3444" s="37"/>
      <c r="BA3444" s="37"/>
      <c r="BB3444" s="37"/>
      <c r="BC3444" s="37"/>
      <c r="BD3444" s="37"/>
      <c r="BE3444" s="37"/>
      <c r="BF3444" s="37"/>
      <c r="BG3444" s="37"/>
      <c r="BH3444" s="37"/>
      <c r="BI3444" s="37"/>
      <c r="BJ3444" s="37"/>
      <c r="BK3444" s="37"/>
      <c r="BL3444" s="37"/>
      <c r="BM3444" s="37"/>
    </row>
    <row r="3445" spans="1:65" s="40" customFormat="1" ht="23.25" x14ac:dyDescent="0.35">
      <c r="A3445" s="37"/>
      <c r="B3445" s="37"/>
      <c r="C3445" s="41"/>
      <c r="D3445" s="38"/>
      <c r="E3445" s="57"/>
      <c r="F3445" s="42"/>
      <c r="G3445" s="43"/>
      <c r="H3445" s="37"/>
      <c r="I3445" s="37"/>
      <c r="J3445" s="38"/>
      <c r="K3445" s="37"/>
      <c r="L3445" s="38"/>
      <c r="M3445" s="39"/>
      <c r="P3445" s="37"/>
      <c r="Q3445" s="37"/>
      <c r="R3445" s="37"/>
      <c r="S3445" s="37"/>
      <c r="T3445" s="37"/>
      <c r="U3445" s="37"/>
      <c r="V3445" s="37"/>
      <c r="W3445" s="37"/>
      <c r="X3445" s="37"/>
      <c r="Y3445" s="37"/>
      <c r="Z3445" s="37"/>
      <c r="AA3445" s="37"/>
      <c r="AB3445" s="37"/>
      <c r="AC3445" s="37"/>
      <c r="AD3445" s="37"/>
      <c r="AE3445" s="37"/>
      <c r="AF3445" s="37"/>
      <c r="AG3445" s="37"/>
      <c r="AH3445" s="37"/>
      <c r="AI3445" s="37"/>
      <c r="AJ3445" s="37"/>
      <c r="AK3445" s="37"/>
      <c r="AL3445" s="37"/>
      <c r="AM3445" s="37"/>
      <c r="AN3445" s="37"/>
      <c r="AO3445" s="37"/>
      <c r="AP3445" s="37"/>
      <c r="AQ3445" s="37"/>
      <c r="AR3445" s="37"/>
      <c r="AS3445" s="37"/>
      <c r="AT3445" s="37"/>
      <c r="AU3445" s="37"/>
      <c r="AV3445" s="37"/>
      <c r="AW3445" s="37"/>
      <c r="AX3445" s="37"/>
      <c r="AY3445" s="37"/>
      <c r="AZ3445" s="37"/>
      <c r="BA3445" s="37"/>
      <c r="BB3445" s="37"/>
      <c r="BC3445" s="37"/>
      <c r="BD3445" s="37"/>
      <c r="BE3445" s="37"/>
      <c r="BF3445" s="37"/>
      <c r="BG3445" s="37"/>
      <c r="BH3445" s="37"/>
      <c r="BI3445" s="37"/>
      <c r="BJ3445" s="37"/>
      <c r="BK3445" s="37"/>
      <c r="BL3445" s="37"/>
      <c r="BM3445" s="37"/>
    </row>
    <row r="3446" spans="1:65" s="40" customFormat="1" ht="23.25" x14ac:dyDescent="0.35">
      <c r="A3446" s="37"/>
      <c r="B3446" s="37"/>
      <c r="C3446" s="41"/>
      <c r="D3446" s="38"/>
      <c r="E3446" s="57"/>
      <c r="F3446" s="42"/>
      <c r="G3446" s="43"/>
      <c r="H3446" s="37"/>
      <c r="I3446" s="37"/>
      <c r="J3446" s="38"/>
      <c r="K3446" s="37"/>
      <c r="L3446" s="38"/>
      <c r="M3446" s="39"/>
      <c r="P3446" s="37"/>
      <c r="Q3446" s="37"/>
      <c r="R3446" s="37"/>
      <c r="S3446" s="37"/>
      <c r="T3446" s="37"/>
      <c r="U3446" s="37"/>
      <c r="V3446" s="37"/>
      <c r="W3446" s="37"/>
      <c r="X3446" s="37"/>
      <c r="Y3446" s="37"/>
      <c r="Z3446" s="37"/>
      <c r="AA3446" s="37"/>
      <c r="AB3446" s="37"/>
      <c r="AC3446" s="37"/>
      <c r="AD3446" s="37"/>
      <c r="AE3446" s="37"/>
      <c r="AF3446" s="37"/>
      <c r="AG3446" s="37"/>
      <c r="AH3446" s="37"/>
      <c r="AI3446" s="37"/>
      <c r="AJ3446" s="37"/>
      <c r="AK3446" s="37"/>
      <c r="AL3446" s="37"/>
      <c r="AM3446" s="37"/>
      <c r="AN3446" s="37"/>
      <c r="AO3446" s="37"/>
      <c r="AP3446" s="37"/>
      <c r="AQ3446" s="37"/>
      <c r="AR3446" s="37"/>
      <c r="AS3446" s="37"/>
      <c r="AT3446" s="37"/>
      <c r="AU3446" s="37"/>
      <c r="AV3446" s="37"/>
      <c r="AW3446" s="37"/>
      <c r="AX3446" s="37"/>
      <c r="AY3446" s="37"/>
      <c r="AZ3446" s="37"/>
      <c r="BA3446" s="37"/>
      <c r="BB3446" s="37"/>
      <c r="BC3446" s="37"/>
      <c r="BD3446" s="37"/>
      <c r="BE3446" s="37"/>
      <c r="BF3446" s="37"/>
      <c r="BG3446" s="37"/>
      <c r="BH3446" s="37"/>
      <c r="BI3446" s="37"/>
      <c r="BJ3446" s="37"/>
      <c r="BK3446" s="37"/>
      <c r="BL3446" s="37"/>
      <c r="BM3446" s="37"/>
    </row>
    <row r="3447" spans="1:65" s="40" customFormat="1" ht="23.25" x14ac:dyDescent="0.35">
      <c r="A3447" s="37"/>
      <c r="B3447" s="37"/>
      <c r="C3447" s="41"/>
      <c r="D3447" s="38"/>
      <c r="E3447" s="57"/>
      <c r="F3447" s="42"/>
      <c r="G3447" s="43"/>
      <c r="H3447" s="37"/>
      <c r="I3447" s="37"/>
      <c r="J3447" s="38"/>
      <c r="K3447" s="37"/>
      <c r="L3447" s="38"/>
      <c r="M3447" s="39"/>
      <c r="P3447" s="37"/>
      <c r="Q3447" s="37"/>
      <c r="R3447" s="37"/>
      <c r="S3447" s="37"/>
      <c r="T3447" s="37"/>
      <c r="U3447" s="37"/>
      <c r="V3447" s="37"/>
      <c r="W3447" s="37"/>
      <c r="X3447" s="37"/>
      <c r="Y3447" s="37"/>
      <c r="Z3447" s="37"/>
      <c r="AA3447" s="37"/>
      <c r="AB3447" s="37"/>
      <c r="AC3447" s="37"/>
      <c r="AD3447" s="37"/>
      <c r="AE3447" s="37"/>
      <c r="AF3447" s="37"/>
      <c r="AG3447" s="37"/>
      <c r="AH3447" s="37"/>
      <c r="AI3447" s="37"/>
      <c r="AJ3447" s="37"/>
      <c r="AK3447" s="37"/>
      <c r="AL3447" s="37"/>
      <c r="AM3447" s="37"/>
      <c r="AN3447" s="37"/>
      <c r="AO3447" s="37"/>
      <c r="AP3447" s="37"/>
      <c r="AQ3447" s="37"/>
      <c r="AR3447" s="37"/>
      <c r="AS3447" s="37"/>
      <c r="AT3447" s="37"/>
      <c r="AU3447" s="37"/>
      <c r="AV3447" s="37"/>
      <c r="AW3447" s="37"/>
      <c r="AX3447" s="37"/>
      <c r="AY3447" s="37"/>
      <c r="AZ3447" s="37"/>
      <c r="BA3447" s="37"/>
      <c r="BB3447" s="37"/>
      <c r="BC3447" s="37"/>
      <c r="BD3447" s="37"/>
      <c r="BE3447" s="37"/>
      <c r="BF3447" s="37"/>
      <c r="BG3447" s="37"/>
      <c r="BH3447" s="37"/>
      <c r="BI3447" s="37"/>
      <c r="BJ3447" s="37"/>
      <c r="BK3447" s="37"/>
      <c r="BL3447" s="37"/>
      <c r="BM3447" s="37"/>
    </row>
    <row r="3448" spans="1:65" s="40" customFormat="1" ht="23.25" x14ac:dyDescent="0.35">
      <c r="A3448" s="37"/>
      <c r="B3448" s="37"/>
      <c r="C3448" s="41"/>
      <c r="D3448" s="38"/>
      <c r="E3448" s="57"/>
      <c r="F3448" s="42"/>
      <c r="G3448" s="43"/>
      <c r="H3448" s="37"/>
      <c r="I3448" s="37"/>
      <c r="J3448" s="38"/>
      <c r="K3448" s="37"/>
      <c r="L3448" s="38"/>
      <c r="M3448" s="39"/>
      <c r="P3448" s="37"/>
      <c r="Q3448" s="37"/>
      <c r="R3448" s="37"/>
      <c r="S3448" s="37"/>
      <c r="T3448" s="37"/>
      <c r="U3448" s="37"/>
      <c r="V3448" s="37"/>
      <c r="W3448" s="37"/>
      <c r="X3448" s="37"/>
      <c r="Y3448" s="37"/>
      <c r="Z3448" s="37"/>
      <c r="AA3448" s="37"/>
      <c r="AB3448" s="37"/>
      <c r="AC3448" s="37"/>
      <c r="AD3448" s="37"/>
      <c r="AE3448" s="37"/>
      <c r="AF3448" s="37"/>
      <c r="AG3448" s="37"/>
      <c r="AH3448" s="37"/>
      <c r="AI3448" s="37"/>
      <c r="AJ3448" s="37"/>
      <c r="AK3448" s="37"/>
      <c r="AL3448" s="37"/>
      <c r="AM3448" s="37"/>
      <c r="AN3448" s="37"/>
      <c r="AO3448" s="37"/>
      <c r="AP3448" s="37"/>
      <c r="AQ3448" s="37"/>
      <c r="AR3448" s="37"/>
      <c r="AS3448" s="37"/>
      <c r="AT3448" s="37"/>
      <c r="AU3448" s="37"/>
      <c r="AV3448" s="37"/>
      <c r="AW3448" s="37"/>
      <c r="AX3448" s="37"/>
      <c r="AY3448" s="37"/>
      <c r="AZ3448" s="37"/>
      <c r="BA3448" s="37"/>
      <c r="BB3448" s="37"/>
      <c r="BC3448" s="37"/>
      <c r="BD3448" s="37"/>
      <c r="BE3448" s="37"/>
      <c r="BF3448" s="37"/>
      <c r="BG3448" s="37"/>
      <c r="BH3448" s="37"/>
      <c r="BI3448" s="37"/>
      <c r="BJ3448" s="37"/>
      <c r="BK3448" s="37"/>
      <c r="BL3448" s="37"/>
      <c r="BM3448" s="37"/>
    </row>
    <row r="3449" spans="1:65" s="40" customFormat="1" ht="23.25" x14ac:dyDescent="0.35">
      <c r="A3449" s="37"/>
      <c r="B3449" s="37"/>
      <c r="C3449" s="41"/>
      <c r="D3449" s="38"/>
      <c r="E3449" s="57"/>
      <c r="F3449" s="42"/>
      <c r="G3449" s="43"/>
      <c r="H3449" s="37"/>
      <c r="I3449" s="37"/>
      <c r="J3449" s="38"/>
      <c r="K3449" s="37"/>
      <c r="L3449" s="38"/>
      <c r="M3449" s="39"/>
      <c r="P3449" s="37"/>
      <c r="Q3449" s="37"/>
      <c r="R3449" s="37"/>
      <c r="S3449" s="37"/>
      <c r="T3449" s="37"/>
      <c r="U3449" s="37"/>
      <c r="V3449" s="37"/>
      <c r="W3449" s="37"/>
      <c r="X3449" s="37"/>
      <c r="Y3449" s="37"/>
      <c r="Z3449" s="37"/>
      <c r="AA3449" s="37"/>
      <c r="AB3449" s="37"/>
      <c r="AC3449" s="37"/>
      <c r="AD3449" s="37"/>
      <c r="AE3449" s="37"/>
      <c r="AF3449" s="37"/>
      <c r="AG3449" s="37"/>
      <c r="AH3449" s="37"/>
      <c r="AI3449" s="37"/>
      <c r="AJ3449" s="37"/>
      <c r="AK3449" s="37"/>
      <c r="AL3449" s="37"/>
      <c r="AM3449" s="37"/>
      <c r="AN3449" s="37"/>
      <c r="AO3449" s="37"/>
      <c r="AP3449" s="37"/>
      <c r="AQ3449" s="37"/>
      <c r="AR3449" s="37"/>
      <c r="AS3449" s="37"/>
      <c r="AT3449" s="37"/>
      <c r="AU3449" s="37"/>
      <c r="AV3449" s="37"/>
      <c r="AW3449" s="37"/>
      <c r="AX3449" s="37"/>
      <c r="AY3449" s="37"/>
      <c r="AZ3449" s="37"/>
      <c r="BA3449" s="37"/>
      <c r="BB3449" s="37"/>
      <c r="BC3449" s="37"/>
      <c r="BD3449" s="37"/>
      <c r="BE3449" s="37"/>
      <c r="BF3449" s="37"/>
      <c r="BG3449" s="37"/>
      <c r="BH3449" s="37"/>
      <c r="BI3449" s="37"/>
      <c r="BJ3449" s="37"/>
      <c r="BK3449" s="37"/>
      <c r="BL3449" s="37"/>
      <c r="BM3449" s="37"/>
    </row>
    <row r="3450" spans="1:65" s="40" customFormat="1" ht="23.25" x14ac:dyDescent="0.35">
      <c r="A3450" s="37"/>
      <c r="B3450" s="37"/>
      <c r="C3450" s="41"/>
      <c r="D3450" s="38"/>
      <c r="E3450" s="57"/>
      <c r="F3450" s="42"/>
      <c r="G3450" s="43"/>
      <c r="H3450" s="37"/>
      <c r="I3450" s="37"/>
      <c r="J3450" s="38"/>
      <c r="K3450" s="37"/>
      <c r="L3450" s="38"/>
      <c r="M3450" s="39"/>
      <c r="P3450" s="37"/>
      <c r="Q3450" s="37"/>
      <c r="R3450" s="37"/>
      <c r="S3450" s="37"/>
      <c r="T3450" s="37"/>
      <c r="U3450" s="37"/>
      <c r="V3450" s="37"/>
      <c r="W3450" s="37"/>
      <c r="X3450" s="37"/>
      <c r="Y3450" s="37"/>
      <c r="Z3450" s="37"/>
      <c r="AA3450" s="37"/>
      <c r="AB3450" s="37"/>
      <c r="AC3450" s="37"/>
      <c r="AD3450" s="37"/>
      <c r="AE3450" s="37"/>
      <c r="AF3450" s="37"/>
      <c r="AG3450" s="37"/>
      <c r="AH3450" s="37"/>
      <c r="AI3450" s="37"/>
      <c r="AJ3450" s="37"/>
      <c r="AK3450" s="37"/>
      <c r="AL3450" s="37"/>
      <c r="AM3450" s="37"/>
      <c r="AN3450" s="37"/>
      <c r="AO3450" s="37"/>
      <c r="AP3450" s="37"/>
      <c r="AQ3450" s="37"/>
      <c r="AR3450" s="37"/>
      <c r="AS3450" s="37"/>
      <c r="AT3450" s="37"/>
      <c r="AU3450" s="37"/>
      <c r="AV3450" s="37"/>
      <c r="AW3450" s="37"/>
      <c r="AX3450" s="37"/>
      <c r="AY3450" s="37"/>
      <c r="AZ3450" s="37"/>
      <c r="BA3450" s="37"/>
      <c r="BB3450" s="37"/>
      <c r="BC3450" s="37"/>
      <c r="BD3450" s="37"/>
      <c r="BE3450" s="37"/>
      <c r="BF3450" s="37"/>
      <c r="BG3450" s="37"/>
      <c r="BH3450" s="37"/>
      <c r="BI3450" s="37"/>
      <c r="BJ3450" s="37"/>
      <c r="BK3450" s="37"/>
      <c r="BL3450" s="37"/>
      <c r="BM3450" s="37"/>
    </row>
    <row r="3451" spans="1:65" s="40" customFormat="1" ht="23.25" x14ac:dyDescent="0.35">
      <c r="A3451" s="37"/>
      <c r="B3451" s="37"/>
      <c r="C3451" s="41"/>
      <c r="D3451" s="38"/>
      <c r="E3451" s="57"/>
      <c r="F3451" s="42"/>
      <c r="G3451" s="43"/>
      <c r="H3451" s="37"/>
      <c r="I3451" s="37"/>
      <c r="J3451" s="38"/>
      <c r="K3451" s="37"/>
      <c r="L3451" s="38"/>
      <c r="M3451" s="39"/>
      <c r="P3451" s="37"/>
      <c r="Q3451" s="37"/>
      <c r="R3451" s="37"/>
      <c r="S3451" s="37"/>
      <c r="T3451" s="37"/>
      <c r="U3451" s="37"/>
      <c r="V3451" s="37"/>
      <c r="W3451" s="37"/>
      <c r="X3451" s="37"/>
      <c r="Y3451" s="37"/>
      <c r="Z3451" s="37"/>
      <c r="AA3451" s="37"/>
      <c r="AB3451" s="37"/>
      <c r="AC3451" s="37"/>
      <c r="AD3451" s="37"/>
      <c r="AE3451" s="37"/>
      <c r="AF3451" s="37"/>
      <c r="AG3451" s="37"/>
      <c r="AH3451" s="37"/>
      <c r="AI3451" s="37"/>
      <c r="AJ3451" s="37"/>
      <c r="AK3451" s="37"/>
      <c r="AL3451" s="37"/>
      <c r="AM3451" s="37"/>
      <c r="AN3451" s="37"/>
      <c r="AO3451" s="37"/>
      <c r="AP3451" s="37"/>
      <c r="AQ3451" s="37"/>
      <c r="AR3451" s="37"/>
      <c r="AS3451" s="37"/>
      <c r="AT3451" s="37"/>
      <c r="AU3451" s="37"/>
      <c r="AV3451" s="37"/>
      <c r="AW3451" s="37"/>
      <c r="AX3451" s="37"/>
      <c r="AY3451" s="37"/>
      <c r="AZ3451" s="37"/>
      <c r="BA3451" s="37"/>
      <c r="BB3451" s="37"/>
      <c r="BC3451" s="37"/>
      <c r="BD3451" s="37"/>
      <c r="BE3451" s="37"/>
      <c r="BF3451" s="37"/>
      <c r="BG3451" s="37"/>
      <c r="BH3451" s="37"/>
      <c r="BI3451" s="37"/>
      <c r="BJ3451" s="37"/>
      <c r="BK3451" s="37"/>
      <c r="BL3451" s="37"/>
      <c r="BM3451" s="37"/>
    </row>
    <row r="3452" spans="1:65" s="40" customFormat="1" ht="23.25" x14ac:dyDescent="0.35">
      <c r="A3452" s="37"/>
      <c r="B3452" s="37"/>
      <c r="C3452" s="41"/>
      <c r="D3452" s="38"/>
      <c r="E3452" s="57"/>
      <c r="F3452" s="42"/>
      <c r="G3452" s="43"/>
      <c r="H3452" s="37"/>
      <c r="I3452" s="37"/>
      <c r="J3452" s="38"/>
      <c r="K3452" s="37"/>
      <c r="L3452" s="38"/>
      <c r="M3452" s="39"/>
      <c r="P3452" s="37"/>
      <c r="Q3452" s="37"/>
      <c r="R3452" s="37"/>
      <c r="S3452" s="37"/>
      <c r="T3452" s="37"/>
      <c r="U3452" s="37"/>
      <c r="V3452" s="37"/>
      <c r="W3452" s="37"/>
      <c r="X3452" s="37"/>
      <c r="Y3452" s="37"/>
      <c r="Z3452" s="37"/>
      <c r="AA3452" s="37"/>
      <c r="AB3452" s="37"/>
      <c r="AC3452" s="37"/>
      <c r="AD3452" s="37"/>
      <c r="AE3452" s="37"/>
      <c r="AF3452" s="37"/>
      <c r="AG3452" s="37"/>
      <c r="AH3452" s="37"/>
      <c r="AI3452" s="37"/>
      <c r="AJ3452" s="37"/>
      <c r="AK3452" s="37"/>
      <c r="AL3452" s="37"/>
      <c r="AM3452" s="37"/>
      <c r="AN3452" s="37"/>
      <c r="AO3452" s="37"/>
      <c r="AP3452" s="37"/>
      <c r="AQ3452" s="37"/>
      <c r="AR3452" s="37"/>
      <c r="AS3452" s="37"/>
      <c r="AT3452" s="37"/>
      <c r="AU3452" s="37"/>
      <c r="AV3452" s="37"/>
      <c r="AW3452" s="37"/>
      <c r="AX3452" s="37"/>
      <c r="AY3452" s="37"/>
      <c r="AZ3452" s="37"/>
      <c r="BA3452" s="37"/>
      <c r="BB3452" s="37"/>
      <c r="BC3452" s="37"/>
      <c r="BD3452" s="37"/>
      <c r="BE3452" s="37"/>
      <c r="BF3452" s="37"/>
      <c r="BG3452" s="37"/>
      <c r="BH3452" s="37"/>
      <c r="BI3452" s="37"/>
      <c r="BJ3452" s="37"/>
      <c r="BK3452" s="37"/>
      <c r="BL3452" s="37"/>
      <c r="BM3452" s="37"/>
    </row>
    <row r="3453" spans="1:65" s="40" customFormat="1" ht="23.25" x14ac:dyDescent="0.35">
      <c r="A3453" s="37"/>
      <c r="B3453" s="37"/>
      <c r="C3453" s="41"/>
      <c r="D3453" s="38"/>
      <c r="E3453" s="57"/>
      <c r="F3453" s="42"/>
      <c r="G3453" s="43"/>
      <c r="H3453" s="37"/>
      <c r="I3453" s="37"/>
      <c r="J3453" s="38"/>
      <c r="K3453" s="37"/>
      <c r="L3453" s="38"/>
      <c r="M3453" s="39"/>
      <c r="P3453" s="37"/>
      <c r="Q3453" s="37"/>
      <c r="R3453" s="37"/>
      <c r="S3453" s="37"/>
      <c r="T3453" s="37"/>
      <c r="U3453" s="37"/>
      <c r="V3453" s="37"/>
      <c r="W3453" s="37"/>
      <c r="X3453" s="37"/>
      <c r="Y3453" s="37"/>
      <c r="Z3453" s="37"/>
      <c r="AA3453" s="37"/>
      <c r="AB3453" s="37"/>
      <c r="AC3453" s="37"/>
      <c r="AD3453" s="37"/>
      <c r="AE3453" s="37"/>
      <c r="AF3453" s="37"/>
      <c r="AG3453" s="37"/>
      <c r="AH3453" s="37"/>
      <c r="AI3453" s="37"/>
      <c r="AJ3453" s="37"/>
      <c r="AK3453" s="37"/>
      <c r="AL3453" s="37"/>
      <c r="AM3453" s="37"/>
      <c r="AN3453" s="37"/>
      <c r="AO3453" s="37"/>
      <c r="AP3453" s="37"/>
      <c r="AQ3453" s="37"/>
      <c r="AR3453" s="37"/>
      <c r="AS3453" s="37"/>
      <c r="AT3453" s="37"/>
      <c r="AU3453" s="37"/>
      <c r="AV3453" s="37"/>
      <c r="AW3453" s="37"/>
      <c r="AX3453" s="37"/>
      <c r="AY3453" s="37"/>
      <c r="AZ3453" s="37"/>
      <c r="BA3453" s="37"/>
      <c r="BB3453" s="37"/>
      <c r="BC3453" s="37"/>
      <c r="BD3453" s="37"/>
      <c r="BE3453" s="37"/>
      <c r="BF3453" s="37"/>
      <c r="BG3453" s="37"/>
      <c r="BH3453" s="37"/>
      <c r="BI3453" s="37"/>
      <c r="BJ3453" s="37"/>
      <c r="BK3453" s="37"/>
      <c r="BL3453" s="37"/>
      <c r="BM3453" s="37"/>
    </row>
    <row r="3454" spans="1:65" s="40" customFormat="1" ht="23.25" x14ac:dyDescent="0.35">
      <c r="A3454" s="37"/>
      <c r="B3454" s="37"/>
      <c r="C3454" s="41"/>
      <c r="D3454" s="38"/>
      <c r="E3454" s="57"/>
      <c r="F3454" s="42"/>
      <c r="G3454" s="43"/>
      <c r="H3454" s="37"/>
      <c r="I3454" s="37"/>
      <c r="J3454" s="38"/>
      <c r="K3454" s="37"/>
      <c r="L3454" s="38"/>
      <c r="M3454" s="39"/>
      <c r="P3454" s="37"/>
      <c r="Q3454" s="37"/>
      <c r="R3454" s="37"/>
      <c r="S3454" s="37"/>
      <c r="T3454" s="37"/>
      <c r="U3454" s="37"/>
      <c r="V3454" s="37"/>
      <c r="W3454" s="37"/>
      <c r="X3454" s="37"/>
      <c r="Y3454" s="37"/>
      <c r="Z3454" s="37"/>
      <c r="AA3454" s="37"/>
      <c r="AB3454" s="37"/>
      <c r="AC3454" s="37"/>
      <c r="AD3454" s="37"/>
      <c r="AE3454" s="37"/>
      <c r="AF3454" s="37"/>
      <c r="AG3454" s="37"/>
      <c r="AH3454" s="37"/>
      <c r="AI3454" s="37"/>
      <c r="AJ3454" s="37"/>
      <c r="AK3454" s="37"/>
      <c r="AL3454" s="37"/>
      <c r="AM3454" s="37"/>
      <c r="AN3454" s="37"/>
      <c r="AO3454" s="37"/>
      <c r="AP3454" s="37"/>
      <c r="AQ3454" s="37"/>
      <c r="AR3454" s="37"/>
      <c r="AS3454" s="37"/>
      <c r="AT3454" s="37"/>
      <c r="AU3454" s="37"/>
      <c r="AV3454" s="37"/>
      <c r="AW3454" s="37"/>
      <c r="AX3454" s="37"/>
      <c r="AY3454" s="37"/>
      <c r="AZ3454" s="37"/>
      <c r="BA3454" s="37"/>
      <c r="BB3454" s="37"/>
      <c r="BC3454" s="37"/>
      <c r="BD3454" s="37"/>
      <c r="BE3454" s="37"/>
      <c r="BF3454" s="37"/>
      <c r="BG3454" s="37"/>
      <c r="BH3454" s="37"/>
      <c r="BI3454" s="37"/>
      <c r="BJ3454" s="37"/>
      <c r="BK3454" s="37"/>
      <c r="BL3454" s="37"/>
      <c r="BM3454" s="37"/>
    </row>
    <row r="3455" spans="1:65" s="40" customFormat="1" ht="23.25" x14ac:dyDescent="0.35">
      <c r="A3455" s="37"/>
      <c r="B3455" s="37"/>
      <c r="C3455" s="41"/>
      <c r="D3455" s="38"/>
      <c r="E3455" s="57"/>
      <c r="F3455" s="42"/>
      <c r="G3455" s="43"/>
      <c r="H3455" s="37"/>
      <c r="I3455" s="37"/>
      <c r="J3455" s="38"/>
      <c r="K3455" s="37"/>
      <c r="L3455" s="38"/>
      <c r="M3455" s="39"/>
      <c r="P3455" s="37"/>
      <c r="Q3455" s="37"/>
      <c r="R3455" s="37"/>
      <c r="S3455" s="37"/>
      <c r="T3455" s="37"/>
      <c r="U3455" s="37"/>
      <c r="V3455" s="37"/>
      <c r="W3455" s="37"/>
      <c r="X3455" s="37"/>
      <c r="Y3455" s="37"/>
      <c r="Z3455" s="37"/>
      <c r="AA3455" s="37"/>
      <c r="AB3455" s="37"/>
      <c r="AC3455" s="37"/>
      <c r="AD3455" s="37"/>
      <c r="AE3455" s="37"/>
      <c r="AF3455" s="37"/>
      <c r="AG3455" s="37"/>
      <c r="AH3455" s="37"/>
      <c r="AI3455" s="37"/>
      <c r="AJ3455" s="37"/>
      <c r="AK3455" s="37"/>
      <c r="AL3455" s="37"/>
      <c r="AM3455" s="37"/>
      <c r="AN3455" s="37"/>
      <c r="AO3455" s="37"/>
      <c r="AP3455" s="37"/>
      <c r="AQ3455" s="37"/>
      <c r="AR3455" s="37"/>
      <c r="AS3455" s="37"/>
      <c r="AT3455" s="37"/>
      <c r="AU3455" s="37"/>
      <c r="AV3455" s="37"/>
      <c r="AW3455" s="37"/>
      <c r="AX3455" s="37"/>
      <c r="AY3455" s="37"/>
      <c r="AZ3455" s="37"/>
      <c r="BA3455" s="37"/>
      <c r="BB3455" s="37"/>
      <c r="BC3455" s="37"/>
      <c r="BD3455" s="37"/>
      <c r="BE3455" s="37"/>
      <c r="BF3455" s="37"/>
      <c r="BG3455" s="37"/>
      <c r="BH3455" s="37"/>
      <c r="BI3455" s="37"/>
      <c r="BJ3455" s="37"/>
      <c r="BK3455" s="37"/>
      <c r="BL3455" s="37"/>
      <c r="BM3455" s="37"/>
    </row>
    <row r="3456" spans="1:65" s="40" customFormat="1" ht="23.25" x14ac:dyDescent="0.35">
      <c r="A3456" s="37"/>
      <c r="B3456" s="37"/>
      <c r="C3456" s="41"/>
      <c r="D3456" s="38"/>
      <c r="E3456" s="57"/>
      <c r="F3456" s="42"/>
      <c r="G3456" s="43"/>
      <c r="H3456" s="37"/>
      <c r="I3456" s="37"/>
      <c r="J3456" s="38"/>
      <c r="K3456" s="37"/>
      <c r="L3456" s="38"/>
      <c r="M3456" s="39"/>
      <c r="P3456" s="37"/>
      <c r="Q3456" s="37"/>
      <c r="R3456" s="37"/>
      <c r="S3456" s="37"/>
      <c r="T3456" s="37"/>
      <c r="U3456" s="37"/>
      <c r="V3456" s="37"/>
      <c r="W3456" s="37"/>
      <c r="X3456" s="37"/>
      <c r="Y3456" s="37"/>
      <c r="Z3456" s="37"/>
      <c r="AA3456" s="37"/>
      <c r="AB3456" s="37"/>
      <c r="AC3456" s="37"/>
      <c r="AD3456" s="37"/>
      <c r="AE3456" s="37"/>
      <c r="AF3456" s="37"/>
      <c r="AG3456" s="37"/>
      <c r="AH3456" s="37"/>
      <c r="AI3456" s="37"/>
      <c r="AJ3456" s="37"/>
      <c r="AK3456" s="37"/>
      <c r="AL3456" s="37"/>
      <c r="AM3456" s="37"/>
      <c r="AN3456" s="37"/>
      <c r="AO3456" s="37"/>
      <c r="AP3456" s="37"/>
      <c r="AQ3456" s="37"/>
      <c r="AR3456" s="37"/>
      <c r="AS3456" s="37"/>
      <c r="AT3456" s="37"/>
      <c r="AU3456" s="37"/>
      <c r="AV3456" s="37"/>
      <c r="AW3456" s="37"/>
      <c r="AX3456" s="37"/>
      <c r="AY3456" s="37"/>
      <c r="AZ3456" s="37"/>
      <c r="BA3456" s="37"/>
      <c r="BB3456" s="37"/>
      <c r="BC3456" s="37"/>
      <c r="BD3456" s="37"/>
      <c r="BE3456" s="37"/>
      <c r="BF3456" s="37"/>
      <c r="BG3456" s="37"/>
      <c r="BH3456" s="37"/>
      <c r="BI3456" s="37"/>
      <c r="BJ3456" s="37"/>
      <c r="BK3456" s="37"/>
      <c r="BL3456" s="37"/>
      <c r="BM3456" s="37"/>
    </row>
    <row r="3457" spans="1:65" s="40" customFormat="1" ht="23.25" x14ac:dyDescent="0.35">
      <c r="A3457" s="37"/>
      <c r="B3457" s="37"/>
      <c r="C3457" s="41"/>
      <c r="D3457" s="38"/>
      <c r="E3457" s="57"/>
      <c r="F3457" s="42"/>
      <c r="G3457" s="43"/>
      <c r="H3457" s="37"/>
      <c r="I3457" s="37"/>
      <c r="J3457" s="38"/>
      <c r="K3457" s="37"/>
      <c r="L3457" s="38"/>
      <c r="M3457" s="39"/>
      <c r="P3457" s="37"/>
      <c r="Q3457" s="37"/>
      <c r="R3457" s="37"/>
      <c r="S3457" s="37"/>
      <c r="T3457" s="37"/>
      <c r="U3457" s="37"/>
      <c r="V3457" s="37"/>
      <c r="W3457" s="37"/>
      <c r="X3457" s="37"/>
      <c r="Y3457" s="37"/>
      <c r="Z3457" s="37"/>
      <c r="AA3457" s="37"/>
      <c r="AB3457" s="37"/>
      <c r="AC3457" s="37"/>
      <c r="AD3457" s="37"/>
      <c r="AE3457" s="37"/>
      <c r="AF3457" s="37"/>
      <c r="AG3457" s="37"/>
      <c r="AH3457" s="37"/>
      <c r="AI3457" s="37"/>
      <c r="AJ3457" s="37"/>
      <c r="AK3457" s="37"/>
      <c r="AL3457" s="37"/>
      <c r="AM3457" s="37"/>
      <c r="AN3457" s="37"/>
      <c r="AO3457" s="37"/>
      <c r="AP3457" s="37"/>
      <c r="AQ3457" s="37"/>
      <c r="AR3457" s="37"/>
      <c r="AS3457" s="37"/>
      <c r="AT3457" s="37"/>
      <c r="AU3457" s="37"/>
      <c r="AV3457" s="37"/>
      <c r="AW3457" s="37"/>
      <c r="AX3457" s="37"/>
      <c r="AY3457" s="37"/>
      <c r="AZ3457" s="37"/>
      <c r="BA3457" s="37"/>
      <c r="BB3457" s="37"/>
      <c r="BC3457" s="37"/>
      <c r="BD3457" s="37"/>
      <c r="BE3457" s="37"/>
      <c r="BF3457" s="37"/>
      <c r="BG3457" s="37"/>
      <c r="BH3457" s="37"/>
      <c r="BI3457" s="37"/>
      <c r="BJ3457" s="37"/>
      <c r="BK3457" s="37"/>
      <c r="BL3457" s="37"/>
      <c r="BM3457" s="37"/>
    </row>
    <row r="3458" spans="1:65" s="40" customFormat="1" ht="23.25" x14ac:dyDescent="0.35">
      <c r="A3458" s="37"/>
      <c r="B3458" s="37"/>
      <c r="C3458" s="41"/>
      <c r="D3458" s="38"/>
      <c r="E3458" s="57"/>
      <c r="F3458" s="42"/>
      <c r="G3458" s="43"/>
      <c r="H3458" s="37"/>
      <c r="I3458" s="37"/>
      <c r="J3458" s="38"/>
      <c r="K3458" s="37"/>
      <c r="L3458" s="38"/>
      <c r="M3458" s="39"/>
      <c r="P3458" s="37"/>
      <c r="Q3458" s="37"/>
      <c r="R3458" s="37"/>
      <c r="S3458" s="37"/>
      <c r="T3458" s="37"/>
      <c r="U3458" s="37"/>
      <c r="V3458" s="37"/>
      <c r="W3458" s="37"/>
      <c r="X3458" s="37"/>
      <c r="Y3458" s="37"/>
      <c r="Z3458" s="37"/>
      <c r="AA3458" s="37"/>
      <c r="AB3458" s="37"/>
      <c r="AC3458" s="37"/>
      <c r="AD3458" s="37"/>
      <c r="AE3458" s="37"/>
      <c r="AF3458" s="37"/>
      <c r="AG3458" s="37"/>
      <c r="AH3458" s="37"/>
      <c r="AI3458" s="37"/>
      <c r="AJ3458" s="37"/>
      <c r="AK3458" s="37"/>
      <c r="AL3458" s="37"/>
      <c r="AM3458" s="37"/>
      <c r="AN3458" s="37"/>
      <c r="AO3458" s="37"/>
      <c r="AP3458" s="37"/>
      <c r="AQ3458" s="37"/>
      <c r="AR3458" s="37"/>
      <c r="AS3458" s="37"/>
      <c r="AT3458" s="37"/>
      <c r="AU3458" s="37"/>
      <c r="AV3458" s="37"/>
      <c r="AW3458" s="37"/>
      <c r="AX3458" s="37"/>
      <c r="AY3458" s="37"/>
      <c r="AZ3458" s="37"/>
      <c r="BA3458" s="37"/>
      <c r="BB3458" s="37"/>
      <c r="BC3458" s="37"/>
      <c r="BD3458" s="37"/>
      <c r="BE3458" s="37"/>
      <c r="BF3458" s="37"/>
      <c r="BG3458" s="37"/>
      <c r="BH3458" s="37"/>
      <c r="BI3458" s="37"/>
      <c r="BJ3458" s="37"/>
      <c r="BK3458" s="37"/>
      <c r="BL3458" s="37"/>
      <c r="BM3458" s="37"/>
    </row>
    <row r="3459" spans="1:65" s="40" customFormat="1" ht="23.25" x14ac:dyDescent="0.35">
      <c r="A3459" s="37"/>
      <c r="B3459" s="37"/>
      <c r="C3459" s="41"/>
      <c r="D3459" s="38"/>
      <c r="E3459" s="57"/>
      <c r="F3459" s="42"/>
      <c r="G3459" s="43"/>
      <c r="H3459" s="37"/>
      <c r="I3459" s="37"/>
      <c r="J3459" s="38"/>
      <c r="K3459" s="37"/>
      <c r="L3459" s="38"/>
      <c r="M3459" s="39"/>
      <c r="P3459" s="37"/>
      <c r="Q3459" s="37"/>
      <c r="R3459" s="37"/>
      <c r="S3459" s="37"/>
      <c r="T3459" s="37"/>
      <c r="U3459" s="37"/>
      <c r="V3459" s="37"/>
      <c r="W3459" s="37"/>
      <c r="X3459" s="37"/>
      <c r="Y3459" s="37"/>
      <c r="Z3459" s="37"/>
      <c r="AA3459" s="37"/>
      <c r="AB3459" s="37"/>
      <c r="AC3459" s="37"/>
      <c r="AD3459" s="37"/>
      <c r="AE3459" s="37"/>
      <c r="AF3459" s="37"/>
      <c r="AG3459" s="37"/>
      <c r="AH3459" s="37"/>
      <c r="AI3459" s="37"/>
      <c r="AJ3459" s="37"/>
      <c r="AK3459" s="37"/>
      <c r="AL3459" s="37"/>
      <c r="AM3459" s="37"/>
      <c r="AN3459" s="37"/>
      <c r="AO3459" s="37"/>
      <c r="AP3459" s="37"/>
      <c r="AQ3459" s="37"/>
      <c r="AR3459" s="37"/>
      <c r="AS3459" s="37"/>
      <c r="AT3459" s="37"/>
      <c r="AU3459" s="37"/>
      <c r="AV3459" s="37"/>
      <c r="AW3459" s="37"/>
      <c r="AX3459" s="37"/>
      <c r="AY3459" s="37"/>
      <c r="AZ3459" s="37"/>
      <c r="BA3459" s="37"/>
      <c r="BB3459" s="37"/>
      <c r="BC3459" s="37"/>
      <c r="BD3459" s="37"/>
      <c r="BE3459" s="37"/>
      <c r="BF3459" s="37"/>
      <c r="BG3459" s="37"/>
      <c r="BH3459" s="37"/>
      <c r="BI3459" s="37"/>
      <c r="BJ3459" s="37"/>
      <c r="BK3459" s="37"/>
      <c r="BL3459" s="37"/>
      <c r="BM3459" s="37"/>
    </row>
    <row r="3460" spans="1:65" s="40" customFormat="1" ht="23.25" x14ac:dyDescent="0.35">
      <c r="A3460" s="37"/>
      <c r="B3460" s="37"/>
      <c r="C3460" s="41"/>
      <c r="D3460" s="38"/>
      <c r="E3460" s="57"/>
      <c r="F3460" s="42"/>
      <c r="G3460" s="43"/>
      <c r="H3460" s="37"/>
      <c r="I3460" s="37"/>
      <c r="J3460" s="38"/>
      <c r="K3460" s="37"/>
      <c r="L3460" s="38"/>
      <c r="M3460" s="39"/>
      <c r="P3460" s="37"/>
      <c r="Q3460" s="37"/>
      <c r="R3460" s="37"/>
      <c r="S3460" s="37"/>
      <c r="T3460" s="37"/>
      <c r="U3460" s="37"/>
      <c r="V3460" s="37"/>
      <c r="W3460" s="37"/>
      <c r="X3460" s="37"/>
      <c r="Y3460" s="37"/>
      <c r="Z3460" s="37"/>
      <c r="AA3460" s="37"/>
      <c r="AB3460" s="37"/>
      <c r="AC3460" s="37"/>
      <c r="AD3460" s="37"/>
      <c r="AE3460" s="37"/>
      <c r="AF3460" s="37"/>
      <c r="AG3460" s="37"/>
      <c r="AH3460" s="37"/>
      <c r="AI3460" s="37"/>
      <c r="AJ3460" s="37"/>
      <c r="AK3460" s="37"/>
      <c r="AL3460" s="37"/>
      <c r="AM3460" s="37"/>
      <c r="AN3460" s="37"/>
      <c r="AO3460" s="37"/>
      <c r="AP3460" s="37"/>
      <c r="AQ3460" s="37"/>
      <c r="AR3460" s="37"/>
      <c r="AS3460" s="37"/>
      <c r="AT3460" s="37"/>
      <c r="AU3460" s="37"/>
      <c r="AV3460" s="37"/>
      <c r="AW3460" s="37"/>
      <c r="AX3460" s="37"/>
      <c r="AY3460" s="37"/>
      <c r="AZ3460" s="37"/>
      <c r="BA3460" s="37"/>
      <c r="BB3460" s="37"/>
      <c r="BC3460" s="37"/>
      <c r="BD3460" s="37"/>
      <c r="BE3460" s="37"/>
      <c r="BF3460" s="37"/>
      <c r="BG3460" s="37"/>
      <c r="BH3460" s="37"/>
      <c r="BI3460" s="37"/>
      <c r="BJ3460" s="37"/>
      <c r="BK3460" s="37"/>
      <c r="BL3460" s="37"/>
      <c r="BM3460" s="37"/>
    </row>
    <row r="3461" spans="1:65" s="40" customFormat="1" ht="23.25" x14ac:dyDescent="0.35">
      <c r="A3461" s="37"/>
      <c r="B3461" s="37"/>
      <c r="C3461" s="41"/>
      <c r="D3461" s="38"/>
      <c r="E3461" s="57"/>
      <c r="F3461" s="42"/>
      <c r="G3461" s="43"/>
      <c r="H3461" s="37"/>
      <c r="I3461" s="37"/>
      <c r="J3461" s="38"/>
      <c r="K3461" s="37"/>
      <c r="L3461" s="38"/>
      <c r="M3461" s="39"/>
      <c r="P3461" s="37"/>
      <c r="Q3461" s="37"/>
      <c r="R3461" s="37"/>
      <c r="S3461" s="37"/>
      <c r="T3461" s="37"/>
      <c r="U3461" s="37"/>
      <c r="V3461" s="37"/>
      <c r="W3461" s="37"/>
      <c r="X3461" s="37"/>
      <c r="Y3461" s="37"/>
      <c r="Z3461" s="37"/>
      <c r="AA3461" s="37"/>
      <c r="AB3461" s="37"/>
      <c r="AC3461" s="37"/>
      <c r="AD3461" s="37"/>
      <c r="AE3461" s="37"/>
      <c r="AF3461" s="37"/>
      <c r="AG3461" s="37"/>
      <c r="AH3461" s="37"/>
      <c r="AI3461" s="37"/>
      <c r="AJ3461" s="37"/>
      <c r="AK3461" s="37"/>
      <c r="AL3461" s="37"/>
      <c r="AM3461" s="37"/>
      <c r="AN3461" s="37"/>
      <c r="AO3461" s="37"/>
      <c r="AP3461" s="37"/>
      <c r="AQ3461" s="37"/>
      <c r="AR3461" s="37"/>
      <c r="AS3461" s="37"/>
      <c r="AT3461" s="37"/>
      <c r="AU3461" s="37"/>
      <c r="AV3461" s="37"/>
      <c r="AW3461" s="37"/>
      <c r="AX3461" s="37"/>
      <c r="AY3461" s="37"/>
      <c r="AZ3461" s="37"/>
      <c r="BA3461" s="37"/>
      <c r="BB3461" s="37"/>
      <c r="BC3461" s="37"/>
      <c r="BD3461" s="37"/>
      <c r="BE3461" s="37"/>
      <c r="BF3461" s="37"/>
      <c r="BG3461" s="37"/>
      <c r="BH3461" s="37"/>
      <c r="BI3461" s="37"/>
      <c r="BJ3461" s="37"/>
      <c r="BK3461" s="37"/>
      <c r="BL3461" s="37"/>
      <c r="BM3461" s="37"/>
    </row>
    <row r="3462" spans="1:65" s="40" customFormat="1" ht="23.25" x14ac:dyDescent="0.35">
      <c r="A3462" s="37"/>
      <c r="B3462" s="37"/>
      <c r="C3462" s="41"/>
      <c r="D3462" s="38"/>
      <c r="E3462" s="57"/>
      <c r="F3462" s="42"/>
      <c r="G3462" s="43"/>
      <c r="H3462" s="37"/>
      <c r="I3462" s="37"/>
      <c r="J3462" s="38"/>
      <c r="K3462" s="37"/>
      <c r="L3462" s="38"/>
      <c r="M3462" s="39"/>
      <c r="P3462" s="37"/>
      <c r="Q3462" s="37"/>
      <c r="R3462" s="37"/>
      <c r="S3462" s="37"/>
      <c r="T3462" s="37"/>
      <c r="U3462" s="37"/>
      <c r="V3462" s="37"/>
      <c r="W3462" s="37"/>
      <c r="X3462" s="37"/>
      <c r="Y3462" s="37"/>
      <c r="Z3462" s="37"/>
      <c r="AA3462" s="37"/>
      <c r="AB3462" s="37"/>
      <c r="AC3462" s="37"/>
      <c r="AD3462" s="37"/>
      <c r="AE3462" s="37"/>
      <c r="AF3462" s="37"/>
      <c r="AG3462" s="37"/>
      <c r="AH3462" s="37"/>
      <c r="AI3462" s="37"/>
      <c r="AJ3462" s="37"/>
      <c r="AK3462" s="37"/>
      <c r="AL3462" s="37"/>
      <c r="AM3462" s="37"/>
      <c r="AN3462" s="37"/>
      <c r="AO3462" s="37"/>
      <c r="AP3462" s="37"/>
      <c r="AQ3462" s="37"/>
      <c r="AR3462" s="37"/>
      <c r="AS3462" s="37"/>
      <c r="AT3462" s="37"/>
      <c r="AU3462" s="37"/>
      <c r="AV3462" s="37"/>
      <c r="AW3462" s="37"/>
      <c r="AX3462" s="37"/>
      <c r="AY3462" s="37"/>
      <c r="AZ3462" s="37"/>
      <c r="BA3462" s="37"/>
      <c r="BB3462" s="37"/>
      <c r="BC3462" s="37"/>
      <c r="BD3462" s="37"/>
      <c r="BE3462" s="37"/>
      <c r="BF3462" s="37"/>
      <c r="BG3462" s="37"/>
      <c r="BH3462" s="37"/>
      <c r="BI3462" s="37"/>
      <c r="BJ3462" s="37"/>
      <c r="BK3462" s="37"/>
      <c r="BL3462" s="37"/>
      <c r="BM3462" s="37"/>
    </row>
    <row r="3463" spans="1:65" s="40" customFormat="1" ht="23.25" x14ac:dyDescent="0.35">
      <c r="A3463" s="37"/>
      <c r="B3463" s="37"/>
      <c r="C3463" s="41"/>
      <c r="D3463" s="38"/>
      <c r="E3463" s="57"/>
      <c r="F3463" s="42"/>
      <c r="G3463" s="43"/>
      <c r="H3463" s="37"/>
      <c r="I3463" s="37"/>
      <c r="J3463" s="38"/>
      <c r="K3463" s="37"/>
      <c r="L3463" s="38"/>
      <c r="M3463" s="39"/>
      <c r="P3463" s="37"/>
      <c r="Q3463" s="37"/>
      <c r="R3463" s="37"/>
      <c r="S3463" s="37"/>
      <c r="T3463" s="37"/>
      <c r="U3463" s="37"/>
      <c r="V3463" s="37"/>
      <c r="W3463" s="37"/>
      <c r="X3463" s="37"/>
      <c r="Y3463" s="37"/>
      <c r="Z3463" s="37"/>
      <c r="AA3463" s="37"/>
      <c r="AB3463" s="37"/>
      <c r="AC3463" s="37"/>
      <c r="AD3463" s="37"/>
      <c r="AE3463" s="37"/>
      <c r="AF3463" s="37"/>
      <c r="AG3463" s="37"/>
      <c r="AH3463" s="37"/>
      <c r="AI3463" s="37"/>
      <c r="AJ3463" s="37"/>
      <c r="AK3463" s="37"/>
      <c r="AL3463" s="37"/>
      <c r="AM3463" s="37"/>
      <c r="AN3463" s="37"/>
      <c r="AO3463" s="37"/>
      <c r="AP3463" s="37"/>
      <c r="AQ3463" s="37"/>
      <c r="AR3463" s="37"/>
      <c r="AS3463" s="37"/>
      <c r="AT3463" s="37"/>
      <c r="AU3463" s="37"/>
      <c r="AV3463" s="37"/>
      <c r="AW3463" s="37"/>
      <c r="AX3463" s="37"/>
      <c r="AY3463" s="37"/>
      <c r="AZ3463" s="37"/>
      <c r="BA3463" s="37"/>
      <c r="BB3463" s="37"/>
      <c r="BC3463" s="37"/>
      <c r="BD3463" s="37"/>
      <c r="BE3463" s="37"/>
      <c r="BF3463" s="37"/>
      <c r="BG3463" s="37"/>
      <c r="BH3463" s="37"/>
      <c r="BI3463" s="37"/>
      <c r="BJ3463" s="37"/>
      <c r="BK3463" s="37"/>
      <c r="BL3463" s="37"/>
      <c r="BM3463" s="37"/>
    </row>
    <row r="3464" spans="1:65" s="40" customFormat="1" ht="23.25" x14ac:dyDescent="0.35">
      <c r="A3464" s="37"/>
      <c r="B3464" s="37"/>
      <c r="C3464" s="41"/>
      <c r="D3464" s="38"/>
      <c r="E3464" s="57"/>
      <c r="F3464" s="42"/>
      <c r="G3464" s="43"/>
      <c r="H3464" s="37"/>
      <c r="I3464" s="37"/>
      <c r="J3464" s="38"/>
      <c r="K3464" s="37"/>
      <c r="L3464" s="38"/>
      <c r="M3464" s="39"/>
      <c r="P3464" s="37"/>
      <c r="Q3464" s="37"/>
      <c r="R3464" s="37"/>
      <c r="S3464" s="37"/>
      <c r="T3464" s="37"/>
      <c r="U3464" s="37"/>
      <c r="V3464" s="37"/>
      <c r="W3464" s="37"/>
      <c r="X3464" s="37"/>
      <c r="Y3464" s="37"/>
      <c r="Z3464" s="37"/>
      <c r="AA3464" s="37"/>
      <c r="AB3464" s="37"/>
      <c r="AC3464" s="37"/>
      <c r="AD3464" s="37"/>
      <c r="AE3464" s="37"/>
      <c r="AF3464" s="37"/>
      <c r="AG3464" s="37"/>
      <c r="AH3464" s="37"/>
      <c r="AI3464" s="37"/>
      <c r="AJ3464" s="37"/>
      <c r="AK3464" s="37"/>
      <c r="AL3464" s="37"/>
      <c r="AM3464" s="37"/>
      <c r="AN3464" s="37"/>
      <c r="AO3464" s="37"/>
      <c r="AP3464" s="37"/>
      <c r="AQ3464" s="37"/>
      <c r="AR3464" s="37"/>
      <c r="AS3464" s="37"/>
      <c r="AT3464" s="37"/>
      <c r="AU3464" s="37"/>
      <c r="AV3464" s="37"/>
      <c r="AW3464" s="37"/>
      <c r="AX3464" s="37"/>
      <c r="AY3464" s="37"/>
      <c r="AZ3464" s="37"/>
      <c r="BA3464" s="37"/>
      <c r="BB3464" s="37"/>
      <c r="BC3464" s="37"/>
      <c r="BD3464" s="37"/>
      <c r="BE3464" s="37"/>
      <c r="BF3464" s="37"/>
      <c r="BG3464" s="37"/>
      <c r="BH3464" s="37"/>
      <c r="BI3464" s="37"/>
      <c r="BJ3464" s="37"/>
      <c r="BK3464" s="37"/>
      <c r="BL3464" s="37"/>
      <c r="BM3464" s="37"/>
    </row>
    <row r="3465" spans="1:65" s="40" customFormat="1" ht="23.25" x14ac:dyDescent="0.35">
      <c r="A3465" s="37"/>
      <c r="B3465" s="37"/>
      <c r="C3465" s="41"/>
      <c r="D3465" s="38"/>
      <c r="E3465" s="57"/>
      <c r="F3465" s="42"/>
      <c r="G3465" s="43"/>
      <c r="H3465" s="37"/>
      <c r="I3465" s="37"/>
      <c r="J3465" s="38"/>
      <c r="K3465" s="37"/>
      <c r="L3465" s="38"/>
      <c r="M3465" s="39"/>
      <c r="P3465" s="37"/>
      <c r="Q3465" s="37"/>
      <c r="R3465" s="37"/>
      <c r="S3465" s="37"/>
      <c r="T3465" s="37"/>
      <c r="U3465" s="37"/>
      <c r="V3465" s="37"/>
      <c r="W3465" s="37"/>
      <c r="X3465" s="37"/>
      <c r="Y3465" s="37"/>
      <c r="Z3465" s="37"/>
      <c r="AA3465" s="37"/>
      <c r="AB3465" s="37"/>
      <c r="AC3465" s="37"/>
      <c r="AD3465" s="37"/>
      <c r="AE3465" s="37"/>
      <c r="AF3465" s="37"/>
      <c r="AG3465" s="37"/>
      <c r="AH3465" s="37"/>
      <c r="AI3465" s="37"/>
      <c r="AJ3465" s="37"/>
      <c r="AK3465" s="37"/>
      <c r="AL3465" s="37"/>
      <c r="AM3465" s="37"/>
      <c r="AN3465" s="37"/>
      <c r="AO3465" s="37"/>
      <c r="AP3465" s="37"/>
      <c r="AQ3465" s="37"/>
      <c r="AR3465" s="37"/>
      <c r="AS3465" s="37"/>
      <c r="AT3465" s="37"/>
      <c r="AU3465" s="37"/>
      <c r="AV3465" s="37"/>
      <c r="AW3465" s="37"/>
      <c r="AX3465" s="37"/>
      <c r="AY3465" s="37"/>
      <c r="AZ3465" s="37"/>
      <c r="BA3465" s="37"/>
      <c r="BB3465" s="37"/>
      <c r="BC3465" s="37"/>
      <c r="BD3465" s="37"/>
      <c r="BE3465" s="37"/>
      <c r="BF3465" s="37"/>
      <c r="BG3465" s="37"/>
      <c r="BH3465" s="37"/>
      <c r="BI3465" s="37"/>
      <c r="BJ3465" s="37"/>
      <c r="BK3465" s="37"/>
      <c r="BL3465" s="37"/>
      <c r="BM3465" s="37"/>
    </row>
    <row r="3466" spans="1:65" s="40" customFormat="1" ht="23.25" x14ac:dyDescent="0.35">
      <c r="A3466" s="37"/>
      <c r="B3466" s="37"/>
      <c r="C3466" s="41"/>
      <c r="D3466" s="38"/>
      <c r="E3466" s="57"/>
      <c r="F3466" s="42"/>
      <c r="G3466" s="43"/>
      <c r="H3466" s="37"/>
      <c r="I3466" s="37"/>
      <c r="J3466" s="38"/>
      <c r="K3466" s="37"/>
      <c r="L3466" s="38"/>
      <c r="M3466" s="39"/>
      <c r="P3466" s="37"/>
      <c r="Q3466" s="37"/>
      <c r="R3466" s="37"/>
      <c r="S3466" s="37"/>
      <c r="T3466" s="37"/>
      <c r="U3466" s="37"/>
      <c r="V3466" s="37"/>
      <c r="W3466" s="37"/>
      <c r="X3466" s="37"/>
      <c r="Y3466" s="37"/>
      <c r="Z3466" s="37"/>
      <c r="AA3466" s="37"/>
      <c r="AB3466" s="37"/>
      <c r="AC3466" s="37"/>
      <c r="AD3466" s="37"/>
      <c r="AE3466" s="37"/>
      <c r="AF3466" s="37"/>
      <c r="AG3466" s="37"/>
      <c r="AH3466" s="37"/>
      <c r="AI3466" s="37"/>
      <c r="AJ3466" s="37"/>
      <c r="AK3466" s="37"/>
      <c r="AL3466" s="37"/>
      <c r="AM3466" s="37"/>
      <c r="AN3466" s="37"/>
      <c r="AO3466" s="37"/>
      <c r="AP3466" s="37"/>
      <c r="AQ3466" s="37"/>
      <c r="AR3466" s="37"/>
      <c r="AS3466" s="37"/>
      <c r="AT3466" s="37"/>
      <c r="AU3466" s="37"/>
      <c r="AV3466" s="37"/>
      <c r="AW3466" s="37"/>
      <c r="AX3466" s="37"/>
      <c r="AY3466" s="37"/>
      <c r="AZ3466" s="37"/>
      <c r="BA3466" s="37"/>
      <c r="BB3466" s="37"/>
      <c r="BC3466" s="37"/>
      <c r="BD3466" s="37"/>
      <c r="BE3466" s="37"/>
      <c r="BF3466" s="37"/>
      <c r="BG3466" s="37"/>
      <c r="BH3466" s="37"/>
      <c r="BI3466" s="37"/>
      <c r="BJ3466" s="37"/>
      <c r="BK3466" s="37"/>
      <c r="BL3466" s="37"/>
      <c r="BM3466" s="37"/>
    </row>
    <row r="3467" spans="1:65" s="40" customFormat="1" ht="23.25" x14ac:dyDescent="0.35">
      <c r="A3467" s="37"/>
      <c r="B3467" s="37"/>
      <c r="C3467" s="41"/>
      <c r="D3467" s="38"/>
      <c r="E3467" s="57"/>
      <c r="F3467" s="42"/>
      <c r="G3467" s="43"/>
      <c r="H3467" s="37"/>
      <c r="I3467" s="37"/>
      <c r="J3467" s="38"/>
      <c r="K3467" s="37"/>
      <c r="L3467" s="38"/>
      <c r="M3467" s="39"/>
      <c r="P3467" s="37"/>
      <c r="Q3467" s="37"/>
      <c r="R3467" s="37"/>
      <c r="S3467" s="37"/>
      <c r="T3467" s="37"/>
      <c r="U3467" s="37"/>
      <c r="V3467" s="37"/>
      <c r="W3467" s="37"/>
      <c r="X3467" s="37"/>
      <c r="Y3467" s="37"/>
      <c r="Z3467" s="37"/>
      <c r="AA3467" s="37"/>
      <c r="AB3467" s="37"/>
      <c r="AC3467" s="37"/>
      <c r="AD3467" s="37"/>
      <c r="AE3467" s="37"/>
      <c r="AF3467" s="37"/>
      <c r="AG3467" s="37"/>
      <c r="AH3467" s="37"/>
      <c r="AI3467" s="37"/>
      <c r="AJ3467" s="37"/>
      <c r="AK3467" s="37"/>
      <c r="AL3467" s="37"/>
      <c r="AM3467" s="37"/>
      <c r="AN3467" s="37"/>
      <c r="AO3467" s="37"/>
      <c r="AP3467" s="37"/>
      <c r="AQ3467" s="37"/>
      <c r="AR3467" s="37"/>
      <c r="AS3467" s="37"/>
      <c r="AT3467" s="37"/>
      <c r="AU3467" s="37"/>
      <c r="AV3467" s="37"/>
      <c r="AW3467" s="37"/>
      <c r="AX3467" s="37"/>
      <c r="AY3467" s="37"/>
      <c r="AZ3467" s="37"/>
      <c r="BA3467" s="37"/>
      <c r="BB3467" s="37"/>
      <c r="BC3467" s="37"/>
      <c r="BD3467" s="37"/>
      <c r="BE3467" s="37"/>
      <c r="BF3467" s="37"/>
      <c r="BG3467" s="37"/>
      <c r="BH3467" s="37"/>
      <c r="BI3467" s="37"/>
      <c r="BJ3467" s="37"/>
      <c r="BK3467" s="37"/>
      <c r="BL3467" s="37"/>
      <c r="BM3467" s="37"/>
    </row>
    <row r="3468" spans="1:65" s="40" customFormat="1" ht="23.25" x14ac:dyDescent="0.35">
      <c r="A3468" s="37"/>
      <c r="B3468" s="37"/>
      <c r="C3468" s="41"/>
      <c r="D3468" s="38"/>
      <c r="E3468" s="57"/>
      <c r="F3468" s="42"/>
      <c r="G3468" s="43"/>
      <c r="H3468" s="37"/>
      <c r="I3468" s="37"/>
      <c r="J3468" s="38"/>
      <c r="K3468" s="37"/>
      <c r="L3468" s="38"/>
      <c r="M3468" s="39"/>
      <c r="P3468" s="37"/>
      <c r="Q3468" s="37"/>
      <c r="R3468" s="37"/>
      <c r="S3468" s="37"/>
      <c r="T3468" s="37"/>
      <c r="U3468" s="37"/>
      <c r="V3468" s="37"/>
      <c r="W3468" s="37"/>
      <c r="X3468" s="37"/>
      <c r="Y3468" s="37"/>
      <c r="Z3468" s="37"/>
      <c r="AA3468" s="37"/>
      <c r="AB3468" s="37"/>
      <c r="AC3468" s="37"/>
      <c r="AD3468" s="37"/>
      <c r="AE3468" s="37"/>
      <c r="AF3468" s="37"/>
      <c r="AG3468" s="37"/>
      <c r="AH3468" s="37"/>
      <c r="AI3468" s="37"/>
      <c r="AJ3468" s="37"/>
      <c r="AK3468" s="37"/>
      <c r="AL3468" s="37"/>
      <c r="AM3468" s="37"/>
      <c r="AN3468" s="37"/>
      <c r="AO3468" s="37"/>
      <c r="AP3468" s="37"/>
      <c r="AQ3468" s="37"/>
      <c r="AR3468" s="37"/>
      <c r="AS3468" s="37"/>
      <c r="AT3468" s="37"/>
      <c r="AU3468" s="37"/>
      <c r="AV3468" s="37"/>
      <c r="AW3468" s="37"/>
      <c r="AX3468" s="37"/>
      <c r="AY3468" s="37"/>
      <c r="AZ3468" s="37"/>
      <c r="BA3468" s="37"/>
      <c r="BB3468" s="37"/>
      <c r="BC3468" s="37"/>
      <c r="BD3468" s="37"/>
      <c r="BE3468" s="37"/>
      <c r="BF3468" s="37"/>
      <c r="BG3468" s="37"/>
      <c r="BH3468" s="37"/>
      <c r="BI3468" s="37"/>
      <c r="BJ3468" s="37"/>
      <c r="BK3468" s="37"/>
      <c r="BL3468" s="37"/>
      <c r="BM3468" s="37"/>
    </row>
    <row r="3469" spans="1:65" s="40" customFormat="1" ht="23.25" x14ac:dyDescent="0.35">
      <c r="A3469" s="37"/>
      <c r="B3469" s="37"/>
      <c r="C3469" s="41"/>
      <c r="D3469" s="38"/>
      <c r="E3469" s="57"/>
      <c r="F3469" s="42"/>
      <c r="G3469" s="43"/>
      <c r="H3469" s="37"/>
      <c r="I3469" s="37"/>
      <c r="J3469" s="38"/>
      <c r="K3469" s="37"/>
      <c r="L3469" s="38"/>
      <c r="M3469" s="39"/>
      <c r="P3469" s="37"/>
      <c r="Q3469" s="37"/>
      <c r="R3469" s="37"/>
      <c r="S3469" s="37"/>
      <c r="T3469" s="37"/>
      <c r="U3469" s="37"/>
      <c r="V3469" s="37"/>
      <c r="W3469" s="37"/>
      <c r="X3469" s="37"/>
      <c r="Y3469" s="37"/>
      <c r="Z3469" s="37"/>
      <c r="AA3469" s="37"/>
      <c r="AB3469" s="37"/>
      <c r="AC3469" s="37"/>
      <c r="AD3469" s="37"/>
      <c r="AE3469" s="37"/>
      <c r="AF3469" s="37"/>
      <c r="AG3469" s="37"/>
      <c r="AH3469" s="37"/>
      <c r="AI3469" s="37"/>
      <c r="AJ3469" s="37"/>
      <c r="AK3469" s="37"/>
      <c r="AL3469" s="37"/>
      <c r="AM3469" s="37"/>
      <c r="AN3469" s="37"/>
      <c r="AO3469" s="37"/>
      <c r="AP3469" s="37"/>
      <c r="AQ3469" s="37"/>
      <c r="AR3469" s="37"/>
      <c r="AS3469" s="37"/>
      <c r="AT3469" s="37"/>
      <c r="AU3469" s="37"/>
      <c r="AV3469" s="37"/>
      <c r="AW3469" s="37"/>
      <c r="AX3469" s="37"/>
      <c r="AY3469" s="37"/>
      <c r="AZ3469" s="37"/>
      <c r="BA3469" s="37"/>
      <c r="BB3469" s="37"/>
      <c r="BC3469" s="37"/>
      <c r="BD3469" s="37"/>
      <c r="BE3469" s="37"/>
      <c r="BF3469" s="37"/>
      <c r="BG3469" s="37"/>
      <c r="BH3469" s="37"/>
      <c r="BI3469" s="37"/>
      <c r="BJ3469" s="37"/>
      <c r="BK3469" s="37"/>
      <c r="BL3469" s="37"/>
      <c r="BM3469" s="37"/>
    </row>
    <row r="3470" spans="1:65" s="40" customFormat="1" ht="23.25" x14ac:dyDescent="0.35">
      <c r="A3470" s="37"/>
      <c r="B3470" s="37"/>
      <c r="C3470" s="41"/>
      <c r="D3470" s="38"/>
      <c r="E3470" s="57"/>
      <c r="F3470" s="42"/>
      <c r="G3470" s="43"/>
      <c r="H3470" s="37"/>
      <c r="I3470" s="37"/>
      <c r="J3470" s="38"/>
      <c r="K3470" s="37"/>
      <c r="L3470" s="38"/>
      <c r="M3470" s="39"/>
      <c r="P3470" s="37"/>
      <c r="Q3470" s="37"/>
      <c r="R3470" s="37"/>
      <c r="S3470" s="37"/>
      <c r="T3470" s="37"/>
      <c r="U3470" s="37"/>
      <c r="V3470" s="37"/>
      <c r="W3470" s="37"/>
      <c r="X3470" s="37"/>
      <c r="Y3470" s="37"/>
      <c r="Z3470" s="37"/>
      <c r="AA3470" s="37"/>
      <c r="AB3470" s="37"/>
      <c r="AC3470" s="37"/>
      <c r="AD3470" s="37"/>
      <c r="AE3470" s="37"/>
      <c r="AF3470" s="37"/>
      <c r="AG3470" s="37"/>
      <c r="AH3470" s="37"/>
      <c r="AI3470" s="37"/>
      <c r="AJ3470" s="37"/>
      <c r="AK3470" s="37"/>
      <c r="AL3470" s="37"/>
      <c r="AM3470" s="37"/>
      <c r="AN3470" s="37"/>
      <c r="AO3470" s="37"/>
      <c r="AP3470" s="37"/>
      <c r="AQ3470" s="37"/>
      <c r="AR3470" s="37"/>
      <c r="AS3470" s="37"/>
      <c r="AT3470" s="37"/>
      <c r="AU3470" s="37"/>
      <c r="AV3470" s="37"/>
      <c r="AW3470" s="37"/>
      <c r="AX3470" s="37"/>
      <c r="AY3470" s="37"/>
      <c r="AZ3470" s="37"/>
      <c r="BA3470" s="37"/>
      <c r="BB3470" s="37"/>
      <c r="BC3470" s="37"/>
      <c r="BD3470" s="37"/>
      <c r="BE3470" s="37"/>
      <c r="BF3470" s="37"/>
      <c r="BG3470" s="37"/>
      <c r="BH3470" s="37"/>
      <c r="BI3470" s="37"/>
      <c r="BJ3470" s="37"/>
      <c r="BK3470" s="37"/>
      <c r="BL3470" s="37"/>
      <c r="BM3470" s="37"/>
    </row>
    <row r="3471" spans="1:65" s="40" customFormat="1" ht="23.25" x14ac:dyDescent="0.35">
      <c r="A3471" s="37"/>
      <c r="B3471" s="37"/>
      <c r="C3471" s="41"/>
      <c r="D3471" s="38"/>
      <c r="E3471" s="57"/>
      <c r="F3471" s="42"/>
      <c r="G3471" s="43"/>
      <c r="H3471" s="37"/>
      <c r="I3471" s="37"/>
      <c r="J3471" s="38"/>
      <c r="K3471" s="37"/>
      <c r="L3471" s="38"/>
      <c r="M3471" s="39"/>
      <c r="P3471" s="37"/>
      <c r="Q3471" s="37"/>
      <c r="R3471" s="37"/>
      <c r="S3471" s="37"/>
      <c r="T3471" s="37"/>
      <c r="U3471" s="37"/>
      <c r="V3471" s="37"/>
      <c r="W3471" s="37"/>
      <c r="X3471" s="37"/>
      <c r="Y3471" s="37"/>
      <c r="Z3471" s="37"/>
      <c r="AA3471" s="37"/>
      <c r="AB3471" s="37"/>
      <c r="AC3471" s="37"/>
      <c r="AD3471" s="37"/>
      <c r="AE3471" s="37"/>
      <c r="AF3471" s="37"/>
      <c r="AG3471" s="37"/>
      <c r="AH3471" s="37"/>
      <c r="AI3471" s="37"/>
      <c r="AJ3471" s="37"/>
      <c r="AK3471" s="37"/>
      <c r="AL3471" s="37"/>
      <c r="AM3471" s="37"/>
      <c r="AN3471" s="37"/>
      <c r="AO3471" s="37"/>
      <c r="AP3471" s="37"/>
      <c r="AQ3471" s="37"/>
      <c r="AR3471" s="37"/>
      <c r="AS3471" s="37"/>
      <c r="AT3471" s="37"/>
      <c r="AU3471" s="37"/>
      <c r="AV3471" s="37"/>
      <c r="AW3471" s="37"/>
      <c r="AX3471" s="37"/>
      <c r="AY3471" s="37"/>
      <c r="AZ3471" s="37"/>
      <c r="BA3471" s="37"/>
      <c r="BB3471" s="37"/>
      <c r="BC3471" s="37"/>
      <c r="BD3471" s="37"/>
      <c r="BE3471" s="37"/>
      <c r="BF3471" s="37"/>
      <c r="BG3471" s="37"/>
      <c r="BH3471" s="37"/>
      <c r="BI3471" s="37"/>
      <c r="BJ3471" s="37"/>
      <c r="BK3471" s="37"/>
      <c r="BL3471" s="37"/>
      <c r="BM3471" s="37"/>
    </row>
    <row r="3472" spans="1:65" s="40" customFormat="1" ht="23.25" x14ac:dyDescent="0.35">
      <c r="A3472" s="37"/>
      <c r="B3472" s="37"/>
      <c r="C3472" s="41"/>
      <c r="D3472" s="38"/>
      <c r="E3472" s="57"/>
      <c r="F3472" s="42"/>
      <c r="G3472" s="43"/>
      <c r="H3472" s="37"/>
      <c r="I3472" s="37"/>
      <c r="J3472" s="38"/>
      <c r="K3472" s="37"/>
      <c r="L3472" s="38"/>
      <c r="M3472" s="39"/>
      <c r="P3472" s="37"/>
      <c r="Q3472" s="37"/>
      <c r="R3472" s="37"/>
      <c r="S3472" s="37"/>
      <c r="T3472" s="37"/>
      <c r="U3472" s="37"/>
      <c r="V3472" s="37"/>
      <c r="W3472" s="37"/>
      <c r="X3472" s="37"/>
      <c r="Y3472" s="37"/>
      <c r="Z3472" s="37"/>
      <c r="AA3472" s="37"/>
      <c r="AB3472" s="37"/>
      <c r="AC3472" s="37"/>
      <c r="AD3472" s="37"/>
      <c r="AE3472" s="37"/>
      <c r="AF3472" s="37"/>
      <c r="AG3472" s="37"/>
      <c r="AH3472" s="37"/>
      <c r="AI3472" s="37"/>
      <c r="AJ3472" s="37"/>
      <c r="AK3472" s="37"/>
      <c r="AL3472" s="37"/>
      <c r="AM3472" s="37"/>
      <c r="AN3472" s="37"/>
      <c r="AO3472" s="37"/>
      <c r="AP3472" s="37"/>
      <c r="AQ3472" s="37"/>
      <c r="AR3472" s="37"/>
      <c r="AS3472" s="37"/>
      <c r="AT3472" s="37"/>
      <c r="AU3472" s="37"/>
      <c r="AV3472" s="37"/>
      <c r="AW3472" s="37"/>
      <c r="AX3472" s="37"/>
      <c r="AY3472" s="37"/>
      <c r="AZ3472" s="37"/>
      <c r="BA3472" s="37"/>
      <c r="BB3472" s="37"/>
      <c r="BC3472" s="37"/>
      <c r="BD3472" s="37"/>
      <c r="BE3472" s="37"/>
      <c r="BF3472" s="37"/>
      <c r="BG3472" s="37"/>
      <c r="BH3472" s="37"/>
      <c r="BI3472" s="37"/>
      <c r="BJ3472" s="37"/>
      <c r="BK3472" s="37"/>
      <c r="BL3472" s="37"/>
      <c r="BM3472" s="37"/>
    </row>
    <row r="3473" spans="1:65" s="40" customFormat="1" ht="23.25" x14ac:dyDescent="0.35">
      <c r="A3473" s="37"/>
      <c r="B3473" s="37"/>
      <c r="C3473" s="41"/>
      <c r="D3473" s="38"/>
      <c r="E3473" s="57"/>
      <c r="F3473" s="42"/>
      <c r="G3473" s="43"/>
      <c r="H3473" s="37"/>
      <c r="I3473" s="37"/>
      <c r="J3473" s="38"/>
      <c r="K3473" s="37"/>
      <c r="L3473" s="38"/>
      <c r="M3473" s="39"/>
      <c r="P3473" s="37"/>
      <c r="Q3473" s="37"/>
      <c r="R3473" s="37"/>
      <c r="S3473" s="37"/>
      <c r="T3473" s="37"/>
      <c r="U3473" s="37"/>
      <c r="V3473" s="37"/>
      <c r="W3473" s="37"/>
      <c r="X3473" s="37"/>
      <c r="Y3473" s="37"/>
      <c r="Z3473" s="37"/>
      <c r="AA3473" s="37"/>
      <c r="AB3473" s="37"/>
      <c r="AC3473" s="37"/>
      <c r="AD3473" s="37"/>
      <c r="AE3473" s="37"/>
      <c r="AF3473" s="37"/>
      <c r="AG3473" s="37"/>
      <c r="AH3473" s="37"/>
      <c r="AI3473" s="37"/>
      <c r="AJ3473" s="37"/>
      <c r="AK3473" s="37"/>
      <c r="AL3473" s="37"/>
      <c r="AM3473" s="37"/>
      <c r="AN3473" s="37"/>
      <c r="AO3473" s="37"/>
      <c r="AP3473" s="37"/>
      <c r="AQ3473" s="37"/>
      <c r="AR3473" s="37"/>
      <c r="AS3473" s="37"/>
      <c r="AT3473" s="37"/>
      <c r="AU3473" s="37"/>
      <c r="AV3473" s="37"/>
      <c r="AW3473" s="37"/>
      <c r="AX3473" s="37"/>
      <c r="AY3473" s="37"/>
      <c r="AZ3473" s="37"/>
      <c r="BA3473" s="37"/>
      <c r="BB3473" s="37"/>
      <c r="BC3473" s="37"/>
      <c r="BD3473" s="37"/>
      <c r="BE3473" s="37"/>
      <c r="BF3473" s="37"/>
      <c r="BG3473" s="37"/>
      <c r="BH3473" s="37"/>
      <c r="BI3473" s="37"/>
      <c r="BJ3473" s="37"/>
      <c r="BK3473" s="37"/>
      <c r="BL3473" s="37"/>
      <c r="BM3473" s="37"/>
    </row>
    <row r="3474" spans="1:65" s="40" customFormat="1" ht="23.25" x14ac:dyDescent="0.35">
      <c r="A3474" s="37"/>
      <c r="B3474" s="37"/>
      <c r="C3474" s="41"/>
      <c r="D3474" s="38"/>
      <c r="E3474" s="57"/>
      <c r="F3474" s="42"/>
      <c r="G3474" s="43"/>
      <c r="H3474" s="37"/>
      <c r="I3474" s="37"/>
      <c r="J3474" s="38"/>
      <c r="K3474" s="37"/>
      <c r="L3474" s="38"/>
      <c r="M3474" s="39"/>
      <c r="P3474" s="37"/>
      <c r="Q3474" s="37"/>
      <c r="R3474" s="37"/>
      <c r="S3474" s="37"/>
      <c r="T3474" s="37"/>
      <c r="U3474" s="37"/>
      <c r="V3474" s="37"/>
      <c r="W3474" s="37"/>
      <c r="X3474" s="37"/>
      <c r="Y3474" s="37"/>
      <c r="Z3474" s="37"/>
      <c r="AA3474" s="37"/>
      <c r="AB3474" s="37"/>
      <c r="AC3474" s="37"/>
      <c r="AD3474" s="37"/>
      <c r="AE3474" s="37"/>
      <c r="AF3474" s="37"/>
      <c r="AG3474" s="37"/>
      <c r="AH3474" s="37"/>
      <c r="AI3474" s="37"/>
      <c r="AJ3474" s="37"/>
      <c r="AK3474" s="37"/>
      <c r="AL3474" s="37"/>
      <c r="AM3474" s="37"/>
      <c r="AN3474" s="37"/>
      <c r="AO3474" s="37"/>
      <c r="AP3474" s="37"/>
      <c r="AQ3474" s="37"/>
      <c r="AR3474" s="37"/>
      <c r="AS3474" s="37"/>
      <c r="AT3474" s="37"/>
      <c r="AU3474" s="37"/>
      <c r="AV3474" s="37"/>
      <c r="AW3474" s="37"/>
      <c r="AX3474" s="37"/>
      <c r="AY3474" s="37"/>
      <c r="AZ3474" s="37"/>
      <c r="BA3474" s="37"/>
      <c r="BB3474" s="37"/>
      <c r="BC3474" s="37"/>
      <c r="BD3474" s="37"/>
      <c r="BE3474" s="37"/>
      <c r="BF3474" s="37"/>
      <c r="BG3474" s="37"/>
      <c r="BH3474" s="37"/>
      <c r="BI3474" s="37"/>
      <c r="BJ3474" s="37"/>
      <c r="BK3474" s="37"/>
      <c r="BL3474" s="37"/>
      <c r="BM3474" s="37"/>
    </row>
    <row r="3475" spans="1:65" s="40" customFormat="1" ht="23.25" x14ac:dyDescent="0.35">
      <c r="A3475" s="37"/>
      <c r="B3475" s="37"/>
      <c r="C3475" s="41"/>
      <c r="D3475" s="38"/>
      <c r="E3475" s="57"/>
      <c r="F3475" s="42"/>
      <c r="G3475" s="43"/>
      <c r="H3475" s="37"/>
      <c r="I3475" s="37"/>
      <c r="J3475" s="38"/>
      <c r="K3475" s="37"/>
      <c r="L3475" s="38"/>
      <c r="M3475" s="39"/>
      <c r="P3475" s="37"/>
      <c r="Q3475" s="37"/>
      <c r="R3475" s="37"/>
      <c r="S3475" s="37"/>
      <c r="T3475" s="37"/>
      <c r="U3475" s="37"/>
      <c r="V3475" s="37"/>
      <c r="W3475" s="37"/>
      <c r="X3475" s="37"/>
      <c r="Y3475" s="37"/>
      <c r="Z3475" s="37"/>
      <c r="AA3475" s="37"/>
      <c r="AB3475" s="37"/>
      <c r="AC3475" s="37"/>
      <c r="AD3475" s="37"/>
      <c r="AE3475" s="37"/>
      <c r="AF3475" s="37"/>
      <c r="AG3475" s="37"/>
      <c r="AH3475" s="37"/>
      <c r="AI3475" s="37"/>
      <c r="AJ3475" s="37"/>
      <c r="AK3475" s="37"/>
      <c r="AL3475" s="37"/>
      <c r="AM3475" s="37"/>
      <c r="AN3475" s="37"/>
      <c r="AO3475" s="37"/>
      <c r="AP3475" s="37"/>
      <c r="AQ3475" s="37"/>
      <c r="AR3475" s="37"/>
      <c r="AS3475" s="37"/>
      <c r="AT3475" s="37"/>
      <c r="AU3475" s="37"/>
      <c r="AV3475" s="37"/>
      <c r="AW3475" s="37"/>
      <c r="AX3475" s="37"/>
      <c r="AY3475" s="37"/>
      <c r="AZ3475" s="37"/>
      <c r="BA3475" s="37"/>
      <c r="BB3475" s="37"/>
      <c r="BC3475" s="37"/>
      <c r="BD3475" s="37"/>
      <c r="BE3475" s="37"/>
      <c r="BF3475" s="37"/>
      <c r="BG3475" s="37"/>
      <c r="BH3475" s="37"/>
      <c r="BI3475" s="37"/>
      <c r="BJ3475" s="37"/>
      <c r="BK3475" s="37"/>
      <c r="BL3475" s="37"/>
      <c r="BM3475" s="37"/>
    </row>
    <row r="3476" spans="1:65" s="40" customFormat="1" ht="23.25" x14ac:dyDescent="0.35">
      <c r="A3476" s="37"/>
      <c r="B3476" s="37"/>
      <c r="C3476" s="41"/>
      <c r="D3476" s="38"/>
      <c r="E3476" s="57"/>
      <c r="F3476" s="42"/>
      <c r="G3476" s="43"/>
      <c r="H3476" s="37"/>
      <c r="I3476" s="37"/>
      <c r="J3476" s="38"/>
      <c r="K3476" s="37"/>
      <c r="L3476" s="38"/>
      <c r="M3476" s="39"/>
      <c r="P3476" s="37"/>
      <c r="Q3476" s="37"/>
      <c r="R3476" s="37"/>
      <c r="S3476" s="37"/>
      <c r="T3476" s="37"/>
      <c r="U3476" s="37"/>
      <c r="V3476" s="37"/>
      <c r="W3476" s="37"/>
      <c r="X3476" s="37"/>
      <c r="Y3476" s="37"/>
      <c r="Z3476" s="37"/>
      <c r="AA3476" s="37"/>
      <c r="AB3476" s="37"/>
      <c r="AC3476" s="37"/>
      <c r="AD3476" s="37"/>
      <c r="AE3476" s="37"/>
      <c r="AF3476" s="37"/>
      <c r="AG3476" s="37"/>
      <c r="AH3476" s="37"/>
      <c r="AI3476" s="37"/>
      <c r="AJ3476" s="37"/>
      <c r="AK3476" s="37"/>
      <c r="AL3476" s="37"/>
      <c r="AM3476" s="37"/>
      <c r="AN3476" s="37"/>
      <c r="AO3476" s="37"/>
      <c r="AP3476" s="37"/>
      <c r="AQ3476" s="37"/>
      <c r="AR3476" s="37"/>
      <c r="AS3476" s="37"/>
      <c r="AT3476" s="37"/>
      <c r="AU3476" s="37"/>
      <c r="AV3476" s="37"/>
      <c r="AW3476" s="37"/>
      <c r="AX3476" s="37"/>
      <c r="AY3476" s="37"/>
      <c r="AZ3476" s="37"/>
      <c r="BA3476" s="37"/>
      <c r="BB3476" s="37"/>
      <c r="BC3476" s="37"/>
      <c r="BD3476" s="37"/>
      <c r="BE3476" s="37"/>
      <c r="BF3476" s="37"/>
      <c r="BG3476" s="37"/>
      <c r="BH3476" s="37"/>
      <c r="BI3476" s="37"/>
      <c r="BJ3476" s="37"/>
      <c r="BK3476" s="37"/>
      <c r="BL3476" s="37"/>
      <c r="BM3476" s="37"/>
    </row>
    <row r="3477" spans="1:65" s="40" customFormat="1" ht="23.25" x14ac:dyDescent="0.35">
      <c r="A3477" s="37"/>
      <c r="B3477" s="37"/>
      <c r="C3477" s="41"/>
      <c r="D3477" s="38"/>
      <c r="E3477" s="57"/>
      <c r="F3477" s="42"/>
      <c r="G3477" s="43"/>
      <c r="H3477" s="37"/>
      <c r="I3477" s="37"/>
      <c r="J3477" s="38"/>
      <c r="K3477" s="37"/>
      <c r="L3477" s="38"/>
      <c r="M3477" s="39"/>
      <c r="P3477" s="37"/>
      <c r="Q3477" s="37"/>
      <c r="R3477" s="37"/>
      <c r="S3477" s="37"/>
      <c r="T3477" s="37"/>
      <c r="U3477" s="37"/>
      <c r="V3477" s="37"/>
      <c r="W3477" s="37"/>
      <c r="X3477" s="37"/>
      <c r="Y3477" s="37"/>
      <c r="Z3477" s="37"/>
      <c r="AA3477" s="37"/>
      <c r="AB3477" s="37"/>
      <c r="AC3477" s="37"/>
      <c r="AD3477" s="37"/>
      <c r="AE3477" s="37"/>
      <c r="AF3477" s="37"/>
      <c r="AG3477" s="37"/>
      <c r="AH3477" s="37"/>
      <c r="AI3477" s="37"/>
      <c r="AJ3477" s="37"/>
      <c r="AK3477" s="37"/>
      <c r="AL3477" s="37"/>
      <c r="AM3477" s="37"/>
      <c r="AN3477" s="37"/>
      <c r="AO3477" s="37"/>
      <c r="AP3477" s="37"/>
      <c r="AQ3477" s="37"/>
      <c r="AR3477" s="37"/>
      <c r="AS3477" s="37"/>
      <c r="AT3477" s="37"/>
      <c r="AU3477" s="37"/>
      <c r="AV3477" s="37"/>
      <c r="AW3477" s="37"/>
      <c r="AX3477" s="37"/>
      <c r="AY3477" s="37"/>
      <c r="AZ3477" s="37"/>
      <c r="BA3477" s="37"/>
      <c r="BB3477" s="37"/>
      <c r="BC3477" s="37"/>
      <c r="BD3477" s="37"/>
      <c r="BE3477" s="37"/>
      <c r="BF3477" s="37"/>
      <c r="BG3477" s="37"/>
      <c r="BH3477" s="37"/>
      <c r="BI3477" s="37"/>
      <c r="BJ3477" s="37"/>
      <c r="BK3477" s="37"/>
      <c r="BL3477" s="37"/>
      <c r="BM3477" s="37"/>
    </row>
    <row r="3478" spans="1:65" s="40" customFormat="1" ht="23.25" x14ac:dyDescent="0.35">
      <c r="A3478" s="37"/>
      <c r="B3478" s="37"/>
      <c r="C3478" s="41"/>
      <c r="D3478" s="38"/>
      <c r="E3478" s="57"/>
      <c r="F3478" s="42"/>
      <c r="G3478" s="43"/>
      <c r="H3478" s="37"/>
      <c r="I3478" s="37"/>
      <c r="J3478" s="38"/>
      <c r="K3478" s="37"/>
      <c r="L3478" s="38"/>
      <c r="M3478" s="39"/>
      <c r="P3478" s="37"/>
      <c r="Q3478" s="37"/>
      <c r="R3478" s="37"/>
      <c r="S3478" s="37"/>
      <c r="T3478" s="37"/>
      <c r="U3478" s="37"/>
      <c r="V3478" s="37"/>
      <c r="W3478" s="37"/>
      <c r="X3478" s="37"/>
      <c r="Y3478" s="37"/>
      <c r="Z3478" s="37"/>
      <c r="AA3478" s="37"/>
      <c r="AB3478" s="37"/>
      <c r="AC3478" s="37"/>
      <c r="AD3478" s="37"/>
      <c r="AE3478" s="37"/>
      <c r="AF3478" s="37"/>
      <c r="AG3478" s="37"/>
      <c r="AH3478" s="37"/>
      <c r="AI3478" s="37"/>
      <c r="AJ3478" s="37"/>
      <c r="AK3478" s="37"/>
      <c r="AL3478" s="37"/>
      <c r="AM3478" s="37"/>
      <c r="AN3478" s="37"/>
      <c r="AO3478" s="37"/>
      <c r="AP3478" s="37"/>
      <c r="AQ3478" s="37"/>
      <c r="AR3478" s="37"/>
      <c r="AS3478" s="37"/>
      <c r="AT3478" s="37"/>
      <c r="AU3478" s="37"/>
      <c r="AV3478" s="37"/>
      <c r="AW3478" s="37"/>
      <c r="AX3478" s="37"/>
      <c r="AY3478" s="37"/>
      <c r="AZ3478" s="37"/>
      <c r="BA3478" s="37"/>
      <c r="BB3478" s="37"/>
      <c r="BC3478" s="37"/>
      <c r="BD3478" s="37"/>
      <c r="BE3478" s="37"/>
      <c r="BF3478" s="37"/>
      <c r="BG3478" s="37"/>
      <c r="BH3478" s="37"/>
      <c r="BI3478" s="37"/>
      <c r="BJ3478" s="37"/>
      <c r="BK3478" s="37"/>
      <c r="BL3478" s="37"/>
      <c r="BM3478" s="37"/>
    </row>
    <row r="3479" spans="1:65" s="40" customFormat="1" ht="23.25" x14ac:dyDescent="0.35">
      <c r="A3479" s="37"/>
      <c r="B3479" s="37"/>
      <c r="C3479" s="41"/>
      <c r="D3479" s="38"/>
      <c r="E3479" s="57"/>
      <c r="F3479" s="42"/>
      <c r="G3479" s="43"/>
      <c r="H3479" s="37"/>
      <c r="I3479" s="37"/>
      <c r="J3479" s="38"/>
      <c r="K3479" s="37"/>
      <c r="L3479" s="38"/>
      <c r="M3479" s="39"/>
      <c r="P3479" s="37"/>
      <c r="Q3479" s="37"/>
      <c r="R3479" s="37"/>
      <c r="S3479" s="37"/>
      <c r="T3479" s="37"/>
      <c r="U3479" s="37"/>
      <c r="V3479" s="37"/>
      <c r="W3479" s="37"/>
      <c r="X3479" s="37"/>
      <c r="Y3479" s="37"/>
      <c r="Z3479" s="37"/>
      <c r="AA3479" s="37"/>
      <c r="AB3479" s="37"/>
      <c r="AC3479" s="37"/>
      <c r="AD3479" s="37"/>
      <c r="AE3479" s="37"/>
      <c r="AF3479" s="37"/>
      <c r="AG3479" s="37"/>
      <c r="AH3479" s="37"/>
      <c r="AI3479" s="37"/>
      <c r="AJ3479" s="37"/>
      <c r="AK3479" s="37"/>
      <c r="AL3479" s="37"/>
      <c r="AM3479" s="37"/>
      <c r="AN3479" s="37"/>
      <c r="AO3479" s="37"/>
      <c r="AP3479" s="37"/>
      <c r="AQ3479" s="37"/>
      <c r="AR3479" s="37"/>
      <c r="AS3479" s="37"/>
      <c r="AT3479" s="37"/>
      <c r="AU3479" s="37"/>
      <c r="AV3479" s="37"/>
      <c r="AW3479" s="37"/>
      <c r="AX3479" s="37"/>
      <c r="AY3479" s="37"/>
      <c r="AZ3479" s="37"/>
      <c r="BA3479" s="37"/>
      <c r="BB3479" s="37"/>
      <c r="BC3479" s="37"/>
      <c r="BD3479" s="37"/>
      <c r="BE3479" s="37"/>
      <c r="BF3479" s="37"/>
      <c r="BG3479" s="37"/>
      <c r="BH3479" s="37"/>
      <c r="BI3479" s="37"/>
      <c r="BJ3479" s="37"/>
      <c r="BK3479" s="37"/>
      <c r="BL3479" s="37"/>
      <c r="BM3479" s="37"/>
    </row>
    <row r="3480" spans="1:65" s="40" customFormat="1" ht="23.25" x14ac:dyDescent="0.35">
      <c r="A3480" s="37"/>
      <c r="B3480" s="37"/>
      <c r="C3480" s="41"/>
      <c r="D3480" s="38"/>
      <c r="E3480" s="57"/>
      <c r="F3480" s="42"/>
      <c r="G3480" s="43"/>
      <c r="H3480" s="37"/>
      <c r="I3480" s="37"/>
      <c r="J3480" s="38"/>
      <c r="K3480" s="37"/>
      <c r="L3480" s="38"/>
      <c r="M3480" s="39"/>
      <c r="P3480" s="37"/>
      <c r="Q3480" s="37"/>
      <c r="R3480" s="37"/>
      <c r="S3480" s="37"/>
      <c r="T3480" s="37"/>
      <c r="U3480" s="37"/>
      <c r="V3480" s="37"/>
      <c r="W3480" s="37"/>
      <c r="X3480" s="37"/>
      <c r="Y3480" s="37"/>
      <c r="Z3480" s="37"/>
      <c r="AA3480" s="37"/>
      <c r="AB3480" s="37"/>
      <c r="AC3480" s="37"/>
      <c r="AD3480" s="37"/>
      <c r="AE3480" s="37"/>
      <c r="AF3480" s="37"/>
      <c r="AG3480" s="37"/>
      <c r="AH3480" s="37"/>
      <c r="AI3480" s="37"/>
      <c r="AJ3480" s="37"/>
      <c r="AK3480" s="37"/>
      <c r="AL3480" s="37"/>
      <c r="AM3480" s="37"/>
      <c r="AN3480" s="37"/>
      <c r="AO3480" s="37"/>
      <c r="AP3480" s="37"/>
      <c r="AQ3480" s="37"/>
      <c r="AR3480" s="37"/>
      <c r="AS3480" s="37"/>
      <c r="AT3480" s="37"/>
      <c r="AU3480" s="37"/>
      <c r="AV3480" s="37"/>
      <c r="AW3480" s="37"/>
      <c r="AX3480" s="37"/>
      <c r="AY3480" s="37"/>
      <c r="AZ3480" s="37"/>
      <c r="BA3480" s="37"/>
      <c r="BB3480" s="37"/>
      <c r="BC3480" s="37"/>
      <c r="BD3480" s="37"/>
      <c r="BE3480" s="37"/>
      <c r="BF3480" s="37"/>
      <c r="BG3480" s="37"/>
      <c r="BH3480" s="37"/>
      <c r="BI3480" s="37"/>
      <c r="BJ3480" s="37"/>
      <c r="BK3480" s="37"/>
      <c r="BL3480" s="37"/>
      <c r="BM3480" s="37"/>
    </row>
    <row r="3481" spans="1:65" s="40" customFormat="1" ht="23.25" x14ac:dyDescent="0.35">
      <c r="A3481" s="37"/>
      <c r="B3481" s="37"/>
      <c r="C3481" s="41"/>
      <c r="D3481" s="38"/>
      <c r="E3481" s="57"/>
      <c r="F3481" s="42"/>
      <c r="G3481" s="43"/>
      <c r="H3481" s="37"/>
      <c r="I3481" s="37"/>
      <c r="J3481" s="38"/>
      <c r="K3481" s="37"/>
      <c r="L3481" s="38"/>
      <c r="M3481" s="39"/>
      <c r="P3481" s="37"/>
      <c r="Q3481" s="37"/>
      <c r="R3481" s="37"/>
      <c r="S3481" s="37"/>
      <c r="T3481" s="37"/>
      <c r="U3481" s="37"/>
      <c r="V3481" s="37"/>
      <c r="W3481" s="37"/>
      <c r="X3481" s="37"/>
      <c r="Y3481" s="37"/>
      <c r="Z3481" s="37"/>
      <c r="AA3481" s="37"/>
      <c r="AB3481" s="37"/>
      <c r="AC3481" s="37"/>
      <c r="AD3481" s="37"/>
      <c r="AE3481" s="37"/>
      <c r="AF3481" s="37"/>
      <c r="AG3481" s="37"/>
      <c r="AH3481" s="37"/>
      <c r="AI3481" s="37"/>
      <c r="AJ3481" s="37"/>
      <c r="AK3481" s="37"/>
      <c r="AL3481" s="37"/>
      <c r="AM3481" s="37"/>
      <c r="AN3481" s="37"/>
      <c r="AO3481" s="37"/>
      <c r="AP3481" s="37"/>
      <c r="AQ3481" s="37"/>
      <c r="AR3481" s="37"/>
      <c r="AS3481" s="37"/>
      <c r="AT3481" s="37"/>
      <c r="AU3481" s="37"/>
      <c r="AV3481" s="37"/>
      <c r="AW3481" s="37"/>
      <c r="AX3481" s="37"/>
      <c r="AY3481" s="37"/>
      <c r="AZ3481" s="37"/>
      <c r="BA3481" s="37"/>
      <c r="BB3481" s="37"/>
      <c r="BC3481" s="37"/>
      <c r="BD3481" s="37"/>
      <c r="BE3481" s="37"/>
      <c r="BF3481" s="37"/>
      <c r="BG3481" s="37"/>
      <c r="BH3481" s="37"/>
      <c r="BI3481" s="37"/>
      <c r="BJ3481" s="37"/>
      <c r="BK3481" s="37"/>
      <c r="BL3481" s="37"/>
      <c r="BM3481" s="37"/>
    </row>
    <row r="3482" spans="1:65" s="40" customFormat="1" ht="23.25" x14ac:dyDescent="0.35">
      <c r="A3482" s="37"/>
      <c r="B3482" s="37"/>
      <c r="C3482" s="41"/>
      <c r="D3482" s="38"/>
      <c r="E3482" s="57"/>
      <c r="F3482" s="42"/>
      <c r="G3482" s="43"/>
      <c r="H3482" s="37"/>
      <c r="I3482" s="37"/>
      <c r="J3482" s="38"/>
      <c r="K3482" s="37"/>
      <c r="L3482" s="38"/>
      <c r="M3482" s="39"/>
      <c r="P3482" s="37"/>
      <c r="Q3482" s="37"/>
      <c r="R3482" s="37"/>
      <c r="S3482" s="37"/>
      <c r="T3482" s="37"/>
      <c r="U3482" s="37"/>
      <c r="V3482" s="37"/>
      <c r="W3482" s="37"/>
      <c r="X3482" s="37"/>
      <c r="Y3482" s="37"/>
      <c r="Z3482" s="37"/>
      <c r="AA3482" s="37"/>
      <c r="AB3482" s="37"/>
      <c r="AC3482" s="37"/>
      <c r="AD3482" s="37"/>
      <c r="AE3482" s="37"/>
      <c r="AF3482" s="37"/>
      <c r="AG3482" s="37"/>
      <c r="AH3482" s="37"/>
      <c r="AI3482" s="37"/>
      <c r="AJ3482" s="37"/>
      <c r="AK3482" s="37"/>
      <c r="AL3482" s="37"/>
      <c r="AM3482" s="37"/>
      <c r="AN3482" s="37"/>
      <c r="AO3482" s="37"/>
      <c r="AP3482" s="37"/>
      <c r="AQ3482" s="37"/>
      <c r="AR3482" s="37"/>
      <c r="AS3482" s="37"/>
      <c r="AT3482" s="37"/>
      <c r="AU3482" s="37"/>
      <c r="AV3482" s="37"/>
      <c r="AW3482" s="37"/>
      <c r="AX3482" s="37"/>
      <c r="AY3482" s="37"/>
      <c r="AZ3482" s="37"/>
      <c r="BA3482" s="37"/>
      <c r="BB3482" s="37"/>
      <c r="BC3482" s="37"/>
      <c r="BD3482" s="37"/>
      <c r="BE3482" s="37"/>
      <c r="BF3482" s="37"/>
      <c r="BG3482" s="37"/>
      <c r="BH3482" s="37"/>
      <c r="BI3482" s="37"/>
      <c r="BJ3482" s="37"/>
      <c r="BK3482" s="37"/>
      <c r="BL3482" s="37"/>
      <c r="BM3482" s="37"/>
    </row>
    <row r="3483" spans="1:65" s="40" customFormat="1" ht="23.25" x14ac:dyDescent="0.35">
      <c r="A3483" s="37"/>
      <c r="B3483" s="37"/>
      <c r="C3483" s="41"/>
      <c r="D3483" s="38"/>
      <c r="E3483" s="57"/>
      <c r="F3483" s="42"/>
      <c r="G3483" s="43"/>
      <c r="H3483" s="37"/>
      <c r="I3483" s="37"/>
      <c r="J3483" s="38"/>
      <c r="K3483" s="37"/>
      <c r="L3483" s="38"/>
      <c r="M3483" s="39"/>
      <c r="P3483" s="37"/>
      <c r="Q3483" s="37"/>
      <c r="R3483" s="37"/>
      <c r="S3483" s="37"/>
      <c r="T3483" s="37"/>
      <c r="U3483" s="37"/>
      <c r="V3483" s="37"/>
      <c r="W3483" s="37"/>
      <c r="X3483" s="37"/>
      <c r="Y3483" s="37"/>
      <c r="Z3483" s="37"/>
      <c r="AA3483" s="37"/>
      <c r="AB3483" s="37"/>
      <c r="AC3483" s="37"/>
      <c r="AD3483" s="37"/>
      <c r="AE3483" s="37"/>
      <c r="AF3483" s="37"/>
      <c r="AG3483" s="37"/>
      <c r="AH3483" s="37"/>
      <c r="AI3483" s="37"/>
      <c r="AJ3483" s="37"/>
      <c r="AK3483" s="37"/>
      <c r="AL3483" s="37"/>
      <c r="AM3483" s="37"/>
      <c r="AN3483" s="37"/>
      <c r="AO3483" s="37"/>
      <c r="AP3483" s="37"/>
      <c r="AQ3483" s="37"/>
      <c r="AR3483" s="37"/>
      <c r="AS3483" s="37"/>
      <c r="AT3483" s="37"/>
      <c r="AU3483" s="37"/>
      <c r="AV3483" s="37"/>
      <c r="AW3483" s="37"/>
      <c r="AX3483" s="37"/>
      <c r="AY3483" s="37"/>
      <c r="AZ3483" s="37"/>
      <c r="BA3483" s="37"/>
      <c r="BB3483" s="37"/>
      <c r="BC3483" s="37"/>
      <c r="BD3483" s="37"/>
      <c r="BE3483" s="37"/>
      <c r="BF3483" s="37"/>
      <c r="BG3483" s="37"/>
      <c r="BH3483" s="37"/>
      <c r="BI3483" s="37"/>
      <c r="BJ3483" s="37"/>
      <c r="BK3483" s="37"/>
      <c r="BL3483" s="37"/>
      <c r="BM3483" s="37"/>
    </row>
    <row r="3484" spans="1:65" s="40" customFormat="1" ht="23.25" x14ac:dyDescent="0.35">
      <c r="A3484" s="37"/>
      <c r="B3484" s="37"/>
      <c r="C3484" s="41"/>
      <c r="D3484" s="38"/>
      <c r="E3484" s="57"/>
      <c r="F3484" s="42"/>
      <c r="G3484" s="43"/>
      <c r="H3484" s="37"/>
      <c r="I3484" s="37"/>
      <c r="J3484" s="38"/>
      <c r="K3484" s="37"/>
      <c r="L3484" s="38"/>
      <c r="M3484" s="39"/>
      <c r="P3484" s="37"/>
      <c r="Q3484" s="37"/>
      <c r="R3484" s="37"/>
      <c r="S3484" s="37"/>
      <c r="T3484" s="37"/>
      <c r="U3484" s="37"/>
      <c r="V3484" s="37"/>
      <c r="W3484" s="37"/>
      <c r="X3484" s="37"/>
      <c r="Y3484" s="37"/>
      <c r="Z3484" s="37"/>
      <c r="AA3484" s="37"/>
      <c r="AB3484" s="37"/>
      <c r="AC3484" s="37"/>
      <c r="AD3484" s="37"/>
      <c r="AE3484" s="37"/>
      <c r="AF3484" s="37"/>
      <c r="AG3484" s="37"/>
      <c r="AH3484" s="37"/>
      <c r="AI3484" s="37"/>
      <c r="AJ3484" s="37"/>
      <c r="AK3484" s="37"/>
      <c r="AL3484" s="37"/>
      <c r="AM3484" s="37"/>
      <c r="AN3484" s="37"/>
      <c r="AO3484" s="37"/>
      <c r="AP3484" s="37"/>
      <c r="AQ3484" s="37"/>
      <c r="AR3484" s="37"/>
      <c r="AS3484" s="37"/>
      <c r="AT3484" s="37"/>
      <c r="AU3484" s="37"/>
      <c r="AV3484" s="37"/>
      <c r="AW3484" s="37"/>
      <c r="AX3484" s="37"/>
      <c r="AY3484" s="37"/>
      <c r="AZ3484" s="37"/>
      <c r="BA3484" s="37"/>
      <c r="BB3484" s="37"/>
      <c r="BC3484" s="37"/>
      <c r="BD3484" s="37"/>
      <c r="BE3484" s="37"/>
      <c r="BF3484" s="37"/>
      <c r="BG3484" s="37"/>
      <c r="BH3484" s="37"/>
      <c r="BI3484" s="37"/>
      <c r="BJ3484" s="37"/>
      <c r="BK3484" s="37"/>
      <c r="BL3484" s="37"/>
      <c r="BM3484" s="37"/>
    </row>
    <row r="3485" spans="1:65" s="40" customFormat="1" ht="23.25" x14ac:dyDescent="0.35">
      <c r="A3485" s="37"/>
      <c r="B3485" s="37"/>
      <c r="C3485" s="41"/>
      <c r="D3485" s="38"/>
      <c r="E3485" s="57"/>
      <c r="F3485" s="42"/>
      <c r="G3485" s="43"/>
      <c r="H3485" s="37"/>
      <c r="I3485" s="37"/>
      <c r="J3485" s="38"/>
      <c r="K3485" s="37"/>
      <c r="L3485" s="38"/>
      <c r="M3485" s="39"/>
      <c r="P3485" s="37"/>
      <c r="Q3485" s="37"/>
      <c r="R3485" s="37"/>
      <c r="S3485" s="37"/>
      <c r="T3485" s="37"/>
      <c r="U3485" s="37"/>
      <c r="V3485" s="37"/>
      <c r="W3485" s="37"/>
      <c r="X3485" s="37"/>
      <c r="Y3485" s="37"/>
      <c r="Z3485" s="37"/>
      <c r="AA3485" s="37"/>
      <c r="AB3485" s="37"/>
      <c r="AC3485" s="37"/>
      <c r="AD3485" s="37"/>
      <c r="AE3485" s="37"/>
      <c r="AF3485" s="37"/>
      <c r="AG3485" s="37"/>
      <c r="AH3485" s="37"/>
      <c r="AI3485" s="37"/>
      <c r="AJ3485" s="37"/>
      <c r="AK3485" s="37"/>
      <c r="AL3485" s="37"/>
      <c r="AM3485" s="37"/>
      <c r="AN3485" s="37"/>
      <c r="AO3485" s="37"/>
      <c r="AP3485" s="37"/>
      <c r="AQ3485" s="37"/>
      <c r="AR3485" s="37"/>
      <c r="AS3485" s="37"/>
      <c r="AT3485" s="37"/>
      <c r="AU3485" s="37"/>
      <c r="AV3485" s="37"/>
      <c r="AW3485" s="37"/>
      <c r="AX3485" s="37"/>
      <c r="AY3485" s="37"/>
      <c r="AZ3485" s="37"/>
      <c r="BA3485" s="37"/>
      <c r="BB3485" s="37"/>
      <c r="BC3485" s="37"/>
      <c r="BD3485" s="37"/>
      <c r="BE3485" s="37"/>
      <c r="BF3485" s="37"/>
      <c r="BG3485" s="37"/>
      <c r="BH3485" s="37"/>
      <c r="BI3485" s="37"/>
      <c r="BJ3485" s="37"/>
      <c r="BK3485" s="37"/>
      <c r="BL3485" s="37"/>
      <c r="BM3485" s="37"/>
    </row>
    <row r="3486" spans="1:65" s="40" customFormat="1" ht="23.25" x14ac:dyDescent="0.35">
      <c r="A3486" s="37"/>
      <c r="B3486" s="37"/>
      <c r="C3486" s="41"/>
      <c r="D3486" s="38"/>
      <c r="E3486" s="57"/>
      <c r="F3486" s="42"/>
      <c r="G3486" s="43"/>
      <c r="H3486" s="37"/>
      <c r="I3486" s="37"/>
      <c r="J3486" s="38"/>
      <c r="K3486" s="37"/>
      <c r="L3486" s="38"/>
      <c r="M3486" s="39"/>
      <c r="P3486" s="37"/>
      <c r="Q3486" s="37"/>
      <c r="R3486" s="37"/>
      <c r="S3486" s="37"/>
      <c r="T3486" s="37"/>
      <c r="U3486" s="37"/>
      <c r="V3486" s="37"/>
      <c r="W3486" s="37"/>
      <c r="X3486" s="37"/>
      <c r="Y3486" s="37"/>
      <c r="Z3486" s="37"/>
      <c r="AA3486" s="37"/>
      <c r="AB3486" s="37"/>
      <c r="AC3486" s="37"/>
      <c r="AD3486" s="37"/>
      <c r="AE3486" s="37"/>
      <c r="AF3486" s="37"/>
      <c r="AG3486" s="37"/>
      <c r="AH3486" s="37"/>
      <c r="AI3486" s="37"/>
      <c r="AJ3486" s="37"/>
      <c r="AK3486" s="37"/>
      <c r="AL3486" s="37"/>
      <c r="AM3486" s="37"/>
      <c r="AN3486" s="37"/>
      <c r="AO3486" s="37"/>
      <c r="AP3486" s="37"/>
      <c r="AQ3486" s="37"/>
      <c r="AR3486" s="37"/>
      <c r="AS3486" s="37"/>
      <c r="AT3486" s="37"/>
      <c r="AU3486" s="37"/>
      <c r="AV3486" s="37"/>
      <c r="AW3486" s="37"/>
      <c r="AX3486" s="37"/>
      <c r="AY3486" s="37"/>
      <c r="AZ3486" s="37"/>
      <c r="BA3486" s="37"/>
      <c r="BB3486" s="37"/>
      <c r="BC3486" s="37"/>
      <c r="BD3486" s="37"/>
      <c r="BE3486" s="37"/>
      <c r="BF3486" s="37"/>
      <c r="BG3486" s="37"/>
      <c r="BH3486" s="37"/>
      <c r="BI3486" s="37"/>
      <c r="BJ3486" s="37"/>
      <c r="BK3486" s="37"/>
      <c r="BL3486" s="37"/>
      <c r="BM3486" s="37"/>
    </row>
    <row r="3487" spans="1:65" s="40" customFormat="1" ht="23.25" x14ac:dyDescent="0.35">
      <c r="A3487" s="37"/>
      <c r="B3487" s="37"/>
      <c r="C3487" s="41"/>
      <c r="D3487" s="38"/>
      <c r="E3487" s="57"/>
      <c r="F3487" s="42"/>
      <c r="G3487" s="43"/>
      <c r="H3487" s="37"/>
      <c r="I3487" s="37"/>
      <c r="J3487" s="38"/>
      <c r="K3487" s="37"/>
      <c r="L3487" s="38"/>
      <c r="M3487" s="39"/>
      <c r="P3487" s="37"/>
      <c r="Q3487" s="37"/>
      <c r="R3487" s="37"/>
      <c r="S3487" s="37"/>
      <c r="T3487" s="37"/>
      <c r="U3487" s="37"/>
      <c r="V3487" s="37"/>
      <c r="W3487" s="37"/>
      <c r="X3487" s="37"/>
      <c r="Y3487" s="37"/>
      <c r="Z3487" s="37"/>
      <c r="AA3487" s="37"/>
      <c r="AB3487" s="37"/>
      <c r="AC3487" s="37"/>
      <c r="AD3487" s="37"/>
      <c r="AE3487" s="37"/>
      <c r="AF3487" s="37"/>
      <c r="AG3487" s="37"/>
      <c r="AH3487" s="37"/>
      <c r="AI3487" s="37"/>
      <c r="AJ3487" s="37"/>
      <c r="AK3487" s="37"/>
      <c r="AL3487" s="37"/>
      <c r="AM3487" s="37"/>
      <c r="AN3487" s="37"/>
      <c r="AO3487" s="37"/>
      <c r="AP3487" s="37"/>
      <c r="AQ3487" s="37"/>
      <c r="AR3487" s="37"/>
      <c r="AS3487" s="37"/>
      <c r="AT3487" s="37"/>
      <c r="AU3487" s="37"/>
      <c r="AV3487" s="37"/>
      <c r="AW3487" s="37"/>
      <c r="AX3487" s="37"/>
      <c r="AY3487" s="37"/>
      <c r="AZ3487" s="37"/>
      <c r="BA3487" s="37"/>
      <c r="BB3487" s="37"/>
      <c r="BC3487" s="37"/>
      <c r="BD3487" s="37"/>
      <c r="BE3487" s="37"/>
      <c r="BF3487" s="37"/>
      <c r="BG3487" s="37"/>
      <c r="BH3487" s="37"/>
      <c r="BI3487" s="37"/>
      <c r="BJ3487" s="37"/>
      <c r="BK3487" s="37"/>
      <c r="BL3487" s="37"/>
      <c r="BM3487" s="37"/>
    </row>
    <row r="3488" spans="1:65" s="40" customFormat="1" ht="23.25" x14ac:dyDescent="0.35">
      <c r="A3488" s="37"/>
      <c r="B3488" s="37"/>
      <c r="C3488" s="41"/>
      <c r="D3488" s="38"/>
      <c r="E3488" s="57"/>
      <c r="F3488" s="42"/>
      <c r="G3488" s="43"/>
      <c r="H3488" s="37"/>
      <c r="I3488" s="37"/>
      <c r="J3488" s="38"/>
      <c r="K3488" s="37"/>
      <c r="L3488" s="38"/>
      <c r="M3488" s="39"/>
      <c r="P3488" s="37"/>
      <c r="Q3488" s="37"/>
      <c r="R3488" s="37"/>
      <c r="S3488" s="37"/>
      <c r="T3488" s="37"/>
      <c r="U3488" s="37"/>
      <c r="V3488" s="37"/>
      <c r="W3488" s="37"/>
      <c r="X3488" s="37"/>
      <c r="Y3488" s="37"/>
      <c r="Z3488" s="37"/>
      <c r="AA3488" s="37"/>
      <c r="AB3488" s="37"/>
      <c r="AC3488" s="37"/>
      <c r="AD3488" s="37"/>
      <c r="AE3488" s="37"/>
      <c r="AF3488" s="37"/>
      <c r="AG3488" s="37"/>
      <c r="AH3488" s="37"/>
      <c r="AI3488" s="37"/>
      <c r="AJ3488" s="37"/>
      <c r="AK3488" s="37"/>
      <c r="AL3488" s="37"/>
      <c r="AM3488" s="37"/>
      <c r="AN3488" s="37"/>
      <c r="AO3488" s="37"/>
      <c r="AP3488" s="37"/>
      <c r="AQ3488" s="37"/>
      <c r="AR3488" s="37"/>
      <c r="AS3488" s="37"/>
      <c r="AT3488" s="37"/>
      <c r="AU3488" s="37"/>
      <c r="AV3488" s="37"/>
      <c r="AW3488" s="37"/>
      <c r="AX3488" s="37"/>
      <c r="AY3488" s="37"/>
      <c r="AZ3488" s="37"/>
      <c r="BA3488" s="37"/>
      <c r="BB3488" s="37"/>
      <c r="BC3488" s="37"/>
      <c r="BD3488" s="37"/>
      <c r="BE3488" s="37"/>
      <c r="BF3488" s="37"/>
      <c r="BG3488" s="37"/>
      <c r="BH3488" s="37"/>
      <c r="BI3488" s="37"/>
      <c r="BJ3488" s="37"/>
      <c r="BK3488" s="37"/>
      <c r="BL3488" s="37"/>
      <c r="BM3488" s="37"/>
    </row>
    <row r="3489" spans="1:65" s="40" customFormat="1" ht="23.25" x14ac:dyDescent="0.35">
      <c r="A3489" s="37"/>
      <c r="B3489" s="37"/>
      <c r="C3489" s="41"/>
      <c r="D3489" s="38"/>
      <c r="E3489" s="57"/>
      <c r="F3489" s="42"/>
      <c r="G3489" s="43"/>
      <c r="H3489" s="37"/>
      <c r="I3489" s="37"/>
      <c r="J3489" s="38"/>
      <c r="K3489" s="37"/>
      <c r="L3489" s="38"/>
      <c r="M3489" s="39"/>
      <c r="P3489" s="37"/>
      <c r="Q3489" s="37"/>
      <c r="R3489" s="37"/>
      <c r="S3489" s="37"/>
      <c r="T3489" s="37"/>
      <c r="U3489" s="37"/>
      <c r="V3489" s="37"/>
      <c r="W3489" s="37"/>
      <c r="X3489" s="37"/>
      <c r="Y3489" s="37"/>
      <c r="Z3489" s="37"/>
      <c r="AA3489" s="37"/>
      <c r="AB3489" s="37"/>
      <c r="AC3489" s="37"/>
      <c r="AD3489" s="37"/>
      <c r="AE3489" s="37"/>
      <c r="AF3489" s="37"/>
      <c r="AG3489" s="37"/>
      <c r="AH3489" s="37"/>
      <c r="AI3489" s="37"/>
      <c r="AJ3489" s="37"/>
      <c r="AK3489" s="37"/>
      <c r="AL3489" s="37"/>
      <c r="AM3489" s="37"/>
      <c r="AN3489" s="37"/>
      <c r="AO3489" s="37"/>
      <c r="AP3489" s="37"/>
      <c r="AQ3489" s="37"/>
      <c r="AR3489" s="37"/>
      <c r="AS3489" s="37"/>
      <c r="AT3489" s="37"/>
      <c r="AU3489" s="37"/>
      <c r="AV3489" s="37"/>
      <c r="AW3489" s="37"/>
      <c r="AX3489" s="37"/>
      <c r="AY3489" s="37"/>
      <c r="AZ3489" s="37"/>
      <c r="BA3489" s="37"/>
      <c r="BB3489" s="37"/>
      <c r="BC3489" s="37"/>
      <c r="BD3489" s="37"/>
      <c r="BE3489" s="37"/>
      <c r="BF3489" s="37"/>
      <c r="BG3489" s="37"/>
      <c r="BH3489" s="37"/>
      <c r="BI3489" s="37"/>
      <c r="BJ3489" s="37"/>
      <c r="BK3489" s="37"/>
      <c r="BL3489" s="37"/>
      <c r="BM3489" s="37"/>
    </row>
    <row r="3490" spans="1:65" s="40" customFormat="1" ht="23.25" x14ac:dyDescent="0.35">
      <c r="A3490" s="37"/>
      <c r="B3490" s="37"/>
      <c r="C3490" s="41"/>
      <c r="D3490" s="38"/>
      <c r="E3490" s="57"/>
      <c r="F3490" s="42"/>
      <c r="G3490" s="43"/>
      <c r="H3490" s="37"/>
      <c r="I3490" s="37"/>
      <c r="J3490" s="38"/>
      <c r="K3490" s="37"/>
      <c r="L3490" s="38"/>
      <c r="M3490" s="39"/>
      <c r="P3490" s="37"/>
      <c r="Q3490" s="37"/>
      <c r="R3490" s="37"/>
      <c r="S3490" s="37"/>
      <c r="T3490" s="37"/>
      <c r="U3490" s="37"/>
      <c r="V3490" s="37"/>
      <c r="W3490" s="37"/>
      <c r="X3490" s="37"/>
      <c r="Y3490" s="37"/>
      <c r="Z3490" s="37"/>
      <c r="AA3490" s="37"/>
      <c r="AB3490" s="37"/>
      <c r="AC3490" s="37"/>
      <c r="AD3490" s="37"/>
      <c r="AE3490" s="37"/>
      <c r="AF3490" s="37"/>
      <c r="AG3490" s="37"/>
      <c r="AH3490" s="37"/>
      <c r="AI3490" s="37"/>
      <c r="AJ3490" s="37"/>
      <c r="AK3490" s="37"/>
      <c r="AL3490" s="37"/>
      <c r="AM3490" s="37"/>
      <c r="AN3490" s="37"/>
      <c r="AO3490" s="37"/>
      <c r="AP3490" s="37"/>
      <c r="AQ3490" s="37"/>
      <c r="AR3490" s="37"/>
      <c r="AS3490" s="37"/>
      <c r="AT3490" s="37"/>
      <c r="AU3490" s="37"/>
      <c r="AV3490" s="37"/>
      <c r="AW3490" s="37"/>
      <c r="AX3490" s="37"/>
      <c r="AY3490" s="37"/>
      <c r="AZ3490" s="37"/>
      <c r="BA3490" s="37"/>
      <c r="BB3490" s="37"/>
      <c r="BC3490" s="37"/>
      <c r="BD3490" s="37"/>
      <c r="BE3490" s="37"/>
      <c r="BF3490" s="37"/>
      <c r="BG3490" s="37"/>
      <c r="BH3490" s="37"/>
      <c r="BI3490" s="37"/>
      <c r="BJ3490" s="37"/>
      <c r="BK3490" s="37"/>
      <c r="BL3490" s="37"/>
      <c r="BM3490" s="37"/>
    </row>
    <row r="3491" spans="1:65" s="40" customFormat="1" ht="23.25" x14ac:dyDescent="0.35">
      <c r="A3491" s="37"/>
      <c r="B3491" s="37"/>
      <c r="C3491" s="41"/>
      <c r="D3491" s="38"/>
      <c r="E3491" s="57"/>
      <c r="F3491" s="42"/>
      <c r="G3491" s="43"/>
      <c r="H3491" s="37"/>
      <c r="I3491" s="37"/>
      <c r="J3491" s="38"/>
      <c r="K3491" s="37"/>
      <c r="L3491" s="38"/>
      <c r="M3491" s="39"/>
      <c r="P3491" s="37"/>
      <c r="Q3491" s="37"/>
      <c r="R3491" s="37"/>
      <c r="S3491" s="37"/>
      <c r="T3491" s="37"/>
      <c r="U3491" s="37"/>
      <c r="V3491" s="37"/>
      <c r="W3491" s="37"/>
      <c r="X3491" s="37"/>
      <c r="Y3491" s="37"/>
      <c r="Z3491" s="37"/>
      <c r="AA3491" s="37"/>
      <c r="AB3491" s="37"/>
      <c r="AC3491" s="37"/>
      <c r="AD3491" s="37"/>
      <c r="AE3491" s="37"/>
      <c r="AF3491" s="37"/>
      <c r="AG3491" s="37"/>
      <c r="AH3491" s="37"/>
      <c r="AI3491" s="37"/>
      <c r="AJ3491" s="37"/>
      <c r="AK3491" s="37"/>
      <c r="AL3491" s="37"/>
      <c r="AM3491" s="37"/>
      <c r="AN3491" s="37"/>
      <c r="AO3491" s="37"/>
      <c r="AP3491" s="37"/>
      <c r="AQ3491" s="37"/>
      <c r="AR3491" s="37"/>
      <c r="AS3491" s="37"/>
      <c r="AT3491" s="37"/>
      <c r="AU3491" s="37"/>
      <c r="AV3491" s="37"/>
      <c r="AW3491" s="37"/>
      <c r="AX3491" s="37"/>
      <c r="AY3491" s="37"/>
      <c r="AZ3491" s="37"/>
      <c r="BA3491" s="37"/>
      <c r="BB3491" s="37"/>
      <c r="BC3491" s="37"/>
      <c r="BD3491" s="37"/>
      <c r="BE3491" s="37"/>
      <c r="BF3491" s="37"/>
      <c r="BG3491" s="37"/>
      <c r="BH3491" s="37"/>
      <c r="BI3491" s="37"/>
      <c r="BJ3491" s="37"/>
      <c r="BK3491" s="37"/>
      <c r="BL3491" s="37"/>
      <c r="BM3491" s="37"/>
    </row>
    <row r="3492" spans="1:65" s="40" customFormat="1" ht="23.25" x14ac:dyDescent="0.35">
      <c r="A3492" s="37"/>
      <c r="B3492" s="37"/>
      <c r="C3492" s="41"/>
      <c r="D3492" s="38"/>
      <c r="E3492" s="57"/>
      <c r="F3492" s="42"/>
      <c r="G3492" s="43"/>
      <c r="H3492" s="37"/>
      <c r="I3492" s="37"/>
      <c r="J3492" s="38"/>
      <c r="K3492" s="37"/>
      <c r="L3492" s="38"/>
      <c r="M3492" s="39"/>
      <c r="P3492" s="37"/>
      <c r="Q3492" s="37"/>
      <c r="R3492" s="37"/>
      <c r="S3492" s="37"/>
      <c r="T3492" s="37"/>
      <c r="U3492" s="37"/>
      <c r="V3492" s="37"/>
      <c r="W3492" s="37"/>
      <c r="X3492" s="37"/>
      <c r="Y3492" s="37"/>
      <c r="Z3492" s="37"/>
      <c r="AA3492" s="37"/>
      <c r="AB3492" s="37"/>
      <c r="AC3492" s="37"/>
      <c r="AD3492" s="37"/>
      <c r="AE3492" s="37"/>
      <c r="AF3492" s="37"/>
      <c r="AG3492" s="37"/>
      <c r="AH3492" s="37"/>
      <c r="AI3492" s="37"/>
      <c r="AJ3492" s="37"/>
      <c r="AK3492" s="37"/>
      <c r="AL3492" s="37"/>
      <c r="AM3492" s="37"/>
      <c r="AN3492" s="37"/>
      <c r="AO3492" s="37"/>
      <c r="AP3492" s="37"/>
      <c r="AQ3492" s="37"/>
      <c r="AR3492" s="37"/>
      <c r="AS3492" s="37"/>
      <c r="AT3492" s="37"/>
      <c r="AU3492" s="37"/>
      <c r="AV3492" s="37"/>
      <c r="AW3492" s="37"/>
      <c r="AX3492" s="37"/>
      <c r="AY3492" s="37"/>
      <c r="AZ3492" s="37"/>
      <c r="BA3492" s="37"/>
      <c r="BB3492" s="37"/>
      <c r="BC3492" s="37"/>
      <c r="BD3492" s="37"/>
      <c r="BE3492" s="37"/>
      <c r="BF3492" s="37"/>
      <c r="BG3492" s="37"/>
      <c r="BH3492" s="37"/>
      <c r="BI3492" s="37"/>
      <c r="BJ3492" s="37"/>
      <c r="BK3492" s="37"/>
      <c r="BL3492" s="37"/>
      <c r="BM3492" s="37"/>
    </row>
    <row r="3493" spans="1:65" s="40" customFormat="1" ht="23.25" x14ac:dyDescent="0.35">
      <c r="A3493" s="37"/>
      <c r="B3493" s="37"/>
      <c r="C3493" s="41"/>
      <c r="D3493" s="38"/>
      <c r="E3493" s="57"/>
      <c r="F3493" s="42"/>
      <c r="G3493" s="43"/>
      <c r="H3493" s="37"/>
      <c r="I3493" s="37"/>
      <c r="J3493" s="38"/>
      <c r="K3493" s="37"/>
      <c r="L3493" s="38"/>
      <c r="M3493" s="39"/>
      <c r="P3493" s="37"/>
      <c r="Q3493" s="37"/>
      <c r="R3493" s="37"/>
      <c r="S3493" s="37"/>
      <c r="T3493" s="37"/>
      <c r="U3493" s="37"/>
      <c r="V3493" s="37"/>
      <c r="W3493" s="37"/>
      <c r="X3493" s="37"/>
      <c r="Y3493" s="37"/>
      <c r="Z3493" s="37"/>
      <c r="AA3493" s="37"/>
      <c r="AB3493" s="37"/>
      <c r="AC3493" s="37"/>
      <c r="AD3493" s="37"/>
      <c r="AE3493" s="37"/>
      <c r="AF3493" s="37"/>
      <c r="AG3493" s="37"/>
      <c r="AH3493" s="37"/>
      <c r="AI3493" s="37"/>
      <c r="AJ3493" s="37"/>
      <c r="AK3493" s="37"/>
      <c r="AL3493" s="37"/>
      <c r="AM3493" s="37"/>
      <c r="AN3493" s="37"/>
      <c r="AO3493" s="37"/>
      <c r="AP3493" s="37"/>
      <c r="AQ3493" s="37"/>
      <c r="AR3493" s="37"/>
      <c r="AS3493" s="37"/>
      <c r="AT3493" s="37"/>
      <c r="AU3493" s="37"/>
      <c r="AV3493" s="37"/>
      <c r="AW3493" s="37"/>
      <c r="AX3493" s="37"/>
      <c r="AY3493" s="37"/>
      <c r="AZ3493" s="37"/>
      <c r="BA3493" s="37"/>
      <c r="BB3493" s="37"/>
      <c r="BC3493" s="37"/>
      <c r="BD3493" s="37"/>
      <c r="BE3493" s="37"/>
      <c r="BF3493" s="37"/>
      <c r="BG3493" s="37"/>
      <c r="BH3493" s="37"/>
      <c r="BI3493" s="37"/>
      <c r="BJ3493" s="37"/>
      <c r="BK3493" s="37"/>
      <c r="BL3493" s="37"/>
      <c r="BM3493" s="37"/>
    </row>
    <row r="3494" spans="1:65" s="40" customFormat="1" ht="23.25" x14ac:dyDescent="0.35">
      <c r="A3494" s="37"/>
      <c r="B3494" s="37"/>
      <c r="C3494" s="41"/>
      <c r="D3494" s="38"/>
      <c r="E3494" s="57"/>
      <c r="F3494" s="42"/>
      <c r="G3494" s="43"/>
      <c r="H3494" s="37"/>
      <c r="I3494" s="37"/>
      <c r="J3494" s="38"/>
      <c r="K3494" s="37"/>
      <c r="L3494" s="38"/>
      <c r="M3494" s="39"/>
      <c r="P3494" s="37"/>
      <c r="Q3494" s="37"/>
      <c r="R3494" s="37"/>
      <c r="S3494" s="37"/>
      <c r="T3494" s="37"/>
      <c r="U3494" s="37"/>
      <c r="V3494" s="37"/>
      <c r="W3494" s="37"/>
      <c r="X3494" s="37"/>
      <c r="Y3494" s="37"/>
      <c r="Z3494" s="37"/>
      <c r="AA3494" s="37"/>
      <c r="AB3494" s="37"/>
      <c r="AC3494" s="37"/>
      <c r="AD3494" s="37"/>
      <c r="AE3494" s="37"/>
      <c r="AF3494" s="37"/>
      <c r="AG3494" s="37"/>
      <c r="AH3494" s="37"/>
      <c r="AI3494" s="37"/>
      <c r="AJ3494" s="37"/>
      <c r="AK3494" s="37"/>
      <c r="AL3494" s="37"/>
      <c r="AM3494" s="37"/>
      <c r="AN3494" s="37"/>
      <c r="AO3494" s="37"/>
      <c r="AP3494" s="37"/>
      <c r="AQ3494" s="37"/>
      <c r="AR3494" s="37"/>
      <c r="AS3494" s="37"/>
      <c r="AT3494" s="37"/>
      <c r="AU3494" s="37"/>
      <c r="AV3494" s="37"/>
      <c r="AW3494" s="37"/>
      <c r="AX3494" s="37"/>
      <c r="AY3494" s="37"/>
      <c r="AZ3494" s="37"/>
      <c r="BA3494" s="37"/>
      <c r="BB3494" s="37"/>
      <c r="BC3494" s="37"/>
      <c r="BD3494" s="37"/>
      <c r="BE3494" s="37"/>
      <c r="BF3494" s="37"/>
      <c r="BG3494" s="37"/>
      <c r="BH3494" s="37"/>
      <c r="BI3494" s="37"/>
      <c r="BJ3494" s="37"/>
      <c r="BK3494" s="37"/>
      <c r="BL3494" s="37"/>
      <c r="BM3494" s="37"/>
    </row>
    <row r="3495" spans="1:65" s="40" customFormat="1" ht="23.25" x14ac:dyDescent="0.35">
      <c r="A3495" s="37"/>
      <c r="B3495" s="37"/>
      <c r="C3495" s="41"/>
      <c r="D3495" s="38"/>
      <c r="E3495" s="57"/>
      <c r="F3495" s="42"/>
      <c r="G3495" s="43"/>
      <c r="H3495" s="37"/>
      <c r="I3495" s="37"/>
      <c r="J3495" s="38"/>
      <c r="K3495" s="37"/>
      <c r="L3495" s="38"/>
      <c r="M3495" s="39"/>
      <c r="P3495" s="37"/>
      <c r="Q3495" s="37"/>
      <c r="R3495" s="37"/>
      <c r="S3495" s="37"/>
      <c r="T3495" s="37"/>
      <c r="U3495" s="37"/>
      <c r="V3495" s="37"/>
      <c r="W3495" s="37"/>
      <c r="X3495" s="37"/>
      <c r="Y3495" s="37"/>
      <c r="Z3495" s="37"/>
      <c r="AA3495" s="37"/>
      <c r="AB3495" s="37"/>
      <c r="AC3495" s="37"/>
      <c r="AD3495" s="37"/>
      <c r="AE3495" s="37"/>
      <c r="AF3495" s="37"/>
      <c r="AG3495" s="37"/>
      <c r="AH3495" s="37"/>
      <c r="AI3495" s="37"/>
      <c r="AJ3495" s="37"/>
      <c r="AK3495" s="37"/>
      <c r="AL3495" s="37"/>
      <c r="AM3495" s="37"/>
      <c r="AN3495" s="37"/>
      <c r="AO3495" s="37"/>
      <c r="AP3495" s="37"/>
      <c r="AQ3495" s="37"/>
      <c r="AR3495" s="37"/>
      <c r="AS3495" s="37"/>
      <c r="AT3495" s="37"/>
      <c r="AU3495" s="37"/>
      <c r="AV3495" s="37"/>
      <c r="AW3495" s="37"/>
      <c r="AX3495" s="37"/>
      <c r="AY3495" s="37"/>
      <c r="AZ3495" s="37"/>
      <c r="BA3495" s="37"/>
      <c r="BB3495" s="37"/>
      <c r="BC3495" s="37"/>
      <c r="BD3495" s="37"/>
      <c r="BE3495" s="37"/>
      <c r="BF3495" s="37"/>
      <c r="BG3495" s="37"/>
      <c r="BH3495" s="37"/>
      <c r="BI3495" s="37"/>
      <c r="BJ3495" s="37"/>
      <c r="BK3495" s="37"/>
      <c r="BL3495" s="37"/>
      <c r="BM3495" s="37"/>
    </row>
    <row r="3496" spans="1:65" s="40" customFormat="1" ht="23.25" x14ac:dyDescent="0.35">
      <c r="A3496" s="37"/>
      <c r="B3496" s="37"/>
      <c r="C3496" s="41"/>
      <c r="D3496" s="38"/>
      <c r="E3496" s="57"/>
      <c r="F3496" s="42"/>
      <c r="G3496" s="43"/>
      <c r="H3496" s="37"/>
      <c r="I3496" s="37"/>
      <c r="J3496" s="38"/>
      <c r="K3496" s="37"/>
      <c r="L3496" s="38"/>
      <c r="M3496" s="39"/>
      <c r="P3496" s="37"/>
      <c r="Q3496" s="37"/>
      <c r="R3496" s="37"/>
      <c r="S3496" s="37"/>
      <c r="T3496" s="37"/>
      <c r="U3496" s="37"/>
      <c r="V3496" s="37"/>
      <c r="W3496" s="37"/>
      <c r="X3496" s="37"/>
      <c r="Y3496" s="37"/>
      <c r="Z3496" s="37"/>
      <c r="AA3496" s="37"/>
      <c r="AB3496" s="37"/>
      <c r="AC3496" s="37"/>
      <c r="AD3496" s="37"/>
      <c r="AE3496" s="37"/>
      <c r="AF3496" s="37"/>
      <c r="AG3496" s="37"/>
      <c r="AH3496" s="37"/>
      <c r="AI3496" s="37"/>
      <c r="AJ3496" s="37"/>
      <c r="AK3496" s="37"/>
      <c r="AL3496" s="37"/>
      <c r="AM3496" s="37"/>
      <c r="AN3496" s="37"/>
      <c r="AO3496" s="37"/>
      <c r="AP3496" s="37"/>
      <c r="AQ3496" s="37"/>
      <c r="AR3496" s="37"/>
      <c r="AS3496" s="37"/>
      <c r="AT3496" s="37"/>
      <c r="AU3496" s="37"/>
      <c r="AV3496" s="37"/>
      <c r="AW3496" s="37"/>
      <c r="AX3496" s="37"/>
      <c r="AY3496" s="37"/>
      <c r="AZ3496" s="37"/>
      <c r="BA3496" s="37"/>
      <c r="BB3496" s="37"/>
      <c r="BC3496" s="37"/>
      <c r="BD3496" s="37"/>
      <c r="BE3496" s="37"/>
      <c r="BF3496" s="37"/>
      <c r="BG3496" s="37"/>
      <c r="BH3496" s="37"/>
      <c r="BI3496" s="37"/>
      <c r="BJ3496" s="37"/>
      <c r="BK3496" s="37"/>
      <c r="BL3496" s="37"/>
      <c r="BM3496" s="37"/>
    </row>
    <row r="3497" spans="1:65" s="40" customFormat="1" ht="23.25" x14ac:dyDescent="0.35">
      <c r="A3497" s="37"/>
      <c r="B3497" s="37"/>
      <c r="C3497" s="41"/>
      <c r="D3497" s="38"/>
      <c r="E3497" s="57"/>
      <c r="F3497" s="42"/>
      <c r="G3497" s="43"/>
      <c r="H3497" s="37"/>
      <c r="I3497" s="37"/>
      <c r="J3497" s="38"/>
      <c r="K3497" s="37"/>
      <c r="L3497" s="38"/>
      <c r="M3497" s="39"/>
      <c r="P3497" s="37"/>
      <c r="Q3497" s="37"/>
      <c r="R3497" s="37"/>
      <c r="S3497" s="37"/>
      <c r="T3497" s="37"/>
      <c r="U3497" s="37"/>
      <c r="V3497" s="37"/>
      <c r="W3497" s="37"/>
      <c r="X3497" s="37"/>
      <c r="Y3497" s="37"/>
      <c r="Z3497" s="37"/>
      <c r="AA3497" s="37"/>
      <c r="AB3497" s="37"/>
      <c r="AC3497" s="37"/>
      <c r="AD3497" s="37"/>
      <c r="AE3497" s="37"/>
      <c r="AF3497" s="37"/>
      <c r="AG3497" s="37"/>
      <c r="AH3497" s="37"/>
      <c r="AI3497" s="37"/>
      <c r="AJ3497" s="37"/>
      <c r="AK3497" s="37"/>
      <c r="AL3497" s="37"/>
      <c r="AM3497" s="37"/>
      <c r="AN3497" s="37"/>
      <c r="AO3497" s="37"/>
      <c r="AP3497" s="37"/>
      <c r="AQ3497" s="37"/>
      <c r="AR3497" s="37"/>
      <c r="AS3497" s="37"/>
      <c r="AT3497" s="37"/>
      <c r="AU3497" s="37"/>
      <c r="AV3497" s="37"/>
      <c r="AW3497" s="37"/>
      <c r="AX3497" s="37"/>
      <c r="AY3497" s="37"/>
      <c r="AZ3497" s="37"/>
      <c r="BA3497" s="37"/>
      <c r="BB3497" s="37"/>
      <c r="BC3497" s="37"/>
      <c r="BD3497" s="37"/>
      <c r="BE3497" s="37"/>
      <c r="BF3497" s="37"/>
      <c r="BG3497" s="37"/>
      <c r="BH3497" s="37"/>
      <c r="BI3497" s="37"/>
      <c r="BJ3497" s="37"/>
      <c r="BK3497" s="37"/>
      <c r="BL3497" s="37"/>
      <c r="BM3497" s="37"/>
    </row>
    <row r="3498" spans="1:65" s="40" customFormat="1" ht="23.25" x14ac:dyDescent="0.35">
      <c r="A3498" s="37"/>
      <c r="B3498" s="37"/>
      <c r="C3498" s="41"/>
      <c r="D3498" s="38"/>
      <c r="E3498" s="57"/>
      <c r="F3498" s="42"/>
      <c r="G3498" s="43"/>
      <c r="H3498" s="37"/>
      <c r="I3498" s="37"/>
      <c r="J3498" s="38"/>
      <c r="K3498" s="37"/>
      <c r="L3498" s="38"/>
      <c r="M3498" s="39"/>
      <c r="P3498" s="37"/>
      <c r="Q3498" s="37"/>
      <c r="R3498" s="37"/>
      <c r="S3498" s="37"/>
      <c r="T3498" s="37"/>
      <c r="U3498" s="37"/>
      <c r="V3498" s="37"/>
      <c r="W3498" s="37"/>
      <c r="X3498" s="37"/>
      <c r="Y3498" s="37"/>
      <c r="Z3498" s="37"/>
      <c r="AA3498" s="37"/>
      <c r="AB3498" s="37"/>
      <c r="AC3498" s="37"/>
      <c r="AD3498" s="37"/>
      <c r="AE3498" s="37"/>
      <c r="AF3498" s="37"/>
      <c r="AG3498" s="37"/>
      <c r="AH3498" s="37"/>
      <c r="AI3498" s="37"/>
      <c r="AJ3498" s="37"/>
      <c r="AK3498" s="37"/>
      <c r="AL3498" s="37"/>
      <c r="AM3498" s="37"/>
      <c r="AN3498" s="37"/>
      <c r="AO3498" s="37"/>
      <c r="AP3498" s="37"/>
      <c r="AQ3498" s="37"/>
      <c r="AR3498" s="37"/>
      <c r="AS3498" s="37"/>
      <c r="AT3498" s="37"/>
      <c r="AU3498" s="37"/>
      <c r="AV3498" s="37"/>
      <c r="AW3498" s="37"/>
      <c r="AX3498" s="37"/>
      <c r="AY3498" s="37"/>
      <c r="AZ3498" s="37"/>
      <c r="BA3498" s="37"/>
      <c r="BB3498" s="37"/>
      <c r="BC3498" s="37"/>
      <c r="BD3498" s="37"/>
      <c r="BE3498" s="37"/>
      <c r="BF3498" s="37"/>
      <c r="BG3498" s="37"/>
      <c r="BH3498" s="37"/>
      <c r="BI3498" s="37"/>
      <c r="BJ3498" s="37"/>
      <c r="BK3498" s="37"/>
      <c r="BL3498" s="37"/>
      <c r="BM3498" s="37"/>
    </row>
    <row r="3499" spans="1:65" s="40" customFormat="1" ht="23.25" x14ac:dyDescent="0.35">
      <c r="A3499" s="37"/>
      <c r="B3499" s="37"/>
      <c r="C3499" s="41"/>
      <c r="D3499" s="38"/>
      <c r="E3499" s="57"/>
      <c r="F3499" s="42"/>
      <c r="G3499" s="43"/>
      <c r="H3499" s="37"/>
      <c r="I3499" s="37"/>
      <c r="J3499" s="38"/>
      <c r="K3499" s="37"/>
      <c r="L3499" s="38"/>
      <c r="M3499" s="39"/>
      <c r="P3499" s="37"/>
      <c r="Q3499" s="37"/>
      <c r="R3499" s="37"/>
      <c r="S3499" s="37"/>
      <c r="T3499" s="37"/>
      <c r="U3499" s="37"/>
      <c r="V3499" s="37"/>
      <c r="W3499" s="37"/>
      <c r="X3499" s="37"/>
      <c r="Y3499" s="37"/>
      <c r="Z3499" s="37"/>
      <c r="AA3499" s="37"/>
      <c r="AB3499" s="37"/>
      <c r="AC3499" s="37"/>
      <c r="AD3499" s="37"/>
      <c r="AE3499" s="37"/>
      <c r="AF3499" s="37"/>
      <c r="AG3499" s="37"/>
      <c r="AH3499" s="37"/>
      <c r="AI3499" s="37"/>
      <c r="AJ3499" s="37"/>
      <c r="AK3499" s="37"/>
      <c r="AL3499" s="37"/>
      <c r="AM3499" s="37"/>
      <c r="AN3499" s="37"/>
      <c r="AO3499" s="37"/>
      <c r="AP3499" s="37"/>
      <c r="AQ3499" s="37"/>
      <c r="AR3499" s="37"/>
      <c r="AS3499" s="37"/>
      <c r="AT3499" s="37"/>
      <c r="AU3499" s="37"/>
      <c r="AV3499" s="37"/>
      <c r="AW3499" s="37"/>
      <c r="AX3499" s="37"/>
      <c r="AY3499" s="37"/>
      <c r="AZ3499" s="37"/>
      <c r="BA3499" s="37"/>
      <c r="BB3499" s="37"/>
      <c r="BC3499" s="37"/>
      <c r="BD3499" s="37"/>
      <c r="BE3499" s="37"/>
      <c r="BF3499" s="37"/>
      <c r="BG3499" s="37"/>
      <c r="BH3499" s="37"/>
      <c r="BI3499" s="37"/>
      <c r="BJ3499" s="37"/>
      <c r="BK3499" s="37"/>
      <c r="BL3499" s="37"/>
      <c r="BM3499" s="37"/>
    </row>
    <row r="3500" spans="1:65" s="40" customFormat="1" ht="23.25" x14ac:dyDescent="0.35">
      <c r="A3500" s="37"/>
      <c r="B3500" s="37"/>
      <c r="C3500" s="41"/>
      <c r="D3500" s="38"/>
      <c r="E3500" s="57"/>
      <c r="F3500" s="42"/>
      <c r="G3500" s="43"/>
      <c r="H3500" s="37"/>
      <c r="I3500" s="37"/>
      <c r="J3500" s="38"/>
      <c r="K3500" s="37"/>
      <c r="L3500" s="38"/>
      <c r="M3500" s="39"/>
      <c r="P3500" s="37"/>
      <c r="Q3500" s="37"/>
      <c r="R3500" s="37"/>
      <c r="S3500" s="37"/>
      <c r="T3500" s="37"/>
      <c r="U3500" s="37"/>
      <c r="V3500" s="37"/>
      <c r="W3500" s="37"/>
      <c r="X3500" s="37"/>
      <c r="Y3500" s="37"/>
      <c r="Z3500" s="37"/>
      <c r="AA3500" s="37"/>
      <c r="AB3500" s="37"/>
      <c r="AC3500" s="37"/>
      <c r="AD3500" s="37"/>
      <c r="AE3500" s="37"/>
      <c r="AF3500" s="37"/>
      <c r="AG3500" s="37"/>
      <c r="AH3500" s="37"/>
      <c r="AI3500" s="37"/>
      <c r="AJ3500" s="37"/>
      <c r="AK3500" s="37"/>
      <c r="AL3500" s="37"/>
      <c r="AM3500" s="37"/>
      <c r="AN3500" s="37"/>
      <c r="AO3500" s="37"/>
      <c r="AP3500" s="37"/>
      <c r="AQ3500" s="37"/>
      <c r="AR3500" s="37"/>
      <c r="AS3500" s="37"/>
      <c r="AT3500" s="37"/>
      <c r="AU3500" s="37"/>
      <c r="AV3500" s="37"/>
      <c r="AW3500" s="37"/>
      <c r="AX3500" s="37"/>
      <c r="AY3500" s="37"/>
      <c r="AZ3500" s="37"/>
      <c r="BA3500" s="37"/>
      <c r="BB3500" s="37"/>
      <c r="BC3500" s="37"/>
      <c r="BD3500" s="37"/>
      <c r="BE3500" s="37"/>
      <c r="BF3500" s="37"/>
      <c r="BG3500" s="37"/>
      <c r="BH3500" s="37"/>
      <c r="BI3500" s="37"/>
      <c r="BJ3500" s="37"/>
      <c r="BK3500" s="37"/>
      <c r="BL3500" s="37"/>
      <c r="BM3500" s="37"/>
    </row>
    <row r="3501" spans="1:65" s="40" customFormat="1" ht="23.25" x14ac:dyDescent="0.35">
      <c r="A3501" s="37"/>
      <c r="B3501" s="37"/>
      <c r="C3501" s="41"/>
      <c r="D3501" s="38"/>
      <c r="E3501" s="57"/>
      <c r="F3501" s="42"/>
      <c r="G3501" s="43"/>
      <c r="H3501" s="37"/>
      <c r="I3501" s="37"/>
      <c r="J3501" s="38"/>
      <c r="K3501" s="37"/>
      <c r="L3501" s="38"/>
      <c r="M3501" s="39"/>
      <c r="P3501" s="37"/>
      <c r="Q3501" s="37"/>
      <c r="R3501" s="37"/>
      <c r="S3501" s="37"/>
      <c r="T3501" s="37"/>
      <c r="U3501" s="37"/>
      <c r="V3501" s="37"/>
      <c r="W3501" s="37"/>
      <c r="X3501" s="37"/>
      <c r="Y3501" s="37"/>
      <c r="Z3501" s="37"/>
      <c r="AA3501" s="37"/>
      <c r="AB3501" s="37"/>
      <c r="AC3501" s="37"/>
      <c r="AD3501" s="37"/>
      <c r="AE3501" s="37"/>
      <c r="AF3501" s="37"/>
      <c r="AG3501" s="37"/>
      <c r="AH3501" s="37"/>
      <c r="AI3501" s="37"/>
      <c r="AJ3501" s="37"/>
      <c r="AK3501" s="37"/>
      <c r="AL3501" s="37"/>
      <c r="AM3501" s="37"/>
      <c r="AN3501" s="37"/>
      <c r="AO3501" s="37"/>
      <c r="AP3501" s="37"/>
      <c r="AQ3501" s="37"/>
      <c r="AR3501" s="37"/>
      <c r="AS3501" s="37"/>
      <c r="AT3501" s="37"/>
      <c r="AU3501" s="37"/>
      <c r="AV3501" s="37"/>
      <c r="AW3501" s="37"/>
      <c r="AX3501" s="37"/>
      <c r="AY3501" s="37"/>
      <c r="AZ3501" s="37"/>
      <c r="BA3501" s="37"/>
      <c r="BB3501" s="37"/>
      <c r="BC3501" s="37"/>
      <c r="BD3501" s="37"/>
      <c r="BE3501" s="37"/>
      <c r="BF3501" s="37"/>
      <c r="BG3501" s="37"/>
      <c r="BH3501" s="37"/>
      <c r="BI3501" s="37"/>
      <c r="BJ3501" s="37"/>
      <c r="BK3501" s="37"/>
      <c r="BL3501" s="37"/>
      <c r="BM3501" s="37"/>
    </row>
    <row r="3502" spans="1:65" s="40" customFormat="1" ht="23.25" x14ac:dyDescent="0.35">
      <c r="A3502" s="37"/>
      <c r="B3502" s="37"/>
      <c r="C3502" s="41"/>
      <c r="D3502" s="38"/>
      <c r="E3502" s="57"/>
      <c r="F3502" s="42"/>
      <c r="G3502" s="43"/>
      <c r="H3502" s="37"/>
      <c r="I3502" s="37"/>
      <c r="J3502" s="38"/>
      <c r="K3502" s="37"/>
      <c r="L3502" s="38"/>
      <c r="M3502" s="39"/>
      <c r="P3502" s="37"/>
      <c r="Q3502" s="37"/>
      <c r="R3502" s="37"/>
      <c r="S3502" s="37"/>
      <c r="T3502" s="37"/>
      <c r="U3502" s="37"/>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7"/>
      <c r="AR3502" s="37"/>
      <c r="AS3502" s="37"/>
      <c r="AT3502" s="37"/>
      <c r="AU3502" s="37"/>
      <c r="AV3502" s="37"/>
      <c r="AW3502" s="37"/>
      <c r="AX3502" s="37"/>
      <c r="AY3502" s="37"/>
      <c r="AZ3502" s="37"/>
      <c r="BA3502" s="37"/>
      <c r="BB3502" s="37"/>
      <c r="BC3502" s="37"/>
      <c r="BD3502" s="37"/>
      <c r="BE3502" s="37"/>
      <c r="BF3502" s="37"/>
      <c r="BG3502" s="37"/>
      <c r="BH3502" s="37"/>
      <c r="BI3502" s="37"/>
      <c r="BJ3502" s="37"/>
      <c r="BK3502" s="37"/>
      <c r="BL3502" s="37"/>
      <c r="BM3502" s="37"/>
    </row>
    <row r="3503" spans="1:65" s="40" customFormat="1" ht="23.25" x14ac:dyDescent="0.35">
      <c r="A3503" s="37"/>
      <c r="B3503" s="37"/>
      <c r="C3503" s="41"/>
      <c r="D3503" s="38"/>
      <c r="E3503" s="57"/>
      <c r="F3503" s="42"/>
      <c r="G3503" s="43"/>
      <c r="H3503" s="37"/>
      <c r="I3503" s="37"/>
      <c r="J3503" s="38"/>
      <c r="K3503" s="37"/>
      <c r="L3503" s="38"/>
      <c r="M3503" s="39"/>
      <c r="P3503" s="37"/>
      <c r="Q3503" s="37"/>
      <c r="R3503" s="37"/>
      <c r="S3503" s="37"/>
      <c r="T3503" s="37"/>
      <c r="U3503" s="37"/>
      <c r="V3503" s="37"/>
      <c r="W3503" s="37"/>
      <c r="X3503" s="37"/>
      <c r="Y3503" s="37"/>
      <c r="Z3503" s="37"/>
      <c r="AA3503" s="37"/>
      <c r="AB3503" s="37"/>
      <c r="AC3503" s="37"/>
      <c r="AD3503" s="37"/>
      <c r="AE3503" s="37"/>
      <c r="AF3503" s="37"/>
      <c r="AG3503" s="37"/>
      <c r="AH3503" s="37"/>
      <c r="AI3503" s="37"/>
      <c r="AJ3503" s="37"/>
      <c r="AK3503" s="37"/>
      <c r="AL3503" s="37"/>
      <c r="AM3503" s="37"/>
      <c r="AN3503" s="37"/>
      <c r="AO3503" s="37"/>
      <c r="AP3503" s="37"/>
      <c r="AQ3503" s="37"/>
      <c r="AR3503" s="37"/>
      <c r="AS3503" s="37"/>
      <c r="AT3503" s="37"/>
      <c r="AU3503" s="37"/>
      <c r="AV3503" s="37"/>
      <c r="AW3503" s="37"/>
      <c r="AX3503" s="37"/>
      <c r="AY3503" s="37"/>
      <c r="AZ3503" s="37"/>
      <c r="BA3503" s="37"/>
      <c r="BB3503" s="37"/>
      <c r="BC3503" s="37"/>
      <c r="BD3503" s="37"/>
      <c r="BE3503" s="37"/>
      <c r="BF3503" s="37"/>
      <c r="BG3503" s="37"/>
      <c r="BH3503" s="37"/>
      <c r="BI3503" s="37"/>
      <c r="BJ3503" s="37"/>
      <c r="BK3503" s="37"/>
      <c r="BL3503" s="37"/>
      <c r="BM3503" s="37"/>
    </row>
    <row r="3504" spans="1:65" s="40" customFormat="1" ht="23.25" x14ac:dyDescent="0.35">
      <c r="A3504" s="37"/>
      <c r="B3504" s="37"/>
      <c r="C3504" s="41"/>
      <c r="D3504" s="38"/>
      <c r="E3504" s="57"/>
      <c r="F3504" s="42"/>
      <c r="G3504" s="43"/>
      <c r="H3504" s="37"/>
      <c r="I3504" s="37"/>
      <c r="J3504" s="38"/>
      <c r="K3504" s="37"/>
      <c r="L3504" s="38"/>
      <c r="M3504" s="39"/>
      <c r="P3504" s="37"/>
      <c r="Q3504" s="37"/>
      <c r="R3504" s="37"/>
      <c r="S3504" s="37"/>
      <c r="T3504" s="37"/>
      <c r="U3504" s="37"/>
      <c r="V3504" s="37"/>
      <c r="W3504" s="37"/>
      <c r="X3504" s="37"/>
      <c r="Y3504" s="37"/>
      <c r="Z3504" s="37"/>
      <c r="AA3504" s="37"/>
      <c r="AB3504" s="37"/>
      <c r="AC3504" s="37"/>
      <c r="AD3504" s="37"/>
      <c r="AE3504" s="37"/>
      <c r="AF3504" s="37"/>
      <c r="AG3504" s="37"/>
      <c r="AH3504" s="37"/>
      <c r="AI3504" s="37"/>
      <c r="AJ3504" s="37"/>
      <c r="AK3504" s="37"/>
      <c r="AL3504" s="37"/>
      <c r="AM3504" s="37"/>
      <c r="AN3504" s="37"/>
      <c r="AO3504" s="37"/>
      <c r="AP3504" s="37"/>
      <c r="AQ3504" s="37"/>
      <c r="AR3504" s="37"/>
      <c r="AS3504" s="37"/>
      <c r="AT3504" s="37"/>
      <c r="AU3504" s="37"/>
      <c r="AV3504" s="37"/>
      <c r="AW3504" s="37"/>
      <c r="AX3504" s="37"/>
      <c r="AY3504" s="37"/>
      <c r="AZ3504" s="37"/>
      <c r="BA3504" s="37"/>
      <c r="BB3504" s="37"/>
      <c r="BC3504" s="37"/>
      <c r="BD3504" s="37"/>
      <c r="BE3504" s="37"/>
      <c r="BF3504" s="37"/>
      <c r="BG3504" s="37"/>
      <c r="BH3504" s="37"/>
      <c r="BI3504" s="37"/>
      <c r="BJ3504" s="37"/>
      <c r="BK3504" s="37"/>
      <c r="BL3504" s="37"/>
      <c r="BM3504" s="37"/>
    </row>
    <row r="3505" spans="1:65" s="40" customFormat="1" ht="23.25" x14ac:dyDescent="0.35">
      <c r="A3505" s="37"/>
      <c r="B3505" s="37"/>
      <c r="C3505" s="41"/>
      <c r="D3505" s="38"/>
      <c r="E3505" s="57"/>
      <c r="F3505" s="42"/>
      <c r="G3505" s="43"/>
      <c r="H3505" s="37"/>
      <c r="I3505" s="37"/>
      <c r="J3505" s="38"/>
      <c r="K3505" s="37"/>
      <c r="L3505" s="38"/>
      <c r="M3505" s="39"/>
      <c r="P3505" s="37"/>
      <c r="Q3505" s="37"/>
      <c r="R3505" s="37"/>
      <c r="S3505" s="37"/>
      <c r="T3505" s="37"/>
      <c r="U3505" s="37"/>
      <c r="V3505" s="37"/>
      <c r="W3505" s="37"/>
      <c r="X3505" s="37"/>
      <c r="Y3505" s="37"/>
      <c r="Z3505" s="37"/>
      <c r="AA3505" s="37"/>
      <c r="AB3505" s="37"/>
      <c r="AC3505" s="37"/>
      <c r="AD3505" s="37"/>
      <c r="AE3505" s="37"/>
      <c r="AF3505" s="37"/>
      <c r="AG3505" s="37"/>
      <c r="AH3505" s="37"/>
      <c r="AI3505" s="37"/>
      <c r="AJ3505" s="37"/>
      <c r="AK3505" s="37"/>
      <c r="AL3505" s="37"/>
      <c r="AM3505" s="37"/>
      <c r="AN3505" s="37"/>
      <c r="AO3505" s="37"/>
      <c r="AP3505" s="37"/>
      <c r="AQ3505" s="37"/>
      <c r="AR3505" s="37"/>
      <c r="AS3505" s="37"/>
      <c r="AT3505" s="37"/>
      <c r="AU3505" s="37"/>
      <c r="AV3505" s="37"/>
      <c r="AW3505" s="37"/>
      <c r="AX3505" s="37"/>
      <c r="AY3505" s="37"/>
      <c r="AZ3505" s="37"/>
      <c r="BA3505" s="37"/>
      <c r="BB3505" s="37"/>
      <c r="BC3505" s="37"/>
      <c r="BD3505" s="37"/>
      <c r="BE3505" s="37"/>
      <c r="BF3505" s="37"/>
      <c r="BG3505" s="37"/>
      <c r="BH3505" s="37"/>
      <c r="BI3505" s="37"/>
      <c r="BJ3505" s="37"/>
      <c r="BK3505" s="37"/>
      <c r="BL3505" s="37"/>
      <c r="BM3505" s="37"/>
    </row>
    <row r="3506" spans="1:65" s="40" customFormat="1" ht="23.25" x14ac:dyDescent="0.35">
      <c r="A3506" s="37"/>
      <c r="B3506" s="37"/>
      <c r="C3506" s="41"/>
      <c r="D3506" s="38"/>
      <c r="E3506" s="57"/>
      <c r="F3506" s="42"/>
      <c r="G3506" s="43"/>
      <c r="H3506" s="37"/>
      <c r="I3506" s="37"/>
      <c r="J3506" s="38"/>
      <c r="K3506" s="37"/>
      <c r="L3506" s="38"/>
      <c r="M3506" s="39"/>
      <c r="P3506" s="37"/>
      <c r="Q3506" s="37"/>
      <c r="R3506" s="37"/>
      <c r="S3506" s="37"/>
      <c r="T3506" s="37"/>
      <c r="U3506" s="37"/>
      <c r="V3506" s="37"/>
      <c r="W3506" s="37"/>
      <c r="X3506" s="37"/>
      <c r="Y3506" s="37"/>
      <c r="Z3506" s="37"/>
      <c r="AA3506" s="37"/>
      <c r="AB3506" s="37"/>
      <c r="AC3506" s="37"/>
      <c r="AD3506" s="37"/>
      <c r="AE3506" s="37"/>
      <c r="AF3506" s="37"/>
      <c r="AG3506" s="37"/>
      <c r="AH3506" s="37"/>
      <c r="AI3506" s="37"/>
      <c r="AJ3506" s="37"/>
      <c r="AK3506" s="37"/>
      <c r="AL3506" s="37"/>
      <c r="AM3506" s="37"/>
      <c r="AN3506" s="37"/>
      <c r="AO3506" s="37"/>
      <c r="AP3506" s="37"/>
      <c r="AQ3506" s="37"/>
      <c r="AR3506" s="37"/>
      <c r="AS3506" s="37"/>
      <c r="AT3506" s="37"/>
      <c r="AU3506" s="37"/>
      <c r="AV3506" s="37"/>
      <c r="AW3506" s="37"/>
      <c r="AX3506" s="37"/>
      <c r="AY3506" s="37"/>
      <c r="AZ3506" s="37"/>
      <c r="BA3506" s="37"/>
      <c r="BB3506" s="37"/>
      <c r="BC3506" s="37"/>
      <c r="BD3506" s="37"/>
      <c r="BE3506" s="37"/>
      <c r="BF3506" s="37"/>
      <c r="BG3506" s="37"/>
      <c r="BH3506" s="37"/>
      <c r="BI3506" s="37"/>
      <c r="BJ3506" s="37"/>
      <c r="BK3506" s="37"/>
      <c r="BL3506" s="37"/>
      <c r="BM3506" s="37"/>
    </row>
    <row r="3507" spans="1:65" s="40" customFormat="1" ht="23.25" x14ac:dyDescent="0.35">
      <c r="A3507" s="37"/>
      <c r="B3507" s="37"/>
      <c r="C3507" s="41"/>
      <c r="D3507" s="38"/>
      <c r="E3507" s="57"/>
      <c r="F3507" s="42"/>
      <c r="G3507" s="43"/>
      <c r="H3507" s="37"/>
      <c r="I3507" s="37"/>
      <c r="J3507" s="38"/>
      <c r="K3507" s="37"/>
      <c r="L3507" s="38"/>
      <c r="M3507" s="39"/>
      <c r="P3507" s="37"/>
      <c r="Q3507" s="37"/>
      <c r="R3507" s="37"/>
      <c r="S3507" s="37"/>
      <c r="T3507" s="37"/>
      <c r="U3507" s="37"/>
      <c r="V3507" s="37"/>
      <c r="W3507" s="37"/>
      <c r="X3507" s="37"/>
      <c r="Y3507" s="37"/>
      <c r="Z3507" s="37"/>
      <c r="AA3507" s="37"/>
      <c r="AB3507" s="37"/>
      <c r="AC3507" s="37"/>
      <c r="AD3507" s="37"/>
      <c r="AE3507" s="37"/>
      <c r="AF3507" s="37"/>
      <c r="AG3507" s="37"/>
      <c r="AH3507" s="37"/>
      <c r="AI3507" s="37"/>
      <c r="AJ3507" s="37"/>
      <c r="AK3507" s="37"/>
      <c r="AL3507" s="37"/>
      <c r="AM3507" s="37"/>
      <c r="AN3507" s="37"/>
      <c r="AO3507" s="37"/>
      <c r="AP3507" s="37"/>
      <c r="AQ3507" s="37"/>
      <c r="AR3507" s="37"/>
      <c r="AS3507" s="37"/>
      <c r="AT3507" s="37"/>
      <c r="AU3507" s="37"/>
      <c r="AV3507" s="37"/>
      <c r="AW3507" s="37"/>
      <c r="AX3507" s="37"/>
      <c r="AY3507" s="37"/>
      <c r="AZ3507" s="37"/>
      <c r="BA3507" s="37"/>
      <c r="BB3507" s="37"/>
      <c r="BC3507" s="37"/>
      <c r="BD3507" s="37"/>
      <c r="BE3507" s="37"/>
      <c r="BF3507" s="37"/>
      <c r="BG3507" s="37"/>
      <c r="BH3507" s="37"/>
      <c r="BI3507" s="37"/>
      <c r="BJ3507" s="37"/>
      <c r="BK3507" s="37"/>
      <c r="BL3507" s="37"/>
      <c r="BM3507" s="37"/>
    </row>
    <row r="3508" spans="1:65" s="40" customFormat="1" ht="23.25" x14ac:dyDescent="0.35">
      <c r="A3508" s="37"/>
      <c r="B3508" s="37"/>
      <c r="C3508" s="41"/>
      <c r="D3508" s="38"/>
      <c r="E3508" s="57"/>
      <c r="F3508" s="42"/>
      <c r="G3508" s="43"/>
      <c r="H3508" s="37"/>
      <c r="I3508" s="37"/>
      <c r="J3508" s="38"/>
      <c r="K3508" s="37"/>
      <c r="L3508" s="38"/>
      <c r="M3508" s="39"/>
      <c r="P3508" s="37"/>
      <c r="Q3508" s="37"/>
      <c r="R3508" s="37"/>
      <c r="S3508" s="37"/>
      <c r="T3508" s="37"/>
      <c r="U3508" s="37"/>
      <c r="V3508" s="37"/>
      <c r="W3508" s="37"/>
      <c r="X3508" s="37"/>
      <c r="Y3508" s="37"/>
      <c r="Z3508" s="37"/>
      <c r="AA3508" s="37"/>
      <c r="AB3508" s="37"/>
      <c r="AC3508" s="37"/>
      <c r="AD3508" s="37"/>
      <c r="AE3508" s="37"/>
      <c r="AF3508" s="37"/>
      <c r="AG3508" s="37"/>
      <c r="AH3508" s="37"/>
      <c r="AI3508" s="37"/>
      <c r="AJ3508" s="37"/>
      <c r="AK3508" s="37"/>
      <c r="AL3508" s="37"/>
      <c r="AM3508" s="37"/>
      <c r="AN3508" s="37"/>
      <c r="AO3508" s="37"/>
      <c r="AP3508" s="37"/>
      <c r="AQ3508" s="37"/>
      <c r="AR3508" s="37"/>
      <c r="AS3508" s="37"/>
      <c r="AT3508" s="37"/>
      <c r="AU3508" s="37"/>
      <c r="AV3508" s="37"/>
      <c r="AW3508" s="37"/>
      <c r="AX3508" s="37"/>
      <c r="AY3508" s="37"/>
      <c r="AZ3508" s="37"/>
      <c r="BA3508" s="37"/>
      <c r="BB3508" s="37"/>
      <c r="BC3508" s="37"/>
      <c r="BD3508" s="37"/>
      <c r="BE3508" s="37"/>
      <c r="BF3508" s="37"/>
      <c r="BG3508" s="37"/>
      <c r="BH3508" s="37"/>
      <c r="BI3508" s="37"/>
      <c r="BJ3508" s="37"/>
      <c r="BK3508" s="37"/>
      <c r="BL3508" s="37"/>
      <c r="BM3508" s="37"/>
    </row>
    <row r="3509" spans="1:65" s="40" customFormat="1" ht="23.25" x14ac:dyDescent="0.35">
      <c r="A3509" s="37"/>
      <c r="B3509" s="37"/>
      <c r="C3509" s="41"/>
      <c r="D3509" s="38"/>
      <c r="E3509" s="57"/>
      <c r="F3509" s="42"/>
      <c r="G3509" s="43"/>
      <c r="H3509" s="37"/>
      <c r="I3509" s="37"/>
      <c r="J3509" s="38"/>
      <c r="K3509" s="37"/>
      <c r="L3509" s="38"/>
      <c r="M3509" s="39"/>
      <c r="P3509" s="37"/>
      <c r="Q3509" s="37"/>
      <c r="R3509" s="37"/>
      <c r="S3509" s="37"/>
      <c r="T3509" s="37"/>
      <c r="U3509" s="37"/>
      <c r="V3509" s="37"/>
      <c r="W3509" s="37"/>
      <c r="X3509" s="37"/>
      <c r="Y3509" s="37"/>
      <c r="Z3509" s="37"/>
      <c r="AA3509" s="37"/>
      <c r="AB3509" s="37"/>
      <c r="AC3509" s="37"/>
      <c r="AD3509" s="37"/>
      <c r="AE3509" s="37"/>
      <c r="AF3509" s="37"/>
      <c r="AG3509" s="37"/>
      <c r="AH3509" s="37"/>
      <c r="AI3509" s="37"/>
      <c r="AJ3509" s="37"/>
      <c r="AK3509" s="37"/>
      <c r="AL3509" s="37"/>
      <c r="AM3509" s="37"/>
      <c r="AN3509" s="37"/>
      <c r="AO3509" s="37"/>
      <c r="AP3509" s="37"/>
      <c r="AQ3509" s="37"/>
      <c r="AR3509" s="37"/>
      <c r="AS3509" s="37"/>
      <c r="AT3509" s="37"/>
      <c r="AU3509" s="37"/>
      <c r="AV3509" s="37"/>
      <c r="AW3509" s="37"/>
      <c r="AX3509" s="37"/>
      <c r="AY3509" s="37"/>
      <c r="AZ3509" s="37"/>
      <c r="BA3509" s="37"/>
      <c r="BB3509" s="37"/>
      <c r="BC3509" s="37"/>
      <c r="BD3509" s="37"/>
      <c r="BE3509" s="37"/>
      <c r="BF3509" s="37"/>
      <c r="BG3509" s="37"/>
      <c r="BH3509" s="37"/>
      <c r="BI3509" s="37"/>
      <c r="BJ3509" s="37"/>
      <c r="BK3509" s="37"/>
      <c r="BL3509" s="37"/>
      <c r="BM3509" s="37"/>
    </row>
    <row r="3510" spans="1:65" s="40" customFormat="1" ht="23.25" x14ac:dyDescent="0.35">
      <c r="A3510" s="37"/>
      <c r="B3510" s="37"/>
      <c r="C3510" s="41"/>
      <c r="D3510" s="38"/>
      <c r="E3510" s="57"/>
      <c r="F3510" s="42"/>
      <c r="G3510" s="43"/>
      <c r="H3510" s="37"/>
      <c r="I3510" s="37"/>
      <c r="J3510" s="38"/>
      <c r="K3510" s="37"/>
      <c r="L3510" s="38"/>
      <c r="M3510" s="39"/>
      <c r="P3510" s="37"/>
      <c r="Q3510" s="37"/>
      <c r="R3510" s="37"/>
      <c r="S3510" s="37"/>
      <c r="T3510" s="37"/>
      <c r="U3510" s="37"/>
      <c r="V3510" s="37"/>
      <c r="W3510" s="37"/>
      <c r="X3510" s="37"/>
      <c r="Y3510" s="37"/>
      <c r="Z3510" s="37"/>
      <c r="AA3510" s="37"/>
      <c r="AB3510" s="37"/>
      <c r="AC3510" s="37"/>
      <c r="AD3510" s="37"/>
      <c r="AE3510" s="37"/>
      <c r="AF3510" s="37"/>
      <c r="AG3510" s="37"/>
      <c r="AH3510" s="37"/>
      <c r="AI3510" s="37"/>
      <c r="AJ3510" s="37"/>
      <c r="AK3510" s="37"/>
      <c r="AL3510" s="37"/>
      <c r="AM3510" s="37"/>
      <c r="AN3510" s="37"/>
      <c r="AO3510" s="37"/>
      <c r="AP3510" s="37"/>
      <c r="AQ3510" s="37"/>
      <c r="AR3510" s="37"/>
      <c r="AS3510" s="37"/>
      <c r="AT3510" s="37"/>
      <c r="AU3510" s="37"/>
      <c r="AV3510" s="37"/>
      <c r="AW3510" s="37"/>
      <c r="AX3510" s="37"/>
      <c r="AY3510" s="37"/>
      <c r="AZ3510" s="37"/>
      <c r="BA3510" s="37"/>
      <c r="BB3510" s="37"/>
      <c r="BC3510" s="37"/>
      <c r="BD3510" s="37"/>
      <c r="BE3510" s="37"/>
      <c r="BF3510" s="37"/>
      <c r="BG3510" s="37"/>
      <c r="BH3510" s="37"/>
      <c r="BI3510" s="37"/>
      <c r="BJ3510" s="37"/>
      <c r="BK3510" s="37"/>
      <c r="BL3510" s="37"/>
      <c r="BM3510" s="37"/>
    </row>
    <row r="3511" spans="1:65" s="40" customFormat="1" ht="23.25" x14ac:dyDescent="0.35">
      <c r="A3511" s="37"/>
      <c r="B3511" s="37"/>
      <c r="C3511" s="41"/>
      <c r="D3511" s="38"/>
      <c r="E3511" s="57"/>
      <c r="F3511" s="42"/>
      <c r="G3511" s="43"/>
      <c r="H3511" s="37"/>
      <c r="I3511" s="37"/>
      <c r="J3511" s="38"/>
      <c r="K3511" s="37"/>
      <c r="L3511" s="38"/>
      <c r="M3511" s="39"/>
      <c r="P3511" s="37"/>
      <c r="Q3511" s="37"/>
      <c r="R3511" s="37"/>
      <c r="S3511" s="37"/>
      <c r="T3511" s="37"/>
      <c r="U3511" s="37"/>
      <c r="V3511" s="37"/>
      <c r="W3511" s="37"/>
      <c r="X3511" s="37"/>
      <c r="Y3511" s="37"/>
      <c r="Z3511" s="37"/>
      <c r="AA3511" s="37"/>
      <c r="AB3511" s="37"/>
      <c r="AC3511" s="37"/>
      <c r="AD3511" s="37"/>
      <c r="AE3511" s="37"/>
      <c r="AF3511" s="37"/>
      <c r="AG3511" s="37"/>
      <c r="AH3511" s="37"/>
      <c r="AI3511" s="37"/>
      <c r="AJ3511" s="37"/>
      <c r="AK3511" s="37"/>
      <c r="AL3511" s="37"/>
      <c r="AM3511" s="37"/>
      <c r="AN3511" s="37"/>
      <c r="AO3511" s="37"/>
      <c r="AP3511" s="37"/>
      <c r="AQ3511" s="37"/>
      <c r="AR3511" s="37"/>
      <c r="AS3511" s="37"/>
      <c r="AT3511" s="37"/>
      <c r="AU3511" s="37"/>
      <c r="AV3511" s="37"/>
      <c r="AW3511" s="37"/>
      <c r="AX3511" s="37"/>
      <c r="AY3511" s="37"/>
      <c r="AZ3511" s="37"/>
      <c r="BA3511" s="37"/>
      <c r="BB3511" s="37"/>
      <c r="BC3511" s="37"/>
      <c r="BD3511" s="37"/>
      <c r="BE3511" s="37"/>
      <c r="BF3511" s="37"/>
      <c r="BG3511" s="37"/>
      <c r="BH3511" s="37"/>
      <c r="BI3511" s="37"/>
      <c r="BJ3511" s="37"/>
      <c r="BK3511" s="37"/>
      <c r="BL3511" s="37"/>
      <c r="BM3511" s="37"/>
    </row>
    <row r="3512" spans="1:65" s="40" customFormat="1" ht="23.25" x14ac:dyDescent="0.35">
      <c r="A3512" s="37"/>
      <c r="B3512" s="37"/>
      <c r="C3512" s="41"/>
      <c r="D3512" s="38"/>
      <c r="E3512" s="57"/>
      <c r="F3512" s="42"/>
      <c r="G3512" s="43"/>
      <c r="H3512" s="37"/>
      <c r="I3512" s="37"/>
      <c r="J3512" s="38"/>
      <c r="K3512" s="37"/>
      <c r="L3512" s="38"/>
      <c r="M3512" s="39"/>
      <c r="P3512" s="37"/>
      <c r="Q3512" s="37"/>
      <c r="R3512" s="37"/>
      <c r="S3512" s="37"/>
      <c r="T3512" s="37"/>
      <c r="U3512" s="37"/>
      <c r="V3512" s="37"/>
      <c r="W3512" s="37"/>
      <c r="X3512" s="37"/>
      <c r="Y3512" s="37"/>
      <c r="Z3512" s="37"/>
      <c r="AA3512" s="37"/>
      <c r="AB3512" s="37"/>
      <c r="AC3512" s="37"/>
      <c r="AD3512" s="37"/>
      <c r="AE3512" s="37"/>
      <c r="AF3512" s="37"/>
      <c r="AG3512" s="37"/>
      <c r="AH3512" s="37"/>
      <c r="AI3512" s="37"/>
      <c r="AJ3512" s="37"/>
      <c r="AK3512" s="37"/>
      <c r="AL3512" s="37"/>
      <c r="AM3512" s="37"/>
      <c r="AN3512" s="37"/>
      <c r="AO3512" s="37"/>
      <c r="AP3512" s="37"/>
      <c r="AQ3512" s="37"/>
      <c r="AR3512" s="37"/>
      <c r="AS3512" s="37"/>
      <c r="AT3512" s="37"/>
      <c r="AU3512" s="37"/>
      <c r="AV3512" s="37"/>
      <c r="AW3512" s="37"/>
      <c r="AX3512" s="37"/>
      <c r="AY3512" s="37"/>
      <c r="AZ3512" s="37"/>
      <c r="BA3512" s="37"/>
      <c r="BB3512" s="37"/>
      <c r="BC3512" s="37"/>
      <c r="BD3512" s="37"/>
      <c r="BE3512" s="37"/>
      <c r="BF3512" s="37"/>
      <c r="BG3512" s="37"/>
      <c r="BH3512" s="37"/>
      <c r="BI3512" s="37"/>
      <c r="BJ3512" s="37"/>
      <c r="BK3512" s="37"/>
      <c r="BL3512" s="37"/>
      <c r="BM3512" s="37"/>
    </row>
    <row r="3513" spans="1:65" s="40" customFormat="1" ht="23.25" x14ac:dyDescent="0.35">
      <c r="A3513" s="37"/>
      <c r="B3513" s="37"/>
      <c r="C3513" s="41"/>
      <c r="D3513" s="38"/>
      <c r="E3513" s="57"/>
      <c r="F3513" s="42"/>
      <c r="G3513" s="43"/>
      <c r="H3513" s="37"/>
      <c r="I3513" s="37"/>
      <c r="J3513" s="38"/>
      <c r="K3513" s="37"/>
      <c r="L3513" s="38"/>
      <c r="M3513" s="39"/>
      <c r="P3513" s="37"/>
      <c r="Q3513" s="37"/>
      <c r="R3513" s="37"/>
      <c r="S3513" s="37"/>
      <c r="T3513" s="37"/>
      <c r="U3513" s="37"/>
      <c r="V3513" s="37"/>
      <c r="W3513" s="37"/>
      <c r="X3513" s="37"/>
      <c r="Y3513" s="37"/>
      <c r="Z3513" s="37"/>
      <c r="AA3513" s="37"/>
      <c r="AB3513" s="37"/>
      <c r="AC3513" s="37"/>
      <c r="AD3513" s="37"/>
      <c r="AE3513" s="37"/>
      <c r="AF3513" s="37"/>
      <c r="AG3513" s="37"/>
      <c r="AH3513" s="37"/>
      <c r="AI3513" s="37"/>
      <c r="AJ3513" s="37"/>
      <c r="AK3513" s="37"/>
      <c r="AL3513" s="37"/>
      <c r="AM3513" s="37"/>
      <c r="AN3513" s="37"/>
      <c r="AO3513" s="37"/>
      <c r="AP3513" s="37"/>
      <c r="AQ3513" s="37"/>
      <c r="AR3513" s="37"/>
      <c r="AS3513" s="37"/>
      <c r="AT3513" s="37"/>
      <c r="AU3513" s="37"/>
      <c r="AV3513" s="37"/>
      <c r="AW3513" s="37"/>
      <c r="AX3513" s="37"/>
      <c r="AY3513" s="37"/>
      <c r="AZ3513" s="37"/>
      <c r="BA3513" s="37"/>
      <c r="BB3513" s="37"/>
      <c r="BC3513" s="37"/>
      <c r="BD3513" s="37"/>
      <c r="BE3513" s="37"/>
      <c r="BF3513" s="37"/>
      <c r="BG3513" s="37"/>
      <c r="BH3513" s="37"/>
      <c r="BI3513" s="37"/>
      <c r="BJ3513" s="37"/>
      <c r="BK3513" s="37"/>
      <c r="BL3513" s="37"/>
      <c r="BM3513" s="37"/>
    </row>
    <row r="3514" spans="1:65" s="40" customFormat="1" ht="23.25" x14ac:dyDescent="0.35">
      <c r="A3514" s="37"/>
      <c r="B3514" s="37"/>
      <c r="C3514" s="41"/>
      <c r="D3514" s="38"/>
      <c r="E3514" s="57"/>
      <c r="F3514" s="42"/>
      <c r="G3514" s="43"/>
      <c r="H3514" s="37"/>
      <c r="I3514" s="37"/>
      <c r="J3514" s="38"/>
      <c r="K3514" s="37"/>
      <c r="L3514" s="38"/>
      <c r="M3514" s="39"/>
      <c r="P3514" s="37"/>
      <c r="Q3514" s="37"/>
      <c r="R3514" s="37"/>
      <c r="S3514" s="37"/>
      <c r="T3514" s="37"/>
      <c r="U3514" s="37"/>
      <c r="V3514" s="37"/>
      <c r="W3514" s="37"/>
      <c r="X3514" s="37"/>
      <c r="Y3514" s="37"/>
      <c r="Z3514" s="37"/>
      <c r="AA3514" s="37"/>
      <c r="AB3514" s="37"/>
      <c r="AC3514" s="37"/>
      <c r="AD3514" s="37"/>
      <c r="AE3514" s="37"/>
      <c r="AF3514" s="37"/>
      <c r="AG3514" s="37"/>
      <c r="AH3514" s="37"/>
      <c r="AI3514" s="37"/>
      <c r="AJ3514" s="37"/>
      <c r="AK3514" s="37"/>
      <c r="AL3514" s="37"/>
      <c r="AM3514" s="37"/>
      <c r="AN3514" s="37"/>
      <c r="AO3514" s="37"/>
      <c r="AP3514" s="37"/>
      <c r="AQ3514" s="37"/>
      <c r="AR3514" s="37"/>
      <c r="AS3514" s="37"/>
      <c r="AT3514" s="37"/>
      <c r="AU3514" s="37"/>
      <c r="AV3514" s="37"/>
      <c r="AW3514" s="37"/>
      <c r="AX3514" s="37"/>
      <c r="AY3514" s="37"/>
      <c r="AZ3514" s="37"/>
      <c r="BA3514" s="37"/>
      <c r="BB3514" s="37"/>
      <c r="BC3514" s="37"/>
      <c r="BD3514" s="37"/>
      <c r="BE3514" s="37"/>
      <c r="BF3514" s="37"/>
      <c r="BG3514" s="37"/>
      <c r="BH3514" s="37"/>
      <c r="BI3514" s="37"/>
      <c r="BJ3514" s="37"/>
      <c r="BK3514" s="37"/>
      <c r="BL3514" s="37"/>
      <c r="BM3514" s="37"/>
    </row>
    <row r="3515" spans="1:65" s="40" customFormat="1" ht="23.25" x14ac:dyDescent="0.35">
      <c r="A3515" s="37"/>
      <c r="B3515" s="37"/>
      <c r="C3515" s="41"/>
      <c r="D3515" s="38"/>
      <c r="E3515" s="57"/>
      <c r="F3515" s="42"/>
      <c r="G3515" s="43"/>
      <c r="H3515" s="37"/>
      <c r="I3515" s="37"/>
      <c r="J3515" s="38"/>
      <c r="K3515" s="37"/>
      <c r="L3515" s="38"/>
      <c r="M3515" s="39"/>
      <c r="P3515" s="37"/>
      <c r="Q3515" s="37"/>
      <c r="R3515" s="37"/>
      <c r="S3515" s="37"/>
      <c r="T3515" s="37"/>
      <c r="U3515" s="37"/>
      <c r="V3515" s="37"/>
      <c r="W3515" s="37"/>
      <c r="X3515" s="37"/>
      <c r="Y3515" s="37"/>
      <c r="Z3515" s="37"/>
      <c r="AA3515" s="37"/>
      <c r="AB3515" s="37"/>
      <c r="AC3515" s="37"/>
      <c r="AD3515" s="37"/>
      <c r="AE3515" s="37"/>
      <c r="AF3515" s="37"/>
      <c r="AG3515" s="37"/>
      <c r="AH3515" s="37"/>
      <c r="AI3515" s="37"/>
      <c r="AJ3515" s="37"/>
      <c r="AK3515" s="37"/>
      <c r="AL3515" s="37"/>
      <c r="AM3515" s="37"/>
      <c r="AN3515" s="37"/>
      <c r="AO3515" s="37"/>
      <c r="AP3515" s="37"/>
      <c r="AQ3515" s="37"/>
      <c r="AR3515" s="37"/>
      <c r="AS3515" s="37"/>
      <c r="AT3515" s="37"/>
      <c r="AU3515" s="37"/>
      <c r="AV3515" s="37"/>
      <c r="AW3515" s="37"/>
      <c r="AX3515" s="37"/>
      <c r="AY3515" s="37"/>
      <c r="AZ3515" s="37"/>
      <c r="BA3515" s="37"/>
      <c r="BB3515" s="37"/>
      <c r="BC3515" s="37"/>
      <c r="BD3515" s="37"/>
      <c r="BE3515" s="37"/>
      <c r="BF3515" s="37"/>
      <c r="BG3515" s="37"/>
      <c r="BH3515" s="37"/>
      <c r="BI3515" s="37"/>
      <c r="BJ3515" s="37"/>
      <c r="BK3515" s="37"/>
      <c r="BL3515" s="37"/>
      <c r="BM3515" s="37"/>
    </row>
    <row r="3516" spans="1:65" s="40" customFormat="1" ht="23.25" x14ac:dyDescent="0.35">
      <c r="A3516" s="37"/>
      <c r="B3516" s="37"/>
      <c r="C3516" s="41"/>
      <c r="D3516" s="38"/>
      <c r="E3516" s="57"/>
      <c r="F3516" s="42"/>
      <c r="G3516" s="43"/>
      <c r="H3516" s="37"/>
      <c r="I3516" s="37"/>
      <c r="J3516" s="38"/>
      <c r="K3516" s="37"/>
      <c r="L3516" s="38"/>
      <c r="M3516" s="39"/>
      <c r="P3516" s="37"/>
      <c r="Q3516" s="37"/>
      <c r="R3516" s="37"/>
      <c r="S3516" s="37"/>
      <c r="T3516" s="37"/>
      <c r="U3516" s="37"/>
      <c r="V3516" s="37"/>
      <c r="W3516" s="37"/>
      <c r="X3516" s="37"/>
      <c r="Y3516" s="37"/>
      <c r="Z3516" s="37"/>
      <c r="AA3516" s="37"/>
      <c r="AB3516" s="37"/>
      <c r="AC3516" s="37"/>
      <c r="AD3516" s="37"/>
      <c r="AE3516" s="37"/>
      <c r="AF3516" s="37"/>
      <c r="AG3516" s="37"/>
      <c r="AH3516" s="37"/>
      <c r="AI3516" s="37"/>
      <c r="AJ3516" s="37"/>
      <c r="AK3516" s="37"/>
      <c r="AL3516" s="37"/>
      <c r="AM3516" s="37"/>
      <c r="AN3516" s="37"/>
      <c r="AO3516" s="37"/>
      <c r="AP3516" s="37"/>
      <c r="AQ3516" s="37"/>
      <c r="AR3516" s="37"/>
      <c r="AS3516" s="37"/>
      <c r="AT3516" s="37"/>
      <c r="AU3516" s="37"/>
      <c r="AV3516" s="37"/>
      <c r="AW3516" s="37"/>
      <c r="AX3516" s="37"/>
      <c r="AY3516" s="37"/>
      <c r="AZ3516" s="37"/>
      <c r="BA3516" s="37"/>
      <c r="BB3516" s="37"/>
      <c r="BC3516" s="37"/>
      <c r="BD3516" s="37"/>
      <c r="BE3516" s="37"/>
      <c r="BF3516" s="37"/>
      <c r="BG3516" s="37"/>
      <c r="BH3516" s="37"/>
      <c r="BI3516" s="37"/>
      <c r="BJ3516" s="37"/>
      <c r="BK3516" s="37"/>
      <c r="BL3516" s="37"/>
      <c r="BM3516" s="37"/>
    </row>
    <row r="3517" spans="1:65" s="40" customFormat="1" ht="23.25" x14ac:dyDescent="0.35">
      <c r="A3517" s="37"/>
      <c r="B3517" s="37"/>
      <c r="C3517" s="41"/>
      <c r="D3517" s="38"/>
      <c r="E3517" s="57"/>
      <c r="F3517" s="42"/>
      <c r="G3517" s="43"/>
      <c r="H3517" s="37"/>
      <c r="I3517" s="37"/>
      <c r="J3517" s="38"/>
      <c r="K3517" s="37"/>
      <c r="L3517" s="38"/>
      <c r="M3517" s="39"/>
      <c r="P3517" s="37"/>
      <c r="Q3517" s="37"/>
      <c r="R3517" s="37"/>
      <c r="S3517" s="37"/>
      <c r="T3517" s="37"/>
      <c r="U3517" s="37"/>
      <c r="V3517" s="37"/>
      <c r="W3517" s="37"/>
      <c r="X3517" s="37"/>
      <c r="Y3517" s="37"/>
      <c r="Z3517" s="37"/>
      <c r="AA3517" s="37"/>
      <c r="AB3517" s="37"/>
      <c r="AC3517" s="37"/>
      <c r="AD3517" s="37"/>
      <c r="AE3517" s="37"/>
      <c r="AF3517" s="37"/>
      <c r="AG3517" s="37"/>
      <c r="AH3517" s="37"/>
      <c r="AI3517" s="37"/>
      <c r="AJ3517" s="37"/>
      <c r="AK3517" s="37"/>
      <c r="AL3517" s="37"/>
      <c r="AM3517" s="37"/>
      <c r="AN3517" s="37"/>
      <c r="AO3517" s="37"/>
      <c r="AP3517" s="37"/>
      <c r="AQ3517" s="37"/>
      <c r="AR3517" s="37"/>
      <c r="AS3517" s="37"/>
      <c r="AT3517" s="37"/>
      <c r="AU3517" s="37"/>
      <c r="AV3517" s="37"/>
      <c r="AW3517" s="37"/>
      <c r="AX3517" s="37"/>
      <c r="AY3517" s="37"/>
      <c r="AZ3517" s="37"/>
      <c r="BA3517" s="37"/>
      <c r="BB3517" s="37"/>
      <c r="BC3517" s="37"/>
      <c r="BD3517" s="37"/>
      <c r="BE3517" s="37"/>
      <c r="BF3517" s="37"/>
      <c r="BG3517" s="37"/>
      <c r="BH3517" s="37"/>
      <c r="BI3517" s="37"/>
      <c r="BJ3517" s="37"/>
      <c r="BK3517" s="37"/>
      <c r="BL3517" s="37"/>
      <c r="BM3517" s="37"/>
    </row>
    <row r="3518" spans="1:65" s="40" customFormat="1" ht="23.25" x14ac:dyDescent="0.35">
      <c r="A3518" s="37"/>
      <c r="B3518" s="37"/>
      <c r="C3518" s="41"/>
      <c r="D3518" s="38"/>
      <c r="E3518" s="57"/>
      <c r="F3518" s="42"/>
      <c r="G3518" s="43"/>
      <c r="H3518" s="37"/>
      <c r="I3518" s="37"/>
      <c r="J3518" s="38"/>
      <c r="K3518" s="37"/>
      <c r="L3518" s="38"/>
      <c r="M3518" s="39"/>
      <c r="P3518" s="37"/>
      <c r="Q3518" s="37"/>
      <c r="R3518" s="37"/>
      <c r="S3518" s="37"/>
      <c r="T3518" s="37"/>
      <c r="U3518" s="37"/>
      <c r="V3518" s="37"/>
      <c r="W3518" s="37"/>
      <c r="X3518" s="37"/>
      <c r="Y3518" s="37"/>
      <c r="Z3518" s="37"/>
      <c r="AA3518" s="37"/>
      <c r="AB3518" s="37"/>
      <c r="AC3518" s="37"/>
      <c r="AD3518" s="37"/>
      <c r="AE3518" s="37"/>
      <c r="AF3518" s="37"/>
      <c r="AG3518" s="37"/>
      <c r="AH3518" s="37"/>
      <c r="AI3518" s="37"/>
      <c r="AJ3518" s="37"/>
      <c r="AK3518" s="37"/>
      <c r="AL3518" s="37"/>
      <c r="AM3518" s="37"/>
      <c r="AN3518" s="37"/>
      <c r="AO3518" s="37"/>
      <c r="AP3518" s="37"/>
      <c r="AQ3518" s="37"/>
      <c r="AR3518" s="37"/>
      <c r="AS3518" s="37"/>
      <c r="AT3518" s="37"/>
      <c r="AU3518" s="37"/>
      <c r="AV3518" s="37"/>
      <c r="AW3518" s="37"/>
      <c r="AX3518" s="37"/>
      <c r="AY3518" s="37"/>
      <c r="AZ3518" s="37"/>
      <c r="BA3518" s="37"/>
      <c r="BB3518" s="37"/>
      <c r="BC3518" s="37"/>
      <c r="BD3518" s="37"/>
      <c r="BE3518" s="37"/>
      <c r="BF3518" s="37"/>
      <c r="BG3518" s="37"/>
      <c r="BH3518" s="37"/>
      <c r="BI3518" s="37"/>
      <c r="BJ3518" s="37"/>
      <c r="BK3518" s="37"/>
      <c r="BL3518" s="37"/>
      <c r="BM3518" s="37"/>
    </row>
    <row r="3519" spans="1:65" s="40" customFormat="1" ht="23.25" x14ac:dyDescent="0.35">
      <c r="A3519" s="37"/>
      <c r="B3519" s="37"/>
      <c r="C3519" s="41"/>
      <c r="D3519" s="38"/>
      <c r="E3519" s="57"/>
      <c r="F3519" s="42"/>
      <c r="G3519" s="43"/>
      <c r="H3519" s="37"/>
      <c r="I3519" s="37"/>
      <c r="J3519" s="38"/>
      <c r="K3519" s="37"/>
      <c r="L3519" s="38"/>
      <c r="M3519" s="39"/>
      <c r="P3519" s="37"/>
      <c r="Q3519" s="37"/>
      <c r="R3519" s="37"/>
      <c r="S3519" s="37"/>
      <c r="T3519" s="37"/>
      <c r="U3519" s="37"/>
      <c r="V3519" s="37"/>
      <c r="W3519" s="37"/>
      <c r="X3519" s="37"/>
      <c r="Y3519" s="37"/>
      <c r="Z3519" s="37"/>
      <c r="AA3519" s="37"/>
      <c r="AB3519" s="37"/>
      <c r="AC3519" s="37"/>
      <c r="AD3519" s="37"/>
      <c r="AE3519" s="37"/>
      <c r="AF3519" s="37"/>
      <c r="AG3519" s="37"/>
      <c r="AH3519" s="37"/>
      <c r="AI3519" s="37"/>
      <c r="AJ3519" s="37"/>
      <c r="AK3519" s="37"/>
      <c r="AL3519" s="37"/>
      <c r="AM3519" s="37"/>
      <c r="AN3519" s="37"/>
      <c r="AO3519" s="37"/>
      <c r="AP3519" s="37"/>
      <c r="AQ3519" s="37"/>
      <c r="AR3519" s="37"/>
      <c r="AS3519" s="37"/>
      <c r="AT3519" s="37"/>
      <c r="AU3519" s="37"/>
      <c r="AV3519" s="37"/>
      <c r="AW3519" s="37"/>
      <c r="AX3519" s="37"/>
      <c r="AY3519" s="37"/>
      <c r="AZ3519" s="37"/>
      <c r="BA3519" s="37"/>
      <c r="BB3519" s="37"/>
      <c r="BC3519" s="37"/>
      <c r="BD3519" s="37"/>
      <c r="BE3519" s="37"/>
      <c r="BF3519" s="37"/>
      <c r="BG3519" s="37"/>
      <c r="BH3519" s="37"/>
      <c r="BI3519" s="37"/>
      <c r="BJ3519" s="37"/>
      <c r="BK3519" s="37"/>
      <c r="BL3519" s="37"/>
      <c r="BM3519" s="37"/>
    </row>
    <row r="3520" spans="1:65" s="40" customFormat="1" ht="23.25" x14ac:dyDescent="0.35">
      <c r="A3520" s="37"/>
      <c r="B3520" s="37"/>
      <c r="C3520" s="41"/>
      <c r="D3520" s="38"/>
      <c r="E3520" s="57"/>
      <c r="F3520" s="42"/>
      <c r="G3520" s="43"/>
      <c r="H3520" s="37"/>
      <c r="I3520" s="37"/>
      <c r="J3520" s="38"/>
      <c r="K3520" s="37"/>
      <c r="L3520" s="38"/>
      <c r="M3520" s="39"/>
      <c r="P3520" s="37"/>
      <c r="Q3520" s="37"/>
      <c r="R3520" s="37"/>
      <c r="S3520" s="37"/>
      <c r="T3520" s="37"/>
      <c r="U3520" s="37"/>
      <c r="V3520" s="37"/>
      <c r="W3520" s="37"/>
      <c r="X3520" s="37"/>
      <c r="Y3520" s="37"/>
      <c r="Z3520" s="37"/>
      <c r="AA3520" s="37"/>
      <c r="AB3520" s="37"/>
      <c r="AC3520" s="37"/>
      <c r="AD3520" s="37"/>
      <c r="AE3520" s="37"/>
      <c r="AF3520" s="37"/>
      <c r="AG3520" s="37"/>
      <c r="AH3520" s="37"/>
      <c r="AI3520" s="37"/>
      <c r="AJ3520" s="37"/>
      <c r="AK3520" s="37"/>
      <c r="AL3520" s="37"/>
      <c r="AM3520" s="37"/>
      <c r="AN3520" s="37"/>
      <c r="AO3520" s="37"/>
      <c r="AP3520" s="37"/>
      <c r="AQ3520" s="37"/>
      <c r="AR3520" s="37"/>
      <c r="AS3520" s="37"/>
      <c r="AT3520" s="37"/>
      <c r="AU3520" s="37"/>
      <c r="AV3520" s="37"/>
      <c r="AW3520" s="37"/>
      <c r="AX3520" s="37"/>
      <c r="AY3520" s="37"/>
      <c r="AZ3520" s="37"/>
      <c r="BA3520" s="37"/>
      <c r="BB3520" s="37"/>
      <c r="BC3520" s="37"/>
      <c r="BD3520" s="37"/>
      <c r="BE3520" s="37"/>
      <c r="BF3520" s="37"/>
      <c r="BG3520" s="37"/>
      <c r="BH3520" s="37"/>
      <c r="BI3520" s="37"/>
      <c r="BJ3520" s="37"/>
      <c r="BK3520" s="37"/>
      <c r="BL3520" s="37"/>
      <c r="BM3520" s="37"/>
    </row>
    <row r="3521" spans="1:65" s="40" customFormat="1" ht="23.25" x14ac:dyDescent="0.35">
      <c r="A3521" s="37"/>
      <c r="B3521" s="37"/>
      <c r="C3521" s="41"/>
      <c r="D3521" s="38"/>
      <c r="E3521" s="57"/>
      <c r="F3521" s="42"/>
      <c r="G3521" s="43"/>
      <c r="H3521" s="37"/>
      <c r="I3521" s="37"/>
      <c r="J3521" s="38"/>
      <c r="K3521" s="37"/>
      <c r="L3521" s="38"/>
      <c r="M3521" s="39"/>
      <c r="P3521" s="37"/>
      <c r="Q3521" s="37"/>
      <c r="R3521" s="37"/>
      <c r="S3521" s="37"/>
      <c r="T3521" s="37"/>
      <c r="U3521" s="37"/>
      <c r="V3521" s="37"/>
      <c r="W3521" s="37"/>
      <c r="X3521" s="37"/>
      <c r="Y3521" s="37"/>
      <c r="Z3521" s="37"/>
      <c r="AA3521" s="37"/>
      <c r="AB3521" s="37"/>
      <c r="AC3521" s="37"/>
      <c r="AD3521" s="37"/>
      <c r="AE3521" s="37"/>
      <c r="AF3521" s="37"/>
      <c r="AG3521" s="37"/>
      <c r="AH3521" s="37"/>
      <c r="AI3521" s="37"/>
      <c r="AJ3521" s="37"/>
      <c r="AK3521" s="37"/>
      <c r="AL3521" s="37"/>
      <c r="AM3521" s="37"/>
      <c r="AN3521" s="37"/>
      <c r="AO3521" s="37"/>
      <c r="AP3521" s="37"/>
      <c r="AQ3521" s="37"/>
      <c r="AR3521" s="37"/>
      <c r="AS3521" s="37"/>
      <c r="AT3521" s="37"/>
      <c r="AU3521" s="37"/>
      <c r="AV3521" s="37"/>
      <c r="AW3521" s="37"/>
      <c r="AX3521" s="37"/>
      <c r="AY3521" s="37"/>
      <c r="AZ3521" s="37"/>
      <c r="BA3521" s="37"/>
      <c r="BB3521" s="37"/>
      <c r="BC3521" s="37"/>
      <c r="BD3521" s="37"/>
      <c r="BE3521" s="37"/>
      <c r="BF3521" s="37"/>
      <c r="BG3521" s="37"/>
      <c r="BH3521" s="37"/>
      <c r="BI3521" s="37"/>
      <c r="BJ3521" s="37"/>
      <c r="BK3521" s="37"/>
      <c r="BL3521" s="37"/>
      <c r="BM3521" s="37"/>
    </row>
    <row r="3522" spans="1:65" s="40" customFormat="1" ht="23.25" x14ac:dyDescent="0.35">
      <c r="A3522" s="37"/>
      <c r="B3522" s="37"/>
      <c r="C3522" s="41"/>
      <c r="D3522" s="38"/>
      <c r="E3522" s="57"/>
      <c r="F3522" s="42"/>
      <c r="G3522" s="43"/>
      <c r="H3522" s="37"/>
      <c r="I3522" s="37"/>
      <c r="J3522" s="38"/>
      <c r="K3522" s="37"/>
      <c r="L3522" s="38"/>
      <c r="M3522" s="39"/>
      <c r="P3522" s="37"/>
      <c r="Q3522" s="37"/>
      <c r="R3522" s="37"/>
      <c r="S3522" s="37"/>
      <c r="T3522" s="37"/>
      <c r="U3522" s="37"/>
      <c r="V3522" s="37"/>
      <c r="W3522" s="37"/>
      <c r="X3522" s="37"/>
      <c r="Y3522" s="37"/>
      <c r="Z3522" s="37"/>
      <c r="AA3522" s="37"/>
      <c r="AB3522" s="37"/>
      <c r="AC3522" s="37"/>
      <c r="AD3522" s="37"/>
      <c r="AE3522" s="37"/>
      <c r="AF3522" s="37"/>
      <c r="AG3522" s="37"/>
      <c r="AH3522" s="37"/>
      <c r="AI3522" s="37"/>
      <c r="AJ3522" s="37"/>
      <c r="AK3522" s="37"/>
      <c r="AL3522" s="37"/>
      <c r="AM3522" s="37"/>
      <c r="AN3522" s="37"/>
      <c r="AO3522" s="37"/>
      <c r="AP3522" s="37"/>
      <c r="AQ3522" s="37"/>
      <c r="AR3522" s="37"/>
      <c r="AS3522" s="37"/>
      <c r="AT3522" s="37"/>
      <c r="AU3522" s="37"/>
      <c r="AV3522" s="37"/>
      <c r="AW3522" s="37"/>
      <c r="AX3522" s="37"/>
      <c r="AY3522" s="37"/>
      <c r="AZ3522" s="37"/>
      <c r="BA3522" s="37"/>
      <c r="BB3522" s="37"/>
      <c r="BC3522" s="37"/>
      <c r="BD3522" s="37"/>
      <c r="BE3522" s="37"/>
      <c r="BF3522" s="37"/>
      <c r="BG3522" s="37"/>
      <c r="BH3522" s="37"/>
      <c r="BI3522" s="37"/>
      <c r="BJ3522" s="37"/>
      <c r="BK3522" s="37"/>
      <c r="BL3522" s="37"/>
      <c r="BM3522" s="37"/>
    </row>
    <row r="3523" spans="1:65" s="40" customFormat="1" ht="23.25" x14ac:dyDescent="0.35">
      <c r="A3523" s="37"/>
      <c r="B3523" s="37"/>
      <c r="C3523" s="41"/>
      <c r="D3523" s="38"/>
      <c r="E3523" s="57"/>
      <c r="F3523" s="42"/>
      <c r="G3523" s="43"/>
      <c r="H3523" s="37"/>
      <c r="I3523" s="37"/>
      <c r="J3523" s="38"/>
      <c r="K3523" s="37"/>
      <c r="L3523" s="38"/>
      <c r="M3523" s="39"/>
      <c r="P3523" s="37"/>
      <c r="Q3523" s="37"/>
      <c r="R3523" s="37"/>
      <c r="S3523" s="37"/>
      <c r="T3523" s="37"/>
      <c r="U3523" s="37"/>
      <c r="V3523" s="37"/>
      <c r="W3523" s="37"/>
      <c r="X3523" s="37"/>
      <c r="Y3523" s="37"/>
      <c r="Z3523" s="37"/>
      <c r="AA3523" s="37"/>
      <c r="AB3523" s="37"/>
      <c r="AC3523" s="37"/>
      <c r="AD3523" s="37"/>
      <c r="AE3523" s="37"/>
      <c r="AF3523" s="37"/>
      <c r="AG3523" s="37"/>
      <c r="AH3523" s="37"/>
      <c r="AI3523" s="37"/>
      <c r="AJ3523" s="37"/>
      <c r="AK3523" s="37"/>
      <c r="AL3523" s="37"/>
      <c r="AM3523" s="37"/>
      <c r="AN3523" s="37"/>
      <c r="AO3523" s="37"/>
      <c r="AP3523" s="37"/>
      <c r="AQ3523" s="37"/>
      <c r="AR3523" s="37"/>
      <c r="AS3523" s="37"/>
      <c r="AT3523" s="37"/>
      <c r="AU3523" s="37"/>
      <c r="AV3523" s="37"/>
      <c r="AW3523" s="37"/>
      <c r="AX3523" s="37"/>
      <c r="AY3523" s="37"/>
      <c r="AZ3523" s="37"/>
      <c r="BA3523" s="37"/>
      <c r="BB3523" s="37"/>
      <c r="BC3523" s="37"/>
      <c r="BD3523" s="37"/>
      <c r="BE3523" s="37"/>
      <c r="BF3523" s="37"/>
      <c r="BG3523" s="37"/>
      <c r="BH3523" s="37"/>
      <c r="BI3523" s="37"/>
      <c r="BJ3523" s="37"/>
      <c r="BK3523" s="37"/>
      <c r="BL3523" s="37"/>
      <c r="BM3523" s="37"/>
    </row>
    <row r="3524" spans="1:65" s="40" customFormat="1" ht="23.25" x14ac:dyDescent="0.35">
      <c r="A3524" s="37"/>
      <c r="B3524" s="37"/>
      <c r="C3524" s="41"/>
      <c r="D3524" s="38"/>
      <c r="E3524" s="57"/>
      <c r="F3524" s="42"/>
      <c r="G3524" s="43"/>
      <c r="H3524" s="37"/>
      <c r="I3524" s="37"/>
      <c r="J3524" s="38"/>
      <c r="K3524" s="37"/>
      <c r="L3524" s="38"/>
      <c r="M3524" s="39"/>
      <c r="P3524" s="37"/>
      <c r="Q3524" s="37"/>
      <c r="R3524" s="37"/>
      <c r="S3524" s="37"/>
      <c r="T3524" s="37"/>
      <c r="U3524" s="37"/>
      <c r="V3524" s="37"/>
      <c r="W3524" s="37"/>
      <c r="X3524" s="37"/>
      <c r="Y3524" s="37"/>
      <c r="Z3524" s="37"/>
      <c r="AA3524" s="37"/>
      <c r="AB3524" s="37"/>
      <c r="AC3524" s="37"/>
      <c r="AD3524" s="37"/>
      <c r="AE3524" s="37"/>
      <c r="AF3524" s="37"/>
      <c r="AG3524" s="37"/>
      <c r="AH3524" s="37"/>
      <c r="AI3524" s="37"/>
      <c r="AJ3524" s="37"/>
      <c r="AK3524" s="37"/>
      <c r="AL3524" s="37"/>
      <c r="AM3524" s="37"/>
      <c r="AN3524" s="37"/>
      <c r="AO3524" s="37"/>
      <c r="AP3524" s="37"/>
      <c r="AQ3524" s="37"/>
      <c r="AR3524" s="37"/>
      <c r="AS3524" s="37"/>
      <c r="AT3524" s="37"/>
      <c r="AU3524" s="37"/>
      <c r="AV3524" s="37"/>
      <c r="AW3524" s="37"/>
      <c r="AX3524" s="37"/>
      <c r="AY3524" s="37"/>
      <c r="AZ3524" s="37"/>
      <c r="BA3524" s="37"/>
      <c r="BB3524" s="37"/>
      <c r="BC3524" s="37"/>
      <c r="BD3524" s="37"/>
      <c r="BE3524" s="37"/>
      <c r="BF3524" s="37"/>
      <c r="BG3524" s="37"/>
      <c r="BH3524" s="37"/>
      <c r="BI3524" s="37"/>
      <c r="BJ3524" s="37"/>
      <c r="BK3524" s="37"/>
      <c r="BL3524" s="37"/>
      <c r="BM3524" s="37"/>
    </row>
    <row r="3525" spans="1:65" s="40" customFormat="1" ht="23.25" x14ac:dyDescent="0.35">
      <c r="A3525" s="37"/>
      <c r="B3525" s="37"/>
      <c r="C3525" s="41"/>
      <c r="D3525" s="38"/>
      <c r="E3525" s="57"/>
      <c r="F3525" s="42"/>
      <c r="G3525" s="43"/>
      <c r="H3525" s="37"/>
      <c r="I3525" s="37"/>
      <c r="J3525" s="38"/>
      <c r="K3525" s="37"/>
      <c r="L3525" s="38"/>
      <c r="M3525" s="39"/>
      <c r="P3525" s="37"/>
      <c r="Q3525" s="37"/>
      <c r="R3525" s="37"/>
      <c r="S3525" s="37"/>
      <c r="T3525" s="37"/>
      <c r="U3525" s="37"/>
      <c r="V3525" s="37"/>
      <c r="W3525" s="37"/>
      <c r="X3525" s="37"/>
      <c r="Y3525" s="37"/>
      <c r="Z3525" s="37"/>
      <c r="AA3525" s="37"/>
      <c r="AB3525" s="37"/>
      <c r="AC3525" s="37"/>
      <c r="AD3525" s="37"/>
      <c r="AE3525" s="37"/>
      <c r="AF3525" s="37"/>
      <c r="AG3525" s="37"/>
      <c r="AH3525" s="37"/>
      <c r="AI3525" s="37"/>
      <c r="AJ3525" s="37"/>
      <c r="AK3525" s="37"/>
      <c r="AL3525" s="37"/>
      <c r="AM3525" s="37"/>
      <c r="AN3525" s="37"/>
      <c r="AO3525" s="37"/>
      <c r="AP3525" s="37"/>
      <c r="AQ3525" s="37"/>
      <c r="AR3525" s="37"/>
      <c r="AS3525" s="37"/>
      <c r="AT3525" s="37"/>
      <c r="AU3525" s="37"/>
      <c r="AV3525" s="37"/>
      <c r="AW3525" s="37"/>
      <c r="AX3525" s="37"/>
      <c r="AY3525" s="37"/>
      <c r="AZ3525" s="37"/>
      <c r="BA3525" s="37"/>
      <c r="BB3525" s="37"/>
      <c r="BC3525" s="37"/>
      <c r="BD3525" s="37"/>
      <c r="BE3525" s="37"/>
      <c r="BF3525" s="37"/>
      <c r="BG3525" s="37"/>
      <c r="BH3525" s="37"/>
      <c r="BI3525" s="37"/>
      <c r="BJ3525" s="37"/>
      <c r="BK3525" s="37"/>
      <c r="BL3525" s="37"/>
      <c r="BM3525" s="37"/>
    </row>
    <row r="3526" spans="1:65" s="40" customFormat="1" ht="23.25" x14ac:dyDescent="0.35">
      <c r="A3526" s="37"/>
      <c r="B3526" s="37"/>
      <c r="C3526" s="41"/>
      <c r="D3526" s="38"/>
      <c r="E3526" s="57"/>
      <c r="F3526" s="42"/>
      <c r="G3526" s="43"/>
      <c r="H3526" s="37"/>
      <c r="I3526" s="37"/>
      <c r="J3526" s="38"/>
      <c r="K3526" s="37"/>
      <c r="L3526" s="38"/>
      <c r="M3526" s="39"/>
      <c r="P3526" s="37"/>
      <c r="Q3526" s="37"/>
      <c r="R3526" s="37"/>
      <c r="S3526" s="37"/>
      <c r="T3526" s="37"/>
      <c r="U3526" s="37"/>
      <c r="V3526" s="37"/>
      <c r="W3526" s="37"/>
      <c r="X3526" s="37"/>
      <c r="Y3526" s="37"/>
      <c r="Z3526" s="37"/>
      <c r="AA3526" s="37"/>
      <c r="AB3526" s="37"/>
      <c r="AC3526" s="37"/>
      <c r="AD3526" s="37"/>
      <c r="AE3526" s="37"/>
      <c r="AF3526" s="37"/>
      <c r="AG3526" s="37"/>
      <c r="AH3526" s="37"/>
      <c r="AI3526" s="37"/>
      <c r="AJ3526" s="37"/>
      <c r="AK3526" s="37"/>
      <c r="AL3526" s="37"/>
      <c r="AM3526" s="37"/>
      <c r="AN3526" s="37"/>
      <c r="AO3526" s="37"/>
      <c r="AP3526" s="37"/>
      <c r="AQ3526" s="37"/>
      <c r="AR3526" s="37"/>
      <c r="AS3526" s="37"/>
      <c r="AT3526" s="37"/>
      <c r="AU3526" s="37"/>
      <c r="AV3526" s="37"/>
      <c r="AW3526" s="37"/>
      <c r="AX3526" s="37"/>
      <c r="AY3526" s="37"/>
      <c r="AZ3526" s="37"/>
      <c r="BA3526" s="37"/>
      <c r="BB3526" s="37"/>
      <c r="BC3526" s="37"/>
      <c r="BD3526" s="37"/>
      <c r="BE3526" s="37"/>
      <c r="BF3526" s="37"/>
      <c r="BG3526" s="37"/>
      <c r="BH3526" s="37"/>
      <c r="BI3526" s="37"/>
      <c r="BJ3526" s="37"/>
      <c r="BK3526" s="37"/>
      <c r="BL3526" s="37"/>
      <c r="BM3526" s="37"/>
    </row>
    <row r="3527" spans="1:65" s="40" customFormat="1" ht="23.25" x14ac:dyDescent="0.35">
      <c r="A3527" s="37"/>
      <c r="B3527" s="37"/>
      <c r="C3527" s="41"/>
      <c r="D3527" s="38"/>
      <c r="E3527" s="57"/>
      <c r="F3527" s="42"/>
      <c r="G3527" s="43"/>
      <c r="H3527" s="37"/>
      <c r="I3527" s="37"/>
      <c r="J3527" s="38"/>
      <c r="K3527" s="37"/>
      <c r="L3527" s="38"/>
      <c r="M3527" s="39"/>
      <c r="P3527" s="37"/>
      <c r="Q3527" s="37"/>
      <c r="R3527" s="37"/>
      <c r="S3527" s="37"/>
      <c r="T3527" s="37"/>
      <c r="U3527" s="37"/>
      <c r="V3527" s="37"/>
      <c r="W3527" s="37"/>
      <c r="X3527" s="37"/>
      <c r="Y3527" s="37"/>
      <c r="Z3527" s="37"/>
      <c r="AA3527" s="37"/>
      <c r="AB3527" s="37"/>
      <c r="AC3527" s="37"/>
      <c r="AD3527" s="37"/>
      <c r="AE3527" s="37"/>
      <c r="AF3527" s="37"/>
      <c r="AG3527" s="37"/>
      <c r="AH3527" s="37"/>
      <c r="AI3527" s="37"/>
      <c r="AJ3527" s="37"/>
      <c r="AK3527" s="37"/>
      <c r="AL3527" s="37"/>
      <c r="AM3527" s="37"/>
      <c r="AN3527" s="37"/>
      <c r="AO3527" s="37"/>
      <c r="AP3527" s="37"/>
      <c r="AQ3527" s="37"/>
      <c r="AR3527" s="37"/>
      <c r="AS3527" s="37"/>
      <c r="AT3527" s="37"/>
      <c r="AU3527" s="37"/>
      <c r="AV3527" s="37"/>
      <c r="AW3527" s="37"/>
      <c r="AX3527" s="37"/>
      <c r="AY3527" s="37"/>
      <c r="AZ3527" s="37"/>
      <c r="BA3527" s="37"/>
      <c r="BB3527" s="37"/>
      <c r="BC3527" s="37"/>
      <c r="BD3527" s="37"/>
      <c r="BE3527" s="37"/>
      <c r="BF3527" s="37"/>
      <c r="BG3527" s="37"/>
      <c r="BH3527" s="37"/>
      <c r="BI3527" s="37"/>
      <c r="BJ3527" s="37"/>
      <c r="BK3527" s="37"/>
      <c r="BL3527" s="37"/>
      <c r="BM3527" s="37"/>
    </row>
    <row r="3528" spans="1:65" s="40" customFormat="1" ht="23.25" x14ac:dyDescent="0.35">
      <c r="A3528" s="37"/>
      <c r="B3528" s="37"/>
      <c r="C3528" s="41"/>
      <c r="D3528" s="38"/>
      <c r="E3528" s="57"/>
      <c r="F3528" s="42"/>
      <c r="G3528" s="43"/>
      <c r="H3528" s="37"/>
      <c r="I3528" s="37"/>
      <c r="J3528" s="38"/>
      <c r="K3528" s="37"/>
      <c r="L3528" s="38"/>
      <c r="M3528" s="39"/>
      <c r="P3528" s="37"/>
      <c r="Q3528" s="37"/>
      <c r="R3528" s="37"/>
      <c r="S3528" s="37"/>
      <c r="T3528" s="37"/>
      <c r="U3528" s="37"/>
      <c r="V3528" s="37"/>
      <c r="W3528" s="37"/>
      <c r="X3528" s="37"/>
      <c r="Y3528" s="37"/>
      <c r="Z3528" s="37"/>
      <c r="AA3528" s="37"/>
      <c r="AB3528" s="37"/>
      <c r="AC3528" s="37"/>
      <c r="AD3528" s="37"/>
      <c r="AE3528" s="37"/>
      <c r="AF3528" s="37"/>
      <c r="AG3528" s="37"/>
      <c r="AH3528" s="37"/>
      <c r="AI3528" s="37"/>
      <c r="AJ3528" s="37"/>
      <c r="AK3528" s="37"/>
      <c r="AL3528" s="37"/>
      <c r="AM3528" s="37"/>
      <c r="AN3528" s="37"/>
      <c r="AO3528" s="37"/>
      <c r="AP3528" s="37"/>
      <c r="AQ3528" s="37"/>
      <c r="AR3528" s="37"/>
      <c r="AS3528" s="37"/>
      <c r="AT3528" s="37"/>
      <c r="AU3528" s="37"/>
      <c r="AV3528" s="37"/>
      <c r="AW3528" s="37"/>
      <c r="AX3528" s="37"/>
      <c r="AY3528" s="37"/>
      <c r="AZ3528" s="37"/>
      <c r="BA3528" s="37"/>
      <c r="BB3528" s="37"/>
      <c r="BC3528" s="37"/>
      <c r="BD3528" s="37"/>
      <c r="BE3528" s="37"/>
      <c r="BF3528" s="37"/>
      <c r="BG3528" s="37"/>
      <c r="BH3528" s="37"/>
      <c r="BI3528" s="37"/>
      <c r="BJ3528" s="37"/>
      <c r="BK3528" s="37"/>
      <c r="BL3528" s="37"/>
      <c r="BM3528" s="37"/>
    </row>
    <row r="3529" spans="1:65" s="40" customFormat="1" ht="23.25" x14ac:dyDescent="0.35">
      <c r="A3529" s="37"/>
      <c r="B3529" s="37"/>
      <c r="C3529" s="41"/>
      <c r="D3529" s="38"/>
      <c r="E3529" s="57"/>
      <c r="F3529" s="42"/>
      <c r="G3529" s="43"/>
      <c r="H3529" s="37"/>
      <c r="I3529" s="37"/>
      <c r="J3529" s="38"/>
      <c r="K3529" s="37"/>
      <c r="L3529" s="38"/>
      <c r="M3529" s="39"/>
      <c r="P3529" s="37"/>
      <c r="Q3529" s="37"/>
      <c r="R3529" s="37"/>
      <c r="S3529" s="37"/>
      <c r="T3529" s="37"/>
      <c r="U3529" s="37"/>
      <c r="V3529" s="37"/>
      <c r="W3529" s="37"/>
      <c r="X3529" s="37"/>
      <c r="Y3529" s="37"/>
      <c r="Z3529" s="37"/>
      <c r="AA3529" s="37"/>
      <c r="AB3529" s="37"/>
      <c r="AC3529" s="37"/>
      <c r="AD3529" s="37"/>
      <c r="AE3529" s="37"/>
      <c r="AF3529" s="37"/>
      <c r="AG3529" s="37"/>
      <c r="AH3529" s="37"/>
      <c r="AI3529" s="37"/>
      <c r="AJ3529" s="37"/>
      <c r="AK3529" s="37"/>
      <c r="AL3529" s="37"/>
      <c r="AM3529" s="37"/>
      <c r="AN3529" s="37"/>
      <c r="AO3529" s="37"/>
      <c r="AP3529" s="37"/>
      <c r="AQ3529" s="37"/>
      <c r="AR3529" s="37"/>
      <c r="AS3529" s="37"/>
      <c r="AT3529" s="37"/>
      <c r="AU3529" s="37"/>
      <c r="AV3529" s="37"/>
      <c r="AW3529" s="37"/>
      <c r="AX3529" s="37"/>
      <c r="AY3529" s="37"/>
      <c r="AZ3529" s="37"/>
      <c r="BA3529" s="37"/>
      <c r="BB3529" s="37"/>
      <c r="BC3529" s="37"/>
      <c r="BD3529" s="37"/>
      <c r="BE3529" s="37"/>
      <c r="BF3529" s="37"/>
      <c r="BG3529" s="37"/>
      <c r="BH3529" s="37"/>
      <c r="BI3529" s="37"/>
      <c r="BJ3529" s="37"/>
      <c r="BK3529" s="37"/>
      <c r="BL3529" s="37"/>
      <c r="BM3529" s="37"/>
    </row>
    <row r="3530" spans="1:65" s="40" customFormat="1" ht="23.25" x14ac:dyDescent="0.35">
      <c r="A3530" s="37"/>
      <c r="B3530" s="37"/>
      <c r="C3530" s="41"/>
      <c r="D3530" s="38"/>
      <c r="E3530" s="57"/>
      <c r="F3530" s="42"/>
      <c r="G3530" s="43"/>
      <c r="H3530" s="37"/>
      <c r="I3530" s="37"/>
      <c r="J3530" s="38"/>
      <c r="K3530" s="37"/>
      <c r="L3530" s="38"/>
      <c r="M3530" s="39"/>
      <c r="P3530" s="37"/>
      <c r="Q3530" s="37"/>
      <c r="R3530" s="37"/>
      <c r="S3530" s="37"/>
      <c r="T3530" s="37"/>
      <c r="U3530" s="37"/>
      <c r="V3530" s="37"/>
      <c r="W3530" s="37"/>
      <c r="X3530" s="37"/>
      <c r="Y3530" s="37"/>
      <c r="Z3530" s="37"/>
      <c r="AA3530" s="37"/>
      <c r="AB3530" s="37"/>
      <c r="AC3530" s="37"/>
      <c r="AD3530" s="37"/>
      <c r="AE3530" s="37"/>
      <c r="AF3530" s="37"/>
      <c r="AG3530" s="37"/>
      <c r="AH3530" s="37"/>
      <c r="AI3530" s="37"/>
      <c r="AJ3530" s="37"/>
      <c r="AK3530" s="37"/>
      <c r="AL3530" s="37"/>
      <c r="AM3530" s="37"/>
      <c r="AN3530" s="37"/>
      <c r="AO3530" s="37"/>
      <c r="AP3530" s="37"/>
      <c r="AQ3530" s="37"/>
      <c r="AR3530" s="37"/>
      <c r="AS3530" s="37"/>
      <c r="AT3530" s="37"/>
      <c r="AU3530" s="37"/>
      <c r="AV3530" s="37"/>
      <c r="AW3530" s="37"/>
      <c r="AX3530" s="37"/>
      <c r="AY3530" s="37"/>
      <c r="AZ3530" s="37"/>
      <c r="BA3530" s="37"/>
      <c r="BB3530" s="37"/>
      <c r="BC3530" s="37"/>
      <c r="BD3530" s="37"/>
      <c r="BE3530" s="37"/>
      <c r="BF3530" s="37"/>
      <c r="BG3530" s="37"/>
      <c r="BH3530" s="37"/>
      <c r="BI3530" s="37"/>
      <c r="BJ3530" s="37"/>
      <c r="BK3530" s="37"/>
      <c r="BL3530" s="37"/>
      <c r="BM3530" s="37"/>
    </row>
    <row r="3531" spans="1:65" s="40" customFormat="1" ht="23.25" x14ac:dyDescent="0.35">
      <c r="A3531" s="37"/>
      <c r="B3531" s="37"/>
      <c r="C3531" s="41"/>
      <c r="D3531" s="38"/>
      <c r="E3531" s="57"/>
      <c r="F3531" s="42"/>
      <c r="G3531" s="43"/>
      <c r="H3531" s="37"/>
      <c r="I3531" s="37"/>
      <c r="J3531" s="38"/>
      <c r="K3531" s="37"/>
      <c r="L3531" s="38"/>
      <c r="M3531" s="39"/>
      <c r="P3531" s="37"/>
      <c r="Q3531" s="37"/>
      <c r="R3531" s="37"/>
      <c r="S3531" s="37"/>
      <c r="T3531" s="37"/>
      <c r="U3531" s="37"/>
      <c r="V3531" s="37"/>
      <c r="W3531" s="37"/>
      <c r="X3531" s="37"/>
      <c r="Y3531" s="37"/>
      <c r="Z3531" s="37"/>
      <c r="AA3531" s="37"/>
      <c r="AB3531" s="37"/>
      <c r="AC3531" s="37"/>
      <c r="AD3531" s="37"/>
      <c r="AE3531" s="37"/>
      <c r="AF3531" s="37"/>
      <c r="AG3531" s="37"/>
      <c r="AH3531" s="37"/>
      <c r="AI3531" s="37"/>
      <c r="AJ3531" s="37"/>
      <c r="AK3531" s="37"/>
      <c r="AL3531" s="37"/>
      <c r="AM3531" s="37"/>
      <c r="AN3531" s="37"/>
      <c r="AO3531" s="37"/>
      <c r="AP3531" s="37"/>
      <c r="AQ3531" s="37"/>
      <c r="AR3531" s="37"/>
      <c r="AS3531" s="37"/>
      <c r="AT3531" s="37"/>
      <c r="AU3531" s="37"/>
      <c r="AV3531" s="37"/>
      <c r="AW3531" s="37"/>
      <c r="AX3531" s="37"/>
      <c r="AY3531" s="37"/>
      <c r="AZ3531" s="37"/>
      <c r="BA3531" s="37"/>
      <c r="BB3531" s="37"/>
      <c r="BC3531" s="37"/>
      <c r="BD3531" s="37"/>
      <c r="BE3531" s="37"/>
      <c r="BF3531" s="37"/>
      <c r="BG3531" s="37"/>
      <c r="BH3531" s="37"/>
      <c r="BI3531" s="37"/>
      <c r="BJ3531" s="37"/>
      <c r="BK3531" s="37"/>
      <c r="BL3531" s="37"/>
      <c r="BM3531" s="37"/>
    </row>
    <row r="3532" spans="1:65" s="40" customFormat="1" ht="23.25" x14ac:dyDescent="0.35">
      <c r="A3532" s="37"/>
      <c r="B3532" s="37"/>
      <c r="C3532" s="41"/>
      <c r="D3532" s="38"/>
      <c r="E3532" s="57"/>
      <c r="F3532" s="42"/>
      <c r="G3532" s="43"/>
      <c r="H3532" s="37"/>
      <c r="I3532" s="37"/>
      <c r="J3532" s="38"/>
      <c r="K3532" s="37"/>
      <c r="L3532" s="38"/>
      <c r="M3532" s="39"/>
      <c r="P3532" s="37"/>
      <c r="Q3532" s="37"/>
      <c r="R3532" s="37"/>
      <c r="S3532" s="37"/>
      <c r="T3532" s="37"/>
      <c r="U3532" s="37"/>
      <c r="V3532" s="37"/>
      <c r="W3532" s="37"/>
      <c r="X3532" s="37"/>
      <c r="Y3532" s="37"/>
      <c r="Z3532" s="37"/>
      <c r="AA3532" s="37"/>
      <c r="AB3532" s="37"/>
      <c r="AC3532" s="37"/>
      <c r="AD3532" s="37"/>
      <c r="AE3532" s="37"/>
      <c r="AF3532" s="37"/>
      <c r="AG3532" s="37"/>
      <c r="AH3532" s="37"/>
      <c r="AI3532" s="37"/>
      <c r="AJ3532" s="37"/>
      <c r="AK3532" s="37"/>
      <c r="AL3532" s="37"/>
      <c r="AM3532" s="37"/>
      <c r="AN3532" s="37"/>
      <c r="AO3532" s="37"/>
      <c r="AP3532" s="37"/>
      <c r="AQ3532" s="37"/>
      <c r="AR3532" s="37"/>
      <c r="AS3532" s="37"/>
      <c r="AT3532" s="37"/>
      <c r="AU3532" s="37"/>
      <c r="AV3532" s="37"/>
      <c r="AW3532" s="37"/>
      <c r="AX3532" s="37"/>
      <c r="AY3532" s="37"/>
      <c r="AZ3532" s="37"/>
      <c r="BA3532" s="37"/>
      <c r="BB3532" s="37"/>
      <c r="BC3532" s="37"/>
      <c r="BD3532" s="37"/>
      <c r="BE3532" s="37"/>
      <c r="BF3532" s="37"/>
      <c r="BG3532" s="37"/>
      <c r="BH3532" s="37"/>
      <c r="BI3532" s="37"/>
      <c r="BJ3532" s="37"/>
      <c r="BK3532" s="37"/>
      <c r="BL3532" s="37"/>
      <c r="BM3532" s="37"/>
    </row>
    <row r="3533" spans="1:65" s="40" customFormat="1" ht="23.25" x14ac:dyDescent="0.35">
      <c r="A3533" s="37"/>
      <c r="B3533" s="37"/>
      <c r="C3533" s="41"/>
      <c r="D3533" s="38"/>
      <c r="E3533" s="57"/>
      <c r="F3533" s="42"/>
      <c r="G3533" s="43"/>
      <c r="H3533" s="37"/>
      <c r="I3533" s="37"/>
      <c r="J3533" s="38"/>
      <c r="K3533" s="37"/>
      <c r="L3533" s="38"/>
      <c r="M3533" s="39"/>
      <c r="P3533" s="37"/>
      <c r="Q3533" s="37"/>
      <c r="R3533" s="37"/>
      <c r="S3533" s="37"/>
      <c r="T3533" s="37"/>
      <c r="U3533" s="37"/>
      <c r="V3533" s="37"/>
      <c r="W3533" s="37"/>
      <c r="X3533" s="37"/>
      <c r="Y3533" s="37"/>
      <c r="Z3533" s="37"/>
      <c r="AA3533" s="37"/>
      <c r="AB3533" s="37"/>
      <c r="AC3533" s="37"/>
      <c r="AD3533" s="37"/>
      <c r="AE3533" s="37"/>
      <c r="AF3533" s="37"/>
      <c r="AG3533" s="37"/>
      <c r="AH3533" s="37"/>
      <c r="AI3533" s="37"/>
      <c r="AJ3533" s="37"/>
      <c r="AK3533" s="37"/>
      <c r="AL3533" s="37"/>
      <c r="AM3533" s="37"/>
      <c r="AN3533" s="37"/>
      <c r="AO3533" s="37"/>
      <c r="AP3533" s="37"/>
      <c r="AQ3533" s="37"/>
      <c r="AR3533" s="37"/>
      <c r="AS3533" s="37"/>
      <c r="AT3533" s="37"/>
      <c r="AU3533" s="37"/>
      <c r="AV3533" s="37"/>
      <c r="AW3533" s="37"/>
      <c r="AX3533" s="37"/>
      <c r="AY3533" s="37"/>
      <c r="AZ3533" s="37"/>
      <c r="BA3533" s="37"/>
      <c r="BB3533" s="37"/>
      <c r="BC3533" s="37"/>
      <c r="BD3533" s="37"/>
      <c r="BE3533" s="37"/>
      <c r="BF3533" s="37"/>
      <c r="BG3533" s="37"/>
      <c r="BH3533" s="37"/>
      <c r="BI3533" s="37"/>
      <c r="BJ3533" s="37"/>
      <c r="BK3533" s="37"/>
      <c r="BL3533" s="37"/>
      <c r="BM3533" s="37"/>
    </row>
    <row r="3534" spans="1:65" s="40" customFormat="1" ht="23.25" x14ac:dyDescent="0.35">
      <c r="A3534" s="37"/>
      <c r="B3534" s="37"/>
      <c r="C3534" s="41"/>
      <c r="D3534" s="38"/>
      <c r="E3534" s="57"/>
      <c r="F3534" s="42"/>
      <c r="G3534" s="43"/>
      <c r="H3534" s="37"/>
      <c r="I3534" s="37"/>
      <c r="J3534" s="38"/>
      <c r="K3534" s="37"/>
      <c r="L3534" s="38"/>
      <c r="M3534" s="39"/>
      <c r="P3534" s="37"/>
      <c r="Q3534" s="37"/>
      <c r="R3534" s="37"/>
      <c r="S3534" s="37"/>
      <c r="T3534" s="37"/>
      <c r="U3534" s="37"/>
      <c r="V3534" s="37"/>
      <c r="W3534" s="37"/>
      <c r="X3534" s="37"/>
      <c r="Y3534" s="37"/>
      <c r="Z3534" s="37"/>
      <c r="AA3534" s="37"/>
      <c r="AB3534" s="37"/>
      <c r="AC3534" s="37"/>
      <c r="AD3534" s="37"/>
      <c r="AE3534" s="37"/>
      <c r="AF3534" s="37"/>
      <c r="AG3534" s="37"/>
      <c r="AH3534" s="37"/>
      <c r="AI3534" s="37"/>
      <c r="AJ3534" s="37"/>
      <c r="AK3534" s="37"/>
      <c r="AL3534" s="37"/>
      <c r="AM3534" s="37"/>
      <c r="AN3534" s="37"/>
      <c r="AO3534" s="37"/>
      <c r="AP3534" s="37"/>
      <c r="AQ3534" s="37"/>
      <c r="AR3534" s="37"/>
      <c r="AS3534" s="37"/>
      <c r="AT3534" s="37"/>
      <c r="AU3534" s="37"/>
      <c r="AV3534" s="37"/>
      <c r="AW3534" s="37"/>
      <c r="AX3534" s="37"/>
      <c r="AY3534" s="37"/>
      <c r="AZ3534" s="37"/>
      <c r="BA3534" s="37"/>
      <c r="BB3534" s="37"/>
      <c r="BC3534" s="37"/>
      <c r="BD3534" s="37"/>
      <c r="BE3534" s="37"/>
      <c r="BF3534" s="37"/>
      <c r="BG3534" s="37"/>
      <c r="BH3534" s="37"/>
      <c r="BI3534" s="37"/>
      <c r="BJ3534" s="37"/>
      <c r="BK3534" s="37"/>
      <c r="BL3534" s="37"/>
      <c r="BM3534" s="37"/>
    </row>
    <row r="3535" spans="1:65" s="40" customFormat="1" ht="23.25" x14ac:dyDescent="0.35">
      <c r="A3535" s="37"/>
      <c r="B3535" s="37"/>
      <c r="C3535" s="41"/>
      <c r="D3535" s="38"/>
      <c r="E3535" s="57"/>
      <c r="F3535" s="42"/>
      <c r="G3535" s="43"/>
      <c r="H3535" s="37"/>
      <c r="I3535" s="37"/>
      <c r="J3535" s="38"/>
      <c r="K3535" s="37"/>
      <c r="L3535" s="38"/>
      <c r="M3535" s="39"/>
      <c r="P3535" s="37"/>
      <c r="Q3535" s="37"/>
      <c r="R3535" s="37"/>
      <c r="S3535" s="37"/>
      <c r="T3535" s="37"/>
      <c r="U3535" s="37"/>
      <c r="V3535" s="37"/>
      <c r="W3535" s="37"/>
      <c r="X3535" s="37"/>
      <c r="Y3535" s="37"/>
      <c r="Z3535" s="37"/>
      <c r="AA3535" s="37"/>
      <c r="AB3535" s="37"/>
      <c r="AC3535" s="37"/>
      <c r="AD3535" s="37"/>
      <c r="AE3535" s="37"/>
      <c r="AF3535" s="37"/>
      <c r="AG3535" s="37"/>
      <c r="AH3535" s="37"/>
      <c r="AI3535" s="37"/>
      <c r="AJ3535" s="37"/>
      <c r="AK3535" s="37"/>
      <c r="AL3535" s="37"/>
      <c r="AM3535" s="37"/>
      <c r="AN3535" s="37"/>
      <c r="AO3535" s="37"/>
      <c r="AP3535" s="37"/>
      <c r="AQ3535" s="37"/>
      <c r="AR3535" s="37"/>
      <c r="AS3535" s="37"/>
      <c r="AT3535" s="37"/>
      <c r="AU3535" s="37"/>
      <c r="AV3535" s="37"/>
      <c r="AW3535" s="37"/>
      <c r="AX3535" s="37"/>
      <c r="AY3535" s="37"/>
      <c r="AZ3535" s="37"/>
      <c r="BA3535" s="37"/>
      <c r="BB3535" s="37"/>
      <c r="BC3535" s="37"/>
      <c r="BD3535" s="37"/>
      <c r="BE3535" s="37"/>
      <c r="BF3535" s="37"/>
      <c r="BG3535" s="37"/>
      <c r="BH3535" s="37"/>
      <c r="BI3535" s="37"/>
      <c r="BJ3535" s="37"/>
      <c r="BK3535" s="37"/>
      <c r="BL3535" s="37"/>
      <c r="BM3535" s="37"/>
    </row>
    <row r="3536" spans="1:65" s="40" customFormat="1" ht="23.25" x14ac:dyDescent="0.35">
      <c r="A3536" s="37"/>
      <c r="B3536" s="37"/>
      <c r="C3536" s="41"/>
      <c r="D3536" s="38"/>
      <c r="E3536" s="57"/>
      <c r="F3536" s="42"/>
      <c r="G3536" s="43"/>
      <c r="H3536" s="37"/>
      <c r="I3536" s="37"/>
      <c r="J3536" s="38"/>
      <c r="K3536" s="37"/>
      <c r="L3536" s="38"/>
      <c r="M3536" s="39"/>
      <c r="P3536" s="37"/>
      <c r="Q3536" s="37"/>
      <c r="R3536" s="37"/>
      <c r="S3536" s="37"/>
      <c r="T3536" s="37"/>
      <c r="U3536" s="37"/>
      <c r="V3536" s="37"/>
      <c r="W3536" s="37"/>
      <c r="X3536" s="37"/>
      <c r="Y3536" s="37"/>
      <c r="Z3536" s="37"/>
      <c r="AA3536" s="37"/>
      <c r="AB3536" s="37"/>
      <c r="AC3536" s="37"/>
      <c r="AD3536" s="37"/>
      <c r="AE3536" s="37"/>
      <c r="AF3536" s="37"/>
      <c r="AG3536" s="37"/>
      <c r="AH3536" s="37"/>
      <c r="AI3536" s="37"/>
      <c r="AJ3536" s="37"/>
      <c r="AK3536" s="37"/>
      <c r="AL3536" s="37"/>
      <c r="AM3536" s="37"/>
      <c r="AN3536" s="37"/>
      <c r="AO3536" s="37"/>
      <c r="AP3536" s="37"/>
      <c r="AQ3536" s="37"/>
      <c r="AR3536" s="37"/>
      <c r="AS3536" s="37"/>
      <c r="AT3536" s="37"/>
      <c r="AU3536" s="37"/>
      <c r="AV3536" s="37"/>
      <c r="AW3536" s="37"/>
      <c r="AX3536" s="37"/>
      <c r="AY3536" s="37"/>
      <c r="AZ3536" s="37"/>
      <c r="BA3536" s="37"/>
      <c r="BB3536" s="37"/>
      <c r="BC3536" s="37"/>
      <c r="BD3536" s="37"/>
      <c r="BE3536" s="37"/>
      <c r="BF3536" s="37"/>
      <c r="BG3536" s="37"/>
      <c r="BH3536" s="37"/>
      <c r="BI3536" s="37"/>
      <c r="BJ3536" s="37"/>
      <c r="BK3536" s="37"/>
      <c r="BL3536" s="37"/>
      <c r="BM3536" s="37"/>
    </row>
    <row r="3537" spans="1:65" s="40" customFormat="1" ht="23.25" x14ac:dyDescent="0.35">
      <c r="A3537" s="37"/>
      <c r="B3537" s="37"/>
      <c r="C3537" s="41"/>
      <c r="D3537" s="38"/>
      <c r="E3537" s="57"/>
      <c r="F3537" s="42"/>
      <c r="G3537" s="43"/>
      <c r="H3537" s="37"/>
      <c r="I3537" s="37"/>
      <c r="J3537" s="38"/>
      <c r="K3537" s="37"/>
      <c r="L3537" s="38"/>
      <c r="M3537" s="39"/>
      <c r="P3537" s="37"/>
      <c r="Q3537" s="37"/>
      <c r="R3537" s="37"/>
      <c r="S3537" s="37"/>
      <c r="T3537" s="37"/>
      <c r="U3537" s="37"/>
      <c r="V3537" s="37"/>
      <c r="W3537" s="37"/>
      <c r="X3537" s="37"/>
      <c r="Y3537" s="37"/>
      <c r="Z3537" s="37"/>
      <c r="AA3537" s="37"/>
      <c r="AB3537" s="37"/>
      <c r="AC3537" s="37"/>
      <c r="AD3537" s="37"/>
      <c r="AE3537" s="37"/>
      <c r="AF3537" s="37"/>
      <c r="AG3537" s="37"/>
      <c r="AH3537" s="37"/>
      <c r="AI3537" s="37"/>
      <c r="AJ3537" s="37"/>
      <c r="AK3537" s="37"/>
      <c r="AL3537" s="37"/>
      <c r="AM3537" s="37"/>
      <c r="AN3537" s="37"/>
      <c r="AO3537" s="37"/>
      <c r="AP3537" s="37"/>
      <c r="AQ3537" s="37"/>
      <c r="AR3537" s="37"/>
      <c r="AS3537" s="37"/>
      <c r="AT3537" s="37"/>
      <c r="AU3537" s="37"/>
      <c r="AV3537" s="37"/>
      <c r="AW3537" s="37"/>
      <c r="AX3537" s="37"/>
      <c r="AY3537" s="37"/>
      <c r="AZ3537" s="37"/>
      <c r="BA3537" s="37"/>
      <c r="BB3537" s="37"/>
      <c r="BC3537" s="37"/>
      <c r="BD3537" s="37"/>
      <c r="BE3537" s="37"/>
      <c r="BF3537" s="37"/>
      <c r="BG3537" s="37"/>
      <c r="BH3537" s="37"/>
      <c r="BI3537" s="37"/>
      <c r="BJ3537" s="37"/>
      <c r="BK3537" s="37"/>
      <c r="BL3537" s="37"/>
      <c r="BM3537" s="37"/>
    </row>
    <row r="3538" spans="1:65" s="40" customFormat="1" ht="23.25" x14ac:dyDescent="0.35">
      <c r="A3538" s="37"/>
      <c r="B3538" s="37"/>
      <c r="C3538" s="41"/>
      <c r="D3538" s="38"/>
      <c r="E3538" s="57"/>
      <c r="F3538" s="42"/>
      <c r="G3538" s="43"/>
      <c r="H3538" s="37"/>
      <c r="I3538" s="37"/>
      <c r="J3538" s="38"/>
      <c r="K3538" s="37"/>
      <c r="L3538" s="38"/>
      <c r="M3538" s="39"/>
      <c r="P3538" s="37"/>
      <c r="Q3538" s="37"/>
      <c r="R3538" s="37"/>
      <c r="S3538" s="37"/>
      <c r="T3538" s="37"/>
      <c r="U3538" s="37"/>
      <c r="V3538" s="37"/>
      <c r="W3538" s="37"/>
      <c r="X3538" s="37"/>
      <c r="Y3538" s="37"/>
      <c r="Z3538" s="37"/>
      <c r="AA3538" s="37"/>
      <c r="AB3538" s="37"/>
      <c r="AC3538" s="37"/>
      <c r="AD3538" s="37"/>
      <c r="AE3538" s="37"/>
      <c r="AF3538" s="37"/>
      <c r="AG3538" s="37"/>
      <c r="AH3538" s="37"/>
      <c r="AI3538" s="37"/>
      <c r="AJ3538" s="37"/>
      <c r="AK3538" s="37"/>
      <c r="AL3538" s="37"/>
      <c r="AM3538" s="37"/>
      <c r="AN3538" s="37"/>
      <c r="AO3538" s="37"/>
      <c r="AP3538" s="37"/>
      <c r="AQ3538" s="37"/>
      <c r="AR3538" s="37"/>
      <c r="AS3538" s="37"/>
      <c r="AT3538" s="37"/>
      <c r="AU3538" s="37"/>
      <c r="AV3538" s="37"/>
      <c r="AW3538" s="37"/>
      <c r="AX3538" s="37"/>
      <c r="AY3538" s="37"/>
      <c r="AZ3538" s="37"/>
      <c r="BA3538" s="37"/>
      <c r="BB3538" s="37"/>
      <c r="BC3538" s="37"/>
      <c r="BD3538" s="37"/>
      <c r="BE3538" s="37"/>
      <c r="BF3538" s="37"/>
      <c r="BG3538" s="37"/>
      <c r="BH3538" s="37"/>
      <c r="BI3538" s="37"/>
      <c r="BJ3538" s="37"/>
      <c r="BK3538" s="37"/>
      <c r="BL3538" s="37"/>
      <c r="BM3538" s="37"/>
    </row>
    <row r="3539" spans="1:65" s="40" customFormat="1" ht="23.25" x14ac:dyDescent="0.35">
      <c r="A3539" s="37"/>
      <c r="B3539" s="37"/>
      <c r="C3539" s="41"/>
      <c r="D3539" s="38"/>
      <c r="E3539" s="57"/>
      <c r="F3539" s="42"/>
      <c r="G3539" s="43"/>
      <c r="H3539" s="37"/>
      <c r="I3539" s="37"/>
      <c r="J3539" s="38"/>
      <c r="K3539" s="37"/>
      <c r="L3539" s="38"/>
      <c r="M3539" s="39"/>
      <c r="P3539" s="37"/>
      <c r="Q3539" s="37"/>
      <c r="R3539" s="37"/>
      <c r="S3539" s="37"/>
      <c r="T3539" s="37"/>
      <c r="U3539" s="37"/>
      <c r="V3539" s="37"/>
      <c r="W3539" s="37"/>
      <c r="X3539" s="37"/>
      <c r="Y3539" s="37"/>
      <c r="Z3539" s="37"/>
      <c r="AA3539" s="37"/>
      <c r="AB3539" s="37"/>
      <c r="AC3539" s="37"/>
      <c r="AD3539" s="37"/>
      <c r="AE3539" s="37"/>
      <c r="AF3539" s="37"/>
      <c r="AG3539" s="37"/>
      <c r="AH3539" s="37"/>
      <c r="AI3539" s="37"/>
      <c r="AJ3539" s="37"/>
      <c r="AK3539" s="37"/>
      <c r="AL3539" s="37"/>
      <c r="AM3539" s="37"/>
      <c r="AN3539" s="37"/>
      <c r="AO3539" s="37"/>
      <c r="AP3539" s="37"/>
      <c r="AQ3539" s="37"/>
      <c r="AR3539" s="37"/>
      <c r="AS3539" s="37"/>
      <c r="AT3539" s="37"/>
      <c r="AU3539" s="37"/>
      <c r="AV3539" s="37"/>
      <c r="AW3539" s="37"/>
      <c r="AX3539" s="37"/>
      <c r="AY3539" s="37"/>
      <c r="AZ3539" s="37"/>
      <c r="BA3539" s="37"/>
      <c r="BB3539" s="37"/>
      <c r="BC3539" s="37"/>
      <c r="BD3539" s="37"/>
      <c r="BE3539" s="37"/>
      <c r="BF3539" s="37"/>
      <c r="BG3539" s="37"/>
      <c r="BH3539" s="37"/>
      <c r="BI3539" s="37"/>
      <c r="BJ3539" s="37"/>
      <c r="BK3539" s="37"/>
      <c r="BL3539" s="37"/>
      <c r="BM3539" s="37"/>
    </row>
    <row r="3540" spans="1:65" s="40" customFormat="1" ht="23.25" x14ac:dyDescent="0.35">
      <c r="A3540" s="37"/>
      <c r="B3540" s="37"/>
      <c r="C3540" s="41"/>
      <c r="D3540" s="38"/>
      <c r="E3540" s="57"/>
      <c r="F3540" s="42"/>
      <c r="G3540" s="43"/>
      <c r="H3540" s="37"/>
      <c r="I3540" s="37"/>
      <c r="J3540" s="38"/>
      <c r="K3540" s="37"/>
      <c r="L3540" s="38"/>
      <c r="M3540" s="39"/>
      <c r="P3540" s="37"/>
      <c r="Q3540" s="37"/>
      <c r="R3540" s="37"/>
      <c r="S3540" s="37"/>
      <c r="T3540" s="37"/>
      <c r="U3540" s="37"/>
      <c r="V3540" s="37"/>
      <c r="W3540" s="37"/>
      <c r="X3540" s="37"/>
      <c r="Y3540" s="37"/>
      <c r="Z3540" s="37"/>
      <c r="AA3540" s="37"/>
      <c r="AB3540" s="37"/>
      <c r="AC3540" s="37"/>
      <c r="AD3540" s="37"/>
      <c r="AE3540" s="37"/>
      <c r="AF3540" s="37"/>
      <c r="AG3540" s="37"/>
      <c r="AH3540" s="37"/>
      <c r="AI3540" s="37"/>
      <c r="AJ3540" s="37"/>
      <c r="AK3540" s="37"/>
      <c r="AL3540" s="37"/>
      <c r="AM3540" s="37"/>
      <c r="AN3540" s="37"/>
      <c r="AO3540" s="37"/>
      <c r="AP3540" s="37"/>
      <c r="AQ3540" s="37"/>
      <c r="AR3540" s="37"/>
      <c r="AS3540" s="37"/>
      <c r="AT3540" s="37"/>
      <c r="AU3540" s="37"/>
      <c r="AV3540" s="37"/>
      <c r="AW3540" s="37"/>
      <c r="AX3540" s="37"/>
      <c r="AY3540" s="37"/>
      <c r="AZ3540" s="37"/>
      <c r="BA3540" s="37"/>
      <c r="BB3540" s="37"/>
      <c r="BC3540" s="37"/>
      <c r="BD3540" s="37"/>
      <c r="BE3540" s="37"/>
      <c r="BF3540" s="37"/>
      <c r="BG3540" s="37"/>
      <c r="BH3540" s="37"/>
      <c r="BI3540" s="37"/>
      <c r="BJ3540" s="37"/>
      <c r="BK3540" s="37"/>
      <c r="BL3540" s="37"/>
      <c r="BM3540" s="37"/>
    </row>
    <row r="3541" spans="1:65" s="40" customFormat="1" ht="23.25" x14ac:dyDescent="0.35">
      <c r="A3541" s="37"/>
      <c r="B3541" s="37"/>
      <c r="C3541" s="41"/>
      <c r="D3541" s="38"/>
      <c r="E3541" s="57"/>
      <c r="F3541" s="42"/>
      <c r="G3541" s="43"/>
      <c r="H3541" s="37"/>
      <c r="I3541" s="37"/>
      <c r="J3541" s="38"/>
      <c r="K3541" s="37"/>
      <c r="L3541" s="38"/>
      <c r="M3541" s="39"/>
      <c r="P3541" s="37"/>
      <c r="Q3541" s="37"/>
      <c r="R3541" s="37"/>
      <c r="S3541" s="37"/>
      <c r="T3541" s="37"/>
      <c r="U3541" s="37"/>
      <c r="V3541" s="37"/>
      <c r="W3541" s="37"/>
      <c r="X3541" s="37"/>
      <c r="Y3541" s="37"/>
      <c r="Z3541" s="37"/>
      <c r="AA3541" s="37"/>
      <c r="AB3541" s="37"/>
      <c r="AC3541" s="37"/>
      <c r="AD3541" s="37"/>
      <c r="AE3541" s="37"/>
      <c r="AF3541" s="37"/>
      <c r="AG3541" s="37"/>
      <c r="AH3541" s="37"/>
      <c r="AI3541" s="37"/>
      <c r="AJ3541" s="37"/>
      <c r="AK3541" s="37"/>
      <c r="AL3541" s="37"/>
      <c r="AM3541" s="37"/>
      <c r="AN3541" s="37"/>
      <c r="AO3541" s="37"/>
      <c r="AP3541" s="37"/>
      <c r="AQ3541" s="37"/>
      <c r="AR3541" s="37"/>
      <c r="AS3541" s="37"/>
      <c r="AT3541" s="37"/>
      <c r="AU3541" s="37"/>
      <c r="AV3541" s="37"/>
      <c r="AW3541" s="37"/>
      <c r="AX3541" s="37"/>
      <c r="AY3541" s="37"/>
      <c r="AZ3541" s="37"/>
      <c r="BA3541" s="37"/>
      <c r="BB3541" s="37"/>
      <c r="BC3541" s="37"/>
      <c r="BD3541" s="37"/>
      <c r="BE3541" s="37"/>
      <c r="BF3541" s="37"/>
      <c r="BG3541" s="37"/>
      <c r="BH3541" s="37"/>
      <c r="BI3541" s="37"/>
      <c r="BJ3541" s="37"/>
      <c r="BK3541" s="37"/>
      <c r="BL3541" s="37"/>
      <c r="BM3541" s="37"/>
    </row>
    <row r="3542" spans="1:65" s="40" customFormat="1" ht="23.25" x14ac:dyDescent="0.35">
      <c r="A3542" s="37"/>
      <c r="B3542" s="37"/>
      <c r="C3542" s="41"/>
      <c r="D3542" s="38"/>
      <c r="E3542" s="57"/>
      <c r="F3542" s="42"/>
      <c r="G3542" s="43"/>
      <c r="H3542" s="37"/>
      <c r="I3542" s="37"/>
      <c r="J3542" s="38"/>
      <c r="K3542" s="37"/>
      <c r="L3542" s="38"/>
      <c r="M3542" s="39"/>
      <c r="P3542" s="37"/>
      <c r="Q3542" s="37"/>
      <c r="R3542" s="37"/>
      <c r="S3542" s="37"/>
      <c r="T3542" s="37"/>
      <c r="U3542" s="37"/>
      <c r="V3542" s="37"/>
      <c r="W3542" s="37"/>
      <c r="X3542" s="37"/>
      <c r="Y3542" s="37"/>
      <c r="Z3542" s="37"/>
      <c r="AA3542" s="37"/>
      <c r="AB3542" s="37"/>
      <c r="AC3542" s="37"/>
      <c r="AD3542" s="37"/>
      <c r="AE3542" s="37"/>
      <c r="AF3542" s="37"/>
      <c r="AG3542" s="37"/>
      <c r="AH3542" s="37"/>
      <c r="AI3542" s="37"/>
      <c r="AJ3542" s="37"/>
      <c r="AK3542" s="37"/>
      <c r="AL3542" s="37"/>
      <c r="AM3542" s="37"/>
      <c r="AN3542" s="37"/>
      <c r="AO3542" s="37"/>
      <c r="AP3542" s="37"/>
      <c r="AQ3542" s="37"/>
      <c r="AR3542" s="37"/>
      <c r="AS3542" s="37"/>
      <c r="AT3542" s="37"/>
      <c r="AU3542" s="37"/>
      <c r="AV3542" s="37"/>
      <c r="AW3542" s="37"/>
      <c r="AX3542" s="37"/>
      <c r="AY3542" s="37"/>
      <c r="AZ3542" s="37"/>
      <c r="BA3542" s="37"/>
      <c r="BB3542" s="37"/>
      <c r="BC3542" s="37"/>
      <c r="BD3542" s="37"/>
      <c r="BE3542" s="37"/>
      <c r="BF3542" s="37"/>
      <c r="BG3542" s="37"/>
      <c r="BH3542" s="37"/>
      <c r="BI3542" s="37"/>
      <c r="BJ3542" s="37"/>
      <c r="BK3542" s="37"/>
      <c r="BL3542" s="37"/>
      <c r="BM3542" s="37"/>
    </row>
    <row r="3543" spans="1:65" s="40" customFormat="1" ht="23.25" x14ac:dyDescent="0.35">
      <c r="A3543" s="37"/>
      <c r="B3543" s="37"/>
      <c r="C3543" s="41"/>
      <c r="D3543" s="38"/>
      <c r="E3543" s="57"/>
      <c r="F3543" s="42"/>
      <c r="G3543" s="43"/>
      <c r="H3543" s="37"/>
      <c r="I3543" s="37"/>
      <c r="J3543" s="38"/>
      <c r="K3543" s="37"/>
      <c r="L3543" s="38"/>
      <c r="M3543" s="39"/>
      <c r="P3543" s="37"/>
      <c r="Q3543" s="37"/>
      <c r="R3543" s="37"/>
      <c r="S3543" s="37"/>
      <c r="T3543" s="37"/>
      <c r="U3543" s="37"/>
      <c r="V3543" s="37"/>
      <c r="W3543" s="37"/>
      <c r="X3543" s="37"/>
      <c r="Y3543" s="37"/>
      <c r="Z3543" s="37"/>
      <c r="AA3543" s="37"/>
      <c r="AB3543" s="37"/>
      <c r="AC3543" s="37"/>
      <c r="AD3543" s="37"/>
      <c r="AE3543" s="37"/>
      <c r="AF3543" s="37"/>
      <c r="AG3543" s="37"/>
      <c r="AH3543" s="37"/>
      <c r="AI3543" s="37"/>
      <c r="AJ3543" s="37"/>
      <c r="AK3543" s="37"/>
      <c r="AL3543" s="37"/>
      <c r="AM3543" s="37"/>
      <c r="AN3543" s="37"/>
      <c r="AO3543" s="37"/>
      <c r="AP3543" s="37"/>
      <c r="AQ3543" s="37"/>
      <c r="AR3543" s="37"/>
      <c r="AS3543" s="37"/>
      <c r="AT3543" s="37"/>
      <c r="AU3543" s="37"/>
      <c r="AV3543" s="37"/>
      <c r="AW3543" s="37"/>
      <c r="AX3543" s="37"/>
      <c r="AY3543" s="37"/>
      <c r="AZ3543" s="37"/>
      <c r="BA3543" s="37"/>
      <c r="BB3543" s="37"/>
      <c r="BC3543" s="37"/>
      <c r="BD3543" s="37"/>
      <c r="BE3543" s="37"/>
      <c r="BF3543" s="37"/>
      <c r="BG3543" s="37"/>
      <c r="BH3543" s="37"/>
      <c r="BI3543" s="37"/>
      <c r="BJ3543" s="37"/>
      <c r="BK3543" s="37"/>
      <c r="BL3543" s="37"/>
      <c r="BM3543" s="37"/>
    </row>
    <row r="3544" spans="1:65" s="40" customFormat="1" ht="23.25" x14ac:dyDescent="0.35">
      <c r="A3544" s="37"/>
      <c r="B3544" s="37"/>
      <c r="C3544" s="41"/>
      <c r="D3544" s="38"/>
      <c r="E3544" s="57"/>
      <c r="F3544" s="42"/>
      <c r="G3544" s="43"/>
      <c r="H3544" s="37"/>
      <c r="I3544" s="37"/>
      <c r="J3544" s="38"/>
      <c r="K3544" s="37"/>
      <c r="L3544" s="38"/>
      <c r="M3544" s="39"/>
      <c r="P3544" s="37"/>
      <c r="Q3544" s="37"/>
      <c r="R3544" s="37"/>
      <c r="S3544" s="37"/>
      <c r="T3544" s="37"/>
      <c r="U3544" s="37"/>
      <c r="V3544" s="37"/>
      <c r="W3544" s="37"/>
      <c r="X3544" s="37"/>
      <c r="Y3544" s="37"/>
      <c r="Z3544" s="37"/>
      <c r="AA3544" s="37"/>
      <c r="AB3544" s="37"/>
      <c r="AC3544" s="37"/>
      <c r="AD3544" s="37"/>
      <c r="AE3544" s="37"/>
      <c r="AF3544" s="37"/>
      <c r="AG3544" s="37"/>
      <c r="AH3544" s="37"/>
      <c r="AI3544" s="37"/>
      <c r="AJ3544" s="37"/>
      <c r="AK3544" s="37"/>
      <c r="AL3544" s="37"/>
      <c r="AM3544" s="37"/>
      <c r="AN3544" s="37"/>
      <c r="AO3544" s="37"/>
      <c r="AP3544" s="37"/>
      <c r="AQ3544" s="37"/>
      <c r="AR3544" s="37"/>
      <c r="AS3544" s="37"/>
      <c r="AT3544" s="37"/>
      <c r="AU3544" s="37"/>
      <c r="AV3544" s="37"/>
      <c r="AW3544" s="37"/>
      <c r="AX3544" s="37"/>
      <c r="AY3544" s="37"/>
      <c r="AZ3544" s="37"/>
      <c r="BA3544" s="37"/>
      <c r="BB3544" s="37"/>
      <c r="BC3544" s="37"/>
      <c r="BD3544" s="37"/>
      <c r="BE3544" s="37"/>
      <c r="BF3544" s="37"/>
      <c r="BG3544" s="37"/>
      <c r="BH3544" s="37"/>
      <c r="BI3544" s="37"/>
      <c r="BJ3544" s="37"/>
      <c r="BK3544" s="37"/>
      <c r="BL3544" s="37"/>
      <c r="BM3544" s="37"/>
    </row>
    <row r="3545" spans="1:65" s="40" customFormat="1" ht="23.25" x14ac:dyDescent="0.35">
      <c r="A3545" s="37"/>
      <c r="B3545" s="37"/>
      <c r="C3545" s="41"/>
      <c r="D3545" s="38"/>
      <c r="E3545" s="57"/>
      <c r="F3545" s="42"/>
      <c r="G3545" s="43"/>
      <c r="H3545" s="37"/>
      <c r="I3545" s="37"/>
      <c r="J3545" s="38"/>
      <c r="K3545" s="37"/>
      <c r="L3545" s="38"/>
      <c r="M3545" s="39"/>
      <c r="P3545" s="37"/>
      <c r="Q3545" s="37"/>
      <c r="R3545" s="37"/>
      <c r="S3545" s="37"/>
      <c r="T3545" s="37"/>
      <c r="U3545" s="37"/>
      <c r="V3545" s="37"/>
      <c r="W3545" s="37"/>
      <c r="X3545" s="37"/>
      <c r="Y3545" s="37"/>
      <c r="Z3545" s="37"/>
      <c r="AA3545" s="37"/>
      <c r="AB3545" s="37"/>
      <c r="AC3545" s="37"/>
      <c r="AD3545" s="37"/>
      <c r="AE3545" s="37"/>
      <c r="AF3545" s="37"/>
      <c r="AG3545" s="37"/>
      <c r="AH3545" s="37"/>
      <c r="AI3545" s="37"/>
      <c r="AJ3545" s="37"/>
      <c r="AK3545" s="37"/>
      <c r="AL3545" s="37"/>
      <c r="AM3545" s="37"/>
      <c r="AN3545" s="37"/>
      <c r="AO3545" s="37"/>
      <c r="AP3545" s="37"/>
      <c r="AQ3545" s="37"/>
      <c r="AR3545" s="37"/>
      <c r="AS3545" s="37"/>
      <c r="AT3545" s="37"/>
      <c r="AU3545" s="37"/>
      <c r="AV3545" s="37"/>
      <c r="AW3545" s="37"/>
      <c r="AX3545" s="37"/>
      <c r="AY3545" s="37"/>
      <c r="AZ3545" s="37"/>
      <c r="BA3545" s="37"/>
      <c r="BB3545" s="37"/>
      <c r="BC3545" s="37"/>
      <c r="BD3545" s="37"/>
      <c r="BE3545" s="37"/>
      <c r="BF3545" s="37"/>
      <c r="BG3545" s="37"/>
      <c r="BH3545" s="37"/>
      <c r="BI3545" s="37"/>
      <c r="BJ3545" s="37"/>
      <c r="BK3545" s="37"/>
      <c r="BL3545" s="37"/>
      <c r="BM3545" s="37"/>
    </row>
    <row r="3546" spans="1:65" s="40" customFormat="1" ht="23.25" x14ac:dyDescent="0.35">
      <c r="A3546" s="37"/>
      <c r="B3546" s="37"/>
      <c r="C3546" s="41"/>
      <c r="D3546" s="38"/>
      <c r="E3546" s="57"/>
      <c r="F3546" s="42"/>
      <c r="G3546" s="43"/>
      <c r="H3546" s="37"/>
      <c r="I3546" s="37"/>
      <c r="J3546" s="38"/>
      <c r="K3546" s="37"/>
      <c r="L3546" s="38"/>
      <c r="M3546" s="39"/>
      <c r="P3546" s="37"/>
      <c r="Q3546" s="37"/>
      <c r="R3546" s="37"/>
      <c r="S3546" s="37"/>
      <c r="T3546" s="37"/>
      <c r="U3546" s="37"/>
      <c r="V3546" s="37"/>
      <c r="W3546" s="37"/>
      <c r="X3546" s="37"/>
      <c r="Y3546" s="37"/>
      <c r="Z3546" s="37"/>
      <c r="AA3546" s="37"/>
      <c r="AB3546" s="37"/>
      <c r="AC3546" s="37"/>
      <c r="AD3546" s="37"/>
      <c r="AE3546" s="37"/>
      <c r="AF3546" s="37"/>
      <c r="AG3546" s="37"/>
      <c r="AH3546" s="37"/>
      <c r="AI3546" s="37"/>
      <c r="AJ3546" s="37"/>
      <c r="AK3546" s="37"/>
      <c r="AL3546" s="37"/>
      <c r="AM3546" s="37"/>
      <c r="AN3546" s="37"/>
      <c r="AO3546" s="37"/>
      <c r="AP3546" s="37"/>
      <c r="AQ3546" s="37"/>
      <c r="AR3546" s="37"/>
      <c r="AS3546" s="37"/>
      <c r="AT3546" s="37"/>
      <c r="AU3546" s="37"/>
      <c r="AV3546" s="37"/>
      <c r="AW3546" s="37"/>
      <c r="AX3546" s="37"/>
      <c r="AY3546" s="37"/>
      <c r="AZ3546" s="37"/>
      <c r="BA3546" s="37"/>
      <c r="BB3546" s="37"/>
      <c r="BC3546" s="37"/>
      <c r="BD3546" s="37"/>
      <c r="BE3546" s="37"/>
      <c r="BF3546" s="37"/>
      <c r="BG3546" s="37"/>
      <c r="BH3546" s="37"/>
      <c r="BI3546" s="37"/>
      <c r="BJ3546" s="37"/>
      <c r="BK3546" s="37"/>
      <c r="BL3546" s="37"/>
      <c r="BM3546" s="37"/>
    </row>
    <row r="3547" spans="1:65" s="40" customFormat="1" ht="23.25" x14ac:dyDescent="0.35">
      <c r="A3547" s="37"/>
      <c r="B3547" s="37"/>
      <c r="C3547" s="41"/>
      <c r="D3547" s="38"/>
      <c r="E3547" s="57"/>
      <c r="F3547" s="42"/>
      <c r="G3547" s="43"/>
      <c r="H3547" s="37"/>
      <c r="I3547" s="37"/>
      <c r="J3547" s="38"/>
      <c r="K3547" s="37"/>
      <c r="L3547" s="38"/>
      <c r="M3547" s="39"/>
      <c r="P3547" s="37"/>
      <c r="Q3547" s="37"/>
      <c r="R3547" s="37"/>
      <c r="S3547" s="37"/>
      <c r="T3547" s="37"/>
      <c r="U3547" s="37"/>
      <c r="V3547" s="37"/>
      <c r="W3547" s="37"/>
      <c r="X3547" s="37"/>
      <c r="Y3547" s="37"/>
      <c r="Z3547" s="37"/>
      <c r="AA3547" s="37"/>
      <c r="AB3547" s="37"/>
      <c r="AC3547" s="37"/>
      <c r="AD3547" s="37"/>
      <c r="AE3547" s="37"/>
      <c r="AF3547" s="37"/>
      <c r="AG3547" s="37"/>
      <c r="AH3547" s="37"/>
      <c r="AI3547" s="37"/>
      <c r="AJ3547" s="37"/>
      <c r="AK3547" s="37"/>
      <c r="AL3547" s="37"/>
      <c r="AM3547" s="37"/>
      <c r="AN3547" s="37"/>
      <c r="AO3547" s="37"/>
      <c r="AP3547" s="37"/>
      <c r="AQ3547" s="37"/>
      <c r="AR3547" s="37"/>
      <c r="AS3547" s="37"/>
      <c r="AT3547" s="37"/>
      <c r="AU3547" s="37"/>
      <c r="AV3547" s="37"/>
      <c r="AW3547" s="37"/>
      <c r="AX3547" s="37"/>
      <c r="AY3547" s="37"/>
      <c r="AZ3547" s="37"/>
      <c r="BA3547" s="37"/>
      <c r="BB3547" s="37"/>
      <c r="BC3547" s="37"/>
      <c r="BD3547" s="37"/>
      <c r="BE3547" s="37"/>
      <c r="BF3547" s="37"/>
      <c r="BG3547" s="37"/>
      <c r="BH3547" s="37"/>
      <c r="BI3547" s="37"/>
      <c r="BJ3547" s="37"/>
      <c r="BK3547" s="37"/>
      <c r="BL3547" s="37"/>
      <c r="BM3547" s="37"/>
    </row>
    <row r="3548" spans="1:65" s="40" customFormat="1" ht="23.25" x14ac:dyDescent="0.35">
      <c r="A3548" s="37"/>
      <c r="B3548" s="37"/>
      <c r="C3548" s="41"/>
      <c r="D3548" s="38"/>
      <c r="E3548" s="57"/>
      <c r="F3548" s="42"/>
      <c r="G3548" s="43"/>
      <c r="H3548" s="37"/>
      <c r="I3548" s="37"/>
      <c r="J3548" s="38"/>
      <c r="K3548" s="37"/>
      <c r="L3548" s="38"/>
      <c r="M3548" s="39"/>
      <c r="P3548" s="37"/>
      <c r="Q3548" s="37"/>
      <c r="R3548" s="37"/>
      <c r="S3548" s="37"/>
      <c r="T3548" s="37"/>
      <c r="U3548" s="37"/>
      <c r="V3548" s="37"/>
      <c r="W3548" s="37"/>
      <c r="X3548" s="37"/>
      <c r="Y3548" s="37"/>
      <c r="Z3548" s="37"/>
      <c r="AA3548" s="37"/>
      <c r="AB3548" s="37"/>
      <c r="AC3548" s="37"/>
      <c r="AD3548" s="37"/>
      <c r="AE3548" s="37"/>
      <c r="AF3548" s="37"/>
      <c r="AG3548" s="37"/>
      <c r="AH3548" s="37"/>
      <c r="AI3548" s="37"/>
      <c r="AJ3548" s="37"/>
      <c r="AK3548" s="37"/>
      <c r="AL3548" s="37"/>
      <c r="AM3548" s="37"/>
      <c r="AN3548" s="37"/>
      <c r="AO3548" s="37"/>
      <c r="AP3548" s="37"/>
      <c r="AQ3548" s="37"/>
      <c r="AR3548" s="37"/>
      <c r="AS3548" s="37"/>
      <c r="AT3548" s="37"/>
      <c r="AU3548" s="37"/>
      <c r="AV3548" s="37"/>
      <c r="AW3548" s="37"/>
      <c r="AX3548" s="37"/>
      <c r="AY3548" s="37"/>
      <c r="AZ3548" s="37"/>
      <c r="BA3548" s="37"/>
      <c r="BB3548" s="37"/>
      <c r="BC3548" s="37"/>
      <c r="BD3548" s="37"/>
      <c r="BE3548" s="37"/>
      <c r="BF3548" s="37"/>
      <c r="BG3548" s="37"/>
      <c r="BH3548" s="37"/>
      <c r="BI3548" s="37"/>
      <c r="BJ3548" s="37"/>
      <c r="BK3548" s="37"/>
      <c r="BL3548" s="37"/>
      <c r="BM3548" s="37"/>
    </row>
    <row r="3549" spans="1:65" s="40" customFormat="1" ht="23.25" x14ac:dyDescent="0.35">
      <c r="A3549" s="37"/>
      <c r="B3549" s="37"/>
      <c r="C3549" s="41"/>
      <c r="D3549" s="38"/>
      <c r="E3549" s="57"/>
      <c r="F3549" s="42"/>
      <c r="G3549" s="43"/>
      <c r="H3549" s="37"/>
      <c r="I3549" s="37"/>
      <c r="J3549" s="38"/>
      <c r="K3549" s="37"/>
      <c r="L3549" s="38"/>
      <c r="M3549" s="39"/>
      <c r="P3549" s="37"/>
      <c r="Q3549" s="37"/>
      <c r="R3549" s="37"/>
      <c r="S3549" s="37"/>
      <c r="T3549" s="37"/>
      <c r="U3549" s="37"/>
      <c r="V3549" s="37"/>
      <c r="W3549" s="37"/>
      <c r="X3549" s="37"/>
      <c r="Y3549" s="37"/>
      <c r="Z3549" s="37"/>
      <c r="AA3549" s="37"/>
      <c r="AB3549" s="37"/>
      <c r="AC3549" s="37"/>
      <c r="AD3549" s="37"/>
      <c r="AE3549" s="37"/>
      <c r="AF3549" s="37"/>
      <c r="AG3549" s="37"/>
      <c r="AH3549" s="37"/>
      <c r="AI3549" s="37"/>
      <c r="AJ3549" s="37"/>
      <c r="AK3549" s="37"/>
      <c r="AL3549" s="37"/>
      <c r="AM3549" s="37"/>
      <c r="AN3549" s="37"/>
      <c r="AO3549" s="37"/>
      <c r="AP3549" s="37"/>
      <c r="AQ3549" s="37"/>
      <c r="AR3549" s="37"/>
      <c r="AS3549" s="37"/>
      <c r="AT3549" s="37"/>
      <c r="AU3549" s="37"/>
      <c r="AV3549" s="37"/>
      <c r="AW3549" s="37"/>
      <c r="AX3549" s="37"/>
      <c r="AY3549" s="37"/>
      <c r="AZ3549" s="37"/>
      <c r="BA3549" s="37"/>
      <c r="BB3549" s="37"/>
      <c r="BC3549" s="37"/>
      <c r="BD3549" s="37"/>
      <c r="BE3549" s="37"/>
      <c r="BF3549" s="37"/>
      <c r="BG3549" s="37"/>
      <c r="BH3549" s="37"/>
      <c r="BI3549" s="37"/>
      <c r="BJ3549" s="37"/>
      <c r="BK3549" s="37"/>
      <c r="BL3549" s="37"/>
      <c r="BM3549" s="37"/>
    </row>
    <row r="3550" spans="1:65" s="40" customFormat="1" ht="23.25" x14ac:dyDescent="0.35">
      <c r="A3550" s="37"/>
      <c r="B3550" s="37"/>
      <c r="C3550" s="41"/>
      <c r="D3550" s="38"/>
      <c r="E3550" s="57"/>
      <c r="F3550" s="42"/>
      <c r="G3550" s="43"/>
      <c r="H3550" s="37"/>
      <c r="I3550" s="37"/>
      <c r="J3550" s="38"/>
      <c r="K3550" s="37"/>
      <c r="L3550" s="38"/>
      <c r="M3550" s="39"/>
      <c r="P3550" s="37"/>
      <c r="Q3550" s="37"/>
      <c r="R3550" s="37"/>
      <c r="S3550" s="37"/>
      <c r="T3550" s="37"/>
      <c r="U3550" s="37"/>
      <c r="V3550" s="37"/>
      <c r="W3550" s="37"/>
      <c r="X3550" s="37"/>
      <c r="Y3550" s="37"/>
      <c r="Z3550" s="37"/>
      <c r="AA3550" s="37"/>
      <c r="AB3550" s="37"/>
      <c r="AC3550" s="37"/>
      <c r="AD3550" s="37"/>
      <c r="AE3550" s="37"/>
      <c r="AF3550" s="37"/>
      <c r="AG3550" s="37"/>
      <c r="AH3550" s="37"/>
      <c r="AI3550" s="37"/>
      <c r="AJ3550" s="37"/>
      <c r="AK3550" s="37"/>
      <c r="AL3550" s="37"/>
      <c r="AM3550" s="37"/>
      <c r="AN3550" s="37"/>
      <c r="AO3550" s="37"/>
      <c r="AP3550" s="37"/>
      <c r="AQ3550" s="37"/>
      <c r="AR3550" s="37"/>
      <c r="AS3550" s="37"/>
      <c r="AT3550" s="37"/>
      <c r="AU3550" s="37"/>
      <c r="AV3550" s="37"/>
      <c r="AW3550" s="37"/>
      <c r="AX3550" s="37"/>
      <c r="AY3550" s="37"/>
      <c r="AZ3550" s="37"/>
      <c r="BA3550" s="37"/>
      <c r="BB3550" s="37"/>
      <c r="BC3550" s="37"/>
      <c r="BD3550" s="37"/>
      <c r="BE3550" s="37"/>
      <c r="BF3550" s="37"/>
      <c r="BG3550" s="37"/>
      <c r="BH3550" s="37"/>
      <c r="BI3550" s="37"/>
      <c r="BJ3550" s="37"/>
      <c r="BK3550" s="37"/>
      <c r="BL3550" s="37"/>
      <c r="BM3550" s="37"/>
    </row>
    <row r="3551" spans="1:65" s="40" customFormat="1" ht="23.25" x14ac:dyDescent="0.35">
      <c r="A3551" s="37"/>
      <c r="B3551" s="37"/>
      <c r="C3551" s="41"/>
      <c r="D3551" s="38"/>
      <c r="E3551" s="57"/>
      <c r="F3551" s="42"/>
      <c r="G3551" s="43"/>
      <c r="H3551" s="37"/>
      <c r="I3551" s="37"/>
      <c r="J3551" s="38"/>
      <c r="K3551" s="37"/>
      <c r="L3551" s="38"/>
      <c r="M3551" s="39"/>
      <c r="P3551" s="37"/>
      <c r="Q3551" s="37"/>
      <c r="R3551" s="37"/>
      <c r="S3551" s="37"/>
      <c r="T3551" s="37"/>
      <c r="U3551" s="37"/>
      <c r="V3551" s="37"/>
      <c r="W3551" s="37"/>
      <c r="X3551" s="37"/>
      <c r="Y3551" s="37"/>
      <c r="Z3551" s="37"/>
      <c r="AA3551" s="37"/>
      <c r="AB3551" s="37"/>
      <c r="AC3551" s="37"/>
      <c r="AD3551" s="37"/>
      <c r="AE3551" s="37"/>
      <c r="AF3551" s="37"/>
      <c r="AG3551" s="37"/>
      <c r="AH3551" s="37"/>
      <c r="AI3551" s="37"/>
      <c r="AJ3551" s="37"/>
      <c r="AK3551" s="37"/>
      <c r="AL3551" s="37"/>
      <c r="AM3551" s="37"/>
      <c r="AN3551" s="37"/>
      <c r="AO3551" s="37"/>
      <c r="AP3551" s="37"/>
      <c r="AQ3551" s="37"/>
      <c r="AR3551" s="37"/>
      <c r="AS3551" s="37"/>
      <c r="AT3551" s="37"/>
      <c r="AU3551" s="37"/>
      <c r="AV3551" s="37"/>
      <c r="AW3551" s="37"/>
      <c r="AX3551" s="37"/>
      <c r="AY3551" s="37"/>
      <c r="AZ3551" s="37"/>
      <c r="BA3551" s="37"/>
      <c r="BB3551" s="37"/>
      <c r="BC3551" s="37"/>
      <c r="BD3551" s="37"/>
      <c r="BE3551" s="37"/>
      <c r="BF3551" s="37"/>
      <c r="BG3551" s="37"/>
      <c r="BH3551" s="37"/>
      <c r="BI3551" s="37"/>
      <c r="BJ3551" s="37"/>
      <c r="BK3551" s="37"/>
      <c r="BL3551" s="37"/>
      <c r="BM3551" s="37"/>
    </row>
    <row r="3552" spans="1:65" s="40" customFormat="1" ht="23.25" x14ac:dyDescent="0.35">
      <c r="A3552" s="37"/>
      <c r="B3552" s="37"/>
      <c r="C3552" s="41"/>
      <c r="D3552" s="38"/>
      <c r="E3552" s="57"/>
      <c r="F3552" s="42"/>
      <c r="G3552" s="43"/>
      <c r="H3552" s="37"/>
      <c r="I3552" s="37"/>
      <c r="J3552" s="38"/>
      <c r="K3552" s="37"/>
      <c r="L3552" s="38"/>
      <c r="M3552" s="39"/>
      <c r="P3552" s="37"/>
      <c r="Q3552" s="37"/>
      <c r="R3552" s="37"/>
      <c r="S3552" s="37"/>
      <c r="T3552" s="37"/>
      <c r="U3552" s="37"/>
      <c r="V3552" s="37"/>
      <c r="W3552" s="37"/>
      <c r="X3552" s="37"/>
      <c r="Y3552" s="37"/>
      <c r="Z3552" s="37"/>
      <c r="AA3552" s="37"/>
      <c r="AB3552" s="37"/>
      <c r="AC3552" s="37"/>
      <c r="AD3552" s="37"/>
      <c r="AE3552" s="37"/>
      <c r="AF3552" s="37"/>
      <c r="AG3552" s="37"/>
      <c r="AH3552" s="37"/>
      <c r="AI3552" s="37"/>
      <c r="AJ3552" s="37"/>
      <c r="AK3552" s="37"/>
      <c r="AL3552" s="37"/>
      <c r="AM3552" s="37"/>
      <c r="AN3552" s="37"/>
      <c r="AO3552" s="37"/>
      <c r="AP3552" s="37"/>
      <c r="AQ3552" s="37"/>
      <c r="AR3552" s="37"/>
      <c r="AS3552" s="37"/>
      <c r="AT3552" s="37"/>
      <c r="AU3552" s="37"/>
      <c r="AV3552" s="37"/>
      <c r="AW3552" s="37"/>
      <c r="AX3552" s="37"/>
      <c r="AY3552" s="37"/>
      <c r="AZ3552" s="37"/>
      <c r="BA3552" s="37"/>
      <c r="BB3552" s="37"/>
      <c r="BC3552" s="37"/>
      <c r="BD3552" s="37"/>
      <c r="BE3552" s="37"/>
      <c r="BF3552" s="37"/>
      <c r="BG3552" s="37"/>
      <c r="BH3552" s="37"/>
      <c r="BI3552" s="37"/>
      <c r="BJ3552" s="37"/>
      <c r="BK3552" s="37"/>
      <c r="BL3552" s="37"/>
      <c r="BM3552" s="37"/>
    </row>
    <row r="3553" spans="1:65" s="40" customFormat="1" ht="23.25" x14ac:dyDescent="0.35">
      <c r="A3553" s="37"/>
      <c r="B3553" s="37"/>
      <c r="C3553" s="41"/>
      <c r="D3553" s="38"/>
      <c r="E3553" s="57"/>
      <c r="F3553" s="42"/>
      <c r="G3553" s="43"/>
      <c r="H3553" s="37"/>
      <c r="I3553" s="37"/>
      <c r="J3553" s="38"/>
      <c r="K3553" s="37"/>
      <c r="L3553" s="38"/>
      <c r="M3553" s="39"/>
      <c r="P3553" s="37"/>
      <c r="Q3553" s="37"/>
      <c r="R3553" s="37"/>
      <c r="S3553" s="37"/>
      <c r="T3553" s="37"/>
      <c r="U3553" s="37"/>
      <c r="V3553" s="37"/>
      <c r="W3553" s="37"/>
      <c r="X3553" s="37"/>
      <c r="Y3553" s="37"/>
      <c r="Z3553" s="37"/>
      <c r="AA3553" s="37"/>
      <c r="AB3553" s="37"/>
      <c r="AC3553" s="37"/>
      <c r="AD3553" s="37"/>
      <c r="AE3553" s="37"/>
      <c r="AF3553" s="37"/>
      <c r="AG3553" s="37"/>
      <c r="AH3553" s="37"/>
      <c r="AI3553" s="37"/>
      <c r="AJ3553" s="37"/>
      <c r="AK3553" s="37"/>
      <c r="AL3553" s="37"/>
      <c r="AM3553" s="37"/>
      <c r="AN3553" s="37"/>
      <c r="AO3553" s="37"/>
      <c r="AP3553" s="37"/>
      <c r="AQ3553" s="37"/>
      <c r="AR3553" s="37"/>
      <c r="AS3553" s="37"/>
      <c r="AT3553" s="37"/>
      <c r="AU3553" s="37"/>
      <c r="AV3553" s="37"/>
      <c r="AW3553" s="37"/>
      <c r="AX3553" s="37"/>
      <c r="AY3553" s="37"/>
      <c r="AZ3553" s="37"/>
      <c r="BA3553" s="37"/>
      <c r="BB3553" s="37"/>
      <c r="BC3553" s="37"/>
      <c r="BD3553" s="37"/>
      <c r="BE3553" s="37"/>
      <c r="BF3553" s="37"/>
      <c r="BG3553" s="37"/>
      <c r="BH3553" s="37"/>
      <c r="BI3553" s="37"/>
      <c r="BJ3553" s="37"/>
      <c r="BK3553" s="37"/>
      <c r="BL3553" s="37"/>
      <c r="BM3553" s="37"/>
    </row>
    <row r="3554" spans="1:65" s="40" customFormat="1" ht="23.25" x14ac:dyDescent="0.35">
      <c r="A3554" s="37"/>
      <c r="B3554" s="37"/>
      <c r="C3554" s="41"/>
      <c r="D3554" s="38"/>
      <c r="E3554" s="57"/>
      <c r="F3554" s="42"/>
      <c r="G3554" s="43"/>
      <c r="H3554" s="37"/>
      <c r="I3554" s="37"/>
      <c r="J3554" s="38"/>
      <c r="K3554" s="37"/>
      <c r="L3554" s="38"/>
      <c r="M3554" s="39"/>
      <c r="P3554" s="37"/>
      <c r="Q3554" s="37"/>
      <c r="R3554" s="37"/>
      <c r="S3554" s="37"/>
      <c r="T3554" s="37"/>
      <c r="U3554" s="37"/>
      <c r="V3554" s="37"/>
      <c r="W3554" s="37"/>
      <c r="X3554" s="37"/>
      <c r="Y3554" s="37"/>
      <c r="Z3554" s="37"/>
      <c r="AA3554" s="37"/>
      <c r="AB3554" s="37"/>
      <c r="AC3554" s="37"/>
      <c r="AD3554" s="37"/>
      <c r="AE3554" s="37"/>
      <c r="AF3554" s="37"/>
      <c r="AG3554" s="37"/>
      <c r="AH3554" s="37"/>
      <c r="AI3554" s="37"/>
      <c r="AJ3554" s="37"/>
      <c r="AK3554" s="37"/>
      <c r="AL3554" s="37"/>
      <c r="AM3554" s="37"/>
      <c r="AN3554" s="37"/>
      <c r="AO3554" s="37"/>
      <c r="AP3554" s="37"/>
      <c r="AQ3554" s="37"/>
      <c r="AR3554" s="37"/>
      <c r="AS3554" s="37"/>
      <c r="AT3554" s="37"/>
      <c r="AU3554" s="37"/>
      <c r="AV3554" s="37"/>
      <c r="AW3554" s="37"/>
      <c r="AX3554" s="37"/>
      <c r="AY3554" s="37"/>
      <c r="AZ3554" s="37"/>
      <c r="BA3554" s="37"/>
      <c r="BB3554" s="37"/>
      <c r="BC3554" s="37"/>
      <c r="BD3554" s="37"/>
      <c r="BE3554" s="37"/>
      <c r="BF3554" s="37"/>
      <c r="BG3554" s="37"/>
      <c r="BH3554" s="37"/>
      <c r="BI3554" s="37"/>
      <c r="BJ3554" s="37"/>
      <c r="BK3554" s="37"/>
      <c r="BL3554" s="37"/>
      <c r="BM3554" s="37"/>
    </row>
    <row r="3555" spans="1:65" s="40" customFormat="1" ht="23.25" x14ac:dyDescent="0.35">
      <c r="A3555" s="37"/>
      <c r="B3555" s="37"/>
      <c r="C3555" s="41"/>
      <c r="D3555" s="38"/>
      <c r="E3555" s="57"/>
      <c r="F3555" s="42"/>
      <c r="G3555" s="43"/>
      <c r="H3555" s="37"/>
      <c r="I3555" s="37"/>
      <c r="J3555" s="38"/>
      <c r="K3555" s="37"/>
      <c r="L3555" s="38"/>
      <c r="M3555" s="39"/>
      <c r="P3555" s="37"/>
      <c r="Q3555" s="37"/>
      <c r="R3555" s="37"/>
      <c r="S3555" s="37"/>
      <c r="T3555" s="37"/>
      <c r="U3555" s="37"/>
      <c r="V3555" s="37"/>
      <c r="W3555" s="37"/>
      <c r="X3555" s="37"/>
      <c r="Y3555" s="37"/>
      <c r="Z3555" s="37"/>
      <c r="AA3555" s="37"/>
      <c r="AB3555" s="37"/>
      <c r="AC3555" s="37"/>
      <c r="AD3555" s="37"/>
      <c r="AE3555" s="37"/>
      <c r="AF3555" s="37"/>
      <c r="AG3555" s="37"/>
      <c r="AH3555" s="37"/>
      <c r="AI3555" s="37"/>
      <c r="AJ3555" s="37"/>
      <c r="AK3555" s="37"/>
      <c r="AL3555" s="37"/>
      <c r="AM3555" s="37"/>
      <c r="AN3555" s="37"/>
      <c r="AO3555" s="37"/>
      <c r="AP3555" s="37"/>
      <c r="AQ3555" s="37"/>
      <c r="AR3555" s="37"/>
      <c r="AS3555" s="37"/>
      <c r="AT3555" s="37"/>
      <c r="AU3555" s="37"/>
      <c r="AV3555" s="37"/>
      <c r="AW3555" s="37"/>
      <c r="AX3555" s="37"/>
      <c r="AY3555" s="37"/>
      <c r="AZ3555" s="37"/>
      <c r="BA3555" s="37"/>
      <c r="BB3555" s="37"/>
      <c r="BC3555" s="37"/>
      <c r="BD3555" s="37"/>
      <c r="BE3555" s="37"/>
      <c r="BF3555" s="37"/>
      <c r="BG3555" s="37"/>
      <c r="BH3555" s="37"/>
      <c r="BI3555" s="37"/>
      <c r="BJ3555" s="37"/>
      <c r="BK3555" s="37"/>
      <c r="BL3555" s="37"/>
      <c r="BM3555" s="37"/>
    </row>
    <row r="3556" spans="1:65" s="40" customFormat="1" ht="23.25" x14ac:dyDescent="0.35">
      <c r="A3556" s="37"/>
      <c r="B3556" s="37"/>
      <c r="C3556" s="41"/>
      <c r="D3556" s="38"/>
      <c r="E3556" s="57"/>
      <c r="F3556" s="42"/>
      <c r="G3556" s="43"/>
      <c r="H3556" s="37"/>
      <c r="I3556" s="37"/>
      <c r="J3556" s="38"/>
      <c r="K3556" s="37"/>
      <c r="L3556" s="38"/>
      <c r="M3556" s="39"/>
      <c r="P3556" s="37"/>
      <c r="Q3556" s="37"/>
      <c r="R3556" s="37"/>
      <c r="S3556" s="37"/>
      <c r="T3556" s="37"/>
      <c r="U3556" s="37"/>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7"/>
      <c r="AR3556" s="37"/>
      <c r="AS3556" s="37"/>
      <c r="AT3556" s="37"/>
      <c r="AU3556" s="37"/>
      <c r="AV3556" s="37"/>
      <c r="AW3556" s="37"/>
      <c r="AX3556" s="37"/>
      <c r="AY3556" s="37"/>
      <c r="AZ3556" s="37"/>
      <c r="BA3556" s="37"/>
      <c r="BB3556" s="37"/>
      <c r="BC3556" s="37"/>
      <c r="BD3556" s="37"/>
      <c r="BE3556" s="37"/>
      <c r="BF3556" s="37"/>
      <c r="BG3556" s="37"/>
      <c r="BH3556" s="37"/>
      <c r="BI3556" s="37"/>
      <c r="BJ3556" s="37"/>
      <c r="BK3556" s="37"/>
      <c r="BL3556" s="37"/>
      <c r="BM3556" s="37"/>
    </row>
    <row r="3557" spans="1:65" s="40" customFormat="1" ht="23.25" x14ac:dyDescent="0.35">
      <c r="A3557" s="37"/>
      <c r="B3557" s="37"/>
      <c r="C3557" s="41"/>
      <c r="D3557" s="38"/>
      <c r="E3557" s="57"/>
      <c r="F3557" s="42"/>
      <c r="G3557" s="43"/>
      <c r="H3557" s="37"/>
      <c r="I3557" s="37"/>
      <c r="J3557" s="38"/>
      <c r="K3557" s="37"/>
      <c r="L3557" s="38"/>
      <c r="M3557" s="39"/>
      <c r="P3557" s="37"/>
      <c r="Q3557" s="37"/>
      <c r="R3557" s="37"/>
      <c r="S3557" s="37"/>
      <c r="T3557" s="37"/>
      <c r="U3557" s="37"/>
      <c r="V3557" s="37"/>
      <c r="W3557" s="37"/>
      <c r="X3557" s="37"/>
      <c r="Y3557" s="37"/>
      <c r="Z3557" s="37"/>
      <c r="AA3557" s="37"/>
      <c r="AB3557" s="37"/>
      <c r="AC3557" s="37"/>
      <c r="AD3557" s="37"/>
      <c r="AE3557" s="37"/>
      <c r="AF3557" s="37"/>
      <c r="AG3557" s="37"/>
      <c r="AH3557" s="37"/>
      <c r="AI3557" s="37"/>
      <c r="AJ3557" s="37"/>
      <c r="AK3557" s="37"/>
      <c r="AL3557" s="37"/>
      <c r="AM3557" s="37"/>
      <c r="AN3557" s="37"/>
      <c r="AO3557" s="37"/>
      <c r="AP3557" s="37"/>
      <c r="AQ3557" s="37"/>
      <c r="AR3557" s="37"/>
      <c r="AS3557" s="37"/>
      <c r="AT3557" s="37"/>
      <c r="AU3557" s="37"/>
      <c r="AV3557" s="37"/>
      <c r="AW3557" s="37"/>
      <c r="AX3557" s="37"/>
      <c r="AY3557" s="37"/>
      <c r="AZ3557" s="37"/>
      <c r="BA3557" s="37"/>
      <c r="BB3557" s="37"/>
      <c r="BC3557" s="37"/>
      <c r="BD3557" s="37"/>
      <c r="BE3557" s="37"/>
      <c r="BF3557" s="37"/>
      <c r="BG3557" s="37"/>
      <c r="BH3557" s="37"/>
      <c r="BI3557" s="37"/>
      <c r="BJ3557" s="37"/>
      <c r="BK3557" s="37"/>
      <c r="BL3557" s="37"/>
      <c r="BM3557" s="37"/>
    </row>
    <row r="3558" spans="1:65" s="40" customFormat="1" ht="23.25" x14ac:dyDescent="0.35">
      <c r="A3558" s="37"/>
      <c r="B3558" s="37"/>
      <c r="C3558" s="41"/>
      <c r="D3558" s="38"/>
      <c r="E3558" s="57"/>
      <c r="F3558" s="42"/>
      <c r="G3558" s="43"/>
      <c r="H3558" s="37"/>
      <c r="I3558" s="37"/>
      <c r="J3558" s="38"/>
      <c r="K3558" s="37"/>
      <c r="L3558" s="38"/>
      <c r="M3558" s="39"/>
      <c r="P3558" s="37"/>
      <c r="Q3558" s="37"/>
      <c r="R3558" s="37"/>
      <c r="S3558" s="37"/>
      <c r="T3558" s="37"/>
      <c r="U3558" s="37"/>
      <c r="V3558" s="37"/>
      <c r="W3558" s="37"/>
      <c r="X3558" s="37"/>
      <c r="Y3558" s="37"/>
      <c r="Z3558" s="37"/>
      <c r="AA3558" s="37"/>
      <c r="AB3558" s="37"/>
      <c r="AC3558" s="37"/>
      <c r="AD3558" s="37"/>
      <c r="AE3558" s="37"/>
      <c r="AF3558" s="37"/>
      <c r="AG3558" s="37"/>
      <c r="AH3558" s="37"/>
      <c r="AI3558" s="37"/>
      <c r="AJ3558" s="37"/>
      <c r="AK3558" s="37"/>
      <c r="AL3558" s="37"/>
      <c r="AM3558" s="37"/>
      <c r="AN3558" s="37"/>
      <c r="AO3558" s="37"/>
      <c r="AP3558" s="37"/>
      <c r="AQ3558" s="37"/>
      <c r="AR3558" s="37"/>
      <c r="AS3558" s="37"/>
      <c r="AT3558" s="37"/>
      <c r="AU3558" s="37"/>
      <c r="AV3558" s="37"/>
      <c r="AW3558" s="37"/>
      <c r="AX3558" s="37"/>
      <c r="AY3558" s="37"/>
      <c r="AZ3558" s="37"/>
      <c r="BA3558" s="37"/>
      <c r="BB3558" s="37"/>
      <c r="BC3558" s="37"/>
      <c r="BD3558" s="37"/>
      <c r="BE3558" s="37"/>
      <c r="BF3558" s="37"/>
      <c r="BG3558" s="37"/>
      <c r="BH3558" s="37"/>
      <c r="BI3558" s="37"/>
      <c r="BJ3558" s="37"/>
      <c r="BK3558" s="37"/>
      <c r="BL3558" s="37"/>
      <c r="BM3558" s="37"/>
    </row>
    <row r="3559" spans="1:65" s="40" customFormat="1" ht="23.25" x14ac:dyDescent="0.35">
      <c r="A3559" s="37"/>
      <c r="B3559" s="37"/>
      <c r="C3559" s="41"/>
      <c r="D3559" s="38"/>
      <c r="E3559" s="57"/>
      <c r="F3559" s="42"/>
      <c r="G3559" s="43"/>
      <c r="H3559" s="37"/>
      <c r="I3559" s="37"/>
      <c r="J3559" s="38"/>
      <c r="K3559" s="37"/>
      <c r="L3559" s="38"/>
      <c r="M3559" s="39"/>
      <c r="P3559" s="37"/>
      <c r="Q3559" s="37"/>
      <c r="R3559" s="37"/>
      <c r="S3559" s="37"/>
      <c r="T3559" s="37"/>
      <c r="U3559" s="37"/>
      <c r="V3559" s="37"/>
      <c r="W3559" s="37"/>
      <c r="X3559" s="37"/>
      <c r="Y3559" s="37"/>
      <c r="Z3559" s="37"/>
      <c r="AA3559" s="37"/>
      <c r="AB3559" s="37"/>
      <c r="AC3559" s="37"/>
      <c r="AD3559" s="37"/>
      <c r="AE3559" s="37"/>
      <c r="AF3559" s="37"/>
      <c r="AG3559" s="37"/>
      <c r="AH3559" s="37"/>
      <c r="AI3559" s="37"/>
      <c r="AJ3559" s="37"/>
      <c r="AK3559" s="37"/>
      <c r="AL3559" s="37"/>
      <c r="AM3559" s="37"/>
      <c r="AN3559" s="37"/>
      <c r="AO3559" s="37"/>
      <c r="AP3559" s="37"/>
      <c r="AQ3559" s="37"/>
      <c r="AR3559" s="37"/>
      <c r="AS3559" s="37"/>
      <c r="AT3559" s="37"/>
      <c r="AU3559" s="37"/>
      <c r="AV3559" s="37"/>
      <c r="AW3559" s="37"/>
      <c r="AX3559" s="37"/>
      <c r="AY3559" s="37"/>
      <c r="AZ3559" s="37"/>
      <c r="BA3559" s="37"/>
      <c r="BB3559" s="37"/>
      <c r="BC3559" s="37"/>
      <c r="BD3559" s="37"/>
      <c r="BE3559" s="37"/>
      <c r="BF3559" s="37"/>
      <c r="BG3559" s="37"/>
      <c r="BH3559" s="37"/>
      <c r="BI3559" s="37"/>
      <c r="BJ3559" s="37"/>
      <c r="BK3559" s="37"/>
      <c r="BL3559" s="37"/>
      <c r="BM3559" s="37"/>
    </row>
    <row r="3560" spans="1:65" s="40" customFormat="1" ht="23.25" x14ac:dyDescent="0.35">
      <c r="A3560" s="37"/>
      <c r="B3560" s="37"/>
      <c r="C3560" s="41"/>
      <c r="D3560" s="38"/>
      <c r="E3560" s="57"/>
      <c r="F3560" s="42"/>
      <c r="G3560" s="43"/>
      <c r="H3560" s="37"/>
      <c r="I3560" s="37"/>
      <c r="J3560" s="38"/>
      <c r="K3560" s="37"/>
      <c r="L3560" s="38"/>
      <c r="M3560" s="39"/>
      <c r="P3560" s="37"/>
      <c r="Q3560" s="37"/>
      <c r="R3560" s="37"/>
      <c r="S3560" s="37"/>
      <c r="T3560" s="37"/>
      <c r="U3560" s="37"/>
      <c r="V3560" s="37"/>
      <c r="W3560" s="37"/>
      <c r="X3560" s="37"/>
      <c r="Y3560" s="37"/>
      <c r="Z3560" s="37"/>
      <c r="AA3560" s="37"/>
      <c r="AB3560" s="37"/>
      <c r="AC3560" s="37"/>
      <c r="AD3560" s="37"/>
      <c r="AE3560" s="37"/>
      <c r="AF3560" s="37"/>
      <c r="AG3560" s="37"/>
      <c r="AH3560" s="37"/>
      <c r="AI3560" s="37"/>
      <c r="AJ3560" s="37"/>
      <c r="AK3560" s="37"/>
      <c r="AL3560" s="37"/>
      <c r="AM3560" s="37"/>
      <c r="AN3560" s="37"/>
      <c r="AO3560" s="37"/>
      <c r="AP3560" s="37"/>
      <c r="AQ3560" s="37"/>
      <c r="AR3560" s="37"/>
      <c r="AS3560" s="37"/>
      <c r="AT3560" s="37"/>
      <c r="AU3560" s="37"/>
      <c r="AV3560" s="37"/>
      <c r="AW3560" s="37"/>
      <c r="AX3560" s="37"/>
      <c r="AY3560" s="37"/>
      <c r="AZ3560" s="37"/>
      <c r="BA3560" s="37"/>
      <c r="BB3560" s="37"/>
      <c r="BC3560" s="37"/>
      <c r="BD3560" s="37"/>
      <c r="BE3560" s="37"/>
      <c r="BF3560" s="37"/>
      <c r="BG3560" s="37"/>
      <c r="BH3560" s="37"/>
      <c r="BI3560" s="37"/>
      <c r="BJ3560" s="37"/>
      <c r="BK3560" s="37"/>
      <c r="BL3560" s="37"/>
      <c r="BM3560" s="37"/>
    </row>
    <row r="3561" spans="1:65" s="40" customFormat="1" ht="23.25" x14ac:dyDescent="0.35">
      <c r="A3561" s="37"/>
      <c r="B3561" s="37"/>
      <c r="C3561" s="41"/>
      <c r="D3561" s="38"/>
      <c r="E3561" s="57"/>
      <c r="F3561" s="42"/>
      <c r="G3561" s="43"/>
      <c r="H3561" s="37"/>
      <c r="I3561" s="37"/>
      <c r="J3561" s="38"/>
      <c r="K3561" s="37"/>
      <c r="L3561" s="38"/>
      <c r="M3561" s="39"/>
      <c r="P3561" s="37"/>
      <c r="Q3561" s="37"/>
      <c r="R3561" s="37"/>
      <c r="S3561" s="37"/>
      <c r="T3561" s="37"/>
      <c r="U3561" s="37"/>
      <c r="V3561" s="37"/>
      <c r="W3561" s="37"/>
      <c r="X3561" s="37"/>
      <c r="Y3561" s="37"/>
      <c r="Z3561" s="37"/>
      <c r="AA3561" s="37"/>
      <c r="AB3561" s="37"/>
      <c r="AC3561" s="37"/>
      <c r="AD3561" s="37"/>
      <c r="AE3561" s="37"/>
      <c r="AF3561" s="37"/>
      <c r="AG3561" s="37"/>
      <c r="AH3561" s="37"/>
      <c r="AI3561" s="37"/>
      <c r="AJ3561" s="37"/>
      <c r="AK3561" s="37"/>
      <c r="AL3561" s="37"/>
      <c r="AM3561" s="37"/>
      <c r="AN3561" s="37"/>
      <c r="AO3561" s="37"/>
      <c r="AP3561" s="37"/>
      <c r="AQ3561" s="37"/>
      <c r="AR3561" s="37"/>
      <c r="AS3561" s="37"/>
      <c r="AT3561" s="37"/>
      <c r="AU3561" s="37"/>
      <c r="AV3561" s="37"/>
      <c r="AW3561" s="37"/>
      <c r="AX3561" s="37"/>
      <c r="AY3561" s="37"/>
      <c r="AZ3561" s="37"/>
      <c r="BA3561" s="37"/>
      <c r="BB3561" s="37"/>
      <c r="BC3561" s="37"/>
      <c r="BD3561" s="37"/>
      <c r="BE3561" s="37"/>
      <c r="BF3561" s="37"/>
      <c r="BG3561" s="37"/>
      <c r="BH3561" s="37"/>
      <c r="BI3561" s="37"/>
      <c r="BJ3561" s="37"/>
      <c r="BK3561" s="37"/>
      <c r="BL3561" s="37"/>
      <c r="BM3561" s="37"/>
    </row>
    <row r="3562" spans="1:65" s="40" customFormat="1" ht="23.25" x14ac:dyDescent="0.35">
      <c r="A3562" s="37"/>
      <c r="B3562" s="37"/>
      <c r="C3562" s="41"/>
      <c r="D3562" s="38"/>
      <c r="E3562" s="57"/>
      <c r="F3562" s="42"/>
      <c r="G3562" s="43"/>
      <c r="H3562" s="37"/>
      <c r="I3562" s="37"/>
      <c r="J3562" s="38"/>
      <c r="K3562" s="37"/>
      <c r="L3562" s="38"/>
      <c r="M3562" s="39"/>
      <c r="P3562" s="37"/>
      <c r="Q3562" s="37"/>
      <c r="R3562" s="37"/>
      <c r="S3562" s="37"/>
      <c r="T3562" s="37"/>
      <c r="U3562" s="37"/>
      <c r="V3562" s="37"/>
      <c r="W3562" s="37"/>
      <c r="X3562" s="37"/>
      <c r="Y3562" s="37"/>
      <c r="Z3562" s="37"/>
      <c r="AA3562" s="37"/>
      <c r="AB3562" s="37"/>
      <c r="AC3562" s="37"/>
      <c r="AD3562" s="37"/>
      <c r="AE3562" s="37"/>
      <c r="AF3562" s="37"/>
      <c r="AG3562" s="37"/>
      <c r="AH3562" s="37"/>
      <c r="AI3562" s="37"/>
      <c r="AJ3562" s="37"/>
      <c r="AK3562" s="37"/>
      <c r="AL3562" s="37"/>
      <c r="AM3562" s="37"/>
      <c r="AN3562" s="37"/>
      <c r="AO3562" s="37"/>
      <c r="AP3562" s="37"/>
      <c r="AQ3562" s="37"/>
      <c r="AR3562" s="37"/>
      <c r="AS3562" s="37"/>
      <c r="AT3562" s="37"/>
      <c r="AU3562" s="37"/>
      <c r="AV3562" s="37"/>
      <c r="AW3562" s="37"/>
      <c r="AX3562" s="37"/>
      <c r="AY3562" s="37"/>
      <c r="AZ3562" s="37"/>
      <c r="BA3562" s="37"/>
      <c r="BB3562" s="37"/>
      <c r="BC3562" s="37"/>
      <c r="BD3562" s="37"/>
      <c r="BE3562" s="37"/>
      <c r="BF3562" s="37"/>
      <c r="BG3562" s="37"/>
      <c r="BH3562" s="37"/>
      <c r="BI3562" s="37"/>
      <c r="BJ3562" s="37"/>
      <c r="BK3562" s="37"/>
      <c r="BL3562" s="37"/>
      <c r="BM3562" s="37"/>
    </row>
    <row r="3563" spans="1:65" s="40" customFormat="1" ht="23.25" x14ac:dyDescent="0.35">
      <c r="A3563" s="37"/>
      <c r="B3563" s="37"/>
      <c r="C3563" s="41"/>
      <c r="D3563" s="38"/>
      <c r="E3563" s="57"/>
      <c r="F3563" s="42"/>
      <c r="G3563" s="43"/>
      <c r="H3563" s="37"/>
      <c r="I3563" s="37"/>
      <c r="J3563" s="38"/>
      <c r="K3563" s="37"/>
      <c r="L3563" s="38"/>
      <c r="M3563" s="39"/>
      <c r="P3563" s="37"/>
      <c r="Q3563" s="37"/>
      <c r="R3563" s="37"/>
      <c r="S3563" s="37"/>
      <c r="T3563" s="37"/>
      <c r="U3563" s="37"/>
      <c r="V3563" s="37"/>
      <c r="W3563" s="37"/>
      <c r="X3563" s="37"/>
      <c r="Y3563" s="37"/>
      <c r="Z3563" s="37"/>
      <c r="AA3563" s="37"/>
      <c r="AB3563" s="37"/>
      <c r="AC3563" s="37"/>
      <c r="AD3563" s="37"/>
      <c r="AE3563" s="37"/>
      <c r="AF3563" s="37"/>
      <c r="AG3563" s="37"/>
      <c r="AH3563" s="37"/>
      <c r="AI3563" s="37"/>
      <c r="AJ3563" s="37"/>
      <c r="AK3563" s="37"/>
      <c r="AL3563" s="37"/>
      <c r="AM3563" s="37"/>
      <c r="AN3563" s="37"/>
      <c r="AO3563" s="37"/>
      <c r="AP3563" s="37"/>
      <c r="AQ3563" s="37"/>
      <c r="AR3563" s="37"/>
      <c r="AS3563" s="37"/>
      <c r="AT3563" s="37"/>
      <c r="AU3563" s="37"/>
      <c r="AV3563" s="37"/>
      <c r="AW3563" s="37"/>
      <c r="AX3563" s="37"/>
      <c r="AY3563" s="37"/>
      <c r="AZ3563" s="37"/>
      <c r="BA3563" s="37"/>
      <c r="BB3563" s="37"/>
      <c r="BC3563" s="37"/>
      <c r="BD3563" s="37"/>
      <c r="BE3563" s="37"/>
      <c r="BF3563" s="37"/>
      <c r="BG3563" s="37"/>
      <c r="BH3563" s="37"/>
      <c r="BI3563" s="37"/>
      <c r="BJ3563" s="37"/>
      <c r="BK3563" s="37"/>
      <c r="BL3563" s="37"/>
      <c r="BM3563" s="37"/>
    </row>
    <row r="3564" spans="1:65" s="40" customFormat="1" ht="23.25" x14ac:dyDescent="0.35">
      <c r="A3564" s="37"/>
      <c r="B3564" s="37"/>
      <c r="C3564" s="41"/>
      <c r="D3564" s="38"/>
      <c r="E3564" s="57"/>
      <c r="F3564" s="42"/>
      <c r="G3564" s="43"/>
      <c r="H3564" s="37"/>
      <c r="I3564" s="37"/>
      <c r="J3564" s="38"/>
      <c r="K3564" s="37"/>
      <c r="L3564" s="38"/>
      <c r="M3564" s="39"/>
      <c r="P3564" s="37"/>
      <c r="Q3564" s="37"/>
      <c r="R3564" s="37"/>
      <c r="S3564" s="37"/>
      <c r="T3564" s="37"/>
      <c r="U3564" s="37"/>
      <c r="V3564" s="37"/>
      <c r="W3564" s="37"/>
      <c r="X3564" s="37"/>
      <c r="Y3564" s="37"/>
      <c r="Z3564" s="37"/>
      <c r="AA3564" s="37"/>
      <c r="AB3564" s="37"/>
      <c r="AC3564" s="37"/>
      <c r="AD3564" s="37"/>
      <c r="AE3564" s="37"/>
      <c r="AF3564" s="37"/>
      <c r="AG3564" s="37"/>
      <c r="AH3564" s="37"/>
      <c r="AI3564" s="37"/>
      <c r="AJ3564" s="37"/>
      <c r="AK3564" s="37"/>
      <c r="AL3564" s="37"/>
      <c r="AM3564" s="37"/>
      <c r="AN3564" s="37"/>
      <c r="AO3564" s="37"/>
      <c r="AP3564" s="37"/>
      <c r="AQ3564" s="37"/>
      <c r="AR3564" s="37"/>
      <c r="AS3564" s="37"/>
      <c r="AT3564" s="37"/>
      <c r="AU3564" s="37"/>
      <c r="AV3564" s="37"/>
      <c r="AW3564" s="37"/>
      <c r="AX3564" s="37"/>
      <c r="AY3564" s="37"/>
      <c r="AZ3564" s="37"/>
      <c r="BA3564" s="37"/>
      <c r="BB3564" s="37"/>
      <c r="BC3564" s="37"/>
      <c r="BD3564" s="37"/>
      <c r="BE3564" s="37"/>
      <c r="BF3564" s="37"/>
      <c r="BG3564" s="37"/>
      <c r="BH3564" s="37"/>
      <c r="BI3564" s="37"/>
      <c r="BJ3564" s="37"/>
      <c r="BK3564" s="37"/>
      <c r="BL3564" s="37"/>
      <c r="BM3564" s="37"/>
    </row>
    <row r="3565" spans="1:65" s="40" customFormat="1" ht="23.25" x14ac:dyDescent="0.35">
      <c r="A3565" s="37"/>
      <c r="B3565" s="37"/>
      <c r="C3565" s="41"/>
      <c r="D3565" s="38"/>
      <c r="E3565" s="57"/>
      <c r="F3565" s="42"/>
      <c r="G3565" s="43"/>
      <c r="H3565" s="37"/>
      <c r="I3565" s="37"/>
      <c r="J3565" s="38"/>
      <c r="K3565" s="37"/>
      <c r="L3565" s="38"/>
      <c r="M3565" s="39"/>
      <c r="P3565" s="37"/>
      <c r="Q3565" s="37"/>
      <c r="R3565" s="37"/>
      <c r="S3565" s="37"/>
      <c r="T3565" s="37"/>
      <c r="U3565" s="37"/>
      <c r="V3565" s="37"/>
      <c r="W3565" s="37"/>
      <c r="X3565" s="37"/>
      <c r="Y3565" s="37"/>
      <c r="Z3565" s="37"/>
      <c r="AA3565" s="37"/>
      <c r="AB3565" s="37"/>
      <c r="AC3565" s="37"/>
      <c r="AD3565" s="37"/>
      <c r="AE3565" s="37"/>
      <c r="AF3565" s="37"/>
      <c r="AG3565" s="37"/>
      <c r="AH3565" s="37"/>
      <c r="AI3565" s="37"/>
      <c r="AJ3565" s="37"/>
      <c r="AK3565" s="37"/>
      <c r="AL3565" s="37"/>
      <c r="AM3565" s="37"/>
      <c r="AN3565" s="37"/>
      <c r="AO3565" s="37"/>
      <c r="AP3565" s="37"/>
      <c r="AQ3565" s="37"/>
      <c r="AR3565" s="37"/>
      <c r="AS3565" s="37"/>
      <c r="AT3565" s="37"/>
      <c r="AU3565" s="37"/>
      <c r="AV3565" s="37"/>
      <c r="AW3565" s="37"/>
      <c r="AX3565" s="37"/>
      <c r="AY3565" s="37"/>
      <c r="AZ3565" s="37"/>
      <c r="BA3565" s="37"/>
      <c r="BB3565" s="37"/>
      <c r="BC3565" s="37"/>
      <c r="BD3565" s="37"/>
      <c r="BE3565" s="37"/>
      <c r="BF3565" s="37"/>
      <c r="BG3565" s="37"/>
      <c r="BH3565" s="37"/>
      <c r="BI3565" s="37"/>
      <c r="BJ3565" s="37"/>
      <c r="BK3565" s="37"/>
      <c r="BL3565" s="37"/>
      <c r="BM3565" s="37"/>
    </row>
    <row r="3566" spans="1:65" s="40" customFormat="1" ht="23.25" x14ac:dyDescent="0.35">
      <c r="A3566" s="37"/>
      <c r="B3566" s="37"/>
      <c r="C3566" s="41"/>
      <c r="D3566" s="38"/>
      <c r="E3566" s="57"/>
      <c r="F3566" s="42"/>
      <c r="G3566" s="43"/>
      <c r="H3566" s="37"/>
      <c r="I3566" s="37"/>
      <c r="J3566" s="38"/>
      <c r="K3566" s="37"/>
      <c r="L3566" s="38"/>
      <c r="M3566" s="39"/>
      <c r="P3566" s="37"/>
      <c r="Q3566" s="37"/>
      <c r="R3566" s="37"/>
      <c r="S3566" s="37"/>
      <c r="T3566" s="37"/>
      <c r="U3566" s="37"/>
      <c r="V3566" s="37"/>
      <c r="W3566" s="37"/>
      <c r="X3566" s="37"/>
      <c r="Y3566" s="37"/>
      <c r="Z3566" s="37"/>
      <c r="AA3566" s="37"/>
      <c r="AB3566" s="37"/>
      <c r="AC3566" s="37"/>
      <c r="AD3566" s="37"/>
      <c r="AE3566" s="37"/>
      <c r="AF3566" s="37"/>
      <c r="AG3566" s="37"/>
      <c r="AH3566" s="37"/>
      <c r="AI3566" s="37"/>
      <c r="AJ3566" s="37"/>
      <c r="AK3566" s="37"/>
      <c r="AL3566" s="37"/>
      <c r="AM3566" s="37"/>
      <c r="AN3566" s="37"/>
      <c r="AO3566" s="37"/>
      <c r="AP3566" s="37"/>
      <c r="AQ3566" s="37"/>
      <c r="AR3566" s="37"/>
      <c r="AS3566" s="37"/>
      <c r="AT3566" s="37"/>
      <c r="AU3566" s="37"/>
      <c r="AV3566" s="37"/>
      <c r="AW3566" s="37"/>
      <c r="AX3566" s="37"/>
      <c r="AY3566" s="37"/>
      <c r="AZ3566" s="37"/>
      <c r="BA3566" s="37"/>
      <c r="BB3566" s="37"/>
      <c r="BC3566" s="37"/>
      <c r="BD3566" s="37"/>
      <c r="BE3566" s="37"/>
      <c r="BF3566" s="37"/>
      <c r="BG3566" s="37"/>
      <c r="BH3566" s="37"/>
      <c r="BI3566" s="37"/>
      <c r="BJ3566" s="37"/>
      <c r="BK3566" s="37"/>
      <c r="BL3566" s="37"/>
      <c r="BM3566" s="37"/>
    </row>
    <row r="3567" spans="1:65" s="40" customFormat="1" ht="23.25" x14ac:dyDescent="0.35">
      <c r="A3567" s="37"/>
      <c r="B3567" s="37"/>
      <c r="C3567" s="41"/>
      <c r="D3567" s="38"/>
      <c r="E3567" s="57"/>
      <c r="F3567" s="42"/>
      <c r="G3567" s="43"/>
      <c r="H3567" s="37"/>
      <c r="I3567" s="37"/>
      <c r="J3567" s="38"/>
      <c r="K3567" s="37"/>
      <c r="L3567" s="38"/>
      <c r="M3567" s="39"/>
      <c r="P3567" s="37"/>
      <c r="Q3567" s="37"/>
      <c r="R3567" s="37"/>
      <c r="S3567" s="37"/>
      <c r="T3567" s="37"/>
      <c r="U3567" s="37"/>
      <c r="V3567" s="37"/>
      <c r="W3567" s="37"/>
      <c r="X3567" s="37"/>
      <c r="Y3567" s="37"/>
      <c r="Z3567" s="37"/>
      <c r="AA3567" s="37"/>
      <c r="AB3567" s="37"/>
      <c r="AC3567" s="37"/>
      <c r="AD3567" s="37"/>
      <c r="AE3567" s="37"/>
      <c r="AF3567" s="37"/>
      <c r="AG3567" s="37"/>
      <c r="AH3567" s="37"/>
      <c r="AI3567" s="37"/>
      <c r="AJ3567" s="37"/>
      <c r="AK3567" s="37"/>
      <c r="AL3567" s="37"/>
      <c r="AM3567" s="37"/>
      <c r="AN3567" s="37"/>
      <c r="AO3567" s="37"/>
      <c r="AP3567" s="37"/>
      <c r="AQ3567" s="37"/>
      <c r="AR3567" s="37"/>
      <c r="AS3567" s="37"/>
      <c r="AT3567" s="37"/>
      <c r="AU3567" s="37"/>
      <c r="AV3567" s="37"/>
      <c r="AW3567" s="37"/>
      <c r="AX3567" s="37"/>
      <c r="AY3567" s="37"/>
      <c r="AZ3567" s="37"/>
      <c r="BA3567" s="37"/>
      <c r="BB3567" s="37"/>
      <c r="BC3567" s="37"/>
      <c r="BD3567" s="37"/>
      <c r="BE3567" s="37"/>
      <c r="BF3567" s="37"/>
      <c r="BG3567" s="37"/>
      <c r="BH3567" s="37"/>
      <c r="BI3567" s="37"/>
      <c r="BJ3567" s="37"/>
      <c r="BK3567" s="37"/>
      <c r="BL3567" s="37"/>
      <c r="BM3567" s="37"/>
    </row>
    <row r="3568" spans="1:65" s="40" customFormat="1" ht="23.25" x14ac:dyDescent="0.35">
      <c r="A3568" s="37"/>
      <c r="B3568" s="37"/>
      <c r="C3568" s="41"/>
      <c r="D3568" s="38"/>
      <c r="E3568" s="57"/>
      <c r="F3568" s="42"/>
      <c r="G3568" s="43"/>
      <c r="H3568" s="37"/>
      <c r="I3568" s="37"/>
      <c r="J3568" s="38"/>
      <c r="K3568" s="37"/>
      <c r="L3568" s="38"/>
      <c r="M3568" s="39"/>
      <c r="P3568" s="37"/>
      <c r="Q3568" s="37"/>
      <c r="R3568" s="37"/>
      <c r="S3568" s="37"/>
      <c r="T3568" s="37"/>
      <c r="U3568" s="37"/>
      <c r="V3568" s="37"/>
      <c r="W3568" s="37"/>
      <c r="X3568" s="37"/>
      <c r="Y3568" s="37"/>
      <c r="Z3568" s="37"/>
      <c r="AA3568" s="37"/>
      <c r="AB3568" s="37"/>
      <c r="AC3568" s="37"/>
      <c r="AD3568" s="37"/>
      <c r="AE3568" s="37"/>
      <c r="AF3568" s="37"/>
      <c r="AG3568" s="37"/>
      <c r="AH3568" s="37"/>
      <c r="AI3568" s="37"/>
      <c r="AJ3568" s="37"/>
      <c r="AK3568" s="37"/>
      <c r="AL3568" s="37"/>
      <c r="AM3568" s="37"/>
      <c r="AN3568" s="37"/>
      <c r="AO3568" s="37"/>
      <c r="AP3568" s="37"/>
      <c r="AQ3568" s="37"/>
      <c r="AR3568" s="37"/>
      <c r="AS3568" s="37"/>
      <c r="AT3568" s="37"/>
      <c r="AU3568" s="37"/>
      <c r="AV3568" s="37"/>
      <c r="AW3568" s="37"/>
      <c r="AX3568" s="37"/>
      <c r="AY3568" s="37"/>
      <c r="AZ3568" s="37"/>
      <c r="BA3568" s="37"/>
      <c r="BB3568" s="37"/>
      <c r="BC3568" s="37"/>
      <c r="BD3568" s="37"/>
      <c r="BE3568" s="37"/>
      <c r="BF3568" s="37"/>
      <c r="BG3568" s="37"/>
      <c r="BH3568" s="37"/>
      <c r="BI3568" s="37"/>
      <c r="BJ3568" s="37"/>
      <c r="BK3568" s="37"/>
      <c r="BL3568" s="37"/>
      <c r="BM3568" s="37"/>
    </row>
    <row r="3569" spans="1:65" s="40" customFormat="1" ht="23.25" x14ac:dyDescent="0.35">
      <c r="A3569" s="37"/>
      <c r="B3569" s="37"/>
      <c r="C3569" s="41"/>
      <c r="D3569" s="38"/>
      <c r="E3569" s="57"/>
      <c r="F3569" s="42"/>
      <c r="G3569" s="43"/>
      <c r="H3569" s="37"/>
      <c r="I3569" s="37"/>
      <c r="J3569" s="38"/>
      <c r="K3569" s="37"/>
      <c r="L3569" s="38"/>
      <c r="M3569" s="39"/>
      <c r="P3569" s="37"/>
      <c r="Q3569" s="37"/>
      <c r="R3569" s="37"/>
      <c r="S3569" s="37"/>
      <c r="T3569" s="37"/>
      <c r="U3569" s="37"/>
      <c r="V3569" s="37"/>
      <c r="W3569" s="37"/>
      <c r="X3569" s="37"/>
      <c r="Y3569" s="37"/>
      <c r="Z3569" s="37"/>
      <c r="AA3569" s="37"/>
      <c r="AB3569" s="37"/>
      <c r="AC3569" s="37"/>
      <c r="AD3569" s="37"/>
      <c r="AE3569" s="37"/>
      <c r="AF3569" s="37"/>
      <c r="AG3569" s="37"/>
      <c r="AH3569" s="37"/>
      <c r="AI3569" s="37"/>
      <c r="AJ3569" s="37"/>
      <c r="AK3569" s="37"/>
      <c r="AL3569" s="37"/>
      <c r="AM3569" s="37"/>
      <c r="AN3569" s="37"/>
      <c r="AO3569" s="37"/>
      <c r="AP3569" s="37"/>
      <c r="AQ3569" s="37"/>
      <c r="AR3569" s="37"/>
      <c r="AS3569" s="37"/>
      <c r="AT3569" s="37"/>
      <c r="AU3569" s="37"/>
      <c r="AV3569" s="37"/>
      <c r="AW3569" s="37"/>
      <c r="AX3569" s="37"/>
      <c r="AY3569" s="37"/>
      <c r="AZ3569" s="37"/>
      <c r="BA3569" s="37"/>
      <c r="BB3569" s="37"/>
      <c r="BC3569" s="37"/>
      <c r="BD3569" s="37"/>
      <c r="BE3569" s="37"/>
      <c r="BF3569" s="37"/>
      <c r="BG3569" s="37"/>
      <c r="BH3569" s="37"/>
      <c r="BI3569" s="37"/>
      <c r="BJ3569" s="37"/>
      <c r="BK3569" s="37"/>
      <c r="BL3569" s="37"/>
      <c r="BM3569" s="37"/>
    </row>
    <row r="3570" spans="1:65" s="40" customFormat="1" ht="23.25" x14ac:dyDescent="0.35">
      <c r="A3570" s="37"/>
      <c r="B3570" s="37"/>
      <c r="C3570" s="41"/>
      <c r="D3570" s="38"/>
      <c r="E3570" s="57"/>
      <c r="F3570" s="42"/>
      <c r="G3570" s="43"/>
      <c r="H3570" s="37"/>
      <c r="I3570" s="37"/>
      <c r="J3570" s="38"/>
      <c r="K3570" s="37"/>
      <c r="L3570" s="38"/>
      <c r="M3570" s="39"/>
      <c r="P3570" s="37"/>
      <c r="Q3570" s="37"/>
      <c r="R3570" s="37"/>
      <c r="S3570" s="37"/>
      <c r="T3570" s="37"/>
      <c r="U3570" s="37"/>
      <c r="V3570" s="37"/>
      <c r="W3570" s="37"/>
      <c r="X3570" s="37"/>
      <c r="Y3570" s="37"/>
      <c r="Z3570" s="37"/>
      <c r="AA3570" s="37"/>
      <c r="AB3570" s="37"/>
      <c r="AC3570" s="37"/>
      <c r="AD3570" s="37"/>
      <c r="AE3570" s="37"/>
      <c r="AF3570" s="37"/>
      <c r="AG3570" s="37"/>
      <c r="AH3570" s="37"/>
      <c r="AI3570" s="37"/>
      <c r="AJ3570" s="37"/>
      <c r="AK3570" s="37"/>
      <c r="AL3570" s="37"/>
      <c r="AM3570" s="37"/>
      <c r="AN3570" s="37"/>
      <c r="AO3570" s="37"/>
      <c r="AP3570" s="37"/>
      <c r="AQ3570" s="37"/>
      <c r="AR3570" s="37"/>
      <c r="AS3570" s="37"/>
      <c r="AT3570" s="37"/>
      <c r="AU3570" s="37"/>
      <c r="AV3570" s="37"/>
      <c r="AW3570" s="37"/>
      <c r="AX3570" s="37"/>
      <c r="AY3570" s="37"/>
      <c r="AZ3570" s="37"/>
      <c r="BA3570" s="37"/>
      <c r="BB3570" s="37"/>
      <c r="BC3570" s="37"/>
      <c r="BD3570" s="37"/>
      <c r="BE3570" s="37"/>
      <c r="BF3570" s="37"/>
      <c r="BG3570" s="37"/>
      <c r="BH3570" s="37"/>
      <c r="BI3570" s="37"/>
      <c r="BJ3570" s="37"/>
      <c r="BK3570" s="37"/>
      <c r="BL3570" s="37"/>
      <c r="BM3570" s="37"/>
    </row>
    <row r="3571" spans="1:65" s="40" customFormat="1" ht="23.25" x14ac:dyDescent="0.35">
      <c r="A3571" s="37"/>
      <c r="B3571" s="37"/>
      <c r="C3571" s="41"/>
      <c r="D3571" s="38"/>
      <c r="E3571" s="57"/>
      <c r="F3571" s="42"/>
      <c r="G3571" s="43"/>
      <c r="H3571" s="37"/>
      <c r="I3571" s="37"/>
      <c r="J3571" s="38"/>
      <c r="K3571" s="37"/>
      <c r="L3571" s="38"/>
      <c r="M3571" s="39"/>
      <c r="P3571" s="37"/>
      <c r="Q3571" s="37"/>
      <c r="R3571" s="37"/>
      <c r="S3571" s="37"/>
      <c r="T3571" s="37"/>
      <c r="U3571" s="37"/>
      <c r="V3571" s="37"/>
      <c r="W3571" s="37"/>
      <c r="X3571" s="37"/>
      <c r="Y3571" s="37"/>
      <c r="Z3571" s="37"/>
      <c r="AA3571" s="37"/>
      <c r="AB3571" s="37"/>
      <c r="AC3571" s="37"/>
      <c r="AD3571" s="37"/>
      <c r="AE3571" s="37"/>
      <c r="AF3571" s="37"/>
      <c r="AG3571" s="37"/>
      <c r="AH3571" s="37"/>
      <c r="AI3571" s="37"/>
      <c r="AJ3571" s="37"/>
      <c r="AK3571" s="37"/>
      <c r="AL3571" s="37"/>
      <c r="AM3571" s="37"/>
      <c r="AN3571" s="37"/>
      <c r="AO3571" s="37"/>
      <c r="AP3571" s="37"/>
      <c r="AQ3571" s="37"/>
      <c r="AR3571" s="37"/>
      <c r="AS3571" s="37"/>
      <c r="AT3571" s="37"/>
      <c r="AU3571" s="37"/>
      <c r="AV3571" s="37"/>
      <c r="AW3571" s="37"/>
      <c r="AX3571" s="37"/>
      <c r="AY3571" s="37"/>
      <c r="AZ3571" s="37"/>
      <c r="BA3571" s="37"/>
      <c r="BB3571" s="37"/>
      <c r="BC3571" s="37"/>
      <c r="BD3571" s="37"/>
      <c r="BE3571" s="37"/>
      <c r="BF3571" s="37"/>
      <c r="BG3571" s="37"/>
      <c r="BH3571" s="37"/>
      <c r="BI3571" s="37"/>
      <c r="BJ3571" s="37"/>
      <c r="BK3571" s="37"/>
      <c r="BL3571" s="37"/>
      <c r="BM3571" s="37"/>
    </row>
    <row r="3572" spans="1:65" s="40" customFormat="1" ht="23.25" x14ac:dyDescent="0.35">
      <c r="A3572" s="37"/>
      <c r="B3572" s="37"/>
      <c r="C3572" s="41"/>
      <c r="D3572" s="38"/>
      <c r="E3572" s="57"/>
      <c r="F3572" s="42"/>
      <c r="G3572" s="43"/>
      <c r="H3572" s="37"/>
      <c r="I3572" s="37"/>
      <c r="J3572" s="38"/>
      <c r="K3572" s="37"/>
      <c r="L3572" s="38"/>
      <c r="M3572" s="39"/>
      <c r="P3572" s="37"/>
      <c r="Q3572" s="37"/>
      <c r="R3572" s="37"/>
      <c r="S3572" s="37"/>
      <c r="T3572" s="37"/>
      <c r="U3572" s="37"/>
      <c r="V3572" s="37"/>
      <c r="W3572" s="37"/>
      <c r="X3572" s="37"/>
      <c r="Y3572" s="37"/>
      <c r="Z3572" s="37"/>
      <c r="AA3572" s="37"/>
      <c r="AB3572" s="37"/>
      <c r="AC3572" s="37"/>
      <c r="AD3572" s="37"/>
      <c r="AE3572" s="37"/>
      <c r="AF3572" s="37"/>
      <c r="AG3572" s="37"/>
      <c r="AH3572" s="37"/>
      <c r="AI3572" s="37"/>
      <c r="AJ3572" s="37"/>
      <c r="AK3572" s="37"/>
      <c r="AL3572" s="37"/>
      <c r="AM3572" s="37"/>
      <c r="AN3572" s="37"/>
      <c r="AO3572" s="37"/>
      <c r="AP3572" s="37"/>
      <c r="AQ3572" s="37"/>
      <c r="AR3572" s="37"/>
      <c r="AS3572" s="37"/>
      <c r="AT3572" s="37"/>
      <c r="AU3572" s="37"/>
      <c r="AV3572" s="37"/>
      <c r="AW3572" s="37"/>
      <c r="AX3572" s="37"/>
      <c r="AY3572" s="37"/>
      <c r="AZ3572" s="37"/>
      <c r="BA3572" s="37"/>
      <c r="BB3572" s="37"/>
      <c r="BC3572" s="37"/>
      <c r="BD3572" s="37"/>
      <c r="BE3572" s="37"/>
      <c r="BF3572" s="37"/>
      <c r="BG3572" s="37"/>
      <c r="BH3572" s="37"/>
      <c r="BI3572" s="37"/>
      <c r="BJ3572" s="37"/>
      <c r="BK3572" s="37"/>
      <c r="BL3572" s="37"/>
      <c r="BM3572" s="37"/>
    </row>
    <row r="3573" spans="1:65" s="40" customFormat="1" ht="23.25" x14ac:dyDescent="0.35">
      <c r="A3573" s="37"/>
      <c r="B3573" s="37"/>
      <c r="C3573" s="41"/>
      <c r="D3573" s="38"/>
      <c r="E3573" s="57"/>
      <c r="F3573" s="42"/>
      <c r="G3573" s="43"/>
      <c r="H3573" s="37"/>
      <c r="I3573" s="37"/>
      <c r="J3573" s="38"/>
      <c r="K3573" s="37"/>
      <c r="L3573" s="38"/>
      <c r="M3573" s="39"/>
      <c r="P3573" s="37"/>
      <c r="Q3573" s="37"/>
      <c r="R3573" s="37"/>
      <c r="S3573" s="37"/>
      <c r="T3573" s="37"/>
      <c r="U3573" s="37"/>
      <c r="V3573" s="37"/>
      <c r="W3573" s="37"/>
      <c r="X3573" s="37"/>
      <c r="Y3573" s="37"/>
      <c r="Z3573" s="37"/>
      <c r="AA3573" s="37"/>
      <c r="AB3573" s="37"/>
      <c r="AC3573" s="37"/>
      <c r="AD3573" s="37"/>
      <c r="AE3573" s="37"/>
      <c r="AF3573" s="37"/>
      <c r="AG3573" s="37"/>
      <c r="AH3573" s="37"/>
      <c r="AI3573" s="37"/>
      <c r="AJ3573" s="37"/>
      <c r="AK3573" s="37"/>
      <c r="AL3573" s="37"/>
      <c r="AM3573" s="37"/>
      <c r="AN3573" s="37"/>
      <c r="AO3573" s="37"/>
      <c r="AP3573" s="37"/>
      <c r="AQ3573" s="37"/>
      <c r="AR3573" s="37"/>
      <c r="AS3573" s="37"/>
      <c r="AT3573" s="37"/>
      <c r="AU3573" s="37"/>
      <c r="AV3573" s="37"/>
      <c r="AW3573" s="37"/>
      <c r="AX3573" s="37"/>
      <c r="AY3573" s="37"/>
      <c r="AZ3573" s="37"/>
      <c r="BA3573" s="37"/>
      <c r="BB3573" s="37"/>
      <c r="BC3573" s="37"/>
      <c r="BD3573" s="37"/>
      <c r="BE3573" s="37"/>
      <c r="BF3573" s="37"/>
      <c r="BG3573" s="37"/>
      <c r="BH3573" s="37"/>
      <c r="BI3573" s="37"/>
      <c r="BJ3573" s="37"/>
      <c r="BK3573" s="37"/>
      <c r="BL3573" s="37"/>
      <c r="BM3573" s="37"/>
    </row>
    <row r="3574" spans="1:65" s="40" customFormat="1" ht="23.25" x14ac:dyDescent="0.35">
      <c r="A3574" s="37"/>
      <c r="B3574" s="37"/>
      <c r="C3574" s="41"/>
      <c r="D3574" s="38"/>
      <c r="E3574" s="57"/>
      <c r="F3574" s="42"/>
      <c r="G3574" s="43"/>
      <c r="H3574" s="37"/>
      <c r="I3574" s="37"/>
      <c r="J3574" s="38"/>
      <c r="K3574" s="37"/>
      <c r="L3574" s="38"/>
      <c r="M3574" s="39"/>
      <c r="P3574" s="37"/>
      <c r="Q3574" s="37"/>
      <c r="R3574" s="37"/>
      <c r="S3574" s="37"/>
      <c r="T3574" s="37"/>
      <c r="U3574" s="37"/>
      <c r="V3574" s="37"/>
      <c r="W3574" s="37"/>
      <c r="X3574" s="37"/>
      <c r="Y3574" s="37"/>
      <c r="Z3574" s="37"/>
      <c r="AA3574" s="37"/>
      <c r="AB3574" s="37"/>
      <c r="AC3574" s="37"/>
      <c r="AD3574" s="37"/>
      <c r="AE3574" s="37"/>
      <c r="AF3574" s="37"/>
      <c r="AG3574" s="37"/>
      <c r="AH3574" s="37"/>
      <c r="AI3574" s="37"/>
      <c r="AJ3574" s="37"/>
      <c r="AK3574" s="37"/>
      <c r="AL3574" s="37"/>
      <c r="AM3574" s="37"/>
      <c r="AN3574" s="37"/>
      <c r="AO3574" s="37"/>
      <c r="AP3574" s="37"/>
      <c r="AQ3574" s="37"/>
      <c r="AR3574" s="37"/>
      <c r="AS3574" s="37"/>
      <c r="AT3574" s="37"/>
      <c r="AU3574" s="37"/>
      <c r="AV3574" s="37"/>
      <c r="AW3574" s="37"/>
      <c r="AX3574" s="37"/>
      <c r="AY3574" s="37"/>
      <c r="AZ3574" s="37"/>
      <c r="BA3574" s="37"/>
      <c r="BB3574" s="37"/>
      <c r="BC3574" s="37"/>
      <c r="BD3574" s="37"/>
      <c r="BE3574" s="37"/>
      <c r="BF3574" s="37"/>
      <c r="BG3574" s="37"/>
      <c r="BH3574" s="37"/>
      <c r="BI3574" s="37"/>
      <c r="BJ3574" s="37"/>
      <c r="BK3574" s="37"/>
      <c r="BL3574" s="37"/>
      <c r="BM3574" s="37"/>
    </row>
    <row r="3575" spans="1:65" s="40" customFormat="1" ht="23.25" x14ac:dyDescent="0.35">
      <c r="A3575" s="37"/>
      <c r="B3575" s="37"/>
      <c r="C3575" s="41"/>
      <c r="D3575" s="38"/>
      <c r="E3575" s="57"/>
      <c r="F3575" s="42"/>
      <c r="G3575" s="43"/>
      <c r="H3575" s="37"/>
      <c r="I3575" s="37"/>
      <c r="J3575" s="38"/>
      <c r="K3575" s="37"/>
      <c r="L3575" s="38"/>
      <c r="M3575" s="39"/>
      <c r="P3575" s="37"/>
      <c r="Q3575" s="37"/>
      <c r="R3575" s="37"/>
      <c r="S3575" s="37"/>
      <c r="T3575" s="37"/>
      <c r="U3575" s="37"/>
      <c r="V3575" s="37"/>
      <c r="W3575" s="37"/>
      <c r="X3575" s="37"/>
      <c r="Y3575" s="37"/>
      <c r="Z3575" s="37"/>
      <c r="AA3575" s="37"/>
      <c r="AB3575" s="37"/>
      <c r="AC3575" s="37"/>
      <c r="AD3575" s="37"/>
      <c r="AE3575" s="37"/>
      <c r="AF3575" s="37"/>
      <c r="AG3575" s="37"/>
      <c r="AH3575" s="37"/>
      <c r="AI3575" s="37"/>
      <c r="AJ3575" s="37"/>
      <c r="AK3575" s="37"/>
      <c r="AL3575" s="37"/>
      <c r="AM3575" s="37"/>
      <c r="AN3575" s="37"/>
      <c r="AO3575" s="37"/>
      <c r="AP3575" s="37"/>
      <c r="AQ3575" s="37"/>
      <c r="AR3575" s="37"/>
      <c r="AS3575" s="37"/>
      <c r="AT3575" s="37"/>
      <c r="AU3575" s="37"/>
      <c r="AV3575" s="37"/>
      <c r="AW3575" s="37"/>
      <c r="AX3575" s="37"/>
      <c r="AY3575" s="37"/>
      <c r="AZ3575" s="37"/>
      <c r="BA3575" s="37"/>
      <c r="BB3575" s="37"/>
      <c r="BC3575" s="37"/>
      <c r="BD3575" s="37"/>
      <c r="BE3575" s="37"/>
      <c r="BF3575" s="37"/>
      <c r="BG3575" s="37"/>
      <c r="BH3575" s="37"/>
      <c r="BI3575" s="37"/>
      <c r="BJ3575" s="37"/>
      <c r="BK3575" s="37"/>
      <c r="BL3575" s="37"/>
      <c r="BM3575" s="37"/>
    </row>
    <row r="3576" spans="1:65" s="40" customFormat="1" ht="23.25" x14ac:dyDescent="0.35">
      <c r="A3576" s="37"/>
      <c r="B3576" s="37"/>
      <c r="C3576" s="41"/>
      <c r="D3576" s="38"/>
      <c r="E3576" s="57"/>
      <c r="F3576" s="42"/>
      <c r="G3576" s="43"/>
      <c r="H3576" s="37"/>
      <c r="I3576" s="37"/>
      <c r="J3576" s="38"/>
      <c r="K3576" s="37"/>
      <c r="L3576" s="38"/>
      <c r="M3576" s="39"/>
      <c r="P3576" s="37"/>
      <c r="Q3576" s="37"/>
      <c r="R3576" s="37"/>
      <c r="S3576" s="37"/>
      <c r="T3576" s="37"/>
      <c r="U3576" s="37"/>
      <c r="V3576" s="37"/>
      <c r="W3576" s="37"/>
      <c r="X3576" s="37"/>
      <c r="Y3576" s="37"/>
      <c r="Z3576" s="37"/>
      <c r="AA3576" s="37"/>
      <c r="AB3576" s="37"/>
      <c r="AC3576" s="37"/>
      <c r="AD3576" s="37"/>
      <c r="AE3576" s="37"/>
      <c r="AF3576" s="37"/>
      <c r="AG3576" s="37"/>
      <c r="AH3576" s="37"/>
      <c r="AI3576" s="37"/>
      <c r="AJ3576" s="37"/>
      <c r="AK3576" s="37"/>
      <c r="AL3576" s="37"/>
      <c r="AM3576" s="37"/>
      <c r="AN3576" s="37"/>
      <c r="AO3576" s="37"/>
      <c r="AP3576" s="37"/>
      <c r="AQ3576" s="37"/>
      <c r="AR3576" s="37"/>
      <c r="AS3576" s="37"/>
      <c r="AT3576" s="37"/>
      <c r="AU3576" s="37"/>
      <c r="AV3576" s="37"/>
      <c r="AW3576" s="37"/>
      <c r="AX3576" s="37"/>
      <c r="AY3576" s="37"/>
      <c r="AZ3576" s="37"/>
      <c r="BA3576" s="37"/>
      <c r="BB3576" s="37"/>
      <c r="BC3576" s="37"/>
      <c r="BD3576" s="37"/>
      <c r="BE3576" s="37"/>
      <c r="BF3576" s="37"/>
      <c r="BG3576" s="37"/>
      <c r="BH3576" s="37"/>
      <c r="BI3576" s="37"/>
      <c r="BJ3576" s="37"/>
      <c r="BK3576" s="37"/>
      <c r="BL3576" s="37"/>
      <c r="BM3576" s="37"/>
    </row>
    <row r="3577" spans="1:65" s="40" customFormat="1" ht="23.25" x14ac:dyDescent="0.35">
      <c r="A3577" s="37"/>
      <c r="B3577" s="37"/>
      <c r="C3577" s="41"/>
      <c r="D3577" s="38"/>
      <c r="E3577" s="57"/>
      <c r="F3577" s="42"/>
      <c r="G3577" s="43"/>
      <c r="H3577" s="37"/>
      <c r="I3577" s="37"/>
      <c r="J3577" s="38"/>
      <c r="K3577" s="37"/>
      <c r="L3577" s="38"/>
      <c r="M3577" s="39"/>
      <c r="P3577" s="37"/>
      <c r="Q3577" s="37"/>
      <c r="R3577" s="37"/>
      <c r="S3577" s="37"/>
      <c r="T3577" s="37"/>
      <c r="U3577" s="37"/>
      <c r="V3577" s="37"/>
      <c r="W3577" s="37"/>
      <c r="X3577" s="37"/>
      <c r="Y3577" s="37"/>
      <c r="Z3577" s="37"/>
      <c r="AA3577" s="37"/>
      <c r="AB3577" s="37"/>
      <c r="AC3577" s="37"/>
      <c r="AD3577" s="37"/>
      <c r="AE3577" s="37"/>
      <c r="AF3577" s="37"/>
      <c r="AG3577" s="37"/>
      <c r="AH3577" s="37"/>
      <c r="AI3577" s="37"/>
      <c r="AJ3577" s="37"/>
      <c r="AK3577" s="37"/>
      <c r="AL3577" s="37"/>
      <c r="AM3577" s="37"/>
      <c r="AN3577" s="37"/>
      <c r="AO3577" s="37"/>
      <c r="AP3577" s="37"/>
      <c r="AQ3577" s="37"/>
      <c r="AR3577" s="37"/>
      <c r="AS3577" s="37"/>
      <c r="AT3577" s="37"/>
      <c r="AU3577" s="37"/>
      <c r="AV3577" s="37"/>
      <c r="AW3577" s="37"/>
      <c r="AX3577" s="37"/>
      <c r="AY3577" s="37"/>
      <c r="AZ3577" s="37"/>
      <c r="BA3577" s="37"/>
      <c r="BB3577" s="37"/>
      <c r="BC3577" s="37"/>
      <c r="BD3577" s="37"/>
      <c r="BE3577" s="37"/>
      <c r="BF3577" s="37"/>
      <c r="BG3577" s="37"/>
      <c r="BH3577" s="37"/>
      <c r="BI3577" s="37"/>
      <c r="BJ3577" s="37"/>
      <c r="BK3577" s="37"/>
      <c r="BL3577" s="37"/>
      <c r="BM3577" s="37"/>
    </row>
    <row r="3578" spans="1:65" s="40" customFormat="1" ht="23.25" x14ac:dyDescent="0.35">
      <c r="A3578" s="37"/>
      <c r="B3578" s="37"/>
      <c r="C3578" s="41"/>
      <c r="D3578" s="38"/>
      <c r="E3578" s="57"/>
      <c r="F3578" s="42"/>
      <c r="G3578" s="43"/>
      <c r="H3578" s="37"/>
      <c r="I3578" s="37"/>
      <c r="J3578" s="38"/>
      <c r="K3578" s="37"/>
      <c r="L3578" s="38"/>
      <c r="M3578" s="39"/>
      <c r="P3578" s="37"/>
      <c r="Q3578" s="37"/>
      <c r="R3578" s="37"/>
      <c r="S3578" s="37"/>
      <c r="T3578" s="37"/>
      <c r="U3578" s="37"/>
      <c r="V3578" s="37"/>
      <c r="W3578" s="37"/>
      <c r="X3578" s="37"/>
      <c r="Y3578" s="37"/>
      <c r="Z3578" s="37"/>
      <c r="AA3578" s="37"/>
      <c r="AB3578" s="37"/>
      <c r="AC3578" s="37"/>
      <c r="AD3578" s="37"/>
      <c r="AE3578" s="37"/>
      <c r="AF3578" s="37"/>
      <c r="AG3578" s="37"/>
      <c r="AH3578" s="37"/>
      <c r="AI3578" s="37"/>
      <c r="AJ3578" s="37"/>
      <c r="AK3578" s="37"/>
      <c r="AL3578" s="37"/>
      <c r="AM3578" s="37"/>
      <c r="AN3578" s="37"/>
      <c r="AO3578" s="37"/>
      <c r="AP3578" s="37"/>
      <c r="AQ3578" s="37"/>
      <c r="AR3578" s="37"/>
      <c r="AS3578" s="37"/>
      <c r="AT3578" s="37"/>
      <c r="AU3578" s="37"/>
      <c r="AV3578" s="37"/>
      <c r="AW3578" s="37"/>
      <c r="AX3578" s="37"/>
      <c r="AY3578" s="37"/>
      <c r="AZ3578" s="37"/>
      <c r="BA3578" s="37"/>
      <c r="BB3578" s="37"/>
      <c r="BC3578" s="37"/>
      <c r="BD3578" s="37"/>
      <c r="BE3578" s="37"/>
      <c r="BF3578" s="37"/>
      <c r="BG3578" s="37"/>
      <c r="BH3578" s="37"/>
      <c r="BI3578" s="37"/>
      <c r="BJ3578" s="37"/>
      <c r="BK3578" s="37"/>
      <c r="BL3578" s="37"/>
      <c r="BM3578" s="37"/>
    </row>
    <row r="3579" spans="1:65" s="40" customFormat="1" ht="23.25" x14ac:dyDescent="0.35">
      <c r="A3579" s="37"/>
      <c r="B3579" s="37"/>
      <c r="C3579" s="41"/>
      <c r="D3579" s="38"/>
      <c r="E3579" s="57"/>
      <c r="F3579" s="42"/>
      <c r="G3579" s="43"/>
      <c r="H3579" s="37"/>
      <c r="I3579" s="37"/>
      <c r="J3579" s="38"/>
      <c r="K3579" s="37"/>
      <c r="L3579" s="38"/>
      <c r="M3579" s="39"/>
      <c r="P3579" s="37"/>
      <c r="Q3579" s="37"/>
      <c r="R3579" s="37"/>
      <c r="S3579" s="37"/>
      <c r="T3579" s="37"/>
      <c r="U3579" s="37"/>
      <c r="V3579" s="37"/>
      <c r="W3579" s="37"/>
      <c r="X3579" s="37"/>
      <c r="Y3579" s="37"/>
      <c r="Z3579" s="37"/>
      <c r="AA3579" s="37"/>
      <c r="AB3579" s="37"/>
      <c r="AC3579" s="37"/>
      <c r="AD3579" s="37"/>
      <c r="AE3579" s="37"/>
      <c r="AF3579" s="37"/>
      <c r="AG3579" s="37"/>
      <c r="AH3579" s="37"/>
      <c r="AI3579" s="37"/>
      <c r="AJ3579" s="37"/>
      <c r="AK3579" s="37"/>
      <c r="AL3579" s="37"/>
      <c r="AM3579" s="37"/>
      <c r="AN3579" s="37"/>
      <c r="AO3579" s="37"/>
      <c r="AP3579" s="37"/>
      <c r="AQ3579" s="37"/>
      <c r="AR3579" s="37"/>
      <c r="AS3579" s="37"/>
      <c r="AT3579" s="37"/>
      <c r="AU3579" s="37"/>
      <c r="AV3579" s="37"/>
      <c r="AW3579" s="37"/>
      <c r="AX3579" s="37"/>
      <c r="AY3579" s="37"/>
      <c r="AZ3579" s="37"/>
      <c r="BA3579" s="37"/>
      <c r="BB3579" s="37"/>
      <c r="BC3579" s="37"/>
      <c r="BD3579" s="37"/>
      <c r="BE3579" s="37"/>
      <c r="BF3579" s="37"/>
      <c r="BG3579" s="37"/>
      <c r="BH3579" s="37"/>
      <c r="BI3579" s="37"/>
      <c r="BJ3579" s="37"/>
      <c r="BK3579" s="37"/>
      <c r="BL3579" s="37"/>
      <c r="BM3579" s="37"/>
    </row>
    <row r="3580" spans="1:65" s="40" customFormat="1" ht="23.25" x14ac:dyDescent="0.35">
      <c r="A3580" s="37"/>
      <c r="B3580" s="37"/>
      <c r="C3580" s="41"/>
      <c r="D3580" s="38"/>
      <c r="E3580" s="57"/>
      <c r="F3580" s="42"/>
      <c r="G3580" s="43"/>
      <c r="H3580" s="37"/>
      <c r="I3580" s="37"/>
      <c r="J3580" s="38"/>
      <c r="K3580" s="37"/>
      <c r="L3580" s="38"/>
      <c r="M3580" s="39"/>
      <c r="P3580" s="37"/>
      <c r="Q3580" s="37"/>
      <c r="R3580" s="37"/>
      <c r="S3580" s="37"/>
      <c r="T3580" s="37"/>
      <c r="U3580" s="37"/>
      <c r="V3580" s="37"/>
      <c r="W3580" s="37"/>
      <c r="X3580" s="37"/>
      <c r="Y3580" s="37"/>
      <c r="Z3580" s="37"/>
      <c r="AA3580" s="37"/>
      <c r="AB3580" s="37"/>
      <c r="AC3580" s="37"/>
      <c r="AD3580" s="37"/>
      <c r="AE3580" s="37"/>
      <c r="AF3580" s="37"/>
      <c r="AG3580" s="37"/>
      <c r="AH3580" s="37"/>
      <c r="AI3580" s="37"/>
      <c r="AJ3580" s="37"/>
      <c r="AK3580" s="37"/>
      <c r="AL3580" s="37"/>
      <c r="AM3580" s="37"/>
      <c r="AN3580" s="37"/>
      <c r="AO3580" s="37"/>
      <c r="AP3580" s="37"/>
      <c r="AQ3580" s="37"/>
      <c r="AR3580" s="37"/>
      <c r="AS3580" s="37"/>
      <c r="AT3580" s="37"/>
      <c r="AU3580" s="37"/>
      <c r="AV3580" s="37"/>
      <c r="AW3580" s="37"/>
      <c r="AX3580" s="37"/>
      <c r="AY3580" s="37"/>
      <c r="AZ3580" s="37"/>
      <c r="BA3580" s="37"/>
      <c r="BB3580" s="37"/>
      <c r="BC3580" s="37"/>
      <c r="BD3580" s="37"/>
      <c r="BE3580" s="37"/>
      <c r="BF3580" s="37"/>
      <c r="BG3580" s="37"/>
      <c r="BH3580" s="37"/>
      <c r="BI3580" s="37"/>
      <c r="BJ3580" s="37"/>
      <c r="BK3580" s="37"/>
      <c r="BL3580" s="37"/>
      <c r="BM3580" s="37"/>
    </row>
    <row r="3581" spans="1:65" s="40" customFormat="1" ht="23.25" x14ac:dyDescent="0.35">
      <c r="A3581" s="37"/>
      <c r="B3581" s="37"/>
      <c r="C3581" s="41"/>
      <c r="D3581" s="38"/>
      <c r="E3581" s="57"/>
      <c r="F3581" s="42"/>
      <c r="G3581" s="43"/>
      <c r="H3581" s="37"/>
      <c r="I3581" s="37"/>
      <c r="J3581" s="38"/>
      <c r="K3581" s="37"/>
      <c r="L3581" s="38"/>
      <c r="M3581" s="39"/>
      <c r="P3581" s="37"/>
      <c r="Q3581" s="37"/>
      <c r="R3581" s="37"/>
      <c r="S3581" s="37"/>
      <c r="T3581" s="37"/>
      <c r="U3581" s="37"/>
      <c r="V3581" s="37"/>
      <c r="W3581" s="37"/>
      <c r="X3581" s="37"/>
      <c r="Y3581" s="37"/>
      <c r="Z3581" s="37"/>
      <c r="AA3581" s="37"/>
      <c r="AB3581" s="37"/>
      <c r="AC3581" s="37"/>
      <c r="AD3581" s="37"/>
      <c r="AE3581" s="37"/>
      <c r="AF3581" s="37"/>
      <c r="AG3581" s="37"/>
      <c r="AH3581" s="37"/>
      <c r="AI3581" s="37"/>
      <c r="AJ3581" s="37"/>
      <c r="AK3581" s="37"/>
      <c r="AL3581" s="37"/>
      <c r="AM3581" s="37"/>
      <c r="AN3581" s="37"/>
      <c r="AO3581" s="37"/>
      <c r="AP3581" s="37"/>
      <c r="AQ3581" s="37"/>
      <c r="AR3581" s="37"/>
      <c r="AS3581" s="37"/>
      <c r="AT3581" s="37"/>
      <c r="AU3581" s="37"/>
      <c r="AV3581" s="37"/>
      <c r="AW3581" s="37"/>
      <c r="AX3581" s="37"/>
      <c r="AY3581" s="37"/>
      <c r="AZ3581" s="37"/>
      <c r="BA3581" s="37"/>
      <c r="BB3581" s="37"/>
      <c r="BC3581" s="37"/>
      <c r="BD3581" s="37"/>
      <c r="BE3581" s="37"/>
      <c r="BF3581" s="37"/>
      <c r="BG3581" s="37"/>
      <c r="BH3581" s="37"/>
      <c r="BI3581" s="37"/>
      <c r="BJ3581" s="37"/>
      <c r="BK3581" s="37"/>
      <c r="BL3581" s="37"/>
      <c r="BM3581" s="37"/>
    </row>
    <row r="3582" spans="1:65" s="40" customFormat="1" ht="23.25" x14ac:dyDescent="0.35">
      <c r="A3582" s="37"/>
      <c r="B3582" s="37"/>
      <c r="C3582" s="41"/>
      <c r="D3582" s="38"/>
      <c r="E3582" s="57"/>
      <c r="F3582" s="42"/>
      <c r="G3582" s="43"/>
      <c r="H3582" s="37"/>
      <c r="I3582" s="37"/>
      <c r="J3582" s="38"/>
      <c r="K3582" s="37"/>
      <c r="L3582" s="38"/>
      <c r="M3582" s="39"/>
      <c r="P3582" s="37"/>
      <c r="Q3582" s="37"/>
      <c r="R3582" s="37"/>
      <c r="S3582" s="37"/>
      <c r="T3582" s="37"/>
      <c r="U3582" s="37"/>
      <c r="V3582" s="37"/>
      <c r="W3582" s="37"/>
      <c r="X3582" s="37"/>
      <c r="Y3582" s="37"/>
      <c r="Z3582" s="37"/>
      <c r="AA3582" s="37"/>
      <c r="AB3582" s="37"/>
      <c r="AC3582" s="37"/>
      <c r="AD3582" s="37"/>
      <c r="AE3582" s="37"/>
      <c r="AF3582" s="37"/>
      <c r="AG3582" s="37"/>
      <c r="AH3582" s="37"/>
      <c r="AI3582" s="37"/>
      <c r="AJ3582" s="37"/>
      <c r="AK3582" s="37"/>
      <c r="AL3582" s="37"/>
      <c r="AM3582" s="37"/>
      <c r="AN3582" s="37"/>
      <c r="AO3582" s="37"/>
      <c r="AP3582" s="37"/>
      <c r="AQ3582" s="37"/>
      <c r="AR3582" s="37"/>
      <c r="AS3582" s="37"/>
      <c r="AT3582" s="37"/>
      <c r="AU3582" s="37"/>
      <c r="AV3582" s="37"/>
      <c r="AW3582" s="37"/>
      <c r="AX3582" s="37"/>
      <c r="AY3582" s="37"/>
      <c r="AZ3582" s="37"/>
      <c r="BA3582" s="37"/>
      <c r="BB3582" s="37"/>
      <c r="BC3582" s="37"/>
      <c r="BD3582" s="37"/>
      <c r="BE3582" s="37"/>
      <c r="BF3582" s="37"/>
      <c r="BG3582" s="37"/>
      <c r="BH3582" s="37"/>
      <c r="BI3582" s="37"/>
      <c r="BJ3582" s="37"/>
      <c r="BK3582" s="37"/>
      <c r="BL3582" s="37"/>
      <c r="BM3582" s="37"/>
    </row>
    <row r="3583" spans="1:65" s="40" customFormat="1" ht="23.25" x14ac:dyDescent="0.35">
      <c r="A3583" s="37"/>
      <c r="B3583" s="37"/>
      <c r="C3583" s="41"/>
      <c r="D3583" s="38"/>
      <c r="E3583" s="57"/>
      <c r="F3583" s="42"/>
      <c r="G3583" s="43"/>
      <c r="H3583" s="37"/>
      <c r="I3583" s="37"/>
      <c r="J3583" s="38"/>
      <c r="K3583" s="37"/>
      <c r="L3583" s="38"/>
      <c r="M3583" s="39"/>
      <c r="P3583" s="37"/>
      <c r="Q3583" s="37"/>
      <c r="R3583" s="37"/>
      <c r="S3583" s="37"/>
      <c r="T3583" s="37"/>
      <c r="U3583" s="37"/>
      <c r="V3583" s="37"/>
      <c r="W3583" s="37"/>
      <c r="X3583" s="37"/>
      <c r="Y3583" s="37"/>
      <c r="Z3583" s="37"/>
      <c r="AA3583" s="37"/>
      <c r="AB3583" s="37"/>
      <c r="AC3583" s="37"/>
      <c r="AD3583" s="37"/>
      <c r="AE3583" s="37"/>
      <c r="AF3583" s="37"/>
      <c r="AG3583" s="37"/>
      <c r="AH3583" s="37"/>
      <c r="AI3583" s="37"/>
      <c r="AJ3583" s="37"/>
      <c r="AK3583" s="37"/>
      <c r="AL3583" s="37"/>
      <c r="AM3583" s="37"/>
      <c r="AN3583" s="37"/>
      <c r="AO3583" s="37"/>
      <c r="AP3583" s="37"/>
      <c r="AQ3583" s="37"/>
      <c r="AR3583" s="37"/>
      <c r="AS3583" s="37"/>
      <c r="AT3583" s="37"/>
      <c r="AU3583" s="37"/>
      <c r="AV3583" s="37"/>
      <c r="AW3583" s="37"/>
      <c r="AX3583" s="37"/>
      <c r="AY3583" s="37"/>
      <c r="AZ3583" s="37"/>
      <c r="BA3583" s="37"/>
      <c r="BB3583" s="37"/>
      <c r="BC3583" s="37"/>
      <c r="BD3583" s="37"/>
      <c r="BE3583" s="37"/>
      <c r="BF3583" s="37"/>
      <c r="BG3583" s="37"/>
      <c r="BH3583" s="37"/>
      <c r="BI3583" s="37"/>
      <c r="BJ3583" s="37"/>
      <c r="BK3583" s="37"/>
      <c r="BL3583" s="37"/>
      <c r="BM3583" s="37"/>
    </row>
    <row r="3584" spans="1:65" s="40" customFormat="1" ht="23.25" x14ac:dyDescent="0.35">
      <c r="A3584" s="37"/>
      <c r="B3584" s="37"/>
      <c r="C3584" s="41"/>
      <c r="D3584" s="38"/>
      <c r="E3584" s="57"/>
      <c r="F3584" s="42"/>
      <c r="G3584" s="43"/>
      <c r="H3584" s="37"/>
      <c r="I3584" s="37"/>
      <c r="J3584" s="38"/>
      <c r="K3584" s="37"/>
      <c r="L3584" s="38"/>
      <c r="M3584" s="39"/>
      <c r="P3584" s="37"/>
      <c r="Q3584" s="37"/>
      <c r="R3584" s="37"/>
      <c r="S3584" s="37"/>
      <c r="T3584" s="37"/>
      <c r="U3584" s="37"/>
      <c r="V3584" s="37"/>
      <c r="W3584" s="37"/>
      <c r="X3584" s="37"/>
      <c r="Y3584" s="37"/>
      <c r="Z3584" s="37"/>
      <c r="AA3584" s="37"/>
      <c r="AB3584" s="37"/>
      <c r="AC3584" s="37"/>
      <c r="AD3584" s="37"/>
      <c r="AE3584" s="37"/>
      <c r="AF3584" s="37"/>
      <c r="AG3584" s="37"/>
      <c r="AH3584" s="37"/>
      <c r="AI3584" s="37"/>
      <c r="AJ3584" s="37"/>
      <c r="AK3584" s="37"/>
      <c r="AL3584" s="37"/>
      <c r="AM3584" s="37"/>
      <c r="AN3584" s="37"/>
      <c r="AO3584" s="37"/>
      <c r="AP3584" s="37"/>
      <c r="AQ3584" s="37"/>
      <c r="AR3584" s="37"/>
      <c r="AS3584" s="37"/>
      <c r="AT3584" s="37"/>
      <c r="AU3584" s="37"/>
      <c r="AV3584" s="37"/>
      <c r="AW3584" s="37"/>
      <c r="AX3584" s="37"/>
      <c r="AY3584" s="37"/>
      <c r="AZ3584" s="37"/>
      <c r="BA3584" s="37"/>
      <c r="BB3584" s="37"/>
      <c r="BC3584" s="37"/>
      <c r="BD3584" s="37"/>
      <c r="BE3584" s="37"/>
      <c r="BF3584" s="37"/>
      <c r="BG3584" s="37"/>
      <c r="BH3584" s="37"/>
      <c r="BI3584" s="37"/>
      <c r="BJ3584" s="37"/>
      <c r="BK3584" s="37"/>
      <c r="BL3584" s="37"/>
      <c r="BM3584" s="37"/>
    </row>
    <row r="3585" spans="1:65" s="40" customFormat="1" ht="23.25" x14ac:dyDescent="0.35">
      <c r="A3585" s="37"/>
      <c r="B3585" s="37"/>
      <c r="C3585" s="41"/>
      <c r="D3585" s="38"/>
      <c r="E3585" s="57"/>
      <c r="F3585" s="42"/>
      <c r="G3585" s="43"/>
      <c r="H3585" s="37"/>
      <c r="I3585" s="37"/>
      <c r="J3585" s="38"/>
      <c r="K3585" s="37"/>
      <c r="L3585" s="38"/>
      <c r="M3585" s="39"/>
      <c r="P3585" s="37"/>
      <c r="Q3585" s="37"/>
      <c r="R3585" s="37"/>
      <c r="S3585" s="37"/>
      <c r="T3585" s="37"/>
      <c r="U3585" s="37"/>
      <c r="V3585" s="37"/>
      <c r="W3585" s="37"/>
      <c r="X3585" s="37"/>
      <c r="Y3585" s="37"/>
      <c r="Z3585" s="37"/>
      <c r="AA3585" s="37"/>
      <c r="AB3585" s="37"/>
      <c r="AC3585" s="37"/>
      <c r="AD3585" s="37"/>
      <c r="AE3585" s="37"/>
      <c r="AF3585" s="37"/>
      <c r="AG3585" s="37"/>
      <c r="AH3585" s="37"/>
      <c r="AI3585" s="37"/>
      <c r="AJ3585" s="37"/>
      <c r="AK3585" s="37"/>
      <c r="AL3585" s="37"/>
      <c r="AM3585" s="37"/>
      <c r="AN3585" s="37"/>
      <c r="AO3585" s="37"/>
      <c r="AP3585" s="37"/>
      <c r="AQ3585" s="37"/>
      <c r="AR3585" s="37"/>
      <c r="AS3585" s="37"/>
      <c r="AT3585" s="37"/>
      <c r="AU3585" s="37"/>
      <c r="AV3585" s="37"/>
      <c r="AW3585" s="37"/>
      <c r="AX3585" s="37"/>
      <c r="AY3585" s="37"/>
      <c r="AZ3585" s="37"/>
      <c r="BA3585" s="37"/>
      <c r="BB3585" s="37"/>
      <c r="BC3585" s="37"/>
      <c r="BD3585" s="37"/>
      <c r="BE3585" s="37"/>
      <c r="BF3585" s="37"/>
      <c r="BG3585" s="37"/>
      <c r="BH3585" s="37"/>
      <c r="BI3585" s="37"/>
      <c r="BJ3585" s="37"/>
      <c r="BK3585" s="37"/>
      <c r="BL3585" s="37"/>
      <c r="BM3585" s="37"/>
    </row>
    <row r="3586" spans="1:65" s="40" customFormat="1" ht="23.25" x14ac:dyDescent="0.35">
      <c r="A3586" s="37"/>
      <c r="B3586" s="37"/>
      <c r="C3586" s="41"/>
      <c r="D3586" s="38"/>
      <c r="E3586" s="57"/>
      <c r="F3586" s="42"/>
      <c r="G3586" s="43"/>
      <c r="H3586" s="37"/>
      <c r="I3586" s="37"/>
      <c r="J3586" s="38"/>
      <c r="K3586" s="37"/>
      <c r="L3586" s="38"/>
      <c r="M3586" s="39"/>
      <c r="P3586" s="37"/>
      <c r="Q3586" s="37"/>
      <c r="R3586" s="37"/>
      <c r="S3586" s="37"/>
      <c r="T3586" s="37"/>
      <c r="U3586" s="37"/>
      <c r="V3586" s="37"/>
      <c r="W3586" s="37"/>
      <c r="X3586" s="37"/>
      <c r="Y3586" s="37"/>
      <c r="Z3586" s="37"/>
      <c r="AA3586" s="37"/>
      <c r="AB3586" s="37"/>
      <c r="AC3586" s="37"/>
      <c r="AD3586" s="37"/>
      <c r="AE3586" s="37"/>
      <c r="AF3586" s="37"/>
      <c r="AG3586" s="37"/>
      <c r="AH3586" s="37"/>
      <c r="AI3586" s="37"/>
      <c r="AJ3586" s="37"/>
      <c r="AK3586" s="37"/>
      <c r="AL3586" s="37"/>
      <c r="AM3586" s="37"/>
      <c r="AN3586" s="37"/>
      <c r="AO3586" s="37"/>
      <c r="AP3586" s="37"/>
      <c r="AQ3586" s="37"/>
      <c r="AR3586" s="37"/>
      <c r="AS3586" s="37"/>
      <c r="AT3586" s="37"/>
      <c r="AU3586" s="37"/>
      <c r="AV3586" s="37"/>
      <c r="AW3586" s="37"/>
      <c r="AX3586" s="37"/>
      <c r="AY3586" s="37"/>
      <c r="AZ3586" s="37"/>
      <c r="BA3586" s="37"/>
      <c r="BB3586" s="37"/>
      <c r="BC3586" s="37"/>
      <c r="BD3586" s="37"/>
      <c r="BE3586" s="37"/>
      <c r="BF3586" s="37"/>
      <c r="BG3586" s="37"/>
      <c r="BH3586" s="37"/>
      <c r="BI3586" s="37"/>
      <c r="BJ3586" s="37"/>
      <c r="BK3586" s="37"/>
      <c r="BL3586" s="37"/>
      <c r="BM3586" s="37"/>
    </row>
    <row r="3587" spans="1:65" s="40" customFormat="1" ht="23.25" x14ac:dyDescent="0.35">
      <c r="A3587" s="37"/>
      <c r="B3587" s="37"/>
      <c r="C3587" s="41"/>
      <c r="D3587" s="38"/>
      <c r="E3587" s="57"/>
      <c r="F3587" s="42"/>
      <c r="G3587" s="43"/>
      <c r="H3587" s="37"/>
      <c r="I3587" s="37"/>
      <c r="J3587" s="38"/>
      <c r="K3587" s="37"/>
      <c r="L3587" s="38"/>
      <c r="M3587" s="39"/>
      <c r="P3587" s="37"/>
      <c r="Q3587" s="37"/>
      <c r="R3587" s="37"/>
      <c r="S3587" s="37"/>
      <c r="T3587" s="37"/>
      <c r="U3587" s="37"/>
      <c r="V3587" s="37"/>
      <c r="W3587" s="37"/>
      <c r="X3587" s="37"/>
      <c r="Y3587" s="37"/>
      <c r="Z3587" s="37"/>
      <c r="AA3587" s="37"/>
      <c r="AB3587" s="37"/>
      <c r="AC3587" s="37"/>
      <c r="AD3587" s="37"/>
      <c r="AE3587" s="37"/>
      <c r="AF3587" s="37"/>
      <c r="AG3587" s="37"/>
      <c r="AH3587" s="37"/>
      <c r="AI3587" s="37"/>
      <c r="AJ3587" s="37"/>
      <c r="AK3587" s="37"/>
      <c r="AL3587" s="37"/>
      <c r="AM3587" s="37"/>
      <c r="AN3587" s="37"/>
      <c r="AO3587" s="37"/>
      <c r="AP3587" s="37"/>
      <c r="AQ3587" s="37"/>
      <c r="AR3587" s="37"/>
      <c r="AS3587" s="37"/>
      <c r="AT3587" s="37"/>
      <c r="AU3587" s="37"/>
      <c r="AV3587" s="37"/>
      <c r="AW3587" s="37"/>
      <c r="AX3587" s="37"/>
      <c r="AY3587" s="37"/>
      <c r="AZ3587" s="37"/>
      <c r="BA3587" s="37"/>
      <c r="BB3587" s="37"/>
      <c r="BC3587" s="37"/>
      <c r="BD3587" s="37"/>
      <c r="BE3587" s="37"/>
      <c r="BF3587" s="37"/>
      <c r="BG3587" s="37"/>
      <c r="BH3587" s="37"/>
      <c r="BI3587" s="37"/>
      <c r="BJ3587" s="37"/>
      <c r="BK3587" s="37"/>
      <c r="BL3587" s="37"/>
      <c r="BM3587" s="37"/>
    </row>
    <row r="3588" spans="1:65" s="40" customFormat="1" ht="23.25" x14ac:dyDescent="0.35">
      <c r="A3588" s="37"/>
      <c r="B3588" s="37"/>
      <c r="C3588" s="41"/>
      <c r="D3588" s="38"/>
      <c r="E3588" s="57"/>
      <c r="F3588" s="42"/>
      <c r="G3588" s="43"/>
      <c r="H3588" s="37"/>
      <c r="I3588" s="37"/>
      <c r="J3588" s="38"/>
      <c r="K3588" s="37"/>
      <c r="L3588" s="38"/>
      <c r="M3588" s="39"/>
      <c r="P3588" s="37"/>
      <c r="Q3588" s="37"/>
      <c r="R3588" s="37"/>
      <c r="S3588" s="37"/>
      <c r="T3588" s="37"/>
      <c r="U3588" s="37"/>
      <c r="V3588" s="37"/>
      <c r="W3588" s="37"/>
      <c r="X3588" s="37"/>
      <c r="Y3588" s="37"/>
      <c r="Z3588" s="37"/>
      <c r="AA3588" s="37"/>
      <c r="AB3588" s="37"/>
      <c r="AC3588" s="37"/>
      <c r="AD3588" s="37"/>
      <c r="AE3588" s="37"/>
      <c r="AF3588" s="37"/>
      <c r="AG3588" s="37"/>
      <c r="AH3588" s="37"/>
      <c r="AI3588" s="37"/>
      <c r="AJ3588" s="37"/>
      <c r="AK3588" s="37"/>
      <c r="AL3588" s="37"/>
      <c r="AM3588" s="37"/>
      <c r="AN3588" s="37"/>
      <c r="AO3588" s="37"/>
      <c r="AP3588" s="37"/>
      <c r="AQ3588" s="37"/>
      <c r="AR3588" s="37"/>
      <c r="AS3588" s="37"/>
      <c r="AT3588" s="37"/>
      <c r="AU3588" s="37"/>
      <c r="AV3588" s="37"/>
      <c r="AW3588" s="37"/>
      <c r="AX3588" s="37"/>
      <c r="AY3588" s="37"/>
      <c r="AZ3588" s="37"/>
      <c r="BA3588" s="37"/>
      <c r="BB3588" s="37"/>
      <c r="BC3588" s="37"/>
      <c r="BD3588" s="37"/>
      <c r="BE3588" s="37"/>
      <c r="BF3588" s="37"/>
      <c r="BG3588" s="37"/>
      <c r="BH3588" s="37"/>
      <c r="BI3588" s="37"/>
      <c r="BJ3588" s="37"/>
      <c r="BK3588" s="37"/>
      <c r="BL3588" s="37"/>
      <c r="BM3588" s="37"/>
    </row>
    <row r="3589" spans="1:65" s="40" customFormat="1" ht="23.25" x14ac:dyDescent="0.35">
      <c r="A3589" s="37"/>
      <c r="B3589" s="37"/>
      <c r="C3589" s="41"/>
      <c r="D3589" s="38"/>
      <c r="E3589" s="57"/>
      <c r="F3589" s="42"/>
      <c r="G3589" s="43"/>
      <c r="H3589" s="37"/>
      <c r="I3589" s="37"/>
      <c r="J3589" s="38"/>
      <c r="K3589" s="37"/>
      <c r="L3589" s="38"/>
      <c r="M3589" s="39"/>
      <c r="P3589" s="37"/>
      <c r="Q3589" s="37"/>
      <c r="R3589" s="37"/>
      <c r="S3589" s="37"/>
      <c r="T3589" s="37"/>
      <c r="U3589" s="37"/>
      <c r="V3589" s="37"/>
      <c r="W3589" s="37"/>
      <c r="X3589" s="37"/>
      <c r="Y3589" s="37"/>
      <c r="Z3589" s="37"/>
      <c r="AA3589" s="37"/>
      <c r="AB3589" s="37"/>
      <c r="AC3589" s="37"/>
      <c r="AD3589" s="37"/>
      <c r="AE3589" s="37"/>
      <c r="AF3589" s="37"/>
      <c r="AG3589" s="37"/>
      <c r="AH3589" s="37"/>
      <c r="AI3589" s="37"/>
      <c r="AJ3589" s="37"/>
      <c r="AK3589" s="37"/>
      <c r="AL3589" s="37"/>
      <c r="AM3589" s="37"/>
      <c r="AN3589" s="37"/>
      <c r="AO3589" s="37"/>
      <c r="AP3589" s="37"/>
      <c r="AQ3589" s="37"/>
      <c r="AR3589" s="37"/>
      <c r="AS3589" s="37"/>
      <c r="AT3589" s="37"/>
      <c r="AU3589" s="37"/>
      <c r="AV3589" s="37"/>
      <c r="AW3589" s="37"/>
      <c r="AX3589" s="37"/>
      <c r="AY3589" s="37"/>
      <c r="AZ3589" s="37"/>
      <c r="BA3589" s="37"/>
      <c r="BB3589" s="37"/>
      <c r="BC3589" s="37"/>
      <c r="BD3589" s="37"/>
      <c r="BE3589" s="37"/>
      <c r="BF3589" s="37"/>
      <c r="BG3589" s="37"/>
      <c r="BH3589" s="37"/>
      <c r="BI3589" s="37"/>
      <c r="BJ3589" s="37"/>
      <c r="BK3589" s="37"/>
      <c r="BL3589" s="37"/>
      <c r="BM3589" s="37"/>
    </row>
    <row r="3590" spans="1:65" s="40" customFormat="1" ht="23.25" x14ac:dyDescent="0.35">
      <c r="A3590" s="37"/>
      <c r="B3590" s="37"/>
      <c r="C3590" s="41"/>
      <c r="D3590" s="38"/>
      <c r="E3590" s="57"/>
      <c r="F3590" s="42"/>
      <c r="G3590" s="43"/>
      <c r="H3590" s="37"/>
      <c r="I3590" s="37"/>
      <c r="J3590" s="38"/>
      <c r="K3590" s="37"/>
      <c r="L3590" s="38"/>
      <c r="M3590" s="39"/>
      <c r="P3590" s="37"/>
      <c r="Q3590" s="37"/>
      <c r="R3590" s="37"/>
      <c r="S3590" s="37"/>
      <c r="T3590" s="37"/>
      <c r="U3590" s="37"/>
      <c r="V3590" s="37"/>
      <c r="W3590" s="37"/>
      <c r="X3590" s="37"/>
      <c r="Y3590" s="37"/>
      <c r="Z3590" s="37"/>
      <c r="AA3590" s="37"/>
      <c r="AB3590" s="37"/>
      <c r="AC3590" s="37"/>
      <c r="AD3590" s="37"/>
      <c r="AE3590" s="37"/>
      <c r="AF3590" s="37"/>
      <c r="AG3590" s="37"/>
      <c r="AH3590" s="37"/>
      <c r="AI3590" s="37"/>
      <c r="AJ3590" s="37"/>
      <c r="AK3590" s="37"/>
      <c r="AL3590" s="37"/>
      <c r="AM3590" s="37"/>
      <c r="AN3590" s="37"/>
      <c r="AO3590" s="37"/>
      <c r="AP3590" s="37"/>
      <c r="AQ3590" s="37"/>
      <c r="AR3590" s="37"/>
      <c r="AS3590" s="37"/>
      <c r="AT3590" s="37"/>
      <c r="AU3590" s="37"/>
      <c r="AV3590" s="37"/>
      <c r="AW3590" s="37"/>
      <c r="AX3590" s="37"/>
      <c r="AY3590" s="37"/>
      <c r="AZ3590" s="37"/>
      <c r="BA3590" s="37"/>
      <c r="BB3590" s="37"/>
      <c r="BC3590" s="37"/>
      <c r="BD3590" s="37"/>
      <c r="BE3590" s="37"/>
      <c r="BF3590" s="37"/>
      <c r="BG3590" s="37"/>
      <c r="BH3590" s="37"/>
      <c r="BI3590" s="37"/>
      <c r="BJ3590" s="37"/>
      <c r="BK3590" s="37"/>
      <c r="BL3590" s="37"/>
      <c r="BM3590" s="37"/>
    </row>
    <row r="3591" spans="1:65" s="40" customFormat="1" ht="23.25" x14ac:dyDescent="0.35">
      <c r="A3591" s="37"/>
      <c r="B3591" s="37"/>
      <c r="C3591" s="41"/>
      <c r="D3591" s="38"/>
      <c r="E3591" s="57"/>
      <c r="F3591" s="42"/>
      <c r="G3591" s="43"/>
      <c r="H3591" s="37"/>
      <c r="I3591" s="37"/>
      <c r="J3591" s="38"/>
      <c r="K3591" s="37"/>
      <c r="L3591" s="38"/>
      <c r="M3591" s="39"/>
      <c r="P3591" s="37"/>
      <c r="Q3591" s="37"/>
      <c r="R3591" s="37"/>
      <c r="S3591" s="37"/>
      <c r="T3591" s="37"/>
      <c r="U3591" s="37"/>
      <c r="V3591" s="37"/>
      <c r="W3591" s="37"/>
      <c r="X3591" s="37"/>
      <c r="Y3591" s="37"/>
      <c r="Z3591" s="37"/>
      <c r="AA3591" s="37"/>
      <c r="AB3591" s="37"/>
      <c r="AC3591" s="37"/>
      <c r="AD3591" s="37"/>
      <c r="AE3591" s="37"/>
      <c r="AF3591" s="37"/>
      <c r="AG3591" s="37"/>
      <c r="AH3591" s="37"/>
      <c r="AI3591" s="37"/>
      <c r="AJ3591" s="37"/>
      <c r="AK3591" s="37"/>
      <c r="AL3591" s="37"/>
      <c r="AM3591" s="37"/>
      <c r="AN3591" s="37"/>
      <c r="AO3591" s="37"/>
      <c r="AP3591" s="37"/>
      <c r="AQ3591" s="37"/>
      <c r="AR3591" s="37"/>
      <c r="AS3591" s="37"/>
      <c r="AT3591" s="37"/>
      <c r="AU3591" s="37"/>
      <c r="AV3591" s="37"/>
      <c r="AW3591" s="37"/>
      <c r="AX3591" s="37"/>
      <c r="AY3591" s="37"/>
      <c r="AZ3591" s="37"/>
      <c r="BA3591" s="37"/>
      <c r="BB3591" s="37"/>
      <c r="BC3591" s="37"/>
      <c r="BD3591" s="37"/>
      <c r="BE3591" s="37"/>
      <c r="BF3591" s="37"/>
      <c r="BG3591" s="37"/>
      <c r="BH3591" s="37"/>
      <c r="BI3591" s="37"/>
      <c r="BJ3591" s="37"/>
      <c r="BK3591" s="37"/>
      <c r="BL3591" s="37"/>
      <c r="BM3591" s="37"/>
    </row>
    <row r="3592" spans="1:65" s="40" customFormat="1" ht="23.25" x14ac:dyDescent="0.35">
      <c r="A3592" s="37"/>
      <c r="B3592" s="37"/>
      <c r="C3592" s="41"/>
      <c r="D3592" s="38"/>
      <c r="E3592" s="57"/>
      <c r="F3592" s="42"/>
      <c r="G3592" s="43"/>
      <c r="H3592" s="37"/>
      <c r="I3592" s="37"/>
      <c r="J3592" s="38"/>
      <c r="K3592" s="37"/>
      <c r="L3592" s="38"/>
      <c r="M3592" s="39"/>
      <c r="P3592" s="37"/>
      <c r="Q3592" s="37"/>
      <c r="R3592" s="37"/>
      <c r="S3592" s="37"/>
      <c r="T3592" s="37"/>
      <c r="U3592" s="37"/>
      <c r="V3592" s="37"/>
      <c r="W3592" s="37"/>
      <c r="X3592" s="37"/>
      <c r="Y3592" s="37"/>
      <c r="Z3592" s="37"/>
      <c r="AA3592" s="37"/>
      <c r="AB3592" s="37"/>
      <c r="AC3592" s="37"/>
      <c r="AD3592" s="37"/>
      <c r="AE3592" s="37"/>
      <c r="AF3592" s="37"/>
      <c r="AG3592" s="37"/>
      <c r="AH3592" s="37"/>
      <c r="AI3592" s="37"/>
      <c r="AJ3592" s="37"/>
      <c r="AK3592" s="37"/>
      <c r="AL3592" s="37"/>
      <c r="AM3592" s="37"/>
      <c r="AN3592" s="37"/>
      <c r="AO3592" s="37"/>
      <c r="AP3592" s="37"/>
      <c r="AQ3592" s="37"/>
      <c r="AR3592" s="37"/>
      <c r="AS3592" s="37"/>
      <c r="AT3592" s="37"/>
      <c r="AU3592" s="37"/>
      <c r="AV3592" s="37"/>
      <c r="AW3592" s="37"/>
      <c r="AX3592" s="37"/>
      <c r="AY3592" s="37"/>
      <c r="AZ3592" s="37"/>
      <c r="BA3592" s="37"/>
      <c r="BB3592" s="37"/>
      <c r="BC3592" s="37"/>
      <c r="BD3592" s="37"/>
      <c r="BE3592" s="37"/>
      <c r="BF3592" s="37"/>
      <c r="BG3592" s="37"/>
      <c r="BH3592" s="37"/>
      <c r="BI3592" s="37"/>
      <c r="BJ3592" s="37"/>
      <c r="BK3592" s="37"/>
      <c r="BL3592" s="37"/>
      <c r="BM3592" s="37"/>
    </row>
    <row r="3593" spans="1:65" s="40" customFormat="1" ht="23.25" x14ac:dyDescent="0.35">
      <c r="A3593" s="37"/>
      <c r="B3593" s="37"/>
      <c r="C3593" s="41"/>
      <c r="D3593" s="38"/>
      <c r="E3593" s="57"/>
      <c r="F3593" s="42"/>
      <c r="G3593" s="43"/>
      <c r="H3593" s="37"/>
      <c r="I3593" s="37"/>
      <c r="J3593" s="38"/>
      <c r="K3593" s="37"/>
      <c r="L3593" s="38"/>
      <c r="M3593" s="39"/>
      <c r="P3593" s="37"/>
      <c r="Q3593" s="37"/>
      <c r="R3593" s="37"/>
      <c r="S3593" s="37"/>
      <c r="T3593" s="37"/>
      <c r="U3593" s="37"/>
      <c r="V3593" s="37"/>
      <c r="W3593" s="37"/>
      <c r="X3593" s="37"/>
      <c r="Y3593" s="37"/>
      <c r="Z3593" s="37"/>
      <c r="AA3593" s="37"/>
      <c r="AB3593" s="37"/>
      <c r="AC3593" s="37"/>
      <c r="AD3593" s="37"/>
      <c r="AE3593" s="37"/>
      <c r="AF3593" s="37"/>
      <c r="AG3593" s="37"/>
      <c r="AH3593" s="37"/>
      <c r="AI3593" s="37"/>
      <c r="AJ3593" s="37"/>
      <c r="AK3593" s="37"/>
      <c r="AL3593" s="37"/>
      <c r="AM3593" s="37"/>
      <c r="AN3593" s="37"/>
      <c r="AO3593" s="37"/>
      <c r="AP3593" s="37"/>
      <c r="AQ3593" s="37"/>
      <c r="AR3593" s="37"/>
      <c r="AS3593" s="37"/>
      <c r="AT3593" s="37"/>
      <c r="AU3593" s="37"/>
      <c r="AV3593" s="37"/>
      <c r="AW3593" s="37"/>
      <c r="AX3593" s="37"/>
      <c r="AY3593" s="37"/>
      <c r="AZ3593" s="37"/>
      <c r="BA3593" s="37"/>
      <c r="BB3593" s="37"/>
      <c r="BC3593" s="37"/>
      <c r="BD3593" s="37"/>
      <c r="BE3593" s="37"/>
      <c r="BF3593" s="37"/>
      <c r="BG3593" s="37"/>
      <c r="BH3593" s="37"/>
      <c r="BI3593" s="37"/>
      <c r="BJ3593" s="37"/>
      <c r="BK3593" s="37"/>
      <c r="BL3593" s="37"/>
      <c r="BM3593" s="37"/>
    </row>
    <row r="3594" spans="1:65" s="40" customFormat="1" ht="23.25" x14ac:dyDescent="0.35">
      <c r="A3594" s="37"/>
      <c r="B3594" s="37"/>
      <c r="C3594" s="41"/>
      <c r="D3594" s="38"/>
      <c r="E3594" s="57"/>
      <c r="F3594" s="42"/>
      <c r="G3594" s="43"/>
      <c r="H3594" s="37"/>
      <c r="I3594" s="37"/>
      <c r="J3594" s="38"/>
      <c r="K3594" s="37"/>
      <c r="L3594" s="38"/>
      <c r="M3594" s="39"/>
      <c r="P3594" s="37"/>
      <c r="Q3594" s="37"/>
      <c r="R3594" s="37"/>
      <c r="S3594" s="37"/>
      <c r="T3594" s="37"/>
      <c r="U3594" s="37"/>
      <c r="V3594" s="37"/>
      <c r="W3594" s="37"/>
      <c r="X3594" s="37"/>
      <c r="Y3594" s="37"/>
      <c r="Z3594" s="37"/>
      <c r="AA3594" s="37"/>
      <c r="AB3594" s="37"/>
      <c r="AC3594" s="37"/>
      <c r="AD3594" s="37"/>
      <c r="AE3594" s="37"/>
      <c r="AF3594" s="37"/>
      <c r="AG3594" s="37"/>
      <c r="AH3594" s="37"/>
      <c r="AI3594" s="37"/>
      <c r="AJ3594" s="37"/>
      <c r="AK3594" s="37"/>
      <c r="AL3594" s="37"/>
      <c r="AM3594" s="37"/>
      <c r="AN3594" s="37"/>
      <c r="AO3594" s="37"/>
      <c r="AP3594" s="37"/>
      <c r="AQ3594" s="37"/>
      <c r="AR3594" s="37"/>
      <c r="AS3594" s="37"/>
      <c r="AT3594" s="37"/>
      <c r="AU3594" s="37"/>
      <c r="AV3594" s="37"/>
      <c r="AW3594" s="37"/>
      <c r="AX3594" s="37"/>
      <c r="AY3594" s="37"/>
      <c r="AZ3594" s="37"/>
      <c r="BA3594" s="37"/>
      <c r="BB3594" s="37"/>
      <c r="BC3594" s="37"/>
      <c r="BD3594" s="37"/>
      <c r="BE3594" s="37"/>
      <c r="BF3594" s="37"/>
      <c r="BG3594" s="37"/>
      <c r="BH3594" s="37"/>
      <c r="BI3594" s="37"/>
      <c r="BJ3594" s="37"/>
      <c r="BK3594" s="37"/>
      <c r="BL3594" s="37"/>
      <c r="BM3594" s="37"/>
    </row>
    <row r="3595" spans="1:65" s="40" customFormat="1" ht="23.25" x14ac:dyDescent="0.35">
      <c r="A3595" s="37"/>
      <c r="B3595" s="37"/>
      <c r="C3595" s="41"/>
      <c r="D3595" s="38"/>
      <c r="E3595" s="57"/>
      <c r="F3595" s="42"/>
      <c r="G3595" s="43"/>
      <c r="H3595" s="37"/>
      <c r="I3595" s="37"/>
      <c r="J3595" s="38"/>
      <c r="K3595" s="37"/>
      <c r="L3595" s="38"/>
      <c r="M3595" s="39"/>
      <c r="P3595" s="37"/>
      <c r="Q3595" s="37"/>
      <c r="R3595" s="37"/>
      <c r="S3595" s="37"/>
      <c r="T3595" s="37"/>
      <c r="U3595" s="37"/>
      <c r="V3595" s="37"/>
      <c r="W3595" s="37"/>
      <c r="X3595" s="37"/>
      <c r="Y3595" s="37"/>
      <c r="Z3595" s="37"/>
      <c r="AA3595" s="37"/>
      <c r="AB3595" s="37"/>
      <c r="AC3595" s="37"/>
      <c r="AD3595" s="37"/>
      <c r="AE3595" s="37"/>
      <c r="AF3595" s="37"/>
      <c r="AG3595" s="37"/>
      <c r="AH3595" s="37"/>
      <c r="AI3595" s="37"/>
      <c r="AJ3595" s="37"/>
      <c r="AK3595" s="37"/>
      <c r="AL3595" s="37"/>
      <c r="AM3595" s="37"/>
      <c r="AN3595" s="37"/>
      <c r="AO3595" s="37"/>
      <c r="AP3595" s="37"/>
      <c r="AQ3595" s="37"/>
      <c r="AR3595" s="37"/>
      <c r="AS3595" s="37"/>
      <c r="AT3595" s="37"/>
      <c r="AU3595" s="37"/>
      <c r="AV3595" s="37"/>
      <c r="AW3595" s="37"/>
      <c r="AX3595" s="37"/>
      <c r="AY3595" s="37"/>
      <c r="AZ3595" s="37"/>
      <c r="BA3595" s="37"/>
      <c r="BB3595" s="37"/>
      <c r="BC3595" s="37"/>
      <c r="BD3595" s="37"/>
      <c r="BE3595" s="37"/>
      <c r="BF3595" s="37"/>
      <c r="BG3595" s="37"/>
      <c r="BH3595" s="37"/>
      <c r="BI3595" s="37"/>
      <c r="BJ3595" s="37"/>
      <c r="BK3595" s="37"/>
      <c r="BL3595" s="37"/>
      <c r="BM3595" s="37"/>
    </row>
    <row r="3596" spans="1:65" s="40" customFormat="1" ht="23.25" x14ac:dyDescent="0.35">
      <c r="A3596" s="37"/>
      <c r="B3596" s="37"/>
      <c r="C3596" s="41"/>
      <c r="D3596" s="38"/>
      <c r="E3596" s="57"/>
      <c r="F3596" s="42"/>
      <c r="G3596" s="43"/>
      <c r="H3596" s="37"/>
      <c r="I3596" s="37"/>
      <c r="J3596" s="38"/>
      <c r="K3596" s="37"/>
      <c r="L3596" s="38"/>
      <c r="M3596" s="39"/>
      <c r="P3596" s="37"/>
      <c r="Q3596" s="37"/>
      <c r="R3596" s="37"/>
      <c r="S3596" s="37"/>
      <c r="T3596" s="37"/>
      <c r="U3596" s="37"/>
      <c r="V3596" s="37"/>
      <c r="W3596" s="37"/>
      <c r="X3596" s="37"/>
      <c r="Y3596" s="37"/>
      <c r="Z3596" s="37"/>
      <c r="AA3596" s="37"/>
      <c r="AB3596" s="37"/>
      <c r="AC3596" s="37"/>
      <c r="AD3596" s="37"/>
      <c r="AE3596" s="37"/>
      <c r="AF3596" s="37"/>
      <c r="AG3596" s="37"/>
      <c r="AH3596" s="37"/>
      <c r="AI3596" s="37"/>
      <c r="AJ3596" s="37"/>
      <c r="AK3596" s="37"/>
      <c r="AL3596" s="37"/>
      <c r="AM3596" s="37"/>
      <c r="AN3596" s="37"/>
      <c r="AO3596" s="37"/>
      <c r="AP3596" s="37"/>
      <c r="AQ3596" s="37"/>
      <c r="AR3596" s="37"/>
      <c r="AS3596" s="37"/>
      <c r="AT3596" s="37"/>
      <c r="AU3596" s="37"/>
      <c r="AV3596" s="37"/>
      <c r="AW3596" s="37"/>
      <c r="AX3596" s="37"/>
      <c r="AY3596" s="37"/>
      <c r="AZ3596" s="37"/>
      <c r="BA3596" s="37"/>
      <c r="BB3596" s="37"/>
      <c r="BC3596" s="37"/>
      <c r="BD3596" s="37"/>
      <c r="BE3596" s="37"/>
      <c r="BF3596" s="37"/>
      <c r="BG3596" s="37"/>
      <c r="BH3596" s="37"/>
      <c r="BI3596" s="37"/>
      <c r="BJ3596" s="37"/>
      <c r="BK3596" s="37"/>
      <c r="BL3596" s="37"/>
      <c r="BM3596" s="37"/>
    </row>
    <row r="3597" spans="1:65" s="40" customFormat="1" ht="23.25" x14ac:dyDescent="0.35">
      <c r="A3597" s="37"/>
      <c r="B3597" s="37"/>
      <c r="C3597" s="41"/>
      <c r="D3597" s="38"/>
      <c r="E3597" s="57"/>
      <c r="F3597" s="42"/>
      <c r="G3597" s="43"/>
      <c r="H3597" s="37"/>
      <c r="I3597" s="37"/>
      <c r="J3597" s="38"/>
      <c r="K3597" s="37"/>
      <c r="L3597" s="38"/>
      <c r="M3597" s="39"/>
      <c r="P3597" s="37"/>
      <c r="Q3597" s="37"/>
      <c r="R3597" s="37"/>
      <c r="S3597" s="37"/>
      <c r="T3597" s="37"/>
      <c r="U3597" s="37"/>
      <c r="V3597" s="37"/>
      <c r="W3597" s="37"/>
      <c r="X3597" s="37"/>
      <c r="Y3597" s="37"/>
      <c r="Z3597" s="37"/>
      <c r="AA3597" s="37"/>
      <c r="AB3597" s="37"/>
      <c r="AC3597" s="37"/>
      <c r="AD3597" s="37"/>
      <c r="AE3597" s="37"/>
      <c r="AF3597" s="37"/>
      <c r="AG3597" s="37"/>
      <c r="AH3597" s="37"/>
      <c r="AI3597" s="37"/>
      <c r="AJ3597" s="37"/>
      <c r="AK3597" s="37"/>
      <c r="AL3597" s="37"/>
      <c r="AM3597" s="37"/>
      <c r="AN3597" s="37"/>
      <c r="AO3597" s="37"/>
      <c r="AP3597" s="37"/>
      <c r="AQ3597" s="37"/>
      <c r="AR3597" s="37"/>
      <c r="AS3597" s="37"/>
      <c r="AT3597" s="37"/>
      <c r="AU3597" s="37"/>
      <c r="AV3597" s="37"/>
      <c r="AW3597" s="37"/>
      <c r="AX3597" s="37"/>
      <c r="AY3597" s="37"/>
      <c r="AZ3597" s="37"/>
      <c r="BA3597" s="37"/>
      <c r="BB3597" s="37"/>
      <c r="BC3597" s="37"/>
      <c r="BD3597" s="37"/>
      <c r="BE3597" s="37"/>
      <c r="BF3597" s="37"/>
      <c r="BG3597" s="37"/>
      <c r="BH3597" s="37"/>
      <c r="BI3597" s="37"/>
      <c r="BJ3597" s="37"/>
      <c r="BK3597" s="37"/>
      <c r="BL3597" s="37"/>
      <c r="BM3597" s="37"/>
    </row>
    <row r="3598" spans="1:65" s="40" customFormat="1" ht="23.25" x14ac:dyDescent="0.35">
      <c r="A3598" s="37"/>
      <c r="B3598" s="37"/>
      <c r="C3598" s="41"/>
      <c r="D3598" s="38"/>
      <c r="E3598" s="57"/>
      <c r="F3598" s="42"/>
      <c r="G3598" s="43"/>
      <c r="H3598" s="37"/>
      <c r="I3598" s="37"/>
      <c r="J3598" s="38"/>
      <c r="K3598" s="37"/>
      <c r="L3598" s="38"/>
      <c r="M3598" s="39"/>
      <c r="P3598" s="37"/>
      <c r="Q3598" s="37"/>
      <c r="R3598" s="37"/>
      <c r="S3598" s="37"/>
      <c r="T3598" s="37"/>
      <c r="U3598" s="37"/>
      <c r="V3598" s="37"/>
      <c r="W3598" s="37"/>
      <c r="X3598" s="37"/>
      <c r="Y3598" s="37"/>
      <c r="Z3598" s="37"/>
      <c r="AA3598" s="37"/>
      <c r="AB3598" s="37"/>
      <c r="AC3598" s="37"/>
      <c r="AD3598" s="37"/>
      <c r="AE3598" s="37"/>
      <c r="AF3598" s="37"/>
      <c r="AG3598" s="37"/>
      <c r="AH3598" s="37"/>
      <c r="AI3598" s="37"/>
      <c r="AJ3598" s="37"/>
      <c r="AK3598" s="37"/>
      <c r="AL3598" s="37"/>
      <c r="AM3598" s="37"/>
      <c r="AN3598" s="37"/>
      <c r="AO3598" s="37"/>
      <c r="AP3598" s="37"/>
      <c r="AQ3598" s="37"/>
      <c r="AR3598" s="37"/>
      <c r="AS3598" s="37"/>
      <c r="AT3598" s="37"/>
      <c r="AU3598" s="37"/>
      <c r="AV3598" s="37"/>
      <c r="AW3598" s="37"/>
      <c r="AX3598" s="37"/>
      <c r="AY3598" s="37"/>
      <c r="AZ3598" s="37"/>
      <c r="BA3598" s="37"/>
      <c r="BB3598" s="37"/>
      <c r="BC3598" s="37"/>
      <c r="BD3598" s="37"/>
      <c r="BE3598" s="37"/>
      <c r="BF3598" s="37"/>
      <c r="BG3598" s="37"/>
      <c r="BH3598" s="37"/>
      <c r="BI3598" s="37"/>
      <c r="BJ3598" s="37"/>
      <c r="BK3598" s="37"/>
      <c r="BL3598" s="37"/>
      <c r="BM3598" s="37"/>
    </row>
    <row r="3599" spans="1:65" s="40" customFormat="1" ht="23.25" x14ac:dyDescent="0.35">
      <c r="A3599" s="37"/>
      <c r="B3599" s="37"/>
      <c r="C3599" s="41"/>
      <c r="D3599" s="38"/>
      <c r="E3599" s="57"/>
      <c r="F3599" s="42"/>
      <c r="G3599" s="43"/>
      <c r="H3599" s="37"/>
      <c r="I3599" s="37"/>
      <c r="J3599" s="38"/>
      <c r="K3599" s="37"/>
      <c r="L3599" s="38"/>
      <c r="M3599" s="39"/>
      <c r="P3599" s="37"/>
      <c r="Q3599" s="37"/>
      <c r="R3599" s="37"/>
      <c r="S3599" s="37"/>
      <c r="T3599" s="37"/>
      <c r="U3599" s="37"/>
      <c r="V3599" s="37"/>
      <c r="W3599" s="37"/>
      <c r="X3599" s="37"/>
      <c r="Y3599" s="37"/>
      <c r="Z3599" s="37"/>
      <c r="AA3599" s="37"/>
      <c r="AB3599" s="37"/>
      <c r="AC3599" s="37"/>
      <c r="AD3599" s="37"/>
      <c r="AE3599" s="37"/>
      <c r="AF3599" s="37"/>
      <c r="AG3599" s="37"/>
      <c r="AH3599" s="37"/>
      <c r="AI3599" s="37"/>
      <c r="AJ3599" s="37"/>
      <c r="AK3599" s="37"/>
      <c r="AL3599" s="37"/>
      <c r="AM3599" s="37"/>
      <c r="AN3599" s="37"/>
      <c r="AO3599" s="37"/>
      <c r="AP3599" s="37"/>
      <c r="AQ3599" s="37"/>
      <c r="AR3599" s="37"/>
      <c r="AS3599" s="37"/>
      <c r="AT3599" s="37"/>
      <c r="AU3599" s="37"/>
      <c r="AV3599" s="37"/>
      <c r="AW3599" s="37"/>
      <c r="AX3599" s="37"/>
      <c r="AY3599" s="37"/>
      <c r="AZ3599" s="37"/>
      <c r="BA3599" s="37"/>
      <c r="BB3599" s="37"/>
      <c r="BC3599" s="37"/>
      <c r="BD3599" s="37"/>
      <c r="BE3599" s="37"/>
      <c r="BF3599" s="37"/>
      <c r="BG3599" s="37"/>
      <c r="BH3599" s="37"/>
      <c r="BI3599" s="37"/>
      <c r="BJ3599" s="37"/>
      <c r="BK3599" s="37"/>
      <c r="BL3599" s="37"/>
      <c r="BM3599" s="37"/>
    </row>
    <row r="3600" spans="1:65" s="40" customFormat="1" ht="23.25" x14ac:dyDescent="0.35">
      <c r="A3600" s="37"/>
      <c r="B3600" s="37"/>
      <c r="C3600" s="41"/>
      <c r="D3600" s="38"/>
      <c r="E3600" s="57"/>
      <c r="F3600" s="42"/>
      <c r="G3600" s="43"/>
      <c r="H3600" s="37"/>
      <c r="I3600" s="37"/>
      <c r="J3600" s="38"/>
      <c r="K3600" s="37"/>
      <c r="L3600" s="38"/>
      <c r="M3600" s="39"/>
      <c r="P3600" s="37"/>
      <c r="Q3600" s="37"/>
      <c r="R3600" s="37"/>
      <c r="S3600" s="37"/>
      <c r="T3600" s="37"/>
      <c r="U3600" s="37"/>
      <c r="V3600" s="37"/>
      <c r="W3600" s="37"/>
      <c r="X3600" s="37"/>
      <c r="Y3600" s="37"/>
      <c r="Z3600" s="37"/>
      <c r="AA3600" s="37"/>
      <c r="AB3600" s="37"/>
      <c r="AC3600" s="37"/>
      <c r="AD3600" s="37"/>
      <c r="AE3600" s="37"/>
      <c r="AF3600" s="37"/>
      <c r="AG3600" s="37"/>
      <c r="AH3600" s="37"/>
      <c r="AI3600" s="37"/>
      <c r="AJ3600" s="37"/>
      <c r="AK3600" s="37"/>
      <c r="AL3600" s="37"/>
      <c r="AM3600" s="37"/>
      <c r="AN3600" s="37"/>
      <c r="AO3600" s="37"/>
      <c r="AP3600" s="37"/>
      <c r="AQ3600" s="37"/>
      <c r="AR3600" s="37"/>
      <c r="AS3600" s="37"/>
      <c r="AT3600" s="37"/>
      <c r="AU3600" s="37"/>
      <c r="AV3600" s="37"/>
      <c r="AW3600" s="37"/>
      <c r="AX3600" s="37"/>
      <c r="AY3600" s="37"/>
      <c r="AZ3600" s="37"/>
      <c r="BA3600" s="37"/>
      <c r="BB3600" s="37"/>
      <c r="BC3600" s="37"/>
      <c r="BD3600" s="37"/>
      <c r="BE3600" s="37"/>
      <c r="BF3600" s="37"/>
      <c r="BG3600" s="37"/>
      <c r="BH3600" s="37"/>
      <c r="BI3600" s="37"/>
      <c r="BJ3600" s="37"/>
      <c r="BK3600" s="37"/>
      <c r="BL3600" s="37"/>
      <c r="BM3600" s="37"/>
    </row>
    <row r="3601" spans="1:65" s="40" customFormat="1" ht="23.25" x14ac:dyDescent="0.35">
      <c r="A3601" s="37"/>
      <c r="B3601" s="37"/>
      <c r="C3601" s="41"/>
      <c r="D3601" s="38"/>
      <c r="E3601" s="57"/>
      <c r="F3601" s="42"/>
      <c r="G3601" s="43"/>
      <c r="H3601" s="37"/>
      <c r="I3601" s="37"/>
      <c r="J3601" s="38"/>
      <c r="K3601" s="37"/>
      <c r="L3601" s="38"/>
      <c r="M3601" s="39"/>
      <c r="P3601" s="37"/>
      <c r="Q3601" s="37"/>
      <c r="R3601" s="37"/>
      <c r="S3601" s="37"/>
      <c r="T3601" s="37"/>
      <c r="U3601" s="37"/>
      <c r="V3601" s="37"/>
      <c r="W3601" s="37"/>
      <c r="X3601" s="37"/>
      <c r="Y3601" s="37"/>
      <c r="Z3601" s="37"/>
      <c r="AA3601" s="37"/>
      <c r="AB3601" s="37"/>
      <c r="AC3601" s="37"/>
      <c r="AD3601" s="37"/>
      <c r="AE3601" s="37"/>
      <c r="AF3601" s="37"/>
      <c r="AG3601" s="37"/>
      <c r="AH3601" s="37"/>
      <c r="AI3601" s="37"/>
      <c r="AJ3601" s="37"/>
      <c r="AK3601" s="37"/>
      <c r="AL3601" s="37"/>
      <c r="AM3601" s="37"/>
      <c r="AN3601" s="37"/>
      <c r="AO3601" s="37"/>
      <c r="AP3601" s="37"/>
      <c r="AQ3601" s="37"/>
      <c r="AR3601" s="37"/>
      <c r="AS3601" s="37"/>
      <c r="AT3601" s="37"/>
      <c r="AU3601" s="37"/>
      <c r="AV3601" s="37"/>
      <c r="AW3601" s="37"/>
      <c r="AX3601" s="37"/>
      <c r="AY3601" s="37"/>
      <c r="AZ3601" s="37"/>
      <c r="BA3601" s="37"/>
      <c r="BB3601" s="37"/>
      <c r="BC3601" s="37"/>
      <c r="BD3601" s="37"/>
      <c r="BE3601" s="37"/>
      <c r="BF3601" s="37"/>
      <c r="BG3601" s="37"/>
      <c r="BH3601" s="37"/>
      <c r="BI3601" s="37"/>
      <c r="BJ3601" s="37"/>
      <c r="BK3601" s="37"/>
      <c r="BL3601" s="37"/>
      <c r="BM3601" s="37"/>
    </row>
    <row r="3602" spans="1:65" s="40" customFormat="1" ht="23.25" x14ac:dyDescent="0.35">
      <c r="A3602" s="37"/>
      <c r="B3602" s="37"/>
      <c r="C3602" s="41"/>
      <c r="D3602" s="38"/>
      <c r="E3602" s="57"/>
      <c r="F3602" s="42"/>
      <c r="G3602" s="43"/>
      <c r="H3602" s="37"/>
      <c r="I3602" s="37"/>
      <c r="J3602" s="38"/>
      <c r="K3602" s="37"/>
      <c r="L3602" s="38"/>
      <c r="M3602" s="39"/>
      <c r="P3602" s="37"/>
      <c r="Q3602" s="37"/>
      <c r="R3602" s="37"/>
      <c r="S3602" s="37"/>
      <c r="T3602" s="37"/>
      <c r="U3602" s="37"/>
      <c r="V3602" s="37"/>
      <c r="W3602" s="37"/>
      <c r="X3602" s="37"/>
      <c r="Y3602" s="37"/>
      <c r="Z3602" s="37"/>
      <c r="AA3602" s="37"/>
      <c r="AB3602" s="37"/>
      <c r="AC3602" s="37"/>
      <c r="AD3602" s="37"/>
      <c r="AE3602" s="37"/>
      <c r="AF3602" s="37"/>
      <c r="AG3602" s="37"/>
      <c r="AH3602" s="37"/>
      <c r="AI3602" s="37"/>
      <c r="AJ3602" s="37"/>
      <c r="AK3602" s="37"/>
      <c r="AL3602" s="37"/>
      <c r="AM3602" s="37"/>
      <c r="AN3602" s="37"/>
      <c r="AO3602" s="37"/>
      <c r="AP3602" s="37"/>
      <c r="AQ3602" s="37"/>
      <c r="AR3602" s="37"/>
      <c r="AS3602" s="37"/>
      <c r="AT3602" s="37"/>
      <c r="AU3602" s="37"/>
      <c r="AV3602" s="37"/>
      <c r="AW3602" s="37"/>
      <c r="AX3602" s="37"/>
      <c r="AY3602" s="37"/>
      <c r="AZ3602" s="37"/>
      <c r="BA3602" s="37"/>
      <c r="BB3602" s="37"/>
      <c r="BC3602" s="37"/>
      <c r="BD3602" s="37"/>
      <c r="BE3602" s="37"/>
      <c r="BF3602" s="37"/>
      <c r="BG3602" s="37"/>
      <c r="BH3602" s="37"/>
      <c r="BI3602" s="37"/>
      <c r="BJ3602" s="37"/>
      <c r="BK3602" s="37"/>
      <c r="BL3602" s="37"/>
      <c r="BM3602" s="37"/>
    </row>
    <row r="3603" spans="1:65" s="40" customFormat="1" ht="23.25" x14ac:dyDescent="0.35">
      <c r="A3603" s="37"/>
      <c r="B3603" s="37"/>
      <c r="C3603" s="41"/>
      <c r="D3603" s="38"/>
      <c r="E3603" s="57"/>
      <c r="F3603" s="42"/>
      <c r="G3603" s="43"/>
      <c r="H3603" s="37"/>
      <c r="I3603" s="37"/>
      <c r="J3603" s="38"/>
      <c r="K3603" s="37"/>
      <c r="L3603" s="38"/>
      <c r="M3603" s="39"/>
      <c r="P3603" s="37"/>
      <c r="Q3603" s="37"/>
      <c r="R3603" s="37"/>
      <c r="S3603" s="37"/>
      <c r="T3603" s="37"/>
      <c r="U3603" s="37"/>
      <c r="V3603" s="37"/>
      <c r="W3603" s="37"/>
      <c r="X3603" s="37"/>
      <c r="Y3603" s="37"/>
      <c r="Z3603" s="37"/>
      <c r="AA3603" s="37"/>
      <c r="AB3603" s="37"/>
      <c r="AC3603" s="37"/>
      <c r="AD3603" s="37"/>
      <c r="AE3603" s="37"/>
      <c r="AF3603" s="37"/>
      <c r="AG3603" s="37"/>
      <c r="AH3603" s="37"/>
      <c r="AI3603" s="37"/>
      <c r="AJ3603" s="37"/>
      <c r="AK3603" s="37"/>
      <c r="AL3603" s="37"/>
      <c r="AM3603" s="37"/>
      <c r="AN3603" s="37"/>
      <c r="AO3603" s="37"/>
      <c r="AP3603" s="37"/>
      <c r="AQ3603" s="37"/>
      <c r="AR3603" s="37"/>
      <c r="AS3603" s="37"/>
      <c r="AT3603" s="37"/>
      <c r="AU3603" s="37"/>
      <c r="AV3603" s="37"/>
      <c r="AW3603" s="37"/>
      <c r="AX3603" s="37"/>
      <c r="AY3603" s="37"/>
      <c r="AZ3603" s="37"/>
      <c r="BA3603" s="37"/>
      <c r="BB3603" s="37"/>
      <c r="BC3603" s="37"/>
      <c r="BD3603" s="37"/>
      <c r="BE3603" s="37"/>
      <c r="BF3603" s="37"/>
      <c r="BG3603" s="37"/>
      <c r="BH3603" s="37"/>
      <c r="BI3603" s="37"/>
      <c r="BJ3603" s="37"/>
      <c r="BK3603" s="37"/>
      <c r="BL3603" s="37"/>
      <c r="BM3603" s="37"/>
    </row>
    <row r="3604" spans="1:65" s="40" customFormat="1" ht="23.25" x14ac:dyDescent="0.35">
      <c r="A3604" s="37"/>
      <c r="B3604" s="37"/>
      <c r="C3604" s="41"/>
      <c r="D3604" s="38"/>
      <c r="E3604" s="57"/>
      <c r="F3604" s="42"/>
      <c r="G3604" s="43"/>
      <c r="H3604" s="37"/>
      <c r="I3604" s="37"/>
      <c r="J3604" s="38"/>
      <c r="K3604" s="37"/>
      <c r="L3604" s="38"/>
      <c r="M3604" s="39"/>
      <c r="P3604" s="37"/>
      <c r="Q3604" s="37"/>
      <c r="R3604" s="37"/>
      <c r="S3604" s="37"/>
      <c r="T3604" s="37"/>
      <c r="U3604" s="37"/>
      <c r="V3604" s="37"/>
      <c r="W3604" s="37"/>
      <c r="X3604" s="37"/>
      <c r="Y3604" s="37"/>
      <c r="Z3604" s="37"/>
      <c r="AA3604" s="37"/>
      <c r="AB3604" s="37"/>
      <c r="AC3604" s="37"/>
      <c r="AD3604" s="37"/>
      <c r="AE3604" s="37"/>
      <c r="AF3604" s="37"/>
      <c r="AG3604" s="37"/>
      <c r="AH3604" s="37"/>
      <c r="AI3604" s="37"/>
      <c r="AJ3604" s="37"/>
      <c r="AK3604" s="37"/>
      <c r="AL3604" s="37"/>
      <c r="AM3604" s="37"/>
      <c r="AN3604" s="37"/>
      <c r="AO3604" s="37"/>
      <c r="AP3604" s="37"/>
      <c r="AQ3604" s="37"/>
      <c r="AR3604" s="37"/>
      <c r="AS3604" s="37"/>
      <c r="AT3604" s="37"/>
      <c r="AU3604" s="37"/>
      <c r="AV3604" s="37"/>
      <c r="AW3604" s="37"/>
      <c r="AX3604" s="37"/>
      <c r="AY3604" s="37"/>
      <c r="AZ3604" s="37"/>
      <c r="BA3604" s="37"/>
      <c r="BB3604" s="37"/>
      <c r="BC3604" s="37"/>
      <c r="BD3604" s="37"/>
      <c r="BE3604" s="37"/>
      <c r="BF3604" s="37"/>
      <c r="BG3604" s="37"/>
      <c r="BH3604" s="37"/>
      <c r="BI3604" s="37"/>
      <c r="BJ3604" s="37"/>
      <c r="BK3604" s="37"/>
      <c r="BL3604" s="37"/>
      <c r="BM3604" s="37"/>
    </row>
    <row r="3605" spans="1:65" s="40" customFormat="1" ht="23.25" x14ac:dyDescent="0.35">
      <c r="A3605" s="37"/>
      <c r="B3605" s="37"/>
      <c r="C3605" s="41"/>
      <c r="D3605" s="38"/>
      <c r="E3605" s="57"/>
      <c r="F3605" s="42"/>
      <c r="G3605" s="43"/>
      <c r="H3605" s="37"/>
      <c r="I3605" s="37"/>
      <c r="J3605" s="38"/>
      <c r="K3605" s="37"/>
      <c r="L3605" s="38"/>
      <c r="M3605" s="39"/>
      <c r="P3605" s="37"/>
      <c r="Q3605" s="37"/>
      <c r="R3605" s="37"/>
      <c r="S3605" s="37"/>
      <c r="T3605" s="37"/>
      <c r="U3605" s="37"/>
      <c r="V3605" s="37"/>
      <c r="W3605" s="37"/>
      <c r="X3605" s="37"/>
      <c r="Y3605" s="37"/>
      <c r="Z3605" s="37"/>
      <c r="AA3605" s="37"/>
      <c r="AB3605" s="37"/>
      <c r="AC3605" s="37"/>
      <c r="AD3605" s="37"/>
      <c r="AE3605" s="37"/>
      <c r="AF3605" s="37"/>
      <c r="AG3605" s="37"/>
      <c r="AH3605" s="37"/>
      <c r="AI3605" s="37"/>
      <c r="AJ3605" s="37"/>
      <c r="AK3605" s="37"/>
      <c r="AL3605" s="37"/>
      <c r="AM3605" s="37"/>
      <c r="AN3605" s="37"/>
      <c r="AO3605" s="37"/>
      <c r="AP3605" s="37"/>
      <c r="AQ3605" s="37"/>
      <c r="AR3605" s="37"/>
      <c r="AS3605" s="37"/>
      <c r="AT3605" s="37"/>
      <c r="AU3605" s="37"/>
      <c r="AV3605" s="37"/>
      <c r="AW3605" s="37"/>
      <c r="AX3605" s="37"/>
      <c r="AY3605" s="37"/>
      <c r="AZ3605" s="37"/>
      <c r="BA3605" s="37"/>
      <c r="BB3605" s="37"/>
      <c r="BC3605" s="37"/>
      <c r="BD3605" s="37"/>
      <c r="BE3605" s="37"/>
      <c r="BF3605" s="37"/>
      <c r="BG3605" s="37"/>
      <c r="BH3605" s="37"/>
      <c r="BI3605" s="37"/>
      <c r="BJ3605" s="37"/>
      <c r="BK3605" s="37"/>
      <c r="BL3605" s="37"/>
      <c r="BM3605" s="37"/>
    </row>
    <row r="3606" spans="1:65" s="40" customFormat="1" ht="23.25" x14ac:dyDescent="0.35">
      <c r="A3606" s="37"/>
      <c r="B3606" s="37"/>
      <c r="C3606" s="41"/>
      <c r="D3606" s="38"/>
      <c r="E3606" s="57"/>
      <c r="F3606" s="42"/>
      <c r="G3606" s="43"/>
      <c r="H3606" s="37"/>
      <c r="I3606" s="37"/>
      <c r="J3606" s="38"/>
      <c r="K3606" s="37"/>
      <c r="L3606" s="38"/>
      <c r="M3606" s="39"/>
      <c r="P3606" s="37"/>
      <c r="Q3606" s="37"/>
      <c r="R3606" s="37"/>
      <c r="S3606" s="37"/>
      <c r="T3606" s="37"/>
      <c r="U3606" s="37"/>
      <c r="V3606" s="37"/>
      <c r="W3606" s="37"/>
      <c r="X3606" s="37"/>
      <c r="Y3606" s="37"/>
      <c r="Z3606" s="37"/>
      <c r="AA3606" s="37"/>
      <c r="AB3606" s="37"/>
      <c r="AC3606" s="37"/>
      <c r="AD3606" s="37"/>
      <c r="AE3606" s="37"/>
      <c r="AF3606" s="37"/>
      <c r="AG3606" s="37"/>
      <c r="AH3606" s="37"/>
      <c r="AI3606" s="37"/>
      <c r="AJ3606" s="37"/>
      <c r="AK3606" s="37"/>
      <c r="AL3606" s="37"/>
      <c r="AM3606" s="37"/>
      <c r="AN3606" s="37"/>
      <c r="AO3606" s="37"/>
      <c r="AP3606" s="37"/>
      <c r="AQ3606" s="37"/>
      <c r="AR3606" s="37"/>
      <c r="AS3606" s="37"/>
      <c r="AT3606" s="37"/>
      <c r="AU3606" s="37"/>
      <c r="AV3606" s="37"/>
      <c r="AW3606" s="37"/>
      <c r="AX3606" s="37"/>
      <c r="AY3606" s="37"/>
      <c r="AZ3606" s="37"/>
      <c r="BA3606" s="37"/>
      <c r="BB3606" s="37"/>
      <c r="BC3606" s="37"/>
      <c r="BD3606" s="37"/>
      <c r="BE3606" s="37"/>
      <c r="BF3606" s="37"/>
      <c r="BG3606" s="37"/>
      <c r="BH3606" s="37"/>
      <c r="BI3606" s="37"/>
      <c r="BJ3606" s="37"/>
      <c r="BK3606" s="37"/>
      <c r="BL3606" s="37"/>
      <c r="BM3606" s="37"/>
    </row>
    <row r="3607" spans="1:65" s="40" customFormat="1" ht="23.25" x14ac:dyDescent="0.35">
      <c r="A3607" s="37"/>
      <c r="B3607" s="37"/>
      <c r="C3607" s="41"/>
      <c r="D3607" s="38"/>
      <c r="E3607" s="57"/>
      <c r="F3607" s="42"/>
      <c r="G3607" s="43"/>
      <c r="H3607" s="37"/>
      <c r="I3607" s="37"/>
      <c r="J3607" s="38"/>
      <c r="K3607" s="37"/>
      <c r="L3607" s="38"/>
      <c r="M3607" s="39"/>
      <c r="P3607" s="37"/>
      <c r="Q3607" s="37"/>
      <c r="R3607" s="37"/>
      <c r="S3607" s="37"/>
      <c r="T3607" s="37"/>
      <c r="U3607" s="37"/>
      <c r="V3607" s="37"/>
      <c r="W3607" s="37"/>
      <c r="X3607" s="37"/>
      <c r="Y3607" s="37"/>
      <c r="Z3607" s="37"/>
      <c r="AA3607" s="37"/>
      <c r="AB3607" s="37"/>
      <c r="AC3607" s="37"/>
      <c r="AD3607" s="37"/>
      <c r="AE3607" s="37"/>
      <c r="AF3607" s="37"/>
      <c r="AG3607" s="37"/>
      <c r="AH3607" s="37"/>
      <c r="AI3607" s="37"/>
      <c r="AJ3607" s="37"/>
      <c r="AK3607" s="37"/>
      <c r="AL3607" s="37"/>
      <c r="AM3607" s="37"/>
      <c r="AN3607" s="37"/>
      <c r="AO3607" s="37"/>
      <c r="AP3607" s="37"/>
      <c r="AQ3607" s="37"/>
      <c r="AR3607" s="37"/>
      <c r="AS3607" s="37"/>
      <c r="AT3607" s="37"/>
      <c r="AU3607" s="37"/>
      <c r="AV3607" s="37"/>
      <c r="AW3607" s="37"/>
      <c r="AX3607" s="37"/>
      <c r="AY3607" s="37"/>
      <c r="AZ3607" s="37"/>
      <c r="BA3607" s="37"/>
      <c r="BB3607" s="37"/>
      <c r="BC3607" s="37"/>
      <c r="BD3607" s="37"/>
      <c r="BE3607" s="37"/>
      <c r="BF3607" s="37"/>
      <c r="BG3607" s="37"/>
      <c r="BH3607" s="37"/>
      <c r="BI3607" s="37"/>
      <c r="BJ3607" s="37"/>
      <c r="BK3607" s="37"/>
      <c r="BL3607" s="37"/>
      <c r="BM3607" s="37"/>
    </row>
    <row r="3608" spans="1:65" s="40" customFormat="1" ht="23.25" x14ac:dyDescent="0.35">
      <c r="A3608" s="37"/>
      <c r="B3608" s="37"/>
      <c r="C3608" s="41"/>
      <c r="D3608" s="38"/>
      <c r="E3608" s="57"/>
      <c r="F3608" s="42"/>
      <c r="G3608" s="43"/>
      <c r="H3608" s="37"/>
      <c r="I3608" s="37"/>
      <c r="J3608" s="38"/>
      <c r="K3608" s="37"/>
      <c r="L3608" s="38"/>
      <c r="M3608" s="39"/>
      <c r="P3608" s="37"/>
      <c r="Q3608" s="37"/>
      <c r="R3608" s="37"/>
      <c r="S3608" s="37"/>
      <c r="T3608" s="37"/>
      <c r="U3608" s="37"/>
      <c r="V3608" s="37"/>
      <c r="W3608" s="37"/>
      <c r="X3608" s="37"/>
      <c r="Y3608" s="37"/>
      <c r="Z3608" s="37"/>
      <c r="AA3608" s="37"/>
      <c r="AB3608" s="37"/>
      <c r="AC3608" s="37"/>
      <c r="AD3608" s="37"/>
      <c r="AE3608" s="37"/>
      <c r="AF3608" s="37"/>
      <c r="AG3608" s="37"/>
      <c r="AH3608" s="37"/>
      <c r="AI3608" s="37"/>
      <c r="AJ3608" s="37"/>
      <c r="AK3608" s="37"/>
      <c r="AL3608" s="37"/>
      <c r="AM3608" s="37"/>
      <c r="AN3608" s="37"/>
      <c r="AO3608" s="37"/>
      <c r="AP3608" s="37"/>
      <c r="AQ3608" s="37"/>
      <c r="AR3608" s="37"/>
      <c r="AS3608" s="37"/>
      <c r="AT3608" s="37"/>
      <c r="AU3608" s="37"/>
      <c r="AV3608" s="37"/>
      <c r="AW3608" s="37"/>
      <c r="AX3608" s="37"/>
      <c r="AY3608" s="37"/>
      <c r="AZ3608" s="37"/>
      <c r="BA3608" s="37"/>
      <c r="BB3608" s="37"/>
      <c r="BC3608" s="37"/>
      <c r="BD3608" s="37"/>
      <c r="BE3608" s="37"/>
      <c r="BF3608" s="37"/>
      <c r="BG3608" s="37"/>
      <c r="BH3608" s="37"/>
      <c r="BI3608" s="37"/>
      <c r="BJ3608" s="37"/>
      <c r="BK3608" s="37"/>
      <c r="BL3608" s="37"/>
      <c r="BM3608" s="37"/>
    </row>
    <row r="3609" spans="1:65" s="40" customFormat="1" ht="23.25" x14ac:dyDescent="0.35">
      <c r="A3609" s="37"/>
      <c r="B3609" s="37"/>
      <c r="C3609" s="41"/>
      <c r="D3609" s="38"/>
      <c r="E3609" s="57"/>
      <c r="F3609" s="42"/>
      <c r="G3609" s="43"/>
      <c r="H3609" s="37"/>
      <c r="I3609" s="37"/>
      <c r="J3609" s="38"/>
      <c r="K3609" s="37"/>
      <c r="L3609" s="38"/>
      <c r="M3609" s="39"/>
      <c r="P3609" s="37"/>
      <c r="Q3609" s="37"/>
      <c r="R3609" s="37"/>
      <c r="S3609" s="37"/>
      <c r="T3609" s="37"/>
      <c r="U3609" s="37"/>
      <c r="V3609" s="37"/>
      <c r="W3609" s="37"/>
      <c r="X3609" s="37"/>
      <c r="Y3609" s="37"/>
      <c r="Z3609" s="37"/>
      <c r="AA3609" s="37"/>
      <c r="AB3609" s="37"/>
      <c r="AC3609" s="37"/>
      <c r="AD3609" s="37"/>
      <c r="AE3609" s="37"/>
      <c r="AF3609" s="37"/>
      <c r="AG3609" s="37"/>
      <c r="AH3609" s="37"/>
      <c r="AI3609" s="37"/>
      <c r="AJ3609" s="37"/>
      <c r="AK3609" s="37"/>
      <c r="AL3609" s="37"/>
      <c r="AM3609" s="37"/>
      <c r="AN3609" s="37"/>
      <c r="AO3609" s="37"/>
      <c r="AP3609" s="37"/>
      <c r="AQ3609" s="37"/>
      <c r="AR3609" s="37"/>
      <c r="AS3609" s="37"/>
      <c r="AT3609" s="37"/>
      <c r="AU3609" s="37"/>
      <c r="AV3609" s="37"/>
      <c r="AW3609" s="37"/>
      <c r="AX3609" s="37"/>
      <c r="AY3609" s="37"/>
      <c r="AZ3609" s="37"/>
      <c r="BA3609" s="37"/>
      <c r="BB3609" s="37"/>
      <c r="BC3609" s="37"/>
      <c r="BD3609" s="37"/>
      <c r="BE3609" s="37"/>
      <c r="BF3609" s="37"/>
      <c r="BG3609" s="37"/>
      <c r="BH3609" s="37"/>
      <c r="BI3609" s="37"/>
      <c r="BJ3609" s="37"/>
      <c r="BK3609" s="37"/>
      <c r="BL3609" s="37"/>
      <c r="BM3609" s="37"/>
    </row>
    <row r="3610" spans="1:65" s="40" customFormat="1" ht="23.25" x14ac:dyDescent="0.35">
      <c r="A3610" s="37"/>
      <c r="B3610" s="37"/>
      <c r="C3610" s="41"/>
      <c r="D3610" s="38"/>
      <c r="E3610" s="57"/>
      <c r="F3610" s="42"/>
      <c r="G3610" s="43"/>
      <c r="H3610" s="37"/>
      <c r="I3610" s="37"/>
      <c r="J3610" s="38"/>
      <c r="K3610" s="37"/>
      <c r="L3610" s="38"/>
      <c r="M3610" s="39"/>
      <c r="P3610" s="37"/>
      <c r="Q3610" s="37"/>
      <c r="R3610" s="37"/>
      <c r="S3610" s="37"/>
      <c r="T3610" s="37"/>
      <c r="U3610" s="37"/>
      <c r="V3610" s="37"/>
      <c r="W3610" s="37"/>
      <c r="X3610" s="37"/>
      <c r="Y3610" s="37"/>
      <c r="Z3610" s="37"/>
      <c r="AA3610" s="37"/>
      <c r="AB3610" s="37"/>
      <c r="AC3610" s="37"/>
      <c r="AD3610" s="37"/>
      <c r="AE3610" s="37"/>
      <c r="AF3610" s="37"/>
      <c r="AG3610" s="37"/>
      <c r="AH3610" s="37"/>
      <c r="AI3610" s="37"/>
      <c r="AJ3610" s="37"/>
      <c r="AK3610" s="37"/>
      <c r="AL3610" s="37"/>
      <c r="AM3610" s="37"/>
      <c r="AN3610" s="37"/>
      <c r="AO3610" s="37"/>
      <c r="AP3610" s="37"/>
      <c r="AQ3610" s="37"/>
      <c r="AR3610" s="37"/>
      <c r="AS3610" s="37"/>
      <c r="AT3610" s="37"/>
      <c r="AU3610" s="37"/>
      <c r="AV3610" s="37"/>
      <c r="AW3610" s="37"/>
      <c r="AX3610" s="37"/>
      <c r="AY3610" s="37"/>
      <c r="AZ3610" s="37"/>
      <c r="BA3610" s="37"/>
      <c r="BB3610" s="37"/>
      <c r="BC3610" s="37"/>
      <c r="BD3610" s="37"/>
      <c r="BE3610" s="37"/>
      <c r="BF3610" s="37"/>
      <c r="BG3610" s="37"/>
      <c r="BH3610" s="37"/>
      <c r="BI3610" s="37"/>
      <c r="BJ3610" s="37"/>
      <c r="BK3610" s="37"/>
      <c r="BL3610" s="37"/>
      <c r="BM3610" s="37"/>
    </row>
    <row r="3611" spans="1:65" s="40" customFormat="1" ht="23.25" x14ac:dyDescent="0.35">
      <c r="A3611" s="37"/>
      <c r="B3611" s="37"/>
      <c r="C3611" s="41"/>
      <c r="D3611" s="38"/>
      <c r="E3611" s="57"/>
      <c r="F3611" s="42"/>
      <c r="G3611" s="43"/>
      <c r="H3611" s="37"/>
      <c r="I3611" s="37"/>
      <c r="J3611" s="38"/>
      <c r="K3611" s="37"/>
      <c r="L3611" s="38"/>
      <c r="M3611" s="39"/>
      <c r="P3611" s="37"/>
      <c r="Q3611" s="37"/>
      <c r="R3611" s="37"/>
      <c r="S3611" s="37"/>
      <c r="T3611" s="37"/>
      <c r="U3611" s="37"/>
      <c r="V3611" s="37"/>
      <c r="W3611" s="37"/>
      <c r="X3611" s="37"/>
      <c r="Y3611" s="37"/>
      <c r="Z3611" s="37"/>
      <c r="AA3611" s="37"/>
      <c r="AB3611" s="37"/>
      <c r="AC3611" s="37"/>
      <c r="AD3611" s="37"/>
      <c r="AE3611" s="37"/>
      <c r="AF3611" s="37"/>
      <c r="AG3611" s="37"/>
      <c r="AH3611" s="37"/>
      <c r="AI3611" s="37"/>
      <c r="AJ3611" s="37"/>
      <c r="AK3611" s="37"/>
      <c r="AL3611" s="37"/>
      <c r="AM3611" s="37"/>
      <c r="AN3611" s="37"/>
      <c r="AO3611" s="37"/>
      <c r="AP3611" s="37"/>
      <c r="AQ3611" s="37"/>
      <c r="AR3611" s="37"/>
      <c r="AS3611" s="37"/>
      <c r="AT3611" s="37"/>
      <c r="AU3611" s="37"/>
      <c r="AV3611" s="37"/>
      <c r="AW3611" s="37"/>
      <c r="AX3611" s="37"/>
      <c r="AY3611" s="37"/>
      <c r="AZ3611" s="37"/>
      <c r="BA3611" s="37"/>
      <c r="BB3611" s="37"/>
      <c r="BC3611" s="37"/>
      <c r="BD3611" s="37"/>
      <c r="BE3611" s="37"/>
      <c r="BF3611" s="37"/>
      <c r="BG3611" s="37"/>
      <c r="BH3611" s="37"/>
      <c r="BI3611" s="37"/>
      <c r="BJ3611" s="37"/>
      <c r="BK3611" s="37"/>
      <c r="BL3611" s="37"/>
      <c r="BM3611" s="37"/>
    </row>
    <row r="3612" spans="1:65" s="40" customFormat="1" ht="23.25" x14ac:dyDescent="0.35">
      <c r="A3612" s="37"/>
      <c r="B3612" s="37"/>
      <c r="C3612" s="41"/>
      <c r="D3612" s="38"/>
      <c r="E3612" s="57"/>
      <c r="F3612" s="42"/>
      <c r="G3612" s="43"/>
      <c r="H3612" s="37"/>
      <c r="I3612" s="37"/>
      <c r="J3612" s="38"/>
      <c r="K3612" s="37"/>
      <c r="L3612" s="38"/>
      <c r="M3612" s="39"/>
      <c r="P3612" s="37"/>
      <c r="Q3612" s="37"/>
      <c r="R3612" s="37"/>
      <c r="S3612" s="37"/>
      <c r="T3612" s="37"/>
      <c r="U3612" s="37"/>
      <c r="V3612" s="37"/>
      <c r="W3612" s="37"/>
      <c r="X3612" s="37"/>
      <c r="Y3612" s="37"/>
      <c r="Z3612" s="37"/>
      <c r="AA3612" s="37"/>
      <c r="AB3612" s="37"/>
      <c r="AC3612" s="37"/>
      <c r="AD3612" s="37"/>
      <c r="AE3612" s="37"/>
      <c r="AF3612" s="37"/>
      <c r="AG3612" s="37"/>
      <c r="AH3612" s="37"/>
      <c r="AI3612" s="37"/>
      <c r="AJ3612" s="37"/>
      <c r="AK3612" s="37"/>
      <c r="AL3612" s="37"/>
      <c r="AM3612" s="37"/>
      <c r="AN3612" s="37"/>
      <c r="AO3612" s="37"/>
      <c r="AP3612" s="37"/>
      <c r="AQ3612" s="37"/>
      <c r="AR3612" s="37"/>
      <c r="AS3612" s="37"/>
      <c r="AT3612" s="37"/>
      <c r="AU3612" s="37"/>
      <c r="AV3612" s="37"/>
      <c r="AW3612" s="37"/>
      <c r="AX3612" s="37"/>
      <c r="AY3612" s="37"/>
      <c r="AZ3612" s="37"/>
      <c r="BA3612" s="37"/>
      <c r="BB3612" s="37"/>
      <c r="BC3612" s="37"/>
      <c r="BD3612" s="37"/>
      <c r="BE3612" s="37"/>
      <c r="BF3612" s="37"/>
      <c r="BG3612" s="37"/>
      <c r="BH3612" s="37"/>
      <c r="BI3612" s="37"/>
      <c r="BJ3612" s="37"/>
      <c r="BK3612" s="37"/>
      <c r="BL3612" s="37"/>
      <c r="BM3612" s="37"/>
    </row>
    <row r="3613" spans="1:65" s="40" customFormat="1" ht="23.25" x14ac:dyDescent="0.35">
      <c r="A3613" s="37"/>
      <c r="B3613" s="37"/>
      <c r="C3613" s="41"/>
      <c r="D3613" s="38"/>
      <c r="E3613" s="57"/>
      <c r="F3613" s="42"/>
      <c r="G3613" s="43"/>
      <c r="H3613" s="37"/>
      <c r="I3613" s="37"/>
      <c r="J3613" s="38"/>
      <c r="K3613" s="37"/>
      <c r="L3613" s="38"/>
      <c r="M3613" s="39"/>
      <c r="P3613" s="37"/>
      <c r="Q3613" s="37"/>
      <c r="R3613" s="37"/>
      <c r="S3613" s="37"/>
      <c r="T3613" s="37"/>
      <c r="U3613" s="37"/>
      <c r="V3613" s="37"/>
      <c r="W3613" s="37"/>
      <c r="X3613" s="37"/>
      <c r="Y3613" s="37"/>
      <c r="Z3613" s="37"/>
      <c r="AA3613" s="37"/>
      <c r="AB3613" s="37"/>
      <c r="AC3613" s="37"/>
      <c r="AD3613" s="37"/>
      <c r="AE3613" s="37"/>
      <c r="AF3613" s="37"/>
      <c r="AG3613" s="37"/>
      <c r="AH3613" s="37"/>
      <c r="AI3613" s="37"/>
      <c r="AJ3613" s="37"/>
      <c r="AK3613" s="37"/>
      <c r="AL3613" s="37"/>
      <c r="AM3613" s="37"/>
      <c r="AN3613" s="37"/>
      <c r="AO3613" s="37"/>
      <c r="AP3613" s="37"/>
      <c r="AQ3613" s="37"/>
      <c r="AR3613" s="37"/>
      <c r="AS3613" s="37"/>
      <c r="AT3613" s="37"/>
      <c r="AU3613" s="37"/>
      <c r="AV3613" s="37"/>
      <c r="AW3613" s="37"/>
      <c r="AX3613" s="37"/>
      <c r="AY3613" s="37"/>
      <c r="AZ3613" s="37"/>
      <c r="BA3613" s="37"/>
      <c r="BB3613" s="37"/>
      <c r="BC3613" s="37"/>
      <c r="BD3613" s="37"/>
      <c r="BE3613" s="37"/>
      <c r="BF3613" s="37"/>
      <c r="BG3613" s="37"/>
      <c r="BH3613" s="37"/>
      <c r="BI3613" s="37"/>
      <c r="BJ3613" s="37"/>
      <c r="BK3613" s="37"/>
      <c r="BL3613" s="37"/>
      <c r="BM3613" s="37"/>
    </row>
    <row r="3614" spans="1:65" s="40" customFormat="1" ht="23.25" x14ac:dyDescent="0.35">
      <c r="A3614" s="37"/>
      <c r="B3614" s="37"/>
      <c r="C3614" s="41"/>
      <c r="D3614" s="38"/>
      <c r="E3614" s="57"/>
      <c r="F3614" s="42"/>
      <c r="G3614" s="43"/>
      <c r="H3614" s="37"/>
      <c r="I3614" s="37"/>
      <c r="J3614" s="38"/>
      <c r="K3614" s="37"/>
      <c r="L3614" s="38"/>
      <c r="M3614" s="39"/>
      <c r="P3614" s="37"/>
      <c r="Q3614" s="37"/>
      <c r="R3614" s="37"/>
      <c r="S3614" s="37"/>
      <c r="T3614" s="37"/>
      <c r="U3614" s="37"/>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7"/>
      <c r="AR3614" s="37"/>
      <c r="AS3614" s="37"/>
      <c r="AT3614" s="37"/>
      <c r="AU3614" s="37"/>
      <c r="AV3614" s="37"/>
      <c r="AW3614" s="37"/>
      <c r="AX3614" s="37"/>
      <c r="AY3614" s="37"/>
      <c r="AZ3614" s="37"/>
      <c r="BA3614" s="37"/>
      <c r="BB3614" s="37"/>
      <c r="BC3614" s="37"/>
      <c r="BD3614" s="37"/>
      <c r="BE3614" s="37"/>
      <c r="BF3614" s="37"/>
      <c r="BG3614" s="37"/>
      <c r="BH3614" s="37"/>
      <c r="BI3614" s="37"/>
      <c r="BJ3614" s="37"/>
      <c r="BK3614" s="37"/>
      <c r="BL3614" s="37"/>
      <c r="BM3614" s="37"/>
    </row>
    <row r="3615" spans="1:65" s="40" customFormat="1" ht="23.25" x14ac:dyDescent="0.35">
      <c r="A3615" s="37"/>
      <c r="B3615" s="37"/>
      <c r="C3615" s="41"/>
      <c r="D3615" s="38"/>
      <c r="E3615" s="57"/>
      <c r="F3615" s="42"/>
      <c r="G3615" s="43"/>
      <c r="H3615" s="37"/>
      <c r="I3615" s="37"/>
      <c r="J3615" s="38"/>
      <c r="K3615" s="37"/>
      <c r="L3615" s="38"/>
      <c r="M3615" s="39"/>
      <c r="P3615" s="37"/>
      <c r="Q3615" s="37"/>
      <c r="R3615" s="37"/>
      <c r="S3615" s="37"/>
      <c r="T3615" s="37"/>
      <c r="U3615" s="37"/>
      <c r="V3615" s="37"/>
      <c r="W3615" s="37"/>
      <c r="X3615" s="37"/>
      <c r="Y3615" s="37"/>
      <c r="Z3615" s="37"/>
      <c r="AA3615" s="37"/>
      <c r="AB3615" s="37"/>
      <c r="AC3615" s="37"/>
      <c r="AD3615" s="37"/>
      <c r="AE3615" s="37"/>
      <c r="AF3615" s="37"/>
      <c r="AG3615" s="37"/>
      <c r="AH3615" s="37"/>
      <c r="AI3615" s="37"/>
      <c r="AJ3615" s="37"/>
      <c r="AK3615" s="37"/>
      <c r="AL3615" s="37"/>
      <c r="AM3615" s="37"/>
      <c r="AN3615" s="37"/>
      <c r="AO3615" s="37"/>
      <c r="AP3615" s="37"/>
      <c r="AQ3615" s="37"/>
      <c r="AR3615" s="37"/>
      <c r="AS3615" s="37"/>
      <c r="AT3615" s="37"/>
      <c r="AU3615" s="37"/>
      <c r="AV3615" s="37"/>
      <c r="AW3615" s="37"/>
      <c r="AX3615" s="37"/>
      <c r="AY3615" s="37"/>
      <c r="AZ3615" s="37"/>
      <c r="BA3615" s="37"/>
      <c r="BB3615" s="37"/>
      <c r="BC3615" s="37"/>
      <c r="BD3615" s="37"/>
      <c r="BE3615" s="37"/>
      <c r="BF3615" s="37"/>
      <c r="BG3615" s="37"/>
      <c r="BH3615" s="37"/>
      <c r="BI3615" s="37"/>
      <c r="BJ3615" s="37"/>
      <c r="BK3615" s="37"/>
      <c r="BL3615" s="37"/>
      <c r="BM3615" s="37"/>
    </row>
    <row r="3616" spans="1:65" s="40" customFormat="1" ht="23.25" x14ac:dyDescent="0.35">
      <c r="A3616" s="37"/>
      <c r="B3616" s="37"/>
      <c r="C3616" s="41"/>
      <c r="D3616" s="38"/>
      <c r="E3616" s="57"/>
      <c r="F3616" s="42"/>
      <c r="G3616" s="43"/>
      <c r="H3616" s="37"/>
      <c r="I3616" s="37"/>
      <c r="J3616" s="38"/>
      <c r="K3616" s="37"/>
      <c r="L3616" s="38"/>
      <c r="M3616" s="39"/>
      <c r="P3616" s="37"/>
      <c r="Q3616" s="37"/>
      <c r="R3616" s="37"/>
      <c r="S3616" s="37"/>
      <c r="T3616" s="37"/>
      <c r="U3616" s="37"/>
      <c r="V3616" s="37"/>
      <c r="W3616" s="37"/>
      <c r="X3616" s="37"/>
      <c r="Y3616" s="37"/>
      <c r="Z3616" s="37"/>
      <c r="AA3616" s="37"/>
      <c r="AB3616" s="37"/>
      <c r="AC3616" s="37"/>
      <c r="AD3616" s="37"/>
      <c r="AE3616" s="37"/>
      <c r="AF3616" s="37"/>
      <c r="AG3616" s="37"/>
      <c r="AH3616" s="37"/>
      <c r="AI3616" s="37"/>
      <c r="AJ3616" s="37"/>
      <c r="AK3616" s="37"/>
      <c r="AL3616" s="37"/>
      <c r="AM3616" s="37"/>
      <c r="AN3616" s="37"/>
      <c r="AO3616" s="37"/>
      <c r="AP3616" s="37"/>
      <c r="AQ3616" s="37"/>
      <c r="AR3616" s="37"/>
      <c r="AS3616" s="37"/>
      <c r="AT3616" s="37"/>
      <c r="AU3616" s="37"/>
      <c r="AV3616" s="37"/>
      <c r="AW3616" s="37"/>
      <c r="AX3616" s="37"/>
      <c r="AY3616" s="37"/>
      <c r="AZ3616" s="37"/>
      <c r="BA3616" s="37"/>
      <c r="BB3616" s="37"/>
      <c r="BC3616" s="37"/>
      <c r="BD3616" s="37"/>
      <c r="BE3616" s="37"/>
      <c r="BF3616" s="37"/>
      <c r="BG3616" s="37"/>
      <c r="BH3616" s="37"/>
      <c r="BI3616" s="37"/>
      <c r="BJ3616" s="37"/>
      <c r="BK3616" s="37"/>
      <c r="BL3616" s="37"/>
      <c r="BM3616" s="37"/>
    </row>
    <row r="3617" spans="1:65" s="40" customFormat="1" ht="23.25" x14ac:dyDescent="0.35">
      <c r="A3617" s="37"/>
      <c r="B3617" s="37"/>
      <c r="C3617" s="41"/>
      <c r="D3617" s="38"/>
      <c r="E3617" s="57"/>
      <c r="F3617" s="42"/>
      <c r="G3617" s="43"/>
      <c r="H3617" s="37"/>
      <c r="I3617" s="37"/>
      <c r="J3617" s="38"/>
      <c r="K3617" s="37"/>
      <c r="L3617" s="38"/>
      <c r="M3617" s="39"/>
      <c r="P3617" s="37"/>
      <c r="Q3617" s="37"/>
      <c r="R3617" s="37"/>
      <c r="S3617" s="37"/>
      <c r="T3617" s="37"/>
      <c r="U3617" s="37"/>
      <c r="V3617" s="37"/>
      <c r="W3617" s="37"/>
      <c r="X3617" s="37"/>
      <c r="Y3617" s="37"/>
      <c r="Z3617" s="37"/>
      <c r="AA3617" s="37"/>
      <c r="AB3617" s="37"/>
      <c r="AC3617" s="37"/>
      <c r="AD3617" s="37"/>
      <c r="AE3617" s="37"/>
      <c r="AF3617" s="37"/>
      <c r="AG3617" s="37"/>
      <c r="AH3617" s="37"/>
      <c r="AI3617" s="37"/>
      <c r="AJ3617" s="37"/>
      <c r="AK3617" s="37"/>
      <c r="AL3617" s="37"/>
      <c r="AM3617" s="37"/>
      <c r="AN3617" s="37"/>
      <c r="AO3617" s="37"/>
      <c r="AP3617" s="37"/>
      <c r="AQ3617" s="37"/>
      <c r="AR3617" s="37"/>
      <c r="AS3617" s="37"/>
      <c r="AT3617" s="37"/>
      <c r="AU3617" s="37"/>
      <c r="AV3617" s="37"/>
      <c r="AW3617" s="37"/>
      <c r="AX3617" s="37"/>
      <c r="AY3617" s="37"/>
      <c r="AZ3617" s="37"/>
      <c r="BA3617" s="37"/>
      <c r="BB3617" s="37"/>
      <c r="BC3617" s="37"/>
      <c r="BD3617" s="37"/>
      <c r="BE3617" s="37"/>
      <c r="BF3617" s="37"/>
      <c r="BG3617" s="37"/>
      <c r="BH3617" s="37"/>
      <c r="BI3617" s="37"/>
      <c r="BJ3617" s="37"/>
      <c r="BK3617" s="37"/>
      <c r="BL3617" s="37"/>
      <c r="BM3617" s="37"/>
    </row>
    <row r="3618" spans="1:65" s="40" customFormat="1" ht="23.25" x14ac:dyDescent="0.35">
      <c r="A3618" s="37"/>
      <c r="B3618" s="37"/>
      <c r="C3618" s="41"/>
      <c r="D3618" s="38"/>
      <c r="E3618" s="57"/>
      <c r="F3618" s="42"/>
      <c r="G3618" s="43"/>
      <c r="H3618" s="37"/>
      <c r="I3618" s="37"/>
      <c r="J3618" s="38"/>
      <c r="K3618" s="37"/>
      <c r="L3618" s="38"/>
      <c r="M3618" s="39"/>
      <c r="P3618" s="37"/>
      <c r="Q3618" s="37"/>
      <c r="R3618" s="37"/>
      <c r="S3618" s="37"/>
      <c r="T3618" s="37"/>
      <c r="U3618" s="37"/>
      <c r="V3618" s="37"/>
      <c r="W3618" s="37"/>
      <c r="X3618" s="37"/>
      <c r="Y3618" s="37"/>
      <c r="Z3618" s="37"/>
      <c r="AA3618" s="37"/>
      <c r="AB3618" s="37"/>
      <c r="AC3618" s="37"/>
      <c r="AD3618" s="37"/>
      <c r="AE3618" s="37"/>
      <c r="AF3618" s="37"/>
      <c r="AG3618" s="37"/>
      <c r="AH3618" s="37"/>
      <c r="AI3618" s="37"/>
      <c r="AJ3618" s="37"/>
      <c r="AK3618" s="37"/>
      <c r="AL3618" s="37"/>
      <c r="AM3618" s="37"/>
      <c r="AN3618" s="37"/>
      <c r="AO3618" s="37"/>
      <c r="AP3618" s="37"/>
      <c r="AQ3618" s="37"/>
      <c r="AR3618" s="37"/>
      <c r="AS3618" s="37"/>
      <c r="AT3618" s="37"/>
      <c r="AU3618" s="37"/>
      <c r="AV3618" s="37"/>
      <c r="AW3618" s="37"/>
      <c r="AX3618" s="37"/>
      <c r="AY3618" s="37"/>
      <c r="AZ3618" s="37"/>
      <c r="BA3618" s="37"/>
      <c r="BB3618" s="37"/>
      <c r="BC3618" s="37"/>
      <c r="BD3618" s="37"/>
      <c r="BE3618" s="37"/>
      <c r="BF3618" s="37"/>
      <c r="BG3618" s="37"/>
      <c r="BH3618" s="37"/>
      <c r="BI3618" s="37"/>
      <c r="BJ3618" s="37"/>
      <c r="BK3618" s="37"/>
      <c r="BL3618" s="37"/>
      <c r="BM3618" s="37"/>
    </row>
    <row r="3619" spans="1:65" s="40" customFormat="1" ht="23.25" x14ac:dyDescent="0.35">
      <c r="A3619" s="37"/>
      <c r="B3619" s="37"/>
      <c r="C3619" s="41"/>
      <c r="D3619" s="38"/>
      <c r="E3619" s="57"/>
      <c r="F3619" s="42"/>
      <c r="G3619" s="43"/>
      <c r="H3619" s="37"/>
      <c r="I3619" s="37"/>
      <c r="J3619" s="38"/>
      <c r="K3619" s="37"/>
      <c r="L3619" s="38"/>
      <c r="M3619" s="39"/>
      <c r="P3619" s="37"/>
      <c r="Q3619" s="37"/>
      <c r="R3619" s="37"/>
      <c r="S3619" s="37"/>
      <c r="T3619" s="37"/>
      <c r="U3619" s="37"/>
      <c r="V3619" s="37"/>
      <c r="W3619" s="37"/>
      <c r="X3619" s="37"/>
      <c r="Y3619" s="37"/>
      <c r="Z3619" s="37"/>
      <c r="AA3619" s="37"/>
      <c r="AB3619" s="37"/>
      <c r="AC3619" s="37"/>
      <c r="AD3619" s="37"/>
      <c r="AE3619" s="37"/>
      <c r="AF3619" s="37"/>
      <c r="AG3619" s="37"/>
      <c r="AH3619" s="37"/>
      <c r="AI3619" s="37"/>
      <c r="AJ3619" s="37"/>
      <c r="AK3619" s="37"/>
      <c r="AL3619" s="37"/>
      <c r="AM3619" s="37"/>
      <c r="AN3619" s="37"/>
      <c r="AO3619" s="37"/>
      <c r="AP3619" s="37"/>
      <c r="AQ3619" s="37"/>
      <c r="AR3619" s="37"/>
      <c r="AS3619" s="37"/>
      <c r="AT3619" s="37"/>
      <c r="AU3619" s="37"/>
      <c r="AV3619" s="37"/>
      <c r="AW3619" s="37"/>
      <c r="AX3619" s="37"/>
      <c r="AY3619" s="37"/>
      <c r="AZ3619" s="37"/>
      <c r="BA3619" s="37"/>
      <c r="BB3619" s="37"/>
      <c r="BC3619" s="37"/>
      <c r="BD3619" s="37"/>
      <c r="BE3619" s="37"/>
      <c r="BF3619" s="37"/>
      <c r="BG3619" s="37"/>
      <c r="BH3619" s="37"/>
      <c r="BI3619" s="37"/>
      <c r="BJ3619" s="37"/>
      <c r="BK3619" s="37"/>
      <c r="BL3619" s="37"/>
      <c r="BM3619" s="37"/>
    </row>
    <row r="3620" spans="1:65" s="40" customFormat="1" ht="23.25" x14ac:dyDescent="0.35">
      <c r="A3620" s="37"/>
      <c r="B3620" s="37"/>
      <c r="C3620" s="41"/>
      <c r="D3620" s="38"/>
      <c r="E3620" s="57"/>
      <c r="F3620" s="42"/>
      <c r="G3620" s="43"/>
      <c r="H3620" s="37"/>
      <c r="I3620" s="37"/>
      <c r="J3620" s="38"/>
      <c r="K3620" s="37"/>
      <c r="L3620" s="38"/>
      <c r="M3620" s="39"/>
      <c r="P3620" s="37"/>
      <c r="Q3620" s="37"/>
      <c r="R3620" s="37"/>
      <c r="S3620" s="37"/>
      <c r="T3620" s="37"/>
      <c r="U3620" s="37"/>
      <c r="V3620" s="37"/>
      <c r="W3620" s="37"/>
      <c r="X3620" s="37"/>
      <c r="Y3620" s="37"/>
      <c r="Z3620" s="37"/>
      <c r="AA3620" s="37"/>
      <c r="AB3620" s="37"/>
      <c r="AC3620" s="37"/>
      <c r="AD3620" s="37"/>
      <c r="AE3620" s="37"/>
      <c r="AF3620" s="37"/>
      <c r="AG3620" s="37"/>
      <c r="AH3620" s="37"/>
      <c r="AI3620" s="37"/>
      <c r="AJ3620" s="37"/>
      <c r="AK3620" s="37"/>
      <c r="AL3620" s="37"/>
      <c r="AM3620" s="37"/>
      <c r="AN3620" s="37"/>
      <c r="AO3620" s="37"/>
      <c r="AP3620" s="37"/>
      <c r="AQ3620" s="37"/>
      <c r="AR3620" s="37"/>
      <c r="AS3620" s="37"/>
      <c r="AT3620" s="37"/>
      <c r="AU3620" s="37"/>
      <c r="AV3620" s="37"/>
      <c r="AW3620" s="37"/>
      <c r="AX3620" s="37"/>
      <c r="AY3620" s="37"/>
      <c r="AZ3620" s="37"/>
      <c r="BA3620" s="37"/>
      <c r="BB3620" s="37"/>
      <c r="BC3620" s="37"/>
      <c r="BD3620" s="37"/>
      <c r="BE3620" s="37"/>
      <c r="BF3620" s="37"/>
      <c r="BG3620" s="37"/>
      <c r="BH3620" s="37"/>
      <c r="BI3620" s="37"/>
      <c r="BJ3620" s="37"/>
      <c r="BK3620" s="37"/>
      <c r="BL3620" s="37"/>
      <c r="BM3620" s="37"/>
    </row>
    <row r="3621" spans="1:65" s="40" customFormat="1" ht="23.25" x14ac:dyDescent="0.35">
      <c r="A3621" s="37"/>
      <c r="B3621" s="37"/>
      <c r="C3621" s="41"/>
      <c r="D3621" s="38"/>
      <c r="E3621" s="57"/>
      <c r="F3621" s="42"/>
      <c r="G3621" s="43"/>
      <c r="H3621" s="37"/>
      <c r="I3621" s="37"/>
      <c r="J3621" s="38"/>
      <c r="K3621" s="37"/>
      <c r="L3621" s="38"/>
      <c r="M3621" s="39"/>
      <c r="P3621" s="37"/>
      <c r="Q3621" s="37"/>
      <c r="R3621" s="37"/>
      <c r="S3621" s="37"/>
      <c r="T3621" s="37"/>
      <c r="U3621" s="37"/>
      <c r="V3621" s="37"/>
      <c r="W3621" s="37"/>
      <c r="X3621" s="37"/>
      <c r="Y3621" s="37"/>
      <c r="Z3621" s="37"/>
      <c r="AA3621" s="37"/>
      <c r="AB3621" s="37"/>
      <c r="AC3621" s="37"/>
      <c r="AD3621" s="37"/>
      <c r="AE3621" s="37"/>
      <c r="AF3621" s="37"/>
      <c r="AG3621" s="37"/>
      <c r="AH3621" s="37"/>
      <c r="AI3621" s="37"/>
      <c r="AJ3621" s="37"/>
      <c r="AK3621" s="37"/>
      <c r="AL3621" s="37"/>
      <c r="AM3621" s="37"/>
      <c r="AN3621" s="37"/>
      <c r="AO3621" s="37"/>
      <c r="AP3621" s="37"/>
      <c r="AQ3621" s="37"/>
      <c r="AR3621" s="37"/>
      <c r="AS3621" s="37"/>
      <c r="AT3621" s="37"/>
      <c r="AU3621" s="37"/>
      <c r="AV3621" s="37"/>
      <c r="AW3621" s="37"/>
      <c r="AX3621" s="37"/>
      <c r="AY3621" s="37"/>
      <c r="AZ3621" s="37"/>
      <c r="BA3621" s="37"/>
      <c r="BB3621" s="37"/>
      <c r="BC3621" s="37"/>
      <c r="BD3621" s="37"/>
      <c r="BE3621" s="37"/>
      <c r="BF3621" s="37"/>
      <c r="BG3621" s="37"/>
      <c r="BH3621" s="37"/>
      <c r="BI3621" s="37"/>
      <c r="BJ3621" s="37"/>
      <c r="BK3621" s="37"/>
      <c r="BL3621" s="37"/>
      <c r="BM3621" s="37"/>
    </row>
    <row r="3622" spans="1:65" s="40" customFormat="1" ht="23.25" x14ac:dyDescent="0.35">
      <c r="A3622" s="37"/>
      <c r="B3622" s="37"/>
      <c r="C3622" s="41"/>
      <c r="D3622" s="38"/>
      <c r="E3622" s="57"/>
      <c r="F3622" s="42"/>
      <c r="G3622" s="43"/>
      <c r="H3622" s="37"/>
      <c r="I3622" s="37"/>
      <c r="J3622" s="38"/>
      <c r="K3622" s="37"/>
      <c r="L3622" s="38"/>
      <c r="M3622" s="39"/>
      <c r="P3622" s="37"/>
      <c r="Q3622" s="37"/>
      <c r="R3622" s="37"/>
      <c r="S3622" s="37"/>
      <c r="T3622" s="37"/>
      <c r="U3622" s="37"/>
      <c r="V3622" s="37"/>
      <c r="W3622" s="37"/>
      <c r="X3622" s="37"/>
      <c r="Y3622" s="37"/>
      <c r="Z3622" s="37"/>
      <c r="AA3622" s="37"/>
      <c r="AB3622" s="37"/>
      <c r="AC3622" s="37"/>
      <c r="AD3622" s="37"/>
      <c r="AE3622" s="37"/>
      <c r="AF3622" s="37"/>
      <c r="AG3622" s="37"/>
      <c r="AH3622" s="37"/>
      <c r="AI3622" s="37"/>
      <c r="AJ3622" s="37"/>
      <c r="AK3622" s="37"/>
      <c r="AL3622" s="37"/>
      <c r="AM3622" s="37"/>
      <c r="AN3622" s="37"/>
      <c r="AO3622" s="37"/>
      <c r="AP3622" s="37"/>
      <c r="AQ3622" s="37"/>
      <c r="AR3622" s="37"/>
      <c r="AS3622" s="37"/>
      <c r="AT3622" s="37"/>
      <c r="AU3622" s="37"/>
      <c r="AV3622" s="37"/>
      <c r="AW3622" s="37"/>
      <c r="AX3622" s="37"/>
      <c r="AY3622" s="37"/>
      <c r="AZ3622" s="37"/>
      <c r="BA3622" s="37"/>
      <c r="BB3622" s="37"/>
      <c r="BC3622" s="37"/>
      <c r="BD3622" s="37"/>
      <c r="BE3622" s="37"/>
      <c r="BF3622" s="37"/>
      <c r="BG3622" s="37"/>
      <c r="BH3622" s="37"/>
      <c r="BI3622" s="37"/>
      <c r="BJ3622" s="37"/>
      <c r="BK3622" s="37"/>
      <c r="BL3622" s="37"/>
      <c r="BM3622" s="37"/>
    </row>
    <row r="3623" spans="1:65" s="40" customFormat="1" ht="23.25" x14ac:dyDescent="0.35">
      <c r="A3623" s="37"/>
      <c r="B3623" s="37"/>
      <c r="C3623" s="41"/>
      <c r="D3623" s="38"/>
      <c r="E3623" s="57"/>
      <c r="F3623" s="42"/>
      <c r="G3623" s="43"/>
      <c r="H3623" s="37"/>
      <c r="I3623" s="37"/>
      <c r="J3623" s="38"/>
      <c r="K3623" s="37"/>
      <c r="L3623" s="38"/>
      <c r="M3623" s="39"/>
      <c r="P3623" s="37"/>
      <c r="Q3623" s="37"/>
      <c r="R3623" s="37"/>
      <c r="S3623" s="37"/>
      <c r="T3623" s="37"/>
      <c r="U3623" s="37"/>
      <c r="V3623" s="37"/>
      <c r="W3623" s="37"/>
      <c r="X3623" s="37"/>
      <c r="Y3623" s="37"/>
      <c r="Z3623" s="37"/>
      <c r="AA3623" s="37"/>
      <c r="AB3623" s="37"/>
      <c r="AC3623" s="37"/>
      <c r="AD3623" s="37"/>
      <c r="AE3623" s="37"/>
      <c r="AF3623" s="37"/>
      <c r="AG3623" s="37"/>
      <c r="AH3623" s="37"/>
      <c r="AI3623" s="37"/>
      <c r="AJ3623" s="37"/>
      <c r="AK3623" s="37"/>
      <c r="AL3623" s="37"/>
      <c r="AM3623" s="37"/>
      <c r="AN3623" s="37"/>
      <c r="AO3623" s="37"/>
      <c r="AP3623" s="37"/>
      <c r="AQ3623" s="37"/>
      <c r="AR3623" s="37"/>
      <c r="AS3623" s="37"/>
      <c r="AT3623" s="37"/>
      <c r="AU3623" s="37"/>
      <c r="AV3623" s="37"/>
      <c r="AW3623" s="37"/>
      <c r="AX3623" s="37"/>
      <c r="AY3623" s="37"/>
      <c r="AZ3623" s="37"/>
      <c r="BA3623" s="37"/>
      <c r="BB3623" s="37"/>
      <c r="BC3623" s="37"/>
      <c r="BD3623" s="37"/>
      <c r="BE3623" s="37"/>
      <c r="BF3623" s="37"/>
      <c r="BG3623" s="37"/>
      <c r="BH3623" s="37"/>
      <c r="BI3623" s="37"/>
      <c r="BJ3623" s="37"/>
      <c r="BK3623" s="37"/>
      <c r="BL3623" s="37"/>
      <c r="BM3623" s="37"/>
    </row>
    <row r="3624" spans="1:65" s="40" customFormat="1" ht="23.25" x14ac:dyDescent="0.35">
      <c r="A3624" s="37"/>
      <c r="B3624" s="37"/>
      <c r="C3624" s="41"/>
      <c r="D3624" s="38"/>
      <c r="E3624" s="57"/>
      <c r="F3624" s="42"/>
      <c r="G3624" s="43"/>
      <c r="H3624" s="37"/>
      <c r="I3624" s="37"/>
      <c r="J3624" s="38"/>
      <c r="K3624" s="37"/>
      <c r="L3624" s="38"/>
      <c r="M3624" s="39"/>
      <c r="P3624" s="37"/>
      <c r="Q3624" s="37"/>
      <c r="R3624" s="37"/>
      <c r="S3624" s="37"/>
      <c r="T3624" s="37"/>
      <c r="U3624" s="37"/>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7"/>
      <c r="AR3624" s="37"/>
      <c r="AS3624" s="37"/>
      <c r="AT3624" s="37"/>
      <c r="AU3624" s="37"/>
      <c r="AV3624" s="37"/>
      <c r="AW3624" s="37"/>
      <c r="AX3624" s="37"/>
      <c r="AY3624" s="37"/>
      <c r="AZ3624" s="37"/>
      <c r="BA3624" s="37"/>
      <c r="BB3624" s="37"/>
      <c r="BC3624" s="37"/>
      <c r="BD3624" s="37"/>
      <c r="BE3624" s="37"/>
      <c r="BF3624" s="37"/>
      <c r="BG3624" s="37"/>
      <c r="BH3624" s="37"/>
      <c r="BI3624" s="37"/>
      <c r="BJ3624" s="37"/>
      <c r="BK3624" s="37"/>
      <c r="BL3624" s="37"/>
      <c r="BM3624" s="37"/>
    </row>
    <row r="3625" spans="1:65" s="40" customFormat="1" ht="23.25" x14ac:dyDescent="0.35">
      <c r="A3625" s="37"/>
      <c r="B3625" s="37"/>
      <c r="C3625" s="41"/>
      <c r="D3625" s="38"/>
      <c r="E3625" s="57"/>
      <c r="F3625" s="42"/>
      <c r="G3625" s="43"/>
      <c r="H3625" s="37"/>
      <c r="I3625" s="37"/>
      <c r="J3625" s="38"/>
      <c r="K3625" s="37"/>
      <c r="L3625" s="38"/>
      <c r="M3625" s="39"/>
      <c r="P3625" s="37"/>
      <c r="Q3625" s="37"/>
      <c r="R3625" s="37"/>
      <c r="S3625" s="37"/>
      <c r="T3625" s="37"/>
      <c r="U3625" s="37"/>
      <c r="V3625" s="37"/>
      <c r="W3625" s="37"/>
      <c r="X3625" s="37"/>
      <c r="Y3625" s="37"/>
      <c r="Z3625" s="37"/>
      <c r="AA3625" s="37"/>
      <c r="AB3625" s="37"/>
      <c r="AC3625" s="37"/>
      <c r="AD3625" s="37"/>
      <c r="AE3625" s="37"/>
      <c r="AF3625" s="37"/>
      <c r="AG3625" s="37"/>
      <c r="AH3625" s="37"/>
      <c r="AI3625" s="37"/>
      <c r="AJ3625" s="37"/>
      <c r="AK3625" s="37"/>
      <c r="AL3625" s="37"/>
      <c r="AM3625" s="37"/>
      <c r="AN3625" s="37"/>
      <c r="AO3625" s="37"/>
      <c r="AP3625" s="37"/>
      <c r="AQ3625" s="37"/>
      <c r="AR3625" s="37"/>
      <c r="AS3625" s="37"/>
      <c r="AT3625" s="37"/>
      <c r="AU3625" s="37"/>
      <c r="AV3625" s="37"/>
      <c r="AW3625" s="37"/>
      <c r="AX3625" s="37"/>
      <c r="AY3625" s="37"/>
      <c r="AZ3625" s="37"/>
      <c r="BA3625" s="37"/>
      <c r="BB3625" s="37"/>
      <c r="BC3625" s="37"/>
      <c r="BD3625" s="37"/>
      <c r="BE3625" s="37"/>
      <c r="BF3625" s="37"/>
      <c r="BG3625" s="37"/>
      <c r="BH3625" s="37"/>
      <c r="BI3625" s="37"/>
      <c r="BJ3625" s="37"/>
      <c r="BK3625" s="37"/>
      <c r="BL3625" s="37"/>
      <c r="BM3625" s="37"/>
    </row>
    <row r="3626" spans="1:65" s="40" customFormat="1" ht="23.25" x14ac:dyDescent="0.35">
      <c r="A3626" s="37"/>
      <c r="B3626" s="37"/>
      <c r="C3626" s="41"/>
      <c r="D3626" s="38"/>
      <c r="E3626" s="57"/>
      <c r="F3626" s="42"/>
      <c r="G3626" s="43"/>
      <c r="H3626" s="37"/>
      <c r="I3626" s="37"/>
      <c r="J3626" s="38"/>
      <c r="K3626" s="37"/>
      <c r="L3626" s="38"/>
      <c r="M3626" s="39"/>
      <c r="P3626" s="37"/>
      <c r="Q3626" s="37"/>
      <c r="R3626" s="37"/>
      <c r="S3626" s="37"/>
      <c r="T3626" s="37"/>
      <c r="U3626" s="37"/>
      <c r="V3626" s="37"/>
      <c r="W3626" s="37"/>
      <c r="X3626" s="37"/>
      <c r="Y3626" s="37"/>
      <c r="Z3626" s="37"/>
      <c r="AA3626" s="37"/>
      <c r="AB3626" s="37"/>
      <c r="AC3626" s="37"/>
      <c r="AD3626" s="37"/>
      <c r="AE3626" s="37"/>
      <c r="AF3626" s="37"/>
      <c r="AG3626" s="37"/>
      <c r="AH3626" s="37"/>
      <c r="AI3626" s="37"/>
      <c r="AJ3626" s="37"/>
      <c r="AK3626" s="37"/>
      <c r="AL3626" s="37"/>
      <c r="AM3626" s="37"/>
      <c r="AN3626" s="37"/>
      <c r="AO3626" s="37"/>
      <c r="AP3626" s="37"/>
      <c r="AQ3626" s="37"/>
      <c r="AR3626" s="37"/>
      <c r="AS3626" s="37"/>
      <c r="AT3626" s="37"/>
      <c r="AU3626" s="37"/>
      <c r="AV3626" s="37"/>
      <c r="AW3626" s="37"/>
      <c r="AX3626" s="37"/>
      <c r="AY3626" s="37"/>
      <c r="AZ3626" s="37"/>
      <c r="BA3626" s="37"/>
      <c r="BB3626" s="37"/>
      <c r="BC3626" s="37"/>
      <c r="BD3626" s="37"/>
      <c r="BE3626" s="37"/>
      <c r="BF3626" s="37"/>
      <c r="BG3626" s="37"/>
      <c r="BH3626" s="37"/>
      <c r="BI3626" s="37"/>
      <c r="BJ3626" s="37"/>
      <c r="BK3626" s="37"/>
      <c r="BL3626" s="37"/>
      <c r="BM3626" s="37"/>
    </row>
    <row r="3627" spans="1:65" s="40" customFormat="1" ht="23.25" x14ac:dyDescent="0.35">
      <c r="A3627" s="37"/>
      <c r="B3627" s="37"/>
      <c r="C3627" s="41"/>
      <c r="D3627" s="38"/>
      <c r="E3627" s="57"/>
      <c r="F3627" s="42"/>
      <c r="G3627" s="43"/>
      <c r="H3627" s="37"/>
      <c r="I3627" s="37"/>
      <c r="J3627" s="38"/>
      <c r="K3627" s="37"/>
      <c r="L3627" s="38"/>
      <c r="M3627" s="39"/>
      <c r="P3627" s="37"/>
      <c r="Q3627" s="37"/>
      <c r="R3627" s="37"/>
      <c r="S3627" s="37"/>
      <c r="T3627" s="37"/>
      <c r="U3627" s="37"/>
      <c r="V3627" s="37"/>
      <c r="W3627" s="37"/>
      <c r="X3627" s="37"/>
      <c r="Y3627" s="37"/>
      <c r="Z3627" s="37"/>
      <c r="AA3627" s="37"/>
      <c r="AB3627" s="37"/>
      <c r="AC3627" s="37"/>
      <c r="AD3627" s="37"/>
      <c r="AE3627" s="37"/>
      <c r="AF3627" s="37"/>
      <c r="AG3627" s="37"/>
      <c r="AH3627" s="37"/>
      <c r="AI3627" s="37"/>
      <c r="AJ3627" s="37"/>
      <c r="AK3627" s="37"/>
      <c r="AL3627" s="37"/>
      <c r="AM3627" s="37"/>
      <c r="AN3627" s="37"/>
      <c r="AO3627" s="37"/>
      <c r="AP3627" s="37"/>
      <c r="AQ3627" s="37"/>
      <c r="AR3627" s="37"/>
      <c r="AS3627" s="37"/>
      <c r="AT3627" s="37"/>
      <c r="AU3627" s="37"/>
      <c r="AV3627" s="37"/>
      <c r="AW3627" s="37"/>
      <c r="AX3627" s="37"/>
      <c r="AY3627" s="37"/>
      <c r="AZ3627" s="37"/>
      <c r="BA3627" s="37"/>
      <c r="BB3627" s="37"/>
      <c r="BC3627" s="37"/>
      <c r="BD3627" s="37"/>
      <c r="BE3627" s="37"/>
      <c r="BF3627" s="37"/>
      <c r="BG3627" s="37"/>
      <c r="BH3627" s="37"/>
      <c r="BI3627" s="37"/>
      <c r="BJ3627" s="37"/>
      <c r="BK3627" s="37"/>
      <c r="BL3627" s="37"/>
      <c r="BM3627" s="37"/>
    </row>
    <row r="3628" spans="1:65" s="40" customFormat="1" ht="23.25" x14ac:dyDescent="0.35">
      <c r="A3628" s="37"/>
      <c r="B3628" s="37"/>
      <c r="C3628" s="41"/>
      <c r="D3628" s="38"/>
      <c r="E3628" s="57"/>
      <c r="F3628" s="42"/>
      <c r="G3628" s="43"/>
      <c r="H3628" s="37"/>
      <c r="I3628" s="37"/>
      <c r="J3628" s="38"/>
      <c r="K3628" s="37"/>
      <c r="L3628" s="38"/>
      <c r="M3628" s="39"/>
      <c r="P3628" s="37"/>
      <c r="Q3628" s="37"/>
      <c r="R3628" s="37"/>
      <c r="S3628" s="37"/>
      <c r="T3628" s="37"/>
      <c r="U3628" s="37"/>
      <c r="V3628" s="37"/>
      <c r="W3628" s="37"/>
      <c r="X3628" s="37"/>
      <c r="Y3628" s="37"/>
      <c r="Z3628" s="37"/>
      <c r="AA3628" s="37"/>
      <c r="AB3628" s="37"/>
      <c r="AC3628" s="37"/>
      <c r="AD3628" s="37"/>
      <c r="AE3628" s="37"/>
      <c r="AF3628" s="37"/>
      <c r="AG3628" s="37"/>
      <c r="AH3628" s="37"/>
      <c r="AI3628" s="37"/>
      <c r="AJ3628" s="37"/>
      <c r="AK3628" s="37"/>
      <c r="AL3628" s="37"/>
      <c r="AM3628" s="37"/>
      <c r="AN3628" s="37"/>
      <c r="AO3628" s="37"/>
      <c r="AP3628" s="37"/>
      <c r="AQ3628" s="37"/>
      <c r="AR3628" s="37"/>
      <c r="AS3628" s="37"/>
      <c r="AT3628" s="37"/>
      <c r="AU3628" s="37"/>
      <c r="AV3628" s="37"/>
      <c r="AW3628" s="37"/>
      <c r="AX3628" s="37"/>
      <c r="AY3628" s="37"/>
      <c r="AZ3628" s="37"/>
      <c r="BA3628" s="37"/>
      <c r="BB3628" s="37"/>
      <c r="BC3628" s="37"/>
      <c r="BD3628" s="37"/>
      <c r="BE3628" s="37"/>
      <c r="BF3628" s="37"/>
      <c r="BG3628" s="37"/>
      <c r="BH3628" s="37"/>
      <c r="BI3628" s="37"/>
      <c r="BJ3628" s="37"/>
      <c r="BK3628" s="37"/>
      <c r="BL3628" s="37"/>
      <c r="BM3628" s="37"/>
    </row>
    <row r="3629" spans="1:65" s="40" customFormat="1" ht="23.25" x14ac:dyDescent="0.35">
      <c r="A3629" s="37"/>
      <c r="B3629" s="37"/>
      <c r="C3629" s="41"/>
      <c r="D3629" s="38"/>
      <c r="E3629" s="57"/>
      <c r="F3629" s="42"/>
      <c r="G3629" s="43"/>
      <c r="H3629" s="37"/>
      <c r="I3629" s="37"/>
      <c r="J3629" s="38"/>
      <c r="K3629" s="37"/>
      <c r="L3629" s="38"/>
      <c r="M3629" s="39"/>
      <c r="P3629" s="37"/>
      <c r="Q3629" s="37"/>
      <c r="R3629" s="37"/>
      <c r="S3629" s="37"/>
      <c r="T3629" s="37"/>
      <c r="U3629" s="37"/>
      <c r="V3629" s="37"/>
      <c r="W3629" s="37"/>
      <c r="X3629" s="37"/>
      <c r="Y3629" s="37"/>
      <c r="Z3629" s="37"/>
      <c r="AA3629" s="37"/>
      <c r="AB3629" s="37"/>
      <c r="AC3629" s="37"/>
      <c r="AD3629" s="37"/>
      <c r="AE3629" s="37"/>
      <c r="AF3629" s="37"/>
      <c r="AG3629" s="37"/>
      <c r="AH3629" s="37"/>
      <c r="AI3629" s="37"/>
      <c r="AJ3629" s="37"/>
      <c r="AK3629" s="37"/>
      <c r="AL3629" s="37"/>
      <c r="AM3629" s="37"/>
      <c r="AN3629" s="37"/>
      <c r="AO3629" s="37"/>
      <c r="AP3629" s="37"/>
      <c r="AQ3629" s="37"/>
      <c r="AR3629" s="37"/>
      <c r="AS3629" s="37"/>
      <c r="AT3629" s="37"/>
      <c r="AU3629" s="37"/>
      <c r="AV3629" s="37"/>
      <c r="AW3629" s="37"/>
      <c r="AX3629" s="37"/>
      <c r="AY3629" s="37"/>
      <c r="AZ3629" s="37"/>
      <c r="BA3629" s="37"/>
      <c r="BB3629" s="37"/>
      <c r="BC3629" s="37"/>
      <c r="BD3629" s="37"/>
      <c r="BE3629" s="37"/>
      <c r="BF3629" s="37"/>
      <c r="BG3629" s="37"/>
      <c r="BH3629" s="37"/>
      <c r="BI3629" s="37"/>
      <c r="BJ3629" s="37"/>
      <c r="BK3629" s="37"/>
      <c r="BL3629" s="37"/>
      <c r="BM3629" s="37"/>
    </row>
    <row r="3630" spans="1:65" s="40" customFormat="1" ht="23.25" x14ac:dyDescent="0.35">
      <c r="A3630" s="37"/>
      <c r="B3630" s="37"/>
      <c r="C3630" s="41"/>
      <c r="D3630" s="38"/>
      <c r="E3630" s="57"/>
      <c r="F3630" s="42"/>
      <c r="G3630" s="43"/>
      <c r="H3630" s="37"/>
      <c r="I3630" s="37"/>
      <c r="J3630" s="38"/>
      <c r="K3630" s="37"/>
      <c r="L3630" s="38"/>
      <c r="M3630" s="39"/>
      <c r="P3630" s="37"/>
      <c r="Q3630" s="37"/>
      <c r="R3630" s="37"/>
      <c r="S3630" s="37"/>
      <c r="T3630" s="37"/>
      <c r="U3630" s="37"/>
      <c r="V3630" s="37"/>
      <c r="W3630" s="37"/>
      <c r="X3630" s="37"/>
      <c r="Y3630" s="37"/>
      <c r="Z3630" s="37"/>
      <c r="AA3630" s="37"/>
      <c r="AB3630" s="37"/>
      <c r="AC3630" s="37"/>
      <c r="AD3630" s="37"/>
      <c r="AE3630" s="37"/>
      <c r="AF3630" s="37"/>
      <c r="AG3630" s="37"/>
      <c r="AH3630" s="37"/>
      <c r="AI3630" s="37"/>
      <c r="AJ3630" s="37"/>
      <c r="AK3630" s="37"/>
      <c r="AL3630" s="37"/>
      <c r="AM3630" s="37"/>
      <c r="AN3630" s="37"/>
      <c r="AO3630" s="37"/>
      <c r="AP3630" s="37"/>
      <c r="AQ3630" s="37"/>
      <c r="AR3630" s="37"/>
      <c r="AS3630" s="37"/>
      <c r="AT3630" s="37"/>
      <c r="AU3630" s="37"/>
      <c r="AV3630" s="37"/>
      <c r="AW3630" s="37"/>
      <c r="AX3630" s="37"/>
      <c r="AY3630" s="37"/>
      <c r="AZ3630" s="37"/>
      <c r="BA3630" s="37"/>
      <c r="BB3630" s="37"/>
      <c r="BC3630" s="37"/>
      <c r="BD3630" s="37"/>
      <c r="BE3630" s="37"/>
      <c r="BF3630" s="37"/>
      <c r="BG3630" s="37"/>
      <c r="BH3630" s="37"/>
      <c r="BI3630" s="37"/>
      <c r="BJ3630" s="37"/>
      <c r="BK3630" s="37"/>
      <c r="BL3630" s="37"/>
      <c r="BM3630" s="37"/>
    </row>
    <row r="3631" spans="1:65" s="40" customFormat="1" ht="23.25" x14ac:dyDescent="0.35">
      <c r="A3631" s="37"/>
      <c r="B3631" s="37"/>
      <c r="C3631" s="41"/>
      <c r="D3631" s="38"/>
      <c r="E3631" s="57"/>
      <c r="F3631" s="42"/>
      <c r="G3631" s="43"/>
      <c r="H3631" s="37"/>
      <c r="I3631" s="37"/>
      <c r="J3631" s="38"/>
      <c r="K3631" s="37"/>
      <c r="L3631" s="38"/>
      <c r="M3631" s="39"/>
      <c r="P3631" s="37"/>
      <c r="Q3631" s="37"/>
      <c r="R3631" s="37"/>
      <c r="S3631" s="37"/>
      <c r="T3631" s="37"/>
      <c r="U3631" s="37"/>
      <c r="V3631" s="37"/>
      <c r="W3631" s="37"/>
      <c r="X3631" s="37"/>
      <c r="Y3631" s="37"/>
      <c r="Z3631" s="37"/>
      <c r="AA3631" s="37"/>
      <c r="AB3631" s="37"/>
      <c r="AC3631" s="37"/>
      <c r="AD3631" s="37"/>
      <c r="AE3631" s="37"/>
      <c r="AF3631" s="37"/>
      <c r="AG3631" s="37"/>
      <c r="AH3631" s="37"/>
      <c r="AI3631" s="37"/>
      <c r="AJ3631" s="37"/>
      <c r="AK3631" s="37"/>
      <c r="AL3631" s="37"/>
      <c r="AM3631" s="37"/>
      <c r="AN3631" s="37"/>
      <c r="AO3631" s="37"/>
      <c r="AP3631" s="37"/>
      <c r="AQ3631" s="37"/>
      <c r="AR3631" s="37"/>
      <c r="AS3631" s="37"/>
      <c r="AT3631" s="37"/>
      <c r="AU3631" s="37"/>
      <c r="AV3631" s="37"/>
      <c r="AW3631" s="37"/>
      <c r="AX3631" s="37"/>
      <c r="AY3631" s="37"/>
      <c r="AZ3631" s="37"/>
      <c r="BA3631" s="37"/>
      <c r="BB3631" s="37"/>
      <c r="BC3631" s="37"/>
      <c r="BD3631" s="37"/>
      <c r="BE3631" s="37"/>
      <c r="BF3631" s="37"/>
      <c r="BG3631" s="37"/>
      <c r="BH3631" s="37"/>
      <c r="BI3631" s="37"/>
      <c r="BJ3631" s="37"/>
      <c r="BK3631" s="37"/>
      <c r="BL3631" s="37"/>
      <c r="BM3631" s="37"/>
    </row>
    <row r="3632" spans="1:65" s="40" customFormat="1" ht="23.25" x14ac:dyDescent="0.35">
      <c r="A3632" s="37"/>
      <c r="B3632" s="37"/>
      <c r="C3632" s="41"/>
      <c r="D3632" s="38"/>
      <c r="E3632" s="57"/>
      <c r="F3632" s="42"/>
      <c r="G3632" s="43"/>
      <c r="H3632" s="37"/>
      <c r="I3632" s="37"/>
      <c r="J3632" s="38"/>
      <c r="K3632" s="37"/>
      <c r="L3632" s="38"/>
      <c r="M3632" s="39"/>
      <c r="P3632" s="37"/>
      <c r="Q3632" s="37"/>
      <c r="R3632" s="37"/>
      <c r="S3632" s="37"/>
      <c r="T3632" s="37"/>
      <c r="U3632" s="37"/>
      <c r="V3632" s="37"/>
      <c r="W3632" s="37"/>
      <c r="X3632" s="37"/>
      <c r="Y3632" s="37"/>
      <c r="Z3632" s="37"/>
      <c r="AA3632" s="37"/>
      <c r="AB3632" s="37"/>
      <c r="AC3632" s="37"/>
      <c r="AD3632" s="37"/>
      <c r="AE3632" s="37"/>
      <c r="AF3632" s="37"/>
      <c r="AG3632" s="37"/>
      <c r="AH3632" s="37"/>
      <c r="AI3632" s="37"/>
      <c r="AJ3632" s="37"/>
      <c r="AK3632" s="37"/>
      <c r="AL3632" s="37"/>
      <c r="AM3632" s="37"/>
      <c r="AN3632" s="37"/>
      <c r="AO3632" s="37"/>
      <c r="AP3632" s="37"/>
      <c r="AQ3632" s="37"/>
      <c r="AR3632" s="37"/>
      <c r="AS3632" s="37"/>
      <c r="AT3632" s="37"/>
      <c r="AU3632" s="37"/>
      <c r="AV3632" s="37"/>
      <c r="AW3632" s="37"/>
      <c r="AX3632" s="37"/>
      <c r="AY3632" s="37"/>
      <c r="AZ3632" s="37"/>
      <c r="BA3632" s="37"/>
      <c r="BB3632" s="37"/>
      <c r="BC3632" s="37"/>
      <c r="BD3632" s="37"/>
      <c r="BE3632" s="37"/>
      <c r="BF3632" s="37"/>
      <c r="BG3632" s="37"/>
      <c r="BH3632" s="37"/>
      <c r="BI3632" s="37"/>
      <c r="BJ3632" s="37"/>
      <c r="BK3632" s="37"/>
      <c r="BL3632" s="37"/>
      <c r="BM3632" s="37"/>
    </row>
    <row r="3633" spans="1:65" s="40" customFormat="1" ht="23.25" x14ac:dyDescent="0.35">
      <c r="A3633" s="37"/>
      <c r="B3633" s="37"/>
      <c r="C3633" s="41"/>
      <c r="D3633" s="38"/>
      <c r="E3633" s="57"/>
      <c r="F3633" s="42"/>
      <c r="G3633" s="43"/>
      <c r="H3633" s="37"/>
      <c r="I3633" s="37"/>
      <c r="J3633" s="38"/>
      <c r="K3633" s="37"/>
      <c r="L3633" s="38"/>
      <c r="M3633" s="39"/>
      <c r="P3633" s="37"/>
      <c r="Q3633" s="37"/>
      <c r="R3633" s="37"/>
      <c r="S3633" s="37"/>
      <c r="T3633" s="37"/>
      <c r="U3633" s="37"/>
      <c r="V3633" s="37"/>
      <c r="W3633" s="37"/>
      <c r="X3633" s="37"/>
      <c r="Y3633" s="37"/>
      <c r="Z3633" s="37"/>
      <c r="AA3633" s="37"/>
      <c r="AB3633" s="37"/>
      <c r="AC3633" s="37"/>
      <c r="AD3633" s="37"/>
      <c r="AE3633" s="37"/>
      <c r="AF3633" s="37"/>
      <c r="AG3633" s="37"/>
      <c r="AH3633" s="37"/>
      <c r="AI3633" s="37"/>
      <c r="AJ3633" s="37"/>
      <c r="AK3633" s="37"/>
      <c r="AL3633" s="37"/>
      <c r="AM3633" s="37"/>
      <c r="AN3633" s="37"/>
      <c r="AO3633" s="37"/>
      <c r="AP3633" s="37"/>
      <c r="AQ3633" s="37"/>
      <c r="AR3633" s="37"/>
      <c r="AS3633" s="37"/>
      <c r="AT3633" s="37"/>
      <c r="AU3633" s="37"/>
      <c r="AV3633" s="37"/>
      <c r="AW3633" s="37"/>
      <c r="AX3633" s="37"/>
      <c r="AY3633" s="37"/>
      <c r="AZ3633" s="37"/>
      <c r="BA3633" s="37"/>
      <c r="BB3633" s="37"/>
      <c r="BC3633" s="37"/>
      <c r="BD3633" s="37"/>
      <c r="BE3633" s="37"/>
      <c r="BF3633" s="37"/>
      <c r="BG3633" s="37"/>
      <c r="BH3633" s="37"/>
      <c r="BI3633" s="37"/>
      <c r="BJ3633" s="37"/>
      <c r="BK3633" s="37"/>
      <c r="BL3633" s="37"/>
      <c r="BM3633" s="37"/>
    </row>
    <row r="3634" spans="1:65" s="40" customFormat="1" ht="23.25" x14ac:dyDescent="0.35">
      <c r="A3634" s="37"/>
      <c r="B3634" s="37"/>
      <c r="C3634" s="41"/>
      <c r="D3634" s="38"/>
      <c r="E3634" s="57"/>
      <c r="F3634" s="42"/>
      <c r="G3634" s="43"/>
      <c r="H3634" s="37"/>
      <c r="I3634" s="37"/>
      <c r="J3634" s="38"/>
      <c r="K3634" s="37"/>
      <c r="L3634" s="38"/>
      <c r="M3634" s="39"/>
      <c r="P3634" s="37"/>
      <c r="Q3634" s="37"/>
      <c r="R3634" s="37"/>
      <c r="S3634" s="37"/>
      <c r="T3634" s="37"/>
      <c r="U3634" s="37"/>
      <c r="V3634" s="37"/>
      <c r="W3634" s="37"/>
      <c r="X3634" s="37"/>
      <c r="Y3634" s="37"/>
      <c r="Z3634" s="37"/>
      <c r="AA3634" s="37"/>
      <c r="AB3634" s="37"/>
      <c r="AC3634" s="37"/>
      <c r="AD3634" s="37"/>
      <c r="AE3634" s="37"/>
      <c r="AF3634" s="37"/>
      <c r="AG3634" s="37"/>
      <c r="AH3634" s="37"/>
      <c r="AI3634" s="37"/>
      <c r="AJ3634" s="37"/>
      <c r="AK3634" s="37"/>
      <c r="AL3634" s="37"/>
      <c r="AM3634" s="37"/>
      <c r="AN3634" s="37"/>
      <c r="AO3634" s="37"/>
      <c r="AP3634" s="37"/>
      <c r="AQ3634" s="37"/>
      <c r="AR3634" s="37"/>
      <c r="AS3634" s="37"/>
      <c r="AT3634" s="37"/>
      <c r="AU3634" s="37"/>
      <c r="AV3634" s="37"/>
      <c r="AW3634" s="37"/>
      <c r="AX3634" s="37"/>
      <c r="AY3634" s="37"/>
      <c r="AZ3634" s="37"/>
      <c r="BA3634" s="37"/>
      <c r="BB3634" s="37"/>
      <c r="BC3634" s="37"/>
      <c r="BD3634" s="37"/>
      <c r="BE3634" s="37"/>
      <c r="BF3634" s="37"/>
      <c r="BG3634" s="37"/>
      <c r="BH3634" s="37"/>
      <c r="BI3634" s="37"/>
      <c r="BJ3634" s="37"/>
      <c r="BK3634" s="37"/>
      <c r="BL3634" s="37"/>
      <c r="BM3634" s="37"/>
    </row>
    <row r="3635" spans="1:65" s="40" customFormat="1" ht="23.25" x14ac:dyDescent="0.35">
      <c r="A3635" s="37"/>
      <c r="B3635" s="37"/>
      <c r="C3635" s="41"/>
      <c r="D3635" s="38"/>
      <c r="E3635" s="57"/>
      <c r="F3635" s="42"/>
      <c r="G3635" s="43"/>
      <c r="H3635" s="37"/>
      <c r="I3635" s="37"/>
      <c r="J3635" s="38"/>
      <c r="K3635" s="37"/>
      <c r="L3635" s="38"/>
      <c r="M3635" s="39"/>
      <c r="P3635" s="37"/>
      <c r="Q3635" s="37"/>
      <c r="R3635" s="37"/>
      <c r="S3635" s="37"/>
      <c r="T3635" s="37"/>
      <c r="U3635" s="37"/>
      <c r="V3635" s="37"/>
      <c r="W3635" s="37"/>
      <c r="X3635" s="37"/>
      <c r="Y3635" s="37"/>
      <c r="Z3635" s="37"/>
      <c r="AA3635" s="37"/>
      <c r="AB3635" s="37"/>
      <c r="AC3635" s="37"/>
      <c r="AD3635" s="37"/>
      <c r="AE3635" s="37"/>
      <c r="AF3635" s="37"/>
      <c r="AG3635" s="37"/>
      <c r="AH3635" s="37"/>
      <c r="AI3635" s="37"/>
      <c r="AJ3635" s="37"/>
      <c r="AK3635" s="37"/>
      <c r="AL3635" s="37"/>
      <c r="AM3635" s="37"/>
      <c r="AN3635" s="37"/>
      <c r="AO3635" s="37"/>
      <c r="AP3635" s="37"/>
      <c r="AQ3635" s="37"/>
      <c r="AR3635" s="37"/>
      <c r="AS3635" s="37"/>
      <c r="AT3635" s="37"/>
      <c r="AU3635" s="37"/>
      <c r="AV3635" s="37"/>
      <c r="AW3635" s="37"/>
      <c r="AX3635" s="37"/>
      <c r="AY3635" s="37"/>
      <c r="AZ3635" s="37"/>
      <c r="BA3635" s="37"/>
      <c r="BB3635" s="37"/>
      <c r="BC3635" s="37"/>
      <c r="BD3635" s="37"/>
      <c r="BE3635" s="37"/>
      <c r="BF3635" s="37"/>
      <c r="BG3635" s="37"/>
      <c r="BH3635" s="37"/>
      <c r="BI3635" s="37"/>
      <c r="BJ3635" s="37"/>
      <c r="BK3635" s="37"/>
      <c r="BL3635" s="37"/>
      <c r="BM3635" s="37"/>
    </row>
    <row r="3636" spans="1:65" s="40" customFormat="1" ht="23.25" x14ac:dyDescent="0.35">
      <c r="A3636" s="37"/>
      <c r="B3636" s="37"/>
      <c r="C3636" s="41"/>
      <c r="D3636" s="38"/>
      <c r="E3636" s="57"/>
      <c r="F3636" s="42"/>
      <c r="G3636" s="43"/>
      <c r="H3636" s="37"/>
      <c r="I3636" s="37"/>
      <c r="J3636" s="38"/>
      <c r="K3636" s="37"/>
      <c r="L3636" s="38"/>
      <c r="M3636" s="39"/>
      <c r="P3636" s="37"/>
      <c r="Q3636" s="37"/>
      <c r="R3636" s="37"/>
      <c r="S3636" s="37"/>
      <c r="T3636" s="37"/>
      <c r="U3636" s="37"/>
      <c r="V3636" s="37"/>
      <c r="W3636" s="37"/>
      <c r="X3636" s="37"/>
      <c r="Y3636" s="37"/>
      <c r="Z3636" s="37"/>
      <c r="AA3636" s="37"/>
      <c r="AB3636" s="37"/>
      <c r="AC3636" s="37"/>
      <c r="AD3636" s="37"/>
      <c r="AE3636" s="37"/>
      <c r="AF3636" s="37"/>
      <c r="AG3636" s="37"/>
      <c r="AH3636" s="37"/>
      <c r="AI3636" s="37"/>
      <c r="AJ3636" s="37"/>
      <c r="AK3636" s="37"/>
      <c r="AL3636" s="37"/>
      <c r="AM3636" s="37"/>
      <c r="AN3636" s="37"/>
      <c r="AO3636" s="37"/>
      <c r="AP3636" s="37"/>
      <c r="AQ3636" s="37"/>
      <c r="AR3636" s="37"/>
      <c r="AS3636" s="37"/>
      <c r="AT3636" s="37"/>
      <c r="AU3636" s="37"/>
      <c r="AV3636" s="37"/>
      <c r="AW3636" s="37"/>
      <c r="AX3636" s="37"/>
      <c r="AY3636" s="37"/>
      <c r="AZ3636" s="37"/>
      <c r="BA3636" s="37"/>
      <c r="BB3636" s="37"/>
      <c r="BC3636" s="37"/>
      <c r="BD3636" s="37"/>
      <c r="BE3636" s="37"/>
      <c r="BF3636" s="37"/>
      <c r="BG3636" s="37"/>
      <c r="BH3636" s="37"/>
      <c r="BI3636" s="37"/>
      <c r="BJ3636" s="37"/>
      <c r="BK3636" s="37"/>
      <c r="BL3636" s="37"/>
      <c r="BM3636" s="37"/>
    </row>
    <row r="3637" spans="1:65" s="40" customFormat="1" ht="23.25" x14ac:dyDescent="0.35">
      <c r="A3637" s="37"/>
      <c r="B3637" s="37"/>
      <c r="C3637" s="41"/>
      <c r="D3637" s="38"/>
      <c r="E3637" s="57"/>
      <c r="F3637" s="42"/>
      <c r="G3637" s="43"/>
      <c r="H3637" s="37"/>
      <c r="I3637" s="37"/>
      <c r="J3637" s="38"/>
      <c r="K3637" s="37"/>
      <c r="L3637" s="38"/>
      <c r="M3637" s="39"/>
      <c r="P3637" s="37"/>
      <c r="Q3637" s="37"/>
      <c r="R3637" s="37"/>
      <c r="S3637" s="37"/>
      <c r="T3637" s="37"/>
      <c r="U3637" s="37"/>
      <c r="V3637" s="37"/>
      <c r="W3637" s="37"/>
      <c r="X3637" s="37"/>
      <c r="Y3637" s="37"/>
      <c r="Z3637" s="37"/>
      <c r="AA3637" s="37"/>
      <c r="AB3637" s="37"/>
      <c r="AC3637" s="37"/>
      <c r="AD3637" s="37"/>
      <c r="AE3637" s="37"/>
      <c r="AF3637" s="37"/>
      <c r="AG3637" s="37"/>
      <c r="AH3637" s="37"/>
      <c r="AI3637" s="37"/>
      <c r="AJ3637" s="37"/>
      <c r="AK3637" s="37"/>
      <c r="AL3637" s="37"/>
      <c r="AM3637" s="37"/>
      <c r="AN3637" s="37"/>
      <c r="AO3637" s="37"/>
      <c r="AP3637" s="37"/>
      <c r="AQ3637" s="37"/>
      <c r="AR3637" s="37"/>
      <c r="AS3637" s="37"/>
      <c r="AT3637" s="37"/>
      <c r="AU3637" s="37"/>
      <c r="AV3637" s="37"/>
      <c r="AW3637" s="37"/>
      <c r="AX3637" s="37"/>
      <c r="AY3637" s="37"/>
      <c r="AZ3637" s="37"/>
      <c r="BA3637" s="37"/>
      <c r="BB3637" s="37"/>
      <c r="BC3637" s="37"/>
      <c r="BD3637" s="37"/>
      <c r="BE3637" s="37"/>
      <c r="BF3637" s="37"/>
      <c r="BG3637" s="37"/>
      <c r="BH3637" s="37"/>
      <c r="BI3637" s="37"/>
      <c r="BJ3637" s="37"/>
      <c r="BK3637" s="37"/>
      <c r="BL3637" s="37"/>
      <c r="BM3637" s="37"/>
    </row>
    <row r="3638" spans="1:65" s="40" customFormat="1" ht="23.25" x14ac:dyDescent="0.35">
      <c r="A3638" s="37"/>
      <c r="B3638" s="37"/>
      <c r="C3638" s="41"/>
      <c r="D3638" s="38"/>
      <c r="E3638" s="57"/>
      <c r="F3638" s="42"/>
      <c r="G3638" s="43"/>
      <c r="H3638" s="37"/>
      <c r="I3638" s="37"/>
      <c r="J3638" s="38"/>
      <c r="K3638" s="37"/>
      <c r="L3638" s="38"/>
      <c r="M3638" s="39"/>
      <c r="P3638" s="37"/>
      <c r="Q3638" s="37"/>
      <c r="R3638" s="37"/>
      <c r="S3638" s="37"/>
      <c r="T3638" s="37"/>
      <c r="U3638" s="37"/>
      <c r="V3638" s="37"/>
      <c r="W3638" s="37"/>
      <c r="X3638" s="37"/>
      <c r="Y3638" s="37"/>
      <c r="Z3638" s="37"/>
      <c r="AA3638" s="37"/>
      <c r="AB3638" s="37"/>
      <c r="AC3638" s="37"/>
      <c r="AD3638" s="37"/>
      <c r="AE3638" s="37"/>
      <c r="AF3638" s="37"/>
      <c r="AG3638" s="37"/>
      <c r="AH3638" s="37"/>
      <c r="AI3638" s="37"/>
      <c r="AJ3638" s="37"/>
      <c r="AK3638" s="37"/>
      <c r="AL3638" s="37"/>
      <c r="AM3638" s="37"/>
      <c r="AN3638" s="37"/>
      <c r="AO3638" s="37"/>
      <c r="AP3638" s="37"/>
      <c r="AQ3638" s="37"/>
      <c r="AR3638" s="37"/>
      <c r="AS3638" s="37"/>
      <c r="AT3638" s="37"/>
      <c r="AU3638" s="37"/>
      <c r="AV3638" s="37"/>
      <c r="AW3638" s="37"/>
      <c r="AX3638" s="37"/>
      <c r="AY3638" s="37"/>
      <c r="AZ3638" s="37"/>
      <c r="BA3638" s="37"/>
      <c r="BB3638" s="37"/>
      <c r="BC3638" s="37"/>
      <c r="BD3638" s="37"/>
      <c r="BE3638" s="37"/>
      <c r="BF3638" s="37"/>
      <c r="BG3638" s="37"/>
      <c r="BH3638" s="37"/>
      <c r="BI3638" s="37"/>
      <c r="BJ3638" s="37"/>
      <c r="BK3638" s="37"/>
      <c r="BL3638" s="37"/>
      <c r="BM3638" s="37"/>
    </row>
    <row r="3639" spans="1:65" s="40" customFormat="1" ht="23.25" x14ac:dyDescent="0.35">
      <c r="A3639" s="37"/>
      <c r="B3639" s="37"/>
      <c r="C3639" s="41"/>
      <c r="D3639" s="38"/>
      <c r="E3639" s="57"/>
      <c r="F3639" s="42"/>
      <c r="G3639" s="43"/>
      <c r="H3639" s="37"/>
      <c r="I3639" s="37"/>
      <c r="J3639" s="38"/>
      <c r="K3639" s="37"/>
      <c r="L3639" s="38"/>
      <c r="M3639" s="39"/>
      <c r="P3639" s="37"/>
      <c r="Q3639" s="37"/>
      <c r="R3639" s="37"/>
      <c r="S3639" s="37"/>
      <c r="T3639" s="37"/>
      <c r="U3639" s="37"/>
      <c r="V3639" s="37"/>
      <c r="W3639" s="37"/>
      <c r="X3639" s="37"/>
      <c r="Y3639" s="37"/>
      <c r="Z3639" s="37"/>
      <c r="AA3639" s="37"/>
      <c r="AB3639" s="37"/>
      <c r="AC3639" s="37"/>
      <c r="AD3639" s="37"/>
      <c r="AE3639" s="37"/>
      <c r="AF3639" s="37"/>
      <c r="AG3639" s="37"/>
      <c r="AH3639" s="37"/>
      <c r="AI3639" s="37"/>
      <c r="AJ3639" s="37"/>
      <c r="AK3639" s="37"/>
      <c r="AL3639" s="37"/>
      <c r="AM3639" s="37"/>
      <c r="AN3639" s="37"/>
      <c r="AO3639" s="37"/>
      <c r="AP3639" s="37"/>
      <c r="AQ3639" s="37"/>
      <c r="AR3639" s="37"/>
      <c r="AS3639" s="37"/>
      <c r="AT3639" s="37"/>
      <c r="AU3639" s="37"/>
      <c r="AV3639" s="37"/>
      <c r="AW3639" s="37"/>
      <c r="AX3639" s="37"/>
      <c r="AY3639" s="37"/>
      <c r="AZ3639" s="37"/>
      <c r="BA3639" s="37"/>
      <c r="BB3639" s="37"/>
      <c r="BC3639" s="37"/>
      <c r="BD3639" s="37"/>
      <c r="BE3639" s="37"/>
      <c r="BF3639" s="37"/>
      <c r="BG3639" s="37"/>
      <c r="BH3639" s="37"/>
      <c r="BI3639" s="37"/>
      <c r="BJ3639" s="37"/>
      <c r="BK3639" s="37"/>
      <c r="BL3639" s="37"/>
      <c r="BM3639" s="37"/>
    </row>
    <row r="3640" spans="1:65" s="40" customFormat="1" ht="23.25" x14ac:dyDescent="0.35">
      <c r="A3640" s="37"/>
      <c r="B3640" s="37"/>
      <c r="C3640" s="41"/>
      <c r="D3640" s="38"/>
      <c r="E3640" s="57"/>
      <c r="F3640" s="42"/>
      <c r="G3640" s="43"/>
      <c r="H3640" s="37"/>
      <c r="I3640" s="37"/>
      <c r="J3640" s="38"/>
      <c r="K3640" s="37"/>
      <c r="L3640" s="38"/>
      <c r="M3640" s="39"/>
      <c r="P3640" s="37"/>
      <c r="Q3640" s="37"/>
      <c r="R3640" s="37"/>
      <c r="S3640" s="37"/>
      <c r="T3640" s="37"/>
      <c r="U3640" s="37"/>
      <c r="V3640" s="37"/>
      <c r="W3640" s="37"/>
      <c r="X3640" s="37"/>
      <c r="Y3640" s="37"/>
      <c r="Z3640" s="37"/>
      <c r="AA3640" s="37"/>
      <c r="AB3640" s="37"/>
      <c r="AC3640" s="37"/>
      <c r="AD3640" s="37"/>
      <c r="AE3640" s="37"/>
      <c r="AF3640" s="37"/>
      <c r="AG3640" s="37"/>
      <c r="AH3640" s="37"/>
      <c r="AI3640" s="37"/>
      <c r="AJ3640" s="37"/>
      <c r="AK3640" s="37"/>
      <c r="AL3640" s="37"/>
      <c r="AM3640" s="37"/>
      <c r="AN3640" s="37"/>
      <c r="AO3640" s="37"/>
      <c r="AP3640" s="37"/>
      <c r="AQ3640" s="37"/>
      <c r="AR3640" s="37"/>
      <c r="AS3640" s="37"/>
      <c r="AT3640" s="37"/>
      <c r="AU3640" s="37"/>
      <c r="AV3640" s="37"/>
      <c r="AW3640" s="37"/>
      <c r="AX3640" s="37"/>
      <c r="AY3640" s="37"/>
      <c r="AZ3640" s="37"/>
      <c r="BA3640" s="37"/>
      <c r="BB3640" s="37"/>
      <c r="BC3640" s="37"/>
      <c r="BD3640" s="37"/>
      <c r="BE3640" s="37"/>
      <c r="BF3640" s="37"/>
      <c r="BG3640" s="37"/>
      <c r="BH3640" s="37"/>
      <c r="BI3640" s="37"/>
      <c r="BJ3640" s="37"/>
      <c r="BK3640" s="37"/>
      <c r="BL3640" s="37"/>
      <c r="BM3640" s="37"/>
    </row>
    <row r="3641" spans="1:65" s="40" customFormat="1" ht="23.25" x14ac:dyDescent="0.35">
      <c r="A3641" s="37"/>
      <c r="B3641" s="37"/>
      <c r="C3641" s="41"/>
      <c r="D3641" s="38"/>
      <c r="E3641" s="57"/>
      <c r="F3641" s="42"/>
      <c r="G3641" s="43"/>
      <c r="H3641" s="37"/>
      <c r="I3641" s="37"/>
      <c r="J3641" s="38"/>
      <c r="K3641" s="37"/>
      <c r="L3641" s="38"/>
      <c r="M3641" s="39"/>
      <c r="P3641" s="37"/>
      <c r="Q3641" s="37"/>
      <c r="R3641" s="37"/>
      <c r="S3641" s="37"/>
      <c r="T3641" s="37"/>
      <c r="U3641" s="37"/>
      <c r="V3641" s="37"/>
      <c r="W3641" s="37"/>
      <c r="X3641" s="37"/>
      <c r="Y3641" s="37"/>
      <c r="Z3641" s="37"/>
      <c r="AA3641" s="37"/>
      <c r="AB3641" s="37"/>
      <c r="AC3641" s="37"/>
      <c r="AD3641" s="37"/>
      <c r="AE3641" s="37"/>
      <c r="AF3641" s="37"/>
      <c r="AG3641" s="37"/>
      <c r="AH3641" s="37"/>
      <c r="AI3641" s="37"/>
      <c r="AJ3641" s="37"/>
      <c r="AK3641" s="37"/>
      <c r="AL3641" s="37"/>
      <c r="AM3641" s="37"/>
      <c r="AN3641" s="37"/>
      <c r="AO3641" s="37"/>
      <c r="AP3641" s="37"/>
      <c r="AQ3641" s="37"/>
      <c r="AR3641" s="37"/>
      <c r="AS3641" s="37"/>
      <c r="AT3641" s="37"/>
      <c r="AU3641" s="37"/>
      <c r="AV3641" s="37"/>
      <c r="AW3641" s="37"/>
      <c r="AX3641" s="37"/>
      <c r="AY3641" s="37"/>
      <c r="AZ3641" s="37"/>
      <c r="BA3641" s="37"/>
      <c r="BB3641" s="37"/>
      <c r="BC3641" s="37"/>
      <c r="BD3641" s="37"/>
      <c r="BE3641" s="37"/>
      <c r="BF3641" s="37"/>
      <c r="BG3641" s="37"/>
      <c r="BH3641" s="37"/>
      <c r="BI3641" s="37"/>
      <c r="BJ3641" s="37"/>
      <c r="BK3641" s="37"/>
      <c r="BL3641" s="37"/>
      <c r="BM3641" s="37"/>
    </row>
    <row r="3642" spans="1:65" s="40" customFormat="1" ht="23.25" x14ac:dyDescent="0.35">
      <c r="A3642" s="37"/>
      <c r="B3642" s="37"/>
      <c r="C3642" s="41"/>
      <c r="D3642" s="38"/>
      <c r="E3642" s="57"/>
      <c r="F3642" s="42"/>
      <c r="G3642" s="43"/>
      <c r="H3642" s="37"/>
      <c r="I3642" s="37"/>
      <c r="J3642" s="38"/>
      <c r="K3642" s="37"/>
      <c r="L3642" s="38"/>
      <c r="M3642" s="39"/>
      <c r="P3642" s="37"/>
      <c r="Q3642" s="37"/>
      <c r="R3642" s="37"/>
      <c r="S3642" s="37"/>
      <c r="T3642" s="37"/>
      <c r="U3642" s="37"/>
      <c r="V3642" s="37"/>
      <c r="W3642" s="37"/>
      <c r="X3642" s="37"/>
      <c r="Y3642" s="37"/>
      <c r="Z3642" s="37"/>
      <c r="AA3642" s="37"/>
      <c r="AB3642" s="37"/>
      <c r="AC3642" s="37"/>
      <c r="AD3642" s="37"/>
      <c r="AE3642" s="37"/>
      <c r="AF3642" s="37"/>
      <c r="AG3642" s="37"/>
      <c r="AH3642" s="37"/>
      <c r="AI3642" s="37"/>
      <c r="AJ3642" s="37"/>
      <c r="AK3642" s="37"/>
      <c r="AL3642" s="37"/>
      <c r="AM3642" s="37"/>
      <c r="AN3642" s="37"/>
      <c r="AO3642" s="37"/>
      <c r="AP3642" s="37"/>
      <c r="AQ3642" s="37"/>
      <c r="AR3642" s="37"/>
      <c r="AS3642" s="37"/>
      <c r="AT3642" s="37"/>
      <c r="AU3642" s="37"/>
      <c r="AV3642" s="37"/>
      <c r="AW3642" s="37"/>
      <c r="AX3642" s="37"/>
      <c r="AY3642" s="37"/>
      <c r="AZ3642" s="37"/>
      <c r="BA3642" s="37"/>
      <c r="BB3642" s="37"/>
      <c r="BC3642" s="37"/>
      <c r="BD3642" s="37"/>
      <c r="BE3642" s="37"/>
      <c r="BF3642" s="37"/>
      <c r="BG3642" s="37"/>
      <c r="BH3642" s="37"/>
      <c r="BI3642" s="37"/>
      <c r="BJ3642" s="37"/>
      <c r="BK3642" s="37"/>
      <c r="BL3642" s="37"/>
      <c r="BM3642" s="37"/>
    </row>
    <row r="3643" spans="1:65" s="40" customFormat="1" ht="23.25" x14ac:dyDescent="0.35">
      <c r="A3643" s="37"/>
      <c r="B3643" s="37"/>
      <c r="C3643" s="41"/>
      <c r="D3643" s="38"/>
      <c r="E3643" s="57"/>
      <c r="F3643" s="42"/>
      <c r="G3643" s="43"/>
      <c r="H3643" s="37"/>
      <c r="I3643" s="37"/>
      <c r="J3643" s="38"/>
      <c r="K3643" s="37"/>
      <c r="L3643" s="38"/>
      <c r="M3643" s="39"/>
      <c r="P3643" s="37"/>
      <c r="Q3643" s="37"/>
      <c r="R3643" s="37"/>
      <c r="S3643" s="37"/>
      <c r="T3643" s="37"/>
      <c r="U3643" s="37"/>
      <c r="V3643" s="37"/>
      <c r="W3643" s="37"/>
      <c r="X3643" s="37"/>
      <c r="Y3643" s="37"/>
      <c r="Z3643" s="37"/>
      <c r="AA3643" s="37"/>
      <c r="AB3643" s="37"/>
      <c r="AC3643" s="37"/>
      <c r="AD3643" s="37"/>
      <c r="AE3643" s="37"/>
      <c r="AF3643" s="37"/>
      <c r="AG3643" s="37"/>
      <c r="AH3643" s="37"/>
      <c r="AI3643" s="37"/>
      <c r="AJ3643" s="37"/>
      <c r="AK3643" s="37"/>
      <c r="AL3643" s="37"/>
      <c r="AM3643" s="37"/>
      <c r="AN3643" s="37"/>
      <c r="AO3643" s="37"/>
      <c r="AP3643" s="37"/>
      <c r="AQ3643" s="37"/>
      <c r="AR3643" s="37"/>
      <c r="AS3643" s="37"/>
      <c r="AT3643" s="37"/>
      <c r="AU3643" s="37"/>
      <c r="AV3643" s="37"/>
      <c r="AW3643" s="37"/>
      <c r="AX3643" s="37"/>
      <c r="AY3643" s="37"/>
      <c r="AZ3643" s="37"/>
      <c r="BA3643" s="37"/>
      <c r="BB3643" s="37"/>
      <c r="BC3643" s="37"/>
      <c r="BD3643" s="37"/>
      <c r="BE3643" s="37"/>
      <c r="BF3643" s="37"/>
      <c r="BG3643" s="37"/>
      <c r="BH3643" s="37"/>
      <c r="BI3643" s="37"/>
      <c r="BJ3643" s="37"/>
      <c r="BK3643" s="37"/>
      <c r="BL3643" s="37"/>
      <c r="BM3643" s="37"/>
    </row>
    <row r="3644" spans="1:65" s="40" customFormat="1" ht="23.25" x14ac:dyDescent="0.35">
      <c r="A3644" s="37"/>
      <c r="B3644" s="37"/>
      <c r="C3644" s="41"/>
      <c r="D3644" s="38"/>
      <c r="E3644" s="57"/>
      <c r="F3644" s="42"/>
      <c r="G3644" s="43"/>
      <c r="H3644" s="37"/>
      <c r="I3644" s="37"/>
      <c r="J3644" s="38"/>
      <c r="K3644" s="37"/>
      <c r="L3644" s="38"/>
      <c r="M3644" s="39"/>
      <c r="P3644" s="37"/>
      <c r="Q3644" s="37"/>
      <c r="R3644" s="37"/>
      <c r="S3644" s="37"/>
      <c r="T3644" s="37"/>
      <c r="U3644" s="37"/>
      <c r="V3644" s="37"/>
      <c r="W3644" s="37"/>
      <c r="X3644" s="37"/>
      <c r="Y3644" s="37"/>
      <c r="Z3644" s="37"/>
      <c r="AA3644" s="37"/>
      <c r="AB3644" s="37"/>
      <c r="AC3644" s="37"/>
      <c r="AD3644" s="37"/>
      <c r="AE3644" s="37"/>
      <c r="AF3644" s="37"/>
      <c r="AG3644" s="37"/>
      <c r="AH3644" s="37"/>
      <c r="AI3644" s="37"/>
      <c r="AJ3644" s="37"/>
      <c r="AK3644" s="37"/>
      <c r="AL3644" s="37"/>
      <c r="AM3644" s="37"/>
      <c r="AN3644" s="37"/>
      <c r="AO3644" s="37"/>
      <c r="AP3644" s="37"/>
      <c r="AQ3644" s="37"/>
      <c r="AR3644" s="37"/>
      <c r="AS3644" s="37"/>
      <c r="AT3644" s="37"/>
      <c r="AU3644" s="37"/>
      <c r="AV3644" s="37"/>
      <c r="AW3644" s="37"/>
      <c r="AX3644" s="37"/>
      <c r="AY3644" s="37"/>
      <c r="AZ3644" s="37"/>
      <c r="BA3644" s="37"/>
      <c r="BB3644" s="37"/>
      <c r="BC3644" s="37"/>
      <c r="BD3644" s="37"/>
      <c r="BE3644" s="37"/>
      <c r="BF3644" s="37"/>
      <c r="BG3644" s="37"/>
      <c r="BH3644" s="37"/>
      <c r="BI3644" s="37"/>
      <c r="BJ3644" s="37"/>
      <c r="BK3644" s="37"/>
      <c r="BL3644" s="37"/>
      <c r="BM3644" s="37"/>
    </row>
    <row r="3645" spans="1:65" s="40" customFormat="1" ht="23.25" x14ac:dyDescent="0.35">
      <c r="A3645" s="37"/>
      <c r="B3645" s="37"/>
      <c r="C3645" s="41"/>
      <c r="D3645" s="38"/>
      <c r="E3645" s="57"/>
      <c r="F3645" s="42"/>
      <c r="G3645" s="43"/>
      <c r="H3645" s="37"/>
      <c r="I3645" s="37"/>
      <c r="J3645" s="38"/>
      <c r="K3645" s="37"/>
      <c r="L3645" s="38"/>
      <c r="M3645" s="39"/>
      <c r="P3645" s="37"/>
      <c r="Q3645" s="37"/>
      <c r="R3645" s="37"/>
      <c r="S3645" s="37"/>
      <c r="T3645" s="37"/>
      <c r="U3645" s="37"/>
      <c r="V3645" s="37"/>
      <c r="W3645" s="37"/>
      <c r="X3645" s="37"/>
      <c r="Y3645" s="37"/>
      <c r="Z3645" s="37"/>
      <c r="AA3645" s="37"/>
      <c r="AB3645" s="37"/>
      <c r="AC3645" s="37"/>
      <c r="AD3645" s="37"/>
      <c r="AE3645" s="37"/>
      <c r="AF3645" s="37"/>
      <c r="AG3645" s="37"/>
      <c r="AH3645" s="37"/>
      <c r="AI3645" s="37"/>
      <c r="AJ3645" s="37"/>
      <c r="AK3645" s="37"/>
      <c r="AL3645" s="37"/>
      <c r="AM3645" s="37"/>
      <c r="AN3645" s="37"/>
      <c r="AO3645" s="37"/>
      <c r="AP3645" s="37"/>
      <c r="AQ3645" s="37"/>
      <c r="AR3645" s="37"/>
      <c r="AS3645" s="37"/>
      <c r="AT3645" s="37"/>
      <c r="AU3645" s="37"/>
      <c r="AV3645" s="37"/>
      <c r="AW3645" s="37"/>
      <c r="AX3645" s="37"/>
      <c r="AY3645" s="37"/>
      <c r="AZ3645" s="37"/>
      <c r="BA3645" s="37"/>
      <c r="BB3645" s="37"/>
      <c r="BC3645" s="37"/>
      <c r="BD3645" s="37"/>
      <c r="BE3645" s="37"/>
      <c r="BF3645" s="37"/>
      <c r="BG3645" s="37"/>
      <c r="BH3645" s="37"/>
      <c r="BI3645" s="37"/>
      <c r="BJ3645" s="37"/>
      <c r="BK3645" s="37"/>
      <c r="BL3645" s="37"/>
      <c r="BM3645" s="37"/>
    </row>
    <row r="3646" spans="1:65" s="40" customFormat="1" ht="23.25" x14ac:dyDescent="0.35">
      <c r="A3646" s="37"/>
      <c r="B3646" s="37"/>
      <c r="C3646" s="41"/>
      <c r="D3646" s="38"/>
      <c r="E3646" s="57"/>
      <c r="F3646" s="42"/>
      <c r="G3646" s="43"/>
      <c r="H3646" s="37"/>
      <c r="I3646" s="37"/>
      <c r="J3646" s="38"/>
      <c r="K3646" s="37"/>
      <c r="L3646" s="38"/>
      <c r="M3646" s="39"/>
      <c r="P3646" s="37"/>
      <c r="Q3646" s="37"/>
      <c r="R3646" s="37"/>
      <c r="S3646" s="37"/>
      <c r="T3646" s="37"/>
      <c r="U3646" s="37"/>
      <c r="V3646" s="37"/>
      <c r="W3646" s="37"/>
      <c r="X3646" s="37"/>
      <c r="Y3646" s="37"/>
      <c r="Z3646" s="37"/>
      <c r="AA3646" s="37"/>
      <c r="AB3646" s="37"/>
      <c r="AC3646" s="37"/>
      <c r="AD3646" s="37"/>
      <c r="AE3646" s="37"/>
      <c r="AF3646" s="37"/>
      <c r="AG3646" s="37"/>
      <c r="AH3646" s="37"/>
      <c r="AI3646" s="37"/>
      <c r="AJ3646" s="37"/>
      <c r="AK3646" s="37"/>
      <c r="AL3646" s="37"/>
      <c r="AM3646" s="37"/>
      <c r="AN3646" s="37"/>
      <c r="AO3646" s="37"/>
      <c r="AP3646" s="37"/>
      <c r="AQ3646" s="37"/>
      <c r="AR3646" s="37"/>
      <c r="AS3646" s="37"/>
      <c r="AT3646" s="37"/>
      <c r="AU3646" s="37"/>
      <c r="AV3646" s="37"/>
      <c r="AW3646" s="37"/>
      <c r="AX3646" s="37"/>
      <c r="AY3646" s="37"/>
      <c r="AZ3646" s="37"/>
      <c r="BA3646" s="37"/>
      <c r="BB3646" s="37"/>
      <c r="BC3646" s="37"/>
      <c r="BD3646" s="37"/>
      <c r="BE3646" s="37"/>
      <c r="BF3646" s="37"/>
      <c r="BG3646" s="37"/>
      <c r="BH3646" s="37"/>
      <c r="BI3646" s="37"/>
      <c r="BJ3646" s="37"/>
      <c r="BK3646" s="37"/>
      <c r="BL3646" s="37"/>
      <c r="BM3646" s="37"/>
    </row>
    <row r="3647" spans="1:65" s="40" customFormat="1" ht="23.25" x14ac:dyDescent="0.35">
      <c r="A3647" s="37"/>
      <c r="B3647" s="37"/>
      <c r="C3647" s="41"/>
      <c r="D3647" s="38"/>
      <c r="E3647" s="57"/>
      <c r="F3647" s="42"/>
      <c r="G3647" s="43"/>
      <c r="H3647" s="37"/>
      <c r="I3647" s="37"/>
      <c r="J3647" s="38"/>
      <c r="K3647" s="37"/>
      <c r="L3647" s="38"/>
      <c r="M3647" s="39"/>
      <c r="P3647" s="37"/>
      <c r="Q3647" s="37"/>
      <c r="R3647" s="37"/>
      <c r="S3647" s="37"/>
      <c r="T3647" s="37"/>
      <c r="U3647" s="37"/>
      <c r="V3647" s="37"/>
      <c r="W3647" s="37"/>
      <c r="X3647" s="37"/>
      <c r="Y3647" s="37"/>
      <c r="Z3647" s="37"/>
      <c r="AA3647" s="37"/>
      <c r="AB3647" s="37"/>
      <c r="AC3647" s="37"/>
      <c r="AD3647" s="37"/>
      <c r="AE3647" s="37"/>
      <c r="AF3647" s="37"/>
      <c r="AG3647" s="37"/>
      <c r="AH3647" s="37"/>
      <c r="AI3647" s="37"/>
      <c r="AJ3647" s="37"/>
      <c r="AK3647" s="37"/>
      <c r="AL3647" s="37"/>
      <c r="AM3647" s="37"/>
      <c r="AN3647" s="37"/>
      <c r="AO3647" s="37"/>
      <c r="AP3647" s="37"/>
      <c r="AQ3647" s="37"/>
      <c r="AR3647" s="37"/>
      <c r="AS3647" s="37"/>
      <c r="AT3647" s="37"/>
      <c r="AU3647" s="37"/>
      <c r="AV3647" s="37"/>
      <c r="AW3647" s="37"/>
      <c r="AX3647" s="37"/>
      <c r="AY3647" s="37"/>
      <c r="AZ3647" s="37"/>
      <c r="BA3647" s="37"/>
      <c r="BB3647" s="37"/>
      <c r="BC3647" s="37"/>
      <c r="BD3647" s="37"/>
      <c r="BE3647" s="37"/>
      <c r="BF3647" s="37"/>
      <c r="BG3647" s="37"/>
      <c r="BH3647" s="37"/>
      <c r="BI3647" s="37"/>
      <c r="BJ3647" s="37"/>
      <c r="BK3647" s="37"/>
      <c r="BL3647" s="37"/>
      <c r="BM3647" s="37"/>
    </row>
    <row r="3648" spans="1:65" s="40" customFormat="1" ht="23.25" x14ac:dyDescent="0.35">
      <c r="A3648" s="37"/>
      <c r="B3648" s="37"/>
      <c r="C3648" s="41"/>
      <c r="D3648" s="38"/>
      <c r="E3648" s="57"/>
      <c r="F3648" s="42"/>
      <c r="G3648" s="43"/>
      <c r="H3648" s="37"/>
      <c r="I3648" s="37"/>
      <c r="J3648" s="38"/>
      <c r="K3648" s="37"/>
      <c r="L3648" s="38"/>
      <c r="M3648" s="39"/>
      <c r="P3648" s="37"/>
      <c r="Q3648" s="37"/>
      <c r="R3648" s="37"/>
      <c r="S3648" s="37"/>
      <c r="T3648" s="37"/>
      <c r="U3648" s="37"/>
      <c r="V3648" s="37"/>
      <c r="W3648" s="37"/>
      <c r="X3648" s="37"/>
      <c r="Y3648" s="37"/>
      <c r="Z3648" s="37"/>
      <c r="AA3648" s="37"/>
      <c r="AB3648" s="37"/>
      <c r="AC3648" s="37"/>
      <c r="AD3648" s="37"/>
      <c r="AE3648" s="37"/>
      <c r="AF3648" s="37"/>
      <c r="AG3648" s="37"/>
      <c r="AH3648" s="37"/>
      <c r="AI3648" s="37"/>
      <c r="AJ3648" s="37"/>
      <c r="AK3648" s="37"/>
      <c r="AL3648" s="37"/>
      <c r="AM3648" s="37"/>
      <c r="AN3648" s="37"/>
      <c r="AO3648" s="37"/>
      <c r="AP3648" s="37"/>
      <c r="AQ3648" s="37"/>
      <c r="AR3648" s="37"/>
      <c r="AS3648" s="37"/>
      <c r="AT3648" s="37"/>
      <c r="AU3648" s="37"/>
      <c r="AV3648" s="37"/>
      <c r="AW3648" s="37"/>
      <c r="AX3648" s="37"/>
      <c r="AY3648" s="37"/>
      <c r="AZ3648" s="37"/>
      <c r="BA3648" s="37"/>
      <c r="BB3648" s="37"/>
      <c r="BC3648" s="37"/>
      <c r="BD3648" s="37"/>
      <c r="BE3648" s="37"/>
      <c r="BF3648" s="37"/>
      <c r="BG3648" s="37"/>
      <c r="BH3648" s="37"/>
      <c r="BI3648" s="37"/>
      <c r="BJ3648" s="37"/>
      <c r="BK3648" s="37"/>
      <c r="BL3648" s="37"/>
      <c r="BM3648" s="37"/>
    </row>
    <row r="3649" spans="1:65" s="40" customFormat="1" ht="23.25" x14ac:dyDescent="0.35">
      <c r="A3649" s="37"/>
      <c r="B3649" s="37"/>
      <c r="C3649" s="41"/>
      <c r="D3649" s="38"/>
      <c r="E3649" s="57"/>
      <c r="F3649" s="42"/>
      <c r="G3649" s="43"/>
      <c r="H3649" s="37"/>
      <c r="I3649" s="37"/>
      <c r="J3649" s="38"/>
      <c r="K3649" s="37"/>
      <c r="L3649" s="38"/>
      <c r="M3649" s="39"/>
      <c r="P3649" s="37"/>
      <c r="Q3649" s="37"/>
      <c r="R3649" s="37"/>
      <c r="S3649" s="37"/>
      <c r="T3649" s="37"/>
      <c r="U3649" s="37"/>
      <c r="V3649" s="37"/>
      <c r="W3649" s="37"/>
      <c r="X3649" s="37"/>
      <c r="Y3649" s="37"/>
      <c r="Z3649" s="37"/>
      <c r="AA3649" s="37"/>
      <c r="AB3649" s="37"/>
      <c r="AC3649" s="37"/>
      <c r="AD3649" s="37"/>
      <c r="AE3649" s="37"/>
      <c r="AF3649" s="37"/>
      <c r="AG3649" s="37"/>
      <c r="AH3649" s="37"/>
      <c r="AI3649" s="37"/>
      <c r="AJ3649" s="37"/>
      <c r="AK3649" s="37"/>
      <c r="AL3649" s="37"/>
      <c r="AM3649" s="37"/>
      <c r="AN3649" s="37"/>
      <c r="AO3649" s="37"/>
      <c r="AP3649" s="37"/>
      <c r="AQ3649" s="37"/>
      <c r="AR3649" s="37"/>
      <c r="AS3649" s="37"/>
      <c r="AT3649" s="37"/>
      <c r="AU3649" s="37"/>
      <c r="AV3649" s="37"/>
      <c r="AW3649" s="37"/>
      <c r="AX3649" s="37"/>
      <c r="AY3649" s="37"/>
      <c r="AZ3649" s="37"/>
      <c r="BA3649" s="37"/>
      <c r="BB3649" s="37"/>
      <c r="BC3649" s="37"/>
      <c r="BD3649" s="37"/>
      <c r="BE3649" s="37"/>
      <c r="BF3649" s="37"/>
      <c r="BG3649" s="37"/>
      <c r="BH3649" s="37"/>
      <c r="BI3649" s="37"/>
      <c r="BJ3649" s="37"/>
      <c r="BK3649" s="37"/>
      <c r="BL3649" s="37"/>
      <c r="BM3649" s="37"/>
    </row>
    <row r="3650" spans="1:65" s="40" customFormat="1" ht="23.25" x14ac:dyDescent="0.35">
      <c r="A3650" s="37"/>
      <c r="B3650" s="37"/>
      <c r="C3650" s="41"/>
      <c r="D3650" s="38"/>
      <c r="E3650" s="57"/>
      <c r="F3650" s="42"/>
      <c r="G3650" s="43"/>
      <c r="H3650" s="37"/>
      <c r="I3650" s="37"/>
      <c r="J3650" s="38"/>
      <c r="K3650" s="37"/>
      <c r="L3650" s="38"/>
      <c r="M3650" s="39"/>
      <c r="P3650" s="37"/>
      <c r="Q3650" s="37"/>
      <c r="R3650" s="37"/>
      <c r="S3650" s="37"/>
      <c r="T3650" s="37"/>
      <c r="U3650" s="37"/>
      <c r="V3650" s="37"/>
      <c r="W3650" s="37"/>
      <c r="X3650" s="37"/>
      <c r="Y3650" s="37"/>
      <c r="Z3650" s="37"/>
      <c r="AA3650" s="37"/>
      <c r="AB3650" s="37"/>
      <c r="AC3650" s="37"/>
      <c r="AD3650" s="37"/>
      <c r="AE3650" s="37"/>
      <c r="AF3650" s="37"/>
      <c r="AG3650" s="37"/>
      <c r="AH3650" s="37"/>
      <c r="AI3650" s="37"/>
      <c r="AJ3650" s="37"/>
      <c r="AK3650" s="37"/>
      <c r="AL3650" s="37"/>
      <c r="AM3650" s="37"/>
      <c r="AN3650" s="37"/>
      <c r="AO3650" s="37"/>
      <c r="AP3650" s="37"/>
      <c r="AQ3650" s="37"/>
      <c r="AR3650" s="37"/>
      <c r="AS3650" s="37"/>
      <c r="AT3650" s="37"/>
      <c r="AU3650" s="37"/>
      <c r="AV3650" s="37"/>
      <c r="AW3650" s="37"/>
      <c r="AX3650" s="37"/>
      <c r="AY3650" s="37"/>
      <c r="AZ3650" s="37"/>
      <c r="BA3650" s="37"/>
      <c r="BB3650" s="37"/>
      <c r="BC3650" s="37"/>
      <c r="BD3650" s="37"/>
      <c r="BE3650" s="37"/>
      <c r="BF3650" s="37"/>
      <c r="BG3650" s="37"/>
      <c r="BH3650" s="37"/>
      <c r="BI3650" s="37"/>
      <c r="BJ3650" s="37"/>
      <c r="BK3650" s="37"/>
      <c r="BL3650" s="37"/>
      <c r="BM3650" s="37"/>
    </row>
    <row r="3651" spans="1:65" s="40" customFormat="1" ht="23.25" x14ac:dyDescent="0.35">
      <c r="A3651" s="37"/>
      <c r="B3651" s="37"/>
      <c r="C3651" s="41"/>
      <c r="D3651" s="38"/>
      <c r="E3651" s="57"/>
      <c r="F3651" s="42"/>
      <c r="G3651" s="43"/>
      <c r="H3651" s="37"/>
      <c r="I3651" s="37"/>
      <c r="J3651" s="38"/>
      <c r="K3651" s="37"/>
      <c r="L3651" s="38"/>
      <c r="M3651" s="39"/>
      <c r="P3651" s="37"/>
      <c r="Q3651" s="37"/>
      <c r="R3651" s="37"/>
      <c r="S3651" s="37"/>
      <c r="T3651" s="37"/>
      <c r="U3651" s="37"/>
      <c r="V3651" s="37"/>
      <c r="W3651" s="37"/>
      <c r="X3651" s="37"/>
      <c r="Y3651" s="37"/>
      <c r="Z3651" s="37"/>
      <c r="AA3651" s="37"/>
      <c r="AB3651" s="37"/>
      <c r="AC3651" s="37"/>
      <c r="AD3651" s="37"/>
      <c r="AE3651" s="37"/>
      <c r="AF3651" s="37"/>
      <c r="AG3651" s="37"/>
      <c r="AH3651" s="37"/>
      <c r="AI3651" s="37"/>
      <c r="AJ3651" s="37"/>
      <c r="AK3651" s="37"/>
      <c r="AL3651" s="37"/>
      <c r="AM3651" s="37"/>
      <c r="AN3651" s="37"/>
      <c r="AO3651" s="37"/>
      <c r="AP3651" s="37"/>
      <c r="AQ3651" s="37"/>
      <c r="AR3651" s="37"/>
      <c r="AS3651" s="37"/>
      <c r="AT3651" s="37"/>
      <c r="AU3651" s="37"/>
      <c r="AV3651" s="37"/>
      <c r="AW3651" s="37"/>
      <c r="AX3651" s="37"/>
      <c r="AY3651" s="37"/>
      <c r="AZ3651" s="37"/>
      <c r="BA3651" s="37"/>
      <c r="BB3651" s="37"/>
      <c r="BC3651" s="37"/>
      <c r="BD3651" s="37"/>
      <c r="BE3651" s="37"/>
      <c r="BF3651" s="37"/>
      <c r="BG3651" s="37"/>
      <c r="BH3651" s="37"/>
      <c r="BI3651" s="37"/>
      <c r="BJ3651" s="37"/>
      <c r="BK3651" s="37"/>
      <c r="BL3651" s="37"/>
      <c r="BM3651" s="37"/>
    </row>
    <row r="3652" spans="1:65" s="40" customFormat="1" ht="23.25" x14ac:dyDescent="0.35">
      <c r="A3652" s="37"/>
      <c r="B3652" s="37"/>
      <c r="C3652" s="41"/>
      <c r="D3652" s="38"/>
      <c r="E3652" s="57"/>
      <c r="F3652" s="42"/>
      <c r="G3652" s="43"/>
      <c r="H3652" s="37"/>
      <c r="I3652" s="37"/>
      <c r="J3652" s="38"/>
      <c r="K3652" s="37"/>
      <c r="L3652" s="38"/>
      <c r="M3652" s="39"/>
      <c r="P3652" s="37"/>
      <c r="Q3652" s="37"/>
      <c r="R3652" s="37"/>
      <c r="S3652" s="37"/>
      <c r="T3652" s="37"/>
      <c r="U3652" s="37"/>
      <c r="V3652" s="37"/>
      <c r="W3652" s="37"/>
      <c r="X3652" s="37"/>
      <c r="Y3652" s="37"/>
      <c r="Z3652" s="37"/>
      <c r="AA3652" s="37"/>
      <c r="AB3652" s="37"/>
      <c r="AC3652" s="37"/>
      <c r="AD3652" s="37"/>
      <c r="AE3652" s="37"/>
      <c r="AF3652" s="37"/>
      <c r="AG3652" s="37"/>
      <c r="AH3652" s="37"/>
      <c r="AI3652" s="37"/>
      <c r="AJ3652" s="37"/>
      <c r="AK3652" s="37"/>
      <c r="AL3652" s="37"/>
      <c r="AM3652" s="37"/>
      <c r="AN3652" s="37"/>
      <c r="AO3652" s="37"/>
      <c r="AP3652" s="37"/>
      <c r="AQ3652" s="37"/>
      <c r="AR3652" s="37"/>
      <c r="AS3652" s="37"/>
      <c r="AT3652" s="37"/>
      <c r="AU3652" s="37"/>
      <c r="AV3652" s="37"/>
      <c r="AW3652" s="37"/>
      <c r="AX3652" s="37"/>
      <c r="AY3652" s="37"/>
      <c r="AZ3652" s="37"/>
      <c r="BA3652" s="37"/>
      <c r="BB3652" s="37"/>
      <c r="BC3652" s="37"/>
      <c r="BD3652" s="37"/>
      <c r="BE3652" s="37"/>
      <c r="BF3652" s="37"/>
      <c r="BG3652" s="37"/>
      <c r="BH3652" s="37"/>
      <c r="BI3652" s="37"/>
      <c r="BJ3652" s="37"/>
      <c r="BK3652" s="37"/>
      <c r="BL3652" s="37"/>
      <c r="BM3652" s="37"/>
    </row>
    <row r="3653" spans="1:65" s="40" customFormat="1" ht="23.25" x14ac:dyDescent="0.35">
      <c r="A3653" s="37"/>
      <c r="B3653" s="37"/>
      <c r="C3653" s="41"/>
      <c r="D3653" s="38"/>
      <c r="E3653" s="57"/>
      <c r="F3653" s="42"/>
      <c r="G3653" s="43"/>
      <c r="H3653" s="37"/>
      <c r="I3653" s="37"/>
      <c r="J3653" s="38"/>
      <c r="K3653" s="37"/>
      <c r="L3653" s="38"/>
      <c r="M3653" s="39"/>
      <c r="P3653" s="37"/>
      <c r="Q3653" s="37"/>
      <c r="R3653" s="37"/>
      <c r="S3653" s="37"/>
      <c r="T3653" s="37"/>
      <c r="U3653" s="37"/>
      <c r="V3653" s="37"/>
      <c r="W3653" s="37"/>
      <c r="X3653" s="37"/>
      <c r="Y3653" s="37"/>
      <c r="Z3653" s="37"/>
      <c r="AA3653" s="37"/>
      <c r="AB3653" s="37"/>
      <c r="AC3653" s="37"/>
      <c r="AD3653" s="37"/>
      <c r="AE3653" s="37"/>
      <c r="AF3653" s="37"/>
      <c r="AG3653" s="37"/>
      <c r="AH3653" s="37"/>
      <c r="AI3653" s="37"/>
      <c r="AJ3653" s="37"/>
      <c r="AK3653" s="37"/>
      <c r="AL3653" s="37"/>
      <c r="AM3653" s="37"/>
      <c r="AN3653" s="37"/>
      <c r="AO3653" s="37"/>
      <c r="AP3653" s="37"/>
      <c r="AQ3653" s="37"/>
      <c r="AR3653" s="37"/>
      <c r="AS3653" s="37"/>
      <c r="AT3653" s="37"/>
      <c r="AU3653" s="37"/>
      <c r="AV3653" s="37"/>
      <c r="AW3653" s="37"/>
      <c r="AX3653" s="37"/>
      <c r="AY3653" s="37"/>
      <c r="AZ3653" s="37"/>
      <c r="BA3653" s="37"/>
      <c r="BB3653" s="37"/>
      <c r="BC3653" s="37"/>
      <c r="BD3653" s="37"/>
      <c r="BE3653" s="37"/>
      <c r="BF3653" s="37"/>
      <c r="BG3653" s="37"/>
      <c r="BH3653" s="37"/>
      <c r="BI3653" s="37"/>
      <c r="BJ3653" s="37"/>
      <c r="BK3653" s="37"/>
      <c r="BL3653" s="37"/>
      <c r="BM3653" s="37"/>
    </row>
    <row r="3654" spans="1:65" s="40" customFormat="1" ht="23.25" x14ac:dyDescent="0.35">
      <c r="A3654" s="37"/>
      <c r="B3654" s="37"/>
      <c r="C3654" s="41"/>
      <c r="D3654" s="38"/>
      <c r="E3654" s="57"/>
      <c r="F3654" s="42"/>
      <c r="G3654" s="43"/>
      <c r="H3654" s="37"/>
      <c r="I3654" s="37"/>
      <c r="J3654" s="38"/>
      <c r="K3654" s="37"/>
      <c r="L3654" s="38"/>
      <c r="M3654" s="39"/>
      <c r="P3654" s="37"/>
      <c r="Q3654" s="37"/>
      <c r="R3654" s="37"/>
      <c r="S3654" s="37"/>
      <c r="T3654" s="37"/>
      <c r="U3654" s="37"/>
      <c r="V3654" s="37"/>
      <c r="W3654" s="37"/>
      <c r="X3654" s="37"/>
      <c r="Y3654" s="37"/>
      <c r="Z3654" s="37"/>
      <c r="AA3654" s="37"/>
      <c r="AB3654" s="37"/>
      <c r="AC3654" s="37"/>
      <c r="AD3654" s="37"/>
      <c r="AE3654" s="37"/>
      <c r="AF3654" s="37"/>
      <c r="AG3654" s="37"/>
      <c r="AH3654" s="37"/>
      <c r="AI3654" s="37"/>
      <c r="AJ3654" s="37"/>
      <c r="AK3654" s="37"/>
      <c r="AL3654" s="37"/>
      <c r="AM3654" s="37"/>
      <c r="AN3654" s="37"/>
      <c r="AO3654" s="37"/>
      <c r="AP3654" s="37"/>
      <c r="AQ3654" s="37"/>
      <c r="AR3654" s="37"/>
      <c r="AS3654" s="37"/>
      <c r="AT3654" s="37"/>
      <c r="AU3654" s="37"/>
      <c r="AV3654" s="37"/>
      <c r="AW3654" s="37"/>
      <c r="AX3654" s="37"/>
      <c r="AY3654" s="37"/>
      <c r="AZ3654" s="37"/>
      <c r="BA3654" s="37"/>
      <c r="BB3654" s="37"/>
      <c r="BC3654" s="37"/>
      <c r="BD3654" s="37"/>
      <c r="BE3654" s="37"/>
      <c r="BF3654" s="37"/>
      <c r="BG3654" s="37"/>
      <c r="BH3654" s="37"/>
      <c r="BI3654" s="37"/>
      <c r="BJ3654" s="37"/>
      <c r="BK3654" s="37"/>
      <c r="BL3654" s="37"/>
      <c r="BM3654" s="37"/>
    </row>
    <row r="3655" spans="1:65" s="40" customFormat="1" ht="23.25" x14ac:dyDescent="0.35">
      <c r="A3655" s="37"/>
      <c r="B3655" s="37"/>
      <c r="C3655" s="41"/>
      <c r="D3655" s="38"/>
      <c r="E3655" s="57"/>
      <c r="F3655" s="42"/>
      <c r="G3655" s="43"/>
      <c r="H3655" s="37"/>
      <c r="I3655" s="37"/>
      <c r="J3655" s="38"/>
      <c r="K3655" s="37"/>
      <c r="L3655" s="38"/>
      <c r="M3655" s="39"/>
      <c r="P3655" s="37"/>
      <c r="Q3655" s="37"/>
      <c r="R3655" s="37"/>
      <c r="S3655" s="37"/>
      <c r="T3655" s="37"/>
      <c r="U3655" s="37"/>
      <c r="V3655" s="37"/>
      <c r="W3655" s="37"/>
      <c r="X3655" s="37"/>
      <c r="Y3655" s="37"/>
      <c r="Z3655" s="37"/>
      <c r="AA3655" s="37"/>
      <c r="AB3655" s="37"/>
      <c r="AC3655" s="37"/>
      <c r="AD3655" s="37"/>
      <c r="AE3655" s="37"/>
      <c r="AF3655" s="37"/>
      <c r="AG3655" s="37"/>
      <c r="AH3655" s="37"/>
      <c r="AI3655" s="37"/>
      <c r="AJ3655" s="37"/>
      <c r="AK3655" s="37"/>
      <c r="AL3655" s="37"/>
      <c r="AM3655" s="37"/>
      <c r="AN3655" s="37"/>
      <c r="AO3655" s="37"/>
      <c r="AP3655" s="37"/>
      <c r="AQ3655" s="37"/>
      <c r="AR3655" s="37"/>
      <c r="AS3655" s="37"/>
      <c r="AT3655" s="37"/>
      <c r="AU3655" s="37"/>
      <c r="AV3655" s="37"/>
      <c r="AW3655" s="37"/>
      <c r="AX3655" s="37"/>
      <c r="AY3655" s="37"/>
      <c r="AZ3655" s="37"/>
      <c r="BA3655" s="37"/>
      <c r="BB3655" s="37"/>
      <c r="BC3655" s="37"/>
      <c r="BD3655" s="37"/>
      <c r="BE3655" s="37"/>
      <c r="BF3655" s="37"/>
      <c r="BG3655" s="37"/>
      <c r="BH3655" s="37"/>
      <c r="BI3655" s="37"/>
      <c r="BJ3655" s="37"/>
      <c r="BK3655" s="37"/>
      <c r="BL3655" s="37"/>
      <c r="BM3655" s="37"/>
    </row>
    <row r="3656" spans="1:65" s="40" customFormat="1" ht="23.25" x14ac:dyDescent="0.35">
      <c r="A3656" s="37"/>
      <c r="B3656" s="37"/>
      <c r="C3656" s="41"/>
      <c r="D3656" s="38"/>
      <c r="E3656" s="57"/>
      <c r="F3656" s="42"/>
      <c r="G3656" s="43"/>
      <c r="H3656" s="37"/>
      <c r="I3656" s="37"/>
      <c r="J3656" s="38"/>
      <c r="K3656" s="37"/>
      <c r="L3656" s="38"/>
      <c r="M3656" s="39"/>
      <c r="P3656" s="37"/>
      <c r="Q3656" s="37"/>
      <c r="R3656" s="37"/>
      <c r="S3656" s="37"/>
      <c r="T3656" s="37"/>
      <c r="U3656" s="37"/>
      <c r="V3656" s="37"/>
      <c r="W3656" s="37"/>
      <c r="X3656" s="37"/>
      <c r="Y3656" s="37"/>
      <c r="Z3656" s="37"/>
      <c r="AA3656" s="37"/>
      <c r="AB3656" s="37"/>
      <c r="AC3656" s="37"/>
      <c r="AD3656" s="37"/>
      <c r="AE3656" s="37"/>
      <c r="AF3656" s="37"/>
      <c r="AG3656" s="37"/>
      <c r="AH3656" s="37"/>
      <c r="AI3656" s="37"/>
      <c r="AJ3656" s="37"/>
      <c r="AK3656" s="37"/>
      <c r="AL3656" s="37"/>
      <c r="AM3656" s="37"/>
      <c r="AN3656" s="37"/>
      <c r="AO3656" s="37"/>
      <c r="AP3656" s="37"/>
      <c r="AQ3656" s="37"/>
      <c r="AR3656" s="37"/>
      <c r="AS3656" s="37"/>
      <c r="AT3656" s="37"/>
      <c r="AU3656" s="37"/>
      <c r="AV3656" s="37"/>
      <c r="AW3656" s="37"/>
      <c r="AX3656" s="37"/>
      <c r="AY3656" s="37"/>
      <c r="AZ3656" s="37"/>
      <c r="BA3656" s="37"/>
      <c r="BB3656" s="37"/>
      <c r="BC3656" s="37"/>
      <c r="BD3656" s="37"/>
      <c r="BE3656" s="37"/>
      <c r="BF3656" s="37"/>
      <c r="BG3656" s="37"/>
      <c r="BH3656" s="37"/>
      <c r="BI3656" s="37"/>
      <c r="BJ3656" s="37"/>
      <c r="BK3656" s="37"/>
      <c r="BL3656" s="37"/>
      <c r="BM3656" s="37"/>
    </row>
    <row r="3657" spans="1:65" s="40" customFormat="1" ht="23.25" x14ac:dyDescent="0.35">
      <c r="A3657" s="37"/>
      <c r="B3657" s="37"/>
      <c r="C3657" s="41"/>
      <c r="D3657" s="38"/>
      <c r="E3657" s="57"/>
      <c r="F3657" s="42"/>
      <c r="G3657" s="43"/>
      <c r="H3657" s="37"/>
      <c r="I3657" s="37"/>
      <c r="J3657" s="38"/>
      <c r="K3657" s="37"/>
      <c r="L3657" s="38"/>
      <c r="M3657" s="39"/>
      <c r="P3657" s="37"/>
      <c r="Q3657" s="37"/>
      <c r="R3657" s="37"/>
      <c r="S3657" s="37"/>
      <c r="T3657" s="37"/>
      <c r="U3657" s="37"/>
      <c r="V3657" s="37"/>
      <c r="W3657" s="37"/>
      <c r="X3657" s="37"/>
      <c r="Y3657" s="37"/>
      <c r="Z3657" s="37"/>
      <c r="AA3657" s="37"/>
      <c r="AB3657" s="37"/>
      <c r="AC3657" s="37"/>
      <c r="AD3657" s="37"/>
      <c r="AE3657" s="37"/>
      <c r="AF3657" s="37"/>
      <c r="AG3657" s="37"/>
      <c r="AH3657" s="37"/>
      <c r="AI3657" s="37"/>
      <c r="AJ3657" s="37"/>
      <c r="AK3657" s="37"/>
      <c r="AL3657" s="37"/>
      <c r="AM3657" s="37"/>
      <c r="AN3657" s="37"/>
      <c r="AO3657" s="37"/>
      <c r="AP3657" s="37"/>
      <c r="AQ3657" s="37"/>
      <c r="AR3657" s="37"/>
      <c r="AS3657" s="37"/>
      <c r="AT3657" s="37"/>
      <c r="AU3657" s="37"/>
      <c r="AV3657" s="37"/>
      <c r="AW3657" s="37"/>
      <c r="AX3657" s="37"/>
      <c r="AY3657" s="37"/>
      <c r="AZ3657" s="37"/>
      <c r="BA3657" s="37"/>
      <c r="BB3657" s="37"/>
      <c r="BC3657" s="37"/>
      <c r="BD3657" s="37"/>
      <c r="BE3657" s="37"/>
      <c r="BF3657" s="37"/>
      <c r="BG3657" s="37"/>
      <c r="BH3657" s="37"/>
      <c r="BI3657" s="37"/>
      <c r="BJ3657" s="37"/>
      <c r="BK3657" s="37"/>
      <c r="BL3657" s="37"/>
      <c r="BM3657" s="37"/>
    </row>
    <row r="3658" spans="1:65" s="40" customFormat="1" ht="23.25" x14ac:dyDescent="0.35">
      <c r="A3658" s="37"/>
      <c r="B3658" s="37"/>
      <c r="C3658" s="41"/>
      <c r="D3658" s="38"/>
      <c r="E3658" s="57"/>
      <c r="F3658" s="42"/>
      <c r="G3658" s="43"/>
      <c r="H3658" s="37"/>
      <c r="I3658" s="37"/>
      <c r="J3658" s="38"/>
      <c r="K3658" s="37"/>
      <c r="L3658" s="38"/>
      <c r="M3658" s="39"/>
      <c r="P3658" s="37"/>
      <c r="Q3658" s="37"/>
      <c r="R3658" s="37"/>
      <c r="S3658" s="37"/>
      <c r="T3658" s="37"/>
      <c r="U3658" s="37"/>
      <c r="V3658" s="37"/>
      <c r="W3658" s="37"/>
      <c r="X3658" s="37"/>
      <c r="Y3658" s="37"/>
      <c r="Z3658" s="37"/>
      <c r="AA3658" s="37"/>
      <c r="AB3658" s="37"/>
      <c r="AC3658" s="37"/>
      <c r="AD3658" s="37"/>
      <c r="AE3658" s="37"/>
      <c r="AF3658" s="37"/>
      <c r="AG3658" s="37"/>
      <c r="AH3658" s="37"/>
      <c r="AI3658" s="37"/>
      <c r="AJ3658" s="37"/>
      <c r="AK3658" s="37"/>
      <c r="AL3658" s="37"/>
      <c r="AM3658" s="37"/>
      <c r="AN3658" s="37"/>
      <c r="AO3658" s="37"/>
      <c r="AP3658" s="37"/>
      <c r="AQ3658" s="37"/>
      <c r="AR3658" s="37"/>
      <c r="AS3658" s="37"/>
      <c r="AT3658" s="37"/>
      <c r="AU3658" s="37"/>
      <c r="AV3658" s="37"/>
      <c r="AW3658" s="37"/>
      <c r="AX3658" s="37"/>
      <c r="AY3658" s="37"/>
      <c r="AZ3658" s="37"/>
      <c r="BA3658" s="37"/>
      <c r="BB3658" s="37"/>
      <c r="BC3658" s="37"/>
      <c r="BD3658" s="37"/>
      <c r="BE3658" s="37"/>
      <c r="BF3658" s="37"/>
      <c r="BG3658" s="37"/>
      <c r="BH3658" s="37"/>
      <c r="BI3658" s="37"/>
      <c r="BJ3658" s="37"/>
      <c r="BK3658" s="37"/>
      <c r="BL3658" s="37"/>
      <c r="BM3658" s="37"/>
    </row>
    <row r="3659" spans="1:65" s="40" customFormat="1" ht="23.25" x14ac:dyDescent="0.35">
      <c r="A3659" s="37"/>
      <c r="B3659" s="37"/>
      <c r="C3659" s="41"/>
      <c r="D3659" s="38"/>
      <c r="E3659" s="57"/>
      <c r="F3659" s="42"/>
      <c r="G3659" s="43"/>
      <c r="H3659" s="37"/>
      <c r="I3659" s="37"/>
      <c r="J3659" s="38"/>
      <c r="K3659" s="37"/>
      <c r="L3659" s="38"/>
      <c r="M3659" s="39"/>
      <c r="P3659" s="37"/>
      <c r="Q3659" s="37"/>
      <c r="R3659" s="37"/>
      <c r="S3659" s="37"/>
      <c r="T3659" s="37"/>
      <c r="U3659" s="37"/>
      <c r="V3659" s="37"/>
      <c r="W3659" s="37"/>
      <c r="X3659" s="37"/>
      <c r="Y3659" s="37"/>
      <c r="Z3659" s="37"/>
      <c r="AA3659" s="37"/>
      <c r="AB3659" s="37"/>
      <c r="AC3659" s="37"/>
      <c r="AD3659" s="37"/>
      <c r="AE3659" s="37"/>
      <c r="AF3659" s="37"/>
      <c r="AG3659" s="37"/>
      <c r="AH3659" s="37"/>
      <c r="AI3659" s="37"/>
      <c r="AJ3659" s="37"/>
      <c r="AK3659" s="37"/>
      <c r="AL3659" s="37"/>
      <c r="AM3659" s="37"/>
      <c r="AN3659" s="37"/>
      <c r="AO3659" s="37"/>
      <c r="AP3659" s="37"/>
      <c r="AQ3659" s="37"/>
      <c r="AR3659" s="37"/>
      <c r="AS3659" s="37"/>
      <c r="AT3659" s="37"/>
      <c r="AU3659" s="37"/>
      <c r="AV3659" s="37"/>
      <c r="AW3659" s="37"/>
      <c r="AX3659" s="37"/>
      <c r="AY3659" s="37"/>
      <c r="AZ3659" s="37"/>
      <c r="BA3659" s="37"/>
      <c r="BB3659" s="37"/>
      <c r="BC3659" s="37"/>
      <c r="BD3659" s="37"/>
      <c r="BE3659" s="37"/>
      <c r="BF3659" s="37"/>
      <c r="BG3659" s="37"/>
      <c r="BH3659" s="37"/>
      <c r="BI3659" s="37"/>
      <c r="BJ3659" s="37"/>
      <c r="BK3659" s="37"/>
      <c r="BL3659" s="37"/>
      <c r="BM3659" s="37"/>
    </row>
    <row r="3660" spans="1:65" s="40" customFormat="1" ht="23.25" x14ac:dyDescent="0.35">
      <c r="A3660" s="37"/>
      <c r="B3660" s="37"/>
      <c r="C3660" s="41"/>
      <c r="D3660" s="38"/>
      <c r="E3660" s="57"/>
      <c r="F3660" s="42"/>
      <c r="G3660" s="43"/>
      <c r="H3660" s="37"/>
      <c r="I3660" s="37"/>
      <c r="J3660" s="38"/>
      <c r="K3660" s="37"/>
      <c r="L3660" s="38"/>
      <c r="M3660" s="39"/>
      <c r="P3660" s="37"/>
      <c r="Q3660" s="37"/>
      <c r="R3660" s="37"/>
      <c r="S3660" s="37"/>
      <c r="T3660" s="37"/>
      <c r="U3660" s="37"/>
      <c r="V3660" s="37"/>
      <c r="W3660" s="37"/>
      <c r="X3660" s="37"/>
      <c r="Y3660" s="37"/>
      <c r="Z3660" s="37"/>
      <c r="AA3660" s="37"/>
      <c r="AB3660" s="37"/>
      <c r="AC3660" s="37"/>
      <c r="AD3660" s="37"/>
      <c r="AE3660" s="37"/>
      <c r="AF3660" s="37"/>
      <c r="AG3660" s="37"/>
      <c r="AH3660" s="37"/>
      <c r="AI3660" s="37"/>
      <c r="AJ3660" s="37"/>
      <c r="AK3660" s="37"/>
      <c r="AL3660" s="37"/>
      <c r="AM3660" s="37"/>
      <c r="AN3660" s="37"/>
      <c r="AO3660" s="37"/>
      <c r="AP3660" s="37"/>
      <c r="AQ3660" s="37"/>
      <c r="AR3660" s="37"/>
      <c r="AS3660" s="37"/>
      <c r="AT3660" s="37"/>
      <c r="AU3660" s="37"/>
      <c r="AV3660" s="37"/>
      <c r="AW3660" s="37"/>
      <c r="AX3660" s="37"/>
      <c r="AY3660" s="37"/>
      <c r="AZ3660" s="37"/>
      <c r="BA3660" s="37"/>
      <c r="BB3660" s="37"/>
      <c r="BC3660" s="37"/>
      <c r="BD3660" s="37"/>
      <c r="BE3660" s="37"/>
      <c r="BF3660" s="37"/>
      <c r="BG3660" s="37"/>
      <c r="BH3660" s="37"/>
      <c r="BI3660" s="37"/>
      <c r="BJ3660" s="37"/>
      <c r="BK3660" s="37"/>
      <c r="BL3660" s="37"/>
      <c r="BM3660" s="37"/>
    </row>
    <row r="3661" spans="1:65" s="40" customFormat="1" ht="23.25" x14ac:dyDescent="0.35">
      <c r="A3661" s="37"/>
      <c r="B3661" s="37"/>
      <c r="C3661" s="41"/>
      <c r="D3661" s="38"/>
      <c r="E3661" s="57"/>
      <c r="F3661" s="42"/>
      <c r="G3661" s="43"/>
      <c r="H3661" s="37"/>
      <c r="I3661" s="37"/>
      <c r="J3661" s="38"/>
      <c r="K3661" s="37"/>
      <c r="L3661" s="38"/>
      <c r="M3661" s="39"/>
      <c r="P3661" s="37"/>
      <c r="Q3661" s="37"/>
      <c r="R3661" s="37"/>
      <c r="S3661" s="37"/>
      <c r="T3661" s="37"/>
      <c r="U3661" s="37"/>
      <c r="V3661" s="37"/>
      <c r="W3661" s="37"/>
      <c r="X3661" s="37"/>
      <c r="Y3661" s="37"/>
      <c r="Z3661" s="37"/>
      <c r="AA3661" s="37"/>
      <c r="AB3661" s="37"/>
      <c r="AC3661" s="37"/>
      <c r="AD3661" s="37"/>
      <c r="AE3661" s="37"/>
      <c r="AF3661" s="37"/>
      <c r="AG3661" s="37"/>
      <c r="AH3661" s="37"/>
      <c r="AI3661" s="37"/>
      <c r="AJ3661" s="37"/>
      <c r="AK3661" s="37"/>
      <c r="AL3661" s="37"/>
      <c r="AM3661" s="37"/>
      <c r="AN3661" s="37"/>
      <c r="AO3661" s="37"/>
      <c r="AP3661" s="37"/>
      <c r="AQ3661" s="37"/>
      <c r="AR3661" s="37"/>
      <c r="AS3661" s="37"/>
      <c r="AT3661" s="37"/>
      <c r="AU3661" s="37"/>
      <c r="AV3661" s="37"/>
      <c r="AW3661" s="37"/>
      <c r="AX3661" s="37"/>
      <c r="AY3661" s="37"/>
      <c r="AZ3661" s="37"/>
      <c r="BA3661" s="37"/>
      <c r="BB3661" s="37"/>
      <c r="BC3661" s="37"/>
      <c r="BD3661" s="37"/>
      <c r="BE3661" s="37"/>
      <c r="BF3661" s="37"/>
      <c r="BG3661" s="37"/>
      <c r="BH3661" s="37"/>
      <c r="BI3661" s="37"/>
      <c r="BJ3661" s="37"/>
      <c r="BK3661" s="37"/>
      <c r="BL3661" s="37"/>
      <c r="BM3661" s="37"/>
    </row>
    <row r="3662" spans="1:65" s="40" customFormat="1" ht="23.25" x14ac:dyDescent="0.35">
      <c r="A3662" s="37"/>
      <c r="B3662" s="37"/>
      <c r="C3662" s="41"/>
      <c r="D3662" s="38"/>
      <c r="E3662" s="57"/>
      <c r="F3662" s="42"/>
      <c r="G3662" s="43"/>
      <c r="H3662" s="37"/>
      <c r="I3662" s="37"/>
      <c r="J3662" s="38"/>
      <c r="K3662" s="37"/>
      <c r="L3662" s="38"/>
      <c r="M3662" s="39"/>
      <c r="P3662" s="37"/>
      <c r="Q3662" s="37"/>
      <c r="R3662" s="37"/>
      <c r="S3662" s="37"/>
      <c r="T3662" s="37"/>
      <c r="U3662" s="37"/>
      <c r="V3662" s="37"/>
      <c r="W3662" s="37"/>
      <c r="X3662" s="37"/>
      <c r="Y3662" s="37"/>
      <c r="Z3662" s="37"/>
      <c r="AA3662" s="37"/>
      <c r="AB3662" s="37"/>
      <c r="AC3662" s="37"/>
      <c r="AD3662" s="37"/>
      <c r="AE3662" s="37"/>
      <c r="AF3662" s="37"/>
      <c r="AG3662" s="37"/>
      <c r="AH3662" s="37"/>
      <c r="AI3662" s="37"/>
      <c r="AJ3662" s="37"/>
      <c r="AK3662" s="37"/>
      <c r="AL3662" s="37"/>
      <c r="AM3662" s="37"/>
      <c r="AN3662" s="37"/>
      <c r="AO3662" s="37"/>
      <c r="AP3662" s="37"/>
      <c r="AQ3662" s="37"/>
      <c r="AR3662" s="37"/>
      <c r="AS3662" s="37"/>
      <c r="AT3662" s="37"/>
      <c r="AU3662" s="37"/>
      <c r="AV3662" s="37"/>
      <c r="AW3662" s="37"/>
      <c r="AX3662" s="37"/>
      <c r="AY3662" s="37"/>
      <c r="AZ3662" s="37"/>
      <c r="BA3662" s="37"/>
      <c r="BB3662" s="37"/>
      <c r="BC3662" s="37"/>
      <c r="BD3662" s="37"/>
      <c r="BE3662" s="37"/>
      <c r="BF3662" s="37"/>
      <c r="BG3662" s="37"/>
      <c r="BH3662" s="37"/>
      <c r="BI3662" s="37"/>
      <c r="BJ3662" s="37"/>
      <c r="BK3662" s="37"/>
      <c r="BL3662" s="37"/>
      <c r="BM3662" s="37"/>
    </row>
    <row r="3663" spans="1:65" s="40" customFormat="1" ht="23.25" x14ac:dyDescent="0.35">
      <c r="A3663" s="37"/>
      <c r="B3663" s="37"/>
      <c r="C3663" s="41"/>
      <c r="D3663" s="38"/>
      <c r="E3663" s="57"/>
      <c r="F3663" s="42"/>
      <c r="G3663" s="43"/>
      <c r="H3663" s="37"/>
      <c r="I3663" s="37"/>
      <c r="J3663" s="38"/>
      <c r="K3663" s="37"/>
      <c r="L3663" s="38"/>
      <c r="M3663" s="39"/>
      <c r="P3663" s="37"/>
      <c r="Q3663" s="37"/>
      <c r="R3663" s="37"/>
      <c r="S3663" s="37"/>
      <c r="T3663" s="37"/>
      <c r="U3663" s="37"/>
      <c r="V3663" s="37"/>
      <c r="W3663" s="37"/>
      <c r="X3663" s="37"/>
      <c r="Y3663" s="37"/>
      <c r="Z3663" s="37"/>
      <c r="AA3663" s="37"/>
      <c r="AB3663" s="37"/>
      <c r="AC3663" s="37"/>
      <c r="AD3663" s="37"/>
      <c r="AE3663" s="37"/>
      <c r="AF3663" s="37"/>
      <c r="AG3663" s="37"/>
      <c r="AH3663" s="37"/>
      <c r="AI3663" s="37"/>
      <c r="AJ3663" s="37"/>
      <c r="AK3663" s="37"/>
      <c r="AL3663" s="37"/>
      <c r="AM3663" s="37"/>
      <c r="AN3663" s="37"/>
      <c r="AO3663" s="37"/>
      <c r="AP3663" s="37"/>
      <c r="AQ3663" s="37"/>
      <c r="AR3663" s="37"/>
      <c r="AS3663" s="37"/>
      <c r="AT3663" s="37"/>
      <c r="AU3663" s="37"/>
      <c r="AV3663" s="37"/>
      <c r="AW3663" s="37"/>
      <c r="AX3663" s="37"/>
      <c r="AY3663" s="37"/>
      <c r="AZ3663" s="37"/>
      <c r="BA3663" s="37"/>
      <c r="BB3663" s="37"/>
      <c r="BC3663" s="37"/>
      <c r="BD3663" s="37"/>
      <c r="BE3663" s="37"/>
      <c r="BF3663" s="37"/>
      <c r="BG3663" s="37"/>
      <c r="BH3663" s="37"/>
      <c r="BI3663" s="37"/>
      <c r="BJ3663" s="37"/>
      <c r="BK3663" s="37"/>
      <c r="BL3663" s="37"/>
      <c r="BM3663" s="37"/>
    </row>
    <row r="3664" spans="1:65" s="40" customFormat="1" ht="23.25" x14ac:dyDescent="0.35">
      <c r="A3664" s="37"/>
      <c r="B3664" s="37"/>
      <c r="C3664" s="41"/>
      <c r="D3664" s="38"/>
      <c r="E3664" s="57"/>
      <c r="F3664" s="42"/>
      <c r="G3664" s="43"/>
      <c r="H3664" s="37"/>
      <c r="I3664" s="37"/>
      <c r="J3664" s="38"/>
      <c r="K3664" s="37"/>
      <c r="L3664" s="38"/>
      <c r="M3664" s="39"/>
      <c r="P3664" s="37"/>
      <c r="Q3664" s="37"/>
      <c r="R3664" s="37"/>
      <c r="S3664" s="37"/>
      <c r="T3664" s="37"/>
      <c r="U3664" s="37"/>
      <c r="V3664" s="37"/>
      <c r="W3664" s="37"/>
      <c r="X3664" s="37"/>
      <c r="Y3664" s="37"/>
      <c r="Z3664" s="37"/>
      <c r="AA3664" s="37"/>
      <c r="AB3664" s="37"/>
      <c r="AC3664" s="37"/>
      <c r="AD3664" s="37"/>
      <c r="AE3664" s="37"/>
      <c r="AF3664" s="37"/>
      <c r="AG3664" s="37"/>
      <c r="AH3664" s="37"/>
      <c r="AI3664" s="37"/>
      <c r="AJ3664" s="37"/>
      <c r="AK3664" s="37"/>
      <c r="AL3664" s="37"/>
      <c r="AM3664" s="37"/>
      <c r="AN3664" s="37"/>
      <c r="AO3664" s="37"/>
      <c r="AP3664" s="37"/>
      <c r="AQ3664" s="37"/>
      <c r="AR3664" s="37"/>
      <c r="AS3664" s="37"/>
      <c r="AT3664" s="37"/>
      <c r="AU3664" s="37"/>
      <c r="AV3664" s="37"/>
      <c r="AW3664" s="37"/>
      <c r="AX3664" s="37"/>
      <c r="AY3664" s="37"/>
      <c r="AZ3664" s="37"/>
      <c r="BA3664" s="37"/>
      <c r="BB3664" s="37"/>
      <c r="BC3664" s="37"/>
      <c r="BD3664" s="37"/>
      <c r="BE3664" s="37"/>
      <c r="BF3664" s="37"/>
      <c r="BG3664" s="37"/>
      <c r="BH3664" s="37"/>
      <c r="BI3664" s="37"/>
      <c r="BJ3664" s="37"/>
      <c r="BK3664" s="37"/>
      <c r="BL3664" s="37"/>
      <c r="BM3664" s="37"/>
    </row>
    <row r="3665" spans="1:65" s="40" customFormat="1" ht="23.25" x14ac:dyDescent="0.35">
      <c r="A3665" s="37"/>
      <c r="B3665" s="37"/>
      <c r="C3665" s="41"/>
      <c r="D3665" s="38"/>
      <c r="E3665" s="57"/>
      <c r="F3665" s="42"/>
      <c r="G3665" s="43"/>
      <c r="H3665" s="37"/>
      <c r="I3665" s="37"/>
      <c r="J3665" s="38"/>
      <c r="K3665" s="37"/>
      <c r="L3665" s="38"/>
      <c r="M3665" s="39"/>
      <c r="P3665" s="37"/>
      <c r="Q3665" s="37"/>
      <c r="R3665" s="37"/>
      <c r="S3665" s="37"/>
      <c r="T3665" s="37"/>
      <c r="U3665" s="37"/>
      <c r="V3665" s="37"/>
      <c r="W3665" s="37"/>
      <c r="X3665" s="37"/>
      <c r="Y3665" s="37"/>
      <c r="Z3665" s="37"/>
      <c r="AA3665" s="37"/>
      <c r="AB3665" s="37"/>
      <c r="AC3665" s="37"/>
      <c r="AD3665" s="37"/>
      <c r="AE3665" s="37"/>
      <c r="AF3665" s="37"/>
      <c r="AG3665" s="37"/>
      <c r="AH3665" s="37"/>
      <c r="AI3665" s="37"/>
      <c r="AJ3665" s="37"/>
      <c r="AK3665" s="37"/>
      <c r="AL3665" s="37"/>
      <c r="AM3665" s="37"/>
      <c r="AN3665" s="37"/>
      <c r="AO3665" s="37"/>
      <c r="AP3665" s="37"/>
      <c r="AQ3665" s="37"/>
      <c r="AR3665" s="37"/>
      <c r="AS3665" s="37"/>
      <c r="AT3665" s="37"/>
      <c r="AU3665" s="37"/>
      <c r="AV3665" s="37"/>
      <c r="AW3665" s="37"/>
      <c r="AX3665" s="37"/>
      <c r="AY3665" s="37"/>
      <c r="AZ3665" s="37"/>
      <c r="BA3665" s="37"/>
      <c r="BB3665" s="37"/>
      <c r="BC3665" s="37"/>
      <c r="BD3665" s="37"/>
      <c r="BE3665" s="37"/>
      <c r="BF3665" s="37"/>
      <c r="BG3665" s="37"/>
      <c r="BH3665" s="37"/>
      <c r="BI3665" s="37"/>
      <c r="BJ3665" s="37"/>
      <c r="BK3665" s="37"/>
      <c r="BL3665" s="37"/>
      <c r="BM3665" s="37"/>
    </row>
    <row r="3666" spans="1:65" s="40" customFormat="1" ht="23.25" x14ac:dyDescent="0.35">
      <c r="A3666" s="37"/>
      <c r="B3666" s="37"/>
      <c r="C3666" s="41"/>
      <c r="D3666" s="38"/>
      <c r="E3666" s="57"/>
      <c r="F3666" s="42"/>
      <c r="G3666" s="43"/>
      <c r="H3666" s="37"/>
      <c r="I3666" s="37"/>
      <c r="J3666" s="38"/>
      <c r="K3666" s="37"/>
      <c r="L3666" s="38"/>
      <c r="M3666" s="39"/>
      <c r="P3666" s="37"/>
      <c r="Q3666" s="37"/>
      <c r="R3666" s="37"/>
      <c r="S3666" s="37"/>
      <c r="T3666" s="37"/>
      <c r="U3666" s="37"/>
      <c r="V3666" s="37"/>
      <c r="W3666" s="37"/>
      <c r="X3666" s="37"/>
      <c r="Y3666" s="37"/>
      <c r="Z3666" s="37"/>
      <c r="AA3666" s="37"/>
      <c r="AB3666" s="37"/>
      <c r="AC3666" s="37"/>
      <c r="AD3666" s="37"/>
      <c r="AE3666" s="37"/>
      <c r="AF3666" s="37"/>
      <c r="AG3666" s="37"/>
      <c r="AH3666" s="37"/>
      <c r="AI3666" s="37"/>
      <c r="AJ3666" s="37"/>
      <c r="AK3666" s="37"/>
      <c r="AL3666" s="37"/>
      <c r="AM3666" s="37"/>
      <c r="AN3666" s="37"/>
      <c r="AO3666" s="37"/>
      <c r="AP3666" s="37"/>
      <c r="AQ3666" s="37"/>
      <c r="AR3666" s="37"/>
      <c r="AS3666" s="37"/>
      <c r="AT3666" s="37"/>
      <c r="AU3666" s="37"/>
      <c r="AV3666" s="37"/>
      <c r="AW3666" s="37"/>
      <c r="AX3666" s="37"/>
      <c r="AY3666" s="37"/>
      <c r="AZ3666" s="37"/>
      <c r="BA3666" s="37"/>
      <c r="BB3666" s="37"/>
      <c r="BC3666" s="37"/>
      <c r="BD3666" s="37"/>
      <c r="BE3666" s="37"/>
      <c r="BF3666" s="37"/>
      <c r="BG3666" s="37"/>
      <c r="BH3666" s="37"/>
      <c r="BI3666" s="37"/>
      <c r="BJ3666" s="37"/>
      <c r="BK3666" s="37"/>
      <c r="BL3666" s="37"/>
      <c r="BM3666" s="37"/>
    </row>
    <row r="3667" spans="1:65" s="40" customFormat="1" ht="23.25" x14ac:dyDescent="0.35">
      <c r="A3667" s="37"/>
      <c r="B3667" s="37"/>
      <c r="C3667" s="41"/>
      <c r="D3667" s="38"/>
      <c r="E3667" s="57"/>
      <c r="F3667" s="42"/>
      <c r="G3667" s="43"/>
      <c r="H3667" s="37"/>
      <c r="I3667" s="37"/>
      <c r="J3667" s="38"/>
      <c r="K3667" s="37"/>
      <c r="L3667" s="38"/>
      <c r="M3667" s="39"/>
      <c r="P3667" s="37"/>
      <c r="Q3667" s="37"/>
      <c r="R3667" s="37"/>
      <c r="S3667" s="37"/>
      <c r="T3667" s="37"/>
      <c r="U3667" s="37"/>
      <c r="V3667" s="37"/>
      <c r="W3667" s="37"/>
      <c r="X3667" s="37"/>
      <c r="Y3667" s="37"/>
      <c r="Z3667" s="37"/>
      <c r="AA3667" s="37"/>
      <c r="AB3667" s="37"/>
      <c r="AC3667" s="37"/>
      <c r="AD3667" s="37"/>
      <c r="AE3667" s="37"/>
      <c r="AF3667" s="37"/>
      <c r="AG3667" s="37"/>
      <c r="AH3667" s="37"/>
      <c r="AI3667" s="37"/>
      <c r="AJ3667" s="37"/>
      <c r="AK3667" s="37"/>
      <c r="AL3667" s="37"/>
      <c r="AM3667" s="37"/>
      <c r="AN3667" s="37"/>
      <c r="AO3667" s="37"/>
      <c r="AP3667" s="37"/>
      <c r="AQ3667" s="37"/>
      <c r="AR3667" s="37"/>
      <c r="AS3667" s="37"/>
      <c r="AT3667" s="37"/>
      <c r="AU3667" s="37"/>
      <c r="AV3667" s="37"/>
      <c r="AW3667" s="37"/>
      <c r="AX3667" s="37"/>
      <c r="AY3667" s="37"/>
      <c r="AZ3667" s="37"/>
      <c r="BA3667" s="37"/>
      <c r="BB3667" s="37"/>
      <c r="BC3667" s="37"/>
      <c r="BD3667" s="37"/>
      <c r="BE3667" s="37"/>
      <c r="BF3667" s="37"/>
      <c r="BG3667" s="37"/>
      <c r="BH3667" s="37"/>
      <c r="BI3667" s="37"/>
      <c r="BJ3667" s="37"/>
      <c r="BK3667" s="37"/>
      <c r="BL3667" s="37"/>
      <c r="BM3667" s="37"/>
    </row>
    <row r="3668" spans="1:65" s="40" customFormat="1" ht="23.25" x14ac:dyDescent="0.35">
      <c r="A3668" s="37"/>
      <c r="B3668" s="37"/>
      <c r="C3668" s="41"/>
      <c r="D3668" s="38"/>
      <c r="E3668" s="57"/>
      <c r="F3668" s="42"/>
      <c r="G3668" s="43"/>
      <c r="H3668" s="37"/>
      <c r="I3668" s="37"/>
      <c r="J3668" s="38"/>
      <c r="K3668" s="37"/>
      <c r="L3668" s="38"/>
      <c r="M3668" s="39"/>
      <c r="P3668" s="37"/>
      <c r="Q3668" s="37"/>
      <c r="R3668" s="37"/>
      <c r="S3668" s="37"/>
      <c r="T3668" s="37"/>
      <c r="U3668" s="37"/>
      <c r="V3668" s="37"/>
      <c r="W3668" s="37"/>
      <c r="X3668" s="37"/>
      <c r="Y3668" s="37"/>
      <c r="Z3668" s="37"/>
      <c r="AA3668" s="37"/>
      <c r="AB3668" s="37"/>
      <c r="AC3668" s="37"/>
      <c r="AD3668" s="37"/>
      <c r="AE3668" s="37"/>
      <c r="AF3668" s="37"/>
      <c r="AG3668" s="37"/>
      <c r="AH3668" s="37"/>
      <c r="AI3668" s="37"/>
      <c r="AJ3668" s="37"/>
      <c r="AK3668" s="37"/>
      <c r="AL3668" s="37"/>
      <c r="AM3668" s="37"/>
      <c r="AN3668" s="37"/>
      <c r="AO3668" s="37"/>
      <c r="AP3668" s="37"/>
      <c r="AQ3668" s="37"/>
      <c r="AR3668" s="37"/>
      <c r="AS3668" s="37"/>
      <c r="AT3668" s="37"/>
      <c r="AU3668" s="37"/>
      <c r="AV3668" s="37"/>
      <c r="AW3668" s="37"/>
      <c r="AX3668" s="37"/>
      <c r="AY3668" s="37"/>
      <c r="AZ3668" s="37"/>
      <c r="BA3668" s="37"/>
      <c r="BB3668" s="37"/>
      <c r="BC3668" s="37"/>
      <c r="BD3668" s="37"/>
      <c r="BE3668" s="37"/>
      <c r="BF3668" s="37"/>
      <c r="BG3668" s="37"/>
      <c r="BH3668" s="37"/>
      <c r="BI3668" s="37"/>
      <c r="BJ3668" s="37"/>
      <c r="BK3668" s="37"/>
      <c r="BL3668" s="37"/>
      <c r="BM3668" s="37"/>
    </row>
    <row r="3669" spans="1:65" s="40" customFormat="1" ht="23.25" x14ac:dyDescent="0.35">
      <c r="A3669" s="37"/>
      <c r="B3669" s="37"/>
      <c r="C3669" s="41"/>
      <c r="D3669" s="38"/>
      <c r="E3669" s="57"/>
      <c r="F3669" s="42"/>
      <c r="G3669" s="43"/>
      <c r="H3669" s="37"/>
      <c r="I3669" s="37"/>
      <c r="J3669" s="38"/>
      <c r="K3669" s="37"/>
      <c r="L3669" s="38"/>
      <c r="M3669" s="39"/>
      <c r="P3669" s="37"/>
      <c r="Q3669" s="37"/>
      <c r="R3669" s="37"/>
      <c r="S3669" s="37"/>
      <c r="T3669" s="37"/>
      <c r="U3669" s="37"/>
      <c r="V3669" s="37"/>
      <c r="W3669" s="37"/>
      <c r="X3669" s="37"/>
      <c r="Y3669" s="37"/>
      <c r="Z3669" s="37"/>
      <c r="AA3669" s="37"/>
      <c r="AB3669" s="37"/>
      <c r="AC3669" s="37"/>
      <c r="AD3669" s="37"/>
      <c r="AE3669" s="37"/>
      <c r="AF3669" s="37"/>
      <c r="AG3669" s="37"/>
      <c r="AH3669" s="37"/>
      <c r="AI3669" s="37"/>
      <c r="AJ3669" s="37"/>
      <c r="AK3669" s="37"/>
      <c r="AL3669" s="37"/>
      <c r="AM3669" s="37"/>
      <c r="AN3669" s="37"/>
      <c r="AO3669" s="37"/>
      <c r="AP3669" s="37"/>
      <c r="AQ3669" s="37"/>
      <c r="AR3669" s="37"/>
      <c r="AS3669" s="37"/>
      <c r="AT3669" s="37"/>
      <c r="AU3669" s="37"/>
      <c r="AV3669" s="37"/>
      <c r="AW3669" s="37"/>
      <c r="AX3669" s="37"/>
      <c r="AY3669" s="37"/>
      <c r="AZ3669" s="37"/>
      <c r="BA3669" s="37"/>
      <c r="BB3669" s="37"/>
      <c r="BC3669" s="37"/>
      <c r="BD3669" s="37"/>
      <c r="BE3669" s="37"/>
      <c r="BF3669" s="37"/>
      <c r="BG3669" s="37"/>
      <c r="BH3669" s="37"/>
      <c r="BI3669" s="37"/>
      <c r="BJ3669" s="37"/>
      <c r="BK3669" s="37"/>
      <c r="BL3669" s="37"/>
      <c r="BM3669" s="37"/>
    </row>
    <row r="3670" spans="1:65" s="40" customFormat="1" ht="23.25" x14ac:dyDescent="0.35">
      <c r="A3670" s="37"/>
      <c r="B3670" s="37"/>
      <c r="C3670" s="41"/>
      <c r="D3670" s="38"/>
      <c r="E3670" s="57"/>
      <c r="F3670" s="42"/>
      <c r="G3670" s="43"/>
      <c r="H3670" s="37"/>
      <c r="I3670" s="37"/>
      <c r="J3670" s="38"/>
      <c r="K3670" s="37"/>
      <c r="L3670" s="38"/>
      <c r="M3670" s="39"/>
      <c r="P3670" s="37"/>
      <c r="Q3670" s="37"/>
      <c r="R3670" s="37"/>
      <c r="S3670" s="37"/>
      <c r="T3670" s="37"/>
      <c r="U3670" s="37"/>
      <c r="V3670" s="37"/>
      <c r="W3670" s="37"/>
      <c r="X3670" s="37"/>
      <c r="Y3670" s="37"/>
      <c r="Z3670" s="37"/>
      <c r="AA3670" s="37"/>
      <c r="AB3670" s="37"/>
      <c r="AC3670" s="37"/>
      <c r="AD3670" s="37"/>
      <c r="AE3670" s="37"/>
      <c r="AF3670" s="37"/>
      <c r="AG3670" s="37"/>
      <c r="AH3670" s="37"/>
      <c r="AI3670" s="37"/>
      <c r="AJ3670" s="37"/>
      <c r="AK3670" s="37"/>
      <c r="AL3670" s="37"/>
      <c r="AM3670" s="37"/>
      <c r="AN3670" s="37"/>
      <c r="AO3670" s="37"/>
      <c r="AP3670" s="37"/>
      <c r="AQ3670" s="37"/>
      <c r="AR3670" s="37"/>
      <c r="AS3670" s="37"/>
      <c r="AT3670" s="37"/>
      <c r="AU3670" s="37"/>
      <c r="AV3670" s="37"/>
      <c r="AW3670" s="37"/>
      <c r="AX3670" s="37"/>
      <c r="AY3670" s="37"/>
      <c r="AZ3670" s="37"/>
      <c r="BA3670" s="37"/>
      <c r="BB3670" s="37"/>
      <c r="BC3670" s="37"/>
      <c r="BD3670" s="37"/>
      <c r="BE3670" s="37"/>
      <c r="BF3670" s="37"/>
      <c r="BG3670" s="37"/>
      <c r="BH3670" s="37"/>
      <c r="BI3670" s="37"/>
      <c r="BJ3670" s="37"/>
      <c r="BK3670" s="37"/>
      <c r="BL3670" s="37"/>
      <c r="BM3670" s="37"/>
    </row>
    <row r="3671" spans="1:65" s="40" customFormat="1" ht="23.25" x14ac:dyDescent="0.35">
      <c r="A3671" s="37"/>
      <c r="B3671" s="37"/>
      <c r="C3671" s="41"/>
      <c r="D3671" s="38"/>
      <c r="E3671" s="57"/>
      <c r="F3671" s="42"/>
      <c r="G3671" s="43"/>
      <c r="H3671" s="37"/>
      <c r="I3671" s="37"/>
      <c r="J3671" s="38"/>
      <c r="K3671" s="37"/>
      <c r="L3671" s="38"/>
      <c r="M3671" s="39"/>
      <c r="P3671" s="37"/>
      <c r="Q3671" s="37"/>
      <c r="R3671" s="37"/>
      <c r="S3671" s="37"/>
      <c r="T3671" s="37"/>
      <c r="U3671" s="37"/>
      <c r="V3671" s="37"/>
      <c r="W3671" s="37"/>
      <c r="X3671" s="37"/>
      <c r="Y3671" s="37"/>
      <c r="Z3671" s="37"/>
      <c r="AA3671" s="37"/>
      <c r="AB3671" s="37"/>
      <c r="AC3671" s="37"/>
      <c r="AD3671" s="37"/>
      <c r="AE3671" s="37"/>
      <c r="AF3671" s="37"/>
      <c r="AG3671" s="37"/>
      <c r="AH3671" s="37"/>
      <c r="AI3671" s="37"/>
      <c r="AJ3671" s="37"/>
      <c r="AK3671" s="37"/>
      <c r="AL3671" s="37"/>
      <c r="AM3671" s="37"/>
      <c r="AN3671" s="37"/>
      <c r="AO3671" s="37"/>
      <c r="AP3671" s="37"/>
      <c r="AQ3671" s="37"/>
      <c r="AR3671" s="37"/>
      <c r="AS3671" s="37"/>
      <c r="AT3671" s="37"/>
      <c r="AU3671" s="37"/>
      <c r="AV3671" s="37"/>
      <c r="AW3671" s="37"/>
      <c r="AX3671" s="37"/>
      <c r="AY3671" s="37"/>
      <c r="AZ3671" s="37"/>
      <c r="BA3671" s="37"/>
      <c r="BB3671" s="37"/>
      <c r="BC3671" s="37"/>
      <c r="BD3671" s="37"/>
      <c r="BE3671" s="37"/>
      <c r="BF3671" s="37"/>
      <c r="BG3671" s="37"/>
      <c r="BH3671" s="37"/>
      <c r="BI3671" s="37"/>
      <c r="BJ3671" s="37"/>
      <c r="BK3671" s="37"/>
      <c r="BL3671" s="37"/>
      <c r="BM3671" s="37"/>
    </row>
    <row r="3672" spans="1:65" s="40" customFormat="1" ht="23.25" x14ac:dyDescent="0.35">
      <c r="A3672" s="37"/>
      <c r="B3672" s="37"/>
      <c r="C3672" s="41"/>
      <c r="D3672" s="38"/>
      <c r="E3672" s="57"/>
      <c r="F3672" s="42"/>
      <c r="G3672" s="43"/>
      <c r="H3672" s="37"/>
      <c r="I3672" s="37"/>
      <c r="J3672" s="38"/>
      <c r="K3672" s="37"/>
      <c r="L3672" s="38"/>
      <c r="M3672" s="39"/>
      <c r="P3672" s="37"/>
      <c r="Q3672" s="37"/>
      <c r="R3672" s="37"/>
      <c r="S3672" s="37"/>
      <c r="T3672" s="37"/>
      <c r="U3672" s="37"/>
      <c r="V3672" s="37"/>
      <c r="W3672" s="37"/>
      <c r="X3672" s="37"/>
      <c r="Y3672" s="37"/>
      <c r="Z3672" s="37"/>
      <c r="AA3672" s="37"/>
      <c r="AB3672" s="37"/>
      <c r="AC3672" s="37"/>
      <c r="AD3672" s="37"/>
      <c r="AE3672" s="37"/>
      <c r="AF3672" s="37"/>
      <c r="AG3672" s="37"/>
      <c r="AH3672" s="37"/>
      <c r="AI3672" s="37"/>
      <c r="AJ3672" s="37"/>
      <c r="AK3672" s="37"/>
      <c r="AL3672" s="37"/>
      <c r="AM3672" s="37"/>
      <c r="AN3672" s="37"/>
      <c r="AO3672" s="37"/>
      <c r="AP3672" s="37"/>
      <c r="AQ3672" s="37"/>
      <c r="AR3672" s="37"/>
      <c r="AS3672" s="37"/>
      <c r="AT3672" s="37"/>
      <c r="AU3672" s="37"/>
      <c r="AV3672" s="37"/>
      <c r="AW3672" s="37"/>
      <c r="AX3672" s="37"/>
      <c r="AY3672" s="37"/>
      <c r="AZ3672" s="37"/>
      <c r="BA3672" s="37"/>
      <c r="BB3672" s="37"/>
      <c r="BC3672" s="37"/>
      <c r="BD3672" s="37"/>
      <c r="BE3672" s="37"/>
      <c r="BF3672" s="37"/>
      <c r="BG3672" s="37"/>
      <c r="BH3672" s="37"/>
      <c r="BI3672" s="37"/>
      <c r="BJ3672" s="37"/>
      <c r="BK3672" s="37"/>
      <c r="BL3672" s="37"/>
      <c r="BM3672" s="37"/>
    </row>
    <row r="3673" spans="1:65" s="40" customFormat="1" ht="23.25" x14ac:dyDescent="0.35">
      <c r="A3673" s="37"/>
      <c r="B3673" s="37"/>
      <c r="C3673" s="41"/>
      <c r="D3673" s="38"/>
      <c r="E3673" s="57"/>
      <c r="F3673" s="42"/>
      <c r="G3673" s="43"/>
      <c r="H3673" s="37"/>
      <c r="I3673" s="37"/>
      <c r="J3673" s="38"/>
      <c r="K3673" s="37"/>
      <c r="L3673" s="38"/>
      <c r="M3673" s="39"/>
      <c r="P3673" s="37"/>
      <c r="Q3673" s="37"/>
      <c r="R3673" s="37"/>
      <c r="S3673" s="37"/>
      <c r="T3673" s="37"/>
      <c r="U3673" s="37"/>
      <c r="V3673" s="37"/>
      <c r="W3673" s="37"/>
      <c r="X3673" s="37"/>
      <c r="Y3673" s="37"/>
      <c r="Z3673" s="37"/>
      <c r="AA3673" s="37"/>
      <c r="AB3673" s="37"/>
      <c r="AC3673" s="37"/>
      <c r="AD3673" s="37"/>
      <c r="AE3673" s="37"/>
      <c r="AF3673" s="37"/>
      <c r="AG3673" s="37"/>
      <c r="AH3673" s="37"/>
      <c r="AI3673" s="37"/>
      <c r="AJ3673" s="37"/>
      <c r="AK3673" s="37"/>
      <c r="AL3673" s="37"/>
      <c r="AM3673" s="37"/>
      <c r="AN3673" s="37"/>
      <c r="AO3673" s="37"/>
      <c r="AP3673" s="37"/>
      <c r="AQ3673" s="37"/>
      <c r="AR3673" s="37"/>
      <c r="AS3673" s="37"/>
      <c r="AT3673" s="37"/>
      <c r="AU3673" s="37"/>
      <c r="AV3673" s="37"/>
      <c r="AW3673" s="37"/>
      <c r="AX3673" s="37"/>
      <c r="AY3673" s="37"/>
      <c r="AZ3673" s="37"/>
      <c r="BA3673" s="37"/>
      <c r="BB3673" s="37"/>
      <c r="BC3673" s="37"/>
      <c r="BD3673" s="37"/>
      <c r="BE3673" s="37"/>
      <c r="BF3673" s="37"/>
      <c r="BG3673" s="37"/>
      <c r="BH3673" s="37"/>
      <c r="BI3673" s="37"/>
      <c r="BJ3673" s="37"/>
      <c r="BK3673" s="37"/>
      <c r="BL3673" s="37"/>
      <c r="BM3673" s="37"/>
    </row>
    <row r="3674" spans="1:65" s="40" customFormat="1" ht="23.25" x14ac:dyDescent="0.35">
      <c r="A3674" s="37"/>
      <c r="B3674" s="37"/>
      <c r="C3674" s="41"/>
      <c r="D3674" s="38"/>
      <c r="E3674" s="57"/>
      <c r="F3674" s="42"/>
      <c r="G3674" s="43"/>
      <c r="H3674" s="37"/>
      <c r="I3674" s="37"/>
      <c r="J3674" s="38"/>
      <c r="K3674" s="37"/>
      <c r="L3674" s="38"/>
      <c r="M3674" s="39"/>
      <c r="P3674" s="37"/>
      <c r="Q3674" s="37"/>
      <c r="R3674" s="37"/>
      <c r="S3674" s="37"/>
      <c r="T3674" s="37"/>
      <c r="U3674" s="37"/>
      <c r="V3674" s="37"/>
      <c r="W3674" s="37"/>
      <c r="X3674" s="37"/>
      <c r="Y3674" s="37"/>
      <c r="Z3674" s="37"/>
      <c r="AA3674" s="37"/>
      <c r="AB3674" s="37"/>
      <c r="AC3674" s="37"/>
      <c r="AD3674" s="37"/>
      <c r="AE3674" s="37"/>
      <c r="AF3674" s="37"/>
      <c r="AG3674" s="37"/>
      <c r="AH3674" s="37"/>
      <c r="AI3674" s="37"/>
      <c r="AJ3674" s="37"/>
      <c r="AK3674" s="37"/>
      <c r="AL3674" s="37"/>
      <c r="AM3674" s="37"/>
      <c r="AN3674" s="37"/>
      <c r="AO3674" s="37"/>
      <c r="AP3674" s="37"/>
      <c r="AQ3674" s="37"/>
      <c r="AR3674" s="37"/>
      <c r="AS3674" s="37"/>
      <c r="AT3674" s="37"/>
      <c r="AU3674" s="37"/>
      <c r="AV3674" s="37"/>
      <c r="AW3674" s="37"/>
      <c r="AX3674" s="37"/>
      <c r="AY3674" s="37"/>
      <c r="AZ3674" s="37"/>
      <c r="BA3674" s="37"/>
      <c r="BB3674" s="37"/>
      <c r="BC3674" s="37"/>
      <c r="BD3674" s="37"/>
      <c r="BE3674" s="37"/>
      <c r="BF3674" s="37"/>
      <c r="BG3674" s="37"/>
      <c r="BH3674" s="37"/>
      <c r="BI3674" s="37"/>
      <c r="BJ3674" s="37"/>
      <c r="BK3674" s="37"/>
      <c r="BL3674" s="37"/>
      <c r="BM3674" s="37"/>
    </row>
    <row r="3675" spans="1:65" s="40" customFormat="1" ht="23.25" x14ac:dyDescent="0.35">
      <c r="A3675" s="37"/>
      <c r="B3675" s="37"/>
      <c r="C3675" s="41"/>
      <c r="D3675" s="38"/>
      <c r="E3675" s="57"/>
      <c r="F3675" s="42"/>
      <c r="G3675" s="43"/>
      <c r="H3675" s="37"/>
      <c r="I3675" s="37"/>
      <c r="J3675" s="38"/>
      <c r="K3675" s="37"/>
      <c r="L3675" s="38"/>
      <c r="M3675" s="39"/>
      <c r="P3675" s="37"/>
      <c r="Q3675" s="37"/>
      <c r="R3675" s="37"/>
      <c r="S3675" s="37"/>
      <c r="T3675" s="37"/>
      <c r="U3675" s="37"/>
      <c r="V3675" s="37"/>
      <c r="W3675" s="37"/>
      <c r="X3675" s="37"/>
      <c r="Y3675" s="37"/>
      <c r="Z3675" s="37"/>
      <c r="AA3675" s="37"/>
      <c r="AB3675" s="37"/>
      <c r="AC3675" s="37"/>
      <c r="AD3675" s="37"/>
      <c r="AE3675" s="37"/>
      <c r="AF3675" s="37"/>
      <c r="AG3675" s="37"/>
      <c r="AH3675" s="37"/>
      <c r="AI3675" s="37"/>
      <c r="AJ3675" s="37"/>
      <c r="AK3675" s="37"/>
      <c r="AL3675" s="37"/>
      <c r="AM3675" s="37"/>
      <c r="AN3675" s="37"/>
      <c r="AO3675" s="37"/>
      <c r="AP3675" s="37"/>
      <c r="AQ3675" s="37"/>
      <c r="AR3675" s="37"/>
      <c r="AS3675" s="37"/>
      <c r="AT3675" s="37"/>
      <c r="AU3675" s="37"/>
      <c r="AV3675" s="37"/>
      <c r="AW3675" s="37"/>
      <c r="AX3675" s="37"/>
      <c r="AY3675" s="37"/>
      <c r="AZ3675" s="37"/>
      <c r="BA3675" s="37"/>
      <c r="BB3675" s="37"/>
      <c r="BC3675" s="37"/>
      <c r="BD3675" s="37"/>
      <c r="BE3675" s="37"/>
      <c r="BF3675" s="37"/>
      <c r="BG3675" s="37"/>
      <c r="BH3675" s="37"/>
      <c r="BI3675" s="37"/>
      <c r="BJ3675" s="37"/>
      <c r="BK3675" s="37"/>
      <c r="BL3675" s="37"/>
      <c r="BM3675" s="37"/>
    </row>
    <row r="3676" spans="1:65" s="40" customFormat="1" ht="23.25" x14ac:dyDescent="0.35">
      <c r="A3676" s="37"/>
      <c r="B3676" s="37"/>
      <c r="C3676" s="41"/>
      <c r="D3676" s="38"/>
      <c r="E3676" s="57"/>
      <c r="F3676" s="42"/>
      <c r="G3676" s="43"/>
      <c r="H3676" s="37"/>
      <c r="I3676" s="37"/>
      <c r="J3676" s="38"/>
      <c r="K3676" s="37"/>
      <c r="L3676" s="38"/>
      <c r="M3676" s="39"/>
      <c r="P3676" s="37"/>
      <c r="Q3676" s="37"/>
      <c r="R3676" s="37"/>
      <c r="S3676" s="37"/>
      <c r="T3676" s="37"/>
      <c r="U3676" s="37"/>
      <c r="V3676" s="37"/>
      <c r="W3676" s="37"/>
      <c r="X3676" s="37"/>
      <c r="Y3676" s="37"/>
      <c r="Z3676" s="37"/>
      <c r="AA3676" s="37"/>
      <c r="AB3676" s="37"/>
      <c r="AC3676" s="37"/>
      <c r="AD3676" s="37"/>
      <c r="AE3676" s="37"/>
      <c r="AF3676" s="37"/>
      <c r="AG3676" s="37"/>
      <c r="AH3676" s="37"/>
      <c r="AI3676" s="37"/>
      <c r="AJ3676" s="37"/>
      <c r="AK3676" s="37"/>
      <c r="AL3676" s="37"/>
      <c r="AM3676" s="37"/>
      <c r="AN3676" s="37"/>
      <c r="AO3676" s="37"/>
      <c r="AP3676" s="37"/>
      <c r="AQ3676" s="37"/>
      <c r="AR3676" s="37"/>
      <c r="AS3676" s="37"/>
      <c r="AT3676" s="37"/>
      <c r="AU3676" s="37"/>
      <c r="AV3676" s="37"/>
      <c r="AW3676" s="37"/>
      <c r="AX3676" s="37"/>
      <c r="AY3676" s="37"/>
      <c r="AZ3676" s="37"/>
      <c r="BA3676" s="37"/>
      <c r="BB3676" s="37"/>
      <c r="BC3676" s="37"/>
      <c r="BD3676" s="37"/>
      <c r="BE3676" s="37"/>
      <c r="BF3676" s="37"/>
      <c r="BG3676" s="37"/>
      <c r="BH3676" s="37"/>
      <c r="BI3676" s="37"/>
      <c r="BJ3676" s="37"/>
      <c r="BK3676" s="37"/>
      <c r="BL3676" s="37"/>
      <c r="BM3676" s="37"/>
    </row>
    <row r="3677" spans="1:65" s="40" customFormat="1" ht="23.25" x14ac:dyDescent="0.35">
      <c r="A3677" s="37"/>
      <c r="B3677" s="37"/>
      <c r="C3677" s="41"/>
      <c r="D3677" s="38"/>
      <c r="E3677" s="57"/>
      <c r="F3677" s="42"/>
      <c r="G3677" s="43"/>
      <c r="H3677" s="37"/>
      <c r="I3677" s="37"/>
      <c r="J3677" s="38"/>
      <c r="K3677" s="37"/>
      <c r="L3677" s="38"/>
      <c r="M3677" s="39"/>
      <c r="P3677" s="37"/>
      <c r="Q3677" s="37"/>
      <c r="R3677" s="37"/>
      <c r="S3677" s="37"/>
      <c r="T3677" s="37"/>
      <c r="U3677" s="37"/>
      <c r="V3677" s="37"/>
      <c r="W3677" s="37"/>
      <c r="X3677" s="37"/>
      <c r="Y3677" s="37"/>
      <c r="Z3677" s="37"/>
      <c r="AA3677" s="37"/>
      <c r="AB3677" s="37"/>
      <c r="AC3677" s="37"/>
      <c r="AD3677" s="37"/>
      <c r="AE3677" s="37"/>
      <c r="AF3677" s="37"/>
      <c r="AG3677" s="37"/>
      <c r="AH3677" s="37"/>
      <c r="AI3677" s="37"/>
      <c r="AJ3677" s="37"/>
      <c r="AK3677" s="37"/>
      <c r="AL3677" s="37"/>
      <c r="AM3677" s="37"/>
      <c r="AN3677" s="37"/>
      <c r="AO3677" s="37"/>
      <c r="AP3677" s="37"/>
      <c r="AQ3677" s="37"/>
      <c r="AR3677" s="37"/>
      <c r="AS3677" s="37"/>
      <c r="AT3677" s="37"/>
      <c r="AU3677" s="37"/>
      <c r="AV3677" s="37"/>
      <c r="AW3677" s="37"/>
      <c r="AX3677" s="37"/>
      <c r="AY3677" s="37"/>
      <c r="AZ3677" s="37"/>
      <c r="BA3677" s="37"/>
      <c r="BB3677" s="37"/>
      <c r="BC3677" s="37"/>
      <c r="BD3677" s="37"/>
      <c r="BE3677" s="37"/>
      <c r="BF3677" s="37"/>
      <c r="BG3677" s="37"/>
      <c r="BH3677" s="37"/>
      <c r="BI3677" s="37"/>
      <c r="BJ3677" s="37"/>
      <c r="BK3677" s="37"/>
      <c r="BL3677" s="37"/>
      <c r="BM3677" s="37"/>
    </row>
    <row r="3678" spans="1:65" s="40" customFormat="1" ht="23.25" x14ac:dyDescent="0.35">
      <c r="A3678" s="37"/>
      <c r="B3678" s="37"/>
      <c r="C3678" s="41"/>
      <c r="D3678" s="38"/>
      <c r="E3678" s="57"/>
      <c r="F3678" s="42"/>
      <c r="G3678" s="43"/>
      <c r="H3678" s="37"/>
      <c r="I3678" s="37"/>
      <c r="J3678" s="38"/>
      <c r="K3678" s="37"/>
      <c r="L3678" s="38"/>
      <c r="M3678" s="39"/>
      <c r="P3678" s="37"/>
      <c r="Q3678" s="37"/>
      <c r="R3678" s="37"/>
      <c r="S3678" s="37"/>
      <c r="T3678" s="37"/>
      <c r="U3678" s="37"/>
      <c r="V3678" s="37"/>
      <c r="W3678" s="37"/>
      <c r="X3678" s="37"/>
      <c r="Y3678" s="37"/>
      <c r="Z3678" s="37"/>
      <c r="AA3678" s="37"/>
      <c r="AB3678" s="37"/>
      <c r="AC3678" s="37"/>
      <c r="AD3678" s="37"/>
      <c r="AE3678" s="37"/>
      <c r="AF3678" s="37"/>
      <c r="AG3678" s="37"/>
      <c r="AH3678" s="37"/>
      <c r="AI3678" s="37"/>
      <c r="AJ3678" s="37"/>
      <c r="AK3678" s="37"/>
      <c r="AL3678" s="37"/>
      <c r="AM3678" s="37"/>
      <c r="AN3678" s="37"/>
      <c r="AO3678" s="37"/>
      <c r="AP3678" s="37"/>
      <c r="AQ3678" s="37"/>
      <c r="AR3678" s="37"/>
      <c r="AS3678" s="37"/>
      <c r="AT3678" s="37"/>
      <c r="AU3678" s="37"/>
      <c r="AV3678" s="37"/>
      <c r="AW3678" s="37"/>
      <c r="AX3678" s="37"/>
      <c r="AY3678" s="37"/>
      <c r="AZ3678" s="37"/>
      <c r="BA3678" s="37"/>
      <c r="BB3678" s="37"/>
      <c r="BC3678" s="37"/>
      <c r="BD3678" s="37"/>
      <c r="BE3678" s="37"/>
      <c r="BF3678" s="37"/>
      <c r="BG3678" s="37"/>
      <c r="BH3678" s="37"/>
      <c r="BI3678" s="37"/>
      <c r="BJ3678" s="37"/>
      <c r="BK3678" s="37"/>
      <c r="BL3678" s="37"/>
      <c r="BM3678" s="37"/>
    </row>
    <row r="3679" spans="1:65" s="40" customFormat="1" ht="23.25" x14ac:dyDescent="0.35">
      <c r="A3679" s="37"/>
      <c r="B3679" s="37"/>
      <c r="C3679" s="41"/>
      <c r="D3679" s="38"/>
      <c r="E3679" s="57"/>
      <c r="F3679" s="42"/>
      <c r="G3679" s="43"/>
      <c r="H3679" s="37"/>
      <c r="I3679" s="37"/>
      <c r="J3679" s="38"/>
      <c r="K3679" s="37"/>
      <c r="L3679" s="38"/>
      <c r="M3679" s="39"/>
      <c r="P3679" s="37"/>
      <c r="Q3679" s="37"/>
      <c r="R3679" s="37"/>
      <c r="S3679" s="37"/>
      <c r="T3679" s="37"/>
      <c r="U3679" s="37"/>
      <c r="V3679" s="37"/>
      <c r="W3679" s="37"/>
      <c r="X3679" s="37"/>
      <c r="Y3679" s="37"/>
      <c r="Z3679" s="37"/>
      <c r="AA3679" s="37"/>
      <c r="AB3679" s="37"/>
      <c r="AC3679" s="37"/>
      <c r="AD3679" s="37"/>
      <c r="AE3679" s="37"/>
      <c r="AF3679" s="37"/>
      <c r="AG3679" s="37"/>
      <c r="AH3679" s="37"/>
      <c r="AI3679" s="37"/>
      <c r="AJ3679" s="37"/>
      <c r="AK3679" s="37"/>
      <c r="AL3679" s="37"/>
      <c r="AM3679" s="37"/>
      <c r="AN3679" s="37"/>
      <c r="AO3679" s="37"/>
      <c r="AP3679" s="37"/>
      <c r="AQ3679" s="37"/>
      <c r="AR3679" s="37"/>
      <c r="AS3679" s="37"/>
      <c r="AT3679" s="37"/>
      <c r="AU3679" s="37"/>
      <c r="AV3679" s="37"/>
      <c r="AW3679" s="37"/>
      <c r="AX3679" s="37"/>
      <c r="AY3679" s="37"/>
      <c r="AZ3679" s="37"/>
      <c r="BA3679" s="37"/>
      <c r="BB3679" s="37"/>
      <c r="BC3679" s="37"/>
      <c r="BD3679" s="37"/>
      <c r="BE3679" s="37"/>
      <c r="BF3679" s="37"/>
      <c r="BG3679" s="37"/>
      <c r="BH3679" s="37"/>
      <c r="BI3679" s="37"/>
      <c r="BJ3679" s="37"/>
      <c r="BK3679" s="37"/>
      <c r="BL3679" s="37"/>
      <c r="BM3679" s="37"/>
    </row>
    <row r="3680" spans="1:65" s="40" customFormat="1" ht="23.25" x14ac:dyDescent="0.35">
      <c r="A3680" s="37"/>
      <c r="B3680" s="37"/>
      <c r="C3680" s="41"/>
      <c r="D3680" s="38"/>
      <c r="E3680" s="57"/>
      <c r="F3680" s="42"/>
      <c r="G3680" s="43"/>
      <c r="H3680" s="37"/>
      <c r="I3680" s="37"/>
      <c r="J3680" s="38"/>
      <c r="K3680" s="37"/>
      <c r="L3680" s="38"/>
      <c r="M3680" s="39"/>
      <c r="P3680" s="37"/>
      <c r="Q3680" s="37"/>
      <c r="R3680" s="37"/>
      <c r="S3680" s="37"/>
      <c r="T3680" s="37"/>
      <c r="U3680" s="37"/>
      <c r="V3680" s="37"/>
      <c r="W3680" s="37"/>
      <c r="X3680" s="37"/>
      <c r="Y3680" s="37"/>
      <c r="Z3680" s="37"/>
      <c r="AA3680" s="37"/>
      <c r="AB3680" s="37"/>
      <c r="AC3680" s="37"/>
      <c r="AD3680" s="37"/>
      <c r="AE3680" s="37"/>
      <c r="AF3680" s="37"/>
      <c r="AG3680" s="37"/>
      <c r="AH3680" s="37"/>
      <c r="AI3680" s="37"/>
      <c r="AJ3680" s="37"/>
      <c r="AK3680" s="37"/>
      <c r="AL3680" s="37"/>
      <c r="AM3680" s="37"/>
      <c r="AN3680" s="37"/>
      <c r="AO3680" s="37"/>
      <c r="AP3680" s="37"/>
      <c r="AQ3680" s="37"/>
      <c r="AR3680" s="37"/>
      <c r="AS3680" s="37"/>
      <c r="AT3680" s="37"/>
      <c r="AU3680" s="37"/>
      <c r="AV3680" s="37"/>
      <c r="AW3680" s="37"/>
      <c r="AX3680" s="37"/>
      <c r="AY3680" s="37"/>
      <c r="AZ3680" s="37"/>
      <c r="BA3680" s="37"/>
      <c r="BB3680" s="37"/>
      <c r="BC3680" s="37"/>
      <c r="BD3680" s="37"/>
      <c r="BE3680" s="37"/>
      <c r="BF3680" s="37"/>
      <c r="BG3680" s="37"/>
      <c r="BH3680" s="37"/>
      <c r="BI3680" s="37"/>
      <c r="BJ3680" s="37"/>
      <c r="BK3680" s="37"/>
      <c r="BL3680" s="37"/>
      <c r="BM3680" s="37"/>
    </row>
    <row r="3681" spans="1:65" s="40" customFormat="1" ht="23.25" x14ac:dyDescent="0.35">
      <c r="A3681" s="37"/>
      <c r="B3681" s="37"/>
      <c r="C3681" s="41"/>
      <c r="D3681" s="38"/>
      <c r="E3681" s="57"/>
      <c r="F3681" s="42"/>
      <c r="G3681" s="43"/>
      <c r="H3681" s="37"/>
      <c r="I3681" s="37"/>
      <c r="J3681" s="38"/>
      <c r="K3681" s="37"/>
      <c r="L3681" s="38"/>
      <c r="M3681" s="39"/>
      <c r="P3681" s="37"/>
      <c r="Q3681" s="37"/>
      <c r="R3681" s="37"/>
      <c r="S3681" s="37"/>
      <c r="T3681" s="37"/>
      <c r="U3681" s="37"/>
      <c r="V3681" s="37"/>
      <c r="W3681" s="37"/>
      <c r="X3681" s="37"/>
      <c r="Y3681" s="37"/>
      <c r="Z3681" s="37"/>
      <c r="AA3681" s="37"/>
      <c r="AB3681" s="37"/>
      <c r="AC3681" s="37"/>
      <c r="AD3681" s="37"/>
      <c r="AE3681" s="37"/>
      <c r="AF3681" s="37"/>
      <c r="AG3681" s="37"/>
      <c r="AH3681" s="37"/>
      <c r="AI3681" s="37"/>
      <c r="AJ3681" s="37"/>
      <c r="AK3681" s="37"/>
      <c r="AL3681" s="37"/>
      <c r="AM3681" s="37"/>
      <c r="AN3681" s="37"/>
      <c r="AO3681" s="37"/>
      <c r="AP3681" s="37"/>
      <c r="AQ3681" s="37"/>
      <c r="AR3681" s="37"/>
      <c r="AS3681" s="37"/>
      <c r="AT3681" s="37"/>
      <c r="AU3681" s="37"/>
      <c r="AV3681" s="37"/>
      <c r="AW3681" s="37"/>
      <c r="AX3681" s="37"/>
      <c r="AY3681" s="37"/>
      <c r="AZ3681" s="37"/>
      <c r="BA3681" s="37"/>
      <c r="BB3681" s="37"/>
      <c r="BC3681" s="37"/>
      <c r="BD3681" s="37"/>
      <c r="BE3681" s="37"/>
      <c r="BF3681" s="37"/>
      <c r="BG3681" s="37"/>
      <c r="BH3681" s="37"/>
      <c r="BI3681" s="37"/>
      <c r="BJ3681" s="37"/>
      <c r="BK3681" s="37"/>
      <c r="BL3681" s="37"/>
      <c r="BM3681" s="37"/>
    </row>
    <row r="3682" spans="1:65" s="40" customFormat="1" ht="23.25" x14ac:dyDescent="0.35">
      <c r="A3682" s="37"/>
      <c r="B3682" s="37"/>
      <c r="C3682" s="41"/>
      <c r="D3682" s="38"/>
      <c r="E3682" s="57"/>
      <c r="F3682" s="42"/>
      <c r="G3682" s="43"/>
      <c r="H3682" s="37"/>
      <c r="I3682" s="37"/>
      <c r="J3682" s="38"/>
      <c r="K3682" s="37"/>
      <c r="L3682" s="38"/>
      <c r="M3682" s="39"/>
      <c r="P3682" s="37"/>
      <c r="Q3682" s="37"/>
      <c r="R3682" s="37"/>
      <c r="S3682" s="37"/>
      <c r="T3682" s="37"/>
      <c r="U3682" s="37"/>
      <c r="V3682" s="37"/>
      <c r="W3682" s="37"/>
      <c r="X3682" s="37"/>
      <c r="Y3682" s="37"/>
      <c r="Z3682" s="37"/>
      <c r="AA3682" s="37"/>
      <c r="AB3682" s="37"/>
      <c r="AC3682" s="37"/>
      <c r="AD3682" s="37"/>
      <c r="AE3682" s="37"/>
      <c r="AF3682" s="37"/>
      <c r="AG3682" s="37"/>
      <c r="AH3682" s="37"/>
      <c r="AI3682" s="37"/>
      <c r="AJ3682" s="37"/>
      <c r="AK3682" s="37"/>
      <c r="AL3682" s="37"/>
      <c r="AM3682" s="37"/>
      <c r="AN3682" s="37"/>
      <c r="AO3682" s="37"/>
      <c r="AP3682" s="37"/>
      <c r="AQ3682" s="37"/>
      <c r="AR3682" s="37"/>
      <c r="AS3682" s="37"/>
      <c r="AT3682" s="37"/>
      <c r="AU3682" s="37"/>
      <c r="AV3682" s="37"/>
      <c r="AW3682" s="37"/>
      <c r="AX3682" s="37"/>
      <c r="AY3682" s="37"/>
      <c r="AZ3682" s="37"/>
      <c r="BA3682" s="37"/>
      <c r="BB3682" s="37"/>
      <c r="BC3682" s="37"/>
      <c r="BD3682" s="37"/>
      <c r="BE3682" s="37"/>
      <c r="BF3682" s="37"/>
      <c r="BG3682" s="37"/>
      <c r="BH3682" s="37"/>
      <c r="BI3682" s="37"/>
      <c r="BJ3682" s="37"/>
      <c r="BK3682" s="37"/>
      <c r="BL3682" s="37"/>
      <c r="BM3682" s="37"/>
    </row>
    <row r="3683" spans="1:65" s="40" customFormat="1" ht="23.25" x14ac:dyDescent="0.35">
      <c r="A3683" s="37"/>
      <c r="B3683" s="37"/>
      <c r="C3683" s="41"/>
      <c r="D3683" s="38"/>
      <c r="E3683" s="57"/>
      <c r="F3683" s="42"/>
      <c r="G3683" s="43"/>
      <c r="H3683" s="37"/>
      <c r="I3683" s="37"/>
      <c r="J3683" s="38"/>
      <c r="K3683" s="37"/>
      <c r="L3683" s="38"/>
      <c r="M3683" s="39"/>
      <c r="P3683" s="37"/>
      <c r="Q3683" s="37"/>
      <c r="R3683" s="37"/>
      <c r="S3683" s="37"/>
      <c r="T3683" s="37"/>
      <c r="U3683" s="37"/>
      <c r="V3683" s="37"/>
      <c r="W3683" s="37"/>
      <c r="X3683" s="37"/>
      <c r="Y3683" s="37"/>
      <c r="Z3683" s="37"/>
      <c r="AA3683" s="37"/>
      <c r="AB3683" s="37"/>
      <c r="AC3683" s="37"/>
      <c r="AD3683" s="37"/>
      <c r="AE3683" s="37"/>
      <c r="AF3683" s="37"/>
      <c r="AG3683" s="37"/>
      <c r="AH3683" s="37"/>
      <c r="AI3683" s="37"/>
      <c r="AJ3683" s="37"/>
      <c r="AK3683" s="37"/>
      <c r="AL3683" s="37"/>
      <c r="AM3683" s="37"/>
      <c r="AN3683" s="37"/>
      <c r="AO3683" s="37"/>
      <c r="AP3683" s="37"/>
      <c r="AQ3683" s="37"/>
      <c r="AR3683" s="37"/>
      <c r="AS3683" s="37"/>
      <c r="AT3683" s="37"/>
      <c r="AU3683" s="37"/>
      <c r="AV3683" s="37"/>
      <c r="AW3683" s="37"/>
      <c r="AX3683" s="37"/>
      <c r="AY3683" s="37"/>
      <c r="AZ3683" s="37"/>
      <c r="BA3683" s="37"/>
      <c r="BB3683" s="37"/>
      <c r="BC3683" s="37"/>
      <c r="BD3683" s="37"/>
      <c r="BE3683" s="37"/>
      <c r="BF3683" s="37"/>
      <c r="BG3683" s="37"/>
      <c r="BH3683" s="37"/>
      <c r="BI3683" s="37"/>
      <c r="BJ3683" s="37"/>
      <c r="BK3683" s="37"/>
      <c r="BL3683" s="37"/>
      <c r="BM3683" s="37"/>
    </row>
    <row r="3684" spans="1:65" s="40" customFormat="1" ht="23.25" x14ac:dyDescent="0.35">
      <c r="A3684" s="37"/>
      <c r="B3684" s="37"/>
      <c r="C3684" s="41"/>
      <c r="D3684" s="38"/>
      <c r="E3684" s="57"/>
      <c r="F3684" s="42"/>
      <c r="G3684" s="43"/>
      <c r="H3684" s="37"/>
      <c r="I3684" s="37"/>
      <c r="J3684" s="38"/>
      <c r="K3684" s="37"/>
      <c r="L3684" s="38"/>
      <c r="M3684" s="39"/>
      <c r="P3684" s="37"/>
      <c r="Q3684" s="37"/>
      <c r="R3684" s="37"/>
      <c r="S3684" s="37"/>
      <c r="T3684" s="37"/>
      <c r="U3684" s="37"/>
      <c r="V3684" s="37"/>
      <c r="W3684" s="37"/>
      <c r="X3684" s="37"/>
      <c r="Y3684" s="37"/>
      <c r="Z3684" s="37"/>
      <c r="AA3684" s="37"/>
      <c r="AB3684" s="37"/>
      <c r="AC3684" s="37"/>
      <c r="AD3684" s="37"/>
      <c r="AE3684" s="37"/>
      <c r="AF3684" s="37"/>
      <c r="AG3684" s="37"/>
      <c r="AH3684" s="37"/>
      <c r="AI3684" s="37"/>
      <c r="AJ3684" s="37"/>
      <c r="AK3684" s="37"/>
      <c r="AL3684" s="37"/>
      <c r="AM3684" s="37"/>
      <c r="AN3684" s="37"/>
      <c r="AO3684" s="37"/>
      <c r="AP3684" s="37"/>
      <c r="AQ3684" s="37"/>
      <c r="AR3684" s="37"/>
      <c r="AS3684" s="37"/>
      <c r="AT3684" s="37"/>
      <c r="AU3684" s="37"/>
      <c r="AV3684" s="37"/>
      <c r="AW3684" s="37"/>
      <c r="AX3684" s="37"/>
      <c r="AY3684" s="37"/>
      <c r="AZ3684" s="37"/>
      <c r="BA3684" s="37"/>
      <c r="BB3684" s="37"/>
      <c r="BC3684" s="37"/>
      <c r="BD3684" s="37"/>
      <c r="BE3684" s="37"/>
      <c r="BF3684" s="37"/>
      <c r="BG3684" s="37"/>
      <c r="BH3684" s="37"/>
      <c r="BI3684" s="37"/>
      <c r="BJ3684" s="37"/>
      <c r="BK3684" s="37"/>
      <c r="BL3684" s="37"/>
      <c r="BM3684" s="37"/>
    </row>
    <row r="3685" spans="1:65" s="40" customFormat="1" ht="23.25" x14ac:dyDescent="0.35">
      <c r="A3685" s="37"/>
      <c r="B3685" s="37"/>
      <c r="C3685" s="41"/>
      <c r="D3685" s="38"/>
      <c r="E3685" s="57"/>
      <c r="F3685" s="42"/>
      <c r="G3685" s="43"/>
      <c r="H3685" s="37"/>
      <c r="I3685" s="37"/>
      <c r="J3685" s="38"/>
      <c r="K3685" s="37"/>
      <c r="L3685" s="38"/>
      <c r="M3685" s="39"/>
      <c r="P3685" s="37"/>
      <c r="Q3685" s="37"/>
      <c r="R3685" s="37"/>
      <c r="S3685" s="37"/>
      <c r="T3685" s="37"/>
      <c r="U3685" s="37"/>
      <c r="V3685" s="37"/>
      <c r="W3685" s="37"/>
      <c r="X3685" s="37"/>
      <c r="Y3685" s="37"/>
      <c r="Z3685" s="37"/>
      <c r="AA3685" s="37"/>
      <c r="AB3685" s="37"/>
      <c r="AC3685" s="37"/>
      <c r="AD3685" s="37"/>
      <c r="AE3685" s="37"/>
      <c r="AF3685" s="37"/>
      <c r="AG3685" s="37"/>
      <c r="AH3685" s="37"/>
      <c r="AI3685" s="37"/>
      <c r="AJ3685" s="37"/>
      <c r="AK3685" s="37"/>
      <c r="AL3685" s="37"/>
      <c r="AM3685" s="37"/>
      <c r="AN3685" s="37"/>
      <c r="AO3685" s="37"/>
      <c r="AP3685" s="37"/>
      <c r="AQ3685" s="37"/>
      <c r="AR3685" s="37"/>
      <c r="AS3685" s="37"/>
      <c r="AT3685" s="37"/>
      <c r="AU3685" s="37"/>
      <c r="AV3685" s="37"/>
      <c r="AW3685" s="37"/>
      <c r="AX3685" s="37"/>
      <c r="AY3685" s="37"/>
      <c r="AZ3685" s="37"/>
      <c r="BA3685" s="37"/>
      <c r="BB3685" s="37"/>
      <c r="BC3685" s="37"/>
      <c r="BD3685" s="37"/>
      <c r="BE3685" s="37"/>
      <c r="BF3685" s="37"/>
      <c r="BG3685" s="37"/>
      <c r="BH3685" s="37"/>
      <c r="BI3685" s="37"/>
      <c r="BJ3685" s="37"/>
      <c r="BK3685" s="37"/>
      <c r="BL3685" s="37"/>
      <c r="BM3685" s="37"/>
    </row>
    <row r="3686" spans="1:65" s="40" customFormat="1" ht="23.25" x14ac:dyDescent="0.35">
      <c r="A3686" s="37"/>
      <c r="B3686" s="37"/>
      <c r="C3686" s="41"/>
      <c r="D3686" s="38"/>
      <c r="E3686" s="57"/>
      <c r="F3686" s="42"/>
      <c r="G3686" s="43"/>
      <c r="H3686" s="37"/>
      <c r="I3686" s="37"/>
      <c r="J3686" s="38"/>
      <c r="K3686" s="37"/>
      <c r="L3686" s="38"/>
      <c r="M3686" s="39"/>
      <c r="P3686" s="37"/>
      <c r="Q3686" s="37"/>
      <c r="R3686" s="37"/>
      <c r="S3686" s="37"/>
      <c r="T3686" s="37"/>
      <c r="U3686" s="37"/>
      <c r="V3686" s="37"/>
      <c r="W3686" s="37"/>
      <c r="X3686" s="37"/>
      <c r="Y3686" s="37"/>
      <c r="Z3686" s="37"/>
      <c r="AA3686" s="37"/>
      <c r="AB3686" s="37"/>
      <c r="AC3686" s="37"/>
      <c r="AD3686" s="37"/>
      <c r="AE3686" s="37"/>
      <c r="AF3686" s="37"/>
      <c r="AG3686" s="37"/>
      <c r="AH3686" s="37"/>
      <c r="AI3686" s="37"/>
      <c r="AJ3686" s="37"/>
      <c r="AK3686" s="37"/>
      <c r="AL3686" s="37"/>
      <c r="AM3686" s="37"/>
      <c r="AN3686" s="37"/>
      <c r="AO3686" s="37"/>
      <c r="AP3686" s="37"/>
      <c r="AQ3686" s="37"/>
      <c r="AR3686" s="37"/>
      <c r="AS3686" s="37"/>
      <c r="AT3686" s="37"/>
      <c r="AU3686" s="37"/>
      <c r="AV3686" s="37"/>
      <c r="AW3686" s="37"/>
      <c r="AX3686" s="37"/>
      <c r="AY3686" s="37"/>
      <c r="AZ3686" s="37"/>
      <c r="BA3686" s="37"/>
      <c r="BB3686" s="37"/>
      <c r="BC3686" s="37"/>
      <c r="BD3686" s="37"/>
      <c r="BE3686" s="37"/>
      <c r="BF3686" s="37"/>
      <c r="BG3686" s="37"/>
      <c r="BH3686" s="37"/>
      <c r="BI3686" s="37"/>
      <c r="BJ3686" s="37"/>
      <c r="BK3686" s="37"/>
      <c r="BL3686" s="37"/>
      <c r="BM3686" s="37"/>
    </row>
    <row r="3687" spans="1:65" s="40" customFormat="1" ht="23.25" x14ac:dyDescent="0.35">
      <c r="A3687" s="37"/>
      <c r="B3687" s="37"/>
      <c r="C3687" s="41"/>
      <c r="D3687" s="38"/>
      <c r="E3687" s="57"/>
      <c r="F3687" s="42"/>
      <c r="G3687" s="43"/>
      <c r="H3687" s="37"/>
      <c r="I3687" s="37"/>
      <c r="J3687" s="38"/>
      <c r="K3687" s="37"/>
      <c r="L3687" s="38"/>
      <c r="M3687" s="39"/>
      <c r="P3687" s="37"/>
      <c r="Q3687" s="37"/>
      <c r="R3687" s="37"/>
      <c r="S3687" s="37"/>
      <c r="T3687" s="37"/>
      <c r="U3687" s="37"/>
      <c r="V3687" s="37"/>
      <c r="W3687" s="37"/>
      <c r="X3687" s="37"/>
      <c r="Y3687" s="37"/>
      <c r="Z3687" s="37"/>
      <c r="AA3687" s="37"/>
      <c r="AB3687" s="37"/>
      <c r="AC3687" s="37"/>
      <c r="AD3687" s="37"/>
      <c r="AE3687" s="37"/>
      <c r="AF3687" s="37"/>
      <c r="AG3687" s="37"/>
      <c r="AH3687" s="37"/>
      <c r="AI3687" s="37"/>
      <c r="AJ3687" s="37"/>
      <c r="AK3687" s="37"/>
      <c r="AL3687" s="37"/>
      <c r="AM3687" s="37"/>
      <c r="AN3687" s="37"/>
      <c r="AO3687" s="37"/>
      <c r="AP3687" s="37"/>
      <c r="AQ3687" s="37"/>
      <c r="AR3687" s="37"/>
      <c r="AS3687" s="37"/>
      <c r="AT3687" s="37"/>
      <c r="AU3687" s="37"/>
      <c r="AV3687" s="37"/>
      <c r="AW3687" s="37"/>
      <c r="AX3687" s="37"/>
      <c r="AY3687" s="37"/>
      <c r="AZ3687" s="37"/>
      <c r="BA3687" s="37"/>
      <c r="BB3687" s="37"/>
      <c r="BC3687" s="37"/>
      <c r="BD3687" s="37"/>
      <c r="BE3687" s="37"/>
      <c r="BF3687" s="37"/>
      <c r="BG3687" s="37"/>
      <c r="BH3687" s="37"/>
      <c r="BI3687" s="37"/>
      <c r="BJ3687" s="37"/>
      <c r="BK3687" s="37"/>
      <c r="BL3687" s="37"/>
      <c r="BM3687" s="37"/>
    </row>
    <row r="3688" spans="1:65" s="40" customFormat="1" ht="23.25" x14ac:dyDescent="0.35">
      <c r="A3688" s="37"/>
      <c r="B3688" s="37"/>
      <c r="C3688" s="41"/>
      <c r="D3688" s="38"/>
      <c r="E3688" s="57"/>
      <c r="F3688" s="42"/>
      <c r="G3688" s="43"/>
      <c r="H3688" s="37"/>
      <c r="I3688" s="37"/>
      <c r="J3688" s="38"/>
      <c r="K3688" s="37"/>
      <c r="L3688" s="38"/>
      <c r="M3688" s="39"/>
      <c r="P3688" s="37"/>
      <c r="Q3688" s="37"/>
      <c r="R3688" s="37"/>
      <c r="S3688" s="37"/>
      <c r="T3688" s="37"/>
      <c r="U3688" s="37"/>
      <c r="V3688" s="37"/>
      <c r="W3688" s="37"/>
      <c r="X3688" s="37"/>
      <c r="Y3688" s="37"/>
      <c r="Z3688" s="37"/>
      <c r="AA3688" s="37"/>
      <c r="AB3688" s="37"/>
      <c r="AC3688" s="37"/>
      <c r="AD3688" s="37"/>
      <c r="AE3688" s="37"/>
      <c r="AF3688" s="37"/>
      <c r="AG3688" s="37"/>
      <c r="AH3688" s="37"/>
      <c r="AI3688" s="37"/>
      <c r="AJ3688" s="37"/>
      <c r="AK3688" s="37"/>
      <c r="AL3688" s="37"/>
      <c r="AM3688" s="37"/>
      <c r="AN3688" s="37"/>
      <c r="AO3688" s="37"/>
      <c r="AP3688" s="37"/>
      <c r="AQ3688" s="37"/>
      <c r="AR3688" s="37"/>
      <c r="AS3688" s="37"/>
      <c r="AT3688" s="37"/>
      <c r="AU3688" s="37"/>
      <c r="AV3688" s="37"/>
      <c r="AW3688" s="37"/>
      <c r="AX3688" s="37"/>
      <c r="AY3688" s="37"/>
      <c r="AZ3688" s="37"/>
      <c r="BA3688" s="37"/>
      <c r="BB3688" s="37"/>
      <c r="BC3688" s="37"/>
      <c r="BD3688" s="37"/>
      <c r="BE3688" s="37"/>
      <c r="BF3688" s="37"/>
      <c r="BG3688" s="37"/>
      <c r="BH3688" s="37"/>
      <c r="BI3688" s="37"/>
      <c r="BJ3688" s="37"/>
      <c r="BK3688" s="37"/>
      <c r="BL3688" s="37"/>
      <c r="BM3688" s="37"/>
    </row>
    <row r="3689" spans="1:65" s="40" customFormat="1" ht="23.25" x14ac:dyDescent="0.35">
      <c r="A3689" s="37"/>
      <c r="B3689" s="37"/>
      <c r="C3689" s="41"/>
      <c r="D3689" s="38"/>
      <c r="E3689" s="57"/>
      <c r="F3689" s="42"/>
      <c r="G3689" s="43"/>
      <c r="H3689" s="37"/>
      <c r="I3689" s="37"/>
      <c r="J3689" s="38"/>
      <c r="K3689" s="37"/>
      <c r="L3689" s="38"/>
      <c r="M3689" s="39"/>
      <c r="P3689" s="37"/>
      <c r="Q3689" s="37"/>
      <c r="R3689" s="37"/>
      <c r="S3689" s="37"/>
      <c r="T3689" s="37"/>
      <c r="U3689" s="37"/>
      <c r="V3689" s="37"/>
      <c r="W3689" s="37"/>
      <c r="X3689" s="37"/>
      <c r="Y3689" s="37"/>
      <c r="Z3689" s="37"/>
      <c r="AA3689" s="37"/>
      <c r="AB3689" s="37"/>
      <c r="AC3689" s="37"/>
      <c r="AD3689" s="37"/>
      <c r="AE3689" s="37"/>
      <c r="AF3689" s="37"/>
      <c r="AG3689" s="37"/>
      <c r="AH3689" s="37"/>
      <c r="AI3689" s="37"/>
      <c r="AJ3689" s="37"/>
      <c r="AK3689" s="37"/>
      <c r="AL3689" s="37"/>
      <c r="AM3689" s="37"/>
      <c r="AN3689" s="37"/>
      <c r="AO3689" s="37"/>
      <c r="AP3689" s="37"/>
      <c r="AQ3689" s="37"/>
      <c r="AR3689" s="37"/>
      <c r="AS3689" s="37"/>
      <c r="AT3689" s="37"/>
      <c r="AU3689" s="37"/>
      <c r="AV3689" s="37"/>
      <c r="AW3689" s="37"/>
      <c r="AX3689" s="37"/>
      <c r="AY3689" s="37"/>
      <c r="AZ3689" s="37"/>
      <c r="BA3689" s="37"/>
      <c r="BB3689" s="37"/>
      <c r="BC3689" s="37"/>
      <c r="BD3689" s="37"/>
      <c r="BE3689" s="37"/>
      <c r="BF3689" s="37"/>
      <c r="BG3689" s="37"/>
      <c r="BH3689" s="37"/>
      <c r="BI3689" s="37"/>
      <c r="BJ3689" s="37"/>
      <c r="BK3689" s="37"/>
      <c r="BL3689" s="37"/>
      <c r="BM3689" s="37"/>
    </row>
    <row r="3690" spans="1:65" s="40" customFormat="1" ht="23.25" x14ac:dyDescent="0.35">
      <c r="A3690" s="37"/>
      <c r="B3690" s="37"/>
      <c r="C3690" s="41"/>
      <c r="D3690" s="38"/>
      <c r="E3690" s="57"/>
      <c r="F3690" s="42"/>
      <c r="G3690" s="43"/>
      <c r="H3690" s="37"/>
      <c r="I3690" s="37"/>
      <c r="J3690" s="38"/>
      <c r="K3690" s="37"/>
      <c r="L3690" s="38"/>
      <c r="M3690" s="39"/>
      <c r="P3690" s="37"/>
      <c r="Q3690" s="37"/>
      <c r="R3690" s="37"/>
      <c r="S3690" s="37"/>
      <c r="T3690" s="37"/>
      <c r="U3690" s="37"/>
      <c r="V3690" s="37"/>
      <c r="W3690" s="37"/>
      <c r="X3690" s="37"/>
      <c r="Y3690" s="37"/>
      <c r="Z3690" s="37"/>
      <c r="AA3690" s="37"/>
      <c r="AB3690" s="37"/>
      <c r="AC3690" s="37"/>
      <c r="AD3690" s="37"/>
      <c r="AE3690" s="37"/>
      <c r="AF3690" s="37"/>
      <c r="AG3690" s="37"/>
      <c r="AH3690" s="37"/>
      <c r="AI3690" s="37"/>
      <c r="AJ3690" s="37"/>
      <c r="AK3690" s="37"/>
      <c r="AL3690" s="37"/>
      <c r="AM3690" s="37"/>
      <c r="AN3690" s="37"/>
      <c r="AO3690" s="37"/>
      <c r="AP3690" s="37"/>
      <c r="AQ3690" s="37"/>
      <c r="AR3690" s="37"/>
      <c r="AS3690" s="37"/>
      <c r="AT3690" s="37"/>
      <c r="AU3690" s="37"/>
      <c r="AV3690" s="37"/>
      <c r="AW3690" s="37"/>
      <c r="AX3690" s="37"/>
      <c r="AY3690" s="37"/>
      <c r="AZ3690" s="37"/>
      <c r="BA3690" s="37"/>
      <c r="BB3690" s="37"/>
      <c r="BC3690" s="37"/>
      <c r="BD3690" s="37"/>
      <c r="BE3690" s="37"/>
      <c r="BF3690" s="37"/>
      <c r="BG3690" s="37"/>
      <c r="BH3690" s="37"/>
      <c r="BI3690" s="37"/>
      <c r="BJ3690" s="37"/>
      <c r="BK3690" s="37"/>
      <c r="BL3690" s="37"/>
      <c r="BM3690" s="37"/>
    </row>
    <row r="3691" spans="1:65" s="40" customFormat="1" ht="23.25" x14ac:dyDescent="0.35">
      <c r="A3691" s="37"/>
      <c r="B3691" s="37"/>
      <c r="C3691" s="41"/>
      <c r="D3691" s="38"/>
      <c r="E3691" s="57"/>
      <c r="F3691" s="42"/>
      <c r="G3691" s="43"/>
      <c r="H3691" s="37"/>
      <c r="I3691" s="37"/>
      <c r="J3691" s="38"/>
      <c r="K3691" s="37"/>
      <c r="L3691" s="38"/>
      <c r="M3691" s="39"/>
      <c r="P3691" s="37"/>
      <c r="Q3691" s="37"/>
      <c r="R3691" s="37"/>
      <c r="S3691" s="37"/>
      <c r="T3691" s="37"/>
      <c r="U3691" s="37"/>
      <c r="V3691" s="37"/>
      <c r="W3691" s="37"/>
      <c r="X3691" s="37"/>
      <c r="Y3691" s="37"/>
      <c r="Z3691" s="37"/>
      <c r="AA3691" s="37"/>
      <c r="AB3691" s="37"/>
      <c r="AC3691" s="37"/>
      <c r="AD3691" s="37"/>
      <c r="AE3691" s="37"/>
      <c r="AF3691" s="37"/>
      <c r="AG3691" s="37"/>
      <c r="AH3691" s="37"/>
      <c r="AI3691" s="37"/>
      <c r="AJ3691" s="37"/>
      <c r="AK3691" s="37"/>
      <c r="AL3691" s="37"/>
      <c r="AM3691" s="37"/>
      <c r="AN3691" s="37"/>
      <c r="AO3691" s="37"/>
      <c r="AP3691" s="37"/>
      <c r="AQ3691" s="37"/>
      <c r="AR3691" s="37"/>
      <c r="AS3691" s="37"/>
      <c r="AT3691" s="37"/>
      <c r="AU3691" s="37"/>
      <c r="AV3691" s="37"/>
      <c r="AW3691" s="37"/>
      <c r="AX3691" s="37"/>
      <c r="AY3691" s="37"/>
      <c r="AZ3691" s="37"/>
      <c r="BA3691" s="37"/>
      <c r="BB3691" s="37"/>
      <c r="BC3691" s="37"/>
      <c r="BD3691" s="37"/>
      <c r="BE3691" s="37"/>
      <c r="BF3691" s="37"/>
      <c r="BG3691" s="37"/>
      <c r="BH3691" s="37"/>
      <c r="BI3691" s="37"/>
      <c r="BJ3691" s="37"/>
      <c r="BK3691" s="37"/>
      <c r="BL3691" s="37"/>
      <c r="BM3691" s="37"/>
    </row>
    <row r="3692" spans="1:65" s="40" customFormat="1" ht="23.25" x14ac:dyDescent="0.35">
      <c r="A3692" s="37"/>
      <c r="B3692" s="37"/>
      <c r="C3692" s="41"/>
      <c r="D3692" s="38"/>
      <c r="E3692" s="57"/>
      <c r="F3692" s="42"/>
      <c r="G3692" s="43"/>
      <c r="H3692" s="37"/>
      <c r="I3692" s="37"/>
      <c r="J3692" s="38"/>
      <c r="K3692" s="37"/>
      <c r="L3692" s="38"/>
      <c r="M3692" s="39"/>
      <c r="P3692" s="37"/>
      <c r="Q3692" s="37"/>
      <c r="R3692" s="37"/>
      <c r="S3692" s="37"/>
      <c r="T3692" s="37"/>
      <c r="U3692" s="37"/>
      <c r="V3692" s="37"/>
      <c r="W3692" s="37"/>
      <c r="X3692" s="37"/>
      <c r="Y3692" s="37"/>
      <c r="Z3692" s="37"/>
      <c r="AA3692" s="37"/>
      <c r="AB3692" s="37"/>
      <c r="AC3692" s="37"/>
      <c r="AD3692" s="37"/>
      <c r="AE3692" s="37"/>
      <c r="AF3692" s="37"/>
      <c r="AG3692" s="37"/>
      <c r="AH3692" s="37"/>
      <c r="AI3692" s="37"/>
      <c r="AJ3692" s="37"/>
      <c r="AK3692" s="37"/>
      <c r="AL3692" s="37"/>
      <c r="AM3692" s="37"/>
      <c r="AN3692" s="37"/>
      <c r="AO3692" s="37"/>
      <c r="AP3692" s="37"/>
      <c r="AQ3692" s="37"/>
      <c r="AR3692" s="37"/>
      <c r="AS3692" s="37"/>
      <c r="AT3692" s="37"/>
      <c r="AU3692" s="37"/>
      <c r="AV3692" s="37"/>
      <c r="AW3692" s="37"/>
      <c r="AX3692" s="37"/>
      <c r="AY3692" s="37"/>
      <c r="AZ3692" s="37"/>
      <c r="BA3692" s="37"/>
      <c r="BB3692" s="37"/>
      <c r="BC3692" s="37"/>
      <c r="BD3692" s="37"/>
      <c r="BE3692" s="37"/>
      <c r="BF3692" s="37"/>
      <c r="BG3692" s="37"/>
      <c r="BH3692" s="37"/>
      <c r="BI3692" s="37"/>
      <c r="BJ3692" s="37"/>
      <c r="BK3692" s="37"/>
      <c r="BL3692" s="37"/>
      <c r="BM3692" s="37"/>
    </row>
    <row r="3693" spans="1:65" s="40" customFormat="1" ht="23.25" x14ac:dyDescent="0.35">
      <c r="A3693" s="37"/>
      <c r="B3693" s="37"/>
      <c r="C3693" s="41"/>
      <c r="D3693" s="38"/>
      <c r="E3693" s="57"/>
      <c r="F3693" s="42"/>
      <c r="G3693" s="43"/>
      <c r="H3693" s="37"/>
      <c r="I3693" s="37"/>
      <c r="J3693" s="38"/>
      <c r="K3693" s="37"/>
      <c r="L3693" s="38"/>
      <c r="M3693" s="39"/>
      <c r="P3693" s="37"/>
      <c r="Q3693" s="37"/>
      <c r="R3693" s="37"/>
      <c r="S3693" s="37"/>
      <c r="T3693" s="37"/>
      <c r="U3693" s="37"/>
      <c r="V3693" s="37"/>
      <c r="W3693" s="37"/>
      <c r="X3693" s="37"/>
      <c r="Y3693" s="37"/>
      <c r="Z3693" s="37"/>
      <c r="AA3693" s="37"/>
      <c r="AB3693" s="37"/>
      <c r="AC3693" s="37"/>
      <c r="AD3693" s="37"/>
      <c r="AE3693" s="37"/>
      <c r="AF3693" s="37"/>
      <c r="AG3693" s="37"/>
      <c r="AH3693" s="37"/>
      <c r="AI3693" s="37"/>
      <c r="AJ3693" s="37"/>
      <c r="AK3693" s="37"/>
      <c r="AL3693" s="37"/>
      <c r="AM3693" s="37"/>
      <c r="AN3693" s="37"/>
      <c r="AO3693" s="37"/>
      <c r="AP3693" s="37"/>
      <c r="AQ3693" s="37"/>
      <c r="AR3693" s="37"/>
      <c r="AS3693" s="37"/>
      <c r="AT3693" s="37"/>
      <c r="AU3693" s="37"/>
      <c r="AV3693" s="37"/>
      <c r="AW3693" s="37"/>
      <c r="AX3693" s="37"/>
      <c r="AY3693" s="37"/>
      <c r="AZ3693" s="37"/>
      <c r="BA3693" s="37"/>
      <c r="BB3693" s="37"/>
      <c r="BC3693" s="37"/>
      <c r="BD3693" s="37"/>
      <c r="BE3693" s="37"/>
      <c r="BF3693" s="37"/>
      <c r="BG3693" s="37"/>
      <c r="BH3693" s="37"/>
      <c r="BI3693" s="37"/>
      <c r="BJ3693" s="37"/>
      <c r="BK3693" s="37"/>
      <c r="BL3693" s="37"/>
      <c r="BM3693" s="37"/>
    </row>
    <row r="3694" spans="1:65" s="40" customFormat="1" ht="23.25" x14ac:dyDescent="0.35">
      <c r="A3694" s="37"/>
      <c r="B3694" s="37"/>
      <c r="C3694" s="41"/>
      <c r="D3694" s="38"/>
      <c r="E3694" s="57"/>
      <c r="F3694" s="42"/>
      <c r="G3694" s="43"/>
      <c r="H3694" s="37"/>
      <c r="I3694" s="37"/>
      <c r="J3694" s="38"/>
      <c r="K3694" s="37"/>
      <c r="L3694" s="38"/>
      <c r="M3694" s="39"/>
      <c r="P3694" s="37"/>
      <c r="Q3694" s="37"/>
      <c r="R3694" s="37"/>
      <c r="S3694" s="37"/>
      <c r="T3694" s="37"/>
      <c r="U3694" s="37"/>
      <c r="V3694" s="37"/>
      <c r="W3694" s="37"/>
      <c r="X3694" s="37"/>
      <c r="Y3694" s="37"/>
      <c r="Z3694" s="37"/>
      <c r="AA3694" s="37"/>
      <c r="AB3694" s="37"/>
      <c r="AC3694" s="37"/>
      <c r="AD3694" s="37"/>
      <c r="AE3694" s="37"/>
      <c r="AF3694" s="37"/>
      <c r="AG3694" s="37"/>
      <c r="AH3694" s="37"/>
      <c r="AI3694" s="37"/>
      <c r="AJ3694" s="37"/>
      <c r="AK3694" s="37"/>
      <c r="AL3694" s="37"/>
      <c r="AM3694" s="37"/>
      <c r="AN3694" s="37"/>
      <c r="AO3694" s="37"/>
      <c r="AP3694" s="37"/>
      <c r="AQ3694" s="37"/>
      <c r="AR3694" s="37"/>
      <c r="AS3694" s="37"/>
      <c r="AT3694" s="37"/>
      <c r="AU3694" s="37"/>
      <c r="AV3694" s="37"/>
      <c r="AW3694" s="37"/>
      <c r="AX3694" s="37"/>
      <c r="AY3694" s="37"/>
      <c r="AZ3694" s="37"/>
      <c r="BA3694" s="37"/>
      <c r="BB3694" s="37"/>
      <c r="BC3694" s="37"/>
      <c r="BD3694" s="37"/>
      <c r="BE3694" s="37"/>
      <c r="BF3694" s="37"/>
      <c r="BG3694" s="37"/>
      <c r="BH3694" s="37"/>
      <c r="BI3694" s="37"/>
      <c r="BJ3694" s="37"/>
      <c r="BK3694" s="37"/>
      <c r="BL3694" s="37"/>
      <c r="BM3694" s="37"/>
    </row>
    <row r="3695" spans="1:65" s="40" customFormat="1" ht="23.25" x14ac:dyDescent="0.35">
      <c r="A3695" s="37"/>
      <c r="B3695" s="37"/>
      <c r="C3695" s="41"/>
      <c r="D3695" s="38"/>
      <c r="E3695" s="57"/>
      <c r="F3695" s="42"/>
      <c r="G3695" s="43"/>
      <c r="H3695" s="37"/>
      <c r="I3695" s="37"/>
      <c r="J3695" s="38"/>
      <c r="K3695" s="37"/>
      <c r="L3695" s="38"/>
      <c r="M3695" s="39"/>
      <c r="P3695" s="37"/>
      <c r="Q3695" s="37"/>
      <c r="R3695" s="37"/>
      <c r="S3695" s="37"/>
      <c r="T3695" s="37"/>
      <c r="U3695" s="37"/>
      <c r="V3695" s="37"/>
      <c r="W3695" s="37"/>
      <c r="X3695" s="37"/>
      <c r="Y3695" s="37"/>
      <c r="Z3695" s="37"/>
      <c r="AA3695" s="37"/>
      <c r="AB3695" s="37"/>
      <c r="AC3695" s="37"/>
      <c r="AD3695" s="37"/>
      <c r="AE3695" s="37"/>
      <c r="AF3695" s="37"/>
      <c r="AG3695" s="37"/>
      <c r="AH3695" s="37"/>
      <c r="AI3695" s="37"/>
      <c r="AJ3695" s="37"/>
      <c r="AK3695" s="37"/>
      <c r="AL3695" s="37"/>
      <c r="AM3695" s="37"/>
      <c r="AN3695" s="37"/>
      <c r="AO3695" s="37"/>
      <c r="AP3695" s="37"/>
      <c r="AQ3695" s="37"/>
      <c r="AR3695" s="37"/>
      <c r="AS3695" s="37"/>
      <c r="AT3695" s="37"/>
      <c r="AU3695" s="37"/>
      <c r="AV3695" s="37"/>
      <c r="AW3695" s="37"/>
      <c r="AX3695" s="37"/>
      <c r="AY3695" s="37"/>
      <c r="AZ3695" s="37"/>
      <c r="BA3695" s="37"/>
      <c r="BB3695" s="37"/>
      <c r="BC3695" s="37"/>
      <c r="BD3695" s="37"/>
      <c r="BE3695" s="37"/>
      <c r="BF3695" s="37"/>
      <c r="BG3695" s="37"/>
      <c r="BH3695" s="37"/>
      <c r="BI3695" s="37"/>
      <c r="BJ3695" s="37"/>
      <c r="BK3695" s="37"/>
      <c r="BL3695" s="37"/>
      <c r="BM3695" s="37"/>
    </row>
    <row r="3696" spans="1:65" s="40" customFormat="1" ht="23.25" x14ac:dyDescent="0.35">
      <c r="A3696" s="37"/>
      <c r="B3696" s="37"/>
      <c r="C3696" s="41"/>
      <c r="D3696" s="38"/>
      <c r="E3696" s="57"/>
      <c r="F3696" s="42"/>
      <c r="G3696" s="43"/>
      <c r="H3696" s="37"/>
      <c r="I3696" s="37"/>
      <c r="J3696" s="38"/>
      <c r="K3696" s="37"/>
      <c r="L3696" s="38"/>
      <c r="M3696" s="39"/>
      <c r="P3696" s="37"/>
      <c r="Q3696" s="37"/>
      <c r="R3696" s="37"/>
      <c r="S3696" s="37"/>
      <c r="T3696" s="37"/>
      <c r="U3696" s="37"/>
      <c r="V3696" s="37"/>
      <c r="W3696" s="37"/>
      <c r="X3696" s="37"/>
      <c r="Y3696" s="37"/>
      <c r="Z3696" s="37"/>
      <c r="AA3696" s="37"/>
      <c r="AB3696" s="37"/>
      <c r="AC3696" s="37"/>
      <c r="AD3696" s="37"/>
      <c r="AE3696" s="37"/>
      <c r="AF3696" s="37"/>
      <c r="AG3696" s="37"/>
      <c r="AH3696" s="37"/>
      <c r="AI3696" s="37"/>
      <c r="AJ3696" s="37"/>
      <c r="AK3696" s="37"/>
      <c r="AL3696" s="37"/>
      <c r="AM3696" s="37"/>
      <c r="AN3696" s="37"/>
      <c r="AO3696" s="37"/>
      <c r="AP3696" s="37"/>
      <c r="AQ3696" s="37"/>
      <c r="AR3696" s="37"/>
      <c r="AS3696" s="37"/>
      <c r="AT3696" s="37"/>
      <c r="AU3696" s="37"/>
      <c r="AV3696" s="37"/>
      <c r="AW3696" s="37"/>
      <c r="AX3696" s="37"/>
      <c r="AY3696" s="37"/>
      <c r="AZ3696" s="37"/>
      <c r="BA3696" s="37"/>
      <c r="BB3696" s="37"/>
      <c r="BC3696" s="37"/>
      <c r="BD3696" s="37"/>
      <c r="BE3696" s="37"/>
      <c r="BF3696" s="37"/>
      <c r="BG3696" s="37"/>
      <c r="BH3696" s="37"/>
      <c r="BI3696" s="37"/>
      <c r="BJ3696" s="37"/>
      <c r="BK3696" s="37"/>
      <c r="BL3696" s="37"/>
      <c r="BM3696" s="37"/>
    </row>
    <row r="3697" spans="1:65" s="40" customFormat="1" ht="23.25" x14ac:dyDescent="0.35">
      <c r="A3697" s="37"/>
      <c r="B3697" s="37"/>
      <c r="C3697" s="41"/>
      <c r="D3697" s="38"/>
      <c r="E3697" s="57"/>
      <c r="F3697" s="42"/>
      <c r="G3697" s="43"/>
      <c r="H3697" s="37"/>
      <c r="I3697" s="37"/>
      <c r="J3697" s="38"/>
      <c r="K3697" s="37"/>
      <c r="L3697" s="38"/>
      <c r="M3697" s="39"/>
      <c r="P3697" s="37"/>
      <c r="Q3697" s="37"/>
      <c r="R3697" s="37"/>
      <c r="S3697" s="37"/>
      <c r="T3697" s="37"/>
      <c r="U3697" s="37"/>
      <c r="V3697" s="37"/>
      <c r="W3697" s="37"/>
      <c r="X3697" s="37"/>
      <c r="Y3697" s="37"/>
      <c r="Z3697" s="37"/>
      <c r="AA3697" s="37"/>
      <c r="AB3697" s="37"/>
      <c r="AC3697" s="37"/>
      <c r="AD3697" s="37"/>
      <c r="AE3697" s="37"/>
      <c r="AF3697" s="37"/>
      <c r="AG3697" s="37"/>
      <c r="AH3697" s="37"/>
      <c r="AI3697" s="37"/>
      <c r="AJ3697" s="37"/>
      <c r="AK3697" s="37"/>
      <c r="AL3697" s="37"/>
      <c r="AM3697" s="37"/>
      <c r="AN3697" s="37"/>
      <c r="AO3697" s="37"/>
      <c r="AP3697" s="37"/>
      <c r="AQ3697" s="37"/>
      <c r="AR3697" s="37"/>
      <c r="AS3697" s="37"/>
      <c r="AT3697" s="37"/>
      <c r="AU3697" s="37"/>
      <c r="AV3697" s="37"/>
      <c r="AW3697" s="37"/>
      <c r="AX3697" s="37"/>
      <c r="AY3697" s="37"/>
      <c r="AZ3697" s="37"/>
      <c r="BA3697" s="37"/>
      <c r="BB3697" s="37"/>
      <c r="BC3697" s="37"/>
      <c r="BD3697" s="37"/>
      <c r="BE3697" s="37"/>
      <c r="BF3697" s="37"/>
      <c r="BG3697" s="37"/>
      <c r="BH3697" s="37"/>
      <c r="BI3697" s="37"/>
      <c r="BJ3697" s="37"/>
      <c r="BK3697" s="37"/>
      <c r="BL3697" s="37"/>
      <c r="BM3697" s="37"/>
    </row>
    <row r="3698" spans="1:65" s="40" customFormat="1" ht="23.25" x14ac:dyDescent="0.35">
      <c r="A3698" s="37"/>
      <c r="B3698" s="37"/>
      <c r="C3698" s="41"/>
      <c r="D3698" s="38"/>
      <c r="E3698" s="57"/>
      <c r="F3698" s="42"/>
      <c r="G3698" s="43"/>
      <c r="H3698" s="37"/>
      <c r="I3698" s="37"/>
      <c r="J3698" s="38"/>
      <c r="K3698" s="37"/>
      <c r="L3698" s="38"/>
      <c r="M3698" s="39"/>
      <c r="P3698" s="37"/>
      <c r="Q3698" s="37"/>
      <c r="R3698" s="37"/>
      <c r="S3698" s="37"/>
      <c r="T3698" s="37"/>
      <c r="U3698" s="37"/>
      <c r="V3698" s="37"/>
      <c r="W3698" s="37"/>
      <c r="X3698" s="37"/>
      <c r="Y3698" s="37"/>
      <c r="Z3698" s="37"/>
      <c r="AA3698" s="37"/>
      <c r="AB3698" s="37"/>
      <c r="AC3698" s="37"/>
      <c r="AD3698" s="37"/>
      <c r="AE3698" s="37"/>
      <c r="AF3698" s="37"/>
      <c r="AG3698" s="37"/>
      <c r="AH3698" s="37"/>
      <c r="AI3698" s="37"/>
      <c r="AJ3698" s="37"/>
      <c r="AK3698" s="37"/>
      <c r="AL3698" s="37"/>
      <c r="AM3698" s="37"/>
      <c r="AN3698" s="37"/>
      <c r="AO3698" s="37"/>
      <c r="AP3698" s="37"/>
      <c r="AQ3698" s="37"/>
      <c r="AR3698" s="37"/>
      <c r="AS3698" s="37"/>
      <c r="AT3698" s="37"/>
      <c r="AU3698" s="37"/>
      <c r="AV3698" s="37"/>
      <c r="AW3698" s="37"/>
      <c r="AX3698" s="37"/>
      <c r="AY3698" s="37"/>
      <c r="AZ3698" s="37"/>
      <c r="BA3698" s="37"/>
      <c r="BB3698" s="37"/>
      <c r="BC3698" s="37"/>
      <c r="BD3698" s="37"/>
      <c r="BE3698" s="37"/>
      <c r="BF3698" s="37"/>
      <c r="BG3698" s="37"/>
      <c r="BH3698" s="37"/>
      <c r="BI3698" s="37"/>
      <c r="BJ3698" s="37"/>
      <c r="BK3698" s="37"/>
      <c r="BL3698" s="37"/>
      <c r="BM3698" s="37"/>
    </row>
    <row r="3699" spans="1:65" s="40" customFormat="1" ht="23.25" x14ac:dyDescent="0.35">
      <c r="A3699" s="37"/>
      <c r="B3699" s="37"/>
      <c r="C3699" s="41"/>
      <c r="D3699" s="38"/>
      <c r="E3699" s="57"/>
      <c r="F3699" s="42"/>
      <c r="G3699" s="43"/>
      <c r="H3699" s="37"/>
      <c r="I3699" s="37"/>
      <c r="J3699" s="38"/>
      <c r="K3699" s="37"/>
      <c r="L3699" s="38"/>
      <c r="M3699" s="39"/>
      <c r="P3699" s="37"/>
      <c r="Q3699" s="37"/>
      <c r="R3699" s="37"/>
      <c r="S3699" s="37"/>
      <c r="T3699" s="37"/>
      <c r="U3699" s="37"/>
      <c r="V3699" s="37"/>
      <c r="W3699" s="37"/>
      <c r="X3699" s="37"/>
      <c r="Y3699" s="37"/>
      <c r="Z3699" s="37"/>
      <c r="AA3699" s="37"/>
      <c r="AB3699" s="37"/>
      <c r="AC3699" s="37"/>
      <c r="AD3699" s="37"/>
      <c r="AE3699" s="37"/>
      <c r="AF3699" s="37"/>
      <c r="AG3699" s="37"/>
      <c r="AH3699" s="37"/>
      <c r="AI3699" s="37"/>
      <c r="AJ3699" s="37"/>
      <c r="AK3699" s="37"/>
      <c r="AL3699" s="37"/>
      <c r="AM3699" s="37"/>
      <c r="AN3699" s="37"/>
      <c r="AO3699" s="37"/>
      <c r="AP3699" s="37"/>
      <c r="AQ3699" s="37"/>
      <c r="AR3699" s="37"/>
      <c r="AS3699" s="37"/>
      <c r="AT3699" s="37"/>
      <c r="AU3699" s="37"/>
      <c r="AV3699" s="37"/>
      <c r="AW3699" s="37"/>
      <c r="AX3699" s="37"/>
      <c r="AY3699" s="37"/>
      <c r="AZ3699" s="37"/>
      <c r="BA3699" s="37"/>
      <c r="BB3699" s="37"/>
      <c r="BC3699" s="37"/>
      <c r="BD3699" s="37"/>
      <c r="BE3699" s="37"/>
      <c r="BF3699" s="37"/>
      <c r="BG3699" s="37"/>
      <c r="BH3699" s="37"/>
      <c r="BI3699" s="37"/>
      <c r="BJ3699" s="37"/>
      <c r="BK3699" s="37"/>
      <c r="BL3699" s="37"/>
      <c r="BM3699" s="37"/>
    </row>
    <row r="3700" spans="1:65" s="40" customFormat="1" ht="23.25" x14ac:dyDescent="0.35">
      <c r="A3700" s="37"/>
      <c r="B3700" s="37"/>
      <c r="C3700" s="41"/>
      <c r="D3700" s="38"/>
      <c r="E3700" s="57"/>
      <c r="F3700" s="42"/>
      <c r="G3700" s="43"/>
      <c r="H3700" s="37"/>
      <c r="I3700" s="37"/>
      <c r="J3700" s="38"/>
      <c r="K3700" s="37"/>
      <c r="L3700" s="38"/>
      <c r="M3700" s="39"/>
      <c r="P3700" s="37"/>
      <c r="Q3700" s="37"/>
      <c r="R3700" s="37"/>
      <c r="S3700" s="37"/>
      <c r="T3700" s="37"/>
      <c r="U3700" s="37"/>
      <c r="V3700" s="37"/>
      <c r="W3700" s="37"/>
      <c r="X3700" s="37"/>
      <c r="Y3700" s="37"/>
      <c r="Z3700" s="37"/>
      <c r="AA3700" s="37"/>
      <c r="AB3700" s="37"/>
      <c r="AC3700" s="37"/>
      <c r="AD3700" s="37"/>
      <c r="AE3700" s="37"/>
      <c r="AF3700" s="37"/>
      <c r="AG3700" s="37"/>
      <c r="AH3700" s="37"/>
      <c r="AI3700" s="37"/>
      <c r="AJ3700" s="37"/>
      <c r="AK3700" s="37"/>
      <c r="AL3700" s="37"/>
      <c r="AM3700" s="37"/>
      <c r="AN3700" s="37"/>
      <c r="AO3700" s="37"/>
      <c r="AP3700" s="37"/>
      <c r="AQ3700" s="37"/>
      <c r="AR3700" s="37"/>
      <c r="AS3700" s="37"/>
      <c r="AT3700" s="37"/>
      <c r="AU3700" s="37"/>
      <c r="AV3700" s="37"/>
      <c r="AW3700" s="37"/>
      <c r="AX3700" s="37"/>
      <c r="AY3700" s="37"/>
      <c r="AZ3700" s="37"/>
      <c r="BA3700" s="37"/>
      <c r="BB3700" s="37"/>
      <c r="BC3700" s="37"/>
      <c r="BD3700" s="37"/>
      <c r="BE3700" s="37"/>
      <c r="BF3700" s="37"/>
      <c r="BG3700" s="37"/>
      <c r="BH3700" s="37"/>
      <c r="BI3700" s="37"/>
      <c r="BJ3700" s="37"/>
      <c r="BK3700" s="37"/>
      <c r="BL3700" s="37"/>
      <c r="BM3700" s="37"/>
    </row>
    <row r="3701" spans="1:65" s="40" customFormat="1" ht="23.25" x14ac:dyDescent="0.35">
      <c r="A3701" s="37"/>
      <c r="B3701" s="37"/>
      <c r="C3701" s="41"/>
      <c r="D3701" s="38"/>
      <c r="E3701" s="57"/>
      <c r="F3701" s="42"/>
      <c r="G3701" s="43"/>
      <c r="H3701" s="37"/>
      <c r="I3701" s="37"/>
      <c r="J3701" s="38"/>
      <c r="K3701" s="37"/>
      <c r="L3701" s="38"/>
      <c r="M3701" s="39"/>
      <c r="P3701" s="37"/>
      <c r="Q3701" s="37"/>
      <c r="R3701" s="37"/>
      <c r="S3701" s="37"/>
      <c r="T3701" s="37"/>
      <c r="U3701" s="37"/>
      <c r="V3701" s="37"/>
      <c r="W3701" s="37"/>
      <c r="X3701" s="37"/>
      <c r="Y3701" s="37"/>
      <c r="Z3701" s="37"/>
      <c r="AA3701" s="37"/>
      <c r="AB3701" s="37"/>
      <c r="AC3701" s="37"/>
      <c r="AD3701" s="37"/>
      <c r="AE3701" s="37"/>
      <c r="AF3701" s="37"/>
      <c r="AG3701" s="37"/>
      <c r="AH3701" s="37"/>
      <c r="AI3701" s="37"/>
      <c r="AJ3701" s="37"/>
      <c r="AK3701" s="37"/>
      <c r="AL3701" s="37"/>
      <c r="AM3701" s="37"/>
      <c r="AN3701" s="37"/>
      <c r="AO3701" s="37"/>
      <c r="AP3701" s="37"/>
      <c r="AQ3701" s="37"/>
      <c r="AR3701" s="37"/>
      <c r="AS3701" s="37"/>
      <c r="AT3701" s="37"/>
      <c r="AU3701" s="37"/>
      <c r="AV3701" s="37"/>
      <c r="AW3701" s="37"/>
      <c r="AX3701" s="37"/>
      <c r="AY3701" s="37"/>
      <c r="AZ3701" s="37"/>
      <c r="BA3701" s="37"/>
      <c r="BB3701" s="37"/>
      <c r="BC3701" s="37"/>
      <c r="BD3701" s="37"/>
      <c r="BE3701" s="37"/>
      <c r="BF3701" s="37"/>
      <c r="BG3701" s="37"/>
      <c r="BH3701" s="37"/>
      <c r="BI3701" s="37"/>
      <c r="BJ3701" s="37"/>
      <c r="BK3701" s="37"/>
      <c r="BL3701" s="37"/>
      <c r="BM3701" s="37"/>
    </row>
    <row r="3702" spans="1:65" s="40" customFormat="1" ht="23.25" x14ac:dyDescent="0.35">
      <c r="A3702" s="37"/>
      <c r="B3702" s="37"/>
      <c r="C3702" s="41"/>
      <c r="D3702" s="38"/>
      <c r="E3702" s="57"/>
      <c r="F3702" s="42"/>
      <c r="G3702" s="43"/>
      <c r="H3702" s="37"/>
      <c r="I3702" s="37"/>
      <c r="J3702" s="38"/>
      <c r="K3702" s="37"/>
      <c r="L3702" s="38"/>
      <c r="M3702" s="39"/>
      <c r="P3702" s="37"/>
      <c r="Q3702" s="37"/>
      <c r="R3702" s="37"/>
      <c r="S3702" s="37"/>
      <c r="T3702" s="37"/>
      <c r="U3702" s="37"/>
      <c r="V3702" s="37"/>
      <c r="W3702" s="37"/>
      <c r="X3702" s="37"/>
      <c r="Y3702" s="37"/>
      <c r="Z3702" s="37"/>
      <c r="AA3702" s="37"/>
      <c r="AB3702" s="37"/>
      <c r="AC3702" s="37"/>
      <c r="AD3702" s="37"/>
      <c r="AE3702" s="37"/>
      <c r="AF3702" s="37"/>
      <c r="AG3702" s="37"/>
      <c r="AH3702" s="37"/>
      <c r="AI3702" s="37"/>
      <c r="AJ3702" s="37"/>
      <c r="AK3702" s="37"/>
      <c r="AL3702" s="37"/>
      <c r="AM3702" s="37"/>
      <c r="AN3702" s="37"/>
      <c r="AO3702" s="37"/>
      <c r="AP3702" s="37"/>
      <c r="AQ3702" s="37"/>
      <c r="AR3702" s="37"/>
      <c r="AS3702" s="37"/>
      <c r="AT3702" s="37"/>
      <c r="AU3702" s="37"/>
      <c r="AV3702" s="37"/>
      <c r="AW3702" s="37"/>
      <c r="AX3702" s="37"/>
      <c r="AY3702" s="37"/>
      <c r="AZ3702" s="37"/>
      <c r="BA3702" s="37"/>
      <c r="BB3702" s="37"/>
      <c r="BC3702" s="37"/>
      <c r="BD3702" s="37"/>
      <c r="BE3702" s="37"/>
      <c r="BF3702" s="37"/>
      <c r="BG3702" s="37"/>
      <c r="BH3702" s="37"/>
      <c r="BI3702" s="37"/>
      <c r="BJ3702" s="37"/>
      <c r="BK3702" s="37"/>
      <c r="BL3702" s="37"/>
      <c r="BM3702" s="37"/>
    </row>
    <row r="3703" spans="1:65" s="40" customFormat="1" ht="23.25" x14ac:dyDescent="0.35">
      <c r="A3703" s="37"/>
      <c r="B3703" s="37"/>
      <c r="C3703" s="41"/>
      <c r="D3703" s="38"/>
      <c r="E3703" s="57"/>
      <c r="F3703" s="42"/>
      <c r="G3703" s="43"/>
      <c r="H3703" s="37"/>
      <c r="I3703" s="37"/>
      <c r="J3703" s="38"/>
      <c r="K3703" s="37"/>
      <c r="L3703" s="38"/>
      <c r="M3703" s="39"/>
      <c r="P3703" s="37"/>
      <c r="Q3703" s="37"/>
      <c r="R3703" s="37"/>
      <c r="S3703" s="37"/>
      <c r="T3703" s="37"/>
      <c r="U3703" s="37"/>
      <c r="V3703" s="37"/>
      <c r="W3703" s="37"/>
      <c r="X3703" s="37"/>
      <c r="Y3703" s="37"/>
      <c r="Z3703" s="37"/>
      <c r="AA3703" s="37"/>
      <c r="AB3703" s="37"/>
      <c r="AC3703" s="37"/>
      <c r="AD3703" s="37"/>
      <c r="AE3703" s="37"/>
      <c r="AF3703" s="37"/>
      <c r="AG3703" s="37"/>
      <c r="AH3703" s="37"/>
      <c r="AI3703" s="37"/>
      <c r="AJ3703" s="37"/>
      <c r="AK3703" s="37"/>
      <c r="AL3703" s="37"/>
      <c r="AM3703" s="37"/>
      <c r="AN3703" s="37"/>
      <c r="AO3703" s="37"/>
      <c r="AP3703" s="37"/>
      <c r="AQ3703" s="37"/>
      <c r="AR3703" s="37"/>
      <c r="AS3703" s="37"/>
      <c r="AT3703" s="37"/>
      <c r="AU3703" s="37"/>
      <c r="AV3703" s="37"/>
      <c r="AW3703" s="37"/>
      <c r="AX3703" s="37"/>
      <c r="AY3703" s="37"/>
      <c r="AZ3703" s="37"/>
      <c r="BA3703" s="37"/>
      <c r="BB3703" s="37"/>
      <c r="BC3703" s="37"/>
      <c r="BD3703" s="37"/>
      <c r="BE3703" s="37"/>
      <c r="BF3703" s="37"/>
      <c r="BG3703" s="37"/>
      <c r="BH3703" s="37"/>
      <c r="BI3703" s="37"/>
      <c r="BJ3703" s="37"/>
      <c r="BK3703" s="37"/>
      <c r="BL3703" s="37"/>
      <c r="BM3703" s="37"/>
    </row>
    <row r="3704" spans="1:65" s="40" customFormat="1" ht="23.25" x14ac:dyDescent="0.35">
      <c r="A3704" s="37"/>
      <c r="B3704" s="37"/>
      <c r="C3704" s="41"/>
      <c r="D3704" s="38"/>
      <c r="E3704" s="57"/>
      <c r="F3704" s="42"/>
      <c r="G3704" s="43"/>
      <c r="H3704" s="37"/>
      <c r="I3704" s="37"/>
      <c r="J3704" s="38"/>
      <c r="K3704" s="37"/>
      <c r="L3704" s="38"/>
      <c r="M3704" s="39"/>
      <c r="P3704" s="37"/>
      <c r="Q3704" s="37"/>
      <c r="R3704" s="37"/>
      <c r="S3704" s="37"/>
      <c r="T3704" s="37"/>
      <c r="U3704" s="37"/>
      <c r="V3704" s="37"/>
      <c r="W3704" s="37"/>
      <c r="X3704" s="37"/>
      <c r="Y3704" s="37"/>
      <c r="Z3704" s="37"/>
      <c r="AA3704" s="37"/>
      <c r="AB3704" s="37"/>
      <c r="AC3704" s="37"/>
      <c r="AD3704" s="37"/>
      <c r="AE3704" s="37"/>
      <c r="AF3704" s="37"/>
      <c r="AG3704" s="37"/>
      <c r="AH3704" s="37"/>
      <c r="AI3704" s="37"/>
      <c r="AJ3704" s="37"/>
      <c r="AK3704" s="37"/>
      <c r="AL3704" s="37"/>
      <c r="AM3704" s="37"/>
      <c r="AN3704" s="37"/>
      <c r="AO3704" s="37"/>
      <c r="AP3704" s="37"/>
      <c r="AQ3704" s="37"/>
      <c r="AR3704" s="37"/>
      <c r="AS3704" s="37"/>
      <c r="AT3704" s="37"/>
      <c r="AU3704" s="37"/>
      <c r="AV3704" s="37"/>
      <c r="AW3704" s="37"/>
      <c r="AX3704" s="37"/>
      <c r="AY3704" s="37"/>
      <c r="AZ3704" s="37"/>
      <c r="BA3704" s="37"/>
      <c r="BB3704" s="37"/>
      <c r="BC3704" s="37"/>
      <c r="BD3704" s="37"/>
      <c r="BE3704" s="37"/>
      <c r="BF3704" s="37"/>
      <c r="BG3704" s="37"/>
      <c r="BH3704" s="37"/>
      <c r="BI3704" s="37"/>
      <c r="BJ3704" s="37"/>
      <c r="BK3704" s="37"/>
      <c r="BL3704" s="37"/>
      <c r="BM3704" s="37"/>
    </row>
    <row r="3705" spans="1:65" s="40" customFormat="1" ht="23.25" x14ac:dyDescent="0.35">
      <c r="A3705" s="37"/>
      <c r="B3705" s="37"/>
      <c r="C3705" s="41"/>
      <c r="D3705" s="38"/>
      <c r="E3705" s="57"/>
      <c r="F3705" s="42"/>
      <c r="G3705" s="43"/>
      <c r="H3705" s="37"/>
      <c r="I3705" s="37"/>
      <c r="J3705" s="38"/>
      <c r="K3705" s="37"/>
      <c r="L3705" s="38"/>
      <c r="M3705" s="39"/>
      <c r="P3705" s="37"/>
      <c r="Q3705" s="37"/>
      <c r="R3705" s="37"/>
      <c r="S3705" s="37"/>
      <c r="T3705" s="37"/>
      <c r="U3705" s="37"/>
      <c r="V3705" s="37"/>
      <c r="W3705" s="37"/>
      <c r="X3705" s="37"/>
      <c r="Y3705" s="37"/>
      <c r="Z3705" s="37"/>
      <c r="AA3705" s="37"/>
      <c r="AB3705" s="37"/>
      <c r="AC3705" s="37"/>
      <c r="AD3705" s="37"/>
      <c r="AE3705" s="37"/>
      <c r="AF3705" s="37"/>
      <c r="AG3705" s="37"/>
      <c r="AH3705" s="37"/>
      <c r="AI3705" s="37"/>
      <c r="AJ3705" s="37"/>
      <c r="AK3705" s="37"/>
      <c r="AL3705" s="37"/>
      <c r="AM3705" s="37"/>
      <c r="AN3705" s="37"/>
      <c r="AO3705" s="37"/>
      <c r="AP3705" s="37"/>
      <c r="AQ3705" s="37"/>
      <c r="AR3705" s="37"/>
      <c r="AS3705" s="37"/>
      <c r="AT3705" s="37"/>
      <c r="AU3705" s="37"/>
      <c r="AV3705" s="37"/>
      <c r="AW3705" s="37"/>
      <c r="AX3705" s="37"/>
      <c r="AY3705" s="37"/>
      <c r="AZ3705" s="37"/>
      <c r="BA3705" s="37"/>
      <c r="BB3705" s="37"/>
      <c r="BC3705" s="37"/>
      <c r="BD3705" s="37"/>
      <c r="BE3705" s="37"/>
      <c r="BF3705" s="37"/>
      <c r="BG3705" s="37"/>
      <c r="BH3705" s="37"/>
      <c r="BI3705" s="37"/>
      <c r="BJ3705" s="37"/>
      <c r="BK3705" s="37"/>
      <c r="BL3705" s="37"/>
      <c r="BM3705" s="37"/>
    </row>
    <row r="3706" spans="1:65" s="40" customFormat="1" ht="23.25" x14ac:dyDescent="0.35">
      <c r="A3706" s="37"/>
      <c r="B3706" s="37"/>
      <c r="C3706" s="41"/>
      <c r="D3706" s="38"/>
      <c r="E3706" s="57"/>
      <c r="F3706" s="42"/>
      <c r="G3706" s="43"/>
      <c r="H3706" s="37"/>
      <c r="I3706" s="37"/>
      <c r="J3706" s="38"/>
      <c r="K3706" s="37"/>
      <c r="L3706" s="38"/>
      <c r="M3706" s="39"/>
      <c r="P3706" s="37"/>
      <c r="Q3706" s="37"/>
      <c r="R3706" s="37"/>
      <c r="S3706" s="37"/>
      <c r="T3706" s="37"/>
      <c r="U3706" s="37"/>
      <c r="V3706" s="37"/>
      <c r="W3706" s="37"/>
      <c r="X3706" s="37"/>
      <c r="Y3706" s="37"/>
      <c r="Z3706" s="37"/>
      <c r="AA3706" s="37"/>
      <c r="AB3706" s="37"/>
      <c r="AC3706" s="37"/>
      <c r="AD3706" s="37"/>
      <c r="AE3706" s="37"/>
      <c r="AF3706" s="37"/>
      <c r="AG3706" s="37"/>
      <c r="AH3706" s="37"/>
      <c r="AI3706" s="37"/>
      <c r="AJ3706" s="37"/>
      <c r="AK3706" s="37"/>
      <c r="AL3706" s="37"/>
      <c r="AM3706" s="37"/>
      <c r="AN3706" s="37"/>
      <c r="AO3706" s="37"/>
      <c r="AP3706" s="37"/>
      <c r="AQ3706" s="37"/>
      <c r="AR3706" s="37"/>
      <c r="AS3706" s="37"/>
      <c r="AT3706" s="37"/>
      <c r="AU3706" s="37"/>
      <c r="AV3706" s="37"/>
      <c r="AW3706" s="37"/>
      <c r="AX3706" s="37"/>
      <c r="AY3706" s="37"/>
      <c r="AZ3706" s="37"/>
      <c r="BA3706" s="37"/>
      <c r="BB3706" s="37"/>
      <c r="BC3706" s="37"/>
      <c r="BD3706" s="37"/>
      <c r="BE3706" s="37"/>
      <c r="BF3706" s="37"/>
      <c r="BG3706" s="37"/>
      <c r="BH3706" s="37"/>
      <c r="BI3706" s="37"/>
      <c r="BJ3706" s="37"/>
      <c r="BK3706" s="37"/>
      <c r="BL3706" s="37"/>
      <c r="BM3706" s="37"/>
    </row>
    <row r="3707" spans="1:65" s="40" customFormat="1" ht="23.25" x14ac:dyDescent="0.35">
      <c r="A3707" s="37"/>
      <c r="B3707" s="37"/>
      <c r="C3707" s="41"/>
      <c r="D3707" s="38"/>
      <c r="E3707" s="57"/>
      <c r="F3707" s="42"/>
      <c r="G3707" s="43"/>
      <c r="H3707" s="37"/>
      <c r="I3707" s="37"/>
      <c r="J3707" s="38"/>
      <c r="K3707" s="37"/>
      <c r="L3707" s="38"/>
      <c r="M3707" s="39"/>
      <c r="P3707" s="37"/>
      <c r="Q3707" s="37"/>
      <c r="R3707" s="37"/>
      <c r="S3707" s="37"/>
      <c r="T3707" s="37"/>
      <c r="U3707" s="37"/>
      <c r="V3707" s="37"/>
      <c r="W3707" s="37"/>
      <c r="X3707" s="37"/>
      <c r="Y3707" s="37"/>
      <c r="Z3707" s="37"/>
      <c r="AA3707" s="37"/>
      <c r="AB3707" s="37"/>
      <c r="AC3707" s="37"/>
      <c r="AD3707" s="37"/>
      <c r="AE3707" s="37"/>
      <c r="AF3707" s="37"/>
      <c r="AG3707" s="37"/>
      <c r="AH3707" s="37"/>
      <c r="AI3707" s="37"/>
      <c r="AJ3707" s="37"/>
      <c r="AK3707" s="37"/>
      <c r="AL3707" s="37"/>
      <c r="AM3707" s="37"/>
      <c r="AN3707" s="37"/>
      <c r="AO3707" s="37"/>
      <c r="AP3707" s="37"/>
      <c r="AQ3707" s="37"/>
      <c r="AR3707" s="37"/>
      <c r="AS3707" s="37"/>
      <c r="AT3707" s="37"/>
      <c r="AU3707" s="37"/>
      <c r="AV3707" s="37"/>
      <c r="AW3707" s="37"/>
      <c r="AX3707" s="37"/>
      <c r="AY3707" s="37"/>
      <c r="AZ3707" s="37"/>
      <c r="BA3707" s="37"/>
      <c r="BB3707" s="37"/>
      <c r="BC3707" s="37"/>
      <c r="BD3707" s="37"/>
      <c r="BE3707" s="37"/>
      <c r="BF3707" s="37"/>
      <c r="BG3707" s="37"/>
      <c r="BH3707" s="37"/>
      <c r="BI3707" s="37"/>
      <c r="BJ3707" s="37"/>
      <c r="BK3707" s="37"/>
      <c r="BL3707" s="37"/>
      <c r="BM3707" s="37"/>
    </row>
    <row r="3708" spans="1:65" s="40" customFormat="1" ht="23.25" x14ac:dyDescent="0.35">
      <c r="A3708" s="37"/>
      <c r="B3708" s="37"/>
      <c r="C3708" s="41"/>
      <c r="D3708" s="38"/>
      <c r="E3708" s="57"/>
      <c r="F3708" s="42"/>
      <c r="G3708" s="43"/>
      <c r="H3708" s="37"/>
      <c r="I3708" s="37"/>
      <c r="J3708" s="38"/>
      <c r="K3708" s="37"/>
      <c r="L3708" s="38"/>
      <c r="M3708" s="39"/>
      <c r="P3708" s="37"/>
      <c r="Q3708" s="37"/>
      <c r="R3708" s="37"/>
      <c r="S3708" s="37"/>
      <c r="T3708" s="37"/>
      <c r="U3708" s="37"/>
      <c r="V3708" s="37"/>
      <c r="W3708" s="37"/>
      <c r="X3708" s="37"/>
      <c r="Y3708" s="37"/>
      <c r="Z3708" s="37"/>
      <c r="AA3708" s="37"/>
      <c r="AB3708" s="37"/>
      <c r="AC3708" s="37"/>
      <c r="AD3708" s="37"/>
      <c r="AE3708" s="37"/>
      <c r="AF3708" s="37"/>
      <c r="AG3708" s="37"/>
      <c r="AH3708" s="37"/>
      <c r="AI3708" s="37"/>
      <c r="AJ3708" s="37"/>
      <c r="AK3708" s="37"/>
      <c r="AL3708" s="37"/>
      <c r="AM3708" s="37"/>
      <c r="AN3708" s="37"/>
      <c r="AO3708" s="37"/>
      <c r="AP3708" s="37"/>
      <c r="AQ3708" s="37"/>
      <c r="AR3708" s="37"/>
      <c r="AS3708" s="37"/>
      <c r="AT3708" s="37"/>
      <c r="AU3708" s="37"/>
      <c r="AV3708" s="37"/>
      <c r="AW3708" s="37"/>
      <c r="AX3708" s="37"/>
      <c r="AY3708" s="37"/>
      <c r="AZ3708" s="37"/>
      <c r="BA3708" s="37"/>
      <c r="BB3708" s="37"/>
      <c r="BC3708" s="37"/>
      <c r="BD3708" s="37"/>
      <c r="BE3708" s="37"/>
      <c r="BF3708" s="37"/>
      <c r="BG3708" s="37"/>
      <c r="BH3708" s="37"/>
      <c r="BI3708" s="37"/>
      <c r="BJ3708" s="37"/>
      <c r="BK3708" s="37"/>
      <c r="BL3708" s="37"/>
      <c r="BM3708" s="37"/>
    </row>
    <row r="3709" spans="1:65" s="40" customFormat="1" ht="23.25" x14ac:dyDescent="0.35">
      <c r="A3709" s="37"/>
      <c r="B3709" s="37"/>
      <c r="C3709" s="41"/>
      <c r="D3709" s="38"/>
      <c r="E3709" s="57"/>
      <c r="F3709" s="42"/>
      <c r="G3709" s="43"/>
      <c r="H3709" s="37"/>
      <c r="I3709" s="37"/>
      <c r="J3709" s="38"/>
      <c r="K3709" s="37"/>
      <c r="L3709" s="38"/>
      <c r="M3709" s="39"/>
      <c r="P3709" s="37"/>
      <c r="Q3709" s="37"/>
      <c r="R3709" s="37"/>
      <c r="S3709" s="37"/>
      <c r="T3709" s="37"/>
      <c r="U3709" s="37"/>
      <c r="V3709" s="37"/>
      <c r="W3709" s="37"/>
      <c r="X3709" s="37"/>
      <c r="Y3709" s="37"/>
      <c r="Z3709" s="37"/>
      <c r="AA3709" s="37"/>
      <c r="AB3709" s="37"/>
      <c r="AC3709" s="37"/>
      <c r="AD3709" s="37"/>
      <c r="AE3709" s="37"/>
      <c r="AF3709" s="37"/>
      <c r="AG3709" s="37"/>
      <c r="AH3709" s="37"/>
      <c r="AI3709" s="37"/>
      <c r="AJ3709" s="37"/>
      <c r="AK3709" s="37"/>
      <c r="AL3709" s="37"/>
      <c r="AM3709" s="37"/>
      <c r="AN3709" s="37"/>
      <c r="AO3709" s="37"/>
      <c r="AP3709" s="37"/>
      <c r="AQ3709" s="37"/>
      <c r="AR3709" s="37"/>
      <c r="AS3709" s="37"/>
      <c r="AT3709" s="37"/>
      <c r="AU3709" s="37"/>
      <c r="AV3709" s="37"/>
      <c r="AW3709" s="37"/>
      <c r="AX3709" s="37"/>
      <c r="AY3709" s="37"/>
      <c r="AZ3709" s="37"/>
      <c r="BA3709" s="37"/>
      <c r="BB3709" s="37"/>
      <c r="BC3709" s="37"/>
      <c r="BD3709" s="37"/>
      <c r="BE3709" s="37"/>
      <c r="BF3709" s="37"/>
      <c r="BG3709" s="37"/>
      <c r="BH3709" s="37"/>
      <c r="BI3709" s="37"/>
      <c r="BJ3709" s="37"/>
      <c r="BK3709" s="37"/>
      <c r="BL3709" s="37"/>
      <c r="BM3709" s="37"/>
    </row>
    <row r="3710" spans="1:65" s="40" customFormat="1" ht="23.25" x14ac:dyDescent="0.35">
      <c r="A3710" s="37"/>
      <c r="B3710" s="37"/>
      <c r="C3710" s="41"/>
      <c r="D3710" s="38"/>
      <c r="E3710" s="57"/>
      <c r="F3710" s="42"/>
      <c r="G3710" s="43"/>
      <c r="H3710" s="37"/>
      <c r="I3710" s="37"/>
      <c r="J3710" s="38"/>
      <c r="K3710" s="37"/>
      <c r="L3710" s="38"/>
      <c r="M3710" s="39"/>
      <c r="P3710" s="37"/>
      <c r="Q3710" s="37"/>
      <c r="R3710" s="37"/>
      <c r="S3710" s="37"/>
      <c r="T3710" s="37"/>
      <c r="U3710" s="37"/>
      <c r="V3710" s="37"/>
      <c r="W3710" s="37"/>
      <c r="X3710" s="37"/>
      <c r="Y3710" s="37"/>
      <c r="Z3710" s="37"/>
      <c r="AA3710" s="37"/>
      <c r="AB3710" s="37"/>
      <c r="AC3710" s="37"/>
      <c r="AD3710" s="37"/>
      <c r="AE3710" s="37"/>
      <c r="AF3710" s="37"/>
      <c r="AG3710" s="37"/>
      <c r="AH3710" s="37"/>
      <c r="AI3710" s="37"/>
      <c r="AJ3710" s="37"/>
      <c r="AK3710" s="37"/>
      <c r="AL3710" s="37"/>
      <c r="AM3710" s="37"/>
      <c r="AN3710" s="37"/>
      <c r="AO3710" s="37"/>
      <c r="AP3710" s="37"/>
      <c r="AQ3710" s="37"/>
      <c r="AR3710" s="37"/>
      <c r="AS3710" s="37"/>
      <c r="AT3710" s="37"/>
      <c r="AU3710" s="37"/>
      <c r="AV3710" s="37"/>
      <c r="AW3710" s="37"/>
      <c r="AX3710" s="37"/>
      <c r="AY3710" s="37"/>
      <c r="AZ3710" s="37"/>
      <c r="BA3710" s="37"/>
      <c r="BB3710" s="37"/>
      <c r="BC3710" s="37"/>
      <c r="BD3710" s="37"/>
      <c r="BE3710" s="37"/>
      <c r="BF3710" s="37"/>
      <c r="BG3710" s="37"/>
      <c r="BH3710" s="37"/>
      <c r="BI3710" s="37"/>
      <c r="BJ3710" s="37"/>
      <c r="BK3710" s="37"/>
      <c r="BL3710" s="37"/>
      <c r="BM3710" s="37"/>
    </row>
    <row r="3711" spans="1:65" s="40" customFormat="1" ht="23.25" x14ac:dyDescent="0.35">
      <c r="A3711" s="37"/>
      <c r="B3711" s="37"/>
      <c r="C3711" s="41"/>
      <c r="D3711" s="38"/>
      <c r="E3711" s="57"/>
      <c r="F3711" s="42"/>
      <c r="G3711" s="43"/>
      <c r="H3711" s="37"/>
      <c r="I3711" s="37"/>
      <c r="J3711" s="38"/>
      <c r="K3711" s="37"/>
      <c r="L3711" s="38"/>
      <c r="M3711" s="39"/>
      <c r="P3711" s="37"/>
      <c r="Q3711" s="37"/>
      <c r="R3711" s="37"/>
      <c r="S3711" s="37"/>
      <c r="T3711" s="37"/>
      <c r="U3711" s="37"/>
      <c r="V3711" s="37"/>
      <c r="W3711" s="37"/>
      <c r="X3711" s="37"/>
      <c r="Y3711" s="37"/>
      <c r="Z3711" s="37"/>
      <c r="AA3711" s="37"/>
      <c r="AB3711" s="37"/>
      <c r="AC3711" s="37"/>
      <c r="AD3711" s="37"/>
      <c r="AE3711" s="37"/>
      <c r="AF3711" s="37"/>
      <c r="AG3711" s="37"/>
      <c r="AH3711" s="37"/>
      <c r="AI3711" s="37"/>
      <c r="AJ3711" s="37"/>
      <c r="AK3711" s="37"/>
      <c r="AL3711" s="37"/>
      <c r="AM3711" s="37"/>
      <c r="AN3711" s="37"/>
      <c r="AO3711" s="37"/>
      <c r="AP3711" s="37"/>
      <c r="AQ3711" s="37"/>
      <c r="AR3711" s="37"/>
      <c r="AS3711" s="37"/>
      <c r="AT3711" s="37"/>
      <c r="AU3711" s="37"/>
      <c r="AV3711" s="37"/>
      <c r="AW3711" s="37"/>
      <c r="AX3711" s="37"/>
      <c r="AY3711" s="37"/>
      <c r="AZ3711" s="37"/>
      <c r="BA3711" s="37"/>
      <c r="BB3711" s="37"/>
      <c r="BC3711" s="37"/>
      <c r="BD3711" s="37"/>
      <c r="BE3711" s="37"/>
      <c r="BF3711" s="37"/>
      <c r="BG3711" s="37"/>
      <c r="BH3711" s="37"/>
      <c r="BI3711" s="37"/>
      <c r="BJ3711" s="37"/>
      <c r="BK3711" s="37"/>
      <c r="BL3711" s="37"/>
      <c r="BM3711" s="37"/>
    </row>
    <row r="3712" spans="1:65" s="40" customFormat="1" ht="23.25" x14ac:dyDescent="0.35">
      <c r="A3712" s="37"/>
      <c r="B3712" s="37"/>
      <c r="C3712" s="41"/>
      <c r="D3712" s="38"/>
      <c r="E3712" s="57"/>
      <c r="F3712" s="42"/>
      <c r="G3712" s="43"/>
      <c r="H3712" s="37"/>
      <c r="I3712" s="37"/>
      <c r="J3712" s="38"/>
      <c r="K3712" s="37"/>
      <c r="L3712" s="38"/>
      <c r="M3712" s="39"/>
      <c r="P3712" s="37"/>
      <c r="Q3712" s="37"/>
      <c r="R3712" s="37"/>
      <c r="S3712" s="37"/>
      <c r="T3712" s="37"/>
      <c r="U3712" s="37"/>
      <c r="V3712" s="37"/>
      <c r="W3712" s="37"/>
      <c r="X3712" s="37"/>
      <c r="Y3712" s="37"/>
      <c r="Z3712" s="37"/>
      <c r="AA3712" s="37"/>
      <c r="AB3712" s="37"/>
      <c r="AC3712" s="37"/>
      <c r="AD3712" s="37"/>
      <c r="AE3712" s="37"/>
      <c r="AF3712" s="37"/>
      <c r="AG3712" s="37"/>
      <c r="AH3712" s="37"/>
      <c r="AI3712" s="37"/>
      <c r="AJ3712" s="37"/>
      <c r="AK3712" s="37"/>
      <c r="AL3712" s="37"/>
      <c r="AM3712" s="37"/>
      <c r="AN3712" s="37"/>
      <c r="AO3712" s="37"/>
      <c r="AP3712" s="37"/>
      <c r="AQ3712" s="37"/>
      <c r="AR3712" s="37"/>
      <c r="AS3712" s="37"/>
      <c r="AT3712" s="37"/>
      <c r="AU3712" s="37"/>
      <c r="AV3712" s="37"/>
      <c r="AW3712" s="37"/>
      <c r="AX3712" s="37"/>
      <c r="AY3712" s="37"/>
      <c r="AZ3712" s="37"/>
      <c r="BA3712" s="37"/>
      <c r="BB3712" s="37"/>
      <c r="BC3712" s="37"/>
      <c r="BD3712" s="37"/>
      <c r="BE3712" s="37"/>
      <c r="BF3712" s="37"/>
      <c r="BG3712" s="37"/>
      <c r="BH3712" s="37"/>
      <c r="BI3712" s="37"/>
      <c r="BJ3712" s="37"/>
      <c r="BK3712" s="37"/>
      <c r="BL3712" s="37"/>
      <c r="BM3712" s="37"/>
    </row>
    <row r="3713" spans="1:65" s="40" customFormat="1" ht="23.25" x14ac:dyDescent="0.35">
      <c r="A3713" s="37"/>
      <c r="B3713" s="37"/>
      <c r="C3713" s="41"/>
      <c r="D3713" s="38"/>
      <c r="E3713" s="57"/>
      <c r="F3713" s="42"/>
      <c r="G3713" s="43"/>
      <c r="H3713" s="37"/>
      <c r="I3713" s="37"/>
      <c r="J3713" s="38"/>
      <c r="K3713" s="37"/>
      <c r="L3713" s="38"/>
      <c r="M3713" s="39"/>
      <c r="P3713" s="37"/>
      <c r="Q3713" s="37"/>
      <c r="R3713" s="37"/>
      <c r="S3713" s="37"/>
      <c r="T3713" s="37"/>
      <c r="U3713" s="37"/>
      <c r="V3713" s="37"/>
      <c r="W3713" s="37"/>
      <c r="X3713" s="37"/>
      <c r="Y3713" s="37"/>
      <c r="Z3713" s="37"/>
      <c r="AA3713" s="37"/>
      <c r="AB3713" s="37"/>
      <c r="AC3713" s="37"/>
      <c r="AD3713" s="37"/>
      <c r="AE3713" s="37"/>
      <c r="AF3713" s="37"/>
      <c r="AG3713" s="37"/>
      <c r="AH3713" s="37"/>
      <c r="AI3713" s="37"/>
      <c r="AJ3713" s="37"/>
      <c r="AK3713" s="37"/>
      <c r="AL3713" s="37"/>
      <c r="AM3713" s="37"/>
      <c r="AN3713" s="37"/>
      <c r="AO3713" s="37"/>
      <c r="AP3713" s="37"/>
      <c r="AQ3713" s="37"/>
      <c r="AR3713" s="37"/>
      <c r="AS3713" s="37"/>
      <c r="AT3713" s="37"/>
      <c r="AU3713" s="37"/>
      <c r="AV3713" s="37"/>
      <c r="AW3713" s="37"/>
      <c r="AX3713" s="37"/>
      <c r="AY3713" s="37"/>
      <c r="AZ3713" s="37"/>
      <c r="BA3713" s="37"/>
      <c r="BB3713" s="37"/>
      <c r="BC3713" s="37"/>
      <c r="BD3713" s="37"/>
      <c r="BE3713" s="37"/>
      <c r="BF3713" s="37"/>
      <c r="BG3713" s="37"/>
      <c r="BH3713" s="37"/>
      <c r="BI3713" s="37"/>
      <c r="BJ3713" s="37"/>
      <c r="BK3713" s="37"/>
      <c r="BL3713" s="37"/>
      <c r="BM3713" s="37"/>
    </row>
    <row r="3714" spans="1:65" s="40" customFormat="1" ht="23.25" x14ac:dyDescent="0.35">
      <c r="A3714" s="37"/>
      <c r="B3714" s="37"/>
      <c r="C3714" s="41"/>
      <c r="D3714" s="38"/>
      <c r="E3714" s="57"/>
      <c r="F3714" s="42"/>
      <c r="G3714" s="43"/>
      <c r="H3714" s="37"/>
      <c r="I3714" s="37"/>
      <c r="J3714" s="38"/>
      <c r="K3714" s="37"/>
      <c r="L3714" s="38"/>
      <c r="M3714" s="39"/>
      <c r="P3714" s="37"/>
      <c r="Q3714" s="37"/>
      <c r="R3714" s="37"/>
      <c r="S3714" s="37"/>
      <c r="T3714" s="37"/>
      <c r="U3714" s="37"/>
      <c r="V3714" s="37"/>
      <c r="W3714" s="37"/>
      <c r="X3714" s="37"/>
      <c r="Y3714" s="37"/>
      <c r="Z3714" s="37"/>
      <c r="AA3714" s="37"/>
      <c r="AB3714" s="37"/>
      <c r="AC3714" s="37"/>
      <c r="AD3714" s="37"/>
      <c r="AE3714" s="37"/>
      <c r="AF3714" s="37"/>
      <c r="AG3714" s="37"/>
      <c r="AH3714" s="37"/>
      <c r="AI3714" s="37"/>
      <c r="AJ3714" s="37"/>
      <c r="AK3714" s="37"/>
      <c r="AL3714" s="37"/>
      <c r="AM3714" s="37"/>
      <c r="AN3714" s="37"/>
      <c r="AO3714" s="37"/>
      <c r="AP3714" s="37"/>
      <c r="AQ3714" s="37"/>
      <c r="AR3714" s="37"/>
      <c r="AS3714" s="37"/>
      <c r="AT3714" s="37"/>
      <c r="AU3714" s="37"/>
      <c r="AV3714" s="37"/>
      <c r="AW3714" s="37"/>
      <c r="AX3714" s="37"/>
      <c r="AY3714" s="37"/>
      <c r="AZ3714" s="37"/>
      <c r="BA3714" s="37"/>
      <c r="BB3714" s="37"/>
      <c r="BC3714" s="37"/>
      <c r="BD3714" s="37"/>
      <c r="BE3714" s="37"/>
      <c r="BF3714" s="37"/>
      <c r="BG3714" s="37"/>
      <c r="BH3714" s="37"/>
      <c r="BI3714" s="37"/>
      <c r="BJ3714" s="37"/>
      <c r="BK3714" s="37"/>
      <c r="BL3714" s="37"/>
      <c r="BM3714" s="37"/>
    </row>
    <row r="3715" spans="1:65" s="40" customFormat="1" ht="23.25" x14ac:dyDescent="0.35">
      <c r="A3715" s="37"/>
      <c r="B3715" s="37"/>
      <c r="C3715" s="41"/>
      <c r="D3715" s="38"/>
      <c r="E3715" s="57"/>
      <c r="F3715" s="42"/>
      <c r="G3715" s="43"/>
      <c r="H3715" s="37"/>
      <c r="I3715" s="37"/>
      <c r="J3715" s="38"/>
      <c r="K3715" s="37"/>
      <c r="L3715" s="38"/>
      <c r="M3715" s="39"/>
      <c r="P3715" s="37"/>
      <c r="Q3715" s="37"/>
      <c r="R3715" s="37"/>
      <c r="S3715" s="37"/>
      <c r="T3715" s="37"/>
      <c r="U3715" s="37"/>
      <c r="V3715" s="37"/>
      <c r="W3715" s="37"/>
      <c r="X3715" s="37"/>
      <c r="Y3715" s="37"/>
      <c r="Z3715" s="37"/>
      <c r="AA3715" s="37"/>
      <c r="AB3715" s="37"/>
      <c r="AC3715" s="37"/>
      <c r="AD3715" s="37"/>
      <c r="AE3715" s="37"/>
      <c r="AF3715" s="37"/>
      <c r="AG3715" s="37"/>
      <c r="AH3715" s="37"/>
      <c r="AI3715" s="37"/>
      <c r="AJ3715" s="37"/>
      <c r="AK3715" s="37"/>
      <c r="AL3715" s="37"/>
      <c r="AM3715" s="37"/>
      <c r="AN3715" s="37"/>
      <c r="AO3715" s="37"/>
      <c r="AP3715" s="37"/>
      <c r="AQ3715" s="37"/>
      <c r="AR3715" s="37"/>
      <c r="AS3715" s="37"/>
      <c r="AT3715" s="37"/>
      <c r="AU3715" s="37"/>
      <c r="AV3715" s="37"/>
      <c r="AW3715" s="37"/>
      <c r="AX3715" s="37"/>
      <c r="AY3715" s="37"/>
      <c r="AZ3715" s="37"/>
      <c r="BA3715" s="37"/>
      <c r="BB3715" s="37"/>
      <c r="BC3715" s="37"/>
      <c r="BD3715" s="37"/>
      <c r="BE3715" s="37"/>
      <c r="BF3715" s="37"/>
      <c r="BG3715" s="37"/>
      <c r="BH3715" s="37"/>
      <c r="BI3715" s="37"/>
      <c r="BJ3715" s="37"/>
      <c r="BK3715" s="37"/>
      <c r="BL3715" s="37"/>
      <c r="BM3715" s="37"/>
    </row>
    <row r="3716" spans="1:65" s="40" customFormat="1" ht="23.25" x14ac:dyDescent="0.35">
      <c r="A3716" s="37"/>
      <c r="B3716" s="37"/>
      <c r="C3716" s="41"/>
      <c r="D3716" s="38"/>
      <c r="E3716" s="57"/>
      <c r="F3716" s="42"/>
      <c r="G3716" s="43"/>
      <c r="H3716" s="37"/>
      <c r="I3716" s="37"/>
      <c r="J3716" s="38"/>
      <c r="K3716" s="37"/>
      <c r="L3716" s="38"/>
      <c r="M3716" s="39"/>
      <c r="P3716" s="37"/>
      <c r="Q3716" s="37"/>
      <c r="R3716" s="37"/>
      <c r="S3716" s="37"/>
      <c r="T3716" s="37"/>
      <c r="U3716" s="37"/>
      <c r="V3716" s="37"/>
      <c r="W3716" s="37"/>
      <c r="X3716" s="37"/>
      <c r="Y3716" s="37"/>
      <c r="Z3716" s="37"/>
      <c r="AA3716" s="37"/>
      <c r="AB3716" s="37"/>
      <c r="AC3716" s="37"/>
      <c r="AD3716" s="37"/>
      <c r="AE3716" s="37"/>
      <c r="AF3716" s="37"/>
      <c r="AG3716" s="37"/>
      <c r="AH3716" s="37"/>
      <c r="AI3716" s="37"/>
      <c r="AJ3716" s="37"/>
      <c r="AK3716" s="37"/>
      <c r="AL3716" s="37"/>
      <c r="AM3716" s="37"/>
      <c r="AN3716" s="37"/>
      <c r="AO3716" s="37"/>
      <c r="AP3716" s="37"/>
      <c r="AQ3716" s="37"/>
      <c r="AR3716" s="37"/>
      <c r="AS3716" s="37"/>
      <c r="AT3716" s="37"/>
      <c r="AU3716" s="37"/>
      <c r="AV3716" s="37"/>
      <c r="AW3716" s="37"/>
      <c r="AX3716" s="37"/>
      <c r="AY3716" s="37"/>
      <c r="AZ3716" s="37"/>
      <c r="BA3716" s="37"/>
      <c r="BB3716" s="37"/>
      <c r="BC3716" s="37"/>
      <c r="BD3716" s="37"/>
      <c r="BE3716" s="37"/>
      <c r="BF3716" s="37"/>
      <c r="BG3716" s="37"/>
      <c r="BH3716" s="37"/>
      <c r="BI3716" s="37"/>
      <c r="BJ3716" s="37"/>
      <c r="BK3716" s="37"/>
      <c r="BL3716" s="37"/>
      <c r="BM3716" s="37"/>
    </row>
    <row r="3717" spans="1:65" s="40" customFormat="1" ht="23.25" x14ac:dyDescent="0.35">
      <c r="A3717" s="37"/>
      <c r="B3717" s="37"/>
      <c r="C3717" s="41"/>
      <c r="D3717" s="38"/>
      <c r="E3717" s="57"/>
      <c r="F3717" s="42"/>
      <c r="G3717" s="43"/>
      <c r="H3717" s="37"/>
      <c r="I3717" s="37"/>
      <c r="J3717" s="38"/>
      <c r="K3717" s="37"/>
      <c r="L3717" s="38"/>
      <c r="M3717" s="39"/>
      <c r="P3717" s="37"/>
      <c r="Q3717" s="37"/>
      <c r="R3717" s="37"/>
      <c r="S3717" s="37"/>
      <c r="T3717" s="37"/>
      <c r="U3717" s="37"/>
      <c r="V3717" s="37"/>
      <c r="W3717" s="37"/>
      <c r="X3717" s="37"/>
      <c r="Y3717" s="37"/>
      <c r="Z3717" s="37"/>
      <c r="AA3717" s="37"/>
      <c r="AB3717" s="37"/>
      <c r="AC3717" s="37"/>
      <c r="AD3717" s="37"/>
      <c r="AE3717" s="37"/>
      <c r="AF3717" s="37"/>
      <c r="AG3717" s="37"/>
      <c r="AH3717" s="37"/>
      <c r="AI3717" s="37"/>
      <c r="AJ3717" s="37"/>
      <c r="AK3717" s="37"/>
      <c r="AL3717" s="37"/>
      <c r="AM3717" s="37"/>
      <c r="AN3717" s="37"/>
      <c r="AO3717" s="37"/>
      <c r="AP3717" s="37"/>
      <c r="AQ3717" s="37"/>
      <c r="AR3717" s="37"/>
      <c r="AS3717" s="37"/>
      <c r="AT3717" s="37"/>
      <c r="AU3717" s="37"/>
      <c r="AV3717" s="37"/>
      <c r="AW3717" s="37"/>
      <c r="AX3717" s="37"/>
      <c r="AY3717" s="37"/>
      <c r="AZ3717" s="37"/>
      <c r="BA3717" s="37"/>
      <c r="BB3717" s="37"/>
      <c r="BC3717" s="37"/>
      <c r="BD3717" s="37"/>
      <c r="BE3717" s="37"/>
      <c r="BF3717" s="37"/>
      <c r="BG3717" s="37"/>
      <c r="BH3717" s="37"/>
      <c r="BI3717" s="37"/>
      <c r="BJ3717" s="37"/>
      <c r="BK3717" s="37"/>
      <c r="BL3717" s="37"/>
      <c r="BM3717" s="37"/>
    </row>
    <row r="3718" spans="1:65" s="40" customFormat="1" ht="23.25" x14ac:dyDescent="0.35">
      <c r="A3718" s="37"/>
      <c r="B3718" s="37"/>
      <c r="C3718" s="41"/>
      <c r="D3718" s="38"/>
      <c r="E3718" s="57"/>
      <c r="F3718" s="42"/>
      <c r="G3718" s="43"/>
      <c r="H3718" s="37"/>
      <c r="I3718" s="37"/>
      <c r="J3718" s="38"/>
      <c r="K3718" s="37"/>
      <c r="L3718" s="38"/>
      <c r="M3718" s="39"/>
      <c r="P3718" s="37"/>
      <c r="Q3718" s="37"/>
      <c r="R3718" s="37"/>
      <c r="S3718" s="37"/>
      <c r="T3718" s="37"/>
      <c r="U3718" s="37"/>
      <c r="V3718" s="37"/>
      <c r="W3718" s="37"/>
      <c r="X3718" s="37"/>
      <c r="Y3718" s="37"/>
      <c r="Z3718" s="37"/>
      <c r="AA3718" s="37"/>
      <c r="AB3718" s="37"/>
      <c r="AC3718" s="37"/>
      <c r="AD3718" s="37"/>
      <c r="AE3718" s="37"/>
      <c r="AF3718" s="37"/>
      <c r="AG3718" s="37"/>
      <c r="AH3718" s="37"/>
      <c r="AI3718" s="37"/>
      <c r="AJ3718" s="37"/>
      <c r="AK3718" s="37"/>
      <c r="AL3718" s="37"/>
      <c r="AM3718" s="37"/>
      <c r="AN3718" s="37"/>
      <c r="AO3718" s="37"/>
      <c r="AP3718" s="37"/>
      <c r="AQ3718" s="37"/>
      <c r="AR3718" s="37"/>
      <c r="AS3718" s="37"/>
      <c r="AT3718" s="37"/>
      <c r="AU3718" s="37"/>
      <c r="AV3718" s="37"/>
      <c r="AW3718" s="37"/>
      <c r="AX3718" s="37"/>
      <c r="AY3718" s="37"/>
      <c r="AZ3718" s="37"/>
      <c r="BA3718" s="37"/>
      <c r="BB3718" s="37"/>
      <c r="BC3718" s="37"/>
      <c r="BD3718" s="37"/>
      <c r="BE3718" s="37"/>
      <c r="BF3718" s="37"/>
      <c r="BG3718" s="37"/>
      <c r="BH3718" s="37"/>
      <c r="BI3718" s="37"/>
      <c r="BJ3718" s="37"/>
      <c r="BK3718" s="37"/>
      <c r="BL3718" s="37"/>
      <c r="BM3718" s="37"/>
    </row>
    <row r="3719" spans="1:65" s="40" customFormat="1" ht="23.25" x14ac:dyDescent="0.35">
      <c r="A3719" s="37"/>
      <c r="B3719" s="37"/>
      <c r="C3719" s="41"/>
      <c r="D3719" s="38"/>
      <c r="E3719" s="57"/>
      <c r="F3719" s="42"/>
      <c r="G3719" s="43"/>
      <c r="H3719" s="37"/>
      <c r="I3719" s="37"/>
      <c r="J3719" s="38"/>
      <c r="K3719" s="37"/>
      <c r="L3719" s="38"/>
      <c r="M3719" s="39"/>
      <c r="P3719" s="37"/>
      <c r="Q3719" s="37"/>
      <c r="R3719" s="37"/>
      <c r="S3719" s="37"/>
      <c r="T3719" s="37"/>
      <c r="U3719" s="37"/>
      <c r="V3719" s="37"/>
      <c r="W3719" s="37"/>
      <c r="X3719" s="37"/>
      <c r="Y3719" s="37"/>
      <c r="Z3719" s="37"/>
      <c r="AA3719" s="37"/>
      <c r="AB3719" s="37"/>
      <c r="AC3719" s="37"/>
      <c r="AD3719" s="37"/>
      <c r="AE3719" s="37"/>
      <c r="AF3719" s="37"/>
      <c r="AG3719" s="37"/>
      <c r="AH3719" s="37"/>
      <c r="AI3719" s="37"/>
      <c r="AJ3719" s="37"/>
      <c r="AK3719" s="37"/>
      <c r="AL3719" s="37"/>
      <c r="AM3719" s="37"/>
      <c r="AN3719" s="37"/>
      <c r="AO3719" s="37"/>
      <c r="AP3719" s="37"/>
      <c r="AQ3719" s="37"/>
      <c r="AR3719" s="37"/>
      <c r="AS3719" s="37"/>
      <c r="AT3719" s="37"/>
      <c r="AU3719" s="37"/>
      <c r="AV3719" s="37"/>
      <c r="AW3719" s="37"/>
      <c r="AX3719" s="37"/>
      <c r="AY3719" s="37"/>
      <c r="AZ3719" s="37"/>
      <c r="BA3719" s="37"/>
      <c r="BB3719" s="37"/>
      <c r="BC3719" s="37"/>
      <c r="BD3719" s="37"/>
      <c r="BE3719" s="37"/>
      <c r="BF3719" s="37"/>
      <c r="BG3719" s="37"/>
      <c r="BH3719" s="37"/>
      <c r="BI3719" s="37"/>
      <c r="BJ3719" s="37"/>
      <c r="BK3719" s="37"/>
      <c r="BL3719" s="37"/>
      <c r="BM3719" s="37"/>
    </row>
    <row r="3720" spans="1:65" s="40" customFormat="1" ht="23.25" x14ac:dyDescent="0.35">
      <c r="A3720" s="37"/>
      <c r="B3720" s="37"/>
      <c r="C3720" s="41"/>
      <c r="D3720" s="38"/>
      <c r="E3720" s="57"/>
      <c r="F3720" s="42"/>
      <c r="G3720" s="43"/>
      <c r="H3720" s="37"/>
      <c r="I3720" s="37"/>
      <c r="J3720" s="38"/>
      <c r="K3720" s="37"/>
      <c r="L3720" s="38"/>
      <c r="M3720" s="39"/>
      <c r="P3720" s="37"/>
      <c r="Q3720" s="37"/>
      <c r="R3720" s="37"/>
      <c r="S3720" s="37"/>
      <c r="T3720" s="37"/>
      <c r="U3720" s="37"/>
      <c r="V3720" s="37"/>
      <c r="W3720" s="37"/>
      <c r="X3720" s="37"/>
      <c r="Y3720" s="37"/>
      <c r="Z3720" s="37"/>
      <c r="AA3720" s="37"/>
      <c r="AB3720" s="37"/>
      <c r="AC3720" s="37"/>
      <c r="AD3720" s="37"/>
      <c r="AE3720" s="37"/>
      <c r="AF3720" s="37"/>
      <c r="AG3720" s="37"/>
      <c r="AH3720" s="37"/>
      <c r="AI3720" s="37"/>
      <c r="AJ3720" s="37"/>
      <c r="AK3720" s="37"/>
      <c r="AL3720" s="37"/>
      <c r="AM3720" s="37"/>
      <c r="AN3720" s="37"/>
      <c r="AO3720" s="37"/>
      <c r="AP3720" s="37"/>
      <c r="AQ3720" s="37"/>
      <c r="AR3720" s="37"/>
      <c r="AS3720" s="37"/>
      <c r="AT3720" s="37"/>
      <c r="AU3720" s="37"/>
      <c r="AV3720" s="37"/>
      <c r="AW3720" s="37"/>
      <c r="AX3720" s="37"/>
      <c r="AY3720" s="37"/>
      <c r="AZ3720" s="37"/>
      <c r="BA3720" s="37"/>
      <c r="BB3720" s="37"/>
      <c r="BC3720" s="37"/>
      <c r="BD3720" s="37"/>
      <c r="BE3720" s="37"/>
      <c r="BF3720" s="37"/>
      <c r="BG3720" s="37"/>
      <c r="BH3720" s="37"/>
      <c r="BI3720" s="37"/>
      <c r="BJ3720" s="37"/>
      <c r="BK3720" s="37"/>
      <c r="BL3720" s="37"/>
      <c r="BM3720" s="37"/>
    </row>
    <row r="3721" spans="1:65" s="40" customFormat="1" ht="23.25" x14ac:dyDescent="0.35">
      <c r="A3721" s="37"/>
      <c r="B3721" s="37"/>
      <c r="C3721" s="41"/>
      <c r="D3721" s="38"/>
      <c r="E3721" s="57"/>
      <c r="F3721" s="42"/>
      <c r="G3721" s="43"/>
      <c r="H3721" s="37"/>
      <c r="I3721" s="37"/>
      <c r="J3721" s="38"/>
      <c r="K3721" s="37"/>
      <c r="L3721" s="38"/>
      <c r="M3721" s="39"/>
      <c r="P3721" s="37"/>
      <c r="Q3721" s="37"/>
      <c r="R3721" s="37"/>
      <c r="S3721" s="37"/>
      <c r="T3721" s="37"/>
      <c r="U3721" s="37"/>
      <c r="V3721" s="37"/>
      <c r="W3721" s="37"/>
      <c r="X3721" s="37"/>
      <c r="Y3721" s="37"/>
      <c r="Z3721" s="37"/>
      <c r="AA3721" s="37"/>
      <c r="AB3721" s="37"/>
      <c r="AC3721" s="37"/>
      <c r="AD3721" s="37"/>
      <c r="AE3721" s="37"/>
      <c r="AF3721" s="37"/>
      <c r="AG3721" s="37"/>
      <c r="AH3721" s="37"/>
      <c r="AI3721" s="37"/>
      <c r="AJ3721" s="37"/>
      <c r="AK3721" s="37"/>
      <c r="AL3721" s="37"/>
      <c r="AM3721" s="37"/>
      <c r="AN3721" s="37"/>
      <c r="AO3721" s="37"/>
      <c r="AP3721" s="37"/>
      <c r="AQ3721" s="37"/>
      <c r="AR3721" s="37"/>
      <c r="AS3721" s="37"/>
      <c r="AT3721" s="37"/>
      <c r="AU3721" s="37"/>
      <c r="AV3721" s="37"/>
      <c r="AW3721" s="37"/>
      <c r="AX3721" s="37"/>
      <c r="AY3721" s="37"/>
      <c r="AZ3721" s="37"/>
      <c r="BA3721" s="37"/>
      <c r="BB3721" s="37"/>
      <c r="BC3721" s="37"/>
      <c r="BD3721" s="37"/>
      <c r="BE3721" s="37"/>
      <c r="BF3721" s="37"/>
      <c r="BG3721" s="37"/>
      <c r="BH3721" s="37"/>
      <c r="BI3721" s="37"/>
      <c r="BJ3721" s="37"/>
      <c r="BK3721" s="37"/>
      <c r="BL3721" s="37"/>
      <c r="BM3721" s="37"/>
    </row>
    <row r="3722" spans="1:65" s="40" customFormat="1" ht="23.25" x14ac:dyDescent="0.35">
      <c r="A3722" s="37"/>
      <c r="B3722" s="37"/>
      <c r="C3722" s="41"/>
      <c r="D3722" s="38"/>
      <c r="E3722" s="57"/>
      <c r="F3722" s="42"/>
      <c r="G3722" s="43"/>
      <c r="H3722" s="37"/>
      <c r="I3722" s="37"/>
      <c r="J3722" s="38"/>
      <c r="K3722" s="37"/>
      <c r="L3722" s="38"/>
      <c r="M3722" s="39"/>
      <c r="P3722" s="37"/>
      <c r="Q3722" s="37"/>
      <c r="R3722" s="37"/>
      <c r="S3722" s="37"/>
      <c r="T3722" s="37"/>
      <c r="U3722" s="37"/>
      <c r="V3722" s="37"/>
      <c r="W3722" s="37"/>
      <c r="X3722" s="37"/>
      <c r="Y3722" s="37"/>
      <c r="Z3722" s="37"/>
      <c r="AA3722" s="37"/>
      <c r="AB3722" s="37"/>
      <c r="AC3722" s="37"/>
      <c r="AD3722" s="37"/>
      <c r="AE3722" s="37"/>
      <c r="AF3722" s="37"/>
      <c r="AG3722" s="37"/>
      <c r="AH3722" s="37"/>
      <c r="AI3722" s="37"/>
      <c r="AJ3722" s="37"/>
      <c r="AK3722" s="37"/>
      <c r="AL3722" s="37"/>
      <c r="AM3722" s="37"/>
      <c r="AN3722" s="37"/>
      <c r="AO3722" s="37"/>
      <c r="AP3722" s="37"/>
      <c r="AQ3722" s="37"/>
      <c r="AR3722" s="37"/>
      <c r="AS3722" s="37"/>
      <c r="AT3722" s="37"/>
      <c r="AU3722" s="37"/>
      <c r="AV3722" s="37"/>
      <c r="AW3722" s="37"/>
      <c r="AX3722" s="37"/>
      <c r="AY3722" s="37"/>
      <c r="AZ3722" s="37"/>
      <c r="BA3722" s="37"/>
      <c r="BB3722" s="37"/>
      <c r="BC3722" s="37"/>
      <c r="BD3722" s="37"/>
      <c r="BE3722" s="37"/>
      <c r="BF3722" s="37"/>
      <c r="BG3722" s="37"/>
      <c r="BH3722" s="37"/>
      <c r="BI3722" s="37"/>
      <c r="BJ3722" s="37"/>
      <c r="BK3722" s="37"/>
      <c r="BL3722" s="37"/>
      <c r="BM3722" s="37"/>
    </row>
    <row r="3723" spans="1:65" s="40" customFormat="1" ht="23.25" x14ac:dyDescent="0.35">
      <c r="A3723" s="37"/>
      <c r="B3723" s="37"/>
      <c r="C3723" s="41"/>
      <c r="D3723" s="38"/>
      <c r="E3723" s="57"/>
      <c r="F3723" s="42"/>
      <c r="G3723" s="43"/>
      <c r="H3723" s="37"/>
      <c r="I3723" s="37"/>
      <c r="J3723" s="38"/>
      <c r="K3723" s="37"/>
      <c r="L3723" s="38"/>
      <c r="M3723" s="39"/>
      <c r="P3723" s="37"/>
      <c r="Q3723" s="37"/>
      <c r="R3723" s="37"/>
      <c r="S3723" s="37"/>
      <c r="T3723" s="37"/>
      <c r="U3723" s="37"/>
      <c r="V3723" s="37"/>
      <c r="W3723" s="37"/>
      <c r="X3723" s="37"/>
      <c r="Y3723" s="37"/>
      <c r="Z3723" s="37"/>
      <c r="AA3723" s="37"/>
      <c r="AB3723" s="37"/>
      <c r="AC3723" s="37"/>
      <c r="AD3723" s="37"/>
      <c r="AE3723" s="37"/>
      <c r="AF3723" s="37"/>
      <c r="AG3723" s="37"/>
      <c r="AH3723" s="37"/>
      <c r="AI3723" s="37"/>
      <c r="AJ3723" s="37"/>
      <c r="AK3723" s="37"/>
      <c r="AL3723" s="37"/>
      <c r="AM3723" s="37"/>
      <c r="AN3723" s="37"/>
      <c r="AO3723" s="37"/>
      <c r="AP3723" s="37"/>
      <c r="AQ3723" s="37"/>
      <c r="AR3723" s="37"/>
      <c r="AS3723" s="37"/>
      <c r="AT3723" s="37"/>
      <c r="AU3723" s="37"/>
      <c r="AV3723" s="37"/>
      <c r="AW3723" s="37"/>
      <c r="AX3723" s="37"/>
      <c r="AY3723" s="37"/>
      <c r="AZ3723" s="37"/>
      <c r="BA3723" s="37"/>
      <c r="BB3723" s="37"/>
      <c r="BC3723" s="37"/>
      <c r="BD3723" s="37"/>
      <c r="BE3723" s="37"/>
      <c r="BF3723" s="37"/>
      <c r="BG3723" s="37"/>
      <c r="BH3723" s="37"/>
      <c r="BI3723" s="37"/>
      <c r="BJ3723" s="37"/>
      <c r="BK3723" s="37"/>
      <c r="BL3723" s="37"/>
      <c r="BM3723" s="37"/>
    </row>
    <row r="3724" spans="1:65" s="40" customFormat="1" ht="23.25" x14ac:dyDescent="0.35">
      <c r="A3724" s="37"/>
      <c r="B3724" s="37"/>
      <c r="C3724" s="41"/>
      <c r="D3724" s="38"/>
      <c r="E3724" s="57"/>
      <c r="F3724" s="42"/>
      <c r="G3724" s="43"/>
      <c r="H3724" s="37"/>
      <c r="I3724" s="37"/>
      <c r="J3724" s="38"/>
      <c r="K3724" s="37"/>
      <c r="L3724" s="38"/>
      <c r="M3724" s="39"/>
      <c r="P3724" s="37"/>
      <c r="Q3724" s="37"/>
      <c r="R3724" s="37"/>
      <c r="S3724" s="37"/>
      <c r="T3724" s="37"/>
      <c r="U3724" s="37"/>
      <c r="V3724" s="37"/>
      <c r="W3724" s="37"/>
      <c r="X3724" s="37"/>
      <c r="Y3724" s="37"/>
      <c r="Z3724" s="37"/>
      <c r="AA3724" s="37"/>
      <c r="AB3724" s="37"/>
      <c r="AC3724" s="37"/>
      <c r="AD3724" s="37"/>
      <c r="AE3724" s="37"/>
      <c r="AF3724" s="37"/>
      <c r="AG3724" s="37"/>
      <c r="AH3724" s="37"/>
      <c r="AI3724" s="37"/>
      <c r="AJ3724" s="37"/>
      <c r="AK3724" s="37"/>
      <c r="AL3724" s="37"/>
      <c r="AM3724" s="37"/>
      <c r="AN3724" s="37"/>
      <c r="AO3724" s="37"/>
      <c r="AP3724" s="37"/>
      <c r="AQ3724" s="37"/>
      <c r="AR3724" s="37"/>
      <c r="AS3724" s="37"/>
      <c r="AT3724" s="37"/>
      <c r="AU3724" s="37"/>
      <c r="AV3724" s="37"/>
      <c r="AW3724" s="37"/>
      <c r="AX3724" s="37"/>
      <c r="AY3724" s="37"/>
      <c r="AZ3724" s="37"/>
      <c r="BA3724" s="37"/>
      <c r="BB3724" s="37"/>
      <c r="BC3724" s="37"/>
      <c r="BD3724" s="37"/>
      <c r="BE3724" s="37"/>
      <c r="BF3724" s="37"/>
      <c r="BG3724" s="37"/>
      <c r="BH3724" s="37"/>
      <c r="BI3724" s="37"/>
      <c r="BJ3724" s="37"/>
      <c r="BK3724" s="37"/>
      <c r="BL3724" s="37"/>
      <c r="BM3724" s="37"/>
    </row>
    <row r="3725" spans="1:65" s="40" customFormat="1" ht="23.25" x14ac:dyDescent="0.35">
      <c r="A3725" s="37"/>
      <c r="B3725" s="37"/>
      <c r="C3725" s="41"/>
      <c r="D3725" s="38"/>
      <c r="E3725" s="57"/>
      <c r="F3725" s="42"/>
      <c r="G3725" s="43"/>
      <c r="H3725" s="37"/>
      <c r="I3725" s="37"/>
      <c r="J3725" s="38"/>
      <c r="K3725" s="37"/>
      <c r="L3725" s="38"/>
      <c r="M3725" s="39"/>
      <c r="P3725" s="37"/>
      <c r="Q3725" s="37"/>
      <c r="R3725" s="37"/>
      <c r="S3725" s="37"/>
      <c r="T3725" s="37"/>
      <c r="U3725" s="37"/>
      <c r="V3725" s="37"/>
      <c r="W3725" s="37"/>
      <c r="X3725" s="37"/>
      <c r="Y3725" s="37"/>
      <c r="Z3725" s="37"/>
      <c r="AA3725" s="37"/>
      <c r="AB3725" s="37"/>
      <c r="AC3725" s="37"/>
      <c r="AD3725" s="37"/>
      <c r="AE3725" s="37"/>
      <c r="AF3725" s="37"/>
      <c r="AG3725" s="37"/>
      <c r="AH3725" s="37"/>
      <c r="AI3725" s="37"/>
      <c r="AJ3725" s="37"/>
      <c r="AK3725" s="37"/>
      <c r="AL3725" s="37"/>
      <c r="AM3725" s="37"/>
      <c r="AN3725" s="37"/>
      <c r="AO3725" s="37"/>
      <c r="AP3725" s="37"/>
      <c r="AQ3725" s="37"/>
      <c r="AR3725" s="37"/>
      <c r="AS3725" s="37"/>
      <c r="AT3725" s="37"/>
      <c r="AU3725" s="37"/>
      <c r="AV3725" s="37"/>
      <c r="AW3725" s="37"/>
      <c r="AX3725" s="37"/>
      <c r="AY3725" s="37"/>
      <c r="AZ3725" s="37"/>
      <c r="BA3725" s="37"/>
      <c r="BB3725" s="37"/>
      <c r="BC3725" s="37"/>
      <c r="BD3725" s="37"/>
      <c r="BE3725" s="37"/>
      <c r="BF3725" s="37"/>
      <c r="BG3725" s="37"/>
      <c r="BH3725" s="37"/>
      <c r="BI3725" s="37"/>
      <c r="BJ3725" s="37"/>
      <c r="BK3725" s="37"/>
      <c r="BL3725" s="37"/>
      <c r="BM3725" s="37"/>
    </row>
    <row r="3726" spans="1:65" s="40" customFormat="1" ht="23.25" x14ac:dyDescent="0.35">
      <c r="A3726" s="37"/>
      <c r="B3726" s="37"/>
      <c r="C3726" s="41"/>
      <c r="D3726" s="38"/>
      <c r="E3726" s="57"/>
      <c r="F3726" s="42"/>
      <c r="G3726" s="43"/>
      <c r="H3726" s="37"/>
      <c r="I3726" s="37"/>
      <c r="J3726" s="38"/>
      <c r="K3726" s="37"/>
      <c r="L3726" s="38"/>
      <c r="M3726" s="39"/>
      <c r="P3726" s="37"/>
      <c r="Q3726" s="37"/>
      <c r="R3726" s="37"/>
      <c r="S3726" s="37"/>
      <c r="T3726" s="37"/>
      <c r="U3726" s="37"/>
      <c r="V3726" s="37"/>
      <c r="W3726" s="37"/>
      <c r="X3726" s="37"/>
      <c r="Y3726" s="37"/>
      <c r="Z3726" s="37"/>
      <c r="AA3726" s="37"/>
      <c r="AB3726" s="37"/>
      <c r="AC3726" s="37"/>
      <c r="AD3726" s="37"/>
      <c r="AE3726" s="37"/>
      <c r="AF3726" s="37"/>
      <c r="AG3726" s="37"/>
      <c r="AH3726" s="37"/>
      <c r="AI3726" s="37"/>
      <c r="AJ3726" s="37"/>
      <c r="AK3726" s="37"/>
      <c r="AL3726" s="37"/>
      <c r="AM3726" s="37"/>
      <c r="AN3726" s="37"/>
      <c r="AO3726" s="37"/>
      <c r="AP3726" s="37"/>
      <c r="AQ3726" s="37"/>
      <c r="AR3726" s="37"/>
      <c r="AS3726" s="37"/>
      <c r="AT3726" s="37"/>
      <c r="AU3726" s="37"/>
      <c r="AV3726" s="37"/>
      <c r="AW3726" s="37"/>
      <c r="AX3726" s="37"/>
      <c r="AY3726" s="37"/>
      <c r="AZ3726" s="37"/>
      <c r="BA3726" s="37"/>
      <c r="BB3726" s="37"/>
      <c r="BC3726" s="37"/>
      <c r="BD3726" s="37"/>
      <c r="BE3726" s="37"/>
      <c r="BF3726" s="37"/>
      <c r="BG3726" s="37"/>
      <c r="BH3726" s="37"/>
      <c r="BI3726" s="37"/>
      <c r="BJ3726" s="37"/>
      <c r="BK3726" s="37"/>
      <c r="BL3726" s="37"/>
      <c r="BM3726" s="37"/>
    </row>
    <row r="3727" spans="1:65" s="40" customFormat="1" ht="23.25" x14ac:dyDescent="0.35">
      <c r="A3727" s="37"/>
      <c r="B3727" s="37"/>
      <c r="C3727" s="41"/>
      <c r="D3727" s="38"/>
      <c r="E3727" s="57"/>
      <c r="F3727" s="42"/>
      <c r="G3727" s="43"/>
      <c r="H3727" s="37"/>
      <c r="I3727" s="37"/>
      <c r="J3727" s="38"/>
      <c r="K3727" s="37"/>
      <c r="L3727" s="38"/>
      <c r="M3727" s="39"/>
      <c r="P3727" s="37"/>
      <c r="Q3727" s="37"/>
      <c r="R3727" s="37"/>
      <c r="S3727" s="37"/>
      <c r="T3727" s="37"/>
      <c r="U3727" s="37"/>
      <c r="V3727" s="37"/>
      <c r="W3727" s="37"/>
      <c r="X3727" s="37"/>
      <c r="Y3727" s="37"/>
      <c r="Z3727" s="37"/>
      <c r="AA3727" s="37"/>
      <c r="AB3727" s="37"/>
      <c r="AC3727" s="37"/>
      <c r="AD3727" s="37"/>
      <c r="AE3727" s="37"/>
      <c r="AF3727" s="37"/>
      <c r="AG3727" s="37"/>
      <c r="AH3727" s="37"/>
      <c r="AI3727" s="37"/>
      <c r="AJ3727" s="37"/>
      <c r="AK3727" s="37"/>
      <c r="AL3727" s="37"/>
      <c r="AM3727" s="37"/>
      <c r="AN3727" s="37"/>
      <c r="AO3727" s="37"/>
      <c r="AP3727" s="37"/>
      <c r="AQ3727" s="37"/>
      <c r="AR3727" s="37"/>
      <c r="AS3727" s="37"/>
      <c r="AT3727" s="37"/>
      <c r="AU3727" s="37"/>
      <c r="AV3727" s="37"/>
      <c r="AW3727" s="37"/>
      <c r="AX3727" s="37"/>
      <c r="AY3727" s="37"/>
      <c r="AZ3727" s="37"/>
      <c r="BA3727" s="37"/>
      <c r="BB3727" s="37"/>
      <c r="BC3727" s="37"/>
      <c r="BD3727" s="37"/>
      <c r="BE3727" s="37"/>
      <c r="BF3727" s="37"/>
      <c r="BG3727" s="37"/>
      <c r="BH3727" s="37"/>
      <c r="BI3727" s="37"/>
      <c r="BJ3727" s="37"/>
      <c r="BK3727" s="37"/>
      <c r="BL3727" s="37"/>
      <c r="BM3727" s="37"/>
    </row>
    <row r="3728" spans="1:65" s="40" customFormat="1" ht="23.25" x14ac:dyDescent="0.35">
      <c r="A3728" s="37"/>
      <c r="B3728" s="37"/>
      <c r="C3728" s="41"/>
      <c r="D3728" s="38"/>
      <c r="E3728" s="57"/>
      <c r="F3728" s="42"/>
      <c r="G3728" s="43"/>
      <c r="H3728" s="37"/>
      <c r="I3728" s="37"/>
      <c r="J3728" s="38"/>
      <c r="K3728" s="37"/>
      <c r="L3728" s="38"/>
      <c r="M3728" s="39"/>
      <c r="P3728" s="37"/>
      <c r="Q3728" s="37"/>
      <c r="R3728" s="37"/>
      <c r="S3728" s="37"/>
      <c r="T3728" s="37"/>
      <c r="U3728" s="37"/>
      <c r="V3728" s="37"/>
      <c r="W3728" s="37"/>
      <c r="X3728" s="37"/>
      <c r="Y3728" s="37"/>
      <c r="Z3728" s="37"/>
      <c r="AA3728" s="37"/>
      <c r="AB3728" s="37"/>
      <c r="AC3728" s="37"/>
      <c r="AD3728" s="37"/>
      <c r="AE3728" s="37"/>
      <c r="AF3728" s="37"/>
      <c r="AG3728" s="37"/>
      <c r="AH3728" s="37"/>
      <c r="AI3728" s="37"/>
      <c r="AJ3728" s="37"/>
      <c r="AK3728" s="37"/>
      <c r="AL3728" s="37"/>
      <c r="AM3728" s="37"/>
      <c r="AN3728" s="37"/>
      <c r="AO3728" s="37"/>
      <c r="AP3728" s="37"/>
      <c r="AQ3728" s="37"/>
      <c r="AR3728" s="37"/>
      <c r="AS3728" s="37"/>
      <c r="AT3728" s="37"/>
      <c r="AU3728" s="37"/>
      <c r="AV3728" s="37"/>
      <c r="AW3728" s="37"/>
      <c r="AX3728" s="37"/>
      <c r="AY3728" s="37"/>
      <c r="AZ3728" s="37"/>
      <c r="BA3728" s="37"/>
      <c r="BB3728" s="37"/>
      <c r="BC3728" s="37"/>
      <c r="BD3728" s="37"/>
      <c r="BE3728" s="37"/>
      <c r="BF3728" s="37"/>
      <c r="BG3728" s="37"/>
      <c r="BH3728" s="37"/>
      <c r="BI3728" s="37"/>
      <c r="BJ3728" s="37"/>
      <c r="BK3728" s="37"/>
      <c r="BL3728" s="37"/>
      <c r="BM3728" s="37"/>
    </row>
    <row r="3729" spans="1:65" s="40" customFormat="1" ht="23.25" x14ac:dyDescent="0.35">
      <c r="A3729" s="37"/>
      <c r="B3729" s="37"/>
      <c r="C3729" s="41"/>
      <c r="D3729" s="38"/>
      <c r="E3729" s="57"/>
      <c r="F3729" s="42"/>
      <c r="G3729" s="43"/>
      <c r="H3729" s="37"/>
      <c r="I3729" s="37"/>
      <c r="J3729" s="38"/>
      <c r="K3729" s="37"/>
      <c r="L3729" s="38"/>
      <c r="M3729" s="39"/>
      <c r="P3729" s="37"/>
      <c r="Q3729" s="37"/>
      <c r="R3729" s="37"/>
      <c r="S3729" s="37"/>
      <c r="T3729" s="37"/>
      <c r="U3729" s="37"/>
      <c r="V3729" s="37"/>
      <c r="W3729" s="37"/>
      <c r="X3729" s="37"/>
      <c r="Y3729" s="37"/>
      <c r="Z3729" s="37"/>
      <c r="AA3729" s="37"/>
      <c r="AB3729" s="37"/>
      <c r="AC3729" s="37"/>
      <c r="AD3729" s="37"/>
      <c r="AE3729" s="37"/>
      <c r="AF3729" s="37"/>
      <c r="AG3729" s="37"/>
      <c r="AH3729" s="37"/>
      <c r="AI3729" s="37"/>
      <c r="AJ3729" s="37"/>
      <c r="AK3729" s="37"/>
      <c r="AL3729" s="37"/>
      <c r="AM3729" s="37"/>
      <c r="AN3729" s="37"/>
      <c r="AO3729" s="37"/>
      <c r="AP3729" s="37"/>
      <c r="AQ3729" s="37"/>
      <c r="AR3729" s="37"/>
      <c r="AS3729" s="37"/>
      <c r="AT3729" s="37"/>
      <c r="AU3729" s="37"/>
      <c r="AV3729" s="37"/>
      <c r="AW3729" s="37"/>
      <c r="AX3729" s="37"/>
      <c r="AY3729" s="37"/>
      <c r="AZ3729" s="37"/>
      <c r="BA3729" s="37"/>
      <c r="BB3729" s="37"/>
      <c r="BC3729" s="37"/>
      <c r="BD3729" s="37"/>
      <c r="BE3729" s="37"/>
      <c r="BF3729" s="37"/>
      <c r="BG3729" s="37"/>
      <c r="BH3729" s="37"/>
      <c r="BI3729" s="37"/>
      <c r="BJ3729" s="37"/>
      <c r="BK3729" s="37"/>
      <c r="BL3729" s="37"/>
      <c r="BM3729" s="37"/>
    </row>
    <row r="3730" spans="1:65" s="40" customFormat="1" ht="23.25" x14ac:dyDescent="0.35">
      <c r="A3730" s="37"/>
      <c r="B3730" s="37"/>
      <c r="C3730" s="41"/>
      <c r="D3730" s="38"/>
      <c r="E3730" s="57"/>
      <c r="F3730" s="42"/>
      <c r="G3730" s="43"/>
      <c r="H3730" s="37"/>
      <c r="I3730" s="37"/>
      <c r="J3730" s="38"/>
      <c r="K3730" s="37"/>
      <c r="L3730" s="38"/>
      <c r="M3730" s="39"/>
      <c r="P3730" s="37"/>
      <c r="Q3730" s="37"/>
      <c r="R3730" s="37"/>
      <c r="S3730" s="37"/>
      <c r="T3730" s="37"/>
      <c r="U3730" s="37"/>
      <c r="V3730" s="37"/>
      <c r="W3730" s="37"/>
      <c r="X3730" s="37"/>
      <c r="Y3730" s="37"/>
      <c r="Z3730" s="37"/>
      <c r="AA3730" s="37"/>
      <c r="AB3730" s="37"/>
      <c r="AC3730" s="37"/>
      <c r="AD3730" s="37"/>
      <c r="AE3730" s="37"/>
      <c r="AF3730" s="37"/>
      <c r="AG3730" s="37"/>
      <c r="AH3730" s="37"/>
      <c r="AI3730" s="37"/>
      <c r="AJ3730" s="37"/>
      <c r="AK3730" s="37"/>
      <c r="AL3730" s="37"/>
      <c r="AM3730" s="37"/>
      <c r="AN3730" s="37"/>
      <c r="AO3730" s="37"/>
      <c r="AP3730" s="37"/>
      <c r="AQ3730" s="37"/>
      <c r="AR3730" s="37"/>
      <c r="AS3730" s="37"/>
      <c r="AT3730" s="37"/>
      <c r="AU3730" s="37"/>
      <c r="AV3730" s="37"/>
      <c r="AW3730" s="37"/>
      <c r="AX3730" s="37"/>
      <c r="AY3730" s="37"/>
      <c r="AZ3730" s="37"/>
      <c r="BA3730" s="37"/>
      <c r="BB3730" s="37"/>
      <c r="BC3730" s="37"/>
      <c r="BD3730" s="37"/>
      <c r="BE3730" s="37"/>
      <c r="BF3730" s="37"/>
      <c r="BG3730" s="37"/>
      <c r="BH3730" s="37"/>
      <c r="BI3730" s="37"/>
      <c r="BJ3730" s="37"/>
      <c r="BK3730" s="37"/>
      <c r="BL3730" s="37"/>
      <c r="BM3730" s="37"/>
    </row>
    <row r="3731" spans="1:65" s="40" customFormat="1" ht="23.25" x14ac:dyDescent="0.35">
      <c r="A3731" s="37"/>
      <c r="B3731" s="37"/>
      <c r="C3731" s="41"/>
      <c r="D3731" s="38"/>
      <c r="E3731" s="57"/>
      <c r="F3731" s="42"/>
      <c r="G3731" s="43"/>
      <c r="H3731" s="37"/>
      <c r="I3731" s="37"/>
      <c r="J3731" s="38"/>
      <c r="K3731" s="37"/>
      <c r="L3731" s="38"/>
      <c r="M3731" s="39"/>
      <c r="P3731" s="37"/>
      <c r="Q3731" s="37"/>
      <c r="R3731" s="37"/>
      <c r="S3731" s="37"/>
      <c r="T3731" s="37"/>
      <c r="U3731" s="37"/>
      <c r="V3731" s="37"/>
      <c r="W3731" s="37"/>
      <c r="X3731" s="37"/>
      <c r="Y3731" s="37"/>
      <c r="Z3731" s="37"/>
      <c r="AA3731" s="37"/>
      <c r="AB3731" s="37"/>
      <c r="AC3731" s="37"/>
      <c r="AD3731" s="37"/>
      <c r="AE3731" s="37"/>
      <c r="AF3731" s="37"/>
      <c r="AG3731" s="37"/>
      <c r="AH3731" s="37"/>
      <c r="AI3731" s="37"/>
      <c r="AJ3731" s="37"/>
      <c r="AK3731" s="37"/>
      <c r="AL3731" s="37"/>
      <c r="AM3731" s="37"/>
      <c r="AN3731" s="37"/>
      <c r="AO3731" s="37"/>
      <c r="AP3731" s="37"/>
      <c r="AQ3731" s="37"/>
      <c r="AR3731" s="37"/>
      <c r="AS3731" s="37"/>
      <c r="AT3731" s="37"/>
      <c r="AU3731" s="37"/>
      <c r="AV3731" s="37"/>
      <c r="AW3731" s="37"/>
      <c r="AX3731" s="37"/>
      <c r="AY3731" s="37"/>
      <c r="AZ3731" s="37"/>
      <c r="BA3731" s="37"/>
      <c r="BB3731" s="37"/>
      <c r="BC3731" s="37"/>
      <c r="BD3731" s="37"/>
      <c r="BE3731" s="37"/>
      <c r="BF3731" s="37"/>
      <c r="BG3731" s="37"/>
      <c r="BH3731" s="37"/>
      <c r="BI3731" s="37"/>
      <c r="BJ3731" s="37"/>
      <c r="BK3731" s="37"/>
      <c r="BL3731" s="37"/>
      <c r="BM3731" s="37"/>
    </row>
    <row r="3732" spans="1:65" s="40" customFormat="1" ht="23.25" x14ac:dyDescent="0.35">
      <c r="A3732" s="37"/>
      <c r="B3732" s="37"/>
      <c r="C3732" s="41"/>
      <c r="D3732" s="38"/>
      <c r="E3732" s="57"/>
      <c r="F3732" s="42"/>
      <c r="G3732" s="43"/>
      <c r="H3732" s="37"/>
      <c r="I3732" s="37"/>
      <c r="J3732" s="38"/>
      <c r="K3732" s="37"/>
      <c r="L3732" s="38"/>
      <c r="M3732" s="39"/>
      <c r="P3732" s="37"/>
      <c r="Q3732" s="37"/>
      <c r="R3732" s="37"/>
      <c r="S3732" s="37"/>
      <c r="T3732" s="37"/>
      <c r="U3732" s="37"/>
      <c r="V3732" s="37"/>
      <c r="W3732" s="37"/>
      <c r="X3732" s="37"/>
      <c r="Y3732" s="37"/>
      <c r="Z3732" s="37"/>
      <c r="AA3732" s="37"/>
      <c r="AB3732" s="37"/>
      <c r="AC3732" s="37"/>
      <c r="AD3732" s="37"/>
      <c r="AE3732" s="37"/>
      <c r="AF3732" s="37"/>
      <c r="AG3732" s="37"/>
      <c r="AH3732" s="37"/>
      <c r="AI3732" s="37"/>
      <c r="AJ3732" s="37"/>
      <c r="AK3732" s="37"/>
      <c r="AL3732" s="37"/>
      <c r="AM3732" s="37"/>
      <c r="AN3732" s="37"/>
      <c r="AO3732" s="37"/>
      <c r="AP3732" s="37"/>
      <c r="AQ3732" s="37"/>
      <c r="AR3732" s="37"/>
      <c r="AS3732" s="37"/>
      <c r="AT3732" s="37"/>
      <c r="AU3732" s="37"/>
      <c r="AV3732" s="37"/>
      <c r="AW3732" s="37"/>
      <c r="AX3732" s="37"/>
      <c r="AY3732" s="37"/>
      <c r="AZ3732" s="37"/>
      <c r="BA3732" s="37"/>
      <c r="BB3732" s="37"/>
      <c r="BC3732" s="37"/>
      <c r="BD3732" s="37"/>
      <c r="BE3732" s="37"/>
      <c r="BF3732" s="37"/>
      <c r="BG3732" s="37"/>
      <c r="BH3732" s="37"/>
      <c r="BI3732" s="37"/>
      <c r="BJ3732" s="37"/>
      <c r="BK3732" s="37"/>
      <c r="BL3732" s="37"/>
      <c r="BM3732" s="37"/>
    </row>
    <row r="3733" spans="1:65" s="40" customFormat="1" ht="23.25" x14ac:dyDescent="0.35">
      <c r="A3733" s="37"/>
      <c r="B3733" s="37"/>
      <c r="C3733" s="41"/>
      <c r="D3733" s="38"/>
      <c r="E3733" s="57"/>
      <c r="F3733" s="42"/>
      <c r="G3733" s="43"/>
      <c r="H3733" s="37"/>
      <c r="I3733" s="37"/>
      <c r="J3733" s="38"/>
      <c r="K3733" s="37"/>
      <c r="L3733" s="38"/>
      <c r="M3733" s="39"/>
      <c r="P3733" s="37"/>
      <c r="Q3733" s="37"/>
      <c r="R3733" s="37"/>
      <c r="S3733" s="37"/>
      <c r="T3733" s="37"/>
      <c r="U3733" s="37"/>
      <c r="V3733" s="37"/>
      <c r="W3733" s="37"/>
      <c r="X3733" s="37"/>
      <c r="Y3733" s="37"/>
      <c r="Z3733" s="37"/>
      <c r="AA3733" s="37"/>
      <c r="AB3733" s="37"/>
      <c r="AC3733" s="37"/>
      <c r="AD3733" s="37"/>
      <c r="AE3733" s="37"/>
      <c r="AF3733" s="37"/>
      <c r="AG3733" s="37"/>
      <c r="AH3733" s="37"/>
      <c r="AI3733" s="37"/>
      <c r="AJ3733" s="37"/>
      <c r="AK3733" s="37"/>
      <c r="AL3733" s="37"/>
      <c r="AM3733" s="37"/>
      <c r="AN3733" s="37"/>
      <c r="AO3733" s="37"/>
      <c r="AP3733" s="37"/>
      <c r="AQ3733" s="37"/>
      <c r="AR3733" s="37"/>
      <c r="AS3733" s="37"/>
      <c r="AT3733" s="37"/>
      <c r="AU3733" s="37"/>
      <c r="AV3733" s="37"/>
      <c r="AW3733" s="37"/>
      <c r="AX3733" s="37"/>
      <c r="AY3733" s="37"/>
      <c r="AZ3733" s="37"/>
      <c r="BA3733" s="37"/>
      <c r="BB3733" s="37"/>
      <c r="BC3733" s="37"/>
      <c r="BD3733" s="37"/>
      <c r="BE3733" s="37"/>
      <c r="BF3733" s="37"/>
      <c r="BG3733" s="37"/>
      <c r="BH3733" s="37"/>
      <c r="BI3733" s="37"/>
      <c r="BJ3733" s="37"/>
      <c r="BK3733" s="37"/>
      <c r="BL3733" s="37"/>
      <c r="BM3733" s="37"/>
    </row>
    <row r="3734" spans="1:65" s="40" customFormat="1" ht="23.25" x14ac:dyDescent="0.35">
      <c r="A3734" s="37"/>
      <c r="B3734" s="37"/>
      <c r="C3734" s="41"/>
      <c r="D3734" s="38"/>
      <c r="E3734" s="57"/>
      <c r="F3734" s="42"/>
      <c r="G3734" s="43"/>
      <c r="H3734" s="37"/>
      <c r="I3734" s="37"/>
      <c r="J3734" s="38"/>
      <c r="K3734" s="37"/>
      <c r="L3734" s="38"/>
      <c r="M3734" s="39"/>
      <c r="P3734" s="37"/>
      <c r="Q3734" s="37"/>
      <c r="R3734" s="37"/>
      <c r="S3734" s="37"/>
      <c r="T3734" s="37"/>
      <c r="U3734" s="37"/>
      <c r="V3734" s="37"/>
      <c r="W3734" s="37"/>
      <c r="X3734" s="37"/>
      <c r="Y3734" s="37"/>
      <c r="Z3734" s="37"/>
      <c r="AA3734" s="37"/>
      <c r="AB3734" s="37"/>
      <c r="AC3734" s="37"/>
      <c r="AD3734" s="37"/>
      <c r="AE3734" s="37"/>
      <c r="AF3734" s="37"/>
      <c r="AG3734" s="37"/>
      <c r="AH3734" s="37"/>
      <c r="AI3734" s="37"/>
      <c r="AJ3734" s="37"/>
      <c r="AK3734" s="37"/>
      <c r="AL3734" s="37"/>
      <c r="AM3734" s="37"/>
      <c r="AN3734" s="37"/>
      <c r="AO3734" s="37"/>
      <c r="AP3734" s="37"/>
      <c r="AQ3734" s="37"/>
      <c r="AR3734" s="37"/>
      <c r="AS3734" s="37"/>
      <c r="AT3734" s="37"/>
      <c r="AU3734" s="37"/>
      <c r="AV3734" s="37"/>
      <c r="AW3734" s="37"/>
      <c r="AX3734" s="37"/>
      <c r="AY3734" s="37"/>
      <c r="AZ3734" s="37"/>
      <c r="BA3734" s="37"/>
      <c r="BB3734" s="37"/>
      <c r="BC3734" s="37"/>
      <c r="BD3734" s="37"/>
      <c r="BE3734" s="37"/>
      <c r="BF3734" s="37"/>
      <c r="BG3734" s="37"/>
      <c r="BH3734" s="37"/>
      <c r="BI3734" s="37"/>
      <c r="BJ3734" s="37"/>
      <c r="BK3734" s="37"/>
      <c r="BL3734" s="37"/>
      <c r="BM3734" s="37"/>
    </row>
    <row r="3735" spans="1:65" s="40" customFormat="1" ht="23.25" x14ac:dyDescent="0.35">
      <c r="A3735" s="37"/>
      <c r="B3735" s="37"/>
      <c r="C3735" s="41"/>
      <c r="D3735" s="38"/>
      <c r="E3735" s="57"/>
      <c r="F3735" s="42"/>
      <c r="G3735" s="43"/>
      <c r="H3735" s="37"/>
      <c r="I3735" s="37"/>
      <c r="J3735" s="38"/>
      <c r="K3735" s="37"/>
      <c r="L3735" s="38"/>
      <c r="M3735" s="39"/>
      <c r="P3735" s="37"/>
      <c r="Q3735" s="37"/>
      <c r="R3735" s="37"/>
      <c r="S3735" s="37"/>
      <c r="T3735" s="37"/>
      <c r="U3735" s="37"/>
      <c r="V3735" s="37"/>
      <c r="W3735" s="37"/>
      <c r="X3735" s="37"/>
      <c r="Y3735" s="37"/>
      <c r="Z3735" s="37"/>
      <c r="AA3735" s="37"/>
      <c r="AB3735" s="37"/>
      <c r="AC3735" s="37"/>
      <c r="AD3735" s="37"/>
      <c r="AE3735" s="37"/>
      <c r="AF3735" s="37"/>
      <c r="AG3735" s="37"/>
      <c r="AH3735" s="37"/>
      <c r="AI3735" s="37"/>
      <c r="AJ3735" s="37"/>
      <c r="AK3735" s="37"/>
      <c r="AL3735" s="37"/>
      <c r="AM3735" s="37"/>
      <c r="AN3735" s="37"/>
      <c r="AO3735" s="37"/>
      <c r="AP3735" s="37"/>
      <c r="AQ3735" s="37"/>
      <c r="AR3735" s="37"/>
      <c r="AS3735" s="37"/>
      <c r="AT3735" s="37"/>
      <c r="AU3735" s="37"/>
      <c r="AV3735" s="37"/>
      <c r="AW3735" s="37"/>
      <c r="AX3735" s="37"/>
      <c r="AY3735" s="37"/>
      <c r="AZ3735" s="37"/>
      <c r="BA3735" s="37"/>
      <c r="BB3735" s="37"/>
      <c r="BC3735" s="37"/>
      <c r="BD3735" s="37"/>
      <c r="BE3735" s="37"/>
      <c r="BF3735" s="37"/>
      <c r="BG3735" s="37"/>
      <c r="BH3735" s="37"/>
      <c r="BI3735" s="37"/>
      <c r="BJ3735" s="37"/>
      <c r="BK3735" s="37"/>
      <c r="BL3735" s="37"/>
      <c r="BM3735" s="37"/>
    </row>
    <row r="3736" spans="1:65" s="40" customFormat="1" ht="23.25" x14ac:dyDescent="0.35">
      <c r="A3736" s="37"/>
      <c r="B3736" s="37"/>
      <c r="C3736" s="41"/>
      <c r="D3736" s="38"/>
      <c r="E3736" s="57"/>
      <c r="F3736" s="42"/>
      <c r="G3736" s="43"/>
      <c r="H3736" s="37"/>
      <c r="I3736" s="37"/>
      <c r="J3736" s="38"/>
      <c r="K3736" s="37"/>
      <c r="L3736" s="38"/>
      <c r="M3736" s="39"/>
      <c r="P3736" s="37"/>
      <c r="Q3736" s="37"/>
      <c r="R3736" s="37"/>
      <c r="S3736" s="37"/>
      <c r="T3736" s="37"/>
      <c r="U3736" s="37"/>
      <c r="V3736" s="37"/>
      <c r="W3736" s="37"/>
      <c r="X3736" s="37"/>
      <c r="Y3736" s="37"/>
      <c r="Z3736" s="37"/>
      <c r="AA3736" s="37"/>
      <c r="AB3736" s="37"/>
      <c r="AC3736" s="37"/>
      <c r="AD3736" s="37"/>
      <c r="AE3736" s="37"/>
      <c r="AF3736" s="37"/>
      <c r="AG3736" s="37"/>
      <c r="AH3736" s="37"/>
      <c r="AI3736" s="37"/>
      <c r="AJ3736" s="37"/>
      <c r="AK3736" s="37"/>
      <c r="AL3736" s="37"/>
      <c r="AM3736" s="37"/>
      <c r="AN3736" s="37"/>
      <c r="AO3736" s="37"/>
      <c r="AP3736" s="37"/>
      <c r="AQ3736" s="37"/>
      <c r="AR3736" s="37"/>
      <c r="AS3736" s="37"/>
      <c r="AT3736" s="37"/>
      <c r="AU3736" s="37"/>
      <c r="AV3736" s="37"/>
      <c r="AW3736" s="37"/>
      <c r="AX3736" s="37"/>
      <c r="AY3736" s="37"/>
      <c r="AZ3736" s="37"/>
      <c r="BA3736" s="37"/>
      <c r="BB3736" s="37"/>
      <c r="BC3736" s="37"/>
      <c r="BD3736" s="37"/>
      <c r="BE3736" s="37"/>
      <c r="BF3736" s="37"/>
      <c r="BG3736" s="37"/>
      <c r="BH3736" s="37"/>
      <c r="BI3736" s="37"/>
      <c r="BJ3736" s="37"/>
      <c r="BK3736" s="37"/>
      <c r="BL3736" s="37"/>
      <c r="BM3736" s="37"/>
    </row>
    <row r="3737" spans="1:65" s="40" customFormat="1" ht="23.25" x14ac:dyDescent="0.35">
      <c r="A3737" s="37"/>
      <c r="B3737" s="37"/>
      <c r="C3737" s="41"/>
      <c r="D3737" s="38"/>
      <c r="E3737" s="57"/>
      <c r="F3737" s="42"/>
      <c r="G3737" s="43"/>
      <c r="H3737" s="37"/>
      <c r="I3737" s="37"/>
      <c r="J3737" s="38"/>
      <c r="K3737" s="37"/>
      <c r="L3737" s="38"/>
      <c r="M3737" s="39"/>
      <c r="P3737" s="37"/>
      <c r="Q3737" s="37"/>
      <c r="R3737" s="37"/>
      <c r="S3737" s="37"/>
      <c r="T3737" s="37"/>
      <c r="U3737" s="37"/>
      <c r="V3737" s="37"/>
      <c r="W3737" s="37"/>
      <c r="X3737" s="37"/>
      <c r="Y3737" s="37"/>
      <c r="Z3737" s="37"/>
      <c r="AA3737" s="37"/>
      <c r="AB3737" s="37"/>
      <c r="AC3737" s="37"/>
      <c r="AD3737" s="37"/>
      <c r="AE3737" s="37"/>
      <c r="AF3737" s="37"/>
      <c r="AG3737" s="37"/>
      <c r="AH3737" s="37"/>
      <c r="AI3737" s="37"/>
      <c r="AJ3737" s="37"/>
      <c r="AK3737" s="37"/>
      <c r="AL3737" s="37"/>
      <c r="AM3737" s="37"/>
      <c r="AN3737" s="37"/>
      <c r="AO3737" s="37"/>
      <c r="AP3737" s="37"/>
      <c r="AQ3737" s="37"/>
      <c r="AR3737" s="37"/>
      <c r="AS3737" s="37"/>
      <c r="AT3737" s="37"/>
      <c r="AU3737" s="37"/>
      <c r="AV3737" s="37"/>
      <c r="AW3737" s="37"/>
      <c r="AX3737" s="37"/>
      <c r="AY3737" s="37"/>
      <c r="AZ3737" s="37"/>
      <c r="BA3737" s="37"/>
      <c r="BB3737" s="37"/>
      <c r="BC3737" s="37"/>
      <c r="BD3737" s="37"/>
      <c r="BE3737" s="37"/>
      <c r="BF3737" s="37"/>
      <c r="BG3737" s="37"/>
      <c r="BH3737" s="37"/>
      <c r="BI3737" s="37"/>
      <c r="BJ3737" s="37"/>
      <c r="BK3737" s="37"/>
      <c r="BL3737" s="37"/>
      <c r="BM3737" s="37"/>
    </row>
    <row r="3738" spans="1:65" s="40" customFormat="1" ht="23.25" x14ac:dyDescent="0.35">
      <c r="A3738" s="37"/>
      <c r="B3738" s="37"/>
      <c r="C3738" s="41"/>
      <c r="D3738" s="38"/>
      <c r="E3738" s="57"/>
      <c r="F3738" s="42"/>
      <c r="G3738" s="43"/>
      <c r="H3738" s="37"/>
      <c r="I3738" s="37"/>
      <c r="J3738" s="38"/>
      <c r="K3738" s="37"/>
      <c r="L3738" s="38"/>
      <c r="M3738" s="39"/>
      <c r="P3738" s="37"/>
      <c r="Q3738" s="37"/>
      <c r="R3738" s="37"/>
      <c r="S3738" s="37"/>
      <c r="T3738" s="37"/>
      <c r="U3738" s="37"/>
      <c r="V3738" s="37"/>
      <c r="W3738" s="37"/>
      <c r="X3738" s="37"/>
      <c r="Y3738" s="37"/>
      <c r="Z3738" s="37"/>
      <c r="AA3738" s="37"/>
      <c r="AB3738" s="37"/>
      <c r="AC3738" s="37"/>
      <c r="AD3738" s="37"/>
      <c r="AE3738" s="37"/>
      <c r="AF3738" s="37"/>
      <c r="AG3738" s="37"/>
      <c r="AH3738" s="37"/>
      <c r="AI3738" s="37"/>
      <c r="AJ3738" s="37"/>
      <c r="AK3738" s="37"/>
      <c r="AL3738" s="37"/>
      <c r="AM3738" s="37"/>
      <c r="AN3738" s="37"/>
      <c r="AO3738" s="37"/>
      <c r="AP3738" s="37"/>
      <c r="AQ3738" s="37"/>
      <c r="AR3738" s="37"/>
      <c r="AS3738" s="37"/>
      <c r="AT3738" s="37"/>
      <c r="AU3738" s="37"/>
      <c r="AV3738" s="37"/>
      <c r="AW3738" s="37"/>
      <c r="AX3738" s="37"/>
      <c r="AY3738" s="37"/>
      <c r="AZ3738" s="37"/>
      <c r="BA3738" s="37"/>
      <c r="BB3738" s="37"/>
      <c r="BC3738" s="37"/>
      <c r="BD3738" s="37"/>
      <c r="BE3738" s="37"/>
      <c r="BF3738" s="37"/>
      <c r="BG3738" s="37"/>
      <c r="BH3738" s="37"/>
      <c r="BI3738" s="37"/>
      <c r="BJ3738" s="37"/>
      <c r="BK3738" s="37"/>
      <c r="BL3738" s="37"/>
      <c r="BM3738" s="37"/>
    </row>
    <row r="3739" spans="1:65" s="40" customFormat="1" ht="23.25" x14ac:dyDescent="0.35">
      <c r="A3739" s="37"/>
      <c r="B3739" s="37"/>
      <c r="C3739" s="41"/>
      <c r="D3739" s="38"/>
      <c r="E3739" s="57"/>
      <c r="F3739" s="42"/>
      <c r="G3739" s="43"/>
      <c r="H3739" s="37"/>
      <c r="I3739" s="37"/>
      <c r="J3739" s="38"/>
      <c r="K3739" s="37"/>
      <c r="L3739" s="38"/>
      <c r="M3739" s="39"/>
      <c r="P3739" s="37"/>
      <c r="Q3739" s="37"/>
      <c r="R3739" s="37"/>
      <c r="S3739" s="37"/>
      <c r="T3739" s="37"/>
      <c r="U3739" s="37"/>
      <c r="V3739" s="37"/>
      <c r="W3739" s="37"/>
      <c r="X3739" s="37"/>
      <c r="Y3739" s="37"/>
      <c r="Z3739" s="37"/>
      <c r="AA3739" s="37"/>
      <c r="AB3739" s="37"/>
      <c r="AC3739" s="37"/>
      <c r="AD3739" s="37"/>
      <c r="AE3739" s="37"/>
      <c r="AF3739" s="37"/>
      <c r="AG3739" s="37"/>
      <c r="AH3739" s="37"/>
      <c r="AI3739" s="37"/>
      <c r="AJ3739" s="37"/>
      <c r="AK3739" s="37"/>
      <c r="AL3739" s="37"/>
      <c r="AM3739" s="37"/>
      <c r="AN3739" s="37"/>
      <c r="AO3739" s="37"/>
      <c r="AP3739" s="37"/>
      <c r="AQ3739" s="37"/>
      <c r="AR3739" s="37"/>
      <c r="AS3739" s="37"/>
      <c r="AT3739" s="37"/>
      <c r="AU3739" s="37"/>
      <c r="AV3739" s="37"/>
      <c r="AW3739" s="37"/>
      <c r="AX3739" s="37"/>
      <c r="AY3739" s="37"/>
      <c r="AZ3739" s="37"/>
      <c r="BA3739" s="37"/>
      <c r="BB3739" s="37"/>
      <c r="BC3739" s="37"/>
      <c r="BD3739" s="37"/>
      <c r="BE3739" s="37"/>
      <c r="BF3739" s="37"/>
      <c r="BG3739" s="37"/>
      <c r="BH3739" s="37"/>
      <c r="BI3739" s="37"/>
      <c r="BJ3739" s="37"/>
      <c r="BK3739" s="37"/>
      <c r="BL3739" s="37"/>
      <c r="BM3739" s="37"/>
    </row>
    <row r="3740" spans="1:65" s="40" customFormat="1" ht="23.25" x14ac:dyDescent="0.35">
      <c r="A3740" s="37"/>
      <c r="B3740" s="37"/>
      <c r="C3740" s="41"/>
      <c r="D3740" s="38"/>
      <c r="E3740" s="57"/>
      <c r="F3740" s="42"/>
      <c r="G3740" s="43"/>
      <c r="H3740" s="37"/>
      <c r="I3740" s="37"/>
      <c r="J3740" s="38"/>
      <c r="K3740" s="37"/>
      <c r="L3740" s="38"/>
      <c r="M3740" s="39"/>
      <c r="P3740" s="37"/>
      <c r="Q3740" s="37"/>
      <c r="R3740" s="37"/>
      <c r="S3740" s="37"/>
      <c r="T3740" s="37"/>
      <c r="U3740" s="37"/>
      <c r="V3740" s="37"/>
      <c r="W3740" s="37"/>
      <c r="X3740" s="37"/>
      <c r="Y3740" s="37"/>
      <c r="Z3740" s="37"/>
      <c r="AA3740" s="37"/>
      <c r="AB3740" s="37"/>
      <c r="AC3740" s="37"/>
      <c r="AD3740" s="37"/>
      <c r="AE3740" s="37"/>
      <c r="AF3740" s="37"/>
      <c r="AG3740" s="37"/>
      <c r="AH3740" s="37"/>
      <c r="AI3740" s="37"/>
      <c r="AJ3740" s="37"/>
      <c r="AK3740" s="37"/>
      <c r="AL3740" s="37"/>
      <c r="AM3740" s="37"/>
      <c r="AN3740" s="37"/>
      <c r="AO3740" s="37"/>
      <c r="AP3740" s="37"/>
      <c r="AQ3740" s="37"/>
      <c r="AR3740" s="37"/>
      <c r="AS3740" s="37"/>
      <c r="AT3740" s="37"/>
      <c r="AU3740" s="37"/>
      <c r="AV3740" s="37"/>
      <c r="AW3740" s="37"/>
      <c r="AX3740" s="37"/>
      <c r="AY3740" s="37"/>
      <c r="AZ3740" s="37"/>
      <c r="BA3740" s="37"/>
      <c r="BB3740" s="37"/>
      <c r="BC3740" s="37"/>
      <c r="BD3740" s="37"/>
      <c r="BE3740" s="37"/>
      <c r="BF3740" s="37"/>
      <c r="BG3740" s="37"/>
      <c r="BH3740" s="37"/>
      <c r="BI3740" s="37"/>
      <c r="BJ3740" s="37"/>
      <c r="BK3740" s="37"/>
      <c r="BL3740" s="37"/>
      <c r="BM3740" s="37"/>
    </row>
    <row r="3741" spans="1:65" s="40" customFormat="1" ht="23.25" x14ac:dyDescent="0.35">
      <c r="A3741" s="37"/>
      <c r="B3741" s="37"/>
      <c r="C3741" s="41"/>
      <c r="D3741" s="38"/>
      <c r="E3741" s="57"/>
      <c r="F3741" s="42"/>
      <c r="G3741" s="43"/>
      <c r="H3741" s="37"/>
      <c r="I3741" s="37"/>
      <c r="J3741" s="38"/>
      <c r="K3741" s="37"/>
      <c r="L3741" s="38"/>
      <c r="M3741" s="39"/>
      <c r="P3741" s="37"/>
      <c r="Q3741" s="37"/>
      <c r="R3741" s="37"/>
      <c r="S3741" s="37"/>
      <c r="T3741" s="37"/>
      <c r="U3741" s="37"/>
      <c r="V3741" s="37"/>
      <c r="W3741" s="37"/>
      <c r="X3741" s="37"/>
      <c r="Y3741" s="37"/>
      <c r="Z3741" s="37"/>
      <c r="AA3741" s="37"/>
      <c r="AB3741" s="37"/>
      <c r="AC3741" s="37"/>
      <c r="AD3741" s="37"/>
      <c r="AE3741" s="37"/>
      <c r="AF3741" s="37"/>
      <c r="AG3741" s="37"/>
      <c r="AH3741" s="37"/>
      <c r="AI3741" s="37"/>
      <c r="AJ3741" s="37"/>
      <c r="AK3741" s="37"/>
      <c r="AL3741" s="37"/>
      <c r="AM3741" s="37"/>
      <c r="AN3741" s="37"/>
      <c r="AO3741" s="37"/>
      <c r="AP3741" s="37"/>
      <c r="AQ3741" s="37"/>
      <c r="AR3741" s="37"/>
      <c r="AS3741" s="37"/>
      <c r="AT3741" s="37"/>
      <c r="AU3741" s="37"/>
      <c r="AV3741" s="37"/>
      <c r="AW3741" s="37"/>
      <c r="AX3741" s="37"/>
      <c r="AY3741" s="37"/>
      <c r="AZ3741" s="37"/>
      <c r="BA3741" s="37"/>
      <c r="BB3741" s="37"/>
      <c r="BC3741" s="37"/>
      <c r="BD3741" s="37"/>
      <c r="BE3741" s="37"/>
      <c r="BF3741" s="37"/>
      <c r="BG3741" s="37"/>
      <c r="BH3741" s="37"/>
      <c r="BI3741" s="37"/>
      <c r="BJ3741" s="37"/>
      <c r="BK3741" s="37"/>
      <c r="BL3741" s="37"/>
      <c r="BM3741" s="37"/>
    </row>
    <row r="3742" spans="1:65" s="40" customFormat="1" ht="23.25" x14ac:dyDescent="0.35">
      <c r="A3742" s="37"/>
      <c r="B3742" s="37"/>
      <c r="C3742" s="41"/>
      <c r="D3742" s="38"/>
      <c r="E3742" s="57"/>
      <c r="F3742" s="42"/>
      <c r="G3742" s="43"/>
      <c r="H3742" s="37"/>
      <c r="I3742" s="37"/>
      <c r="J3742" s="38"/>
      <c r="K3742" s="37"/>
      <c r="L3742" s="38"/>
      <c r="M3742" s="39"/>
      <c r="P3742" s="37"/>
      <c r="Q3742" s="37"/>
      <c r="R3742" s="37"/>
      <c r="S3742" s="37"/>
      <c r="T3742" s="37"/>
      <c r="U3742" s="37"/>
      <c r="V3742" s="37"/>
      <c r="W3742" s="37"/>
      <c r="X3742" s="37"/>
      <c r="Y3742" s="37"/>
      <c r="Z3742" s="37"/>
      <c r="AA3742" s="37"/>
      <c r="AB3742" s="37"/>
      <c r="AC3742" s="37"/>
      <c r="AD3742" s="37"/>
      <c r="AE3742" s="37"/>
      <c r="AF3742" s="37"/>
      <c r="AG3742" s="37"/>
      <c r="AH3742" s="37"/>
      <c r="AI3742" s="37"/>
      <c r="AJ3742" s="37"/>
      <c r="AK3742" s="37"/>
      <c r="AL3742" s="37"/>
      <c r="AM3742" s="37"/>
      <c r="AN3742" s="37"/>
      <c r="AO3742" s="37"/>
      <c r="AP3742" s="37"/>
      <c r="AQ3742" s="37"/>
      <c r="AR3742" s="37"/>
      <c r="AS3742" s="37"/>
      <c r="AT3742" s="37"/>
      <c r="AU3742" s="37"/>
      <c r="AV3742" s="37"/>
      <c r="AW3742" s="37"/>
      <c r="AX3742" s="37"/>
      <c r="AY3742" s="37"/>
      <c r="AZ3742" s="37"/>
      <c r="BA3742" s="37"/>
      <c r="BB3742" s="37"/>
      <c r="BC3742" s="37"/>
      <c r="BD3742" s="37"/>
      <c r="BE3742" s="37"/>
      <c r="BF3742" s="37"/>
      <c r="BG3742" s="37"/>
      <c r="BH3742" s="37"/>
      <c r="BI3742" s="37"/>
      <c r="BJ3742" s="37"/>
      <c r="BK3742" s="37"/>
      <c r="BL3742" s="37"/>
      <c r="BM3742" s="37"/>
    </row>
    <row r="3743" spans="1:65" s="40" customFormat="1" ht="23.25" x14ac:dyDescent="0.35">
      <c r="A3743" s="37"/>
      <c r="B3743" s="37"/>
      <c r="C3743" s="41"/>
      <c r="D3743" s="38"/>
      <c r="E3743" s="57"/>
      <c r="F3743" s="42"/>
      <c r="G3743" s="43"/>
      <c r="H3743" s="37"/>
      <c r="I3743" s="37"/>
      <c r="J3743" s="38"/>
      <c r="K3743" s="37"/>
      <c r="L3743" s="38"/>
      <c r="M3743" s="39"/>
      <c r="P3743" s="37"/>
      <c r="Q3743" s="37"/>
      <c r="R3743" s="37"/>
      <c r="S3743" s="37"/>
      <c r="T3743" s="37"/>
      <c r="U3743" s="37"/>
      <c r="V3743" s="37"/>
      <c r="W3743" s="37"/>
      <c r="X3743" s="37"/>
      <c r="Y3743" s="37"/>
      <c r="Z3743" s="37"/>
      <c r="AA3743" s="37"/>
      <c r="AB3743" s="37"/>
      <c r="AC3743" s="37"/>
      <c r="AD3743" s="37"/>
      <c r="AE3743" s="37"/>
      <c r="AF3743" s="37"/>
      <c r="AG3743" s="37"/>
      <c r="AH3743" s="37"/>
      <c r="AI3743" s="37"/>
      <c r="AJ3743" s="37"/>
      <c r="AK3743" s="37"/>
      <c r="AL3743" s="37"/>
      <c r="AM3743" s="37"/>
      <c r="AN3743" s="37"/>
      <c r="AO3743" s="37"/>
      <c r="AP3743" s="37"/>
      <c r="AQ3743" s="37"/>
      <c r="AR3743" s="37"/>
      <c r="AS3743" s="37"/>
      <c r="AT3743" s="37"/>
      <c r="AU3743" s="37"/>
      <c r="AV3743" s="37"/>
      <c r="AW3743" s="37"/>
      <c r="AX3743" s="37"/>
      <c r="AY3743" s="37"/>
      <c r="AZ3743" s="37"/>
      <c r="BA3743" s="37"/>
      <c r="BB3743" s="37"/>
      <c r="BC3743" s="37"/>
      <c r="BD3743" s="37"/>
      <c r="BE3743" s="37"/>
      <c r="BF3743" s="37"/>
      <c r="BG3743" s="37"/>
      <c r="BH3743" s="37"/>
      <c r="BI3743" s="37"/>
      <c r="BJ3743" s="37"/>
      <c r="BK3743" s="37"/>
      <c r="BL3743" s="37"/>
      <c r="BM3743" s="37"/>
    </row>
    <row r="3744" spans="1:65" s="40" customFormat="1" ht="23.25" x14ac:dyDescent="0.35">
      <c r="A3744" s="37"/>
      <c r="B3744" s="37"/>
      <c r="C3744" s="41"/>
      <c r="D3744" s="38"/>
      <c r="E3744" s="57"/>
      <c r="F3744" s="42"/>
      <c r="G3744" s="43"/>
      <c r="H3744" s="37"/>
      <c r="I3744" s="37"/>
      <c r="J3744" s="38"/>
      <c r="K3744" s="37"/>
      <c r="L3744" s="38"/>
      <c r="M3744" s="39"/>
      <c r="P3744" s="37"/>
      <c r="Q3744" s="37"/>
      <c r="R3744" s="37"/>
      <c r="S3744" s="37"/>
      <c r="T3744" s="37"/>
      <c r="U3744" s="37"/>
      <c r="V3744" s="37"/>
      <c r="W3744" s="37"/>
      <c r="X3744" s="37"/>
      <c r="Y3744" s="37"/>
      <c r="Z3744" s="37"/>
      <c r="AA3744" s="37"/>
      <c r="AB3744" s="37"/>
      <c r="AC3744" s="37"/>
      <c r="AD3744" s="37"/>
      <c r="AE3744" s="37"/>
      <c r="AF3744" s="37"/>
      <c r="AG3744" s="37"/>
      <c r="AH3744" s="37"/>
      <c r="AI3744" s="37"/>
      <c r="AJ3744" s="37"/>
      <c r="AK3744" s="37"/>
      <c r="AL3744" s="37"/>
      <c r="AM3744" s="37"/>
      <c r="AN3744" s="37"/>
      <c r="AO3744" s="37"/>
      <c r="AP3744" s="37"/>
      <c r="AQ3744" s="37"/>
      <c r="AR3744" s="37"/>
      <c r="AS3744" s="37"/>
      <c r="AT3744" s="37"/>
      <c r="AU3744" s="37"/>
      <c r="AV3744" s="37"/>
      <c r="AW3744" s="37"/>
      <c r="AX3744" s="37"/>
      <c r="AY3744" s="37"/>
      <c r="AZ3744" s="37"/>
      <c r="BA3744" s="37"/>
      <c r="BB3744" s="37"/>
      <c r="BC3744" s="37"/>
      <c r="BD3744" s="37"/>
      <c r="BE3744" s="37"/>
      <c r="BF3744" s="37"/>
      <c r="BG3744" s="37"/>
      <c r="BH3744" s="37"/>
      <c r="BI3744" s="37"/>
      <c r="BJ3744" s="37"/>
      <c r="BK3744" s="37"/>
      <c r="BL3744" s="37"/>
      <c r="BM3744" s="37"/>
    </row>
    <row r="3745" spans="1:65" s="40" customFormat="1" ht="23.25" x14ac:dyDescent="0.35">
      <c r="A3745" s="37"/>
      <c r="B3745" s="37"/>
      <c r="C3745" s="41"/>
      <c r="D3745" s="38"/>
      <c r="E3745" s="57"/>
      <c r="F3745" s="42"/>
      <c r="G3745" s="43"/>
      <c r="H3745" s="37"/>
      <c r="I3745" s="37"/>
      <c r="J3745" s="38"/>
      <c r="K3745" s="37"/>
      <c r="L3745" s="38"/>
      <c r="M3745" s="39"/>
      <c r="P3745" s="37"/>
      <c r="Q3745" s="37"/>
      <c r="R3745" s="37"/>
      <c r="S3745" s="37"/>
      <c r="T3745" s="37"/>
      <c r="U3745" s="37"/>
      <c r="V3745" s="37"/>
      <c r="W3745" s="37"/>
      <c r="X3745" s="37"/>
      <c r="Y3745" s="37"/>
      <c r="Z3745" s="37"/>
      <c r="AA3745" s="37"/>
      <c r="AB3745" s="37"/>
      <c r="AC3745" s="37"/>
      <c r="AD3745" s="37"/>
      <c r="AE3745" s="37"/>
      <c r="AF3745" s="37"/>
      <c r="AG3745" s="37"/>
      <c r="AH3745" s="37"/>
      <c r="AI3745" s="37"/>
      <c r="AJ3745" s="37"/>
      <c r="AK3745" s="37"/>
      <c r="AL3745" s="37"/>
      <c r="AM3745" s="37"/>
      <c r="AN3745" s="37"/>
      <c r="AO3745" s="37"/>
      <c r="AP3745" s="37"/>
      <c r="AQ3745" s="37"/>
      <c r="AR3745" s="37"/>
      <c r="AS3745" s="37"/>
      <c r="AT3745" s="37"/>
      <c r="AU3745" s="37"/>
      <c r="AV3745" s="37"/>
      <c r="AW3745" s="37"/>
      <c r="AX3745" s="37"/>
      <c r="AY3745" s="37"/>
      <c r="AZ3745" s="37"/>
      <c r="BA3745" s="37"/>
      <c r="BB3745" s="37"/>
      <c r="BC3745" s="37"/>
      <c r="BD3745" s="37"/>
      <c r="BE3745" s="37"/>
      <c r="BF3745" s="37"/>
      <c r="BG3745" s="37"/>
      <c r="BH3745" s="37"/>
      <c r="BI3745" s="37"/>
      <c r="BJ3745" s="37"/>
      <c r="BK3745" s="37"/>
      <c r="BL3745" s="37"/>
      <c r="BM3745" s="37"/>
    </row>
    <row r="3746" spans="1:65" s="40" customFormat="1" ht="23.25" x14ac:dyDescent="0.35">
      <c r="A3746" s="37"/>
      <c r="B3746" s="37"/>
      <c r="C3746" s="41"/>
      <c r="D3746" s="38"/>
      <c r="E3746" s="57"/>
      <c r="F3746" s="42"/>
      <c r="G3746" s="43"/>
      <c r="H3746" s="37"/>
      <c r="I3746" s="37"/>
      <c r="J3746" s="38"/>
      <c r="K3746" s="37"/>
      <c r="L3746" s="38"/>
      <c r="M3746" s="39"/>
      <c r="P3746" s="37"/>
      <c r="Q3746" s="37"/>
      <c r="R3746" s="37"/>
      <c r="S3746" s="37"/>
      <c r="T3746" s="37"/>
      <c r="U3746" s="37"/>
      <c r="V3746" s="37"/>
      <c r="W3746" s="37"/>
      <c r="X3746" s="37"/>
      <c r="Y3746" s="37"/>
      <c r="Z3746" s="37"/>
      <c r="AA3746" s="37"/>
      <c r="AB3746" s="37"/>
      <c r="AC3746" s="37"/>
      <c r="AD3746" s="37"/>
      <c r="AE3746" s="37"/>
      <c r="AF3746" s="37"/>
      <c r="AG3746" s="37"/>
      <c r="AH3746" s="37"/>
      <c r="AI3746" s="37"/>
      <c r="AJ3746" s="37"/>
      <c r="AK3746" s="37"/>
      <c r="AL3746" s="37"/>
      <c r="AM3746" s="37"/>
      <c r="AN3746" s="37"/>
      <c r="AO3746" s="37"/>
      <c r="AP3746" s="37"/>
      <c r="AQ3746" s="37"/>
      <c r="AR3746" s="37"/>
      <c r="AS3746" s="37"/>
      <c r="AT3746" s="37"/>
      <c r="AU3746" s="37"/>
      <c r="AV3746" s="37"/>
      <c r="AW3746" s="37"/>
      <c r="AX3746" s="37"/>
      <c r="AY3746" s="37"/>
      <c r="AZ3746" s="37"/>
      <c r="BA3746" s="37"/>
      <c r="BB3746" s="37"/>
      <c r="BC3746" s="37"/>
      <c r="BD3746" s="37"/>
      <c r="BE3746" s="37"/>
      <c r="BF3746" s="37"/>
      <c r="BG3746" s="37"/>
      <c r="BH3746" s="37"/>
      <c r="BI3746" s="37"/>
      <c r="BJ3746" s="37"/>
      <c r="BK3746" s="37"/>
      <c r="BL3746" s="37"/>
      <c r="BM3746" s="37"/>
    </row>
    <row r="3747" spans="1:65" s="40" customFormat="1" ht="23.25" x14ac:dyDescent="0.35">
      <c r="A3747" s="37"/>
      <c r="B3747" s="37"/>
      <c r="C3747" s="41"/>
      <c r="D3747" s="38"/>
      <c r="E3747" s="57"/>
      <c r="F3747" s="42"/>
      <c r="G3747" s="43"/>
      <c r="H3747" s="37"/>
      <c r="I3747" s="37"/>
      <c r="J3747" s="38"/>
      <c r="K3747" s="37"/>
      <c r="L3747" s="38"/>
      <c r="M3747" s="39"/>
      <c r="P3747" s="37"/>
      <c r="Q3747" s="37"/>
      <c r="R3747" s="37"/>
      <c r="S3747" s="37"/>
      <c r="T3747" s="37"/>
      <c r="U3747" s="37"/>
      <c r="V3747" s="37"/>
      <c r="W3747" s="37"/>
      <c r="X3747" s="37"/>
      <c r="Y3747" s="37"/>
      <c r="Z3747" s="37"/>
      <c r="AA3747" s="37"/>
      <c r="AB3747" s="37"/>
      <c r="AC3747" s="37"/>
      <c r="AD3747" s="37"/>
      <c r="AE3747" s="37"/>
      <c r="AF3747" s="37"/>
      <c r="AG3747" s="37"/>
      <c r="AH3747" s="37"/>
      <c r="AI3747" s="37"/>
      <c r="AJ3747" s="37"/>
      <c r="AK3747" s="37"/>
      <c r="AL3747" s="37"/>
      <c r="AM3747" s="37"/>
      <c r="AN3747" s="37"/>
      <c r="AO3747" s="37"/>
      <c r="AP3747" s="37"/>
      <c r="AQ3747" s="37"/>
      <c r="AR3747" s="37"/>
      <c r="AS3747" s="37"/>
      <c r="AT3747" s="37"/>
      <c r="AU3747" s="37"/>
      <c r="AV3747" s="37"/>
      <c r="AW3747" s="37"/>
      <c r="AX3747" s="37"/>
      <c r="AY3747" s="37"/>
      <c r="AZ3747" s="37"/>
      <c r="BA3747" s="37"/>
      <c r="BB3747" s="37"/>
      <c r="BC3747" s="37"/>
      <c r="BD3747" s="37"/>
      <c r="BE3747" s="37"/>
      <c r="BF3747" s="37"/>
      <c r="BG3747" s="37"/>
      <c r="BH3747" s="37"/>
      <c r="BI3747" s="37"/>
      <c r="BJ3747" s="37"/>
      <c r="BK3747" s="37"/>
      <c r="BL3747" s="37"/>
      <c r="BM3747" s="37"/>
    </row>
    <row r="3748" spans="1:65" s="40" customFormat="1" ht="23.25" x14ac:dyDescent="0.35">
      <c r="A3748" s="37"/>
      <c r="B3748" s="37"/>
      <c r="C3748" s="41"/>
      <c r="D3748" s="38"/>
      <c r="E3748" s="57"/>
      <c r="F3748" s="42"/>
      <c r="G3748" s="43"/>
      <c r="H3748" s="37"/>
      <c r="I3748" s="37"/>
      <c r="J3748" s="38"/>
      <c r="K3748" s="37"/>
      <c r="L3748" s="38"/>
      <c r="M3748" s="39"/>
      <c r="P3748" s="37"/>
      <c r="Q3748" s="37"/>
      <c r="R3748" s="37"/>
      <c r="S3748" s="37"/>
      <c r="T3748" s="37"/>
      <c r="U3748" s="37"/>
      <c r="V3748" s="37"/>
      <c r="W3748" s="37"/>
      <c r="X3748" s="37"/>
      <c r="Y3748" s="37"/>
      <c r="Z3748" s="37"/>
      <c r="AA3748" s="37"/>
      <c r="AB3748" s="37"/>
      <c r="AC3748" s="37"/>
      <c r="AD3748" s="37"/>
      <c r="AE3748" s="37"/>
      <c r="AF3748" s="37"/>
      <c r="AG3748" s="37"/>
      <c r="AH3748" s="37"/>
      <c r="AI3748" s="37"/>
      <c r="AJ3748" s="37"/>
      <c r="AK3748" s="37"/>
      <c r="AL3748" s="37"/>
      <c r="AM3748" s="37"/>
      <c r="AN3748" s="37"/>
      <c r="AO3748" s="37"/>
      <c r="AP3748" s="37"/>
      <c r="AQ3748" s="37"/>
      <c r="AR3748" s="37"/>
      <c r="AS3748" s="37"/>
      <c r="AT3748" s="37"/>
      <c r="AU3748" s="37"/>
      <c r="AV3748" s="37"/>
      <c r="AW3748" s="37"/>
      <c r="AX3748" s="37"/>
      <c r="AY3748" s="37"/>
      <c r="AZ3748" s="37"/>
      <c r="BA3748" s="37"/>
      <c r="BB3748" s="37"/>
      <c r="BC3748" s="37"/>
      <c r="BD3748" s="37"/>
      <c r="BE3748" s="37"/>
      <c r="BF3748" s="37"/>
      <c r="BG3748" s="37"/>
      <c r="BH3748" s="37"/>
      <c r="BI3748" s="37"/>
      <c r="BJ3748" s="37"/>
      <c r="BK3748" s="37"/>
      <c r="BL3748" s="37"/>
      <c r="BM3748" s="37"/>
    </row>
    <row r="3749" spans="1:65" s="40" customFormat="1" ht="23.25" x14ac:dyDescent="0.35">
      <c r="A3749" s="37"/>
      <c r="B3749" s="37"/>
      <c r="C3749" s="41"/>
      <c r="D3749" s="38"/>
      <c r="E3749" s="57"/>
      <c r="F3749" s="42"/>
      <c r="G3749" s="43"/>
      <c r="H3749" s="37"/>
      <c r="I3749" s="37"/>
      <c r="J3749" s="38"/>
      <c r="K3749" s="37"/>
      <c r="L3749" s="38"/>
      <c r="M3749" s="39"/>
      <c r="P3749" s="37"/>
      <c r="Q3749" s="37"/>
      <c r="R3749" s="37"/>
      <c r="S3749" s="37"/>
      <c r="T3749" s="37"/>
      <c r="U3749" s="37"/>
      <c r="V3749" s="37"/>
      <c r="W3749" s="37"/>
      <c r="X3749" s="37"/>
      <c r="Y3749" s="37"/>
      <c r="Z3749" s="37"/>
      <c r="AA3749" s="37"/>
      <c r="AB3749" s="37"/>
      <c r="AC3749" s="37"/>
      <c r="AD3749" s="37"/>
      <c r="AE3749" s="37"/>
      <c r="AF3749" s="37"/>
      <c r="AG3749" s="37"/>
      <c r="AH3749" s="37"/>
      <c r="AI3749" s="37"/>
      <c r="AJ3749" s="37"/>
      <c r="AK3749" s="37"/>
      <c r="AL3749" s="37"/>
      <c r="AM3749" s="37"/>
      <c r="AN3749" s="37"/>
      <c r="AO3749" s="37"/>
      <c r="AP3749" s="37"/>
      <c r="AQ3749" s="37"/>
      <c r="AR3749" s="37"/>
      <c r="AS3749" s="37"/>
      <c r="AT3749" s="37"/>
      <c r="AU3749" s="37"/>
      <c r="AV3749" s="37"/>
      <c r="AW3749" s="37"/>
      <c r="AX3749" s="37"/>
      <c r="AY3749" s="37"/>
      <c r="AZ3749" s="37"/>
      <c r="BA3749" s="37"/>
      <c r="BB3749" s="37"/>
      <c r="BC3749" s="37"/>
      <c r="BD3749" s="37"/>
      <c r="BE3749" s="37"/>
      <c r="BF3749" s="37"/>
      <c r="BG3749" s="37"/>
      <c r="BH3749" s="37"/>
      <c r="BI3749" s="37"/>
      <c r="BJ3749" s="37"/>
      <c r="BK3749" s="37"/>
      <c r="BL3749" s="37"/>
      <c r="BM3749" s="37"/>
    </row>
    <row r="3750" spans="1:65" s="40" customFormat="1" ht="23.25" x14ac:dyDescent="0.35">
      <c r="A3750" s="37"/>
      <c r="B3750" s="37"/>
      <c r="C3750" s="41"/>
      <c r="D3750" s="38"/>
      <c r="E3750" s="57"/>
      <c r="F3750" s="42"/>
      <c r="G3750" s="43"/>
      <c r="H3750" s="37"/>
      <c r="I3750" s="37"/>
      <c r="J3750" s="38"/>
      <c r="K3750" s="37"/>
      <c r="L3750" s="38"/>
      <c r="M3750" s="39"/>
      <c r="P3750" s="37"/>
      <c r="Q3750" s="37"/>
      <c r="R3750" s="37"/>
      <c r="S3750" s="37"/>
      <c r="T3750" s="37"/>
      <c r="U3750" s="37"/>
      <c r="V3750" s="37"/>
      <c r="W3750" s="37"/>
      <c r="X3750" s="37"/>
      <c r="Y3750" s="37"/>
      <c r="Z3750" s="37"/>
      <c r="AA3750" s="37"/>
      <c r="AB3750" s="37"/>
      <c r="AC3750" s="37"/>
      <c r="AD3750" s="37"/>
      <c r="AE3750" s="37"/>
      <c r="AF3750" s="37"/>
      <c r="AG3750" s="37"/>
      <c r="AH3750" s="37"/>
      <c r="AI3750" s="37"/>
      <c r="AJ3750" s="37"/>
      <c r="AK3750" s="37"/>
      <c r="AL3750" s="37"/>
      <c r="AM3750" s="37"/>
      <c r="AN3750" s="37"/>
      <c r="AO3750" s="37"/>
      <c r="AP3750" s="37"/>
      <c r="AQ3750" s="37"/>
      <c r="AR3750" s="37"/>
      <c r="AS3750" s="37"/>
      <c r="AT3750" s="37"/>
      <c r="AU3750" s="37"/>
      <c r="AV3750" s="37"/>
      <c r="AW3750" s="37"/>
      <c r="AX3750" s="37"/>
      <c r="AY3750" s="37"/>
      <c r="AZ3750" s="37"/>
      <c r="BA3750" s="37"/>
      <c r="BB3750" s="37"/>
      <c r="BC3750" s="37"/>
      <c r="BD3750" s="37"/>
      <c r="BE3750" s="37"/>
      <c r="BF3750" s="37"/>
      <c r="BG3750" s="37"/>
      <c r="BH3750" s="37"/>
      <c r="BI3750" s="37"/>
      <c r="BJ3750" s="37"/>
      <c r="BK3750" s="37"/>
      <c r="BL3750" s="37"/>
      <c r="BM3750" s="37"/>
    </row>
    <row r="3751" spans="1:65" s="40" customFormat="1" ht="23.25" x14ac:dyDescent="0.35">
      <c r="A3751" s="37"/>
      <c r="B3751" s="37"/>
      <c r="C3751" s="41"/>
      <c r="D3751" s="38"/>
      <c r="E3751" s="57"/>
      <c r="F3751" s="42"/>
      <c r="G3751" s="43"/>
      <c r="H3751" s="37"/>
      <c r="I3751" s="37"/>
      <c r="J3751" s="38"/>
      <c r="K3751" s="37"/>
      <c r="L3751" s="38"/>
      <c r="M3751" s="39"/>
      <c r="P3751" s="37"/>
      <c r="Q3751" s="37"/>
      <c r="R3751" s="37"/>
      <c r="S3751" s="37"/>
      <c r="T3751" s="37"/>
      <c r="U3751" s="37"/>
      <c r="V3751" s="37"/>
      <c r="W3751" s="37"/>
      <c r="X3751" s="37"/>
      <c r="Y3751" s="37"/>
      <c r="Z3751" s="37"/>
      <c r="AA3751" s="37"/>
      <c r="AB3751" s="37"/>
      <c r="AC3751" s="37"/>
      <c r="AD3751" s="37"/>
      <c r="AE3751" s="37"/>
      <c r="AF3751" s="37"/>
      <c r="AG3751" s="37"/>
      <c r="AH3751" s="37"/>
      <c r="AI3751" s="37"/>
      <c r="AJ3751" s="37"/>
      <c r="AK3751" s="37"/>
      <c r="AL3751" s="37"/>
      <c r="AM3751" s="37"/>
      <c r="AN3751" s="37"/>
      <c r="AO3751" s="37"/>
      <c r="AP3751" s="37"/>
      <c r="AQ3751" s="37"/>
      <c r="AR3751" s="37"/>
      <c r="AS3751" s="37"/>
      <c r="AT3751" s="37"/>
      <c r="AU3751" s="37"/>
      <c r="AV3751" s="37"/>
      <c r="AW3751" s="37"/>
      <c r="AX3751" s="37"/>
      <c r="AY3751" s="37"/>
      <c r="AZ3751" s="37"/>
      <c r="BA3751" s="37"/>
      <c r="BB3751" s="37"/>
      <c r="BC3751" s="37"/>
      <c r="BD3751" s="37"/>
      <c r="BE3751" s="37"/>
      <c r="BF3751" s="37"/>
      <c r="BG3751" s="37"/>
      <c r="BH3751" s="37"/>
      <c r="BI3751" s="37"/>
      <c r="BJ3751" s="37"/>
      <c r="BK3751" s="37"/>
      <c r="BL3751" s="37"/>
      <c r="BM3751" s="37"/>
    </row>
    <row r="3752" spans="1:65" s="40" customFormat="1" ht="23.25" x14ac:dyDescent="0.35">
      <c r="A3752" s="37"/>
      <c r="B3752" s="37"/>
      <c r="C3752" s="41"/>
      <c r="D3752" s="38"/>
      <c r="E3752" s="57"/>
      <c r="F3752" s="42"/>
      <c r="G3752" s="43"/>
      <c r="H3752" s="37"/>
      <c r="I3752" s="37"/>
      <c r="J3752" s="38"/>
      <c r="K3752" s="37"/>
      <c r="L3752" s="38"/>
      <c r="M3752" s="39"/>
      <c r="P3752" s="37"/>
      <c r="Q3752" s="37"/>
      <c r="R3752" s="37"/>
      <c r="S3752" s="37"/>
      <c r="T3752" s="37"/>
      <c r="U3752" s="37"/>
      <c r="V3752" s="37"/>
      <c r="W3752" s="37"/>
      <c r="X3752" s="37"/>
      <c r="Y3752" s="37"/>
      <c r="Z3752" s="37"/>
      <c r="AA3752" s="37"/>
      <c r="AB3752" s="37"/>
      <c r="AC3752" s="37"/>
      <c r="AD3752" s="37"/>
      <c r="AE3752" s="37"/>
      <c r="AF3752" s="37"/>
      <c r="AG3752" s="37"/>
      <c r="AH3752" s="37"/>
      <c r="AI3752" s="37"/>
      <c r="AJ3752" s="37"/>
      <c r="AK3752" s="37"/>
      <c r="AL3752" s="37"/>
      <c r="AM3752" s="37"/>
      <c r="AN3752" s="37"/>
      <c r="AO3752" s="37"/>
      <c r="AP3752" s="37"/>
      <c r="AQ3752" s="37"/>
      <c r="AR3752" s="37"/>
      <c r="AS3752" s="37"/>
      <c r="AT3752" s="37"/>
      <c r="AU3752" s="37"/>
      <c r="AV3752" s="37"/>
      <c r="AW3752" s="37"/>
      <c r="AX3752" s="37"/>
      <c r="AY3752" s="37"/>
      <c r="AZ3752" s="37"/>
      <c r="BA3752" s="37"/>
      <c r="BB3752" s="37"/>
      <c r="BC3752" s="37"/>
      <c r="BD3752" s="37"/>
      <c r="BE3752" s="37"/>
      <c r="BF3752" s="37"/>
      <c r="BG3752" s="37"/>
      <c r="BH3752" s="37"/>
      <c r="BI3752" s="37"/>
      <c r="BJ3752" s="37"/>
      <c r="BK3752" s="37"/>
      <c r="BL3752" s="37"/>
      <c r="BM3752" s="37"/>
    </row>
    <row r="3753" spans="1:65" s="40" customFormat="1" ht="23.25" x14ac:dyDescent="0.35">
      <c r="A3753" s="37"/>
      <c r="B3753" s="37"/>
      <c r="C3753" s="41"/>
      <c r="D3753" s="38"/>
      <c r="E3753" s="57"/>
      <c r="F3753" s="42"/>
      <c r="G3753" s="43"/>
      <c r="H3753" s="37"/>
      <c r="I3753" s="37"/>
      <c r="J3753" s="38"/>
      <c r="K3753" s="37"/>
      <c r="L3753" s="38"/>
      <c r="M3753" s="39"/>
      <c r="P3753" s="37"/>
      <c r="Q3753" s="37"/>
      <c r="R3753" s="37"/>
      <c r="S3753" s="37"/>
      <c r="T3753" s="37"/>
      <c r="U3753" s="37"/>
      <c r="V3753" s="37"/>
      <c r="W3753" s="37"/>
      <c r="X3753" s="37"/>
      <c r="Y3753" s="37"/>
      <c r="Z3753" s="37"/>
      <c r="AA3753" s="37"/>
      <c r="AB3753" s="37"/>
      <c r="AC3753" s="37"/>
      <c r="AD3753" s="37"/>
      <c r="AE3753" s="37"/>
      <c r="AF3753" s="37"/>
      <c r="AG3753" s="37"/>
      <c r="AH3753" s="37"/>
      <c r="AI3753" s="37"/>
      <c r="AJ3753" s="37"/>
      <c r="AK3753" s="37"/>
      <c r="AL3753" s="37"/>
      <c r="AM3753" s="37"/>
      <c r="AN3753" s="37"/>
      <c r="AO3753" s="37"/>
      <c r="AP3753" s="37"/>
      <c r="AQ3753" s="37"/>
      <c r="AR3753" s="37"/>
      <c r="AS3753" s="37"/>
      <c r="AT3753" s="37"/>
      <c r="AU3753" s="37"/>
      <c r="AV3753" s="37"/>
      <c r="AW3753" s="37"/>
      <c r="AX3753" s="37"/>
      <c r="AY3753" s="37"/>
      <c r="AZ3753" s="37"/>
      <c r="BA3753" s="37"/>
      <c r="BB3753" s="37"/>
      <c r="BC3753" s="37"/>
      <c r="BD3753" s="37"/>
      <c r="BE3753" s="37"/>
      <c r="BF3753" s="37"/>
      <c r="BG3753" s="37"/>
      <c r="BH3753" s="37"/>
      <c r="BI3753" s="37"/>
      <c r="BJ3753" s="37"/>
      <c r="BK3753" s="37"/>
      <c r="BL3753" s="37"/>
      <c r="BM3753" s="37"/>
    </row>
    <row r="3754" spans="1:65" s="40" customFormat="1" ht="23.25" x14ac:dyDescent="0.35">
      <c r="A3754" s="37"/>
      <c r="B3754" s="37"/>
      <c r="C3754" s="41"/>
      <c r="D3754" s="38"/>
      <c r="E3754" s="57"/>
      <c r="F3754" s="42"/>
      <c r="G3754" s="43"/>
      <c r="H3754" s="37"/>
      <c r="I3754" s="37"/>
      <c r="J3754" s="38"/>
      <c r="K3754" s="37"/>
      <c r="L3754" s="38"/>
      <c r="M3754" s="39"/>
      <c r="P3754" s="37"/>
      <c r="Q3754" s="37"/>
      <c r="R3754" s="37"/>
      <c r="S3754" s="37"/>
      <c r="T3754" s="37"/>
      <c r="U3754" s="37"/>
      <c r="V3754" s="37"/>
      <c r="W3754" s="37"/>
      <c r="X3754" s="37"/>
      <c r="Y3754" s="37"/>
      <c r="Z3754" s="37"/>
      <c r="AA3754" s="37"/>
      <c r="AB3754" s="37"/>
      <c r="AC3754" s="37"/>
      <c r="AD3754" s="37"/>
      <c r="AE3754" s="37"/>
      <c r="AF3754" s="37"/>
      <c r="AG3754" s="37"/>
      <c r="AH3754" s="37"/>
      <c r="AI3754" s="37"/>
      <c r="AJ3754" s="37"/>
      <c r="AK3754" s="37"/>
      <c r="AL3754" s="37"/>
      <c r="AM3754" s="37"/>
      <c r="AN3754" s="37"/>
      <c r="AO3754" s="37"/>
      <c r="AP3754" s="37"/>
      <c r="AQ3754" s="37"/>
      <c r="AR3754" s="37"/>
      <c r="AS3754" s="37"/>
      <c r="AT3754" s="37"/>
      <c r="AU3754" s="37"/>
      <c r="AV3754" s="37"/>
      <c r="AW3754" s="37"/>
      <c r="AX3754" s="37"/>
      <c r="AY3754" s="37"/>
      <c r="AZ3754" s="37"/>
      <c r="BA3754" s="37"/>
      <c r="BB3754" s="37"/>
      <c r="BC3754" s="37"/>
      <c r="BD3754" s="37"/>
      <c r="BE3754" s="37"/>
      <c r="BF3754" s="37"/>
      <c r="BG3754" s="37"/>
      <c r="BH3754" s="37"/>
      <c r="BI3754" s="37"/>
      <c r="BJ3754" s="37"/>
      <c r="BK3754" s="37"/>
      <c r="BL3754" s="37"/>
      <c r="BM3754" s="37"/>
    </row>
    <row r="3755" spans="1:65" s="40" customFormat="1" ht="23.25" x14ac:dyDescent="0.35">
      <c r="A3755" s="37"/>
      <c r="B3755" s="37"/>
      <c r="C3755" s="41"/>
      <c r="D3755" s="38"/>
      <c r="E3755" s="57"/>
      <c r="F3755" s="42"/>
      <c r="G3755" s="43"/>
      <c r="H3755" s="37"/>
      <c r="I3755" s="37"/>
      <c r="J3755" s="38"/>
      <c r="K3755" s="37"/>
      <c r="L3755" s="38"/>
      <c r="M3755" s="39"/>
      <c r="P3755" s="37"/>
      <c r="Q3755" s="37"/>
      <c r="R3755" s="37"/>
      <c r="S3755" s="37"/>
      <c r="T3755" s="37"/>
      <c r="U3755" s="37"/>
      <c r="V3755" s="37"/>
      <c r="W3755" s="37"/>
      <c r="X3755" s="37"/>
      <c r="Y3755" s="37"/>
      <c r="Z3755" s="37"/>
      <c r="AA3755" s="37"/>
      <c r="AB3755" s="37"/>
      <c r="AC3755" s="37"/>
      <c r="AD3755" s="37"/>
      <c r="AE3755" s="37"/>
      <c r="AF3755" s="37"/>
      <c r="AG3755" s="37"/>
      <c r="AH3755" s="37"/>
      <c r="AI3755" s="37"/>
      <c r="AJ3755" s="37"/>
      <c r="AK3755" s="37"/>
      <c r="AL3755" s="37"/>
      <c r="AM3755" s="37"/>
      <c r="AN3755" s="37"/>
      <c r="AO3755" s="37"/>
      <c r="AP3755" s="37"/>
      <c r="AQ3755" s="37"/>
      <c r="AR3755" s="37"/>
      <c r="AS3755" s="37"/>
      <c r="AT3755" s="37"/>
      <c r="AU3755" s="37"/>
      <c r="AV3755" s="37"/>
      <c r="AW3755" s="37"/>
      <c r="AX3755" s="37"/>
      <c r="AY3755" s="37"/>
      <c r="AZ3755" s="37"/>
      <c r="BA3755" s="37"/>
      <c r="BB3755" s="37"/>
      <c r="BC3755" s="37"/>
      <c r="BD3755" s="37"/>
      <c r="BE3755" s="37"/>
      <c r="BF3755" s="37"/>
      <c r="BG3755" s="37"/>
      <c r="BH3755" s="37"/>
      <c r="BI3755" s="37"/>
      <c r="BJ3755" s="37"/>
      <c r="BK3755" s="37"/>
      <c r="BL3755" s="37"/>
      <c r="BM3755" s="37"/>
    </row>
    <row r="3756" spans="1:65" s="40" customFormat="1" ht="23.25" x14ac:dyDescent="0.35">
      <c r="A3756" s="37"/>
      <c r="B3756" s="37"/>
      <c r="C3756" s="41"/>
      <c r="D3756" s="38"/>
      <c r="E3756" s="57"/>
      <c r="F3756" s="42"/>
      <c r="G3756" s="43"/>
      <c r="H3756" s="37"/>
      <c r="I3756" s="37"/>
      <c r="J3756" s="38"/>
      <c r="K3756" s="37"/>
      <c r="L3756" s="38"/>
      <c r="M3756" s="39"/>
      <c r="P3756" s="37"/>
      <c r="Q3756" s="37"/>
      <c r="R3756" s="37"/>
      <c r="S3756" s="37"/>
      <c r="T3756" s="37"/>
      <c r="U3756" s="37"/>
      <c r="V3756" s="37"/>
      <c r="W3756" s="37"/>
      <c r="X3756" s="37"/>
      <c r="Y3756" s="37"/>
      <c r="Z3756" s="37"/>
      <c r="AA3756" s="37"/>
      <c r="AB3756" s="37"/>
      <c r="AC3756" s="37"/>
      <c r="AD3756" s="37"/>
      <c r="AE3756" s="37"/>
      <c r="AF3756" s="37"/>
      <c r="AG3756" s="37"/>
      <c r="AH3756" s="37"/>
      <c r="AI3756" s="37"/>
      <c r="AJ3756" s="37"/>
      <c r="AK3756" s="37"/>
      <c r="AL3756" s="37"/>
      <c r="AM3756" s="37"/>
      <c r="AN3756" s="37"/>
      <c r="AO3756" s="37"/>
      <c r="AP3756" s="37"/>
      <c r="AQ3756" s="37"/>
      <c r="AR3756" s="37"/>
      <c r="AS3756" s="37"/>
      <c r="AT3756" s="37"/>
      <c r="AU3756" s="37"/>
      <c r="AV3756" s="37"/>
      <c r="AW3756" s="37"/>
      <c r="AX3756" s="37"/>
      <c r="AY3756" s="37"/>
      <c r="AZ3756" s="37"/>
      <c r="BA3756" s="37"/>
      <c r="BB3756" s="37"/>
      <c r="BC3756" s="37"/>
      <c r="BD3756" s="37"/>
      <c r="BE3756" s="37"/>
      <c r="BF3756" s="37"/>
      <c r="BG3756" s="37"/>
      <c r="BH3756" s="37"/>
      <c r="BI3756" s="37"/>
      <c r="BJ3756" s="37"/>
      <c r="BK3756" s="37"/>
      <c r="BL3756" s="37"/>
      <c r="BM3756" s="37"/>
    </row>
    <row r="3757" spans="1:65" s="40" customFormat="1" ht="23.25" x14ac:dyDescent="0.35">
      <c r="A3757" s="37"/>
      <c r="B3757" s="37"/>
      <c r="C3757" s="41"/>
      <c r="D3757" s="38"/>
      <c r="E3757" s="57"/>
      <c r="F3757" s="42"/>
      <c r="G3757" s="43"/>
      <c r="H3757" s="37"/>
      <c r="I3757" s="37"/>
      <c r="J3757" s="38"/>
      <c r="K3757" s="37"/>
      <c r="L3757" s="38"/>
      <c r="M3757" s="39"/>
      <c r="P3757" s="37"/>
      <c r="Q3757" s="37"/>
      <c r="R3757" s="37"/>
      <c r="S3757" s="37"/>
      <c r="T3757" s="37"/>
      <c r="U3757" s="37"/>
      <c r="V3757" s="37"/>
      <c r="W3757" s="37"/>
      <c r="X3757" s="37"/>
      <c r="Y3757" s="37"/>
      <c r="Z3757" s="37"/>
      <c r="AA3757" s="37"/>
      <c r="AB3757" s="37"/>
      <c r="AC3757" s="37"/>
      <c r="AD3757" s="37"/>
      <c r="AE3757" s="37"/>
      <c r="AF3757" s="37"/>
      <c r="AG3757" s="37"/>
      <c r="AH3757" s="37"/>
      <c r="AI3757" s="37"/>
      <c r="AJ3757" s="37"/>
      <c r="AK3757" s="37"/>
      <c r="AL3757" s="37"/>
      <c r="AM3757" s="37"/>
      <c r="AN3757" s="37"/>
      <c r="AO3757" s="37"/>
      <c r="AP3757" s="37"/>
      <c r="AQ3757" s="37"/>
      <c r="AR3757" s="37"/>
      <c r="AS3757" s="37"/>
      <c r="AT3757" s="37"/>
      <c r="AU3757" s="37"/>
      <c r="AV3757" s="37"/>
      <c r="AW3757" s="37"/>
      <c r="AX3757" s="37"/>
      <c r="AY3757" s="37"/>
      <c r="AZ3757" s="37"/>
      <c r="BA3757" s="37"/>
      <c r="BB3757" s="37"/>
      <c r="BC3757" s="37"/>
      <c r="BD3757" s="37"/>
      <c r="BE3757" s="37"/>
      <c r="BF3757" s="37"/>
      <c r="BG3757" s="37"/>
      <c r="BH3757" s="37"/>
      <c r="BI3757" s="37"/>
      <c r="BJ3757" s="37"/>
      <c r="BK3757" s="37"/>
      <c r="BL3757" s="37"/>
      <c r="BM3757" s="37"/>
    </row>
    <row r="3758" spans="1:65" s="40" customFormat="1" ht="23.25" x14ac:dyDescent="0.35">
      <c r="A3758" s="37"/>
      <c r="B3758" s="37"/>
      <c r="C3758" s="41"/>
      <c r="D3758" s="38"/>
      <c r="E3758" s="57"/>
      <c r="F3758" s="42"/>
      <c r="G3758" s="43"/>
      <c r="H3758" s="37"/>
      <c r="I3758" s="37"/>
      <c r="J3758" s="38"/>
      <c r="K3758" s="37"/>
      <c r="L3758" s="38"/>
      <c r="M3758" s="39"/>
      <c r="P3758" s="37"/>
      <c r="Q3758" s="37"/>
      <c r="R3758" s="37"/>
      <c r="S3758" s="37"/>
      <c r="T3758" s="37"/>
      <c r="U3758" s="37"/>
      <c r="V3758" s="37"/>
      <c r="W3758" s="37"/>
      <c r="X3758" s="37"/>
      <c r="Y3758" s="37"/>
      <c r="Z3758" s="37"/>
      <c r="AA3758" s="37"/>
      <c r="AB3758" s="37"/>
      <c r="AC3758" s="37"/>
      <c r="AD3758" s="37"/>
      <c r="AE3758" s="37"/>
      <c r="AF3758" s="37"/>
      <c r="AG3758" s="37"/>
      <c r="AH3758" s="37"/>
      <c r="AI3758" s="37"/>
      <c r="AJ3758" s="37"/>
      <c r="AK3758" s="37"/>
      <c r="AL3758" s="37"/>
      <c r="AM3758" s="37"/>
      <c r="AN3758" s="37"/>
      <c r="AO3758" s="37"/>
      <c r="AP3758" s="37"/>
      <c r="AQ3758" s="37"/>
      <c r="AR3758" s="37"/>
      <c r="AS3758" s="37"/>
      <c r="AT3758" s="37"/>
      <c r="AU3758" s="37"/>
      <c r="AV3758" s="37"/>
      <c r="AW3758" s="37"/>
      <c r="AX3758" s="37"/>
      <c r="AY3758" s="37"/>
      <c r="AZ3758" s="37"/>
      <c r="BA3758" s="37"/>
      <c r="BB3758" s="37"/>
      <c r="BC3758" s="37"/>
      <c r="BD3758" s="37"/>
      <c r="BE3758" s="37"/>
      <c r="BF3758" s="37"/>
      <c r="BG3758" s="37"/>
      <c r="BH3758" s="37"/>
      <c r="BI3758" s="37"/>
      <c r="BJ3758" s="37"/>
      <c r="BK3758" s="37"/>
      <c r="BL3758" s="37"/>
      <c r="BM3758" s="37"/>
    </row>
    <row r="3759" spans="1:65" s="40" customFormat="1" ht="23.25" x14ac:dyDescent="0.35">
      <c r="A3759" s="37"/>
      <c r="B3759" s="37"/>
      <c r="C3759" s="41"/>
      <c r="D3759" s="38"/>
      <c r="E3759" s="57"/>
      <c r="F3759" s="42"/>
      <c r="G3759" s="43"/>
      <c r="H3759" s="37"/>
      <c r="I3759" s="37"/>
      <c r="J3759" s="38"/>
      <c r="K3759" s="37"/>
      <c r="L3759" s="38"/>
      <c r="M3759" s="39"/>
      <c r="P3759" s="37"/>
      <c r="Q3759" s="37"/>
      <c r="R3759" s="37"/>
      <c r="S3759" s="37"/>
      <c r="T3759" s="37"/>
      <c r="U3759" s="37"/>
      <c r="V3759" s="37"/>
      <c r="W3759" s="37"/>
      <c r="X3759" s="37"/>
      <c r="Y3759" s="37"/>
      <c r="Z3759" s="37"/>
      <c r="AA3759" s="37"/>
      <c r="AB3759" s="37"/>
      <c r="AC3759" s="37"/>
      <c r="AD3759" s="37"/>
      <c r="AE3759" s="37"/>
      <c r="AF3759" s="37"/>
      <c r="AG3759" s="37"/>
      <c r="AH3759" s="37"/>
      <c r="AI3759" s="37"/>
      <c r="AJ3759" s="37"/>
      <c r="AK3759" s="37"/>
      <c r="AL3759" s="37"/>
      <c r="AM3759" s="37"/>
      <c r="AN3759" s="37"/>
      <c r="AO3759" s="37"/>
      <c r="AP3759" s="37"/>
      <c r="AQ3759" s="37"/>
      <c r="AR3759" s="37"/>
      <c r="AS3759" s="37"/>
      <c r="AT3759" s="37"/>
      <c r="AU3759" s="37"/>
      <c r="AV3759" s="37"/>
      <c r="AW3759" s="37"/>
      <c r="AX3759" s="37"/>
      <c r="AY3759" s="37"/>
      <c r="AZ3759" s="37"/>
      <c r="BA3759" s="37"/>
      <c r="BB3759" s="37"/>
      <c r="BC3759" s="37"/>
      <c r="BD3759" s="37"/>
      <c r="BE3759" s="37"/>
      <c r="BF3759" s="37"/>
      <c r="BG3759" s="37"/>
      <c r="BH3759" s="37"/>
      <c r="BI3759" s="37"/>
      <c r="BJ3759" s="37"/>
      <c r="BK3759" s="37"/>
      <c r="BL3759" s="37"/>
      <c r="BM3759" s="37"/>
    </row>
    <row r="3760" spans="1:65" s="40" customFormat="1" ht="23.25" x14ac:dyDescent="0.35">
      <c r="A3760" s="37"/>
      <c r="B3760" s="37"/>
      <c r="C3760" s="41"/>
      <c r="D3760" s="38"/>
      <c r="E3760" s="57"/>
      <c r="F3760" s="42"/>
      <c r="G3760" s="43"/>
      <c r="H3760" s="37"/>
      <c r="I3760" s="37"/>
      <c r="J3760" s="38"/>
      <c r="K3760" s="37"/>
      <c r="L3760" s="38"/>
      <c r="M3760" s="39"/>
      <c r="P3760" s="37"/>
      <c r="Q3760" s="37"/>
      <c r="R3760" s="37"/>
      <c r="S3760" s="37"/>
      <c r="T3760" s="37"/>
      <c r="U3760" s="37"/>
      <c r="V3760" s="37"/>
      <c r="W3760" s="37"/>
      <c r="X3760" s="37"/>
      <c r="Y3760" s="37"/>
      <c r="Z3760" s="37"/>
      <c r="AA3760" s="37"/>
      <c r="AB3760" s="37"/>
      <c r="AC3760" s="37"/>
      <c r="AD3760" s="37"/>
      <c r="AE3760" s="37"/>
      <c r="AF3760" s="37"/>
      <c r="AG3760" s="37"/>
      <c r="AH3760" s="37"/>
      <c r="AI3760" s="37"/>
      <c r="AJ3760" s="37"/>
      <c r="AK3760" s="37"/>
      <c r="AL3760" s="37"/>
      <c r="AM3760" s="37"/>
      <c r="AN3760" s="37"/>
      <c r="AO3760" s="37"/>
      <c r="AP3760" s="37"/>
      <c r="AQ3760" s="37"/>
      <c r="AR3760" s="37"/>
      <c r="AS3760" s="37"/>
      <c r="AT3760" s="37"/>
      <c r="AU3760" s="37"/>
      <c r="AV3760" s="37"/>
      <c r="AW3760" s="37"/>
      <c r="AX3760" s="37"/>
      <c r="AY3760" s="37"/>
      <c r="AZ3760" s="37"/>
      <c r="BA3760" s="37"/>
      <c r="BB3760" s="37"/>
      <c r="BC3760" s="37"/>
      <c r="BD3760" s="37"/>
      <c r="BE3760" s="37"/>
      <c r="BF3760" s="37"/>
      <c r="BG3760" s="37"/>
      <c r="BH3760" s="37"/>
      <c r="BI3760" s="37"/>
      <c r="BJ3760" s="37"/>
      <c r="BK3760" s="37"/>
      <c r="BL3760" s="37"/>
      <c r="BM3760" s="37"/>
    </row>
    <row r="3761" spans="1:65" s="40" customFormat="1" ht="23.25" x14ac:dyDescent="0.35">
      <c r="A3761" s="37"/>
      <c r="B3761" s="37"/>
      <c r="C3761" s="41"/>
      <c r="D3761" s="38"/>
      <c r="E3761" s="57"/>
      <c r="F3761" s="42"/>
      <c r="G3761" s="43"/>
      <c r="H3761" s="37"/>
      <c r="I3761" s="37"/>
      <c r="J3761" s="38"/>
      <c r="K3761" s="37"/>
      <c r="L3761" s="38"/>
      <c r="M3761" s="39"/>
      <c r="P3761" s="37"/>
      <c r="Q3761" s="37"/>
      <c r="R3761" s="37"/>
      <c r="S3761" s="37"/>
      <c r="T3761" s="37"/>
      <c r="U3761" s="37"/>
      <c r="V3761" s="37"/>
      <c r="W3761" s="37"/>
      <c r="X3761" s="37"/>
      <c r="Y3761" s="37"/>
      <c r="Z3761" s="37"/>
      <c r="AA3761" s="37"/>
      <c r="AB3761" s="37"/>
      <c r="AC3761" s="37"/>
      <c r="AD3761" s="37"/>
      <c r="AE3761" s="37"/>
      <c r="AF3761" s="37"/>
      <c r="AG3761" s="37"/>
      <c r="AH3761" s="37"/>
      <c r="AI3761" s="37"/>
      <c r="AJ3761" s="37"/>
      <c r="AK3761" s="37"/>
      <c r="AL3761" s="37"/>
      <c r="AM3761" s="37"/>
      <c r="AN3761" s="37"/>
      <c r="AO3761" s="37"/>
      <c r="AP3761" s="37"/>
      <c r="AQ3761" s="37"/>
      <c r="AR3761" s="37"/>
      <c r="AS3761" s="37"/>
      <c r="AT3761" s="37"/>
      <c r="AU3761" s="37"/>
      <c r="AV3761" s="37"/>
      <c r="AW3761" s="37"/>
      <c r="AX3761" s="37"/>
      <c r="AY3761" s="37"/>
      <c r="AZ3761" s="37"/>
      <c r="BA3761" s="37"/>
      <c r="BB3761" s="37"/>
      <c r="BC3761" s="37"/>
      <c r="BD3761" s="37"/>
      <c r="BE3761" s="37"/>
      <c r="BF3761" s="37"/>
      <c r="BG3761" s="37"/>
      <c r="BH3761" s="37"/>
      <c r="BI3761" s="37"/>
      <c r="BJ3761" s="37"/>
      <c r="BK3761" s="37"/>
      <c r="BL3761" s="37"/>
      <c r="BM3761" s="37"/>
    </row>
    <row r="3762" spans="1:65" s="40" customFormat="1" ht="23.25" x14ac:dyDescent="0.35">
      <c r="A3762" s="37"/>
      <c r="B3762" s="37"/>
      <c r="C3762" s="41"/>
      <c r="D3762" s="38"/>
      <c r="E3762" s="57"/>
      <c r="F3762" s="42"/>
      <c r="G3762" s="43"/>
      <c r="H3762" s="37"/>
      <c r="I3762" s="37"/>
      <c r="J3762" s="38"/>
      <c r="K3762" s="37"/>
      <c r="L3762" s="38"/>
      <c r="M3762" s="39"/>
      <c r="P3762" s="37"/>
      <c r="Q3762" s="37"/>
      <c r="R3762" s="37"/>
      <c r="S3762" s="37"/>
      <c r="T3762" s="37"/>
      <c r="U3762" s="37"/>
      <c r="V3762" s="37"/>
      <c r="W3762" s="37"/>
      <c r="X3762" s="37"/>
      <c r="Y3762" s="37"/>
      <c r="Z3762" s="37"/>
      <c r="AA3762" s="37"/>
      <c r="AB3762" s="37"/>
      <c r="AC3762" s="37"/>
      <c r="AD3762" s="37"/>
      <c r="AE3762" s="37"/>
      <c r="AF3762" s="37"/>
      <c r="AG3762" s="37"/>
      <c r="AH3762" s="37"/>
      <c r="AI3762" s="37"/>
      <c r="AJ3762" s="37"/>
      <c r="AK3762" s="37"/>
      <c r="AL3762" s="37"/>
      <c r="AM3762" s="37"/>
      <c r="AN3762" s="37"/>
      <c r="AO3762" s="37"/>
      <c r="AP3762" s="37"/>
      <c r="AQ3762" s="37"/>
      <c r="AR3762" s="37"/>
      <c r="AS3762" s="37"/>
      <c r="AT3762" s="37"/>
      <c r="AU3762" s="37"/>
      <c r="AV3762" s="37"/>
      <c r="AW3762" s="37"/>
      <c r="AX3762" s="37"/>
      <c r="AY3762" s="37"/>
      <c r="AZ3762" s="37"/>
      <c r="BA3762" s="37"/>
      <c r="BB3762" s="37"/>
      <c r="BC3762" s="37"/>
      <c r="BD3762" s="37"/>
      <c r="BE3762" s="37"/>
      <c r="BF3762" s="37"/>
      <c r="BG3762" s="37"/>
      <c r="BH3762" s="37"/>
      <c r="BI3762" s="37"/>
      <c r="BJ3762" s="37"/>
      <c r="BK3762" s="37"/>
      <c r="BL3762" s="37"/>
      <c r="BM3762" s="37"/>
    </row>
    <row r="3763" spans="1:65" s="40" customFormat="1" ht="23.25" x14ac:dyDescent="0.35">
      <c r="A3763" s="37"/>
      <c r="B3763" s="37"/>
      <c r="C3763" s="41"/>
      <c r="D3763" s="38"/>
      <c r="E3763" s="57"/>
      <c r="F3763" s="42"/>
      <c r="G3763" s="43"/>
      <c r="H3763" s="37"/>
      <c r="I3763" s="37"/>
      <c r="J3763" s="38"/>
      <c r="K3763" s="37"/>
      <c r="L3763" s="38"/>
      <c r="M3763" s="39"/>
      <c r="P3763" s="37"/>
      <c r="Q3763" s="37"/>
      <c r="R3763" s="37"/>
      <c r="S3763" s="37"/>
      <c r="T3763" s="37"/>
      <c r="U3763" s="37"/>
      <c r="V3763" s="37"/>
      <c r="W3763" s="37"/>
      <c r="X3763" s="37"/>
      <c r="Y3763" s="37"/>
      <c r="Z3763" s="37"/>
      <c r="AA3763" s="37"/>
      <c r="AB3763" s="37"/>
      <c r="AC3763" s="37"/>
      <c r="AD3763" s="37"/>
      <c r="AE3763" s="37"/>
      <c r="AF3763" s="37"/>
      <c r="AG3763" s="37"/>
      <c r="AH3763" s="37"/>
      <c r="AI3763" s="37"/>
      <c r="AJ3763" s="37"/>
      <c r="AK3763" s="37"/>
      <c r="AL3763" s="37"/>
      <c r="AM3763" s="37"/>
      <c r="AN3763" s="37"/>
      <c r="AO3763" s="37"/>
      <c r="AP3763" s="37"/>
      <c r="AQ3763" s="37"/>
      <c r="AR3763" s="37"/>
      <c r="AS3763" s="37"/>
      <c r="AT3763" s="37"/>
      <c r="AU3763" s="37"/>
      <c r="AV3763" s="37"/>
      <c r="AW3763" s="37"/>
      <c r="AX3763" s="37"/>
      <c r="AY3763" s="37"/>
      <c r="AZ3763" s="37"/>
      <c r="BA3763" s="37"/>
      <c r="BB3763" s="37"/>
      <c r="BC3763" s="37"/>
      <c r="BD3763" s="37"/>
      <c r="BE3763" s="37"/>
      <c r="BF3763" s="37"/>
      <c r="BG3763" s="37"/>
      <c r="BH3763" s="37"/>
      <c r="BI3763" s="37"/>
      <c r="BJ3763" s="37"/>
      <c r="BK3763" s="37"/>
      <c r="BL3763" s="37"/>
      <c r="BM3763" s="37"/>
    </row>
    <row r="3764" spans="1:65" s="40" customFormat="1" ht="23.25" x14ac:dyDescent="0.35">
      <c r="A3764" s="37"/>
      <c r="B3764" s="37"/>
      <c r="C3764" s="41"/>
      <c r="D3764" s="38"/>
      <c r="E3764" s="57"/>
      <c r="F3764" s="42"/>
      <c r="G3764" s="43"/>
      <c r="H3764" s="37"/>
      <c r="I3764" s="37"/>
      <c r="J3764" s="38"/>
      <c r="K3764" s="37"/>
      <c r="L3764" s="38"/>
      <c r="M3764" s="39"/>
      <c r="P3764" s="37"/>
      <c r="Q3764" s="37"/>
      <c r="R3764" s="37"/>
      <c r="S3764" s="37"/>
      <c r="T3764" s="37"/>
      <c r="U3764" s="37"/>
      <c r="V3764" s="37"/>
      <c r="W3764" s="37"/>
      <c r="X3764" s="37"/>
      <c r="Y3764" s="37"/>
      <c r="Z3764" s="37"/>
      <c r="AA3764" s="37"/>
      <c r="AB3764" s="37"/>
      <c r="AC3764" s="37"/>
      <c r="AD3764" s="37"/>
      <c r="AE3764" s="37"/>
      <c r="AF3764" s="37"/>
      <c r="AG3764" s="37"/>
      <c r="AH3764" s="37"/>
      <c r="AI3764" s="37"/>
      <c r="AJ3764" s="37"/>
      <c r="AK3764" s="37"/>
      <c r="AL3764" s="37"/>
      <c r="AM3764" s="37"/>
      <c r="AN3764" s="37"/>
      <c r="AO3764" s="37"/>
      <c r="AP3764" s="37"/>
      <c r="AQ3764" s="37"/>
      <c r="AR3764" s="37"/>
      <c r="AS3764" s="37"/>
      <c r="AT3764" s="37"/>
      <c r="AU3764" s="37"/>
      <c r="AV3764" s="37"/>
      <c r="AW3764" s="37"/>
      <c r="AX3764" s="37"/>
      <c r="AY3764" s="37"/>
      <c r="AZ3764" s="37"/>
      <c r="BA3764" s="37"/>
      <c r="BB3764" s="37"/>
      <c r="BC3764" s="37"/>
      <c r="BD3764" s="37"/>
      <c r="BE3764" s="37"/>
      <c r="BF3764" s="37"/>
      <c r="BG3764" s="37"/>
      <c r="BH3764" s="37"/>
      <c r="BI3764" s="37"/>
      <c r="BJ3764" s="37"/>
      <c r="BK3764" s="37"/>
      <c r="BL3764" s="37"/>
      <c r="BM3764" s="37"/>
    </row>
    <row r="3765" spans="1:65" s="40" customFormat="1" ht="23.25" x14ac:dyDescent="0.35">
      <c r="A3765" s="37"/>
      <c r="B3765" s="37"/>
      <c r="C3765" s="41"/>
      <c r="D3765" s="38"/>
      <c r="E3765" s="57"/>
      <c r="F3765" s="42"/>
      <c r="G3765" s="43"/>
      <c r="H3765" s="37"/>
      <c r="I3765" s="37"/>
      <c r="J3765" s="38"/>
      <c r="K3765" s="37"/>
      <c r="L3765" s="38"/>
      <c r="M3765" s="39"/>
      <c r="P3765" s="37"/>
      <c r="Q3765" s="37"/>
      <c r="R3765" s="37"/>
      <c r="S3765" s="37"/>
      <c r="T3765" s="37"/>
      <c r="U3765" s="37"/>
      <c r="V3765" s="37"/>
      <c r="W3765" s="37"/>
      <c r="X3765" s="37"/>
      <c r="Y3765" s="37"/>
      <c r="Z3765" s="37"/>
      <c r="AA3765" s="37"/>
      <c r="AB3765" s="37"/>
      <c r="AC3765" s="37"/>
      <c r="AD3765" s="37"/>
      <c r="AE3765" s="37"/>
      <c r="AF3765" s="37"/>
      <c r="AG3765" s="37"/>
      <c r="AH3765" s="37"/>
      <c r="AI3765" s="37"/>
      <c r="AJ3765" s="37"/>
      <c r="AK3765" s="37"/>
      <c r="AL3765" s="37"/>
      <c r="AM3765" s="37"/>
      <c r="AN3765" s="37"/>
      <c r="AO3765" s="37"/>
      <c r="AP3765" s="37"/>
      <c r="AQ3765" s="37"/>
      <c r="AR3765" s="37"/>
      <c r="AS3765" s="37"/>
      <c r="AT3765" s="37"/>
      <c r="AU3765" s="37"/>
      <c r="AV3765" s="37"/>
      <c r="AW3765" s="37"/>
      <c r="AX3765" s="37"/>
      <c r="AY3765" s="37"/>
      <c r="AZ3765" s="37"/>
      <c r="BA3765" s="37"/>
      <c r="BB3765" s="37"/>
      <c r="BC3765" s="37"/>
      <c r="BD3765" s="37"/>
      <c r="BE3765" s="37"/>
      <c r="BF3765" s="37"/>
      <c r="BG3765" s="37"/>
      <c r="BH3765" s="37"/>
      <c r="BI3765" s="37"/>
      <c r="BJ3765" s="37"/>
      <c r="BK3765" s="37"/>
      <c r="BL3765" s="37"/>
      <c r="BM3765" s="37"/>
    </row>
    <row r="3766" spans="1:65" s="40" customFormat="1" ht="21" x14ac:dyDescent="0.35">
      <c r="A3766" s="37"/>
      <c r="B3766" s="37"/>
      <c r="C3766" s="41"/>
      <c r="D3766" s="38"/>
      <c r="E3766" s="38"/>
      <c r="F3766" s="42"/>
      <c r="G3766" s="43"/>
      <c r="H3766" s="37"/>
      <c r="I3766" s="37"/>
      <c r="J3766" s="38"/>
      <c r="K3766" s="37"/>
      <c r="L3766" s="38"/>
      <c r="M3766" s="39"/>
      <c r="P3766" s="37"/>
      <c r="Q3766" s="37"/>
      <c r="R3766" s="37"/>
      <c r="S3766" s="37"/>
      <c r="T3766" s="37"/>
      <c r="U3766" s="37"/>
      <c r="V3766" s="37"/>
      <c r="W3766" s="37"/>
      <c r="X3766" s="37"/>
      <c r="Y3766" s="37"/>
      <c r="Z3766" s="37"/>
      <c r="AA3766" s="37"/>
      <c r="AB3766" s="37"/>
      <c r="AC3766" s="37"/>
      <c r="AD3766" s="37"/>
      <c r="AE3766" s="37"/>
      <c r="AF3766" s="37"/>
      <c r="AG3766" s="37"/>
      <c r="AH3766" s="37"/>
      <c r="AI3766" s="37"/>
      <c r="AJ3766" s="37"/>
      <c r="AK3766" s="37"/>
      <c r="AL3766" s="37"/>
      <c r="AM3766" s="37"/>
      <c r="AN3766" s="37"/>
      <c r="AO3766" s="37"/>
      <c r="AP3766" s="37"/>
      <c r="AQ3766" s="37"/>
      <c r="AR3766" s="37"/>
      <c r="AS3766" s="37"/>
      <c r="AT3766" s="37"/>
      <c r="AU3766" s="37"/>
      <c r="AV3766" s="37"/>
      <c r="AW3766" s="37"/>
      <c r="AX3766" s="37"/>
      <c r="AY3766" s="37"/>
      <c r="AZ3766" s="37"/>
      <c r="BA3766" s="37"/>
      <c r="BB3766" s="37"/>
      <c r="BC3766" s="37"/>
      <c r="BD3766" s="37"/>
      <c r="BE3766" s="37"/>
      <c r="BF3766" s="37"/>
      <c r="BG3766" s="37"/>
      <c r="BH3766" s="37"/>
      <c r="BI3766" s="37"/>
      <c r="BJ3766" s="37"/>
      <c r="BK3766" s="37"/>
      <c r="BL3766" s="37"/>
      <c r="BM3766" s="37"/>
    </row>
    <row r="3767" spans="1:65" s="40" customFormat="1" ht="21" x14ac:dyDescent="0.35">
      <c r="A3767" s="37"/>
      <c r="B3767" s="37"/>
      <c r="C3767" s="41"/>
      <c r="D3767" s="38"/>
      <c r="E3767" s="38"/>
      <c r="F3767" s="42"/>
      <c r="G3767" s="43"/>
      <c r="H3767" s="37"/>
      <c r="I3767" s="37"/>
      <c r="J3767" s="38"/>
      <c r="K3767" s="37"/>
      <c r="L3767" s="38"/>
      <c r="M3767" s="39"/>
      <c r="P3767" s="37"/>
      <c r="Q3767" s="37"/>
      <c r="R3767" s="37"/>
      <c r="S3767" s="37"/>
      <c r="T3767" s="37"/>
      <c r="U3767" s="37"/>
      <c r="V3767" s="37"/>
      <c r="W3767" s="37"/>
      <c r="X3767" s="37"/>
      <c r="Y3767" s="37"/>
      <c r="Z3767" s="37"/>
      <c r="AA3767" s="37"/>
      <c r="AB3767" s="37"/>
      <c r="AC3767" s="37"/>
      <c r="AD3767" s="37"/>
      <c r="AE3767" s="37"/>
      <c r="AF3767" s="37"/>
      <c r="AG3767" s="37"/>
      <c r="AH3767" s="37"/>
      <c r="AI3767" s="37"/>
      <c r="AJ3767" s="37"/>
      <c r="AK3767" s="37"/>
      <c r="AL3767" s="37"/>
      <c r="AM3767" s="37"/>
      <c r="AN3767" s="37"/>
      <c r="AO3767" s="37"/>
      <c r="AP3767" s="37"/>
      <c r="AQ3767" s="37"/>
      <c r="AR3767" s="37"/>
      <c r="AS3767" s="37"/>
      <c r="AT3767" s="37"/>
      <c r="AU3767" s="37"/>
      <c r="AV3767" s="37"/>
      <c r="AW3767" s="37"/>
      <c r="AX3767" s="37"/>
      <c r="AY3767" s="37"/>
      <c r="AZ3767" s="37"/>
      <c r="BA3767" s="37"/>
      <c r="BB3767" s="37"/>
      <c r="BC3767" s="37"/>
      <c r="BD3767" s="37"/>
      <c r="BE3767" s="37"/>
      <c r="BF3767" s="37"/>
      <c r="BG3767" s="37"/>
      <c r="BH3767" s="37"/>
      <c r="BI3767" s="37"/>
      <c r="BJ3767" s="37"/>
      <c r="BK3767" s="37"/>
      <c r="BL3767" s="37"/>
      <c r="BM3767" s="37"/>
    </row>
    <row r="3768" spans="1:65" s="40" customFormat="1" ht="21" x14ac:dyDescent="0.35">
      <c r="A3768" s="37"/>
      <c r="B3768" s="37"/>
      <c r="C3768" s="41"/>
      <c r="D3768" s="38"/>
      <c r="E3768" s="38"/>
      <c r="F3768" s="42"/>
      <c r="G3768" s="43"/>
      <c r="H3768" s="37"/>
      <c r="I3768" s="37"/>
      <c r="J3768" s="38"/>
      <c r="K3768" s="37"/>
      <c r="L3768" s="38"/>
      <c r="M3768" s="39"/>
      <c r="P3768" s="37"/>
      <c r="Q3768" s="37"/>
      <c r="R3768" s="37"/>
      <c r="S3768" s="37"/>
      <c r="T3768" s="37"/>
      <c r="U3768" s="37"/>
      <c r="V3768" s="37"/>
      <c r="W3768" s="37"/>
      <c r="X3768" s="37"/>
      <c r="Y3768" s="37"/>
      <c r="Z3768" s="37"/>
      <c r="AA3768" s="37"/>
      <c r="AB3768" s="37"/>
      <c r="AC3768" s="37"/>
      <c r="AD3768" s="37"/>
      <c r="AE3768" s="37"/>
      <c r="AF3768" s="37"/>
      <c r="AG3768" s="37"/>
      <c r="AH3768" s="37"/>
      <c r="AI3768" s="37"/>
      <c r="AJ3768" s="37"/>
      <c r="AK3768" s="37"/>
      <c r="AL3768" s="37"/>
      <c r="AM3768" s="37"/>
      <c r="AN3768" s="37"/>
      <c r="AO3768" s="37"/>
      <c r="AP3768" s="37"/>
      <c r="AQ3768" s="37"/>
      <c r="AR3768" s="37"/>
      <c r="AS3768" s="37"/>
      <c r="AT3768" s="37"/>
      <c r="AU3768" s="37"/>
      <c r="AV3768" s="37"/>
      <c r="AW3768" s="37"/>
      <c r="AX3768" s="37"/>
      <c r="AY3768" s="37"/>
      <c r="AZ3768" s="37"/>
      <c r="BA3768" s="37"/>
      <c r="BB3768" s="37"/>
      <c r="BC3768" s="37"/>
      <c r="BD3768" s="37"/>
      <c r="BE3768" s="37"/>
      <c r="BF3768" s="37"/>
      <c r="BG3768" s="37"/>
      <c r="BH3768" s="37"/>
      <c r="BI3768" s="37"/>
      <c r="BJ3768" s="37"/>
      <c r="BK3768" s="37"/>
      <c r="BL3768" s="37"/>
      <c r="BM3768" s="37"/>
    </row>
    <row r="3769" spans="1:65" s="40" customFormat="1" ht="21" x14ac:dyDescent="0.35">
      <c r="A3769" s="37"/>
      <c r="B3769" s="37"/>
      <c r="C3769" s="41"/>
      <c r="D3769" s="38"/>
      <c r="E3769" s="38"/>
      <c r="F3769" s="42"/>
      <c r="G3769" s="43"/>
      <c r="H3769" s="37"/>
      <c r="I3769" s="37"/>
      <c r="J3769" s="38"/>
      <c r="K3769" s="37"/>
      <c r="L3769" s="38"/>
      <c r="M3769" s="39"/>
      <c r="P3769" s="37"/>
      <c r="Q3769" s="37"/>
      <c r="R3769" s="37"/>
      <c r="S3769" s="37"/>
      <c r="T3769" s="37"/>
      <c r="U3769" s="37"/>
      <c r="V3769" s="37"/>
      <c r="W3769" s="37"/>
      <c r="X3769" s="37"/>
      <c r="Y3769" s="37"/>
      <c r="Z3769" s="37"/>
      <c r="AA3769" s="37"/>
      <c r="AB3769" s="37"/>
      <c r="AC3769" s="37"/>
      <c r="AD3769" s="37"/>
      <c r="AE3769" s="37"/>
      <c r="AF3769" s="37"/>
      <c r="AG3769" s="37"/>
      <c r="AH3769" s="37"/>
      <c r="AI3769" s="37"/>
      <c r="AJ3769" s="37"/>
      <c r="AK3769" s="37"/>
      <c r="AL3769" s="37"/>
      <c r="AM3769" s="37"/>
      <c r="AN3769" s="37"/>
      <c r="AO3769" s="37"/>
      <c r="AP3769" s="37"/>
      <c r="AQ3769" s="37"/>
      <c r="AR3769" s="37"/>
      <c r="AS3769" s="37"/>
      <c r="AT3769" s="37"/>
      <c r="AU3769" s="37"/>
      <c r="AV3769" s="37"/>
      <c r="AW3769" s="37"/>
      <c r="AX3769" s="37"/>
      <c r="AY3769" s="37"/>
      <c r="AZ3769" s="37"/>
      <c r="BA3769" s="37"/>
      <c r="BB3769" s="37"/>
      <c r="BC3769" s="37"/>
      <c r="BD3769" s="37"/>
      <c r="BE3769" s="37"/>
      <c r="BF3769" s="37"/>
      <c r="BG3769" s="37"/>
      <c r="BH3769" s="37"/>
      <c r="BI3769" s="37"/>
      <c r="BJ3769" s="37"/>
      <c r="BK3769" s="37"/>
      <c r="BL3769" s="37"/>
      <c r="BM3769" s="37"/>
    </row>
    <row r="3770" spans="1:65" s="40" customFormat="1" ht="21" x14ac:dyDescent="0.35">
      <c r="A3770" s="37"/>
      <c r="B3770" s="37"/>
      <c r="C3770" s="41"/>
      <c r="D3770" s="38"/>
      <c r="E3770" s="38"/>
      <c r="F3770" s="42"/>
      <c r="G3770" s="43"/>
      <c r="H3770" s="37"/>
      <c r="I3770" s="37"/>
      <c r="J3770" s="38"/>
      <c r="K3770" s="37"/>
      <c r="L3770" s="38"/>
      <c r="M3770" s="39"/>
      <c r="P3770" s="37"/>
      <c r="Q3770" s="37"/>
      <c r="R3770" s="37"/>
      <c r="S3770" s="37"/>
      <c r="T3770" s="37"/>
      <c r="U3770" s="37"/>
      <c r="V3770" s="37"/>
      <c r="W3770" s="37"/>
      <c r="X3770" s="37"/>
      <c r="Y3770" s="37"/>
      <c r="Z3770" s="37"/>
      <c r="AA3770" s="37"/>
      <c r="AB3770" s="37"/>
      <c r="AC3770" s="37"/>
      <c r="AD3770" s="37"/>
      <c r="AE3770" s="37"/>
      <c r="AF3770" s="37"/>
      <c r="AG3770" s="37"/>
      <c r="AH3770" s="37"/>
      <c r="AI3770" s="37"/>
      <c r="AJ3770" s="37"/>
      <c r="AK3770" s="37"/>
      <c r="AL3770" s="37"/>
      <c r="AM3770" s="37"/>
      <c r="AN3770" s="37"/>
      <c r="AO3770" s="37"/>
      <c r="AP3770" s="37"/>
      <c r="AQ3770" s="37"/>
      <c r="AR3770" s="37"/>
      <c r="AS3770" s="37"/>
      <c r="AT3770" s="37"/>
      <c r="AU3770" s="37"/>
      <c r="AV3770" s="37"/>
      <c r="AW3770" s="37"/>
      <c r="AX3770" s="37"/>
      <c r="AY3770" s="37"/>
      <c r="AZ3770" s="37"/>
      <c r="BA3770" s="37"/>
      <c r="BB3770" s="37"/>
      <c r="BC3770" s="37"/>
      <c r="BD3770" s="37"/>
      <c r="BE3770" s="37"/>
      <c r="BF3770" s="37"/>
      <c r="BG3770" s="37"/>
      <c r="BH3770" s="37"/>
      <c r="BI3770" s="37"/>
      <c r="BJ3770" s="37"/>
      <c r="BK3770" s="37"/>
      <c r="BL3770" s="37"/>
      <c r="BM3770" s="37"/>
    </row>
    <row r="3771" spans="1:65" s="40" customFormat="1" ht="21" x14ac:dyDescent="0.35">
      <c r="A3771" s="37"/>
      <c r="B3771" s="37"/>
      <c r="C3771" s="41"/>
      <c r="D3771" s="38"/>
      <c r="E3771" s="38"/>
      <c r="F3771" s="42"/>
      <c r="G3771" s="43"/>
      <c r="H3771" s="37"/>
      <c r="I3771" s="37"/>
      <c r="J3771" s="38"/>
      <c r="K3771" s="37"/>
      <c r="L3771" s="38"/>
      <c r="M3771" s="39"/>
      <c r="P3771" s="37"/>
      <c r="Q3771" s="37"/>
      <c r="R3771" s="37"/>
      <c r="S3771" s="37"/>
      <c r="T3771" s="37"/>
      <c r="U3771" s="37"/>
      <c r="V3771" s="37"/>
      <c r="W3771" s="37"/>
      <c r="X3771" s="37"/>
      <c r="Y3771" s="37"/>
      <c r="Z3771" s="37"/>
      <c r="AA3771" s="37"/>
      <c r="AB3771" s="37"/>
      <c r="AC3771" s="37"/>
      <c r="AD3771" s="37"/>
      <c r="AE3771" s="37"/>
      <c r="AF3771" s="37"/>
      <c r="AG3771" s="37"/>
      <c r="AH3771" s="37"/>
      <c r="AI3771" s="37"/>
      <c r="AJ3771" s="37"/>
      <c r="AK3771" s="37"/>
      <c r="AL3771" s="37"/>
      <c r="AM3771" s="37"/>
      <c r="AN3771" s="37"/>
      <c r="AO3771" s="37"/>
      <c r="AP3771" s="37"/>
      <c r="AQ3771" s="37"/>
      <c r="AR3771" s="37"/>
      <c r="AS3771" s="37"/>
      <c r="AT3771" s="37"/>
      <c r="AU3771" s="37"/>
      <c r="AV3771" s="37"/>
      <c r="AW3771" s="37"/>
      <c r="AX3771" s="37"/>
      <c r="AY3771" s="37"/>
      <c r="AZ3771" s="37"/>
      <c r="BA3771" s="37"/>
      <c r="BB3771" s="37"/>
      <c r="BC3771" s="37"/>
      <c r="BD3771" s="37"/>
      <c r="BE3771" s="37"/>
      <c r="BF3771" s="37"/>
      <c r="BG3771" s="37"/>
      <c r="BH3771" s="37"/>
      <c r="BI3771" s="37"/>
      <c r="BJ3771" s="37"/>
      <c r="BK3771" s="37"/>
      <c r="BL3771" s="37"/>
      <c r="BM3771" s="37"/>
    </row>
    <row r="3772" spans="1:65" s="40" customFormat="1" ht="21" x14ac:dyDescent="0.35">
      <c r="A3772" s="37"/>
      <c r="B3772" s="37"/>
      <c r="C3772" s="41"/>
      <c r="D3772" s="38"/>
      <c r="E3772" s="38"/>
      <c r="F3772" s="42"/>
      <c r="G3772" s="43"/>
      <c r="H3772" s="37"/>
      <c r="I3772" s="37"/>
      <c r="J3772" s="38"/>
      <c r="K3772" s="37"/>
      <c r="L3772" s="38"/>
      <c r="M3772" s="39"/>
      <c r="P3772" s="37"/>
      <c r="Q3772" s="37"/>
      <c r="R3772" s="37"/>
      <c r="S3772" s="37"/>
      <c r="T3772" s="37"/>
      <c r="U3772" s="37"/>
      <c r="V3772" s="37"/>
      <c r="W3772" s="37"/>
      <c r="X3772" s="37"/>
      <c r="Y3772" s="37"/>
      <c r="Z3772" s="37"/>
      <c r="AA3772" s="37"/>
      <c r="AB3772" s="37"/>
      <c r="AC3772" s="37"/>
      <c r="AD3772" s="37"/>
      <c r="AE3772" s="37"/>
      <c r="AF3772" s="37"/>
      <c r="AG3772" s="37"/>
      <c r="AH3772" s="37"/>
      <c r="AI3772" s="37"/>
      <c r="AJ3772" s="37"/>
      <c r="AK3772" s="37"/>
      <c r="AL3772" s="37"/>
      <c r="AM3772" s="37"/>
      <c r="AN3772" s="37"/>
      <c r="AO3772" s="37"/>
      <c r="AP3772" s="37"/>
      <c r="AQ3772" s="37"/>
      <c r="AR3772" s="37"/>
      <c r="AS3772" s="37"/>
      <c r="AT3772" s="37"/>
      <c r="AU3772" s="37"/>
      <c r="AV3772" s="37"/>
      <c r="AW3772" s="37"/>
      <c r="AX3772" s="37"/>
      <c r="AY3772" s="37"/>
      <c r="AZ3772" s="37"/>
      <c r="BA3772" s="37"/>
      <c r="BB3772" s="37"/>
      <c r="BC3772" s="37"/>
      <c r="BD3772" s="37"/>
      <c r="BE3772" s="37"/>
      <c r="BF3772" s="37"/>
      <c r="BG3772" s="37"/>
      <c r="BH3772" s="37"/>
      <c r="BI3772" s="37"/>
      <c r="BJ3772" s="37"/>
      <c r="BK3772" s="37"/>
      <c r="BL3772" s="37"/>
      <c r="BM3772" s="37"/>
    </row>
    <row r="3773" spans="1:65" s="40" customFormat="1" ht="21" x14ac:dyDescent="0.35">
      <c r="A3773" s="37"/>
      <c r="B3773" s="37"/>
      <c r="C3773" s="41"/>
      <c r="D3773" s="38"/>
      <c r="E3773" s="38"/>
      <c r="F3773" s="42"/>
      <c r="G3773" s="43"/>
      <c r="H3773" s="37"/>
      <c r="I3773" s="37"/>
      <c r="J3773" s="38"/>
      <c r="K3773" s="37"/>
      <c r="L3773" s="38"/>
      <c r="M3773" s="39"/>
      <c r="P3773" s="37"/>
      <c r="Q3773" s="37"/>
      <c r="R3773" s="37"/>
      <c r="S3773" s="37"/>
      <c r="T3773" s="37"/>
      <c r="U3773" s="37"/>
      <c r="V3773" s="37"/>
      <c r="W3773" s="37"/>
      <c r="X3773" s="37"/>
      <c r="Y3773" s="37"/>
      <c r="Z3773" s="37"/>
      <c r="AA3773" s="37"/>
      <c r="AB3773" s="37"/>
      <c r="AC3773" s="37"/>
      <c r="AD3773" s="37"/>
      <c r="AE3773" s="37"/>
      <c r="AF3773" s="37"/>
      <c r="AG3773" s="37"/>
      <c r="AH3773" s="37"/>
      <c r="AI3773" s="37"/>
      <c r="AJ3773" s="37"/>
      <c r="AK3773" s="37"/>
      <c r="AL3773" s="37"/>
      <c r="AM3773" s="37"/>
      <c r="AN3773" s="37"/>
      <c r="AO3773" s="37"/>
      <c r="AP3773" s="37"/>
      <c r="AQ3773" s="37"/>
      <c r="AR3773" s="37"/>
      <c r="AS3773" s="37"/>
      <c r="AT3773" s="37"/>
      <c r="AU3773" s="37"/>
      <c r="AV3773" s="37"/>
      <c r="AW3773" s="37"/>
      <c r="AX3773" s="37"/>
      <c r="AY3773" s="37"/>
      <c r="AZ3773" s="37"/>
      <c r="BA3773" s="37"/>
      <c r="BB3773" s="37"/>
      <c r="BC3773" s="37"/>
      <c r="BD3773" s="37"/>
      <c r="BE3773" s="37"/>
      <c r="BF3773" s="37"/>
      <c r="BG3773" s="37"/>
      <c r="BH3773" s="37"/>
      <c r="BI3773" s="37"/>
      <c r="BJ3773" s="37"/>
      <c r="BK3773" s="37"/>
      <c r="BL3773" s="37"/>
      <c r="BM3773" s="37"/>
    </row>
    <row r="3774" spans="1:65" s="40" customFormat="1" ht="21" x14ac:dyDescent="0.35">
      <c r="A3774" s="37"/>
      <c r="B3774" s="37"/>
      <c r="C3774" s="41"/>
      <c r="D3774" s="38"/>
      <c r="E3774" s="38"/>
      <c r="F3774" s="42"/>
      <c r="G3774" s="43"/>
      <c r="H3774" s="37"/>
      <c r="I3774" s="37"/>
      <c r="J3774" s="38"/>
      <c r="K3774" s="37"/>
      <c r="L3774" s="38"/>
      <c r="M3774" s="39"/>
      <c r="P3774" s="37"/>
      <c r="Q3774" s="37"/>
      <c r="R3774" s="37"/>
      <c r="S3774" s="37"/>
      <c r="T3774" s="37"/>
      <c r="U3774" s="37"/>
      <c r="V3774" s="37"/>
      <c r="W3774" s="37"/>
      <c r="X3774" s="37"/>
      <c r="Y3774" s="37"/>
      <c r="Z3774" s="37"/>
      <c r="AA3774" s="37"/>
      <c r="AB3774" s="37"/>
      <c r="AC3774" s="37"/>
      <c r="AD3774" s="37"/>
      <c r="AE3774" s="37"/>
      <c r="AF3774" s="37"/>
      <c r="AG3774" s="37"/>
      <c r="AH3774" s="37"/>
      <c r="AI3774" s="37"/>
      <c r="AJ3774" s="37"/>
      <c r="AK3774" s="37"/>
      <c r="AL3774" s="37"/>
      <c r="AM3774" s="37"/>
      <c r="AN3774" s="37"/>
      <c r="AO3774" s="37"/>
      <c r="AP3774" s="37"/>
      <c r="AQ3774" s="37"/>
      <c r="AR3774" s="37"/>
      <c r="AS3774" s="37"/>
      <c r="AT3774" s="37"/>
      <c r="AU3774" s="37"/>
      <c r="AV3774" s="37"/>
      <c r="AW3774" s="37"/>
      <c r="AX3774" s="37"/>
      <c r="AY3774" s="37"/>
      <c r="AZ3774" s="37"/>
      <c r="BA3774" s="37"/>
      <c r="BB3774" s="37"/>
      <c r="BC3774" s="37"/>
      <c r="BD3774" s="37"/>
      <c r="BE3774" s="37"/>
      <c r="BF3774" s="37"/>
      <c r="BG3774" s="37"/>
      <c r="BH3774" s="37"/>
      <c r="BI3774" s="37"/>
      <c r="BJ3774" s="37"/>
      <c r="BK3774" s="37"/>
      <c r="BL3774" s="37"/>
      <c r="BM3774" s="37"/>
    </row>
    <row r="3775" spans="1:65" s="40" customFormat="1" ht="21" x14ac:dyDescent="0.35">
      <c r="A3775" s="37"/>
      <c r="B3775" s="37"/>
      <c r="C3775" s="41"/>
      <c r="D3775" s="38"/>
      <c r="E3775" s="38"/>
      <c r="F3775" s="42"/>
      <c r="G3775" s="43"/>
      <c r="H3775" s="37"/>
      <c r="I3775" s="37"/>
      <c r="J3775" s="38"/>
      <c r="K3775" s="37"/>
      <c r="L3775" s="38"/>
      <c r="M3775" s="39"/>
      <c r="P3775" s="37"/>
      <c r="Q3775" s="37"/>
      <c r="R3775" s="37"/>
      <c r="S3775" s="37"/>
      <c r="T3775" s="37"/>
      <c r="U3775" s="37"/>
      <c r="V3775" s="37"/>
      <c r="W3775" s="37"/>
      <c r="X3775" s="37"/>
      <c r="Y3775" s="37"/>
      <c r="Z3775" s="37"/>
      <c r="AA3775" s="37"/>
      <c r="AB3775" s="37"/>
      <c r="AC3775" s="37"/>
      <c r="AD3775" s="37"/>
      <c r="AE3775" s="37"/>
      <c r="AF3775" s="37"/>
      <c r="AG3775" s="37"/>
      <c r="AH3775" s="37"/>
      <c r="AI3775" s="37"/>
      <c r="AJ3775" s="37"/>
      <c r="AK3775" s="37"/>
      <c r="AL3775" s="37"/>
      <c r="AM3775" s="37"/>
      <c r="AN3775" s="37"/>
      <c r="AO3775" s="37"/>
      <c r="AP3775" s="37"/>
      <c r="AQ3775" s="37"/>
      <c r="AR3775" s="37"/>
      <c r="AS3775" s="37"/>
      <c r="AT3775" s="37"/>
      <c r="AU3775" s="37"/>
      <c r="AV3775" s="37"/>
      <c r="AW3775" s="37"/>
      <c r="AX3775" s="37"/>
      <c r="AY3775" s="37"/>
      <c r="AZ3775" s="37"/>
      <c r="BA3775" s="37"/>
      <c r="BB3775" s="37"/>
      <c r="BC3775" s="37"/>
      <c r="BD3775" s="37"/>
      <c r="BE3775" s="37"/>
      <c r="BF3775" s="37"/>
      <c r="BG3775" s="37"/>
      <c r="BH3775" s="37"/>
      <c r="BI3775" s="37"/>
      <c r="BJ3775" s="37"/>
      <c r="BK3775" s="37"/>
      <c r="BL3775" s="37"/>
      <c r="BM3775" s="37"/>
    </row>
    <row r="3776" spans="1:65" s="40" customFormat="1" ht="21" x14ac:dyDescent="0.35">
      <c r="A3776" s="37"/>
      <c r="B3776" s="37"/>
      <c r="C3776" s="41"/>
      <c r="D3776" s="38"/>
      <c r="E3776" s="38"/>
      <c r="F3776" s="42"/>
      <c r="G3776" s="43"/>
      <c r="H3776" s="37"/>
      <c r="I3776" s="37"/>
      <c r="J3776" s="38"/>
      <c r="K3776" s="37"/>
      <c r="L3776" s="38"/>
      <c r="M3776" s="39"/>
      <c r="P3776" s="37"/>
      <c r="Q3776" s="37"/>
      <c r="R3776" s="37"/>
      <c r="S3776" s="37"/>
      <c r="T3776" s="37"/>
      <c r="U3776" s="37"/>
      <c r="V3776" s="37"/>
      <c r="W3776" s="37"/>
      <c r="X3776" s="37"/>
      <c r="Y3776" s="37"/>
      <c r="Z3776" s="37"/>
      <c r="AA3776" s="37"/>
      <c r="AB3776" s="37"/>
      <c r="AC3776" s="37"/>
      <c r="AD3776" s="37"/>
      <c r="AE3776" s="37"/>
      <c r="AF3776" s="37"/>
      <c r="AG3776" s="37"/>
      <c r="AH3776" s="37"/>
      <c r="AI3776" s="37"/>
      <c r="AJ3776" s="37"/>
      <c r="AK3776" s="37"/>
      <c r="AL3776" s="37"/>
      <c r="AM3776" s="37"/>
      <c r="AN3776" s="37"/>
      <c r="AO3776" s="37"/>
      <c r="AP3776" s="37"/>
      <c r="AQ3776" s="37"/>
      <c r="AR3776" s="37"/>
      <c r="AS3776" s="37"/>
      <c r="AT3776" s="37"/>
      <c r="AU3776" s="37"/>
      <c r="AV3776" s="37"/>
      <c r="AW3776" s="37"/>
      <c r="AX3776" s="37"/>
      <c r="AY3776" s="37"/>
      <c r="AZ3776" s="37"/>
      <c r="BA3776" s="37"/>
      <c r="BB3776" s="37"/>
      <c r="BC3776" s="37"/>
      <c r="BD3776" s="37"/>
      <c r="BE3776" s="37"/>
      <c r="BF3776" s="37"/>
      <c r="BG3776" s="37"/>
      <c r="BH3776" s="37"/>
      <c r="BI3776" s="37"/>
      <c r="BJ3776" s="37"/>
      <c r="BK3776" s="37"/>
      <c r="BL3776" s="37"/>
      <c r="BM3776" s="37"/>
    </row>
    <row r="3777" spans="1:65" s="40" customFormat="1" ht="21" x14ac:dyDescent="0.35">
      <c r="A3777" s="37"/>
      <c r="B3777" s="37"/>
      <c r="C3777" s="41"/>
      <c r="D3777" s="38"/>
      <c r="E3777" s="38"/>
      <c r="F3777" s="42"/>
      <c r="G3777" s="43"/>
      <c r="H3777" s="37"/>
      <c r="I3777" s="37"/>
      <c r="J3777" s="38"/>
      <c r="K3777" s="37"/>
      <c r="L3777" s="38"/>
      <c r="M3777" s="39"/>
      <c r="P3777" s="37"/>
      <c r="Q3777" s="37"/>
      <c r="R3777" s="37"/>
      <c r="S3777" s="37"/>
      <c r="T3777" s="37"/>
      <c r="U3777" s="37"/>
      <c r="V3777" s="37"/>
      <c r="W3777" s="37"/>
      <c r="X3777" s="37"/>
      <c r="Y3777" s="37"/>
      <c r="Z3777" s="37"/>
      <c r="AA3777" s="37"/>
      <c r="AB3777" s="37"/>
      <c r="AC3777" s="37"/>
      <c r="AD3777" s="37"/>
      <c r="AE3777" s="37"/>
      <c r="AF3777" s="37"/>
      <c r="AG3777" s="37"/>
      <c r="AH3777" s="37"/>
      <c r="AI3777" s="37"/>
      <c r="AJ3777" s="37"/>
      <c r="AK3777" s="37"/>
      <c r="AL3777" s="37"/>
      <c r="AM3777" s="37"/>
      <c r="AN3777" s="37"/>
      <c r="AO3777" s="37"/>
      <c r="AP3777" s="37"/>
      <c r="AQ3777" s="37"/>
      <c r="AR3777" s="37"/>
      <c r="AS3777" s="37"/>
      <c r="AT3777" s="37"/>
      <c r="AU3777" s="37"/>
      <c r="AV3777" s="37"/>
      <c r="AW3777" s="37"/>
      <c r="AX3777" s="37"/>
      <c r="AY3777" s="37"/>
      <c r="AZ3777" s="37"/>
      <c r="BA3777" s="37"/>
      <c r="BB3777" s="37"/>
      <c r="BC3777" s="37"/>
      <c r="BD3777" s="37"/>
      <c r="BE3777" s="37"/>
      <c r="BF3777" s="37"/>
      <c r="BG3777" s="37"/>
      <c r="BH3777" s="37"/>
      <c r="BI3777" s="37"/>
      <c r="BJ3777" s="37"/>
      <c r="BK3777" s="37"/>
      <c r="BL3777" s="37"/>
      <c r="BM3777" s="37"/>
    </row>
    <row r="3778" spans="1:65" s="40" customFormat="1" ht="21" x14ac:dyDescent="0.35">
      <c r="A3778" s="37"/>
      <c r="B3778" s="37"/>
      <c r="C3778" s="41"/>
      <c r="D3778" s="38"/>
      <c r="E3778" s="38"/>
      <c r="F3778" s="42"/>
      <c r="G3778" s="43"/>
      <c r="H3778" s="37"/>
      <c r="I3778" s="37"/>
      <c r="J3778" s="38"/>
      <c r="K3778" s="37"/>
      <c r="L3778" s="38"/>
      <c r="M3778" s="39"/>
      <c r="P3778" s="37"/>
      <c r="Q3778" s="37"/>
      <c r="R3778" s="37"/>
      <c r="S3778" s="37"/>
      <c r="T3778" s="37"/>
      <c r="U3778" s="37"/>
      <c r="V3778" s="37"/>
      <c r="W3778" s="37"/>
      <c r="X3778" s="37"/>
      <c r="Y3778" s="37"/>
      <c r="Z3778" s="37"/>
      <c r="AA3778" s="37"/>
      <c r="AB3778" s="37"/>
      <c r="AC3778" s="37"/>
      <c r="AD3778" s="37"/>
      <c r="AE3778" s="37"/>
      <c r="AF3778" s="37"/>
      <c r="AG3778" s="37"/>
      <c r="AH3778" s="37"/>
      <c r="AI3778" s="37"/>
      <c r="AJ3778" s="37"/>
      <c r="AK3778" s="37"/>
      <c r="AL3778" s="37"/>
      <c r="AM3778" s="37"/>
      <c r="AN3778" s="37"/>
      <c r="AO3778" s="37"/>
      <c r="AP3778" s="37"/>
      <c r="AQ3778" s="37"/>
      <c r="AR3778" s="37"/>
      <c r="AS3778" s="37"/>
      <c r="AT3778" s="37"/>
      <c r="AU3778" s="37"/>
      <c r="AV3778" s="37"/>
      <c r="AW3778" s="37"/>
      <c r="AX3778" s="37"/>
      <c r="AY3778" s="37"/>
      <c r="AZ3778" s="37"/>
      <c r="BA3778" s="37"/>
      <c r="BB3778" s="37"/>
      <c r="BC3778" s="37"/>
      <c r="BD3778" s="37"/>
      <c r="BE3778" s="37"/>
      <c r="BF3778" s="37"/>
      <c r="BG3778" s="37"/>
      <c r="BH3778" s="37"/>
      <c r="BI3778" s="37"/>
      <c r="BJ3778" s="37"/>
      <c r="BK3778" s="37"/>
      <c r="BL3778" s="37"/>
      <c r="BM3778" s="37"/>
    </row>
    <row r="3779" spans="1:65" s="40" customFormat="1" ht="21" x14ac:dyDescent="0.35">
      <c r="A3779" s="37"/>
      <c r="B3779" s="37"/>
      <c r="C3779" s="41"/>
      <c r="D3779" s="38"/>
      <c r="E3779" s="38"/>
      <c r="F3779" s="42"/>
      <c r="G3779" s="43"/>
      <c r="H3779" s="37"/>
      <c r="I3779" s="37"/>
      <c r="J3779" s="38"/>
      <c r="K3779" s="37"/>
      <c r="L3779" s="38"/>
      <c r="M3779" s="39"/>
      <c r="P3779" s="37"/>
      <c r="Q3779" s="37"/>
      <c r="R3779" s="37"/>
      <c r="S3779" s="37"/>
      <c r="T3779" s="37"/>
      <c r="U3779" s="37"/>
      <c r="V3779" s="37"/>
      <c r="W3779" s="37"/>
      <c r="X3779" s="37"/>
      <c r="Y3779" s="37"/>
      <c r="Z3779" s="37"/>
      <c r="AA3779" s="37"/>
      <c r="AB3779" s="37"/>
      <c r="AC3779" s="37"/>
      <c r="AD3779" s="37"/>
      <c r="AE3779" s="37"/>
      <c r="AF3779" s="37"/>
      <c r="AG3779" s="37"/>
      <c r="AH3779" s="37"/>
      <c r="AI3779" s="37"/>
      <c r="AJ3779" s="37"/>
      <c r="AK3779" s="37"/>
      <c r="AL3779" s="37"/>
      <c r="AM3779" s="37"/>
      <c r="AN3779" s="37"/>
      <c r="AO3779" s="37"/>
      <c r="AP3779" s="37"/>
      <c r="AQ3779" s="37"/>
      <c r="AR3779" s="37"/>
      <c r="AS3779" s="37"/>
      <c r="AT3779" s="37"/>
      <c r="AU3779" s="37"/>
      <c r="AV3779" s="37"/>
      <c r="AW3779" s="37"/>
      <c r="AX3779" s="37"/>
      <c r="AY3779" s="37"/>
      <c r="AZ3779" s="37"/>
      <c r="BA3779" s="37"/>
      <c r="BB3779" s="37"/>
      <c r="BC3779" s="37"/>
      <c r="BD3779" s="37"/>
      <c r="BE3779" s="37"/>
      <c r="BF3779" s="37"/>
      <c r="BG3779" s="37"/>
      <c r="BH3779" s="37"/>
      <c r="BI3779" s="37"/>
      <c r="BJ3779" s="37"/>
      <c r="BK3779" s="37"/>
      <c r="BL3779" s="37"/>
      <c r="BM3779" s="37"/>
    </row>
    <row r="3780" spans="1:65" s="40" customFormat="1" ht="21" x14ac:dyDescent="0.35">
      <c r="A3780" s="37"/>
      <c r="B3780" s="37"/>
      <c r="C3780" s="41"/>
      <c r="D3780" s="38"/>
      <c r="E3780" s="38"/>
      <c r="F3780" s="42"/>
      <c r="G3780" s="43"/>
      <c r="H3780" s="37"/>
      <c r="I3780" s="37"/>
      <c r="J3780" s="38"/>
      <c r="K3780" s="37"/>
      <c r="L3780" s="38"/>
      <c r="M3780" s="39"/>
      <c r="P3780" s="37"/>
      <c r="Q3780" s="37"/>
      <c r="R3780" s="37"/>
      <c r="S3780" s="37"/>
      <c r="T3780" s="37"/>
      <c r="U3780" s="37"/>
      <c r="V3780" s="37"/>
      <c r="W3780" s="37"/>
      <c r="X3780" s="37"/>
      <c r="Y3780" s="37"/>
      <c r="Z3780" s="37"/>
      <c r="AA3780" s="37"/>
      <c r="AB3780" s="37"/>
      <c r="AC3780" s="37"/>
      <c r="AD3780" s="37"/>
      <c r="AE3780" s="37"/>
      <c r="AF3780" s="37"/>
      <c r="AG3780" s="37"/>
      <c r="AH3780" s="37"/>
      <c r="AI3780" s="37"/>
      <c r="AJ3780" s="37"/>
      <c r="AK3780" s="37"/>
      <c r="AL3780" s="37"/>
      <c r="AM3780" s="37"/>
      <c r="AN3780" s="37"/>
      <c r="AO3780" s="37"/>
      <c r="AP3780" s="37"/>
      <c r="AQ3780" s="37"/>
      <c r="AR3780" s="37"/>
      <c r="AS3780" s="37"/>
      <c r="AT3780" s="37"/>
      <c r="AU3780" s="37"/>
      <c r="AV3780" s="37"/>
      <c r="AW3780" s="37"/>
      <c r="AX3780" s="37"/>
      <c r="AY3780" s="37"/>
      <c r="AZ3780" s="37"/>
      <c r="BA3780" s="37"/>
      <c r="BB3780" s="37"/>
      <c r="BC3780" s="37"/>
      <c r="BD3780" s="37"/>
      <c r="BE3780" s="37"/>
      <c r="BF3780" s="37"/>
      <c r="BG3780" s="37"/>
      <c r="BH3780" s="37"/>
      <c r="BI3780" s="37"/>
      <c r="BJ3780" s="37"/>
      <c r="BK3780" s="37"/>
      <c r="BL3780" s="37"/>
      <c r="BM3780" s="37"/>
    </row>
    <row r="3781" spans="1:65" s="40" customFormat="1" ht="21" x14ac:dyDescent="0.35">
      <c r="A3781" s="37"/>
      <c r="B3781" s="37"/>
      <c r="C3781" s="41"/>
      <c r="D3781" s="38"/>
      <c r="E3781" s="38"/>
      <c r="F3781" s="42"/>
      <c r="G3781" s="43"/>
      <c r="H3781" s="37"/>
      <c r="I3781" s="37"/>
      <c r="J3781" s="38"/>
      <c r="K3781" s="37"/>
      <c r="L3781" s="38"/>
      <c r="M3781" s="39"/>
      <c r="P3781" s="37"/>
      <c r="Q3781" s="37"/>
      <c r="R3781" s="37"/>
      <c r="S3781" s="37"/>
      <c r="T3781" s="37"/>
      <c r="U3781" s="37"/>
      <c r="V3781" s="37"/>
      <c r="W3781" s="37"/>
      <c r="X3781" s="37"/>
      <c r="Y3781" s="37"/>
      <c r="Z3781" s="37"/>
      <c r="AA3781" s="37"/>
      <c r="AB3781" s="37"/>
      <c r="AC3781" s="37"/>
      <c r="AD3781" s="37"/>
      <c r="AE3781" s="37"/>
      <c r="AF3781" s="37"/>
      <c r="AG3781" s="37"/>
      <c r="AH3781" s="37"/>
      <c r="AI3781" s="37"/>
      <c r="AJ3781" s="37"/>
      <c r="AK3781" s="37"/>
      <c r="AL3781" s="37"/>
      <c r="AM3781" s="37"/>
      <c r="AN3781" s="37"/>
      <c r="AO3781" s="37"/>
      <c r="AP3781" s="37"/>
      <c r="AQ3781" s="37"/>
      <c r="AR3781" s="37"/>
      <c r="AS3781" s="37"/>
      <c r="AT3781" s="37"/>
      <c r="AU3781" s="37"/>
      <c r="AV3781" s="37"/>
      <c r="AW3781" s="37"/>
      <c r="AX3781" s="37"/>
      <c r="AY3781" s="37"/>
      <c r="AZ3781" s="37"/>
      <c r="BA3781" s="37"/>
      <c r="BB3781" s="37"/>
      <c r="BC3781" s="37"/>
      <c r="BD3781" s="37"/>
      <c r="BE3781" s="37"/>
      <c r="BF3781" s="37"/>
      <c r="BG3781" s="37"/>
      <c r="BH3781" s="37"/>
      <c r="BI3781" s="37"/>
      <c r="BJ3781" s="37"/>
      <c r="BK3781" s="37"/>
      <c r="BL3781" s="37"/>
      <c r="BM3781" s="37"/>
    </row>
    <row r="3782" spans="1:65" s="40" customFormat="1" ht="21" x14ac:dyDescent="0.35">
      <c r="A3782" s="37"/>
      <c r="B3782" s="37"/>
      <c r="C3782" s="41"/>
      <c r="D3782" s="38"/>
      <c r="E3782" s="38"/>
      <c r="F3782" s="42"/>
      <c r="G3782" s="43"/>
      <c r="H3782" s="37"/>
      <c r="I3782" s="37"/>
      <c r="J3782" s="38"/>
      <c r="K3782" s="37"/>
      <c r="L3782" s="38"/>
      <c r="M3782" s="39"/>
      <c r="P3782" s="37"/>
      <c r="Q3782" s="37"/>
      <c r="R3782" s="37"/>
      <c r="S3782" s="37"/>
      <c r="T3782" s="37"/>
      <c r="U3782" s="37"/>
      <c r="V3782" s="37"/>
      <c r="W3782" s="37"/>
      <c r="X3782" s="37"/>
      <c r="Y3782" s="37"/>
      <c r="Z3782" s="37"/>
      <c r="AA3782" s="37"/>
      <c r="AB3782" s="37"/>
      <c r="AC3782" s="37"/>
      <c r="AD3782" s="37"/>
      <c r="AE3782" s="37"/>
      <c r="AF3782" s="37"/>
      <c r="AG3782" s="37"/>
      <c r="AH3782" s="37"/>
      <c r="AI3782" s="37"/>
      <c r="AJ3782" s="37"/>
      <c r="AK3782" s="37"/>
      <c r="AL3782" s="37"/>
      <c r="AM3782" s="37"/>
      <c r="AN3782" s="37"/>
      <c r="AO3782" s="37"/>
      <c r="AP3782" s="37"/>
      <c r="AQ3782" s="37"/>
      <c r="AR3782" s="37"/>
      <c r="AS3782" s="37"/>
      <c r="AT3782" s="37"/>
      <c r="AU3782" s="37"/>
      <c r="AV3782" s="37"/>
      <c r="AW3782" s="37"/>
      <c r="AX3782" s="37"/>
      <c r="AY3782" s="37"/>
      <c r="AZ3782" s="37"/>
      <c r="BA3782" s="37"/>
      <c r="BB3782" s="37"/>
      <c r="BC3782" s="37"/>
      <c r="BD3782" s="37"/>
      <c r="BE3782" s="37"/>
      <c r="BF3782" s="37"/>
      <c r="BG3782" s="37"/>
      <c r="BH3782" s="37"/>
      <c r="BI3782" s="37"/>
      <c r="BJ3782" s="37"/>
      <c r="BK3782" s="37"/>
      <c r="BL3782" s="37"/>
      <c r="BM3782" s="37"/>
    </row>
    <row r="3783" spans="1:65" s="40" customFormat="1" ht="21" x14ac:dyDescent="0.35">
      <c r="A3783" s="37"/>
      <c r="B3783" s="37"/>
      <c r="C3783" s="41"/>
      <c r="D3783" s="38"/>
      <c r="E3783" s="38"/>
      <c r="F3783" s="42"/>
      <c r="G3783" s="43"/>
      <c r="H3783" s="37"/>
      <c r="I3783" s="37"/>
      <c r="J3783" s="38"/>
      <c r="K3783" s="37"/>
      <c r="L3783" s="38"/>
      <c r="M3783" s="39"/>
      <c r="P3783" s="37"/>
      <c r="Q3783" s="37"/>
      <c r="R3783" s="37"/>
      <c r="S3783" s="37"/>
      <c r="T3783" s="37"/>
      <c r="U3783" s="37"/>
      <c r="V3783" s="37"/>
      <c r="W3783" s="37"/>
      <c r="X3783" s="37"/>
      <c r="Y3783" s="37"/>
      <c r="Z3783" s="37"/>
      <c r="AA3783" s="37"/>
      <c r="AB3783" s="37"/>
      <c r="AC3783" s="37"/>
      <c r="AD3783" s="37"/>
      <c r="AE3783" s="37"/>
      <c r="AF3783" s="37"/>
      <c r="AG3783" s="37"/>
      <c r="AH3783" s="37"/>
      <c r="AI3783" s="37"/>
      <c r="AJ3783" s="37"/>
      <c r="AK3783" s="37"/>
      <c r="AL3783" s="37"/>
      <c r="AM3783" s="37"/>
      <c r="AN3783" s="37"/>
      <c r="AO3783" s="37"/>
      <c r="AP3783" s="37"/>
      <c r="AQ3783" s="37"/>
      <c r="AR3783" s="37"/>
      <c r="AS3783" s="37"/>
      <c r="AT3783" s="37"/>
      <c r="AU3783" s="37"/>
      <c r="AV3783" s="37"/>
      <c r="AW3783" s="37"/>
      <c r="AX3783" s="37"/>
      <c r="AY3783" s="37"/>
      <c r="AZ3783" s="37"/>
      <c r="BA3783" s="37"/>
      <c r="BB3783" s="37"/>
      <c r="BC3783" s="37"/>
      <c r="BD3783" s="37"/>
      <c r="BE3783" s="37"/>
      <c r="BF3783" s="37"/>
      <c r="BG3783" s="37"/>
      <c r="BH3783" s="37"/>
      <c r="BI3783" s="37"/>
      <c r="BJ3783" s="37"/>
      <c r="BK3783" s="37"/>
      <c r="BL3783" s="37"/>
      <c r="BM3783" s="37"/>
    </row>
    <row r="3784" spans="1:65" s="40" customFormat="1" ht="21" x14ac:dyDescent="0.35">
      <c r="A3784" s="37"/>
      <c r="B3784" s="37"/>
      <c r="C3784" s="41"/>
      <c r="D3784" s="38"/>
      <c r="E3784" s="38"/>
      <c r="F3784" s="42"/>
      <c r="G3784" s="43"/>
      <c r="H3784" s="37"/>
      <c r="I3784" s="37"/>
      <c r="J3784" s="38"/>
      <c r="K3784" s="37"/>
      <c r="L3784" s="38"/>
      <c r="M3784" s="39"/>
      <c r="P3784" s="37"/>
      <c r="Q3784" s="37"/>
      <c r="R3784" s="37"/>
      <c r="S3784" s="37"/>
      <c r="T3784" s="37"/>
      <c r="U3784" s="37"/>
      <c r="V3784" s="37"/>
      <c r="W3784" s="37"/>
      <c r="X3784" s="37"/>
      <c r="Y3784" s="37"/>
      <c r="Z3784" s="37"/>
      <c r="AA3784" s="37"/>
      <c r="AB3784" s="37"/>
      <c r="AC3784" s="37"/>
      <c r="AD3784" s="37"/>
      <c r="AE3784" s="37"/>
      <c r="AF3784" s="37"/>
      <c r="AG3784" s="37"/>
      <c r="AH3784" s="37"/>
      <c r="AI3784" s="37"/>
      <c r="AJ3784" s="37"/>
      <c r="AK3784" s="37"/>
      <c r="AL3784" s="37"/>
      <c r="AM3784" s="37"/>
      <c r="AN3784" s="37"/>
      <c r="AO3784" s="37"/>
      <c r="AP3784" s="37"/>
      <c r="AQ3784" s="37"/>
      <c r="AR3784" s="37"/>
      <c r="AS3784" s="37"/>
      <c r="AT3784" s="37"/>
      <c r="AU3784" s="37"/>
      <c r="AV3784" s="37"/>
      <c r="AW3784" s="37"/>
      <c r="AX3784" s="37"/>
      <c r="AY3784" s="37"/>
      <c r="AZ3784" s="37"/>
      <c r="BA3784" s="37"/>
      <c r="BB3784" s="37"/>
      <c r="BC3784" s="37"/>
      <c r="BD3784" s="37"/>
      <c r="BE3784" s="37"/>
      <c r="BF3784" s="37"/>
      <c r="BG3784" s="37"/>
      <c r="BH3784" s="37"/>
      <c r="BI3784" s="37"/>
      <c r="BJ3784" s="37"/>
      <c r="BK3784" s="37"/>
      <c r="BL3784" s="37"/>
      <c r="BM3784" s="37"/>
    </row>
    <row r="3785" spans="1:65" s="40" customFormat="1" ht="21" x14ac:dyDescent="0.35">
      <c r="A3785" s="37"/>
      <c r="B3785" s="37"/>
      <c r="C3785" s="41"/>
      <c r="D3785" s="38"/>
      <c r="E3785" s="38"/>
      <c r="F3785" s="42"/>
      <c r="G3785" s="43"/>
      <c r="H3785" s="37"/>
      <c r="I3785" s="37"/>
      <c r="J3785" s="38"/>
      <c r="K3785" s="37"/>
      <c r="L3785" s="38"/>
      <c r="M3785" s="39"/>
      <c r="P3785" s="37"/>
      <c r="Q3785" s="37"/>
      <c r="R3785" s="37"/>
      <c r="S3785" s="37"/>
      <c r="T3785" s="37"/>
      <c r="U3785" s="37"/>
      <c r="V3785" s="37"/>
      <c r="W3785" s="37"/>
      <c r="X3785" s="37"/>
      <c r="Y3785" s="37"/>
      <c r="Z3785" s="37"/>
      <c r="AA3785" s="37"/>
      <c r="AB3785" s="37"/>
      <c r="AC3785" s="37"/>
      <c r="AD3785" s="37"/>
      <c r="AE3785" s="37"/>
      <c r="AF3785" s="37"/>
      <c r="AG3785" s="37"/>
      <c r="AH3785" s="37"/>
      <c r="AI3785" s="37"/>
      <c r="AJ3785" s="37"/>
      <c r="AK3785" s="37"/>
      <c r="AL3785" s="37"/>
      <c r="AM3785" s="37"/>
      <c r="AN3785" s="37"/>
      <c r="AO3785" s="37"/>
      <c r="AP3785" s="37"/>
      <c r="AQ3785" s="37"/>
      <c r="AR3785" s="37"/>
      <c r="AS3785" s="37"/>
      <c r="AT3785" s="37"/>
      <c r="AU3785" s="37"/>
      <c r="AV3785" s="37"/>
      <c r="AW3785" s="37"/>
      <c r="AX3785" s="37"/>
      <c r="AY3785" s="37"/>
      <c r="AZ3785" s="37"/>
      <c r="BA3785" s="37"/>
      <c r="BB3785" s="37"/>
      <c r="BC3785" s="37"/>
      <c r="BD3785" s="37"/>
      <c r="BE3785" s="37"/>
      <c r="BF3785" s="37"/>
      <c r="BG3785" s="37"/>
      <c r="BH3785" s="37"/>
      <c r="BI3785" s="37"/>
      <c r="BJ3785" s="37"/>
      <c r="BK3785" s="37"/>
      <c r="BL3785" s="37"/>
      <c r="BM3785" s="37"/>
    </row>
    <row r="3786" spans="1:65" s="40" customFormat="1" ht="21" x14ac:dyDescent="0.35">
      <c r="A3786" s="37"/>
      <c r="B3786" s="37"/>
      <c r="C3786" s="41"/>
      <c r="D3786" s="38"/>
      <c r="E3786" s="38"/>
      <c r="F3786" s="42"/>
      <c r="G3786" s="43"/>
      <c r="H3786" s="37"/>
      <c r="I3786" s="37"/>
      <c r="J3786" s="38"/>
      <c r="K3786" s="37"/>
      <c r="L3786" s="38"/>
      <c r="M3786" s="39"/>
      <c r="P3786" s="37"/>
      <c r="Q3786" s="37"/>
      <c r="R3786" s="37"/>
      <c r="S3786" s="37"/>
      <c r="T3786" s="37"/>
      <c r="U3786" s="37"/>
      <c r="V3786" s="37"/>
      <c r="W3786" s="37"/>
      <c r="X3786" s="37"/>
      <c r="Y3786" s="37"/>
      <c r="Z3786" s="37"/>
      <c r="AA3786" s="37"/>
      <c r="AB3786" s="37"/>
      <c r="AC3786" s="37"/>
      <c r="AD3786" s="37"/>
      <c r="AE3786" s="37"/>
      <c r="AF3786" s="37"/>
      <c r="AG3786" s="37"/>
      <c r="AH3786" s="37"/>
      <c r="AI3786" s="37"/>
      <c r="AJ3786" s="37"/>
      <c r="AK3786" s="37"/>
      <c r="AL3786" s="37"/>
      <c r="AM3786" s="37"/>
      <c r="AN3786" s="37"/>
      <c r="AO3786" s="37"/>
      <c r="AP3786" s="37"/>
      <c r="AQ3786" s="37"/>
      <c r="AR3786" s="37"/>
      <c r="AS3786" s="37"/>
      <c r="AT3786" s="37"/>
      <c r="AU3786" s="37"/>
      <c r="AV3786" s="37"/>
      <c r="AW3786" s="37"/>
      <c r="AX3786" s="37"/>
      <c r="AY3786" s="37"/>
      <c r="AZ3786" s="37"/>
      <c r="BA3786" s="37"/>
      <c r="BB3786" s="37"/>
      <c r="BC3786" s="37"/>
      <c r="BD3786" s="37"/>
      <c r="BE3786" s="37"/>
      <c r="BF3786" s="37"/>
      <c r="BG3786" s="37"/>
      <c r="BH3786" s="37"/>
      <c r="BI3786" s="37"/>
      <c r="BJ3786" s="37"/>
      <c r="BK3786" s="37"/>
      <c r="BL3786" s="37"/>
      <c r="BM3786" s="37"/>
    </row>
    <row r="3787" spans="1:65" s="40" customFormat="1" ht="21" x14ac:dyDescent="0.35">
      <c r="A3787" s="37"/>
      <c r="B3787" s="37"/>
      <c r="C3787" s="41"/>
      <c r="D3787" s="38"/>
      <c r="E3787" s="38"/>
      <c r="F3787" s="42"/>
      <c r="G3787" s="43"/>
      <c r="H3787" s="37"/>
      <c r="I3787" s="37"/>
      <c r="J3787" s="38"/>
      <c r="K3787" s="37"/>
      <c r="L3787" s="38"/>
      <c r="M3787" s="39"/>
      <c r="P3787" s="37"/>
      <c r="Q3787" s="37"/>
      <c r="R3787" s="37"/>
      <c r="S3787" s="37"/>
      <c r="T3787" s="37"/>
      <c r="U3787" s="37"/>
      <c r="V3787" s="37"/>
      <c r="W3787" s="37"/>
      <c r="X3787" s="37"/>
      <c r="Y3787" s="37"/>
      <c r="Z3787" s="37"/>
      <c r="AA3787" s="37"/>
      <c r="AB3787" s="37"/>
      <c r="AC3787" s="37"/>
      <c r="AD3787" s="37"/>
      <c r="AE3787" s="37"/>
      <c r="AF3787" s="37"/>
      <c r="AG3787" s="37"/>
      <c r="AH3787" s="37"/>
      <c r="AI3787" s="37"/>
      <c r="AJ3787" s="37"/>
      <c r="AK3787" s="37"/>
      <c r="AL3787" s="37"/>
      <c r="AM3787" s="37"/>
      <c r="AN3787" s="37"/>
      <c r="AO3787" s="37"/>
      <c r="AP3787" s="37"/>
      <c r="AQ3787" s="37"/>
      <c r="AR3787" s="37"/>
      <c r="AS3787" s="37"/>
      <c r="AT3787" s="37"/>
      <c r="AU3787" s="37"/>
      <c r="AV3787" s="37"/>
      <c r="AW3787" s="37"/>
      <c r="AX3787" s="37"/>
      <c r="AY3787" s="37"/>
      <c r="AZ3787" s="37"/>
      <c r="BA3787" s="37"/>
      <c r="BB3787" s="37"/>
      <c r="BC3787" s="37"/>
      <c r="BD3787" s="37"/>
      <c r="BE3787" s="37"/>
      <c r="BF3787" s="37"/>
      <c r="BG3787" s="37"/>
      <c r="BH3787" s="37"/>
      <c r="BI3787" s="37"/>
      <c r="BJ3787" s="37"/>
      <c r="BK3787" s="37"/>
      <c r="BL3787" s="37"/>
      <c r="BM3787" s="37"/>
    </row>
    <row r="3788" spans="1:65" s="40" customFormat="1" ht="21" x14ac:dyDescent="0.35">
      <c r="A3788" s="37"/>
      <c r="B3788" s="37"/>
      <c r="C3788" s="41"/>
      <c r="D3788" s="38"/>
      <c r="E3788" s="38"/>
      <c r="F3788" s="42"/>
      <c r="G3788" s="43"/>
      <c r="H3788" s="37"/>
      <c r="I3788" s="37"/>
      <c r="J3788" s="38"/>
      <c r="K3788" s="37"/>
      <c r="L3788" s="38"/>
      <c r="M3788" s="39"/>
      <c r="P3788" s="37"/>
      <c r="Q3788" s="37"/>
      <c r="R3788" s="37"/>
      <c r="S3788" s="37"/>
      <c r="T3788" s="37"/>
      <c r="U3788" s="37"/>
      <c r="V3788" s="37"/>
      <c r="W3788" s="37"/>
      <c r="X3788" s="37"/>
      <c r="Y3788" s="37"/>
      <c r="Z3788" s="37"/>
      <c r="AA3788" s="37"/>
      <c r="AB3788" s="37"/>
      <c r="AC3788" s="37"/>
      <c r="AD3788" s="37"/>
      <c r="AE3788" s="37"/>
      <c r="AF3788" s="37"/>
      <c r="AG3788" s="37"/>
      <c r="AH3788" s="37"/>
      <c r="AI3788" s="37"/>
      <c r="AJ3788" s="37"/>
      <c r="AK3788" s="37"/>
      <c r="AL3788" s="37"/>
      <c r="AM3788" s="37"/>
      <c r="AN3788" s="37"/>
      <c r="AO3788" s="37"/>
      <c r="AP3788" s="37"/>
      <c r="AQ3788" s="37"/>
      <c r="AR3788" s="37"/>
      <c r="AS3788" s="37"/>
      <c r="AT3788" s="37"/>
      <c r="AU3788" s="37"/>
      <c r="AV3788" s="37"/>
      <c r="AW3788" s="37"/>
      <c r="AX3788" s="37"/>
      <c r="AY3788" s="37"/>
      <c r="AZ3788" s="37"/>
      <c r="BA3788" s="37"/>
      <c r="BB3788" s="37"/>
      <c r="BC3788" s="37"/>
      <c r="BD3788" s="37"/>
      <c r="BE3788" s="37"/>
      <c r="BF3788" s="37"/>
      <c r="BG3788" s="37"/>
      <c r="BH3788" s="37"/>
      <c r="BI3788" s="37"/>
      <c r="BJ3788" s="37"/>
      <c r="BK3788" s="37"/>
      <c r="BL3788" s="37"/>
      <c r="BM3788" s="37"/>
    </row>
    <row r="3789" spans="1:65" s="40" customFormat="1" ht="21" x14ac:dyDescent="0.35">
      <c r="A3789" s="37"/>
      <c r="B3789" s="37"/>
      <c r="C3789" s="41"/>
      <c r="D3789" s="38"/>
      <c r="E3789" s="38"/>
      <c r="F3789" s="42"/>
      <c r="G3789" s="43"/>
      <c r="H3789" s="37"/>
      <c r="I3789" s="37"/>
      <c r="J3789" s="38"/>
      <c r="K3789" s="37"/>
      <c r="L3789" s="38"/>
      <c r="M3789" s="39"/>
      <c r="P3789" s="37"/>
      <c r="Q3789" s="37"/>
      <c r="R3789" s="37"/>
      <c r="S3789" s="37"/>
      <c r="T3789" s="37"/>
      <c r="U3789" s="37"/>
      <c r="V3789" s="37"/>
      <c r="W3789" s="37"/>
      <c r="X3789" s="37"/>
      <c r="Y3789" s="37"/>
      <c r="Z3789" s="37"/>
      <c r="AA3789" s="37"/>
      <c r="AB3789" s="37"/>
      <c r="AC3789" s="37"/>
      <c r="AD3789" s="37"/>
      <c r="AE3789" s="37"/>
      <c r="AF3789" s="37"/>
      <c r="AG3789" s="37"/>
      <c r="AH3789" s="37"/>
      <c r="AI3789" s="37"/>
      <c r="AJ3789" s="37"/>
      <c r="AK3789" s="37"/>
      <c r="AL3789" s="37"/>
      <c r="AM3789" s="37"/>
      <c r="AN3789" s="37"/>
      <c r="AO3789" s="37"/>
      <c r="AP3789" s="37"/>
      <c r="AQ3789" s="37"/>
      <c r="AR3789" s="37"/>
      <c r="AS3789" s="37"/>
      <c r="AT3789" s="37"/>
      <c r="AU3789" s="37"/>
      <c r="AV3789" s="37"/>
      <c r="AW3789" s="37"/>
      <c r="AX3789" s="37"/>
      <c r="AY3789" s="37"/>
      <c r="AZ3789" s="37"/>
      <c r="BA3789" s="37"/>
      <c r="BB3789" s="37"/>
      <c r="BC3789" s="37"/>
      <c r="BD3789" s="37"/>
      <c r="BE3789" s="37"/>
      <c r="BF3789" s="37"/>
      <c r="BG3789" s="37"/>
      <c r="BH3789" s="37"/>
      <c r="BI3789" s="37"/>
      <c r="BJ3789" s="37"/>
      <c r="BK3789" s="37"/>
      <c r="BL3789" s="37"/>
      <c r="BM3789" s="37"/>
    </row>
    <row r="3790" spans="1:65" s="40" customFormat="1" ht="21" x14ac:dyDescent="0.35">
      <c r="A3790" s="37"/>
      <c r="B3790" s="37"/>
      <c r="C3790" s="41"/>
      <c r="D3790" s="38"/>
      <c r="E3790" s="38"/>
      <c r="F3790" s="42"/>
      <c r="G3790" s="43"/>
      <c r="H3790" s="37"/>
      <c r="I3790" s="37"/>
      <c r="J3790" s="38"/>
      <c r="K3790" s="37"/>
      <c r="L3790" s="38"/>
      <c r="M3790" s="39"/>
      <c r="P3790" s="37"/>
      <c r="Q3790" s="37"/>
      <c r="R3790" s="37"/>
      <c r="S3790" s="37"/>
      <c r="T3790" s="37"/>
      <c r="U3790" s="37"/>
      <c r="V3790" s="37"/>
      <c r="W3790" s="37"/>
      <c r="X3790" s="37"/>
      <c r="Y3790" s="37"/>
      <c r="Z3790" s="37"/>
      <c r="AA3790" s="37"/>
      <c r="AB3790" s="37"/>
      <c r="AC3790" s="37"/>
      <c r="AD3790" s="37"/>
      <c r="AE3790" s="37"/>
      <c r="AF3790" s="37"/>
      <c r="AG3790" s="37"/>
      <c r="AH3790" s="37"/>
      <c r="AI3790" s="37"/>
      <c r="AJ3790" s="37"/>
      <c r="AK3790" s="37"/>
      <c r="AL3790" s="37"/>
      <c r="AM3790" s="37"/>
      <c r="AN3790" s="37"/>
      <c r="AO3790" s="37"/>
      <c r="AP3790" s="37"/>
      <c r="AQ3790" s="37"/>
      <c r="AR3790" s="37"/>
      <c r="AS3790" s="37"/>
      <c r="AT3790" s="37"/>
      <c r="AU3790" s="37"/>
      <c r="AV3790" s="37"/>
      <c r="AW3790" s="37"/>
      <c r="AX3790" s="37"/>
      <c r="AY3790" s="37"/>
      <c r="AZ3790" s="37"/>
      <c r="BA3790" s="37"/>
      <c r="BB3790" s="37"/>
      <c r="BC3790" s="37"/>
      <c r="BD3790" s="37"/>
      <c r="BE3790" s="37"/>
      <c r="BF3790" s="37"/>
      <c r="BG3790" s="37"/>
      <c r="BH3790" s="37"/>
      <c r="BI3790" s="37"/>
      <c r="BJ3790" s="37"/>
      <c r="BK3790" s="37"/>
      <c r="BL3790" s="37"/>
      <c r="BM3790" s="37"/>
    </row>
    <row r="3791" spans="1:65" s="40" customFormat="1" ht="21" x14ac:dyDescent="0.35">
      <c r="A3791" s="37"/>
      <c r="B3791" s="37"/>
      <c r="C3791" s="41"/>
      <c r="D3791" s="38"/>
      <c r="E3791" s="38"/>
      <c r="F3791" s="42"/>
      <c r="G3791" s="43"/>
      <c r="H3791" s="37"/>
      <c r="I3791" s="37"/>
      <c r="J3791" s="38"/>
      <c r="K3791" s="37"/>
      <c r="L3791" s="38"/>
      <c r="M3791" s="39"/>
      <c r="P3791" s="37"/>
      <c r="Q3791" s="37"/>
      <c r="R3791" s="37"/>
      <c r="S3791" s="37"/>
      <c r="T3791" s="37"/>
      <c r="U3791" s="37"/>
      <c r="V3791" s="37"/>
      <c r="W3791" s="37"/>
      <c r="X3791" s="37"/>
      <c r="Y3791" s="37"/>
      <c r="Z3791" s="37"/>
      <c r="AA3791" s="37"/>
      <c r="AB3791" s="37"/>
      <c r="AC3791" s="37"/>
      <c r="AD3791" s="37"/>
      <c r="AE3791" s="37"/>
      <c r="AF3791" s="37"/>
      <c r="AG3791" s="37"/>
      <c r="AH3791" s="37"/>
      <c r="AI3791" s="37"/>
      <c r="AJ3791" s="37"/>
      <c r="AK3791" s="37"/>
      <c r="AL3791" s="37"/>
      <c r="AM3791" s="37"/>
      <c r="AN3791" s="37"/>
      <c r="AO3791" s="37"/>
      <c r="AP3791" s="37"/>
      <c r="AQ3791" s="37"/>
      <c r="AR3791" s="37"/>
      <c r="AS3791" s="37"/>
      <c r="AT3791" s="37"/>
      <c r="AU3791" s="37"/>
      <c r="AV3791" s="37"/>
      <c r="AW3791" s="37"/>
      <c r="AX3791" s="37"/>
      <c r="AY3791" s="37"/>
      <c r="AZ3791" s="37"/>
      <c r="BA3791" s="37"/>
      <c r="BB3791" s="37"/>
      <c r="BC3791" s="37"/>
      <c r="BD3791" s="37"/>
      <c r="BE3791" s="37"/>
      <c r="BF3791" s="37"/>
      <c r="BG3791" s="37"/>
      <c r="BH3791" s="37"/>
      <c r="BI3791" s="37"/>
      <c r="BJ3791" s="37"/>
      <c r="BK3791" s="37"/>
      <c r="BL3791" s="37"/>
      <c r="BM3791" s="37"/>
    </row>
    <row r="3792" spans="1:65" s="40" customFormat="1" ht="21" x14ac:dyDescent="0.35">
      <c r="A3792" s="37"/>
      <c r="B3792" s="37"/>
      <c r="C3792" s="41"/>
      <c r="D3792" s="38"/>
      <c r="E3792" s="38"/>
      <c r="F3792" s="42"/>
      <c r="G3792" s="43"/>
      <c r="H3792" s="37"/>
      <c r="I3792" s="37"/>
      <c r="J3792" s="38"/>
      <c r="K3792" s="37"/>
      <c r="L3792" s="38"/>
      <c r="M3792" s="39"/>
      <c r="P3792" s="37"/>
      <c r="Q3792" s="37"/>
      <c r="R3792" s="37"/>
      <c r="S3792" s="37"/>
      <c r="T3792" s="37"/>
      <c r="U3792" s="37"/>
      <c r="V3792" s="37"/>
      <c r="W3792" s="37"/>
      <c r="X3792" s="37"/>
      <c r="Y3792" s="37"/>
      <c r="Z3792" s="37"/>
      <c r="AA3792" s="37"/>
      <c r="AB3792" s="37"/>
      <c r="AC3792" s="37"/>
      <c r="AD3792" s="37"/>
      <c r="AE3792" s="37"/>
      <c r="AF3792" s="37"/>
      <c r="AG3792" s="37"/>
      <c r="AH3792" s="37"/>
      <c r="AI3792" s="37"/>
      <c r="AJ3792" s="37"/>
      <c r="AK3792" s="37"/>
      <c r="AL3792" s="37"/>
      <c r="AM3792" s="37"/>
      <c r="AN3792" s="37"/>
      <c r="AO3792" s="37"/>
      <c r="AP3792" s="37"/>
      <c r="AQ3792" s="37"/>
      <c r="AR3792" s="37"/>
      <c r="AS3792" s="37"/>
      <c r="AT3792" s="37"/>
      <c r="AU3792" s="37"/>
      <c r="AV3792" s="37"/>
      <c r="AW3792" s="37"/>
      <c r="AX3792" s="37"/>
      <c r="AY3792" s="37"/>
      <c r="AZ3792" s="37"/>
      <c r="BA3792" s="37"/>
      <c r="BB3792" s="37"/>
      <c r="BC3792" s="37"/>
      <c r="BD3792" s="37"/>
      <c r="BE3792" s="37"/>
      <c r="BF3792" s="37"/>
      <c r="BG3792" s="37"/>
      <c r="BH3792" s="37"/>
      <c r="BI3792" s="37"/>
      <c r="BJ3792" s="37"/>
      <c r="BK3792" s="37"/>
      <c r="BL3792" s="37"/>
      <c r="BM3792" s="37"/>
    </row>
    <row r="3793" spans="1:65" s="40" customFormat="1" ht="21" x14ac:dyDescent="0.35">
      <c r="A3793" s="37"/>
      <c r="B3793" s="37"/>
      <c r="C3793" s="41"/>
      <c r="D3793" s="38"/>
      <c r="E3793" s="38"/>
      <c r="F3793" s="42"/>
      <c r="G3793" s="43"/>
      <c r="H3793" s="37"/>
      <c r="I3793" s="37"/>
      <c r="J3793" s="38"/>
      <c r="K3793" s="37"/>
      <c r="L3793" s="38"/>
      <c r="M3793" s="39"/>
      <c r="P3793" s="37"/>
      <c r="Q3793" s="37"/>
      <c r="R3793" s="37"/>
      <c r="S3793" s="37"/>
      <c r="T3793" s="37"/>
      <c r="U3793" s="37"/>
      <c r="V3793" s="37"/>
      <c r="W3793" s="37"/>
      <c r="X3793" s="37"/>
      <c r="Y3793" s="37"/>
      <c r="Z3793" s="37"/>
      <c r="AA3793" s="37"/>
      <c r="AB3793" s="37"/>
      <c r="AC3793" s="37"/>
      <c r="AD3793" s="37"/>
      <c r="AE3793" s="37"/>
      <c r="AF3793" s="37"/>
      <c r="AG3793" s="37"/>
      <c r="AH3793" s="37"/>
      <c r="AI3793" s="37"/>
      <c r="AJ3793" s="37"/>
      <c r="AK3793" s="37"/>
      <c r="AL3793" s="37"/>
      <c r="AM3793" s="37"/>
      <c r="AN3793" s="37"/>
      <c r="AO3793" s="37"/>
      <c r="AP3793" s="37"/>
      <c r="AQ3793" s="37"/>
      <c r="AR3793" s="37"/>
      <c r="AS3793" s="37"/>
      <c r="AT3793" s="37"/>
      <c r="AU3793" s="37"/>
      <c r="AV3793" s="37"/>
      <c r="AW3793" s="37"/>
      <c r="AX3793" s="37"/>
      <c r="AY3793" s="37"/>
      <c r="AZ3793" s="37"/>
      <c r="BA3793" s="37"/>
      <c r="BB3793" s="37"/>
      <c r="BC3793" s="37"/>
      <c r="BD3793" s="37"/>
      <c r="BE3793" s="37"/>
      <c r="BF3793" s="37"/>
      <c r="BG3793" s="37"/>
      <c r="BH3793" s="37"/>
      <c r="BI3793" s="37"/>
      <c r="BJ3793" s="37"/>
      <c r="BK3793" s="37"/>
      <c r="BL3793" s="37"/>
      <c r="BM3793" s="37"/>
    </row>
    <row r="3794" spans="1:65" s="40" customFormat="1" ht="21" x14ac:dyDescent="0.35">
      <c r="A3794" s="37"/>
      <c r="B3794" s="37"/>
      <c r="C3794" s="41"/>
      <c r="D3794" s="38"/>
      <c r="E3794" s="38"/>
      <c r="F3794" s="42"/>
      <c r="G3794" s="43"/>
      <c r="H3794" s="37"/>
      <c r="I3794" s="37"/>
      <c r="J3794" s="38"/>
      <c r="K3794" s="37"/>
      <c r="L3794" s="38"/>
      <c r="M3794" s="39"/>
      <c r="P3794" s="37"/>
      <c r="Q3794" s="37"/>
      <c r="R3794" s="37"/>
      <c r="S3794" s="37"/>
      <c r="T3794" s="37"/>
      <c r="U3794" s="37"/>
      <c r="V3794" s="37"/>
      <c r="W3794" s="37"/>
      <c r="X3794" s="37"/>
      <c r="Y3794" s="37"/>
      <c r="Z3794" s="37"/>
      <c r="AA3794" s="37"/>
      <c r="AB3794" s="37"/>
      <c r="AC3794" s="37"/>
      <c r="AD3794" s="37"/>
      <c r="AE3794" s="37"/>
      <c r="AF3794" s="37"/>
      <c r="AG3794" s="37"/>
      <c r="AH3794" s="37"/>
      <c r="AI3794" s="37"/>
      <c r="AJ3794" s="37"/>
      <c r="AK3794" s="37"/>
      <c r="AL3794" s="37"/>
      <c r="AM3794" s="37"/>
      <c r="AN3794" s="37"/>
      <c r="AO3794" s="37"/>
      <c r="AP3794" s="37"/>
      <c r="AQ3794" s="37"/>
      <c r="AR3794" s="37"/>
      <c r="AS3794" s="37"/>
      <c r="AT3794" s="37"/>
      <c r="AU3794" s="37"/>
      <c r="AV3794" s="37"/>
      <c r="AW3794" s="37"/>
      <c r="AX3794" s="37"/>
      <c r="AY3794" s="37"/>
      <c r="AZ3794" s="37"/>
      <c r="BA3794" s="37"/>
      <c r="BB3794" s="37"/>
      <c r="BC3794" s="37"/>
      <c r="BD3794" s="37"/>
      <c r="BE3794" s="37"/>
      <c r="BF3794" s="37"/>
      <c r="BG3794" s="37"/>
      <c r="BH3794" s="37"/>
      <c r="BI3794" s="37"/>
      <c r="BJ3794" s="37"/>
      <c r="BK3794" s="37"/>
      <c r="BL3794" s="37"/>
      <c r="BM3794" s="37"/>
    </row>
    <row r="3795" spans="1:65" s="40" customFormat="1" ht="21" x14ac:dyDescent="0.35">
      <c r="A3795" s="37"/>
      <c r="B3795" s="37"/>
      <c r="C3795" s="41"/>
      <c r="D3795" s="38"/>
      <c r="E3795" s="38"/>
      <c r="F3795" s="42"/>
      <c r="G3795" s="43"/>
      <c r="H3795" s="37"/>
      <c r="I3795" s="37"/>
      <c r="J3795" s="38"/>
      <c r="K3795" s="37"/>
      <c r="L3795" s="38"/>
      <c r="M3795" s="39"/>
      <c r="P3795" s="37"/>
      <c r="Q3795" s="37"/>
      <c r="R3795" s="37"/>
      <c r="S3795" s="37"/>
      <c r="T3795" s="37"/>
      <c r="U3795" s="37"/>
      <c r="V3795" s="37"/>
      <c r="W3795" s="37"/>
      <c r="X3795" s="37"/>
      <c r="Y3795" s="37"/>
      <c r="Z3795" s="37"/>
      <c r="AA3795" s="37"/>
      <c r="AB3795" s="37"/>
      <c r="AC3795" s="37"/>
      <c r="AD3795" s="37"/>
      <c r="AE3795" s="37"/>
      <c r="AF3795" s="37"/>
      <c r="AG3795" s="37"/>
      <c r="AH3795" s="37"/>
      <c r="AI3795" s="37"/>
      <c r="AJ3795" s="37"/>
      <c r="AK3795" s="37"/>
      <c r="AL3795" s="37"/>
      <c r="AM3795" s="37"/>
      <c r="AN3795" s="37"/>
      <c r="AO3795" s="37"/>
      <c r="AP3795" s="37"/>
      <c r="AQ3795" s="37"/>
      <c r="AR3795" s="37"/>
      <c r="AS3795" s="37"/>
      <c r="AT3795" s="37"/>
      <c r="AU3795" s="37"/>
      <c r="AV3795" s="37"/>
      <c r="AW3795" s="37"/>
      <c r="AX3795" s="37"/>
      <c r="AY3795" s="37"/>
      <c r="AZ3795" s="37"/>
      <c r="BA3795" s="37"/>
      <c r="BB3795" s="37"/>
      <c r="BC3795" s="37"/>
      <c r="BD3795" s="37"/>
      <c r="BE3795" s="37"/>
      <c r="BF3795" s="37"/>
      <c r="BG3795" s="37"/>
      <c r="BH3795" s="37"/>
      <c r="BI3795" s="37"/>
      <c r="BJ3795" s="37"/>
      <c r="BK3795" s="37"/>
      <c r="BL3795" s="37"/>
      <c r="BM3795" s="37"/>
    </row>
    <row r="3796" spans="1:65" s="40" customFormat="1" ht="21" x14ac:dyDescent="0.35">
      <c r="A3796" s="37"/>
      <c r="B3796" s="37"/>
      <c r="C3796" s="41"/>
      <c r="D3796" s="38"/>
      <c r="E3796" s="38"/>
      <c r="F3796" s="42"/>
      <c r="G3796" s="43"/>
      <c r="H3796" s="37"/>
      <c r="I3796" s="37"/>
      <c r="J3796" s="38"/>
      <c r="K3796" s="37"/>
      <c r="L3796" s="38"/>
      <c r="M3796" s="39"/>
      <c r="P3796" s="37"/>
      <c r="Q3796" s="37"/>
      <c r="R3796" s="37"/>
      <c r="S3796" s="37"/>
      <c r="T3796" s="37"/>
      <c r="U3796" s="37"/>
      <c r="V3796" s="37"/>
      <c r="W3796" s="37"/>
      <c r="X3796" s="37"/>
      <c r="Y3796" s="37"/>
      <c r="Z3796" s="37"/>
      <c r="AA3796" s="37"/>
      <c r="AB3796" s="37"/>
      <c r="AC3796" s="37"/>
      <c r="AD3796" s="37"/>
      <c r="AE3796" s="37"/>
      <c r="AF3796" s="37"/>
      <c r="AG3796" s="37"/>
      <c r="AH3796" s="37"/>
      <c r="AI3796" s="37"/>
      <c r="AJ3796" s="37"/>
      <c r="AK3796" s="37"/>
      <c r="AL3796" s="37"/>
      <c r="AM3796" s="37"/>
      <c r="AN3796" s="37"/>
      <c r="AO3796" s="37"/>
      <c r="AP3796" s="37"/>
      <c r="AQ3796" s="37"/>
      <c r="AR3796" s="37"/>
      <c r="AS3796" s="37"/>
      <c r="AT3796" s="37"/>
      <c r="AU3796" s="37"/>
      <c r="AV3796" s="37"/>
      <c r="AW3796" s="37"/>
      <c r="AX3796" s="37"/>
      <c r="AY3796" s="37"/>
      <c r="AZ3796" s="37"/>
      <c r="BA3796" s="37"/>
      <c r="BB3796" s="37"/>
      <c r="BC3796" s="37"/>
      <c r="BD3796" s="37"/>
      <c r="BE3796" s="37"/>
      <c r="BF3796" s="37"/>
      <c r="BG3796" s="37"/>
      <c r="BH3796" s="37"/>
      <c r="BI3796" s="37"/>
      <c r="BJ3796" s="37"/>
      <c r="BK3796" s="37"/>
      <c r="BL3796" s="37"/>
      <c r="BM3796" s="37"/>
    </row>
    <row r="3797" spans="1:65" s="40" customFormat="1" ht="21" x14ac:dyDescent="0.35">
      <c r="A3797" s="37"/>
      <c r="B3797" s="37"/>
      <c r="C3797" s="41"/>
      <c r="D3797" s="38"/>
      <c r="E3797" s="38"/>
      <c r="F3797" s="42"/>
      <c r="G3797" s="43"/>
      <c r="H3797" s="37"/>
      <c r="I3797" s="37"/>
      <c r="J3797" s="38"/>
      <c r="K3797" s="37"/>
      <c r="L3797" s="38"/>
      <c r="M3797" s="39"/>
      <c r="P3797" s="37"/>
      <c r="Q3797" s="37"/>
      <c r="R3797" s="37"/>
      <c r="S3797" s="37"/>
      <c r="T3797" s="37"/>
      <c r="U3797" s="37"/>
      <c r="V3797" s="37"/>
      <c r="W3797" s="37"/>
      <c r="X3797" s="37"/>
      <c r="Y3797" s="37"/>
      <c r="Z3797" s="37"/>
      <c r="AA3797" s="37"/>
      <c r="AB3797" s="37"/>
      <c r="AC3797" s="37"/>
      <c r="AD3797" s="37"/>
      <c r="AE3797" s="37"/>
      <c r="AF3797" s="37"/>
      <c r="AG3797" s="37"/>
      <c r="AH3797" s="37"/>
      <c r="AI3797" s="37"/>
      <c r="AJ3797" s="37"/>
      <c r="AK3797" s="37"/>
      <c r="AL3797" s="37"/>
      <c r="AM3797" s="37"/>
      <c r="AN3797" s="37"/>
      <c r="AO3797" s="37"/>
      <c r="AP3797" s="37"/>
      <c r="AQ3797" s="37"/>
      <c r="AR3797" s="37"/>
      <c r="AS3797" s="37"/>
      <c r="AT3797" s="37"/>
      <c r="AU3797" s="37"/>
      <c r="AV3797" s="37"/>
      <c r="AW3797" s="37"/>
      <c r="AX3797" s="37"/>
      <c r="AY3797" s="37"/>
      <c r="AZ3797" s="37"/>
      <c r="BA3797" s="37"/>
      <c r="BB3797" s="37"/>
      <c r="BC3797" s="37"/>
      <c r="BD3797" s="37"/>
      <c r="BE3797" s="37"/>
      <c r="BF3797" s="37"/>
      <c r="BG3797" s="37"/>
      <c r="BH3797" s="37"/>
      <c r="BI3797" s="37"/>
      <c r="BJ3797" s="37"/>
      <c r="BK3797" s="37"/>
      <c r="BL3797" s="37"/>
      <c r="BM3797" s="37"/>
    </row>
    <row r="3798" spans="1:65" s="40" customFormat="1" ht="21" x14ac:dyDescent="0.35">
      <c r="A3798" s="37"/>
      <c r="B3798" s="37"/>
      <c r="C3798" s="41"/>
      <c r="D3798" s="38"/>
      <c r="E3798" s="38"/>
      <c r="F3798" s="42"/>
      <c r="G3798" s="43"/>
      <c r="H3798" s="37"/>
      <c r="I3798" s="37"/>
      <c r="J3798" s="38"/>
      <c r="K3798" s="37"/>
      <c r="L3798" s="38"/>
      <c r="M3798" s="39"/>
      <c r="P3798" s="37"/>
      <c r="Q3798" s="37"/>
      <c r="R3798" s="37"/>
      <c r="S3798" s="37"/>
      <c r="T3798" s="37"/>
      <c r="U3798" s="37"/>
      <c r="V3798" s="37"/>
      <c r="W3798" s="37"/>
      <c r="X3798" s="37"/>
      <c r="Y3798" s="37"/>
      <c r="Z3798" s="37"/>
      <c r="AA3798" s="37"/>
      <c r="AB3798" s="37"/>
      <c r="AC3798" s="37"/>
      <c r="AD3798" s="37"/>
      <c r="AE3798" s="37"/>
      <c r="AF3798" s="37"/>
      <c r="AG3798" s="37"/>
      <c r="AH3798" s="37"/>
      <c r="AI3798" s="37"/>
      <c r="AJ3798" s="37"/>
      <c r="AK3798" s="37"/>
      <c r="AL3798" s="37"/>
      <c r="AM3798" s="37"/>
      <c r="AN3798" s="37"/>
      <c r="AO3798" s="37"/>
      <c r="AP3798" s="37"/>
      <c r="AQ3798" s="37"/>
      <c r="AR3798" s="37"/>
      <c r="AS3798" s="37"/>
      <c r="AT3798" s="37"/>
      <c r="AU3798" s="37"/>
      <c r="AV3798" s="37"/>
      <c r="AW3798" s="37"/>
      <c r="AX3798" s="37"/>
      <c r="AY3798" s="37"/>
      <c r="AZ3798" s="37"/>
      <c r="BA3798" s="37"/>
      <c r="BB3798" s="37"/>
      <c r="BC3798" s="37"/>
      <c r="BD3798" s="37"/>
      <c r="BE3798" s="37"/>
      <c r="BF3798" s="37"/>
      <c r="BG3798" s="37"/>
      <c r="BH3798" s="37"/>
      <c r="BI3798" s="37"/>
      <c r="BJ3798" s="37"/>
      <c r="BK3798" s="37"/>
      <c r="BL3798" s="37"/>
      <c r="BM3798" s="37"/>
    </row>
    <row r="3799" spans="1:65" s="40" customFormat="1" ht="21" x14ac:dyDescent="0.35">
      <c r="A3799" s="37"/>
      <c r="B3799" s="37"/>
      <c r="C3799" s="41"/>
      <c r="D3799" s="38"/>
      <c r="E3799" s="38"/>
      <c r="F3799" s="42"/>
      <c r="G3799" s="43"/>
      <c r="H3799" s="37"/>
      <c r="I3799" s="37"/>
      <c r="J3799" s="38"/>
      <c r="K3799" s="37"/>
      <c r="L3799" s="38"/>
      <c r="M3799" s="39"/>
      <c r="P3799" s="37"/>
      <c r="Q3799" s="37"/>
      <c r="R3799" s="37"/>
      <c r="S3799" s="37"/>
      <c r="T3799" s="37"/>
      <c r="U3799" s="37"/>
      <c r="V3799" s="37"/>
      <c r="W3799" s="37"/>
      <c r="X3799" s="37"/>
      <c r="Y3799" s="37"/>
      <c r="Z3799" s="37"/>
      <c r="AA3799" s="37"/>
      <c r="AB3799" s="37"/>
      <c r="AC3799" s="37"/>
      <c r="AD3799" s="37"/>
      <c r="AE3799" s="37"/>
      <c r="AF3799" s="37"/>
      <c r="AG3799" s="37"/>
      <c r="AH3799" s="37"/>
      <c r="AI3799" s="37"/>
      <c r="AJ3799" s="37"/>
      <c r="AK3799" s="37"/>
      <c r="AL3799" s="37"/>
      <c r="AM3799" s="37"/>
      <c r="AN3799" s="37"/>
      <c r="AO3799" s="37"/>
      <c r="AP3799" s="37"/>
      <c r="AQ3799" s="37"/>
      <c r="AR3799" s="37"/>
      <c r="AS3799" s="37"/>
      <c r="AT3799" s="37"/>
      <c r="AU3799" s="37"/>
      <c r="AV3799" s="37"/>
      <c r="AW3799" s="37"/>
      <c r="AX3799" s="37"/>
      <c r="AY3799" s="37"/>
      <c r="AZ3799" s="37"/>
      <c r="BA3799" s="37"/>
      <c r="BB3799" s="37"/>
      <c r="BC3799" s="37"/>
      <c r="BD3799" s="37"/>
      <c r="BE3799" s="37"/>
      <c r="BF3799" s="37"/>
      <c r="BG3799" s="37"/>
      <c r="BH3799" s="37"/>
      <c r="BI3799" s="37"/>
      <c r="BJ3799" s="37"/>
      <c r="BK3799" s="37"/>
      <c r="BL3799" s="37"/>
      <c r="BM3799" s="37"/>
    </row>
    <row r="3800" spans="1:65" s="40" customFormat="1" ht="21" x14ac:dyDescent="0.35">
      <c r="A3800" s="37"/>
      <c r="B3800" s="37"/>
      <c r="C3800" s="41"/>
      <c r="D3800" s="38"/>
      <c r="E3800" s="38"/>
      <c r="F3800" s="42"/>
      <c r="G3800" s="43"/>
      <c r="H3800" s="37"/>
      <c r="I3800" s="37"/>
      <c r="J3800" s="38"/>
      <c r="K3800" s="37"/>
      <c r="L3800" s="38"/>
      <c r="M3800" s="39"/>
      <c r="P3800" s="37"/>
      <c r="Q3800" s="37"/>
      <c r="R3800" s="37"/>
      <c r="S3800" s="37"/>
      <c r="T3800" s="37"/>
      <c r="U3800" s="37"/>
      <c r="V3800" s="37"/>
      <c r="W3800" s="37"/>
      <c r="X3800" s="37"/>
      <c r="Y3800" s="37"/>
      <c r="Z3800" s="37"/>
      <c r="AA3800" s="37"/>
      <c r="AB3800" s="37"/>
      <c r="AC3800" s="37"/>
      <c r="AD3800" s="37"/>
      <c r="AE3800" s="37"/>
      <c r="AF3800" s="37"/>
      <c r="AG3800" s="37"/>
      <c r="AH3800" s="37"/>
      <c r="AI3800" s="37"/>
      <c r="AJ3800" s="37"/>
      <c r="AK3800" s="37"/>
      <c r="AL3800" s="37"/>
      <c r="AM3800" s="37"/>
      <c r="AN3800" s="37"/>
      <c r="AO3800" s="37"/>
      <c r="AP3800" s="37"/>
      <c r="AQ3800" s="37"/>
      <c r="AR3800" s="37"/>
      <c r="AS3800" s="37"/>
      <c r="AT3800" s="37"/>
      <c r="AU3800" s="37"/>
      <c r="AV3800" s="37"/>
      <c r="AW3800" s="37"/>
      <c r="AX3800" s="37"/>
      <c r="AY3800" s="37"/>
      <c r="AZ3800" s="37"/>
      <c r="BA3800" s="37"/>
      <c r="BB3800" s="37"/>
      <c r="BC3800" s="37"/>
      <c r="BD3800" s="37"/>
      <c r="BE3800" s="37"/>
      <c r="BF3800" s="37"/>
      <c r="BG3800" s="37"/>
      <c r="BH3800" s="37"/>
      <c r="BI3800" s="37"/>
      <c r="BJ3800" s="37"/>
      <c r="BK3800" s="37"/>
      <c r="BL3800" s="37"/>
      <c r="BM3800" s="37"/>
    </row>
    <row r="3801" spans="1:65" s="40" customFormat="1" ht="21" x14ac:dyDescent="0.35">
      <c r="A3801" s="37"/>
      <c r="B3801" s="37"/>
      <c r="C3801" s="41"/>
      <c r="D3801" s="38"/>
      <c r="E3801" s="38"/>
      <c r="F3801" s="42"/>
      <c r="G3801" s="43"/>
      <c r="H3801" s="37"/>
      <c r="I3801" s="37"/>
      <c r="J3801" s="38"/>
      <c r="K3801" s="37"/>
      <c r="L3801" s="38"/>
      <c r="M3801" s="39"/>
      <c r="P3801" s="37"/>
      <c r="Q3801" s="37"/>
      <c r="R3801" s="37"/>
      <c r="S3801" s="37"/>
      <c r="T3801" s="37"/>
      <c r="U3801" s="37"/>
      <c r="V3801" s="37"/>
      <c r="W3801" s="37"/>
      <c r="X3801" s="37"/>
      <c r="Y3801" s="37"/>
      <c r="Z3801" s="37"/>
      <c r="AA3801" s="37"/>
      <c r="AB3801" s="37"/>
      <c r="AC3801" s="37"/>
      <c r="AD3801" s="37"/>
      <c r="AE3801" s="37"/>
      <c r="AF3801" s="37"/>
      <c r="AG3801" s="37"/>
      <c r="AH3801" s="37"/>
      <c r="AI3801" s="37"/>
      <c r="AJ3801" s="37"/>
      <c r="AK3801" s="37"/>
      <c r="AL3801" s="37"/>
      <c r="AM3801" s="37"/>
      <c r="AN3801" s="37"/>
      <c r="AO3801" s="37"/>
      <c r="AP3801" s="37"/>
      <c r="AQ3801" s="37"/>
      <c r="AR3801" s="37"/>
      <c r="AS3801" s="37"/>
      <c r="AT3801" s="37"/>
      <c r="AU3801" s="37"/>
      <c r="AV3801" s="37"/>
      <c r="AW3801" s="37"/>
      <c r="AX3801" s="37"/>
      <c r="AY3801" s="37"/>
      <c r="AZ3801" s="37"/>
      <c r="BA3801" s="37"/>
      <c r="BB3801" s="37"/>
      <c r="BC3801" s="37"/>
      <c r="BD3801" s="37"/>
      <c r="BE3801" s="37"/>
      <c r="BF3801" s="37"/>
      <c r="BG3801" s="37"/>
      <c r="BH3801" s="37"/>
      <c r="BI3801" s="37"/>
      <c r="BJ3801" s="37"/>
      <c r="BK3801" s="37"/>
      <c r="BL3801" s="37"/>
      <c r="BM3801" s="37"/>
    </row>
    <row r="3802" spans="1:65" s="40" customFormat="1" ht="21" x14ac:dyDescent="0.35">
      <c r="A3802" s="37"/>
      <c r="B3802" s="37"/>
      <c r="C3802" s="41"/>
      <c r="D3802" s="38"/>
      <c r="E3802" s="38"/>
      <c r="F3802" s="42"/>
      <c r="G3802" s="43"/>
      <c r="H3802" s="37"/>
      <c r="I3802" s="37"/>
      <c r="J3802" s="38"/>
      <c r="K3802" s="37"/>
      <c r="L3802" s="38"/>
      <c r="M3802" s="39"/>
      <c r="P3802" s="37"/>
      <c r="Q3802" s="37"/>
      <c r="R3802" s="37"/>
      <c r="S3802" s="37"/>
      <c r="T3802" s="37"/>
      <c r="U3802" s="37"/>
      <c r="V3802" s="37"/>
      <c r="W3802" s="37"/>
      <c r="X3802" s="37"/>
      <c r="Y3802" s="37"/>
      <c r="Z3802" s="37"/>
      <c r="AA3802" s="37"/>
      <c r="AB3802" s="37"/>
      <c r="AC3802" s="37"/>
      <c r="AD3802" s="37"/>
      <c r="AE3802" s="37"/>
      <c r="AF3802" s="37"/>
      <c r="AG3802" s="37"/>
      <c r="AH3802" s="37"/>
      <c r="AI3802" s="37"/>
      <c r="AJ3802" s="37"/>
      <c r="AK3802" s="37"/>
      <c r="AL3802" s="37"/>
      <c r="AM3802" s="37"/>
      <c r="AN3802" s="37"/>
      <c r="AO3802" s="37"/>
      <c r="AP3802" s="37"/>
      <c r="AQ3802" s="37"/>
      <c r="AR3802" s="37"/>
      <c r="AS3802" s="37"/>
      <c r="AT3802" s="37"/>
      <c r="AU3802" s="37"/>
      <c r="AV3802" s="37"/>
      <c r="AW3802" s="37"/>
      <c r="AX3802" s="37"/>
      <c r="AY3802" s="37"/>
      <c r="AZ3802" s="37"/>
      <c r="BA3802" s="37"/>
      <c r="BB3802" s="37"/>
      <c r="BC3802" s="37"/>
      <c r="BD3802" s="37"/>
      <c r="BE3802" s="37"/>
      <c r="BF3802" s="37"/>
      <c r="BG3802" s="37"/>
      <c r="BH3802" s="37"/>
      <c r="BI3802" s="37"/>
      <c r="BJ3802" s="37"/>
      <c r="BK3802" s="37"/>
      <c r="BL3802" s="37"/>
      <c r="BM3802" s="37"/>
    </row>
    <row r="3803" spans="1:65" s="40" customFormat="1" ht="21" x14ac:dyDescent="0.35">
      <c r="A3803" s="37"/>
      <c r="B3803" s="37"/>
      <c r="C3803" s="41"/>
      <c r="D3803" s="38"/>
      <c r="E3803" s="38"/>
      <c r="F3803" s="42"/>
      <c r="G3803" s="43"/>
      <c r="H3803" s="37"/>
      <c r="I3803" s="37"/>
      <c r="J3803" s="38"/>
      <c r="K3803" s="37"/>
      <c r="L3803" s="38"/>
      <c r="M3803" s="39"/>
      <c r="P3803" s="37"/>
      <c r="Q3803" s="37"/>
      <c r="R3803" s="37"/>
      <c r="S3803" s="37"/>
      <c r="T3803" s="37"/>
      <c r="U3803" s="37"/>
      <c r="V3803" s="37"/>
      <c r="W3803" s="37"/>
      <c r="X3803" s="37"/>
      <c r="Y3803" s="37"/>
      <c r="Z3803" s="37"/>
      <c r="AA3803" s="37"/>
      <c r="AB3803" s="37"/>
      <c r="AC3803" s="37"/>
      <c r="AD3803" s="37"/>
      <c r="AE3803" s="37"/>
      <c r="AF3803" s="37"/>
      <c r="AG3803" s="37"/>
      <c r="AH3803" s="37"/>
      <c r="AI3803" s="37"/>
      <c r="AJ3803" s="37"/>
      <c r="AK3803" s="37"/>
      <c r="AL3803" s="37"/>
      <c r="AM3803" s="37"/>
      <c r="AN3803" s="37"/>
      <c r="AO3803" s="37"/>
      <c r="AP3803" s="37"/>
      <c r="AQ3803" s="37"/>
      <c r="AR3803" s="37"/>
      <c r="AS3803" s="37"/>
      <c r="AT3803" s="37"/>
      <c r="AU3803" s="37"/>
      <c r="AV3803" s="37"/>
      <c r="AW3803" s="37"/>
      <c r="AX3803" s="37"/>
      <c r="AY3803" s="37"/>
      <c r="AZ3803" s="37"/>
      <c r="BA3803" s="37"/>
      <c r="BB3803" s="37"/>
      <c r="BC3803" s="37"/>
      <c r="BD3803" s="37"/>
      <c r="BE3803" s="37"/>
      <c r="BF3803" s="37"/>
      <c r="BG3803" s="37"/>
      <c r="BH3803" s="37"/>
      <c r="BI3803" s="37"/>
      <c r="BJ3803" s="37"/>
      <c r="BK3803" s="37"/>
      <c r="BL3803" s="37"/>
      <c r="BM3803" s="37"/>
    </row>
    <row r="3804" spans="1:65" s="40" customFormat="1" ht="21" x14ac:dyDescent="0.35">
      <c r="A3804" s="37"/>
      <c r="B3804" s="37"/>
      <c r="C3804" s="41"/>
      <c r="D3804" s="38"/>
      <c r="E3804" s="38"/>
      <c r="F3804" s="42"/>
      <c r="G3804" s="43"/>
      <c r="H3804" s="37"/>
      <c r="I3804" s="37"/>
      <c r="J3804" s="38"/>
      <c r="K3804" s="37"/>
      <c r="L3804" s="38"/>
      <c r="M3804" s="39"/>
      <c r="P3804" s="37"/>
      <c r="Q3804" s="37"/>
      <c r="R3804" s="37"/>
      <c r="S3804" s="37"/>
      <c r="T3804" s="37"/>
      <c r="U3804" s="37"/>
      <c r="V3804" s="37"/>
      <c r="W3804" s="37"/>
      <c r="X3804" s="37"/>
      <c r="Y3804" s="37"/>
      <c r="Z3804" s="37"/>
      <c r="AA3804" s="37"/>
      <c r="AB3804" s="37"/>
      <c r="AC3804" s="37"/>
      <c r="AD3804" s="37"/>
      <c r="AE3804" s="37"/>
      <c r="AF3804" s="37"/>
      <c r="AG3804" s="37"/>
      <c r="AH3804" s="37"/>
      <c r="AI3804" s="37"/>
      <c r="AJ3804" s="37"/>
      <c r="AK3804" s="37"/>
      <c r="AL3804" s="37"/>
      <c r="AM3804" s="37"/>
      <c r="AN3804" s="37"/>
      <c r="AO3804" s="37"/>
      <c r="AP3804" s="37"/>
      <c r="AQ3804" s="37"/>
      <c r="AR3804" s="37"/>
      <c r="AS3804" s="37"/>
      <c r="AT3804" s="37"/>
      <c r="AU3804" s="37"/>
      <c r="AV3804" s="37"/>
      <c r="AW3804" s="37"/>
      <c r="AX3804" s="37"/>
      <c r="AY3804" s="37"/>
      <c r="AZ3804" s="37"/>
      <c r="BA3804" s="37"/>
      <c r="BB3804" s="37"/>
      <c r="BC3804" s="37"/>
      <c r="BD3804" s="37"/>
      <c r="BE3804" s="37"/>
      <c r="BF3804" s="37"/>
      <c r="BG3804" s="37"/>
      <c r="BH3804" s="37"/>
      <c r="BI3804" s="37"/>
      <c r="BJ3804" s="37"/>
      <c r="BK3804" s="37"/>
      <c r="BL3804" s="37"/>
      <c r="BM3804" s="37"/>
    </row>
    <row r="3805" spans="1:65" s="40" customFormat="1" ht="21" x14ac:dyDescent="0.35">
      <c r="A3805" s="37"/>
      <c r="B3805" s="37"/>
      <c r="C3805" s="41"/>
      <c r="D3805" s="38"/>
      <c r="E3805" s="38"/>
      <c r="F3805" s="42"/>
      <c r="G3805" s="43"/>
      <c r="H3805" s="37"/>
      <c r="I3805" s="37"/>
      <c r="J3805" s="38"/>
      <c r="K3805" s="37"/>
      <c r="L3805" s="38"/>
      <c r="M3805" s="39"/>
      <c r="P3805" s="37"/>
      <c r="Q3805" s="37"/>
      <c r="R3805" s="37"/>
      <c r="S3805" s="37"/>
      <c r="T3805" s="37"/>
      <c r="U3805" s="37"/>
      <c r="V3805" s="37"/>
      <c r="W3805" s="37"/>
      <c r="X3805" s="37"/>
      <c r="Y3805" s="37"/>
      <c r="Z3805" s="37"/>
      <c r="AA3805" s="37"/>
      <c r="AB3805" s="37"/>
      <c r="AC3805" s="37"/>
      <c r="AD3805" s="37"/>
      <c r="AE3805" s="37"/>
      <c r="AF3805" s="37"/>
      <c r="AG3805" s="37"/>
      <c r="AH3805" s="37"/>
      <c r="AI3805" s="37"/>
      <c r="AJ3805" s="37"/>
      <c r="AK3805" s="37"/>
      <c r="AL3805" s="37"/>
      <c r="AM3805" s="37"/>
      <c r="AN3805" s="37"/>
      <c r="AO3805" s="37"/>
      <c r="AP3805" s="37"/>
      <c r="AQ3805" s="37"/>
      <c r="AR3805" s="37"/>
      <c r="AS3805" s="37"/>
      <c r="AT3805" s="37"/>
      <c r="AU3805" s="37"/>
      <c r="AV3805" s="37"/>
      <c r="AW3805" s="37"/>
      <c r="AX3805" s="37"/>
      <c r="AY3805" s="37"/>
      <c r="AZ3805" s="37"/>
      <c r="BA3805" s="37"/>
      <c r="BB3805" s="37"/>
      <c r="BC3805" s="37"/>
      <c r="BD3805" s="37"/>
      <c r="BE3805" s="37"/>
      <c r="BF3805" s="37"/>
      <c r="BG3805" s="37"/>
      <c r="BH3805" s="37"/>
      <c r="BI3805" s="37"/>
      <c r="BJ3805" s="37"/>
      <c r="BK3805" s="37"/>
      <c r="BL3805" s="37"/>
      <c r="BM3805" s="37"/>
    </row>
    <row r="3806" spans="1:65" s="40" customFormat="1" ht="21" x14ac:dyDescent="0.35">
      <c r="A3806" s="37"/>
      <c r="B3806" s="37"/>
      <c r="C3806" s="41"/>
      <c r="D3806" s="38"/>
      <c r="E3806" s="38"/>
      <c r="F3806" s="42"/>
      <c r="G3806" s="43"/>
      <c r="H3806" s="37"/>
      <c r="I3806" s="37"/>
      <c r="J3806" s="38"/>
      <c r="K3806" s="37"/>
      <c r="L3806" s="38"/>
      <c r="M3806" s="39"/>
      <c r="P3806" s="37"/>
      <c r="Q3806" s="37"/>
      <c r="R3806" s="37"/>
      <c r="S3806" s="37"/>
      <c r="T3806" s="37"/>
      <c r="U3806" s="37"/>
      <c r="V3806" s="37"/>
      <c r="W3806" s="37"/>
      <c r="X3806" s="37"/>
      <c r="Y3806" s="37"/>
      <c r="Z3806" s="37"/>
      <c r="AA3806" s="37"/>
      <c r="AB3806" s="37"/>
      <c r="AC3806" s="37"/>
      <c r="AD3806" s="37"/>
      <c r="AE3806" s="37"/>
      <c r="AF3806" s="37"/>
      <c r="AG3806" s="37"/>
      <c r="AH3806" s="37"/>
      <c r="AI3806" s="37"/>
      <c r="AJ3806" s="37"/>
      <c r="AK3806" s="37"/>
      <c r="AL3806" s="37"/>
      <c r="AM3806" s="37"/>
      <c r="AN3806" s="37"/>
      <c r="AO3806" s="37"/>
      <c r="AP3806" s="37"/>
      <c r="AQ3806" s="37"/>
      <c r="AR3806" s="37"/>
      <c r="AS3806" s="37"/>
      <c r="AT3806" s="37"/>
      <c r="AU3806" s="37"/>
      <c r="AV3806" s="37"/>
      <c r="AW3806" s="37"/>
      <c r="AX3806" s="37"/>
      <c r="AY3806" s="37"/>
      <c r="AZ3806" s="37"/>
      <c r="BA3806" s="37"/>
      <c r="BB3806" s="37"/>
      <c r="BC3806" s="37"/>
      <c r="BD3806" s="37"/>
      <c r="BE3806" s="37"/>
      <c r="BF3806" s="37"/>
      <c r="BG3806" s="37"/>
      <c r="BH3806" s="37"/>
      <c r="BI3806" s="37"/>
      <c r="BJ3806" s="37"/>
      <c r="BK3806" s="37"/>
      <c r="BL3806" s="37"/>
      <c r="BM3806" s="37"/>
    </row>
    <row r="3807" spans="1:65" s="40" customFormat="1" ht="21" x14ac:dyDescent="0.35">
      <c r="A3807" s="37"/>
      <c r="B3807" s="37"/>
      <c r="C3807" s="41"/>
      <c r="D3807" s="38"/>
      <c r="E3807" s="38"/>
      <c r="F3807" s="42"/>
      <c r="G3807" s="43"/>
      <c r="H3807" s="37"/>
      <c r="I3807" s="37"/>
      <c r="J3807" s="38"/>
      <c r="K3807" s="37"/>
      <c r="L3807" s="38"/>
      <c r="M3807" s="39"/>
      <c r="P3807" s="37"/>
      <c r="Q3807" s="37"/>
      <c r="R3807" s="37"/>
      <c r="S3807" s="37"/>
      <c r="T3807" s="37"/>
      <c r="U3807" s="37"/>
      <c r="V3807" s="37"/>
      <c r="W3807" s="37"/>
      <c r="X3807" s="37"/>
      <c r="Y3807" s="37"/>
      <c r="Z3807" s="37"/>
      <c r="AA3807" s="37"/>
      <c r="AB3807" s="37"/>
      <c r="AC3807" s="37"/>
      <c r="AD3807" s="37"/>
      <c r="AE3807" s="37"/>
      <c r="AF3807" s="37"/>
      <c r="AG3807" s="37"/>
      <c r="AH3807" s="37"/>
      <c r="AI3807" s="37"/>
      <c r="AJ3807" s="37"/>
      <c r="AK3807" s="37"/>
      <c r="AL3807" s="37"/>
      <c r="AM3807" s="37"/>
      <c r="AN3807" s="37"/>
      <c r="AO3807" s="37"/>
      <c r="AP3807" s="37"/>
      <c r="AQ3807" s="37"/>
      <c r="AR3807" s="37"/>
      <c r="AS3807" s="37"/>
      <c r="AT3807" s="37"/>
      <c r="AU3807" s="37"/>
      <c r="AV3807" s="37"/>
      <c r="AW3807" s="37"/>
      <c r="AX3807" s="37"/>
      <c r="AY3807" s="37"/>
      <c r="AZ3807" s="37"/>
      <c r="BA3807" s="37"/>
      <c r="BB3807" s="37"/>
      <c r="BC3807" s="37"/>
      <c r="BD3807" s="37"/>
      <c r="BE3807" s="37"/>
      <c r="BF3807" s="37"/>
      <c r="BG3807" s="37"/>
      <c r="BH3807" s="37"/>
      <c r="BI3807" s="37"/>
      <c r="BJ3807" s="37"/>
      <c r="BK3807" s="37"/>
      <c r="BL3807" s="37"/>
      <c r="BM3807" s="37"/>
    </row>
    <row r="3808" spans="1:65" s="40" customFormat="1" ht="21" x14ac:dyDescent="0.35">
      <c r="A3808" s="37"/>
      <c r="B3808" s="37"/>
      <c r="C3808" s="41"/>
      <c r="D3808" s="38"/>
      <c r="E3808" s="38"/>
      <c r="F3808" s="42"/>
      <c r="G3808" s="43"/>
      <c r="H3808" s="37"/>
      <c r="I3808" s="37"/>
      <c r="J3808" s="38"/>
      <c r="K3808" s="37"/>
      <c r="L3808" s="38"/>
      <c r="M3808" s="39"/>
      <c r="P3808" s="37"/>
      <c r="Q3808" s="37"/>
      <c r="R3808" s="37"/>
      <c r="S3808" s="37"/>
      <c r="T3808" s="37"/>
      <c r="U3808" s="37"/>
      <c r="V3808" s="37"/>
      <c r="W3808" s="37"/>
      <c r="X3808" s="37"/>
      <c r="Y3808" s="37"/>
      <c r="Z3808" s="37"/>
      <c r="AA3808" s="37"/>
      <c r="AB3808" s="37"/>
      <c r="AC3808" s="37"/>
      <c r="AD3808" s="37"/>
      <c r="AE3808" s="37"/>
      <c r="AF3808" s="37"/>
      <c r="AG3808" s="37"/>
      <c r="AH3808" s="37"/>
      <c r="AI3808" s="37"/>
      <c r="AJ3808" s="37"/>
      <c r="AK3808" s="37"/>
      <c r="AL3808" s="37"/>
      <c r="AM3808" s="37"/>
      <c r="AN3808" s="37"/>
      <c r="AO3808" s="37"/>
      <c r="AP3808" s="37"/>
      <c r="AQ3808" s="37"/>
      <c r="AR3808" s="37"/>
      <c r="AS3808" s="37"/>
      <c r="AT3808" s="37"/>
      <c r="AU3808" s="37"/>
      <c r="AV3808" s="37"/>
      <c r="AW3808" s="37"/>
      <c r="AX3808" s="37"/>
      <c r="AY3808" s="37"/>
      <c r="AZ3808" s="37"/>
      <c r="BA3808" s="37"/>
      <c r="BB3808" s="37"/>
      <c r="BC3808" s="37"/>
      <c r="BD3808" s="37"/>
      <c r="BE3808" s="37"/>
      <c r="BF3808" s="37"/>
      <c r="BG3808" s="37"/>
      <c r="BH3808" s="37"/>
      <c r="BI3808" s="37"/>
      <c r="BJ3808" s="37"/>
      <c r="BK3808" s="37"/>
      <c r="BL3808" s="37"/>
      <c r="BM3808" s="37"/>
    </row>
    <row r="3809" spans="1:65" s="40" customFormat="1" ht="21" x14ac:dyDescent="0.35">
      <c r="A3809" s="37"/>
      <c r="B3809" s="37"/>
      <c r="C3809" s="41"/>
      <c r="D3809" s="38"/>
      <c r="E3809" s="38"/>
      <c r="F3809" s="42"/>
      <c r="G3809" s="43"/>
      <c r="H3809" s="37"/>
      <c r="I3809" s="37"/>
      <c r="J3809" s="38"/>
      <c r="K3809" s="37"/>
      <c r="L3809" s="38"/>
      <c r="M3809" s="39"/>
      <c r="P3809" s="37"/>
      <c r="Q3809" s="37"/>
      <c r="R3809" s="37"/>
      <c r="S3809" s="37"/>
      <c r="T3809" s="37"/>
      <c r="U3809" s="37"/>
      <c r="V3809" s="37"/>
      <c r="W3809" s="37"/>
      <c r="X3809" s="37"/>
      <c r="Y3809" s="37"/>
      <c r="Z3809" s="37"/>
      <c r="AA3809" s="37"/>
      <c r="AB3809" s="37"/>
      <c r="AC3809" s="37"/>
      <c r="AD3809" s="37"/>
      <c r="AE3809" s="37"/>
      <c r="AF3809" s="37"/>
      <c r="AG3809" s="37"/>
      <c r="AH3809" s="37"/>
      <c r="AI3809" s="37"/>
      <c r="AJ3809" s="37"/>
      <c r="AK3809" s="37"/>
      <c r="AL3809" s="37"/>
      <c r="AM3809" s="37"/>
      <c r="AN3809" s="37"/>
      <c r="AO3809" s="37"/>
      <c r="AP3809" s="37"/>
      <c r="AQ3809" s="37"/>
      <c r="AR3809" s="37"/>
      <c r="AS3809" s="37"/>
      <c r="AT3809" s="37"/>
      <c r="AU3809" s="37"/>
      <c r="AV3809" s="37"/>
      <c r="AW3809" s="37"/>
      <c r="AX3809" s="37"/>
      <c r="AY3809" s="37"/>
      <c r="AZ3809" s="37"/>
      <c r="BA3809" s="37"/>
      <c r="BB3809" s="37"/>
      <c r="BC3809" s="37"/>
      <c r="BD3809" s="37"/>
      <c r="BE3809" s="37"/>
      <c r="BF3809" s="37"/>
      <c r="BG3809" s="37"/>
      <c r="BH3809" s="37"/>
      <c r="BI3809" s="37"/>
      <c r="BJ3809" s="37"/>
      <c r="BK3809" s="37"/>
      <c r="BL3809" s="37"/>
      <c r="BM3809" s="37"/>
    </row>
    <row r="3810" spans="1:65" s="40" customFormat="1" ht="21" x14ac:dyDescent="0.35">
      <c r="A3810" s="37"/>
      <c r="B3810" s="37"/>
      <c r="C3810" s="41"/>
      <c r="D3810" s="38"/>
      <c r="E3810" s="38"/>
      <c r="F3810" s="42"/>
      <c r="G3810" s="43"/>
      <c r="H3810" s="37"/>
      <c r="I3810" s="37"/>
      <c r="J3810" s="38"/>
      <c r="K3810" s="37"/>
      <c r="L3810" s="38"/>
      <c r="M3810" s="39"/>
      <c r="P3810" s="37"/>
      <c r="Q3810" s="37"/>
      <c r="R3810" s="37"/>
      <c r="S3810" s="37"/>
      <c r="T3810" s="37"/>
      <c r="U3810" s="37"/>
      <c r="V3810" s="37"/>
      <c r="W3810" s="37"/>
      <c r="X3810" s="37"/>
      <c r="Y3810" s="37"/>
      <c r="Z3810" s="37"/>
      <c r="AA3810" s="37"/>
      <c r="AB3810" s="37"/>
      <c r="AC3810" s="37"/>
      <c r="AD3810" s="37"/>
      <c r="AE3810" s="37"/>
      <c r="AF3810" s="37"/>
      <c r="AG3810" s="37"/>
      <c r="AH3810" s="37"/>
      <c r="AI3810" s="37"/>
      <c r="AJ3810" s="37"/>
      <c r="AK3810" s="37"/>
      <c r="AL3810" s="37"/>
      <c r="AM3810" s="37"/>
      <c r="AN3810" s="37"/>
      <c r="AO3810" s="37"/>
      <c r="AP3810" s="37"/>
      <c r="AQ3810" s="37"/>
      <c r="AR3810" s="37"/>
      <c r="AS3810" s="37"/>
      <c r="AT3810" s="37"/>
      <c r="AU3810" s="37"/>
      <c r="AV3810" s="37"/>
      <c r="AW3810" s="37"/>
      <c r="AX3810" s="37"/>
      <c r="AY3810" s="37"/>
      <c r="AZ3810" s="37"/>
      <c r="BA3810" s="37"/>
      <c r="BB3810" s="37"/>
      <c r="BC3810" s="37"/>
      <c r="BD3810" s="37"/>
      <c r="BE3810" s="37"/>
      <c r="BF3810" s="37"/>
      <c r="BG3810" s="37"/>
      <c r="BH3810" s="37"/>
      <c r="BI3810" s="37"/>
      <c r="BJ3810" s="37"/>
      <c r="BK3810" s="37"/>
      <c r="BL3810" s="37"/>
      <c r="BM3810" s="37"/>
    </row>
    <row r="3811" spans="1:65" s="40" customFormat="1" ht="21" x14ac:dyDescent="0.35">
      <c r="A3811" s="37"/>
      <c r="B3811" s="37"/>
      <c r="C3811" s="41"/>
      <c r="D3811" s="38"/>
      <c r="E3811" s="38"/>
      <c r="F3811" s="42"/>
      <c r="G3811" s="43"/>
      <c r="H3811" s="37"/>
      <c r="I3811" s="37"/>
      <c r="J3811" s="38"/>
      <c r="K3811" s="37"/>
      <c r="L3811" s="38"/>
      <c r="M3811" s="39"/>
      <c r="P3811" s="37"/>
      <c r="Q3811" s="37"/>
      <c r="R3811" s="37"/>
      <c r="S3811" s="37"/>
      <c r="T3811" s="37"/>
      <c r="U3811" s="37"/>
      <c r="V3811" s="37"/>
      <c r="W3811" s="37"/>
      <c r="X3811" s="37"/>
      <c r="Y3811" s="37"/>
      <c r="Z3811" s="37"/>
      <c r="AA3811" s="37"/>
      <c r="AB3811" s="37"/>
      <c r="AC3811" s="37"/>
      <c r="AD3811" s="37"/>
      <c r="AE3811" s="37"/>
      <c r="AF3811" s="37"/>
      <c r="AG3811" s="37"/>
      <c r="AH3811" s="37"/>
      <c r="AI3811" s="37"/>
      <c r="AJ3811" s="37"/>
      <c r="AK3811" s="37"/>
      <c r="AL3811" s="37"/>
      <c r="AM3811" s="37"/>
      <c r="AN3811" s="37"/>
      <c r="AO3811" s="37"/>
      <c r="AP3811" s="37"/>
      <c r="AQ3811" s="37"/>
      <c r="AR3811" s="37"/>
      <c r="AS3811" s="37"/>
      <c r="AT3811" s="37"/>
      <c r="AU3811" s="37"/>
      <c r="AV3811" s="37"/>
      <c r="AW3811" s="37"/>
      <c r="AX3811" s="37"/>
      <c r="AY3811" s="37"/>
      <c r="AZ3811" s="37"/>
      <c r="BA3811" s="37"/>
      <c r="BB3811" s="37"/>
      <c r="BC3811" s="37"/>
      <c r="BD3811" s="37"/>
      <c r="BE3811" s="37"/>
      <c r="BF3811" s="37"/>
      <c r="BG3811" s="37"/>
      <c r="BH3811" s="37"/>
      <c r="BI3811" s="37"/>
      <c r="BJ3811" s="37"/>
      <c r="BK3811" s="37"/>
      <c r="BL3811" s="37"/>
      <c r="BM3811" s="37"/>
    </row>
    <row r="3812" spans="1:65" s="40" customFormat="1" ht="21" x14ac:dyDescent="0.35">
      <c r="A3812" s="37"/>
      <c r="B3812" s="37"/>
      <c r="C3812" s="41"/>
      <c r="D3812" s="38"/>
      <c r="E3812" s="38"/>
      <c r="F3812" s="42"/>
      <c r="G3812" s="43"/>
      <c r="H3812" s="37"/>
      <c r="I3812" s="37"/>
      <c r="J3812" s="38"/>
      <c r="K3812" s="37"/>
      <c r="L3812" s="38"/>
      <c r="M3812" s="39"/>
      <c r="P3812" s="37"/>
      <c r="Q3812" s="37"/>
      <c r="R3812" s="37"/>
      <c r="S3812" s="37"/>
      <c r="T3812" s="37"/>
      <c r="U3812" s="37"/>
      <c r="V3812" s="37"/>
      <c r="W3812" s="37"/>
      <c r="X3812" s="37"/>
      <c r="Y3812" s="37"/>
      <c r="Z3812" s="37"/>
      <c r="AA3812" s="37"/>
      <c r="AB3812" s="37"/>
      <c r="AC3812" s="37"/>
      <c r="AD3812" s="37"/>
      <c r="AE3812" s="37"/>
      <c r="AF3812" s="37"/>
      <c r="AG3812" s="37"/>
      <c r="AH3812" s="37"/>
      <c r="AI3812" s="37"/>
      <c r="AJ3812" s="37"/>
      <c r="AK3812" s="37"/>
      <c r="AL3812" s="37"/>
      <c r="AM3812" s="37"/>
      <c r="AN3812" s="37"/>
      <c r="AO3812" s="37"/>
      <c r="AP3812" s="37"/>
      <c r="AQ3812" s="37"/>
      <c r="AR3812" s="37"/>
      <c r="AS3812" s="37"/>
      <c r="AT3812" s="37"/>
      <c r="AU3812" s="37"/>
      <c r="AV3812" s="37"/>
      <c r="AW3812" s="37"/>
      <c r="AX3812" s="37"/>
      <c r="AY3812" s="37"/>
      <c r="AZ3812" s="37"/>
      <c r="BA3812" s="37"/>
      <c r="BB3812" s="37"/>
      <c r="BC3812" s="37"/>
      <c r="BD3812" s="37"/>
      <c r="BE3812" s="37"/>
      <c r="BF3812" s="37"/>
      <c r="BG3812" s="37"/>
      <c r="BH3812" s="37"/>
      <c r="BI3812" s="37"/>
      <c r="BJ3812" s="37"/>
      <c r="BK3812" s="37"/>
      <c r="BL3812" s="37"/>
      <c r="BM3812" s="37"/>
    </row>
    <row r="3813" spans="1:65" s="40" customFormat="1" ht="21" x14ac:dyDescent="0.35">
      <c r="A3813" s="37"/>
      <c r="B3813" s="37"/>
      <c r="C3813" s="41"/>
      <c r="D3813" s="38"/>
      <c r="E3813" s="38"/>
      <c r="F3813" s="42"/>
      <c r="G3813" s="43"/>
      <c r="H3813" s="37"/>
      <c r="I3813" s="37"/>
      <c r="J3813" s="38"/>
      <c r="K3813" s="37"/>
      <c r="L3813" s="38"/>
      <c r="M3813" s="39"/>
      <c r="P3813" s="37"/>
      <c r="Q3813" s="37"/>
      <c r="R3813" s="37"/>
      <c r="S3813" s="37"/>
      <c r="T3813" s="37"/>
      <c r="U3813" s="37"/>
      <c r="V3813" s="37"/>
      <c r="W3813" s="37"/>
      <c r="X3813" s="37"/>
      <c r="Y3813" s="37"/>
      <c r="Z3813" s="37"/>
      <c r="AA3813" s="37"/>
      <c r="AB3813" s="37"/>
      <c r="AC3813" s="37"/>
      <c r="AD3813" s="37"/>
      <c r="AE3813" s="37"/>
      <c r="AF3813" s="37"/>
      <c r="AG3813" s="37"/>
      <c r="AH3813" s="37"/>
      <c r="AI3813" s="37"/>
      <c r="AJ3813" s="37"/>
      <c r="AK3813" s="37"/>
      <c r="AL3813" s="37"/>
      <c r="AM3813" s="37"/>
      <c r="AN3813" s="37"/>
      <c r="AO3813" s="37"/>
      <c r="AP3813" s="37"/>
      <c r="AQ3813" s="37"/>
      <c r="AR3813" s="37"/>
      <c r="AS3813" s="37"/>
      <c r="AT3813" s="37"/>
      <c r="AU3813" s="37"/>
      <c r="AV3813" s="37"/>
      <c r="AW3813" s="37"/>
      <c r="AX3813" s="37"/>
      <c r="AY3813" s="37"/>
      <c r="AZ3813" s="37"/>
      <c r="BA3813" s="37"/>
      <c r="BB3813" s="37"/>
      <c r="BC3813" s="37"/>
      <c r="BD3813" s="37"/>
      <c r="BE3813" s="37"/>
      <c r="BF3813" s="37"/>
      <c r="BG3813" s="37"/>
      <c r="BH3813" s="37"/>
      <c r="BI3813" s="37"/>
      <c r="BJ3813" s="37"/>
      <c r="BK3813" s="37"/>
      <c r="BL3813" s="37"/>
      <c r="BM3813" s="37"/>
    </row>
    <row r="3814" spans="1:65" s="40" customFormat="1" ht="21" x14ac:dyDescent="0.35">
      <c r="A3814" s="37"/>
      <c r="B3814" s="37"/>
      <c r="C3814" s="41"/>
      <c r="D3814" s="38"/>
      <c r="E3814" s="38"/>
      <c r="F3814" s="42"/>
      <c r="G3814" s="43"/>
      <c r="H3814" s="37"/>
      <c r="I3814" s="37"/>
      <c r="J3814" s="38"/>
      <c r="K3814" s="37"/>
      <c r="L3814" s="38"/>
      <c r="M3814" s="39"/>
      <c r="P3814" s="37"/>
      <c r="Q3814" s="37"/>
      <c r="R3814" s="37"/>
      <c r="S3814" s="37"/>
      <c r="T3814" s="37"/>
      <c r="U3814" s="37"/>
      <c r="V3814" s="37"/>
      <c r="W3814" s="37"/>
      <c r="X3814" s="37"/>
      <c r="Y3814" s="37"/>
      <c r="Z3814" s="37"/>
      <c r="AA3814" s="37"/>
      <c r="AB3814" s="37"/>
      <c r="AC3814" s="37"/>
      <c r="AD3814" s="37"/>
      <c r="AE3814" s="37"/>
      <c r="AF3814" s="37"/>
      <c r="AG3814" s="37"/>
      <c r="AH3814" s="37"/>
      <c r="AI3814" s="37"/>
      <c r="AJ3814" s="37"/>
      <c r="AK3814" s="37"/>
      <c r="AL3814" s="37"/>
      <c r="AM3814" s="37"/>
      <c r="AN3814" s="37"/>
      <c r="AO3814" s="37"/>
      <c r="AP3814" s="37"/>
      <c r="AQ3814" s="37"/>
      <c r="AR3814" s="37"/>
      <c r="AS3814" s="37"/>
      <c r="AT3814" s="37"/>
      <c r="AU3814" s="37"/>
      <c r="AV3814" s="37"/>
      <c r="AW3814" s="37"/>
      <c r="AX3814" s="37"/>
      <c r="AY3814" s="37"/>
      <c r="AZ3814" s="37"/>
      <c r="BA3814" s="37"/>
      <c r="BB3814" s="37"/>
      <c r="BC3814" s="37"/>
      <c r="BD3814" s="37"/>
      <c r="BE3814" s="37"/>
      <c r="BF3814" s="37"/>
      <c r="BG3814" s="37"/>
      <c r="BH3814" s="37"/>
      <c r="BI3814" s="37"/>
      <c r="BJ3814" s="37"/>
      <c r="BK3814" s="37"/>
      <c r="BL3814" s="37"/>
      <c r="BM3814" s="37"/>
    </row>
    <row r="3815" spans="1:65" s="40" customFormat="1" ht="21" x14ac:dyDescent="0.35">
      <c r="A3815" s="37"/>
      <c r="B3815" s="37"/>
      <c r="C3815" s="41"/>
      <c r="D3815" s="38"/>
      <c r="E3815" s="38"/>
      <c r="F3815" s="42"/>
      <c r="G3815" s="43"/>
      <c r="H3815" s="37"/>
      <c r="I3815" s="37"/>
      <c r="J3815" s="38"/>
      <c r="K3815" s="37"/>
      <c r="L3815" s="38"/>
      <c r="M3815" s="39"/>
      <c r="P3815" s="37"/>
      <c r="Q3815" s="37"/>
      <c r="R3815" s="37"/>
      <c r="S3815" s="37"/>
      <c r="T3815" s="37"/>
      <c r="U3815" s="37"/>
      <c r="V3815" s="37"/>
      <c r="W3815" s="37"/>
      <c r="X3815" s="37"/>
      <c r="Y3815" s="37"/>
      <c r="Z3815" s="37"/>
      <c r="AA3815" s="37"/>
      <c r="AB3815" s="37"/>
      <c r="AC3815" s="37"/>
      <c r="AD3815" s="37"/>
      <c r="AE3815" s="37"/>
      <c r="AF3815" s="37"/>
      <c r="AG3815" s="37"/>
      <c r="AH3815" s="37"/>
      <c r="AI3815" s="37"/>
      <c r="AJ3815" s="37"/>
      <c r="AK3815" s="37"/>
      <c r="AL3815" s="37"/>
      <c r="AM3815" s="37"/>
      <c r="AN3815" s="37"/>
      <c r="AO3815" s="37"/>
      <c r="AP3815" s="37"/>
      <c r="AQ3815" s="37"/>
      <c r="AR3815" s="37"/>
      <c r="AS3815" s="37"/>
      <c r="AT3815" s="37"/>
      <c r="AU3815" s="37"/>
      <c r="AV3815" s="37"/>
      <c r="AW3815" s="37"/>
      <c r="AX3815" s="37"/>
      <c r="AY3815" s="37"/>
      <c r="AZ3815" s="37"/>
      <c r="BA3815" s="37"/>
      <c r="BB3815" s="37"/>
      <c r="BC3815" s="37"/>
      <c r="BD3815" s="37"/>
      <c r="BE3815" s="37"/>
      <c r="BF3815" s="37"/>
      <c r="BG3815" s="37"/>
      <c r="BH3815" s="37"/>
      <c r="BI3815" s="37"/>
      <c r="BJ3815" s="37"/>
      <c r="BK3815" s="37"/>
      <c r="BL3815" s="37"/>
      <c r="BM3815" s="37"/>
    </row>
    <row r="3816" spans="1:65" s="40" customFormat="1" ht="21" x14ac:dyDescent="0.35">
      <c r="A3816" s="37"/>
      <c r="B3816" s="37"/>
      <c r="C3816" s="41"/>
      <c r="D3816" s="38"/>
      <c r="E3816" s="38"/>
      <c r="F3816" s="42"/>
      <c r="G3816" s="43"/>
      <c r="H3816" s="37"/>
      <c r="I3816" s="37"/>
      <c r="J3816" s="38"/>
      <c r="K3816" s="37"/>
      <c r="L3816" s="38"/>
      <c r="M3816" s="39"/>
      <c r="P3816" s="37"/>
      <c r="Q3816" s="37"/>
      <c r="R3816" s="37"/>
      <c r="S3816" s="37"/>
      <c r="T3816" s="37"/>
      <c r="U3816" s="37"/>
      <c r="V3816" s="37"/>
      <c r="W3816" s="37"/>
      <c r="X3816" s="37"/>
      <c r="Y3816" s="37"/>
      <c r="Z3816" s="37"/>
      <c r="AA3816" s="37"/>
      <c r="AB3816" s="37"/>
      <c r="AC3816" s="37"/>
      <c r="AD3816" s="37"/>
      <c r="AE3816" s="37"/>
      <c r="AF3816" s="37"/>
      <c r="AG3816" s="37"/>
      <c r="AH3816" s="37"/>
      <c r="AI3816" s="37"/>
      <c r="AJ3816" s="37"/>
      <c r="AK3816" s="37"/>
      <c r="AL3816" s="37"/>
      <c r="AM3816" s="37"/>
      <c r="AN3816" s="37"/>
      <c r="AO3816" s="37"/>
      <c r="AP3816" s="37"/>
      <c r="AQ3816" s="37"/>
      <c r="AR3816" s="37"/>
      <c r="AS3816" s="37"/>
      <c r="AT3816" s="37"/>
      <c r="AU3816" s="37"/>
      <c r="AV3816" s="37"/>
      <c r="AW3816" s="37"/>
      <c r="AX3816" s="37"/>
      <c r="AY3816" s="37"/>
      <c r="AZ3816" s="37"/>
      <c r="BA3816" s="37"/>
      <c r="BB3816" s="37"/>
      <c r="BC3816" s="37"/>
      <c r="BD3816" s="37"/>
      <c r="BE3816" s="37"/>
      <c r="BF3816" s="37"/>
      <c r="BG3816" s="37"/>
      <c r="BH3816" s="37"/>
      <c r="BI3816" s="37"/>
      <c r="BJ3816" s="37"/>
      <c r="BK3816" s="37"/>
      <c r="BL3816" s="37"/>
      <c r="BM3816" s="37"/>
    </row>
    <row r="3817" spans="1:65" s="40" customFormat="1" ht="21" x14ac:dyDescent="0.35">
      <c r="A3817" s="37"/>
      <c r="B3817" s="37"/>
      <c r="C3817" s="41"/>
      <c r="D3817" s="38"/>
      <c r="E3817" s="38"/>
      <c r="F3817" s="42"/>
      <c r="G3817" s="43"/>
      <c r="H3817" s="37"/>
      <c r="I3817" s="37"/>
      <c r="J3817" s="38"/>
      <c r="K3817" s="37"/>
      <c r="L3817" s="38"/>
      <c r="M3817" s="39"/>
      <c r="P3817" s="37"/>
      <c r="Q3817" s="37"/>
      <c r="R3817" s="37"/>
      <c r="S3817" s="37"/>
      <c r="T3817" s="37"/>
      <c r="U3817" s="37"/>
      <c r="V3817" s="37"/>
      <c r="W3817" s="37"/>
      <c r="X3817" s="37"/>
      <c r="Y3817" s="37"/>
      <c r="Z3817" s="37"/>
      <c r="AA3817" s="37"/>
      <c r="AB3817" s="37"/>
      <c r="AC3817" s="37"/>
      <c r="AD3817" s="37"/>
      <c r="AE3817" s="37"/>
      <c r="AF3817" s="37"/>
      <c r="AG3817" s="37"/>
      <c r="AH3817" s="37"/>
      <c r="AI3817" s="37"/>
      <c r="AJ3817" s="37"/>
      <c r="AK3817" s="37"/>
      <c r="AL3817" s="37"/>
      <c r="AM3817" s="37"/>
      <c r="AN3817" s="37"/>
      <c r="AO3817" s="37"/>
      <c r="AP3817" s="37"/>
      <c r="AQ3817" s="37"/>
      <c r="AR3817" s="37"/>
      <c r="AS3817" s="37"/>
      <c r="AT3817" s="37"/>
      <c r="AU3817" s="37"/>
      <c r="AV3817" s="37"/>
      <c r="AW3817" s="37"/>
      <c r="AX3817" s="37"/>
      <c r="AY3817" s="37"/>
      <c r="AZ3817" s="37"/>
      <c r="BA3817" s="37"/>
      <c r="BB3817" s="37"/>
      <c r="BC3817" s="37"/>
      <c r="BD3817" s="37"/>
      <c r="BE3817" s="37"/>
      <c r="BF3817" s="37"/>
      <c r="BG3817" s="37"/>
      <c r="BH3817" s="37"/>
      <c r="BI3817" s="37"/>
      <c r="BJ3817" s="37"/>
      <c r="BK3817" s="37"/>
      <c r="BL3817" s="37"/>
      <c r="BM3817" s="37"/>
    </row>
    <row r="3818" spans="1:65" s="40" customFormat="1" ht="21" x14ac:dyDescent="0.35">
      <c r="A3818" s="37"/>
      <c r="B3818" s="37"/>
      <c r="C3818" s="41"/>
      <c r="D3818" s="38"/>
      <c r="E3818" s="38"/>
      <c r="F3818" s="42"/>
      <c r="G3818" s="43"/>
      <c r="H3818" s="37"/>
      <c r="I3818" s="37"/>
      <c r="J3818" s="38"/>
      <c r="K3818" s="37"/>
      <c r="L3818" s="38"/>
      <c r="M3818" s="39"/>
      <c r="P3818" s="37"/>
      <c r="Q3818" s="37"/>
      <c r="R3818" s="37"/>
      <c r="S3818" s="37"/>
      <c r="T3818" s="37"/>
      <c r="U3818" s="37"/>
      <c r="V3818" s="37"/>
      <c r="W3818" s="37"/>
      <c r="X3818" s="37"/>
      <c r="Y3818" s="37"/>
      <c r="Z3818" s="37"/>
      <c r="AA3818" s="37"/>
      <c r="AB3818" s="37"/>
      <c r="AC3818" s="37"/>
      <c r="AD3818" s="37"/>
      <c r="AE3818" s="37"/>
      <c r="AF3818" s="37"/>
      <c r="AG3818" s="37"/>
      <c r="AH3818" s="37"/>
      <c r="AI3818" s="37"/>
      <c r="AJ3818" s="37"/>
      <c r="AK3818" s="37"/>
      <c r="AL3818" s="37"/>
      <c r="AM3818" s="37"/>
      <c r="AN3818" s="37"/>
      <c r="AO3818" s="37"/>
      <c r="AP3818" s="37"/>
      <c r="AQ3818" s="37"/>
      <c r="AR3818" s="37"/>
      <c r="AS3818" s="37"/>
      <c r="AT3818" s="37"/>
      <c r="AU3818" s="37"/>
      <c r="AV3818" s="37"/>
      <c r="AW3818" s="37"/>
      <c r="AX3818" s="37"/>
      <c r="AY3818" s="37"/>
      <c r="AZ3818" s="37"/>
      <c r="BA3818" s="37"/>
      <c r="BB3818" s="37"/>
      <c r="BC3818" s="37"/>
      <c r="BD3818" s="37"/>
      <c r="BE3818" s="37"/>
      <c r="BF3818" s="37"/>
      <c r="BG3818" s="37"/>
      <c r="BH3818" s="37"/>
      <c r="BI3818" s="37"/>
      <c r="BJ3818" s="37"/>
      <c r="BK3818" s="37"/>
      <c r="BL3818" s="37"/>
      <c r="BM3818" s="37"/>
    </row>
    <row r="3819" spans="1:65" s="40" customFormat="1" ht="21" x14ac:dyDescent="0.35">
      <c r="A3819" s="37"/>
      <c r="B3819" s="37"/>
      <c r="C3819" s="41"/>
      <c r="D3819" s="38"/>
      <c r="E3819" s="38"/>
      <c r="F3819" s="42"/>
      <c r="G3819" s="43"/>
      <c r="H3819" s="37"/>
      <c r="I3819" s="37"/>
      <c r="J3819" s="38"/>
      <c r="K3819" s="37"/>
      <c r="L3819" s="38"/>
      <c r="M3819" s="39"/>
      <c r="P3819" s="37"/>
      <c r="Q3819" s="37"/>
      <c r="R3819" s="37"/>
      <c r="S3819" s="37"/>
      <c r="T3819" s="37"/>
      <c r="U3819" s="37"/>
      <c r="V3819" s="37"/>
      <c r="W3819" s="37"/>
      <c r="X3819" s="37"/>
      <c r="Y3819" s="37"/>
      <c r="Z3819" s="37"/>
      <c r="AA3819" s="37"/>
      <c r="AB3819" s="37"/>
      <c r="AC3819" s="37"/>
      <c r="AD3819" s="37"/>
      <c r="AE3819" s="37"/>
      <c r="AF3819" s="37"/>
      <c r="AG3819" s="37"/>
      <c r="AH3819" s="37"/>
      <c r="AI3819" s="37"/>
      <c r="AJ3819" s="37"/>
      <c r="AK3819" s="37"/>
      <c r="AL3819" s="37"/>
      <c r="AM3819" s="37"/>
      <c r="AN3819" s="37"/>
      <c r="AO3819" s="37"/>
      <c r="AP3819" s="37"/>
      <c r="AQ3819" s="37"/>
      <c r="AR3819" s="37"/>
      <c r="AS3819" s="37"/>
      <c r="AT3819" s="37"/>
      <c r="AU3819" s="37"/>
      <c r="AV3819" s="37"/>
      <c r="AW3819" s="37"/>
      <c r="AX3819" s="37"/>
      <c r="AY3819" s="37"/>
      <c r="AZ3819" s="37"/>
      <c r="BA3819" s="37"/>
      <c r="BB3819" s="37"/>
      <c r="BC3819" s="37"/>
      <c r="BD3819" s="37"/>
      <c r="BE3819" s="37"/>
      <c r="BF3819" s="37"/>
      <c r="BG3819" s="37"/>
      <c r="BH3819" s="37"/>
      <c r="BI3819" s="37"/>
      <c r="BJ3819" s="37"/>
      <c r="BK3819" s="37"/>
      <c r="BL3819" s="37"/>
      <c r="BM3819" s="37"/>
    </row>
    <row r="3820" spans="1:65" s="40" customFormat="1" ht="21" x14ac:dyDescent="0.35">
      <c r="A3820" s="37"/>
      <c r="B3820" s="37"/>
      <c r="C3820" s="41"/>
      <c r="D3820" s="38"/>
      <c r="E3820" s="38"/>
      <c r="F3820" s="42"/>
      <c r="G3820" s="43"/>
      <c r="H3820" s="37"/>
      <c r="I3820" s="37"/>
      <c r="J3820" s="38"/>
      <c r="K3820" s="37"/>
      <c r="L3820" s="38"/>
      <c r="M3820" s="39"/>
      <c r="P3820" s="37"/>
      <c r="Q3820" s="37"/>
      <c r="R3820" s="37"/>
      <c r="S3820" s="37"/>
      <c r="T3820" s="37"/>
      <c r="U3820" s="37"/>
      <c r="V3820" s="37"/>
      <c r="W3820" s="37"/>
      <c r="X3820" s="37"/>
      <c r="Y3820" s="37"/>
      <c r="Z3820" s="37"/>
      <c r="AA3820" s="37"/>
      <c r="AB3820" s="37"/>
      <c r="AC3820" s="37"/>
      <c r="AD3820" s="37"/>
      <c r="AE3820" s="37"/>
      <c r="AF3820" s="37"/>
      <c r="AG3820" s="37"/>
      <c r="AH3820" s="37"/>
      <c r="AI3820" s="37"/>
      <c r="AJ3820" s="37"/>
      <c r="AK3820" s="37"/>
      <c r="AL3820" s="37"/>
      <c r="AM3820" s="37"/>
      <c r="AN3820" s="37"/>
      <c r="AO3820" s="37"/>
      <c r="AP3820" s="37"/>
      <c r="AQ3820" s="37"/>
      <c r="AR3820" s="37"/>
      <c r="AS3820" s="37"/>
      <c r="AT3820" s="37"/>
      <c r="AU3820" s="37"/>
      <c r="AV3820" s="37"/>
      <c r="AW3820" s="37"/>
      <c r="AX3820" s="37"/>
      <c r="AY3820" s="37"/>
      <c r="AZ3820" s="37"/>
      <c r="BA3820" s="37"/>
      <c r="BB3820" s="37"/>
      <c r="BC3820" s="37"/>
      <c r="BD3820" s="37"/>
      <c r="BE3820" s="37"/>
      <c r="BF3820" s="37"/>
      <c r="BG3820" s="37"/>
      <c r="BH3820" s="37"/>
      <c r="BI3820" s="37"/>
      <c r="BJ3820" s="37"/>
      <c r="BK3820" s="37"/>
      <c r="BL3820" s="37"/>
      <c r="BM3820" s="37"/>
    </row>
    <row r="3821" spans="1:65" s="40" customFormat="1" ht="21" x14ac:dyDescent="0.35">
      <c r="A3821" s="37"/>
      <c r="B3821" s="37"/>
      <c r="C3821" s="41"/>
      <c r="D3821" s="38"/>
      <c r="E3821" s="38"/>
      <c r="F3821" s="42"/>
      <c r="G3821" s="43"/>
      <c r="H3821" s="37"/>
      <c r="I3821" s="37"/>
      <c r="J3821" s="38"/>
      <c r="K3821" s="37"/>
      <c r="L3821" s="38"/>
      <c r="M3821" s="39"/>
      <c r="P3821" s="37"/>
      <c r="Q3821" s="37"/>
      <c r="R3821" s="37"/>
      <c r="S3821" s="37"/>
      <c r="T3821" s="37"/>
      <c r="U3821" s="37"/>
      <c r="V3821" s="37"/>
      <c r="W3821" s="37"/>
      <c r="X3821" s="37"/>
      <c r="Y3821" s="37"/>
      <c r="Z3821" s="37"/>
      <c r="AA3821" s="37"/>
      <c r="AB3821" s="37"/>
      <c r="AC3821" s="37"/>
      <c r="AD3821" s="37"/>
      <c r="AE3821" s="37"/>
      <c r="AF3821" s="37"/>
      <c r="AG3821" s="37"/>
      <c r="AH3821" s="37"/>
      <c r="AI3821" s="37"/>
      <c r="AJ3821" s="37"/>
      <c r="AK3821" s="37"/>
      <c r="AL3821" s="37"/>
      <c r="AM3821" s="37"/>
      <c r="AN3821" s="37"/>
      <c r="AO3821" s="37"/>
      <c r="AP3821" s="37"/>
      <c r="AQ3821" s="37"/>
      <c r="AR3821" s="37"/>
      <c r="AS3821" s="37"/>
      <c r="AT3821" s="37"/>
      <c r="AU3821" s="37"/>
      <c r="AV3821" s="37"/>
      <c r="AW3821" s="37"/>
      <c r="AX3821" s="37"/>
      <c r="AY3821" s="37"/>
      <c r="AZ3821" s="37"/>
      <c r="BA3821" s="37"/>
      <c r="BB3821" s="37"/>
      <c r="BC3821" s="37"/>
      <c r="BD3821" s="37"/>
      <c r="BE3821" s="37"/>
      <c r="BF3821" s="37"/>
      <c r="BG3821" s="37"/>
      <c r="BH3821" s="37"/>
      <c r="BI3821" s="37"/>
      <c r="BJ3821" s="37"/>
      <c r="BK3821" s="37"/>
      <c r="BL3821" s="37"/>
      <c r="BM3821" s="37"/>
    </row>
    <row r="3822" spans="1:65" s="40" customFormat="1" ht="21" x14ac:dyDescent="0.35">
      <c r="A3822" s="37"/>
      <c r="B3822" s="37"/>
      <c r="C3822" s="41"/>
      <c r="D3822" s="38"/>
      <c r="E3822" s="38"/>
      <c r="F3822" s="42"/>
      <c r="G3822" s="43"/>
      <c r="H3822" s="37"/>
      <c r="I3822" s="37"/>
      <c r="J3822" s="38"/>
      <c r="K3822" s="37"/>
      <c r="L3822" s="38"/>
      <c r="M3822" s="39"/>
      <c r="P3822" s="37"/>
      <c r="Q3822" s="37"/>
      <c r="R3822" s="37"/>
      <c r="S3822" s="37"/>
      <c r="T3822" s="37"/>
      <c r="U3822" s="37"/>
      <c r="V3822" s="37"/>
      <c r="W3822" s="37"/>
      <c r="X3822" s="37"/>
      <c r="Y3822" s="37"/>
      <c r="Z3822" s="37"/>
      <c r="AA3822" s="37"/>
      <c r="AB3822" s="37"/>
      <c r="AC3822" s="37"/>
      <c r="AD3822" s="37"/>
      <c r="AE3822" s="37"/>
      <c r="AF3822" s="37"/>
      <c r="AG3822" s="37"/>
      <c r="AH3822" s="37"/>
      <c r="AI3822" s="37"/>
      <c r="AJ3822" s="37"/>
      <c r="AK3822" s="37"/>
      <c r="AL3822" s="37"/>
      <c r="AM3822" s="37"/>
      <c r="AN3822" s="37"/>
      <c r="AO3822" s="37"/>
      <c r="AP3822" s="37"/>
      <c r="AQ3822" s="37"/>
      <c r="AR3822" s="37"/>
      <c r="AS3822" s="37"/>
      <c r="AT3822" s="37"/>
      <c r="AU3822" s="37"/>
      <c r="AV3822" s="37"/>
      <c r="AW3822" s="37"/>
      <c r="AX3822" s="37"/>
      <c r="AY3822" s="37"/>
      <c r="AZ3822" s="37"/>
      <c r="BA3822" s="37"/>
      <c r="BB3822" s="37"/>
      <c r="BC3822" s="37"/>
      <c r="BD3822" s="37"/>
      <c r="BE3822" s="37"/>
      <c r="BF3822" s="37"/>
      <c r="BG3822" s="37"/>
      <c r="BH3822" s="37"/>
      <c r="BI3822" s="37"/>
      <c r="BJ3822" s="37"/>
      <c r="BK3822" s="37"/>
      <c r="BL3822" s="37"/>
      <c r="BM3822" s="37"/>
    </row>
    <row r="3823" spans="1:65" s="40" customFormat="1" ht="21" x14ac:dyDescent="0.35">
      <c r="A3823" s="37"/>
      <c r="B3823" s="37"/>
      <c r="C3823" s="41"/>
      <c r="D3823" s="38"/>
      <c r="E3823" s="38"/>
      <c r="F3823" s="42"/>
      <c r="G3823" s="43"/>
      <c r="H3823" s="37"/>
      <c r="I3823" s="37"/>
      <c r="J3823" s="38"/>
      <c r="K3823" s="37"/>
      <c r="L3823" s="38"/>
      <c r="M3823" s="39"/>
      <c r="P3823" s="37"/>
      <c r="Q3823" s="37"/>
      <c r="R3823" s="37"/>
      <c r="S3823" s="37"/>
      <c r="T3823" s="37"/>
      <c r="U3823" s="37"/>
      <c r="V3823" s="37"/>
      <c r="W3823" s="37"/>
      <c r="X3823" s="37"/>
      <c r="Y3823" s="37"/>
      <c r="Z3823" s="37"/>
      <c r="AA3823" s="37"/>
      <c r="AB3823" s="37"/>
      <c r="AC3823" s="37"/>
      <c r="AD3823" s="37"/>
      <c r="AE3823" s="37"/>
      <c r="AF3823" s="37"/>
      <c r="AG3823" s="37"/>
      <c r="AH3823" s="37"/>
      <c r="AI3823" s="37"/>
      <c r="AJ3823" s="37"/>
      <c r="AK3823" s="37"/>
      <c r="AL3823" s="37"/>
      <c r="AM3823" s="37"/>
      <c r="AN3823" s="37"/>
      <c r="AO3823" s="37"/>
      <c r="AP3823" s="37"/>
      <c r="AQ3823" s="37"/>
      <c r="AR3823" s="37"/>
      <c r="AS3823" s="37"/>
      <c r="AT3823" s="37"/>
      <c r="AU3823" s="37"/>
      <c r="AV3823" s="37"/>
      <c r="AW3823" s="37"/>
      <c r="AX3823" s="37"/>
      <c r="AY3823" s="37"/>
      <c r="AZ3823" s="37"/>
      <c r="BA3823" s="37"/>
      <c r="BB3823" s="37"/>
      <c r="BC3823" s="37"/>
      <c r="BD3823" s="37"/>
      <c r="BE3823" s="37"/>
      <c r="BF3823" s="37"/>
      <c r="BG3823" s="37"/>
      <c r="BH3823" s="37"/>
      <c r="BI3823" s="37"/>
      <c r="BJ3823" s="37"/>
      <c r="BK3823" s="37"/>
      <c r="BL3823" s="37"/>
      <c r="BM3823" s="37"/>
    </row>
    <row r="3824" spans="1:65" s="40" customFormat="1" ht="21" x14ac:dyDescent="0.35">
      <c r="A3824" s="37"/>
      <c r="B3824" s="37"/>
      <c r="C3824" s="41"/>
      <c r="D3824" s="38"/>
      <c r="E3824" s="38"/>
      <c r="F3824" s="42"/>
      <c r="G3824" s="43"/>
      <c r="H3824" s="37"/>
      <c r="I3824" s="37"/>
      <c r="J3824" s="38"/>
      <c r="K3824" s="37"/>
      <c r="L3824" s="38"/>
      <c r="M3824" s="39"/>
      <c r="P3824" s="37"/>
      <c r="Q3824" s="37"/>
      <c r="R3824" s="37"/>
      <c r="S3824" s="37"/>
      <c r="T3824" s="37"/>
      <c r="U3824" s="37"/>
      <c r="V3824" s="37"/>
      <c r="W3824" s="37"/>
      <c r="X3824" s="37"/>
      <c r="Y3824" s="37"/>
      <c r="Z3824" s="37"/>
      <c r="AA3824" s="37"/>
      <c r="AB3824" s="37"/>
      <c r="AC3824" s="37"/>
      <c r="AD3824" s="37"/>
      <c r="AE3824" s="37"/>
      <c r="AF3824" s="37"/>
      <c r="AG3824" s="37"/>
      <c r="AH3824" s="37"/>
      <c r="AI3824" s="37"/>
      <c r="AJ3824" s="37"/>
      <c r="AK3824" s="37"/>
      <c r="AL3824" s="37"/>
      <c r="AM3824" s="37"/>
      <c r="AN3824" s="37"/>
      <c r="AO3824" s="37"/>
      <c r="AP3824" s="37"/>
      <c r="AQ3824" s="37"/>
      <c r="AR3824" s="37"/>
      <c r="AS3824" s="37"/>
      <c r="AT3824" s="37"/>
      <c r="AU3824" s="37"/>
      <c r="AV3824" s="37"/>
      <c r="AW3824" s="37"/>
      <c r="AX3824" s="37"/>
      <c r="AY3824" s="37"/>
      <c r="AZ3824" s="37"/>
      <c r="BA3824" s="37"/>
      <c r="BB3824" s="37"/>
      <c r="BC3824" s="37"/>
      <c r="BD3824" s="37"/>
      <c r="BE3824" s="37"/>
      <c r="BF3824" s="37"/>
      <c r="BG3824" s="37"/>
      <c r="BH3824" s="37"/>
      <c r="BI3824" s="37"/>
      <c r="BJ3824" s="37"/>
      <c r="BK3824" s="37"/>
      <c r="BL3824" s="37"/>
      <c r="BM3824" s="37"/>
    </row>
    <row r="3825" spans="1:65" s="40" customFormat="1" ht="21" x14ac:dyDescent="0.35">
      <c r="A3825" s="37"/>
      <c r="B3825" s="37"/>
      <c r="C3825" s="41"/>
      <c r="D3825" s="38"/>
      <c r="E3825" s="38"/>
      <c r="F3825" s="42"/>
      <c r="G3825" s="43"/>
      <c r="H3825" s="37"/>
      <c r="I3825" s="37"/>
      <c r="J3825" s="38"/>
      <c r="K3825" s="37"/>
      <c r="L3825" s="38"/>
      <c r="M3825" s="39"/>
      <c r="P3825" s="37"/>
      <c r="Q3825" s="37"/>
      <c r="R3825" s="37"/>
      <c r="S3825" s="37"/>
      <c r="T3825" s="37"/>
      <c r="U3825" s="37"/>
      <c r="V3825" s="37"/>
      <c r="W3825" s="37"/>
      <c r="X3825" s="37"/>
      <c r="Y3825" s="37"/>
      <c r="Z3825" s="37"/>
      <c r="AA3825" s="37"/>
      <c r="AB3825" s="37"/>
      <c r="AC3825" s="37"/>
      <c r="AD3825" s="37"/>
      <c r="AE3825" s="37"/>
      <c r="AF3825" s="37"/>
      <c r="AG3825" s="37"/>
      <c r="AH3825" s="37"/>
      <c r="AI3825" s="37"/>
      <c r="AJ3825" s="37"/>
      <c r="AK3825" s="37"/>
      <c r="AL3825" s="37"/>
      <c r="AM3825" s="37"/>
      <c r="AN3825" s="37"/>
      <c r="AO3825" s="37"/>
      <c r="AP3825" s="37"/>
      <c r="AQ3825" s="37"/>
      <c r="AR3825" s="37"/>
      <c r="AS3825" s="37"/>
      <c r="AT3825" s="37"/>
      <c r="AU3825" s="37"/>
      <c r="AV3825" s="37"/>
      <c r="AW3825" s="37"/>
      <c r="AX3825" s="37"/>
      <c r="AY3825" s="37"/>
      <c r="AZ3825" s="37"/>
      <c r="BA3825" s="37"/>
      <c r="BB3825" s="37"/>
      <c r="BC3825" s="37"/>
      <c r="BD3825" s="37"/>
      <c r="BE3825" s="37"/>
      <c r="BF3825" s="37"/>
      <c r="BG3825" s="37"/>
      <c r="BH3825" s="37"/>
      <c r="BI3825" s="37"/>
      <c r="BJ3825" s="37"/>
      <c r="BK3825" s="37"/>
      <c r="BL3825" s="37"/>
      <c r="BM3825" s="37"/>
    </row>
    <row r="3826" spans="1:65" s="40" customFormat="1" ht="21" x14ac:dyDescent="0.35">
      <c r="A3826" s="37"/>
      <c r="B3826" s="37"/>
      <c r="C3826" s="41"/>
      <c r="D3826" s="38"/>
      <c r="E3826" s="38"/>
      <c r="F3826" s="42"/>
      <c r="G3826" s="43"/>
      <c r="H3826" s="37"/>
      <c r="I3826" s="37"/>
      <c r="J3826" s="38"/>
      <c r="K3826" s="37"/>
      <c r="L3826" s="38"/>
      <c r="M3826" s="39"/>
      <c r="P3826" s="37"/>
      <c r="Q3826" s="37"/>
      <c r="R3826" s="37"/>
      <c r="S3826" s="37"/>
      <c r="T3826" s="37"/>
      <c r="U3826" s="37"/>
      <c r="V3826" s="37"/>
      <c r="W3826" s="37"/>
      <c r="X3826" s="37"/>
      <c r="Y3826" s="37"/>
      <c r="Z3826" s="37"/>
      <c r="AA3826" s="37"/>
      <c r="AB3826" s="37"/>
      <c r="AC3826" s="37"/>
      <c r="AD3826" s="37"/>
      <c r="AE3826" s="37"/>
      <c r="AF3826" s="37"/>
      <c r="AG3826" s="37"/>
      <c r="AH3826" s="37"/>
      <c r="AI3826" s="37"/>
      <c r="AJ3826" s="37"/>
      <c r="AK3826" s="37"/>
      <c r="AL3826" s="37"/>
      <c r="AM3826" s="37"/>
      <c r="AN3826" s="37"/>
      <c r="AO3826" s="37"/>
      <c r="AP3826" s="37"/>
      <c r="AQ3826" s="37"/>
      <c r="AR3826" s="37"/>
      <c r="AS3826" s="37"/>
      <c r="AT3826" s="37"/>
      <c r="AU3826" s="37"/>
      <c r="AV3826" s="37"/>
      <c r="AW3826" s="37"/>
      <c r="AX3826" s="37"/>
      <c r="AY3826" s="37"/>
      <c r="AZ3826" s="37"/>
      <c r="BA3826" s="37"/>
      <c r="BB3826" s="37"/>
      <c r="BC3826" s="37"/>
      <c r="BD3826" s="37"/>
      <c r="BE3826" s="37"/>
      <c r="BF3826" s="37"/>
      <c r="BG3826" s="37"/>
      <c r="BH3826" s="37"/>
      <c r="BI3826" s="37"/>
      <c r="BJ3826" s="37"/>
      <c r="BK3826" s="37"/>
      <c r="BL3826" s="37"/>
      <c r="BM3826" s="37"/>
    </row>
    <row r="3827" spans="1:65" s="40" customFormat="1" ht="21" x14ac:dyDescent="0.35">
      <c r="A3827" s="37"/>
      <c r="B3827" s="37"/>
      <c r="C3827" s="41"/>
      <c r="D3827" s="38"/>
      <c r="E3827" s="38"/>
      <c r="F3827" s="42"/>
      <c r="G3827" s="43"/>
      <c r="H3827" s="37"/>
      <c r="I3827" s="37"/>
      <c r="J3827" s="38"/>
      <c r="K3827" s="37"/>
      <c r="L3827" s="38"/>
      <c r="M3827" s="39"/>
      <c r="P3827" s="37"/>
      <c r="Q3827" s="37"/>
      <c r="R3827" s="37"/>
      <c r="S3827" s="37"/>
      <c r="T3827" s="37"/>
      <c r="U3827" s="37"/>
      <c r="V3827" s="37"/>
      <c r="W3827" s="37"/>
      <c r="X3827" s="37"/>
      <c r="Y3827" s="37"/>
      <c r="Z3827" s="37"/>
      <c r="AA3827" s="37"/>
      <c r="AB3827" s="37"/>
      <c r="AC3827" s="37"/>
      <c r="AD3827" s="37"/>
      <c r="AE3827" s="37"/>
      <c r="AF3827" s="37"/>
      <c r="AG3827" s="37"/>
      <c r="AH3827" s="37"/>
      <c r="AI3827" s="37"/>
      <c r="AJ3827" s="37"/>
      <c r="AK3827" s="37"/>
      <c r="AL3827" s="37"/>
      <c r="AM3827" s="37"/>
      <c r="AN3827" s="37"/>
      <c r="AO3827" s="37"/>
      <c r="AP3827" s="37"/>
      <c r="AQ3827" s="37"/>
      <c r="AR3827" s="37"/>
      <c r="AS3827" s="37"/>
      <c r="AT3827" s="37"/>
      <c r="AU3827" s="37"/>
      <c r="AV3827" s="37"/>
      <c r="AW3827" s="37"/>
      <c r="AX3827" s="37"/>
      <c r="AY3827" s="37"/>
      <c r="AZ3827" s="37"/>
      <c r="BA3827" s="37"/>
      <c r="BB3827" s="37"/>
      <c r="BC3827" s="37"/>
      <c r="BD3827" s="37"/>
      <c r="BE3827" s="37"/>
      <c r="BF3827" s="37"/>
      <c r="BG3827" s="37"/>
      <c r="BH3827" s="37"/>
      <c r="BI3827" s="37"/>
      <c r="BJ3827" s="37"/>
      <c r="BK3827" s="37"/>
      <c r="BL3827" s="37"/>
      <c r="BM3827" s="37"/>
    </row>
    <row r="3828" spans="1:65" s="40" customFormat="1" ht="21" x14ac:dyDescent="0.35">
      <c r="A3828" s="37"/>
      <c r="B3828" s="37"/>
      <c r="C3828" s="41"/>
      <c r="D3828" s="38"/>
      <c r="E3828" s="38"/>
      <c r="F3828" s="42"/>
      <c r="G3828" s="43"/>
      <c r="H3828" s="37"/>
      <c r="I3828" s="37"/>
      <c r="J3828" s="38"/>
      <c r="K3828" s="37"/>
      <c r="L3828" s="38"/>
      <c r="M3828" s="39"/>
      <c r="P3828" s="37"/>
      <c r="Q3828" s="37"/>
      <c r="R3828" s="37"/>
      <c r="S3828" s="37"/>
      <c r="T3828" s="37"/>
      <c r="U3828" s="37"/>
      <c r="V3828" s="37"/>
      <c r="W3828" s="37"/>
      <c r="X3828" s="37"/>
      <c r="Y3828" s="37"/>
      <c r="Z3828" s="37"/>
      <c r="AA3828" s="37"/>
      <c r="AB3828" s="37"/>
      <c r="AC3828" s="37"/>
      <c r="AD3828" s="37"/>
      <c r="AE3828" s="37"/>
      <c r="AF3828" s="37"/>
      <c r="AG3828" s="37"/>
      <c r="AH3828" s="37"/>
      <c r="AI3828" s="37"/>
      <c r="AJ3828" s="37"/>
      <c r="AK3828" s="37"/>
      <c r="AL3828" s="37"/>
      <c r="AM3828" s="37"/>
      <c r="AN3828" s="37"/>
      <c r="AO3828" s="37"/>
      <c r="AP3828" s="37"/>
      <c r="AQ3828" s="37"/>
      <c r="AR3828" s="37"/>
      <c r="AS3828" s="37"/>
      <c r="AT3828" s="37"/>
      <c r="AU3828" s="37"/>
      <c r="AV3828" s="37"/>
      <c r="AW3828" s="37"/>
      <c r="AX3828" s="37"/>
      <c r="AY3828" s="37"/>
      <c r="AZ3828" s="37"/>
      <c r="BA3828" s="37"/>
      <c r="BB3828" s="37"/>
      <c r="BC3828" s="37"/>
      <c r="BD3828" s="37"/>
      <c r="BE3828" s="37"/>
      <c r="BF3828" s="37"/>
      <c r="BG3828" s="37"/>
      <c r="BH3828" s="37"/>
      <c r="BI3828" s="37"/>
      <c r="BJ3828" s="37"/>
      <c r="BK3828" s="37"/>
      <c r="BL3828" s="37"/>
      <c r="BM3828" s="37"/>
    </row>
    <row r="3829" spans="1:65" s="40" customFormat="1" ht="21" x14ac:dyDescent="0.35">
      <c r="A3829" s="37"/>
      <c r="B3829" s="37"/>
      <c r="C3829" s="41"/>
      <c r="D3829" s="38"/>
      <c r="E3829" s="38"/>
      <c r="F3829" s="42"/>
      <c r="G3829" s="43"/>
      <c r="H3829" s="37"/>
      <c r="I3829" s="37"/>
      <c r="J3829" s="38"/>
      <c r="K3829" s="37"/>
      <c r="L3829" s="38"/>
      <c r="M3829" s="39"/>
      <c r="P3829" s="37"/>
      <c r="Q3829" s="37"/>
      <c r="R3829" s="37"/>
      <c r="S3829" s="37"/>
      <c r="T3829" s="37"/>
      <c r="U3829" s="37"/>
      <c r="V3829" s="37"/>
      <c r="W3829" s="37"/>
      <c r="X3829" s="37"/>
      <c r="Y3829" s="37"/>
      <c r="Z3829" s="37"/>
      <c r="AA3829" s="37"/>
      <c r="AB3829" s="37"/>
      <c r="AC3829" s="37"/>
      <c r="AD3829" s="37"/>
      <c r="AE3829" s="37"/>
      <c r="AF3829" s="37"/>
      <c r="AG3829" s="37"/>
      <c r="AH3829" s="37"/>
      <c r="AI3829" s="37"/>
      <c r="AJ3829" s="37"/>
      <c r="AK3829" s="37"/>
      <c r="AL3829" s="37"/>
      <c r="AM3829" s="37"/>
      <c r="AN3829" s="37"/>
      <c r="AO3829" s="37"/>
      <c r="AP3829" s="37"/>
      <c r="AQ3829" s="37"/>
      <c r="AR3829" s="37"/>
      <c r="AS3829" s="37"/>
      <c r="AT3829" s="37"/>
      <c r="AU3829" s="37"/>
      <c r="AV3829" s="37"/>
      <c r="AW3829" s="37"/>
      <c r="AX3829" s="37"/>
      <c r="AY3829" s="37"/>
      <c r="AZ3829" s="37"/>
      <c r="BA3829" s="37"/>
      <c r="BB3829" s="37"/>
      <c r="BC3829" s="37"/>
      <c r="BD3829" s="37"/>
      <c r="BE3829" s="37"/>
      <c r="BF3829" s="37"/>
      <c r="BG3829" s="37"/>
      <c r="BH3829" s="37"/>
      <c r="BI3829" s="37"/>
      <c r="BJ3829" s="37"/>
      <c r="BK3829" s="37"/>
      <c r="BL3829" s="37"/>
      <c r="BM3829" s="37"/>
    </row>
    <row r="3830" spans="1:65" s="40" customFormat="1" ht="21" x14ac:dyDescent="0.35">
      <c r="A3830" s="37"/>
      <c r="B3830" s="37"/>
      <c r="C3830" s="41"/>
      <c r="D3830" s="38"/>
      <c r="E3830" s="38"/>
      <c r="F3830" s="42"/>
      <c r="G3830" s="43"/>
      <c r="H3830" s="37"/>
      <c r="I3830" s="37"/>
      <c r="J3830" s="38"/>
      <c r="K3830" s="37"/>
      <c r="L3830" s="38"/>
      <c r="M3830" s="39"/>
      <c r="P3830" s="37"/>
      <c r="Q3830" s="37"/>
      <c r="R3830" s="37"/>
      <c r="S3830" s="37"/>
      <c r="T3830" s="37"/>
      <c r="U3830" s="37"/>
      <c r="V3830" s="37"/>
      <c r="W3830" s="37"/>
      <c r="X3830" s="37"/>
      <c r="Y3830" s="37"/>
      <c r="Z3830" s="37"/>
      <c r="AA3830" s="37"/>
      <c r="AB3830" s="37"/>
      <c r="AC3830" s="37"/>
      <c r="AD3830" s="37"/>
      <c r="AE3830" s="37"/>
      <c r="AF3830" s="37"/>
      <c r="AG3830" s="37"/>
      <c r="AH3830" s="37"/>
      <c r="AI3830" s="37"/>
      <c r="AJ3830" s="37"/>
      <c r="AK3830" s="37"/>
      <c r="AL3830" s="37"/>
      <c r="AM3830" s="37"/>
      <c r="AN3830" s="37"/>
      <c r="AO3830" s="37"/>
      <c r="AP3830" s="37"/>
      <c r="AQ3830" s="37"/>
      <c r="AR3830" s="37"/>
      <c r="AS3830" s="37"/>
      <c r="AT3830" s="37"/>
      <c r="AU3830" s="37"/>
      <c r="AV3830" s="37"/>
      <c r="AW3830" s="37"/>
      <c r="AX3830" s="37"/>
      <c r="AY3830" s="37"/>
      <c r="AZ3830" s="37"/>
      <c r="BA3830" s="37"/>
      <c r="BB3830" s="37"/>
      <c r="BC3830" s="37"/>
      <c r="BD3830" s="37"/>
      <c r="BE3830" s="37"/>
      <c r="BF3830" s="37"/>
      <c r="BG3830" s="37"/>
      <c r="BH3830" s="37"/>
      <c r="BI3830" s="37"/>
      <c r="BJ3830" s="37"/>
      <c r="BK3830" s="37"/>
      <c r="BL3830" s="37"/>
      <c r="BM3830" s="37"/>
    </row>
    <row r="3831" spans="1:65" s="40" customFormat="1" ht="21" x14ac:dyDescent="0.35">
      <c r="A3831" s="37"/>
      <c r="B3831" s="37"/>
      <c r="C3831" s="41"/>
      <c r="D3831" s="38"/>
      <c r="E3831" s="38"/>
      <c r="F3831" s="42"/>
      <c r="G3831" s="43"/>
      <c r="H3831" s="37"/>
      <c r="I3831" s="37"/>
      <c r="J3831" s="38"/>
      <c r="K3831" s="37"/>
      <c r="L3831" s="38"/>
      <c r="M3831" s="39"/>
      <c r="P3831" s="37"/>
      <c r="Q3831" s="37"/>
      <c r="R3831" s="37"/>
      <c r="S3831" s="37"/>
      <c r="T3831" s="37"/>
      <c r="U3831" s="37"/>
      <c r="V3831" s="37"/>
      <c r="W3831" s="37"/>
      <c r="X3831" s="37"/>
      <c r="Y3831" s="37"/>
      <c r="Z3831" s="37"/>
      <c r="AA3831" s="37"/>
      <c r="AB3831" s="37"/>
      <c r="AC3831" s="37"/>
      <c r="AD3831" s="37"/>
      <c r="AE3831" s="37"/>
      <c r="AF3831" s="37"/>
      <c r="AG3831" s="37"/>
      <c r="AH3831" s="37"/>
      <c r="AI3831" s="37"/>
      <c r="AJ3831" s="37"/>
      <c r="AK3831" s="37"/>
      <c r="AL3831" s="37"/>
      <c r="AM3831" s="37"/>
      <c r="AN3831" s="37"/>
      <c r="AO3831" s="37"/>
      <c r="AP3831" s="37"/>
      <c r="AQ3831" s="37"/>
      <c r="AR3831" s="37"/>
      <c r="AS3831" s="37"/>
      <c r="AT3831" s="37"/>
      <c r="AU3831" s="37"/>
      <c r="AV3831" s="37"/>
      <c r="AW3831" s="37"/>
      <c r="AX3831" s="37"/>
      <c r="AY3831" s="37"/>
      <c r="AZ3831" s="37"/>
      <c r="BA3831" s="37"/>
      <c r="BB3831" s="37"/>
      <c r="BC3831" s="37"/>
      <c r="BD3831" s="37"/>
      <c r="BE3831" s="37"/>
      <c r="BF3831" s="37"/>
      <c r="BG3831" s="37"/>
      <c r="BH3831" s="37"/>
      <c r="BI3831" s="37"/>
      <c r="BJ3831" s="37"/>
      <c r="BK3831" s="37"/>
      <c r="BL3831" s="37"/>
      <c r="BM3831" s="37"/>
    </row>
    <row r="3832" spans="1:65" s="40" customFormat="1" ht="21" x14ac:dyDescent="0.35">
      <c r="A3832" s="37"/>
      <c r="B3832" s="37"/>
      <c r="C3832" s="41"/>
      <c r="D3832" s="38"/>
      <c r="E3832" s="38"/>
      <c r="F3832" s="42"/>
      <c r="G3832" s="43"/>
      <c r="H3832" s="37"/>
      <c r="I3832" s="37"/>
      <c r="J3832" s="38"/>
      <c r="K3832" s="37"/>
      <c r="L3832" s="38"/>
      <c r="M3832" s="39"/>
      <c r="P3832" s="37"/>
      <c r="Q3832" s="37"/>
      <c r="R3832" s="37"/>
      <c r="S3832" s="37"/>
      <c r="T3832" s="37"/>
      <c r="U3832" s="37"/>
      <c r="V3832" s="37"/>
      <c r="W3832" s="37"/>
      <c r="X3832" s="37"/>
      <c r="Y3832" s="37"/>
      <c r="Z3832" s="37"/>
      <c r="AA3832" s="37"/>
      <c r="AB3832" s="37"/>
      <c r="AC3832" s="37"/>
      <c r="AD3832" s="37"/>
      <c r="AE3832" s="37"/>
      <c r="AF3832" s="37"/>
      <c r="AG3832" s="37"/>
      <c r="AH3832" s="37"/>
      <c r="AI3832" s="37"/>
      <c r="AJ3832" s="37"/>
      <c r="AK3832" s="37"/>
      <c r="AL3832" s="37"/>
      <c r="AM3832" s="37"/>
      <c r="AN3832" s="37"/>
      <c r="AO3832" s="37"/>
      <c r="AP3832" s="37"/>
      <c r="AQ3832" s="37"/>
      <c r="AR3832" s="37"/>
      <c r="AS3832" s="37"/>
      <c r="AT3832" s="37"/>
      <c r="AU3832" s="37"/>
      <c r="AV3832" s="37"/>
      <c r="AW3832" s="37"/>
      <c r="AX3832" s="37"/>
      <c r="AY3832" s="37"/>
      <c r="AZ3832" s="37"/>
      <c r="BA3832" s="37"/>
      <c r="BB3832" s="37"/>
      <c r="BC3832" s="37"/>
      <c r="BD3832" s="37"/>
      <c r="BE3832" s="37"/>
      <c r="BF3832" s="37"/>
      <c r="BG3832" s="37"/>
      <c r="BH3832" s="37"/>
      <c r="BI3832" s="37"/>
      <c r="BJ3832" s="37"/>
      <c r="BK3832" s="37"/>
      <c r="BL3832" s="37"/>
      <c r="BM3832" s="37"/>
    </row>
    <row r="3833" spans="1:65" s="40" customFormat="1" ht="21" x14ac:dyDescent="0.35">
      <c r="A3833" s="37"/>
      <c r="B3833" s="37"/>
      <c r="C3833" s="41"/>
      <c r="D3833" s="38"/>
      <c r="E3833" s="38"/>
      <c r="F3833" s="42"/>
      <c r="G3833" s="43"/>
      <c r="H3833" s="37"/>
      <c r="I3833" s="37"/>
      <c r="J3833" s="38"/>
      <c r="K3833" s="37"/>
      <c r="L3833" s="38"/>
      <c r="M3833" s="39"/>
      <c r="P3833" s="37"/>
      <c r="Q3833" s="37"/>
      <c r="R3833" s="37"/>
      <c r="S3833" s="37"/>
      <c r="T3833" s="37"/>
      <c r="U3833" s="37"/>
      <c r="V3833" s="37"/>
      <c r="W3833" s="37"/>
      <c r="X3833" s="37"/>
      <c r="Y3833" s="37"/>
      <c r="Z3833" s="37"/>
      <c r="AA3833" s="37"/>
      <c r="AB3833" s="37"/>
      <c r="AC3833" s="37"/>
      <c r="AD3833" s="37"/>
      <c r="AE3833" s="37"/>
      <c r="AF3833" s="37"/>
      <c r="AG3833" s="37"/>
      <c r="AH3833" s="37"/>
      <c r="AI3833" s="37"/>
      <c r="AJ3833" s="37"/>
      <c r="AK3833" s="37"/>
      <c r="AL3833" s="37"/>
      <c r="AM3833" s="37"/>
      <c r="AN3833" s="37"/>
      <c r="AO3833" s="37"/>
      <c r="AP3833" s="37"/>
      <c r="AQ3833" s="37"/>
      <c r="AR3833" s="37"/>
      <c r="AS3833" s="37"/>
      <c r="AT3833" s="37"/>
      <c r="AU3833" s="37"/>
      <c r="AV3833" s="37"/>
      <c r="AW3833" s="37"/>
      <c r="AX3833" s="37"/>
      <c r="AY3833" s="37"/>
      <c r="AZ3833" s="37"/>
      <c r="BA3833" s="37"/>
      <c r="BB3833" s="37"/>
      <c r="BC3833" s="37"/>
      <c r="BD3833" s="37"/>
      <c r="BE3833" s="37"/>
      <c r="BF3833" s="37"/>
      <c r="BG3833" s="37"/>
      <c r="BH3833" s="37"/>
      <c r="BI3833" s="37"/>
      <c r="BJ3833" s="37"/>
      <c r="BK3833" s="37"/>
      <c r="BL3833" s="37"/>
      <c r="BM3833" s="37"/>
    </row>
    <row r="3834" spans="1:65" s="40" customFormat="1" ht="21" x14ac:dyDescent="0.35">
      <c r="A3834" s="37"/>
      <c r="B3834" s="37"/>
      <c r="C3834" s="41"/>
      <c r="D3834" s="38"/>
      <c r="E3834" s="38"/>
      <c r="F3834" s="42"/>
      <c r="G3834" s="43"/>
      <c r="H3834" s="37"/>
      <c r="I3834" s="37"/>
      <c r="J3834" s="38"/>
      <c r="K3834" s="37"/>
      <c r="L3834" s="38"/>
      <c r="M3834" s="39"/>
      <c r="P3834" s="37"/>
      <c r="Q3834" s="37"/>
      <c r="R3834" s="37"/>
      <c r="S3834" s="37"/>
      <c r="T3834" s="37"/>
      <c r="U3834" s="37"/>
      <c r="V3834" s="37"/>
      <c r="W3834" s="37"/>
      <c r="X3834" s="37"/>
      <c r="Y3834" s="37"/>
      <c r="Z3834" s="37"/>
      <c r="AA3834" s="37"/>
      <c r="AB3834" s="37"/>
      <c r="AC3834" s="37"/>
      <c r="AD3834" s="37"/>
      <c r="AE3834" s="37"/>
      <c r="AF3834" s="37"/>
      <c r="AG3834" s="37"/>
      <c r="AH3834" s="37"/>
      <c r="AI3834" s="37"/>
      <c r="AJ3834" s="37"/>
      <c r="AK3834" s="37"/>
      <c r="AL3834" s="37"/>
      <c r="AM3834" s="37"/>
      <c r="AN3834" s="37"/>
      <c r="AO3834" s="37"/>
      <c r="AP3834" s="37"/>
      <c r="AQ3834" s="37"/>
      <c r="AR3834" s="37"/>
      <c r="AS3834" s="37"/>
      <c r="AT3834" s="37"/>
      <c r="AU3834" s="37"/>
      <c r="AV3834" s="37"/>
      <c r="AW3834" s="37"/>
      <c r="AX3834" s="37"/>
      <c r="AY3834" s="37"/>
      <c r="AZ3834" s="37"/>
      <c r="BA3834" s="37"/>
      <c r="BB3834" s="37"/>
      <c r="BC3834" s="37"/>
      <c r="BD3834" s="37"/>
      <c r="BE3834" s="37"/>
      <c r="BF3834" s="37"/>
      <c r="BG3834" s="37"/>
      <c r="BH3834" s="37"/>
      <c r="BI3834" s="37"/>
      <c r="BJ3834" s="37"/>
      <c r="BK3834" s="37"/>
      <c r="BL3834" s="37"/>
      <c r="BM3834" s="37"/>
    </row>
    <row r="3835" spans="1:65" s="40" customFormat="1" ht="21" x14ac:dyDescent="0.35">
      <c r="A3835" s="37"/>
      <c r="B3835" s="37"/>
      <c r="C3835" s="41"/>
      <c r="D3835" s="38"/>
      <c r="E3835" s="38"/>
      <c r="F3835" s="42"/>
      <c r="G3835" s="43"/>
      <c r="H3835" s="37"/>
      <c r="I3835" s="37"/>
      <c r="J3835" s="38"/>
      <c r="K3835" s="37"/>
      <c r="L3835" s="38"/>
      <c r="M3835" s="39"/>
      <c r="P3835" s="37"/>
      <c r="Q3835" s="37"/>
      <c r="R3835" s="37"/>
      <c r="S3835" s="37"/>
      <c r="T3835" s="37"/>
      <c r="U3835" s="37"/>
      <c r="V3835" s="37"/>
      <c r="W3835" s="37"/>
      <c r="X3835" s="37"/>
      <c r="Y3835" s="37"/>
      <c r="Z3835" s="37"/>
      <c r="AA3835" s="37"/>
      <c r="AB3835" s="37"/>
      <c r="AC3835" s="37"/>
      <c r="AD3835" s="37"/>
      <c r="AE3835" s="37"/>
      <c r="AF3835" s="37"/>
      <c r="AG3835" s="37"/>
      <c r="AH3835" s="37"/>
      <c r="AI3835" s="37"/>
      <c r="AJ3835" s="37"/>
      <c r="AK3835" s="37"/>
      <c r="AL3835" s="37"/>
      <c r="AM3835" s="37"/>
      <c r="AN3835" s="37"/>
      <c r="AO3835" s="37"/>
      <c r="AP3835" s="37"/>
      <c r="AQ3835" s="37"/>
      <c r="AR3835" s="37"/>
      <c r="AS3835" s="37"/>
      <c r="AT3835" s="37"/>
      <c r="AU3835" s="37"/>
      <c r="AV3835" s="37"/>
      <c r="AW3835" s="37"/>
      <c r="AX3835" s="37"/>
      <c r="AY3835" s="37"/>
      <c r="AZ3835" s="37"/>
      <c r="BA3835" s="37"/>
      <c r="BB3835" s="37"/>
      <c r="BC3835" s="37"/>
      <c r="BD3835" s="37"/>
      <c r="BE3835" s="37"/>
      <c r="BF3835" s="37"/>
      <c r="BG3835" s="37"/>
      <c r="BH3835" s="37"/>
      <c r="BI3835" s="37"/>
      <c r="BJ3835" s="37"/>
      <c r="BK3835" s="37"/>
      <c r="BL3835" s="37"/>
      <c r="BM3835" s="37"/>
    </row>
    <row r="3836" spans="1:65" s="40" customFormat="1" ht="21" x14ac:dyDescent="0.35">
      <c r="A3836" s="37"/>
      <c r="B3836" s="37"/>
      <c r="C3836" s="41"/>
      <c r="D3836" s="38"/>
      <c r="E3836" s="38"/>
      <c r="F3836" s="42"/>
      <c r="G3836" s="43"/>
      <c r="H3836" s="37"/>
      <c r="I3836" s="37"/>
      <c r="J3836" s="38"/>
      <c r="K3836" s="37"/>
      <c r="L3836" s="38"/>
      <c r="M3836" s="39"/>
      <c r="P3836" s="37"/>
      <c r="Q3836" s="37"/>
      <c r="R3836" s="37"/>
      <c r="S3836" s="37"/>
      <c r="T3836" s="37"/>
      <c r="U3836" s="37"/>
      <c r="V3836" s="37"/>
      <c r="W3836" s="37"/>
      <c r="X3836" s="37"/>
      <c r="Y3836" s="37"/>
      <c r="Z3836" s="37"/>
      <c r="AA3836" s="37"/>
      <c r="AB3836" s="37"/>
      <c r="AC3836" s="37"/>
      <c r="AD3836" s="37"/>
      <c r="AE3836" s="37"/>
      <c r="AF3836" s="37"/>
      <c r="AG3836" s="37"/>
      <c r="AH3836" s="37"/>
      <c r="AI3836" s="37"/>
      <c r="AJ3836" s="37"/>
      <c r="AK3836" s="37"/>
      <c r="AL3836" s="37"/>
      <c r="AM3836" s="37"/>
      <c r="AN3836" s="37"/>
      <c r="AO3836" s="37"/>
      <c r="AP3836" s="37"/>
      <c r="AQ3836" s="37"/>
      <c r="AR3836" s="37"/>
      <c r="AS3836" s="37"/>
      <c r="AT3836" s="37"/>
      <c r="AU3836" s="37"/>
      <c r="AV3836" s="37"/>
      <c r="AW3836" s="37"/>
      <c r="AX3836" s="37"/>
      <c r="AY3836" s="37"/>
      <c r="AZ3836" s="37"/>
      <c r="BA3836" s="37"/>
      <c r="BB3836" s="37"/>
      <c r="BC3836" s="37"/>
      <c r="BD3836" s="37"/>
      <c r="BE3836" s="37"/>
      <c r="BF3836" s="37"/>
      <c r="BG3836" s="37"/>
      <c r="BH3836" s="37"/>
      <c r="BI3836" s="37"/>
      <c r="BJ3836" s="37"/>
      <c r="BK3836" s="37"/>
      <c r="BL3836" s="37"/>
      <c r="BM3836" s="37"/>
    </row>
    <row r="3837" spans="1:65" s="40" customFormat="1" ht="21" x14ac:dyDescent="0.35">
      <c r="A3837" s="37"/>
      <c r="B3837" s="37"/>
      <c r="C3837" s="41"/>
      <c r="D3837" s="38"/>
      <c r="E3837" s="38"/>
      <c r="F3837" s="42"/>
      <c r="G3837" s="43"/>
      <c r="H3837" s="37"/>
      <c r="I3837" s="37"/>
      <c r="J3837" s="38"/>
      <c r="K3837" s="37"/>
      <c r="L3837" s="38"/>
      <c r="M3837" s="39"/>
      <c r="P3837" s="37"/>
      <c r="Q3837" s="37"/>
      <c r="R3837" s="37"/>
      <c r="S3837" s="37"/>
      <c r="T3837" s="37"/>
      <c r="U3837" s="37"/>
      <c r="V3837" s="37"/>
      <c r="W3837" s="37"/>
      <c r="X3837" s="37"/>
      <c r="Y3837" s="37"/>
      <c r="Z3837" s="37"/>
      <c r="AA3837" s="37"/>
      <c r="AB3837" s="37"/>
      <c r="AC3837" s="37"/>
      <c r="AD3837" s="37"/>
      <c r="AE3837" s="37"/>
      <c r="AF3837" s="37"/>
      <c r="AG3837" s="37"/>
      <c r="AH3837" s="37"/>
      <c r="AI3837" s="37"/>
      <c r="AJ3837" s="37"/>
      <c r="AK3837" s="37"/>
      <c r="AL3837" s="37"/>
      <c r="AM3837" s="37"/>
      <c r="AN3837" s="37"/>
      <c r="AO3837" s="37"/>
      <c r="AP3837" s="37"/>
      <c r="AQ3837" s="37"/>
      <c r="AR3837" s="37"/>
      <c r="AS3837" s="37"/>
      <c r="AT3837" s="37"/>
      <c r="AU3837" s="37"/>
      <c r="AV3837" s="37"/>
      <c r="AW3837" s="37"/>
      <c r="AX3837" s="37"/>
      <c r="AY3837" s="37"/>
      <c r="AZ3837" s="37"/>
      <c r="BA3837" s="37"/>
      <c r="BB3837" s="37"/>
      <c r="BC3837" s="37"/>
      <c r="BD3837" s="37"/>
      <c r="BE3837" s="37"/>
      <c r="BF3837" s="37"/>
      <c r="BG3837" s="37"/>
      <c r="BH3837" s="37"/>
      <c r="BI3837" s="37"/>
      <c r="BJ3837" s="37"/>
      <c r="BK3837" s="37"/>
      <c r="BL3837" s="37"/>
      <c r="BM3837" s="37"/>
    </row>
    <row r="3838" spans="1:65" s="40" customFormat="1" ht="21" x14ac:dyDescent="0.35">
      <c r="A3838" s="37"/>
      <c r="B3838" s="37"/>
      <c r="C3838" s="41"/>
      <c r="D3838" s="38"/>
      <c r="E3838" s="38"/>
      <c r="F3838" s="42"/>
      <c r="G3838" s="43"/>
      <c r="H3838" s="37"/>
      <c r="I3838" s="37"/>
      <c r="J3838" s="38"/>
      <c r="K3838" s="37"/>
      <c r="L3838" s="38"/>
      <c r="M3838" s="39"/>
      <c r="P3838" s="37"/>
      <c r="Q3838" s="37"/>
      <c r="R3838" s="37"/>
      <c r="S3838" s="37"/>
      <c r="T3838" s="37"/>
      <c r="U3838" s="37"/>
      <c r="V3838" s="37"/>
      <c r="W3838" s="37"/>
      <c r="X3838" s="37"/>
      <c r="Y3838" s="37"/>
      <c r="Z3838" s="37"/>
      <c r="AA3838" s="37"/>
      <c r="AB3838" s="37"/>
      <c r="AC3838" s="37"/>
      <c r="AD3838" s="37"/>
      <c r="AE3838" s="37"/>
      <c r="AF3838" s="37"/>
      <c r="AG3838" s="37"/>
      <c r="AH3838" s="37"/>
      <c r="AI3838" s="37"/>
      <c r="AJ3838" s="37"/>
      <c r="AK3838" s="37"/>
      <c r="AL3838" s="37"/>
      <c r="AM3838" s="37"/>
      <c r="AN3838" s="37"/>
      <c r="AO3838" s="37"/>
      <c r="AP3838" s="37"/>
      <c r="AQ3838" s="37"/>
      <c r="AR3838" s="37"/>
      <c r="AS3838" s="37"/>
      <c r="AT3838" s="37"/>
      <c r="AU3838" s="37"/>
      <c r="AV3838" s="37"/>
      <c r="AW3838" s="37"/>
      <c r="AX3838" s="37"/>
      <c r="AY3838" s="37"/>
      <c r="AZ3838" s="37"/>
      <c r="BA3838" s="37"/>
      <c r="BB3838" s="37"/>
      <c r="BC3838" s="37"/>
      <c r="BD3838" s="37"/>
      <c r="BE3838" s="37"/>
      <c r="BF3838" s="37"/>
      <c r="BG3838" s="37"/>
      <c r="BH3838" s="37"/>
      <c r="BI3838" s="37"/>
      <c r="BJ3838" s="37"/>
      <c r="BK3838" s="37"/>
      <c r="BL3838" s="37"/>
      <c r="BM3838" s="37"/>
    </row>
    <row r="3839" spans="1:65" s="40" customFormat="1" ht="21" x14ac:dyDescent="0.35">
      <c r="A3839" s="37"/>
      <c r="B3839" s="37"/>
      <c r="C3839" s="41"/>
      <c r="D3839" s="38"/>
      <c r="E3839" s="38"/>
      <c r="F3839" s="42"/>
      <c r="G3839" s="43"/>
      <c r="H3839" s="37"/>
      <c r="I3839" s="37"/>
      <c r="J3839" s="38"/>
      <c r="K3839" s="37"/>
      <c r="L3839" s="38"/>
      <c r="M3839" s="39"/>
      <c r="P3839" s="37"/>
      <c r="Q3839" s="37"/>
      <c r="R3839" s="37"/>
      <c r="S3839" s="37"/>
      <c r="T3839" s="37"/>
      <c r="U3839" s="37"/>
      <c r="V3839" s="37"/>
      <c r="W3839" s="37"/>
      <c r="X3839" s="37"/>
      <c r="Y3839" s="37"/>
      <c r="Z3839" s="37"/>
      <c r="AA3839" s="37"/>
      <c r="AB3839" s="37"/>
      <c r="AC3839" s="37"/>
      <c r="AD3839" s="37"/>
      <c r="AE3839" s="37"/>
      <c r="AF3839" s="37"/>
      <c r="AG3839" s="37"/>
      <c r="AH3839" s="37"/>
      <c r="AI3839" s="37"/>
      <c r="AJ3839" s="37"/>
      <c r="AK3839" s="37"/>
      <c r="AL3839" s="37"/>
      <c r="AM3839" s="37"/>
      <c r="AN3839" s="37"/>
      <c r="AO3839" s="37"/>
      <c r="AP3839" s="37"/>
      <c r="AQ3839" s="37"/>
      <c r="AR3839" s="37"/>
      <c r="AS3839" s="37"/>
      <c r="AT3839" s="37"/>
      <c r="AU3839" s="37"/>
      <c r="AV3839" s="37"/>
      <c r="AW3839" s="37"/>
      <c r="AX3839" s="37"/>
      <c r="AY3839" s="37"/>
      <c r="AZ3839" s="37"/>
      <c r="BA3839" s="37"/>
      <c r="BB3839" s="37"/>
      <c r="BC3839" s="37"/>
      <c r="BD3839" s="37"/>
      <c r="BE3839" s="37"/>
      <c r="BF3839" s="37"/>
      <c r="BG3839" s="37"/>
      <c r="BH3839" s="37"/>
      <c r="BI3839" s="37"/>
      <c r="BJ3839" s="37"/>
      <c r="BK3839" s="37"/>
      <c r="BL3839" s="37"/>
      <c r="BM3839" s="37"/>
    </row>
    <row r="3840" spans="1:65" s="40" customFormat="1" ht="21" x14ac:dyDescent="0.35">
      <c r="A3840" s="37"/>
      <c r="B3840" s="37"/>
      <c r="C3840" s="41"/>
      <c r="D3840" s="38"/>
      <c r="E3840" s="38"/>
      <c r="F3840" s="42"/>
      <c r="G3840" s="43"/>
      <c r="H3840" s="37"/>
      <c r="I3840" s="37"/>
      <c r="J3840" s="38"/>
      <c r="K3840" s="37"/>
      <c r="L3840" s="38"/>
      <c r="M3840" s="39"/>
      <c r="P3840" s="37"/>
      <c r="Q3840" s="37"/>
      <c r="R3840" s="37"/>
      <c r="S3840" s="37"/>
      <c r="T3840" s="37"/>
      <c r="U3840" s="37"/>
      <c r="V3840" s="37"/>
      <c r="W3840" s="37"/>
      <c r="X3840" s="37"/>
      <c r="Y3840" s="37"/>
      <c r="Z3840" s="37"/>
      <c r="AA3840" s="37"/>
      <c r="AB3840" s="37"/>
      <c r="AC3840" s="37"/>
      <c r="AD3840" s="37"/>
      <c r="AE3840" s="37"/>
      <c r="AF3840" s="37"/>
      <c r="AG3840" s="37"/>
      <c r="AH3840" s="37"/>
      <c r="AI3840" s="37"/>
      <c r="AJ3840" s="37"/>
      <c r="AK3840" s="37"/>
      <c r="AL3840" s="37"/>
      <c r="AM3840" s="37"/>
      <c r="AN3840" s="37"/>
      <c r="AO3840" s="37"/>
      <c r="AP3840" s="37"/>
      <c r="AQ3840" s="37"/>
      <c r="AR3840" s="37"/>
      <c r="AS3840" s="37"/>
      <c r="AT3840" s="37"/>
      <c r="AU3840" s="37"/>
      <c r="AV3840" s="37"/>
      <c r="AW3840" s="37"/>
      <c r="AX3840" s="37"/>
      <c r="AY3840" s="37"/>
      <c r="AZ3840" s="37"/>
      <c r="BA3840" s="37"/>
      <c r="BB3840" s="37"/>
      <c r="BC3840" s="37"/>
      <c r="BD3840" s="37"/>
      <c r="BE3840" s="37"/>
      <c r="BF3840" s="37"/>
      <c r="BG3840" s="37"/>
      <c r="BH3840" s="37"/>
      <c r="BI3840" s="37"/>
      <c r="BJ3840" s="37"/>
      <c r="BK3840" s="37"/>
      <c r="BL3840" s="37"/>
      <c r="BM3840" s="37"/>
    </row>
    <row r="3841" spans="1:65" s="40" customFormat="1" ht="21" x14ac:dyDescent="0.35">
      <c r="A3841" s="37"/>
      <c r="B3841" s="37"/>
      <c r="C3841" s="41"/>
      <c r="D3841" s="38"/>
      <c r="E3841" s="38"/>
      <c r="F3841" s="42"/>
      <c r="G3841" s="43"/>
      <c r="H3841" s="37"/>
      <c r="I3841" s="37"/>
      <c r="J3841" s="38"/>
      <c r="K3841" s="37"/>
      <c r="L3841" s="38"/>
      <c r="M3841" s="39"/>
      <c r="P3841" s="37"/>
      <c r="Q3841" s="37"/>
      <c r="R3841" s="37"/>
      <c r="S3841" s="37"/>
      <c r="T3841" s="37"/>
      <c r="U3841" s="37"/>
      <c r="V3841" s="37"/>
      <c r="W3841" s="37"/>
      <c r="X3841" s="37"/>
      <c r="Y3841" s="37"/>
      <c r="Z3841" s="37"/>
      <c r="AA3841" s="37"/>
      <c r="AB3841" s="37"/>
      <c r="AC3841" s="37"/>
      <c r="AD3841" s="37"/>
      <c r="AE3841" s="37"/>
      <c r="AF3841" s="37"/>
      <c r="AG3841" s="37"/>
      <c r="AH3841" s="37"/>
      <c r="AI3841" s="37"/>
      <c r="AJ3841" s="37"/>
      <c r="AK3841" s="37"/>
      <c r="AL3841" s="37"/>
      <c r="AM3841" s="37"/>
      <c r="AN3841" s="37"/>
      <c r="AO3841" s="37"/>
      <c r="AP3841" s="37"/>
      <c r="AQ3841" s="37"/>
      <c r="AR3841" s="37"/>
      <c r="AS3841" s="37"/>
      <c r="AT3841" s="37"/>
      <c r="AU3841" s="37"/>
      <c r="AV3841" s="37"/>
      <c r="AW3841" s="37"/>
      <c r="AX3841" s="37"/>
      <c r="AY3841" s="37"/>
      <c r="AZ3841" s="37"/>
      <c r="BA3841" s="37"/>
      <c r="BB3841" s="37"/>
      <c r="BC3841" s="37"/>
      <c r="BD3841" s="37"/>
      <c r="BE3841" s="37"/>
      <c r="BF3841" s="37"/>
      <c r="BG3841" s="37"/>
      <c r="BH3841" s="37"/>
      <c r="BI3841" s="37"/>
      <c r="BJ3841" s="37"/>
      <c r="BK3841" s="37"/>
      <c r="BL3841" s="37"/>
      <c r="BM3841" s="37"/>
    </row>
    <row r="3842" spans="1:65" s="40" customFormat="1" ht="21" x14ac:dyDescent="0.35">
      <c r="A3842" s="37"/>
      <c r="B3842" s="37"/>
      <c r="C3842" s="41"/>
      <c r="D3842" s="38"/>
      <c r="E3842" s="38"/>
      <c r="F3842" s="42"/>
      <c r="G3842" s="43"/>
      <c r="H3842" s="37"/>
      <c r="I3842" s="37"/>
      <c r="J3842" s="38"/>
      <c r="K3842" s="37"/>
      <c r="L3842" s="38"/>
      <c r="M3842" s="39"/>
      <c r="P3842" s="37"/>
      <c r="Q3842" s="37"/>
      <c r="R3842" s="37"/>
      <c r="S3842" s="37"/>
      <c r="T3842" s="37"/>
      <c r="U3842" s="37"/>
      <c r="V3842" s="37"/>
      <c r="W3842" s="37"/>
      <c r="X3842" s="37"/>
      <c r="Y3842" s="37"/>
      <c r="Z3842" s="37"/>
      <c r="AA3842" s="37"/>
      <c r="AB3842" s="37"/>
      <c r="AC3842" s="37"/>
      <c r="AD3842" s="37"/>
      <c r="AE3842" s="37"/>
      <c r="AF3842" s="37"/>
      <c r="AG3842" s="37"/>
      <c r="AH3842" s="37"/>
      <c r="AI3842" s="37"/>
      <c r="AJ3842" s="37"/>
      <c r="AK3842" s="37"/>
      <c r="AL3842" s="37"/>
      <c r="AM3842" s="37"/>
      <c r="AN3842" s="37"/>
      <c r="AO3842" s="37"/>
      <c r="AP3842" s="37"/>
      <c r="AQ3842" s="37"/>
      <c r="AR3842" s="37"/>
      <c r="AS3842" s="37"/>
      <c r="AT3842" s="37"/>
      <c r="AU3842" s="37"/>
      <c r="AV3842" s="37"/>
      <c r="AW3842" s="37"/>
      <c r="AX3842" s="37"/>
      <c r="AY3842" s="37"/>
      <c r="AZ3842" s="37"/>
      <c r="BA3842" s="37"/>
      <c r="BB3842" s="37"/>
      <c r="BC3842" s="37"/>
      <c r="BD3842" s="37"/>
      <c r="BE3842" s="37"/>
      <c r="BF3842" s="37"/>
      <c r="BG3842" s="37"/>
      <c r="BH3842" s="37"/>
      <c r="BI3842" s="37"/>
      <c r="BJ3842" s="37"/>
      <c r="BK3842" s="37"/>
      <c r="BL3842" s="37"/>
      <c r="BM3842" s="37"/>
    </row>
    <row r="3843" spans="1:65" s="40" customFormat="1" ht="21" x14ac:dyDescent="0.35">
      <c r="A3843" s="37"/>
      <c r="B3843" s="37"/>
      <c r="C3843" s="41"/>
      <c r="D3843" s="38"/>
      <c r="E3843" s="38"/>
      <c r="F3843" s="42"/>
      <c r="G3843" s="43"/>
      <c r="H3843" s="37"/>
      <c r="I3843" s="37"/>
      <c r="J3843" s="38"/>
      <c r="K3843" s="37"/>
      <c r="L3843" s="38"/>
      <c r="M3843" s="39"/>
      <c r="P3843" s="37"/>
      <c r="Q3843" s="37"/>
      <c r="R3843" s="37"/>
      <c r="S3843" s="37"/>
      <c r="T3843" s="37"/>
      <c r="U3843" s="37"/>
      <c r="V3843" s="37"/>
      <c r="W3843" s="37"/>
      <c r="X3843" s="37"/>
      <c r="Y3843" s="37"/>
      <c r="Z3843" s="37"/>
      <c r="AA3843" s="37"/>
      <c r="AB3843" s="37"/>
      <c r="AC3843" s="37"/>
      <c r="AD3843" s="37"/>
      <c r="AE3843" s="37"/>
      <c r="AF3843" s="37"/>
      <c r="AG3843" s="37"/>
      <c r="AH3843" s="37"/>
      <c r="AI3843" s="37"/>
      <c r="AJ3843" s="37"/>
      <c r="AK3843" s="37"/>
      <c r="AL3843" s="37"/>
      <c r="AM3843" s="37"/>
      <c r="AN3843" s="37"/>
      <c r="AO3843" s="37"/>
      <c r="AP3843" s="37"/>
      <c r="AQ3843" s="37"/>
      <c r="AR3843" s="37"/>
      <c r="AS3843" s="37"/>
      <c r="AT3843" s="37"/>
      <c r="AU3843" s="37"/>
      <c r="AV3843" s="37"/>
      <c r="AW3843" s="37"/>
      <c r="AX3843" s="37"/>
      <c r="AY3843" s="37"/>
      <c r="AZ3843" s="37"/>
      <c r="BA3843" s="37"/>
      <c r="BB3843" s="37"/>
      <c r="BC3843" s="37"/>
      <c r="BD3843" s="37"/>
      <c r="BE3843" s="37"/>
      <c r="BF3843" s="37"/>
      <c r="BG3843" s="37"/>
      <c r="BH3843" s="37"/>
      <c r="BI3843" s="37"/>
      <c r="BJ3843" s="37"/>
      <c r="BK3843" s="37"/>
      <c r="BL3843" s="37"/>
      <c r="BM3843" s="37"/>
    </row>
    <row r="3844" spans="1:65" s="40" customFormat="1" ht="21" x14ac:dyDescent="0.35">
      <c r="A3844" s="37"/>
      <c r="B3844" s="37"/>
      <c r="C3844" s="41"/>
      <c r="D3844" s="38"/>
      <c r="E3844" s="38"/>
      <c r="F3844" s="42"/>
      <c r="G3844" s="43"/>
      <c r="H3844" s="37"/>
      <c r="I3844" s="37"/>
      <c r="J3844" s="38"/>
      <c r="K3844" s="37"/>
      <c r="L3844" s="38"/>
      <c r="M3844" s="39"/>
      <c r="P3844" s="37"/>
      <c r="Q3844" s="37"/>
      <c r="R3844" s="37"/>
      <c r="S3844" s="37"/>
      <c r="T3844" s="37"/>
      <c r="U3844" s="37"/>
      <c r="V3844" s="37"/>
      <c r="W3844" s="37"/>
      <c r="X3844" s="37"/>
      <c r="Y3844" s="37"/>
      <c r="Z3844" s="37"/>
      <c r="AA3844" s="37"/>
      <c r="AB3844" s="37"/>
      <c r="AC3844" s="37"/>
      <c r="AD3844" s="37"/>
      <c r="AE3844" s="37"/>
      <c r="AF3844" s="37"/>
      <c r="AG3844" s="37"/>
      <c r="AH3844" s="37"/>
      <c r="AI3844" s="37"/>
      <c r="AJ3844" s="37"/>
      <c r="AK3844" s="37"/>
      <c r="AL3844" s="37"/>
      <c r="AM3844" s="37"/>
      <c r="AN3844" s="37"/>
      <c r="AO3844" s="37"/>
      <c r="AP3844" s="37"/>
      <c r="AQ3844" s="37"/>
      <c r="AR3844" s="37"/>
      <c r="AS3844" s="37"/>
      <c r="AT3844" s="37"/>
      <c r="AU3844" s="37"/>
      <c r="AV3844" s="37"/>
      <c r="AW3844" s="37"/>
      <c r="AX3844" s="37"/>
      <c r="AY3844" s="37"/>
      <c r="AZ3844" s="37"/>
      <c r="BA3844" s="37"/>
      <c r="BB3844" s="37"/>
      <c r="BC3844" s="37"/>
      <c r="BD3844" s="37"/>
      <c r="BE3844" s="37"/>
      <c r="BF3844" s="37"/>
      <c r="BG3844" s="37"/>
      <c r="BH3844" s="37"/>
      <c r="BI3844" s="37"/>
      <c r="BJ3844" s="37"/>
      <c r="BK3844" s="37"/>
      <c r="BL3844" s="37"/>
      <c r="BM3844" s="37"/>
    </row>
    <row r="3845" spans="1:65" s="40" customFormat="1" ht="21" x14ac:dyDescent="0.35">
      <c r="A3845" s="37"/>
      <c r="B3845" s="37"/>
      <c r="C3845" s="41"/>
      <c r="D3845" s="38"/>
      <c r="E3845" s="38"/>
      <c r="F3845" s="42"/>
      <c r="G3845" s="43"/>
      <c r="H3845" s="37"/>
      <c r="I3845" s="37"/>
      <c r="J3845" s="38"/>
      <c r="K3845" s="37"/>
      <c r="L3845" s="38"/>
      <c r="M3845" s="39"/>
      <c r="P3845" s="37"/>
      <c r="Q3845" s="37"/>
      <c r="R3845" s="37"/>
      <c r="S3845" s="37"/>
      <c r="T3845" s="37"/>
      <c r="U3845" s="37"/>
      <c r="V3845" s="37"/>
      <c r="W3845" s="37"/>
      <c r="X3845" s="37"/>
      <c r="Y3845" s="37"/>
      <c r="Z3845" s="37"/>
      <c r="AA3845" s="37"/>
      <c r="AB3845" s="37"/>
      <c r="AC3845" s="37"/>
      <c r="AD3845" s="37"/>
      <c r="AE3845" s="37"/>
      <c r="AF3845" s="37"/>
      <c r="AG3845" s="37"/>
      <c r="AH3845" s="37"/>
      <c r="AI3845" s="37"/>
      <c r="AJ3845" s="37"/>
      <c r="AK3845" s="37"/>
      <c r="AL3845" s="37"/>
      <c r="AM3845" s="37"/>
      <c r="AN3845" s="37"/>
      <c r="AO3845" s="37"/>
      <c r="AP3845" s="37"/>
      <c r="AQ3845" s="37"/>
      <c r="AR3845" s="37"/>
      <c r="AS3845" s="37"/>
      <c r="AT3845" s="37"/>
      <c r="AU3845" s="37"/>
      <c r="AV3845" s="37"/>
      <c r="AW3845" s="37"/>
      <c r="AX3845" s="37"/>
      <c r="AY3845" s="37"/>
      <c r="AZ3845" s="37"/>
      <c r="BA3845" s="37"/>
      <c r="BB3845" s="37"/>
      <c r="BC3845" s="37"/>
      <c r="BD3845" s="37"/>
      <c r="BE3845" s="37"/>
      <c r="BF3845" s="37"/>
      <c r="BG3845" s="37"/>
      <c r="BH3845" s="37"/>
      <c r="BI3845" s="37"/>
      <c r="BJ3845" s="37"/>
      <c r="BK3845" s="37"/>
      <c r="BL3845" s="37"/>
      <c r="BM3845" s="37"/>
    </row>
    <row r="3846" spans="1:65" s="40" customFormat="1" ht="21" x14ac:dyDescent="0.35">
      <c r="A3846" s="37"/>
      <c r="B3846" s="37"/>
      <c r="C3846" s="41"/>
      <c r="D3846" s="38"/>
      <c r="E3846" s="38"/>
      <c r="F3846" s="42"/>
      <c r="G3846" s="43"/>
      <c r="H3846" s="37"/>
      <c r="I3846" s="37"/>
      <c r="J3846" s="38"/>
      <c r="K3846" s="37"/>
      <c r="L3846" s="38"/>
      <c r="M3846" s="39"/>
      <c r="P3846" s="37"/>
      <c r="Q3846" s="37"/>
      <c r="R3846" s="37"/>
      <c r="S3846" s="37"/>
      <c r="T3846" s="37"/>
      <c r="U3846" s="37"/>
      <c r="V3846" s="37"/>
      <c r="W3846" s="37"/>
      <c r="X3846" s="37"/>
      <c r="Y3846" s="37"/>
      <c r="Z3846" s="37"/>
      <c r="AA3846" s="37"/>
      <c r="AB3846" s="37"/>
      <c r="AC3846" s="37"/>
      <c r="AD3846" s="37"/>
      <c r="AE3846" s="37"/>
      <c r="AF3846" s="37"/>
      <c r="AG3846" s="37"/>
      <c r="AH3846" s="37"/>
      <c r="AI3846" s="37"/>
      <c r="AJ3846" s="37"/>
      <c r="AK3846" s="37"/>
      <c r="AL3846" s="37"/>
      <c r="AM3846" s="37"/>
      <c r="AN3846" s="37"/>
      <c r="AO3846" s="37"/>
      <c r="AP3846" s="37"/>
      <c r="AQ3846" s="37"/>
      <c r="AR3846" s="37"/>
      <c r="AS3846" s="37"/>
      <c r="AT3846" s="37"/>
      <c r="AU3846" s="37"/>
      <c r="AV3846" s="37"/>
      <c r="AW3846" s="37"/>
      <c r="AX3846" s="37"/>
      <c r="AY3846" s="37"/>
      <c r="AZ3846" s="37"/>
      <c r="BA3846" s="37"/>
      <c r="BB3846" s="37"/>
      <c r="BC3846" s="37"/>
      <c r="BD3846" s="37"/>
      <c r="BE3846" s="37"/>
      <c r="BF3846" s="37"/>
      <c r="BG3846" s="37"/>
      <c r="BH3846" s="37"/>
      <c r="BI3846" s="37"/>
      <c r="BJ3846" s="37"/>
      <c r="BK3846" s="37"/>
      <c r="BL3846" s="37"/>
      <c r="BM3846" s="37"/>
    </row>
    <row r="3847" spans="1:65" s="40" customFormat="1" ht="21" x14ac:dyDescent="0.35">
      <c r="A3847" s="37"/>
      <c r="B3847" s="37"/>
      <c r="C3847" s="41"/>
      <c r="D3847" s="38"/>
      <c r="E3847" s="38"/>
      <c r="F3847" s="42"/>
      <c r="G3847" s="43"/>
      <c r="H3847" s="37"/>
      <c r="I3847" s="37"/>
      <c r="J3847" s="38"/>
      <c r="K3847" s="37"/>
      <c r="L3847" s="38"/>
      <c r="M3847" s="39"/>
      <c r="P3847" s="37"/>
      <c r="Q3847" s="37"/>
      <c r="R3847" s="37"/>
      <c r="S3847" s="37"/>
      <c r="T3847" s="37"/>
      <c r="U3847" s="37"/>
      <c r="V3847" s="37"/>
      <c r="W3847" s="37"/>
      <c r="X3847" s="37"/>
      <c r="Y3847" s="37"/>
      <c r="Z3847" s="37"/>
      <c r="AA3847" s="37"/>
      <c r="AB3847" s="37"/>
      <c r="AC3847" s="37"/>
      <c r="AD3847" s="37"/>
      <c r="AE3847" s="37"/>
      <c r="AF3847" s="37"/>
      <c r="AG3847" s="37"/>
      <c r="AH3847" s="37"/>
      <c r="AI3847" s="37"/>
      <c r="AJ3847" s="37"/>
      <c r="AK3847" s="37"/>
      <c r="AL3847" s="37"/>
      <c r="AM3847" s="37"/>
      <c r="AN3847" s="37"/>
      <c r="AO3847" s="37"/>
      <c r="AP3847" s="37"/>
      <c r="AQ3847" s="37"/>
      <c r="AR3847" s="37"/>
      <c r="AS3847" s="37"/>
      <c r="AT3847" s="37"/>
      <c r="AU3847" s="37"/>
      <c r="AV3847" s="37"/>
      <c r="AW3847" s="37"/>
      <c r="AX3847" s="37"/>
      <c r="AY3847" s="37"/>
      <c r="AZ3847" s="37"/>
      <c r="BA3847" s="37"/>
      <c r="BB3847" s="37"/>
      <c r="BC3847" s="37"/>
      <c r="BD3847" s="37"/>
      <c r="BE3847" s="37"/>
      <c r="BF3847" s="37"/>
      <c r="BG3847" s="37"/>
      <c r="BH3847" s="37"/>
      <c r="BI3847" s="37"/>
      <c r="BJ3847" s="37"/>
      <c r="BK3847" s="37"/>
      <c r="BL3847" s="37"/>
      <c r="BM3847" s="37"/>
    </row>
    <row r="3848" spans="1:65" s="40" customFormat="1" ht="21" x14ac:dyDescent="0.35">
      <c r="A3848" s="37"/>
      <c r="B3848" s="37"/>
      <c r="C3848" s="41"/>
      <c r="D3848" s="38"/>
      <c r="E3848" s="38"/>
      <c r="F3848" s="42"/>
      <c r="G3848" s="43"/>
      <c r="H3848" s="37"/>
      <c r="I3848" s="37"/>
      <c r="J3848" s="38"/>
      <c r="K3848" s="37"/>
      <c r="L3848" s="38"/>
      <c r="M3848" s="39"/>
      <c r="P3848" s="37"/>
      <c r="Q3848" s="37"/>
      <c r="R3848" s="37"/>
      <c r="S3848" s="37"/>
      <c r="T3848" s="37"/>
      <c r="U3848" s="37"/>
      <c r="V3848" s="37"/>
      <c r="W3848" s="37"/>
      <c r="X3848" s="37"/>
      <c r="Y3848" s="37"/>
      <c r="Z3848" s="37"/>
      <c r="AA3848" s="37"/>
      <c r="AB3848" s="37"/>
      <c r="AC3848" s="37"/>
      <c r="AD3848" s="37"/>
      <c r="AE3848" s="37"/>
      <c r="AF3848" s="37"/>
      <c r="AG3848" s="37"/>
      <c r="AH3848" s="37"/>
      <c r="AI3848" s="37"/>
      <c r="AJ3848" s="37"/>
      <c r="AK3848" s="37"/>
      <c r="AL3848" s="37"/>
      <c r="AM3848" s="37"/>
      <c r="AN3848" s="37"/>
      <c r="AO3848" s="37"/>
      <c r="AP3848" s="37"/>
      <c r="AQ3848" s="37"/>
      <c r="AR3848" s="37"/>
      <c r="AS3848" s="37"/>
      <c r="AT3848" s="37"/>
      <c r="AU3848" s="37"/>
      <c r="AV3848" s="37"/>
      <c r="AW3848" s="37"/>
      <c r="AX3848" s="37"/>
      <c r="AY3848" s="37"/>
      <c r="AZ3848" s="37"/>
      <c r="BA3848" s="37"/>
      <c r="BB3848" s="37"/>
      <c r="BC3848" s="37"/>
      <c r="BD3848" s="37"/>
      <c r="BE3848" s="37"/>
      <c r="BF3848" s="37"/>
      <c r="BG3848" s="37"/>
      <c r="BH3848" s="37"/>
      <c r="BI3848" s="37"/>
      <c r="BJ3848" s="37"/>
      <c r="BK3848" s="37"/>
      <c r="BL3848" s="37"/>
      <c r="BM3848" s="37"/>
    </row>
    <row r="3849" spans="1:65" s="40" customFormat="1" ht="21" x14ac:dyDescent="0.35">
      <c r="A3849" s="37"/>
      <c r="B3849" s="37"/>
      <c r="C3849" s="41"/>
      <c r="D3849" s="38"/>
      <c r="E3849" s="38"/>
      <c r="F3849" s="42"/>
      <c r="G3849" s="43"/>
      <c r="H3849" s="37"/>
      <c r="I3849" s="37"/>
      <c r="J3849" s="38"/>
      <c r="K3849" s="37"/>
      <c r="L3849" s="38"/>
      <c r="M3849" s="39"/>
      <c r="P3849" s="37"/>
      <c r="Q3849" s="37"/>
      <c r="R3849" s="37"/>
      <c r="S3849" s="37"/>
      <c r="T3849" s="37"/>
      <c r="U3849" s="37"/>
      <c r="V3849" s="37"/>
      <c r="W3849" s="37"/>
      <c r="X3849" s="37"/>
      <c r="Y3849" s="37"/>
      <c r="Z3849" s="37"/>
      <c r="AA3849" s="37"/>
      <c r="AB3849" s="37"/>
      <c r="AC3849" s="37"/>
      <c r="AD3849" s="37"/>
      <c r="AE3849" s="37"/>
      <c r="AF3849" s="37"/>
      <c r="AG3849" s="37"/>
      <c r="AH3849" s="37"/>
      <c r="AI3849" s="37"/>
      <c r="AJ3849" s="37"/>
      <c r="AK3849" s="37"/>
      <c r="AL3849" s="37"/>
      <c r="AM3849" s="37"/>
      <c r="AN3849" s="37"/>
      <c r="AO3849" s="37"/>
      <c r="AP3849" s="37"/>
      <c r="AQ3849" s="37"/>
      <c r="AR3849" s="37"/>
      <c r="AS3849" s="37"/>
      <c r="AT3849" s="37"/>
      <c r="AU3849" s="37"/>
      <c r="AV3849" s="37"/>
      <c r="AW3849" s="37"/>
      <c r="AX3849" s="37"/>
      <c r="AY3849" s="37"/>
      <c r="AZ3849" s="37"/>
      <c r="BA3849" s="37"/>
      <c r="BB3849" s="37"/>
      <c r="BC3849" s="37"/>
      <c r="BD3849" s="37"/>
      <c r="BE3849" s="37"/>
      <c r="BF3849" s="37"/>
      <c r="BG3849" s="37"/>
      <c r="BH3849" s="37"/>
      <c r="BI3849" s="37"/>
      <c r="BJ3849" s="37"/>
      <c r="BK3849" s="37"/>
      <c r="BL3849" s="37"/>
      <c r="BM3849" s="37"/>
    </row>
    <row r="3850" spans="1:65" s="40" customFormat="1" ht="21" x14ac:dyDescent="0.35">
      <c r="A3850" s="37"/>
      <c r="B3850" s="37"/>
      <c r="C3850" s="41"/>
      <c r="D3850" s="38"/>
      <c r="E3850" s="38"/>
      <c r="F3850" s="42"/>
      <c r="G3850" s="43"/>
      <c r="H3850" s="37"/>
      <c r="I3850" s="37"/>
      <c r="J3850" s="38"/>
      <c r="K3850" s="37"/>
      <c r="L3850" s="38"/>
      <c r="M3850" s="39"/>
      <c r="P3850" s="37"/>
      <c r="Q3850" s="37"/>
      <c r="R3850" s="37"/>
      <c r="S3850" s="37"/>
      <c r="T3850" s="37"/>
      <c r="U3850" s="37"/>
      <c r="V3850" s="37"/>
      <c r="W3850" s="37"/>
      <c r="X3850" s="37"/>
      <c r="Y3850" s="37"/>
      <c r="Z3850" s="37"/>
      <c r="AA3850" s="37"/>
      <c r="AB3850" s="37"/>
      <c r="AC3850" s="37"/>
      <c r="AD3850" s="37"/>
      <c r="AE3850" s="37"/>
      <c r="AF3850" s="37"/>
      <c r="AG3850" s="37"/>
      <c r="AH3850" s="37"/>
      <c r="AI3850" s="37"/>
      <c r="AJ3850" s="37"/>
      <c r="AK3850" s="37"/>
      <c r="AL3850" s="37"/>
      <c r="AM3850" s="37"/>
      <c r="AN3850" s="37"/>
      <c r="AO3850" s="37"/>
      <c r="AP3850" s="37"/>
      <c r="AQ3850" s="37"/>
      <c r="AR3850" s="37"/>
      <c r="AS3850" s="37"/>
      <c r="AT3850" s="37"/>
      <c r="AU3850" s="37"/>
      <c r="AV3850" s="37"/>
      <c r="AW3850" s="37"/>
      <c r="AX3850" s="37"/>
      <c r="AY3850" s="37"/>
      <c r="AZ3850" s="37"/>
      <c r="BA3850" s="37"/>
      <c r="BB3850" s="37"/>
      <c r="BC3850" s="37"/>
      <c r="BD3850" s="37"/>
      <c r="BE3850" s="37"/>
      <c r="BF3850" s="37"/>
      <c r="BG3850" s="37"/>
      <c r="BH3850" s="37"/>
      <c r="BI3850" s="37"/>
      <c r="BJ3850" s="37"/>
      <c r="BK3850" s="37"/>
      <c r="BL3850" s="37"/>
      <c r="BM3850" s="37"/>
    </row>
    <row r="3851" spans="1:65" s="40" customFormat="1" ht="21" x14ac:dyDescent="0.35">
      <c r="A3851" s="37"/>
      <c r="B3851" s="37"/>
      <c r="C3851" s="41"/>
      <c r="D3851" s="38"/>
      <c r="E3851" s="38"/>
      <c r="F3851" s="42"/>
      <c r="G3851" s="43"/>
      <c r="H3851" s="37"/>
      <c r="I3851" s="37"/>
      <c r="J3851" s="38"/>
      <c r="K3851" s="37"/>
      <c r="L3851" s="38"/>
      <c r="M3851" s="39"/>
      <c r="P3851" s="37"/>
      <c r="Q3851" s="37"/>
      <c r="R3851" s="37"/>
      <c r="S3851" s="37"/>
      <c r="T3851" s="37"/>
      <c r="U3851" s="37"/>
      <c r="V3851" s="37"/>
      <c r="W3851" s="37"/>
      <c r="X3851" s="37"/>
      <c r="Y3851" s="37"/>
      <c r="Z3851" s="37"/>
      <c r="AA3851" s="37"/>
      <c r="AB3851" s="37"/>
      <c r="AC3851" s="37"/>
      <c r="AD3851" s="37"/>
      <c r="AE3851" s="37"/>
      <c r="AF3851" s="37"/>
      <c r="AG3851" s="37"/>
      <c r="AH3851" s="37"/>
      <c r="AI3851" s="37"/>
      <c r="AJ3851" s="37"/>
      <c r="AK3851" s="37"/>
      <c r="AL3851" s="37"/>
      <c r="AM3851" s="37"/>
      <c r="AN3851" s="37"/>
      <c r="AO3851" s="37"/>
      <c r="AP3851" s="37"/>
      <c r="AQ3851" s="37"/>
      <c r="AR3851" s="37"/>
      <c r="AS3851" s="37"/>
      <c r="AT3851" s="37"/>
      <c r="AU3851" s="37"/>
      <c r="AV3851" s="37"/>
      <c r="AW3851" s="37"/>
      <c r="AX3851" s="37"/>
      <c r="AY3851" s="37"/>
      <c r="AZ3851" s="37"/>
      <c r="BA3851" s="37"/>
      <c r="BB3851" s="37"/>
      <c r="BC3851" s="37"/>
      <c r="BD3851" s="37"/>
      <c r="BE3851" s="37"/>
      <c r="BF3851" s="37"/>
      <c r="BG3851" s="37"/>
      <c r="BH3851" s="37"/>
      <c r="BI3851" s="37"/>
      <c r="BJ3851" s="37"/>
      <c r="BK3851" s="37"/>
      <c r="BL3851" s="37"/>
      <c r="BM3851" s="37"/>
    </row>
    <row r="3852" spans="1:65" s="40" customFormat="1" ht="21" x14ac:dyDescent="0.35">
      <c r="A3852" s="37"/>
      <c r="B3852" s="37"/>
      <c r="C3852" s="41"/>
      <c r="D3852" s="38"/>
      <c r="E3852" s="38"/>
      <c r="F3852" s="42"/>
      <c r="G3852" s="43"/>
      <c r="H3852" s="37"/>
      <c r="I3852" s="37"/>
      <c r="J3852" s="38"/>
      <c r="K3852" s="37"/>
      <c r="L3852" s="38"/>
      <c r="M3852" s="39"/>
      <c r="P3852" s="37"/>
      <c r="Q3852" s="37"/>
      <c r="R3852" s="37"/>
      <c r="S3852" s="37"/>
      <c r="T3852" s="37"/>
      <c r="U3852" s="37"/>
      <c r="V3852" s="37"/>
      <c r="W3852" s="37"/>
      <c r="X3852" s="37"/>
      <c r="Y3852" s="37"/>
      <c r="Z3852" s="37"/>
      <c r="AA3852" s="37"/>
      <c r="AB3852" s="37"/>
      <c r="AC3852" s="37"/>
      <c r="AD3852" s="37"/>
      <c r="AE3852" s="37"/>
      <c r="AF3852" s="37"/>
      <c r="AG3852" s="37"/>
      <c r="AH3852" s="37"/>
      <c r="AI3852" s="37"/>
      <c r="AJ3852" s="37"/>
      <c r="AK3852" s="37"/>
      <c r="AL3852" s="37"/>
      <c r="AM3852" s="37"/>
      <c r="AN3852" s="37"/>
      <c r="AO3852" s="37"/>
      <c r="AP3852" s="37"/>
      <c r="AQ3852" s="37"/>
      <c r="AR3852" s="37"/>
      <c r="AS3852" s="37"/>
      <c r="AT3852" s="37"/>
      <c r="AU3852" s="37"/>
      <c r="AV3852" s="37"/>
      <c r="AW3852" s="37"/>
      <c r="AX3852" s="37"/>
      <c r="AY3852" s="37"/>
      <c r="AZ3852" s="37"/>
      <c r="BA3852" s="37"/>
      <c r="BB3852" s="37"/>
      <c r="BC3852" s="37"/>
      <c r="BD3852" s="37"/>
      <c r="BE3852" s="37"/>
      <c r="BF3852" s="37"/>
      <c r="BG3852" s="37"/>
      <c r="BH3852" s="37"/>
      <c r="BI3852" s="37"/>
      <c r="BJ3852" s="37"/>
      <c r="BK3852" s="37"/>
      <c r="BL3852" s="37"/>
      <c r="BM3852" s="37"/>
    </row>
    <row r="3853" spans="1:65" s="40" customFormat="1" ht="21" x14ac:dyDescent="0.35">
      <c r="A3853" s="37"/>
      <c r="B3853" s="37"/>
      <c r="C3853" s="41"/>
      <c r="D3853" s="38"/>
      <c r="E3853" s="38"/>
      <c r="F3853" s="42"/>
      <c r="G3853" s="43"/>
      <c r="H3853" s="37"/>
      <c r="I3853" s="37"/>
      <c r="J3853" s="38"/>
      <c r="K3853" s="37"/>
      <c r="L3853" s="38"/>
      <c r="M3853" s="39"/>
      <c r="P3853" s="37"/>
      <c r="Q3853" s="37"/>
      <c r="R3853" s="37"/>
      <c r="S3853" s="37"/>
      <c r="T3853" s="37"/>
      <c r="U3853" s="37"/>
      <c r="V3853" s="37"/>
      <c r="W3853" s="37"/>
      <c r="X3853" s="37"/>
      <c r="Y3853" s="37"/>
      <c r="Z3853" s="37"/>
      <c r="AA3853" s="37"/>
      <c r="AB3853" s="37"/>
      <c r="AC3853" s="37"/>
      <c r="AD3853" s="37"/>
      <c r="AE3853" s="37"/>
      <c r="AF3853" s="37"/>
      <c r="AG3853" s="37"/>
      <c r="AH3853" s="37"/>
      <c r="AI3853" s="37"/>
      <c r="AJ3853" s="37"/>
      <c r="AK3853" s="37"/>
      <c r="AL3853" s="37"/>
      <c r="AM3853" s="37"/>
      <c r="AN3853" s="37"/>
      <c r="AO3853" s="37"/>
      <c r="AP3853" s="37"/>
      <c r="AQ3853" s="37"/>
      <c r="AR3853" s="37"/>
      <c r="AS3853" s="37"/>
      <c r="AT3853" s="37"/>
      <c r="AU3853" s="37"/>
      <c r="AV3853" s="37"/>
      <c r="AW3853" s="37"/>
      <c r="AX3853" s="37"/>
      <c r="AY3853" s="37"/>
      <c r="AZ3853" s="37"/>
      <c r="BA3853" s="37"/>
      <c r="BB3853" s="37"/>
      <c r="BC3853" s="37"/>
      <c r="BD3853" s="37"/>
      <c r="BE3853" s="37"/>
      <c r="BF3853" s="37"/>
      <c r="BG3853" s="37"/>
      <c r="BH3853" s="37"/>
      <c r="BI3853" s="37"/>
      <c r="BJ3853" s="37"/>
      <c r="BK3853" s="37"/>
      <c r="BL3853" s="37"/>
      <c r="BM3853" s="37"/>
    </row>
    <row r="3854" spans="1:65" s="40" customFormat="1" ht="21" x14ac:dyDescent="0.35">
      <c r="A3854" s="37"/>
      <c r="B3854" s="37"/>
      <c r="C3854" s="41"/>
      <c r="D3854" s="38"/>
      <c r="E3854" s="38"/>
      <c r="F3854" s="42"/>
      <c r="G3854" s="43"/>
      <c r="H3854" s="37"/>
      <c r="I3854" s="37"/>
      <c r="J3854" s="38"/>
      <c r="K3854" s="37"/>
      <c r="L3854" s="38"/>
      <c r="M3854" s="39"/>
      <c r="P3854" s="37"/>
      <c r="Q3854" s="37"/>
      <c r="R3854" s="37"/>
      <c r="S3854" s="37"/>
      <c r="T3854" s="37"/>
      <c r="U3854" s="37"/>
      <c r="V3854" s="37"/>
      <c r="W3854" s="37"/>
      <c r="X3854" s="37"/>
      <c r="Y3854" s="37"/>
      <c r="Z3854" s="37"/>
      <c r="AA3854" s="37"/>
      <c r="AB3854" s="37"/>
      <c r="AC3854" s="37"/>
      <c r="AD3854" s="37"/>
      <c r="AE3854" s="37"/>
      <c r="AF3854" s="37"/>
      <c r="AG3854" s="37"/>
      <c r="AH3854" s="37"/>
      <c r="AI3854" s="37"/>
      <c r="AJ3854" s="37"/>
      <c r="AK3854" s="37"/>
      <c r="AL3854" s="37"/>
      <c r="AM3854" s="37"/>
      <c r="AN3854" s="37"/>
      <c r="AO3854" s="37"/>
      <c r="AP3854" s="37"/>
      <c r="AQ3854" s="37"/>
      <c r="AR3854" s="37"/>
      <c r="AS3854" s="37"/>
      <c r="AT3854" s="37"/>
      <c r="AU3854" s="37"/>
      <c r="AV3854" s="37"/>
      <c r="AW3854" s="37"/>
      <c r="AX3854" s="37"/>
      <c r="AY3854" s="37"/>
      <c r="AZ3854" s="37"/>
      <c r="BA3854" s="37"/>
      <c r="BB3854" s="37"/>
      <c r="BC3854" s="37"/>
      <c r="BD3854" s="37"/>
      <c r="BE3854" s="37"/>
      <c r="BF3854" s="37"/>
      <c r="BG3854" s="37"/>
      <c r="BH3854" s="37"/>
      <c r="BI3854" s="37"/>
      <c r="BJ3854" s="37"/>
      <c r="BK3854" s="37"/>
      <c r="BL3854" s="37"/>
      <c r="BM3854" s="37"/>
    </row>
    <row r="3855" spans="1:65" s="40" customFormat="1" ht="21" x14ac:dyDescent="0.35">
      <c r="A3855" s="37"/>
      <c r="B3855" s="37"/>
      <c r="C3855" s="41"/>
      <c r="D3855" s="38"/>
      <c r="E3855" s="38"/>
      <c r="F3855" s="42"/>
      <c r="G3855" s="43"/>
      <c r="H3855" s="37"/>
      <c r="I3855" s="37"/>
      <c r="J3855" s="38"/>
      <c r="K3855" s="37"/>
      <c r="L3855" s="38"/>
      <c r="M3855" s="39"/>
      <c r="P3855" s="37"/>
      <c r="Q3855" s="37"/>
      <c r="R3855" s="37"/>
      <c r="S3855" s="37"/>
      <c r="T3855" s="37"/>
      <c r="U3855" s="37"/>
      <c r="V3855" s="37"/>
      <c r="W3855" s="37"/>
      <c r="X3855" s="37"/>
      <c r="Y3855" s="37"/>
      <c r="Z3855" s="37"/>
      <c r="AA3855" s="37"/>
      <c r="AB3855" s="37"/>
      <c r="AC3855" s="37"/>
      <c r="AD3855" s="37"/>
      <c r="AE3855" s="37"/>
      <c r="AF3855" s="37"/>
      <c r="AG3855" s="37"/>
      <c r="AH3855" s="37"/>
      <c r="AI3855" s="37"/>
      <c r="AJ3855" s="37"/>
      <c r="AK3855" s="37"/>
      <c r="AL3855" s="37"/>
      <c r="AM3855" s="37"/>
      <c r="AN3855" s="37"/>
      <c r="AO3855" s="37"/>
      <c r="AP3855" s="37"/>
      <c r="AQ3855" s="37"/>
      <c r="AR3855" s="37"/>
      <c r="AS3855" s="37"/>
      <c r="AT3855" s="37"/>
      <c r="AU3855" s="37"/>
      <c r="AV3855" s="37"/>
      <c r="AW3855" s="37"/>
      <c r="AX3855" s="37"/>
      <c r="AY3855" s="37"/>
      <c r="AZ3855" s="37"/>
      <c r="BA3855" s="37"/>
      <c r="BB3855" s="37"/>
      <c r="BC3855" s="37"/>
      <c r="BD3855" s="37"/>
      <c r="BE3855" s="37"/>
      <c r="BF3855" s="37"/>
      <c r="BG3855" s="37"/>
      <c r="BH3855" s="37"/>
      <c r="BI3855" s="37"/>
      <c r="BJ3855" s="37"/>
      <c r="BK3855" s="37"/>
      <c r="BL3855" s="37"/>
      <c r="BM3855" s="37"/>
    </row>
    <row r="3856" spans="1:65" s="40" customFormat="1" ht="21" x14ac:dyDescent="0.35">
      <c r="A3856" s="37"/>
      <c r="B3856" s="37"/>
      <c r="C3856" s="41"/>
      <c r="D3856" s="38"/>
      <c r="E3856" s="38"/>
      <c r="F3856" s="42"/>
      <c r="G3856" s="43"/>
      <c r="H3856" s="37"/>
      <c r="I3856" s="37"/>
      <c r="J3856" s="38"/>
      <c r="K3856" s="37"/>
      <c r="L3856" s="38"/>
      <c r="M3856" s="39"/>
      <c r="P3856" s="37"/>
      <c r="Q3856" s="37"/>
      <c r="R3856" s="37"/>
      <c r="S3856" s="37"/>
      <c r="T3856" s="37"/>
      <c r="U3856" s="37"/>
      <c r="V3856" s="37"/>
      <c r="W3856" s="37"/>
      <c r="X3856" s="37"/>
      <c r="Y3856" s="37"/>
      <c r="Z3856" s="37"/>
      <c r="AA3856" s="37"/>
      <c r="AB3856" s="37"/>
      <c r="AC3856" s="37"/>
      <c r="AD3856" s="37"/>
      <c r="AE3856" s="37"/>
      <c r="AF3856" s="37"/>
      <c r="AG3856" s="37"/>
      <c r="AH3856" s="37"/>
      <c r="AI3856" s="37"/>
      <c r="AJ3856" s="37"/>
      <c r="AK3856" s="37"/>
      <c r="AL3856" s="37"/>
      <c r="AM3856" s="37"/>
      <c r="AN3856" s="37"/>
      <c r="AO3856" s="37"/>
      <c r="AP3856" s="37"/>
      <c r="AQ3856" s="37"/>
      <c r="AR3856" s="37"/>
      <c r="AS3856" s="37"/>
      <c r="AT3856" s="37"/>
      <c r="AU3856" s="37"/>
      <c r="AV3856" s="37"/>
      <c r="AW3856" s="37"/>
      <c r="AX3856" s="37"/>
      <c r="AY3856" s="37"/>
      <c r="AZ3856" s="37"/>
      <c r="BA3856" s="37"/>
      <c r="BB3856" s="37"/>
      <c r="BC3856" s="37"/>
      <c r="BD3856" s="37"/>
      <c r="BE3856" s="37"/>
      <c r="BF3856" s="37"/>
      <c r="BG3856" s="37"/>
      <c r="BH3856" s="37"/>
      <c r="BI3856" s="37"/>
      <c r="BJ3856" s="37"/>
      <c r="BK3856" s="37"/>
      <c r="BL3856" s="37"/>
      <c r="BM3856" s="37"/>
    </row>
    <row r="3857" spans="1:65" s="40" customFormat="1" ht="21" x14ac:dyDescent="0.35">
      <c r="A3857" s="37"/>
      <c r="B3857" s="37"/>
      <c r="C3857" s="41"/>
      <c r="D3857" s="38"/>
      <c r="E3857" s="38"/>
      <c r="F3857" s="42"/>
      <c r="G3857" s="43"/>
      <c r="H3857" s="37"/>
      <c r="I3857" s="37"/>
      <c r="J3857" s="38"/>
      <c r="K3857" s="37"/>
      <c r="L3857" s="38"/>
      <c r="M3857" s="39"/>
      <c r="P3857" s="37"/>
      <c r="Q3857" s="37"/>
      <c r="R3857" s="37"/>
      <c r="S3857" s="37"/>
      <c r="T3857" s="37"/>
      <c r="U3857" s="37"/>
      <c r="V3857" s="37"/>
      <c r="W3857" s="37"/>
      <c r="X3857" s="37"/>
      <c r="Y3857" s="37"/>
      <c r="Z3857" s="37"/>
      <c r="AA3857" s="37"/>
      <c r="AB3857" s="37"/>
      <c r="AC3857" s="37"/>
      <c r="AD3857" s="37"/>
      <c r="AE3857" s="37"/>
      <c r="AF3857" s="37"/>
      <c r="AG3857" s="37"/>
      <c r="AH3857" s="37"/>
      <c r="AI3857" s="37"/>
      <c r="AJ3857" s="37"/>
      <c r="AK3857" s="37"/>
      <c r="AL3857" s="37"/>
      <c r="AM3857" s="37"/>
      <c r="AN3857" s="37"/>
      <c r="AO3857" s="37"/>
      <c r="AP3857" s="37"/>
      <c r="AQ3857" s="37"/>
      <c r="AR3857" s="37"/>
      <c r="AS3857" s="37"/>
      <c r="AT3857" s="37"/>
      <c r="AU3857" s="37"/>
      <c r="AV3857" s="37"/>
      <c r="AW3857" s="37"/>
      <c r="AX3857" s="37"/>
      <c r="AY3857" s="37"/>
      <c r="AZ3857" s="37"/>
      <c r="BA3857" s="37"/>
      <c r="BB3857" s="37"/>
      <c r="BC3857" s="37"/>
      <c r="BD3857" s="37"/>
      <c r="BE3857" s="37"/>
      <c r="BF3857" s="37"/>
      <c r="BG3857" s="37"/>
      <c r="BH3857" s="37"/>
      <c r="BI3857" s="37"/>
      <c r="BJ3857" s="37"/>
      <c r="BK3857" s="37"/>
      <c r="BL3857" s="37"/>
      <c r="BM3857" s="37"/>
    </row>
    <row r="3858" spans="1:65" s="40" customFormat="1" ht="21" x14ac:dyDescent="0.35">
      <c r="A3858" s="37"/>
      <c r="B3858" s="37"/>
      <c r="C3858" s="41"/>
      <c r="D3858" s="38"/>
      <c r="E3858" s="38"/>
      <c r="F3858" s="42"/>
      <c r="G3858" s="43"/>
      <c r="H3858" s="37"/>
      <c r="I3858" s="37"/>
      <c r="J3858" s="38"/>
      <c r="K3858" s="37"/>
      <c r="L3858" s="38"/>
      <c r="M3858" s="39"/>
      <c r="P3858" s="37"/>
      <c r="Q3858" s="37"/>
      <c r="R3858" s="37"/>
      <c r="S3858" s="37"/>
      <c r="T3858" s="37"/>
      <c r="U3858" s="37"/>
      <c r="V3858" s="37"/>
      <c r="W3858" s="37"/>
      <c r="X3858" s="37"/>
      <c r="Y3858" s="37"/>
      <c r="Z3858" s="37"/>
      <c r="AA3858" s="37"/>
      <c r="AB3858" s="37"/>
      <c r="AC3858" s="37"/>
      <c r="AD3858" s="37"/>
      <c r="AE3858" s="37"/>
      <c r="AF3858" s="37"/>
      <c r="AG3858" s="37"/>
      <c r="AH3858" s="37"/>
      <c r="AI3858" s="37"/>
      <c r="AJ3858" s="37"/>
      <c r="AK3858" s="37"/>
      <c r="AL3858" s="37"/>
      <c r="AM3858" s="37"/>
      <c r="AN3858" s="37"/>
      <c r="AO3858" s="37"/>
      <c r="AP3858" s="37"/>
      <c r="AQ3858" s="37"/>
      <c r="AR3858" s="37"/>
      <c r="AS3858" s="37"/>
      <c r="AT3858" s="37"/>
      <c r="AU3858" s="37"/>
      <c r="AV3858" s="37"/>
      <c r="AW3858" s="37"/>
      <c r="AX3858" s="37"/>
      <c r="AY3858" s="37"/>
      <c r="AZ3858" s="37"/>
      <c r="BA3858" s="37"/>
      <c r="BB3858" s="37"/>
      <c r="BC3858" s="37"/>
      <c r="BD3858" s="37"/>
      <c r="BE3858" s="37"/>
      <c r="BF3858" s="37"/>
      <c r="BG3858" s="37"/>
      <c r="BH3858" s="37"/>
      <c r="BI3858" s="37"/>
      <c r="BJ3858" s="37"/>
      <c r="BK3858" s="37"/>
      <c r="BL3858" s="37"/>
      <c r="BM3858" s="37"/>
    </row>
    <row r="3859" spans="1:65" s="40" customFormat="1" ht="21" x14ac:dyDescent="0.35">
      <c r="A3859" s="37"/>
      <c r="B3859" s="37"/>
      <c r="C3859" s="41"/>
      <c r="D3859" s="38"/>
      <c r="E3859" s="38"/>
      <c r="F3859" s="42"/>
      <c r="G3859" s="43"/>
      <c r="H3859" s="37"/>
      <c r="I3859" s="37"/>
      <c r="J3859" s="38"/>
      <c r="K3859" s="37"/>
      <c r="L3859" s="38"/>
      <c r="M3859" s="39"/>
      <c r="P3859" s="37"/>
      <c r="Q3859" s="37"/>
      <c r="R3859" s="37"/>
      <c r="S3859" s="37"/>
      <c r="T3859" s="37"/>
      <c r="U3859" s="37"/>
      <c r="V3859" s="37"/>
      <c r="W3859" s="37"/>
      <c r="X3859" s="37"/>
      <c r="Y3859" s="37"/>
      <c r="Z3859" s="37"/>
      <c r="AA3859" s="37"/>
      <c r="AB3859" s="37"/>
      <c r="AC3859" s="37"/>
      <c r="AD3859" s="37"/>
      <c r="AE3859" s="37"/>
      <c r="AF3859" s="37"/>
      <c r="AG3859" s="37"/>
      <c r="AH3859" s="37"/>
      <c r="AI3859" s="37"/>
      <c r="AJ3859" s="37"/>
      <c r="AK3859" s="37"/>
      <c r="AL3859" s="37"/>
      <c r="AM3859" s="37"/>
      <c r="AN3859" s="37"/>
      <c r="AO3859" s="37"/>
      <c r="AP3859" s="37"/>
      <c r="AQ3859" s="37"/>
      <c r="AR3859" s="37"/>
      <c r="AS3859" s="37"/>
      <c r="AT3859" s="37"/>
      <c r="AU3859" s="37"/>
      <c r="AV3859" s="37"/>
      <c r="AW3859" s="37"/>
      <c r="AX3859" s="37"/>
      <c r="AY3859" s="37"/>
      <c r="AZ3859" s="37"/>
      <c r="BA3859" s="37"/>
      <c r="BB3859" s="37"/>
      <c r="BC3859" s="37"/>
      <c r="BD3859" s="37"/>
      <c r="BE3859" s="37"/>
      <c r="BF3859" s="37"/>
      <c r="BG3859" s="37"/>
      <c r="BH3859" s="37"/>
      <c r="BI3859" s="37"/>
      <c r="BJ3859" s="37"/>
      <c r="BK3859" s="37"/>
      <c r="BL3859" s="37"/>
      <c r="BM3859" s="37"/>
    </row>
    <row r="3860" spans="1:65" s="40" customFormat="1" ht="21" x14ac:dyDescent="0.35">
      <c r="A3860" s="37"/>
      <c r="B3860" s="37"/>
      <c r="C3860" s="41"/>
      <c r="D3860" s="38"/>
      <c r="E3860" s="38"/>
      <c r="F3860" s="42"/>
      <c r="G3860" s="43"/>
      <c r="H3860" s="37"/>
      <c r="I3860" s="37"/>
      <c r="J3860" s="38"/>
      <c r="K3860" s="37"/>
      <c r="L3860" s="38"/>
      <c r="M3860" s="39"/>
      <c r="P3860" s="37"/>
      <c r="Q3860" s="37"/>
      <c r="R3860" s="37"/>
      <c r="S3860" s="37"/>
      <c r="T3860" s="37"/>
      <c r="U3860" s="37"/>
      <c r="V3860" s="37"/>
      <c r="W3860" s="37"/>
      <c r="X3860" s="37"/>
      <c r="Y3860" s="37"/>
      <c r="Z3860" s="37"/>
      <c r="AA3860" s="37"/>
      <c r="AB3860" s="37"/>
      <c r="AC3860" s="37"/>
      <c r="AD3860" s="37"/>
      <c r="AE3860" s="37"/>
      <c r="AF3860" s="37"/>
      <c r="AG3860" s="37"/>
      <c r="AH3860" s="37"/>
      <c r="AI3860" s="37"/>
      <c r="AJ3860" s="37"/>
      <c r="AK3860" s="37"/>
      <c r="AL3860" s="37"/>
      <c r="AM3860" s="37"/>
      <c r="AN3860" s="37"/>
      <c r="AO3860" s="37"/>
      <c r="AP3860" s="37"/>
      <c r="AQ3860" s="37"/>
      <c r="AR3860" s="37"/>
      <c r="AS3860" s="37"/>
      <c r="AT3860" s="37"/>
      <c r="AU3860" s="37"/>
      <c r="AV3860" s="37"/>
      <c r="AW3860" s="37"/>
      <c r="AX3860" s="37"/>
      <c r="AY3860" s="37"/>
      <c r="AZ3860" s="37"/>
      <c r="BA3860" s="37"/>
      <c r="BB3860" s="37"/>
      <c r="BC3860" s="37"/>
      <c r="BD3860" s="37"/>
      <c r="BE3860" s="37"/>
      <c r="BF3860" s="37"/>
      <c r="BG3860" s="37"/>
      <c r="BH3860" s="37"/>
      <c r="BI3860" s="37"/>
      <c r="BJ3860" s="37"/>
      <c r="BK3860" s="37"/>
      <c r="BL3860" s="37"/>
      <c r="BM3860" s="37"/>
    </row>
    <row r="3861" spans="1:65" s="40" customFormat="1" ht="21" x14ac:dyDescent="0.35">
      <c r="A3861" s="37"/>
      <c r="B3861" s="37"/>
      <c r="C3861" s="41"/>
      <c r="D3861" s="38"/>
      <c r="E3861" s="38"/>
      <c r="F3861" s="42"/>
      <c r="G3861" s="43"/>
      <c r="H3861" s="37"/>
      <c r="I3861" s="37"/>
      <c r="J3861" s="38"/>
      <c r="K3861" s="37"/>
      <c r="L3861" s="38"/>
      <c r="M3861" s="39"/>
      <c r="P3861" s="37"/>
      <c r="Q3861" s="37"/>
      <c r="R3861" s="37"/>
      <c r="S3861" s="37"/>
      <c r="T3861" s="37"/>
      <c r="U3861" s="37"/>
      <c r="V3861" s="37"/>
      <c r="W3861" s="37"/>
      <c r="X3861" s="37"/>
      <c r="Y3861" s="37"/>
      <c r="Z3861" s="37"/>
      <c r="AA3861" s="37"/>
      <c r="AB3861" s="37"/>
      <c r="AC3861" s="37"/>
      <c r="AD3861" s="37"/>
      <c r="AE3861" s="37"/>
      <c r="AF3861" s="37"/>
      <c r="AG3861" s="37"/>
      <c r="AH3861" s="37"/>
      <c r="AI3861" s="37"/>
      <c r="AJ3861" s="37"/>
      <c r="AK3861" s="37"/>
      <c r="AL3861" s="37"/>
      <c r="AM3861" s="37"/>
      <c r="AN3861" s="37"/>
      <c r="AO3861" s="37"/>
      <c r="AP3861" s="37"/>
      <c r="AQ3861" s="37"/>
      <c r="AR3861" s="37"/>
      <c r="AS3861" s="37"/>
      <c r="AT3861" s="37"/>
      <c r="AU3861" s="37"/>
      <c r="AV3861" s="37"/>
      <c r="AW3861" s="37"/>
      <c r="AX3861" s="37"/>
      <c r="AY3861" s="37"/>
      <c r="AZ3861" s="37"/>
      <c r="BA3861" s="37"/>
      <c r="BB3861" s="37"/>
      <c r="BC3861" s="37"/>
      <c r="BD3861" s="37"/>
      <c r="BE3861" s="37"/>
      <c r="BF3861" s="37"/>
      <c r="BG3861" s="37"/>
      <c r="BH3861" s="37"/>
      <c r="BI3861" s="37"/>
      <c r="BJ3861" s="37"/>
      <c r="BK3861" s="37"/>
      <c r="BL3861" s="37"/>
      <c r="BM3861" s="37"/>
    </row>
    <row r="3862" spans="1:65" s="40" customFormat="1" ht="21" x14ac:dyDescent="0.35">
      <c r="A3862" s="37"/>
      <c r="B3862" s="37"/>
      <c r="C3862" s="41"/>
      <c r="D3862" s="38"/>
      <c r="E3862" s="38"/>
      <c r="F3862" s="42"/>
      <c r="G3862" s="43"/>
      <c r="H3862" s="37"/>
      <c r="I3862" s="37"/>
      <c r="J3862" s="38"/>
      <c r="K3862" s="37"/>
      <c r="L3862" s="38"/>
      <c r="M3862" s="39"/>
      <c r="P3862" s="37"/>
      <c r="Q3862" s="37"/>
      <c r="R3862" s="37"/>
      <c r="S3862" s="37"/>
      <c r="T3862" s="37"/>
      <c r="U3862" s="37"/>
      <c r="V3862" s="37"/>
      <c r="W3862" s="37"/>
      <c r="X3862" s="37"/>
      <c r="Y3862" s="37"/>
      <c r="Z3862" s="37"/>
      <c r="AA3862" s="37"/>
      <c r="AB3862" s="37"/>
      <c r="AC3862" s="37"/>
      <c r="AD3862" s="37"/>
      <c r="AE3862" s="37"/>
      <c r="AF3862" s="37"/>
      <c r="AG3862" s="37"/>
      <c r="AH3862" s="37"/>
      <c r="AI3862" s="37"/>
      <c r="AJ3862" s="37"/>
      <c r="AK3862" s="37"/>
      <c r="AL3862" s="37"/>
      <c r="AM3862" s="37"/>
      <c r="AN3862" s="37"/>
      <c r="AO3862" s="37"/>
      <c r="AP3862" s="37"/>
      <c r="AQ3862" s="37"/>
      <c r="AR3862" s="37"/>
      <c r="AS3862" s="37"/>
      <c r="AT3862" s="37"/>
      <c r="AU3862" s="37"/>
      <c r="AV3862" s="37"/>
      <c r="AW3862" s="37"/>
      <c r="AX3862" s="37"/>
      <c r="AY3862" s="37"/>
      <c r="AZ3862" s="37"/>
      <c r="BA3862" s="37"/>
      <c r="BB3862" s="37"/>
      <c r="BC3862" s="37"/>
      <c r="BD3862" s="37"/>
      <c r="BE3862" s="37"/>
      <c r="BF3862" s="37"/>
      <c r="BG3862" s="37"/>
      <c r="BH3862" s="37"/>
      <c r="BI3862" s="37"/>
      <c r="BJ3862" s="37"/>
      <c r="BK3862" s="37"/>
      <c r="BL3862" s="37"/>
      <c r="BM3862" s="37"/>
    </row>
    <row r="3863" spans="1:65" s="40" customFormat="1" ht="21" x14ac:dyDescent="0.35">
      <c r="A3863" s="37"/>
      <c r="B3863" s="37"/>
      <c r="C3863" s="41"/>
      <c r="D3863" s="38"/>
      <c r="E3863" s="38"/>
      <c r="F3863" s="42"/>
      <c r="G3863" s="43"/>
      <c r="H3863" s="37"/>
      <c r="I3863" s="37"/>
      <c r="J3863" s="38"/>
      <c r="K3863" s="37"/>
      <c r="L3863" s="38"/>
      <c r="M3863" s="39"/>
      <c r="P3863" s="37"/>
      <c r="Q3863" s="37"/>
      <c r="R3863" s="37"/>
      <c r="S3863" s="37"/>
      <c r="T3863" s="37"/>
      <c r="U3863" s="37"/>
      <c r="V3863" s="37"/>
      <c r="W3863" s="37"/>
      <c r="X3863" s="37"/>
      <c r="Y3863" s="37"/>
      <c r="Z3863" s="37"/>
      <c r="AA3863" s="37"/>
      <c r="AB3863" s="37"/>
      <c r="AC3863" s="37"/>
      <c r="AD3863" s="37"/>
      <c r="AE3863" s="37"/>
      <c r="AF3863" s="37"/>
      <c r="AG3863" s="37"/>
      <c r="AH3863" s="37"/>
      <c r="AI3863" s="37"/>
      <c r="AJ3863" s="37"/>
      <c r="AK3863" s="37"/>
      <c r="AL3863" s="37"/>
      <c r="AM3863" s="37"/>
      <c r="AN3863" s="37"/>
      <c r="AO3863" s="37"/>
      <c r="AP3863" s="37"/>
      <c r="AQ3863" s="37"/>
      <c r="AR3863" s="37"/>
      <c r="AS3863" s="37"/>
      <c r="AT3863" s="37"/>
      <c r="AU3863" s="37"/>
      <c r="AV3863" s="37"/>
      <c r="AW3863" s="37"/>
      <c r="AX3863" s="37"/>
      <c r="AY3863" s="37"/>
      <c r="AZ3863" s="37"/>
      <c r="BA3863" s="37"/>
      <c r="BB3863" s="37"/>
      <c r="BC3863" s="37"/>
      <c r="BD3863" s="37"/>
      <c r="BE3863" s="37"/>
      <c r="BF3863" s="37"/>
      <c r="BG3863" s="37"/>
      <c r="BH3863" s="37"/>
      <c r="BI3863" s="37"/>
      <c r="BJ3863" s="37"/>
      <c r="BK3863" s="37"/>
      <c r="BL3863" s="37"/>
      <c r="BM3863" s="37"/>
    </row>
    <row r="3864" spans="1:65" s="40" customFormat="1" ht="21" x14ac:dyDescent="0.35">
      <c r="A3864" s="37"/>
      <c r="B3864" s="37"/>
      <c r="C3864" s="41"/>
      <c r="D3864" s="38"/>
      <c r="E3864" s="38"/>
      <c r="F3864" s="42"/>
      <c r="G3864" s="43"/>
      <c r="H3864" s="37"/>
      <c r="I3864" s="37"/>
      <c r="J3864" s="38"/>
      <c r="K3864" s="37"/>
      <c r="L3864" s="38"/>
      <c r="M3864" s="39"/>
      <c r="P3864" s="37"/>
      <c r="Q3864" s="37"/>
      <c r="R3864" s="37"/>
      <c r="S3864" s="37"/>
      <c r="T3864" s="37"/>
      <c r="U3864" s="37"/>
      <c r="V3864" s="37"/>
      <c r="W3864" s="37"/>
      <c r="X3864" s="37"/>
      <c r="Y3864" s="37"/>
      <c r="Z3864" s="37"/>
      <c r="AA3864" s="37"/>
      <c r="AB3864" s="37"/>
      <c r="AC3864" s="37"/>
      <c r="AD3864" s="37"/>
      <c r="AE3864" s="37"/>
      <c r="AF3864" s="37"/>
      <c r="AG3864" s="37"/>
      <c r="AH3864" s="37"/>
      <c r="AI3864" s="37"/>
      <c r="AJ3864" s="37"/>
      <c r="AK3864" s="37"/>
      <c r="AL3864" s="37"/>
      <c r="AM3864" s="37"/>
      <c r="AN3864" s="37"/>
      <c r="AO3864" s="37"/>
      <c r="AP3864" s="37"/>
      <c r="AQ3864" s="37"/>
      <c r="AR3864" s="37"/>
      <c r="AS3864" s="37"/>
      <c r="AT3864" s="37"/>
      <c r="AU3864" s="37"/>
      <c r="AV3864" s="37"/>
      <c r="AW3864" s="37"/>
      <c r="AX3864" s="37"/>
      <c r="AY3864" s="37"/>
      <c r="AZ3864" s="37"/>
      <c r="BA3864" s="37"/>
      <c r="BB3864" s="37"/>
      <c r="BC3864" s="37"/>
      <c r="BD3864" s="37"/>
      <c r="BE3864" s="37"/>
      <c r="BF3864" s="37"/>
      <c r="BG3864" s="37"/>
      <c r="BH3864" s="37"/>
      <c r="BI3864" s="37"/>
      <c r="BJ3864" s="37"/>
      <c r="BK3864" s="37"/>
      <c r="BL3864" s="37"/>
      <c r="BM3864" s="37"/>
    </row>
    <row r="3865" spans="1:65" s="40" customFormat="1" ht="21" x14ac:dyDescent="0.35">
      <c r="A3865" s="37"/>
      <c r="B3865" s="37"/>
      <c r="C3865" s="41"/>
      <c r="D3865" s="38"/>
      <c r="E3865" s="38"/>
      <c r="F3865" s="42"/>
      <c r="G3865" s="43"/>
      <c r="H3865" s="37"/>
      <c r="I3865" s="37"/>
      <c r="J3865" s="38"/>
      <c r="K3865" s="37"/>
      <c r="L3865" s="38"/>
      <c r="M3865" s="39"/>
      <c r="P3865" s="37"/>
      <c r="Q3865" s="37"/>
      <c r="R3865" s="37"/>
      <c r="S3865" s="37"/>
      <c r="T3865" s="37"/>
      <c r="U3865" s="37"/>
      <c r="V3865" s="37"/>
      <c r="W3865" s="37"/>
      <c r="X3865" s="37"/>
      <c r="Y3865" s="37"/>
      <c r="Z3865" s="37"/>
      <c r="AA3865" s="37"/>
      <c r="AB3865" s="37"/>
      <c r="AC3865" s="37"/>
      <c r="AD3865" s="37"/>
      <c r="AE3865" s="37"/>
      <c r="AF3865" s="37"/>
      <c r="AG3865" s="37"/>
      <c r="AH3865" s="37"/>
      <c r="AI3865" s="37"/>
      <c r="AJ3865" s="37"/>
      <c r="AK3865" s="37"/>
      <c r="AL3865" s="37"/>
      <c r="AM3865" s="37"/>
      <c r="AN3865" s="37"/>
      <c r="AO3865" s="37"/>
      <c r="AP3865" s="37"/>
      <c r="AQ3865" s="37"/>
      <c r="AR3865" s="37"/>
      <c r="AS3865" s="37"/>
      <c r="AT3865" s="37"/>
      <c r="AU3865" s="37"/>
      <c r="AV3865" s="37"/>
      <c r="AW3865" s="37"/>
      <c r="AX3865" s="37"/>
      <c r="AY3865" s="37"/>
      <c r="AZ3865" s="37"/>
      <c r="BA3865" s="37"/>
      <c r="BB3865" s="37"/>
      <c r="BC3865" s="37"/>
      <c r="BD3865" s="37"/>
      <c r="BE3865" s="37"/>
      <c r="BF3865" s="37"/>
      <c r="BG3865" s="37"/>
      <c r="BH3865" s="37"/>
      <c r="BI3865" s="37"/>
      <c r="BJ3865" s="37"/>
      <c r="BK3865" s="37"/>
      <c r="BL3865" s="37"/>
      <c r="BM3865" s="37"/>
    </row>
    <row r="3866" spans="1:65" s="40" customFormat="1" ht="21" x14ac:dyDescent="0.35">
      <c r="A3866" s="37"/>
      <c r="B3866" s="37"/>
      <c r="C3866" s="41"/>
      <c r="D3866" s="38"/>
      <c r="E3866" s="38"/>
      <c r="F3866" s="42"/>
      <c r="G3866" s="43"/>
      <c r="H3866" s="37"/>
      <c r="I3866" s="37"/>
      <c r="J3866" s="38"/>
      <c r="K3866" s="37"/>
      <c r="L3866" s="38"/>
      <c r="M3866" s="39"/>
      <c r="P3866" s="37"/>
      <c r="Q3866" s="37"/>
      <c r="R3866" s="37"/>
      <c r="S3866" s="37"/>
      <c r="T3866" s="37"/>
      <c r="U3866" s="37"/>
      <c r="V3866" s="37"/>
      <c r="W3866" s="37"/>
      <c r="X3866" s="37"/>
      <c r="Y3866" s="37"/>
      <c r="Z3866" s="37"/>
      <c r="AA3866" s="37"/>
      <c r="AB3866" s="37"/>
      <c r="AC3866" s="37"/>
      <c r="AD3866" s="37"/>
      <c r="AE3866" s="37"/>
      <c r="AF3866" s="37"/>
      <c r="AG3866" s="37"/>
      <c r="AH3866" s="37"/>
      <c r="AI3866" s="37"/>
      <c r="AJ3866" s="37"/>
      <c r="AK3866" s="37"/>
      <c r="AL3866" s="37"/>
      <c r="AM3866" s="37"/>
      <c r="AN3866" s="37"/>
      <c r="AO3866" s="37"/>
      <c r="AP3866" s="37"/>
      <c r="AQ3866" s="37"/>
      <c r="AR3866" s="37"/>
      <c r="AS3866" s="37"/>
      <c r="AT3866" s="37"/>
      <c r="AU3866" s="37"/>
      <c r="AV3866" s="37"/>
      <c r="AW3866" s="37"/>
      <c r="AX3866" s="37"/>
      <c r="AY3866" s="37"/>
      <c r="AZ3866" s="37"/>
      <c r="BA3866" s="37"/>
      <c r="BB3866" s="37"/>
      <c r="BC3866" s="37"/>
      <c r="BD3866" s="37"/>
      <c r="BE3866" s="37"/>
      <c r="BF3866" s="37"/>
      <c r="BG3866" s="37"/>
      <c r="BH3866" s="37"/>
      <c r="BI3866" s="37"/>
      <c r="BJ3866" s="37"/>
      <c r="BK3866" s="37"/>
      <c r="BL3866" s="37"/>
      <c r="BM3866" s="37"/>
    </row>
    <row r="3867" spans="1:65" s="40" customFormat="1" ht="21" x14ac:dyDescent="0.35">
      <c r="A3867" s="37"/>
      <c r="B3867" s="37"/>
      <c r="C3867" s="41"/>
      <c r="D3867" s="38"/>
      <c r="E3867" s="38"/>
      <c r="F3867" s="42"/>
      <c r="G3867" s="43"/>
      <c r="H3867" s="37"/>
      <c r="I3867" s="37"/>
      <c r="J3867" s="38"/>
      <c r="K3867" s="37"/>
      <c r="L3867" s="38"/>
      <c r="M3867" s="39"/>
      <c r="P3867" s="37"/>
      <c r="Q3867" s="37"/>
      <c r="R3867" s="37"/>
      <c r="S3867" s="37"/>
      <c r="T3867" s="37"/>
      <c r="U3867" s="37"/>
      <c r="V3867" s="37"/>
      <c r="W3867" s="37"/>
      <c r="X3867" s="37"/>
      <c r="Y3867" s="37"/>
      <c r="Z3867" s="37"/>
      <c r="AA3867" s="37"/>
      <c r="AB3867" s="37"/>
      <c r="AC3867" s="37"/>
      <c r="AD3867" s="37"/>
      <c r="AE3867" s="37"/>
      <c r="AF3867" s="37"/>
      <c r="AG3867" s="37"/>
      <c r="AH3867" s="37"/>
      <c r="AI3867" s="37"/>
      <c r="AJ3867" s="37"/>
      <c r="AK3867" s="37"/>
      <c r="AL3867" s="37"/>
      <c r="AM3867" s="37"/>
      <c r="AN3867" s="37"/>
      <c r="AO3867" s="37"/>
      <c r="AP3867" s="37"/>
      <c r="AQ3867" s="37"/>
      <c r="AR3867" s="37"/>
      <c r="AS3867" s="37"/>
      <c r="AT3867" s="37"/>
      <c r="AU3867" s="37"/>
      <c r="AV3867" s="37"/>
      <c r="AW3867" s="37"/>
      <c r="AX3867" s="37"/>
      <c r="AY3867" s="37"/>
      <c r="AZ3867" s="37"/>
      <c r="BA3867" s="37"/>
      <c r="BB3867" s="37"/>
      <c r="BC3867" s="37"/>
      <c r="BD3867" s="37"/>
      <c r="BE3867" s="37"/>
      <c r="BF3867" s="37"/>
      <c r="BG3867" s="37"/>
      <c r="BH3867" s="37"/>
      <c r="BI3867" s="37"/>
      <c r="BJ3867" s="37"/>
      <c r="BK3867" s="37"/>
      <c r="BL3867" s="37"/>
      <c r="BM3867" s="37"/>
    </row>
    <row r="3868" spans="1:65" s="40" customFormat="1" ht="21" x14ac:dyDescent="0.35">
      <c r="A3868" s="37"/>
      <c r="B3868" s="37"/>
      <c r="C3868" s="41"/>
      <c r="D3868" s="38"/>
      <c r="E3868" s="38"/>
      <c r="F3868" s="42"/>
      <c r="G3868" s="43"/>
      <c r="H3868" s="37"/>
      <c r="I3868" s="37"/>
      <c r="J3868" s="38"/>
      <c r="K3868" s="37"/>
      <c r="L3868" s="38"/>
      <c r="M3868" s="39"/>
      <c r="P3868" s="37"/>
      <c r="Q3868" s="37"/>
      <c r="R3868" s="37"/>
      <c r="S3868" s="37"/>
      <c r="T3868" s="37"/>
      <c r="U3868" s="37"/>
      <c r="V3868" s="37"/>
      <c r="W3868" s="37"/>
      <c r="X3868" s="37"/>
      <c r="Y3868" s="37"/>
      <c r="Z3868" s="37"/>
      <c r="AA3868" s="37"/>
      <c r="AB3868" s="37"/>
      <c r="AC3868" s="37"/>
      <c r="AD3868" s="37"/>
      <c r="AE3868" s="37"/>
      <c r="AF3868" s="37"/>
      <c r="AG3868" s="37"/>
      <c r="AH3868" s="37"/>
      <c r="AI3868" s="37"/>
      <c r="AJ3868" s="37"/>
      <c r="AK3868" s="37"/>
      <c r="AL3868" s="37"/>
      <c r="AM3868" s="37"/>
      <c r="AN3868" s="37"/>
      <c r="AO3868" s="37"/>
      <c r="AP3868" s="37"/>
      <c r="AQ3868" s="37"/>
      <c r="AR3868" s="37"/>
      <c r="AS3868" s="37"/>
      <c r="AT3868" s="37"/>
      <c r="AU3868" s="37"/>
      <c r="AV3868" s="37"/>
      <c r="AW3868" s="37"/>
      <c r="AX3868" s="37"/>
      <c r="AY3868" s="37"/>
      <c r="AZ3868" s="37"/>
      <c r="BA3868" s="37"/>
      <c r="BB3868" s="37"/>
      <c r="BC3868" s="37"/>
      <c r="BD3868" s="37"/>
      <c r="BE3868" s="37"/>
      <c r="BF3868" s="37"/>
      <c r="BG3868" s="37"/>
      <c r="BH3868" s="37"/>
      <c r="BI3868" s="37"/>
      <c r="BJ3868" s="37"/>
      <c r="BK3868" s="37"/>
      <c r="BL3868" s="37"/>
      <c r="BM3868" s="37"/>
    </row>
    <row r="3869" spans="1:65" s="40" customFormat="1" ht="21" x14ac:dyDescent="0.35">
      <c r="A3869" s="37"/>
      <c r="B3869" s="37"/>
      <c r="C3869" s="41"/>
      <c r="D3869" s="38"/>
      <c r="E3869" s="38"/>
      <c r="F3869" s="42"/>
      <c r="G3869" s="43"/>
      <c r="H3869" s="37"/>
      <c r="I3869" s="37"/>
      <c r="J3869" s="38"/>
      <c r="K3869" s="37"/>
      <c r="L3869" s="38"/>
      <c r="M3869" s="39"/>
      <c r="P3869" s="37"/>
      <c r="Q3869" s="37"/>
      <c r="R3869" s="37"/>
      <c r="S3869" s="37"/>
      <c r="T3869" s="37"/>
      <c r="U3869" s="37"/>
      <c r="V3869" s="37"/>
      <c r="W3869" s="37"/>
      <c r="X3869" s="37"/>
      <c r="Y3869" s="37"/>
      <c r="Z3869" s="37"/>
      <c r="AA3869" s="37"/>
      <c r="AB3869" s="37"/>
      <c r="AC3869" s="37"/>
      <c r="AD3869" s="37"/>
      <c r="AE3869" s="37"/>
      <c r="AF3869" s="37"/>
      <c r="AG3869" s="37"/>
      <c r="AH3869" s="37"/>
      <c r="AI3869" s="37"/>
      <c r="AJ3869" s="37"/>
      <c r="AK3869" s="37"/>
      <c r="AL3869" s="37"/>
      <c r="AM3869" s="37"/>
      <c r="AN3869" s="37"/>
      <c r="AO3869" s="37"/>
      <c r="AP3869" s="37"/>
      <c r="AQ3869" s="37"/>
      <c r="AR3869" s="37"/>
      <c r="AS3869" s="37"/>
      <c r="AT3869" s="37"/>
      <c r="AU3869" s="37"/>
      <c r="AV3869" s="37"/>
      <c r="AW3869" s="37"/>
      <c r="AX3869" s="37"/>
      <c r="AY3869" s="37"/>
      <c r="AZ3869" s="37"/>
      <c r="BA3869" s="37"/>
      <c r="BB3869" s="37"/>
      <c r="BC3869" s="37"/>
      <c r="BD3869" s="37"/>
      <c r="BE3869" s="37"/>
      <c r="BF3869" s="37"/>
      <c r="BG3869" s="37"/>
      <c r="BH3869" s="37"/>
      <c r="BI3869" s="37"/>
      <c r="BJ3869" s="37"/>
      <c r="BK3869" s="37"/>
      <c r="BL3869" s="37"/>
      <c r="BM3869" s="37"/>
    </row>
    <row r="3870" spans="1:65" s="40" customFormat="1" ht="21" x14ac:dyDescent="0.35">
      <c r="A3870" s="37"/>
      <c r="B3870" s="37"/>
      <c r="C3870" s="41"/>
      <c r="D3870" s="38"/>
      <c r="E3870" s="38"/>
      <c r="F3870" s="42"/>
      <c r="G3870" s="43"/>
      <c r="H3870" s="37"/>
      <c r="I3870" s="37"/>
      <c r="J3870" s="38"/>
      <c r="K3870" s="37"/>
      <c r="L3870" s="38"/>
      <c r="M3870" s="39"/>
      <c r="P3870" s="37"/>
      <c r="Q3870" s="37"/>
      <c r="R3870" s="37"/>
      <c r="S3870" s="37"/>
      <c r="T3870" s="37"/>
      <c r="U3870" s="37"/>
      <c r="V3870" s="37"/>
      <c r="W3870" s="37"/>
      <c r="X3870" s="37"/>
      <c r="Y3870" s="37"/>
      <c r="Z3870" s="37"/>
      <c r="AA3870" s="37"/>
      <c r="AB3870" s="37"/>
      <c r="AC3870" s="37"/>
      <c r="AD3870" s="37"/>
      <c r="AE3870" s="37"/>
      <c r="AF3870" s="37"/>
      <c r="AG3870" s="37"/>
      <c r="AH3870" s="37"/>
      <c r="AI3870" s="37"/>
      <c r="AJ3870" s="37"/>
      <c r="AK3870" s="37"/>
      <c r="AL3870" s="37"/>
      <c r="AM3870" s="37"/>
      <c r="AN3870" s="37"/>
      <c r="AO3870" s="37"/>
      <c r="AP3870" s="37"/>
      <c r="AQ3870" s="37"/>
      <c r="AR3870" s="37"/>
      <c r="AS3870" s="37"/>
      <c r="AT3870" s="37"/>
      <c r="AU3870" s="37"/>
      <c r="AV3870" s="37"/>
      <c r="AW3870" s="37"/>
      <c r="AX3870" s="37"/>
      <c r="AY3870" s="37"/>
      <c r="AZ3870" s="37"/>
      <c r="BA3870" s="37"/>
      <c r="BB3870" s="37"/>
      <c r="BC3870" s="37"/>
      <c r="BD3870" s="37"/>
      <c r="BE3870" s="37"/>
      <c r="BF3870" s="37"/>
      <c r="BG3870" s="37"/>
      <c r="BH3870" s="37"/>
      <c r="BI3870" s="37"/>
      <c r="BJ3870" s="37"/>
      <c r="BK3870" s="37"/>
      <c r="BL3870" s="37"/>
      <c r="BM3870" s="37"/>
    </row>
    <row r="3871" spans="1:65" s="40" customFormat="1" ht="21" x14ac:dyDescent="0.35">
      <c r="A3871" s="37"/>
      <c r="B3871" s="37"/>
      <c r="C3871" s="41"/>
      <c r="D3871" s="38"/>
      <c r="E3871" s="38"/>
      <c r="F3871" s="42"/>
      <c r="G3871" s="43"/>
      <c r="H3871" s="37"/>
      <c r="I3871" s="37"/>
      <c r="J3871" s="38"/>
      <c r="K3871" s="37"/>
      <c r="L3871" s="38"/>
      <c r="M3871" s="39"/>
      <c r="P3871" s="37"/>
      <c r="Q3871" s="37"/>
      <c r="R3871" s="37"/>
      <c r="S3871" s="37"/>
      <c r="T3871" s="37"/>
      <c r="U3871" s="37"/>
      <c r="V3871" s="37"/>
      <c r="W3871" s="37"/>
      <c r="X3871" s="37"/>
      <c r="Y3871" s="37"/>
      <c r="Z3871" s="37"/>
      <c r="AA3871" s="37"/>
      <c r="AB3871" s="37"/>
      <c r="AC3871" s="37"/>
      <c r="AD3871" s="37"/>
      <c r="AE3871" s="37"/>
      <c r="AF3871" s="37"/>
      <c r="AG3871" s="37"/>
      <c r="AH3871" s="37"/>
      <c r="AI3871" s="37"/>
      <c r="AJ3871" s="37"/>
      <c r="AK3871" s="37"/>
      <c r="AL3871" s="37"/>
      <c r="AM3871" s="37"/>
      <c r="AN3871" s="37"/>
      <c r="AO3871" s="37"/>
      <c r="AP3871" s="37"/>
      <c r="AQ3871" s="37"/>
      <c r="AR3871" s="37"/>
      <c r="AS3871" s="37"/>
      <c r="AT3871" s="37"/>
      <c r="AU3871" s="37"/>
      <c r="AV3871" s="37"/>
      <c r="AW3871" s="37"/>
      <c r="AX3871" s="37"/>
      <c r="AY3871" s="37"/>
      <c r="AZ3871" s="37"/>
      <c r="BA3871" s="37"/>
      <c r="BB3871" s="37"/>
      <c r="BC3871" s="37"/>
      <c r="BD3871" s="37"/>
      <c r="BE3871" s="37"/>
      <c r="BF3871" s="37"/>
      <c r="BG3871" s="37"/>
      <c r="BH3871" s="37"/>
      <c r="BI3871" s="37"/>
      <c r="BJ3871" s="37"/>
      <c r="BK3871" s="37"/>
      <c r="BL3871" s="37"/>
      <c r="BM3871" s="37"/>
    </row>
    <row r="3872" spans="1:65" s="40" customFormat="1" ht="21" x14ac:dyDescent="0.35">
      <c r="A3872" s="37"/>
      <c r="B3872" s="37"/>
      <c r="C3872" s="41"/>
      <c r="D3872" s="38"/>
      <c r="E3872" s="38"/>
      <c r="F3872" s="42"/>
      <c r="G3872" s="43"/>
      <c r="H3872" s="37"/>
      <c r="I3872" s="37"/>
      <c r="J3872" s="38"/>
      <c r="K3872" s="37"/>
      <c r="L3872" s="38"/>
      <c r="M3872" s="39"/>
      <c r="P3872" s="37"/>
      <c r="Q3872" s="37"/>
      <c r="R3872" s="37"/>
      <c r="S3872" s="37"/>
      <c r="T3872" s="37"/>
      <c r="U3872" s="37"/>
      <c r="V3872" s="37"/>
      <c r="W3872" s="37"/>
      <c r="X3872" s="37"/>
      <c r="Y3872" s="37"/>
      <c r="Z3872" s="37"/>
      <c r="AA3872" s="37"/>
      <c r="AB3872" s="37"/>
      <c r="AC3872" s="37"/>
      <c r="AD3872" s="37"/>
      <c r="AE3872" s="37"/>
      <c r="AF3872" s="37"/>
      <c r="AG3872" s="37"/>
      <c r="AH3872" s="37"/>
      <c r="AI3872" s="37"/>
      <c r="AJ3872" s="37"/>
      <c r="AK3872" s="37"/>
      <c r="AL3872" s="37"/>
      <c r="AM3872" s="37"/>
      <c r="AN3872" s="37"/>
      <c r="AO3872" s="37"/>
      <c r="AP3872" s="37"/>
      <c r="AQ3872" s="37"/>
      <c r="AR3872" s="37"/>
      <c r="AS3872" s="37"/>
      <c r="AT3872" s="37"/>
      <c r="AU3872" s="37"/>
      <c r="AV3872" s="37"/>
      <c r="AW3872" s="37"/>
      <c r="AX3872" s="37"/>
      <c r="AY3872" s="37"/>
      <c r="AZ3872" s="37"/>
      <c r="BA3872" s="37"/>
      <c r="BB3872" s="37"/>
      <c r="BC3872" s="37"/>
      <c r="BD3872" s="37"/>
      <c r="BE3872" s="37"/>
      <c r="BF3872" s="37"/>
      <c r="BG3872" s="37"/>
      <c r="BH3872" s="37"/>
      <c r="BI3872" s="37"/>
      <c r="BJ3872" s="37"/>
      <c r="BK3872" s="37"/>
      <c r="BL3872" s="37"/>
      <c r="BM3872" s="37"/>
    </row>
    <row r="3873" spans="1:65" s="40" customFormat="1" ht="21" x14ac:dyDescent="0.35">
      <c r="A3873" s="37"/>
      <c r="B3873" s="37"/>
      <c r="C3873" s="41"/>
      <c r="D3873" s="38"/>
      <c r="E3873" s="38"/>
      <c r="F3873" s="42"/>
      <c r="G3873" s="43"/>
      <c r="H3873" s="37"/>
      <c r="I3873" s="37"/>
      <c r="J3873" s="38"/>
      <c r="K3873" s="37"/>
      <c r="L3873" s="38"/>
      <c r="M3873" s="39"/>
      <c r="P3873" s="37"/>
      <c r="Q3873" s="37"/>
      <c r="R3873" s="37"/>
      <c r="S3873" s="37"/>
      <c r="T3873" s="37"/>
      <c r="U3873" s="37"/>
      <c r="V3873" s="37"/>
      <c r="W3873" s="37"/>
      <c r="X3873" s="37"/>
      <c r="Y3873" s="37"/>
      <c r="Z3873" s="37"/>
      <c r="AA3873" s="37"/>
      <c r="AB3873" s="37"/>
      <c r="AC3873" s="37"/>
      <c r="AD3873" s="37"/>
      <c r="AE3873" s="37"/>
      <c r="AF3873" s="37"/>
      <c r="AG3873" s="37"/>
      <c r="AH3873" s="37"/>
      <c r="AI3873" s="37"/>
      <c r="AJ3873" s="37"/>
      <c r="AK3873" s="37"/>
      <c r="AL3873" s="37"/>
      <c r="AM3873" s="37"/>
      <c r="AN3873" s="37"/>
      <c r="AO3873" s="37"/>
      <c r="AP3873" s="37"/>
      <c r="AQ3873" s="37"/>
      <c r="AR3873" s="37"/>
      <c r="AS3873" s="37"/>
      <c r="AT3873" s="37"/>
      <c r="AU3873" s="37"/>
      <c r="AV3873" s="37"/>
      <c r="AW3873" s="37"/>
      <c r="AX3873" s="37"/>
      <c r="AY3873" s="37"/>
      <c r="AZ3873" s="37"/>
      <c r="BA3873" s="37"/>
      <c r="BB3873" s="37"/>
      <c r="BC3873" s="37"/>
      <c r="BD3873" s="37"/>
      <c r="BE3873" s="37"/>
      <c r="BF3873" s="37"/>
      <c r="BG3873" s="37"/>
      <c r="BH3873" s="37"/>
      <c r="BI3873" s="37"/>
      <c r="BJ3873" s="37"/>
      <c r="BK3873" s="37"/>
      <c r="BL3873" s="37"/>
      <c r="BM3873" s="37"/>
    </row>
    <row r="3874" spans="1:65" s="40" customFormat="1" ht="21" x14ac:dyDescent="0.35">
      <c r="A3874" s="37"/>
      <c r="B3874" s="37"/>
      <c r="C3874" s="41"/>
      <c r="D3874" s="38"/>
      <c r="E3874" s="38"/>
      <c r="F3874" s="42"/>
      <c r="G3874" s="43"/>
      <c r="H3874" s="37"/>
      <c r="I3874" s="37"/>
      <c r="J3874" s="38"/>
      <c r="K3874" s="37"/>
      <c r="L3874" s="38"/>
      <c r="M3874" s="39"/>
      <c r="P3874" s="37"/>
      <c r="Q3874" s="37"/>
      <c r="R3874" s="37"/>
      <c r="S3874" s="37"/>
      <c r="T3874" s="37"/>
      <c r="U3874" s="37"/>
      <c r="V3874" s="37"/>
      <c r="W3874" s="37"/>
      <c r="X3874" s="37"/>
      <c r="Y3874" s="37"/>
      <c r="Z3874" s="37"/>
      <c r="AA3874" s="37"/>
      <c r="AB3874" s="37"/>
      <c r="AC3874" s="37"/>
      <c r="AD3874" s="37"/>
      <c r="AE3874" s="37"/>
      <c r="AF3874" s="37"/>
      <c r="AG3874" s="37"/>
      <c r="AH3874" s="37"/>
      <c r="AI3874" s="37"/>
      <c r="AJ3874" s="37"/>
      <c r="AK3874" s="37"/>
      <c r="AL3874" s="37"/>
      <c r="AM3874" s="37"/>
      <c r="AN3874" s="37"/>
      <c r="AO3874" s="37"/>
      <c r="AP3874" s="37"/>
      <c r="AQ3874" s="37"/>
      <c r="AR3874" s="37"/>
      <c r="AS3874" s="37"/>
      <c r="AT3874" s="37"/>
      <c r="AU3874" s="37"/>
      <c r="AV3874" s="37"/>
      <c r="AW3874" s="37"/>
      <c r="AX3874" s="37"/>
      <c r="AY3874" s="37"/>
      <c r="AZ3874" s="37"/>
      <c r="BA3874" s="37"/>
      <c r="BB3874" s="37"/>
      <c r="BC3874" s="37"/>
      <c r="BD3874" s="37"/>
      <c r="BE3874" s="37"/>
      <c r="BF3874" s="37"/>
      <c r="BG3874" s="37"/>
      <c r="BH3874" s="37"/>
      <c r="BI3874" s="37"/>
      <c r="BJ3874" s="37"/>
      <c r="BK3874" s="37"/>
      <c r="BL3874" s="37"/>
      <c r="BM3874" s="37"/>
    </row>
    <row r="3875" spans="1:65" s="40" customFormat="1" ht="21" x14ac:dyDescent="0.35">
      <c r="A3875" s="37"/>
      <c r="B3875" s="37"/>
      <c r="C3875" s="41"/>
      <c r="D3875" s="38"/>
      <c r="E3875" s="38"/>
      <c r="F3875" s="42"/>
      <c r="G3875" s="43"/>
      <c r="H3875" s="37"/>
      <c r="I3875" s="37"/>
      <c r="J3875" s="38"/>
      <c r="K3875" s="37"/>
      <c r="L3875" s="38"/>
      <c r="M3875" s="39"/>
      <c r="P3875" s="37"/>
      <c r="Q3875" s="37"/>
      <c r="R3875" s="37"/>
      <c r="S3875" s="37"/>
      <c r="T3875" s="37"/>
      <c r="U3875" s="37"/>
      <c r="V3875" s="37"/>
      <c r="W3875" s="37"/>
      <c r="X3875" s="37"/>
      <c r="Y3875" s="37"/>
      <c r="Z3875" s="37"/>
      <c r="AA3875" s="37"/>
      <c r="AB3875" s="37"/>
      <c r="AC3875" s="37"/>
      <c r="AD3875" s="37"/>
      <c r="AE3875" s="37"/>
      <c r="AF3875" s="37"/>
      <c r="AG3875" s="37"/>
      <c r="AH3875" s="37"/>
      <c r="AI3875" s="37"/>
      <c r="AJ3875" s="37"/>
      <c r="AK3875" s="37"/>
      <c r="AL3875" s="37"/>
      <c r="AM3875" s="37"/>
      <c r="AN3875" s="37"/>
      <c r="AO3875" s="37"/>
      <c r="AP3875" s="37"/>
      <c r="AQ3875" s="37"/>
      <c r="AR3875" s="37"/>
      <c r="AS3875" s="37"/>
      <c r="AT3875" s="37"/>
      <c r="AU3875" s="37"/>
      <c r="AV3875" s="37"/>
      <c r="AW3875" s="37"/>
      <c r="AX3875" s="37"/>
      <c r="AY3875" s="37"/>
      <c r="AZ3875" s="37"/>
      <c r="BA3875" s="37"/>
      <c r="BB3875" s="37"/>
      <c r="BC3875" s="37"/>
      <c r="BD3875" s="37"/>
      <c r="BE3875" s="37"/>
      <c r="BF3875" s="37"/>
      <c r="BG3875" s="37"/>
      <c r="BH3875" s="37"/>
      <c r="BI3875" s="37"/>
      <c r="BJ3875" s="37"/>
      <c r="BK3875" s="37"/>
      <c r="BL3875" s="37"/>
      <c r="BM3875" s="37"/>
    </row>
    <row r="3876" spans="1:65" s="40" customFormat="1" ht="21" x14ac:dyDescent="0.35">
      <c r="A3876" s="37"/>
      <c r="B3876" s="37"/>
      <c r="C3876" s="41"/>
      <c r="D3876" s="38"/>
      <c r="E3876" s="38"/>
      <c r="F3876" s="42"/>
      <c r="G3876" s="43"/>
      <c r="H3876" s="37"/>
      <c r="I3876" s="37"/>
      <c r="J3876" s="38"/>
      <c r="K3876" s="37"/>
      <c r="L3876" s="38"/>
      <c r="M3876" s="39"/>
      <c r="P3876" s="37"/>
      <c r="Q3876" s="37"/>
      <c r="R3876" s="37"/>
      <c r="S3876" s="37"/>
      <c r="T3876" s="37"/>
      <c r="U3876" s="37"/>
      <c r="V3876" s="37"/>
      <c r="W3876" s="37"/>
      <c r="X3876" s="37"/>
      <c r="Y3876" s="37"/>
      <c r="Z3876" s="37"/>
      <c r="AA3876" s="37"/>
      <c r="AB3876" s="37"/>
      <c r="AC3876" s="37"/>
      <c r="AD3876" s="37"/>
      <c r="AE3876" s="37"/>
      <c r="AF3876" s="37"/>
      <c r="AG3876" s="37"/>
      <c r="AH3876" s="37"/>
      <c r="AI3876" s="37"/>
      <c r="AJ3876" s="37"/>
      <c r="AK3876" s="37"/>
      <c r="AL3876" s="37"/>
      <c r="AM3876" s="37"/>
      <c r="AN3876" s="37"/>
      <c r="AO3876" s="37"/>
      <c r="AP3876" s="37"/>
      <c r="AQ3876" s="37"/>
      <c r="AR3876" s="37"/>
      <c r="AS3876" s="37"/>
      <c r="AT3876" s="37"/>
      <c r="AU3876" s="37"/>
      <c r="AV3876" s="37"/>
      <c r="AW3876" s="37"/>
      <c r="AX3876" s="37"/>
      <c r="AY3876" s="37"/>
      <c r="AZ3876" s="37"/>
      <c r="BA3876" s="37"/>
      <c r="BB3876" s="37"/>
      <c r="BC3876" s="37"/>
      <c r="BD3876" s="37"/>
      <c r="BE3876" s="37"/>
      <c r="BF3876" s="37"/>
      <c r="BG3876" s="37"/>
      <c r="BH3876" s="37"/>
      <c r="BI3876" s="37"/>
      <c r="BJ3876" s="37"/>
      <c r="BK3876" s="37"/>
      <c r="BL3876" s="37"/>
      <c r="BM3876" s="37"/>
    </row>
    <row r="3877" spans="1:65" s="40" customFormat="1" ht="21" x14ac:dyDescent="0.35">
      <c r="A3877" s="37"/>
      <c r="B3877" s="37"/>
      <c r="C3877" s="41"/>
      <c r="D3877" s="38"/>
      <c r="E3877" s="38"/>
      <c r="F3877" s="42"/>
      <c r="G3877" s="43"/>
      <c r="H3877" s="37"/>
      <c r="I3877" s="37"/>
      <c r="J3877" s="38"/>
      <c r="K3877" s="37"/>
      <c r="L3877" s="38"/>
      <c r="M3877" s="39"/>
      <c r="P3877" s="37"/>
      <c r="Q3877" s="37"/>
      <c r="R3877" s="37"/>
      <c r="S3877" s="37"/>
      <c r="T3877" s="37"/>
      <c r="U3877" s="37"/>
      <c r="V3877" s="37"/>
      <c r="W3877" s="37"/>
      <c r="X3877" s="37"/>
      <c r="Y3877" s="37"/>
      <c r="Z3877" s="37"/>
      <c r="AA3877" s="37"/>
      <c r="AB3877" s="37"/>
      <c r="AC3877" s="37"/>
      <c r="AD3877" s="37"/>
      <c r="AE3877" s="37"/>
      <c r="AF3877" s="37"/>
      <c r="AG3877" s="37"/>
      <c r="AH3877" s="37"/>
      <c r="AI3877" s="37"/>
      <c r="AJ3877" s="37"/>
      <c r="AK3877" s="37"/>
      <c r="AL3877" s="37"/>
      <c r="AM3877" s="37"/>
      <c r="AN3877" s="37"/>
      <c r="AO3877" s="37"/>
      <c r="AP3877" s="37"/>
      <c r="AQ3877" s="37"/>
      <c r="AR3877" s="37"/>
      <c r="AS3877" s="37"/>
      <c r="AT3877" s="37"/>
      <c r="AU3877" s="37"/>
      <c r="AV3877" s="37"/>
      <c r="AW3877" s="37"/>
      <c r="AX3877" s="37"/>
      <c r="AY3877" s="37"/>
      <c r="AZ3877" s="37"/>
      <c r="BA3877" s="37"/>
      <c r="BB3877" s="37"/>
      <c r="BC3877" s="37"/>
      <c r="BD3877" s="37"/>
      <c r="BE3877" s="37"/>
      <c r="BF3877" s="37"/>
      <c r="BG3877" s="37"/>
      <c r="BH3877" s="37"/>
      <c r="BI3877" s="37"/>
      <c r="BJ3877" s="37"/>
      <c r="BK3877" s="37"/>
      <c r="BL3877" s="37"/>
      <c r="BM3877" s="37"/>
    </row>
    <row r="3878" spans="1:65" s="40" customFormat="1" ht="21" x14ac:dyDescent="0.35">
      <c r="A3878" s="37"/>
      <c r="B3878" s="37"/>
      <c r="C3878" s="41"/>
      <c r="D3878" s="38"/>
      <c r="E3878" s="38"/>
      <c r="F3878" s="42"/>
      <c r="G3878" s="43"/>
      <c r="H3878" s="37"/>
      <c r="I3878" s="37"/>
      <c r="J3878" s="38"/>
      <c r="K3878" s="37"/>
      <c r="L3878" s="38"/>
      <c r="M3878" s="39"/>
      <c r="P3878" s="37"/>
      <c r="Q3878" s="37"/>
      <c r="R3878" s="37"/>
      <c r="S3878" s="37"/>
      <c r="T3878" s="37"/>
      <c r="U3878" s="37"/>
      <c r="V3878" s="37"/>
      <c r="W3878" s="37"/>
      <c r="X3878" s="37"/>
      <c r="Y3878" s="37"/>
      <c r="Z3878" s="37"/>
      <c r="AA3878" s="37"/>
      <c r="AB3878" s="37"/>
      <c r="AC3878" s="37"/>
      <c r="AD3878" s="37"/>
      <c r="AE3878" s="37"/>
      <c r="AF3878" s="37"/>
      <c r="AG3878" s="37"/>
      <c r="AH3878" s="37"/>
      <c r="AI3878" s="37"/>
      <c r="AJ3878" s="37"/>
      <c r="AK3878" s="37"/>
      <c r="AL3878" s="37"/>
      <c r="AM3878" s="37"/>
      <c r="AN3878" s="37"/>
      <c r="AO3878" s="37"/>
      <c r="AP3878" s="37"/>
      <c r="AQ3878" s="37"/>
      <c r="AR3878" s="37"/>
      <c r="AS3878" s="37"/>
      <c r="AT3878" s="37"/>
      <c r="AU3878" s="37"/>
      <c r="AV3878" s="37"/>
      <c r="AW3878" s="37"/>
      <c r="AX3878" s="37"/>
      <c r="AY3878" s="37"/>
      <c r="AZ3878" s="37"/>
      <c r="BA3878" s="37"/>
      <c r="BB3878" s="37"/>
      <c r="BC3878" s="37"/>
      <c r="BD3878" s="37"/>
      <c r="BE3878" s="37"/>
      <c r="BF3878" s="37"/>
      <c r="BG3878" s="37"/>
      <c r="BH3878" s="37"/>
      <c r="BI3878" s="37"/>
      <c r="BJ3878" s="37"/>
      <c r="BK3878" s="37"/>
      <c r="BL3878" s="37"/>
      <c r="BM3878" s="37"/>
    </row>
    <row r="3879" spans="1:65" s="40" customFormat="1" ht="21" x14ac:dyDescent="0.35">
      <c r="A3879" s="37"/>
      <c r="B3879" s="37"/>
      <c r="C3879" s="41"/>
      <c r="D3879" s="38"/>
      <c r="E3879" s="38"/>
      <c r="F3879" s="42"/>
      <c r="G3879" s="43"/>
      <c r="H3879" s="37"/>
      <c r="I3879" s="37"/>
      <c r="J3879" s="38"/>
      <c r="K3879" s="37"/>
      <c r="L3879" s="38"/>
      <c r="M3879" s="39"/>
      <c r="P3879" s="37"/>
      <c r="Q3879" s="37"/>
      <c r="R3879" s="37"/>
      <c r="S3879" s="37"/>
      <c r="T3879" s="37"/>
      <c r="U3879" s="37"/>
      <c r="V3879" s="37"/>
      <c r="W3879" s="37"/>
      <c r="X3879" s="37"/>
      <c r="Y3879" s="37"/>
      <c r="Z3879" s="37"/>
      <c r="AA3879" s="37"/>
      <c r="AB3879" s="37"/>
      <c r="AC3879" s="37"/>
      <c r="AD3879" s="37"/>
      <c r="AE3879" s="37"/>
      <c r="AF3879" s="37"/>
      <c r="AG3879" s="37"/>
      <c r="AH3879" s="37"/>
      <c r="AI3879" s="37"/>
      <c r="AJ3879" s="37"/>
      <c r="AK3879" s="37"/>
      <c r="AL3879" s="37"/>
      <c r="AM3879" s="37"/>
      <c r="AN3879" s="37"/>
      <c r="AO3879" s="37"/>
      <c r="AP3879" s="37"/>
      <c r="AQ3879" s="37"/>
      <c r="AR3879" s="37"/>
      <c r="AS3879" s="37"/>
      <c r="AT3879" s="37"/>
      <c r="AU3879" s="37"/>
      <c r="AV3879" s="37"/>
      <c r="AW3879" s="37"/>
      <c r="AX3879" s="37"/>
      <c r="AY3879" s="37"/>
      <c r="AZ3879" s="37"/>
      <c r="BA3879" s="37"/>
      <c r="BB3879" s="37"/>
      <c r="BC3879" s="37"/>
      <c r="BD3879" s="37"/>
      <c r="BE3879" s="37"/>
      <c r="BF3879" s="37"/>
      <c r="BG3879" s="37"/>
      <c r="BH3879" s="37"/>
      <c r="BI3879" s="37"/>
      <c r="BJ3879" s="37"/>
      <c r="BK3879" s="37"/>
      <c r="BL3879" s="37"/>
      <c r="BM3879" s="37"/>
    </row>
    <row r="3880" spans="1:65" s="40" customFormat="1" ht="21" x14ac:dyDescent="0.35">
      <c r="A3880" s="37"/>
      <c r="B3880" s="37"/>
      <c r="C3880" s="41"/>
      <c r="D3880" s="38"/>
      <c r="E3880" s="38"/>
      <c r="F3880" s="42"/>
      <c r="G3880" s="43"/>
      <c r="H3880" s="37"/>
      <c r="I3880" s="37"/>
      <c r="J3880" s="38"/>
      <c r="K3880" s="37"/>
      <c r="L3880" s="38"/>
      <c r="M3880" s="39"/>
      <c r="P3880" s="37"/>
      <c r="Q3880" s="37"/>
      <c r="R3880" s="37"/>
      <c r="S3880" s="37"/>
      <c r="T3880" s="37"/>
      <c r="U3880" s="37"/>
      <c r="V3880" s="37"/>
      <c r="W3880" s="37"/>
      <c r="X3880" s="37"/>
      <c r="Y3880" s="37"/>
      <c r="Z3880" s="37"/>
      <c r="AA3880" s="37"/>
      <c r="AB3880" s="37"/>
      <c r="AC3880" s="37"/>
      <c r="AD3880" s="37"/>
      <c r="AE3880" s="37"/>
      <c r="AF3880" s="37"/>
      <c r="AG3880" s="37"/>
      <c r="AH3880" s="37"/>
      <c r="AI3880" s="37"/>
      <c r="AJ3880" s="37"/>
      <c r="AK3880" s="37"/>
      <c r="AL3880" s="37"/>
      <c r="AM3880" s="37"/>
      <c r="AN3880" s="37"/>
      <c r="AO3880" s="37"/>
      <c r="AP3880" s="37"/>
      <c r="AQ3880" s="37"/>
      <c r="AR3880" s="37"/>
      <c r="AS3880" s="37"/>
      <c r="AT3880" s="37"/>
      <c r="AU3880" s="37"/>
      <c r="AV3880" s="37"/>
      <c r="AW3880" s="37"/>
      <c r="AX3880" s="37"/>
      <c r="AY3880" s="37"/>
      <c r="AZ3880" s="37"/>
      <c r="BA3880" s="37"/>
      <c r="BB3880" s="37"/>
      <c r="BC3880" s="37"/>
      <c r="BD3880" s="37"/>
      <c r="BE3880" s="37"/>
      <c r="BF3880" s="37"/>
      <c r="BG3880" s="37"/>
      <c r="BH3880" s="37"/>
      <c r="BI3880" s="37"/>
      <c r="BJ3880" s="37"/>
      <c r="BK3880" s="37"/>
      <c r="BL3880" s="37"/>
      <c r="BM3880" s="37"/>
    </row>
    <row r="3881" spans="1:65" s="40" customFormat="1" ht="21" x14ac:dyDescent="0.35">
      <c r="A3881" s="37"/>
      <c r="B3881" s="37"/>
      <c r="C3881" s="41"/>
      <c r="D3881" s="38"/>
      <c r="E3881" s="38"/>
      <c r="F3881" s="42"/>
      <c r="G3881" s="43"/>
      <c r="H3881" s="37"/>
      <c r="I3881" s="37"/>
      <c r="J3881" s="38"/>
      <c r="K3881" s="37"/>
      <c r="L3881" s="38"/>
      <c r="M3881" s="39"/>
      <c r="P3881" s="37"/>
      <c r="Q3881" s="37"/>
      <c r="R3881" s="37"/>
      <c r="S3881" s="37"/>
      <c r="T3881" s="37"/>
      <c r="U3881" s="37"/>
      <c r="V3881" s="37"/>
      <c r="W3881" s="37"/>
      <c r="X3881" s="37"/>
      <c r="Y3881" s="37"/>
      <c r="Z3881" s="37"/>
      <c r="AA3881" s="37"/>
      <c r="AB3881" s="37"/>
      <c r="AC3881" s="37"/>
      <c r="AD3881" s="37"/>
      <c r="AE3881" s="37"/>
      <c r="AF3881" s="37"/>
      <c r="AG3881" s="37"/>
      <c r="AH3881" s="37"/>
      <c r="AI3881" s="37"/>
      <c r="AJ3881" s="37"/>
      <c r="AK3881" s="37"/>
      <c r="AL3881" s="37"/>
      <c r="AM3881" s="37"/>
      <c r="AN3881" s="37"/>
      <c r="AO3881" s="37"/>
      <c r="AP3881" s="37"/>
      <c r="AQ3881" s="37"/>
      <c r="AR3881" s="37"/>
      <c r="AS3881" s="37"/>
      <c r="AT3881" s="37"/>
      <c r="AU3881" s="37"/>
      <c r="AV3881" s="37"/>
      <c r="AW3881" s="37"/>
      <c r="AX3881" s="37"/>
      <c r="AY3881" s="37"/>
      <c r="AZ3881" s="37"/>
      <c r="BA3881" s="37"/>
      <c r="BB3881" s="37"/>
      <c r="BC3881" s="37"/>
      <c r="BD3881" s="37"/>
      <c r="BE3881" s="37"/>
      <c r="BF3881" s="37"/>
      <c r="BG3881" s="37"/>
      <c r="BH3881" s="37"/>
      <c r="BI3881" s="37"/>
      <c r="BJ3881" s="37"/>
      <c r="BK3881" s="37"/>
      <c r="BL3881" s="37"/>
      <c r="BM3881" s="37"/>
    </row>
    <row r="3882" spans="1:65" s="40" customFormat="1" ht="21" x14ac:dyDescent="0.35">
      <c r="A3882" s="37"/>
      <c r="B3882" s="37"/>
      <c r="C3882" s="41"/>
      <c r="D3882" s="38"/>
      <c r="E3882" s="38"/>
      <c r="F3882" s="42"/>
      <c r="G3882" s="43"/>
      <c r="H3882" s="37"/>
      <c r="I3882" s="37"/>
      <c r="J3882" s="38"/>
      <c r="K3882" s="37"/>
      <c r="L3882" s="38"/>
      <c r="M3882" s="39"/>
      <c r="P3882" s="37"/>
      <c r="Q3882" s="37"/>
      <c r="R3882" s="37"/>
      <c r="S3882" s="37"/>
      <c r="T3882" s="37"/>
      <c r="U3882" s="37"/>
      <c r="V3882" s="37"/>
      <c r="W3882" s="37"/>
      <c r="X3882" s="37"/>
      <c r="Y3882" s="37"/>
      <c r="Z3882" s="37"/>
      <c r="AA3882" s="37"/>
      <c r="AB3882" s="37"/>
      <c r="AC3882" s="37"/>
      <c r="AD3882" s="37"/>
      <c r="AE3882" s="37"/>
      <c r="AF3882" s="37"/>
      <c r="AG3882" s="37"/>
      <c r="AH3882" s="37"/>
      <c r="AI3882" s="37"/>
      <c r="AJ3882" s="37"/>
      <c r="AK3882" s="37"/>
      <c r="AL3882" s="37"/>
      <c r="AM3882" s="37"/>
      <c r="AN3882" s="37"/>
      <c r="AO3882" s="37"/>
      <c r="AP3882" s="37"/>
      <c r="AQ3882" s="37"/>
      <c r="AR3882" s="37"/>
      <c r="AS3882" s="37"/>
      <c r="AT3882" s="37"/>
      <c r="AU3882" s="37"/>
      <c r="AV3882" s="37"/>
      <c r="AW3882" s="37"/>
      <c r="AX3882" s="37"/>
      <c r="AY3882" s="37"/>
      <c r="AZ3882" s="37"/>
      <c r="BA3882" s="37"/>
      <c r="BB3882" s="37"/>
      <c r="BC3882" s="37"/>
      <c r="BD3882" s="37"/>
      <c r="BE3882" s="37"/>
      <c r="BF3882" s="37"/>
      <c r="BG3882" s="37"/>
      <c r="BH3882" s="37"/>
      <c r="BI3882" s="37"/>
      <c r="BJ3882" s="37"/>
      <c r="BK3882" s="37"/>
      <c r="BL3882" s="37"/>
      <c r="BM3882" s="37"/>
    </row>
    <row r="3883" spans="1:65" s="40" customFormat="1" ht="21" x14ac:dyDescent="0.35">
      <c r="A3883" s="37"/>
      <c r="B3883" s="37"/>
      <c r="C3883" s="41"/>
      <c r="D3883" s="38"/>
      <c r="E3883" s="38"/>
      <c r="F3883" s="42"/>
      <c r="G3883" s="43"/>
      <c r="H3883" s="37"/>
      <c r="I3883" s="37"/>
      <c r="J3883" s="38"/>
      <c r="K3883" s="37"/>
      <c r="L3883" s="38"/>
      <c r="M3883" s="39"/>
      <c r="P3883" s="37"/>
      <c r="Q3883" s="37"/>
      <c r="R3883" s="37"/>
      <c r="S3883" s="37"/>
      <c r="T3883" s="37"/>
      <c r="U3883" s="37"/>
      <c r="V3883" s="37"/>
      <c r="W3883" s="37"/>
      <c r="X3883" s="37"/>
      <c r="Y3883" s="37"/>
      <c r="Z3883" s="37"/>
      <c r="AA3883" s="37"/>
      <c r="AB3883" s="37"/>
      <c r="AC3883" s="37"/>
      <c r="AD3883" s="37"/>
      <c r="AE3883" s="37"/>
      <c r="AF3883" s="37"/>
      <c r="AG3883" s="37"/>
      <c r="AH3883" s="37"/>
      <c r="AI3883" s="37"/>
      <c r="AJ3883" s="37"/>
      <c r="AK3883" s="37"/>
      <c r="AL3883" s="37"/>
      <c r="AM3883" s="37"/>
      <c r="AN3883" s="37"/>
      <c r="AO3883" s="37"/>
      <c r="AP3883" s="37"/>
      <c r="AQ3883" s="37"/>
      <c r="AR3883" s="37"/>
      <c r="AS3883" s="37"/>
      <c r="AT3883" s="37"/>
      <c r="AU3883" s="37"/>
      <c r="AV3883" s="37"/>
      <c r="AW3883" s="37"/>
      <c r="AX3883" s="37"/>
      <c r="AY3883" s="37"/>
      <c r="AZ3883" s="37"/>
      <c r="BA3883" s="37"/>
      <c r="BB3883" s="37"/>
      <c r="BC3883" s="37"/>
      <c r="BD3883" s="37"/>
      <c r="BE3883" s="37"/>
      <c r="BF3883" s="37"/>
      <c r="BG3883" s="37"/>
      <c r="BH3883" s="37"/>
      <c r="BI3883" s="37"/>
      <c r="BJ3883" s="37"/>
      <c r="BK3883" s="37"/>
      <c r="BL3883" s="37"/>
      <c r="BM3883" s="37"/>
    </row>
    <row r="3884" spans="1:65" s="40" customFormat="1" ht="21" x14ac:dyDescent="0.35">
      <c r="A3884" s="37"/>
      <c r="B3884" s="37"/>
      <c r="C3884" s="41"/>
      <c r="D3884" s="38"/>
      <c r="E3884" s="38"/>
      <c r="F3884" s="42"/>
      <c r="G3884" s="43"/>
      <c r="H3884" s="37"/>
      <c r="I3884" s="37"/>
      <c r="J3884" s="38"/>
      <c r="K3884" s="37"/>
      <c r="L3884" s="38"/>
      <c r="M3884" s="39"/>
      <c r="P3884" s="37"/>
      <c r="Q3884" s="37"/>
      <c r="R3884" s="37"/>
      <c r="S3884" s="37"/>
      <c r="T3884" s="37"/>
      <c r="U3884" s="37"/>
      <c r="V3884" s="37"/>
      <c r="W3884" s="37"/>
      <c r="X3884" s="37"/>
      <c r="Y3884" s="37"/>
      <c r="Z3884" s="37"/>
      <c r="AA3884" s="37"/>
      <c r="AB3884" s="37"/>
      <c r="AC3884" s="37"/>
      <c r="AD3884" s="37"/>
      <c r="AE3884" s="37"/>
      <c r="AF3884" s="37"/>
      <c r="AG3884" s="37"/>
      <c r="AH3884" s="37"/>
      <c r="AI3884" s="37"/>
      <c r="AJ3884" s="37"/>
      <c r="AK3884" s="37"/>
      <c r="AL3884" s="37"/>
      <c r="AM3884" s="37"/>
      <c r="AN3884" s="37"/>
      <c r="AO3884" s="37"/>
      <c r="AP3884" s="37"/>
      <c r="AQ3884" s="37"/>
      <c r="AR3884" s="37"/>
      <c r="AS3884" s="37"/>
      <c r="AT3884" s="37"/>
      <c r="AU3884" s="37"/>
      <c r="AV3884" s="37"/>
      <c r="AW3884" s="37"/>
      <c r="AX3884" s="37"/>
      <c r="AY3884" s="37"/>
      <c r="AZ3884" s="37"/>
      <c r="BA3884" s="37"/>
      <c r="BB3884" s="37"/>
      <c r="BC3884" s="37"/>
      <c r="BD3884" s="37"/>
      <c r="BE3884" s="37"/>
      <c r="BF3884" s="37"/>
      <c r="BG3884" s="37"/>
      <c r="BH3884" s="37"/>
      <c r="BI3884" s="37"/>
      <c r="BJ3884" s="37"/>
      <c r="BK3884" s="37"/>
      <c r="BL3884" s="37"/>
      <c r="BM3884" s="37"/>
    </row>
    <row r="3885" spans="1:65" s="40" customFormat="1" ht="21" x14ac:dyDescent="0.35">
      <c r="A3885" s="37"/>
      <c r="B3885" s="37"/>
      <c r="C3885" s="41"/>
      <c r="D3885" s="38"/>
      <c r="E3885" s="38"/>
      <c r="F3885" s="42"/>
      <c r="G3885" s="43"/>
      <c r="H3885" s="37"/>
      <c r="I3885" s="37"/>
      <c r="J3885" s="38"/>
      <c r="K3885" s="37"/>
      <c r="L3885" s="38"/>
      <c r="M3885" s="39"/>
      <c r="P3885" s="37"/>
      <c r="Q3885" s="37"/>
      <c r="R3885" s="37"/>
      <c r="S3885" s="37"/>
      <c r="T3885" s="37"/>
      <c r="U3885" s="37"/>
      <c r="V3885" s="37"/>
      <c r="W3885" s="37"/>
      <c r="X3885" s="37"/>
      <c r="Y3885" s="37"/>
      <c r="Z3885" s="37"/>
      <c r="AA3885" s="37"/>
      <c r="AB3885" s="37"/>
      <c r="AC3885" s="37"/>
      <c r="AD3885" s="37"/>
      <c r="AE3885" s="37"/>
      <c r="AF3885" s="37"/>
      <c r="AG3885" s="37"/>
      <c r="AH3885" s="37"/>
      <c r="AI3885" s="37"/>
      <c r="AJ3885" s="37"/>
      <c r="AK3885" s="37"/>
      <c r="AL3885" s="37"/>
      <c r="AM3885" s="37"/>
      <c r="AN3885" s="37"/>
      <c r="AO3885" s="37"/>
      <c r="AP3885" s="37"/>
      <c r="AQ3885" s="37"/>
      <c r="AR3885" s="37"/>
      <c r="AS3885" s="37"/>
      <c r="AT3885" s="37"/>
      <c r="AU3885" s="37"/>
      <c r="AV3885" s="37"/>
      <c r="AW3885" s="37"/>
      <c r="AX3885" s="37"/>
      <c r="AY3885" s="37"/>
      <c r="AZ3885" s="37"/>
      <c r="BA3885" s="37"/>
      <c r="BB3885" s="37"/>
      <c r="BC3885" s="37"/>
      <c r="BD3885" s="37"/>
      <c r="BE3885" s="37"/>
      <c r="BF3885" s="37"/>
      <c r="BG3885" s="37"/>
      <c r="BH3885" s="37"/>
      <c r="BI3885" s="37"/>
      <c r="BJ3885" s="37"/>
      <c r="BK3885" s="37"/>
      <c r="BL3885" s="37"/>
      <c r="BM3885" s="37"/>
    </row>
    <row r="3886" spans="1:65" s="40" customFormat="1" ht="21" x14ac:dyDescent="0.35">
      <c r="A3886" s="37"/>
      <c r="B3886" s="37"/>
      <c r="C3886" s="41"/>
      <c r="D3886" s="38"/>
      <c r="E3886" s="38"/>
      <c r="F3886" s="42"/>
      <c r="G3886" s="43"/>
      <c r="H3886" s="37"/>
      <c r="I3886" s="37"/>
      <c r="J3886" s="38"/>
      <c r="K3886" s="37"/>
      <c r="L3886" s="38"/>
      <c r="M3886" s="39"/>
      <c r="P3886" s="37"/>
      <c r="Q3886" s="37"/>
      <c r="R3886" s="37"/>
      <c r="S3886" s="37"/>
      <c r="T3886" s="37"/>
      <c r="U3886" s="37"/>
      <c r="V3886" s="37"/>
      <c r="W3886" s="37"/>
      <c r="X3886" s="37"/>
      <c r="Y3886" s="37"/>
      <c r="Z3886" s="37"/>
      <c r="AA3886" s="37"/>
      <c r="AB3886" s="37"/>
      <c r="AC3886" s="37"/>
      <c r="AD3886" s="37"/>
      <c r="AE3886" s="37"/>
      <c r="AF3886" s="37"/>
      <c r="AG3886" s="37"/>
      <c r="AH3886" s="37"/>
      <c r="AI3886" s="37"/>
      <c r="AJ3886" s="37"/>
      <c r="AK3886" s="37"/>
      <c r="AL3886" s="37"/>
      <c r="AM3886" s="37"/>
      <c r="AN3886" s="37"/>
      <c r="AO3886" s="37"/>
      <c r="AP3886" s="37"/>
      <c r="AQ3886" s="37"/>
      <c r="AR3886" s="37"/>
      <c r="AS3886" s="37"/>
      <c r="AT3886" s="37"/>
      <c r="AU3886" s="37"/>
      <c r="AV3886" s="37"/>
      <c r="AW3886" s="37"/>
      <c r="AX3886" s="37"/>
      <c r="AY3886" s="37"/>
      <c r="AZ3886" s="37"/>
      <c r="BA3886" s="37"/>
      <c r="BB3886" s="37"/>
      <c r="BC3886" s="37"/>
      <c r="BD3886" s="37"/>
      <c r="BE3886" s="37"/>
      <c r="BF3886" s="37"/>
      <c r="BG3886" s="37"/>
      <c r="BH3886" s="37"/>
      <c r="BI3886" s="37"/>
      <c r="BJ3886" s="37"/>
      <c r="BK3886" s="37"/>
      <c r="BL3886" s="37"/>
      <c r="BM3886" s="37"/>
    </row>
    <row r="3887" spans="1:65" s="40" customFormat="1" ht="21" x14ac:dyDescent="0.35">
      <c r="A3887" s="37"/>
      <c r="B3887" s="37"/>
      <c r="C3887" s="41"/>
      <c r="D3887" s="38"/>
      <c r="E3887" s="38"/>
      <c r="F3887" s="42"/>
      <c r="G3887" s="43"/>
      <c r="H3887" s="37"/>
      <c r="I3887" s="37"/>
      <c r="J3887" s="38"/>
      <c r="K3887" s="37"/>
      <c r="L3887" s="38"/>
      <c r="M3887" s="39"/>
      <c r="P3887" s="37"/>
      <c r="Q3887" s="37"/>
      <c r="R3887" s="37"/>
      <c r="S3887" s="37"/>
      <c r="T3887" s="37"/>
      <c r="U3887" s="37"/>
      <c r="V3887" s="37"/>
      <c r="W3887" s="37"/>
      <c r="X3887" s="37"/>
      <c r="Y3887" s="37"/>
      <c r="Z3887" s="37"/>
      <c r="AA3887" s="37"/>
      <c r="AB3887" s="37"/>
      <c r="AC3887" s="37"/>
      <c r="AD3887" s="37"/>
      <c r="AE3887" s="37"/>
      <c r="AF3887" s="37"/>
      <c r="AG3887" s="37"/>
      <c r="AH3887" s="37"/>
      <c r="AI3887" s="37"/>
      <c r="AJ3887" s="37"/>
      <c r="AK3887" s="37"/>
      <c r="AL3887" s="37"/>
      <c r="AM3887" s="37"/>
      <c r="AN3887" s="37"/>
      <c r="AO3887" s="37"/>
      <c r="AP3887" s="37"/>
      <c r="AQ3887" s="37"/>
      <c r="AR3887" s="37"/>
      <c r="AS3887" s="37"/>
      <c r="AT3887" s="37"/>
      <c r="AU3887" s="37"/>
      <c r="AV3887" s="37"/>
      <c r="AW3887" s="37"/>
      <c r="AX3887" s="37"/>
      <c r="AY3887" s="37"/>
      <c r="AZ3887" s="37"/>
      <c r="BA3887" s="37"/>
      <c r="BB3887" s="37"/>
      <c r="BC3887" s="37"/>
      <c r="BD3887" s="37"/>
      <c r="BE3887" s="37"/>
      <c r="BF3887" s="37"/>
      <c r="BG3887" s="37"/>
      <c r="BH3887" s="37"/>
      <c r="BI3887" s="37"/>
      <c r="BJ3887" s="37"/>
      <c r="BK3887" s="37"/>
      <c r="BL3887" s="37"/>
      <c r="BM3887" s="37"/>
    </row>
    <row r="3888" spans="1:65" s="40" customFormat="1" ht="21" x14ac:dyDescent="0.35">
      <c r="A3888" s="37"/>
      <c r="B3888" s="37"/>
      <c r="C3888" s="41"/>
      <c r="D3888" s="38"/>
      <c r="E3888" s="38"/>
      <c r="F3888" s="42"/>
      <c r="G3888" s="43"/>
      <c r="H3888" s="37"/>
      <c r="I3888" s="37"/>
      <c r="J3888" s="38"/>
      <c r="K3888" s="37"/>
      <c r="L3888" s="38"/>
      <c r="M3888" s="39"/>
      <c r="P3888" s="37"/>
      <c r="Q3888" s="37"/>
      <c r="R3888" s="37"/>
      <c r="S3888" s="37"/>
      <c r="T3888" s="37"/>
      <c r="U3888" s="37"/>
      <c r="V3888" s="37"/>
      <c r="W3888" s="37"/>
      <c r="X3888" s="37"/>
      <c r="Y3888" s="37"/>
      <c r="Z3888" s="37"/>
      <c r="AA3888" s="37"/>
      <c r="AB3888" s="37"/>
      <c r="AC3888" s="37"/>
      <c r="AD3888" s="37"/>
      <c r="AE3888" s="37"/>
      <c r="AF3888" s="37"/>
      <c r="AG3888" s="37"/>
      <c r="AH3888" s="37"/>
      <c r="AI3888" s="37"/>
      <c r="AJ3888" s="37"/>
      <c r="AK3888" s="37"/>
      <c r="AL3888" s="37"/>
      <c r="AM3888" s="37"/>
      <c r="AN3888" s="37"/>
      <c r="AO3888" s="37"/>
      <c r="AP3888" s="37"/>
      <c r="AQ3888" s="37"/>
      <c r="AR3888" s="37"/>
      <c r="AS3888" s="37"/>
      <c r="AT3888" s="37"/>
      <c r="AU3888" s="37"/>
      <c r="AV3888" s="37"/>
      <c r="AW3888" s="37"/>
      <c r="AX3888" s="37"/>
      <c r="AY3888" s="37"/>
      <c r="AZ3888" s="37"/>
      <c r="BA3888" s="37"/>
      <c r="BB3888" s="37"/>
      <c r="BC3888" s="37"/>
      <c r="BD3888" s="37"/>
      <c r="BE3888" s="37"/>
      <c r="BF3888" s="37"/>
      <c r="BG3888" s="37"/>
      <c r="BH3888" s="37"/>
      <c r="BI3888" s="37"/>
      <c r="BJ3888" s="37"/>
      <c r="BK3888" s="37"/>
      <c r="BL3888" s="37"/>
      <c r="BM3888" s="37"/>
    </row>
    <row r="3889" spans="1:65" s="40" customFormat="1" ht="21" x14ac:dyDescent="0.35">
      <c r="A3889" s="37"/>
      <c r="B3889" s="37"/>
      <c r="C3889" s="41"/>
      <c r="D3889" s="38"/>
      <c r="E3889" s="38"/>
      <c r="F3889" s="42"/>
      <c r="G3889" s="43"/>
      <c r="H3889" s="37"/>
      <c r="I3889" s="37"/>
      <c r="J3889" s="38"/>
      <c r="K3889" s="37"/>
      <c r="L3889" s="38"/>
      <c r="M3889" s="39"/>
      <c r="P3889" s="37"/>
      <c r="Q3889" s="37"/>
      <c r="R3889" s="37"/>
      <c r="S3889" s="37"/>
      <c r="T3889" s="37"/>
      <c r="U3889" s="37"/>
      <c r="V3889" s="37"/>
      <c r="W3889" s="37"/>
      <c r="X3889" s="37"/>
      <c r="Y3889" s="37"/>
      <c r="Z3889" s="37"/>
      <c r="AA3889" s="37"/>
      <c r="AB3889" s="37"/>
      <c r="AC3889" s="37"/>
      <c r="AD3889" s="37"/>
      <c r="AE3889" s="37"/>
      <c r="AF3889" s="37"/>
      <c r="AG3889" s="37"/>
      <c r="AH3889" s="37"/>
      <c r="AI3889" s="37"/>
      <c r="AJ3889" s="37"/>
      <c r="AK3889" s="37"/>
      <c r="AL3889" s="37"/>
      <c r="AM3889" s="37"/>
      <c r="AN3889" s="37"/>
      <c r="AO3889" s="37"/>
      <c r="AP3889" s="37"/>
      <c r="AQ3889" s="37"/>
      <c r="AR3889" s="37"/>
      <c r="AS3889" s="37"/>
      <c r="AT3889" s="37"/>
      <c r="AU3889" s="37"/>
      <c r="AV3889" s="37"/>
      <c r="AW3889" s="37"/>
      <c r="AX3889" s="37"/>
      <c r="AY3889" s="37"/>
      <c r="AZ3889" s="37"/>
      <c r="BA3889" s="37"/>
      <c r="BB3889" s="37"/>
      <c r="BC3889" s="37"/>
      <c r="BD3889" s="37"/>
      <c r="BE3889" s="37"/>
      <c r="BF3889" s="37"/>
      <c r="BG3889" s="37"/>
      <c r="BH3889" s="37"/>
      <c r="BI3889" s="37"/>
      <c r="BJ3889" s="37"/>
      <c r="BK3889" s="37"/>
      <c r="BL3889" s="37"/>
      <c r="BM3889" s="37"/>
    </row>
    <row r="3890" spans="1:65" s="40" customFormat="1" ht="21" x14ac:dyDescent="0.35">
      <c r="A3890" s="37"/>
      <c r="B3890" s="37"/>
      <c r="C3890" s="41"/>
      <c r="D3890" s="38"/>
      <c r="E3890" s="38"/>
      <c r="F3890" s="42"/>
      <c r="G3890" s="43"/>
      <c r="H3890" s="37"/>
      <c r="I3890" s="37"/>
      <c r="J3890" s="38"/>
      <c r="K3890" s="37"/>
      <c r="L3890" s="38"/>
      <c r="M3890" s="39"/>
      <c r="P3890" s="37"/>
      <c r="Q3890" s="37"/>
      <c r="R3890" s="37"/>
      <c r="S3890" s="37"/>
      <c r="T3890" s="37"/>
      <c r="U3890" s="37"/>
      <c r="V3890" s="37"/>
      <c r="W3890" s="37"/>
      <c r="X3890" s="37"/>
      <c r="Y3890" s="37"/>
      <c r="Z3890" s="37"/>
      <c r="AA3890" s="37"/>
      <c r="AB3890" s="37"/>
      <c r="AC3890" s="37"/>
      <c r="AD3890" s="37"/>
      <c r="AE3890" s="37"/>
      <c r="AF3890" s="37"/>
      <c r="AG3890" s="37"/>
      <c r="AH3890" s="37"/>
      <c r="AI3890" s="37"/>
      <c r="AJ3890" s="37"/>
      <c r="AK3890" s="37"/>
      <c r="AL3890" s="37"/>
      <c r="AM3890" s="37"/>
      <c r="AN3890" s="37"/>
      <c r="AO3890" s="37"/>
      <c r="AP3890" s="37"/>
      <c r="AQ3890" s="37"/>
      <c r="AR3890" s="37"/>
      <c r="AS3890" s="37"/>
      <c r="AT3890" s="37"/>
      <c r="AU3890" s="37"/>
      <c r="AV3890" s="37"/>
      <c r="AW3890" s="37"/>
      <c r="AX3890" s="37"/>
      <c r="AY3890" s="37"/>
      <c r="AZ3890" s="37"/>
      <c r="BA3890" s="37"/>
      <c r="BB3890" s="37"/>
      <c r="BC3890" s="37"/>
      <c r="BD3890" s="37"/>
      <c r="BE3890" s="37"/>
      <c r="BF3890" s="37"/>
      <c r="BG3890" s="37"/>
      <c r="BH3890" s="37"/>
      <c r="BI3890" s="37"/>
      <c r="BJ3890" s="37"/>
      <c r="BK3890" s="37"/>
      <c r="BL3890" s="37"/>
      <c r="BM3890" s="37"/>
    </row>
    <row r="3891" spans="1:65" s="40" customFormat="1" ht="21" x14ac:dyDescent="0.35">
      <c r="A3891" s="37"/>
      <c r="B3891" s="37"/>
      <c r="C3891" s="41"/>
      <c r="D3891" s="38"/>
      <c r="E3891" s="38"/>
      <c r="F3891" s="42"/>
      <c r="G3891" s="43"/>
      <c r="H3891" s="37"/>
      <c r="I3891" s="37"/>
      <c r="J3891" s="38"/>
      <c r="K3891" s="37"/>
      <c r="L3891" s="38"/>
      <c r="M3891" s="39"/>
      <c r="P3891" s="37"/>
      <c r="Q3891" s="37"/>
      <c r="R3891" s="37"/>
      <c r="S3891" s="37"/>
      <c r="T3891" s="37"/>
      <c r="U3891" s="37"/>
      <c r="V3891" s="37"/>
      <c r="W3891" s="37"/>
      <c r="X3891" s="37"/>
      <c r="Y3891" s="37"/>
      <c r="Z3891" s="37"/>
      <c r="AA3891" s="37"/>
      <c r="AB3891" s="37"/>
      <c r="AC3891" s="37"/>
      <c r="AD3891" s="37"/>
      <c r="AE3891" s="37"/>
      <c r="AF3891" s="37"/>
      <c r="AG3891" s="37"/>
      <c r="AH3891" s="37"/>
      <c r="AI3891" s="37"/>
      <c r="AJ3891" s="37"/>
      <c r="AK3891" s="37"/>
      <c r="AL3891" s="37"/>
      <c r="AM3891" s="37"/>
      <c r="AN3891" s="37"/>
      <c r="AO3891" s="37"/>
      <c r="AP3891" s="37"/>
      <c r="AQ3891" s="37"/>
      <c r="AR3891" s="37"/>
      <c r="AS3891" s="37"/>
      <c r="AT3891" s="37"/>
      <c r="AU3891" s="37"/>
      <c r="AV3891" s="37"/>
      <c r="AW3891" s="37"/>
      <c r="AX3891" s="37"/>
      <c r="AY3891" s="37"/>
      <c r="AZ3891" s="37"/>
      <c r="BA3891" s="37"/>
      <c r="BB3891" s="37"/>
      <c r="BC3891" s="37"/>
      <c r="BD3891" s="37"/>
      <c r="BE3891" s="37"/>
      <c r="BF3891" s="37"/>
      <c r="BG3891" s="37"/>
      <c r="BH3891" s="37"/>
      <c r="BI3891" s="37"/>
      <c r="BJ3891" s="37"/>
      <c r="BK3891" s="37"/>
      <c r="BL3891" s="37"/>
      <c r="BM3891" s="37"/>
    </row>
    <row r="3892" spans="1:65" s="40" customFormat="1" ht="21" x14ac:dyDescent="0.35">
      <c r="A3892" s="37"/>
      <c r="B3892" s="37"/>
      <c r="C3892" s="41"/>
      <c r="D3892" s="38"/>
      <c r="E3892" s="38"/>
      <c r="F3892" s="42"/>
      <c r="G3892" s="43"/>
      <c r="H3892" s="37"/>
      <c r="I3892" s="37"/>
      <c r="J3892" s="38"/>
      <c r="K3892" s="37"/>
      <c r="L3892" s="38"/>
      <c r="M3892" s="39"/>
      <c r="P3892" s="37"/>
      <c r="Q3892" s="37"/>
      <c r="R3892" s="37"/>
      <c r="S3892" s="37"/>
      <c r="T3892" s="37"/>
      <c r="U3892" s="37"/>
      <c r="V3892" s="37"/>
      <c r="W3892" s="37"/>
      <c r="X3892" s="37"/>
      <c r="Y3892" s="37"/>
      <c r="Z3892" s="37"/>
      <c r="AA3892" s="37"/>
      <c r="AB3892" s="37"/>
      <c r="AC3892" s="37"/>
      <c r="AD3892" s="37"/>
      <c r="AE3892" s="37"/>
      <c r="AF3892" s="37"/>
      <c r="AG3892" s="37"/>
      <c r="AH3892" s="37"/>
      <c r="AI3892" s="37"/>
      <c r="AJ3892" s="37"/>
      <c r="AK3892" s="37"/>
      <c r="AL3892" s="37"/>
      <c r="AM3892" s="37"/>
      <c r="AN3892" s="37"/>
      <c r="AO3892" s="37"/>
      <c r="AP3892" s="37"/>
      <c r="AQ3892" s="37"/>
      <c r="AR3892" s="37"/>
      <c r="AS3892" s="37"/>
      <c r="AT3892" s="37"/>
      <c r="AU3892" s="37"/>
      <c r="AV3892" s="37"/>
      <c r="AW3892" s="37"/>
      <c r="AX3892" s="37"/>
      <c r="AY3892" s="37"/>
      <c r="AZ3892" s="37"/>
      <c r="BA3892" s="37"/>
      <c r="BB3892" s="37"/>
      <c r="BC3892" s="37"/>
      <c r="BD3892" s="37"/>
      <c r="BE3892" s="37"/>
      <c r="BF3892" s="37"/>
      <c r="BG3892" s="37"/>
      <c r="BH3892" s="37"/>
      <c r="BI3892" s="37"/>
      <c r="BJ3892" s="37"/>
      <c r="BK3892" s="37"/>
      <c r="BL3892" s="37"/>
      <c r="BM3892" s="37"/>
    </row>
    <row r="3893" spans="1:65" s="40" customFormat="1" ht="21" x14ac:dyDescent="0.35">
      <c r="A3893" s="37"/>
      <c r="B3893" s="37"/>
      <c r="C3893" s="41"/>
      <c r="D3893" s="38"/>
      <c r="E3893" s="38"/>
      <c r="F3893" s="42"/>
      <c r="G3893" s="43"/>
      <c r="H3893" s="37"/>
      <c r="I3893" s="37"/>
      <c r="J3893" s="38"/>
      <c r="K3893" s="37"/>
      <c r="L3893" s="38"/>
      <c r="M3893" s="39"/>
      <c r="P3893" s="37"/>
      <c r="Q3893" s="37"/>
      <c r="R3893" s="37"/>
      <c r="S3893" s="37"/>
      <c r="T3893" s="37"/>
      <c r="U3893" s="37"/>
      <c r="V3893" s="37"/>
      <c r="W3893" s="37"/>
      <c r="X3893" s="37"/>
      <c r="Y3893" s="37"/>
      <c r="Z3893" s="37"/>
      <c r="AA3893" s="37"/>
      <c r="AB3893" s="37"/>
      <c r="AC3893" s="37"/>
      <c r="AD3893" s="37"/>
      <c r="AE3893" s="37"/>
      <c r="AF3893" s="37"/>
      <c r="AG3893" s="37"/>
      <c r="AH3893" s="37"/>
      <c r="AI3893" s="37"/>
      <c r="AJ3893" s="37"/>
      <c r="AK3893" s="37"/>
      <c r="AL3893" s="37"/>
      <c r="AM3893" s="37"/>
      <c r="AN3893" s="37"/>
      <c r="AO3893" s="37"/>
      <c r="AP3893" s="37"/>
      <c r="AQ3893" s="37"/>
      <c r="AR3893" s="37"/>
      <c r="AS3893" s="37"/>
      <c r="AT3893" s="37"/>
      <c r="AU3893" s="37"/>
      <c r="AV3893" s="37"/>
      <c r="AW3893" s="37"/>
      <c r="AX3893" s="37"/>
      <c r="AY3893" s="37"/>
      <c r="AZ3893" s="37"/>
      <c r="BA3893" s="37"/>
      <c r="BB3893" s="37"/>
      <c r="BC3893" s="37"/>
      <c r="BD3893" s="37"/>
      <c r="BE3893" s="37"/>
      <c r="BF3893" s="37"/>
      <c r="BG3893" s="37"/>
      <c r="BH3893" s="37"/>
      <c r="BI3893" s="37"/>
      <c r="BJ3893" s="37"/>
      <c r="BK3893" s="37"/>
      <c r="BL3893" s="37"/>
      <c r="BM3893" s="37"/>
    </row>
    <row r="3894" spans="1:65" s="40" customFormat="1" ht="21" x14ac:dyDescent="0.35">
      <c r="A3894" s="37"/>
      <c r="B3894" s="37"/>
      <c r="C3894" s="41"/>
      <c r="D3894" s="38"/>
      <c r="E3894" s="38"/>
      <c r="F3894" s="42"/>
      <c r="G3894" s="43"/>
      <c r="H3894" s="37"/>
      <c r="I3894" s="37"/>
      <c r="J3894" s="38"/>
      <c r="K3894" s="37"/>
      <c r="L3894" s="38"/>
      <c r="M3894" s="39"/>
      <c r="P3894" s="37"/>
      <c r="Q3894" s="37"/>
      <c r="R3894" s="37"/>
      <c r="S3894" s="37"/>
      <c r="T3894" s="37"/>
      <c r="U3894" s="37"/>
      <c r="V3894" s="37"/>
      <c r="W3894" s="37"/>
      <c r="X3894" s="37"/>
      <c r="Y3894" s="37"/>
      <c r="Z3894" s="37"/>
      <c r="AA3894" s="37"/>
      <c r="AB3894" s="37"/>
      <c r="AC3894" s="37"/>
      <c r="AD3894" s="37"/>
      <c r="AE3894" s="37"/>
      <c r="AF3894" s="37"/>
      <c r="AG3894" s="37"/>
      <c r="AH3894" s="37"/>
      <c r="AI3894" s="37"/>
      <c r="AJ3894" s="37"/>
      <c r="AK3894" s="37"/>
      <c r="AL3894" s="37"/>
      <c r="AM3894" s="37"/>
      <c r="AN3894" s="37"/>
      <c r="AO3894" s="37"/>
      <c r="AP3894" s="37"/>
      <c r="AQ3894" s="37"/>
      <c r="AR3894" s="37"/>
      <c r="AS3894" s="37"/>
      <c r="AT3894" s="37"/>
      <c r="AU3894" s="37"/>
      <c r="AV3894" s="37"/>
      <c r="AW3894" s="37"/>
      <c r="AX3894" s="37"/>
      <c r="AY3894" s="37"/>
      <c r="AZ3894" s="37"/>
      <c r="BA3894" s="37"/>
      <c r="BB3894" s="37"/>
      <c r="BC3894" s="37"/>
      <c r="BD3894" s="37"/>
      <c r="BE3894" s="37"/>
      <c r="BF3894" s="37"/>
      <c r="BG3894" s="37"/>
      <c r="BH3894" s="37"/>
      <c r="BI3894" s="37"/>
      <c r="BJ3894" s="37"/>
      <c r="BK3894" s="37"/>
      <c r="BL3894" s="37"/>
      <c r="BM3894" s="37"/>
    </row>
    <row r="3895" spans="1:65" s="40" customFormat="1" ht="21" x14ac:dyDescent="0.35">
      <c r="A3895" s="37"/>
      <c r="B3895" s="37"/>
      <c r="C3895" s="41"/>
      <c r="D3895" s="38"/>
      <c r="E3895" s="38"/>
      <c r="F3895" s="42"/>
      <c r="G3895" s="43"/>
      <c r="H3895" s="37"/>
      <c r="I3895" s="37"/>
      <c r="J3895" s="38"/>
      <c r="K3895" s="37"/>
      <c r="L3895" s="38"/>
      <c r="M3895" s="39"/>
      <c r="P3895" s="37"/>
      <c r="Q3895" s="37"/>
      <c r="R3895" s="37"/>
      <c r="S3895" s="37"/>
      <c r="T3895" s="37"/>
      <c r="U3895" s="37"/>
      <c r="V3895" s="37"/>
      <c r="W3895" s="37"/>
      <c r="X3895" s="37"/>
      <c r="Y3895" s="37"/>
      <c r="Z3895" s="37"/>
      <c r="AA3895" s="37"/>
      <c r="AB3895" s="37"/>
      <c r="AC3895" s="37"/>
      <c r="AD3895" s="37"/>
      <c r="AE3895" s="37"/>
      <c r="AF3895" s="37"/>
      <c r="AG3895" s="37"/>
      <c r="AH3895" s="37"/>
      <c r="AI3895" s="37"/>
      <c r="AJ3895" s="37"/>
      <c r="AK3895" s="37"/>
      <c r="AL3895" s="37"/>
      <c r="AM3895" s="37"/>
      <c r="AN3895" s="37"/>
      <c r="AO3895" s="37"/>
      <c r="AP3895" s="37"/>
      <c r="AQ3895" s="37"/>
      <c r="AR3895" s="37"/>
      <c r="AS3895" s="37"/>
      <c r="AT3895" s="37"/>
      <c r="AU3895" s="37"/>
      <c r="AV3895" s="37"/>
      <c r="AW3895" s="37"/>
      <c r="AX3895" s="37"/>
      <c r="AY3895" s="37"/>
      <c r="AZ3895" s="37"/>
      <c r="BA3895" s="37"/>
      <c r="BB3895" s="37"/>
      <c r="BC3895" s="37"/>
      <c r="BD3895" s="37"/>
      <c r="BE3895" s="37"/>
      <c r="BF3895" s="37"/>
      <c r="BG3895" s="37"/>
      <c r="BH3895" s="37"/>
      <c r="BI3895" s="37"/>
      <c r="BJ3895" s="37"/>
      <c r="BK3895" s="37"/>
      <c r="BL3895" s="37"/>
      <c r="BM3895" s="37"/>
    </row>
    <row r="3896" spans="1:65" s="40" customFormat="1" ht="21" x14ac:dyDescent="0.35">
      <c r="A3896" s="37"/>
      <c r="B3896" s="37"/>
      <c r="C3896" s="41"/>
      <c r="D3896" s="38"/>
      <c r="E3896" s="38"/>
      <c r="F3896" s="42"/>
      <c r="G3896" s="43"/>
      <c r="H3896" s="37"/>
      <c r="I3896" s="37"/>
      <c r="J3896" s="38"/>
      <c r="K3896" s="37"/>
      <c r="L3896" s="38"/>
      <c r="M3896" s="39"/>
      <c r="P3896" s="37"/>
      <c r="Q3896" s="37"/>
      <c r="R3896" s="37"/>
      <c r="S3896" s="37"/>
      <c r="T3896" s="37"/>
      <c r="U3896" s="37"/>
      <c r="V3896" s="37"/>
      <c r="W3896" s="37"/>
      <c r="X3896" s="37"/>
      <c r="Y3896" s="37"/>
      <c r="Z3896" s="37"/>
      <c r="AA3896" s="37"/>
      <c r="AB3896" s="37"/>
      <c r="AC3896" s="37"/>
      <c r="AD3896" s="37"/>
      <c r="AE3896" s="37"/>
      <c r="AF3896" s="37"/>
      <c r="AG3896" s="37"/>
      <c r="AH3896" s="37"/>
      <c r="AI3896" s="37"/>
      <c r="AJ3896" s="37"/>
      <c r="AK3896" s="37"/>
      <c r="AL3896" s="37"/>
      <c r="AM3896" s="37"/>
      <c r="AN3896" s="37"/>
      <c r="AO3896" s="37"/>
      <c r="AP3896" s="37"/>
      <c r="AQ3896" s="37"/>
      <c r="AR3896" s="37"/>
      <c r="AS3896" s="37"/>
      <c r="AT3896" s="37"/>
      <c r="AU3896" s="37"/>
      <c r="AV3896" s="37"/>
      <c r="AW3896" s="37"/>
      <c r="AX3896" s="37"/>
      <c r="AY3896" s="37"/>
      <c r="AZ3896" s="37"/>
      <c r="BA3896" s="37"/>
      <c r="BB3896" s="37"/>
      <c r="BC3896" s="37"/>
      <c r="BD3896" s="37"/>
      <c r="BE3896" s="37"/>
      <c r="BF3896" s="37"/>
      <c r="BG3896" s="37"/>
      <c r="BH3896" s="37"/>
      <c r="BI3896" s="37"/>
      <c r="BJ3896" s="37"/>
      <c r="BK3896" s="37"/>
      <c r="BL3896" s="37"/>
      <c r="BM3896" s="37"/>
    </row>
    <row r="3897" spans="1:65" s="40" customFormat="1" ht="21" x14ac:dyDescent="0.35">
      <c r="A3897" s="37"/>
      <c r="B3897" s="37"/>
      <c r="C3897" s="41"/>
      <c r="D3897" s="38"/>
      <c r="E3897" s="38"/>
      <c r="F3897" s="42"/>
      <c r="G3897" s="43"/>
      <c r="H3897" s="37"/>
      <c r="I3897" s="37"/>
      <c r="J3897" s="38"/>
      <c r="K3897" s="37"/>
      <c r="L3897" s="38"/>
      <c r="M3897" s="39"/>
      <c r="P3897" s="37"/>
      <c r="Q3897" s="37"/>
      <c r="R3897" s="37"/>
      <c r="S3897" s="37"/>
      <c r="T3897" s="37"/>
      <c r="U3897" s="37"/>
      <c r="V3897" s="37"/>
      <c r="W3897" s="37"/>
      <c r="X3897" s="37"/>
      <c r="Y3897" s="37"/>
      <c r="Z3897" s="37"/>
      <c r="AA3897" s="37"/>
      <c r="AB3897" s="37"/>
      <c r="AC3897" s="37"/>
      <c r="AD3897" s="37"/>
      <c r="AE3897" s="37"/>
      <c r="AF3897" s="37"/>
      <c r="AG3897" s="37"/>
      <c r="AH3897" s="37"/>
      <c r="AI3897" s="37"/>
      <c r="AJ3897" s="37"/>
      <c r="AK3897" s="37"/>
      <c r="AL3897" s="37"/>
      <c r="AM3897" s="37"/>
      <c r="AN3897" s="37"/>
      <c r="AO3897" s="37"/>
      <c r="AP3897" s="37"/>
      <c r="AQ3897" s="37"/>
      <c r="AR3897" s="37"/>
      <c r="AS3897" s="37"/>
      <c r="AT3897" s="37"/>
      <c r="AU3897" s="37"/>
      <c r="AV3897" s="37"/>
      <c r="AW3897" s="37"/>
      <c r="AX3897" s="37"/>
      <c r="AY3897" s="37"/>
      <c r="AZ3897" s="37"/>
      <c r="BA3897" s="37"/>
      <c r="BB3897" s="37"/>
      <c r="BC3897" s="37"/>
      <c r="BD3897" s="37"/>
      <c r="BE3897" s="37"/>
      <c r="BF3897" s="37"/>
      <c r="BG3897" s="37"/>
      <c r="BH3897" s="37"/>
      <c r="BI3897" s="37"/>
      <c r="BJ3897" s="37"/>
      <c r="BK3897" s="37"/>
      <c r="BL3897" s="37"/>
      <c r="BM3897" s="37"/>
    </row>
    <row r="3898" spans="1:65" s="40" customFormat="1" ht="21" x14ac:dyDescent="0.35">
      <c r="A3898" s="37"/>
      <c r="B3898" s="37"/>
      <c r="C3898" s="41"/>
      <c r="D3898" s="38"/>
      <c r="E3898" s="38"/>
      <c r="F3898" s="42"/>
      <c r="G3898" s="43"/>
      <c r="H3898" s="37"/>
      <c r="I3898" s="37"/>
      <c r="J3898" s="38"/>
      <c r="K3898" s="37"/>
      <c r="L3898" s="38"/>
      <c r="M3898" s="39"/>
      <c r="P3898" s="37"/>
      <c r="Q3898" s="37"/>
      <c r="R3898" s="37"/>
      <c r="S3898" s="37"/>
      <c r="T3898" s="37"/>
      <c r="U3898" s="37"/>
      <c r="V3898" s="37"/>
      <c r="W3898" s="37"/>
      <c r="X3898" s="37"/>
      <c r="Y3898" s="37"/>
      <c r="Z3898" s="37"/>
      <c r="AA3898" s="37"/>
      <c r="AB3898" s="37"/>
      <c r="AC3898" s="37"/>
      <c r="AD3898" s="37"/>
      <c r="AE3898" s="37"/>
      <c r="AF3898" s="37"/>
      <c r="AG3898" s="37"/>
      <c r="AH3898" s="37"/>
      <c r="AI3898" s="37"/>
      <c r="AJ3898" s="37"/>
      <c r="AK3898" s="37"/>
      <c r="AL3898" s="37"/>
      <c r="AM3898" s="37"/>
      <c r="AN3898" s="37"/>
      <c r="AO3898" s="37"/>
      <c r="AP3898" s="37"/>
      <c r="AQ3898" s="37"/>
      <c r="AR3898" s="37"/>
      <c r="AS3898" s="37"/>
      <c r="AT3898" s="37"/>
      <c r="AU3898" s="37"/>
      <c r="AV3898" s="37"/>
      <c r="AW3898" s="37"/>
      <c r="AX3898" s="37"/>
      <c r="AY3898" s="37"/>
      <c r="AZ3898" s="37"/>
      <c r="BA3898" s="37"/>
      <c r="BB3898" s="37"/>
      <c r="BC3898" s="37"/>
      <c r="BD3898" s="37"/>
      <c r="BE3898" s="37"/>
      <c r="BF3898" s="37"/>
      <c r="BG3898" s="37"/>
      <c r="BH3898" s="37"/>
      <c r="BI3898" s="37"/>
      <c r="BJ3898" s="37"/>
      <c r="BK3898" s="37"/>
      <c r="BL3898" s="37"/>
      <c r="BM3898" s="37"/>
    </row>
    <row r="3899" spans="1:65" s="40" customFormat="1" ht="21" x14ac:dyDescent="0.35">
      <c r="A3899" s="37"/>
      <c r="B3899" s="37"/>
      <c r="C3899" s="41"/>
      <c r="D3899" s="38"/>
      <c r="E3899" s="38"/>
      <c r="F3899" s="42"/>
      <c r="G3899" s="43"/>
      <c r="H3899" s="37"/>
      <c r="I3899" s="37"/>
      <c r="J3899" s="38"/>
      <c r="K3899" s="37"/>
      <c r="L3899" s="38"/>
      <c r="M3899" s="39"/>
      <c r="P3899" s="37"/>
      <c r="Q3899" s="37"/>
      <c r="R3899" s="37"/>
      <c r="S3899" s="37"/>
      <c r="T3899" s="37"/>
      <c r="U3899" s="37"/>
      <c r="V3899" s="37"/>
      <c r="W3899" s="37"/>
      <c r="X3899" s="37"/>
      <c r="Y3899" s="37"/>
      <c r="Z3899" s="37"/>
      <c r="AA3899" s="37"/>
      <c r="AB3899" s="37"/>
      <c r="AC3899" s="37"/>
      <c r="AD3899" s="37"/>
      <c r="AE3899" s="37"/>
      <c r="AF3899" s="37"/>
      <c r="AG3899" s="37"/>
      <c r="AH3899" s="37"/>
      <c r="AI3899" s="37"/>
      <c r="AJ3899" s="37"/>
      <c r="AK3899" s="37"/>
      <c r="AL3899" s="37"/>
      <c r="AM3899" s="37"/>
      <c r="AN3899" s="37"/>
      <c r="AO3899" s="37"/>
      <c r="AP3899" s="37"/>
      <c r="AQ3899" s="37"/>
      <c r="AR3899" s="37"/>
      <c r="AS3899" s="37"/>
      <c r="AT3899" s="37"/>
      <c r="AU3899" s="37"/>
      <c r="AV3899" s="37"/>
      <c r="AW3899" s="37"/>
      <c r="AX3899" s="37"/>
      <c r="AY3899" s="37"/>
      <c r="AZ3899" s="37"/>
      <c r="BA3899" s="37"/>
      <c r="BB3899" s="37"/>
      <c r="BC3899" s="37"/>
      <c r="BD3899" s="37"/>
      <c r="BE3899" s="37"/>
      <c r="BF3899" s="37"/>
      <c r="BG3899" s="37"/>
      <c r="BH3899" s="37"/>
      <c r="BI3899" s="37"/>
      <c r="BJ3899" s="37"/>
      <c r="BK3899" s="37"/>
      <c r="BL3899" s="37"/>
      <c r="BM3899" s="37"/>
    </row>
    <row r="3900" spans="1:65" s="40" customFormat="1" ht="21" x14ac:dyDescent="0.35">
      <c r="A3900" s="37"/>
      <c r="B3900" s="37"/>
      <c r="C3900" s="41"/>
      <c r="D3900" s="38"/>
      <c r="E3900" s="38"/>
      <c r="F3900" s="42"/>
      <c r="G3900" s="43"/>
      <c r="H3900" s="37"/>
      <c r="I3900" s="37"/>
      <c r="J3900" s="38"/>
      <c r="K3900" s="37"/>
      <c r="L3900" s="38"/>
      <c r="M3900" s="39"/>
      <c r="P3900" s="37"/>
      <c r="Q3900" s="37"/>
      <c r="R3900" s="37"/>
      <c r="S3900" s="37"/>
      <c r="T3900" s="37"/>
      <c r="U3900" s="37"/>
      <c r="V3900" s="37"/>
      <c r="W3900" s="37"/>
      <c r="X3900" s="37"/>
      <c r="Y3900" s="37"/>
      <c r="Z3900" s="37"/>
      <c r="AA3900" s="37"/>
      <c r="AB3900" s="37"/>
      <c r="AC3900" s="37"/>
      <c r="AD3900" s="37"/>
      <c r="AE3900" s="37"/>
      <c r="AF3900" s="37"/>
      <c r="AG3900" s="37"/>
      <c r="AH3900" s="37"/>
      <c r="AI3900" s="37"/>
      <c r="AJ3900" s="37"/>
      <c r="AK3900" s="37"/>
      <c r="AL3900" s="37"/>
      <c r="AM3900" s="37"/>
      <c r="AN3900" s="37"/>
      <c r="AO3900" s="37"/>
      <c r="AP3900" s="37"/>
      <c r="AQ3900" s="37"/>
      <c r="AR3900" s="37"/>
      <c r="AS3900" s="37"/>
      <c r="AT3900" s="37"/>
      <c r="AU3900" s="37"/>
      <c r="AV3900" s="37"/>
      <c r="AW3900" s="37"/>
      <c r="AX3900" s="37"/>
      <c r="AY3900" s="37"/>
      <c r="AZ3900" s="37"/>
      <c r="BA3900" s="37"/>
      <c r="BB3900" s="37"/>
      <c r="BC3900" s="37"/>
      <c r="BD3900" s="37"/>
      <c r="BE3900" s="37"/>
      <c r="BF3900" s="37"/>
      <c r="BG3900" s="37"/>
      <c r="BH3900" s="37"/>
      <c r="BI3900" s="37"/>
      <c r="BJ3900" s="37"/>
      <c r="BK3900" s="37"/>
      <c r="BL3900" s="37"/>
      <c r="BM3900" s="37"/>
    </row>
    <row r="3901" spans="1:65" s="40" customFormat="1" ht="21" x14ac:dyDescent="0.35">
      <c r="A3901" s="37"/>
      <c r="B3901" s="37"/>
      <c r="C3901" s="41"/>
      <c r="D3901" s="38"/>
      <c r="E3901" s="38"/>
      <c r="F3901" s="42"/>
      <c r="G3901" s="43"/>
      <c r="H3901" s="37"/>
      <c r="I3901" s="37"/>
      <c r="J3901" s="38"/>
      <c r="K3901" s="37"/>
      <c r="L3901" s="38"/>
      <c r="M3901" s="39"/>
      <c r="P3901" s="37"/>
      <c r="Q3901" s="37"/>
      <c r="R3901" s="37"/>
      <c r="S3901" s="37"/>
      <c r="T3901" s="37"/>
      <c r="U3901" s="37"/>
      <c r="V3901" s="37"/>
      <c r="W3901" s="37"/>
      <c r="X3901" s="37"/>
      <c r="Y3901" s="37"/>
      <c r="Z3901" s="37"/>
      <c r="AA3901" s="37"/>
      <c r="AB3901" s="37"/>
      <c r="AC3901" s="37"/>
      <c r="AD3901" s="37"/>
      <c r="AE3901" s="37"/>
      <c r="AF3901" s="37"/>
      <c r="AG3901" s="37"/>
      <c r="AH3901" s="37"/>
      <c r="AI3901" s="37"/>
      <c r="AJ3901" s="37"/>
      <c r="AK3901" s="37"/>
      <c r="AL3901" s="37"/>
      <c r="AM3901" s="37"/>
      <c r="AN3901" s="37"/>
      <c r="AO3901" s="37"/>
      <c r="AP3901" s="37"/>
      <c r="AQ3901" s="37"/>
      <c r="AR3901" s="37"/>
      <c r="AS3901" s="37"/>
      <c r="AT3901" s="37"/>
      <c r="AU3901" s="37"/>
      <c r="AV3901" s="37"/>
      <c r="AW3901" s="37"/>
      <c r="AX3901" s="37"/>
      <c r="AY3901" s="37"/>
      <c r="AZ3901" s="37"/>
      <c r="BA3901" s="37"/>
      <c r="BB3901" s="37"/>
      <c r="BC3901" s="37"/>
      <c r="BD3901" s="37"/>
      <c r="BE3901" s="37"/>
      <c r="BF3901" s="37"/>
      <c r="BG3901" s="37"/>
      <c r="BH3901" s="37"/>
      <c r="BI3901" s="37"/>
      <c r="BJ3901" s="37"/>
      <c r="BK3901" s="37"/>
      <c r="BL3901" s="37"/>
      <c r="BM3901" s="37"/>
    </row>
    <row r="3902" spans="1:65" s="40" customFormat="1" ht="21" x14ac:dyDescent="0.35">
      <c r="A3902" s="37"/>
      <c r="B3902" s="37"/>
      <c r="C3902" s="41"/>
      <c r="D3902" s="38"/>
      <c r="E3902" s="38"/>
      <c r="F3902" s="42"/>
      <c r="G3902" s="43"/>
      <c r="H3902" s="37"/>
      <c r="I3902" s="37"/>
      <c r="J3902" s="38"/>
      <c r="K3902" s="37"/>
      <c r="L3902" s="38"/>
      <c r="M3902" s="39"/>
      <c r="P3902" s="37"/>
      <c r="Q3902" s="37"/>
      <c r="R3902" s="37"/>
      <c r="S3902" s="37"/>
      <c r="T3902" s="37"/>
      <c r="U3902" s="37"/>
      <c r="V3902" s="37"/>
      <c r="W3902" s="37"/>
      <c r="X3902" s="37"/>
      <c r="Y3902" s="37"/>
      <c r="Z3902" s="37"/>
      <c r="AA3902" s="37"/>
      <c r="AB3902" s="37"/>
      <c r="AC3902" s="37"/>
      <c r="AD3902" s="37"/>
      <c r="AE3902" s="37"/>
      <c r="AF3902" s="37"/>
      <c r="AG3902" s="37"/>
      <c r="AH3902" s="37"/>
      <c r="AI3902" s="37"/>
      <c r="AJ3902" s="37"/>
      <c r="AK3902" s="37"/>
      <c r="AL3902" s="37"/>
      <c r="AM3902" s="37"/>
      <c r="AN3902" s="37"/>
      <c r="AO3902" s="37"/>
      <c r="AP3902" s="37"/>
      <c r="AQ3902" s="37"/>
      <c r="AR3902" s="37"/>
      <c r="AS3902" s="37"/>
      <c r="AT3902" s="37"/>
      <c r="AU3902" s="37"/>
      <c r="AV3902" s="37"/>
      <c r="AW3902" s="37"/>
      <c r="AX3902" s="37"/>
      <c r="AY3902" s="37"/>
      <c r="AZ3902" s="37"/>
      <c r="BA3902" s="37"/>
      <c r="BB3902" s="37"/>
      <c r="BC3902" s="37"/>
      <c r="BD3902" s="37"/>
      <c r="BE3902" s="37"/>
      <c r="BF3902" s="37"/>
      <c r="BG3902" s="37"/>
      <c r="BH3902" s="37"/>
      <c r="BI3902" s="37"/>
      <c r="BJ3902" s="37"/>
      <c r="BK3902" s="37"/>
      <c r="BL3902" s="37"/>
      <c r="BM3902" s="37"/>
    </row>
    <row r="3903" spans="1:65" s="40" customFormat="1" ht="21" x14ac:dyDescent="0.35">
      <c r="A3903" s="37"/>
      <c r="B3903" s="37"/>
      <c r="C3903" s="41"/>
      <c r="D3903" s="38"/>
      <c r="E3903" s="38"/>
      <c r="F3903" s="42"/>
      <c r="G3903" s="43"/>
      <c r="H3903" s="37"/>
      <c r="I3903" s="37"/>
      <c r="J3903" s="38"/>
      <c r="K3903" s="37"/>
      <c r="L3903" s="38"/>
      <c r="M3903" s="39"/>
      <c r="P3903" s="37"/>
      <c r="Q3903" s="37"/>
      <c r="R3903" s="37"/>
      <c r="S3903" s="37"/>
      <c r="T3903" s="37"/>
      <c r="U3903" s="37"/>
      <c r="V3903" s="37"/>
      <c r="W3903" s="37"/>
      <c r="X3903" s="37"/>
      <c r="Y3903" s="37"/>
      <c r="Z3903" s="37"/>
      <c r="AA3903" s="37"/>
      <c r="AB3903" s="37"/>
      <c r="AC3903" s="37"/>
      <c r="AD3903" s="37"/>
      <c r="AE3903" s="37"/>
      <c r="AF3903" s="37"/>
      <c r="AG3903" s="37"/>
      <c r="AH3903" s="37"/>
      <c r="AI3903" s="37"/>
      <c r="AJ3903" s="37"/>
      <c r="AK3903" s="37"/>
      <c r="AL3903" s="37"/>
      <c r="AM3903" s="37"/>
      <c r="AN3903" s="37"/>
      <c r="AO3903" s="37"/>
      <c r="AP3903" s="37"/>
      <c r="AQ3903" s="37"/>
      <c r="AR3903" s="37"/>
      <c r="AS3903" s="37"/>
      <c r="AT3903" s="37"/>
      <c r="AU3903" s="37"/>
      <c r="AV3903" s="37"/>
      <c r="AW3903" s="37"/>
      <c r="AX3903" s="37"/>
      <c r="AY3903" s="37"/>
      <c r="AZ3903" s="37"/>
      <c r="BA3903" s="37"/>
      <c r="BB3903" s="37"/>
      <c r="BC3903" s="37"/>
      <c r="BD3903" s="37"/>
      <c r="BE3903" s="37"/>
      <c r="BF3903" s="37"/>
      <c r="BG3903" s="37"/>
      <c r="BH3903" s="37"/>
      <c r="BI3903" s="37"/>
      <c r="BJ3903" s="37"/>
      <c r="BK3903" s="37"/>
      <c r="BL3903" s="37"/>
      <c r="BM3903" s="37"/>
    </row>
    <row r="3904" spans="1:65" s="40" customFormat="1" ht="21" x14ac:dyDescent="0.35">
      <c r="A3904" s="37"/>
      <c r="B3904" s="37"/>
      <c r="C3904" s="41"/>
      <c r="D3904" s="38"/>
      <c r="E3904" s="38"/>
      <c r="F3904" s="42"/>
      <c r="G3904" s="43"/>
      <c r="H3904" s="37"/>
      <c r="I3904" s="37"/>
      <c r="J3904" s="38"/>
      <c r="K3904" s="37"/>
      <c r="L3904" s="38"/>
      <c r="M3904" s="39"/>
      <c r="P3904" s="37"/>
      <c r="Q3904" s="37"/>
      <c r="R3904" s="37"/>
      <c r="S3904" s="37"/>
      <c r="T3904" s="37"/>
      <c r="U3904" s="37"/>
      <c r="V3904" s="37"/>
      <c r="W3904" s="37"/>
      <c r="X3904" s="37"/>
      <c r="Y3904" s="37"/>
      <c r="Z3904" s="37"/>
      <c r="AA3904" s="37"/>
      <c r="AB3904" s="37"/>
      <c r="AC3904" s="37"/>
      <c r="AD3904" s="37"/>
      <c r="AE3904" s="37"/>
      <c r="AF3904" s="37"/>
      <c r="AG3904" s="37"/>
      <c r="AH3904" s="37"/>
      <c r="AI3904" s="37"/>
      <c r="AJ3904" s="37"/>
      <c r="AK3904" s="37"/>
      <c r="AL3904" s="37"/>
      <c r="AM3904" s="37"/>
      <c r="AN3904" s="37"/>
      <c r="AO3904" s="37"/>
      <c r="AP3904" s="37"/>
      <c r="AQ3904" s="37"/>
      <c r="AR3904" s="37"/>
      <c r="AS3904" s="37"/>
      <c r="AT3904" s="37"/>
      <c r="AU3904" s="37"/>
      <c r="AV3904" s="37"/>
      <c r="AW3904" s="37"/>
      <c r="AX3904" s="37"/>
      <c r="AY3904" s="37"/>
      <c r="AZ3904" s="37"/>
      <c r="BA3904" s="37"/>
      <c r="BB3904" s="37"/>
      <c r="BC3904" s="37"/>
      <c r="BD3904" s="37"/>
      <c r="BE3904" s="37"/>
      <c r="BF3904" s="37"/>
      <c r="BG3904" s="37"/>
      <c r="BH3904" s="37"/>
      <c r="BI3904" s="37"/>
      <c r="BJ3904" s="37"/>
      <c r="BK3904" s="37"/>
      <c r="BL3904" s="37"/>
      <c r="BM3904" s="37"/>
    </row>
    <row r="3905" spans="1:65" s="40" customFormat="1" ht="21" x14ac:dyDescent="0.35">
      <c r="A3905" s="37"/>
      <c r="B3905" s="37"/>
      <c r="C3905" s="41"/>
      <c r="D3905" s="38"/>
      <c r="E3905" s="38"/>
      <c r="F3905" s="42"/>
      <c r="G3905" s="43"/>
      <c r="H3905" s="37"/>
      <c r="I3905" s="37"/>
      <c r="J3905" s="38"/>
      <c r="K3905" s="37"/>
      <c r="L3905" s="38"/>
      <c r="M3905" s="39"/>
      <c r="P3905" s="37"/>
      <c r="Q3905" s="37"/>
      <c r="R3905" s="37"/>
      <c r="S3905" s="37"/>
      <c r="T3905" s="37"/>
      <c r="U3905" s="37"/>
      <c r="V3905" s="37"/>
      <c r="W3905" s="37"/>
      <c r="X3905" s="37"/>
      <c r="Y3905" s="37"/>
      <c r="Z3905" s="37"/>
      <c r="AA3905" s="37"/>
      <c r="AB3905" s="37"/>
      <c r="AC3905" s="37"/>
      <c r="AD3905" s="37"/>
      <c r="AE3905" s="37"/>
      <c r="AF3905" s="37"/>
      <c r="AG3905" s="37"/>
      <c r="AH3905" s="37"/>
      <c r="AI3905" s="37"/>
      <c r="AJ3905" s="37"/>
      <c r="AK3905" s="37"/>
      <c r="AL3905" s="37"/>
      <c r="AM3905" s="37"/>
      <c r="AN3905" s="37"/>
      <c r="AO3905" s="37"/>
      <c r="AP3905" s="37"/>
      <c r="AQ3905" s="37"/>
      <c r="AR3905" s="37"/>
      <c r="AS3905" s="37"/>
      <c r="AT3905" s="37"/>
      <c r="AU3905" s="37"/>
      <c r="AV3905" s="37"/>
      <c r="AW3905" s="37"/>
      <c r="AX3905" s="37"/>
      <c r="AY3905" s="37"/>
      <c r="AZ3905" s="37"/>
      <c r="BA3905" s="37"/>
      <c r="BB3905" s="37"/>
      <c r="BC3905" s="37"/>
      <c r="BD3905" s="37"/>
      <c r="BE3905" s="37"/>
      <c r="BF3905" s="37"/>
      <c r="BG3905" s="37"/>
      <c r="BH3905" s="37"/>
      <c r="BI3905" s="37"/>
      <c r="BJ3905" s="37"/>
      <c r="BK3905" s="37"/>
      <c r="BL3905" s="37"/>
      <c r="BM3905" s="37"/>
    </row>
    <row r="3906" spans="1:65" s="40" customFormat="1" ht="21" x14ac:dyDescent="0.35">
      <c r="A3906" s="37"/>
      <c r="B3906" s="37"/>
      <c r="C3906" s="41"/>
      <c r="D3906" s="38"/>
      <c r="E3906" s="38"/>
      <c r="F3906" s="42"/>
      <c r="G3906" s="43"/>
      <c r="H3906" s="37"/>
      <c r="I3906" s="37"/>
      <c r="J3906" s="38"/>
      <c r="K3906" s="37"/>
      <c r="L3906" s="38"/>
      <c r="M3906" s="39"/>
      <c r="P3906" s="37"/>
      <c r="Q3906" s="37"/>
      <c r="R3906" s="37"/>
      <c r="S3906" s="37"/>
      <c r="T3906" s="37"/>
      <c r="U3906" s="37"/>
      <c r="V3906" s="37"/>
      <c r="W3906" s="37"/>
      <c r="X3906" s="37"/>
      <c r="Y3906" s="37"/>
      <c r="Z3906" s="37"/>
      <c r="AA3906" s="37"/>
      <c r="AB3906" s="37"/>
      <c r="AC3906" s="37"/>
      <c r="AD3906" s="37"/>
      <c r="AE3906" s="37"/>
      <c r="AF3906" s="37"/>
      <c r="AG3906" s="37"/>
      <c r="AH3906" s="37"/>
      <c r="AI3906" s="37"/>
      <c r="AJ3906" s="37"/>
      <c r="AK3906" s="37"/>
      <c r="AL3906" s="37"/>
      <c r="AM3906" s="37"/>
      <c r="AN3906" s="37"/>
      <c r="AO3906" s="37"/>
      <c r="AP3906" s="37"/>
      <c r="AQ3906" s="37"/>
      <c r="AR3906" s="37"/>
      <c r="AS3906" s="37"/>
      <c r="AT3906" s="37"/>
      <c r="AU3906" s="37"/>
      <c r="AV3906" s="37"/>
      <c r="AW3906" s="37"/>
      <c r="AX3906" s="37"/>
      <c r="AY3906" s="37"/>
      <c r="AZ3906" s="37"/>
      <c r="BA3906" s="37"/>
      <c r="BB3906" s="37"/>
      <c r="BC3906" s="37"/>
      <c r="BD3906" s="37"/>
      <c r="BE3906" s="37"/>
      <c r="BF3906" s="37"/>
      <c r="BG3906" s="37"/>
      <c r="BH3906" s="37"/>
      <c r="BI3906" s="37"/>
      <c r="BJ3906" s="37"/>
      <c r="BK3906" s="37"/>
      <c r="BL3906" s="37"/>
      <c r="BM3906" s="37"/>
    </row>
    <row r="3907" spans="1:65" s="40" customFormat="1" ht="21" x14ac:dyDescent="0.35">
      <c r="A3907" s="37"/>
      <c r="B3907" s="37"/>
      <c r="C3907" s="41"/>
      <c r="D3907" s="38"/>
      <c r="E3907" s="38"/>
      <c r="F3907" s="42"/>
      <c r="G3907" s="43"/>
      <c r="H3907" s="37"/>
      <c r="I3907" s="37"/>
      <c r="J3907" s="38"/>
      <c r="K3907" s="37"/>
      <c r="L3907" s="38"/>
      <c r="M3907" s="39"/>
      <c r="P3907" s="37"/>
      <c r="Q3907" s="37"/>
      <c r="R3907" s="37"/>
      <c r="S3907" s="37"/>
      <c r="T3907" s="37"/>
      <c r="U3907" s="37"/>
      <c r="V3907" s="37"/>
      <c r="W3907" s="37"/>
      <c r="X3907" s="37"/>
      <c r="Y3907" s="37"/>
      <c r="Z3907" s="37"/>
      <c r="AA3907" s="37"/>
      <c r="AB3907" s="37"/>
      <c r="AC3907" s="37"/>
      <c r="AD3907" s="37"/>
      <c r="AE3907" s="37"/>
      <c r="AF3907" s="37"/>
      <c r="AG3907" s="37"/>
      <c r="AH3907" s="37"/>
      <c r="AI3907" s="37"/>
      <c r="AJ3907" s="37"/>
      <c r="AK3907" s="37"/>
      <c r="AL3907" s="37"/>
      <c r="AM3907" s="37"/>
      <c r="AN3907" s="37"/>
      <c r="AO3907" s="37"/>
      <c r="AP3907" s="37"/>
      <c r="AQ3907" s="37"/>
      <c r="AR3907" s="37"/>
      <c r="AS3907" s="37"/>
      <c r="AT3907" s="37"/>
      <c r="AU3907" s="37"/>
      <c r="AV3907" s="37"/>
      <c r="AW3907" s="37"/>
      <c r="AX3907" s="37"/>
      <c r="AY3907" s="37"/>
      <c r="AZ3907" s="37"/>
      <c r="BA3907" s="37"/>
      <c r="BB3907" s="37"/>
      <c r="BC3907" s="37"/>
      <c r="BD3907" s="37"/>
      <c r="BE3907" s="37"/>
      <c r="BF3907" s="37"/>
      <c r="BG3907" s="37"/>
      <c r="BH3907" s="37"/>
      <c r="BI3907" s="37"/>
      <c r="BJ3907" s="37"/>
      <c r="BK3907" s="37"/>
      <c r="BL3907" s="37"/>
      <c r="BM3907" s="37"/>
    </row>
    <row r="3908" spans="1:65" s="40" customFormat="1" ht="21" x14ac:dyDescent="0.35">
      <c r="A3908" s="37"/>
      <c r="B3908" s="37"/>
      <c r="C3908" s="41"/>
      <c r="D3908" s="38"/>
      <c r="E3908" s="38"/>
      <c r="F3908" s="42"/>
      <c r="G3908" s="43"/>
      <c r="H3908" s="37"/>
      <c r="I3908" s="37"/>
      <c r="J3908" s="38"/>
      <c r="K3908" s="37"/>
      <c r="L3908" s="38"/>
      <c r="M3908" s="39"/>
      <c r="P3908" s="37"/>
      <c r="Q3908" s="37"/>
      <c r="R3908" s="37"/>
      <c r="S3908" s="37"/>
      <c r="T3908" s="37"/>
      <c r="U3908" s="37"/>
      <c r="V3908" s="37"/>
      <c r="W3908" s="37"/>
      <c r="X3908" s="37"/>
      <c r="Y3908" s="37"/>
      <c r="Z3908" s="37"/>
      <c r="AA3908" s="37"/>
      <c r="AB3908" s="37"/>
      <c r="AC3908" s="37"/>
      <c r="AD3908" s="37"/>
      <c r="AE3908" s="37"/>
      <c r="AF3908" s="37"/>
      <c r="AG3908" s="37"/>
      <c r="AH3908" s="37"/>
      <c r="AI3908" s="37"/>
      <c r="AJ3908" s="37"/>
      <c r="AK3908" s="37"/>
      <c r="AL3908" s="37"/>
      <c r="AM3908" s="37"/>
      <c r="AN3908" s="37"/>
      <c r="AO3908" s="37"/>
      <c r="AP3908" s="37"/>
      <c r="AQ3908" s="37"/>
      <c r="AR3908" s="37"/>
      <c r="AS3908" s="37"/>
      <c r="AT3908" s="37"/>
      <c r="AU3908" s="37"/>
      <c r="AV3908" s="37"/>
      <c r="AW3908" s="37"/>
      <c r="AX3908" s="37"/>
      <c r="AY3908" s="37"/>
      <c r="AZ3908" s="37"/>
      <c r="BA3908" s="37"/>
      <c r="BB3908" s="37"/>
      <c r="BC3908" s="37"/>
      <c r="BD3908" s="37"/>
      <c r="BE3908" s="37"/>
      <c r="BF3908" s="37"/>
      <c r="BG3908" s="37"/>
      <c r="BH3908" s="37"/>
      <c r="BI3908" s="37"/>
      <c r="BJ3908" s="37"/>
      <c r="BK3908" s="37"/>
      <c r="BL3908" s="37"/>
      <c r="BM3908" s="37"/>
    </row>
    <row r="3909" spans="1:65" s="40" customFormat="1" ht="21" x14ac:dyDescent="0.35">
      <c r="A3909" s="37"/>
      <c r="B3909" s="37"/>
      <c r="C3909" s="41"/>
      <c r="D3909" s="38"/>
      <c r="E3909" s="38"/>
      <c r="F3909" s="42"/>
      <c r="G3909" s="43"/>
      <c r="H3909" s="37"/>
      <c r="I3909" s="37"/>
      <c r="J3909" s="38"/>
      <c r="K3909" s="37"/>
      <c r="L3909" s="38"/>
      <c r="M3909" s="39"/>
      <c r="P3909" s="37"/>
      <c r="Q3909" s="37"/>
      <c r="R3909" s="37"/>
      <c r="S3909" s="37"/>
      <c r="T3909" s="37"/>
      <c r="U3909" s="37"/>
      <c r="V3909" s="37"/>
      <c r="W3909" s="37"/>
      <c r="X3909" s="37"/>
      <c r="Y3909" s="37"/>
      <c r="Z3909" s="37"/>
      <c r="AA3909" s="37"/>
      <c r="AB3909" s="37"/>
      <c r="AC3909" s="37"/>
      <c r="AD3909" s="37"/>
      <c r="AE3909" s="37"/>
      <c r="AF3909" s="37"/>
      <c r="AG3909" s="37"/>
      <c r="AH3909" s="37"/>
      <c r="AI3909" s="37"/>
      <c r="AJ3909" s="37"/>
      <c r="AK3909" s="37"/>
      <c r="AL3909" s="37"/>
      <c r="AM3909" s="37"/>
      <c r="AN3909" s="37"/>
      <c r="AO3909" s="37"/>
      <c r="AP3909" s="37"/>
      <c r="AQ3909" s="37"/>
      <c r="AR3909" s="37"/>
      <c r="AS3909" s="37"/>
      <c r="AT3909" s="37"/>
      <c r="AU3909" s="37"/>
      <c r="AV3909" s="37"/>
      <c r="AW3909" s="37"/>
      <c r="AX3909" s="37"/>
      <c r="AY3909" s="37"/>
      <c r="AZ3909" s="37"/>
      <c r="BA3909" s="37"/>
      <c r="BB3909" s="37"/>
      <c r="BC3909" s="37"/>
      <c r="BD3909" s="37"/>
      <c r="BE3909" s="37"/>
      <c r="BF3909" s="37"/>
      <c r="BG3909" s="37"/>
      <c r="BH3909" s="37"/>
      <c r="BI3909" s="37"/>
      <c r="BJ3909" s="37"/>
      <c r="BK3909" s="37"/>
      <c r="BL3909" s="37"/>
      <c r="BM3909" s="37"/>
    </row>
    <row r="3910" spans="1:65" s="40" customFormat="1" ht="21" x14ac:dyDescent="0.35">
      <c r="A3910" s="37"/>
      <c r="B3910" s="37"/>
      <c r="C3910" s="41"/>
      <c r="D3910" s="38"/>
      <c r="E3910" s="38"/>
      <c r="F3910" s="42"/>
      <c r="G3910" s="43"/>
      <c r="H3910" s="37"/>
      <c r="I3910" s="37"/>
      <c r="J3910" s="38"/>
      <c r="K3910" s="37"/>
      <c r="L3910" s="38"/>
      <c r="M3910" s="39"/>
      <c r="P3910" s="37"/>
      <c r="Q3910" s="37"/>
      <c r="R3910" s="37"/>
      <c r="S3910" s="37"/>
      <c r="T3910" s="37"/>
      <c r="U3910" s="37"/>
      <c r="V3910" s="37"/>
      <c r="W3910" s="37"/>
      <c r="X3910" s="37"/>
      <c r="Y3910" s="37"/>
      <c r="Z3910" s="37"/>
      <c r="AA3910" s="37"/>
      <c r="AB3910" s="37"/>
      <c r="AC3910" s="37"/>
      <c r="AD3910" s="37"/>
      <c r="AE3910" s="37"/>
      <c r="AF3910" s="37"/>
      <c r="AG3910" s="37"/>
      <c r="AH3910" s="37"/>
      <c r="AI3910" s="37"/>
      <c r="AJ3910" s="37"/>
      <c r="AK3910" s="37"/>
      <c r="AL3910" s="37"/>
      <c r="AM3910" s="37"/>
      <c r="AN3910" s="37"/>
      <c r="AO3910" s="37"/>
      <c r="AP3910" s="37"/>
      <c r="AQ3910" s="37"/>
      <c r="AR3910" s="37"/>
      <c r="AS3910" s="37"/>
      <c r="AT3910" s="37"/>
      <c r="AU3910" s="37"/>
      <c r="AV3910" s="37"/>
      <c r="AW3910" s="37"/>
      <c r="AX3910" s="37"/>
      <c r="AY3910" s="37"/>
      <c r="AZ3910" s="37"/>
      <c r="BA3910" s="37"/>
      <c r="BB3910" s="37"/>
      <c r="BC3910" s="37"/>
      <c r="BD3910" s="37"/>
      <c r="BE3910" s="37"/>
      <c r="BF3910" s="37"/>
      <c r="BG3910" s="37"/>
      <c r="BH3910" s="37"/>
      <c r="BI3910" s="37"/>
      <c r="BJ3910" s="37"/>
      <c r="BK3910" s="37"/>
      <c r="BL3910" s="37"/>
      <c r="BM3910" s="37"/>
    </row>
    <row r="3911" spans="1:65" s="40" customFormat="1" ht="21" x14ac:dyDescent="0.35">
      <c r="A3911" s="37"/>
      <c r="B3911" s="37"/>
      <c r="C3911" s="41"/>
      <c r="D3911" s="38"/>
      <c r="E3911" s="38"/>
      <c r="F3911" s="42"/>
      <c r="G3911" s="43"/>
      <c r="H3911" s="37"/>
      <c r="I3911" s="37"/>
      <c r="J3911" s="38"/>
      <c r="K3911" s="37"/>
      <c r="L3911" s="38"/>
      <c r="M3911" s="39"/>
      <c r="P3911" s="37"/>
      <c r="Q3911" s="37"/>
      <c r="R3911" s="37"/>
      <c r="S3911" s="37"/>
      <c r="T3911" s="37"/>
      <c r="U3911" s="37"/>
      <c r="V3911" s="37"/>
      <c r="W3911" s="37"/>
      <c r="X3911" s="37"/>
      <c r="Y3911" s="37"/>
      <c r="Z3911" s="37"/>
      <c r="AA3911" s="37"/>
      <c r="AB3911" s="37"/>
      <c r="AC3911" s="37"/>
      <c r="AD3911" s="37"/>
      <c r="AE3911" s="37"/>
      <c r="AF3911" s="37"/>
      <c r="AG3911" s="37"/>
      <c r="AH3911" s="37"/>
      <c r="AI3911" s="37"/>
      <c r="AJ3911" s="37"/>
      <c r="AK3911" s="37"/>
      <c r="AL3911" s="37"/>
      <c r="AM3911" s="37"/>
      <c r="AN3911" s="37"/>
      <c r="AO3911" s="37"/>
      <c r="AP3911" s="37"/>
      <c r="AQ3911" s="37"/>
      <c r="AR3911" s="37"/>
      <c r="AS3911" s="37"/>
      <c r="AT3911" s="37"/>
      <c r="AU3911" s="37"/>
      <c r="AV3911" s="37"/>
      <c r="AW3911" s="37"/>
      <c r="AX3911" s="37"/>
      <c r="AY3911" s="37"/>
      <c r="AZ3911" s="37"/>
      <c r="BA3911" s="37"/>
      <c r="BB3911" s="37"/>
      <c r="BC3911" s="37"/>
      <c r="BD3911" s="37"/>
      <c r="BE3911" s="37"/>
      <c r="BF3911" s="37"/>
      <c r="BG3911" s="37"/>
      <c r="BH3911" s="37"/>
      <c r="BI3911" s="37"/>
      <c r="BJ3911" s="37"/>
      <c r="BK3911" s="37"/>
      <c r="BL3911" s="37"/>
      <c r="BM3911" s="37"/>
    </row>
    <row r="3912" spans="1:65" s="40" customFormat="1" ht="21" x14ac:dyDescent="0.35">
      <c r="A3912" s="37"/>
      <c r="B3912" s="37"/>
      <c r="C3912" s="41"/>
      <c r="D3912" s="38"/>
      <c r="E3912" s="38"/>
      <c r="F3912" s="42"/>
      <c r="G3912" s="43"/>
      <c r="H3912" s="37"/>
      <c r="I3912" s="37"/>
      <c r="J3912" s="38"/>
      <c r="K3912" s="37"/>
      <c r="L3912" s="38"/>
      <c r="M3912" s="39"/>
      <c r="P3912" s="37"/>
      <c r="Q3912" s="37"/>
      <c r="R3912" s="37"/>
      <c r="S3912" s="37"/>
      <c r="T3912" s="37"/>
      <c r="U3912" s="37"/>
      <c r="V3912" s="37"/>
      <c r="W3912" s="37"/>
      <c r="X3912" s="37"/>
      <c r="Y3912" s="37"/>
      <c r="Z3912" s="37"/>
      <c r="AA3912" s="37"/>
      <c r="AB3912" s="37"/>
      <c r="AC3912" s="37"/>
      <c r="AD3912" s="37"/>
      <c r="AE3912" s="37"/>
      <c r="AF3912" s="37"/>
      <c r="AG3912" s="37"/>
      <c r="AH3912" s="37"/>
      <c r="AI3912" s="37"/>
      <c r="AJ3912" s="37"/>
      <c r="AK3912" s="37"/>
      <c r="AL3912" s="37"/>
      <c r="AM3912" s="37"/>
      <c r="AN3912" s="37"/>
      <c r="AO3912" s="37"/>
      <c r="AP3912" s="37"/>
      <c r="AQ3912" s="37"/>
      <c r="AR3912" s="37"/>
      <c r="AS3912" s="37"/>
      <c r="AT3912" s="37"/>
      <c r="AU3912" s="37"/>
      <c r="AV3912" s="37"/>
      <c r="AW3912" s="37"/>
      <c r="AX3912" s="37"/>
      <c r="AY3912" s="37"/>
      <c r="AZ3912" s="37"/>
      <c r="BA3912" s="37"/>
      <c r="BB3912" s="37"/>
      <c r="BC3912" s="37"/>
      <c r="BD3912" s="37"/>
      <c r="BE3912" s="37"/>
      <c r="BF3912" s="37"/>
      <c r="BG3912" s="37"/>
      <c r="BH3912" s="37"/>
      <c r="BI3912" s="37"/>
      <c r="BJ3912" s="37"/>
      <c r="BK3912" s="37"/>
      <c r="BL3912" s="37"/>
      <c r="BM3912" s="37"/>
    </row>
    <row r="3913" spans="1:65" s="40" customFormat="1" ht="21" x14ac:dyDescent="0.35">
      <c r="A3913" s="37"/>
      <c r="B3913" s="37"/>
      <c r="C3913" s="41"/>
      <c r="D3913" s="38"/>
      <c r="E3913" s="38"/>
      <c r="F3913" s="42"/>
      <c r="G3913" s="43"/>
      <c r="H3913" s="37"/>
      <c r="I3913" s="37"/>
      <c r="J3913" s="38"/>
      <c r="K3913" s="37"/>
      <c r="L3913" s="38"/>
      <c r="M3913" s="39"/>
      <c r="P3913" s="37"/>
      <c r="Q3913" s="37"/>
      <c r="R3913" s="37"/>
      <c r="S3913" s="37"/>
      <c r="T3913" s="37"/>
      <c r="U3913" s="37"/>
      <c r="V3913" s="37"/>
      <c r="W3913" s="37"/>
      <c r="X3913" s="37"/>
      <c r="Y3913" s="37"/>
      <c r="Z3913" s="37"/>
      <c r="AA3913" s="37"/>
      <c r="AB3913" s="37"/>
      <c r="AC3913" s="37"/>
      <c r="AD3913" s="37"/>
      <c r="AE3913" s="37"/>
      <c r="AF3913" s="37"/>
      <c r="AG3913" s="37"/>
      <c r="AH3913" s="37"/>
      <c r="AI3913" s="37"/>
      <c r="AJ3913" s="37"/>
      <c r="AK3913" s="37"/>
      <c r="AL3913" s="37"/>
      <c r="AM3913" s="37"/>
      <c r="AN3913" s="37"/>
      <c r="AO3913" s="37"/>
      <c r="AP3913" s="37"/>
      <c r="AQ3913" s="37"/>
      <c r="AR3913" s="37"/>
      <c r="AS3913" s="37"/>
      <c r="AT3913" s="37"/>
      <c r="AU3913" s="37"/>
      <c r="AV3913" s="37"/>
      <c r="AW3913" s="37"/>
      <c r="AX3913" s="37"/>
      <c r="AY3913" s="37"/>
      <c r="AZ3913" s="37"/>
      <c r="BA3913" s="37"/>
      <c r="BB3913" s="37"/>
      <c r="BC3913" s="37"/>
      <c r="BD3913" s="37"/>
      <c r="BE3913" s="37"/>
      <c r="BF3913" s="37"/>
      <c r="BG3913" s="37"/>
      <c r="BH3913" s="37"/>
      <c r="BI3913" s="37"/>
      <c r="BJ3913" s="37"/>
      <c r="BK3913" s="37"/>
      <c r="BL3913" s="37"/>
      <c r="BM3913" s="37"/>
    </row>
    <row r="3914" spans="1:65" s="40" customFormat="1" ht="21" x14ac:dyDescent="0.35">
      <c r="A3914" s="37"/>
      <c r="B3914" s="37"/>
      <c r="C3914" s="41"/>
      <c r="D3914" s="38"/>
      <c r="E3914" s="38"/>
      <c r="F3914" s="42"/>
      <c r="G3914" s="43"/>
      <c r="H3914" s="37"/>
      <c r="I3914" s="37"/>
      <c r="J3914" s="38"/>
      <c r="K3914" s="37"/>
      <c r="L3914" s="38"/>
      <c r="M3914" s="39"/>
      <c r="P3914" s="37"/>
      <c r="Q3914" s="37"/>
      <c r="R3914" s="37"/>
      <c r="S3914" s="37"/>
      <c r="T3914" s="37"/>
      <c r="U3914" s="37"/>
      <c r="V3914" s="37"/>
      <c r="W3914" s="37"/>
      <c r="X3914" s="37"/>
      <c r="Y3914" s="37"/>
      <c r="Z3914" s="37"/>
      <c r="AA3914" s="37"/>
      <c r="AB3914" s="37"/>
      <c r="AC3914" s="37"/>
      <c r="AD3914" s="37"/>
      <c r="AE3914" s="37"/>
      <c r="AF3914" s="37"/>
      <c r="AG3914" s="37"/>
      <c r="AH3914" s="37"/>
      <c r="AI3914" s="37"/>
      <c r="AJ3914" s="37"/>
      <c r="AK3914" s="37"/>
      <c r="AL3914" s="37"/>
      <c r="AM3914" s="37"/>
      <c r="AN3914" s="37"/>
      <c r="AO3914" s="37"/>
      <c r="AP3914" s="37"/>
      <c r="AQ3914" s="37"/>
      <c r="AR3914" s="37"/>
      <c r="AS3914" s="37"/>
      <c r="AT3914" s="37"/>
      <c r="AU3914" s="37"/>
      <c r="AV3914" s="37"/>
      <c r="AW3914" s="37"/>
      <c r="AX3914" s="37"/>
      <c r="AY3914" s="37"/>
      <c r="AZ3914" s="37"/>
      <c r="BA3914" s="37"/>
      <c r="BB3914" s="37"/>
      <c r="BC3914" s="37"/>
      <c r="BD3914" s="37"/>
      <c r="BE3914" s="37"/>
      <c r="BF3914" s="37"/>
      <c r="BG3914" s="37"/>
      <c r="BH3914" s="37"/>
      <c r="BI3914" s="37"/>
      <c r="BJ3914" s="37"/>
      <c r="BK3914" s="37"/>
      <c r="BL3914" s="37"/>
      <c r="BM3914" s="37"/>
    </row>
    <row r="3915" spans="1:65" s="40" customFormat="1" ht="21" x14ac:dyDescent="0.35">
      <c r="A3915" s="37"/>
      <c r="B3915" s="37"/>
      <c r="C3915" s="41"/>
      <c r="D3915" s="38"/>
      <c r="E3915" s="38"/>
      <c r="F3915" s="42"/>
      <c r="G3915" s="43"/>
      <c r="H3915" s="37"/>
      <c r="I3915" s="37"/>
      <c r="J3915" s="38"/>
      <c r="K3915" s="37"/>
      <c r="L3915" s="38"/>
      <c r="M3915" s="39"/>
      <c r="P3915" s="37"/>
      <c r="Q3915" s="37"/>
      <c r="R3915" s="37"/>
      <c r="S3915" s="37"/>
      <c r="T3915" s="37"/>
      <c r="U3915" s="37"/>
      <c r="V3915" s="37"/>
      <c r="W3915" s="37"/>
      <c r="X3915" s="37"/>
      <c r="Y3915" s="37"/>
      <c r="Z3915" s="37"/>
      <c r="AA3915" s="37"/>
      <c r="AB3915" s="37"/>
      <c r="AC3915" s="37"/>
      <c r="AD3915" s="37"/>
      <c r="AE3915" s="37"/>
      <c r="AF3915" s="37"/>
      <c r="AG3915" s="37"/>
      <c r="AH3915" s="37"/>
      <c r="AI3915" s="37"/>
      <c r="AJ3915" s="37"/>
      <c r="AK3915" s="37"/>
      <c r="AL3915" s="37"/>
      <c r="AM3915" s="37"/>
      <c r="AN3915" s="37"/>
      <c r="AO3915" s="37"/>
      <c r="AP3915" s="37"/>
      <c r="AQ3915" s="37"/>
      <c r="AR3915" s="37"/>
      <c r="AS3915" s="37"/>
      <c r="AT3915" s="37"/>
      <c r="AU3915" s="37"/>
      <c r="AV3915" s="37"/>
      <c r="AW3915" s="37"/>
      <c r="AX3915" s="37"/>
      <c r="AY3915" s="37"/>
      <c r="AZ3915" s="37"/>
      <c r="BA3915" s="37"/>
      <c r="BB3915" s="37"/>
      <c r="BC3915" s="37"/>
      <c r="BD3915" s="37"/>
      <c r="BE3915" s="37"/>
      <c r="BF3915" s="37"/>
      <c r="BG3915" s="37"/>
      <c r="BH3915" s="37"/>
      <c r="BI3915" s="37"/>
      <c r="BJ3915" s="37"/>
      <c r="BK3915" s="37"/>
      <c r="BL3915" s="37"/>
      <c r="BM3915" s="37"/>
    </row>
    <row r="3916" spans="1:65" s="40" customFormat="1" ht="21" x14ac:dyDescent="0.35">
      <c r="A3916" s="37"/>
      <c r="B3916" s="37"/>
      <c r="C3916" s="41"/>
      <c r="D3916" s="38"/>
      <c r="E3916" s="38"/>
      <c r="F3916" s="42"/>
      <c r="G3916" s="43"/>
      <c r="H3916" s="37"/>
      <c r="I3916" s="37"/>
      <c r="J3916" s="38"/>
      <c r="K3916" s="37"/>
      <c r="L3916" s="38"/>
      <c r="M3916" s="39"/>
      <c r="P3916" s="37"/>
      <c r="Q3916" s="37"/>
      <c r="R3916" s="37"/>
      <c r="S3916" s="37"/>
      <c r="T3916" s="37"/>
      <c r="U3916" s="37"/>
      <c r="V3916" s="37"/>
      <c r="W3916" s="37"/>
      <c r="X3916" s="37"/>
      <c r="Y3916" s="37"/>
      <c r="Z3916" s="37"/>
      <c r="AA3916" s="37"/>
      <c r="AB3916" s="37"/>
      <c r="AC3916" s="37"/>
      <c r="AD3916" s="37"/>
      <c r="AE3916" s="37"/>
      <c r="AF3916" s="37"/>
      <c r="AG3916" s="37"/>
      <c r="AH3916" s="37"/>
      <c r="AI3916" s="37"/>
      <c r="AJ3916" s="37"/>
      <c r="AK3916" s="37"/>
      <c r="AL3916" s="37"/>
      <c r="AM3916" s="37"/>
      <c r="AN3916" s="37"/>
      <c r="AO3916" s="37"/>
      <c r="AP3916" s="37"/>
      <c r="AQ3916" s="37"/>
      <c r="AR3916" s="37"/>
      <c r="AS3916" s="37"/>
      <c r="AT3916" s="37"/>
      <c r="AU3916" s="37"/>
      <c r="AV3916" s="37"/>
      <c r="AW3916" s="37"/>
      <c r="AX3916" s="37"/>
      <c r="AY3916" s="37"/>
      <c r="AZ3916" s="37"/>
      <c r="BA3916" s="37"/>
      <c r="BB3916" s="37"/>
      <c r="BC3916" s="37"/>
      <c r="BD3916" s="37"/>
      <c r="BE3916" s="37"/>
      <c r="BF3916" s="37"/>
      <c r="BG3916" s="37"/>
      <c r="BH3916" s="37"/>
      <c r="BI3916" s="37"/>
      <c r="BJ3916" s="37"/>
      <c r="BK3916" s="37"/>
      <c r="BL3916" s="37"/>
      <c r="BM3916" s="37"/>
    </row>
    <row r="3917" spans="1:65" s="40" customFormat="1" ht="21" x14ac:dyDescent="0.35">
      <c r="A3917" s="37"/>
      <c r="B3917" s="37"/>
      <c r="C3917" s="41"/>
      <c r="D3917" s="38"/>
      <c r="E3917" s="38"/>
      <c r="F3917" s="42"/>
      <c r="G3917" s="43"/>
      <c r="H3917" s="37"/>
      <c r="I3917" s="37"/>
      <c r="J3917" s="38"/>
      <c r="K3917" s="37"/>
      <c r="L3917" s="38"/>
      <c r="M3917" s="39"/>
      <c r="P3917" s="37"/>
      <c r="Q3917" s="37"/>
      <c r="R3917" s="37"/>
      <c r="S3917" s="37"/>
      <c r="T3917" s="37"/>
      <c r="U3917" s="37"/>
      <c r="V3917" s="37"/>
      <c r="W3917" s="37"/>
      <c r="X3917" s="37"/>
      <c r="Y3917" s="37"/>
      <c r="Z3917" s="37"/>
      <c r="AA3917" s="37"/>
      <c r="AB3917" s="37"/>
      <c r="AC3917" s="37"/>
      <c r="AD3917" s="37"/>
      <c r="AE3917" s="37"/>
      <c r="AF3917" s="37"/>
      <c r="AG3917" s="37"/>
      <c r="AH3917" s="37"/>
      <c r="AI3917" s="37"/>
      <c r="AJ3917" s="37"/>
      <c r="AK3917" s="37"/>
      <c r="AL3917" s="37"/>
      <c r="AM3917" s="37"/>
      <c r="AN3917" s="37"/>
      <c r="AO3917" s="37"/>
      <c r="AP3917" s="37"/>
      <c r="AQ3917" s="37"/>
      <c r="AR3917" s="37"/>
      <c r="AS3917" s="37"/>
      <c r="AT3917" s="37"/>
      <c r="AU3917" s="37"/>
      <c r="AV3917" s="37"/>
      <c r="AW3917" s="37"/>
      <c r="AX3917" s="37"/>
      <c r="AY3917" s="37"/>
      <c r="AZ3917" s="37"/>
      <c r="BA3917" s="37"/>
      <c r="BB3917" s="37"/>
      <c r="BC3917" s="37"/>
      <c r="BD3917" s="37"/>
      <c r="BE3917" s="37"/>
      <c r="BF3917" s="37"/>
      <c r="BG3917" s="37"/>
      <c r="BH3917" s="37"/>
      <c r="BI3917" s="37"/>
      <c r="BJ3917" s="37"/>
      <c r="BK3917" s="37"/>
      <c r="BL3917" s="37"/>
      <c r="BM3917" s="37"/>
    </row>
    <row r="3918" spans="1:65" s="40" customFormat="1" ht="21" x14ac:dyDescent="0.35">
      <c r="A3918" s="37"/>
      <c r="B3918" s="37"/>
      <c r="C3918" s="41"/>
      <c r="D3918" s="38"/>
      <c r="E3918" s="38"/>
      <c r="F3918" s="42"/>
      <c r="G3918" s="43"/>
      <c r="H3918" s="37"/>
      <c r="I3918" s="37"/>
      <c r="J3918" s="38"/>
      <c r="K3918" s="37"/>
      <c r="L3918" s="38"/>
      <c r="M3918" s="39"/>
      <c r="P3918" s="37"/>
      <c r="Q3918" s="37"/>
      <c r="R3918" s="37"/>
      <c r="S3918" s="37"/>
      <c r="T3918" s="37"/>
      <c r="U3918" s="37"/>
      <c r="V3918" s="37"/>
      <c r="W3918" s="37"/>
      <c r="X3918" s="37"/>
      <c r="Y3918" s="37"/>
      <c r="Z3918" s="37"/>
      <c r="AA3918" s="37"/>
      <c r="AB3918" s="37"/>
      <c r="AC3918" s="37"/>
      <c r="AD3918" s="37"/>
      <c r="AE3918" s="37"/>
      <c r="AF3918" s="37"/>
      <c r="AG3918" s="37"/>
      <c r="AH3918" s="37"/>
      <c r="AI3918" s="37"/>
      <c r="AJ3918" s="37"/>
      <c r="AK3918" s="37"/>
      <c r="AL3918" s="37"/>
      <c r="AM3918" s="37"/>
      <c r="AN3918" s="37"/>
      <c r="AO3918" s="37"/>
      <c r="AP3918" s="37"/>
      <c r="AQ3918" s="37"/>
      <c r="AR3918" s="37"/>
      <c r="AS3918" s="37"/>
      <c r="AT3918" s="37"/>
      <c r="AU3918" s="37"/>
      <c r="AV3918" s="37"/>
      <c r="AW3918" s="37"/>
      <c r="AX3918" s="37"/>
      <c r="AY3918" s="37"/>
      <c r="AZ3918" s="37"/>
      <c r="BA3918" s="37"/>
      <c r="BB3918" s="37"/>
      <c r="BC3918" s="37"/>
      <c r="BD3918" s="37"/>
      <c r="BE3918" s="37"/>
      <c r="BF3918" s="37"/>
      <c r="BG3918" s="37"/>
      <c r="BH3918" s="37"/>
      <c r="BI3918" s="37"/>
      <c r="BJ3918" s="37"/>
      <c r="BK3918" s="37"/>
      <c r="BL3918" s="37"/>
      <c r="BM3918" s="37"/>
    </row>
    <row r="3919" spans="1:65" s="40" customFormat="1" ht="21" x14ac:dyDescent="0.35">
      <c r="A3919" s="37"/>
      <c r="B3919" s="37"/>
      <c r="C3919" s="41"/>
      <c r="D3919" s="38"/>
      <c r="E3919" s="38"/>
      <c r="F3919" s="42"/>
      <c r="G3919" s="43"/>
      <c r="H3919" s="37"/>
      <c r="I3919" s="37"/>
      <c r="J3919" s="38"/>
      <c r="K3919" s="37"/>
      <c r="L3919" s="38"/>
      <c r="M3919" s="39"/>
      <c r="P3919" s="37"/>
      <c r="Q3919" s="37"/>
      <c r="R3919" s="37"/>
      <c r="S3919" s="37"/>
      <c r="T3919" s="37"/>
      <c r="U3919" s="37"/>
      <c r="V3919" s="37"/>
      <c r="W3919" s="37"/>
      <c r="X3919" s="37"/>
      <c r="Y3919" s="37"/>
      <c r="Z3919" s="37"/>
      <c r="AA3919" s="37"/>
      <c r="AB3919" s="37"/>
      <c r="AC3919" s="37"/>
      <c r="AD3919" s="37"/>
      <c r="AE3919" s="37"/>
      <c r="AF3919" s="37"/>
      <c r="AG3919" s="37"/>
      <c r="AH3919" s="37"/>
      <c r="AI3919" s="37"/>
      <c r="AJ3919" s="37"/>
      <c r="AK3919" s="37"/>
      <c r="AL3919" s="37"/>
      <c r="AM3919" s="37"/>
      <c r="AN3919" s="37"/>
      <c r="AO3919" s="37"/>
      <c r="AP3919" s="37"/>
      <c r="AQ3919" s="37"/>
      <c r="AR3919" s="37"/>
      <c r="AS3919" s="37"/>
      <c r="AT3919" s="37"/>
      <c r="AU3919" s="37"/>
      <c r="AV3919" s="37"/>
      <c r="AW3919" s="37"/>
      <c r="AX3919" s="37"/>
      <c r="AY3919" s="37"/>
      <c r="AZ3919" s="37"/>
      <c r="BA3919" s="37"/>
      <c r="BB3919" s="37"/>
      <c r="BC3919" s="37"/>
      <c r="BD3919" s="37"/>
      <c r="BE3919" s="37"/>
      <c r="BF3919" s="37"/>
      <c r="BG3919" s="37"/>
      <c r="BH3919" s="37"/>
      <c r="BI3919" s="37"/>
      <c r="BJ3919" s="37"/>
      <c r="BK3919" s="37"/>
      <c r="BL3919" s="37"/>
      <c r="BM3919" s="37"/>
    </row>
    <row r="3920" spans="1:65" s="40" customFormat="1" ht="21" x14ac:dyDescent="0.35">
      <c r="A3920" s="37"/>
      <c r="B3920" s="37"/>
      <c r="C3920" s="41"/>
      <c r="D3920" s="38"/>
      <c r="E3920" s="38"/>
      <c r="F3920" s="42"/>
      <c r="G3920" s="43"/>
      <c r="H3920" s="37"/>
      <c r="I3920" s="37"/>
      <c r="J3920" s="38"/>
      <c r="K3920" s="37"/>
      <c r="L3920" s="38"/>
      <c r="M3920" s="39"/>
      <c r="P3920" s="37"/>
      <c r="Q3920" s="37"/>
      <c r="R3920" s="37"/>
      <c r="S3920" s="37"/>
      <c r="T3920" s="37"/>
      <c r="U3920" s="37"/>
      <c r="V3920" s="37"/>
      <c r="W3920" s="37"/>
      <c r="X3920" s="37"/>
      <c r="Y3920" s="37"/>
      <c r="Z3920" s="37"/>
      <c r="AA3920" s="37"/>
      <c r="AB3920" s="37"/>
      <c r="AC3920" s="37"/>
      <c r="AD3920" s="37"/>
      <c r="AE3920" s="37"/>
      <c r="AF3920" s="37"/>
      <c r="AG3920" s="37"/>
      <c r="AH3920" s="37"/>
      <c r="AI3920" s="37"/>
      <c r="AJ3920" s="37"/>
      <c r="AK3920" s="37"/>
      <c r="AL3920" s="37"/>
      <c r="AM3920" s="37"/>
      <c r="AN3920" s="37"/>
      <c r="AO3920" s="37"/>
      <c r="AP3920" s="37"/>
      <c r="AQ3920" s="37"/>
      <c r="AR3920" s="37"/>
      <c r="AS3920" s="37"/>
      <c r="AT3920" s="37"/>
      <c r="AU3920" s="37"/>
      <c r="AV3920" s="37"/>
      <c r="AW3920" s="37"/>
      <c r="AX3920" s="37"/>
      <c r="AY3920" s="37"/>
      <c r="AZ3920" s="37"/>
      <c r="BA3920" s="37"/>
      <c r="BB3920" s="37"/>
      <c r="BC3920" s="37"/>
      <c r="BD3920" s="37"/>
      <c r="BE3920" s="37"/>
      <c r="BF3920" s="37"/>
      <c r="BG3920" s="37"/>
      <c r="BH3920" s="37"/>
      <c r="BI3920" s="37"/>
      <c r="BJ3920" s="37"/>
      <c r="BK3920" s="37"/>
      <c r="BL3920" s="37"/>
      <c r="BM3920" s="37"/>
    </row>
    <row r="3921" spans="1:65" s="40" customFormat="1" ht="21" x14ac:dyDescent="0.35">
      <c r="A3921" s="37"/>
      <c r="B3921" s="37"/>
      <c r="C3921" s="41"/>
      <c r="D3921" s="38"/>
      <c r="E3921" s="38"/>
      <c r="F3921" s="42"/>
      <c r="G3921" s="43"/>
      <c r="H3921" s="37"/>
      <c r="I3921" s="37"/>
      <c r="J3921" s="38"/>
      <c r="K3921" s="37"/>
      <c r="L3921" s="38"/>
      <c r="M3921" s="39"/>
      <c r="P3921" s="37"/>
      <c r="Q3921" s="37"/>
      <c r="R3921" s="37"/>
      <c r="S3921" s="37"/>
      <c r="T3921" s="37"/>
      <c r="U3921" s="37"/>
      <c r="V3921" s="37"/>
      <c r="W3921" s="37"/>
      <c r="X3921" s="37"/>
      <c r="Y3921" s="37"/>
      <c r="Z3921" s="37"/>
      <c r="AA3921" s="37"/>
      <c r="AB3921" s="37"/>
      <c r="AC3921" s="37"/>
      <c r="AD3921" s="37"/>
      <c r="AE3921" s="37"/>
      <c r="AF3921" s="37"/>
      <c r="AG3921" s="37"/>
      <c r="AH3921" s="37"/>
      <c r="AI3921" s="37"/>
      <c r="AJ3921" s="37"/>
      <c r="AK3921" s="37"/>
      <c r="AL3921" s="37"/>
      <c r="AM3921" s="37"/>
      <c r="AN3921" s="37"/>
      <c r="AO3921" s="37"/>
      <c r="AP3921" s="37"/>
      <c r="AQ3921" s="37"/>
      <c r="AR3921" s="37"/>
      <c r="AS3921" s="37"/>
      <c r="AT3921" s="37"/>
      <c r="AU3921" s="37"/>
      <c r="AV3921" s="37"/>
      <c r="AW3921" s="37"/>
      <c r="AX3921" s="37"/>
      <c r="AY3921" s="37"/>
      <c r="AZ3921" s="37"/>
      <c r="BA3921" s="37"/>
      <c r="BB3921" s="37"/>
      <c r="BC3921" s="37"/>
      <c r="BD3921" s="37"/>
      <c r="BE3921" s="37"/>
      <c r="BF3921" s="37"/>
      <c r="BG3921" s="37"/>
      <c r="BH3921" s="37"/>
      <c r="BI3921" s="37"/>
      <c r="BJ3921" s="37"/>
      <c r="BK3921" s="37"/>
      <c r="BL3921" s="37"/>
      <c r="BM3921" s="37"/>
    </row>
    <row r="3922" spans="1:65" s="40" customFormat="1" ht="21" x14ac:dyDescent="0.35">
      <c r="A3922" s="37"/>
      <c r="B3922" s="37"/>
      <c r="C3922" s="41"/>
      <c r="D3922" s="38"/>
      <c r="E3922" s="38"/>
      <c r="F3922" s="42"/>
      <c r="G3922" s="43"/>
      <c r="H3922" s="37"/>
      <c r="I3922" s="37"/>
      <c r="J3922" s="38"/>
      <c r="K3922" s="37"/>
      <c r="L3922" s="38"/>
      <c r="M3922" s="39"/>
      <c r="P3922" s="37"/>
      <c r="Q3922" s="37"/>
      <c r="R3922" s="37"/>
      <c r="S3922" s="37"/>
      <c r="T3922" s="37"/>
      <c r="U3922" s="37"/>
      <c r="V3922" s="37"/>
      <c r="W3922" s="37"/>
      <c r="X3922" s="37"/>
      <c r="Y3922" s="37"/>
      <c r="Z3922" s="37"/>
      <c r="AA3922" s="37"/>
      <c r="AB3922" s="37"/>
      <c r="AC3922" s="37"/>
      <c r="AD3922" s="37"/>
      <c r="AE3922" s="37"/>
      <c r="AF3922" s="37"/>
      <c r="AG3922" s="37"/>
      <c r="AH3922" s="37"/>
      <c r="AI3922" s="37"/>
      <c r="AJ3922" s="37"/>
      <c r="AK3922" s="37"/>
      <c r="AL3922" s="37"/>
      <c r="AM3922" s="37"/>
      <c r="AN3922" s="37"/>
      <c r="AO3922" s="37"/>
      <c r="AP3922" s="37"/>
      <c r="AQ3922" s="37"/>
      <c r="AR3922" s="37"/>
      <c r="AS3922" s="37"/>
      <c r="AT3922" s="37"/>
      <c r="AU3922" s="37"/>
      <c r="AV3922" s="37"/>
      <c r="AW3922" s="37"/>
      <c r="AX3922" s="37"/>
      <c r="AY3922" s="37"/>
      <c r="AZ3922" s="37"/>
      <c r="BA3922" s="37"/>
      <c r="BB3922" s="37"/>
      <c r="BC3922" s="37"/>
      <c r="BD3922" s="37"/>
      <c r="BE3922" s="37"/>
      <c r="BF3922" s="37"/>
      <c r="BG3922" s="37"/>
      <c r="BH3922" s="37"/>
      <c r="BI3922" s="37"/>
      <c r="BJ3922" s="37"/>
      <c r="BK3922" s="37"/>
      <c r="BL3922" s="37"/>
      <c r="BM3922" s="37"/>
    </row>
    <row r="3923" spans="1:65" s="40" customFormat="1" ht="21" x14ac:dyDescent="0.35">
      <c r="A3923" s="37"/>
      <c r="B3923" s="37"/>
      <c r="C3923" s="41"/>
      <c r="D3923" s="38"/>
      <c r="E3923" s="38"/>
      <c r="F3923" s="42"/>
      <c r="G3923" s="43"/>
      <c r="H3923" s="37"/>
      <c r="I3923" s="37"/>
      <c r="J3923" s="38"/>
      <c r="K3923" s="37"/>
      <c r="L3923" s="38"/>
      <c r="M3923" s="39"/>
      <c r="P3923" s="37"/>
      <c r="Q3923" s="37"/>
      <c r="R3923" s="37"/>
      <c r="S3923" s="37"/>
      <c r="T3923" s="37"/>
      <c r="U3923" s="37"/>
      <c r="V3923" s="37"/>
      <c r="W3923" s="37"/>
      <c r="X3923" s="37"/>
      <c r="Y3923" s="37"/>
      <c r="Z3923" s="37"/>
      <c r="AA3923" s="37"/>
      <c r="AB3923" s="37"/>
      <c r="AC3923" s="37"/>
      <c r="AD3923" s="37"/>
      <c r="AE3923" s="37"/>
      <c r="AF3923" s="37"/>
      <c r="AG3923" s="37"/>
      <c r="AH3923" s="37"/>
      <c r="AI3923" s="37"/>
      <c r="AJ3923" s="37"/>
      <c r="AK3923" s="37"/>
      <c r="AL3923" s="37"/>
      <c r="AM3923" s="37"/>
      <c r="AN3923" s="37"/>
      <c r="AO3923" s="37"/>
      <c r="AP3923" s="37"/>
      <c r="AQ3923" s="37"/>
      <c r="AR3923" s="37"/>
      <c r="AS3923" s="37"/>
      <c r="AT3923" s="37"/>
      <c r="AU3923" s="37"/>
      <c r="AV3923" s="37"/>
      <c r="AW3923" s="37"/>
      <c r="AX3923" s="37"/>
      <c r="AY3923" s="37"/>
      <c r="AZ3923" s="37"/>
      <c r="BA3923" s="37"/>
      <c r="BB3923" s="37"/>
      <c r="BC3923" s="37"/>
      <c r="BD3923" s="37"/>
      <c r="BE3923" s="37"/>
      <c r="BF3923" s="37"/>
      <c r="BG3923" s="37"/>
      <c r="BH3923" s="37"/>
      <c r="BI3923" s="37"/>
      <c r="BJ3923" s="37"/>
      <c r="BK3923" s="37"/>
      <c r="BL3923" s="37"/>
      <c r="BM3923" s="37"/>
    </row>
    <row r="3924" spans="1:65" s="40" customFormat="1" ht="21" x14ac:dyDescent="0.35">
      <c r="A3924" s="37"/>
      <c r="B3924" s="37"/>
      <c r="C3924" s="41"/>
      <c r="D3924" s="38"/>
      <c r="E3924" s="38"/>
      <c r="F3924" s="42"/>
      <c r="G3924" s="43"/>
      <c r="H3924" s="37"/>
      <c r="I3924" s="37"/>
      <c r="J3924" s="38"/>
      <c r="K3924" s="37"/>
      <c r="L3924" s="38"/>
      <c r="M3924" s="39"/>
      <c r="P3924" s="37"/>
      <c r="Q3924" s="37"/>
      <c r="R3924" s="37"/>
      <c r="S3924" s="37"/>
      <c r="T3924" s="37"/>
      <c r="U3924" s="37"/>
      <c r="V3924" s="37"/>
      <c r="W3924" s="37"/>
      <c r="X3924" s="37"/>
      <c r="Y3924" s="37"/>
      <c r="Z3924" s="37"/>
      <c r="AA3924" s="37"/>
      <c r="AB3924" s="37"/>
      <c r="AC3924" s="37"/>
      <c r="AD3924" s="37"/>
      <c r="AE3924" s="37"/>
      <c r="AF3924" s="37"/>
      <c r="AG3924" s="37"/>
      <c r="AH3924" s="37"/>
      <c r="AI3924" s="37"/>
      <c r="AJ3924" s="37"/>
      <c r="AK3924" s="37"/>
      <c r="AL3924" s="37"/>
      <c r="AM3924" s="37"/>
      <c r="AN3924" s="37"/>
      <c r="AO3924" s="37"/>
      <c r="AP3924" s="37"/>
      <c r="AQ3924" s="37"/>
      <c r="AR3924" s="37"/>
      <c r="AS3924" s="37"/>
      <c r="AT3924" s="37"/>
      <c r="AU3924" s="37"/>
      <c r="AV3924" s="37"/>
      <c r="AW3924" s="37"/>
      <c r="AX3924" s="37"/>
      <c r="AY3924" s="37"/>
      <c r="AZ3924" s="37"/>
      <c r="BA3924" s="37"/>
      <c r="BB3924" s="37"/>
      <c r="BC3924" s="37"/>
      <c r="BD3924" s="37"/>
      <c r="BE3924" s="37"/>
      <c r="BF3924" s="37"/>
      <c r="BG3924" s="37"/>
      <c r="BH3924" s="37"/>
      <c r="BI3924" s="37"/>
      <c r="BJ3924" s="37"/>
      <c r="BK3924" s="37"/>
      <c r="BL3924" s="37"/>
      <c r="BM3924" s="37"/>
    </row>
    <row r="3925" spans="1:65" s="40" customFormat="1" ht="21" x14ac:dyDescent="0.35">
      <c r="A3925" s="37"/>
      <c r="B3925" s="37"/>
      <c r="C3925" s="41"/>
      <c r="D3925" s="38"/>
      <c r="E3925" s="38"/>
      <c r="F3925" s="42"/>
      <c r="G3925" s="43"/>
      <c r="H3925" s="37"/>
      <c r="I3925" s="37"/>
      <c r="J3925" s="38"/>
      <c r="K3925" s="37"/>
      <c r="L3925" s="38"/>
      <c r="M3925" s="39"/>
      <c r="P3925" s="37"/>
      <c r="Q3925" s="37"/>
      <c r="R3925" s="37"/>
      <c r="S3925" s="37"/>
      <c r="T3925" s="37"/>
      <c r="U3925" s="37"/>
      <c r="V3925" s="37"/>
      <c r="W3925" s="37"/>
      <c r="X3925" s="37"/>
      <c r="Y3925" s="37"/>
      <c r="Z3925" s="37"/>
      <c r="AA3925" s="37"/>
      <c r="AB3925" s="37"/>
      <c r="AC3925" s="37"/>
      <c r="AD3925" s="37"/>
      <c r="AE3925" s="37"/>
      <c r="AF3925" s="37"/>
      <c r="AG3925" s="37"/>
      <c r="AH3925" s="37"/>
      <c r="AI3925" s="37"/>
      <c r="AJ3925" s="37"/>
      <c r="AK3925" s="37"/>
      <c r="AL3925" s="37"/>
      <c r="AM3925" s="37"/>
      <c r="AN3925" s="37"/>
      <c r="AO3925" s="37"/>
      <c r="AP3925" s="37"/>
      <c r="AQ3925" s="37"/>
      <c r="AR3925" s="37"/>
      <c r="AS3925" s="37"/>
      <c r="AT3925" s="37"/>
      <c r="AU3925" s="37"/>
      <c r="AV3925" s="37"/>
      <c r="AW3925" s="37"/>
      <c r="AX3925" s="37"/>
      <c r="AY3925" s="37"/>
      <c r="AZ3925" s="37"/>
      <c r="BA3925" s="37"/>
      <c r="BB3925" s="37"/>
      <c r="BC3925" s="37"/>
      <c r="BD3925" s="37"/>
      <c r="BE3925" s="37"/>
      <c r="BF3925" s="37"/>
      <c r="BG3925" s="37"/>
      <c r="BH3925" s="37"/>
      <c r="BI3925" s="37"/>
      <c r="BJ3925" s="37"/>
      <c r="BK3925" s="37"/>
      <c r="BL3925" s="37"/>
      <c r="BM3925" s="37"/>
    </row>
    <row r="3926" spans="1:65" s="40" customFormat="1" ht="21" x14ac:dyDescent="0.35">
      <c r="A3926" s="37"/>
      <c r="B3926" s="37"/>
      <c r="C3926" s="41"/>
      <c r="D3926" s="38"/>
      <c r="E3926" s="38"/>
      <c r="F3926" s="42"/>
      <c r="G3926" s="43"/>
      <c r="H3926" s="37"/>
      <c r="I3926" s="37"/>
      <c r="J3926" s="38"/>
      <c r="K3926" s="37"/>
      <c r="L3926" s="38"/>
      <c r="M3926" s="39"/>
      <c r="P3926" s="37"/>
      <c r="Q3926" s="37"/>
      <c r="R3926" s="37"/>
      <c r="S3926" s="37"/>
      <c r="T3926" s="37"/>
      <c r="U3926" s="37"/>
      <c r="V3926" s="37"/>
      <c r="W3926" s="37"/>
      <c r="X3926" s="37"/>
      <c r="Y3926" s="37"/>
      <c r="Z3926" s="37"/>
      <c r="AA3926" s="37"/>
      <c r="AB3926" s="37"/>
      <c r="AC3926" s="37"/>
      <c r="AD3926" s="37"/>
      <c r="AE3926" s="37"/>
      <c r="AF3926" s="37"/>
      <c r="AG3926" s="37"/>
      <c r="AH3926" s="37"/>
      <c r="AI3926" s="37"/>
      <c r="AJ3926" s="37"/>
      <c r="AK3926" s="37"/>
      <c r="AL3926" s="37"/>
      <c r="AM3926" s="37"/>
      <c r="AN3926" s="37"/>
      <c r="AO3926" s="37"/>
      <c r="AP3926" s="37"/>
      <c r="AQ3926" s="37"/>
      <c r="AR3926" s="37"/>
      <c r="AS3926" s="37"/>
      <c r="AT3926" s="37"/>
      <c r="AU3926" s="37"/>
      <c r="AV3926" s="37"/>
      <c r="AW3926" s="37"/>
      <c r="AX3926" s="37"/>
      <c r="AY3926" s="37"/>
      <c r="AZ3926" s="37"/>
      <c r="BA3926" s="37"/>
      <c r="BB3926" s="37"/>
      <c r="BC3926" s="37"/>
      <c r="BD3926" s="37"/>
      <c r="BE3926" s="37"/>
      <c r="BF3926" s="37"/>
      <c r="BG3926" s="37"/>
      <c r="BH3926" s="37"/>
      <c r="BI3926" s="37"/>
      <c r="BJ3926" s="37"/>
      <c r="BK3926" s="37"/>
      <c r="BL3926" s="37"/>
      <c r="BM3926" s="37"/>
    </row>
    <row r="3927" spans="1:65" s="40" customFormat="1" ht="21" x14ac:dyDescent="0.35">
      <c r="A3927" s="37"/>
      <c r="B3927" s="37"/>
      <c r="C3927" s="41"/>
      <c r="D3927" s="38"/>
      <c r="E3927" s="38"/>
      <c r="F3927" s="42"/>
      <c r="G3927" s="43"/>
      <c r="H3927" s="37"/>
      <c r="I3927" s="37"/>
      <c r="J3927" s="38"/>
      <c r="K3927" s="37"/>
      <c r="L3927" s="38"/>
      <c r="M3927" s="39"/>
      <c r="P3927" s="37"/>
      <c r="Q3927" s="37"/>
      <c r="R3927" s="37"/>
      <c r="S3927" s="37"/>
      <c r="T3927" s="37"/>
      <c r="U3927" s="37"/>
      <c r="V3927" s="37"/>
      <c r="W3927" s="37"/>
      <c r="X3927" s="37"/>
      <c r="Y3927" s="37"/>
      <c r="Z3927" s="37"/>
      <c r="AA3927" s="37"/>
      <c r="AB3927" s="37"/>
      <c r="AC3927" s="37"/>
      <c r="AD3927" s="37"/>
      <c r="AE3927" s="37"/>
      <c r="AF3927" s="37"/>
      <c r="AG3927" s="37"/>
      <c r="AH3927" s="37"/>
      <c r="AI3927" s="37"/>
      <c r="AJ3927" s="37"/>
      <c r="AK3927" s="37"/>
      <c r="AL3927" s="37"/>
      <c r="AM3927" s="37"/>
      <c r="AN3927" s="37"/>
      <c r="AO3927" s="37"/>
      <c r="AP3927" s="37"/>
      <c r="AQ3927" s="37"/>
      <c r="AR3927" s="37"/>
      <c r="AS3927" s="37"/>
      <c r="AT3927" s="37"/>
      <c r="AU3927" s="37"/>
      <c r="AV3927" s="37"/>
      <c r="AW3927" s="37"/>
      <c r="AX3927" s="37"/>
      <c r="AY3927" s="37"/>
      <c r="AZ3927" s="37"/>
      <c r="BA3927" s="37"/>
      <c r="BB3927" s="37"/>
      <c r="BC3927" s="37"/>
      <c r="BD3927" s="37"/>
      <c r="BE3927" s="37"/>
      <c r="BF3927" s="37"/>
      <c r="BG3927" s="37"/>
      <c r="BH3927" s="37"/>
      <c r="BI3927" s="37"/>
      <c r="BJ3927" s="37"/>
      <c r="BK3927" s="37"/>
      <c r="BL3927" s="37"/>
      <c r="BM3927" s="37"/>
    </row>
    <row r="3928" spans="1:65" s="40" customFormat="1" ht="21" x14ac:dyDescent="0.35">
      <c r="A3928" s="37"/>
      <c r="B3928" s="37"/>
      <c r="C3928" s="41"/>
      <c r="D3928" s="38"/>
      <c r="E3928" s="38"/>
      <c r="F3928" s="42"/>
      <c r="G3928" s="43"/>
      <c r="H3928" s="37"/>
      <c r="I3928" s="37"/>
      <c r="J3928" s="38"/>
      <c r="K3928" s="37"/>
      <c r="L3928" s="38"/>
      <c r="M3928" s="39"/>
      <c r="P3928" s="37"/>
      <c r="Q3928" s="37"/>
      <c r="R3928" s="37"/>
      <c r="S3928" s="37"/>
      <c r="T3928" s="37"/>
      <c r="U3928" s="37"/>
      <c r="V3928" s="37"/>
      <c r="W3928" s="37"/>
      <c r="X3928" s="37"/>
      <c r="Y3928" s="37"/>
      <c r="Z3928" s="37"/>
      <c r="AA3928" s="37"/>
      <c r="AB3928" s="37"/>
      <c r="AC3928" s="37"/>
      <c r="AD3928" s="37"/>
      <c r="AE3928" s="37"/>
      <c r="AF3928" s="37"/>
      <c r="AG3928" s="37"/>
      <c r="AH3928" s="37"/>
      <c r="AI3928" s="37"/>
      <c r="AJ3928" s="37"/>
      <c r="AK3928" s="37"/>
      <c r="AL3928" s="37"/>
      <c r="AM3928" s="37"/>
      <c r="AN3928" s="37"/>
      <c r="AO3928" s="37"/>
      <c r="AP3928" s="37"/>
      <c r="AQ3928" s="37"/>
      <c r="AR3928" s="37"/>
      <c r="AS3928" s="37"/>
      <c r="AT3928" s="37"/>
      <c r="AU3928" s="37"/>
      <c r="AV3928" s="37"/>
      <c r="AW3928" s="37"/>
      <c r="AX3928" s="37"/>
      <c r="AY3928" s="37"/>
      <c r="AZ3928" s="37"/>
      <c r="BA3928" s="37"/>
      <c r="BB3928" s="37"/>
      <c r="BC3928" s="37"/>
      <c r="BD3928" s="37"/>
      <c r="BE3928" s="37"/>
      <c r="BF3928" s="37"/>
      <c r="BG3928" s="37"/>
      <c r="BH3928" s="37"/>
      <c r="BI3928" s="37"/>
      <c r="BJ3928" s="37"/>
      <c r="BK3928" s="37"/>
      <c r="BL3928" s="37"/>
      <c r="BM3928" s="37"/>
    </row>
    <row r="3929" spans="1:65" s="40" customFormat="1" ht="21" x14ac:dyDescent="0.35">
      <c r="A3929" s="37"/>
      <c r="B3929" s="37"/>
      <c r="C3929" s="41"/>
      <c r="D3929" s="38"/>
      <c r="E3929" s="38"/>
      <c r="F3929" s="42"/>
      <c r="G3929" s="43"/>
      <c r="H3929" s="37"/>
      <c r="I3929" s="37"/>
      <c r="J3929" s="38"/>
      <c r="K3929" s="37"/>
      <c r="L3929" s="38"/>
      <c r="M3929" s="39"/>
      <c r="P3929" s="37"/>
      <c r="Q3929" s="37"/>
      <c r="R3929" s="37"/>
      <c r="S3929" s="37"/>
      <c r="T3929" s="37"/>
      <c r="U3929" s="37"/>
      <c r="V3929" s="37"/>
      <c r="W3929" s="37"/>
      <c r="X3929" s="37"/>
      <c r="Y3929" s="37"/>
      <c r="Z3929" s="37"/>
      <c r="AA3929" s="37"/>
      <c r="AB3929" s="37"/>
      <c r="AC3929" s="37"/>
      <c r="AD3929" s="37"/>
      <c r="AE3929" s="37"/>
      <c r="AF3929" s="37"/>
      <c r="AG3929" s="37"/>
      <c r="AH3929" s="37"/>
      <c r="AI3929" s="37"/>
      <c r="AJ3929" s="37"/>
      <c r="AK3929" s="37"/>
      <c r="AL3929" s="37"/>
      <c r="AM3929" s="37"/>
      <c r="AN3929" s="37"/>
      <c r="AO3929" s="37"/>
      <c r="AP3929" s="37"/>
      <c r="AQ3929" s="37"/>
      <c r="AR3929" s="37"/>
      <c r="AS3929" s="37"/>
      <c r="AT3929" s="37"/>
      <c r="AU3929" s="37"/>
      <c r="AV3929" s="37"/>
      <c r="AW3929" s="37"/>
      <c r="AX3929" s="37"/>
      <c r="AY3929" s="37"/>
      <c r="AZ3929" s="37"/>
      <c r="BA3929" s="37"/>
      <c r="BB3929" s="37"/>
      <c r="BC3929" s="37"/>
      <c r="BD3929" s="37"/>
      <c r="BE3929" s="37"/>
      <c r="BF3929" s="37"/>
      <c r="BG3929" s="37"/>
      <c r="BH3929" s="37"/>
      <c r="BI3929" s="37"/>
      <c r="BJ3929" s="37"/>
      <c r="BK3929" s="37"/>
      <c r="BL3929" s="37"/>
      <c r="BM3929" s="37"/>
    </row>
    <row r="3930" spans="1:65" s="40" customFormat="1" ht="21" x14ac:dyDescent="0.35">
      <c r="A3930" s="37"/>
      <c r="B3930" s="37"/>
      <c r="C3930" s="41"/>
      <c r="D3930" s="38"/>
      <c r="E3930" s="38"/>
      <c r="F3930" s="42"/>
      <c r="G3930" s="43"/>
      <c r="H3930" s="37"/>
      <c r="I3930" s="37"/>
      <c r="J3930" s="38"/>
      <c r="K3930" s="37"/>
      <c r="L3930" s="38"/>
      <c r="M3930" s="39"/>
      <c r="P3930" s="37"/>
      <c r="Q3930" s="37"/>
      <c r="R3930" s="37"/>
      <c r="S3930" s="37"/>
      <c r="T3930" s="37"/>
      <c r="U3930" s="37"/>
      <c r="V3930" s="37"/>
      <c r="W3930" s="37"/>
      <c r="X3930" s="37"/>
      <c r="Y3930" s="37"/>
      <c r="Z3930" s="37"/>
      <c r="AA3930" s="37"/>
      <c r="AB3930" s="37"/>
      <c r="AC3930" s="37"/>
      <c r="AD3930" s="37"/>
      <c r="AE3930" s="37"/>
      <c r="AF3930" s="37"/>
      <c r="AG3930" s="37"/>
      <c r="AH3930" s="37"/>
      <c r="AI3930" s="37"/>
      <c r="AJ3930" s="37"/>
      <c r="AK3930" s="37"/>
      <c r="AL3930" s="37"/>
      <c r="AM3930" s="37"/>
      <c r="AN3930" s="37"/>
      <c r="AO3930" s="37"/>
      <c r="AP3930" s="37"/>
      <c r="AQ3930" s="37"/>
      <c r="AR3930" s="37"/>
      <c r="AS3930" s="37"/>
      <c r="AT3930" s="37"/>
      <c r="AU3930" s="37"/>
      <c r="AV3930" s="37"/>
      <c r="AW3930" s="37"/>
      <c r="AX3930" s="37"/>
      <c r="AY3930" s="37"/>
      <c r="AZ3930" s="37"/>
      <c r="BA3930" s="37"/>
      <c r="BB3930" s="37"/>
      <c r="BC3930" s="37"/>
      <c r="BD3930" s="37"/>
      <c r="BE3930" s="37"/>
      <c r="BF3930" s="37"/>
      <c r="BG3930" s="37"/>
      <c r="BH3930" s="37"/>
      <c r="BI3930" s="37"/>
      <c r="BJ3930" s="37"/>
      <c r="BK3930" s="37"/>
      <c r="BL3930" s="37"/>
      <c r="BM3930" s="37"/>
    </row>
    <row r="3931" spans="1:65" s="40" customFormat="1" ht="21" x14ac:dyDescent="0.35">
      <c r="A3931" s="37"/>
      <c r="B3931" s="37"/>
      <c r="C3931" s="41"/>
      <c r="D3931" s="38"/>
      <c r="E3931" s="38"/>
      <c r="F3931" s="42"/>
      <c r="G3931" s="43"/>
      <c r="H3931" s="37"/>
      <c r="I3931" s="37"/>
      <c r="J3931" s="38"/>
      <c r="K3931" s="37"/>
      <c r="L3931" s="38"/>
      <c r="M3931" s="39"/>
      <c r="P3931" s="37"/>
      <c r="Q3931" s="37"/>
      <c r="R3931" s="37"/>
      <c r="S3931" s="37"/>
      <c r="T3931" s="37"/>
      <c r="U3931" s="37"/>
      <c r="V3931" s="37"/>
      <c r="W3931" s="37"/>
      <c r="X3931" s="37"/>
      <c r="Y3931" s="37"/>
      <c r="Z3931" s="37"/>
      <c r="AA3931" s="37"/>
      <c r="AB3931" s="37"/>
      <c r="AC3931" s="37"/>
      <c r="AD3931" s="37"/>
      <c r="AE3931" s="37"/>
      <c r="AF3931" s="37"/>
      <c r="AG3931" s="37"/>
      <c r="AH3931" s="37"/>
      <c r="AI3931" s="37"/>
      <c r="AJ3931" s="37"/>
      <c r="AK3931" s="37"/>
      <c r="AL3931" s="37"/>
      <c r="AM3931" s="37"/>
      <c r="AN3931" s="37"/>
      <c r="AO3931" s="37"/>
      <c r="AP3931" s="37"/>
      <c r="AQ3931" s="37"/>
      <c r="AR3931" s="37"/>
      <c r="AS3931" s="37"/>
      <c r="AT3931" s="37"/>
      <c r="AU3931" s="37"/>
      <c r="AV3931" s="37"/>
      <c r="AW3931" s="37"/>
      <c r="AX3931" s="37"/>
      <c r="AY3931" s="37"/>
      <c r="AZ3931" s="37"/>
      <c r="BA3931" s="37"/>
      <c r="BB3931" s="37"/>
      <c r="BC3931" s="37"/>
      <c r="BD3931" s="37"/>
      <c r="BE3931" s="37"/>
      <c r="BF3931" s="37"/>
      <c r="BG3931" s="37"/>
      <c r="BH3931" s="37"/>
      <c r="BI3931" s="37"/>
      <c r="BJ3931" s="37"/>
      <c r="BK3931" s="37"/>
      <c r="BL3931" s="37"/>
      <c r="BM3931" s="37"/>
    </row>
    <row r="3932" spans="1:65" s="40" customFormat="1" ht="21" x14ac:dyDescent="0.35">
      <c r="A3932" s="37"/>
      <c r="B3932" s="37"/>
      <c r="C3932" s="41"/>
      <c r="D3932" s="38"/>
      <c r="E3932" s="38"/>
      <c r="F3932" s="42"/>
      <c r="G3932" s="43"/>
      <c r="H3932" s="37"/>
      <c r="I3932" s="37"/>
      <c r="J3932" s="38"/>
      <c r="K3932" s="37"/>
      <c r="L3932" s="38"/>
      <c r="M3932" s="39"/>
      <c r="P3932" s="37"/>
      <c r="Q3932" s="37"/>
      <c r="R3932" s="37"/>
      <c r="S3932" s="37"/>
      <c r="T3932" s="37"/>
      <c r="U3932" s="37"/>
      <c r="V3932" s="37"/>
      <c r="W3932" s="37"/>
      <c r="X3932" s="37"/>
      <c r="Y3932" s="37"/>
      <c r="Z3932" s="37"/>
      <c r="AA3932" s="37"/>
      <c r="AB3932" s="37"/>
      <c r="AC3932" s="37"/>
      <c r="AD3932" s="37"/>
      <c r="AE3932" s="37"/>
      <c r="AF3932" s="37"/>
      <c r="AG3932" s="37"/>
      <c r="AH3932" s="37"/>
      <c r="AI3932" s="37"/>
      <c r="AJ3932" s="37"/>
      <c r="AK3932" s="37"/>
      <c r="AL3932" s="37"/>
      <c r="AM3932" s="37"/>
      <c r="AN3932" s="37"/>
      <c r="AO3932" s="37"/>
      <c r="AP3932" s="37"/>
      <c r="AQ3932" s="37"/>
      <c r="AR3932" s="37"/>
      <c r="AS3932" s="37"/>
      <c r="AT3932" s="37"/>
      <c r="AU3932" s="37"/>
      <c r="AV3932" s="37"/>
      <c r="AW3932" s="37"/>
      <c r="AX3932" s="37"/>
      <c r="AY3932" s="37"/>
      <c r="AZ3932" s="37"/>
      <c r="BA3932" s="37"/>
      <c r="BB3932" s="37"/>
      <c r="BC3932" s="37"/>
      <c r="BD3932" s="37"/>
      <c r="BE3932" s="37"/>
      <c r="BF3932" s="37"/>
      <c r="BG3932" s="37"/>
      <c r="BH3932" s="37"/>
      <c r="BI3932" s="37"/>
      <c r="BJ3932" s="37"/>
      <c r="BK3932" s="37"/>
      <c r="BL3932" s="37"/>
      <c r="BM3932" s="37"/>
    </row>
    <row r="3933" spans="1:65" s="40" customFormat="1" ht="21" x14ac:dyDescent="0.35">
      <c r="A3933" s="37"/>
      <c r="B3933" s="37"/>
      <c r="C3933" s="41"/>
      <c r="D3933" s="38"/>
      <c r="E3933" s="38"/>
      <c r="F3933" s="42"/>
      <c r="G3933" s="43"/>
      <c r="H3933" s="37"/>
      <c r="I3933" s="37"/>
      <c r="J3933" s="38"/>
      <c r="K3933" s="37"/>
      <c r="L3933" s="38"/>
      <c r="M3933" s="39"/>
      <c r="P3933" s="37"/>
      <c r="Q3933" s="37"/>
      <c r="R3933" s="37"/>
      <c r="S3933" s="37"/>
      <c r="T3933" s="37"/>
      <c r="U3933" s="37"/>
      <c r="V3933" s="37"/>
      <c r="W3933" s="37"/>
      <c r="X3933" s="37"/>
      <c r="Y3933" s="37"/>
      <c r="Z3933" s="37"/>
      <c r="AA3933" s="37"/>
      <c r="AB3933" s="37"/>
      <c r="AC3933" s="37"/>
      <c r="AD3933" s="37"/>
      <c r="AE3933" s="37"/>
      <c r="AF3933" s="37"/>
      <c r="AG3933" s="37"/>
      <c r="AH3933" s="37"/>
      <c r="AI3933" s="37"/>
      <c r="AJ3933" s="37"/>
      <c r="AK3933" s="37"/>
      <c r="AL3933" s="37"/>
      <c r="AM3933" s="37"/>
      <c r="AN3933" s="37"/>
      <c r="AO3933" s="37"/>
      <c r="AP3933" s="37"/>
      <c r="AQ3933" s="37"/>
      <c r="AR3933" s="37"/>
      <c r="AS3933" s="37"/>
      <c r="AT3933" s="37"/>
      <c r="AU3933" s="37"/>
      <c r="AV3933" s="37"/>
      <c r="AW3933" s="37"/>
      <c r="AX3933" s="37"/>
      <c r="AY3933" s="37"/>
      <c r="AZ3933" s="37"/>
      <c r="BA3933" s="37"/>
      <c r="BB3933" s="37"/>
      <c r="BC3933" s="37"/>
      <c r="BD3933" s="37"/>
      <c r="BE3933" s="37"/>
      <c r="BF3933" s="37"/>
      <c r="BG3933" s="37"/>
      <c r="BH3933" s="37"/>
      <c r="BI3933" s="37"/>
      <c r="BJ3933" s="37"/>
      <c r="BK3933" s="37"/>
      <c r="BL3933" s="37"/>
      <c r="BM3933" s="37"/>
    </row>
    <row r="3934" spans="1:65" s="40" customFormat="1" ht="21" x14ac:dyDescent="0.35">
      <c r="A3934" s="37"/>
      <c r="B3934" s="37"/>
      <c r="C3934" s="41"/>
      <c r="D3934" s="38"/>
      <c r="E3934" s="38"/>
      <c r="F3934" s="42"/>
      <c r="G3934" s="43"/>
      <c r="H3934" s="37"/>
      <c r="I3934" s="37"/>
      <c r="J3934" s="38"/>
      <c r="K3934" s="37"/>
      <c r="L3934" s="38"/>
      <c r="M3934" s="39"/>
      <c r="P3934" s="37"/>
      <c r="Q3934" s="37"/>
      <c r="R3934" s="37"/>
      <c r="S3934" s="37"/>
      <c r="T3934" s="37"/>
      <c r="U3934" s="37"/>
      <c r="V3934" s="37"/>
      <c r="W3934" s="37"/>
      <c r="X3934" s="37"/>
      <c r="Y3934" s="37"/>
      <c r="Z3934" s="37"/>
      <c r="AA3934" s="37"/>
      <c r="AB3934" s="37"/>
      <c r="AC3934" s="37"/>
      <c r="AD3934" s="37"/>
      <c r="AE3934" s="37"/>
      <c r="AF3934" s="37"/>
      <c r="AG3934" s="37"/>
      <c r="AH3934" s="37"/>
      <c r="AI3934" s="37"/>
      <c r="AJ3934" s="37"/>
      <c r="AK3934" s="37"/>
      <c r="AL3934" s="37"/>
      <c r="AM3934" s="37"/>
      <c r="AN3934" s="37"/>
      <c r="AO3934" s="37"/>
      <c r="AP3934" s="37"/>
      <c r="AQ3934" s="37"/>
      <c r="AR3934" s="37"/>
      <c r="AS3934" s="37"/>
      <c r="AT3934" s="37"/>
      <c r="AU3934" s="37"/>
      <c r="AV3934" s="37"/>
      <c r="AW3934" s="37"/>
      <c r="AX3934" s="37"/>
      <c r="AY3934" s="37"/>
      <c r="AZ3934" s="37"/>
      <c r="BA3934" s="37"/>
      <c r="BB3934" s="37"/>
      <c r="BC3934" s="37"/>
      <c r="BD3934" s="37"/>
      <c r="BE3934" s="37"/>
      <c r="BF3934" s="37"/>
      <c r="BG3934" s="37"/>
      <c r="BH3934" s="37"/>
      <c r="BI3934" s="37"/>
      <c r="BJ3934" s="37"/>
      <c r="BK3934" s="37"/>
      <c r="BL3934" s="37"/>
      <c r="BM3934" s="37"/>
    </row>
    <row r="3935" spans="1:65" s="40" customFormat="1" ht="21" x14ac:dyDescent="0.35">
      <c r="A3935" s="37"/>
      <c r="B3935" s="37"/>
      <c r="C3935" s="41"/>
      <c r="D3935" s="38"/>
      <c r="E3935" s="38"/>
      <c r="F3935" s="42"/>
      <c r="G3935" s="43"/>
      <c r="H3935" s="37"/>
      <c r="I3935" s="37"/>
      <c r="J3935" s="38"/>
      <c r="K3935" s="37"/>
      <c r="L3935" s="38"/>
      <c r="M3935" s="39"/>
      <c r="P3935" s="37"/>
      <c r="Q3935" s="37"/>
      <c r="R3935" s="37"/>
      <c r="S3935" s="37"/>
      <c r="T3935" s="37"/>
      <c r="U3935" s="37"/>
      <c r="V3935" s="37"/>
      <c r="W3935" s="37"/>
      <c r="X3935" s="37"/>
      <c r="Y3935" s="37"/>
      <c r="Z3935" s="37"/>
      <c r="AA3935" s="37"/>
      <c r="AB3935" s="37"/>
      <c r="AC3935" s="37"/>
      <c r="AD3935" s="37"/>
      <c r="AE3935" s="37"/>
      <c r="AF3935" s="37"/>
      <c r="AG3935" s="37"/>
      <c r="AH3935" s="37"/>
      <c r="AI3935" s="37"/>
      <c r="AJ3935" s="37"/>
      <c r="AK3935" s="37"/>
      <c r="AL3935" s="37"/>
      <c r="AM3935" s="37"/>
      <c r="AN3935" s="37"/>
      <c r="AO3935" s="37"/>
      <c r="AP3935" s="37"/>
      <c r="AQ3935" s="37"/>
      <c r="AR3935" s="37"/>
      <c r="AS3935" s="37"/>
      <c r="AT3935" s="37"/>
      <c r="AU3935" s="37"/>
      <c r="AV3935" s="37"/>
      <c r="AW3935" s="37"/>
      <c r="AX3935" s="37"/>
      <c r="AY3935" s="37"/>
      <c r="AZ3935" s="37"/>
      <c r="BA3935" s="37"/>
      <c r="BB3935" s="37"/>
      <c r="BC3935" s="37"/>
      <c r="BD3935" s="37"/>
      <c r="BE3935" s="37"/>
      <c r="BF3935" s="37"/>
      <c r="BG3935" s="37"/>
      <c r="BH3935" s="37"/>
      <c r="BI3935" s="37"/>
      <c r="BJ3935" s="37"/>
      <c r="BK3935" s="37"/>
      <c r="BL3935" s="37"/>
      <c r="BM3935" s="37"/>
    </row>
    <row r="3936" spans="1:65" s="40" customFormat="1" ht="21" x14ac:dyDescent="0.35">
      <c r="A3936" s="37"/>
      <c r="B3936" s="37"/>
      <c r="C3936" s="41"/>
      <c r="D3936" s="38"/>
      <c r="E3936" s="38"/>
      <c r="F3936" s="42"/>
      <c r="G3936" s="43"/>
      <c r="H3936" s="37"/>
      <c r="I3936" s="37"/>
      <c r="J3936" s="38"/>
      <c r="K3936" s="37"/>
      <c r="L3936" s="38"/>
      <c r="M3936" s="39"/>
      <c r="P3936" s="37"/>
      <c r="Q3936" s="37"/>
      <c r="R3936" s="37"/>
      <c r="S3936" s="37"/>
      <c r="T3936" s="37"/>
      <c r="U3936" s="37"/>
      <c r="V3936" s="37"/>
      <c r="W3936" s="37"/>
      <c r="X3936" s="37"/>
      <c r="Y3936" s="37"/>
      <c r="Z3936" s="37"/>
      <c r="AA3936" s="37"/>
      <c r="AB3936" s="37"/>
      <c r="AC3936" s="37"/>
      <c r="AD3936" s="37"/>
      <c r="AE3936" s="37"/>
      <c r="AF3936" s="37"/>
      <c r="AG3936" s="37"/>
      <c r="AH3936" s="37"/>
      <c r="AI3936" s="37"/>
      <c r="AJ3936" s="37"/>
      <c r="AK3936" s="37"/>
      <c r="AL3936" s="37"/>
      <c r="AM3936" s="37"/>
      <c r="AN3936" s="37"/>
      <c r="AO3936" s="37"/>
      <c r="AP3936" s="37"/>
      <c r="AQ3936" s="37"/>
      <c r="AR3936" s="37"/>
      <c r="AS3936" s="37"/>
      <c r="AT3936" s="37"/>
      <c r="AU3936" s="37"/>
      <c r="AV3936" s="37"/>
      <c r="AW3936" s="37"/>
      <c r="AX3936" s="37"/>
      <c r="AY3936" s="37"/>
      <c r="AZ3936" s="37"/>
      <c r="BA3936" s="37"/>
      <c r="BB3936" s="37"/>
      <c r="BC3936" s="37"/>
      <c r="BD3936" s="37"/>
      <c r="BE3936" s="37"/>
      <c r="BF3936" s="37"/>
      <c r="BG3936" s="37"/>
      <c r="BH3936" s="37"/>
      <c r="BI3936" s="37"/>
      <c r="BJ3936" s="37"/>
      <c r="BK3936" s="37"/>
      <c r="BL3936" s="37"/>
      <c r="BM3936" s="37"/>
    </row>
    <row r="3937" spans="1:65" s="40" customFormat="1" ht="21" x14ac:dyDescent="0.35">
      <c r="A3937" s="37"/>
      <c r="B3937" s="37"/>
      <c r="C3937" s="41"/>
      <c r="D3937" s="38"/>
      <c r="E3937" s="38"/>
      <c r="F3937" s="42"/>
      <c r="G3937" s="43"/>
      <c r="H3937" s="37"/>
      <c r="I3937" s="37"/>
      <c r="J3937" s="38"/>
      <c r="K3937" s="37"/>
      <c r="L3937" s="38"/>
      <c r="M3937" s="39"/>
      <c r="P3937" s="37"/>
      <c r="Q3937" s="37"/>
      <c r="R3937" s="37"/>
      <c r="S3937" s="37"/>
      <c r="T3937" s="37"/>
      <c r="U3937" s="37"/>
      <c r="V3937" s="37"/>
      <c r="W3937" s="37"/>
      <c r="X3937" s="37"/>
      <c r="Y3937" s="37"/>
      <c r="Z3937" s="37"/>
      <c r="AA3937" s="37"/>
      <c r="AB3937" s="37"/>
      <c r="AC3937" s="37"/>
      <c r="AD3937" s="37"/>
      <c r="AE3937" s="37"/>
      <c r="AF3937" s="37"/>
      <c r="AG3937" s="37"/>
      <c r="AH3937" s="37"/>
      <c r="AI3937" s="37"/>
      <c r="AJ3937" s="37"/>
      <c r="AK3937" s="37"/>
      <c r="AL3937" s="37"/>
      <c r="AM3937" s="37"/>
      <c r="AN3937" s="37"/>
      <c r="AO3937" s="37"/>
      <c r="AP3937" s="37"/>
      <c r="AQ3937" s="37"/>
      <c r="AR3937" s="37"/>
      <c r="AS3937" s="37"/>
      <c r="AT3937" s="37"/>
      <c r="AU3937" s="37"/>
      <c r="AV3937" s="37"/>
      <c r="AW3937" s="37"/>
      <c r="AX3937" s="37"/>
      <c r="AY3937" s="37"/>
      <c r="AZ3937" s="37"/>
      <c r="BA3937" s="37"/>
      <c r="BB3937" s="37"/>
      <c r="BC3937" s="37"/>
      <c r="BD3937" s="37"/>
      <c r="BE3937" s="37"/>
      <c r="BF3937" s="37"/>
      <c r="BG3937" s="37"/>
      <c r="BH3937" s="37"/>
      <c r="BI3937" s="37"/>
      <c r="BJ3937" s="37"/>
      <c r="BK3937" s="37"/>
      <c r="BL3937" s="37"/>
      <c r="BM3937" s="37"/>
    </row>
    <row r="3938" spans="1:65" s="40" customFormat="1" ht="21" x14ac:dyDescent="0.35">
      <c r="A3938" s="37"/>
      <c r="B3938" s="37"/>
      <c r="C3938" s="41"/>
      <c r="D3938" s="38"/>
      <c r="E3938" s="38"/>
      <c r="F3938" s="42"/>
      <c r="G3938" s="43"/>
      <c r="H3938" s="37"/>
      <c r="I3938" s="37"/>
      <c r="J3938" s="38"/>
      <c r="K3938" s="37"/>
      <c r="L3938" s="38"/>
      <c r="M3938" s="39"/>
      <c r="P3938" s="37"/>
      <c r="Q3938" s="37"/>
      <c r="R3938" s="37"/>
      <c r="S3938" s="37"/>
      <c r="T3938" s="37"/>
      <c r="U3938" s="37"/>
      <c r="V3938" s="37"/>
      <c r="W3938" s="37"/>
      <c r="X3938" s="37"/>
      <c r="Y3938" s="37"/>
      <c r="Z3938" s="37"/>
      <c r="AA3938" s="37"/>
      <c r="AB3938" s="37"/>
      <c r="AC3938" s="37"/>
      <c r="AD3938" s="37"/>
      <c r="AE3938" s="37"/>
      <c r="AF3938" s="37"/>
      <c r="AG3938" s="37"/>
      <c r="AH3938" s="37"/>
      <c r="AI3938" s="37"/>
      <c r="AJ3938" s="37"/>
      <c r="AK3938" s="37"/>
      <c r="AL3938" s="37"/>
      <c r="AM3938" s="37"/>
      <c r="AN3938" s="37"/>
      <c r="AO3938" s="37"/>
      <c r="AP3938" s="37"/>
      <c r="AQ3938" s="37"/>
      <c r="AR3938" s="37"/>
      <c r="AS3938" s="37"/>
      <c r="AT3938" s="37"/>
      <c r="AU3938" s="37"/>
      <c r="AV3938" s="37"/>
      <c r="AW3938" s="37"/>
      <c r="AX3938" s="37"/>
      <c r="AY3938" s="37"/>
      <c r="AZ3938" s="37"/>
      <c r="BA3938" s="37"/>
      <c r="BB3938" s="37"/>
      <c r="BC3938" s="37"/>
      <c r="BD3938" s="37"/>
      <c r="BE3938" s="37"/>
      <c r="BF3938" s="37"/>
      <c r="BG3938" s="37"/>
      <c r="BH3938" s="37"/>
      <c r="BI3938" s="37"/>
      <c r="BJ3938" s="37"/>
      <c r="BK3938" s="37"/>
      <c r="BL3938" s="37"/>
      <c r="BM3938" s="37"/>
    </row>
    <row r="3939" spans="1:65" s="40" customFormat="1" ht="21" x14ac:dyDescent="0.35">
      <c r="A3939" s="37"/>
      <c r="B3939" s="37"/>
      <c r="C3939" s="41"/>
      <c r="D3939" s="38"/>
      <c r="E3939" s="38"/>
      <c r="F3939" s="42"/>
      <c r="G3939" s="43"/>
      <c r="H3939" s="37"/>
      <c r="I3939" s="37"/>
      <c r="J3939" s="38"/>
      <c r="K3939" s="37"/>
      <c r="L3939" s="38"/>
      <c r="M3939" s="39"/>
      <c r="P3939" s="37"/>
      <c r="Q3939" s="37"/>
      <c r="R3939" s="37"/>
      <c r="S3939" s="37"/>
      <c r="T3939" s="37"/>
      <c r="U3939" s="37"/>
      <c r="V3939" s="37"/>
      <c r="W3939" s="37"/>
      <c r="X3939" s="37"/>
      <c r="Y3939" s="37"/>
      <c r="Z3939" s="37"/>
      <c r="AA3939" s="37"/>
      <c r="AB3939" s="37"/>
      <c r="AC3939" s="37"/>
      <c r="AD3939" s="37"/>
      <c r="AE3939" s="37"/>
      <c r="AF3939" s="37"/>
      <c r="AG3939" s="37"/>
      <c r="AH3939" s="37"/>
      <c r="AI3939" s="37"/>
      <c r="AJ3939" s="37"/>
      <c r="AK3939" s="37"/>
      <c r="AL3939" s="37"/>
      <c r="AM3939" s="37"/>
      <c r="AN3939" s="37"/>
      <c r="AO3939" s="37"/>
      <c r="AP3939" s="37"/>
      <c r="AQ3939" s="37"/>
      <c r="AR3939" s="37"/>
      <c r="AS3939" s="37"/>
      <c r="AT3939" s="37"/>
      <c r="AU3939" s="37"/>
      <c r="AV3939" s="37"/>
      <c r="AW3939" s="37"/>
      <c r="AX3939" s="37"/>
      <c r="AY3939" s="37"/>
      <c r="AZ3939" s="37"/>
      <c r="BA3939" s="37"/>
      <c r="BB3939" s="37"/>
      <c r="BC3939" s="37"/>
      <c r="BD3939" s="37"/>
      <c r="BE3939" s="37"/>
      <c r="BF3939" s="37"/>
      <c r="BG3939" s="37"/>
      <c r="BH3939" s="37"/>
      <c r="BI3939" s="37"/>
      <c r="BJ3939" s="37"/>
      <c r="BK3939" s="37"/>
      <c r="BL3939" s="37"/>
      <c r="BM3939" s="37"/>
    </row>
    <row r="3940" spans="1:65" s="40" customFormat="1" ht="21" x14ac:dyDescent="0.35">
      <c r="A3940" s="37"/>
      <c r="B3940" s="37"/>
      <c r="C3940" s="41"/>
      <c r="D3940" s="38"/>
      <c r="E3940" s="38"/>
      <c r="F3940" s="42"/>
      <c r="G3940" s="43"/>
      <c r="H3940" s="37"/>
      <c r="I3940" s="37"/>
      <c r="J3940" s="38"/>
      <c r="K3940" s="37"/>
      <c r="L3940" s="38"/>
      <c r="M3940" s="39"/>
      <c r="P3940" s="37"/>
      <c r="Q3940" s="37"/>
      <c r="R3940" s="37"/>
      <c r="S3940" s="37"/>
      <c r="T3940" s="37"/>
      <c r="U3940" s="37"/>
      <c r="V3940" s="37"/>
      <c r="W3940" s="37"/>
      <c r="X3940" s="37"/>
      <c r="Y3940" s="37"/>
      <c r="Z3940" s="37"/>
      <c r="AA3940" s="37"/>
      <c r="AB3940" s="37"/>
      <c r="AC3940" s="37"/>
      <c r="AD3940" s="37"/>
      <c r="AE3940" s="37"/>
      <c r="AF3940" s="37"/>
      <c r="AG3940" s="37"/>
      <c r="AH3940" s="37"/>
      <c r="AI3940" s="37"/>
      <c r="AJ3940" s="37"/>
      <c r="AK3940" s="37"/>
      <c r="AL3940" s="37"/>
      <c r="AM3940" s="37"/>
      <c r="AN3940" s="37"/>
      <c r="AO3940" s="37"/>
      <c r="AP3940" s="37"/>
      <c r="AQ3940" s="37"/>
      <c r="AR3940" s="37"/>
      <c r="AS3940" s="37"/>
      <c r="AT3940" s="37"/>
      <c r="AU3940" s="37"/>
      <c r="AV3940" s="37"/>
      <c r="AW3940" s="37"/>
      <c r="AX3940" s="37"/>
      <c r="AY3940" s="37"/>
      <c r="AZ3940" s="37"/>
      <c r="BA3940" s="37"/>
      <c r="BB3940" s="37"/>
      <c r="BC3940" s="37"/>
      <c r="BD3940" s="37"/>
      <c r="BE3940" s="37"/>
      <c r="BF3940" s="37"/>
      <c r="BG3940" s="37"/>
      <c r="BH3940" s="37"/>
      <c r="BI3940" s="37"/>
      <c r="BJ3940" s="37"/>
      <c r="BK3940" s="37"/>
      <c r="BL3940" s="37"/>
      <c r="BM3940" s="37"/>
    </row>
    <row r="3941" spans="1:65" s="40" customFormat="1" ht="21" x14ac:dyDescent="0.35">
      <c r="A3941" s="37"/>
      <c r="B3941" s="37"/>
      <c r="C3941" s="41"/>
      <c r="D3941" s="38"/>
      <c r="E3941" s="38"/>
      <c r="F3941" s="42"/>
      <c r="G3941" s="43"/>
      <c r="H3941" s="37"/>
      <c r="I3941" s="37"/>
      <c r="J3941" s="38"/>
      <c r="K3941" s="37"/>
      <c r="L3941" s="38"/>
      <c r="M3941" s="39"/>
      <c r="P3941" s="37"/>
      <c r="Q3941" s="37"/>
      <c r="R3941" s="37"/>
      <c r="S3941" s="37"/>
      <c r="T3941" s="37"/>
      <c r="U3941" s="37"/>
      <c r="V3941" s="37"/>
      <c r="W3941" s="37"/>
      <c r="X3941" s="37"/>
      <c r="Y3941" s="37"/>
      <c r="Z3941" s="37"/>
      <c r="AA3941" s="37"/>
      <c r="AB3941" s="37"/>
      <c r="AC3941" s="37"/>
      <c r="AD3941" s="37"/>
      <c r="AE3941" s="37"/>
      <c r="AF3941" s="37"/>
      <c r="AG3941" s="37"/>
      <c r="AH3941" s="37"/>
      <c r="AI3941" s="37"/>
      <c r="AJ3941" s="37"/>
      <c r="AK3941" s="37"/>
      <c r="AL3941" s="37"/>
      <c r="AM3941" s="37"/>
      <c r="AN3941" s="37"/>
      <c r="AO3941" s="37"/>
      <c r="AP3941" s="37"/>
      <c r="AQ3941" s="37"/>
      <c r="AR3941" s="37"/>
      <c r="AS3941" s="37"/>
      <c r="AT3941" s="37"/>
      <c r="AU3941" s="37"/>
      <c r="AV3941" s="37"/>
      <c r="AW3941" s="37"/>
      <c r="AX3941" s="37"/>
      <c r="AY3941" s="37"/>
      <c r="AZ3941" s="37"/>
      <c r="BA3941" s="37"/>
      <c r="BB3941" s="37"/>
      <c r="BC3941" s="37"/>
      <c r="BD3941" s="37"/>
      <c r="BE3941" s="37"/>
      <c r="BF3941" s="37"/>
      <c r="BG3941" s="37"/>
      <c r="BH3941" s="37"/>
      <c r="BI3941" s="37"/>
      <c r="BJ3941" s="37"/>
      <c r="BK3941" s="37"/>
      <c r="BL3941" s="37"/>
      <c r="BM3941" s="37"/>
    </row>
    <row r="3942" spans="1:65" s="40" customFormat="1" ht="21" x14ac:dyDescent="0.35">
      <c r="A3942" s="37"/>
      <c r="B3942" s="37"/>
      <c r="C3942" s="41"/>
      <c r="D3942" s="38"/>
      <c r="E3942" s="38"/>
      <c r="F3942" s="42"/>
      <c r="G3942" s="43"/>
      <c r="H3942" s="37"/>
      <c r="I3942" s="37"/>
      <c r="J3942" s="38"/>
      <c r="K3942" s="37"/>
      <c r="L3942" s="38"/>
      <c r="M3942" s="39"/>
      <c r="P3942" s="37"/>
      <c r="Q3942" s="37"/>
      <c r="R3942" s="37"/>
      <c r="S3942" s="37"/>
      <c r="T3942" s="37"/>
      <c r="U3942" s="37"/>
      <c r="V3942" s="37"/>
      <c r="W3942" s="37"/>
      <c r="X3942" s="37"/>
      <c r="Y3942" s="37"/>
      <c r="Z3942" s="37"/>
      <c r="AA3942" s="37"/>
      <c r="AB3942" s="37"/>
      <c r="AC3942" s="37"/>
      <c r="AD3942" s="37"/>
      <c r="AE3942" s="37"/>
      <c r="AF3942" s="37"/>
      <c r="AG3942" s="37"/>
      <c r="AH3942" s="37"/>
      <c r="AI3942" s="37"/>
      <c r="AJ3942" s="37"/>
      <c r="AK3942" s="37"/>
      <c r="AL3942" s="37"/>
      <c r="AM3942" s="37"/>
      <c r="AN3942" s="37"/>
      <c r="AO3942" s="37"/>
      <c r="AP3942" s="37"/>
      <c r="AQ3942" s="37"/>
      <c r="AR3942" s="37"/>
      <c r="AS3942" s="37"/>
      <c r="AT3942" s="37"/>
      <c r="AU3942" s="37"/>
      <c r="AV3942" s="37"/>
      <c r="AW3942" s="37"/>
      <c r="AX3942" s="37"/>
      <c r="AY3942" s="37"/>
      <c r="AZ3942" s="37"/>
      <c r="BA3942" s="37"/>
      <c r="BB3942" s="37"/>
      <c r="BC3942" s="37"/>
      <c r="BD3942" s="37"/>
      <c r="BE3942" s="37"/>
      <c r="BF3942" s="37"/>
      <c r="BG3942" s="37"/>
      <c r="BH3942" s="37"/>
      <c r="BI3942" s="37"/>
      <c r="BJ3942" s="37"/>
      <c r="BK3942" s="37"/>
      <c r="BL3942" s="37"/>
      <c r="BM3942" s="37"/>
    </row>
    <row r="3943" spans="1:65" s="40" customFormat="1" ht="21" x14ac:dyDescent="0.35">
      <c r="A3943" s="37"/>
      <c r="B3943" s="37"/>
      <c r="C3943" s="41"/>
      <c r="D3943" s="38"/>
      <c r="E3943" s="38"/>
      <c r="F3943" s="42"/>
      <c r="G3943" s="43"/>
      <c r="H3943" s="37"/>
      <c r="I3943" s="37"/>
      <c r="J3943" s="38"/>
      <c r="K3943" s="37"/>
      <c r="L3943" s="38"/>
      <c r="M3943" s="39"/>
      <c r="P3943" s="37"/>
      <c r="Q3943" s="37"/>
      <c r="R3943" s="37"/>
      <c r="S3943" s="37"/>
      <c r="T3943" s="37"/>
      <c r="U3943" s="37"/>
      <c r="V3943" s="37"/>
      <c r="W3943" s="37"/>
      <c r="X3943" s="37"/>
      <c r="Y3943" s="37"/>
      <c r="Z3943" s="37"/>
      <c r="AA3943" s="37"/>
      <c r="AB3943" s="37"/>
      <c r="AC3943" s="37"/>
      <c r="AD3943" s="37"/>
      <c r="AE3943" s="37"/>
      <c r="AF3943" s="37"/>
      <c r="AG3943" s="37"/>
      <c r="AH3943" s="37"/>
      <c r="AI3943" s="37"/>
      <c r="AJ3943" s="37"/>
      <c r="AK3943" s="37"/>
      <c r="AL3943" s="37"/>
      <c r="AM3943" s="37"/>
      <c r="AN3943" s="37"/>
      <c r="AO3943" s="37"/>
      <c r="AP3943" s="37"/>
      <c r="AQ3943" s="37"/>
      <c r="AR3943" s="37"/>
      <c r="AS3943" s="37"/>
      <c r="AT3943" s="37"/>
      <c r="AU3943" s="37"/>
      <c r="AV3943" s="37"/>
      <c r="AW3943" s="37"/>
      <c r="AX3943" s="37"/>
      <c r="AY3943" s="37"/>
      <c r="AZ3943" s="37"/>
      <c r="BA3943" s="37"/>
      <c r="BB3943" s="37"/>
      <c r="BC3943" s="37"/>
      <c r="BD3943" s="37"/>
      <c r="BE3943" s="37"/>
      <c r="BF3943" s="37"/>
      <c r="BG3943" s="37"/>
      <c r="BH3943" s="37"/>
      <c r="BI3943" s="37"/>
      <c r="BJ3943" s="37"/>
      <c r="BK3943" s="37"/>
      <c r="BL3943" s="37"/>
      <c r="BM3943" s="37"/>
    </row>
    <row r="3944" spans="1:65" s="40" customFormat="1" ht="21" x14ac:dyDescent="0.35">
      <c r="A3944" s="37"/>
      <c r="B3944" s="37"/>
      <c r="C3944" s="41"/>
      <c r="D3944" s="38"/>
      <c r="E3944" s="38"/>
      <c r="F3944" s="42"/>
      <c r="G3944" s="43"/>
      <c r="H3944" s="37"/>
      <c r="I3944" s="37"/>
      <c r="J3944" s="38"/>
      <c r="K3944" s="37"/>
      <c r="L3944" s="38"/>
      <c r="M3944" s="39"/>
      <c r="P3944" s="37"/>
      <c r="Q3944" s="37"/>
      <c r="R3944" s="37"/>
      <c r="S3944" s="37"/>
      <c r="T3944" s="37"/>
      <c r="U3944" s="37"/>
      <c r="V3944" s="37"/>
      <c r="W3944" s="37"/>
      <c r="X3944" s="37"/>
      <c r="Y3944" s="37"/>
      <c r="Z3944" s="37"/>
      <c r="AA3944" s="37"/>
      <c r="AB3944" s="37"/>
      <c r="AC3944" s="37"/>
      <c r="AD3944" s="37"/>
      <c r="AE3944" s="37"/>
      <c r="AF3944" s="37"/>
      <c r="AG3944" s="37"/>
      <c r="AH3944" s="37"/>
      <c r="AI3944" s="37"/>
      <c r="AJ3944" s="37"/>
      <c r="AK3944" s="37"/>
      <c r="AL3944" s="37"/>
      <c r="AM3944" s="37"/>
      <c r="AN3944" s="37"/>
      <c r="AO3944" s="37"/>
      <c r="AP3944" s="37"/>
      <c r="AQ3944" s="37"/>
      <c r="AR3944" s="37"/>
      <c r="AS3944" s="37"/>
      <c r="AT3944" s="37"/>
      <c r="AU3944" s="37"/>
      <c r="AV3944" s="37"/>
      <c r="AW3944" s="37"/>
      <c r="AX3944" s="37"/>
      <c r="AY3944" s="37"/>
      <c r="AZ3944" s="37"/>
      <c r="BA3944" s="37"/>
      <c r="BB3944" s="37"/>
      <c r="BC3944" s="37"/>
      <c r="BD3944" s="37"/>
      <c r="BE3944" s="37"/>
      <c r="BF3944" s="37"/>
      <c r="BG3944" s="37"/>
      <c r="BH3944" s="37"/>
      <c r="BI3944" s="37"/>
      <c r="BJ3944" s="37"/>
      <c r="BK3944" s="37"/>
      <c r="BL3944" s="37"/>
      <c r="BM3944" s="37"/>
    </row>
    <row r="3945" spans="1:65" s="40" customFormat="1" ht="21" x14ac:dyDescent="0.35">
      <c r="A3945" s="37"/>
      <c r="B3945" s="37"/>
      <c r="C3945" s="41"/>
      <c r="D3945" s="38"/>
      <c r="E3945" s="38"/>
      <c r="F3945" s="42"/>
      <c r="G3945" s="43"/>
      <c r="H3945" s="37"/>
      <c r="I3945" s="37"/>
      <c r="J3945" s="38"/>
      <c r="K3945" s="37"/>
      <c r="L3945" s="38"/>
      <c r="M3945" s="39"/>
      <c r="P3945" s="37"/>
      <c r="Q3945" s="37"/>
      <c r="R3945" s="37"/>
      <c r="S3945" s="37"/>
      <c r="T3945" s="37"/>
      <c r="U3945" s="37"/>
      <c r="V3945" s="37"/>
      <c r="W3945" s="37"/>
      <c r="X3945" s="37"/>
      <c r="Y3945" s="37"/>
      <c r="Z3945" s="37"/>
      <c r="AA3945" s="37"/>
      <c r="AB3945" s="37"/>
      <c r="AC3945" s="37"/>
      <c r="AD3945" s="37"/>
      <c r="AE3945" s="37"/>
      <c r="AF3945" s="37"/>
      <c r="AG3945" s="37"/>
      <c r="AH3945" s="37"/>
      <c r="AI3945" s="37"/>
      <c r="AJ3945" s="37"/>
      <c r="AK3945" s="37"/>
      <c r="AL3945" s="37"/>
      <c r="AM3945" s="37"/>
      <c r="AN3945" s="37"/>
      <c r="AO3945" s="37"/>
      <c r="AP3945" s="37"/>
      <c r="AQ3945" s="37"/>
      <c r="AR3945" s="37"/>
      <c r="AS3945" s="37"/>
      <c r="AT3945" s="37"/>
      <c r="AU3945" s="37"/>
      <c r="AV3945" s="37"/>
      <c r="AW3945" s="37"/>
      <c r="AX3945" s="37"/>
      <c r="AY3945" s="37"/>
      <c r="AZ3945" s="37"/>
      <c r="BA3945" s="37"/>
      <c r="BB3945" s="37"/>
      <c r="BC3945" s="37"/>
      <c r="BD3945" s="37"/>
      <c r="BE3945" s="37"/>
      <c r="BF3945" s="37"/>
      <c r="BG3945" s="37"/>
      <c r="BH3945" s="37"/>
      <c r="BI3945" s="37"/>
      <c r="BJ3945" s="37"/>
      <c r="BK3945" s="37"/>
      <c r="BL3945" s="37"/>
      <c r="BM3945" s="37"/>
    </row>
    <row r="3946" spans="1:65" s="40" customFormat="1" ht="21" x14ac:dyDescent="0.35">
      <c r="A3946" s="37"/>
      <c r="B3946" s="37"/>
      <c r="C3946" s="41"/>
      <c r="D3946" s="38"/>
      <c r="E3946" s="38"/>
      <c r="F3946" s="42"/>
      <c r="G3946" s="43"/>
      <c r="H3946" s="37"/>
      <c r="I3946" s="37"/>
      <c r="J3946" s="38"/>
      <c r="K3946" s="37"/>
      <c r="L3946" s="38"/>
      <c r="M3946" s="39"/>
      <c r="P3946" s="37"/>
      <c r="Q3946" s="37"/>
      <c r="R3946" s="37"/>
      <c r="S3946" s="37"/>
      <c r="T3946" s="37"/>
      <c r="U3946" s="37"/>
      <c r="V3946" s="37"/>
      <c r="W3946" s="37"/>
      <c r="X3946" s="37"/>
      <c r="Y3946" s="37"/>
      <c r="Z3946" s="37"/>
      <c r="AA3946" s="37"/>
      <c r="AB3946" s="37"/>
      <c r="AC3946" s="37"/>
      <c r="AD3946" s="37"/>
      <c r="AE3946" s="37"/>
      <c r="AF3946" s="37"/>
      <c r="AG3946" s="37"/>
      <c r="AH3946" s="37"/>
      <c r="AI3946" s="37"/>
      <c r="AJ3946" s="37"/>
      <c r="AK3946" s="37"/>
      <c r="AL3946" s="37"/>
      <c r="AM3946" s="37"/>
      <c r="AN3946" s="37"/>
      <c r="AO3946" s="37"/>
      <c r="AP3946" s="37"/>
      <c r="AQ3946" s="37"/>
      <c r="AR3946" s="37"/>
      <c r="AS3946" s="37"/>
      <c r="AT3946" s="37"/>
      <c r="AU3946" s="37"/>
      <c r="AV3946" s="37"/>
      <c r="AW3946" s="37"/>
      <c r="AX3946" s="37"/>
      <c r="AY3946" s="37"/>
      <c r="AZ3946" s="37"/>
      <c r="BA3946" s="37"/>
      <c r="BB3946" s="37"/>
      <c r="BC3946" s="37"/>
      <c r="BD3946" s="37"/>
      <c r="BE3946" s="37"/>
      <c r="BF3946" s="37"/>
      <c r="BG3946" s="37"/>
      <c r="BH3946" s="37"/>
      <c r="BI3946" s="37"/>
      <c r="BJ3946" s="37"/>
      <c r="BK3946" s="37"/>
      <c r="BL3946" s="37"/>
      <c r="BM3946" s="37"/>
    </row>
    <row r="3947" spans="1:65" s="40" customFormat="1" ht="21" x14ac:dyDescent="0.35">
      <c r="A3947" s="37"/>
      <c r="B3947" s="37"/>
      <c r="C3947" s="41"/>
      <c r="D3947" s="38"/>
      <c r="E3947" s="38"/>
      <c r="F3947" s="42"/>
      <c r="G3947" s="43"/>
      <c r="H3947" s="37"/>
      <c r="I3947" s="37"/>
      <c r="J3947" s="38"/>
      <c r="K3947" s="37"/>
      <c r="L3947" s="38"/>
      <c r="M3947" s="39"/>
      <c r="P3947" s="37"/>
      <c r="Q3947" s="37"/>
      <c r="R3947" s="37"/>
      <c r="S3947" s="37"/>
      <c r="T3947" s="37"/>
      <c r="U3947" s="37"/>
      <c r="V3947" s="37"/>
      <c r="W3947" s="37"/>
      <c r="X3947" s="37"/>
      <c r="Y3947" s="37"/>
      <c r="Z3947" s="37"/>
      <c r="AA3947" s="37"/>
      <c r="AB3947" s="37"/>
      <c r="AC3947" s="37"/>
      <c r="AD3947" s="37"/>
      <c r="AE3947" s="37"/>
      <c r="AF3947" s="37"/>
      <c r="AG3947" s="37"/>
      <c r="AH3947" s="37"/>
      <c r="AI3947" s="37"/>
      <c r="AJ3947" s="37"/>
      <c r="AK3947" s="37"/>
      <c r="AL3947" s="37"/>
      <c r="AM3947" s="37"/>
      <c r="AN3947" s="37"/>
      <c r="AO3947" s="37"/>
      <c r="AP3947" s="37"/>
      <c r="AQ3947" s="37"/>
      <c r="AR3947" s="37"/>
      <c r="AS3947" s="37"/>
      <c r="AT3947" s="37"/>
      <c r="AU3947" s="37"/>
      <c r="AV3947" s="37"/>
      <c r="AW3947" s="37"/>
      <c r="AX3947" s="37"/>
      <c r="AY3947" s="37"/>
      <c r="AZ3947" s="37"/>
      <c r="BA3947" s="37"/>
      <c r="BB3947" s="37"/>
      <c r="BC3947" s="37"/>
      <c r="BD3947" s="37"/>
      <c r="BE3947" s="37"/>
      <c r="BF3947" s="37"/>
      <c r="BG3947" s="37"/>
      <c r="BH3947" s="37"/>
      <c r="BI3947" s="37"/>
      <c r="BJ3947" s="37"/>
      <c r="BK3947" s="37"/>
      <c r="BL3947" s="37"/>
      <c r="BM3947" s="37"/>
    </row>
    <row r="3948" spans="1:65" s="40" customFormat="1" ht="21" x14ac:dyDescent="0.35">
      <c r="A3948" s="37"/>
      <c r="B3948" s="37"/>
      <c r="C3948" s="41"/>
      <c r="D3948" s="38"/>
      <c r="E3948" s="38"/>
      <c r="F3948" s="42"/>
      <c r="G3948" s="43"/>
      <c r="H3948" s="37"/>
      <c r="I3948" s="37"/>
      <c r="J3948" s="38"/>
      <c r="K3948" s="37"/>
      <c r="L3948" s="38"/>
      <c r="M3948" s="39"/>
      <c r="P3948" s="37"/>
      <c r="Q3948" s="37"/>
      <c r="R3948" s="37"/>
      <c r="S3948" s="37"/>
      <c r="T3948" s="37"/>
      <c r="U3948" s="37"/>
      <c r="V3948" s="37"/>
      <c r="W3948" s="37"/>
      <c r="X3948" s="37"/>
      <c r="Y3948" s="37"/>
      <c r="Z3948" s="37"/>
      <c r="AA3948" s="37"/>
      <c r="AB3948" s="37"/>
      <c r="AC3948" s="37"/>
      <c r="AD3948" s="37"/>
      <c r="AE3948" s="37"/>
      <c r="AF3948" s="37"/>
      <c r="AG3948" s="37"/>
      <c r="AH3948" s="37"/>
      <c r="AI3948" s="37"/>
      <c r="AJ3948" s="37"/>
      <c r="AK3948" s="37"/>
      <c r="AL3948" s="37"/>
      <c r="AM3948" s="37"/>
      <c r="AN3948" s="37"/>
      <c r="AO3948" s="37"/>
      <c r="AP3948" s="37"/>
      <c r="AQ3948" s="37"/>
      <c r="AR3948" s="37"/>
      <c r="AS3948" s="37"/>
      <c r="AT3948" s="37"/>
      <c r="AU3948" s="37"/>
      <c r="AV3948" s="37"/>
      <c r="AW3948" s="37"/>
      <c r="AX3948" s="37"/>
      <c r="AY3948" s="37"/>
      <c r="AZ3948" s="37"/>
      <c r="BA3948" s="37"/>
      <c r="BB3948" s="37"/>
      <c r="BC3948" s="37"/>
      <c r="BD3948" s="37"/>
      <c r="BE3948" s="37"/>
      <c r="BF3948" s="37"/>
      <c r="BG3948" s="37"/>
      <c r="BH3948" s="37"/>
      <c r="BI3948" s="37"/>
      <c r="BJ3948" s="37"/>
      <c r="BK3948" s="37"/>
      <c r="BL3948" s="37"/>
      <c r="BM3948" s="37"/>
    </row>
    <row r="3949" spans="1:65" s="40" customFormat="1" ht="21" x14ac:dyDescent="0.35">
      <c r="A3949" s="37"/>
      <c r="B3949" s="37"/>
      <c r="C3949" s="41"/>
      <c r="D3949" s="38"/>
      <c r="E3949" s="38"/>
      <c r="F3949" s="42"/>
      <c r="G3949" s="43"/>
      <c r="H3949" s="37"/>
      <c r="I3949" s="37"/>
      <c r="J3949" s="38"/>
      <c r="K3949" s="37"/>
      <c r="L3949" s="38"/>
      <c r="M3949" s="39"/>
      <c r="P3949" s="37"/>
      <c r="Q3949" s="37"/>
      <c r="R3949" s="37"/>
      <c r="S3949" s="37"/>
      <c r="T3949" s="37"/>
      <c r="U3949" s="37"/>
      <c r="V3949" s="37"/>
      <c r="W3949" s="37"/>
      <c r="X3949" s="37"/>
      <c r="Y3949" s="37"/>
      <c r="Z3949" s="37"/>
      <c r="AA3949" s="37"/>
      <c r="AB3949" s="37"/>
      <c r="AC3949" s="37"/>
      <c r="AD3949" s="37"/>
      <c r="AE3949" s="37"/>
      <c r="AF3949" s="37"/>
      <c r="AG3949" s="37"/>
      <c r="AH3949" s="37"/>
      <c r="AI3949" s="37"/>
      <c r="AJ3949" s="37"/>
      <c r="AK3949" s="37"/>
      <c r="AL3949" s="37"/>
      <c r="AM3949" s="37"/>
      <c r="AN3949" s="37"/>
      <c r="AO3949" s="37"/>
      <c r="AP3949" s="37"/>
      <c r="AQ3949" s="37"/>
      <c r="AR3949" s="37"/>
      <c r="AS3949" s="37"/>
      <c r="AT3949" s="37"/>
      <c r="AU3949" s="37"/>
      <c r="AV3949" s="37"/>
      <c r="AW3949" s="37"/>
      <c r="AX3949" s="37"/>
      <c r="AY3949" s="37"/>
      <c r="AZ3949" s="37"/>
      <c r="BA3949" s="37"/>
      <c r="BB3949" s="37"/>
      <c r="BC3949" s="37"/>
      <c r="BD3949" s="37"/>
      <c r="BE3949" s="37"/>
      <c r="BF3949" s="37"/>
      <c r="BG3949" s="37"/>
      <c r="BH3949" s="37"/>
      <c r="BI3949" s="37"/>
      <c r="BJ3949" s="37"/>
      <c r="BK3949" s="37"/>
      <c r="BL3949" s="37"/>
      <c r="BM3949" s="37"/>
    </row>
    <row r="3950" spans="1:65" s="40" customFormat="1" ht="21" x14ac:dyDescent="0.35">
      <c r="A3950" s="37"/>
      <c r="B3950" s="37"/>
      <c r="C3950" s="41"/>
      <c r="D3950" s="38"/>
      <c r="E3950" s="38"/>
      <c r="F3950" s="42"/>
      <c r="G3950" s="43"/>
      <c r="H3950" s="37"/>
      <c r="I3950" s="37"/>
      <c r="J3950" s="38"/>
      <c r="K3950" s="37"/>
      <c r="L3950" s="38"/>
      <c r="M3950" s="39"/>
      <c r="P3950" s="37"/>
      <c r="Q3950" s="37"/>
      <c r="R3950" s="37"/>
      <c r="S3950" s="37"/>
      <c r="T3950" s="37"/>
      <c r="U3950" s="37"/>
      <c r="V3950" s="37"/>
      <c r="W3950" s="37"/>
      <c r="X3950" s="37"/>
      <c r="Y3950" s="37"/>
      <c r="Z3950" s="37"/>
      <c r="AA3950" s="37"/>
      <c r="AB3950" s="37"/>
      <c r="AC3950" s="37"/>
      <c r="AD3950" s="37"/>
      <c r="AE3950" s="37"/>
      <c r="AF3950" s="37"/>
      <c r="AG3950" s="37"/>
      <c r="AH3950" s="37"/>
      <c r="AI3950" s="37"/>
      <c r="AJ3950" s="37"/>
      <c r="AK3950" s="37"/>
      <c r="AL3950" s="37"/>
      <c r="AM3950" s="37"/>
      <c r="AN3950" s="37"/>
      <c r="AO3950" s="37"/>
      <c r="AP3950" s="37"/>
      <c r="AQ3950" s="37"/>
      <c r="AR3950" s="37"/>
      <c r="AS3950" s="37"/>
      <c r="AT3950" s="37"/>
      <c r="AU3950" s="37"/>
      <c r="AV3950" s="37"/>
      <c r="AW3950" s="37"/>
      <c r="AX3950" s="37"/>
      <c r="AY3950" s="37"/>
      <c r="AZ3950" s="37"/>
      <c r="BA3950" s="37"/>
      <c r="BB3950" s="37"/>
      <c r="BC3950" s="37"/>
      <c r="BD3950" s="37"/>
      <c r="BE3950" s="37"/>
      <c r="BF3950" s="37"/>
      <c r="BG3950" s="37"/>
      <c r="BH3950" s="37"/>
      <c r="BI3950" s="37"/>
      <c r="BJ3950" s="37"/>
      <c r="BK3950" s="37"/>
      <c r="BL3950" s="37"/>
      <c r="BM3950" s="37"/>
    </row>
    <row r="3951" spans="1:65" s="40" customFormat="1" ht="21" x14ac:dyDescent="0.35">
      <c r="A3951" s="37"/>
      <c r="B3951" s="37"/>
      <c r="C3951" s="41"/>
      <c r="D3951" s="38"/>
      <c r="E3951" s="38"/>
      <c r="F3951" s="42"/>
      <c r="G3951" s="43"/>
      <c r="H3951" s="37"/>
      <c r="I3951" s="37"/>
      <c r="J3951" s="38"/>
      <c r="K3951" s="37"/>
      <c r="L3951" s="38"/>
      <c r="M3951" s="39"/>
      <c r="P3951" s="37"/>
      <c r="Q3951" s="37"/>
      <c r="R3951" s="37"/>
      <c r="S3951" s="37"/>
      <c r="T3951" s="37"/>
      <c r="U3951" s="37"/>
      <c r="V3951" s="37"/>
      <c r="W3951" s="37"/>
      <c r="X3951" s="37"/>
      <c r="Y3951" s="37"/>
      <c r="Z3951" s="37"/>
      <c r="AA3951" s="37"/>
      <c r="AB3951" s="37"/>
      <c r="AC3951" s="37"/>
      <c r="AD3951" s="37"/>
      <c r="AE3951" s="37"/>
      <c r="AF3951" s="37"/>
      <c r="AG3951" s="37"/>
      <c r="AH3951" s="37"/>
      <c r="AI3951" s="37"/>
      <c r="AJ3951" s="37"/>
      <c r="AK3951" s="37"/>
      <c r="AL3951" s="37"/>
      <c r="AM3951" s="37"/>
      <c r="AN3951" s="37"/>
      <c r="AO3951" s="37"/>
      <c r="AP3951" s="37"/>
      <c r="AQ3951" s="37"/>
      <c r="AR3951" s="37"/>
      <c r="AS3951" s="37"/>
      <c r="AT3951" s="37"/>
      <c r="AU3951" s="37"/>
      <c r="AV3951" s="37"/>
      <c r="AW3951" s="37"/>
      <c r="AX3951" s="37"/>
      <c r="AY3951" s="37"/>
      <c r="AZ3951" s="37"/>
      <c r="BA3951" s="37"/>
      <c r="BB3951" s="37"/>
      <c r="BC3951" s="37"/>
      <c r="BD3951" s="37"/>
      <c r="BE3951" s="37"/>
      <c r="BF3951" s="37"/>
      <c r="BG3951" s="37"/>
      <c r="BH3951" s="37"/>
      <c r="BI3951" s="37"/>
      <c r="BJ3951" s="37"/>
      <c r="BK3951" s="37"/>
      <c r="BL3951" s="37"/>
      <c r="BM3951" s="37"/>
    </row>
    <row r="3952" spans="1:65" s="40" customFormat="1" ht="21" x14ac:dyDescent="0.35">
      <c r="A3952" s="37"/>
      <c r="B3952" s="37"/>
      <c r="C3952" s="41"/>
      <c r="D3952" s="38"/>
      <c r="E3952" s="38"/>
      <c r="F3952" s="42"/>
      <c r="G3952" s="43"/>
      <c r="H3952" s="37"/>
      <c r="I3952" s="37"/>
      <c r="J3952" s="38"/>
      <c r="K3952" s="37"/>
      <c r="L3952" s="38"/>
      <c r="M3952" s="39"/>
      <c r="P3952" s="37"/>
      <c r="Q3952" s="37"/>
      <c r="R3952" s="37"/>
      <c r="S3952" s="37"/>
      <c r="T3952" s="37"/>
      <c r="U3952" s="37"/>
      <c r="V3952" s="37"/>
      <c r="W3952" s="37"/>
      <c r="X3952" s="37"/>
      <c r="Y3952" s="37"/>
      <c r="Z3952" s="37"/>
      <c r="AA3952" s="37"/>
      <c r="AB3952" s="37"/>
      <c r="AC3952" s="37"/>
      <c r="AD3952" s="37"/>
      <c r="AE3952" s="37"/>
      <c r="AF3952" s="37"/>
      <c r="AG3952" s="37"/>
      <c r="AH3952" s="37"/>
      <c r="AI3952" s="37"/>
      <c r="AJ3952" s="37"/>
      <c r="AK3952" s="37"/>
      <c r="AL3952" s="37"/>
      <c r="AM3952" s="37"/>
      <c r="AN3952" s="37"/>
      <c r="AO3952" s="37"/>
      <c r="AP3952" s="37"/>
      <c r="AQ3952" s="37"/>
      <c r="AR3952" s="37"/>
      <c r="AS3952" s="37"/>
      <c r="AT3952" s="37"/>
      <c r="AU3952" s="37"/>
      <c r="AV3952" s="37"/>
      <c r="AW3952" s="37"/>
      <c r="AX3952" s="37"/>
      <c r="AY3952" s="37"/>
      <c r="AZ3952" s="37"/>
      <c r="BA3952" s="37"/>
      <c r="BB3952" s="37"/>
      <c r="BC3952" s="37"/>
      <c r="BD3952" s="37"/>
      <c r="BE3952" s="37"/>
      <c r="BF3952" s="37"/>
      <c r="BG3952" s="37"/>
      <c r="BH3952" s="37"/>
      <c r="BI3952" s="37"/>
      <c r="BJ3952" s="37"/>
      <c r="BK3952" s="37"/>
      <c r="BL3952" s="37"/>
      <c r="BM3952" s="37"/>
    </row>
    <row r="3953" spans="1:65" s="40" customFormat="1" ht="21" x14ac:dyDescent="0.35">
      <c r="A3953" s="37"/>
      <c r="B3953" s="37"/>
      <c r="C3953" s="41"/>
      <c r="D3953" s="38"/>
      <c r="E3953" s="38"/>
      <c r="F3953" s="42"/>
      <c r="G3953" s="43"/>
      <c r="H3953" s="37"/>
      <c r="I3953" s="37"/>
      <c r="J3953" s="38"/>
      <c r="K3953" s="37"/>
      <c r="L3953" s="38"/>
      <c r="M3953" s="39"/>
      <c r="P3953" s="37"/>
      <c r="Q3953" s="37"/>
      <c r="R3953" s="37"/>
      <c r="S3953" s="37"/>
      <c r="T3953" s="37"/>
      <c r="U3953" s="37"/>
      <c r="V3953" s="37"/>
      <c r="W3953" s="37"/>
      <c r="X3953" s="37"/>
      <c r="Y3953" s="37"/>
      <c r="Z3953" s="37"/>
      <c r="AA3953" s="37"/>
      <c r="AB3953" s="37"/>
      <c r="AC3953" s="37"/>
      <c r="AD3953" s="37"/>
      <c r="AE3953" s="37"/>
      <c r="AF3953" s="37"/>
      <c r="AG3953" s="37"/>
      <c r="AH3953" s="37"/>
      <c r="AI3953" s="37"/>
      <c r="AJ3953" s="37"/>
      <c r="AK3953" s="37"/>
      <c r="AL3953" s="37"/>
      <c r="AM3953" s="37"/>
      <c r="AN3953" s="37"/>
      <c r="AO3953" s="37"/>
      <c r="AP3953" s="37"/>
      <c r="AQ3953" s="37"/>
      <c r="AR3953" s="37"/>
      <c r="AS3953" s="37"/>
      <c r="AT3953" s="37"/>
      <c r="AU3953" s="37"/>
      <c r="AV3953" s="37"/>
      <c r="AW3953" s="37"/>
      <c r="AX3953" s="37"/>
      <c r="AY3953" s="37"/>
      <c r="AZ3953" s="37"/>
      <c r="BA3953" s="37"/>
      <c r="BB3953" s="37"/>
      <c r="BC3953" s="37"/>
      <c r="BD3953" s="37"/>
      <c r="BE3953" s="37"/>
      <c r="BF3953" s="37"/>
      <c r="BG3953" s="37"/>
      <c r="BH3953" s="37"/>
      <c r="BI3953" s="37"/>
      <c r="BJ3953" s="37"/>
      <c r="BK3953" s="37"/>
      <c r="BL3953" s="37"/>
      <c r="BM3953" s="37"/>
    </row>
    <row r="3954" spans="1:65" s="40" customFormat="1" ht="21" x14ac:dyDescent="0.35">
      <c r="A3954" s="37"/>
      <c r="B3954" s="37"/>
      <c r="C3954" s="41"/>
      <c r="D3954" s="38"/>
      <c r="E3954" s="38"/>
      <c r="F3954" s="42"/>
      <c r="G3954" s="43"/>
      <c r="H3954" s="37"/>
      <c r="I3954" s="37"/>
      <c r="J3954" s="38"/>
      <c r="K3954" s="37"/>
      <c r="L3954" s="38"/>
      <c r="M3954" s="39"/>
      <c r="P3954" s="37"/>
      <c r="Q3954" s="37"/>
      <c r="R3954" s="37"/>
      <c r="S3954" s="37"/>
      <c r="T3954" s="37"/>
      <c r="U3954" s="37"/>
      <c r="V3954" s="37"/>
      <c r="W3954" s="37"/>
      <c r="X3954" s="37"/>
      <c r="Y3954" s="37"/>
      <c r="Z3954" s="37"/>
      <c r="AA3954" s="37"/>
      <c r="AB3954" s="37"/>
      <c r="AC3954" s="37"/>
      <c r="AD3954" s="37"/>
      <c r="AE3954" s="37"/>
      <c r="AF3954" s="37"/>
      <c r="AG3954" s="37"/>
      <c r="AH3954" s="37"/>
      <c r="AI3954" s="37"/>
      <c r="AJ3954" s="37"/>
      <c r="AK3954" s="37"/>
      <c r="AL3954" s="37"/>
      <c r="AM3954" s="37"/>
      <c r="AN3954" s="37"/>
      <c r="AO3954" s="37"/>
      <c r="AP3954" s="37"/>
      <c r="AQ3954" s="37"/>
      <c r="AR3954" s="37"/>
      <c r="AS3954" s="37"/>
      <c r="AT3954" s="37"/>
      <c r="AU3954" s="37"/>
      <c r="AV3954" s="37"/>
      <c r="AW3954" s="37"/>
      <c r="AX3954" s="37"/>
      <c r="AY3954" s="37"/>
      <c r="AZ3954" s="37"/>
      <c r="BA3954" s="37"/>
      <c r="BB3954" s="37"/>
      <c r="BC3954" s="37"/>
      <c r="BD3954" s="37"/>
      <c r="BE3954" s="37"/>
      <c r="BF3954" s="37"/>
      <c r="BG3954" s="37"/>
      <c r="BH3954" s="37"/>
      <c r="BI3954" s="37"/>
      <c r="BJ3954" s="37"/>
      <c r="BK3954" s="37"/>
      <c r="BL3954" s="37"/>
      <c r="BM3954" s="37"/>
    </row>
    <row r="3955" spans="1:65" s="40" customFormat="1" ht="21" x14ac:dyDescent="0.35">
      <c r="A3955" s="37"/>
      <c r="B3955" s="37"/>
      <c r="C3955" s="41"/>
      <c r="D3955" s="38"/>
      <c r="E3955" s="38"/>
      <c r="F3955" s="42"/>
      <c r="G3955" s="43"/>
      <c r="H3955" s="37"/>
      <c r="I3955" s="37"/>
      <c r="J3955" s="38"/>
      <c r="K3955" s="37"/>
      <c r="L3955" s="38"/>
      <c r="M3955" s="39"/>
      <c r="P3955" s="37"/>
      <c r="Q3955" s="37"/>
      <c r="R3955" s="37"/>
      <c r="S3955" s="37"/>
      <c r="T3955" s="37"/>
      <c r="U3955" s="37"/>
      <c r="V3955" s="37"/>
      <c r="W3955" s="37"/>
      <c r="X3955" s="37"/>
      <c r="Y3955" s="37"/>
      <c r="Z3955" s="37"/>
      <c r="AA3955" s="37"/>
      <c r="AB3955" s="37"/>
      <c r="AC3955" s="37"/>
      <c r="AD3955" s="37"/>
      <c r="AE3955" s="37"/>
      <c r="AF3955" s="37"/>
      <c r="AG3955" s="37"/>
      <c r="AH3955" s="37"/>
      <c r="AI3955" s="37"/>
      <c r="AJ3955" s="37"/>
      <c r="AK3955" s="37"/>
      <c r="AL3955" s="37"/>
      <c r="AM3955" s="37"/>
      <c r="AN3955" s="37"/>
      <c r="AO3955" s="37"/>
      <c r="AP3955" s="37"/>
      <c r="AQ3955" s="37"/>
      <c r="AR3955" s="37"/>
      <c r="AS3955" s="37"/>
      <c r="AT3955" s="37"/>
      <c r="AU3955" s="37"/>
      <c r="AV3955" s="37"/>
      <c r="AW3955" s="37"/>
      <c r="AX3955" s="37"/>
      <c r="AY3955" s="37"/>
      <c r="AZ3955" s="37"/>
      <c r="BA3955" s="37"/>
      <c r="BB3955" s="37"/>
      <c r="BC3955" s="37"/>
      <c r="BD3955" s="37"/>
      <c r="BE3955" s="37"/>
      <c r="BF3955" s="37"/>
      <c r="BG3955" s="37"/>
      <c r="BH3955" s="37"/>
      <c r="BI3955" s="37"/>
      <c r="BJ3955" s="37"/>
      <c r="BK3955" s="37"/>
      <c r="BL3955" s="37"/>
      <c r="BM3955" s="37"/>
    </row>
    <row r="3956" spans="1:65" s="40" customFormat="1" ht="21" x14ac:dyDescent="0.35">
      <c r="A3956" s="37"/>
      <c r="B3956" s="37"/>
      <c r="C3956" s="41"/>
      <c r="D3956" s="38"/>
      <c r="E3956" s="38"/>
      <c r="F3956" s="42"/>
      <c r="G3956" s="43"/>
      <c r="H3956" s="37"/>
      <c r="I3956" s="37"/>
      <c r="J3956" s="38"/>
      <c r="K3956" s="37"/>
      <c r="L3956" s="38"/>
      <c r="M3956" s="39"/>
      <c r="P3956" s="37"/>
      <c r="Q3956" s="37"/>
      <c r="R3956" s="37"/>
      <c r="S3956" s="37"/>
      <c r="T3956" s="37"/>
      <c r="U3956" s="37"/>
      <c r="V3956" s="37"/>
      <c r="W3956" s="37"/>
      <c r="X3956" s="37"/>
      <c r="Y3956" s="37"/>
      <c r="Z3956" s="37"/>
      <c r="AA3956" s="37"/>
      <c r="AB3956" s="37"/>
      <c r="AC3956" s="37"/>
      <c r="AD3956" s="37"/>
      <c r="AE3956" s="37"/>
      <c r="AF3956" s="37"/>
      <c r="AG3956" s="37"/>
      <c r="AH3956" s="37"/>
      <c r="AI3956" s="37"/>
      <c r="AJ3956" s="37"/>
      <c r="AK3956" s="37"/>
      <c r="AL3956" s="37"/>
      <c r="AM3956" s="37"/>
      <c r="AN3956" s="37"/>
      <c r="AO3956" s="37"/>
      <c r="AP3956" s="37"/>
      <c r="AQ3956" s="37"/>
      <c r="AR3956" s="37"/>
      <c r="AS3956" s="37"/>
      <c r="AT3956" s="37"/>
      <c r="AU3956" s="37"/>
      <c r="AV3956" s="37"/>
      <c r="AW3956" s="37"/>
      <c r="AX3956" s="37"/>
      <c r="AY3956" s="37"/>
      <c r="AZ3956" s="37"/>
      <c r="BA3956" s="37"/>
      <c r="BB3956" s="37"/>
      <c r="BC3956" s="37"/>
      <c r="BD3956" s="37"/>
      <c r="BE3956" s="37"/>
      <c r="BF3956" s="37"/>
      <c r="BG3956" s="37"/>
      <c r="BH3956" s="37"/>
      <c r="BI3956" s="37"/>
      <c r="BJ3956" s="37"/>
      <c r="BK3956" s="37"/>
      <c r="BL3956" s="37"/>
      <c r="BM3956" s="37"/>
    </row>
    <row r="3957" spans="1:65" s="40" customFormat="1" ht="21" x14ac:dyDescent="0.35">
      <c r="A3957" s="37"/>
      <c r="B3957" s="37"/>
      <c r="C3957" s="41"/>
      <c r="D3957" s="38"/>
      <c r="E3957" s="38"/>
      <c r="F3957" s="42"/>
      <c r="G3957" s="43"/>
      <c r="H3957" s="37"/>
      <c r="I3957" s="37"/>
      <c r="J3957" s="38"/>
      <c r="K3957" s="37"/>
      <c r="L3957" s="38"/>
      <c r="M3957" s="39"/>
      <c r="P3957" s="37"/>
      <c r="Q3957" s="37"/>
      <c r="R3957" s="37"/>
      <c r="S3957" s="37"/>
      <c r="T3957" s="37"/>
      <c r="U3957" s="37"/>
      <c r="V3957" s="37"/>
      <c r="W3957" s="37"/>
      <c r="X3957" s="37"/>
      <c r="Y3957" s="37"/>
      <c r="Z3957" s="37"/>
      <c r="AA3957" s="37"/>
      <c r="AB3957" s="37"/>
      <c r="AC3957" s="37"/>
      <c r="AD3957" s="37"/>
      <c r="AE3957" s="37"/>
      <c r="AF3957" s="37"/>
      <c r="AG3957" s="37"/>
      <c r="AH3957" s="37"/>
      <c r="AI3957" s="37"/>
      <c r="AJ3957" s="37"/>
      <c r="AK3957" s="37"/>
      <c r="AL3957" s="37"/>
      <c r="AM3957" s="37"/>
      <c r="AN3957" s="37"/>
      <c r="AO3957" s="37"/>
      <c r="AP3957" s="37"/>
      <c r="AQ3957" s="37"/>
      <c r="AR3957" s="37"/>
      <c r="AS3957" s="37"/>
      <c r="AT3957" s="37"/>
      <c r="AU3957" s="37"/>
      <c r="AV3957" s="37"/>
      <c r="AW3957" s="37"/>
      <c r="AX3957" s="37"/>
      <c r="AY3957" s="37"/>
      <c r="AZ3957" s="37"/>
      <c r="BA3957" s="37"/>
      <c r="BB3957" s="37"/>
      <c r="BC3957" s="37"/>
      <c r="BD3957" s="37"/>
      <c r="BE3957" s="37"/>
      <c r="BF3957" s="37"/>
      <c r="BG3957" s="37"/>
      <c r="BH3957" s="37"/>
      <c r="BI3957" s="37"/>
      <c r="BJ3957" s="37"/>
      <c r="BK3957" s="37"/>
      <c r="BL3957" s="37"/>
      <c r="BM3957" s="37"/>
    </row>
    <row r="3958" spans="1:65" s="40" customFormat="1" ht="21" x14ac:dyDescent="0.35">
      <c r="A3958" s="37"/>
      <c r="B3958" s="37"/>
      <c r="C3958" s="41"/>
      <c r="D3958" s="38"/>
      <c r="E3958" s="38"/>
      <c r="F3958" s="42"/>
      <c r="G3958" s="43"/>
      <c r="H3958" s="37"/>
      <c r="I3958" s="37"/>
      <c r="J3958" s="38"/>
      <c r="K3958" s="37"/>
      <c r="L3958" s="38"/>
      <c r="M3958" s="39"/>
      <c r="P3958" s="37"/>
      <c r="Q3958" s="37"/>
      <c r="R3958" s="37"/>
      <c r="S3958" s="37"/>
      <c r="T3958" s="37"/>
      <c r="U3958" s="37"/>
      <c r="V3958" s="37"/>
      <c r="W3958" s="37"/>
      <c r="X3958" s="37"/>
      <c r="Y3958" s="37"/>
      <c r="Z3958" s="37"/>
      <c r="AA3958" s="37"/>
      <c r="AB3958" s="37"/>
      <c r="AC3958" s="37"/>
      <c r="AD3958" s="37"/>
      <c r="AE3958" s="37"/>
      <c r="AF3958" s="37"/>
      <c r="AG3958" s="37"/>
      <c r="AH3958" s="37"/>
      <c r="AI3958" s="37"/>
      <c r="AJ3958" s="37"/>
      <c r="AK3958" s="37"/>
      <c r="AL3958" s="37"/>
      <c r="AM3958" s="37"/>
      <c r="AN3958" s="37"/>
      <c r="AO3958" s="37"/>
      <c r="AP3958" s="37"/>
      <c r="AQ3958" s="37"/>
      <c r="AR3958" s="37"/>
      <c r="AS3958" s="37"/>
      <c r="AT3958" s="37"/>
      <c r="AU3958" s="37"/>
      <c r="AV3958" s="37"/>
      <c r="AW3958" s="37"/>
      <c r="AX3958" s="37"/>
      <c r="AY3958" s="37"/>
      <c r="AZ3958" s="37"/>
      <c r="BA3958" s="37"/>
      <c r="BB3958" s="37"/>
      <c r="BC3958" s="37"/>
      <c r="BD3958" s="37"/>
      <c r="BE3958" s="37"/>
      <c r="BF3958" s="37"/>
      <c r="BG3958" s="37"/>
      <c r="BH3958" s="37"/>
      <c r="BI3958" s="37"/>
      <c r="BJ3958" s="37"/>
      <c r="BK3958" s="37"/>
      <c r="BL3958" s="37"/>
      <c r="BM3958" s="37"/>
    </row>
    <row r="3959" spans="1:65" s="40" customFormat="1" ht="21" x14ac:dyDescent="0.35">
      <c r="A3959" s="37"/>
      <c r="B3959" s="37"/>
      <c r="C3959" s="41"/>
      <c r="D3959" s="38"/>
      <c r="E3959" s="38"/>
      <c r="F3959" s="42"/>
      <c r="G3959" s="43"/>
      <c r="H3959" s="37"/>
      <c r="I3959" s="37"/>
      <c r="J3959" s="38"/>
      <c r="K3959" s="37"/>
      <c r="L3959" s="38"/>
      <c r="M3959" s="39"/>
      <c r="P3959" s="37"/>
      <c r="Q3959" s="37"/>
      <c r="R3959" s="37"/>
      <c r="S3959" s="37"/>
      <c r="T3959" s="37"/>
      <c r="U3959" s="37"/>
      <c r="V3959" s="37"/>
      <c r="W3959" s="37"/>
      <c r="X3959" s="37"/>
      <c r="Y3959" s="37"/>
      <c r="Z3959" s="37"/>
      <c r="AA3959" s="37"/>
      <c r="AB3959" s="37"/>
      <c r="AC3959" s="37"/>
      <c r="AD3959" s="37"/>
      <c r="AE3959" s="37"/>
      <c r="AF3959" s="37"/>
      <c r="AG3959" s="37"/>
      <c r="AH3959" s="37"/>
      <c r="AI3959" s="37"/>
      <c r="AJ3959" s="37"/>
      <c r="AK3959" s="37"/>
      <c r="AL3959" s="37"/>
      <c r="AM3959" s="37"/>
      <c r="AN3959" s="37"/>
      <c r="AO3959" s="37"/>
      <c r="AP3959" s="37"/>
      <c r="AQ3959" s="37"/>
      <c r="AR3959" s="37"/>
      <c r="AS3959" s="37"/>
      <c r="AT3959" s="37"/>
      <c r="AU3959" s="37"/>
      <c r="AV3959" s="37"/>
      <c r="AW3959" s="37"/>
      <c r="AX3959" s="37"/>
      <c r="AY3959" s="37"/>
      <c r="AZ3959" s="37"/>
      <c r="BA3959" s="37"/>
      <c r="BB3959" s="37"/>
      <c r="BC3959" s="37"/>
      <c r="BD3959" s="37"/>
      <c r="BE3959" s="37"/>
      <c r="BF3959" s="37"/>
      <c r="BG3959" s="37"/>
      <c r="BH3959" s="37"/>
      <c r="BI3959" s="37"/>
      <c r="BJ3959" s="37"/>
      <c r="BK3959" s="37"/>
      <c r="BL3959" s="37"/>
      <c r="BM3959" s="37"/>
    </row>
    <row r="3960" spans="1:65" s="40" customFormat="1" ht="21" x14ac:dyDescent="0.35">
      <c r="A3960" s="37"/>
      <c r="B3960" s="37"/>
      <c r="C3960" s="41"/>
      <c r="D3960" s="38"/>
      <c r="E3960" s="38"/>
      <c r="F3960" s="42"/>
      <c r="G3960" s="43"/>
      <c r="H3960" s="37"/>
      <c r="I3960" s="37"/>
      <c r="J3960" s="38"/>
      <c r="K3960" s="37"/>
      <c r="L3960" s="38"/>
      <c r="M3960" s="39"/>
      <c r="P3960" s="37"/>
      <c r="Q3960" s="37"/>
      <c r="R3960" s="37"/>
      <c r="S3960" s="37"/>
      <c r="T3960" s="37"/>
      <c r="U3960" s="37"/>
      <c r="V3960" s="37"/>
      <c r="W3960" s="37"/>
      <c r="X3960" s="37"/>
      <c r="Y3960" s="37"/>
      <c r="Z3960" s="37"/>
      <c r="AA3960" s="37"/>
      <c r="AB3960" s="37"/>
      <c r="AC3960" s="37"/>
      <c r="AD3960" s="37"/>
      <c r="AE3960" s="37"/>
      <c r="AF3960" s="37"/>
      <c r="AG3960" s="37"/>
      <c r="AH3960" s="37"/>
      <c r="AI3960" s="37"/>
      <c r="AJ3960" s="37"/>
      <c r="AK3960" s="37"/>
      <c r="AL3960" s="37"/>
      <c r="AM3960" s="37"/>
      <c r="AN3960" s="37"/>
      <c r="AO3960" s="37"/>
      <c r="AP3960" s="37"/>
      <c r="AQ3960" s="37"/>
      <c r="AR3960" s="37"/>
      <c r="AS3960" s="37"/>
      <c r="AT3960" s="37"/>
      <c r="AU3960" s="37"/>
      <c r="AV3960" s="37"/>
      <c r="AW3960" s="37"/>
      <c r="AX3960" s="37"/>
      <c r="AY3960" s="37"/>
      <c r="AZ3960" s="37"/>
      <c r="BA3960" s="37"/>
      <c r="BB3960" s="37"/>
      <c r="BC3960" s="37"/>
      <c r="BD3960" s="37"/>
      <c r="BE3960" s="37"/>
      <c r="BF3960" s="37"/>
      <c r="BG3960" s="37"/>
      <c r="BH3960" s="37"/>
      <c r="BI3960" s="37"/>
      <c r="BJ3960" s="37"/>
      <c r="BK3960" s="37"/>
      <c r="BL3960" s="37"/>
      <c r="BM3960" s="37"/>
    </row>
    <row r="3961" spans="1:65" s="40" customFormat="1" ht="21" x14ac:dyDescent="0.35">
      <c r="A3961" s="37"/>
      <c r="B3961" s="37"/>
      <c r="C3961" s="41"/>
      <c r="D3961" s="38"/>
      <c r="E3961" s="38"/>
      <c r="F3961" s="42"/>
      <c r="G3961" s="43"/>
      <c r="H3961" s="37"/>
      <c r="I3961" s="37"/>
      <c r="J3961" s="38"/>
      <c r="K3961" s="37"/>
      <c r="L3961" s="38"/>
      <c r="M3961" s="39"/>
      <c r="P3961" s="37"/>
      <c r="Q3961" s="37"/>
      <c r="R3961" s="37"/>
      <c r="S3961" s="37"/>
      <c r="T3961" s="37"/>
      <c r="U3961" s="37"/>
      <c r="V3961" s="37"/>
      <c r="W3961" s="37"/>
      <c r="X3961" s="37"/>
      <c r="Y3961" s="37"/>
      <c r="Z3961" s="37"/>
      <c r="AA3961" s="37"/>
      <c r="AB3961" s="37"/>
      <c r="AC3961" s="37"/>
      <c r="AD3961" s="37"/>
      <c r="AE3961" s="37"/>
      <c r="AF3961" s="37"/>
      <c r="AG3961" s="37"/>
      <c r="AH3961" s="37"/>
      <c r="AI3961" s="37"/>
      <c r="AJ3961" s="37"/>
      <c r="AK3961" s="37"/>
      <c r="AL3961" s="37"/>
      <c r="AM3961" s="37"/>
      <c r="AN3961" s="37"/>
      <c r="AO3961" s="37"/>
      <c r="AP3961" s="37"/>
      <c r="AQ3961" s="37"/>
      <c r="AR3961" s="37"/>
      <c r="AS3961" s="37"/>
      <c r="AT3961" s="37"/>
      <c r="AU3961" s="37"/>
      <c r="AV3961" s="37"/>
      <c r="AW3961" s="37"/>
      <c r="AX3961" s="37"/>
      <c r="AY3961" s="37"/>
      <c r="AZ3961" s="37"/>
      <c r="BA3961" s="37"/>
      <c r="BB3961" s="37"/>
      <c r="BC3961" s="37"/>
      <c r="BD3961" s="37"/>
      <c r="BE3961" s="37"/>
      <c r="BF3961" s="37"/>
      <c r="BG3961" s="37"/>
      <c r="BH3961" s="37"/>
      <c r="BI3961" s="37"/>
      <c r="BJ3961" s="37"/>
      <c r="BK3961" s="37"/>
      <c r="BL3961" s="37"/>
      <c r="BM3961" s="37"/>
    </row>
    <row r="3962" spans="1:65" s="40" customFormat="1" ht="21" x14ac:dyDescent="0.35">
      <c r="A3962" s="37"/>
      <c r="B3962" s="37"/>
      <c r="C3962" s="41"/>
      <c r="D3962" s="38"/>
      <c r="E3962" s="38"/>
      <c r="F3962" s="42"/>
      <c r="G3962" s="43"/>
      <c r="H3962" s="37"/>
      <c r="I3962" s="37"/>
      <c r="J3962" s="38"/>
      <c r="K3962" s="37"/>
      <c r="L3962" s="38"/>
      <c r="M3962" s="39"/>
      <c r="P3962" s="37"/>
      <c r="Q3962" s="37"/>
      <c r="R3962" s="37"/>
      <c r="S3962" s="37"/>
      <c r="T3962" s="37"/>
      <c r="U3962" s="37"/>
      <c r="V3962" s="37"/>
      <c r="W3962" s="37"/>
      <c r="X3962" s="37"/>
      <c r="Y3962" s="37"/>
      <c r="Z3962" s="37"/>
      <c r="AA3962" s="37"/>
      <c r="AB3962" s="37"/>
      <c r="AC3962" s="37"/>
      <c r="AD3962" s="37"/>
      <c r="AE3962" s="37"/>
      <c r="AF3962" s="37"/>
      <c r="AG3962" s="37"/>
      <c r="AH3962" s="37"/>
      <c r="AI3962" s="37"/>
      <c r="AJ3962" s="37"/>
      <c r="AK3962" s="37"/>
      <c r="AL3962" s="37"/>
      <c r="AM3962" s="37"/>
      <c r="AN3962" s="37"/>
      <c r="AO3962" s="37"/>
      <c r="AP3962" s="37"/>
      <c r="AQ3962" s="37"/>
      <c r="AR3962" s="37"/>
      <c r="AS3962" s="37"/>
      <c r="AT3962" s="37"/>
      <c r="AU3962" s="37"/>
      <c r="AV3962" s="37"/>
      <c r="AW3962" s="37"/>
      <c r="AX3962" s="37"/>
      <c r="AY3962" s="37"/>
      <c r="AZ3962" s="37"/>
      <c r="BA3962" s="37"/>
      <c r="BB3962" s="37"/>
      <c r="BC3962" s="37"/>
      <c r="BD3962" s="37"/>
      <c r="BE3962" s="37"/>
      <c r="BF3962" s="37"/>
      <c r="BG3962" s="37"/>
      <c r="BH3962" s="37"/>
      <c r="BI3962" s="37"/>
      <c r="BJ3962" s="37"/>
      <c r="BK3962" s="37"/>
      <c r="BL3962" s="37"/>
      <c r="BM3962" s="37"/>
    </row>
    <row r="3963" spans="1:65" s="40" customFormat="1" ht="21" x14ac:dyDescent="0.35">
      <c r="A3963" s="37"/>
      <c r="B3963" s="37"/>
      <c r="C3963" s="41"/>
      <c r="D3963" s="38"/>
      <c r="E3963" s="38"/>
      <c r="F3963" s="42"/>
      <c r="G3963" s="43"/>
      <c r="H3963" s="37"/>
      <c r="I3963" s="37"/>
      <c r="J3963" s="38"/>
      <c r="K3963" s="37"/>
      <c r="L3963" s="38"/>
      <c r="M3963" s="39"/>
      <c r="P3963" s="37"/>
      <c r="Q3963" s="37"/>
      <c r="R3963" s="37"/>
      <c r="S3963" s="37"/>
      <c r="T3963" s="37"/>
      <c r="U3963" s="37"/>
      <c r="V3963" s="37"/>
      <c r="W3963" s="37"/>
      <c r="X3963" s="37"/>
      <c r="Y3963" s="37"/>
      <c r="Z3963" s="37"/>
      <c r="AA3963" s="37"/>
      <c r="AB3963" s="37"/>
      <c r="AC3963" s="37"/>
      <c r="AD3963" s="37"/>
      <c r="AE3963" s="37"/>
      <c r="AF3963" s="37"/>
      <c r="AG3963" s="37"/>
      <c r="AH3963" s="37"/>
      <c r="AI3963" s="37"/>
      <c r="AJ3963" s="37"/>
      <c r="AK3963" s="37"/>
      <c r="AL3963" s="37"/>
      <c r="AM3963" s="37"/>
      <c r="AN3963" s="37"/>
      <c r="AO3963" s="37"/>
      <c r="AP3963" s="37"/>
      <c r="AQ3963" s="37"/>
      <c r="AR3963" s="37"/>
      <c r="AS3963" s="37"/>
      <c r="AT3963" s="37"/>
      <c r="AU3963" s="37"/>
      <c r="AV3963" s="37"/>
      <c r="AW3963" s="37"/>
      <c r="AX3963" s="37"/>
      <c r="AY3963" s="37"/>
      <c r="AZ3963" s="37"/>
      <c r="BA3963" s="37"/>
      <c r="BB3963" s="37"/>
      <c r="BC3963" s="37"/>
      <c r="BD3963" s="37"/>
      <c r="BE3963" s="37"/>
      <c r="BF3963" s="37"/>
      <c r="BG3963" s="37"/>
      <c r="BH3963" s="37"/>
      <c r="BI3963" s="37"/>
      <c r="BJ3963" s="37"/>
      <c r="BK3963" s="37"/>
      <c r="BL3963" s="37"/>
      <c r="BM3963" s="37"/>
    </row>
    <row r="3964" spans="1:65" s="40" customFormat="1" ht="21" x14ac:dyDescent="0.35">
      <c r="A3964" s="37"/>
      <c r="B3964" s="37"/>
      <c r="C3964" s="41"/>
      <c r="D3964" s="38"/>
      <c r="E3964" s="38"/>
      <c r="F3964" s="42"/>
      <c r="G3964" s="43"/>
      <c r="H3964" s="37"/>
      <c r="I3964" s="37"/>
      <c r="J3964" s="38"/>
      <c r="K3964" s="37"/>
      <c r="L3964" s="38"/>
      <c r="M3964" s="39"/>
      <c r="P3964" s="37"/>
      <c r="Q3964" s="37"/>
      <c r="R3964" s="37"/>
      <c r="S3964" s="37"/>
      <c r="T3964" s="37"/>
      <c r="U3964" s="37"/>
      <c r="V3964" s="37"/>
      <c r="W3964" s="37"/>
      <c r="X3964" s="37"/>
      <c r="Y3964" s="37"/>
      <c r="Z3964" s="37"/>
      <c r="AA3964" s="37"/>
      <c r="AB3964" s="37"/>
      <c r="AC3964" s="37"/>
      <c r="AD3964" s="37"/>
      <c r="AE3964" s="37"/>
      <c r="AF3964" s="37"/>
      <c r="AG3964" s="37"/>
      <c r="AH3964" s="37"/>
      <c r="AI3964" s="37"/>
      <c r="AJ3964" s="37"/>
      <c r="AK3964" s="37"/>
      <c r="AL3964" s="37"/>
      <c r="AM3964" s="37"/>
      <c r="AN3964" s="37"/>
      <c r="AO3964" s="37"/>
      <c r="AP3964" s="37"/>
      <c r="AQ3964" s="37"/>
      <c r="AR3964" s="37"/>
      <c r="AS3964" s="37"/>
      <c r="AT3964" s="37"/>
      <c r="AU3964" s="37"/>
      <c r="AV3964" s="37"/>
      <c r="AW3964" s="37"/>
      <c r="AX3964" s="37"/>
      <c r="AY3964" s="37"/>
      <c r="AZ3964" s="37"/>
      <c r="BA3964" s="37"/>
      <c r="BB3964" s="37"/>
      <c r="BC3964" s="37"/>
      <c r="BD3964" s="37"/>
      <c r="BE3964" s="37"/>
      <c r="BF3964" s="37"/>
      <c r="BG3964" s="37"/>
      <c r="BH3964" s="37"/>
      <c r="BI3964" s="37"/>
      <c r="BJ3964" s="37"/>
      <c r="BK3964" s="37"/>
      <c r="BL3964" s="37"/>
      <c r="BM3964" s="37"/>
    </row>
    <row r="3965" spans="1:65" s="40" customFormat="1" ht="21" x14ac:dyDescent="0.35">
      <c r="A3965" s="37"/>
      <c r="B3965" s="37"/>
      <c r="C3965" s="41"/>
      <c r="D3965" s="38"/>
      <c r="E3965" s="38"/>
      <c r="F3965" s="42"/>
      <c r="G3965" s="43"/>
      <c r="H3965" s="37"/>
      <c r="I3965" s="37"/>
      <c r="J3965" s="38"/>
      <c r="K3965" s="37"/>
      <c r="L3965" s="38"/>
      <c r="M3965" s="39"/>
      <c r="P3965" s="37"/>
      <c r="Q3965" s="37"/>
      <c r="R3965" s="37"/>
      <c r="S3965" s="37"/>
      <c r="T3965" s="37"/>
      <c r="U3965" s="37"/>
      <c r="V3965" s="37"/>
      <c r="W3965" s="37"/>
      <c r="X3965" s="37"/>
      <c r="Y3965" s="37"/>
      <c r="Z3965" s="37"/>
      <c r="AA3965" s="37"/>
      <c r="AB3965" s="37"/>
      <c r="AC3965" s="37"/>
      <c r="AD3965" s="37"/>
      <c r="AE3965" s="37"/>
      <c r="AF3965" s="37"/>
      <c r="AG3965" s="37"/>
      <c r="AH3965" s="37"/>
      <c r="AI3965" s="37"/>
      <c r="AJ3965" s="37"/>
      <c r="AK3965" s="37"/>
      <c r="AL3965" s="37"/>
      <c r="AM3965" s="37"/>
      <c r="AN3965" s="37"/>
      <c r="AO3965" s="37"/>
      <c r="AP3965" s="37"/>
      <c r="AQ3965" s="37"/>
      <c r="AR3965" s="37"/>
      <c r="AS3965" s="37"/>
      <c r="AT3965" s="37"/>
      <c r="AU3965" s="37"/>
      <c r="AV3965" s="37"/>
      <c r="AW3965" s="37"/>
      <c r="AX3965" s="37"/>
      <c r="AY3965" s="37"/>
      <c r="AZ3965" s="37"/>
      <c r="BA3965" s="37"/>
      <c r="BB3965" s="37"/>
      <c r="BC3965" s="37"/>
      <c r="BD3965" s="37"/>
      <c r="BE3965" s="37"/>
      <c r="BF3965" s="37"/>
      <c r="BG3965" s="37"/>
      <c r="BH3965" s="37"/>
      <c r="BI3965" s="37"/>
      <c r="BJ3965" s="37"/>
      <c r="BK3965" s="37"/>
      <c r="BL3965" s="37"/>
      <c r="BM3965" s="37"/>
    </row>
    <row r="3966" spans="1:65" s="40" customFormat="1" ht="21" x14ac:dyDescent="0.35">
      <c r="A3966" s="37"/>
      <c r="B3966" s="37"/>
      <c r="C3966" s="41"/>
      <c r="D3966" s="38"/>
      <c r="E3966" s="38"/>
      <c r="F3966" s="42"/>
      <c r="G3966" s="43"/>
      <c r="H3966" s="37"/>
      <c r="I3966" s="37"/>
      <c r="J3966" s="38"/>
      <c r="K3966" s="37"/>
      <c r="L3966" s="38"/>
      <c r="M3966" s="39"/>
      <c r="P3966" s="37"/>
      <c r="Q3966" s="37"/>
      <c r="R3966" s="37"/>
      <c r="S3966" s="37"/>
      <c r="T3966" s="37"/>
      <c r="U3966" s="37"/>
      <c r="V3966" s="37"/>
      <c r="W3966" s="37"/>
      <c r="X3966" s="37"/>
      <c r="Y3966" s="37"/>
      <c r="Z3966" s="37"/>
      <c r="AA3966" s="37"/>
      <c r="AB3966" s="37"/>
      <c r="AC3966" s="37"/>
      <c r="AD3966" s="37"/>
      <c r="AE3966" s="37"/>
      <c r="AF3966" s="37"/>
      <c r="AG3966" s="37"/>
      <c r="AH3966" s="37"/>
      <c r="AI3966" s="37"/>
      <c r="AJ3966" s="37"/>
      <c r="AK3966" s="37"/>
      <c r="AL3966" s="37"/>
      <c r="AM3966" s="37"/>
      <c r="AN3966" s="37"/>
      <c r="AO3966" s="37"/>
      <c r="AP3966" s="37"/>
      <c r="AQ3966" s="37"/>
      <c r="AR3966" s="37"/>
      <c r="AS3966" s="37"/>
      <c r="AT3966" s="37"/>
      <c r="AU3966" s="37"/>
      <c r="AV3966" s="37"/>
      <c r="AW3966" s="37"/>
      <c r="AX3966" s="37"/>
      <c r="AY3966" s="37"/>
      <c r="AZ3966" s="37"/>
      <c r="BA3966" s="37"/>
      <c r="BB3966" s="37"/>
      <c r="BC3966" s="37"/>
      <c r="BD3966" s="37"/>
      <c r="BE3966" s="37"/>
      <c r="BF3966" s="37"/>
      <c r="BG3966" s="37"/>
      <c r="BH3966" s="37"/>
      <c r="BI3966" s="37"/>
      <c r="BJ3966" s="37"/>
      <c r="BK3966" s="37"/>
      <c r="BL3966" s="37"/>
      <c r="BM3966" s="37"/>
    </row>
    <row r="3967" spans="1:65" s="40" customFormat="1" ht="21" x14ac:dyDescent="0.35">
      <c r="A3967" s="37"/>
      <c r="B3967" s="37"/>
      <c r="C3967" s="41"/>
      <c r="D3967" s="38"/>
      <c r="E3967" s="38"/>
      <c r="F3967" s="42"/>
      <c r="G3967" s="43"/>
      <c r="H3967" s="37"/>
      <c r="I3967" s="37"/>
      <c r="J3967" s="38"/>
      <c r="K3967" s="37"/>
      <c r="L3967" s="38"/>
      <c r="M3967" s="39"/>
      <c r="P3967" s="37"/>
      <c r="Q3967" s="37"/>
      <c r="R3967" s="37"/>
      <c r="S3967" s="37"/>
      <c r="T3967" s="37"/>
      <c r="U3967" s="37"/>
      <c r="V3967" s="37"/>
      <c r="W3967" s="37"/>
      <c r="X3967" s="37"/>
      <c r="Y3967" s="37"/>
      <c r="Z3967" s="37"/>
      <c r="AA3967" s="37"/>
      <c r="AB3967" s="37"/>
      <c r="AC3967" s="37"/>
      <c r="AD3967" s="37"/>
      <c r="AE3967" s="37"/>
      <c r="AF3967" s="37"/>
      <c r="AG3967" s="37"/>
      <c r="AH3967" s="37"/>
      <c r="AI3967" s="37"/>
      <c r="AJ3967" s="37"/>
      <c r="AK3967" s="37"/>
      <c r="AL3967" s="37"/>
      <c r="AM3967" s="37"/>
      <c r="AN3967" s="37"/>
      <c r="AO3967" s="37"/>
      <c r="AP3967" s="37"/>
      <c r="AQ3967" s="37"/>
      <c r="AR3967" s="37"/>
      <c r="AS3967" s="37"/>
      <c r="AT3967" s="37"/>
      <c r="AU3967" s="37"/>
      <c r="AV3967" s="37"/>
      <c r="AW3967" s="37"/>
      <c r="AX3967" s="37"/>
      <c r="AY3967" s="37"/>
      <c r="AZ3967" s="37"/>
      <c r="BA3967" s="37"/>
      <c r="BB3967" s="37"/>
      <c r="BC3967" s="37"/>
      <c r="BD3967" s="37"/>
      <c r="BE3967" s="37"/>
      <c r="BF3967" s="37"/>
      <c r="BG3967" s="37"/>
      <c r="BH3967" s="37"/>
      <c r="BI3967" s="37"/>
      <c r="BJ3967" s="37"/>
      <c r="BK3967" s="37"/>
      <c r="BL3967" s="37"/>
      <c r="BM3967" s="37"/>
    </row>
    <row r="3968" spans="1:65" s="40" customFormat="1" ht="21" x14ac:dyDescent="0.35">
      <c r="A3968" s="37"/>
      <c r="B3968" s="37"/>
      <c r="C3968" s="41"/>
      <c r="D3968" s="38"/>
      <c r="E3968" s="38"/>
      <c r="F3968" s="42"/>
      <c r="G3968" s="43"/>
      <c r="H3968" s="37"/>
      <c r="I3968" s="37"/>
      <c r="J3968" s="38"/>
      <c r="K3968" s="37"/>
      <c r="L3968" s="38"/>
      <c r="M3968" s="39"/>
      <c r="P3968" s="37"/>
      <c r="Q3968" s="37"/>
      <c r="R3968" s="37"/>
      <c r="S3968" s="37"/>
      <c r="T3968" s="37"/>
      <c r="U3968" s="37"/>
      <c r="V3968" s="37"/>
      <c r="W3968" s="37"/>
      <c r="X3968" s="37"/>
      <c r="Y3968" s="37"/>
      <c r="Z3968" s="37"/>
      <c r="AA3968" s="37"/>
      <c r="AB3968" s="37"/>
      <c r="AC3968" s="37"/>
      <c r="AD3968" s="37"/>
      <c r="AE3968" s="37"/>
      <c r="AF3968" s="37"/>
      <c r="AG3968" s="37"/>
      <c r="AH3968" s="37"/>
      <c r="AI3968" s="37"/>
      <c r="AJ3968" s="37"/>
      <c r="AK3968" s="37"/>
      <c r="AL3968" s="37"/>
      <c r="AM3968" s="37"/>
      <c r="AN3968" s="37"/>
      <c r="AO3968" s="37"/>
      <c r="AP3968" s="37"/>
      <c r="AQ3968" s="37"/>
      <c r="AR3968" s="37"/>
      <c r="AS3968" s="37"/>
      <c r="AT3968" s="37"/>
      <c r="AU3968" s="37"/>
      <c r="AV3968" s="37"/>
      <c r="AW3968" s="37"/>
      <c r="AX3968" s="37"/>
      <c r="AY3968" s="37"/>
      <c r="AZ3968" s="37"/>
      <c r="BA3968" s="37"/>
      <c r="BB3968" s="37"/>
      <c r="BC3968" s="37"/>
      <c r="BD3968" s="37"/>
      <c r="BE3968" s="37"/>
      <c r="BF3968" s="37"/>
      <c r="BG3968" s="37"/>
      <c r="BH3968" s="37"/>
      <c r="BI3968" s="37"/>
      <c r="BJ3968" s="37"/>
      <c r="BK3968" s="37"/>
      <c r="BL3968" s="37"/>
      <c r="BM3968" s="37"/>
    </row>
    <row r="3969" spans="1:65" s="40" customFormat="1" ht="21" x14ac:dyDescent="0.35">
      <c r="A3969" s="37"/>
      <c r="B3969" s="37"/>
      <c r="C3969" s="41"/>
      <c r="D3969" s="38"/>
      <c r="E3969" s="38"/>
      <c r="F3969" s="42"/>
      <c r="G3969" s="43"/>
      <c r="H3969" s="37"/>
      <c r="I3969" s="37"/>
      <c r="J3969" s="38"/>
      <c r="K3969" s="37"/>
      <c r="L3969" s="38"/>
      <c r="M3969" s="39"/>
      <c r="P3969" s="37"/>
      <c r="Q3969" s="37"/>
      <c r="R3969" s="37"/>
      <c r="S3969" s="37"/>
      <c r="T3969" s="37"/>
      <c r="U3969" s="37"/>
      <c r="V3969" s="37"/>
      <c r="W3969" s="37"/>
      <c r="X3969" s="37"/>
      <c r="Y3969" s="37"/>
      <c r="Z3969" s="37"/>
      <c r="AA3969" s="37"/>
      <c r="AB3969" s="37"/>
      <c r="AC3969" s="37"/>
      <c r="AD3969" s="37"/>
      <c r="AE3969" s="37"/>
      <c r="AF3969" s="37"/>
      <c r="AG3969" s="37"/>
      <c r="AH3969" s="37"/>
      <c r="AI3969" s="37"/>
      <c r="AJ3969" s="37"/>
      <c r="AK3969" s="37"/>
      <c r="AL3969" s="37"/>
      <c r="AM3969" s="37"/>
      <c r="AN3969" s="37"/>
      <c r="AO3969" s="37"/>
      <c r="AP3969" s="37"/>
      <c r="AQ3969" s="37"/>
      <c r="AR3969" s="37"/>
      <c r="AS3969" s="37"/>
      <c r="AT3969" s="37"/>
      <c r="AU3969" s="37"/>
      <c r="AV3969" s="37"/>
      <c r="AW3969" s="37"/>
      <c r="AX3969" s="37"/>
      <c r="AY3969" s="37"/>
      <c r="AZ3969" s="37"/>
      <c r="BA3969" s="37"/>
      <c r="BB3969" s="37"/>
      <c r="BC3969" s="37"/>
      <c r="BD3969" s="37"/>
      <c r="BE3969" s="37"/>
      <c r="BF3969" s="37"/>
      <c r="BG3969" s="37"/>
      <c r="BH3969" s="37"/>
      <c r="BI3969" s="37"/>
      <c r="BJ3969" s="37"/>
      <c r="BK3969" s="37"/>
      <c r="BL3969" s="37"/>
      <c r="BM3969" s="37"/>
    </row>
    <row r="3970" spans="1:65" s="40" customFormat="1" ht="21" x14ac:dyDescent="0.35">
      <c r="A3970" s="37"/>
      <c r="B3970" s="37"/>
      <c r="C3970" s="41"/>
      <c r="D3970" s="38"/>
      <c r="E3970" s="38"/>
      <c r="F3970" s="42"/>
      <c r="G3970" s="43"/>
      <c r="H3970" s="37"/>
      <c r="I3970" s="37"/>
      <c r="J3970" s="38"/>
      <c r="K3970" s="37"/>
      <c r="L3970" s="38"/>
      <c r="M3970" s="39"/>
      <c r="P3970" s="37"/>
      <c r="Q3970" s="37"/>
      <c r="R3970" s="37"/>
      <c r="S3970" s="37"/>
      <c r="T3970" s="37"/>
      <c r="U3970" s="37"/>
      <c r="V3970" s="37"/>
      <c r="W3970" s="37"/>
      <c r="X3970" s="37"/>
      <c r="Y3970" s="37"/>
      <c r="Z3970" s="37"/>
      <c r="AA3970" s="37"/>
      <c r="AB3970" s="37"/>
      <c r="AC3970" s="37"/>
      <c r="AD3970" s="37"/>
      <c r="AE3970" s="37"/>
      <c r="AF3970" s="37"/>
      <c r="AG3970" s="37"/>
      <c r="AH3970" s="37"/>
      <c r="AI3970" s="37"/>
      <c r="AJ3970" s="37"/>
      <c r="AK3970" s="37"/>
      <c r="AL3970" s="37"/>
      <c r="AM3970" s="37"/>
      <c r="AN3970" s="37"/>
      <c r="AO3970" s="37"/>
      <c r="AP3970" s="37"/>
      <c r="AQ3970" s="37"/>
      <c r="AR3970" s="37"/>
      <c r="AS3970" s="37"/>
      <c r="AT3970" s="37"/>
      <c r="AU3970" s="37"/>
      <c r="AV3970" s="37"/>
      <c r="AW3970" s="37"/>
      <c r="AX3970" s="37"/>
      <c r="AY3970" s="37"/>
      <c r="AZ3970" s="37"/>
      <c r="BA3970" s="37"/>
      <c r="BB3970" s="37"/>
      <c r="BC3970" s="37"/>
      <c r="BD3970" s="37"/>
      <c r="BE3970" s="37"/>
      <c r="BF3970" s="37"/>
      <c r="BG3970" s="37"/>
      <c r="BH3970" s="37"/>
      <c r="BI3970" s="37"/>
      <c r="BJ3970" s="37"/>
      <c r="BK3970" s="37"/>
      <c r="BL3970" s="37"/>
      <c r="BM3970" s="37"/>
    </row>
    <row r="3971" spans="1:65" s="40" customFormat="1" ht="21" x14ac:dyDescent="0.35">
      <c r="A3971" s="37"/>
      <c r="B3971" s="37"/>
      <c r="C3971" s="41"/>
      <c r="D3971" s="38"/>
      <c r="E3971" s="38"/>
      <c r="F3971" s="42"/>
      <c r="G3971" s="43"/>
      <c r="H3971" s="37"/>
      <c r="I3971" s="37"/>
      <c r="J3971" s="38"/>
      <c r="K3971" s="37"/>
      <c r="L3971" s="38"/>
      <c r="M3971" s="39"/>
      <c r="P3971" s="37"/>
      <c r="Q3971" s="37"/>
      <c r="R3971" s="37"/>
      <c r="S3971" s="37"/>
      <c r="T3971" s="37"/>
      <c r="U3971" s="37"/>
      <c r="V3971" s="37"/>
      <c r="W3971" s="37"/>
      <c r="X3971" s="37"/>
      <c r="Y3971" s="37"/>
      <c r="Z3971" s="37"/>
      <c r="AA3971" s="37"/>
      <c r="AB3971" s="37"/>
      <c r="AC3971" s="37"/>
      <c r="AD3971" s="37"/>
      <c r="AE3971" s="37"/>
      <c r="AF3971" s="37"/>
      <c r="AG3971" s="37"/>
      <c r="AH3971" s="37"/>
      <c r="AI3971" s="37"/>
      <c r="AJ3971" s="37"/>
      <c r="AK3971" s="37"/>
      <c r="AL3971" s="37"/>
      <c r="AM3971" s="37"/>
      <c r="AN3971" s="37"/>
      <c r="AO3971" s="37"/>
      <c r="AP3971" s="37"/>
      <c r="AQ3971" s="37"/>
      <c r="AR3971" s="37"/>
      <c r="AS3971" s="37"/>
      <c r="AT3971" s="37"/>
      <c r="AU3971" s="37"/>
      <c r="AV3971" s="37"/>
      <c r="AW3971" s="37"/>
      <c r="AX3971" s="37"/>
      <c r="AY3971" s="37"/>
      <c r="AZ3971" s="37"/>
      <c r="BA3971" s="37"/>
      <c r="BB3971" s="37"/>
      <c r="BC3971" s="37"/>
      <c r="BD3971" s="37"/>
      <c r="BE3971" s="37"/>
      <c r="BF3971" s="37"/>
      <c r="BG3971" s="37"/>
      <c r="BH3971" s="37"/>
      <c r="BI3971" s="37"/>
      <c r="BJ3971" s="37"/>
      <c r="BK3971" s="37"/>
      <c r="BL3971" s="37"/>
      <c r="BM3971" s="37"/>
    </row>
    <row r="3972" spans="1:65" s="40" customFormat="1" ht="21" x14ac:dyDescent="0.35">
      <c r="A3972" s="37"/>
      <c r="B3972" s="37"/>
      <c r="C3972" s="41"/>
      <c r="D3972" s="38"/>
      <c r="E3972" s="38"/>
      <c r="F3972" s="42"/>
      <c r="G3972" s="43"/>
      <c r="H3972" s="37"/>
      <c r="I3972" s="37"/>
      <c r="J3972" s="38"/>
      <c r="K3972" s="37"/>
      <c r="L3972" s="38"/>
      <c r="M3972" s="39"/>
      <c r="P3972" s="37"/>
      <c r="Q3972" s="37"/>
      <c r="R3972" s="37"/>
      <c r="S3972" s="37"/>
      <c r="T3972" s="37"/>
      <c r="U3972" s="37"/>
      <c r="V3972" s="37"/>
      <c r="W3972" s="37"/>
      <c r="X3972" s="37"/>
      <c r="Y3972" s="37"/>
      <c r="Z3972" s="37"/>
      <c r="AA3972" s="37"/>
      <c r="AB3972" s="37"/>
      <c r="AC3972" s="37"/>
      <c r="AD3972" s="37"/>
      <c r="AE3972" s="37"/>
      <c r="AF3972" s="37"/>
      <c r="AG3972" s="37"/>
      <c r="AH3972" s="37"/>
      <c r="AI3972" s="37"/>
      <c r="AJ3972" s="37"/>
      <c r="AK3972" s="37"/>
      <c r="AL3972" s="37"/>
      <c r="AM3972" s="37"/>
      <c r="AN3972" s="37"/>
      <c r="AO3972" s="37"/>
      <c r="AP3972" s="37"/>
      <c r="AQ3972" s="37"/>
      <c r="AR3972" s="37"/>
      <c r="AS3972" s="37"/>
      <c r="AT3972" s="37"/>
      <c r="AU3972" s="37"/>
      <c r="AV3972" s="37"/>
      <c r="AW3972" s="37"/>
      <c r="AX3972" s="37"/>
      <c r="AY3972" s="37"/>
      <c r="AZ3972" s="37"/>
      <c r="BA3972" s="37"/>
      <c r="BB3972" s="37"/>
      <c r="BC3972" s="37"/>
      <c r="BD3972" s="37"/>
      <c r="BE3972" s="37"/>
      <c r="BF3972" s="37"/>
      <c r="BG3972" s="37"/>
      <c r="BH3972" s="37"/>
      <c r="BI3972" s="37"/>
      <c r="BJ3972" s="37"/>
      <c r="BK3972" s="37"/>
      <c r="BL3972" s="37"/>
      <c r="BM3972" s="37"/>
    </row>
    <row r="3973" spans="1:65" s="40" customFormat="1" ht="21" x14ac:dyDescent="0.35">
      <c r="A3973" s="37"/>
      <c r="B3973" s="37"/>
      <c r="C3973" s="41"/>
      <c r="D3973" s="38"/>
      <c r="E3973" s="38"/>
      <c r="F3973" s="42"/>
      <c r="G3973" s="43"/>
      <c r="H3973" s="37"/>
      <c r="I3973" s="37"/>
      <c r="J3973" s="38"/>
      <c r="K3973" s="37"/>
      <c r="L3973" s="38"/>
      <c r="M3973" s="39"/>
      <c r="P3973" s="37"/>
      <c r="Q3973" s="37"/>
      <c r="R3973" s="37"/>
      <c r="S3973" s="37"/>
      <c r="T3973" s="37"/>
      <c r="U3973" s="37"/>
      <c r="V3973" s="37"/>
      <c r="W3973" s="37"/>
      <c r="X3973" s="37"/>
      <c r="Y3973" s="37"/>
      <c r="Z3973" s="37"/>
      <c r="AA3973" s="37"/>
      <c r="AB3973" s="37"/>
      <c r="AC3973" s="37"/>
      <c r="AD3973" s="37"/>
      <c r="AE3973" s="37"/>
      <c r="AF3973" s="37"/>
      <c r="AG3973" s="37"/>
      <c r="AH3973" s="37"/>
      <c r="AI3973" s="37"/>
      <c r="AJ3973" s="37"/>
      <c r="AK3973" s="37"/>
      <c r="AL3973" s="37"/>
      <c r="AM3973" s="37"/>
      <c r="AN3973" s="37"/>
      <c r="AO3973" s="37"/>
      <c r="AP3973" s="37"/>
      <c r="AQ3973" s="37"/>
      <c r="AR3973" s="37"/>
      <c r="AS3973" s="37"/>
      <c r="AT3973" s="37"/>
      <c r="AU3973" s="37"/>
      <c r="AV3973" s="37"/>
      <c r="AW3973" s="37"/>
      <c r="AX3973" s="37"/>
      <c r="AY3973" s="37"/>
      <c r="AZ3973" s="37"/>
      <c r="BA3973" s="37"/>
      <c r="BB3973" s="37"/>
      <c r="BC3973" s="37"/>
      <c r="BD3973" s="37"/>
      <c r="BE3973" s="37"/>
      <c r="BF3973" s="37"/>
      <c r="BG3973" s="37"/>
      <c r="BH3973" s="37"/>
      <c r="BI3973" s="37"/>
      <c r="BJ3973" s="37"/>
      <c r="BK3973" s="37"/>
      <c r="BL3973" s="37"/>
      <c r="BM3973" s="37"/>
    </row>
    <row r="3974" spans="1:65" s="40" customFormat="1" ht="21" x14ac:dyDescent="0.35">
      <c r="A3974" s="37"/>
      <c r="B3974" s="37"/>
      <c r="C3974" s="41"/>
      <c r="D3974" s="38"/>
      <c r="E3974" s="38"/>
      <c r="F3974" s="42"/>
      <c r="G3974" s="43"/>
      <c r="H3974" s="37"/>
      <c r="I3974" s="37"/>
      <c r="J3974" s="38"/>
      <c r="K3974" s="37"/>
      <c r="L3974" s="38"/>
      <c r="M3974" s="39"/>
      <c r="P3974" s="37"/>
      <c r="Q3974" s="37"/>
      <c r="R3974" s="37"/>
      <c r="S3974" s="37"/>
      <c r="T3974" s="37"/>
      <c r="U3974" s="37"/>
      <c r="V3974" s="37"/>
      <c r="W3974" s="37"/>
      <c r="X3974" s="37"/>
      <c r="Y3974" s="37"/>
      <c r="Z3974" s="37"/>
      <c r="AA3974" s="37"/>
      <c r="AB3974" s="37"/>
      <c r="AC3974" s="37"/>
      <c r="AD3974" s="37"/>
      <c r="AE3974" s="37"/>
      <c r="AF3974" s="37"/>
      <c r="AG3974" s="37"/>
      <c r="AH3974" s="37"/>
      <c r="AI3974" s="37"/>
      <c r="AJ3974" s="37"/>
      <c r="AK3974" s="37"/>
      <c r="AL3974" s="37"/>
      <c r="AM3974" s="37"/>
      <c r="AN3974" s="37"/>
      <c r="AO3974" s="37"/>
      <c r="AP3974" s="37"/>
      <c r="AQ3974" s="37"/>
      <c r="AR3974" s="37"/>
      <c r="AS3974" s="37"/>
      <c r="AT3974" s="37"/>
      <c r="AU3974" s="37"/>
      <c r="AV3974" s="37"/>
      <c r="AW3974" s="37"/>
      <c r="AX3974" s="37"/>
      <c r="AY3974" s="37"/>
      <c r="AZ3974" s="37"/>
      <c r="BA3974" s="37"/>
      <c r="BB3974" s="37"/>
      <c r="BC3974" s="37"/>
      <c r="BD3974" s="37"/>
      <c r="BE3974" s="37"/>
      <c r="BF3974" s="37"/>
      <c r="BG3974" s="37"/>
      <c r="BH3974" s="37"/>
      <c r="BI3974" s="37"/>
      <c r="BJ3974" s="37"/>
      <c r="BK3974" s="37"/>
      <c r="BL3974" s="37"/>
      <c r="BM3974" s="37"/>
    </row>
    <row r="3975" spans="1:65" s="40" customFormat="1" ht="21" x14ac:dyDescent="0.35">
      <c r="A3975" s="37"/>
      <c r="B3975" s="37"/>
      <c r="C3975" s="41"/>
      <c r="D3975" s="38"/>
      <c r="E3975" s="38"/>
      <c r="F3975" s="42"/>
      <c r="G3975" s="43"/>
      <c r="H3975" s="37"/>
      <c r="I3975" s="37"/>
      <c r="J3975" s="38"/>
      <c r="K3975" s="37"/>
      <c r="L3975" s="38"/>
      <c r="M3975" s="39"/>
      <c r="P3975" s="37"/>
      <c r="Q3975" s="37"/>
      <c r="R3975" s="37"/>
      <c r="S3975" s="37"/>
      <c r="T3975" s="37"/>
      <c r="U3975" s="37"/>
      <c r="V3975" s="37"/>
      <c r="W3975" s="37"/>
      <c r="X3975" s="37"/>
      <c r="Y3975" s="37"/>
      <c r="Z3975" s="37"/>
      <c r="AA3975" s="37"/>
      <c r="AB3975" s="37"/>
      <c r="AC3975" s="37"/>
      <c r="AD3975" s="37"/>
      <c r="AE3975" s="37"/>
      <c r="AF3975" s="37"/>
      <c r="AG3975" s="37"/>
      <c r="AH3975" s="37"/>
      <c r="AI3975" s="37"/>
      <c r="AJ3975" s="37"/>
      <c r="AK3975" s="37"/>
      <c r="AL3975" s="37"/>
      <c r="AM3975" s="37"/>
      <c r="AN3975" s="37"/>
      <c r="AO3975" s="37"/>
      <c r="AP3975" s="37"/>
      <c r="AQ3975" s="37"/>
      <c r="AR3975" s="37"/>
      <c r="AS3975" s="37"/>
      <c r="AT3975" s="37"/>
      <c r="AU3975" s="37"/>
      <c r="AV3975" s="37"/>
      <c r="AW3975" s="37"/>
      <c r="AX3975" s="37"/>
      <c r="AY3975" s="37"/>
      <c r="AZ3975" s="37"/>
      <c r="BA3975" s="37"/>
      <c r="BB3975" s="37"/>
      <c r="BC3975" s="37"/>
      <c r="BD3975" s="37"/>
      <c r="BE3975" s="37"/>
      <c r="BF3975" s="37"/>
      <c r="BG3975" s="37"/>
      <c r="BH3975" s="37"/>
      <c r="BI3975" s="37"/>
      <c r="BJ3975" s="37"/>
      <c r="BK3975" s="37"/>
      <c r="BL3975" s="37"/>
      <c r="BM3975" s="37"/>
    </row>
    <row r="3976" spans="1:65" s="40" customFormat="1" ht="21" x14ac:dyDescent="0.35">
      <c r="A3976" s="37"/>
      <c r="B3976" s="37"/>
      <c r="C3976" s="41"/>
      <c r="D3976" s="38"/>
      <c r="E3976" s="38"/>
      <c r="F3976" s="42"/>
      <c r="G3976" s="43"/>
      <c r="H3976" s="37"/>
      <c r="I3976" s="37"/>
      <c r="J3976" s="38"/>
      <c r="K3976" s="37"/>
      <c r="L3976" s="38"/>
      <c r="M3976" s="39"/>
      <c r="P3976" s="37"/>
      <c r="Q3976" s="37"/>
      <c r="R3976" s="37"/>
      <c r="S3976" s="37"/>
      <c r="T3976" s="37"/>
      <c r="U3976" s="37"/>
      <c r="V3976" s="37"/>
      <c r="W3976" s="37"/>
      <c r="X3976" s="37"/>
      <c r="Y3976" s="37"/>
      <c r="Z3976" s="37"/>
      <c r="AA3976" s="37"/>
      <c r="AB3976" s="37"/>
      <c r="AC3976" s="37"/>
      <c r="AD3976" s="37"/>
      <c r="AE3976" s="37"/>
      <c r="AF3976" s="37"/>
      <c r="AG3976" s="37"/>
      <c r="AH3976" s="37"/>
      <c r="AI3976" s="37"/>
      <c r="AJ3976" s="37"/>
      <c r="AK3976" s="37"/>
      <c r="AL3976" s="37"/>
      <c r="AM3976" s="37"/>
      <c r="AN3976" s="37"/>
      <c r="AO3976" s="37"/>
      <c r="AP3976" s="37"/>
      <c r="AQ3976" s="37"/>
      <c r="AR3976" s="37"/>
      <c r="AS3976" s="37"/>
      <c r="AT3976" s="37"/>
      <c r="AU3976" s="37"/>
      <c r="AV3976" s="37"/>
      <c r="AW3976" s="37"/>
      <c r="AX3976" s="37"/>
      <c r="AY3976" s="37"/>
      <c r="AZ3976" s="37"/>
      <c r="BA3976" s="37"/>
      <c r="BB3976" s="37"/>
      <c r="BC3976" s="37"/>
      <c r="BD3976" s="37"/>
      <c r="BE3976" s="37"/>
      <c r="BF3976" s="37"/>
      <c r="BG3976" s="37"/>
      <c r="BH3976" s="37"/>
      <c r="BI3976" s="37"/>
      <c r="BJ3976" s="37"/>
      <c r="BK3976" s="37"/>
      <c r="BL3976" s="37"/>
      <c r="BM3976" s="37"/>
    </row>
    <row r="3977" spans="1:65" s="40" customFormat="1" ht="21" x14ac:dyDescent="0.35">
      <c r="A3977" s="37"/>
      <c r="B3977" s="37"/>
      <c r="C3977" s="41"/>
      <c r="D3977" s="38"/>
      <c r="E3977" s="38"/>
      <c r="F3977" s="42"/>
      <c r="G3977" s="43"/>
      <c r="H3977" s="37"/>
      <c r="I3977" s="37"/>
      <c r="J3977" s="38"/>
      <c r="K3977" s="37"/>
      <c r="L3977" s="38"/>
      <c r="M3977" s="39"/>
      <c r="P3977" s="37"/>
      <c r="Q3977" s="37"/>
      <c r="R3977" s="37"/>
      <c r="S3977" s="37"/>
      <c r="T3977" s="37"/>
      <c r="U3977" s="37"/>
      <c r="V3977" s="37"/>
      <c r="W3977" s="37"/>
      <c r="X3977" s="37"/>
      <c r="Y3977" s="37"/>
      <c r="Z3977" s="37"/>
      <c r="AA3977" s="37"/>
      <c r="AB3977" s="37"/>
      <c r="AC3977" s="37"/>
      <c r="AD3977" s="37"/>
      <c r="AE3977" s="37"/>
      <c r="AF3977" s="37"/>
      <c r="AG3977" s="37"/>
      <c r="AH3977" s="37"/>
      <c r="AI3977" s="37"/>
      <c r="AJ3977" s="37"/>
      <c r="AK3977" s="37"/>
      <c r="AL3977" s="37"/>
      <c r="AM3977" s="37"/>
      <c r="AN3977" s="37"/>
      <c r="AO3977" s="37"/>
      <c r="AP3977" s="37"/>
      <c r="AQ3977" s="37"/>
      <c r="AR3977" s="37"/>
      <c r="AS3977" s="37"/>
      <c r="AT3977" s="37"/>
      <c r="AU3977" s="37"/>
      <c r="AV3977" s="37"/>
      <c r="AW3977" s="37"/>
      <c r="AX3977" s="37"/>
      <c r="AY3977" s="37"/>
      <c r="AZ3977" s="37"/>
      <c r="BA3977" s="37"/>
      <c r="BB3977" s="37"/>
      <c r="BC3977" s="37"/>
      <c r="BD3977" s="37"/>
      <c r="BE3977" s="37"/>
      <c r="BF3977" s="37"/>
      <c r="BG3977" s="37"/>
      <c r="BH3977" s="37"/>
      <c r="BI3977" s="37"/>
      <c r="BJ3977" s="37"/>
      <c r="BK3977" s="37"/>
      <c r="BL3977" s="37"/>
      <c r="BM3977" s="37"/>
    </row>
    <row r="3978" spans="1:65" s="40" customFormat="1" ht="21" x14ac:dyDescent="0.35">
      <c r="A3978" s="37"/>
      <c r="B3978" s="37"/>
      <c r="C3978" s="41"/>
      <c r="D3978" s="38"/>
      <c r="E3978" s="38"/>
      <c r="F3978" s="42"/>
      <c r="G3978" s="43"/>
      <c r="H3978" s="37"/>
      <c r="I3978" s="37"/>
      <c r="J3978" s="38"/>
      <c r="K3978" s="37"/>
      <c r="L3978" s="38"/>
      <c r="M3978" s="39"/>
      <c r="P3978" s="37"/>
      <c r="Q3978" s="37"/>
      <c r="R3978" s="37"/>
      <c r="S3978" s="37"/>
      <c r="T3978" s="37"/>
      <c r="U3978" s="37"/>
      <c r="V3978" s="37"/>
      <c r="W3978" s="37"/>
      <c r="X3978" s="37"/>
      <c r="Y3978" s="37"/>
      <c r="Z3978" s="37"/>
      <c r="AA3978" s="37"/>
      <c r="AB3978" s="37"/>
      <c r="AC3978" s="37"/>
      <c r="AD3978" s="37"/>
      <c r="AE3978" s="37"/>
      <c r="AF3978" s="37"/>
      <c r="AG3978" s="37"/>
      <c r="AH3978" s="37"/>
      <c r="AI3978" s="37"/>
      <c r="AJ3978" s="37"/>
      <c r="AK3978" s="37"/>
      <c r="AL3978" s="37"/>
      <c r="AM3978" s="37"/>
      <c r="AN3978" s="37"/>
      <c r="AO3978" s="37"/>
      <c r="AP3978" s="37"/>
      <c r="AQ3978" s="37"/>
      <c r="AR3978" s="37"/>
      <c r="AS3978" s="37"/>
      <c r="AT3978" s="37"/>
      <c r="AU3978" s="37"/>
      <c r="AV3978" s="37"/>
      <c r="AW3978" s="37"/>
      <c r="AX3978" s="37"/>
      <c r="AY3978" s="37"/>
      <c r="AZ3978" s="37"/>
      <c r="BA3978" s="37"/>
      <c r="BB3978" s="37"/>
      <c r="BC3978" s="37"/>
      <c r="BD3978" s="37"/>
      <c r="BE3978" s="37"/>
      <c r="BF3978" s="37"/>
      <c r="BG3978" s="37"/>
      <c r="BH3978" s="37"/>
      <c r="BI3978" s="37"/>
      <c r="BJ3978" s="37"/>
      <c r="BK3978" s="37"/>
      <c r="BL3978" s="37"/>
      <c r="BM3978" s="37"/>
    </row>
    <row r="3979" spans="1:65" s="40" customFormat="1" ht="21" x14ac:dyDescent="0.35">
      <c r="A3979" s="37"/>
      <c r="B3979" s="37"/>
      <c r="C3979" s="41"/>
      <c r="D3979" s="38"/>
      <c r="E3979" s="38"/>
      <c r="F3979" s="42"/>
      <c r="G3979" s="43"/>
      <c r="H3979" s="37"/>
      <c r="I3979" s="37"/>
      <c r="J3979" s="38"/>
      <c r="K3979" s="37"/>
      <c r="L3979" s="38"/>
      <c r="M3979" s="39"/>
      <c r="P3979" s="37"/>
      <c r="Q3979" s="37"/>
      <c r="R3979" s="37"/>
      <c r="S3979" s="37"/>
      <c r="T3979" s="37"/>
      <c r="U3979" s="37"/>
      <c r="V3979" s="37"/>
      <c r="W3979" s="37"/>
      <c r="X3979" s="37"/>
      <c r="Y3979" s="37"/>
      <c r="Z3979" s="37"/>
      <c r="AA3979" s="37"/>
      <c r="AB3979" s="37"/>
      <c r="AC3979" s="37"/>
      <c r="AD3979" s="37"/>
      <c r="AE3979" s="37"/>
      <c r="AF3979" s="37"/>
      <c r="AG3979" s="37"/>
      <c r="AH3979" s="37"/>
      <c r="AI3979" s="37"/>
      <c r="AJ3979" s="37"/>
      <c r="AK3979" s="37"/>
      <c r="AL3979" s="37"/>
      <c r="AM3979" s="37"/>
      <c r="AN3979" s="37"/>
      <c r="AO3979" s="37"/>
      <c r="AP3979" s="37"/>
      <c r="AQ3979" s="37"/>
      <c r="AR3979" s="37"/>
      <c r="AS3979" s="37"/>
      <c r="AT3979" s="37"/>
      <c r="AU3979" s="37"/>
      <c r="AV3979" s="37"/>
      <c r="AW3979" s="37"/>
      <c r="AX3979" s="37"/>
      <c r="AY3979" s="37"/>
      <c r="AZ3979" s="37"/>
      <c r="BA3979" s="37"/>
      <c r="BB3979" s="37"/>
      <c r="BC3979" s="37"/>
      <c r="BD3979" s="37"/>
      <c r="BE3979" s="37"/>
      <c r="BF3979" s="37"/>
      <c r="BG3979" s="37"/>
      <c r="BH3979" s="37"/>
      <c r="BI3979" s="37"/>
      <c r="BJ3979" s="37"/>
      <c r="BK3979" s="37"/>
      <c r="BL3979" s="37"/>
      <c r="BM3979" s="37"/>
    </row>
    <row r="3980" spans="1:65" s="40" customFormat="1" ht="21" x14ac:dyDescent="0.35">
      <c r="A3980" s="37"/>
      <c r="B3980" s="37"/>
      <c r="C3980" s="41"/>
      <c r="D3980" s="38"/>
      <c r="E3980" s="38"/>
      <c r="F3980" s="42"/>
      <c r="G3980" s="43"/>
      <c r="H3980" s="37"/>
      <c r="I3980" s="37"/>
      <c r="J3980" s="38"/>
      <c r="K3980" s="37"/>
      <c r="L3980" s="38"/>
      <c r="M3980" s="39"/>
      <c r="P3980" s="37"/>
      <c r="Q3980" s="37"/>
      <c r="R3980" s="37"/>
      <c r="S3980" s="37"/>
      <c r="T3980" s="37"/>
      <c r="U3980" s="37"/>
      <c r="V3980" s="37"/>
      <c r="W3980" s="37"/>
      <c r="X3980" s="37"/>
      <c r="Y3980" s="37"/>
      <c r="Z3980" s="37"/>
      <c r="AA3980" s="37"/>
      <c r="AB3980" s="37"/>
      <c r="AC3980" s="37"/>
      <c r="AD3980" s="37"/>
      <c r="AE3980" s="37"/>
      <c r="AF3980" s="37"/>
      <c r="AG3980" s="37"/>
      <c r="AH3980" s="37"/>
      <c r="AI3980" s="37"/>
      <c r="AJ3980" s="37"/>
      <c r="AK3980" s="37"/>
      <c r="AL3980" s="37"/>
      <c r="AM3980" s="37"/>
      <c r="AN3980" s="37"/>
      <c r="AO3980" s="37"/>
      <c r="AP3980" s="37"/>
      <c r="AQ3980" s="37"/>
      <c r="AR3980" s="37"/>
      <c r="AS3980" s="37"/>
      <c r="AT3980" s="37"/>
      <c r="AU3980" s="37"/>
      <c r="AV3980" s="37"/>
      <c r="AW3980" s="37"/>
      <c r="AX3980" s="37"/>
      <c r="AY3980" s="37"/>
      <c r="AZ3980" s="37"/>
      <c r="BA3980" s="37"/>
      <c r="BB3980" s="37"/>
      <c r="BC3980" s="37"/>
      <c r="BD3980" s="37"/>
      <c r="BE3980" s="37"/>
      <c r="BF3980" s="37"/>
      <c r="BG3980" s="37"/>
      <c r="BH3980" s="37"/>
      <c r="BI3980" s="37"/>
      <c r="BJ3980" s="37"/>
      <c r="BK3980" s="37"/>
      <c r="BL3980" s="37"/>
      <c r="BM3980" s="37"/>
    </row>
    <row r="3981" spans="1:65" s="40" customFormat="1" ht="21" x14ac:dyDescent="0.35">
      <c r="A3981" s="37"/>
      <c r="B3981" s="37"/>
      <c r="C3981" s="41"/>
      <c r="D3981" s="38"/>
      <c r="E3981" s="38"/>
      <c r="F3981" s="42"/>
      <c r="G3981" s="43"/>
      <c r="H3981" s="37"/>
      <c r="I3981" s="37"/>
      <c r="J3981" s="38"/>
      <c r="K3981" s="37"/>
      <c r="L3981" s="38"/>
      <c r="M3981" s="39"/>
      <c r="P3981" s="37"/>
      <c r="Q3981" s="37"/>
      <c r="R3981" s="37"/>
      <c r="S3981" s="37"/>
      <c r="T3981" s="37"/>
      <c r="U3981" s="37"/>
      <c r="V3981" s="37"/>
      <c r="W3981" s="37"/>
      <c r="X3981" s="37"/>
      <c r="Y3981" s="37"/>
      <c r="Z3981" s="37"/>
      <c r="AA3981" s="37"/>
      <c r="AB3981" s="37"/>
      <c r="AC3981" s="37"/>
      <c r="AD3981" s="37"/>
      <c r="AE3981" s="37"/>
      <c r="AF3981" s="37"/>
      <c r="AG3981" s="37"/>
      <c r="AH3981" s="37"/>
      <c r="AI3981" s="37"/>
      <c r="AJ3981" s="37"/>
      <c r="AK3981" s="37"/>
      <c r="AL3981" s="37"/>
      <c r="AM3981" s="37"/>
      <c r="AN3981" s="37"/>
      <c r="AO3981" s="37"/>
      <c r="AP3981" s="37"/>
      <c r="AQ3981" s="37"/>
      <c r="AR3981" s="37"/>
      <c r="AS3981" s="37"/>
      <c r="AT3981" s="37"/>
      <c r="AU3981" s="37"/>
      <c r="AV3981" s="37"/>
      <c r="AW3981" s="37"/>
      <c r="AX3981" s="37"/>
      <c r="AY3981" s="37"/>
      <c r="AZ3981" s="37"/>
      <c r="BA3981" s="37"/>
      <c r="BB3981" s="37"/>
      <c r="BC3981" s="37"/>
      <c r="BD3981" s="37"/>
      <c r="BE3981" s="37"/>
      <c r="BF3981" s="37"/>
      <c r="BG3981" s="37"/>
      <c r="BH3981" s="37"/>
      <c r="BI3981" s="37"/>
      <c r="BJ3981" s="37"/>
      <c r="BK3981" s="37"/>
      <c r="BL3981" s="37"/>
      <c r="BM3981" s="37"/>
    </row>
    <row r="3982" spans="1:65" s="40" customFormat="1" ht="21" x14ac:dyDescent="0.35">
      <c r="A3982" s="37"/>
      <c r="B3982" s="37"/>
      <c r="C3982" s="41"/>
      <c r="D3982" s="38"/>
      <c r="E3982" s="38"/>
      <c r="F3982" s="42"/>
      <c r="G3982" s="43"/>
      <c r="H3982" s="37"/>
      <c r="I3982" s="37"/>
      <c r="J3982" s="38"/>
      <c r="K3982" s="37"/>
      <c r="L3982" s="38"/>
      <c r="M3982" s="39"/>
      <c r="P3982" s="37"/>
      <c r="Q3982" s="37"/>
      <c r="R3982" s="37"/>
      <c r="S3982" s="37"/>
      <c r="T3982" s="37"/>
      <c r="U3982" s="37"/>
      <c r="V3982" s="37"/>
      <c r="W3982" s="37"/>
      <c r="X3982" s="37"/>
      <c r="Y3982" s="37"/>
      <c r="Z3982" s="37"/>
      <c r="AA3982" s="37"/>
      <c r="AB3982" s="37"/>
      <c r="AC3982" s="37"/>
      <c r="AD3982" s="37"/>
      <c r="AE3982" s="37"/>
      <c r="AF3982" s="37"/>
      <c r="AG3982" s="37"/>
      <c r="AH3982" s="37"/>
      <c r="AI3982" s="37"/>
      <c r="AJ3982" s="37"/>
      <c r="AK3982" s="37"/>
      <c r="AL3982" s="37"/>
      <c r="AM3982" s="37"/>
      <c r="AN3982" s="37"/>
      <c r="AO3982" s="37"/>
      <c r="AP3982" s="37"/>
      <c r="AQ3982" s="37"/>
      <c r="AR3982" s="37"/>
      <c r="AS3982" s="37"/>
      <c r="AT3982" s="37"/>
      <c r="AU3982" s="37"/>
      <c r="AV3982" s="37"/>
      <c r="AW3982" s="37"/>
      <c r="AX3982" s="37"/>
      <c r="AY3982" s="37"/>
      <c r="AZ3982" s="37"/>
      <c r="BA3982" s="37"/>
      <c r="BB3982" s="37"/>
      <c r="BC3982" s="37"/>
      <c r="BD3982" s="37"/>
      <c r="BE3982" s="37"/>
      <c r="BF3982" s="37"/>
      <c r="BG3982" s="37"/>
      <c r="BH3982" s="37"/>
      <c r="BI3982" s="37"/>
      <c r="BJ3982" s="37"/>
      <c r="BK3982" s="37"/>
      <c r="BL3982" s="37"/>
      <c r="BM3982" s="37"/>
    </row>
    <row r="3983" spans="1:65" s="40" customFormat="1" ht="21" x14ac:dyDescent="0.35">
      <c r="A3983" s="37"/>
      <c r="B3983" s="37"/>
      <c r="C3983" s="41"/>
      <c r="D3983" s="38"/>
      <c r="E3983" s="38"/>
      <c r="F3983" s="42"/>
      <c r="G3983" s="43"/>
      <c r="H3983" s="37"/>
      <c r="I3983" s="37"/>
      <c r="J3983" s="38"/>
      <c r="K3983" s="37"/>
      <c r="L3983" s="38"/>
      <c r="M3983" s="39"/>
      <c r="P3983" s="37"/>
      <c r="Q3983" s="37"/>
      <c r="R3983" s="37"/>
      <c r="S3983" s="37"/>
      <c r="T3983" s="37"/>
      <c r="U3983" s="37"/>
      <c r="V3983" s="37"/>
      <c r="W3983" s="37"/>
      <c r="X3983" s="37"/>
      <c r="Y3983" s="37"/>
      <c r="Z3983" s="37"/>
      <c r="AA3983" s="37"/>
      <c r="AB3983" s="37"/>
      <c r="AC3983" s="37"/>
      <c r="AD3983" s="37"/>
      <c r="AE3983" s="37"/>
      <c r="AF3983" s="37"/>
      <c r="AG3983" s="37"/>
      <c r="AH3983" s="37"/>
      <c r="AI3983" s="37"/>
      <c r="AJ3983" s="37"/>
      <c r="AK3983" s="37"/>
      <c r="AL3983" s="37"/>
      <c r="AM3983" s="37"/>
      <c r="AN3983" s="37"/>
      <c r="AO3983" s="37"/>
      <c r="AP3983" s="37"/>
      <c r="AQ3983" s="37"/>
      <c r="AR3983" s="37"/>
      <c r="AS3983" s="37"/>
      <c r="AT3983" s="37"/>
      <c r="AU3983" s="37"/>
      <c r="AV3983" s="37"/>
      <c r="AW3983" s="37"/>
      <c r="AX3983" s="37"/>
      <c r="AY3983" s="37"/>
      <c r="AZ3983" s="37"/>
      <c r="BA3983" s="37"/>
      <c r="BB3983" s="37"/>
      <c r="BC3983" s="37"/>
      <c r="BD3983" s="37"/>
      <c r="BE3983" s="37"/>
      <c r="BF3983" s="37"/>
      <c r="BG3983" s="37"/>
      <c r="BH3983" s="37"/>
      <c r="BI3983" s="37"/>
      <c r="BJ3983" s="37"/>
      <c r="BK3983" s="37"/>
      <c r="BL3983" s="37"/>
      <c r="BM3983" s="37"/>
    </row>
    <row r="3984" spans="1:65" s="40" customFormat="1" ht="21" x14ac:dyDescent="0.35">
      <c r="A3984" s="37"/>
      <c r="B3984" s="37"/>
      <c r="C3984" s="41"/>
      <c r="D3984" s="38"/>
      <c r="E3984" s="38"/>
      <c r="F3984" s="42"/>
      <c r="G3984" s="43"/>
      <c r="H3984" s="37"/>
      <c r="I3984" s="37"/>
      <c r="J3984" s="38"/>
      <c r="K3984" s="37"/>
      <c r="L3984" s="38"/>
      <c r="M3984" s="39"/>
      <c r="P3984" s="37"/>
      <c r="Q3984" s="37"/>
      <c r="R3984" s="37"/>
      <c r="S3984" s="37"/>
      <c r="T3984" s="37"/>
      <c r="U3984" s="37"/>
      <c r="V3984" s="37"/>
      <c r="W3984" s="37"/>
      <c r="X3984" s="37"/>
      <c r="Y3984" s="37"/>
      <c r="Z3984" s="37"/>
      <c r="AA3984" s="37"/>
      <c r="AB3984" s="37"/>
      <c r="AC3984" s="37"/>
      <c r="AD3984" s="37"/>
      <c r="AE3984" s="37"/>
      <c r="AF3984" s="37"/>
      <c r="AG3984" s="37"/>
      <c r="AH3984" s="37"/>
      <c r="AI3984" s="37"/>
      <c r="AJ3984" s="37"/>
      <c r="AK3984" s="37"/>
      <c r="AL3984" s="37"/>
      <c r="AM3984" s="37"/>
      <c r="AN3984" s="37"/>
      <c r="AO3984" s="37"/>
      <c r="AP3984" s="37"/>
      <c r="AQ3984" s="37"/>
      <c r="AR3984" s="37"/>
      <c r="AS3984" s="37"/>
      <c r="AT3984" s="37"/>
      <c r="AU3984" s="37"/>
      <c r="AV3984" s="37"/>
      <c r="AW3984" s="37"/>
      <c r="AX3984" s="37"/>
      <c r="AY3984" s="37"/>
      <c r="AZ3984" s="37"/>
      <c r="BA3984" s="37"/>
      <c r="BB3984" s="37"/>
      <c r="BC3984" s="37"/>
      <c r="BD3984" s="37"/>
      <c r="BE3984" s="37"/>
      <c r="BF3984" s="37"/>
      <c r="BG3984" s="37"/>
      <c r="BH3984" s="37"/>
      <c r="BI3984" s="37"/>
      <c r="BJ3984" s="37"/>
      <c r="BK3984" s="37"/>
      <c r="BL3984" s="37"/>
      <c r="BM3984" s="37"/>
    </row>
    <row r="3985" spans="1:65" s="40" customFormat="1" ht="21" x14ac:dyDescent="0.35">
      <c r="A3985" s="37"/>
      <c r="B3985" s="37"/>
      <c r="C3985" s="41"/>
      <c r="D3985" s="38"/>
      <c r="E3985" s="38"/>
      <c r="F3985" s="42"/>
      <c r="G3985" s="43"/>
      <c r="H3985" s="37"/>
      <c r="I3985" s="37"/>
      <c r="J3985" s="38"/>
      <c r="K3985" s="37"/>
      <c r="L3985" s="38"/>
      <c r="M3985" s="39"/>
      <c r="P3985" s="37"/>
      <c r="Q3985" s="37"/>
      <c r="R3985" s="37"/>
      <c r="S3985" s="37"/>
      <c r="T3985" s="37"/>
      <c r="U3985" s="37"/>
      <c r="V3985" s="37"/>
      <c r="W3985" s="37"/>
      <c r="X3985" s="37"/>
      <c r="Y3985" s="37"/>
      <c r="Z3985" s="37"/>
      <c r="AA3985" s="37"/>
      <c r="AB3985" s="37"/>
      <c r="AC3985" s="37"/>
      <c r="AD3985" s="37"/>
      <c r="AE3985" s="37"/>
      <c r="AF3985" s="37"/>
      <c r="AG3985" s="37"/>
      <c r="AH3985" s="37"/>
      <c r="AI3985" s="37"/>
      <c r="AJ3985" s="37"/>
      <c r="AK3985" s="37"/>
      <c r="AL3985" s="37"/>
      <c r="AM3985" s="37"/>
      <c r="AN3985" s="37"/>
      <c r="AO3985" s="37"/>
      <c r="AP3985" s="37"/>
      <c r="AQ3985" s="37"/>
      <c r="AR3985" s="37"/>
      <c r="AS3985" s="37"/>
      <c r="AT3985" s="37"/>
      <c r="AU3985" s="37"/>
      <c r="AV3985" s="37"/>
      <c r="AW3985" s="37"/>
      <c r="AX3985" s="37"/>
      <c r="AY3985" s="37"/>
      <c r="AZ3985" s="37"/>
      <c r="BA3985" s="37"/>
      <c r="BB3985" s="37"/>
      <c r="BC3985" s="37"/>
      <c r="BD3985" s="37"/>
      <c r="BE3985" s="37"/>
      <c r="BF3985" s="37"/>
      <c r="BG3985" s="37"/>
      <c r="BH3985" s="37"/>
      <c r="BI3985" s="37"/>
      <c r="BJ3985" s="37"/>
      <c r="BK3985" s="37"/>
      <c r="BL3985" s="37"/>
      <c r="BM3985" s="37"/>
    </row>
    <row r="3986" spans="1:65" s="40" customFormat="1" ht="21" x14ac:dyDescent="0.35">
      <c r="A3986" s="37"/>
      <c r="B3986" s="37"/>
      <c r="C3986" s="41"/>
      <c r="D3986" s="38"/>
      <c r="E3986" s="38"/>
      <c r="F3986" s="42"/>
      <c r="G3986" s="43"/>
      <c r="H3986" s="37"/>
      <c r="I3986" s="37"/>
      <c r="J3986" s="38"/>
      <c r="K3986" s="37"/>
      <c r="L3986" s="38"/>
      <c r="M3986" s="39"/>
      <c r="P3986" s="37"/>
      <c r="Q3986" s="37"/>
      <c r="R3986" s="37"/>
      <c r="S3986" s="37"/>
      <c r="T3986" s="37"/>
      <c r="U3986" s="37"/>
      <c r="V3986" s="37"/>
      <c r="W3986" s="37"/>
      <c r="X3986" s="37"/>
      <c r="Y3986" s="37"/>
      <c r="Z3986" s="37"/>
      <c r="AA3986" s="37"/>
      <c r="AB3986" s="37"/>
      <c r="AC3986" s="37"/>
      <c r="AD3986" s="37"/>
      <c r="AE3986" s="37"/>
      <c r="AF3986" s="37"/>
      <c r="AG3986" s="37"/>
      <c r="AH3986" s="37"/>
      <c r="AI3986" s="37"/>
      <c r="AJ3986" s="37"/>
      <c r="AK3986" s="37"/>
      <c r="AL3986" s="37"/>
      <c r="AM3986" s="37"/>
      <c r="AN3986" s="37"/>
      <c r="AO3986" s="37"/>
      <c r="AP3986" s="37"/>
      <c r="AQ3986" s="37"/>
      <c r="AR3986" s="37"/>
      <c r="AS3986" s="37"/>
      <c r="AT3986" s="37"/>
      <c r="AU3986" s="37"/>
      <c r="AV3986" s="37"/>
      <c r="AW3986" s="37"/>
      <c r="AX3986" s="37"/>
      <c r="AY3986" s="37"/>
      <c r="AZ3986" s="37"/>
      <c r="BA3986" s="37"/>
      <c r="BB3986" s="37"/>
      <c r="BC3986" s="37"/>
      <c r="BD3986" s="37"/>
      <c r="BE3986" s="37"/>
      <c r="BF3986" s="37"/>
      <c r="BG3986" s="37"/>
      <c r="BH3986" s="37"/>
      <c r="BI3986" s="37"/>
      <c r="BJ3986" s="37"/>
      <c r="BK3986" s="37"/>
      <c r="BL3986" s="37"/>
      <c r="BM3986" s="37"/>
    </row>
    <row r="3987" spans="1:65" s="40" customFormat="1" ht="21" x14ac:dyDescent="0.35">
      <c r="A3987" s="37"/>
      <c r="B3987" s="37"/>
      <c r="C3987" s="41"/>
      <c r="D3987" s="38"/>
      <c r="E3987" s="38"/>
      <c r="F3987" s="42"/>
      <c r="G3987" s="43"/>
      <c r="H3987" s="37"/>
      <c r="I3987" s="37"/>
      <c r="J3987" s="38"/>
      <c r="K3987" s="37"/>
      <c r="L3987" s="38"/>
      <c r="M3987" s="39"/>
      <c r="P3987" s="37"/>
      <c r="Q3987" s="37"/>
      <c r="R3987" s="37"/>
      <c r="S3987" s="37"/>
      <c r="T3987" s="37"/>
      <c r="U3987" s="37"/>
      <c r="V3987" s="37"/>
      <c r="W3987" s="37"/>
      <c r="X3987" s="37"/>
      <c r="Y3987" s="37"/>
      <c r="Z3987" s="37"/>
      <c r="AA3987" s="37"/>
      <c r="AB3987" s="37"/>
      <c r="AC3987" s="37"/>
      <c r="AD3987" s="37"/>
      <c r="AE3987" s="37"/>
      <c r="AF3987" s="37"/>
      <c r="AG3987" s="37"/>
      <c r="AH3987" s="37"/>
      <c r="AI3987" s="37"/>
      <c r="AJ3987" s="37"/>
      <c r="AK3987" s="37"/>
      <c r="AL3987" s="37"/>
      <c r="AM3987" s="37"/>
      <c r="AN3987" s="37"/>
      <c r="AO3987" s="37"/>
      <c r="AP3987" s="37"/>
      <c r="AQ3987" s="37"/>
      <c r="AR3987" s="37"/>
      <c r="AS3987" s="37"/>
      <c r="AT3987" s="37"/>
      <c r="AU3987" s="37"/>
      <c r="AV3987" s="37"/>
      <c r="AW3987" s="37"/>
      <c r="AX3987" s="37"/>
      <c r="AY3987" s="37"/>
      <c r="AZ3987" s="37"/>
      <c r="BA3987" s="37"/>
      <c r="BB3987" s="37"/>
      <c r="BC3987" s="37"/>
      <c r="BD3987" s="37"/>
      <c r="BE3987" s="37"/>
      <c r="BF3987" s="37"/>
      <c r="BG3987" s="37"/>
      <c r="BH3987" s="37"/>
      <c r="BI3987" s="37"/>
      <c r="BJ3987" s="37"/>
      <c r="BK3987" s="37"/>
      <c r="BL3987" s="37"/>
      <c r="BM3987" s="37"/>
    </row>
    <row r="3988" spans="1:65" s="40" customFormat="1" ht="21" x14ac:dyDescent="0.35">
      <c r="A3988" s="37"/>
      <c r="B3988" s="37"/>
      <c r="C3988" s="41"/>
      <c r="D3988" s="38"/>
      <c r="E3988" s="38"/>
      <c r="F3988" s="42"/>
      <c r="G3988" s="43"/>
      <c r="H3988" s="37"/>
      <c r="I3988" s="37"/>
      <c r="J3988" s="38"/>
      <c r="K3988" s="37"/>
      <c r="L3988" s="38"/>
      <c r="M3988" s="39"/>
      <c r="P3988" s="37"/>
      <c r="Q3988" s="37"/>
      <c r="R3988" s="37"/>
      <c r="S3988" s="37"/>
      <c r="T3988" s="37"/>
      <c r="U3988" s="37"/>
      <c r="V3988" s="37"/>
      <c r="W3988" s="37"/>
      <c r="X3988" s="37"/>
      <c r="Y3988" s="37"/>
      <c r="Z3988" s="37"/>
      <c r="AA3988" s="37"/>
      <c r="AB3988" s="37"/>
      <c r="AC3988" s="37"/>
      <c r="AD3988" s="37"/>
      <c r="AE3988" s="37"/>
      <c r="AF3988" s="37"/>
      <c r="AG3988" s="37"/>
      <c r="AH3988" s="37"/>
      <c r="AI3988" s="37"/>
      <c r="AJ3988" s="37"/>
      <c r="AK3988" s="37"/>
      <c r="AL3988" s="37"/>
      <c r="AM3988" s="37"/>
      <c r="AN3988" s="37"/>
      <c r="AO3988" s="37"/>
      <c r="AP3988" s="37"/>
      <c r="AQ3988" s="37"/>
      <c r="AR3988" s="37"/>
      <c r="AS3988" s="37"/>
      <c r="AT3988" s="37"/>
      <c r="AU3988" s="37"/>
      <c r="AV3988" s="37"/>
      <c r="AW3988" s="37"/>
      <c r="AX3988" s="37"/>
      <c r="AY3988" s="37"/>
      <c r="AZ3988" s="37"/>
      <c r="BA3988" s="37"/>
      <c r="BB3988" s="37"/>
      <c r="BC3988" s="37"/>
      <c r="BD3988" s="37"/>
      <c r="BE3988" s="37"/>
      <c r="BF3988" s="37"/>
      <c r="BG3988" s="37"/>
      <c r="BH3988" s="37"/>
      <c r="BI3988" s="37"/>
      <c r="BJ3988" s="37"/>
      <c r="BK3988" s="37"/>
      <c r="BL3988" s="37"/>
      <c r="BM3988" s="37"/>
    </row>
    <row r="3989" spans="1:65" s="40" customFormat="1" ht="21" x14ac:dyDescent="0.35">
      <c r="A3989" s="37"/>
      <c r="B3989" s="37"/>
      <c r="C3989" s="41"/>
      <c r="D3989" s="38"/>
      <c r="E3989" s="38"/>
      <c r="F3989" s="42"/>
      <c r="G3989" s="43"/>
      <c r="H3989" s="37"/>
      <c r="I3989" s="37"/>
      <c r="J3989" s="38"/>
      <c r="K3989" s="37"/>
      <c r="L3989" s="38"/>
      <c r="M3989" s="39"/>
      <c r="P3989" s="37"/>
      <c r="Q3989" s="37"/>
      <c r="R3989" s="37"/>
      <c r="S3989" s="37"/>
      <c r="T3989" s="37"/>
      <c r="U3989" s="37"/>
      <c r="V3989" s="37"/>
      <c r="W3989" s="37"/>
      <c r="X3989" s="37"/>
      <c r="Y3989" s="37"/>
      <c r="Z3989" s="37"/>
      <c r="AA3989" s="37"/>
      <c r="AB3989" s="37"/>
      <c r="AC3989" s="37"/>
      <c r="AD3989" s="37"/>
      <c r="AE3989" s="37"/>
      <c r="AF3989" s="37"/>
      <c r="AG3989" s="37"/>
      <c r="AH3989" s="37"/>
      <c r="AI3989" s="37"/>
      <c r="AJ3989" s="37"/>
      <c r="AK3989" s="37"/>
      <c r="AL3989" s="37"/>
      <c r="AM3989" s="37"/>
      <c r="AN3989" s="37"/>
      <c r="AO3989" s="37"/>
      <c r="AP3989" s="37"/>
      <c r="AQ3989" s="37"/>
      <c r="AR3989" s="37"/>
      <c r="AS3989" s="37"/>
      <c r="AT3989" s="37"/>
      <c r="AU3989" s="37"/>
      <c r="AV3989" s="37"/>
      <c r="AW3989" s="37"/>
      <c r="AX3989" s="37"/>
      <c r="AY3989" s="37"/>
      <c r="AZ3989" s="37"/>
      <c r="BA3989" s="37"/>
      <c r="BB3989" s="37"/>
      <c r="BC3989" s="37"/>
      <c r="BD3989" s="37"/>
      <c r="BE3989" s="37"/>
      <c r="BF3989" s="37"/>
      <c r="BG3989" s="37"/>
      <c r="BH3989" s="37"/>
      <c r="BI3989" s="37"/>
      <c r="BJ3989" s="37"/>
      <c r="BK3989" s="37"/>
      <c r="BL3989" s="37"/>
      <c r="BM3989" s="37"/>
    </row>
    <row r="3990" spans="1:65" s="40" customFormat="1" ht="21" x14ac:dyDescent="0.35">
      <c r="A3990" s="37"/>
      <c r="B3990" s="37"/>
      <c r="C3990" s="41"/>
      <c r="D3990" s="38"/>
      <c r="E3990" s="38"/>
      <c r="F3990" s="42"/>
      <c r="G3990" s="43"/>
      <c r="H3990" s="37"/>
      <c r="I3990" s="37"/>
      <c r="J3990" s="38"/>
      <c r="K3990" s="37"/>
      <c r="L3990" s="38"/>
      <c r="M3990" s="39"/>
      <c r="P3990" s="37"/>
      <c r="Q3990" s="37"/>
      <c r="R3990" s="37"/>
      <c r="S3990" s="37"/>
      <c r="T3990" s="37"/>
      <c r="U3990" s="37"/>
      <c r="V3990" s="37"/>
      <c r="W3990" s="37"/>
      <c r="X3990" s="37"/>
      <c r="Y3990" s="37"/>
      <c r="Z3990" s="37"/>
      <c r="AA3990" s="37"/>
      <c r="AB3990" s="37"/>
      <c r="AC3990" s="37"/>
      <c r="AD3990" s="37"/>
      <c r="AE3990" s="37"/>
      <c r="AF3990" s="37"/>
      <c r="AG3990" s="37"/>
      <c r="AH3990" s="37"/>
      <c r="AI3990" s="37"/>
      <c r="AJ3990" s="37"/>
      <c r="AK3990" s="37"/>
      <c r="AL3990" s="37"/>
      <c r="AM3990" s="37"/>
      <c r="AN3990" s="37"/>
      <c r="AO3990" s="37"/>
      <c r="AP3990" s="37"/>
      <c r="AQ3990" s="37"/>
      <c r="AR3990" s="37"/>
      <c r="AS3990" s="37"/>
      <c r="AT3990" s="37"/>
      <c r="AU3990" s="37"/>
      <c r="AV3990" s="37"/>
      <c r="AW3990" s="37"/>
      <c r="AX3990" s="37"/>
      <c r="AY3990" s="37"/>
      <c r="AZ3990" s="37"/>
      <c r="BA3990" s="37"/>
      <c r="BB3990" s="37"/>
      <c r="BC3990" s="37"/>
      <c r="BD3990" s="37"/>
      <c r="BE3990" s="37"/>
      <c r="BF3990" s="37"/>
      <c r="BG3990" s="37"/>
      <c r="BH3990" s="37"/>
      <c r="BI3990" s="37"/>
      <c r="BJ3990" s="37"/>
      <c r="BK3990" s="37"/>
      <c r="BL3990" s="37"/>
      <c r="BM3990" s="37"/>
    </row>
    <row r="3991" spans="1:65" s="40" customFormat="1" ht="21" x14ac:dyDescent="0.35">
      <c r="A3991" s="37"/>
      <c r="B3991" s="37"/>
      <c r="C3991" s="41"/>
      <c r="D3991" s="38"/>
      <c r="E3991" s="38"/>
      <c r="F3991" s="42"/>
      <c r="G3991" s="43"/>
      <c r="H3991" s="37"/>
      <c r="I3991" s="37"/>
      <c r="J3991" s="38"/>
      <c r="K3991" s="37"/>
      <c r="L3991" s="38"/>
      <c r="M3991" s="39"/>
      <c r="P3991" s="37"/>
      <c r="Q3991" s="37"/>
      <c r="R3991" s="37"/>
      <c r="S3991" s="37"/>
      <c r="T3991" s="37"/>
      <c r="U3991" s="37"/>
      <c r="V3991" s="37"/>
      <c r="W3991" s="37"/>
      <c r="X3991" s="37"/>
      <c r="Y3991" s="37"/>
      <c r="Z3991" s="37"/>
      <c r="AA3991" s="37"/>
      <c r="AB3991" s="37"/>
      <c r="AC3991" s="37"/>
      <c r="AD3991" s="37"/>
      <c r="AE3991" s="37"/>
      <c r="AF3991" s="37"/>
      <c r="AG3991" s="37"/>
      <c r="AH3991" s="37"/>
      <c r="AI3991" s="37"/>
      <c r="AJ3991" s="37"/>
      <c r="AK3991" s="37"/>
      <c r="AL3991" s="37"/>
      <c r="AM3991" s="37"/>
      <c r="AN3991" s="37"/>
      <c r="AO3991" s="37"/>
      <c r="AP3991" s="37"/>
      <c r="AQ3991" s="37"/>
      <c r="AR3991" s="37"/>
      <c r="AS3991" s="37"/>
      <c r="AT3991" s="37"/>
      <c r="AU3991" s="37"/>
      <c r="AV3991" s="37"/>
      <c r="AW3991" s="37"/>
      <c r="AX3991" s="37"/>
      <c r="AY3991" s="37"/>
      <c r="AZ3991" s="37"/>
      <c r="BA3991" s="37"/>
      <c r="BB3991" s="37"/>
      <c r="BC3991" s="37"/>
      <c r="BD3991" s="37"/>
      <c r="BE3991" s="37"/>
      <c r="BF3991" s="37"/>
      <c r="BG3991" s="37"/>
      <c r="BH3991" s="37"/>
      <c r="BI3991" s="37"/>
      <c r="BJ3991" s="37"/>
      <c r="BK3991" s="37"/>
      <c r="BL3991" s="37"/>
      <c r="BM3991" s="37"/>
    </row>
    <row r="3992" spans="1:65" s="40" customFormat="1" ht="21" x14ac:dyDescent="0.35">
      <c r="A3992" s="37"/>
      <c r="B3992" s="37"/>
      <c r="C3992" s="41"/>
      <c r="D3992" s="38"/>
      <c r="E3992" s="38"/>
      <c r="F3992" s="42"/>
      <c r="G3992" s="43"/>
      <c r="H3992" s="37"/>
      <c r="I3992" s="37"/>
      <c r="J3992" s="38"/>
      <c r="K3992" s="37"/>
      <c r="L3992" s="38"/>
      <c r="M3992" s="39"/>
      <c r="P3992" s="37"/>
      <c r="Q3992" s="37"/>
      <c r="R3992" s="37"/>
      <c r="S3992" s="37"/>
      <c r="T3992" s="37"/>
      <c r="U3992" s="37"/>
      <c r="V3992" s="37"/>
      <c r="W3992" s="37"/>
      <c r="X3992" s="37"/>
      <c r="Y3992" s="37"/>
      <c r="Z3992" s="37"/>
      <c r="AA3992" s="37"/>
      <c r="AB3992" s="37"/>
      <c r="AC3992" s="37"/>
      <c r="AD3992" s="37"/>
      <c r="AE3992" s="37"/>
      <c r="AF3992" s="37"/>
      <c r="AG3992" s="37"/>
      <c r="AH3992" s="37"/>
      <c r="AI3992" s="37"/>
      <c r="AJ3992" s="37"/>
      <c r="AK3992" s="37"/>
      <c r="AL3992" s="37"/>
      <c r="AM3992" s="37"/>
      <c r="AN3992" s="37"/>
      <c r="AO3992" s="37"/>
      <c r="AP3992" s="37"/>
      <c r="AQ3992" s="37"/>
      <c r="AR3992" s="37"/>
      <c r="AS3992" s="37"/>
      <c r="AT3992" s="37"/>
      <c r="AU3992" s="37"/>
      <c r="AV3992" s="37"/>
      <c r="AW3992" s="37"/>
      <c r="AX3992" s="37"/>
      <c r="AY3992" s="37"/>
      <c r="AZ3992" s="37"/>
      <c r="BA3992" s="37"/>
      <c r="BB3992" s="37"/>
      <c r="BC3992" s="37"/>
      <c r="BD3992" s="37"/>
      <c r="BE3992" s="37"/>
      <c r="BF3992" s="37"/>
      <c r="BG3992" s="37"/>
      <c r="BH3992" s="37"/>
      <c r="BI3992" s="37"/>
      <c r="BJ3992" s="37"/>
      <c r="BK3992" s="37"/>
      <c r="BL3992" s="37"/>
      <c r="BM3992" s="37"/>
    </row>
    <row r="3993" spans="1:65" s="40" customFormat="1" ht="21" x14ac:dyDescent="0.35">
      <c r="A3993" s="37"/>
      <c r="B3993" s="37"/>
      <c r="C3993" s="41"/>
      <c r="D3993" s="38"/>
      <c r="E3993" s="38"/>
      <c r="F3993" s="42"/>
      <c r="G3993" s="43"/>
      <c r="H3993" s="37"/>
      <c r="I3993" s="37"/>
      <c r="J3993" s="38"/>
      <c r="K3993" s="37"/>
      <c r="L3993" s="38"/>
      <c r="M3993" s="39"/>
      <c r="P3993" s="37"/>
      <c r="Q3993" s="37"/>
      <c r="R3993" s="37"/>
      <c r="S3993" s="37"/>
      <c r="T3993" s="37"/>
      <c r="U3993" s="37"/>
      <c r="V3993" s="37"/>
      <c r="W3993" s="37"/>
      <c r="X3993" s="37"/>
      <c r="Y3993" s="37"/>
      <c r="Z3993" s="37"/>
      <c r="AA3993" s="37"/>
      <c r="AB3993" s="37"/>
      <c r="AC3993" s="37"/>
      <c r="AD3993" s="37"/>
      <c r="AE3993" s="37"/>
      <c r="AF3993" s="37"/>
      <c r="AG3993" s="37"/>
      <c r="AH3993" s="37"/>
      <c r="AI3993" s="37"/>
      <c r="AJ3993" s="37"/>
      <c r="AK3993" s="37"/>
      <c r="AL3993" s="37"/>
      <c r="AM3993" s="37"/>
      <c r="AN3993" s="37"/>
      <c r="AO3993" s="37"/>
      <c r="AP3993" s="37"/>
      <c r="AQ3993" s="37"/>
      <c r="AR3993" s="37"/>
      <c r="AS3993" s="37"/>
      <c r="AT3993" s="37"/>
      <c r="AU3993" s="37"/>
      <c r="AV3993" s="37"/>
      <c r="AW3993" s="37"/>
      <c r="AX3993" s="37"/>
      <c r="AY3993" s="37"/>
      <c r="AZ3993" s="37"/>
      <c r="BA3993" s="37"/>
      <c r="BB3993" s="37"/>
      <c r="BC3993" s="37"/>
      <c r="BD3993" s="37"/>
      <c r="BE3993" s="37"/>
      <c r="BF3993" s="37"/>
      <c r="BG3993" s="37"/>
      <c r="BH3993" s="37"/>
      <c r="BI3993" s="37"/>
      <c r="BJ3993" s="37"/>
      <c r="BK3993" s="37"/>
      <c r="BL3993" s="37"/>
      <c r="BM3993" s="37"/>
    </row>
    <row r="3994" spans="1:65" s="40" customFormat="1" ht="21" x14ac:dyDescent="0.35">
      <c r="A3994" s="37"/>
      <c r="B3994" s="37"/>
      <c r="C3994" s="41"/>
      <c r="D3994" s="38"/>
      <c r="E3994" s="38"/>
      <c r="F3994" s="42"/>
      <c r="G3994" s="43"/>
      <c r="H3994" s="37"/>
      <c r="I3994" s="37"/>
      <c r="J3994" s="38"/>
      <c r="K3994" s="37"/>
      <c r="L3994" s="38"/>
      <c r="M3994" s="39"/>
      <c r="P3994" s="37"/>
      <c r="Q3994" s="37"/>
      <c r="R3994" s="37"/>
      <c r="S3994" s="37"/>
      <c r="T3994" s="37"/>
      <c r="U3994" s="37"/>
      <c r="V3994" s="37"/>
      <c r="W3994" s="37"/>
      <c r="X3994" s="37"/>
      <c r="Y3994" s="37"/>
      <c r="Z3994" s="37"/>
      <c r="AA3994" s="37"/>
      <c r="AB3994" s="37"/>
      <c r="AC3994" s="37"/>
      <c r="AD3994" s="37"/>
      <c r="AE3994" s="37"/>
      <c r="AF3994" s="37"/>
      <c r="AG3994" s="37"/>
      <c r="AH3994" s="37"/>
      <c r="AI3994" s="37"/>
      <c r="AJ3994" s="37"/>
      <c r="AK3994" s="37"/>
      <c r="AL3994" s="37"/>
      <c r="AM3994" s="37"/>
      <c r="AN3994" s="37"/>
      <c r="AO3994" s="37"/>
      <c r="AP3994" s="37"/>
      <c r="AQ3994" s="37"/>
      <c r="AR3994" s="37"/>
      <c r="AS3994" s="37"/>
      <c r="AT3994" s="37"/>
      <c r="AU3994" s="37"/>
      <c r="AV3994" s="37"/>
      <c r="AW3994" s="37"/>
      <c r="AX3994" s="37"/>
      <c r="AY3994" s="37"/>
      <c r="AZ3994" s="37"/>
      <c r="BA3994" s="37"/>
      <c r="BB3994" s="37"/>
      <c r="BC3994" s="37"/>
      <c r="BD3994" s="37"/>
      <c r="BE3994" s="37"/>
      <c r="BF3994" s="37"/>
      <c r="BG3994" s="37"/>
      <c r="BH3994" s="37"/>
      <c r="BI3994" s="37"/>
      <c r="BJ3994" s="37"/>
      <c r="BK3994" s="37"/>
      <c r="BL3994" s="37"/>
      <c r="BM3994" s="37"/>
    </row>
    <row r="3995" spans="1:65" s="40" customFormat="1" ht="21" x14ac:dyDescent="0.35">
      <c r="A3995" s="37"/>
      <c r="B3995" s="37"/>
      <c r="C3995" s="41"/>
      <c r="D3995" s="38"/>
      <c r="E3995" s="38"/>
      <c r="F3995" s="42"/>
      <c r="G3995" s="43"/>
      <c r="H3995" s="37"/>
      <c r="I3995" s="37"/>
      <c r="J3995" s="38"/>
      <c r="K3995" s="37"/>
      <c r="L3995" s="38"/>
      <c r="M3995" s="39"/>
      <c r="P3995" s="37"/>
      <c r="Q3995" s="37"/>
      <c r="R3995" s="37"/>
      <c r="S3995" s="37"/>
      <c r="T3995" s="37"/>
      <c r="U3995" s="37"/>
      <c r="V3995" s="37"/>
      <c r="W3995" s="37"/>
      <c r="X3995" s="37"/>
      <c r="Y3995" s="37"/>
      <c r="Z3995" s="37"/>
      <c r="AA3995" s="37"/>
      <c r="AB3995" s="37"/>
      <c r="AC3995" s="37"/>
      <c r="AD3995" s="37"/>
      <c r="AE3995" s="37"/>
      <c r="AF3995" s="37"/>
      <c r="AG3995" s="37"/>
      <c r="AH3995" s="37"/>
      <c r="AI3995" s="37"/>
      <c r="AJ3995" s="37"/>
      <c r="AK3995" s="37"/>
      <c r="AL3995" s="37"/>
      <c r="AM3995" s="37"/>
      <c r="AN3995" s="37"/>
      <c r="AO3995" s="37"/>
      <c r="AP3995" s="37"/>
      <c r="AQ3995" s="37"/>
      <c r="AR3995" s="37"/>
      <c r="AS3995" s="37"/>
      <c r="AT3995" s="37"/>
      <c r="AU3995" s="37"/>
      <c r="AV3995" s="37"/>
      <c r="AW3995" s="37"/>
      <c r="AX3995" s="37"/>
      <c r="AY3995" s="37"/>
      <c r="AZ3995" s="37"/>
      <c r="BA3995" s="37"/>
      <c r="BB3995" s="37"/>
      <c r="BC3995" s="37"/>
      <c r="BD3995" s="37"/>
      <c r="BE3995" s="37"/>
      <c r="BF3995" s="37"/>
      <c r="BG3995" s="37"/>
      <c r="BH3995" s="37"/>
      <c r="BI3995" s="37"/>
      <c r="BJ3995" s="37"/>
      <c r="BK3995" s="37"/>
      <c r="BL3995" s="37"/>
      <c r="BM3995" s="37"/>
    </row>
    <row r="3996" spans="1:65" s="40" customFormat="1" ht="21" x14ac:dyDescent="0.35">
      <c r="A3996" s="37"/>
      <c r="B3996" s="37"/>
      <c r="C3996" s="41"/>
      <c r="D3996" s="38"/>
      <c r="E3996" s="38"/>
      <c r="F3996" s="42"/>
      <c r="G3996" s="43"/>
      <c r="H3996" s="37"/>
      <c r="I3996" s="37"/>
      <c r="J3996" s="38"/>
      <c r="K3996" s="37"/>
      <c r="L3996" s="38"/>
      <c r="M3996" s="39"/>
      <c r="P3996" s="37"/>
      <c r="Q3996" s="37"/>
      <c r="R3996" s="37"/>
      <c r="S3996" s="37"/>
      <c r="T3996" s="37"/>
      <c r="U3996" s="37"/>
      <c r="V3996" s="37"/>
      <c r="W3996" s="37"/>
      <c r="X3996" s="37"/>
      <c r="Y3996" s="37"/>
      <c r="Z3996" s="37"/>
      <c r="AA3996" s="37"/>
      <c r="AB3996" s="37"/>
      <c r="AC3996" s="37"/>
      <c r="AD3996" s="37"/>
      <c r="AE3996" s="37"/>
      <c r="AF3996" s="37"/>
      <c r="AG3996" s="37"/>
      <c r="AH3996" s="37"/>
      <c r="AI3996" s="37"/>
      <c r="AJ3996" s="37"/>
      <c r="AK3996" s="37"/>
      <c r="AL3996" s="37"/>
      <c r="AM3996" s="37"/>
      <c r="AN3996" s="37"/>
      <c r="AO3996" s="37"/>
      <c r="AP3996" s="37"/>
      <c r="AQ3996" s="37"/>
      <c r="AR3996" s="37"/>
      <c r="AS3996" s="37"/>
      <c r="AT3996" s="37"/>
      <c r="AU3996" s="37"/>
      <c r="AV3996" s="37"/>
      <c r="AW3996" s="37"/>
      <c r="AX3996" s="37"/>
      <c r="AY3996" s="37"/>
      <c r="AZ3996" s="37"/>
      <c r="BA3996" s="37"/>
      <c r="BB3996" s="37"/>
      <c r="BC3996" s="37"/>
      <c r="BD3996" s="37"/>
      <c r="BE3996" s="37"/>
      <c r="BF3996" s="37"/>
      <c r="BG3996" s="37"/>
      <c r="BH3996" s="37"/>
      <c r="BI3996" s="37"/>
      <c r="BJ3996" s="37"/>
      <c r="BK3996" s="37"/>
      <c r="BL3996" s="37"/>
      <c r="BM3996" s="37"/>
    </row>
    <row r="3997" spans="1:65" s="40" customFormat="1" ht="21" x14ac:dyDescent="0.35">
      <c r="A3997" s="37"/>
      <c r="B3997" s="37"/>
      <c r="C3997" s="41"/>
      <c r="D3997" s="38"/>
      <c r="E3997" s="38"/>
      <c r="F3997" s="42"/>
      <c r="G3997" s="43"/>
      <c r="H3997" s="37"/>
      <c r="I3997" s="37"/>
      <c r="J3997" s="38"/>
      <c r="K3997" s="37"/>
      <c r="L3997" s="38"/>
      <c r="M3997" s="39"/>
      <c r="P3997" s="37"/>
      <c r="Q3997" s="37"/>
      <c r="R3997" s="37"/>
      <c r="S3997" s="37"/>
      <c r="T3997" s="37"/>
      <c r="U3997" s="37"/>
      <c r="V3997" s="37"/>
      <c r="W3997" s="37"/>
      <c r="X3997" s="37"/>
      <c r="Y3997" s="37"/>
      <c r="Z3997" s="37"/>
      <c r="AA3997" s="37"/>
      <c r="AB3997" s="37"/>
      <c r="AC3997" s="37"/>
      <c r="AD3997" s="37"/>
      <c r="AE3997" s="37"/>
      <c r="AF3997" s="37"/>
      <c r="AG3997" s="37"/>
      <c r="AH3997" s="37"/>
      <c r="AI3997" s="37"/>
      <c r="AJ3997" s="37"/>
      <c r="AK3997" s="37"/>
      <c r="AL3997" s="37"/>
      <c r="AM3997" s="37"/>
      <c r="AN3997" s="37"/>
      <c r="AO3997" s="37"/>
      <c r="AP3997" s="37"/>
      <c r="AQ3997" s="37"/>
      <c r="AR3997" s="37"/>
      <c r="AS3997" s="37"/>
      <c r="AT3997" s="37"/>
      <c r="AU3997" s="37"/>
      <c r="AV3997" s="37"/>
      <c r="AW3997" s="37"/>
      <c r="AX3997" s="37"/>
      <c r="AY3997" s="37"/>
      <c r="AZ3997" s="37"/>
      <c r="BA3997" s="37"/>
      <c r="BB3997" s="37"/>
      <c r="BC3997" s="37"/>
      <c r="BD3997" s="37"/>
      <c r="BE3997" s="37"/>
      <c r="BF3997" s="37"/>
      <c r="BG3997" s="37"/>
      <c r="BH3997" s="37"/>
      <c r="BI3997" s="37"/>
      <c r="BJ3997" s="37"/>
      <c r="BK3997" s="37"/>
      <c r="BL3997" s="37"/>
      <c r="BM3997" s="37"/>
    </row>
    <row r="3998" spans="1:65" s="40" customFormat="1" ht="21" x14ac:dyDescent="0.35">
      <c r="A3998" s="37"/>
      <c r="B3998" s="37"/>
      <c r="C3998" s="41"/>
      <c r="D3998" s="38"/>
      <c r="E3998" s="38"/>
      <c r="F3998" s="42"/>
      <c r="G3998" s="43"/>
      <c r="H3998" s="37"/>
      <c r="I3998" s="37"/>
      <c r="J3998" s="38"/>
      <c r="K3998" s="37"/>
      <c r="L3998" s="38"/>
      <c r="M3998" s="39"/>
      <c r="P3998" s="37"/>
      <c r="Q3998" s="37"/>
      <c r="R3998" s="37"/>
      <c r="S3998" s="37"/>
      <c r="T3998" s="37"/>
      <c r="U3998" s="37"/>
      <c r="V3998" s="37"/>
      <c r="W3998" s="37"/>
      <c r="X3998" s="37"/>
      <c r="Y3998" s="37"/>
      <c r="Z3998" s="37"/>
      <c r="AA3998" s="37"/>
      <c r="AB3998" s="37"/>
      <c r="AC3998" s="37"/>
      <c r="AD3998" s="37"/>
      <c r="AE3998" s="37"/>
      <c r="AF3998" s="37"/>
      <c r="AG3998" s="37"/>
      <c r="AH3998" s="37"/>
      <c r="AI3998" s="37"/>
      <c r="AJ3998" s="37"/>
      <c r="AK3998" s="37"/>
      <c r="AL3998" s="37"/>
      <c r="AM3998" s="37"/>
      <c r="AN3998" s="37"/>
      <c r="AO3998" s="37"/>
      <c r="AP3998" s="37"/>
      <c r="AQ3998" s="37"/>
      <c r="AR3998" s="37"/>
      <c r="AS3998" s="37"/>
      <c r="AT3998" s="37"/>
      <c r="AU3998" s="37"/>
      <c r="AV3998" s="37"/>
      <c r="AW3998" s="37"/>
      <c r="AX3998" s="37"/>
      <c r="AY3998" s="37"/>
      <c r="AZ3998" s="37"/>
      <c r="BA3998" s="37"/>
      <c r="BB3998" s="37"/>
      <c r="BC3998" s="37"/>
      <c r="BD3998" s="37"/>
      <c r="BE3998" s="37"/>
      <c r="BF3998" s="37"/>
      <c r="BG3998" s="37"/>
      <c r="BH3998" s="37"/>
      <c r="BI3998" s="37"/>
      <c r="BJ3998" s="37"/>
      <c r="BK3998" s="37"/>
      <c r="BL3998" s="37"/>
      <c r="BM3998" s="37"/>
    </row>
    <row r="3999" spans="1:65" s="40" customFormat="1" ht="21" x14ac:dyDescent="0.35">
      <c r="A3999" s="37"/>
      <c r="B3999" s="37"/>
      <c r="C3999" s="41"/>
      <c r="D3999" s="38"/>
      <c r="E3999" s="38"/>
      <c r="F3999" s="42"/>
      <c r="G3999" s="43"/>
      <c r="H3999" s="37"/>
      <c r="I3999" s="37"/>
      <c r="J3999" s="38"/>
      <c r="K3999" s="37"/>
      <c r="L3999" s="38"/>
      <c r="M3999" s="39"/>
      <c r="P3999" s="37"/>
      <c r="Q3999" s="37"/>
      <c r="R3999" s="37"/>
      <c r="S3999" s="37"/>
      <c r="T3999" s="37"/>
      <c r="U3999" s="37"/>
      <c r="V3999" s="37"/>
      <c r="W3999" s="37"/>
      <c r="X3999" s="37"/>
      <c r="Y3999" s="37"/>
      <c r="Z3999" s="37"/>
      <c r="AA3999" s="37"/>
      <c r="AB3999" s="37"/>
      <c r="AC3999" s="37"/>
      <c r="AD3999" s="37"/>
      <c r="AE3999" s="37"/>
      <c r="AF3999" s="37"/>
      <c r="AG3999" s="37"/>
      <c r="AH3999" s="37"/>
      <c r="AI3999" s="37"/>
      <c r="AJ3999" s="37"/>
      <c r="AK3999" s="37"/>
      <c r="AL3999" s="37"/>
      <c r="AM3999" s="37"/>
      <c r="AN3999" s="37"/>
      <c r="AO3999" s="37"/>
      <c r="AP3999" s="37"/>
      <c r="AQ3999" s="37"/>
      <c r="AR3999" s="37"/>
      <c r="AS3999" s="37"/>
      <c r="AT3999" s="37"/>
      <c r="AU3999" s="37"/>
      <c r="AV3999" s="37"/>
      <c r="AW3999" s="37"/>
      <c r="AX3999" s="37"/>
      <c r="AY3999" s="37"/>
      <c r="AZ3999" s="37"/>
      <c r="BA3999" s="37"/>
      <c r="BB3999" s="37"/>
      <c r="BC3999" s="37"/>
      <c r="BD3999" s="37"/>
      <c r="BE3999" s="37"/>
      <c r="BF3999" s="37"/>
      <c r="BG3999" s="37"/>
      <c r="BH3999" s="37"/>
      <c r="BI3999" s="37"/>
      <c r="BJ3999" s="37"/>
      <c r="BK3999" s="37"/>
      <c r="BL3999" s="37"/>
      <c r="BM3999" s="37"/>
    </row>
    <row r="4000" spans="1:65" s="40" customFormat="1" ht="21" x14ac:dyDescent="0.35">
      <c r="A4000" s="37"/>
      <c r="B4000" s="37"/>
      <c r="C4000" s="41"/>
      <c r="D4000" s="38"/>
      <c r="E4000" s="38"/>
      <c r="F4000" s="42"/>
      <c r="G4000" s="43"/>
      <c r="H4000" s="37"/>
      <c r="I4000" s="37"/>
      <c r="J4000" s="38"/>
      <c r="K4000" s="37"/>
      <c r="L4000" s="38"/>
      <c r="M4000" s="39"/>
      <c r="P4000" s="37"/>
      <c r="Q4000" s="37"/>
      <c r="R4000" s="37"/>
      <c r="S4000" s="37"/>
      <c r="T4000" s="37"/>
      <c r="U4000" s="37"/>
      <c r="V4000" s="37"/>
      <c r="W4000" s="37"/>
      <c r="X4000" s="37"/>
      <c r="Y4000" s="37"/>
      <c r="Z4000" s="37"/>
      <c r="AA4000" s="37"/>
      <c r="AB4000" s="37"/>
      <c r="AC4000" s="37"/>
      <c r="AD4000" s="37"/>
      <c r="AE4000" s="37"/>
      <c r="AF4000" s="37"/>
      <c r="AG4000" s="37"/>
      <c r="AH4000" s="37"/>
      <c r="AI4000" s="37"/>
      <c r="AJ4000" s="37"/>
      <c r="AK4000" s="37"/>
      <c r="AL4000" s="37"/>
      <c r="AM4000" s="37"/>
      <c r="AN4000" s="37"/>
      <c r="AO4000" s="37"/>
      <c r="AP4000" s="37"/>
      <c r="AQ4000" s="37"/>
      <c r="AR4000" s="37"/>
      <c r="AS4000" s="37"/>
      <c r="AT4000" s="37"/>
      <c r="AU4000" s="37"/>
      <c r="AV4000" s="37"/>
      <c r="AW4000" s="37"/>
      <c r="AX4000" s="37"/>
      <c r="AY4000" s="37"/>
      <c r="AZ4000" s="37"/>
      <c r="BA4000" s="37"/>
      <c r="BB4000" s="37"/>
      <c r="BC4000" s="37"/>
      <c r="BD4000" s="37"/>
      <c r="BE4000" s="37"/>
      <c r="BF4000" s="37"/>
      <c r="BG4000" s="37"/>
      <c r="BH4000" s="37"/>
      <c r="BI4000" s="37"/>
      <c r="BJ4000" s="37"/>
      <c r="BK4000" s="37"/>
      <c r="BL4000" s="37"/>
      <c r="BM4000" s="37"/>
    </row>
    <row r="4001" spans="1:65" s="40" customFormat="1" ht="21" x14ac:dyDescent="0.35">
      <c r="A4001" s="37"/>
      <c r="B4001" s="37"/>
      <c r="C4001" s="41"/>
      <c r="D4001" s="38"/>
      <c r="E4001" s="38"/>
      <c r="F4001" s="42"/>
      <c r="G4001" s="43"/>
      <c r="H4001" s="37"/>
      <c r="I4001" s="37"/>
      <c r="J4001" s="38"/>
      <c r="K4001" s="37"/>
      <c r="L4001" s="38"/>
      <c r="M4001" s="39"/>
      <c r="P4001" s="37"/>
      <c r="Q4001" s="37"/>
      <c r="R4001" s="37"/>
      <c r="S4001" s="37"/>
      <c r="T4001" s="37"/>
      <c r="U4001" s="37"/>
      <c r="V4001" s="37"/>
      <c r="W4001" s="37"/>
      <c r="X4001" s="37"/>
      <c r="Y4001" s="37"/>
      <c r="Z4001" s="37"/>
      <c r="AA4001" s="37"/>
      <c r="AB4001" s="37"/>
      <c r="AC4001" s="37"/>
      <c r="AD4001" s="37"/>
      <c r="AE4001" s="37"/>
      <c r="AF4001" s="37"/>
      <c r="AG4001" s="37"/>
      <c r="AH4001" s="37"/>
      <c r="AI4001" s="37"/>
      <c r="AJ4001" s="37"/>
      <c r="AK4001" s="37"/>
      <c r="AL4001" s="37"/>
      <c r="AM4001" s="37"/>
      <c r="AN4001" s="37"/>
      <c r="AO4001" s="37"/>
      <c r="AP4001" s="37"/>
      <c r="AQ4001" s="37"/>
      <c r="AR4001" s="37"/>
      <c r="AS4001" s="37"/>
      <c r="AT4001" s="37"/>
      <c r="AU4001" s="37"/>
      <c r="AV4001" s="37"/>
      <c r="AW4001" s="37"/>
      <c r="AX4001" s="37"/>
      <c r="AY4001" s="37"/>
      <c r="AZ4001" s="37"/>
      <c r="BA4001" s="37"/>
      <c r="BB4001" s="37"/>
      <c r="BC4001" s="37"/>
      <c r="BD4001" s="37"/>
      <c r="BE4001" s="37"/>
      <c r="BF4001" s="37"/>
      <c r="BG4001" s="37"/>
      <c r="BH4001" s="37"/>
      <c r="BI4001" s="37"/>
      <c r="BJ4001" s="37"/>
      <c r="BK4001" s="37"/>
      <c r="BL4001" s="37"/>
      <c r="BM4001" s="37"/>
    </row>
    <row r="4002" spans="1:65" s="40" customFormat="1" ht="21" x14ac:dyDescent="0.35">
      <c r="A4002" s="37"/>
      <c r="B4002" s="37"/>
      <c r="C4002" s="41"/>
      <c r="D4002" s="38"/>
      <c r="E4002" s="38"/>
      <c r="F4002" s="42"/>
      <c r="G4002" s="43"/>
      <c r="H4002" s="37"/>
      <c r="I4002" s="37"/>
      <c r="J4002" s="38"/>
      <c r="K4002" s="37"/>
      <c r="L4002" s="38"/>
      <c r="M4002" s="39"/>
      <c r="P4002" s="37"/>
      <c r="Q4002" s="37"/>
      <c r="R4002" s="37"/>
      <c r="S4002" s="37"/>
      <c r="T4002" s="37"/>
      <c r="U4002" s="37"/>
      <c r="V4002" s="37"/>
      <c r="W4002" s="37"/>
      <c r="X4002" s="37"/>
      <c r="Y4002" s="37"/>
      <c r="Z4002" s="37"/>
      <c r="AA4002" s="37"/>
      <c r="AB4002" s="37"/>
      <c r="AC4002" s="37"/>
      <c r="AD4002" s="37"/>
      <c r="AE4002" s="37"/>
      <c r="AF4002" s="37"/>
      <c r="AG4002" s="37"/>
      <c r="AH4002" s="37"/>
      <c r="AI4002" s="37"/>
      <c r="AJ4002" s="37"/>
      <c r="AK4002" s="37"/>
      <c r="AL4002" s="37"/>
      <c r="AM4002" s="37"/>
      <c r="AN4002" s="37"/>
      <c r="AO4002" s="37"/>
      <c r="AP4002" s="37"/>
      <c r="AQ4002" s="37"/>
      <c r="AR4002" s="37"/>
      <c r="AS4002" s="37"/>
      <c r="AT4002" s="37"/>
      <c r="AU4002" s="37"/>
      <c r="AV4002" s="37"/>
      <c r="AW4002" s="37"/>
      <c r="AX4002" s="37"/>
      <c r="AY4002" s="37"/>
      <c r="AZ4002" s="37"/>
      <c r="BA4002" s="37"/>
      <c r="BB4002" s="37"/>
      <c r="BC4002" s="37"/>
      <c r="BD4002" s="37"/>
      <c r="BE4002" s="37"/>
      <c r="BF4002" s="37"/>
      <c r="BG4002" s="37"/>
      <c r="BH4002" s="37"/>
      <c r="BI4002" s="37"/>
      <c r="BJ4002" s="37"/>
      <c r="BK4002" s="37"/>
      <c r="BL4002" s="37"/>
      <c r="BM4002" s="37"/>
    </row>
    <row r="4003" spans="1:65" s="40" customFormat="1" ht="21" x14ac:dyDescent="0.35">
      <c r="A4003" s="37"/>
      <c r="B4003" s="37"/>
      <c r="C4003" s="41"/>
      <c r="D4003" s="38"/>
      <c r="E4003" s="38"/>
      <c r="F4003" s="42"/>
      <c r="G4003" s="43"/>
      <c r="H4003" s="37"/>
      <c r="I4003" s="37"/>
      <c r="J4003" s="38"/>
      <c r="K4003" s="37"/>
      <c r="L4003" s="38"/>
      <c r="M4003" s="39"/>
      <c r="P4003" s="37"/>
      <c r="Q4003" s="37"/>
      <c r="R4003" s="37"/>
      <c r="S4003" s="37"/>
      <c r="T4003" s="37"/>
      <c r="U4003" s="37"/>
      <c r="V4003" s="37"/>
      <c r="W4003" s="37"/>
      <c r="X4003" s="37"/>
      <c r="Y4003" s="37"/>
      <c r="Z4003" s="37"/>
      <c r="AA4003" s="37"/>
      <c r="AB4003" s="37"/>
      <c r="AC4003" s="37"/>
      <c r="AD4003" s="37"/>
      <c r="AE4003" s="37"/>
      <c r="AF4003" s="37"/>
      <c r="AG4003" s="37"/>
      <c r="AH4003" s="37"/>
      <c r="AI4003" s="37"/>
      <c r="AJ4003" s="37"/>
      <c r="AK4003" s="37"/>
      <c r="AL4003" s="37"/>
      <c r="AM4003" s="37"/>
      <c r="AN4003" s="37"/>
      <c r="AO4003" s="37"/>
      <c r="AP4003" s="37"/>
      <c r="AQ4003" s="37"/>
      <c r="AR4003" s="37"/>
      <c r="AS4003" s="37"/>
      <c r="AT4003" s="37"/>
      <c r="AU4003" s="37"/>
      <c r="AV4003" s="37"/>
      <c r="AW4003" s="37"/>
      <c r="AX4003" s="37"/>
      <c r="AY4003" s="37"/>
      <c r="AZ4003" s="37"/>
      <c r="BA4003" s="37"/>
      <c r="BB4003" s="37"/>
      <c r="BC4003" s="37"/>
      <c r="BD4003" s="37"/>
      <c r="BE4003" s="37"/>
      <c r="BF4003" s="37"/>
      <c r="BG4003" s="37"/>
      <c r="BH4003" s="37"/>
      <c r="BI4003" s="37"/>
      <c r="BJ4003" s="37"/>
      <c r="BK4003" s="37"/>
      <c r="BL4003" s="37"/>
      <c r="BM4003" s="37"/>
    </row>
    <row r="4004" spans="1:65" s="40" customFormat="1" ht="21" x14ac:dyDescent="0.35">
      <c r="A4004" s="37"/>
      <c r="B4004" s="37"/>
      <c r="C4004" s="41"/>
      <c r="D4004" s="38"/>
      <c r="E4004" s="38"/>
      <c r="F4004" s="42"/>
      <c r="G4004" s="43"/>
      <c r="H4004" s="37"/>
      <c r="I4004" s="37"/>
      <c r="J4004" s="38"/>
      <c r="K4004" s="37"/>
      <c r="L4004" s="38"/>
      <c r="M4004" s="39"/>
      <c r="P4004" s="37"/>
      <c r="Q4004" s="37"/>
      <c r="R4004" s="37"/>
      <c r="S4004" s="37"/>
      <c r="T4004" s="37"/>
      <c r="U4004" s="37"/>
      <c r="V4004" s="37"/>
      <c r="W4004" s="37"/>
      <c r="X4004" s="37"/>
      <c r="Y4004" s="37"/>
      <c r="Z4004" s="37"/>
      <c r="AA4004" s="37"/>
      <c r="AB4004" s="37"/>
      <c r="AC4004" s="37"/>
      <c r="AD4004" s="37"/>
      <c r="AE4004" s="37"/>
      <c r="AF4004" s="37"/>
      <c r="AG4004" s="37"/>
      <c r="AH4004" s="37"/>
      <c r="AI4004" s="37"/>
      <c r="AJ4004" s="37"/>
      <c r="AK4004" s="37"/>
      <c r="AL4004" s="37"/>
      <c r="AM4004" s="37"/>
      <c r="AN4004" s="37"/>
      <c r="AO4004" s="37"/>
      <c r="AP4004" s="37"/>
      <c r="AQ4004" s="37"/>
      <c r="AR4004" s="37"/>
      <c r="AS4004" s="37"/>
      <c r="AT4004" s="37"/>
      <c r="AU4004" s="37"/>
      <c r="AV4004" s="37"/>
      <c r="AW4004" s="37"/>
      <c r="AX4004" s="37"/>
      <c r="AY4004" s="37"/>
      <c r="AZ4004" s="37"/>
      <c r="BA4004" s="37"/>
      <c r="BB4004" s="37"/>
      <c r="BC4004" s="37"/>
      <c r="BD4004" s="37"/>
      <c r="BE4004" s="37"/>
      <c r="BF4004" s="37"/>
      <c r="BG4004" s="37"/>
      <c r="BH4004" s="37"/>
      <c r="BI4004" s="37"/>
      <c r="BJ4004" s="37"/>
      <c r="BK4004" s="37"/>
      <c r="BL4004" s="37"/>
      <c r="BM4004" s="37"/>
    </row>
    <row r="4005" spans="1:65" s="40" customFormat="1" ht="21" x14ac:dyDescent="0.35">
      <c r="A4005" s="37"/>
      <c r="B4005" s="37"/>
      <c r="C4005" s="41"/>
      <c r="D4005" s="38"/>
      <c r="E4005" s="38"/>
      <c r="F4005" s="42"/>
      <c r="G4005" s="43"/>
      <c r="H4005" s="37"/>
      <c r="I4005" s="37"/>
      <c r="J4005" s="38"/>
      <c r="K4005" s="37"/>
      <c r="L4005" s="38"/>
      <c r="M4005" s="39"/>
      <c r="P4005" s="37"/>
      <c r="Q4005" s="37"/>
      <c r="R4005" s="37"/>
      <c r="S4005" s="37"/>
      <c r="T4005" s="37"/>
      <c r="U4005" s="37"/>
      <c r="V4005" s="37"/>
      <c r="W4005" s="37"/>
      <c r="X4005" s="37"/>
      <c r="Y4005" s="37"/>
      <c r="Z4005" s="37"/>
      <c r="AA4005" s="37"/>
      <c r="AB4005" s="37"/>
      <c r="AC4005" s="37"/>
      <c r="AD4005" s="37"/>
      <c r="AE4005" s="37"/>
      <c r="AF4005" s="37"/>
      <c r="AG4005" s="37"/>
      <c r="AH4005" s="37"/>
      <c r="AI4005" s="37"/>
      <c r="AJ4005" s="37"/>
      <c r="AK4005" s="37"/>
      <c r="AL4005" s="37"/>
      <c r="AM4005" s="37"/>
      <c r="AN4005" s="37"/>
      <c r="AO4005" s="37"/>
      <c r="AP4005" s="37"/>
      <c r="AQ4005" s="37"/>
      <c r="AR4005" s="37"/>
      <c r="AS4005" s="37"/>
      <c r="AT4005" s="37"/>
      <c r="AU4005" s="37"/>
      <c r="AV4005" s="37"/>
      <c r="AW4005" s="37"/>
      <c r="AX4005" s="37"/>
      <c r="AY4005" s="37"/>
      <c r="AZ4005" s="37"/>
      <c r="BA4005" s="37"/>
      <c r="BB4005" s="37"/>
      <c r="BC4005" s="37"/>
      <c r="BD4005" s="37"/>
      <c r="BE4005" s="37"/>
      <c r="BF4005" s="37"/>
      <c r="BG4005" s="37"/>
      <c r="BH4005" s="37"/>
      <c r="BI4005" s="37"/>
      <c r="BJ4005" s="37"/>
      <c r="BK4005" s="37"/>
      <c r="BL4005" s="37"/>
      <c r="BM4005" s="37"/>
    </row>
    <row r="4006" spans="1:65" s="40" customFormat="1" ht="21" x14ac:dyDescent="0.35">
      <c r="A4006" s="37"/>
      <c r="B4006" s="37"/>
      <c r="C4006" s="41"/>
      <c r="D4006" s="38"/>
      <c r="E4006" s="38"/>
      <c r="F4006" s="42"/>
      <c r="G4006" s="43"/>
      <c r="H4006" s="37"/>
      <c r="I4006" s="37"/>
      <c r="J4006" s="38"/>
      <c r="K4006" s="37"/>
      <c r="L4006" s="38"/>
      <c r="M4006" s="39"/>
      <c r="P4006" s="37"/>
      <c r="Q4006" s="37"/>
      <c r="R4006" s="37"/>
      <c r="S4006" s="37"/>
      <c r="T4006" s="37"/>
      <c r="U4006" s="37"/>
      <c r="V4006" s="37"/>
      <c r="W4006" s="37"/>
      <c r="X4006" s="37"/>
      <c r="Y4006" s="37"/>
      <c r="Z4006" s="37"/>
      <c r="AA4006" s="37"/>
      <c r="AB4006" s="37"/>
      <c r="AC4006" s="37"/>
      <c r="AD4006" s="37"/>
      <c r="AE4006" s="37"/>
      <c r="AF4006" s="37"/>
      <c r="AG4006" s="37"/>
      <c r="AH4006" s="37"/>
      <c r="AI4006" s="37"/>
      <c r="AJ4006" s="37"/>
      <c r="AK4006" s="37"/>
      <c r="AL4006" s="37"/>
      <c r="AM4006" s="37"/>
      <c r="AN4006" s="37"/>
      <c r="AO4006" s="37"/>
      <c r="AP4006" s="37"/>
      <c r="AQ4006" s="37"/>
      <c r="AR4006" s="37"/>
      <c r="AS4006" s="37"/>
      <c r="AT4006" s="37"/>
      <c r="AU4006" s="37"/>
      <c r="AV4006" s="37"/>
      <c r="AW4006" s="37"/>
      <c r="AX4006" s="37"/>
      <c r="AY4006" s="37"/>
      <c r="AZ4006" s="37"/>
      <c r="BA4006" s="37"/>
      <c r="BB4006" s="37"/>
      <c r="BC4006" s="37"/>
      <c r="BD4006" s="37"/>
      <c r="BE4006" s="37"/>
      <c r="BF4006" s="37"/>
      <c r="BG4006" s="37"/>
      <c r="BH4006" s="37"/>
      <c r="BI4006" s="37"/>
      <c r="BJ4006" s="37"/>
      <c r="BK4006" s="37"/>
      <c r="BL4006" s="37"/>
      <c r="BM4006" s="37"/>
    </row>
    <row r="4007" spans="1:65" s="40" customFormat="1" ht="21" x14ac:dyDescent="0.35">
      <c r="A4007" s="37"/>
      <c r="B4007" s="37"/>
      <c r="C4007" s="41"/>
      <c r="D4007" s="38"/>
      <c r="E4007" s="38"/>
      <c r="F4007" s="42"/>
      <c r="G4007" s="43"/>
      <c r="H4007" s="37"/>
      <c r="I4007" s="37"/>
      <c r="J4007" s="38"/>
      <c r="K4007" s="37"/>
      <c r="L4007" s="38"/>
      <c r="M4007" s="39"/>
      <c r="P4007" s="37"/>
      <c r="Q4007" s="37"/>
      <c r="R4007" s="37"/>
      <c r="S4007" s="37"/>
      <c r="T4007" s="37"/>
      <c r="U4007" s="37"/>
      <c r="V4007" s="37"/>
      <c r="W4007" s="37"/>
      <c r="X4007" s="37"/>
      <c r="Y4007" s="37"/>
      <c r="Z4007" s="37"/>
      <c r="AA4007" s="37"/>
      <c r="AB4007" s="37"/>
      <c r="AC4007" s="37"/>
      <c r="AD4007" s="37"/>
      <c r="AE4007" s="37"/>
      <c r="AF4007" s="37"/>
      <c r="AG4007" s="37"/>
      <c r="AH4007" s="37"/>
      <c r="AI4007" s="37"/>
      <c r="AJ4007" s="37"/>
      <c r="AK4007" s="37"/>
      <c r="AL4007" s="37"/>
      <c r="AM4007" s="37"/>
      <c r="AN4007" s="37"/>
      <c r="AO4007" s="37"/>
      <c r="AP4007" s="37"/>
      <c r="AQ4007" s="37"/>
      <c r="AR4007" s="37"/>
      <c r="AS4007" s="37"/>
      <c r="AT4007" s="37"/>
      <c r="AU4007" s="37"/>
      <c r="AV4007" s="37"/>
      <c r="AW4007" s="37"/>
      <c r="AX4007" s="37"/>
      <c r="AY4007" s="37"/>
      <c r="AZ4007" s="37"/>
      <c r="BA4007" s="37"/>
      <c r="BB4007" s="37"/>
      <c r="BC4007" s="37"/>
      <c r="BD4007" s="37"/>
      <c r="BE4007" s="37"/>
      <c r="BF4007" s="37"/>
      <c r="BG4007" s="37"/>
      <c r="BH4007" s="37"/>
      <c r="BI4007" s="37"/>
      <c r="BJ4007" s="37"/>
      <c r="BK4007" s="37"/>
      <c r="BL4007" s="37"/>
      <c r="BM4007" s="37"/>
    </row>
    <row r="4008" spans="1:65" s="40" customFormat="1" ht="21" x14ac:dyDescent="0.35">
      <c r="A4008" s="37"/>
      <c r="B4008" s="37"/>
      <c r="C4008" s="41"/>
      <c r="D4008" s="38"/>
      <c r="E4008" s="38"/>
      <c r="F4008" s="42"/>
      <c r="G4008" s="43"/>
      <c r="H4008" s="37"/>
      <c r="I4008" s="37"/>
      <c r="J4008" s="38"/>
      <c r="K4008" s="37"/>
      <c r="L4008" s="38"/>
      <c r="M4008" s="39"/>
      <c r="P4008" s="37"/>
      <c r="Q4008" s="37"/>
      <c r="R4008" s="37"/>
      <c r="S4008" s="37"/>
      <c r="T4008" s="37"/>
      <c r="U4008" s="37"/>
      <c r="V4008" s="37"/>
      <c r="W4008" s="37"/>
      <c r="X4008" s="37"/>
      <c r="Y4008" s="37"/>
      <c r="Z4008" s="37"/>
      <c r="AA4008" s="37"/>
      <c r="AB4008" s="37"/>
      <c r="AC4008" s="37"/>
      <c r="AD4008" s="37"/>
      <c r="AE4008" s="37"/>
      <c r="AF4008" s="37"/>
      <c r="AG4008" s="37"/>
      <c r="AH4008" s="37"/>
      <c r="AI4008" s="37"/>
      <c r="AJ4008" s="37"/>
      <c r="AK4008" s="37"/>
      <c r="AL4008" s="37"/>
      <c r="AM4008" s="37"/>
      <c r="AN4008" s="37"/>
      <c r="AO4008" s="37"/>
      <c r="AP4008" s="37"/>
      <c r="AQ4008" s="37"/>
      <c r="AR4008" s="37"/>
      <c r="AS4008" s="37"/>
      <c r="AT4008" s="37"/>
      <c r="AU4008" s="37"/>
      <c r="AV4008" s="37"/>
      <c r="AW4008" s="37"/>
      <c r="AX4008" s="37"/>
      <c r="AY4008" s="37"/>
      <c r="AZ4008" s="37"/>
      <c r="BA4008" s="37"/>
      <c r="BB4008" s="37"/>
      <c r="BC4008" s="37"/>
      <c r="BD4008" s="37"/>
      <c r="BE4008" s="37"/>
      <c r="BF4008" s="37"/>
      <c r="BG4008" s="37"/>
      <c r="BH4008" s="37"/>
      <c r="BI4008" s="37"/>
      <c r="BJ4008" s="37"/>
      <c r="BK4008" s="37"/>
      <c r="BL4008" s="37"/>
      <c r="BM4008" s="37"/>
    </row>
    <row r="4009" spans="1:65" s="40" customFormat="1" ht="21" x14ac:dyDescent="0.35">
      <c r="A4009" s="37"/>
      <c r="B4009" s="37"/>
      <c r="C4009" s="41"/>
      <c r="D4009" s="38"/>
      <c r="E4009" s="38"/>
      <c r="F4009" s="42"/>
      <c r="G4009" s="43"/>
      <c r="H4009" s="37"/>
      <c r="I4009" s="37"/>
      <c r="J4009" s="38"/>
      <c r="K4009" s="37"/>
      <c r="L4009" s="38"/>
      <c r="M4009" s="39"/>
      <c r="P4009" s="37"/>
      <c r="Q4009" s="37"/>
      <c r="R4009" s="37"/>
      <c r="S4009" s="37"/>
      <c r="T4009" s="37"/>
      <c r="U4009" s="37"/>
      <c r="V4009" s="37"/>
      <c r="W4009" s="37"/>
      <c r="X4009" s="37"/>
      <c r="Y4009" s="37"/>
      <c r="Z4009" s="37"/>
      <c r="AA4009" s="37"/>
      <c r="AB4009" s="37"/>
      <c r="AC4009" s="37"/>
      <c r="AD4009" s="37"/>
      <c r="AE4009" s="37"/>
      <c r="AF4009" s="37"/>
      <c r="AG4009" s="37"/>
      <c r="AH4009" s="37"/>
      <c r="AI4009" s="37"/>
      <c r="AJ4009" s="37"/>
      <c r="AK4009" s="37"/>
      <c r="AL4009" s="37"/>
      <c r="AM4009" s="37"/>
      <c r="AN4009" s="37"/>
      <c r="AO4009" s="37"/>
      <c r="AP4009" s="37"/>
      <c r="AQ4009" s="37"/>
      <c r="AR4009" s="37"/>
      <c r="AS4009" s="37"/>
      <c r="AT4009" s="37"/>
      <c r="AU4009" s="37"/>
      <c r="AV4009" s="37"/>
      <c r="AW4009" s="37"/>
      <c r="AX4009" s="37"/>
      <c r="AY4009" s="37"/>
      <c r="AZ4009" s="37"/>
      <c r="BA4009" s="37"/>
      <c r="BB4009" s="37"/>
      <c r="BC4009" s="37"/>
      <c r="BD4009" s="37"/>
      <c r="BE4009" s="37"/>
      <c r="BF4009" s="37"/>
      <c r="BG4009" s="37"/>
      <c r="BH4009" s="37"/>
      <c r="BI4009" s="37"/>
      <c r="BJ4009" s="37"/>
      <c r="BK4009" s="37"/>
      <c r="BL4009" s="37"/>
      <c r="BM4009" s="37"/>
    </row>
    <row r="4010" spans="1:65" s="40" customFormat="1" ht="21" x14ac:dyDescent="0.35">
      <c r="A4010" s="37"/>
      <c r="B4010" s="37"/>
      <c r="C4010" s="41"/>
      <c r="D4010" s="38"/>
      <c r="E4010" s="38"/>
      <c r="F4010" s="42"/>
      <c r="G4010" s="43"/>
      <c r="H4010" s="37"/>
      <c r="I4010" s="37"/>
      <c r="J4010" s="38"/>
      <c r="K4010" s="37"/>
      <c r="L4010" s="38"/>
      <c r="M4010" s="39"/>
      <c r="P4010" s="37"/>
      <c r="Q4010" s="37"/>
      <c r="R4010" s="37"/>
      <c r="S4010" s="37"/>
      <c r="T4010" s="37"/>
      <c r="U4010" s="37"/>
      <c r="V4010" s="37"/>
      <c r="W4010" s="37"/>
      <c r="X4010" s="37"/>
      <c r="Y4010" s="37"/>
      <c r="Z4010" s="37"/>
      <c r="AA4010" s="37"/>
      <c r="AB4010" s="37"/>
      <c r="AC4010" s="37"/>
      <c r="AD4010" s="37"/>
      <c r="AE4010" s="37"/>
      <c r="AF4010" s="37"/>
      <c r="AG4010" s="37"/>
      <c r="AH4010" s="37"/>
      <c r="AI4010" s="37"/>
      <c r="AJ4010" s="37"/>
      <c r="AK4010" s="37"/>
      <c r="AL4010" s="37"/>
      <c r="AM4010" s="37"/>
      <c r="AN4010" s="37"/>
      <c r="AO4010" s="37"/>
      <c r="AP4010" s="37"/>
      <c r="AQ4010" s="37"/>
      <c r="AR4010" s="37"/>
      <c r="AS4010" s="37"/>
      <c r="AT4010" s="37"/>
      <c r="AU4010" s="37"/>
      <c r="AV4010" s="37"/>
      <c r="AW4010" s="37"/>
      <c r="AX4010" s="37"/>
      <c r="AY4010" s="37"/>
      <c r="AZ4010" s="37"/>
      <c r="BA4010" s="37"/>
      <c r="BB4010" s="37"/>
      <c r="BC4010" s="37"/>
      <c r="BD4010" s="37"/>
      <c r="BE4010" s="37"/>
      <c r="BF4010" s="37"/>
      <c r="BG4010" s="37"/>
      <c r="BH4010" s="37"/>
      <c r="BI4010" s="37"/>
      <c r="BJ4010" s="37"/>
      <c r="BK4010" s="37"/>
      <c r="BL4010" s="37"/>
      <c r="BM4010" s="37"/>
    </row>
    <row r="4011" spans="1:65" s="40" customFormat="1" ht="21" x14ac:dyDescent="0.35">
      <c r="A4011" s="37"/>
      <c r="B4011" s="37"/>
      <c r="C4011" s="41"/>
      <c r="D4011" s="38"/>
      <c r="E4011" s="38"/>
      <c r="F4011" s="42"/>
      <c r="G4011" s="43"/>
      <c r="H4011" s="37"/>
      <c r="I4011" s="37"/>
      <c r="J4011" s="38"/>
      <c r="K4011" s="37"/>
      <c r="L4011" s="38"/>
      <c r="M4011" s="39"/>
      <c r="P4011" s="37"/>
      <c r="Q4011" s="37"/>
      <c r="R4011" s="37"/>
      <c r="S4011" s="37"/>
      <c r="T4011" s="37"/>
      <c r="U4011" s="37"/>
      <c r="V4011" s="37"/>
      <c r="W4011" s="37"/>
      <c r="X4011" s="37"/>
      <c r="Y4011" s="37"/>
      <c r="Z4011" s="37"/>
      <c r="AA4011" s="37"/>
      <c r="AB4011" s="37"/>
      <c r="AC4011" s="37"/>
      <c r="AD4011" s="37"/>
      <c r="AE4011" s="37"/>
      <c r="AF4011" s="37"/>
      <c r="AG4011" s="37"/>
      <c r="AH4011" s="37"/>
      <c r="AI4011" s="37"/>
      <c r="AJ4011" s="37"/>
      <c r="AK4011" s="37"/>
      <c r="AL4011" s="37"/>
      <c r="AM4011" s="37"/>
      <c r="AN4011" s="37"/>
      <c r="AO4011" s="37"/>
      <c r="AP4011" s="37"/>
      <c r="AQ4011" s="37"/>
      <c r="AR4011" s="37"/>
      <c r="AS4011" s="37"/>
      <c r="AT4011" s="37"/>
      <c r="AU4011" s="37"/>
      <c r="AV4011" s="37"/>
      <c r="AW4011" s="37"/>
      <c r="AX4011" s="37"/>
      <c r="AY4011" s="37"/>
      <c r="AZ4011" s="37"/>
      <c r="BA4011" s="37"/>
      <c r="BB4011" s="37"/>
      <c r="BC4011" s="37"/>
      <c r="BD4011" s="37"/>
      <c r="BE4011" s="37"/>
      <c r="BF4011" s="37"/>
      <c r="BG4011" s="37"/>
      <c r="BH4011" s="37"/>
      <c r="BI4011" s="37"/>
      <c r="BJ4011" s="37"/>
      <c r="BK4011" s="37"/>
      <c r="BL4011" s="37"/>
      <c r="BM4011" s="37"/>
    </row>
    <row r="4012" spans="1:65" s="40" customFormat="1" ht="21" x14ac:dyDescent="0.35">
      <c r="A4012" s="37"/>
      <c r="B4012" s="37"/>
      <c r="C4012" s="41"/>
      <c r="D4012" s="38"/>
      <c r="E4012" s="38"/>
      <c r="F4012" s="42"/>
      <c r="G4012" s="43"/>
      <c r="H4012" s="37"/>
      <c r="I4012" s="37"/>
      <c r="J4012" s="38"/>
      <c r="K4012" s="37"/>
      <c r="L4012" s="38"/>
      <c r="M4012" s="39"/>
      <c r="P4012" s="37"/>
      <c r="Q4012" s="37"/>
      <c r="R4012" s="37"/>
      <c r="S4012" s="37"/>
      <c r="T4012" s="37"/>
      <c r="U4012" s="37"/>
      <c r="V4012" s="37"/>
      <c r="W4012" s="37"/>
      <c r="X4012" s="37"/>
      <c r="Y4012" s="37"/>
      <c r="Z4012" s="37"/>
      <c r="AA4012" s="37"/>
      <c r="AB4012" s="37"/>
      <c r="AC4012" s="37"/>
      <c r="AD4012" s="37"/>
      <c r="AE4012" s="37"/>
      <c r="AF4012" s="37"/>
      <c r="AG4012" s="37"/>
      <c r="AH4012" s="37"/>
      <c r="AI4012" s="37"/>
      <c r="AJ4012" s="37"/>
      <c r="AK4012" s="37"/>
      <c r="AL4012" s="37"/>
      <c r="AM4012" s="37"/>
      <c r="AN4012" s="37"/>
      <c r="AO4012" s="37"/>
      <c r="AP4012" s="37"/>
      <c r="AQ4012" s="37"/>
      <c r="AR4012" s="37"/>
      <c r="AS4012" s="37"/>
      <c r="AT4012" s="37"/>
      <c r="AU4012" s="37"/>
      <c r="AV4012" s="37"/>
      <c r="AW4012" s="37"/>
      <c r="AX4012" s="37"/>
      <c r="AY4012" s="37"/>
      <c r="AZ4012" s="37"/>
      <c r="BA4012" s="37"/>
      <c r="BB4012" s="37"/>
      <c r="BC4012" s="37"/>
      <c r="BD4012" s="37"/>
      <c r="BE4012" s="37"/>
      <c r="BF4012" s="37"/>
      <c r="BG4012" s="37"/>
      <c r="BH4012" s="37"/>
      <c r="BI4012" s="37"/>
      <c r="BJ4012" s="37"/>
      <c r="BK4012" s="37"/>
      <c r="BL4012" s="37"/>
      <c r="BM4012" s="37"/>
    </row>
    <row r="4013" spans="1:65" s="40" customFormat="1" ht="21" x14ac:dyDescent="0.35">
      <c r="A4013" s="37"/>
      <c r="B4013" s="37"/>
      <c r="C4013" s="41"/>
      <c r="D4013" s="38"/>
      <c r="E4013" s="38"/>
      <c r="F4013" s="42"/>
      <c r="G4013" s="43"/>
      <c r="H4013" s="37"/>
      <c r="I4013" s="37"/>
      <c r="J4013" s="38"/>
      <c r="K4013" s="37"/>
      <c r="L4013" s="38"/>
      <c r="M4013" s="39"/>
      <c r="P4013" s="37"/>
      <c r="Q4013" s="37"/>
      <c r="R4013" s="37"/>
      <c r="S4013" s="37"/>
      <c r="T4013" s="37"/>
      <c r="U4013" s="37"/>
      <c r="V4013" s="37"/>
      <c r="W4013" s="37"/>
      <c r="X4013" s="37"/>
      <c r="Y4013" s="37"/>
      <c r="Z4013" s="37"/>
      <c r="AA4013" s="37"/>
      <c r="AB4013" s="37"/>
      <c r="AC4013" s="37"/>
      <c r="AD4013" s="37"/>
      <c r="AE4013" s="37"/>
      <c r="AF4013" s="37"/>
      <c r="AG4013" s="37"/>
      <c r="AH4013" s="37"/>
      <c r="AI4013" s="37"/>
      <c r="AJ4013" s="37"/>
      <c r="AK4013" s="37"/>
      <c r="AL4013" s="37"/>
      <c r="AM4013" s="37"/>
      <c r="AN4013" s="37"/>
      <c r="AO4013" s="37"/>
      <c r="AP4013" s="37"/>
      <c r="AQ4013" s="37"/>
      <c r="AR4013" s="37"/>
      <c r="AS4013" s="37"/>
      <c r="AT4013" s="37"/>
      <c r="AU4013" s="37"/>
      <c r="AV4013" s="37"/>
      <c r="AW4013" s="37"/>
      <c r="AX4013" s="37"/>
      <c r="AY4013" s="37"/>
      <c r="AZ4013" s="37"/>
      <c r="BA4013" s="37"/>
      <c r="BB4013" s="37"/>
      <c r="BC4013" s="37"/>
      <c r="BD4013" s="37"/>
      <c r="BE4013" s="37"/>
      <c r="BF4013" s="37"/>
      <c r="BG4013" s="37"/>
      <c r="BH4013" s="37"/>
      <c r="BI4013" s="37"/>
      <c r="BJ4013" s="37"/>
      <c r="BK4013" s="37"/>
      <c r="BL4013" s="37"/>
      <c r="BM4013" s="37"/>
    </row>
    <row r="4014" spans="1:65" s="40" customFormat="1" ht="21" x14ac:dyDescent="0.35">
      <c r="A4014" s="37"/>
      <c r="B4014" s="37"/>
      <c r="C4014" s="41"/>
      <c r="D4014" s="38"/>
      <c r="E4014" s="38"/>
      <c r="F4014" s="42"/>
      <c r="G4014" s="43"/>
      <c r="H4014" s="37"/>
      <c r="I4014" s="37"/>
      <c r="J4014" s="38"/>
      <c r="K4014" s="37"/>
      <c r="L4014" s="38"/>
      <c r="M4014" s="39"/>
      <c r="P4014" s="37"/>
      <c r="Q4014" s="37"/>
      <c r="R4014" s="37"/>
      <c r="S4014" s="37"/>
      <c r="T4014" s="37"/>
      <c r="U4014" s="37"/>
      <c r="V4014" s="37"/>
      <c r="W4014" s="37"/>
      <c r="X4014" s="37"/>
      <c r="Y4014" s="37"/>
      <c r="Z4014" s="37"/>
      <c r="AA4014" s="37"/>
      <c r="AB4014" s="37"/>
      <c r="AC4014" s="37"/>
      <c r="AD4014" s="37"/>
      <c r="AE4014" s="37"/>
      <c r="AF4014" s="37"/>
      <c r="AG4014" s="37"/>
      <c r="AH4014" s="37"/>
      <c r="AI4014" s="37"/>
      <c r="AJ4014" s="37"/>
      <c r="AK4014" s="37"/>
      <c r="AL4014" s="37"/>
      <c r="AM4014" s="37"/>
      <c r="AN4014" s="37"/>
      <c r="AO4014" s="37"/>
      <c r="AP4014" s="37"/>
      <c r="AQ4014" s="37"/>
      <c r="AR4014" s="37"/>
      <c r="AS4014" s="37"/>
      <c r="AT4014" s="37"/>
      <c r="AU4014" s="37"/>
      <c r="AV4014" s="37"/>
      <c r="AW4014" s="37"/>
      <c r="AX4014" s="37"/>
      <c r="AY4014" s="37"/>
      <c r="AZ4014" s="37"/>
      <c r="BA4014" s="37"/>
      <c r="BB4014" s="37"/>
      <c r="BC4014" s="37"/>
      <c r="BD4014" s="37"/>
      <c r="BE4014" s="37"/>
      <c r="BF4014" s="37"/>
      <c r="BG4014" s="37"/>
      <c r="BH4014" s="37"/>
      <c r="BI4014" s="37"/>
      <c r="BJ4014" s="37"/>
      <c r="BK4014" s="37"/>
      <c r="BL4014" s="37"/>
      <c r="BM4014" s="37"/>
    </row>
    <row r="4015" spans="1:65" s="40" customFormat="1" ht="21" x14ac:dyDescent="0.35">
      <c r="A4015" s="37"/>
      <c r="B4015" s="37"/>
      <c r="C4015" s="41"/>
      <c r="D4015" s="38"/>
      <c r="E4015" s="38"/>
      <c r="F4015" s="42"/>
      <c r="G4015" s="43"/>
      <c r="H4015" s="37"/>
      <c r="I4015" s="37"/>
      <c r="J4015" s="38"/>
      <c r="K4015" s="37"/>
      <c r="L4015" s="38"/>
      <c r="M4015" s="39"/>
      <c r="P4015" s="37"/>
      <c r="Q4015" s="37"/>
      <c r="R4015" s="37"/>
      <c r="S4015" s="37"/>
      <c r="T4015" s="37"/>
      <c r="U4015" s="37"/>
      <c r="V4015" s="37"/>
      <c r="W4015" s="37"/>
      <c r="X4015" s="37"/>
      <c r="Y4015" s="37"/>
      <c r="Z4015" s="37"/>
      <c r="AA4015" s="37"/>
      <c r="AB4015" s="37"/>
      <c r="AC4015" s="37"/>
      <c r="AD4015" s="37"/>
      <c r="AE4015" s="37"/>
      <c r="AF4015" s="37"/>
      <c r="AG4015" s="37"/>
      <c r="AH4015" s="37"/>
      <c r="AI4015" s="37"/>
      <c r="AJ4015" s="37"/>
      <c r="AK4015" s="37"/>
      <c r="AL4015" s="37"/>
      <c r="AM4015" s="37"/>
      <c r="AN4015" s="37"/>
      <c r="AO4015" s="37"/>
      <c r="AP4015" s="37"/>
      <c r="AQ4015" s="37"/>
      <c r="AR4015" s="37"/>
      <c r="AS4015" s="37"/>
      <c r="AT4015" s="37"/>
      <c r="AU4015" s="37"/>
      <c r="AV4015" s="37"/>
      <c r="AW4015" s="37"/>
      <c r="AX4015" s="37"/>
      <c r="AY4015" s="37"/>
      <c r="AZ4015" s="37"/>
      <c r="BA4015" s="37"/>
      <c r="BB4015" s="37"/>
      <c r="BC4015" s="37"/>
      <c r="BD4015" s="37"/>
      <c r="BE4015" s="37"/>
      <c r="BF4015" s="37"/>
      <c r="BG4015" s="37"/>
      <c r="BH4015" s="37"/>
      <c r="BI4015" s="37"/>
      <c r="BJ4015" s="37"/>
      <c r="BK4015" s="37"/>
      <c r="BL4015" s="37"/>
      <c r="BM4015" s="37"/>
    </row>
    <row r="4016" spans="1:65" s="40" customFormat="1" ht="21" x14ac:dyDescent="0.35">
      <c r="A4016" s="37"/>
      <c r="B4016" s="37"/>
      <c r="C4016" s="41"/>
      <c r="D4016" s="38"/>
      <c r="E4016" s="38"/>
      <c r="F4016" s="42"/>
      <c r="G4016" s="43"/>
      <c r="H4016" s="37"/>
      <c r="I4016" s="37"/>
      <c r="J4016" s="38"/>
      <c r="K4016" s="37"/>
      <c r="L4016" s="38"/>
      <c r="M4016" s="39"/>
      <c r="P4016" s="37"/>
      <c r="Q4016" s="37"/>
      <c r="R4016" s="37"/>
      <c r="S4016" s="37"/>
      <c r="T4016" s="37"/>
      <c r="U4016" s="37"/>
      <c r="V4016" s="37"/>
      <c r="W4016" s="37"/>
      <c r="X4016" s="37"/>
      <c r="Y4016" s="37"/>
      <c r="Z4016" s="37"/>
      <c r="AA4016" s="37"/>
      <c r="AB4016" s="37"/>
      <c r="AC4016" s="37"/>
      <c r="AD4016" s="37"/>
      <c r="AE4016" s="37"/>
      <c r="AF4016" s="37"/>
      <c r="AG4016" s="37"/>
      <c r="AH4016" s="37"/>
      <c r="AI4016" s="37"/>
      <c r="AJ4016" s="37"/>
      <c r="AK4016" s="37"/>
      <c r="AL4016" s="37"/>
      <c r="AM4016" s="37"/>
      <c r="AN4016" s="37"/>
      <c r="AO4016" s="37"/>
      <c r="AP4016" s="37"/>
      <c r="AQ4016" s="37"/>
      <c r="AR4016" s="37"/>
      <c r="AS4016" s="37"/>
      <c r="AT4016" s="37"/>
      <c r="AU4016" s="37"/>
      <c r="AV4016" s="37"/>
      <c r="AW4016" s="37"/>
      <c r="AX4016" s="37"/>
      <c r="AY4016" s="37"/>
      <c r="AZ4016" s="37"/>
      <c r="BA4016" s="37"/>
      <c r="BB4016" s="37"/>
      <c r="BC4016" s="37"/>
      <c r="BD4016" s="37"/>
      <c r="BE4016" s="37"/>
      <c r="BF4016" s="37"/>
      <c r="BG4016" s="37"/>
      <c r="BH4016" s="37"/>
      <c r="BI4016" s="37"/>
      <c r="BJ4016" s="37"/>
      <c r="BK4016" s="37"/>
      <c r="BL4016" s="37"/>
      <c r="BM4016" s="37"/>
    </row>
    <row r="4017" spans="1:65" s="40" customFormat="1" ht="21" x14ac:dyDescent="0.35">
      <c r="A4017" s="37"/>
      <c r="B4017" s="37"/>
      <c r="C4017" s="41"/>
      <c r="D4017" s="38"/>
      <c r="E4017" s="38"/>
      <c r="F4017" s="42"/>
      <c r="G4017" s="43"/>
      <c r="H4017" s="37"/>
      <c r="I4017" s="37"/>
      <c r="J4017" s="38"/>
      <c r="K4017" s="37"/>
      <c r="L4017" s="38"/>
      <c r="M4017" s="39"/>
      <c r="P4017" s="37"/>
      <c r="Q4017" s="37"/>
      <c r="R4017" s="37"/>
      <c r="S4017" s="37"/>
      <c r="T4017" s="37"/>
      <c r="U4017" s="37"/>
      <c r="V4017" s="37"/>
      <c r="W4017" s="37"/>
      <c r="X4017" s="37"/>
      <c r="Y4017" s="37"/>
      <c r="Z4017" s="37"/>
      <c r="AA4017" s="37"/>
      <c r="AB4017" s="37"/>
      <c r="AC4017" s="37"/>
      <c r="AD4017" s="37"/>
      <c r="AE4017" s="37"/>
      <c r="AF4017" s="37"/>
      <c r="AG4017" s="37"/>
      <c r="AH4017" s="37"/>
      <c r="AI4017" s="37"/>
      <c r="AJ4017" s="37"/>
      <c r="AK4017" s="37"/>
      <c r="AL4017" s="37"/>
      <c r="AM4017" s="37"/>
      <c r="AN4017" s="37"/>
      <c r="AO4017" s="37"/>
      <c r="AP4017" s="37"/>
      <c r="AQ4017" s="37"/>
      <c r="AR4017" s="37"/>
      <c r="AS4017" s="37"/>
      <c r="AT4017" s="37"/>
      <c r="AU4017" s="37"/>
      <c r="AV4017" s="37"/>
      <c r="AW4017" s="37"/>
      <c r="AX4017" s="37"/>
      <c r="AY4017" s="37"/>
      <c r="AZ4017" s="37"/>
      <c r="BA4017" s="37"/>
      <c r="BB4017" s="37"/>
      <c r="BC4017" s="37"/>
      <c r="BD4017" s="37"/>
      <c r="BE4017" s="37"/>
      <c r="BF4017" s="37"/>
      <c r="BG4017" s="37"/>
      <c r="BH4017" s="37"/>
      <c r="BI4017" s="37"/>
      <c r="BJ4017" s="37"/>
      <c r="BK4017" s="37"/>
      <c r="BL4017" s="37"/>
      <c r="BM4017" s="37"/>
    </row>
    <row r="4018" spans="1:65" s="40" customFormat="1" ht="21" x14ac:dyDescent="0.35">
      <c r="A4018" s="37"/>
      <c r="B4018" s="37"/>
      <c r="C4018" s="41"/>
      <c r="D4018" s="38"/>
      <c r="E4018" s="38"/>
      <c r="F4018" s="42"/>
      <c r="G4018" s="43"/>
      <c r="H4018" s="37"/>
      <c r="I4018" s="37"/>
      <c r="J4018" s="38"/>
      <c r="K4018" s="37"/>
      <c r="L4018" s="38"/>
      <c r="M4018" s="39"/>
      <c r="P4018" s="37"/>
      <c r="Q4018" s="37"/>
      <c r="R4018" s="37"/>
      <c r="S4018" s="37"/>
      <c r="T4018" s="37"/>
      <c r="U4018" s="37"/>
      <c r="V4018" s="37"/>
      <c r="W4018" s="37"/>
      <c r="X4018" s="37"/>
      <c r="Y4018" s="37"/>
      <c r="Z4018" s="37"/>
      <c r="AA4018" s="37"/>
      <c r="AB4018" s="37"/>
      <c r="AC4018" s="37"/>
      <c r="AD4018" s="37"/>
      <c r="AE4018" s="37"/>
      <c r="AF4018" s="37"/>
      <c r="AG4018" s="37"/>
      <c r="AH4018" s="37"/>
      <c r="AI4018" s="37"/>
      <c r="AJ4018" s="37"/>
      <c r="AK4018" s="37"/>
      <c r="AL4018" s="37"/>
      <c r="AM4018" s="37"/>
      <c r="AN4018" s="37"/>
      <c r="AO4018" s="37"/>
      <c r="AP4018" s="37"/>
      <c r="AQ4018" s="37"/>
      <c r="AR4018" s="37"/>
      <c r="AS4018" s="37"/>
      <c r="AT4018" s="37"/>
      <c r="AU4018" s="37"/>
      <c r="AV4018" s="37"/>
      <c r="AW4018" s="37"/>
      <c r="AX4018" s="37"/>
      <c r="AY4018" s="37"/>
      <c r="AZ4018" s="37"/>
      <c r="BA4018" s="37"/>
      <c r="BB4018" s="37"/>
      <c r="BC4018" s="37"/>
      <c r="BD4018" s="37"/>
      <c r="BE4018" s="37"/>
      <c r="BF4018" s="37"/>
      <c r="BG4018" s="37"/>
      <c r="BH4018" s="37"/>
      <c r="BI4018" s="37"/>
      <c r="BJ4018" s="37"/>
      <c r="BK4018" s="37"/>
      <c r="BL4018" s="37"/>
      <c r="BM4018" s="37"/>
    </row>
    <row r="4019" spans="1:65" s="40" customFormat="1" ht="21" x14ac:dyDescent="0.35">
      <c r="A4019" s="37"/>
      <c r="B4019" s="37"/>
      <c r="C4019" s="41"/>
      <c r="D4019" s="38"/>
      <c r="E4019" s="38"/>
      <c r="F4019" s="42"/>
      <c r="G4019" s="43"/>
      <c r="H4019" s="37"/>
      <c r="I4019" s="37"/>
      <c r="J4019" s="38"/>
      <c r="K4019" s="37"/>
      <c r="L4019" s="38"/>
      <c r="M4019" s="39"/>
      <c r="P4019" s="37"/>
      <c r="Q4019" s="37"/>
      <c r="R4019" s="37"/>
      <c r="S4019" s="37"/>
      <c r="T4019" s="37"/>
      <c r="U4019" s="37"/>
      <c r="V4019" s="37"/>
      <c r="W4019" s="37"/>
      <c r="X4019" s="37"/>
      <c r="Y4019" s="37"/>
      <c r="Z4019" s="37"/>
      <c r="AA4019" s="37"/>
      <c r="AB4019" s="37"/>
      <c r="AC4019" s="37"/>
      <c r="AD4019" s="37"/>
      <c r="AE4019" s="37"/>
      <c r="AF4019" s="37"/>
      <c r="AG4019" s="37"/>
      <c r="AH4019" s="37"/>
      <c r="AI4019" s="37"/>
      <c r="AJ4019" s="37"/>
      <c r="AK4019" s="37"/>
      <c r="AL4019" s="37"/>
      <c r="AM4019" s="37"/>
      <c r="AN4019" s="37"/>
      <c r="AO4019" s="37"/>
      <c r="AP4019" s="37"/>
      <c r="AQ4019" s="37"/>
      <c r="AR4019" s="37"/>
      <c r="AS4019" s="37"/>
      <c r="AT4019" s="37"/>
      <c r="AU4019" s="37"/>
      <c r="AV4019" s="37"/>
      <c r="AW4019" s="37"/>
      <c r="AX4019" s="37"/>
      <c r="AY4019" s="37"/>
      <c r="AZ4019" s="37"/>
      <c r="BA4019" s="37"/>
      <c r="BB4019" s="37"/>
      <c r="BC4019" s="37"/>
      <c r="BD4019" s="37"/>
      <c r="BE4019" s="37"/>
      <c r="BF4019" s="37"/>
      <c r="BG4019" s="37"/>
      <c r="BH4019" s="37"/>
      <c r="BI4019" s="37"/>
      <c r="BJ4019" s="37"/>
      <c r="BK4019" s="37"/>
      <c r="BL4019" s="37"/>
      <c r="BM4019" s="37"/>
    </row>
    <row r="4020" spans="1:65" s="40" customFormat="1" ht="21" x14ac:dyDescent="0.35">
      <c r="A4020" s="37"/>
      <c r="B4020" s="37"/>
      <c r="C4020" s="41"/>
      <c r="D4020" s="38"/>
      <c r="E4020" s="38"/>
      <c r="F4020" s="42"/>
      <c r="G4020" s="43"/>
      <c r="H4020" s="37"/>
      <c r="I4020" s="37"/>
      <c r="J4020" s="38"/>
      <c r="K4020" s="37"/>
      <c r="L4020" s="38"/>
      <c r="M4020" s="39"/>
      <c r="P4020" s="37"/>
      <c r="Q4020" s="37"/>
      <c r="R4020" s="37"/>
      <c r="S4020" s="37"/>
      <c r="T4020" s="37"/>
      <c r="U4020" s="37"/>
      <c r="V4020" s="37"/>
      <c r="W4020" s="37"/>
      <c r="X4020" s="37"/>
      <c r="Y4020" s="37"/>
      <c r="Z4020" s="37"/>
      <c r="AA4020" s="37"/>
      <c r="AB4020" s="37"/>
      <c r="AC4020" s="37"/>
      <c r="AD4020" s="37"/>
      <c r="AE4020" s="37"/>
      <c r="AF4020" s="37"/>
      <c r="AG4020" s="37"/>
      <c r="AH4020" s="37"/>
      <c r="AI4020" s="37"/>
      <c r="AJ4020" s="37"/>
      <c r="AK4020" s="37"/>
      <c r="AL4020" s="37"/>
      <c r="AM4020" s="37"/>
      <c r="AN4020" s="37"/>
      <c r="AO4020" s="37"/>
      <c r="AP4020" s="37"/>
      <c r="AQ4020" s="37"/>
      <c r="AR4020" s="37"/>
      <c r="AS4020" s="37"/>
      <c r="AT4020" s="37"/>
      <c r="AU4020" s="37"/>
      <c r="AV4020" s="37"/>
      <c r="AW4020" s="37"/>
      <c r="AX4020" s="37"/>
      <c r="AY4020" s="37"/>
      <c r="AZ4020" s="37"/>
      <c r="BA4020" s="37"/>
      <c r="BB4020" s="37"/>
      <c r="BC4020" s="37"/>
      <c r="BD4020" s="37"/>
      <c r="BE4020" s="37"/>
      <c r="BF4020" s="37"/>
      <c r="BG4020" s="37"/>
      <c r="BH4020" s="37"/>
      <c r="BI4020" s="37"/>
      <c r="BJ4020" s="37"/>
      <c r="BK4020" s="37"/>
      <c r="BL4020" s="37"/>
      <c r="BM4020" s="37"/>
    </row>
    <row r="4021" spans="1:65" s="40" customFormat="1" ht="21" x14ac:dyDescent="0.35">
      <c r="A4021" s="37"/>
      <c r="B4021" s="37"/>
      <c r="C4021" s="41"/>
      <c r="D4021" s="38"/>
      <c r="E4021" s="38"/>
      <c r="F4021" s="42"/>
      <c r="G4021" s="43"/>
      <c r="H4021" s="37"/>
      <c r="I4021" s="37"/>
      <c r="J4021" s="38"/>
      <c r="K4021" s="37"/>
      <c r="L4021" s="38"/>
      <c r="M4021" s="39"/>
      <c r="P4021" s="37"/>
      <c r="Q4021" s="37"/>
      <c r="R4021" s="37"/>
      <c r="S4021" s="37"/>
      <c r="T4021" s="37"/>
      <c r="U4021" s="37"/>
      <c r="V4021" s="37"/>
      <c r="W4021" s="37"/>
      <c r="X4021" s="37"/>
      <c r="Y4021" s="37"/>
      <c r="Z4021" s="37"/>
      <c r="AA4021" s="37"/>
      <c r="AB4021" s="37"/>
      <c r="AC4021" s="37"/>
      <c r="AD4021" s="37"/>
      <c r="AE4021" s="37"/>
      <c r="AF4021" s="37"/>
      <c r="AG4021" s="37"/>
      <c r="AH4021" s="37"/>
      <c r="AI4021" s="37"/>
      <c r="AJ4021" s="37"/>
      <c r="AK4021" s="37"/>
      <c r="AL4021" s="37"/>
      <c r="AM4021" s="37"/>
      <c r="AN4021" s="37"/>
      <c r="AO4021" s="37"/>
      <c r="AP4021" s="37"/>
      <c r="AQ4021" s="37"/>
      <c r="AR4021" s="37"/>
      <c r="AS4021" s="37"/>
      <c r="AT4021" s="37"/>
      <c r="AU4021" s="37"/>
      <c r="AV4021" s="37"/>
      <c r="AW4021" s="37"/>
      <c r="AX4021" s="37"/>
      <c r="AY4021" s="37"/>
      <c r="AZ4021" s="37"/>
      <c r="BA4021" s="37"/>
      <c r="BB4021" s="37"/>
      <c r="BC4021" s="37"/>
      <c r="BD4021" s="37"/>
      <c r="BE4021" s="37"/>
      <c r="BF4021" s="37"/>
      <c r="BG4021" s="37"/>
      <c r="BH4021" s="37"/>
      <c r="BI4021" s="37"/>
      <c r="BJ4021" s="37"/>
      <c r="BK4021" s="37"/>
      <c r="BL4021" s="37"/>
      <c r="BM4021" s="37"/>
    </row>
    <row r="4022" spans="1:65" s="40" customFormat="1" ht="21" x14ac:dyDescent="0.35">
      <c r="A4022" s="37"/>
      <c r="B4022" s="37"/>
      <c r="C4022" s="41"/>
      <c r="D4022" s="38"/>
      <c r="E4022" s="38"/>
      <c r="F4022" s="42"/>
      <c r="G4022" s="43"/>
      <c r="H4022" s="37"/>
      <c r="I4022" s="37"/>
      <c r="J4022" s="38"/>
      <c r="K4022" s="37"/>
      <c r="L4022" s="38"/>
      <c r="M4022" s="39"/>
      <c r="P4022" s="37"/>
      <c r="Q4022" s="37"/>
      <c r="R4022" s="37"/>
      <c r="S4022" s="37"/>
      <c r="T4022" s="37"/>
      <c r="U4022" s="37"/>
      <c r="V4022" s="37"/>
      <c r="W4022" s="37"/>
      <c r="X4022" s="37"/>
      <c r="Y4022" s="37"/>
      <c r="Z4022" s="37"/>
      <c r="AA4022" s="37"/>
      <c r="AB4022" s="37"/>
      <c r="AC4022" s="37"/>
      <c r="AD4022" s="37"/>
      <c r="AE4022" s="37"/>
      <c r="AF4022" s="37"/>
      <c r="AG4022" s="37"/>
      <c r="AH4022" s="37"/>
      <c r="AI4022" s="37"/>
      <c r="AJ4022" s="37"/>
      <c r="AK4022" s="37"/>
      <c r="AL4022" s="37"/>
      <c r="AM4022" s="37"/>
      <c r="AN4022" s="37"/>
      <c r="AO4022" s="37"/>
      <c r="AP4022" s="37"/>
      <c r="AQ4022" s="37"/>
      <c r="AR4022" s="37"/>
      <c r="AS4022" s="37"/>
      <c r="AT4022" s="37"/>
      <c r="AU4022" s="37"/>
      <c r="AV4022" s="37"/>
      <c r="AW4022" s="37"/>
      <c r="AX4022" s="37"/>
      <c r="AY4022" s="37"/>
      <c r="AZ4022" s="37"/>
      <c r="BA4022" s="37"/>
      <c r="BB4022" s="37"/>
      <c r="BC4022" s="37"/>
      <c r="BD4022" s="37"/>
      <c r="BE4022" s="37"/>
      <c r="BF4022" s="37"/>
      <c r="BG4022" s="37"/>
      <c r="BH4022" s="37"/>
      <c r="BI4022" s="37"/>
      <c r="BJ4022" s="37"/>
      <c r="BK4022" s="37"/>
      <c r="BL4022" s="37"/>
      <c r="BM4022" s="37"/>
    </row>
    <row r="4023" spans="1:65" s="40" customFormat="1" ht="21" x14ac:dyDescent="0.35">
      <c r="A4023" s="37"/>
      <c r="B4023" s="37"/>
      <c r="C4023" s="41"/>
      <c r="D4023" s="38"/>
      <c r="E4023" s="38"/>
      <c r="F4023" s="42"/>
      <c r="G4023" s="43"/>
      <c r="H4023" s="37"/>
      <c r="I4023" s="37"/>
      <c r="J4023" s="38"/>
      <c r="K4023" s="37"/>
      <c r="L4023" s="38"/>
      <c r="M4023" s="39"/>
      <c r="P4023" s="37"/>
      <c r="Q4023" s="37"/>
      <c r="R4023" s="37"/>
      <c r="S4023" s="37"/>
      <c r="T4023" s="37"/>
      <c r="U4023" s="37"/>
      <c r="V4023" s="37"/>
      <c r="W4023" s="37"/>
      <c r="X4023" s="37"/>
      <c r="Y4023" s="37"/>
      <c r="Z4023" s="37"/>
      <c r="AA4023" s="37"/>
      <c r="AB4023" s="37"/>
      <c r="AC4023" s="37"/>
      <c r="AD4023" s="37"/>
      <c r="AE4023" s="37"/>
      <c r="AF4023" s="37"/>
      <c r="AG4023" s="37"/>
      <c r="AH4023" s="37"/>
      <c r="AI4023" s="37"/>
      <c r="AJ4023" s="37"/>
      <c r="AK4023" s="37"/>
      <c r="AL4023" s="37"/>
      <c r="AM4023" s="37"/>
      <c r="AN4023" s="37"/>
      <c r="AO4023" s="37"/>
      <c r="AP4023" s="37"/>
      <c r="AQ4023" s="37"/>
      <c r="AR4023" s="37"/>
      <c r="AS4023" s="37"/>
      <c r="AT4023" s="37"/>
      <c r="AU4023" s="37"/>
      <c r="AV4023" s="37"/>
      <c r="AW4023" s="37"/>
      <c r="AX4023" s="37"/>
      <c r="AY4023" s="37"/>
      <c r="AZ4023" s="37"/>
      <c r="BA4023" s="37"/>
      <c r="BB4023" s="37"/>
      <c r="BC4023" s="37"/>
      <c r="BD4023" s="37"/>
      <c r="BE4023" s="37"/>
      <c r="BF4023" s="37"/>
      <c r="BG4023" s="37"/>
      <c r="BH4023" s="37"/>
      <c r="BI4023" s="37"/>
      <c r="BJ4023" s="37"/>
      <c r="BK4023" s="37"/>
      <c r="BL4023" s="37"/>
      <c r="BM4023" s="37"/>
    </row>
    <row r="4024" spans="1:65" s="40" customFormat="1" ht="21" x14ac:dyDescent="0.35">
      <c r="A4024" s="37"/>
      <c r="B4024" s="37"/>
      <c r="C4024" s="41"/>
      <c r="D4024" s="38"/>
      <c r="E4024" s="38"/>
      <c r="F4024" s="42"/>
      <c r="G4024" s="43"/>
      <c r="H4024" s="37"/>
      <c r="I4024" s="37"/>
      <c r="J4024" s="38"/>
      <c r="K4024" s="37"/>
      <c r="L4024" s="38"/>
      <c r="M4024" s="39"/>
      <c r="P4024" s="37"/>
      <c r="Q4024" s="37"/>
      <c r="R4024" s="37"/>
      <c r="S4024" s="37"/>
      <c r="T4024" s="37"/>
      <c r="U4024" s="37"/>
      <c r="V4024" s="37"/>
      <c r="W4024" s="37"/>
      <c r="X4024" s="37"/>
      <c r="Y4024" s="37"/>
      <c r="Z4024" s="37"/>
      <c r="AA4024" s="37"/>
      <c r="AB4024" s="37"/>
      <c r="AC4024" s="37"/>
      <c r="AD4024" s="37"/>
      <c r="AE4024" s="37"/>
      <c r="AF4024" s="37"/>
      <c r="AG4024" s="37"/>
      <c r="AH4024" s="37"/>
      <c r="AI4024" s="37"/>
      <c r="AJ4024" s="37"/>
      <c r="AK4024" s="37"/>
      <c r="AL4024" s="37"/>
      <c r="AM4024" s="37"/>
      <c r="AN4024" s="37"/>
      <c r="AO4024" s="37"/>
      <c r="AP4024" s="37"/>
      <c r="AQ4024" s="37"/>
      <c r="AR4024" s="37"/>
      <c r="AS4024" s="37"/>
      <c r="AT4024" s="37"/>
      <c r="AU4024" s="37"/>
      <c r="AV4024" s="37"/>
      <c r="AW4024" s="37"/>
      <c r="AX4024" s="37"/>
      <c r="AY4024" s="37"/>
      <c r="AZ4024" s="37"/>
      <c r="BA4024" s="37"/>
      <c r="BB4024" s="37"/>
      <c r="BC4024" s="37"/>
      <c r="BD4024" s="37"/>
      <c r="BE4024" s="37"/>
      <c r="BF4024" s="37"/>
      <c r="BG4024" s="37"/>
      <c r="BH4024" s="37"/>
      <c r="BI4024" s="37"/>
      <c r="BJ4024" s="37"/>
      <c r="BK4024" s="37"/>
      <c r="BL4024" s="37"/>
      <c r="BM4024" s="37"/>
    </row>
    <row r="4025" spans="1:65" s="40" customFormat="1" ht="21" x14ac:dyDescent="0.35">
      <c r="A4025" s="37"/>
      <c r="B4025" s="37"/>
      <c r="C4025" s="41"/>
      <c r="D4025" s="38"/>
      <c r="E4025" s="38"/>
      <c r="F4025" s="42"/>
      <c r="G4025" s="43"/>
      <c r="H4025" s="37"/>
      <c r="I4025" s="37"/>
      <c r="J4025" s="38"/>
      <c r="K4025" s="37"/>
      <c r="L4025" s="38"/>
      <c r="M4025" s="39"/>
      <c r="P4025" s="37"/>
      <c r="Q4025" s="37"/>
      <c r="R4025" s="37"/>
      <c r="S4025" s="37"/>
      <c r="T4025" s="37"/>
      <c r="U4025" s="37"/>
      <c r="V4025" s="37"/>
      <c r="W4025" s="37"/>
      <c r="X4025" s="37"/>
      <c r="Y4025" s="37"/>
      <c r="Z4025" s="37"/>
      <c r="AA4025" s="37"/>
      <c r="AB4025" s="37"/>
      <c r="AC4025" s="37"/>
      <c r="AD4025" s="37"/>
      <c r="AE4025" s="37"/>
      <c r="AF4025" s="37"/>
      <c r="AG4025" s="37"/>
      <c r="AH4025" s="37"/>
      <c r="AI4025" s="37"/>
      <c r="AJ4025" s="37"/>
      <c r="AK4025" s="37"/>
      <c r="AL4025" s="37"/>
      <c r="AM4025" s="37"/>
      <c r="AN4025" s="37"/>
      <c r="AO4025" s="37"/>
      <c r="AP4025" s="37"/>
      <c r="AQ4025" s="37"/>
      <c r="AR4025" s="37"/>
      <c r="AS4025" s="37"/>
      <c r="AT4025" s="37"/>
      <c r="AU4025" s="37"/>
      <c r="AV4025" s="37"/>
      <c r="AW4025" s="37"/>
      <c r="AX4025" s="37"/>
      <c r="AY4025" s="37"/>
      <c r="AZ4025" s="37"/>
      <c r="BA4025" s="37"/>
      <c r="BB4025" s="37"/>
      <c r="BC4025" s="37"/>
      <c r="BD4025" s="37"/>
      <c r="BE4025" s="37"/>
      <c r="BF4025" s="37"/>
      <c r="BG4025" s="37"/>
      <c r="BH4025" s="37"/>
      <c r="BI4025" s="37"/>
      <c r="BJ4025" s="37"/>
      <c r="BK4025" s="37"/>
      <c r="BL4025" s="37"/>
      <c r="BM4025" s="37"/>
    </row>
    <row r="4026" spans="1:65" s="40" customFormat="1" ht="21" x14ac:dyDescent="0.35">
      <c r="A4026" s="37"/>
      <c r="B4026" s="37"/>
      <c r="C4026" s="41"/>
      <c r="D4026" s="38"/>
      <c r="E4026" s="38"/>
      <c r="F4026" s="42"/>
      <c r="G4026" s="43"/>
      <c r="H4026" s="37"/>
      <c r="I4026" s="37"/>
      <c r="J4026" s="38"/>
      <c r="K4026" s="37"/>
      <c r="L4026" s="38"/>
      <c r="M4026" s="39"/>
      <c r="P4026" s="37"/>
      <c r="Q4026" s="37"/>
      <c r="R4026" s="37"/>
      <c r="S4026" s="37"/>
      <c r="T4026" s="37"/>
      <c r="U4026" s="37"/>
      <c r="V4026" s="37"/>
      <c r="W4026" s="37"/>
      <c r="X4026" s="37"/>
      <c r="Y4026" s="37"/>
      <c r="Z4026" s="37"/>
      <c r="AA4026" s="37"/>
      <c r="AB4026" s="37"/>
      <c r="AC4026" s="37"/>
      <c r="AD4026" s="37"/>
      <c r="AE4026" s="37"/>
      <c r="AF4026" s="37"/>
      <c r="AG4026" s="37"/>
      <c r="AH4026" s="37"/>
      <c r="AI4026" s="37"/>
      <c r="AJ4026" s="37"/>
      <c r="AK4026" s="37"/>
      <c r="AL4026" s="37"/>
      <c r="AM4026" s="37"/>
      <c r="AN4026" s="37"/>
      <c r="AO4026" s="37"/>
      <c r="AP4026" s="37"/>
      <c r="AQ4026" s="37"/>
      <c r="AR4026" s="37"/>
      <c r="AS4026" s="37"/>
      <c r="AT4026" s="37"/>
      <c r="AU4026" s="37"/>
      <c r="AV4026" s="37"/>
      <c r="AW4026" s="37"/>
      <c r="AX4026" s="37"/>
      <c r="AY4026" s="37"/>
      <c r="AZ4026" s="37"/>
      <c r="BA4026" s="37"/>
      <c r="BB4026" s="37"/>
      <c r="BC4026" s="37"/>
      <c r="BD4026" s="37"/>
      <c r="BE4026" s="37"/>
      <c r="BF4026" s="37"/>
      <c r="BG4026" s="37"/>
      <c r="BH4026" s="37"/>
      <c r="BI4026" s="37"/>
      <c r="BJ4026" s="37"/>
      <c r="BK4026" s="37"/>
      <c r="BL4026" s="37"/>
      <c r="BM4026" s="37"/>
    </row>
    <row r="4027" spans="1:65" s="40" customFormat="1" ht="21" x14ac:dyDescent="0.35">
      <c r="A4027" s="37"/>
      <c r="B4027" s="37"/>
      <c r="C4027" s="41"/>
      <c r="D4027" s="38"/>
      <c r="E4027" s="38"/>
      <c r="F4027" s="42"/>
      <c r="G4027" s="43"/>
      <c r="H4027" s="37"/>
      <c r="I4027" s="37"/>
      <c r="J4027" s="38"/>
      <c r="K4027" s="37"/>
      <c r="L4027" s="38"/>
      <c r="M4027" s="39"/>
      <c r="P4027" s="37"/>
      <c r="Q4027" s="37"/>
      <c r="R4027" s="37"/>
      <c r="S4027" s="37"/>
      <c r="T4027" s="37"/>
      <c r="U4027" s="37"/>
      <c r="V4027" s="37"/>
      <c r="W4027" s="37"/>
      <c r="X4027" s="37"/>
      <c r="Y4027" s="37"/>
      <c r="Z4027" s="37"/>
      <c r="AA4027" s="37"/>
      <c r="AB4027" s="37"/>
      <c r="AC4027" s="37"/>
      <c r="AD4027" s="37"/>
      <c r="AE4027" s="37"/>
      <c r="AF4027" s="37"/>
      <c r="AG4027" s="37"/>
      <c r="AH4027" s="37"/>
      <c r="AI4027" s="37"/>
      <c r="AJ4027" s="37"/>
      <c r="AK4027" s="37"/>
      <c r="AL4027" s="37"/>
      <c r="AM4027" s="37"/>
      <c r="AN4027" s="37"/>
      <c r="AO4027" s="37"/>
      <c r="AP4027" s="37"/>
      <c r="AQ4027" s="37"/>
      <c r="AR4027" s="37"/>
      <c r="AS4027" s="37"/>
      <c r="AT4027" s="37"/>
      <c r="AU4027" s="37"/>
      <c r="AV4027" s="37"/>
      <c r="AW4027" s="37"/>
      <c r="AX4027" s="37"/>
      <c r="AY4027" s="37"/>
      <c r="AZ4027" s="37"/>
      <c r="BA4027" s="37"/>
      <c r="BB4027" s="37"/>
      <c r="BC4027" s="37"/>
      <c r="BD4027" s="37"/>
      <c r="BE4027" s="37"/>
      <c r="BF4027" s="37"/>
      <c r="BG4027" s="37"/>
      <c r="BH4027" s="37"/>
      <c r="BI4027" s="37"/>
      <c r="BJ4027" s="37"/>
      <c r="BK4027" s="37"/>
      <c r="BL4027" s="37"/>
      <c r="BM4027" s="37"/>
    </row>
    <row r="4028" spans="1:65" s="40" customFormat="1" ht="21" x14ac:dyDescent="0.35">
      <c r="A4028" s="37"/>
      <c r="B4028" s="37"/>
      <c r="C4028" s="41"/>
      <c r="D4028" s="38"/>
      <c r="E4028" s="38"/>
      <c r="F4028" s="42"/>
      <c r="G4028" s="43"/>
      <c r="H4028" s="37"/>
      <c r="I4028" s="37"/>
      <c r="J4028" s="38"/>
      <c r="K4028" s="37"/>
      <c r="L4028" s="38"/>
      <c r="M4028" s="39"/>
      <c r="P4028" s="37"/>
      <c r="Q4028" s="37"/>
      <c r="R4028" s="37"/>
      <c r="S4028" s="37"/>
      <c r="T4028" s="37"/>
      <c r="U4028" s="37"/>
      <c r="V4028" s="37"/>
      <c r="W4028" s="37"/>
      <c r="X4028" s="37"/>
      <c r="Y4028" s="37"/>
      <c r="Z4028" s="37"/>
      <c r="AA4028" s="37"/>
      <c r="AB4028" s="37"/>
      <c r="AC4028" s="37"/>
      <c r="AD4028" s="37"/>
      <c r="AE4028" s="37"/>
      <c r="AF4028" s="37"/>
      <c r="AG4028" s="37"/>
      <c r="AH4028" s="37"/>
      <c r="AI4028" s="37"/>
      <c r="AJ4028" s="37"/>
      <c r="AK4028" s="37"/>
      <c r="AL4028" s="37"/>
      <c r="AM4028" s="37"/>
      <c r="AN4028" s="37"/>
      <c r="AO4028" s="37"/>
      <c r="AP4028" s="37"/>
      <c r="AQ4028" s="37"/>
      <c r="AR4028" s="37"/>
      <c r="AS4028" s="37"/>
      <c r="AT4028" s="37"/>
      <c r="AU4028" s="37"/>
      <c r="AV4028" s="37"/>
      <c r="AW4028" s="37"/>
      <c r="AX4028" s="37"/>
      <c r="AY4028" s="37"/>
      <c r="AZ4028" s="37"/>
      <c r="BA4028" s="37"/>
      <c r="BB4028" s="37"/>
      <c r="BC4028" s="37"/>
      <c r="BD4028" s="37"/>
      <c r="BE4028" s="37"/>
      <c r="BF4028" s="37"/>
      <c r="BG4028" s="37"/>
      <c r="BH4028" s="37"/>
      <c r="BI4028" s="37"/>
      <c r="BJ4028" s="37"/>
      <c r="BK4028" s="37"/>
      <c r="BL4028" s="37"/>
      <c r="BM4028" s="37"/>
    </row>
    <row r="4029" spans="1:65" s="40" customFormat="1" ht="21" x14ac:dyDescent="0.35">
      <c r="A4029" s="37"/>
      <c r="B4029" s="37"/>
      <c r="C4029" s="41"/>
      <c r="D4029" s="38"/>
      <c r="E4029" s="38"/>
      <c r="F4029" s="42"/>
      <c r="G4029" s="43"/>
      <c r="H4029" s="37"/>
      <c r="I4029" s="37"/>
      <c r="J4029" s="38"/>
      <c r="K4029" s="37"/>
      <c r="L4029" s="38"/>
      <c r="M4029" s="39"/>
      <c r="P4029" s="37"/>
      <c r="Q4029" s="37"/>
      <c r="R4029" s="37"/>
      <c r="S4029" s="37"/>
      <c r="T4029" s="37"/>
      <c r="U4029" s="37"/>
      <c r="V4029" s="37"/>
      <c r="W4029" s="37"/>
      <c r="X4029" s="37"/>
      <c r="Y4029" s="37"/>
      <c r="Z4029" s="37"/>
      <c r="AA4029" s="37"/>
      <c r="AB4029" s="37"/>
      <c r="AC4029" s="37"/>
      <c r="AD4029" s="37"/>
      <c r="AE4029" s="37"/>
      <c r="AF4029" s="37"/>
      <c r="AG4029" s="37"/>
      <c r="AH4029" s="37"/>
      <c r="AI4029" s="37"/>
      <c r="AJ4029" s="37"/>
      <c r="AK4029" s="37"/>
      <c r="AL4029" s="37"/>
      <c r="AM4029" s="37"/>
      <c r="AN4029" s="37"/>
      <c r="AO4029" s="37"/>
      <c r="AP4029" s="37"/>
      <c r="AQ4029" s="37"/>
      <c r="AR4029" s="37"/>
      <c r="AS4029" s="37"/>
      <c r="AT4029" s="37"/>
      <c r="AU4029" s="37"/>
      <c r="AV4029" s="37"/>
      <c r="AW4029" s="37"/>
      <c r="AX4029" s="37"/>
      <c r="AY4029" s="37"/>
      <c r="AZ4029" s="37"/>
      <c r="BA4029" s="37"/>
      <c r="BB4029" s="37"/>
      <c r="BC4029" s="37"/>
      <c r="BD4029" s="37"/>
      <c r="BE4029" s="37"/>
      <c r="BF4029" s="37"/>
      <c r="BG4029" s="37"/>
      <c r="BH4029" s="37"/>
      <c r="BI4029" s="37"/>
      <c r="BJ4029" s="37"/>
      <c r="BK4029" s="37"/>
      <c r="BL4029" s="37"/>
      <c r="BM4029" s="37"/>
    </row>
    <row r="4030" spans="1:65" s="40" customFormat="1" ht="21" x14ac:dyDescent="0.35">
      <c r="A4030" s="37"/>
      <c r="B4030" s="37"/>
      <c r="C4030" s="41"/>
      <c r="D4030" s="38"/>
      <c r="E4030" s="38"/>
      <c r="F4030" s="42"/>
      <c r="G4030" s="43"/>
      <c r="H4030" s="37"/>
      <c r="I4030" s="37"/>
      <c r="J4030" s="38"/>
      <c r="K4030" s="37"/>
      <c r="L4030" s="38"/>
      <c r="M4030" s="39"/>
      <c r="P4030" s="37"/>
      <c r="Q4030" s="37"/>
      <c r="R4030" s="37"/>
      <c r="S4030" s="37"/>
      <c r="T4030" s="37"/>
      <c r="U4030" s="37"/>
      <c r="V4030" s="37"/>
      <c r="W4030" s="37"/>
      <c r="X4030" s="37"/>
      <c r="Y4030" s="37"/>
      <c r="Z4030" s="37"/>
      <c r="AA4030" s="37"/>
      <c r="AB4030" s="37"/>
      <c r="AC4030" s="37"/>
      <c r="AD4030" s="37"/>
      <c r="AE4030" s="37"/>
      <c r="AF4030" s="37"/>
      <c r="AG4030" s="37"/>
      <c r="AH4030" s="37"/>
      <c r="AI4030" s="37"/>
      <c r="AJ4030" s="37"/>
      <c r="AK4030" s="37"/>
      <c r="AL4030" s="37"/>
      <c r="AM4030" s="37"/>
      <c r="AN4030" s="37"/>
      <c r="AO4030" s="37"/>
      <c r="AP4030" s="37"/>
      <c r="AQ4030" s="37"/>
      <c r="AR4030" s="37"/>
      <c r="AS4030" s="37"/>
      <c r="AT4030" s="37"/>
      <c r="AU4030" s="37"/>
      <c r="AV4030" s="37"/>
      <c r="AW4030" s="37"/>
      <c r="AX4030" s="37"/>
      <c r="AY4030" s="37"/>
      <c r="AZ4030" s="37"/>
      <c r="BA4030" s="37"/>
      <c r="BB4030" s="37"/>
      <c r="BC4030" s="37"/>
      <c r="BD4030" s="37"/>
      <c r="BE4030" s="37"/>
      <c r="BF4030" s="37"/>
      <c r="BG4030" s="37"/>
      <c r="BH4030" s="37"/>
      <c r="BI4030" s="37"/>
      <c r="BJ4030" s="37"/>
      <c r="BK4030" s="37"/>
      <c r="BL4030" s="37"/>
      <c r="BM4030" s="37"/>
    </row>
    <row r="4031" spans="1:65" s="40" customFormat="1" ht="21" x14ac:dyDescent="0.35">
      <c r="A4031" s="37"/>
      <c r="B4031" s="37"/>
      <c r="C4031" s="41"/>
      <c r="D4031" s="38"/>
      <c r="E4031" s="38"/>
      <c r="F4031" s="42"/>
      <c r="G4031" s="43"/>
      <c r="H4031" s="37"/>
      <c r="I4031" s="37"/>
      <c r="J4031" s="38"/>
      <c r="K4031" s="37"/>
      <c r="L4031" s="38"/>
      <c r="M4031" s="39"/>
      <c r="P4031" s="37"/>
      <c r="Q4031" s="37"/>
      <c r="R4031" s="37"/>
      <c r="S4031" s="37"/>
      <c r="T4031" s="37"/>
      <c r="U4031" s="37"/>
      <c r="V4031" s="37"/>
      <c r="W4031" s="37"/>
      <c r="X4031" s="37"/>
      <c r="Y4031" s="37"/>
      <c r="Z4031" s="37"/>
      <c r="AA4031" s="37"/>
      <c r="AB4031" s="37"/>
      <c r="AC4031" s="37"/>
      <c r="AD4031" s="37"/>
      <c r="AE4031" s="37"/>
      <c r="AF4031" s="37"/>
      <c r="AG4031" s="37"/>
      <c r="AH4031" s="37"/>
      <c r="AI4031" s="37"/>
      <c r="AJ4031" s="37"/>
      <c r="AK4031" s="37"/>
      <c r="AL4031" s="37"/>
      <c r="AM4031" s="37"/>
      <c r="AN4031" s="37"/>
      <c r="AO4031" s="37"/>
      <c r="AP4031" s="37"/>
      <c r="AQ4031" s="37"/>
      <c r="AR4031" s="37"/>
      <c r="AS4031" s="37"/>
      <c r="AT4031" s="37"/>
      <c r="AU4031" s="37"/>
      <c r="AV4031" s="37"/>
      <c r="AW4031" s="37"/>
      <c r="AX4031" s="37"/>
      <c r="AY4031" s="37"/>
      <c r="AZ4031" s="37"/>
      <c r="BA4031" s="37"/>
      <c r="BB4031" s="37"/>
      <c r="BC4031" s="37"/>
      <c r="BD4031" s="37"/>
      <c r="BE4031" s="37"/>
      <c r="BF4031" s="37"/>
      <c r="BG4031" s="37"/>
      <c r="BH4031" s="37"/>
      <c r="BI4031" s="37"/>
      <c r="BJ4031" s="37"/>
      <c r="BK4031" s="37"/>
      <c r="BL4031" s="37"/>
      <c r="BM4031" s="37"/>
    </row>
    <row r="4032" spans="1:65" s="40" customFormat="1" ht="21" x14ac:dyDescent="0.35">
      <c r="A4032" s="37"/>
      <c r="B4032" s="37"/>
      <c r="C4032" s="41"/>
      <c r="D4032" s="38"/>
      <c r="E4032" s="38"/>
      <c r="F4032" s="42"/>
      <c r="G4032" s="43"/>
      <c r="H4032" s="37"/>
      <c r="I4032" s="37"/>
      <c r="J4032" s="38"/>
      <c r="K4032" s="37"/>
      <c r="L4032" s="38"/>
      <c r="M4032" s="39"/>
      <c r="P4032" s="37"/>
      <c r="Q4032" s="37"/>
      <c r="R4032" s="37"/>
      <c r="S4032" s="37"/>
      <c r="T4032" s="37"/>
      <c r="U4032" s="37"/>
      <c r="V4032" s="37"/>
      <c r="W4032" s="37"/>
      <c r="X4032" s="37"/>
      <c r="Y4032" s="37"/>
      <c r="Z4032" s="37"/>
      <c r="AA4032" s="37"/>
      <c r="AB4032" s="37"/>
      <c r="AC4032" s="37"/>
      <c r="AD4032" s="37"/>
      <c r="AE4032" s="37"/>
      <c r="AF4032" s="37"/>
      <c r="AG4032" s="37"/>
      <c r="AH4032" s="37"/>
      <c r="AI4032" s="37"/>
      <c r="AJ4032" s="37"/>
      <c r="AK4032" s="37"/>
      <c r="AL4032" s="37"/>
      <c r="AM4032" s="37"/>
      <c r="AN4032" s="37"/>
      <c r="AO4032" s="37"/>
      <c r="AP4032" s="37"/>
      <c r="AQ4032" s="37"/>
      <c r="AR4032" s="37"/>
      <c r="AS4032" s="37"/>
      <c r="AT4032" s="37"/>
      <c r="AU4032" s="37"/>
      <c r="AV4032" s="37"/>
      <c r="AW4032" s="37"/>
      <c r="AX4032" s="37"/>
      <c r="AY4032" s="37"/>
      <c r="AZ4032" s="37"/>
      <c r="BA4032" s="37"/>
      <c r="BB4032" s="37"/>
      <c r="BC4032" s="37"/>
      <c r="BD4032" s="37"/>
      <c r="BE4032" s="37"/>
      <c r="BF4032" s="37"/>
      <c r="BG4032" s="37"/>
      <c r="BH4032" s="37"/>
      <c r="BI4032" s="37"/>
      <c r="BJ4032" s="37"/>
      <c r="BK4032" s="37"/>
      <c r="BL4032" s="37"/>
      <c r="BM4032" s="37"/>
    </row>
    <row r="4033" spans="1:65" s="40" customFormat="1" ht="21" x14ac:dyDescent="0.35">
      <c r="A4033" s="37"/>
      <c r="B4033" s="37"/>
      <c r="C4033" s="41"/>
      <c r="D4033" s="38"/>
      <c r="E4033" s="38"/>
      <c r="F4033" s="42"/>
      <c r="G4033" s="43"/>
      <c r="H4033" s="37"/>
      <c r="I4033" s="37"/>
      <c r="J4033" s="38"/>
      <c r="K4033" s="37"/>
      <c r="L4033" s="38"/>
      <c r="M4033" s="39"/>
      <c r="P4033" s="37"/>
      <c r="Q4033" s="37"/>
      <c r="R4033" s="37"/>
      <c r="S4033" s="37"/>
      <c r="T4033" s="37"/>
      <c r="U4033" s="37"/>
      <c r="V4033" s="37"/>
      <c r="W4033" s="37"/>
      <c r="X4033" s="37"/>
      <c r="Y4033" s="37"/>
      <c r="Z4033" s="37"/>
      <c r="AA4033" s="37"/>
      <c r="AB4033" s="37"/>
      <c r="AC4033" s="37"/>
      <c r="AD4033" s="37"/>
      <c r="AE4033" s="37"/>
      <c r="AF4033" s="37"/>
      <c r="AG4033" s="37"/>
      <c r="AH4033" s="37"/>
      <c r="AI4033" s="37"/>
      <c r="AJ4033" s="37"/>
      <c r="AK4033" s="37"/>
      <c r="AL4033" s="37"/>
      <c r="AM4033" s="37"/>
      <c r="AN4033" s="37"/>
      <c r="AO4033" s="37"/>
      <c r="AP4033" s="37"/>
      <c r="AQ4033" s="37"/>
      <c r="AR4033" s="37"/>
      <c r="AS4033" s="37"/>
      <c r="AT4033" s="37"/>
      <c r="AU4033" s="37"/>
      <c r="AV4033" s="37"/>
      <c r="AW4033" s="37"/>
      <c r="AX4033" s="37"/>
      <c r="AY4033" s="37"/>
      <c r="AZ4033" s="37"/>
      <c r="BA4033" s="37"/>
      <c r="BB4033" s="37"/>
      <c r="BC4033" s="37"/>
      <c r="BD4033" s="37"/>
      <c r="BE4033" s="37"/>
      <c r="BF4033" s="37"/>
      <c r="BG4033" s="37"/>
      <c r="BH4033" s="37"/>
      <c r="BI4033" s="37"/>
      <c r="BJ4033" s="37"/>
      <c r="BK4033" s="37"/>
      <c r="BL4033" s="37"/>
      <c r="BM4033" s="37"/>
    </row>
    <row r="4034" spans="1:65" s="40" customFormat="1" ht="21" x14ac:dyDescent="0.35">
      <c r="A4034" s="37"/>
      <c r="B4034" s="37"/>
      <c r="C4034" s="41"/>
      <c r="D4034" s="38"/>
      <c r="E4034" s="38"/>
      <c r="F4034" s="42"/>
      <c r="G4034" s="43"/>
      <c r="H4034" s="37"/>
      <c r="I4034" s="37"/>
      <c r="J4034" s="38"/>
      <c r="K4034" s="37"/>
      <c r="L4034" s="38"/>
      <c r="M4034" s="39"/>
      <c r="P4034" s="37"/>
      <c r="Q4034" s="37"/>
      <c r="R4034" s="37"/>
      <c r="S4034" s="37"/>
      <c r="T4034" s="37"/>
      <c r="U4034" s="37"/>
      <c r="V4034" s="37"/>
      <c r="W4034" s="37"/>
      <c r="X4034" s="37"/>
      <c r="Y4034" s="37"/>
      <c r="Z4034" s="37"/>
      <c r="AA4034" s="37"/>
      <c r="AB4034" s="37"/>
      <c r="AC4034" s="37"/>
      <c r="AD4034" s="37"/>
      <c r="AE4034" s="37"/>
      <c r="AF4034" s="37"/>
      <c r="AG4034" s="37"/>
      <c r="AH4034" s="37"/>
      <c r="AI4034" s="37"/>
      <c r="AJ4034" s="37"/>
      <c r="AK4034" s="37"/>
      <c r="AL4034" s="37"/>
      <c r="AM4034" s="37"/>
      <c r="AN4034" s="37"/>
      <c r="AO4034" s="37"/>
      <c r="AP4034" s="37"/>
      <c r="AQ4034" s="37"/>
      <c r="AR4034" s="37"/>
      <c r="AS4034" s="37"/>
      <c r="AT4034" s="37"/>
      <c r="AU4034" s="37"/>
      <c r="AV4034" s="37"/>
      <c r="AW4034" s="37"/>
      <c r="AX4034" s="37"/>
      <c r="AY4034" s="37"/>
      <c r="AZ4034" s="37"/>
      <c r="BA4034" s="37"/>
      <c r="BB4034" s="37"/>
      <c r="BC4034" s="37"/>
      <c r="BD4034" s="37"/>
      <c r="BE4034" s="37"/>
      <c r="BF4034" s="37"/>
      <c r="BG4034" s="37"/>
      <c r="BH4034" s="37"/>
      <c r="BI4034" s="37"/>
      <c r="BJ4034" s="37"/>
      <c r="BK4034" s="37"/>
      <c r="BL4034" s="37"/>
      <c r="BM4034" s="37"/>
    </row>
    <row r="4035" spans="1:65" s="40" customFormat="1" ht="21" x14ac:dyDescent="0.35">
      <c r="A4035" s="37"/>
      <c r="B4035" s="37"/>
      <c r="C4035" s="41"/>
      <c r="D4035" s="38"/>
      <c r="E4035" s="38"/>
      <c r="F4035" s="42"/>
      <c r="G4035" s="43"/>
      <c r="H4035" s="37"/>
      <c r="I4035" s="37"/>
      <c r="J4035" s="38"/>
      <c r="K4035" s="37"/>
      <c r="L4035" s="38"/>
      <c r="M4035" s="39"/>
      <c r="P4035" s="37"/>
      <c r="Q4035" s="37"/>
      <c r="R4035" s="37"/>
      <c r="S4035" s="37"/>
      <c r="T4035" s="37"/>
      <c r="U4035" s="37"/>
      <c r="V4035" s="37"/>
      <c r="W4035" s="37"/>
      <c r="X4035" s="37"/>
      <c r="Y4035" s="37"/>
      <c r="Z4035" s="37"/>
      <c r="AA4035" s="37"/>
      <c r="AB4035" s="37"/>
      <c r="AC4035" s="37"/>
      <c r="AD4035" s="37"/>
      <c r="AE4035" s="37"/>
      <c r="AF4035" s="37"/>
      <c r="AG4035" s="37"/>
      <c r="AH4035" s="37"/>
      <c r="AI4035" s="37"/>
      <c r="AJ4035" s="37"/>
      <c r="AK4035" s="37"/>
      <c r="AL4035" s="37"/>
      <c r="AM4035" s="37"/>
      <c r="AN4035" s="37"/>
      <c r="AO4035" s="37"/>
      <c r="AP4035" s="37"/>
      <c r="AQ4035" s="37"/>
      <c r="AR4035" s="37"/>
      <c r="AS4035" s="37"/>
      <c r="AT4035" s="37"/>
      <c r="AU4035" s="37"/>
      <c r="AV4035" s="37"/>
      <c r="AW4035" s="37"/>
      <c r="AX4035" s="37"/>
      <c r="AY4035" s="37"/>
      <c r="AZ4035" s="37"/>
      <c r="BA4035" s="37"/>
      <c r="BB4035" s="37"/>
      <c r="BC4035" s="37"/>
      <c r="BD4035" s="37"/>
      <c r="BE4035" s="37"/>
      <c r="BF4035" s="37"/>
      <c r="BG4035" s="37"/>
      <c r="BH4035" s="37"/>
      <c r="BI4035" s="37"/>
      <c r="BJ4035" s="37"/>
      <c r="BK4035" s="37"/>
      <c r="BL4035" s="37"/>
      <c r="BM4035" s="37"/>
    </row>
    <row r="4036" spans="1:65" s="40" customFormat="1" ht="21" x14ac:dyDescent="0.35">
      <c r="A4036" s="37"/>
      <c r="B4036" s="37"/>
      <c r="C4036" s="41"/>
      <c r="D4036" s="38"/>
      <c r="E4036" s="38"/>
      <c r="F4036" s="42"/>
      <c r="G4036" s="43"/>
      <c r="H4036" s="37"/>
      <c r="I4036" s="37"/>
      <c r="J4036" s="38"/>
      <c r="K4036" s="37"/>
      <c r="L4036" s="38"/>
      <c r="M4036" s="39"/>
      <c r="P4036" s="37"/>
      <c r="Q4036" s="37"/>
      <c r="R4036" s="37"/>
      <c r="S4036" s="37"/>
      <c r="T4036" s="37"/>
      <c r="U4036" s="37"/>
      <c r="V4036" s="37"/>
      <c r="W4036" s="37"/>
      <c r="X4036" s="37"/>
      <c r="Y4036" s="37"/>
      <c r="Z4036" s="37"/>
      <c r="AA4036" s="37"/>
      <c r="AB4036" s="37"/>
      <c r="AC4036" s="37"/>
      <c r="AD4036" s="37"/>
      <c r="AE4036" s="37"/>
      <c r="AF4036" s="37"/>
      <c r="AG4036" s="37"/>
      <c r="AH4036" s="37"/>
      <c r="AI4036" s="37"/>
      <c r="AJ4036" s="37"/>
      <c r="AK4036" s="37"/>
      <c r="AL4036" s="37"/>
      <c r="AM4036" s="37"/>
      <c r="AN4036" s="37"/>
      <c r="AO4036" s="37"/>
      <c r="AP4036" s="37"/>
      <c r="AQ4036" s="37"/>
      <c r="AR4036" s="37"/>
      <c r="AS4036" s="37"/>
      <c r="AT4036" s="37"/>
      <c r="AU4036" s="37"/>
      <c r="AV4036" s="37"/>
      <c r="AW4036" s="37"/>
      <c r="AX4036" s="37"/>
      <c r="AY4036" s="37"/>
      <c r="AZ4036" s="37"/>
      <c r="BA4036" s="37"/>
      <c r="BB4036" s="37"/>
      <c r="BC4036" s="37"/>
      <c r="BD4036" s="37"/>
      <c r="BE4036" s="37"/>
      <c r="BF4036" s="37"/>
      <c r="BG4036" s="37"/>
      <c r="BH4036" s="37"/>
      <c r="BI4036" s="37"/>
      <c r="BJ4036" s="37"/>
      <c r="BK4036" s="37"/>
      <c r="BL4036" s="37"/>
      <c r="BM4036" s="37"/>
    </row>
    <row r="4037" spans="1:65" s="40" customFormat="1" ht="21" x14ac:dyDescent="0.35">
      <c r="A4037" s="37"/>
      <c r="B4037" s="37"/>
      <c r="C4037" s="41"/>
      <c r="D4037" s="38"/>
      <c r="E4037" s="38"/>
      <c r="F4037" s="42"/>
      <c r="G4037" s="43"/>
      <c r="H4037" s="37"/>
      <c r="I4037" s="37"/>
      <c r="J4037" s="38"/>
      <c r="K4037" s="37"/>
      <c r="L4037" s="38"/>
      <c r="M4037" s="39"/>
      <c r="P4037" s="37"/>
      <c r="Q4037" s="37"/>
      <c r="R4037" s="37"/>
      <c r="S4037" s="37"/>
      <c r="T4037" s="37"/>
      <c r="U4037" s="37"/>
      <c r="V4037" s="37"/>
      <c r="W4037" s="37"/>
      <c r="X4037" s="37"/>
      <c r="Y4037" s="37"/>
      <c r="Z4037" s="37"/>
      <c r="AA4037" s="37"/>
      <c r="AB4037" s="37"/>
      <c r="AC4037" s="37"/>
      <c r="AD4037" s="37"/>
      <c r="AE4037" s="37"/>
      <c r="AF4037" s="37"/>
      <c r="AG4037" s="37"/>
      <c r="AH4037" s="37"/>
      <c r="AI4037" s="37"/>
      <c r="AJ4037" s="37"/>
      <c r="AK4037" s="37"/>
      <c r="AL4037" s="37"/>
      <c r="AM4037" s="37"/>
      <c r="AN4037" s="37"/>
      <c r="AO4037" s="37"/>
      <c r="AP4037" s="37"/>
      <c r="AQ4037" s="37"/>
      <c r="AR4037" s="37"/>
      <c r="AS4037" s="37"/>
      <c r="AT4037" s="37"/>
      <c r="AU4037" s="37"/>
      <c r="AV4037" s="37"/>
      <c r="AW4037" s="37"/>
      <c r="AX4037" s="37"/>
      <c r="AY4037" s="37"/>
      <c r="AZ4037" s="37"/>
      <c r="BA4037" s="37"/>
      <c r="BB4037" s="37"/>
      <c r="BC4037" s="37"/>
      <c r="BD4037" s="37"/>
      <c r="BE4037" s="37"/>
      <c r="BF4037" s="37"/>
      <c r="BG4037" s="37"/>
      <c r="BH4037" s="37"/>
      <c r="BI4037" s="37"/>
      <c r="BJ4037" s="37"/>
      <c r="BK4037" s="37"/>
      <c r="BL4037" s="37"/>
      <c r="BM4037" s="37"/>
    </row>
    <row r="4038" spans="1:65" s="40" customFormat="1" ht="21" x14ac:dyDescent="0.35">
      <c r="A4038" s="37"/>
      <c r="B4038" s="37"/>
      <c r="C4038" s="41"/>
      <c r="D4038" s="38"/>
      <c r="E4038" s="38"/>
      <c r="F4038" s="42"/>
      <c r="G4038" s="43"/>
      <c r="H4038" s="37"/>
      <c r="I4038" s="37"/>
      <c r="J4038" s="38"/>
      <c r="K4038" s="37"/>
      <c r="L4038" s="38"/>
      <c r="M4038" s="39"/>
      <c r="P4038" s="37"/>
      <c r="Q4038" s="37"/>
      <c r="R4038" s="37"/>
      <c r="S4038" s="37"/>
      <c r="T4038" s="37"/>
      <c r="U4038" s="37"/>
      <c r="V4038" s="37"/>
      <c r="W4038" s="37"/>
      <c r="X4038" s="37"/>
      <c r="Y4038" s="37"/>
      <c r="Z4038" s="37"/>
      <c r="AA4038" s="37"/>
      <c r="AB4038" s="37"/>
      <c r="AC4038" s="37"/>
      <c r="AD4038" s="37"/>
      <c r="AE4038" s="37"/>
      <c r="AF4038" s="37"/>
      <c r="AG4038" s="37"/>
      <c r="AH4038" s="37"/>
      <c r="AI4038" s="37"/>
      <c r="AJ4038" s="37"/>
      <c r="AK4038" s="37"/>
      <c r="AL4038" s="37"/>
      <c r="AM4038" s="37"/>
      <c r="AN4038" s="37"/>
      <c r="AO4038" s="37"/>
      <c r="AP4038" s="37"/>
      <c r="AQ4038" s="37"/>
      <c r="AR4038" s="37"/>
      <c r="AS4038" s="37"/>
      <c r="AT4038" s="37"/>
      <c r="AU4038" s="37"/>
      <c r="AV4038" s="37"/>
      <c r="AW4038" s="37"/>
      <c r="AX4038" s="37"/>
      <c r="AY4038" s="37"/>
      <c r="AZ4038" s="37"/>
      <c r="BA4038" s="37"/>
      <c r="BB4038" s="37"/>
      <c r="BC4038" s="37"/>
      <c r="BD4038" s="37"/>
      <c r="BE4038" s="37"/>
      <c r="BF4038" s="37"/>
      <c r="BG4038" s="37"/>
      <c r="BH4038" s="37"/>
      <c r="BI4038" s="37"/>
      <c r="BJ4038" s="37"/>
      <c r="BK4038" s="37"/>
      <c r="BL4038" s="37"/>
      <c r="BM4038" s="37"/>
    </row>
    <row r="4039" spans="1:65" s="40" customFormat="1" ht="21" x14ac:dyDescent="0.35">
      <c r="A4039" s="37"/>
      <c r="B4039" s="37"/>
      <c r="C4039" s="41"/>
      <c r="D4039" s="38"/>
      <c r="E4039" s="38"/>
      <c r="F4039" s="42"/>
      <c r="G4039" s="43"/>
      <c r="H4039" s="37"/>
      <c r="I4039" s="37"/>
      <c r="J4039" s="38"/>
      <c r="K4039" s="37"/>
      <c r="L4039" s="38"/>
      <c r="M4039" s="39"/>
      <c r="P4039" s="37"/>
      <c r="Q4039" s="37"/>
      <c r="R4039" s="37"/>
      <c r="S4039" s="37"/>
      <c r="T4039" s="37"/>
      <c r="U4039" s="37"/>
      <c r="V4039" s="37"/>
      <c r="W4039" s="37"/>
      <c r="X4039" s="37"/>
      <c r="Y4039" s="37"/>
      <c r="Z4039" s="37"/>
      <c r="AA4039" s="37"/>
      <c r="AB4039" s="37"/>
      <c r="AC4039" s="37"/>
      <c r="AD4039" s="37"/>
      <c r="AE4039" s="37"/>
      <c r="AF4039" s="37"/>
      <c r="AG4039" s="37"/>
      <c r="AH4039" s="37"/>
      <c r="AI4039" s="37"/>
      <c r="AJ4039" s="37"/>
      <c r="AK4039" s="37"/>
      <c r="AL4039" s="37"/>
      <c r="AM4039" s="37"/>
      <c r="AN4039" s="37"/>
      <c r="AO4039" s="37"/>
      <c r="AP4039" s="37"/>
      <c r="AQ4039" s="37"/>
      <c r="AR4039" s="37"/>
      <c r="AS4039" s="37"/>
      <c r="AT4039" s="37"/>
      <c r="AU4039" s="37"/>
      <c r="AV4039" s="37"/>
      <c r="AW4039" s="37"/>
      <c r="AX4039" s="37"/>
      <c r="AY4039" s="37"/>
      <c r="AZ4039" s="37"/>
      <c r="BA4039" s="37"/>
      <c r="BB4039" s="37"/>
      <c r="BC4039" s="37"/>
      <c r="BD4039" s="37"/>
      <c r="BE4039" s="37"/>
      <c r="BF4039" s="37"/>
      <c r="BG4039" s="37"/>
      <c r="BH4039" s="37"/>
      <c r="BI4039" s="37"/>
      <c r="BJ4039" s="37"/>
      <c r="BK4039" s="37"/>
      <c r="BL4039" s="37"/>
      <c r="BM4039" s="37"/>
    </row>
    <row r="4040" spans="1:65" s="40" customFormat="1" ht="21" x14ac:dyDescent="0.35">
      <c r="A4040" s="37"/>
      <c r="B4040" s="37"/>
      <c r="C4040" s="41"/>
      <c r="D4040" s="38"/>
      <c r="E4040" s="38"/>
      <c r="F4040" s="42"/>
      <c r="G4040" s="43"/>
      <c r="H4040" s="37"/>
      <c r="I4040" s="37"/>
      <c r="J4040" s="38"/>
      <c r="K4040" s="37"/>
      <c r="L4040" s="38"/>
      <c r="M4040" s="39"/>
      <c r="P4040" s="37"/>
      <c r="Q4040" s="37"/>
      <c r="R4040" s="37"/>
      <c r="S4040" s="37"/>
      <c r="T4040" s="37"/>
      <c r="U4040" s="37"/>
      <c r="V4040" s="37"/>
      <c r="W4040" s="37"/>
      <c r="X4040" s="37"/>
      <c r="Y4040" s="37"/>
      <c r="Z4040" s="37"/>
      <c r="AA4040" s="37"/>
      <c r="AB4040" s="37"/>
      <c r="AC4040" s="37"/>
      <c r="AD4040" s="37"/>
      <c r="AE4040" s="37"/>
      <c r="AF4040" s="37"/>
      <c r="AG4040" s="37"/>
      <c r="AH4040" s="37"/>
      <c r="AI4040" s="37"/>
      <c r="AJ4040" s="37"/>
      <c r="AK4040" s="37"/>
      <c r="AL4040" s="37"/>
      <c r="AM4040" s="37"/>
      <c r="AN4040" s="37"/>
      <c r="AO4040" s="37"/>
      <c r="AP4040" s="37"/>
      <c r="AQ4040" s="37"/>
      <c r="AR4040" s="37"/>
      <c r="AS4040" s="37"/>
      <c r="AT4040" s="37"/>
      <c r="AU4040" s="37"/>
      <c r="AV4040" s="37"/>
      <c r="AW4040" s="37"/>
      <c r="AX4040" s="37"/>
      <c r="AY4040" s="37"/>
      <c r="AZ4040" s="37"/>
      <c r="BA4040" s="37"/>
      <c r="BB4040" s="37"/>
      <c r="BC4040" s="37"/>
      <c r="BD4040" s="37"/>
      <c r="BE4040" s="37"/>
      <c r="BF4040" s="37"/>
      <c r="BG4040" s="37"/>
      <c r="BH4040" s="37"/>
      <c r="BI4040" s="37"/>
      <c r="BJ4040" s="37"/>
      <c r="BK4040" s="37"/>
      <c r="BL4040" s="37"/>
      <c r="BM4040" s="37"/>
    </row>
    <row r="4041" spans="1:65" s="40" customFormat="1" ht="21" x14ac:dyDescent="0.35">
      <c r="A4041" s="37"/>
      <c r="B4041" s="37"/>
      <c r="C4041" s="41"/>
      <c r="D4041" s="38"/>
      <c r="E4041" s="38"/>
      <c r="F4041" s="42"/>
      <c r="G4041" s="43"/>
      <c r="H4041" s="37"/>
      <c r="I4041" s="37"/>
      <c r="J4041" s="38"/>
      <c r="K4041" s="37"/>
      <c r="L4041" s="38"/>
      <c r="M4041" s="39"/>
      <c r="P4041" s="37"/>
      <c r="Q4041" s="37"/>
      <c r="R4041" s="37"/>
      <c r="S4041" s="37"/>
      <c r="T4041" s="37"/>
      <c r="U4041" s="37"/>
      <c r="V4041" s="37"/>
      <c r="W4041" s="37"/>
      <c r="X4041" s="37"/>
      <c r="Y4041" s="37"/>
      <c r="Z4041" s="37"/>
      <c r="AA4041" s="37"/>
      <c r="AB4041" s="37"/>
      <c r="AC4041" s="37"/>
      <c r="AD4041" s="37"/>
      <c r="AE4041" s="37"/>
      <c r="AF4041" s="37"/>
      <c r="AG4041" s="37"/>
      <c r="AH4041" s="37"/>
      <c r="AI4041" s="37"/>
      <c r="AJ4041" s="37"/>
      <c r="AK4041" s="37"/>
      <c r="AL4041" s="37"/>
      <c r="AM4041" s="37"/>
      <c r="AN4041" s="37"/>
      <c r="AO4041" s="37"/>
      <c r="AP4041" s="37"/>
      <c r="AQ4041" s="37"/>
      <c r="AR4041" s="37"/>
      <c r="AS4041" s="37"/>
      <c r="AT4041" s="37"/>
      <c r="AU4041" s="37"/>
      <c r="AV4041" s="37"/>
      <c r="AW4041" s="37"/>
      <c r="AX4041" s="37"/>
      <c r="AY4041" s="37"/>
      <c r="AZ4041" s="37"/>
      <c r="BA4041" s="37"/>
      <c r="BB4041" s="37"/>
      <c r="BC4041" s="37"/>
      <c r="BD4041" s="37"/>
      <c r="BE4041" s="37"/>
      <c r="BF4041" s="37"/>
      <c r="BG4041" s="37"/>
      <c r="BH4041" s="37"/>
      <c r="BI4041" s="37"/>
      <c r="BJ4041" s="37"/>
      <c r="BK4041" s="37"/>
      <c r="BL4041" s="37"/>
      <c r="BM4041" s="37"/>
    </row>
    <row r="4042" spans="1:65" s="40" customFormat="1" ht="21" x14ac:dyDescent="0.35">
      <c r="A4042" s="37"/>
      <c r="B4042" s="37"/>
      <c r="C4042" s="41"/>
      <c r="D4042" s="38"/>
      <c r="E4042" s="38"/>
      <c r="F4042" s="42"/>
      <c r="G4042" s="43"/>
      <c r="H4042" s="37"/>
      <c r="I4042" s="37"/>
      <c r="J4042" s="38"/>
      <c r="K4042" s="37"/>
      <c r="L4042" s="38"/>
      <c r="M4042" s="39"/>
      <c r="P4042" s="37"/>
      <c r="Q4042" s="37"/>
      <c r="R4042" s="37"/>
      <c r="S4042" s="37"/>
      <c r="T4042" s="37"/>
      <c r="U4042" s="37"/>
      <c r="V4042" s="37"/>
      <c r="W4042" s="37"/>
      <c r="X4042" s="37"/>
      <c r="Y4042" s="37"/>
      <c r="Z4042" s="37"/>
      <c r="AA4042" s="37"/>
      <c r="AB4042" s="37"/>
      <c r="AC4042" s="37"/>
      <c r="AD4042" s="37"/>
      <c r="AE4042" s="37"/>
      <c r="AF4042" s="37"/>
      <c r="AG4042" s="37"/>
      <c r="AH4042" s="37"/>
      <c r="AI4042" s="37"/>
      <c r="AJ4042" s="37"/>
      <c r="AK4042" s="37"/>
      <c r="AL4042" s="37"/>
      <c r="AM4042" s="37"/>
      <c r="AN4042" s="37"/>
      <c r="AO4042" s="37"/>
      <c r="AP4042" s="37"/>
      <c r="AQ4042" s="37"/>
      <c r="AR4042" s="37"/>
      <c r="AS4042" s="37"/>
      <c r="AT4042" s="37"/>
      <c r="AU4042" s="37"/>
      <c r="AV4042" s="37"/>
      <c r="AW4042" s="37"/>
      <c r="AX4042" s="37"/>
      <c r="AY4042" s="37"/>
      <c r="AZ4042" s="37"/>
      <c r="BA4042" s="37"/>
      <c r="BB4042" s="37"/>
      <c r="BC4042" s="37"/>
      <c r="BD4042" s="37"/>
      <c r="BE4042" s="37"/>
      <c r="BF4042" s="37"/>
      <c r="BG4042" s="37"/>
      <c r="BH4042" s="37"/>
      <c r="BI4042" s="37"/>
      <c r="BJ4042" s="37"/>
      <c r="BK4042" s="37"/>
      <c r="BL4042" s="37"/>
      <c r="BM4042" s="37"/>
    </row>
    <row r="4043" spans="1:65" s="40" customFormat="1" ht="21" x14ac:dyDescent="0.35">
      <c r="A4043" s="37"/>
      <c r="B4043" s="37"/>
      <c r="C4043" s="41"/>
      <c r="D4043" s="38"/>
      <c r="E4043" s="38"/>
      <c r="F4043" s="42"/>
      <c r="G4043" s="43"/>
      <c r="H4043" s="37"/>
      <c r="I4043" s="37"/>
      <c r="J4043" s="38"/>
      <c r="K4043" s="37"/>
      <c r="L4043" s="38"/>
      <c r="M4043" s="39"/>
      <c r="P4043" s="37"/>
      <c r="Q4043" s="37"/>
      <c r="R4043" s="37"/>
      <c r="S4043" s="37"/>
      <c r="T4043" s="37"/>
      <c r="U4043" s="37"/>
      <c r="V4043" s="37"/>
      <c r="W4043" s="37"/>
      <c r="X4043" s="37"/>
      <c r="Y4043" s="37"/>
      <c r="Z4043" s="37"/>
      <c r="AA4043" s="37"/>
      <c r="AB4043" s="37"/>
      <c r="AC4043" s="37"/>
      <c r="AD4043" s="37"/>
      <c r="AE4043" s="37"/>
      <c r="AF4043" s="37"/>
      <c r="AG4043" s="37"/>
      <c r="AH4043" s="37"/>
      <c r="AI4043" s="37"/>
      <c r="AJ4043" s="37"/>
      <c r="AK4043" s="37"/>
      <c r="AL4043" s="37"/>
      <c r="AM4043" s="37"/>
      <c r="AN4043" s="37"/>
      <c r="AO4043" s="37"/>
      <c r="AP4043" s="37"/>
      <c r="AQ4043" s="37"/>
      <c r="AR4043" s="37"/>
      <c r="AS4043" s="37"/>
      <c r="AT4043" s="37"/>
      <c r="AU4043" s="37"/>
      <c r="AV4043" s="37"/>
      <c r="AW4043" s="37"/>
      <c r="AX4043" s="37"/>
      <c r="AY4043" s="37"/>
      <c r="AZ4043" s="37"/>
      <c r="BA4043" s="37"/>
      <c r="BB4043" s="37"/>
      <c r="BC4043" s="37"/>
      <c r="BD4043" s="37"/>
      <c r="BE4043" s="37"/>
      <c r="BF4043" s="37"/>
      <c r="BG4043" s="37"/>
      <c r="BH4043" s="37"/>
      <c r="BI4043" s="37"/>
      <c r="BJ4043" s="37"/>
      <c r="BK4043" s="37"/>
      <c r="BL4043" s="37"/>
      <c r="BM4043" s="37"/>
    </row>
    <row r="4044" spans="1:65" s="40" customFormat="1" ht="21" x14ac:dyDescent="0.35">
      <c r="A4044" s="37"/>
      <c r="B4044" s="37"/>
      <c r="C4044" s="41"/>
      <c r="D4044" s="38"/>
      <c r="E4044" s="38"/>
      <c r="F4044" s="42"/>
      <c r="G4044" s="43"/>
      <c r="H4044" s="37"/>
      <c r="I4044" s="37"/>
      <c r="J4044" s="38"/>
      <c r="K4044" s="37"/>
      <c r="L4044" s="38"/>
      <c r="M4044" s="39"/>
      <c r="P4044" s="37"/>
      <c r="Q4044" s="37"/>
      <c r="R4044" s="37"/>
      <c r="S4044" s="37"/>
      <c r="T4044" s="37"/>
      <c r="U4044" s="37"/>
      <c r="V4044" s="37"/>
      <c r="W4044" s="37"/>
      <c r="X4044" s="37"/>
      <c r="Y4044" s="37"/>
      <c r="Z4044" s="37"/>
      <c r="AA4044" s="37"/>
      <c r="AB4044" s="37"/>
      <c r="AC4044" s="37"/>
      <c r="AD4044" s="37"/>
      <c r="AE4044" s="37"/>
      <c r="AF4044" s="37"/>
      <c r="AG4044" s="37"/>
      <c r="AH4044" s="37"/>
      <c r="AI4044" s="37"/>
      <c r="AJ4044" s="37"/>
      <c r="AK4044" s="37"/>
      <c r="AL4044" s="37"/>
      <c r="AM4044" s="37"/>
      <c r="AN4044" s="37"/>
      <c r="AO4044" s="37"/>
      <c r="AP4044" s="37"/>
      <c r="AQ4044" s="37"/>
      <c r="AR4044" s="37"/>
      <c r="AS4044" s="37"/>
      <c r="AT4044" s="37"/>
      <c r="AU4044" s="37"/>
      <c r="AV4044" s="37"/>
      <c r="AW4044" s="37"/>
      <c r="AX4044" s="37"/>
      <c r="AY4044" s="37"/>
      <c r="AZ4044" s="37"/>
      <c r="BA4044" s="37"/>
      <c r="BB4044" s="37"/>
      <c r="BC4044" s="37"/>
      <c r="BD4044" s="37"/>
      <c r="BE4044" s="37"/>
      <c r="BF4044" s="37"/>
      <c r="BG4044" s="37"/>
      <c r="BH4044" s="37"/>
      <c r="BI4044" s="37"/>
      <c r="BJ4044" s="37"/>
      <c r="BK4044" s="37"/>
      <c r="BL4044" s="37"/>
      <c r="BM4044" s="37"/>
    </row>
    <row r="4045" spans="1:65" s="40" customFormat="1" ht="21" x14ac:dyDescent="0.35">
      <c r="A4045" s="37"/>
      <c r="B4045" s="37"/>
      <c r="C4045" s="41"/>
      <c r="D4045" s="38"/>
      <c r="E4045" s="38"/>
      <c r="F4045" s="42"/>
      <c r="G4045" s="43"/>
      <c r="H4045" s="37"/>
      <c r="I4045" s="37"/>
      <c r="J4045" s="38"/>
      <c r="K4045" s="37"/>
      <c r="L4045" s="38"/>
      <c r="M4045" s="39"/>
      <c r="P4045" s="37"/>
      <c r="Q4045" s="37"/>
      <c r="R4045" s="37"/>
      <c r="S4045" s="37"/>
      <c r="T4045" s="37"/>
      <c r="U4045" s="37"/>
      <c r="V4045" s="37"/>
      <c r="W4045" s="37"/>
      <c r="X4045" s="37"/>
      <c r="Y4045" s="37"/>
      <c r="Z4045" s="37"/>
      <c r="AA4045" s="37"/>
      <c r="AB4045" s="37"/>
      <c r="AC4045" s="37"/>
      <c r="AD4045" s="37"/>
      <c r="AE4045" s="37"/>
      <c r="AF4045" s="37"/>
      <c r="AG4045" s="37"/>
      <c r="AH4045" s="37"/>
      <c r="AI4045" s="37"/>
      <c r="AJ4045" s="37"/>
      <c r="AK4045" s="37"/>
      <c r="AL4045" s="37"/>
      <c r="AM4045" s="37"/>
      <c r="AN4045" s="37"/>
      <c r="AO4045" s="37"/>
      <c r="AP4045" s="37"/>
      <c r="AQ4045" s="37"/>
      <c r="AR4045" s="37"/>
      <c r="AS4045" s="37"/>
      <c r="AT4045" s="37"/>
      <c r="AU4045" s="37"/>
      <c r="AV4045" s="37"/>
      <c r="AW4045" s="37"/>
      <c r="AX4045" s="37"/>
      <c r="AY4045" s="37"/>
      <c r="AZ4045" s="37"/>
      <c r="BA4045" s="37"/>
      <c r="BB4045" s="37"/>
      <c r="BC4045" s="37"/>
      <c r="BD4045" s="37"/>
      <c r="BE4045" s="37"/>
      <c r="BF4045" s="37"/>
      <c r="BG4045" s="37"/>
      <c r="BH4045" s="37"/>
      <c r="BI4045" s="37"/>
      <c r="BJ4045" s="37"/>
      <c r="BK4045" s="37"/>
      <c r="BL4045" s="37"/>
      <c r="BM4045" s="37"/>
    </row>
    <row r="4046" spans="1:65" s="40" customFormat="1" ht="21" x14ac:dyDescent="0.35">
      <c r="A4046" s="37"/>
      <c r="B4046" s="37"/>
      <c r="C4046" s="41"/>
      <c r="D4046" s="38"/>
      <c r="E4046" s="38"/>
      <c r="F4046" s="42"/>
      <c r="G4046" s="43"/>
      <c r="H4046" s="37"/>
      <c r="I4046" s="37"/>
      <c r="J4046" s="38"/>
      <c r="K4046" s="37"/>
      <c r="L4046" s="38"/>
      <c r="M4046" s="39"/>
      <c r="P4046" s="37"/>
      <c r="Q4046" s="37"/>
      <c r="R4046" s="37"/>
      <c r="S4046" s="37"/>
      <c r="T4046" s="37"/>
      <c r="U4046" s="37"/>
      <c r="V4046" s="37"/>
      <c r="W4046" s="37"/>
      <c r="X4046" s="37"/>
      <c r="Y4046" s="37"/>
      <c r="Z4046" s="37"/>
      <c r="AA4046" s="37"/>
      <c r="AB4046" s="37"/>
      <c r="AC4046" s="37"/>
      <c r="AD4046" s="37"/>
      <c r="AE4046" s="37"/>
      <c r="AF4046" s="37"/>
      <c r="AG4046" s="37"/>
      <c r="AH4046" s="37"/>
      <c r="AI4046" s="37"/>
      <c r="AJ4046" s="37"/>
      <c r="AK4046" s="37"/>
      <c r="AL4046" s="37"/>
      <c r="AM4046" s="37"/>
      <c r="AN4046" s="37"/>
      <c r="AO4046" s="37"/>
      <c r="AP4046" s="37"/>
      <c r="AQ4046" s="37"/>
      <c r="AR4046" s="37"/>
      <c r="AS4046" s="37"/>
      <c r="AT4046" s="37"/>
      <c r="AU4046" s="37"/>
      <c r="AV4046" s="37"/>
      <c r="AW4046" s="37"/>
      <c r="AX4046" s="37"/>
      <c r="AY4046" s="37"/>
      <c r="AZ4046" s="37"/>
      <c r="BA4046" s="37"/>
      <c r="BB4046" s="37"/>
      <c r="BC4046" s="37"/>
      <c r="BD4046" s="37"/>
      <c r="BE4046" s="37"/>
      <c r="BF4046" s="37"/>
      <c r="BG4046" s="37"/>
      <c r="BH4046" s="37"/>
      <c r="BI4046" s="37"/>
      <c r="BJ4046" s="37"/>
      <c r="BK4046" s="37"/>
      <c r="BL4046" s="37"/>
      <c r="BM4046" s="37"/>
    </row>
    <row r="4047" spans="1:65" s="40" customFormat="1" ht="21" x14ac:dyDescent="0.35">
      <c r="A4047" s="37"/>
      <c r="B4047" s="37"/>
      <c r="C4047" s="41"/>
      <c r="D4047" s="38"/>
      <c r="E4047" s="38"/>
      <c r="F4047" s="42"/>
      <c r="G4047" s="43"/>
      <c r="H4047" s="37"/>
      <c r="I4047" s="37"/>
      <c r="J4047" s="38"/>
      <c r="K4047" s="37"/>
      <c r="L4047" s="38"/>
      <c r="M4047" s="39"/>
      <c r="P4047" s="37"/>
      <c r="Q4047" s="37"/>
      <c r="R4047" s="37"/>
      <c r="S4047" s="37"/>
      <c r="T4047" s="37"/>
      <c r="U4047" s="37"/>
      <c r="V4047" s="37"/>
      <c r="W4047" s="37"/>
      <c r="X4047" s="37"/>
      <c r="Y4047" s="37"/>
      <c r="Z4047" s="37"/>
      <c r="AA4047" s="37"/>
      <c r="AB4047" s="37"/>
      <c r="AC4047" s="37"/>
      <c r="AD4047" s="37"/>
      <c r="AE4047" s="37"/>
      <c r="AF4047" s="37"/>
      <c r="AG4047" s="37"/>
      <c r="AH4047" s="37"/>
      <c r="AI4047" s="37"/>
      <c r="AJ4047" s="37"/>
      <c r="AK4047" s="37"/>
      <c r="AL4047" s="37"/>
      <c r="AM4047" s="37"/>
      <c r="AN4047" s="37"/>
      <c r="AO4047" s="37"/>
      <c r="AP4047" s="37"/>
      <c r="AQ4047" s="37"/>
      <c r="AR4047" s="37"/>
      <c r="AS4047" s="37"/>
      <c r="AT4047" s="37"/>
      <c r="AU4047" s="37"/>
      <c r="AV4047" s="37"/>
      <c r="AW4047" s="37"/>
      <c r="AX4047" s="37"/>
      <c r="AY4047" s="37"/>
      <c r="AZ4047" s="37"/>
      <c r="BA4047" s="37"/>
      <c r="BB4047" s="37"/>
      <c r="BC4047" s="37"/>
      <c r="BD4047" s="37"/>
      <c r="BE4047" s="37"/>
      <c r="BF4047" s="37"/>
      <c r="BG4047" s="37"/>
      <c r="BH4047" s="37"/>
      <c r="BI4047" s="37"/>
      <c r="BJ4047" s="37"/>
      <c r="BK4047" s="37"/>
      <c r="BL4047" s="37"/>
      <c r="BM4047" s="37"/>
    </row>
    <row r="4048" spans="1:65" s="40" customFormat="1" ht="21" x14ac:dyDescent="0.35">
      <c r="A4048" s="37"/>
      <c r="B4048" s="37"/>
      <c r="C4048" s="41"/>
      <c r="D4048" s="38"/>
      <c r="E4048" s="38"/>
      <c r="F4048" s="42"/>
      <c r="G4048" s="43"/>
      <c r="H4048" s="37"/>
      <c r="I4048" s="37"/>
      <c r="J4048" s="38"/>
      <c r="K4048" s="37"/>
      <c r="L4048" s="38"/>
      <c r="M4048" s="39"/>
      <c r="P4048" s="37"/>
      <c r="Q4048" s="37"/>
      <c r="R4048" s="37"/>
      <c r="S4048" s="37"/>
      <c r="T4048" s="37"/>
      <c r="U4048" s="37"/>
      <c r="V4048" s="37"/>
      <c r="W4048" s="37"/>
      <c r="X4048" s="37"/>
      <c r="Y4048" s="37"/>
      <c r="Z4048" s="37"/>
      <c r="AA4048" s="37"/>
      <c r="AB4048" s="37"/>
      <c r="AC4048" s="37"/>
      <c r="AD4048" s="37"/>
      <c r="AE4048" s="37"/>
      <c r="AF4048" s="37"/>
      <c r="AG4048" s="37"/>
      <c r="AH4048" s="37"/>
      <c r="AI4048" s="37"/>
      <c r="AJ4048" s="37"/>
      <c r="AK4048" s="37"/>
      <c r="AL4048" s="37"/>
      <c r="AM4048" s="37"/>
      <c r="AN4048" s="37"/>
      <c r="AO4048" s="37"/>
      <c r="AP4048" s="37"/>
      <c r="AQ4048" s="37"/>
      <c r="AR4048" s="37"/>
      <c r="AS4048" s="37"/>
      <c r="AT4048" s="37"/>
      <c r="AU4048" s="37"/>
      <c r="AV4048" s="37"/>
      <c r="AW4048" s="37"/>
      <c r="AX4048" s="37"/>
      <c r="AY4048" s="37"/>
      <c r="AZ4048" s="37"/>
      <c r="BA4048" s="37"/>
      <c r="BB4048" s="37"/>
      <c r="BC4048" s="37"/>
      <c r="BD4048" s="37"/>
      <c r="BE4048" s="37"/>
      <c r="BF4048" s="37"/>
      <c r="BG4048" s="37"/>
      <c r="BH4048" s="37"/>
      <c r="BI4048" s="37"/>
      <c r="BJ4048" s="37"/>
      <c r="BK4048" s="37"/>
      <c r="BL4048" s="37"/>
      <c r="BM4048" s="37"/>
    </row>
    <row r="4049" spans="1:65" s="40" customFormat="1" ht="21" x14ac:dyDescent="0.35">
      <c r="A4049" s="37"/>
      <c r="B4049" s="37"/>
      <c r="C4049" s="41"/>
      <c r="D4049" s="38"/>
      <c r="E4049" s="38"/>
      <c r="F4049" s="42"/>
      <c r="G4049" s="43"/>
      <c r="H4049" s="37"/>
      <c r="I4049" s="37"/>
      <c r="J4049" s="38"/>
      <c r="K4049" s="37"/>
      <c r="L4049" s="38"/>
      <c r="M4049" s="39"/>
      <c r="P4049" s="37"/>
      <c r="Q4049" s="37"/>
      <c r="R4049" s="37"/>
      <c r="S4049" s="37"/>
      <c r="T4049" s="37"/>
      <c r="U4049" s="37"/>
      <c r="V4049" s="37"/>
      <c r="W4049" s="37"/>
      <c r="X4049" s="37"/>
      <c r="Y4049" s="37"/>
      <c r="Z4049" s="37"/>
      <c r="AA4049" s="37"/>
      <c r="AB4049" s="37"/>
      <c r="AC4049" s="37"/>
      <c r="AD4049" s="37"/>
      <c r="AE4049" s="37"/>
      <c r="AF4049" s="37"/>
      <c r="AG4049" s="37"/>
      <c r="AH4049" s="37"/>
      <c r="AI4049" s="37"/>
      <c r="AJ4049" s="37"/>
      <c r="AK4049" s="37"/>
      <c r="AL4049" s="37"/>
      <c r="AM4049" s="37"/>
      <c r="AN4049" s="37"/>
      <c r="AO4049" s="37"/>
      <c r="AP4049" s="37"/>
      <c r="AQ4049" s="37"/>
      <c r="AR4049" s="37"/>
      <c r="AS4049" s="37"/>
      <c r="AT4049" s="37"/>
      <c r="AU4049" s="37"/>
      <c r="AV4049" s="37"/>
      <c r="AW4049" s="37"/>
      <c r="AX4049" s="37"/>
      <c r="AY4049" s="37"/>
      <c r="AZ4049" s="37"/>
      <c r="BA4049" s="37"/>
      <c r="BB4049" s="37"/>
      <c r="BC4049" s="37"/>
      <c r="BD4049" s="37"/>
      <c r="BE4049" s="37"/>
      <c r="BF4049" s="37"/>
      <c r="BG4049" s="37"/>
      <c r="BH4049" s="37"/>
      <c r="BI4049" s="37"/>
      <c r="BJ4049" s="37"/>
      <c r="BK4049" s="37"/>
      <c r="BL4049" s="37"/>
      <c r="BM4049" s="37"/>
    </row>
    <row r="4050" spans="1:65" s="40" customFormat="1" ht="21" x14ac:dyDescent="0.35">
      <c r="A4050" s="37"/>
      <c r="B4050" s="37"/>
      <c r="C4050" s="41"/>
      <c r="D4050" s="38"/>
      <c r="E4050" s="38"/>
      <c r="F4050" s="42"/>
      <c r="G4050" s="43"/>
      <c r="H4050" s="37"/>
      <c r="I4050" s="37"/>
      <c r="J4050" s="38"/>
      <c r="K4050" s="37"/>
      <c r="L4050" s="38"/>
      <c r="M4050" s="39"/>
      <c r="P4050" s="37"/>
      <c r="Q4050" s="37"/>
      <c r="R4050" s="37"/>
      <c r="S4050" s="37"/>
      <c r="T4050" s="37"/>
      <c r="U4050" s="37"/>
      <c r="V4050" s="37"/>
      <c r="W4050" s="37"/>
      <c r="X4050" s="37"/>
      <c r="Y4050" s="37"/>
      <c r="Z4050" s="37"/>
      <c r="AA4050" s="37"/>
      <c r="AB4050" s="37"/>
      <c r="AC4050" s="37"/>
      <c r="AD4050" s="37"/>
      <c r="AE4050" s="37"/>
      <c r="AF4050" s="37"/>
      <c r="AG4050" s="37"/>
      <c r="AH4050" s="37"/>
      <c r="AI4050" s="37"/>
      <c r="AJ4050" s="37"/>
      <c r="AK4050" s="37"/>
      <c r="AL4050" s="37"/>
      <c r="AM4050" s="37"/>
      <c r="AN4050" s="37"/>
      <c r="AO4050" s="37"/>
      <c r="AP4050" s="37"/>
      <c r="AQ4050" s="37"/>
      <c r="AR4050" s="37"/>
      <c r="AS4050" s="37"/>
      <c r="AT4050" s="37"/>
      <c r="AU4050" s="37"/>
      <c r="AV4050" s="37"/>
      <c r="AW4050" s="37"/>
      <c r="AX4050" s="37"/>
      <c r="AY4050" s="37"/>
      <c r="AZ4050" s="37"/>
      <c r="BA4050" s="37"/>
      <c r="BB4050" s="37"/>
      <c r="BC4050" s="37"/>
      <c r="BD4050" s="37"/>
      <c r="BE4050" s="37"/>
      <c r="BF4050" s="37"/>
      <c r="BG4050" s="37"/>
      <c r="BH4050" s="37"/>
      <c r="BI4050" s="37"/>
      <c r="BJ4050" s="37"/>
      <c r="BK4050" s="37"/>
      <c r="BL4050" s="37"/>
      <c r="BM4050" s="37"/>
    </row>
    <row r="4051" spans="1:65" s="40" customFormat="1" ht="21" x14ac:dyDescent="0.35">
      <c r="A4051" s="37"/>
      <c r="B4051" s="37"/>
      <c r="C4051" s="41"/>
      <c r="D4051" s="38"/>
      <c r="E4051" s="38"/>
      <c r="F4051" s="42"/>
      <c r="G4051" s="43"/>
      <c r="H4051" s="37"/>
      <c r="I4051" s="37"/>
      <c r="J4051" s="38"/>
      <c r="K4051" s="37"/>
      <c r="L4051" s="38"/>
      <c r="M4051" s="39"/>
      <c r="P4051" s="37"/>
      <c r="Q4051" s="37"/>
      <c r="R4051" s="37"/>
      <c r="S4051" s="37"/>
      <c r="T4051" s="37"/>
      <c r="U4051" s="37"/>
      <c r="V4051" s="37"/>
      <c r="W4051" s="37"/>
      <c r="X4051" s="37"/>
      <c r="Y4051" s="37"/>
      <c r="Z4051" s="37"/>
      <c r="AA4051" s="37"/>
      <c r="AB4051" s="37"/>
      <c r="AC4051" s="37"/>
      <c r="AD4051" s="37"/>
      <c r="AE4051" s="37"/>
      <c r="AF4051" s="37"/>
      <c r="AG4051" s="37"/>
      <c r="AH4051" s="37"/>
      <c r="AI4051" s="37"/>
      <c r="AJ4051" s="37"/>
      <c r="AK4051" s="37"/>
      <c r="AL4051" s="37"/>
      <c r="AM4051" s="37"/>
      <c r="AN4051" s="37"/>
      <c r="AO4051" s="37"/>
      <c r="AP4051" s="37"/>
      <c r="AQ4051" s="37"/>
      <c r="AR4051" s="37"/>
      <c r="AS4051" s="37"/>
      <c r="AT4051" s="37"/>
      <c r="AU4051" s="37"/>
      <c r="AV4051" s="37"/>
      <c r="AW4051" s="37"/>
      <c r="AX4051" s="37"/>
      <c r="AY4051" s="37"/>
      <c r="AZ4051" s="37"/>
      <c r="BA4051" s="37"/>
      <c r="BB4051" s="37"/>
      <c r="BC4051" s="37"/>
      <c r="BD4051" s="37"/>
      <c r="BE4051" s="37"/>
      <c r="BF4051" s="37"/>
      <c r="BG4051" s="37"/>
      <c r="BH4051" s="37"/>
      <c r="BI4051" s="37"/>
      <c r="BJ4051" s="37"/>
      <c r="BK4051" s="37"/>
      <c r="BL4051" s="37"/>
      <c r="BM4051" s="37"/>
    </row>
    <row r="4052" spans="1:65" s="40" customFormat="1" ht="21" x14ac:dyDescent="0.35">
      <c r="A4052" s="37"/>
      <c r="B4052" s="37"/>
      <c r="C4052" s="41"/>
      <c r="D4052" s="38"/>
      <c r="E4052" s="38"/>
      <c r="F4052" s="42"/>
      <c r="G4052" s="43"/>
      <c r="H4052" s="37"/>
      <c r="I4052" s="37"/>
      <c r="J4052" s="38"/>
      <c r="K4052" s="37"/>
      <c r="L4052" s="38"/>
      <c r="M4052" s="39"/>
      <c r="P4052" s="37"/>
      <c r="Q4052" s="37"/>
      <c r="R4052" s="37"/>
      <c r="S4052" s="37"/>
      <c r="T4052" s="37"/>
      <c r="U4052" s="37"/>
      <c r="V4052" s="37"/>
      <c r="W4052" s="37"/>
      <c r="X4052" s="37"/>
      <c r="Y4052" s="37"/>
      <c r="Z4052" s="37"/>
      <c r="AA4052" s="37"/>
      <c r="AB4052" s="37"/>
      <c r="AC4052" s="37"/>
      <c r="AD4052" s="37"/>
      <c r="AE4052" s="37"/>
      <c r="AF4052" s="37"/>
      <c r="AG4052" s="37"/>
      <c r="AH4052" s="37"/>
      <c r="AI4052" s="37"/>
      <c r="AJ4052" s="37"/>
      <c r="AK4052" s="37"/>
      <c r="AL4052" s="37"/>
      <c r="AM4052" s="37"/>
      <c r="AN4052" s="37"/>
      <c r="AO4052" s="37"/>
      <c r="AP4052" s="37"/>
      <c r="AQ4052" s="37"/>
      <c r="AR4052" s="37"/>
      <c r="AS4052" s="37"/>
      <c r="AT4052" s="37"/>
      <c r="AU4052" s="37"/>
      <c r="AV4052" s="37"/>
      <c r="AW4052" s="37"/>
      <c r="AX4052" s="37"/>
      <c r="AY4052" s="37"/>
      <c r="AZ4052" s="37"/>
      <c r="BA4052" s="37"/>
      <c r="BB4052" s="37"/>
      <c r="BC4052" s="37"/>
      <c r="BD4052" s="37"/>
      <c r="BE4052" s="37"/>
      <c r="BF4052" s="37"/>
      <c r="BG4052" s="37"/>
      <c r="BH4052" s="37"/>
      <c r="BI4052" s="37"/>
      <c r="BJ4052" s="37"/>
      <c r="BK4052" s="37"/>
      <c r="BL4052" s="37"/>
      <c r="BM4052" s="37"/>
    </row>
    <row r="4053" spans="1:65" s="40" customFormat="1" ht="21" x14ac:dyDescent="0.35">
      <c r="A4053" s="37"/>
      <c r="B4053" s="37"/>
      <c r="C4053" s="41"/>
      <c r="D4053" s="38"/>
      <c r="E4053" s="38"/>
      <c r="F4053" s="42"/>
      <c r="G4053" s="43"/>
      <c r="H4053" s="37"/>
      <c r="I4053" s="37"/>
      <c r="J4053" s="38"/>
      <c r="K4053" s="37"/>
      <c r="L4053" s="38"/>
      <c r="M4053" s="39"/>
      <c r="P4053" s="37"/>
      <c r="Q4053" s="37"/>
      <c r="R4053" s="37"/>
      <c r="S4053" s="37"/>
      <c r="T4053" s="37"/>
      <c r="U4053" s="37"/>
      <c r="V4053" s="37"/>
      <c r="W4053" s="37"/>
      <c r="X4053" s="37"/>
      <c r="Y4053" s="37"/>
      <c r="Z4053" s="37"/>
      <c r="AA4053" s="37"/>
      <c r="AB4053" s="37"/>
      <c r="AC4053" s="37"/>
      <c r="AD4053" s="37"/>
      <c r="AE4053" s="37"/>
      <c r="AF4053" s="37"/>
      <c r="AG4053" s="37"/>
      <c r="AH4053" s="37"/>
      <c r="AI4053" s="37"/>
      <c r="AJ4053" s="37"/>
      <c r="AK4053" s="37"/>
      <c r="AL4053" s="37"/>
      <c r="AM4053" s="37"/>
      <c r="AN4053" s="37"/>
      <c r="AO4053" s="37"/>
      <c r="AP4053" s="37"/>
      <c r="AQ4053" s="37"/>
      <c r="AR4053" s="37"/>
      <c r="AS4053" s="37"/>
      <c r="AT4053" s="37"/>
      <c r="AU4053" s="37"/>
      <c r="AV4053" s="37"/>
      <c r="AW4053" s="37"/>
      <c r="AX4053" s="37"/>
      <c r="AY4053" s="37"/>
      <c r="AZ4053" s="37"/>
      <c r="BA4053" s="37"/>
      <c r="BB4053" s="37"/>
      <c r="BC4053" s="37"/>
      <c r="BD4053" s="37"/>
      <c r="BE4053" s="37"/>
      <c r="BF4053" s="37"/>
      <c r="BG4053" s="37"/>
      <c r="BH4053" s="37"/>
      <c r="BI4053" s="37"/>
      <c r="BJ4053" s="37"/>
      <c r="BK4053" s="37"/>
      <c r="BL4053" s="37"/>
      <c r="BM4053" s="37"/>
    </row>
    <row r="4054" spans="1:65" s="40" customFormat="1" ht="21" x14ac:dyDescent="0.35">
      <c r="A4054" s="37"/>
      <c r="B4054" s="37"/>
      <c r="C4054" s="41"/>
      <c r="D4054" s="38"/>
      <c r="E4054" s="38"/>
      <c r="F4054" s="42"/>
      <c r="G4054" s="43"/>
      <c r="H4054" s="37"/>
      <c r="I4054" s="37"/>
      <c r="J4054" s="38"/>
      <c r="K4054" s="37"/>
      <c r="L4054" s="38"/>
      <c r="M4054" s="39"/>
      <c r="P4054" s="37"/>
      <c r="Q4054" s="37"/>
      <c r="R4054" s="37"/>
      <c r="S4054" s="37"/>
      <c r="T4054" s="37"/>
      <c r="U4054" s="37"/>
      <c r="V4054" s="37"/>
      <c r="W4054" s="37"/>
      <c r="X4054" s="37"/>
      <c r="Y4054" s="37"/>
      <c r="Z4054" s="37"/>
      <c r="AA4054" s="37"/>
      <c r="AB4054" s="37"/>
      <c r="AC4054" s="37"/>
      <c r="AD4054" s="37"/>
      <c r="AE4054" s="37"/>
      <c r="AF4054" s="37"/>
      <c r="AG4054" s="37"/>
      <c r="AH4054" s="37"/>
      <c r="AI4054" s="37"/>
      <c r="AJ4054" s="37"/>
      <c r="AK4054" s="37"/>
      <c r="AL4054" s="37"/>
      <c r="AM4054" s="37"/>
      <c r="AN4054" s="37"/>
      <c r="AO4054" s="37"/>
      <c r="AP4054" s="37"/>
      <c r="AQ4054" s="37"/>
      <c r="AR4054" s="37"/>
      <c r="AS4054" s="37"/>
      <c r="AT4054" s="37"/>
      <c r="AU4054" s="37"/>
      <c r="AV4054" s="37"/>
      <c r="AW4054" s="37"/>
      <c r="AX4054" s="37"/>
      <c r="AY4054" s="37"/>
      <c r="AZ4054" s="37"/>
      <c r="BA4054" s="37"/>
      <c r="BB4054" s="37"/>
      <c r="BC4054" s="37"/>
      <c r="BD4054" s="37"/>
      <c r="BE4054" s="37"/>
      <c r="BF4054" s="37"/>
      <c r="BG4054" s="37"/>
      <c r="BH4054" s="37"/>
      <c r="BI4054" s="37"/>
      <c r="BJ4054" s="37"/>
      <c r="BK4054" s="37"/>
      <c r="BL4054" s="37"/>
      <c r="BM4054" s="37"/>
    </row>
    <row r="4055" spans="1:65" s="40" customFormat="1" ht="21" x14ac:dyDescent="0.35">
      <c r="A4055" s="37"/>
      <c r="B4055" s="37"/>
      <c r="C4055" s="41"/>
      <c r="D4055" s="38"/>
      <c r="E4055" s="38"/>
      <c r="F4055" s="42"/>
      <c r="G4055" s="43"/>
      <c r="H4055" s="37"/>
      <c r="I4055" s="37"/>
      <c r="J4055" s="38"/>
      <c r="K4055" s="37"/>
      <c r="L4055" s="38"/>
      <c r="M4055" s="39"/>
      <c r="P4055" s="37"/>
      <c r="Q4055" s="37"/>
      <c r="R4055" s="37"/>
      <c r="S4055" s="37"/>
      <c r="T4055" s="37"/>
      <c r="U4055" s="37"/>
      <c r="V4055" s="37"/>
      <c r="W4055" s="37"/>
      <c r="X4055" s="37"/>
      <c r="Y4055" s="37"/>
      <c r="Z4055" s="37"/>
      <c r="AA4055" s="37"/>
      <c r="AB4055" s="37"/>
      <c r="AC4055" s="37"/>
      <c r="AD4055" s="37"/>
      <c r="AE4055" s="37"/>
      <c r="AF4055" s="37"/>
      <c r="AG4055" s="37"/>
      <c r="AH4055" s="37"/>
      <c r="AI4055" s="37"/>
      <c r="AJ4055" s="37"/>
      <c r="AK4055" s="37"/>
      <c r="AL4055" s="37"/>
      <c r="AM4055" s="37"/>
      <c r="AN4055" s="37"/>
      <c r="AO4055" s="37"/>
      <c r="AP4055" s="37"/>
      <c r="AQ4055" s="37"/>
      <c r="AR4055" s="37"/>
      <c r="AS4055" s="37"/>
      <c r="AT4055" s="37"/>
      <c r="AU4055" s="37"/>
      <c r="AV4055" s="37"/>
      <c r="AW4055" s="37"/>
      <c r="AX4055" s="37"/>
      <c r="AY4055" s="37"/>
      <c r="AZ4055" s="37"/>
      <c r="BA4055" s="37"/>
      <c r="BB4055" s="37"/>
      <c r="BC4055" s="37"/>
      <c r="BD4055" s="37"/>
      <c r="BE4055" s="37"/>
      <c r="BF4055" s="37"/>
      <c r="BG4055" s="37"/>
      <c r="BH4055" s="37"/>
      <c r="BI4055" s="37"/>
      <c r="BJ4055" s="37"/>
      <c r="BK4055" s="37"/>
      <c r="BL4055" s="37"/>
      <c r="BM4055" s="37"/>
    </row>
    <row r="4056" spans="1:65" s="40" customFormat="1" ht="21" x14ac:dyDescent="0.35">
      <c r="A4056" s="37"/>
      <c r="B4056" s="37"/>
      <c r="C4056" s="41"/>
      <c r="D4056" s="38"/>
      <c r="E4056" s="38"/>
      <c r="F4056" s="42"/>
      <c r="G4056" s="43"/>
      <c r="H4056" s="37"/>
      <c r="I4056" s="37"/>
      <c r="J4056" s="38"/>
      <c r="K4056" s="37"/>
      <c r="L4056" s="38"/>
      <c r="M4056" s="39"/>
      <c r="P4056" s="37"/>
      <c r="Q4056" s="37"/>
      <c r="R4056" s="37"/>
      <c r="S4056" s="37"/>
      <c r="T4056" s="37"/>
      <c r="U4056" s="37"/>
      <c r="V4056" s="37"/>
      <c r="W4056" s="37"/>
      <c r="X4056" s="37"/>
      <c r="Y4056" s="37"/>
      <c r="Z4056" s="37"/>
      <c r="AA4056" s="37"/>
      <c r="AB4056" s="37"/>
      <c r="AC4056" s="37"/>
      <c r="AD4056" s="37"/>
      <c r="AE4056" s="37"/>
      <c r="AF4056" s="37"/>
      <c r="AG4056" s="37"/>
      <c r="AH4056" s="37"/>
      <c r="AI4056" s="37"/>
      <c r="AJ4056" s="37"/>
      <c r="AK4056" s="37"/>
      <c r="AL4056" s="37"/>
      <c r="AM4056" s="37"/>
      <c r="AN4056" s="37"/>
      <c r="AO4056" s="37"/>
      <c r="AP4056" s="37"/>
      <c r="AQ4056" s="37"/>
      <c r="AR4056" s="37"/>
      <c r="AS4056" s="37"/>
      <c r="AT4056" s="37"/>
      <c r="AU4056" s="37"/>
      <c r="AV4056" s="37"/>
      <c r="AW4056" s="37"/>
      <c r="AX4056" s="37"/>
      <c r="AY4056" s="37"/>
      <c r="AZ4056" s="37"/>
      <c r="BA4056" s="37"/>
      <c r="BB4056" s="37"/>
      <c r="BC4056" s="37"/>
      <c r="BD4056" s="37"/>
      <c r="BE4056" s="37"/>
      <c r="BF4056" s="37"/>
      <c r="BG4056" s="37"/>
      <c r="BH4056" s="37"/>
      <c r="BI4056" s="37"/>
      <c r="BJ4056" s="37"/>
      <c r="BK4056" s="37"/>
      <c r="BL4056" s="37"/>
      <c r="BM4056" s="37"/>
    </row>
    <row r="4057" spans="1:65" s="40" customFormat="1" ht="21" x14ac:dyDescent="0.35">
      <c r="A4057" s="37"/>
      <c r="B4057" s="37"/>
      <c r="C4057" s="41"/>
      <c r="D4057" s="38"/>
      <c r="E4057" s="38"/>
      <c r="F4057" s="42"/>
      <c r="G4057" s="43"/>
      <c r="H4057" s="37"/>
      <c r="I4057" s="37"/>
      <c r="J4057" s="38"/>
      <c r="K4057" s="37"/>
      <c r="L4057" s="38"/>
      <c r="M4057" s="39"/>
      <c r="P4057" s="37"/>
      <c r="Q4057" s="37"/>
      <c r="R4057" s="37"/>
      <c r="S4057" s="37"/>
      <c r="T4057" s="37"/>
      <c r="U4057" s="37"/>
      <c r="V4057" s="37"/>
      <c r="W4057" s="37"/>
      <c r="X4057" s="37"/>
      <c r="Y4057" s="37"/>
      <c r="Z4057" s="37"/>
      <c r="AA4057" s="37"/>
      <c r="AB4057" s="37"/>
      <c r="AC4057" s="37"/>
      <c r="AD4057" s="37"/>
      <c r="AE4057" s="37"/>
      <c r="AF4057" s="37"/>
      <c r="AG4057" s="37"/>
      <c r="AH4057" s="37"/>
      <c r="AI4057" s="37"/>
      <c r="AJ4057" s="37"/>
      <c r="AK4057" s="37"/>
      <c r="AL4057" s="37"/>
      <c r="AM4057" s="37"/>
      <c r="AN4057" s="37"/>
      <c r="AO4057" s="37"/>
      <c r="AP4057" s="37"/>
      <c r="AQ4057" s="37"/>
      <c r="AR4057" s="37"/>
      <c r="AS4057" s="37"/>
      <c r="AT4057" s="37"/>
      <c r="AU4057" s="37"/>
      <c r="AV4057" s="37"/>
      <c r="AW4057" s="37"/>
      <c r="AX4057" s="37"/>
      <c r="AY4057" s="37"/>
      <c r="AZ4057" s="37"/>
      <c r="BA4057" s="37"/>
      <c r="BB4057" s="37"/>
      <c r="BC4057" s="37"/>
      <c r="BD4057" s="37"/>
      <c r="BE4057" s="37"/>
      <c r="BF4057" s="37"/>
      <c r="BG4057" s="37"/>
      <c r="BH4057" s="37"/>
      <c r="BI4057" s="37"/>
      <c r="BJ4057" s="37"/>
      <c r="BK4057" s="37"/>
      <c r="BL4057" s="37"/>
      <c r="BM4057" s="37"/>
    </row>
    <row r="4058" spans="1:65" s="40" customFormat="1" ht="21" x14ac:dyDescent="0.35">
      <c r="A4058" s="37"/>
      <c r="B4058" s="37"/>
      <c r="C4058" s="41"/>
      <c r="D4058" s="38"/>
      <c r="E4058" s="38"/>
      <c r="F4058" s="42"/>
      <c r="G4058" s="43"/>
      <c r="H4058" s="37"/>
      <c r="I4058" s="37"/>
      <c r="J4058" s="38"/>
      <c r="K4058" s="37"/>
      <c r="L4058" s="38"/>
      <c r="M4058" s="39"/>
      <c r="P4058" s="37"/>
      <c r="Q4058" s="37"/>
      <c r="R4058" s="37"/>
      <c r="S4058" s="37"/>
      <c r="T4058" s="37"/>
      <c r="U4058" s="37"/>
      <c r="V4058" s="37"/>
      <c r="W4058" s="37"/>
      <c r="X4058" s="37"/>
      <c r="Y4058" s="37"/>
      <c r="Z4058" s="37"/>
      <c r="AA4058" s="37"/>
      <c r="AB4058" s="37"/>
      <c r="AC4058" s="37"/>
      <c r="AD4058" s="37"/>
      <c r="AE4058" s="37"/>
      <c r="AF4058" s="37"/>
      <c r="AG4058" s="37"/>
      <c r="AH4058" s="37"/>
      <c r="AI4058" s="37"/>
      <c r="AJ4058" s="37"/>
      <c r="AK4058" s="37"/>
      <c r="AL4058" s="37"/>
      <c r="AM4058" s="37"/>
      <c r="AN4058" s="37"/>
      <c r="AO4058" s="37"/>
      <c r="AP4058" s="37"/>
      <c r="AQ4058" s="37"/>
      <c r="AR4058" s="37"/>
      <c r="AS4058" s="37"/>
      <c r="AT4058" s="37"/>
      <c r="AU4058" s="37"/>
      <c r="AV4058" s="37"/>
      <c r="AW4058" s="37"/>
      <c r="AX4058" s="37"/>
      <c r="AY4058" s="37"/>
      <c r="AZ4058" s="37"/>
      <c r="BA4058" s="37"/>
      <c r="BB4058" s="37"/>
      <c r="BC4058" s="37"/>
      <c r="BD4058" s="37"/>
      <c r="BE4058" s="37"/>
      <c r="BF4058" s="37"/>
      <c r="BG4058" s="37"/>
      <c r="BH4058" s="37"/>
      <c r="BI4058" s="37"/>
      <c r="BJ4058" s="37"/>
      <c r="BK4058" s="37"/>
      <c r="BL4058" s="37"/>
      <c r="BM4058" s="37"/>
    </row>
    <row r="4059" spans="1:65" s="40" customFormat="1" ht="21" x14ac:dyDescent="0.35">
      <c r="A4059" s="37"/>
      <c r="B4059" s="37"/>
      <c r="C4059" s="41"/>
      <c r="D4059" s="38"/>
      <c r="E4059" s="38"/>
      <c r="F4059" s="42"/>
      <c r="G4059" s="43"/>
      <c r="H4059" s="37"/>
      <c r="I4059" s="37"/>
      <c r="J4059" s="38"/>
      <c r="K4059" s="37"/>
      <c r="L4059" s="38"/>
      <c r="M4059" s="39"/>
      <c r="P4059" s="37"/>
      <c r="Q4059" s="37"/>
      <c r="R4059" s="37"/>
      <c r="S4059" s="37"/>
      <c r="T4059" s="37"/>
      <c r="U4059" s="37"/>
      <c r="V4059" s="37"/>
      <c r="W4059" s="37"/>
      <c r="X4059" s="37"/>
      <c r="Y4059" s="37"/>
      <c r="Z4059" s="37"/>
      <c r="AA4059" s="37"/>
      <c r="AB4059" s="37"/>
      <c r="AC4059" s="37"/>
      <c r="AD4059" s="37"/>
      <c r="AE4059" s="37"/>
      <c r="AF4059" s="37"/>
      <c r="AG4059" s="37"/>
      <c r="AH4059" s="37"/>
      <c r="AI4059" s="37"/>
      <c r="AJ4059" s="37"/>
      <c r="AK4059" s="37"/>
      <c r="AL4059" s="37"/>
      <c r="AM4059" s="37"/>
      <c r="AN4059" s="37"/>
      <c r="AO4059" s="37"/>
      <c r="AP4059" s="37"/>
      <c r="AQ4059" s="37"/>
      <c r="AR4059" s="37"/>
      <c r="AS4059" s="37"/>
      <c r="AT4059" s="37"/>
      <c r="AU4059" s="37"/>
      <c r="AV4059" s="37"/>
      <c r="AW4059" s="37"/>
      <c r="AX4059" s="37"/>
      <c r="AY4059" s="37"/>
      <c r="AZ4059" s="37"/>
      <c r="BA4059" s="37"/>
      <c r="BB4059" s="37"/>
      <c r="BC4059" s="37"/>
      <c r="BD4059" s="37"/>
      <c r="BE4059" s="37"/>
      <c r="BF4059" s="37"/>
      <c r="BG4059" s="37"/>
      <c r="BH4059" s="37"/>
      <c r="BI4059" s="37"/>
      <c r="BJ4059" s="37"/>
      <c r="BK4059" s="37"/>
      <c r="BL4059" s="37"/>
      <c r="BM4059" s="37"/>
    </row>
    <row r="4060" spans="1:65" s="40" customFormat="1" ht="21" x14ac:dyDescent="0.35">
      <c r="A4060" s="37"/>
      <c r="B4060" s="37"/>
      <c r="C4060" s="41"/>
      <c r="D4060" s="38"/>
      <c r="E4060" s="38"/>
      <c r="F4060" s="42"/>
      <c r="G4060" s="43"/>
      <c r="H4060" s="37"/>
      <c r="I4060" s="37"/>
      <c r="J4060" s="38"/>
      <c r="K4060" s="37"/>
      <c r="L4060" s="38"/>
      <c r="M4060" s="39"/>
      <c r="P4060" s="37"/>
      <c r="Q4060" s="37"/>
      <c r="R4060" s="37"/>
      <c r="S4060" s="37"/>
      <c r="T4060" s="37"/>
      <c r="U4060" s="37"/>
      <c r="V4060" s="37"/>
      <c r="W4060" s="37"/>
      <c r="X4060" s="37"/>
      <c r="Y4060" s="37"/>
      <c r="Z4060" s="37"/>
      <c r="AA4060" s="37"/>
      <c r="AB4060" s="37"/>
      <c r="AC4060" s="37"/>
      <c r="AD4060" s="37"/>
      <c r="AE4060" s="37"/>
      <c r="AF4060" s="37"/>
      <c r="AG4060" s="37"/>
      <c r="AH4060" s="37"/>
      <c r="AI4060" s="37"/>
      <c r="AJ4060" s="37"/>
      <c r="AK4060" s="37"/>
      <c r="AL4060" s="37"/>
      <c r="AM4060" s="37"/>
      <c r="AN4060" s="37"/>
      <c r="AO4060" s="37"/>
      <c r="AP4060" s="37"/>
      <c r="AQ4060" s="37"/>
      <c r="AR4060" s="37"/>
      <c r="AS4060" s="37"/>
      <c r="AT4060" s="37"/>
      <c r="AU4060" s="37"/>
      <c r="AV4060" s="37"/>
      <c r="AW4060" s="37"/>
      <c r="AX4060" s="37"/>
      <c r="AY4060" s="37"/>
      <c r="AZ4060" s="37"/>
      <c r="BA4060" s="37"/>
      <c r="BB4060" s="37"/>
      <c r="BC4060" s="37"/>
      <c r="BD4060" s="37"/>
      <c r="BE4060" s="37"/>
      <c r="BF4060" s="37"/>
      <c r="BG4060" s="37"/>
      <c r="BH4060" s="37"/>
      <c r="BI4060" s="37"/>
      <c r="BJ4060" s="37"/>
      <c r="BK4060" s="37"/>
      <c r="BL4060" s="37"/>
      <c r="BM4060" s="37"/>
    </row>
    <row r="4061" spans="1:65" s="40" customFormat="1" ht="21" x14ac:dyDescent="0.35">
      <c r="A4061" s="37"/>
      <c r="B4061" s="37"/>
      <c r="C4061" s="41"/>
      <c r="D4061" s="38"/>
      <c r="E4061" s="38"/>
      <c r="F4061" s="42"/>
      <c r="G4061" s="43"/>
      <c r="H4061" s="37"/>
      <c r="I4061" s="37"/>
      <c r="J4061" s="38"/>
      <c r="K4061" s="37"/>
      <c r="L4061" s="38"/>
      <c r="M4061" s="39"/>
      <c r="P4061" s="37"/>
      <c r="Q4061" s="37"/>
      <c r="R4061" s="37"/>
      <c r="S4061" s="37"/>
      <c r="T4061" s="37"/>
      <c r="U4061" s="37"/>
      <c r="V4061" s="37"/>
      <c r="W4061" s="37"/>
      <c r="X4061" s="37"/>
      <c r="Y4061" s="37"/>
      <c r="Z4061" s="37"/>
      <c r="AA4061" s="37"/>
      <c r="AB4061" s="37"/>
      <c r="AC4061" s="37"/>
      <c r="AD4061" s="37"/>
      <c r="AE4061" s="37"/>
      <c r="AF4061" s="37"/>
      <c r="AG4061" s="37"/>
      <c r="AH4061" s="37"/>
      <c r="AI4061" s="37"/>
      <c r="AJ4061" s="37"/>
      <c r="AK4061" s="37"/>
      <c r="AL4061" s="37"/>
      <c r="AM4061" s="37"/>
      <c r="AN4061" s="37"/>
      <c r="AO4061" s="37"/>
      <c r="AP4061" s="37"/>
      <c r="AQ4061" s="37"/>
      <c r="AR4061" s="37"/>
      <c r="AS4061" s="37"/>
      <c r="AT4061" s="37"/>
      <c r="AU4061" s="37"/>
      <c r="AV4061" s="37"/>
      <c r="AW4061" s="37"/>
      <c r="AX4061" s="37"/>
      <c r="AY4061" s="37"/>
      <c r="AZ4061" s="37"/>
      <c r="BA4061" s="37"/>
      <c r="BB4061" s="37"/>
      <c r="BC4061" s="37"/>
      <c r="BD4061" s="37"/>
      <c r="BE4061" s="37"/>
      <c r="BF4061" s="37"/>
      <c r="BG4061" s="37"/>
      <c r="BH4061" s="37"/>
      <c r="BI4061" s="37"/>
      <c r="BJ4061" s="37"/>
      <c r="BK4061" s="37"/>
      <c r="BL4061" s="37"/>
      <c r="BM4061" s="37"/>
    </row>
    <row r="4062" spans="1:65" s="40" customFormat="1" ht="21" x14ac:dyDescent="0.35">
      <c r="A4062" s="37"/>
      <c r="B4062" s="37"/>
      <c r="C4062" s="41"/>
      <c r="D4062" s="38"/>
      <c r="E4062" s="38"/>
      <c r="F4062" s="42"/>
      <c r="G4062" s="43"/>
      <c r="H4062" s="37"/>
      <c r="I4062" s="37"/>
      <c r="J4062" s="38"/>
      <c r="K4062" s="37"/>
      <c r="L4062" s="38"/>
      <c r="M4062" s="39"/>
      <c r="P4062" s="37"/>
      <c r="Q4062" s="37"/>
      <c r="R4062" s="37"/>
      <c r="S4062" s="37"/>
      <c r="T4062" s="37"/>
      <c r="U4062" s="37"/>
      <c r="V4062" s="37"/>
      <c r="W4062" s="37"/>
      <c r="X4062" s="37"/>
      <c r="Y4062" s="37"/>
      <c r="Z4062" s="37"/>
      <c r="AA4062" s="37"/>
      <c r="AB4062" s="37"/>
      <c r="AC4062" s="37"/>
      <c r="AD4062" s="37"/>
      <c r="AE4062" s="37"/>
      <c r="AF4062" s="37"/>
      <c r="AG4062" s="37"/>
      <c r="AH4062" s="37"/>
      <c r="AI4062" s="37"/>
      <c r="AJ4062" s="37"/>
      <c r="AK4062" s="37"/>
      <c r="AL4062" s="37"/>
      <c r="AM4062" s="37"/>
      <c r="AN4062" s="37"/>
      <c r="AO4062" s="37"/>
      <c r="AP4062" s="37"/>
      <c r="AQ4062" s="37"/>
      <c r="AR4062" s="37"/>
      <c r="AS4062" s="37"/>
      <c r="AT4062" s="37"/>
      <c r="AU4062" s="37"/>
      <c r="AV4062" s="37"/>
      <c r="AW4062" s="37"/>
      <c r="AX4062" s="37"/>
      <c r="AY4062" s="37"/>
      <c r="AZ4062" s="37"/>
      <c r="BA4062" s="37"/>
      <c r="BB4062" s="37"/>
      <c r="BC4062" s="37"/>
      <c r="BD4062" s="37"/>
      <c r="BE4062" s="37"/>
      <c r="BF4062" s="37"/>
      <c r="BG4062" s="37"/>
      <c r="BH4062" s="37"/>
      <c r="BI4062" s="37"/>
      <c r="BJ4062" s="37"/>
      <c r="BK4062" s="37"/>
      <c r="BL4062" s="37"/>
      <c r="BM4062" s="37"/>
    </row>
    <row r="4063" spans="1:65" s="40" customFormat="1" ht="21" x14ac:dyDescent="0.35">
      <c r="A4063" s="37"/>
      <c r="B4063" s="37"/>
      <c r="C4063" s="41"/>
      <c r="D4063" s="38"/>
      <c r="E4063" s="38"/>
      <c r="F4063" s="42"/>
      <c r="G4063" s="43"/>
      <c r="H4063" s="37"/>
      <c r="I4063" s="37"/>
      <c r="J4063" s="38"/>
      <c r="K4063" s="37"/>
      <c r="L4063" s="38"/>
      <c r="M4063" s="39"/>
      <c r="P4063" s="37"/>
      <c r="Q4063" s="37"/>
      <c r="R4063" s="37"/>
      <c r="S4063" s="37"/>
      <c r="T4063" s="37"/>
      <c r="U4063" s="37"/>
      <c r="V4063" s="37"/>
      <c r="W4063" s="37"/>
      <c r="X4063" s="37"/>
      <c r="Y4063" s="37"/>
      <c r="Z4063" s="37"/>
      <c r="AA4063" s="37"/>
      <c r="AB4063" s="37"/>
      <c r="AC4063" s="37"/>
      <c r="AD4063" s="37"/>
      <c r="AE4063" s="37"/>
      <c r="AF4063" s="37"/>
      <c r="AG4063" s="37"/>
      <c r="AH4063" s="37"/>
      <c r="AI4063" s="37"/>
      <c r="AJ4063" s="37"/>
      <c r="AK4063" s="37"/>
      <c r="AL4063" s="37"/>
      <c r="AM4063" s="37"/>
      <c r="AN4063" s="37"/>
      <c r="AO4063" s="37"/>
      <c r="AP4063" s="37"/>
      <c r="AQ4063" s="37"/>
      <c r="AR4063" s="37"/>
      <c r="AS4063" s="37"/>
      <c r="AT4063" s="37"/>
      <c r="AU4063" s="37"/>
      <c r="AV4063" s="37"/>
      <c r="AW4063" s="37"/>
      <c r="AX4063" s="37"/>
      <c r="AY4063" s="37"/>
      <c r="AZ4063" s="37"/>
      <c r="BA4063" s="37"/>
      <c r="BB4063" s="37"/>
      <c r="BC4063" s="37"/>
      <c r="BD4063" s="37"/>
      <c r="BE4063" s="37"/>
      <c r="BF4063" s="37"/>
      <c r="BG4063" s="37"/>
      <c r="BH4063" s="37"/>
      <c r="BI4063" s="37"/>
      <c r="BJ4063" s="37"/>
      <c r="BK4063" s="37"/>
      <c r="BL4063" s="37"/>
      <c r="BM4063" s="37"/>
    </row>
    <row r="4064" spans="1:65" s="40" customFormat="1" ht="21" x14ac:dyDescent="0.35">
      <c r="A4064" s="37"/>
      <c r="B4064" s="37"/>
      <c r="C4064" s="41"/>
      <c r="D4064" s="38"/>
      <c r="E4064" s="38"/>
      <c r="F4064" s="42"/>
      <c r="G4064" s="43"/>
      <c r="H4064" s="37"/>
      <c r="I4064" s="37"/>
      <c r="J4064" s="38"/>
      <c r="K4064" s="37"/>
      <c r="L4064" s="38"/>
      <c r="M4064" s="39"/>
      <c r="P4064" s="37"/>
      <c r="Q4064" s="37"/>
      <c r="R4064" s="37"/>
      <c r="S4064" s="37"/>
      <c r="T4064" s="37"/>
      <c r="U4064" s="37"/>
      <c r="V4064" s="37"/>
      <c r="W4064" s="37"/>
      <c r="X4064" s="37"/>
      <c r="Y4064" s="37"/>
      <c r="Z4064" s="37"/>
      <c r="AA4064" s="37"/>
      <c r="AB4064" s="37"/>
      <c r="AC4064" s="37"/>
      <c r="AD4064" s="37"/>
      <c r="AE4064" s="37"/>
      <c r="AF4064" s="37"/>
      <c r="AG4064" s="37"/>
      <c r="AH4064" s="37"/>
      <c r="AI4064" s="37"/>
      <c r="AJ4064" s="37"/>
      <c r="AK4064" s="37"/>
      <c r="AL4064" s="37"/>
      <c r="AM4064" s="37"/>
      <c r="AN4064" s="37"/>
      <c r="AO4064" s="37"/>
      <c r="AP4064" s="37"/>
      <c r="AQ4064" s="37"/>
      <c r="AR4064" s="37"/>
      <c r="AS4064" s="37"/>
      <c r="AT4064" s="37"/>
      <c r="AU4064" s="37"/>
      <c r="AV4064" s="37"/>
      <c r="AW4064" s="37"/>
      <c r="AX4064" s="37"/>
      <c r="AY4064" s="37"/>
      <c r="AZ4064" s="37"/>
      <c r="BA4064" s="37"/>
      <c r="BB4064" s="37"/>
      <c r="BC4064" s="37"/>
      <c r="BD4064" s="37"/>
      <c r="BE4064" s="37"/>
      <c r="BF4064" s="37"/>
      <c r="BG4064" s="37"/>
      <c r="BH4064" s="37"/>
      <c r="BI4064" s="37"/>
      <c r="BJ4064" s="37"/>
      <c r="BK4064" s="37"/>
      <c r="BL4064" s="37"/>
      <c r="BM4064" s="37"/>
    </row>
    <row r="4065" spans="1:65" s="40" customFormat="1" ht="21" x14ac:dyDescent="0.35">
      <c r="A4065" s="37"/>
      <c r="B4065" s="37"/>
      <c r="C4065" s="41"/>
      <c r="D4065" s="38"/>
      <c r="E4065" s="38"/>
      <c r="F4065" s="42"/>
      <c r="G4065" s="43"/>
      <c r="H4065" s="37"/>
      <c r="I4065" s="37"/>
      <c r="J4065" s="38"/>
      <c r="K4065" s="37"/>
      <c r="L4065" s="38"/>
      <c r="M4065" s="39"/>
      <c r="P4065" s="37"/>
      <c r="Q4065" s="37"/>
      <c r="R4065" s="37"/>
      <c r="S4065" s="37"/>
      <c r="T4065" s="37"/>
      <c r="U4065" s="37"/>
      <c r="V4065" s="37"/>
      <c r="W4065" s="37"/>
      <c r="X4065" s="37"/>
      <c r="Y4065" s="37"/>
      <c r="Z4065" s="37"/>
      <c r="AA4065" s="37"/>
      <c r="AB4065" s="37"/>
      <c r="AC4065" s="37"/>
      <c r="AD4065" s="37"/>
      <c r="AE4065" s="37"/>
      <c r="AF4065" s="37"/>
      <c r="AG4065" s="37"/>
      <c r="AH4065" s="37"/>
      <c r="AI4065" s="37"/>
      <c r="AJ4065" s="37"/>
      <c r="AK4065" s="37"/>
      <c r="AL4065" s="37"/>
      <c r="AM4065" s="37"/>
      <c r="AN4065" s="37"/>
      <c r="AO4065" s="37"/>
      <c r="AP4065" s="37"/>
      <c r="AQ4065" s="37"/>
      <c r="AR4065" s="37"/>
      <c r="AS4065" s="37"/>
      <c r="AT4065" s="37"/>
      <c r="AU4065" s="37"/>
      <c r="AV4065" s="37"/>
      <c r="AW4065" s="37"/>
      <c r="AX4065" s="37"/>
      <c r="AY4065" s="37"/>
      <c r="AZ4065" s="37"/>
      <c r="BA4065" s="37"/>
      <c r="BB4065" s="37"/>
      <c r="BC4065" s="37"/>
      <c r="BD4065" s="37"/>
      <c r="BE4065" s="37"/>
      <c r="BF4065" s="37"/>
      <c r="BG4065" s="37"/>
      <c r="BH4065" s="37"/>
      <c r="BI4065" s="37"/>
      <c r="BJ4065" s="37"/>
      <c r="BK4065" s="37"/>
      <c r="BL4065" s="37"/>
      <c r="BM4065" s="37"/>
    </row>
    <row r="4066" spans="1:65" s="40" customFormat="1" ht="21" x14ac:dyDescent="0.35">
      <c r="A4066" s="37"/>
      <c r="B4066" s="37"/>
      <c r="C4066" s="41"/>
      <c r="D4066" s="38"/>
      <c r="E4066" s="38"/>
      <c r="F4066" s="42"/>
      <c r="G4066" s="43"/>
      <c r="H4066" s="37"/>
      <c r="I4066" s="37"/>
      <c r="J4066" s="38"/>
      <c r="K4066" s="37"/>
      <c r="L4066" s="38"/>
      <c r="M4066" s="39"/>
      <c r="P4066" s="37"/>
      <c r="Q4066" s="37"/>
      <c r="R4066" s="37"/>
      <c r="S4066" s="37"/>
      <c r="T4066" s="37"/>
      <c r="U4066" s="37"/>
      <c r="V4066" s="37"/>
      <c r="W4066" s="37"/>
      <c r="X4066" s="37"/>
      <c r="Y4066" s="37"/>
      <c r="Z4066" s="37"/>
      <c r="AA4066" s="37"/>
      <c r="AB4066" s="37"/>
      <c r="AC4066" s="37"/>
      <c r="AD4066" s="37"/>
      <c r="AE4066" s="37"/>
      <c r="AF4066" s="37"/>
      <c r="AG4066" s="37"/>
      <c r="AH4066" s="37"/>
      <c r="AI4066" s="37"/>
      <c r="AJ4066" s="37"/>
      <c r="AK4066" s="37"/>
      <c r="AL4066" s="37"/>
      <c r="AM4066" s="37"/>
      <c r="AN4066" s="37"/>
      <c r="AO4066" s="37"/>
      <c r="AP4066" s="37"/>
      <c r="AQ4066" s="37"/>
      <c r="AR4066" s="37"/>
      <c r="AS4066" s="37"/>
      <c r="AT4066" s="37"/>
      <c r="AU4066" s="37"/>
      <c r="AV4066" s="37"/>
      <c r="AW4066" s="37"/>
      <c r="AX4066" s="37"/>
      <c r="AY4066" s="37"/>
      <c r="AZ4066" s="37"/>
      <c r="BA4066" s="37"/>
      <c r="BB4066" s="37"/>
      <c r="BC4066" s="37"/>
      <c r="BD4066" s="37"/>
      <c r="BE4066" s="37"/>
      <c r="BF4066" s="37"/>
      <c r="BG4066" s="37"/>
      <c r="BH4066" s="37"/>
      <c r="BI4066" s="37"/>
      <c r="BJ4066" s="37"/>
      <c r="BK4066" s="37"/>
      <c r="BL4066" s="37"/>
      <c r="BM4066" s="37"/>
    </row>
    <row r="4067" spans="1:65" s="40" customFormat="1" ht="21" x14ac:dyDescent="0.35">
      <c r="A4067" s="37"/>
      <c r="B4067" s="37"/>
      <c r="C4067" s="41"/>
      <c r="D4067" s="38"/>
      <c r="E4067" s="38"/>
      <c r="F4067" s="42"/>
      <c r="G4067" s="43"/>
      <c r="H4067" s="37"/>
      <c r="I4067" s="37"/>
      <c r="J4067" s="38"/>
      <c r="K4067" s="37"/>
      <c r="L4067" s="38"/>
      <c r="M4067" s="39"/>
      <c r="P4067" s="37"/>
      <c r="Q4067" s="37"/>
      <c r="R4067" s="37"/>
      <c r="S4067" s="37"/>
      <c r="T4067" s="37"/>
      <c r="U4067" s="37"/>
      <c r="V4067" s="37"/>
      <c r="W4067" s="37"/>
      <c r="X4067" s="37"/>
      <c r="Y4067" s="37"/>
      <c r="Z4067" s="37"/>
      <c r="AA4067" s="37"/>
      <c r="AB4067" s="37"/>
      <c r="AC4067" s="37"/>
      <c r="AD4067" s="37"/>
      <c r="AE4067" s="37"/>
      <c r="AF4067" s="37"/>
      <c r="AG4067" s="37"/>
      <c r="AH4067" s="37"/>
      <c r="AI4067" s="37"/>
      <c r="AJ4067" s="37"/>
      <c r="AK4067" s="37"/>
      <c r="AL4067" s="37"/>
      <c r="AM4067" s="37"/>
      <c r="AN4067" s="37"/>
      <c r="AO4067" s="37"/>
      <c r="AP4067" s="37"/>
      <c r="AQ4067" s="37"/>
      <c r="AR4067" s="37"/>
      <c r="AS4067" s="37"/>
      <c r="AT4067" s="37"/>
      <c r="AU4067" s="37"/>
      <c r="AV4067" s="37"/>
      <c r="AW4067" s="37"/>
      <c r="AX4067" s="37"/>
      <c r="AY4067" s="37"/>
      <c r="AZ4067" s="37"/>
      <c r="BA4067" s="37"/>
      <c r="BB4067" s="37"/>
      <c r="BC4067" s="37"/>
      <c r="BD4067" s="37"/>
      <c r="BE4067" s="37"/>
      <c r="BF4067" s="37"/>
      <c r="BG4067" s="37"/>
      <c r="BH4067" s="37"/>
      <c r="BI4067" s="37"/>
      <c r="BJ4067" s="37"/>
      <c r="BK4067" s="37"/>
      <c r="BL4067" s="37"/>
      <c r="BM4067" s="37"/>
    </row>
    <row r="4068" spans="1:65" s="40" customFormat="1" ht="21" x14ac:dyDescent="0.35">
      <c r="A4068" s="37"/>
      <c r="B4068" s="37"/>
      <c r="C4068" s="41"/>
      <c r="D4068" s="38"/>
      <c r="E4068" s="38"/>
      <c r="F4068" s="42"/>
      <c r="G4068" s="43"/>
      <c r="H4068" s="37"/>
      <c r="I4068" s="37"/>
      <c r="J4068" s="38"/>
      <c r="K4068" s="37"/>
      <c r="L4068" s="38"/>
      <c r="M4068" s="39"/>
      <c r="P4068" s="37"/>
      <c r="Q4068" s="37"/>
      <c r="R4068" s="37"/>
      <c r="S4068" s="37"/>
      <c r="T4068" s="37"/>
      <c r="U4068" s="37"/>
      <c r="V4068" s="37"/>
      <c r="W4068" s="37"/>
      <c r="X4068" s="37"/>
      <c r="Y4068" s="37"/>
      <c r="Z4068" s="37"/>
      <c r="AA4068" s="37"/>
      <c r="AB4068" s="37"/>
      <c r="AC4068" s="37"/>
      <c r="AD4068" s="37"/>
      <c r="AE4068" s="37"/>
      <c r="AF4068" s="37"/>
      <c r="AG4068" s="37"/>
      <c r="AH4068" s="37"/>
      <c r="AI4068" s="37"/>
      <c r="AJ4068" s="37"/>
      <c r="AK4068" s="37"/>
      <c r="AL4068" s="37"/>
      <c r="AM4068" s="37"/>
      <c r="AN4068" s="37"/>
      <c r="AO4068" s="37"/>
      <c r="AP4068" s="37"/>
      <c r="AQ4068" s="37"/>
      <c r="AR4068" s="37"/>
      <c r="AS4068" s="37"/>
      <c r="AT4068" s="37"/>
      <c r="AU4068" s="37"/>
      <c r="AV4068" s="37"/>
      <c r="AW4068" s="37"/>
      <c r="AX4068" s="37"/>
      <c r="AY4068" s="37"/>
      <c r="AZ4068" s="37"/>
      <c r="BA4068" s="37"/>
      <c r="BB4068" s="37"/>
      <c r="BC4068" s="37"/>
      <c r="BD4068" s="37"/>
      <c r="BE4068" s="37"/>
      <c r="BF4068" s="37"/>
      <c r="BG4068" s="37"/>
      <c r="BH4068" s="37"/>
      <c r="BI4068" s="37"/>
      <c r="BJ4068" s="37"/>
      <c r="BK4068" s="37"/>
      <c r="BL4068" s="37"/>
      <c r="BM4068" s="37"/>
    </row>
    <row r="4069" spans="1:65" s="40" customFormat="1" ht="21" x14ac:dyDescent="0.35">
      <c r="A4069" s="37"/>
      <c r="B4069" s="37"/>
      <c r="C4069" s="41"/>
      <c r="D4069" s="38"/>
      <c r="E4069" s="38"/>
      <c r="F4069" s="42"/>
      <c r="G4069" s="43"/>
      <c r="H4069" s="37"/>
      <c r="I4069" s="37"/>
      <c r="J4069" s="38"/>
      <c r="K4069" s="37"/>
      <c r="L4069" s="38"/>
      <c r="M4069" s="39"/>
      <c r="P4069" s="37"/>
      <c r="Q4069" s="37"/>
      <c r="R4069" s="37"/>
      <c r="S4069" s="37"/>
      <c r="T4069" s="37"/>
      <c r="U4069" s="37"/>
      <c r="V4069" s="37"/>
      <c r="W4069" s="37"/>
      <c r="X4069" s="37"/>
      <c r="Y4069" s="37"/>
      <c r="Z4069" s="37"/>
      <c r="AA4069" s="37"/>
      <c r="AB4069" s="37"/>
      <c r="AC4069" s="37"/>
      <c r="AD4069" s="37"/>
      <c r="AE4069" s="37"/>
      <c r="AF4069" s="37"/>
      <c r="AG4069" s="37"/>
      <c r="AH4069" s="37"/>
      <c r="AI4069" s="37"/>
      <c r="AJ4069" s="37"/>
      <c r="AK4069" s="37"/>
      <c r="AL4069" s="37"/>
      <c r="AM4069" s="37"/>
      <c r="AN4069" s="37"/>
      <c r="AO4069" s="37"/>
      <c r="AP4069" s="37"/>
      <c r="AQ4069" s="37"/>
      <c r="AR4069" s="37"/>
      <c r="AS4069" s="37"/>
      <c r="AT4069" s="37"/>
      <c r="AU4069" s="37"/>
      <c r="AV4069" s="37"/>
      <c r="AW4069" s="37"/>
      <c r="AX4069" s="37"/>
      <c r="AY4069" s="37"/>
      <c r="AZ4069" s="37"/>
      <c r="BA4069" s="37"/>
      <c r="BB4069" s="37"/>
      <c r="BC4069" s="37"/>
      <c r="BD4069" s="37"/>
      <c r="BE4069" s="37"/>
      <c r="BF4069" s="37"/>
      <c r="BG4069" s="37"/>
      <c r="BH4069" s="37"/>
      <c r="BI4069" s="37"/>
      <c r="BJ4069" s="37"/>
      <c r="BK4069" s="37"/>
      <c r="BL4069" s="37"/>
      <c r="BM4069" s="37"/>
    </row>
    <row r="4070" spans="1:65" s="40" customFormat="1" ht="21" x14ac:dyDescent="0.35">
      <c r="A4070" s="37"/>
      <c r="B4070" s="37"/>
      <c r="C4070" s="41"/>
      <c r="D4070" s="38"/>
      <c r="E4070" s="38"/>
      <c r="F4070" s="42"/>
      <c r="G4070" s="43"/>
      <c r="H4070" s="37"/>
      <c r="I4070" s="37"/>
      <c r="J4070" s="38"/>
      <c r="K4070" s="37"/>
      <c r="L4070" s="38"/>
      <c r="M4070" s="39"/>
      <c r="P4070" s="37"/>
      <c r="Q4070" s="37"/>
      <c r="R4070" s="37"/>
      <c r="S4070" s="37"/>
      <c r="T4070" s="37"/>
      <c r="U4070" s="37"/>
      <c r="V4070" s="37"/>
      <c r="W4070" s="37"/>
      <c r="X4070" s="37"/>
      <c r="Y4070" s="37"/>
      <c r="Z4070" s="37"/>
      <c r="AA4070" s="37"/>
      <c r="AB4070" s="37"/>
      <c r="AC4070" s="37"/>
      <c r="AD4070" s="37"/>
      <c r="AE4070" s="37"/>
      <c r="AF4070" s="37"/>
      <c r="AG4070" s="37"/>
      <c r="AH4070" s="37"/>
      <c r="AI4070" s="37"/>
      <c r="AJ4070" s="37"/>
      <c r="AK4070" s="37"/>
      <c r="AL4070" s="37"/>
      <c r="AM4070" s="37"/>
      <c r="AN4070" s="37"/>
      <c r="AO4070" s="37"/>
      <c r="AP4070" s="37"/>
      <c r="AQ4070" s="37"/>
      <c r="AR4070" s="37"/>
      <c r="AS4070" s="37"/>
      <c r="AT4070" s="37"/>
      <c r="AU4070" s="37"/>
      <c r="AV4070" s="37"/>
      <c r="AW4070" s="37"/>
      <c r="AX4070" s="37"/>
      <c r="AY4070" s="37"/>
      <c r="AZ4070" s="37"/>
      <c r="BA4070" s="37"/>
      <c r="BB4070" s="37"/>
      <c r="BC4070" s="37"/>
      <c r="BD4070" s="37"/>
      <c r="BE4070" s="37"/>
      <c r="BF4070" s="37"/>
      <c r="BG4070" s="37"/>
      <c r="BH4070" s="37"/>
      <c r="BI4070" s="37"/>
      <c r="BJ4070" s="37"/>
      <c r="BK4070" s="37"/>
      <c r="BL4070" s="37"/>
      <c r="BM4070" s="37"/>
    </row>
    <row r="4071" spans="1:65" s="40" customFormat="1" ht="21" x14ac:dyDescent="0.35">
      <c r="A4071" s="37"/>
      <c r="B4071" s="37"/>
      <c r="C4071" s="41"/>
      <c r="D4071" s="38"/>
      <c r="E4071" s="38"/>
      <c r="F4071" s="42"/>
      <c r="G4071" s="43"/>
      <c r="H4071" s="37"/>
      <c r="I4071" s="37"/>
      <c r="J4071" s="38"/>
      <c r="K4071" s="37"/>
      <c r="L4071" s="38"/>
      <c r="M4071" s="39"/>
      <c r="P4071" s="37"/>
      <c r="Q4071" s="37"/>
      <c r="R4071" s="37"/>
      <c r="S4071" s="37"/>
      <c r="T4071" s="37"/>
      <c r="U4071" s="37"/>
      <c r="V4071" s="37"/>
      <c r="W4071" s="37"/>
      <c r="X4071" s="37"/>
      <c r="Y4071" s="37"/>
      <c r="Z4071" s="37"/>
      <c r="AA4071" s="37"/>
      <c r="AB4071" s="37"/>
      <c r="AC4071" s="37"/>
      <c r="AD4071" s="37"/>
      <c r="AE4071" s="37"/>
      <c r="AF4071" s="37"/>
      <c r="AG4071" s="37"/>
      <c r="AH4071" s="37"/>
      <c r="AI4071" s="37"/>
      <c r="AJ4071" s="37"/>
      <c r="AK4071" s="37"/>
      <c r="AL4071" s="37"/>
      <c r="AM4071" s="37"/>
      <c r="AN4071" s="37"/>
      <c r="AO4071" s="37"/>
      <c r="AP4071" s="37"/>
      <c r="AQ4071" s="37"/>
      <c r="AR4071" s="37"/>
      <c r="AS4071" s="37"/>
      <c r="AT4071" s="37"/>
      <c r="AU4071" s="37"/>
      <c r="AV4071" s="37"/>
      <c r="AW4071" s="37"/>
      <c r="AX4071" s="37"/>
      <c r="AY4071" s="37"/>
      <c r="AZ4071" s="37"/>
      <c r="BA4071" s="37"/>
      <c r="BB4071" s="37"/>
      <c r="BC4071" s="37"/>
      <c r="BD4071" s="37"/>
      <c r="BE4071" s="37"/>
      <c r="BF4071" s="37"/>
      <c r="BG4071" s="37"/>
      <c r="BH4071" s="37"/>
      <c r="BI4071" s="37"/>
      <c r="BJ4071" s="37"/>
      <c r="BK4071" s="37"/>
      <c r="BL4071" s="37"/>
      <c r="BM4071" s="37"/>
    </row>
    <row r="4072" spans="1:65" s="40" customFormat="1" ht="21" x14ac:dyDescent="0.35">
      <c r="A4072" s="37"/>
      <c r="B4072" s="37"/>
      <c r="C4072" s="41"/>
      <c r="D4072" s="38"/>
      <c r="E4072" s="38"/>
      <c r="F4072" s="42"/>
      <c r="G4072" s="43"/>
      <c r="H4072" s="37"/>
      <c r="I4072" s="37"/>
      <c r="J4072" s="38"/>
      <c r="K4072" s="37"/>
      <c r="L4072" s="38"/>
      <c r="M4072" s="39"/>
      <c r="P4072" s="37"/>
      <c r="Q4072" s="37"/>
      <c r="R4072" s="37"/>
      <c r="S4072" s="37"/>
      <c r="T4072" s="37"/>
      <c r="U4072" s="37"/>
      <c r="V4072" s="37"/>
      <c r="W4072" s="37"/>
      <c r="X4072" s="37"/>
      <c r="Y4072" s="37"/>
      <c r="Z4072" s="37"/>
      <c r="AA4072" s="37"/>
      <c r="AB4072" s="37"/>
      <c r="AC4072" s="37"/>
      <c r="AD4072" s="37"/>
      <c r="AE4072" s="37"/>
      <c r="AF4072" s="37"/>
      <c r="AG4072" s="37"/>
      <c r="AH4072" s="37"/>
      <c r="AI4072" s="37"/>
      <c r="AJ4072" s="37"/>
      <c r="AK4072" s="37"/>
      <c r="AL4072" s="37"/>
      <c r="AM4072" s="37"/>
      <c r="AN4072" s="37"/>
      <c r="AO4072" s="37"/>
      <c r="AP4072" s="37"/>
      <c r="AQ4072" s="37"/>
      <c r="AR4072" s="37"/>
      <c r="AS4072" s="37"/>
      <c r="AT4072" s="37"/>
      <c r="AU4072" s="37"/>
      <c r="AV4072" s="37"/>
      <c r="AW4072" s="37"/>
      <c r="AX4072" s="37"/>
      <c r="AY4072" s="37"/>
      <c r="AZ4072" s="37"/>
      <c r="BA4072" s="37"/>
      <c r="BB4072" s="37"/>
      <c r="BC4072" s="37"/>
      <c r="BD4072" s="37"/>
      <c r="BE4072" s="37"/>
      <c r="BF4072" s="37"/>
      <c r="BG4072" s="37"/>
      <c r="BH4072" s="37"/>
      <c r="BI4072" s="37"/>
      <c r="BJ4072" s="37"/>
      <c r="BK4072" s="37"/>
      <c r="BL4072" s="37"/>
      <c r="BM4072" s="37"/>
    </row>
    <row r="4073" spans="1:65" s="40" customFormat="1" ht="21" x14ac:dyDescent="0.35">
      <c r="A4073" s="37"/>
      <c r="B4073" s="37"/>
      <c r="C4073" s="41"/>
      <c r="D4073" s="38"/>
      <c r="E4073" s="38"/>
      <c r="F4073" s="42"/>
      <c r="G4073" s="43"/>
      <c r="H4073" s="37"/>
      <c r="I4073" s="37"/>
      <c r="J4073" s="38"/>
      <c r="K4073" s="37"/>
      <c r="L4073" s="38"/>
      <c r="M4073" s="39"/>
      <c r="P4073" s="37"/>
      <c r="Q4073" s="37"/>
      <c r="R4073" s="37"/>
      <c r="S4073" s="37"/>
      <c r="T4073" s="37"/>
      <c r="U4073" s="37"/>
      <c r="V4073" s="37"/>
      <c r="W4073" s="37"/>
      <c r="X4073" s="37"/>
      <c r="Y4073" s="37"/>
      <c r="Z4073" s="37"/>
      <c r="AA4073" s="37"/>
      <c r="AB4073" s="37"/>
      <c r="AC4073" s="37"/>
      <c r="AD4073" s="37"/>
      <c r="AE4073" s="37"/>
      <c r="AF4073" s="37"/>
      <c r="AG4073" s="37"/>
      <c r="AH4073" s="37"/>
      <c r="AI4073" s="37"/>
      <c r="AJ4073" s="37"/>
      <c r="AK4073" s="37"/>
      <c r="AL4073" s="37"/>
      <c r="AM4073" s="37"/>
      <c r="AN4073" s="37"/>
      <c r="AO4073" s="37"/>
      <c r="AP4073" s="37"/>
      <c r="AQ4073" s="37"/>
      <c r="AR4073" s="37"/>
      <c r="AS4073" s="37"/>
      <c r="AT4073" s="37"/>
      <c r="AU4073" s="37"/>
      <c r="AV4073" s="37"/>
      <c r="AW4073" s="37"/>
      <c r="AX4073" s="37"/>
      <c r="AY4073" s="37"/>
      <c r="AZ4073" s="37"/>
      <c r="BA4073" s="37"/>
      <c r="BB4073" s="37"/>
      <c r="BC4073" s="37"/>
      <c r="BD4073" s="37"/>
      <c r="BE4073" s="37"/>
      <c r="BF4073" s="37"/>
      <c r="BG4073" s="37"/>
      <c r="BH4073" s="37"/>
      <c r="BI4073" s="37"/>
      <c r="BJ4073" s="37"/>
      <c r="BK4073" s="37"/>
      <c r="BL4073" s="37"/>
      <c r="BM4073" s="37"/>
    </row>
    <row r="4074" spans="1:65" s="40" customFormat="1" ht="21" x14ac:dyDescent="0.35">
      <c r="A4074" s="37"/>
      <c r="B4074" s="37"/>
      <c r="C4074" s="41"/>
      <c r="D4074" s="38"/>
      <c r="E4074" s="38"/>
      <c r="F4074" s="42"/>
      <c r="G4074" s="43"/>
      <c r="H4074" s="37"/>
      <c r="I4074" s="37"/>
      <c r="J4074" s="38"/>
      <c r="K4074" s="37"/>
      <c r="L4074" s="38"/>
      <c r="M4074" s="39"/>
      <c r="P4074" s="37"/>
      <c r="Q4074" s="37"/>
      <c r="R4074" s="37"/>
      <c r="S4074" s="37"/>
      <c r="T4074" s="37"/>
      <c r="U4074" s="37"/>
      <c r="V4074" s="37"/>
      <c r="W4074" s="37"/>
      <c r="X4074" s="37"/>
      <c r="Y4074" s="37"/>
      <c r="Z4074" s="37"/>
      <c r="AA4074" s="37"/>
      <c r="AB4074" s="37"/>
      <c r="AC4074" s="37"/>
      <c r="AD4074" s="37"/>
      <c r="AE4074" s="37"/>
      <c r="AF4074" s="37"/>
      <c r="AG4074" s="37"/>
      <c r="AH4074" s="37"/>
      <c r="AI4074" s="37"/>
      <c r="AJ4074" s="37"/>
      <c r="AK4074" s="37"/>
      <c r="AL4074" s="37"/>
      <c r="AM4074" s="37"/>
      <c r="AN4074" s="37"/>
      <c r="AO4074" s="37"/>
      <c r="AP4074" s="37"/>
      <c r="AQ4074" s="37"/>
      <c r="AR4074" s="37"/>
      <c r="AS4074" s="37"/>
      <c r="AT4074" s="37"/>
      <c r="AU4074" s="37"/>
      <c r="AV4074" s="37"/>
      <c r="AW4074" s="37"/>
      <c r="AX4074" s="37"/>
      <c r="AY4074" s="37"/>
      <c r="AZ4074" s="37"/>
      <c r="BA4074" s="37"/>
      <c r="BB4074" s="37"/>
      <c r="BC4074" s="37"/>
      <c r="BD4074" s="37"/>
      <c r="BE4074" s="37"/>
      <c r="BF4074" s="37"/>
      <c r="BG4074" s="37"/>
      <c r="BH4074" s="37"/>
      <c r="BI4074" s="37"/>
      <c r="BJ4074" s="37"/>
      <c r="BK4074" s="37"/>
      <c r="BL4074" s="37"/>
      <c r="BM4074" s="37"/>
    </row>
    <row r="4075" spans="1:65" s="40" customFormat="1" ht="21" x14ac:dyDescent="0.35">
      <c r="A4075" s="37"/>
      <c r="B4075" s="37"/>
      <c r="C4075" s="41"/>
      <c r="D4075" s="38"/>
      <c r="E4075" s="38"/>
      <c r="F4075" s="42"/>
      <c r="G4075" s="43"/>
      <c r="H4075" s="37"/>
      <c r="I4075" s="37"/>
      <c r="J4075" s="38"/>
      <c r="K4075" s="37"/>
      <c r="L4075" s="38"/>
      <c r="M4075" s="39"/>
      <c r="P4075" s="37"/>
      <c r="Q4075" s="37"/>
      <c r="R4075" s="37"/>
      <c r="S4075" s="37"/>
      <c r="T4075" s="37"/>
      <c r="U4075" s="37"/>
      <c r="V4075" s="37"/>
      <c r="W4075" s="37"/>
      <c r="X4075" s="37"/>
      <c r="Y4075" s="37"/>
      <c r="Z4075" s="37"/>
      <c r="AA4075" s="37"/>
      <c r="AB4075" s="37"/>
      <c r="AC4075" s="37"/>
      <c r="AD4075" s="37"/>
      <c r="AE4075" s="37"/>
      <c r="AF4075" s="37"/>
      <c r="AG4075" s="37"/>
      <c r="AH4075" s="37"/>
      <c r="AI4075" s="37"/>
      <c r="AJ4075" s="37"/>
      <c r="AK4075" s="37"/>
      <c r="AL4075" s="37"/>
      <c r="AM4075" s="37"/>
      <c r="AN4075" s="37"/>
      <c r="AO4075" s="37"/>
      <c r="AP4075" s="37"/>
      <c r="AQ4075" s="37"/>
      <c r="AR4075" s="37"/>
      <c r="AS4075" s="37"/>
      <c r="AT4075" s="37"/>
      <c r="AU4075" s="37"/>
      <c r="AV4075" s="37"/>
      <c r="AW4075" s="37"/>
      <c r="AX4075" s="37"/>
      <c r="AY4075" s="37"/>
      <c r="AZ4075" s="37"/>
      <c r="BA4075" s="37"/>
      <c r="BB4075" s="37"/>
      <c r="BC4075" s="37"/>
      <c r="BD4075" s="37"/>
      <c r="BE4075" s="37"/>
      <c r="BF4075" s="37"/>
      <c r="BG4075" s="37"/>
      <c r="BH4075" s="37"/>
      <c r="BI4075" s="37"/>
      <c r="BJ4075" s="37"/>
      <c r="BK4075" s="37"/>
      <c r="BL4075" s="37"/>
      <c r="BM4075" s="37"/>
    </row>
    <row r="4076" spans="1:65" s="40" customFormat="1" ht="21" x14ac:dyDescent="0.35">
      <c r="A4076" s="37"/>
      <c r="B4076" s="37"/>
      <c r="C4076" s="41"/>
      <c r="D4076" s="38"/>
      <c r="E4076" s="38"/>
      <c r="F4076" s="42"/>
      <c r="G4076" s="43"/>
      <c r="H4076" s="37"/>
      <c r="I4076" s="37"/>
      <c r="J4076" s="38"/>
      <c r="K4076" s="37"/>
      <c r="L4076" s="38"/>
      <c r="M4076" s="39"/>
      <c r="P4076" s="37"/>
      <c r="Q4076" s="37"/>
      <c r="R4076" s="37"/>
      <c r="S4076" s="37"/>
      <c r="T4076" s="37"/>
      <c r="U4076" s="37"/>
      <c r="V4076" s="37"/>
      <c r="W4076" s="37"/>
      <c r="X4076" s="37"/>
      <c r="Y4076" s="37"/>
      <c r="Z4076" s="37"/>
      <c r="AA4076" s="37"/>
      <c r="AB4076" s="37"/>
      <c r="AC4076" s="37"/>
      <c r="AD4076" s="37"/>
      <c r="AE4076" s="37"/>
      <c r="AF4076" s="37"/>
      <c r="AG4076" s="37"/>
      <c r="AH4076" s="37"/>
      <c r="AI4076" s="37"/>
      <c r="AJ4076" s="37"/>
      <c r="AK4076" s="37"/>
      <c r="AL4076" s="37"/>
      <c r="AM4076" s="37"/>
      <c r="AN4076" s="37"/>
      <c r="AO4076" s="37"/>
      <c r="AP4076" s="37"/>
      <c r="AQ4076" s="37"/>
      <c r="AR4076" s="37"/>
      <c r="AS4076" s="37"/>
      <c r="AT4076" s="37"/>
      <c r="AU4076" s="37"/>
      <c r="AV4076" s="37"/>
      <c r="AW4076" s="37"/>
      <c r="AX4076" s="37"/>
      <c r="AY4076" s="37"/>
      <c r="AZ4076" s="37"/>
      <c r="BA4076" s="37"/>
      <c r="BB4076" s="37"/>
      <c r="BC4076" s="37"/>
      <c r="BD4076" s="37"/>
      <c r="BE4076" s="37"/>
      <c r="BF4076" s="37"/>
      <c r="BG4076" s="37"/>
      <c r="BH4076" s="37"/>
      <c r="BI4076" s="37"/>
      <c r="BJ4076" s="37"/>
      <c r="BK4076" s="37"/>
      <c r="BL4076" s="37"/>
      <c r="BM4076" s="37"/>
    </row>
    <row r="4077" spans="1:65" s="40" customFormat="1" ht="21" x14ac:dyDescent="0.35">
      <c r="A4077" s="37"/>
      <c r="B4077" s="37"/>
      <c r="C4077" s="41"/>
      <c r="D4077" s="38"/>
      <c r="E4077" s="38"/>
      <c r="F4077" s="42"/>
      <c r="G4077" s="43"/>
      <c r="H4077" s="37"/>
      <c r="I4077" s="37"/>
      <c r="J4077" s="38"/>
      <c r="K4077" s="37"/>
      <c r="L4077" s="38"/>
      <c r="M4077" s="39"/>
      <c r="P4077" s="37"/>
      <c r="Q4077" s="37"/>
      <c r="R4077" s="37"/>
      <c r="S4077" s="37"/>
      <c r="T4077" s="37"/>
      <c r="U4077" s="37"/>
      <c r="V4077" s="37"/>
      <c r="W4077" s="37"/>
      <c r="X4077" s="37"/>
      <c r="Y4077" s="37"/>
      <c r="Z4077" s="37"/>
      <c r="AA4077" s="37"/>
      <c r="AB4077" s="37"/>
      <c r="AC4077" s="37"/>
      <c r="AD4077" s="37"/>
      <c r="AE4077" s="37"/>
      <c r="AF4077" s="37"/>
      <c r="AG4077" s="37"/>
      <c r="AH4077" s="37"/>
      <c r="AI4077" s="37"/>
      <c r="AJ4077" s="37"/>
      <c r="AK4077" s="37"/>
      <c r="AL4077" s="37"/>
      <c r="AM4077" s="37"/>
      <c r="AN4077" s="37"/>
      <c r="AO4077" s="37"/>
      <c r="AP4077" s="37"/>
      <c r="AQ4077" s="37"/>
      <c r="AR4077" s="37"/>
      <c r="AS4077" s="37"/>
      <c r="AT4077" s="37"/>
      <c r="AU4077" s="37"/>
      <c r="AV4077" s="37"/>
      <c r="AW4077" s="37"/>
      <c r="AX4077" s="37"/>
      <c r="AY4077" s="37"/>
      <c r="AZ4077" s="37"/>
      <c r="BA4077" s="37"/>
      <c r="BB4077" s="37"/>
      <c r="BC4077" s="37"/>
      <c r="BD4077" s="37"/>
      <c r="BE4077" s="37"/>
      <c r="BF4077" s="37"/>
      <c r="BG4077" s="37"/>
      <c r="BH4077" s="37"/>
      <c r="BI4077" s="37"/>
      <c r="BJ4077" s="37"/>
      <c r="BK4077" s="37"/>
      <c r="BL4077" s="37"/>
      <c r="BM4077" s="37"/>
    </row>
    <row r="4078" spans="1:65" s="40" customFormat="1" ht="21" x14ac:dyDescent="0.35">
      <c r="A4078" s="37"/>
      <c r="B4078" s="37"/>
      <c r="C4078" s="41"/>
      <c r="D4078" s="38"/>
      <c r="E4078" s="38"/>
      <c r="F4078" s="42"/>
      <c r="G4078" s="43"/>
      <c r="H4078" s="37"/>
      <c r="I4078" s="37"/>
      <c r="J4078" s="38"/>
      <c r="K4078" s="37"/>
      <c r="L4078" s="38"/>
      <c r="M4078" s="39"/>
      <c r="P4078" s="37"/>
      <c r="Q4078" s="37"/>
      <c r="R4078" s="37"/>
      <c r="S4078" s="37"/>
      <c r="T4078" s="37"/>
      <c r="U4078" s="37"/>
      <c r="V4078" s="37"/>
      <c r="W4078" s="37"/>
      <c r="X4078" s="37"/>
      <c r="Y4078" s="37"/>
      <c r="Z4078" s="37"/>
      <c r="AA4078" s="37"/>
      <c r="AB4078" s="37"/>
      <c r="AC4078" s="37"/>
      <c r="AD4078" s="37"/>
      <c r="AE4078" s="37"/>
      <c r="AF4078" s="37"/>
      <c r="AG4078" s="37"/>
      <c r="AH4078" s="37"/>
      <c r="AI4078" s="37"/>
      <c r="AJ4078" s="37"/>
      <c r="AK4078" s="37"/>
      <c r="AL4078" s="37"/>
      <c r="AM4078" s="37"/>
      <c r="AN4078" s="37"/>
      <c r="AO4078" s="37"/>
      <c r="AP4078" s="37"/>
      <c r="AQ4078" s="37"/>
      <c r="AR4078" s="37"/>
      <c r="AS4078" s="37"/>
      <c r="AT4078" s="37"/>
      <c r="AU4078" s="37"/>
      <c r="AV4078" s="37"/>
      <c r="AW4078" s="37"/>
      <c r="AX4078" s="37"/>
      <c r="AY4078" s="37"/>
      <c r="AZ4078" s="37"/>
      <c r="BA4078" s="37"/>
      <c r="BB4078" s="37"/>
      <c r="BC4078" s="37"/>
      <c r="BD4078" s="37"/>
      <c r="BE4078" s="37"/>
      <c r="BF4078" s="37"/>
      <c r="BG4078" s="37"/>
      <c r="BH4078" s="37"/>
      <c r="BI4078" s="37"/>
      <c r="BJ4078" s="37"/>
      <c r="BK4078" s="37"/>
      <c r="BL4078" s="37"/>
      <c r="BM4078" s="37"/>
    </row>
    <row r="4079" spans="1:65" s="40" customFormat="1" ht="21" x14ac:dyDescent="0.35">
      <c r="A4079" s="37"/>
      <c r="B4079" s="37"/>
      <c r="C4079" s="41"/>
      <c r="D4079" s="38"/>
      <c r="E4079" s="38"/>
      <c r="F4079" s="42"/>
      <c r="G4079" s="43"/>
      <c r="H4079" s="37"/>
      <c r="I4079" s="37"/>
      <c r="J4079" s="38"/>
      <c r="K4079" s="37"/>
      <c r="L4079" s="38"/>
      <c r="M4079" s="39"/>
      <c r="P4079" s="37"/>
      <c r="Q4079" s="37"/>
      <c r="R4079" s="37"/>
      <c r="S4079" s="37"/>
      <c r="T4079" s="37"/>
      <c r="U4079" s="37"/>
      <c r="V4079" s="37"/>
      <c r="W4079" s="37"/>
      <c r="X4079" s="37"/>
      <c r="Y4079" s="37"/>
      <c r="Z4079" s="37"/>
      <c r="AA4079" s="37"/>
      <c r="AB4079" s="37"/>
      <c r="AC4079" s="37"/>
      <c r="AD4079" s="37"/>
      <c r="AE4079" s="37"/>
      <c r="AF4079" s="37"/>
      <c r="AG4079" s="37"/>
      <c r="AH4079" s="37"/>
      <c r="AI4079" s="37"/>
      <c r="AJ4079" s="37"/>
      <c r="AK4079" s="37"/>
      <c r="AL4079" s="37"/>
      <c r="AM4079" s="37"/>
      <c r="AN4079" s="37"/>
      <c r="AO4079" s="37"/>
      <c r="AP4079" s="37"/>
      <c r="AQ4079" s="37"/>
      <c r="AR4079" s="37"/>
      <c r="AS4079" s="37"/>
      <c r="AT4079" s="37"/>
      <c r="AU4079" s="37"/>
      <c r="AV4079" s="37"/>
      <c r="AW4079" s="37"/>
      <c r="AX4079" s="37"/>
      <c r="AY4079" s="37"/>
      <c r="AZ4079" s="37"/>
      <c r="BA4079" s="37"/>
      <c r="BB4079" s="37"/>
      <c r="BC4079" s="37"/>
      <c r="BD4079" s="37"/>
      <c r="BE4079" s="37"/>
      <c r="BF4079" s="37"/>
      <c r="BG4079" s="37"/>
      <c r="BH4079" s="37"/>
      <c r="BI4079" s="37"/>
      <c r="BJ4079" s="37"/>
      <c r="BK4079" s="37"/>
      <c r="BL4079" s="37"/>
      <c r="BM4079" s="37"/>
    </row>
    <row r="4080" spans="1:65" s="40" customFormat="1" ht="21" x14ac:dyDescent="0.35">
      <c r="A4080" s="37"/>
      <c r="B4080" s="37"/>
      <c r="C4080" s="41"/>
      <c r="D4080" s="38"/>
      <c r="E4080" s="38"/>
      <c r="F4080" s="42"/>
      <c r="G4080" s="43"/>
      <c r="H4080" s="37"/>
      <c r="I4080" s="37"/>
      <c r="J4080" s="38"/>
      <c r="K4080" s="37"/>
      <c r="L4080" s="38"/>
      <c r="M4080" s="39"/>
      <c r="P4080" s="37"/>
      <c r="Q4080" s="37"/>
      <c r="R4080" s="37"/>
      <c r="S4080" s="37"/>
      <c r="T4080" s="37"/>
      <c r="U4080" s="37"/>
      <c r="V4080" s="37"/>
      <c r="W4080" s="37"/>
      <c r="X4080" s="37"/>
      <c r="Y4080" s="37"/>
      <c r="Z4080" s="37"/>
      <c r="AA4080" s="37"/>
      <c r="AB4080" s="37"/>
      <c r="AC4080" s="37"/>
      <c r="AD4080" s="37"/>
      <c r="AE4080" s="37"/>
      <c r="AF4080" s="37"/>
      <c r="AG4080" s="37"/>
      <c r="AH4080" s="37"/>
      <c r="AI4080" s="37"/>
      <c r="AJ4080" s="37"/>
      <c r="AK4080" s="37"/>
      <c r="AL4080" s="37"/>
      <c r="AM4080" s="37"/>
      <c r="AN4080" s="37"/>
      <c r="AO4080" s="37"/>
      <c r="AP4080" s="37"/>
      <c r="AQ4080" s="37"/>
      <c r="AR4080" s="37"/>
      <c r="AS4080" s="37"/>
      <c r="AT4080" s="37"/>
      <c r="AU4080" s="37"/>
      <c r="AV4080" s="37"/>
      <c r="AW4080" s="37"/>
      <c r="AX4080" s="37"/>
      <c r="AY4080" s="37"/>
      <c r="AZ4080" s="37"/>
      <c r="BA4080" s="37"/>
      <c r="BB4080" s="37"/>
      <c r="BC4080" s="37"/>
      <c r="BD4080" s="37"/>
      <c r="BE4080" s="37"/>
      <c r="BF4080" s="37"/>
      <c r="BG4080" s="37"/>
      <c r="BH4080" s="37"/>
      <c r="BI4080" s="37"/>
      <c r="BJ4080" s="37"/>
      <c r="BK4080" s="37"/>
      <c r="BL4080" s="37"/>
      <c r="BM4080" s="37"/>
    </row>
    <row r="4081" spans="1:65" s="40" customFormat="1" ht="21" x14ac:dyDescent="0.35">
      <c r="A4081" s="37"/>
      <c r="B4081" s="37"/>
      <c r="C4081" s="41"/>
      <c r="D4081" s="38"/>
      <c r="E4081" s="38"/>
      <c r="F4081" s="42"/>
      <c r="G4081" s="43"/>
      <c r="H4081" s="37"/>
      <c r="I4081" s="37"/>
      <c r="J4081" s="38"/>
      <c r="K4081" s="37"/>
      <c r="L4081" s="38"/>
      <c r="M4081" s="39"/>
      <c r="P4081" s="37"/>
      <c r="Q4081" s="37"/>
      <c r="R4081" s="37"/>
      <c r="S4081" s="37"/>
      <c r="T4081" s="37"/>
      <c r="U4081" s="37"/>
      <c r="V4081" s="37"/>
      <c r="W4081" s="37"/>
      <c r="X4081" s="37"/>
      <c r="Y4081" s="37"/>
      <c r="Z4081" s="37"/>
      <c r="AA4081" s="37"/>
      <c r="AB4081" s="37"/>
      <c r="AC4081" s="37"/>
      <c r="AD4081" s="37"/>
      <c r="AE4081" s="37"/>
      <c r="AF4081" s="37"/>
      <c r="AG4081" s="37"/>
      <c r="AH4081" s="37"/>
      <c r="AI4081" s="37"/>
      <c r="AJ4081" s="37"/>
      <c r="AK4081" s="37"/>
      <c r="AL4081" s="37"/>
      <c r="AM4081" s="37"/>
      <c r="AN4081" s="37"/>
      <c r="AO4081" s="37"/>
      <c r="AP4081" s="37"/>
      <c r="AQ4081" s="37"/>
      <c r="AR4081" s="37"/>
      <c r="AS4081" s="37"/>
      <c r="AT4081" s="37"/>
      <c r="AU4081" s="37"/>
      <c r="AV4081" s="37"/>
      <c r="AW4081" s="37"/>
      <c r="AX4081" s="37"/>
      <c r="AY4081" s="37"/>
      <c r="AZ4081" s="37"/>
      <c r="BA4081" s="37"/>
      <c r="BB4081" s="37"/>
      <c r="BC4081" s="37"/>
      <c r="BD4081" s="37"/>
      <c r="BE4081" s="37"/>
      <c r="BF4081" s="37"/>
      <c r="BG4081" s="37"/>
      <c r="BH4081" s="37"/>
      <c r="BI4081" s="37"/>
      <c r="BJ4081" s="37"/>
      <c r="BK4081" s="37"/>
      <c r="BL4081" s="37"/>
      <c r="BM4081" s="37"/>
    </row>
    <row r="4082" spans="1:65" s="40" customFormat="1" ht="21" x14ac:dyDescent="0.35">
      <c r="A4082" s="37"/>
      <c r="B4082" s="37"/>
      <c r="C4082" s="41"/>
      <c r="D4082" s="38"/>
      <c r="E4082" s="38"/>
      <c r="F4082" s="42"/>
      <c r="G4082" s="43"/>
      <c r="H4082" s="37"/>
      <c r="I4082" s="37"/>
      <c r="J4082" s="38"/>
      <c r="K4082" s="37"/>
      <c r="L4082" s="38"/>
      <c r="M4082" s="39"/>
      <c r="P4082" s="37"/>
      <c r="Q4082" s="37"/>
      <c r="R4082" s="37"/>
      <c r="S4082" s="37"/>
      <c r="T4082" s="37"/>
      <c r="U4082" s="37"/>
      <c r="V4082" s="37"/>
      <c r="W4082" s="37"/>
      <c r="X4082" s="37"/>
      <c r="Y4082" s="37"/>
      <c r="Z4082" s="37"/>
      <c r="AA4082" s="37"/>
      <c r="AB4082" s="37"/>
      <c r="AC4082" s="37"/>
      <c r="AD4082" s="37"/>
      <c r="AE4082" s="37"/>
      <c r="AF4082" s="37"/>
      <c r="AG4082" s="37"/>
      <c r="AH4082" s="37"/>
      <c r="AI4082" s="37"/>
      <c r="AJ4082" s="37"/>
      <c r="AK4082" s="37"/>
      <c r="AL4082" s="37"/>
      <c r="AM4082" s="37"/>
      <c r="AN4082" s="37"/>
      <c r="AO4082" s="37"/>
      <c r="AP4082" s="37"/>
      <c r="AQ4082" s="37"/>
      <c r="AR4082" s="37"/>
      <c r="AS4082" s="37"/>
      <c r="AT4082" s="37"/>
      <c r="AU4082" s="37"/>
      <c r="AV4082" s="37"/>
      <c r="AW4082" s="37"/>
      <c r="AX4082" s="37"/>
      <c r="AY4082" s="37"/>
      <c r="AZ4082" s="37"/>
      <c r="BA4082" s="37"/>
      <c r="BB4082" s="37"/>
      <c r="BC4082" s="37"/>
      <c r="BD4082" s="37"/>
      <c r="BE4082" s="37"/>
      <c r="BF4082" s="37"/>
      <c r="BG4082" s="37"/>
      <c r="BH4082" s="37"/>
      <c r="BI4082" s="37"/>
      <c r="BJ4082" s="37"/>
      <c r="BK4082" s="37"/>
      <c r="BL4082" s="37"/>
      <c r="BM4082" s="37"/>
    </row>
    <row r="4083" spans="1:65" s="40" customFormat="1" ht="21" x14ac:dyDescent="0.35">
      <c r="A4083" s="37"/>
      <c r="B4083" s="37"/>
      <c r="C4083" s="41"/>
      <c r="D4083" s="38"/>
      <c r="E4083" s="38"/>
      <c r="F4083" s="42"/>
      <c r="G4083" s="43"/>
      <c r="H4083" s="37"/>
      <c r="I4083" s="37"/>
      <c r="J4083" s="38"/>
      <c r="K4083" s="37"/>
      <c r="L4083" s="38"/>
      <c r="M4083" s="39"/>
      <c r="P4083" s="37"/>
      <c r="Q4083" s="37"/>
      <c r="R4083" s="37"/>
      <c r="S4083" s="37"/>
      <c r="T4083" s="37"/>
      <c r="U4083" s="37"/>
      <c r="V4083" s="37"/>
      <c r="W4083" s="37"/>
      <c r="X4083" s="37"/>
      <c r="Y4083" s="37"/>
      <c r="Z4083" s="37"/>
      <c r="AA4083" s="37"/>
      <c r="AB4083" s="37"/>
      <c r="AC4083" s="37"/>
      <c r="AD4083" s="37"/>
      <c r="AE4083" s="37"/>
      <c r="AF4083" s="37"/>
      <c r="AG4083" s="37"/>
      <c r="AH4083" s="37"/>
      <c r="AI4083" s="37"/>
      <c r="AJ4083" s="37"/>
      <c r="AK4083" s="37"/>
      <c r="AL4083" s="37"/>
      <c r="AM4083" s="37"/>
      <c r="AN4083" s="37"/>
      <c r="AO4083" s="37"/>
      <c r="AP4083" s="37"/>
      <c r="AQ4083" s="37"/>
      <c r="AR4083" s="37"/>
      <c r="AS4083" s="37"/>
      <c r="AT4083" s="37"/>
      <c r="AU4083" s="37"/>
      <c r="AV4083" s="37"/>
      <c r="AW4083" s="37"/>
      <c r="AX4083" s="37"/>
      <c r="AY4083" s="37"/>
      <c r="AZ4083" s="37"/>
      <c r="BA4083" s="37"/>
      <c r="BB4083" s="37"/>
      <c r="BC4083" s="37"/>
      <c r="BD4083" s="37"/>
      <c r="BE4083" s="37"/>
      <c r="BF4083" s="37"/>
      <c r="BG4083" s="37"/>
      <c r="BH4083" s="37"/>
      <c r="BI4083" s="37"/>
      <c r="BJ4083" s="37"/>
      <c r="BK4083" s="37"/>
      <c r="BL4083" s="37"/>
      <c r="BM4083" s="37"/>
    </row>
    <row r="4084" spans="1:65" s="40" customFormat="1" ht="21" x14ac:dyDescent="0.35">
      <c r="A4084" s="37"/>
      <c r="B4084" s="37"/>
      <c r="C4084" s="41"/>
      <c r="D4084" s="38"/>
      <c r="E4084" s="38"/>
      <c r="F4084" s="42"/>
      <c r="G4084" s="43"/>
      <c r="H4084" s="37"/>
      <c r="I4084" s="37"/>
      <c r="J4084" s="38"/>
      <c r="K4084" s="37"/>
      <c r="L4084" s="38"/>
      <c r="M4084" s="39"/>
      <c r="P4084" s="37"/>
      <c r="Q4084" s="37"/>
      <c r="R4084" s="37"/>
      <c r="S4084" s="37"/>
      <c r="T4084" s="37"/>
      <c r="U4084" s="37"/>
      <c r="V4084" s="37"/>
      <c r="W4084" s="37"/>
      <c r="X4084" s="37"/>
      <c r="Y4084" s="37"/>
      <c r="Z4084" s="37"/>
      <c r="AA4084" s="37"/>
      <c r="AB4084" s="37"/>
      <c r="AC4084" s="37"/>
      <c r="AD4084" s="37"/>
      <c r="AE4084" s="37"/>
      <c r="AF4084" s="37"/>
      <c r="AG4084" s="37"/>
      <c r="AH4084" s="37"/>
      <c r="AI4084" s="37"/>
      <c r="AJ4084" s="37"/>
      <c r="AK4084" s="37"/>
      <c r="AL4084" s="37"/>
      <c r="AM4084" s="37"/>
      <c r="AN4084" s="37"/>
      <c r="AO4084" s="37"/>
      <c r="AP4084" s="37"/>
      <c r="AQ4084" s="37"/>
      <c r="AR4084" s="37"/>
      <c r="AS4084" s="37"/>
      <c r="AT4084" s="37"/>
      <c r="AU4084" s="37"/>
      <c r="AV4084" s="37"/>
      <c r="AW4084" s="37"/>
      <c r="AX4084" s="37"/>
      <c r="AY4084" s="37"/>
      <c r="AZ4084" s="37"/>
      <c r="BA4084" s="37"/>
      <c r="BB4084" s="37"/>
      <c r="BC4084" s="37"/>
      <c r="BD4084" s="37"/>
      <c r="BE4084" s="37"/>
      <c r="BF4084" s="37"/>
      <c r="BG4084" s="37"/>
      <c r="BH4084" s="37"/>
      <c r="BI4084" s="37"/>
      <c r="BJ4084" s="37"/>
      <c r="BK4084" s="37"/>
      <c r="BL4084" s="37"/>
      <c r="BM4084" s="37"/>
    </row>
    <row r="4085" spans="1:65" s="40" customFormat="1" ht="21" x14ac:dyDescent="0.35">
      <c r="A4085" s="37"/>
      <c r="B4085" s="37"/>
      <c r="C4085" s="41"/>
      <c r="D4085" s="38"/>
      <c r="E4085" s="38"/>
      <c r="F4085" s="42"/>
      <c r="G4085" s="43"/>
      <c r="H4085" s="37"/>
      <c r="I4085" s="37"/>
      <c r="J4085" s="38"/>
      <c r="K4085" s="37"/>
      <c r="L4085" s="38"/>
      <c r="M4085" s="39"/>
      <c r="P4085" s="37"/>
      <c r="Q4085" s="37"/>
      <c r="R4085" s="37"/>
      <c r="S4085" s="37"/>
      <c r="T4085" s="37"/>
      <c r="U4085" s="37"/>
      <c r="V4085" s="37"/>
      <c r="W4085" s="37"/>
      <c r="X4085" s="37"/>
      <c r="Y4085" s="37"/>
      <c r="Z4085" s="37"/>
      <c r="AA4085" s="37"/>
      <c r="AB4085" s="37"/>
      <c r="AC4085" s="37"/>
      <c r="AD4085" s="37"/>
      <c r="AE4085" s="37"/>
      <c r="AF4085" s="37"/>
      <c r="AG4085" s="37"/>
      <c r="AH4085" s="37"/>
      <c r="AI4085" s="37"/>
      <c r="AJ4085" s="37"/>
      <c r="AK4085" s="37"/>
      <c r="AL4085" s="37"/>
      <c r="AM4085" s="37"/>
      <c r="AN4085" s="37"/>
      <c r="AO4085" s="37"/>
      <c r="AP4085" s="37"/>
      <c r="AQ4085" s="37"/>
      <c r="AR4085" s="37"/>
      <c r="AS4085" s="37"/>
      <c r="AT4085" s="37"/>
      <c r="AU4085" s="37"/>
      <c r="AV4085" s="37"/>
      <c r="AW4085" s="37"/>
      <c r="AX4085" s="37"/>
      <c r="AY4085" s="37"/>
      <c r="AZ4085" s="37"/>
      <c r="BA4085" s="37"/>
      <c r="BB4085" s="37"/>
      <c r="BC4085" s="37"/>
      <c r="BD4085" s="37"/>
      <c r="BE4085" s="37"/>
      <c r="BF4085" s="37"/>
      <c r="BG4085" s="37"/>
      <c r="BH4085" s="37"/>
      <c r="BI4085" s="37"/>
      <c r="BJ4085" s="37"/>
      <c r="BK4085" s="37"/>
      <c r="BL4085" s="37"/>
      <c r="BM4085" s="37"/>
    </row>
    <row r="4086" spans="1:65" s="40" customFormat="1" ht="21" x14ac:dyDescent="0.35">
      <c r="A4086" s="37"/>
      <c r="B4086" s="37"/>
      <c r="C4086" s="41"/>
      <c r="D4086" s="38"/>
      <c r="E4086" s="38"/>
      <c r="F4086" s="42"/>
      <c r="G4086" s="43"/>
      <c r="H4086" s="37"/>
      <c r="I4086" s="37"/>
      <c r="J4086" s="38"/>
      <c r="K4086" s="37"/>
      <c r="L4086" s="38"/>
      <c r="M4086" s="39"/>
      <c r="P4086" s="37"/>
      <c r="Q4086" s="37"/>
      <c r="R4086" s="37"/>
      <c r="S4086" s="37"/>
      <c r="T4086" s="37"/>
      <c r="U4086" s="37"/>
      <c r="V4086" s="37"/>
      <c r="W4086" s="37"/>
      <c r="X4086" s="37"/>
      <c r="Y4086" s="37"/>
      <c r="Z4086" s="37"/>
      <c r="AA4086" s="37"/>
      <c r="AB4086" s="37"/>
      <c r="AC4086" s="37"/>
      <c r="AD4086" s="37"/>
      <c r="AE4086" s="37"/>
      <c r="AF4086" s="37"/>
      <c r="AG4086" s="37"/>
      <c r="AH4086" s="37"/>
      <c r="AI4086" s="37"/>
      <c r="AJ4086" s="37"/>
      <c r="AK4086" s="37"/>
      <c r="AL4086" s="37"/>
      <c r="AM4086" s="37"/>
      <c r="AN4086" s="37"/>
      <c r="AO4086" s="37"/>
      <c r="AP4086" s="37"/>
      <c r="AQ4086" s="37"/>
      <c r="AR4086" s="37"/>
      <c r="AS4086" s="37"/>
      <c r="AT4086" s="37"/>
      <c r="AU4086" s="37"/>
      <c r="AV4086" s="37"/>
      <c r="AW4086" s="37"/>
      <c r="AX4086" s="37"/>
      <c r="AY4086" s="37"/>
      <c r="AZ4086" s="37"/>
      <c r="BA4086" s="37"/>
      <c r="BB4086" s="37"/>
      <c r="BC4086" s="37"/>
      <c r="BD4086" s="37"/>
      <c r="BE4086" s="37"/>
      <c r="BF4086" s="37"/>
      <c r="BG4086" s="37"/>
      <c r="BH4086" s="37"/>
      <c r="BI4086" s="37"/>
      <c r="BJ4086" s="37"/>
      <c r="BK4086" s="37"/>
      <c r="BL4086" s="37"/>
      <c r="BM4086" s="37"/>
    </row>
    <row r="4087" spans="1:65" s="40" customFormat="1" ht="21" x14ac:dyDescent="0.35">
      <c r="A4087" s="37"/>
      <c r="B4087" s="37"/>
      <c r="C4087" s="41"/>
      <c r="D4087" s="38"/>
      <c r="E4087" s="38"/>
      <c r="F4087" s="42"/>
      <c r="G4087" s="43"/>
      <c r="H4087" s="37"/>
      <c r="I4087" s="37"/>
      <c r="J4087" s="38"/>
      <c r="K4087" s="37"/>
      <c r="L4087" s="38"/>
      <c r="M4087" s="39"/>
      <c r="P4087" s="37"/>
      <c r="Q4087" s="37"/>
      <c r="R4087" s="37"/>
      <c r="S4087" s="37"/>
      <c r="T4087" s="37"/>
      <c r="U4087" s="37"/>
      <c r="V4087" s="37"/>
      <c r="W4087" s="37"/>
      <c r="X4087" s="37"/>
      <c r="Y4087" s="37"/>
      <c r="Z4087" s="37"/>
      <c r="AA4087" s="37"/>
      <c r="AB4087" s="37"/>
      <c r="AC4087" s="37"/>
      <c r="AD4087" s="37"/>
      <c r="AE4087" s="37"/>
      <c r="AF4087" s="37"/>
      <c r="AG4087" s="37"/>
      <c r="AH4087" s="37"/>
      <c r="AI4087" s="37"/>
      <c r="AJ4087" s="37"/>
      <c r="AK4087" s="37"/>
      <c r="AL4087" s="37"/>
      <c r="AM4087" s="37"/>
      <c r="AN4087" s="37"/>
      <c r="AO4087" s="37"/>
      <c r="AP4087" s="37"/>
      <c r="AQ4087" s="37"/>
      <c r="AR4087" s="37"/>
      <c r="AS4087" s="37"/>
      <c r="AT4087" s="37"/>
      <c r="AU4087" s="37"/>
      <c r="AV4087" s="37"/>
      <c r="AW4087" s="37"/>
      <c r="AX4087" s="37"/>
      <c r="AY4087" s="37"/>
      <c r="AZ4087" s="37"/>
      <c r="BA4087" s="37"/>
      <c r="BB4087" s="37"/>
      <c r="BC4087" s="37"/>
      <c r="BD4087" s="37"/>
      <c r="BE4087" s="37"/>
      <c r="BF4087" s="37"/>
      <c r="BG4087" s="37"/>
      <c r="BH4087" s="37"/>
      <c r="BI4087" s="37"/>
      <c r="BJ4087" s="37"/>
      <c r="BK4087" s="37"/>
      <c r="BL4087" s="37"/>
      <c r="BM4087" s="37"/>
    </row>
    <row r="4088" spans="1:65" s="40" customFormat="1" ht="21" x14ac:dyDescent="0.35">
      <c r="A4088" s="37"/>
      <c r="B4088" s="37"/>
      <c r="C4088" s="41"/>
      <c r="D4088" s="38"/>
      <c r="E4088" s="38"/>
      <c r="F4088" s="42"/>
      <c r="G4088" s="43"/>
      <c r="H4088" s="37"/>
      <c r="I4088" s="37"/>
      <c r="J4088" s="38"/>
      <c r="K4088" s="37"/>
      <c r="L4088" s="38"/>
      <c r="M4088" s="39"/>
      <c r="P4088" s="37"/>
      <c r="Q4088" s="37"/>
      <c r="R4088" s="37"/>
      <c r="S4088" s="37"/>
      <c r="T4088" s="37"/>
      <c r="U4088" s="37"/>
      <c r="V4088" s="37"/>
      <c r="W4088" s="37"/>
      <c r="X4088" s="37"/>
      <c r="Y4088" s="37"/>
      <c r="Z4088" s="37"/>
      <c r="AA4088" s="37"/>
      <c r="AB4088" s="37"/>
      <c r="AC4088" s="37"/>
      <c r="AD4088" s="37"/>
      <c r="AE4088" s="37"/>
      <c r="AF4088" s="37"/>
      <c r="AG4088" s="37"/>
      <c r="AH4088" s="37"/>
      <c r="AI4088" s="37"/>
      <c r="AJ4088" s="37"/>
      <c r="AK4088" s="37"/>
      <c r="AL4088" s="37"/>
      <c r="AM4088" s="37"/>
      <c r="AN4088" s="37"/>
      <c r="AO4088" s="37"/>
      <c r="AP4088" s="37"/>
      <c r="AQ4088" s="37"/>
      <c r="AR4088" s="37"/>
      <c r="AS4088" s="37"/>
      <c r="AT4088" s="37"/>
      <c r="AU4088" s="37"/>
      <c r="AV4088" s="37"/>
      <c r="AW4088" s="37"/>
      <c r="AX4088" s="37"/>
      <c r="AY4088" s="37"/>
      <c r="AZ4088" s="37"/>
      <c r="BA4088" s="37"/>
      <c r="BB4088" s="37"/>
      <c r="BC4088" s="37"/>
      <c r="BD4088" s="37"/>
      <c r="BE4088" s="37"/>
      <c r="BF4088" s="37"/>
      <c r="BG4088" s="37"/>
      <c r="BH4088" s="37"/>
      <c r="BI4088" s="37"/>
      <c r="BJ4088" s="37"/>
      <c r="BK4088" s="37"/>
      <c r="BL4088" s="37"/>
      <c r="BM4088" s="37"/>
    </row>
    <row r="4089" spans="1:65" s="40" customFormat="1" ht="21" x14ac:dyDescent="0.35">
      <c r="A4089" s="37"/>
      <c r="B4089" s="37"/>
      <c r="C4089" s="41"/>
      <c r="D4089" s="38"/>
      <c r="E4089" s="38"/>
      <c r="F4089" s="42"/>
      <c r="G4089" s="43"/>
      <c r="H4089" s="37"/>
      <c r="I4089" s="37"/>
      <c r="J4089" s="38"/>
      <c r="K4089" s="37"/>
      <c r="L4089" s="38"/>
      <c r="M4089" s="39"/>
      <c r="P4089" s="37"/>
      <c r="Q4089" s="37"/>
      <c r="R4089" s="37"/>
      <c r="S4089" s="37"/>
      <c r="T4089" s="37"/>
      <c r="U4089" s="37"/>
      <c r="V4089" s="37"/>
      <c r="W4089" s="37"/>
      <c r="X4089" s="37"/>
      <c r="Y4089" s="37"/>
      <c r="Z4089" s="37"/>
      <c r="AA4089" s="37"/>
      <c r="AB4089" s="37"/>
      <c r="AC4089" s="37"/>
      <c r="AD4089" s="37"/>
      <c r="AE4089" s="37"/>
      <c r="AF4089" s="37"/>
      <c r="AG4089" s="37"/>
      <c r="AH4089" s="37"/>
      <c r="AI4089" s="37"/>
      <c r="AJ4089" s="37"/>
      <c r="AK4089" s="37"/>
      <c r="AL4089" s="37"/>
      <c r="AM4089" s="37"/>
      <c r="AN4089" s="37"/>
      <c r="AO4089" s="37"/>
      <c r="AP4089" s="37"/>
      <c r="AQ4089" s="37"/>
      <c r="AR4089" s="37"/>
      <c r="AS4089" s="37"/>
      <c r="AT4089" s="37"/>
      <c r="AU4089" s="37"/>
      <c r="AV4089" s="37"/>
      <c r="AW4089" s="37"/>
      <c r="AX4089" s="37"/>
      <c r="AY4089" s="37"/>
      <c r="AZ4089" s="37"/>
      <c r="BA4089" s="37"/>
      <c r="BB4089" s="37"/>
      <c r="BC4089" s="37"/>
      <c r="BD4089" s="37"/>
      <c r="BE4089" s="37"/>
      <c r="BF4089" s="37"/>
      <c r="BG4089" s="37"/>
      <c r="BH4089" s="37"/>
      <c r="BI4089" s="37"/>
      <c r="BJ4089" s="37"/>
      <c r="BK4089" s="37"/>
      <c r="BL4089" s="37"/>
      <c r="BM4089" s="37"/>
    </row>
    <row r="4090" spans="1:65" s="40" customFormat="1" ht="21" x14ac:dyDescent="0.35">
      <c r="A4090" s="37"/>
      <c r="B4090" s="37"/>
      <c r="C4090" s="41"/>
      <c r="D4090" s="38"/>
      <c r="E4090" s="38"/>
      <c r="F4090" s="42"/>
      <c r="G4090" s="43"/>
      <c r="H4090" s="37"/>
      <c r="I4090" s="37"/>
      <c r="J4090" s="38"/>
      <c r="K4090" s="37"/>
      <c r="L4090" s="38"/>
      <c r="M4090" s="39"/>
      <c r="P4090" s="37"/>
      <c r="Q4090" s="37"/>
      <c r="R4090" s="37"/>
      <c r="S4090" s="37"/>
      <c r="T4090" s="37"/>
      <c r="U4090" s="37"/>
      <c r="V4090" s="37"/>
      <c r="W4090" s="37"/>
      <c r="X4090" s="37"/>
      <c r="Y4090" s="37"/>
      <c r="Z4090" s="37"/>
      <c r="AA4090" s="37"/>
      <c r="AB4090" s="37"/>
      <c r="AC4090" s="37"/>
      <c r="AD4090" s="37"/>
      <c r="AE4090" s="37"/>
      <c r="AF4090" s="37"/>
      <c r="AG4090" s="37"/>
      <c r="AH4090" s="37"/>
      <c r="AI4090" s="37"/>
      <c r="AJ4090" s="37"/>
      <c r="AK4090" s="37"/>
      <c r="AL4090" s="37"/>
      <c r="AM4090" s="37"/>
      <c r="AN4090" s="37"/>
      <c r="AO4090" s="37"/>
      <c r="AP4090" s="37"/>
      <c r="AQ4090" s="37"/>
      <c r="AR4090" s="37"/>
      <c r="AS4090" s="37"/>
      <c r="AT4090" s="37"/>
      <c r="AU4090" s="37"/>
      <c r="AV4090" s="37"/>
      <c r="AW4090" s="37"/>
      <c r="AX4090" s="37"/>
      <c r="AY4090" s="37"/>
      <c r="AZ4090" s="37"/>
      <c r="BA4090" s="37"/>
      <c r="BB4090" s="37"/>
      <c r="BC4090" s="37"/>
      <c r="BD4090" s="37"/>
      <c r="BE4090" s="37"/>
      <c r="BF4090" s="37"/>
      <c r="BG4090" s="37"/>
      <c r="BH4090" s="37"/>
      <c r="BI4090" s="37"/>
      <c r="BJ4090" s="37"/>
      <c r="BK4090" s="37"/>
      <c r="BL4090" s="37"/>
      <c r="BM4090" s="37"/>
    </row>
    <row r="4091" spans="1:65" s="40" customFormat="1" ht="21" x14ac:dyDescent="0.35">
      <c r="A4091" s="37"/>
      <c r="B4091" s="37"/>
      <c r="C4091" s="41"/>
      <c r="D4091" s="38"/>
      <c r="E4091" s="38"/>
      <c r="F4091" s="42"/>
      <c r="G4091" s="43"/>
      <c r="H4091" s="37"/>
      <c r="I4091" s="37"/>
      <c r="J4091" s="38"/>
      <c r="K4091" s="37"/>
      <c r="L4091" s="38"/>
      <c r="M4091" s="39"/>
      <c r="P4091" s="37"/>
      <c r="Q4091" s="37"/>
      <c r="R4091" s="37"/>
      <c r="S4091" s="37"/>
      <c r="T4091" s="37"/>
      <c r="U4091" s="37"/>
      <c r="V4091" s="37"/>
      <c r="W4091" s="37"/>
      <c r="X4091" s="37"/>
      <c r="Y4091" s="37"/>
      <c r="Z4091" s="37"/>
      <c r="AA4091" s="37"/>
      <c r="AB4091" s="37"/>
      <c r="AC4091" s="37"/>
      <c r="AD4091" s="37"/>
      <c r="AE4091" s="37"/>
      <c r="AF4091" s="37"/>
      <c r="AG4091" s="37"/>
      <c r="AH4091" s="37"/>
      <c r="AI4091" s="37"/>
      <c r="AJ4091" s="37"/>
      <c r="AK4091" s="37"/>
      <c r="AL4091" s="37"/>
      <c r="AM4091" s="37"/>
      <c r="AN4091" s="37"/>
      <c r="AO4091" s="37"/>
      <c r="AP4091" s="37"/>
      <c r="AQ4091" s="37"/>
      <c r="AR4091" s="37"/>
      <c r="AS4091" s="37"/>
      <c r="AT4091" s="37"/>
      <c r="AU4091" s="37"/>
      <c r="AV4091" s="37"/>
      <c r="AW4091" s="37"/>
      <c r="AX4091" s="37"/>
      <c r="AY4091" s="37"/>
      <c r="AZ4091" s="37"/>
      <c r="BA4091" s="37"/>
      <c r="BB4091" s="37"/>
      <c r="BC4091" s="37"/>
      <c r="BD4091" s="37"/>
      <c r="BE4091" s="37"/>
      <c r="BF4091" s="37"/>
      <c r="BG4091" s="37"/>
      <c r="BH4091" s="37"/>
      <c r="BI4091" s="37"/>
      <c r="BJ4091" s="37"/>
      <c r="BK4091" s="37"/>
      <c r="BL4091" s="37"/>
      <c r="BM4091" s="37"/>
    </row>
    <row r="4092" spans="1:65" s="40" customFormat="1" ht="21" x14ac:dyDescent="0.35">
      <c r="A4092" s="37"/>
      <c r="B4092" s="37"/>
      <c r="C4092" s="41"/>
      <c r="D4092" s="38"/>
      <c r="E4092" s="38"/>
      <c r="F4092" s="42"/>
      <c r="G4092" s="43"/>
      <c r="H4092" s="37"/>
      <c r="I4092" s="37"/>
      <c r="J4092" s="38"/>
      <c r="K4092" s="37"/>
      <c r="L4092" s="38"/>
      <c r="M4092" s="39"/>
      <c r="P4092" s="37"/>
      <c r="Q4092" s="37"/>
      <c r="R4092" s="37"/>
      <c r="S4092" s="37"/>
      <c r="T4092" s="37"/>
      <c r="U4092" s="37"/>
      <c r="V4092" s="37"/>
      <c r="W4092" s="37"/>
      <c r="X4092" s="37"/>
      <c r="Y4092" s="37"/>
      <c r="Z4092" s="37"/>
      <c r="AA4092" s="37"/>
      <c r="AB4092" s="37"/>
      <c r="AC4092" s="37"/>
      <c r="AD4092" s="37"/>
      <c r="AE4092" s="37"/>
      <c r="AF4092" s="37"/>
      <c r="AG4092" s="37"/>
      <c r="AH4092" s="37"/>
      <c r="AI4092" s="37"/>
      <c r="AJ4092" s="37"/>
      <c r="AK4092" s="37"/>
      <c r="AL4092" s="37"/>
      <c r="AM4092" s="37"/>
      <c r="AN4092" s="37"/>
      <c r="AO4092" s="37"/>
      <c r="AP4092" s="37"/>
      <c r="AQ4092" s="37"/>
      <c r="AR4092" s="37"/>
      <c r="AS4092" s="37"/>
      <c r="AT4092" s="37"/>
      <c r="AU4092" s="37"/>
      <c r="AV4092" s="37"/>
      <c r="AW4092" s="37"/>
      <c r="AX4092" s="37"/>
      <c r="AY4092" s="37"/>
      <c r="AZ4092" s="37"/>
      <c r="BA4092" s="37"/>
      <c r="BB4092" s="37"/>
      <c r="BC4092" s="37"/>
      <c r="BD4092" s="37"/>
      <c r="BE4092" s="37"/>
      <c r="BF4092" s="37"/>
      <c r="BG4092" s="37"/>
      <c r="BH4092" s="37"/>
      <c r="BI4092" s="37"/>
      <c r="BJ4092" s="37"/>
      <c r="BK4092" s="37"/>
      <c r="BL4092" s="37"/>
      <c r="BM4092" s="37"/>
    </row>
    <row r="4093" spans="1:65" s="40" customFormat="1" ht="21" x14ac:dyDescent="0.35">
      <c r="A4093" s="37"/>
      <c r="B4093" s="37"/>
      <c r="C4093" s="41"/>
      <c r="D4093" s="38"/>
      <c r="E4093" s="38"/>
      <c r="F4093" s="42"/>
      <c r="G4093" s="43"/>
      <c r="H4093" s="37"/>
      <c r="I4093" s="37"/>
      <c r="J4093" s="38"/>
      <c r="K4093" s="37"/>
      <c r="L4093" s="38"/>
      <c r="M4093" s="39"/>
      <c r="P4093" s="37"/>
      <c r="Q4093" s="37"/>
      <c r="R4093" s="37"/>
      <c r="S4093" s="37"/>
      <c r="T4093" s="37"/>
      <c r="U4093" s="37"/>
      <c r="V4093" s="37"/>
      <c r="W4093" s="37"/>
      <c r="X4093" s="37"/>
      <c r="Y4093" s="37"/>
      <c r="Z4093" s="37"/>
      <c r="AA4093" s="37"/>
      <c r="AB4093" s="37"/>
      <c r="AC4093" s="37"/>
      <c r="AD4093" s="37"/>
      <c r="AE4093" s="37"/>
      <c r="AF4093" s="37"/>
      <c r="AG4093" s="37"/>
      <c r="AH4093" s="37"/>
      <c r="AI4093" s="37"/>
      <c r="AJ4093" s="37"/>
      <c r="AK4093" s="37"/>
      <c r="AL4093" s="37"/>
      <c r="AM4093" s="37"/>
      <c r="AN4093" s="37"/>
      <c r="AO4093" s="37"/>
      <c r="AP4093" s="37"/>
      <c r="AQ4093" s="37"/>
      <c r="AR4093" s="37"/>
      <c r="AS4093" s="37"/>
      <c r="AT4093" s="37"/>
      <c r="AU4093" s="37"/>
      <c r="AV4093" s="37"/>
      <c r="AW4093" s="37"/>
      <c r="AX4093" s="37"/>
      <c r="AY4093" s="37"/>
      <c r="AZ4093" s="37"/>
      <c r="BA4093" s="37"/>
      <c r="BB4093" s="37"/>
      <c r="BC4093" s="37"/>
      <c r="BD4093" s="37"/>
      <c r="BE4093" s="37"/>
      <c r="BF4093" s="37"/>
      <c r="BG4093" s="37"/>
      <c r="BH4093" s="37"/>
      <c r="BI4093" s="37"/>
      <c r="BJ4093" s="37"/>
      <c r="BK4093" s="37"/>
      <c r="BL4093" s="37"/>
      <c r="BM4093" s="37"/>
    </row>
    <row r="4094" spans="1:65" s="40" customFormat="1" ht="21" x14ac:dyDescent="0.35">
      <c r="A4094" s="37"/>
      <c r="B4094" s="37"/>
      <c r="C4094" s="41"/>
      <c r="D4094" s="38"/>
      <c r="E4094" s="38"/>
      <c r="F4094" s="42"/>
      <c r="G4094" s="43"/>
      <c r="H4094" s="37"/>
      <c r="I4094" s="37"/>
      <c r="J4094" s="38"/>
      <c r="K4094" s="37"/>
      <c r="L4094" s="38"/>
      <c r="M4094" s="39"/>
      <c r="P4094" s="37"/>
      <c r="Q4094" s="37"/>
      <c r="R4094" s="37"/>
      <c r="S4094" s="37"/>
      <c r="T4094" s="37"/>
      <c r="U4094" s="37"/>
      <c r="V4094" s="37"/>
      <c r="W4094" s="37"/>
      <c r="X4094" s="37"/>
      <c r="Y4094" s="37"/>
      <c r="Z4094" s="37"/>
      <c r="AA4094" s="37"/>
      <c r="AB4094" s="37"/>
      <c r="AC4094" s="37"/>
      <c r="AD4094" s="37"/>
      <c r="AE4094" s="37"/>
      <c r="AF4094" s="37"/>
      <c r="AG4094" s="37"/>
      <c r="AH4094" s="37"/>
      <c r="AI4094" s="37"/>
      <c r="AJ4094" s="37"/>
      <c r="AK4094" s="37"/>
      <c r="AL4094" s="37"/>
      <c r="AM4094" s="37"/>
      <c r="AN4094" s="37"/>
      <c r="AO4094" s="37"/>
      <c r="AP4094" s="37"/>
      <c r="AQ4094" s="37"/>
      <c r="AR4094" s="37"/>
      <c r="AS4094" s="37"/>
      <c r="AT4094" s="37"/>
      <c r="AU4094" s="37"/>
      <c r="AV4094" s="37"/>
      <c r="AW4094" s="37"/>
      <c r="AX4094" s="37"/>
      <c r="AY4094" s="37"/>
      <c r="AZ4094" s="37"/>
      <c r="BA4094" s="37"/>
      <c r="BB4094" s="37"/>
      <c r="BC4094" s="37"/>
      <c r="BD4094" s="37"/>
      <c r="BE4094" s="37"/>
      <c r="BF4094" s="37"/>
      <c r="BG4094" s="37"/>
      <c r="BH4094" s="37"/>
      <c r="BI4094" s="37"/>
      <c r="BJ4094" s="37"/>
      <c r="BK4094" s="37"/>
      <c r="BL4094" s="37"/>
      <c r="BM4094" s="37"/>
    </row>
    <row r="4095" spans="1:65" s="40" customFormat="1" ht="21" x14ac:dyDescent="0.35">
      <c r="A4095" s="37"/>
      <c r="B4095" s="37"/>
      <c r="C4095" s="41"/>
      <c r="D4095" s="38"/>
      <c r="E4095" s="38"/>
      <c r="F4095" s="42"/>
      <c r="G4095" s="43"/>
      <c r="H4095" s="37"/>
      <c r="I4095" s="37"/>
      <c r="J4095" s="38"/>
      <c r="K4095" s="37"/>
      <c r="L4095" s="38"/>
      <c r="M4095" s="39"/>
      <c r="P4095" s="37"/>
      <c r="Q4095" s="37"/>
      <c r="R4095" s="37"/>
      <c r="S4095" s="37"/>
      <c r="T4095" s="37"/>
      <c r="U4095" s="37"/>
      <c r="V4095" s="37"/>
      <c r="W4095" s="37"/>
      <c r="X4095" s="37"/>
      <c r="Y4095" s="37"/>
      <c r="Z4095" s="37"/>
      <c r="AA4095" s="37"/>
      <c r="AB4095" s="37"/>
      <c r="AC4095" s="37"/>
      <c r="AD4095" s="37"/>
      <c r="AE4095" s="37"/>
      <c r="AF4095" s="37"/>
      <c r="AG4095" s="37"/>
      <c r="AH4095" s="37"/>
      <c r="AI4095" s="37"/>
      <c r="AJ4095" s="37"/>
      <c r="AK4095" s="37"/>
      <c r="AL4095" s="37"/>
      <c r="AM4095" s="37"/>
      <c r="AN4095" s="37"/>
      <c r="AO4095" s="37"/>
      <c r="AP4095" s="37"/>
      <c r="AQ4095" s="37"/>
      <c r="AR4095" s="37"/>
      <c r="AS4095" s="37"/>
      <c r="AT4095" s="37"/>
      <c r="AU4095" s="37"/>
      <c r="AV4095" s="37"/>
      <c r="AW4095" s="37"/>
      <c r="AX4095" s="37"/>
      <c r="AY4095" s="37"/>
      <c r="AZ4095" s="37"/>
      <c r="BA4095" s="37"/>
      <c r="BB4095" s="37"/>
      <c r="BC4095" s="37"/>
      <c r="BD4095" s="37"/>
      <c r="BE4095" s="37"/>
      <c r="BF4095" s="37"/>
      <c r="BG4095" s="37"/>
      <c r="BH4095" s="37"/>
      <c r="BI4095" s="37"/>
      <c r="BJ4095" s="37"/>
      <c r="BK4095" s="37"/>
      <c r="BL4095" s="37"/>
      <c r="BM4095" s="37"/>
    </row>
    <row r="4096" spans="1:65" s="40" customFormat="1" ht="21" x14ac:dyDescent="0.35">
      <c r="A4096" s="37"/>
      <c r="B4096" s="37"/>
      <c r="C4096" s="41"/>
      <c r="D4096" s="38"/>
      <c r="E4096" s="38"/>
      <c r="F4096" s="42"/>
      <c r="G4096" s="43"/>
      <c r="H4096" s="37"/>
      <c r="I4096" s="37"/>
      <c r="J4096" s="38"/>
      <c r="K4096" s="37"/>
      <c r="L4096" s="38"/>
      <c r="M4096" s="39"/>
      <c r="P4096" s="37"/>
      <c r="Q4096" s="37"/>
      <c r="R4096" s="37"/>
      <c r="S4096" s="37"/>
      <c r="T4096" s="37"/>
      <c r="U4096" s="37"/>
      <c r="V4096" s="37"/>
      <c r="W4096" s="37"/>
      <c r="X4096" s="37"/>
      <c r="Y4096" s="37"/>
      <c r="Z4096" s="37"/>
      <c r="AA4096" s="37"/>
      <c r="AB4096" s="37"/>
      <c r="AC4096" s="37"/>
      <c r="AD4096" s="37"/>
      <c r="AE4096" s="37"/>
      <c r="AF4096" s="37"/>
      <c r="AG4096" s="37"/>
      <c r="AH4096" s="37"/>
      <c r="AI4096" s="37"/>
      <c r="AJ4096" s="37"/>
      <c r="AK4096" s="37"/>
      <c r="AL4096" s="37"/>
      <c r="AM4096" s="37"/>
      <c r="AN4096" s="37"/>
      <c r="AO4096" s="37"/>
      <c r="AP4096" s="37"/>
      <c r="AQ4096" s="37"/>
      <c r="AR4096" s="37"/>
      <c r="AS4096" s="37"/>
      <c r="AT4096" s="37"/>
      <c r="AU4096" s="37"/>
      <c r="AV4096" s="37"/>
      <c r="AW4096" s="37"/>
      <c r="AX4096" s="37"/>
      <c r="AY4096" s="37"/>
      <c r="AZ4096" s="37"/>
      <c r="BA4096" s="37"/>
      <c r="BB4096" s="37"/>
      <c r="BC4096" s="37"/>
      <c r="BD4096" s="37"/>
      <c r="BE4096" s="37"/>
      <c r="BF4096" s="37"/>
      <c r="BG4096" s="37"/>
      <c r="BH4096" s="37"/>
      <c r="BI4096" s="37"/>
      <c r="BJ4096" s="37"/>
      <c r="BK4096" s="37"/>
      <c r="BL4096" s="37"/>
      <c r="BM4096" s="37"/>
    </row>
    <row r="4097" spans="1:65" s="40" customFormat="1" ht="21" x14ac:dyDescent="0.35">
      <c r="A4097" s="37"/>
      <c r="B4097" s="37"/>
      <c r="C4097" s="41"/>
      <c r="D4097" s="38"/>
      <c r="E4097" s="38"/>
      <c r="F4097" s="42"/>
      <c r="G4097" s="43"/>
      <c r="H4097" s="37"/>
      <c r="I4097" s="37"/>
      <c r="J4097" s="38"/>
      <c r="K4097" s="37"/>
      <c r="L4097" s="38"/>
      <c r="M4097" s="39"/>
      <c r="P4097" s="37"/>
      <c r="Q4097" s="37"/>
      <c r="R4097" s="37"/>
      <c r="S4097" s="37"/>
      <c r="T4097" s="37"/>
      <c r="U4097" s="37"/>
      <c r="V4097" s="37"/>
      <c r="W4097" s="37"/>
      <c r="X4097" s="37"/>
      <c r="Y4097" s="37"/>
      <c r="Z4097" s="37"/>
      <c r="AA4097" s="37"/>
      <c r="AB4097" s="37"/>
      <c r="AC4097" s="37"/>
      <c r="AD4097" s="37"/>
      <c r="AE4097" s="37"/>
      <c r="AF4097" s="37"/>
      <c r="AG4097" s="37"/>
      <c r="AH4097" s="37"/>
      <c r="AI4097" s="37"/>
      <c r="AJ4097" s="37"/>
      <c r="AK4097" s="37"/>
      <c r="AL4097" s="37"/>
      <c r="AM4097" s="37"/>
      <c r="AN4097" s="37"/>
      <c r="AO4097" s="37"/>
      <c r="AP4097" s="37"/>
      <c r="AQ4097" s="37"/>
      <c r="AR4097" s="37"/>
      <c r="AS4097" s="37"/>
      <c r="AT4097" s="37"/>
      <c r="AU4097" s="37"/>
      <c r="AV4097" s="37"/>
      <c r="AW4097" s="37"/>
      <c r="AX4097" s="37"/>
      <c r="AY4097" s="37"/>
      <c r="AZ4097" s="37"/>
      <c r="BA4097" s="37"/>
      <c r="BB4097" s="37"/>
      <c r="BC4097" s="37"/>
      <c r="BD4097" s="37"/>
      <c r="BE4097" s="37"/>
      <c r="BF4097" s="37"/>
      <c r="BG4097" s="37"/>
      <c r="BH4097" s="37"/>
      <c r="BI4097" s="37"/>
      <c r="BJ4097" s="37"/>
      <c r="BK4097" s="37"/>
      <c r="BL4097" s="37"/>
      <c r="BM4097" s="37"/>
    </row>
    <row r="4098" spans="1:65" s="40" customFormat="1" ht="21" x14ac:dyDescent="0.35">
      <c r="A4098" s="37"/>
      <c r="B4098" s="37"/>
      <c r="C4098" s="41"/>
      <c r="D4098" s="38"/>
      <c r="E4098" s="38"/>
      <c r="F4098" s="42"/>
      <c r="G4098" s="43"/>
      <c r="H4098" s="37"/>
      <c r="I4098" s="37"/>
      <c r="J4098" s="38"/>
      <c r="K4098" s="37"/>
      <c r="L4098" s="38"/>
      <c r="M4098" s="39"/>
      <c r="P4098" s="37"/>
      <c r="Q4098" s="37"/>
      <c r="R4098" s="37"/>
      <c r="S4098" s="37"/>
      <c r="T4098" s="37"/>
      <c r="U4098" s="37"/>
      <c r="V4098" s="37"/>
      <c r="W4098" s="37"/>
      <c r="X4098" s="37"/>
      <c r="Y4098" s="37"/>
      <c r="Z4098" s="37"/>
      <c r="AA4098" s="37"/>
      <c r="AB4098" s="37"/>
      <c r="AC4098" s="37"/>
      <c r="AD4098" s="37"/>
      <c r="AE4098" s="37"/>
      <c r="AF4098" s="37"/>
      <c r="AG4098" s="37"/>
      <c r="AH4098" s="37"/>
      <c r="AI4098" s="37"/>
      <c r="AJ4098" s="37"/>
      <c r="AK4098" s="37"/>
      <c r="AL4098" s="37"/>
      <c r="AM4098" s="37"/>
      <c r="AN4098" s="37"/>
      <c r="AO4098" s="37"/>
      <c r="AP4098" s="37"/>
      <c r="AQ4098" s="37"/>
      <c r="AR4098" s="37"/>
      <c r="AS4098" s="37"/>
      <c r="AT4098" s="37"/>
      <c r="AU4098" s="37"/>
      <c r="AV4098" s="37"/>
      <c r="AW4098" s="37"/>
      <c r="AX4098" s="37"/>
      <c r="AY4098" s="37"/>
      <c r="AZ4098" s="37"/>
      <c r="BA4098" s="37"/>
      <c r="BB4098" s="37"/>
      <c r="BC4098" s="37"/>
      <c r="BD4098" s="37"/>
      <c r="BE4098" s="37"/>
      <c r="BF4098" s="37"/>
      <c r="BG4098" s="37"/>
      <c r="BH4098" s="37"/>
      <c r="BI4098" s="37"/>
      <c r="BJ4098" s="37"/>
      <c r="BK4098" s="37"/>
      <c r="BL4098" s="37"/>
      <c r="BM4098" s="37"/>
    </row>
    <row r="4099" spans="1:65" s="40" customFormat="1" ht="21" x14ac:dyDescent="0.35">
      <c r="A4099" s="37"/>
      <c r="B4099" s="37"/>
      <c r="C4099" s="41"/>
      <c r="D4099" s="38"/>
      <c r="E4099" s="38"/>
      <c r="F4099" s="42"/>
      <c r="G4099" s="43"/>
      <c r="H4099" s="37"/>
      <c r="I4099" s="37"/>
      <c r="J4099" s="38"/>
      <c r="K4099" s="37"/>
      <c r="L4099" s="38"/>
      <c r="M4099" s="39"/>
      <c r="P4099" s="37"/>
      <c r="Q4099" s="37"/>
      <c r="R4099" s="37"/>
      <c r="S4099" s="37"/>
      <c r="T4099" s="37"/>
      <c r="U4099" s="37"/>
      <c r="V4099" s="37"/>
      <c r="W4099" s="37"/>
      <c r="X4099" s="37"/>
      <c r="Y4099" s="37"/>
      <c r="Z4099" s="37"/>
      <c r="AA4099" s="37"/>
      <c r="AB4099" s="37"/>
      <c r="AC4099" s="37"/>
      <c r="AD4099" s="37"/>
      <c r="AE4099" s="37"/>
      <c r="AF4099" s="37"/>
      <c r="AG4099" s="37"/>
      <c r="AH4099" s="37"/>
      <c r="AI4099" s="37"/>
      <c r="AJ4099" s="37"/>
      <c r="AK4099" s="37"/>
      <c r="AL4099" s="37"/>
      <c r="AM4099" s="37"/>
      <c r="AN4099" s="37"/>
      <c r="AO4099" s="37"/>
      <c r="AP4099" s="37"/>
      <c r="AQ4099" s="37"/>
      <c r="AR4099" s="37"/>
      <c r="AS4099" s="37"/>
      <c r="AT4099" s="37"/>
      <c r="AU4099" s="37"/>
      <c r="AV4099" s="37"/>
      <c r="AW4099" s="37"/>
      <c r="AX4099" s="37"/>
      <c r="AY4099" s="37"/>
      <c r="AZ4099" s="37"/>
      <c r="BA4099" s="37"/>
      <c r="BB4099" s="37"/>
      <c r="BC4099" s="37"/>
      <c r="BD4099" s="37"/>
      <c r="BE4099" s="37"/>
      <c r="BF4099" s="37"/>
      <c r="BG4099" s="37"/>
      <c r="BH4099" s="37"/>
      <c r="BI4099" s="37"/>
      <c r="BJ4099" s="37"/>
      <c r="BK4099" s="37"/>
      <c r="BL4099" s="37"/>
      <c r="BM4099" s="37"/>
    </row>
    <row r="4100" spans="1:65" s="40" customFormat="1" ht="21" x14ac:dyDescent="0.35">
      <c r="A4100" s="37"/>
      <c r="B4100" s="37"/>
      <c r="C4100" s="41"/>
      <c r="D4100" s="38"/>
      <c r="E4100" s="38"/>
      <c r="F4100" s="42"/>
      <c r="G4100" s="43"/>
      <c r="H4100" s="37"/>
      <c r="I4100" s="37"/>
      <c r="J4100" s="38"/>
      <c r="K4100" s="37"/>
      <c r="L4100" s="38"/>
      <c r="M4100" s="39"/>
      <c r="P4100" s="37"/>
      <c r="Q4100" s="37"/>
      <c r="R4100" s="37"/>
      <c r="S4100" s="37"/>
      <c r="T4100" s="37"/>
      <c r="U4100" s="37"/>
      <c r="V4100" s="37"/>
      <c r="W4100" s="37"/>
      <c r="X4100" s="37"/>
      <c r="Y4100" s="37"/>
      <c r="Z4100" s="37"/>
      <c r="AA4100" s="37"/>
      <c r="AB4100" s="37"/>
      <c r="AC4100" s="37"/>
      <c r="AD4100" s="37"/>
      <c r="AE4100" s="37"/>
      <c r="AF4100" s="37"/>
      <c r="AG4100" s="37"/>
      <c r="AH4100" s="37"/>
      <c r="AI4100" s="37"/>
      <c r="AJ4100" s="37"/>
      <c r="AK4100" s="37"/>
      <c r="AL4100" s="37"/>
      <c r="AM4100" s="37"/>
      <c r="AN4100" s="37"/>
      <c r="AO4100" s="37"/>
      <c r="AP4100" s="37"/>
      <c r="AQ4100" s="37"/>
      <c r="AR4100" s="37"/>
      <c r="AS4100" s="37"/>
      <c r="AT4100" s="37"/>
      <c r="AU4100" s="37"/>
      <c r="AV4100" s="37"/>
      <c r="AW4100" s="37"/>
      <c r="AX4100" s="37"/>
      <c r="AY4100" s="37"/>
      <c r="AZ4100" s="37"/>
      <c r="BA4100" s="37"/>
      <c r="BB4100" s="37"/>
      <c r="BC4100" s="37"/>
      <c r="BD4100" s="37"/>
      <c r="BE4100" s="37"/>
      <c r="BF4100" s="37"/>
      <c r="BG4100" s="37"/>
      <c r="BH4100" s="37"/>
      <c r="BI4100" s="37"/>
      <c r="BJ4100" s="37"/>
      <c r="BK4100" s="37"/>
      <c r="BL4100" s="37"/>
      <c r="BM4100" s="37"/>
    </row>
    <row r="4101" spans="1:65" s="40" customFormat="1" ht="21" x14ac:dyDescent="0.35">
      <c r="A4101" s="37"/>
      <c r="B4101" s="37"/>
      <c r="C4101" s="41"/>
      <c r="D4101" s="38"/>
      <c r="E4101" s="38"/>
      <c r="F4101" s="42"/>
      <c r="G4101" s="43"/>
      <c r="H4101" s="37"/>
      <c r="I4101" s="37"/>
      <c r="J4101" s="38"/>
      <c r="K4101" s="37"/>
      <c r="L4101" s="38"/>
      <c r="M4101" s="39"/>
      <c r="P4101" s="37"/>
      <c r="Q4101" s="37"/>
      <c r="R4101" s="37"/>
      <c r="S4101" s="37"/>
      <c r="T4101" s="37"/>
      <c r="U4101" s="37"/>
      <c r="V4101" s="37"/>
      <c r="W4101" s="37"/>
      <c r="X4101" s="37"/>
      <c r="Y4101" s="37"/>
      <c r="Z4101" s="37"/>
      <c r="AA4101" s="37"/>
      <c r="AB4101" s="37"/>
      <c r="AC4101" s="37"/>
      <c r="AD4101" s="37"/>
      <c r="AE4101" s="37"/>
      <c r="AF4101" s="37"/>
      <c r="AG4101" s="37"/>
      <c r="AH4101" s="37"/>
      <c r="AI4101" s="37"/>
      <c r="AJ4101" s="37"/>
      <c r="AK4101" s="37"/>
      <c r="AL4101" s="37"/>
      <c r="AM4101" s="37"/>
      <c r="AN4101" s="37"/>
      <c r="AO4101" s="37"/>
      <c r="AP4101" s="37"/>
      <c r="AQ4101" s="37"/>
      <c r="AR4101" s="37"/>
      <c r="AS4101" s="37"/>
      <c r="AT4101" s="37"/>
      <c r="AU4101" s="37"/>
      <c r="AV4101" s="37"/>
      <c r="AW4101" s="37"/>
      <c r="AX4101" s="37"/>
      <c r="AY4101" s="37"/>
      <c r="AZ4101" s="37"/>
      <c r="BA4101" s="37"/>
      <c r="BB4101" s="37"/>
      <c r="BC4101" s="37"/>
      <c r="BD4101" s="37"/>
      <c r="BE4101" s="37"/>
      <c r="BF4101" s="37"/>
      <c r="BG4101" s="37"/>
      <c r="BH4101" s="37"/>
      <c r="BI4101" s="37"/>
      <c r="BJ4101" s="37"/>
      <c r="BK4101" s="37"/>
      <c r="BL4101" s="37"/>
      <c r="BM4101" s="37"/>
    </row>
    <row r="4102" spans="1:65" s="40" customFormat="1" ht="21" x14ac:dyDescent="0.35">
      <c r="A4102" s="37"/>
      <c r="B4102" s="37"/>
      <c r="C4102" s="41"/>
      <c r="D4102" s="38"/>
      <c r="E4102" s="38"/>
      <c r="F4102" s="42"/>
      <c r="G4102" s="43"/>
      <c r="H4102" s="37"/>
      <c r="I4102" s="37"/>
      <c r="J4102" s="38"/>
      <c r="K4102" s="37"/>
      <c r="L4102" s="38"/>
      <c r="M4102" s="39"/>
      <c r="P4102" s="37"/>
      <c r="Q4102" s="37"/>
      <c r="R4102" s="37"/>
      <c r="S4102" s="37"/>
      <c r="T4102" s="37"/>
      <c r="U4102" s="37"/>
      <c r="V4102" s="37"/>
      <c r="W4102" s="37"/>
      <c r="X4102" s="37"/>
      <c r="Y4102" s="37"/>
      <c r="Z4102" s="37"/>
      <c r="AA4102" s="37"/>
      <c r="AB4102" s="37"/>
      <c r="AC4102" s="37"/>
      <c r="AD4102" s="37"/>
      <c r="AE4102" s="37"/>
      <c r="AF4102" s="37"/>
      <c r="AG4102" s="37"/>
      <c r="AH4102" s="37"/>
      <c r="AI4102" s="37"/>
      <c r="AJ4102" s="37"/>
      <c r="AK4102" s="37"/>
      <c r="AL4102" s="37"/>
      <c r="AM4102" s="37"/>
      <c r="AN4102" s="37"/>
      <c r="AO4102" s="37"/>
      <c r="AP4102" s="37"/>
      <c r="AQ4102" s="37"/>
      <c r="AR4102" s="37"/>
      <c r="AS4102" s="37"/>
      <c r="AT4102" s="37"/>
      <c r="AU4102" s="37"/>
      <c r="AV4102" s="37"/>
      <c r="AW4102" s="37"/>
      <c r="AX4102" s="37"/>
      <c r="AY4102" s="37"/>
      <c r="AZ4102" s="37"/>
      <c r="BA4102" s="37"/>
      <c r="BB4102" s="37"/>
      <c r="BC4102" s="37"/>
      <c r="BD4102" s="37"/>
      <c r="BE4102" s="37"/>
      <c r="BF4102" s="37"/>
      <c r="BG4102" s="37"/>
      <c r="BH4102" s="37"/>
      <c r="BI4102" s="37"/>
      <c r="BJ4102" s="37"/>
      <c r="BK4102" s="37"/>
      <c r="BL4102" s="37"/>
      <c r="BM4102" s="37"/>
    </row>
    <row r="4103" spans="1:65" s="40" customFormat="1" ht="21" x14ac:dyDescent="0.35">
      <c r="A4103" s="37"/>
      <c r="B4103" s="37"/>
      <c r="C4103" s="41"/>
      <c r="D4103" s="38"/>
      <c r="E4103" s="38"/>
      <c r="F4103" s="42"/>
      <c r="G4103" s="43"/>
      <c r="H4103" s="37"/>
      <c r="I4103" s="37"/>
      <c r="J4103" s="38"/>
      <c r="K4103" s="37"/>
      <c r="L4103" s="38"/>
      <c r="M4103" s="39"/>
      <c r="P4103" s="37"/>
      <c r="Q4103" s="37"/>
      <c r="R4103" s="37"/>
      <c r="S4103" s="37"/>
      <c r="T4103" s="37"/>
      <c r="U4103" s="37"/>
      <c r="V4103" s="37"/>
      <c r="W4103" s="37"/>
      <c r="X4103" s="37"/>
      <c r="Y4103" s="37"/>
      <c r="Z4103" s="37"/>
      <c r="AA4103" s="37"/>
      <c r="AB4103" s="37"/>
      <c r="AC4103" s="37"/>
      <c r="AD4103" s="37"/>
      <c r="AE4103" s="37"/>
      <c r="AF4103" s="37"/>
      <c r="AG4103" s="37"/>
      <c r="AH4103" s="37"/>
      <c r="AI4103" s="37"/>
      <c r="AJ4103" s="37"/>
      <c r="AK4103" s="37"/>
      <c r="AL4103" s="37"/>
      <c r="AM4103" s="37"/>
      <c r="AN4103" s="37"/>
      <c r="AO4103" s="37"/>
      <c r="AP4103" s="37"/>
      <c r="AQ4103" s="37"/>
      <c r="AR4103" s="37"/>
      <c r="AS4103" s="37"/>
      <c r="AT4103" s="37"/>
      <c r="AU4103" s="37"/>
      <c r="AV4103" s="37"/>
      <c r="AW4103" s="37"/>
      <c r="AX4103" s="37"/>
      <c r="AY4103" s="37"/>
      <c r="AZ4103" s="37"/>
      <c r="BA4103" s="37"/>
      <c r="BB4103" s="37"/>
      <c r="BC4103" s="37"/>
      <c r="BD4103" s="37"/>
      <c r="BE4103" s="37"/>
      <c r="BF4103" s="37"/>
      <c r="BG4103" s="37"/>
      <c r="BH4103" s="37"/>
      <c r="BI4103" s="37"/>
      <c r="BJ4103" s="37"/>
      <c r="BK4103" s="37"/>
      <c r="BL4103" s="37"/>
      <c r="BM4103" s="37"/>
    </row>
    <row r="4104" spans="1:65" s="40" customFormat="1" ht="21" x14ac:dyDescent="0.35">
      <c r="A4104" s="37"/>
      <c r="B4104" s="37"/>
      <c r="C4104" s="41"/>
      <c r="D4104" s="38"/>
      <c r="E4104" s="38"/>
      <c r="F4104" s="42"/>
      <c r="G4104" s="43"/>
      <c r="H4104" s="37"/>
      <c r="I4104" s="37"/>
      <c r="J4104" s="38"/>
      <c r="K4104" s="37"/>
      <c r="L4104" s="38"/>
      <c r="M4104" s="39"/>
      <c r="P4104" s="37"/>
      <c r="Q4104" s="37"/>
      <c r="R4104" s="37"/>
      <c r="S4104" s="37"/>
      <c r="T4104" s="37"/>
      <c r="U4104" s="37"/>
      <c r="V4104" s="37"/>
      <c r="W4104" s="37"/>
      <c r="X4104" s="37"/>
      <c r="Y4104" s="37"/>
      <c r="Z4104" s="37"/>
      <c r="AA4104" s="37"/>
      <c r="AB4104" s="37"/>
      <c r="AC4104" s="37"/>
      <c r="AD4104" s="37"/>
      <c r="AE4104" s="37"/>
      <c r="AF4104" s="37"/>
      <c r="AG4104" s="37"/>
      <c r="AH4104" s="37"/>
      <c r="AI4104" s="37"/>
      <c r="AJ4104" s="37"/>
      <c r="AK4104" s="37"/>
      <c r="AL4104" s="37"/>
      <c r="AM4104" s="37"/>
      <c r="AN4104" s="37"/>
      <c r="AO4104" s="37"/>
      <c r="AP4104" s="37"/>
      <c r="AQ4104" s="37"/>
      <c r="AR4104" s="37"/>
      <c r="AS4104" s="37"/>
      <c r="AT4104" s="37"/>
      <c r="AU4104" s="37"/>
      <c r="AV4104" s="37"/>
      <c r="AW4104" s="37"/>
      <c r="AX4104" s="37"/>
      <c r="AY4104" s="37"/>
      <c r="AZ4104" s="37"/>
      <c r="BA4104" s="37"/>
      <c r="BB4104" s="37"/>
      <c r="BC4104" s="37"/>
      <c r="BD4104" s="37"/>
      <c r="BE4104" s="37"/>
      <c r="BF4104" s="37"/>
      <c r="BG4104" s="37"/>
      <c r="BH4104" s="37"/>
      <c r="BI4104" s="37"/>
      <c r="BJ4104" s="37"/>
      <c r="BK4104" s="37"/>
      <c r="BL4104" s="37"/>
      <c r="BM4104" s="37"/>
    </row>
    <row r="4105" spans="1:65" s="40" customFormat="1" ht="21" x14ac:dyDescent="0.35">
      <c r="A4105" s="37"/>
      <c r="B4105" s="37"/>
      <c r="C4105" s="41"/>
      <c r="D4105" s="38"/>
      <c r="E4105" s="38"/>
      <c r="F4105" s="42"/>
      <c r="G4105" s="43"/>
      <c r="H4105" s="37"/>
      <c r="I4105" s="37"/>
      <c r="J4105" s="38"/>
      <c r="K4105" s="37"/>
      <c r="L4105" s="38"/>
      <c r="M4105" s="39"/>
      <c r="P4105" s="37"/>
      <c r="Q4105" s="37"/>
      <c r="R4105" s="37"/>
      <c r="S4105" s="37"/>
      <c r="T4105" s="37"/>
      <c r="U4105" s="37"/>
      <c r="V4105" s="37"/>
      <c r="W4105" s="37"/>
      <c r="X4105" s="37"/>
      <c r="Y4105" s="37"/>
      <c r="Z4105" s="37"/>
      <c r="AA4105" s="37"/>
      <c r="AB4105" s="37"/>
      <c r="AC4105" s="37"/>
      <c r="AD4105" s="37"/>
      <c r="AE4105" s="37"/>
      <c r="AF4105" s="37"/>
      <c r="AG4105" s="37"/>
      <c r="AH4105" s="37"/>
      <c r="AI4105" s="37"/>
      <c r="AJ4105" s="37"/>
      <c r="AK4105" s="37"/>
      <c r="AL4105" s="37"/>
      <c r="AM4105" s="37"/>
      <c r="AN4105" s="37"/>
      <c r="AO4105" s="37"/>
      <c r="AP4105" s="37"/>
      <c r="AQ4105" s="37"/>
      <c r="AR4105" s="37"/>
      <c r="AS4105" s="37"/>
      <c r="AT4105" s="37"/>
      <c r="AU4105" s="37"/>
      <c r="AV4105" s="37"/>
      <c r="AW4105" s="37"/>
      <c r="AX4105" s="37"/>
      <c r="AY4105" s="37"/>
      <c r="AZ4105" s="37"/>
      <c r="BA4105" s="37"/>
      <c r="BB4105" s="37"/>
      <c r="BC4105" s="37"/>
      <c r="BD4105" s="37"/>
      <c r="BE4105" s="37"/>
      <c r="BF4105" s="37"/>
      <c r="BG4105" s="37"/>
      <c r="BH4105" s="37"/>
      <c r="BI4105" s="37"/>
      <c r="BJ4105" s="37"/>
      <c r="BK4105" s="37"/>
      <c r="BL4105" s="37"/>
      <c r="BM4105" s="37"/>
    </row>
    <row r="4106" spans="1:65" s="40" customFormat="1" ht="21" x14ac:dyDescent="0.35">
      <c r="A4106" s="37"/>
      <c r="B4106" s="37"/>
      <c r="C4106" s="41"/>
      <c r="D4106" s="38"/>
      <c r="E4106" s="38"/>
      <c r="F4106" s="42"/>
      <c r="G4106" s="43"/>
      <c r="H4106" s="37"/>
      <c r="I4106" s="37"/>
      <c r="J4106" s="38"/>
      <c r="K4106" s="37"/>
      <c r="L4106" s="38"/>
      <c r="M4106" s="39"/>
      <c r="P4106" s="37"/>
      <c r="Q4106" s="37"/>
      <c r="R4106" s="37"/>
      <c r="S4106" s="37"/>
      <c r="T4106" s="37"/>
      <c r="U4106" s="37"/>
      <c r="V4106" s="37"/>
      <c r="W4106" s="37"/>
      <c r="X4106" s="37"/>
      <c r="Y4106" s="37"/>
      <c r="Z4106" s="37"/>
      <c r="AA4106" s="37"/>
      <c r="AB4106" s="37"/>
      <c r="AC4106" s="37"/>
      <c r="AD4106" s="37"/>
      <c r="AE4106" s="37"/>
      <c r="AF4106" s="37"/>
      <c r="AG4106" s="37"/>
      <c r="AH4106" s="37"/>
      <c r="AI4106" s="37"/>
      <c r="AJ4106" s="37"/>
      <c r="AK4106" s="37"/>
      <c r="AL4106" s="37"/>
      <c r="AM4106" s="37"/>
      <c r="AN4106" s="37"/>
      <c r="AO4106" s="37"/>
      <c r="AP4106" s="37"/>
      <c r="AQ4106" s="37"/>
      <c r="AR4106" s="37"/>
      <c r="AS4106" s="37"/>
      <c r="AT4106" s="37"/>
      <c r="AU4106" s="37"/>
      <c r="AV4106" s="37"/>
      <c r="AW4106" s="37"/>
      <c r="AX4106" s="37"/>
      <c r="AY4106" s="37"/>
      <c r="AZ4106" s="37"/>
      <c r="BA4106" s="37"/>
      <c r="BB4106" s="37"/>
      <c r="BC4106" s="37"/>
      <c r="BD4106" s="37"/>
      <c r="BE4106" s="37"/>
      <c r="BF4106" s="37"/>
      <c r="BG4106" s="37"/>
      <c r="BH4106" s="37"/>
      <c r="BI4106" s="37"/>
      <c r="BJ4106" s="37"/>
      <c r="BK4106" s="37"/>
      <c r="BL4106" s="37"/>
      <c r="BM4106" s="37"/>
    </row>
    <row r="4107" spans="1:65" s="40" customFormat="1" ht="21" x14ac:dyDescent="0.35">
      <c r="A4107" s="37"/>
      <c r="B4107" s="37"/>
      <c r="C4107" s="41"/>
      <c r="D4107" s="38"/>
      <c r="E4107" s="38"/>
      <c r="F4107" s="42"/>
      <c r="G4107" s="43"/>
      <c r="H4107" s="37"/>
      <c r="I4107" s="37"/>
      <c r="J4107" s="38"/>
      <c r="K4107" s="37"/>
      <c r="L4107" s="38"/>
      <c r="M4107" s="39"/>
      <c r="P4107" s="37"/>
      <c r="Q4107" s="37"/>
      <c r="R4107" s="37"/>
      <c r="S4107" s="37"/>
      <c r="T4107" s="37"/>
      <c r="U4107" s="37"/>
      <c r="V4107" s="37"/>
      <c r="W4107" s="37"/>
      <c r="X4107" s="37"/>
      <c r="Y4107" s="37"/>
      <c r="Z4107" s="37"/>
      <c r="AA4107" s="37"/>
      <c r="AB4107" s="37"/>
      <c r="AC4107" s="37"/>
      <c r="AD4107" s="37"/>
      <c r="AE4107" s="37"/>
      <c r="AF4107" s="37"/>
      <c r="AG4107" s="37"/>
      <c r="AH4107" s="37"/>
      <c r="AI4107" s="37"/>
      <c r="AJ4107" s="37"/>
      <c r="AK4107" s="37"/>
      <c r="AL4107" s="37"/>
      <c r="AM4107" s="37"/>
      <c r="AN4107" s="37"/>
      <c r="AO4107" s="37"/>
      <c r="AP4107" s="37"/>
      <c r="AQ4107" s="37"/>
      <c r="AR4107" s="37"/>
      <c r="AS4107" s="37"/>
      <c r="AT4107" s="37"/>
      <c r="AU4107" s="37"/>
      <c r="AV4107" s="37"/>
      <c r="AW4107" s="37"/>
      <c r="AX4107" s="37"/>
      <c r="AY4107" s="37"/>
      <c r="AZ4107" s="37"/>
      <c r="BA4107" s="37"/>
      <c r="BB4107" s="37"/>
      <c r="BC4107" s="37"/>
      <c r="BD4107" s="37"/>
      <c r="BE4107" s="37"/>
      <c r="BF4107" s="37"/>
      <c r="BG4107" s="37"/>
      <c r="BH4107" s="37"/>
      <c r="BI4107" s="37"/>
      <c r="BJ4107" s="37"/>
      <c r="BK4107" s="37"/>
      <c r="BL4107" s="37"/>
      <c r="BM4107" s="37"/>
    </row>
    <row r="4108" spans="1:65" s="40" customFormat="1" ht="21" x14ac:dyDescent="0.35">
      <c r="A4108" s="37"/>
      <c r="B4108" s="37"/>
      <c r="C4108" s="41"/>
      <c r="D4108" s="38"/>
      <c r="E4108" s="38"/>
      <c r="F4108" s="42"/>
      <c r="G4108" s="43"/>
      <c r="H4108" s="37"/>
      <c r="I4108" s="37"/>
      <c r="J4108" s="38"/>
      <c r="K4108" s="37"/>
      <c r="L4108" s="38"/>
      <c r="M4108" s="39"/>
      <c r="P4108" s="37"/>
      <c r="Q4108" s="37"/>
      <c r="R4108" s="37"/>
      <c r="S4108" s="37"/>
      <c r="T4108" s="37"/>
      <c r="U4108" s="37"/>
      <c r="V4108" s="37"/>
      <c r="W4108" s="37"/>
      <c r="X4108" s="37"/>
      <c r="Y4108" s="37"/>
      <c r="Z4108" s="37"/>
      <c r="AA4108" s="37"/>
      <c r="AB4108" s="37"/>
      <c r="AC4108" s="37"/>
      <c r="AD4108" s="37"/>
      <c r="AE4108" s="37"/>
      <c r="AF4108" s="37"/>
      <c r="AG4108" s="37"/>
      <c r="AH4108" s="37"/>
      <c r="AI4108" s="37"/>
      <c r="AJ4108" s="37"/>
      <c r="AK4108" s="37"/>
      <c r="AL4108" s="37"/>
      <c r="AM4108" s="37"/>
      <c r="AN4108" s="37"/>
      <c r="AO4108" s="37"/>
      <c r="AP4108" s="37"/>
      <c r="AQ4108" s="37"/>
      <c r="AR4108" s="37"/>
      <c r="AS4108" s="37"/>
      <c r="AT4108" s="37"/>
      <c r="AU4108" s="37"/>
      <c r="AV4108" s="37"/>
      <c r="AW4108" s="37"/>
      <c r="AX4108" s="37"/>
      <c r="AY4108" s="37"/>
      <c r="AZ4108" s="37"/>
      <c r="BA4108" s="37"/>
      <c r="BB4108" s="37"/>
      <c r="BC4108" s="37"/>
      <c r="BD4108" s="37"/>
      <c r="BE4108" s="37"/>
      <c r="BF4108" s="37"/>
      <c r="BG4108" s="37"/>
      <c r="BH4108" s="37"/>
      <c r="BI4108" s="37"/>
      <c r="BJ4108" s="37"/>
      <c r="BK4108" s="37"/>
      <c r="BL4108" s="37"/>
      <c r="BM4108" s="37"/>
    </row>
    <row r="4109" spans="1:65" s="40" customFormat="1" ht="21" x14ac:dyDescent="0.35">
      <c r="A4109" s="37"/>
      <c r="B4109" s="37"/>
      <c r="C4109" s="41"/>
      <c r="D4109" s="38"/>
      <c r="E4109" s="38"/>
      <c r="F4109" s="42"/>
      <c r="G4109" s="43"/>
      <c r="H4109" s="37"/>
      <c r="I4109" s="37"/>
      <c r="J4109" s="38"/>
      <c r="K4109" s="37"/>
      <c r="L4109" s="38"/>
      <c r="M4109" s="39"/>
      <c r="P4109" s="37"/>
      <c r="Q4109" s="37"/>
      <c r="R4109" s="37"/>
      <c r="S4109" s="37"/>
      <c r="T4109" s="37"/>
      <c r="U4109" s="37"/>
      <c r="V4109" s="37"/>
      <c r="W4109" s="37"/>
      <c r="X4109" s="37"/>
      <c r="Y4109" s="37"/>
      <c r="Z4109" s="37"/>
      <c r="AA4109" s="37"/>
      <c r="AB4109" s="37"/>
      <c r="AC4109" s="37"/>
      <c r="AD4109" s="37"/>
      <c r="AE4109" s="37"/>
      <c r="AF4109" s="37"/>
      <c r="AG4109" s="37"/>
      <c r="AH4109" s="37"/>
      <c r="AI4109" s="37"/>
      <c r="AJ4109" s="37"/>
      <c r="AK4109" s="37"/>
      <c r="AL4109" s="37"/>
      <c r="AM4109" s="37"/>
      <c r="AN4109" s="37"/>
      <c r="AO4109" s="37"/>
      <c r="AP4109" s="37"/>
      <c r="AQ4109" s="37"/>
      <c r="AR4109" s="37"/>
      <c r="AS4109" s="37"/>
      <c r="AT4109" s="37"/>
      <c r="AU4109" s="37"/>
      <c r="AV4109" s="37"/>
      <c r="AW4109" s="37"/>
      <c r="AX4109" s="37"/>
      <c r="AY4109" s="37"/>
      <c r="AZ4109" s="37"/>
      <c r="BA4109" s="37"/>
      <c r="BB4109" s="37"/>
      <c r="BC4109" s="37"/>
      <c r="BD4109" s="37"/>
      <c r="BE4109" s="37"/>
      <c r="BF4109" s="37"/>
      <c r="BG4109" s="37"/>
      <c r="BH4109" s="37"/>
      <c r="BI4109" s="37"/>
      <c r="BJ4109" s="37"/>
      <c r="BK4109" s="37"/>
      <c r="BL4109" s="37"/>
      <c r="BM4109" s="37"/>
    </row>
    <row r="4110" spans="1:65" s="40" customFormat="1" ht="21" x14ac:dyDescent="0.35">
      <c r="A4110" s="37"/>
      <c r="B4110" s="37"/>
      <c r="C4110" s="41"/>
      <c r="D4110" s="38"/>
      <c r="E4110" s="38"/>
      <c r="F4110" s="42"/>
      <c r="G4110" s="43"/>
      <c r="H4110" s="37"/>
      <c r="I4110" s="37"/>
      <c r="J4110" s="38"/>
      <c r="K4110" s="37"/>
      <c r="L4110" s="38"/>
      <c r="M4110" s="39"/>
      <c r="P4110" s="37"/>
      <c r="Q4110" s="37"/>
      <c r="R4110" s="37"/>
      <c r="S4110" s="37"/>
      <c r="T4110" s="37"/>
      <c r="U4110" s="37"/>
      <c r="V4110" s="37"/>
      <c r="W4110" s="37"/>
      <c r="X4110" s="37"/>
      <c r="Y4110" s="37"/>
      <c r="Z4110" s="37"/>
      <c r="AA4110" s="37"/>
      <c r="AB4110" s="37"/>
      <c r="AC4110" s="37"/>
      <c r="AD4110" s="37"/>
      <c r="AE4110" s="37"/>
      <c r="AF4110" s="37"/>
      <c r="AG4110" s="37"/>
      <c r="AH4110" s="37"/>
      <c r="AI4110" s="37"/>
      <c r="AJ4110" s="37"/>
      <c r="AK4110" s="37"/>
      <c r="AL4110" s="37"/>
      <c r="AM4110" s="37"/>
      <c r="AN4110" s="37"/>
      <c r="AO4110" s="37"/>
      <c r="AP4110" s="37"/>
      <c r="AQ4110" s="37"/>
      <c r="AR4110" s="37"/>
      <c r="AS4110" s="37"/>
      <c r="AT4110" s="37"/>
      <c r="AU4110" s="37"/>
      <c r="AV4110" s="37"/>
      <c r="AW4110" s="37"/>
      <c r="AX4110" s="37"/>
      <c r="AY4110" s="37"/>
      <c r="AZ4110" s="37"/>
      <c r="BA4110" s="37"/>
      <c r="BB4110" s="37"/>
      <c r="BC4110" s="37"/>
      <c r="BD4110" s="37"/>
      <c r="BE4110" s="37"/>
      <c r="BF4110" s="37"/>
      <c r="BG4110" s="37"/>
      <c r="BH4110" s="37"/>
      <c r="BI4110" s="37"/>
      <c r="BJ4110" s="37"/>
      <c r="BK4110" s="37"/>
      <c r="BL4110" s="37"/>
      <c r="BM4110" s="37"/>
    </row>
    <row r="4111" spans="1:65" s="40" customFormat="1" ht="21" x14ac:dyDescent="0.35">
      <c r="A4111" s="37"/>
      <c r="B4111" s="37"/>
      <c r="C4111" s="41"/>
      <c r="D4111" s="38"/>
      <c r="E4111" s="38"/>
      <c r="F4111" s="42"/>
      <c r="G4111" s="43"/>
      <c r="H4111" s="37"/>
      <c r="I4111" s="37"/>
      <c r="J4111" s="38"/>
      <c r="K4111" s="37"/>
      <c r="L4111" s="38"/>
      <c r="M4111" s="39"/>
      <c r="P4111" s="37"/>
      <c r="Q4111" s="37"/>
      <c r="R4111" s="37"/>
      <c r="S4111" s="37"/>
      <c r="T4111" s="37"/>
      <c r="U4111" s="37"/>
      <c r="V4111" s="37"/>
      <c r="W4111" s="37"/>
      <c r="X4111" s="37"/>
      <c r="Y4111" s="37"/>
      <c r="Z4111" s="37"/>
      <c r="AA4111" s="37"/>
      <c r="AB4111" s="37"/>
      <c r="AC4111" s="37"/>
      <c r="AD4111" s="37"/>
      <c r="AE4111" s="37"/>
      <c r="AF4111" s="37"/>
      <c r="AG4111" s="37"/>
      <c r="AH4111" s="37"/>
      <c r="AI4111" s="37"/>
      <c r="AJ4111" s="37"/>
      <c r="AK4111" s="37"/>
      <c r="AL4111" s="37"/>
      <c r="AM4111" s="37"/>
      <c r="AN4111" s="37"/>
      <c r="AO4111" s="37"/>
      <c r="AP4111" s="37"/>
      <c r="AQ4111" s="37"/>
      <c r="AR4111" s="37"/>
      <c r="AS4111" s="37"/>
      <c r="AT4111" s="37"/>
      <c r="AU4111" s="37"/>
      <c r="AV4111" s="37"/>
      <c r="AW4111" s="37"/>
      <c r="AX4111" s="37"/>
      <c r="AY4111" s="37"/>
      <c r="AZ4111" s="37"/>
      <c r="BA4111" s="37"/>
      <c r="BB4111" s="37"/>
      <c r="BC4111" s="37"/>
      <c r="BD4111" s="37"/>
      <c r="BE4111" s="37"/>
      <c r="BF4111" s="37"/>
      <c r="BG4111" s="37"/>
      <c r="BH4111" s="37"/>
      <c r="BI4111" s="37"/>
      <c r="BJ4111" s="37"/>
      <c r="BK4111" s="37"/>
      <c r="BL4111" s="37"/>
      <c r="BM4111" s="37"/>
    </row>
    <row r="4112" spans="1:65" s="40" customFormat="1" ht="21" x14ac:dyDescent="0.35">
      <c r="A4112" s="37"/>
      <c r="B4112" s="37"/>
      <c r="C4112" s="41"/>
      <c r="D4112" s="38"/>
      <c r="E4112" s="38"/>
      <c r="F4112" s="42"/>
      <c r="G4112" s="43"/>
      <c r="H4112" s="37"/>
      <c r="I4112" s="37"/>
      <c r="J4112" s="38"/>
      <c r="K4112" s="37"/>
      <c r="L4112" s="38"/>
      <c r="M4112" s="39"/>
      <c r="P4112" s="37"/>
      <c r="Q4112" s="37"/>
      <c r="R4112" s="37"/>
      <c r="S4112" s="37"/>
      <c r="T4112" s="37"/>
      <c r="U4112" s="37"/>
      <c r="V4112" s="37"/>
      <c r="W4112" s="37"/>
      <c r="X4112" s="37"/>
      <c r="Y4112" s="37"/>
      <c r="Z4112" s="37"/>
      <c r="AA4112" s="37"/>
      <c r="AB4112" s="37"/>
      <c r="AC4112" s="37"/>
      <c r="AD4112" s="37"/>
      <c r="AE4112" s="37"/>
      <c r="AF4112" s="37"/>
      <c r="AG4112" s="37"/>
      <c r="AH4112" s="37"/>
      <c r="AI4112" s="37"/>
      <c r="AJ4112" s="37"/>
      <c r="AK4112" s="37"/>
      <c r="AL4112" s="37"/>
      <c r="AM4112" s="37"/>
      <c r="AN4112" s="37"/>
      <c r="AO4112" s="37"/>
      <c r="AP4112" s="37"/>
      <c r="AQ4112" s="37"/>
      <c r="AR4112" s="37"/>
      <c r="AS4112" s="37"/>
      <c r="AT4112" s="37"/>
      <c r="AU4112" s="37"/>
      <c r="AV4112" s="37"/>
      <c r="AW4112" s="37"/>
      <c r="AX4112" s="37"/>
      <c r="AY4112" s="37"/>
      <c r="AZ4112" s="37"/>
      <c r="BA4112" s="37"/>
      <c r="BB4112" s="37"/>
      <c r="BC4112" s="37"/>
      <c r="BD4112" s="37"/>
      <c r="BE4112" s="37"/>
      <c r="BF4112" s="37"/>
      <c r="BG4112" s="37"/>
      <c r="BH4112" s="37"/>
      <c r="BI4112" s="37"/>
      <c r="BJ4112" s="37"/>
      <c r="BK4112" s="37"/>
      <c r="BL4112" s="37"/>
      <c r="BM4112" s="37"/>
    </row>
    <row r="4113" spans="1:65" s="40" customFormat="1" ht="21" x14ac:dyDescent="0.35">
      <c r="A4113" s="37"/>
      <c r="B4113" s="37"/>
      <c r="C4113" s="41"/>
      <c r="D4113" s="38"/>
      <c r="E4113" s="38"/>
      <c r="F4113" s="42"/>
      <c r="G4113" s="43"/>
      <c r="H4113" s="37"/>
      <c r="I4113" s="37"/>
      <c r="J4113" s="38"/>
      <c r="K4113" s="37"/>
      <c r="L4113" s="38"/>
      <c r="M4113" s="39"/>
      <c r="P4113" s="37"/>
      <c r="Q4113" s="37"/>
      <c r="R4113" s="37"/>
      <c r="S4113" s="37"/>
      <c r="T4113" s="37"/>
      <c r="U4113" s="37"/>
      <c r="V4113" s="37"/>
      <c r="W4113" s="37"/>
      <c r="X4113" s="37"/>
      <c r="Y4113" s="37"/>
      <c r="Z4113" s="37"/>
      <c r="AA4113" s="37"/>
      <c r="AB4113" s="37"/>
      <c r="AC4113" s="37"/>
      <c r="AD4113" s="37"/>
      <c r="AE4113" s="37"/>
      <c r="AF4113" s="37"/>
      <c r="AG4113" s="37"/>
      <c r="AH4113" s="37"/>
      <c r="AI4113" s="37"/>
      <c r="AJ4113" s="37"/>
      <c r="AK4113" s="37"/>
      <c r="AL4113" s="37"/>
      <c r="AM4113" s="37"/>
      <c r="AN4113" s="37"/>
      <c r="AO4113" s="37"/>
      <c r="AP4113" s="37"/>
      <c r="AQ4113" s="37"/>
      <c r="AR4113" s="37"/>
      <c r="AS4113" s="37"/>
      <c r="AT4113" s="37"/>
      <c r="AU4113" s="37"/>
      <c r="AV4113" s="37"/>
      <c r="AW4113" s="37"/>
      <c r="AX4113" s="37"/>
      <c r="AY4113" s="37"/>
      <c r="AZ4113" s="37"/>
      <c r="BA4113" s="37"/>
      <c r="BB4113" s="37"/>
      <c r="BC4113" s="37"/>
      <c r="BD4113" s="37"/>
      <c r="BE4113" s="37"/>
      <c r="BF4113" s="37"/>
      <c r="BG4113" s="37"/>
      <c r="BH4113" s="37"/>
      <c r="BI4113" s="37"/>
      <c r="BJ4113" s="37"/>
      <c r="BK4113" s="37"/>
      <c r="BL4113" s="37"/>
      <c r="BM4113" s="37"/>
    </row>
    <row r="4114" spans="1:65" s="40" customFormat="1" ht="21" x14ac:dyDescent="0.35">
      <c r="A4114" s="37"/>
      <c r="B4114" s="37"/>
      <c r="C4114" s="41"/>
      <c r="D4114" s="38"/>
      <c r="E4114" s="38"/>
      <c r="F4114" s="42"/>
      <c r="G4114" s="43"/>
      <c r="H4114" s="37"/>
      <c r="I4114" s="37"/>
      <c r="J4114" s="38"/>
      <c r="K4114" s="37"/>
      <c r="L4114" s="38"/>
      <c r="M4114" s="39"/>
      <c r="P4114" s="37"/>
      <c r="Q4114" s="37"/>
      <c r="R4114" s="37"/>
      <c r="S4114" s="37"/>
      <c r="T4114" s="37"/>
      <c r="U4114" s="37"/>
      <c r="V4114" s="37"/>
      <c r="W4114" s="37"/>
      <c r="X4114" s="37"/>
      <c r="Y4114" s="37"/>
      <c r="Z4114" s="37"/>
      <c r="AA4114" s="37"/>
      <c r="AB4114" s="37"/>
      <c r="AC4114" s="37"/>
      <c r="AD4114" s="37"/>
      <c r="AE4114" s="37"/>
      <c r="AF4114" s="37"/>
      <c r="AG4114" s="37"/>
      <c r="AH4114" s="37"/>
      <c r="AI4114" s="37"/>
      <c r="AJ4114" s="37"/>
      <c r="AK4114" s="37"/>
      <c r="AL4114" s="37"/>
      <c r="AM4114" s="37"/>
      <c r="AN4114" s="37"/>
      <c r="AO4114" s="37"/>
      <c r="AP4114" s="37"/>
      <c r="AQ4114" s="37"/>
      <c r="AR4114" s="37"/>
      <c r="AS4114" s="37"/>
      <c r="AT4114" s="37"/>
      <c r="AU4114" s="37"/>
      <c r="AV4114" s="37"/>
      <c r="AW4114" s="37"/>
      <c r="AX4114" s="37"/>
      <c r="AY4114" s="37"/>
      <c r="AZ4114" s="37"/>
      <c r="BA4114" s="37"/>
      <c r="BB4114" s="37"/>
      <c r="BC4114" s="37"/>
      <c r="BD4114" s="37"/>
      <c r="BE4114" s="37"/>
      <c r="BF4114" s="37"/>
      <c r="BG4114" s="37"/>
      <c r="BH4114" s="37"/>
      <c r="BI4114" s="37"/>
      <c r="BJ4114" s="37"/>
      <c r="BK4114" s="37"/>
      <c r="BL4114" s="37"/>
      <c r="BM4114" s="37"/>
    </row>
    <row r="4115" spans="1:65" s="40" customFormat="1" ht="21" x14ac:dyDescent="0.35">
      <c r="A4115" s="37"/>
      <c r="B4115" s="37"/>
      <c r="C4115" s="41"/>
      <c r="D4115" s="38"/>
      <c r="E4115" s="38"/>
      <c r="F4115" s="42"/>
      <c r="G4115" s="43"/>
      <c r="H4115" s="37"/>
      <c r="I4115" s="37"/>
      <c r="J4115" s="38"/>
      <c r="K4115" s="37"/>
      <c r="L4115" s="38"/>
      <c r="M4115" s="39"/>
      <c r="P4115" s="37"/>
      <c r="Q4115" s="37"/>
      <c r="R4115" s="37"/>
      <c r="S4115" s="37"/>
      <c r="T4115" s="37"/>
      <c r="U4115" s="37"/>
      <c r="V4115" s="37"/>
      <c r="W4115" s="37"/>
      <c r="X4115" s="37"/>
      <c r="Y4115" s="37"/>
      <c r="Z4115" s="37"/>
      <c r="AA4115" s="37"/>
      <c r="AB4115" s="37"/>
      <c r="AC4115" s="37"/>
      <c r="AD4115" s="37"/>
      <c r="AE4115" s="37"/>
      <c r="AF4115" s="37"/>
      <c r="AG4115" s="37"/>
      <c r="AH4115" s="37"/>
      <c r="AI4115" s="37"/>
      <c r="AJ4115" s="37"/>
      <c r="AK4115" s="37"/>
      <c r="AL4115" s="37"/>
      <c r="AM4115" s="37"/>
      <c r="AN4115" s="37"/>
      <c r="AO4115" s="37"/>
      <c r="AP4115" s="37"/>
      <c r="AQ4115" s="37"/>
      <c r="AR4115" s="37"/>
      <c r="AS4115" s="37"/>
      <c r="AT4115" s="37"/>
      <c r="AU4115" s="37"/>
      <c r="AV4115" s="37"/>
      <c r="AW4115" s="37"/>
      <c r="AX4115" s="37"/>
      <c r="AY4115" s="37"/>
      <c r="AZ4115" s="37"/>
      <c r="BA4115" s="37"/>
      <c r="BB4115" s="37"/>
      <c r="BC4115" s="37"/>
      <c r="BD4115" s="37"/>
      <c r="BE4115" s="37"/>
      <c r="BF4115" s="37"/>
      <c r="BG4115" s="37"/>
      <c r="BH4115" s="37"/>
      <c r="BI4115" s="37"/>
      <c r="BJ4115" s="37"/>
      <c r="BK4115" s="37"/>
      <c r="BL4115" s="37"/>
      <c r="BM4115" s="37"/>
    </row>
    <row r="4116" spans="1:65" s="40" customFormat="1" ht="21" x14ac:dyDescent="0.35">
      <c r="A4116" s="37"/>
      <c r="B4116" s="37"/>
      <c r="C4116" s="41"/>
      <c r="D4116" s="38"/>
      <c r="E4116" s="38"/>
      <c r="F4116" s="42"/>
      <c r="G4116" s="43"/>
      <c r="H4116" s="37"/>
      <c r="I4116" s="37"/>
      <c r="J4116" s="38"/>
      <c r="K4116" s="37"/>
      <c r="L4116" s="38"/>
      <c r="M4116" s="39"/>
      <c r="P4116" s="37"/>
      <c r="Q4116" s="37"/>
      <c r="R4116" s="37"/>
      <c r="S4116" s="37"/>
      <c r="T4116" s="37"/>
      <c r="U4116" s="37"/>
      <c r="V4116" s="37"/>
      <c r="W4116" s="37"/>
      <c r="X4116" s="37"/>
      <c r="Y4116" s="37"/>
      <c r="Z4116" s="37"/>
      <c r="AA4116" s="37"/>
      <c r="AB4116" s="37"/>
      <c r="AC4116" s="37"/>
      <c r="AD4116" s="37"/>
      <c r="AE4116" s="37"/>
      <c r="AF4116" s="37"/>
      <c r="AG4116" s="37"/>
      <c r="AH4116" s="37"/>
      <c r="AI4116" s="37"/>
      <c r="AJ4116" s="37"/>
      <c r="AK4116" s="37"/>
      <c r="AL4116" s="37"/>
      <c r="AM4116" s="37"/>
      <c r="AN4116" s="37"/>
      <c r="AO4116" s="37"/>
      <c r="AP4116" s="37"/>
      <c r="AQ4116" s="37"/>
      <c r="AR4116" s="37"/>
      <c r="AS4116" s="37"/>
      <c r="AT4116" s="37"/>
      <c r="AU4116" s="37"/>
      <c r="AV4116" s="37"/>
      <c r="AW4116" s="37"/>
      <c r="AX4116" s="37"/>
      <c r="AY4116" s="37"/>
      <c r="AZ4116" s="37"/>
      <c r="BA4116" s="37"/>
      <c r="BB4116" s="37"/>
      <c r="BC4116" s="37"/>
      <c r="BD4116" s="37"/>
      <c r="BE4116" s="37"/>
      <c r="BF4116" s="37"/>
      <c r="BG4116" s="37"/>
      <c r="BH4116" s="37"/>
      <c r="BI4116" s="37"/>
      <c r="BJ4116" s="37"/>
      <c r="BK4116" s="37"/>
      <c r="BL4116" s="37"/>
      <c r="BM4116" s="37"/>
    </row>
    <row r="4117" spans="1:65" s="40" customFormat="1" ht="21" x14ac:dyDescent="0.35">
      <c r="A4117" s="37"/>
      <c r="B4117" s="37"/>
      <c r="C4117" s="41"/>
      <c r="D4117" s="38"/>
      <c r="E4117" s="38"/>
      <c r="F4117" s="42"/>
      <c r="G4117" s="43"/>
      <c r="H4117" s="37"/>
      <c r="I4117" s="37"/>
      <c r="J4117" s="38"/>
      <c r="K4117" s="37"/>
      <c r="L4117" s="38"/>
      <c r="M4117" s="39"/>
      <c r="P4117" s="37"/>
      <c r="Q4117" s="37"/>
      <c r="R4117" s="37"/>
      <c r="S4117" s="37"/>
      <c r="T4117" s="37"/>
      <c r="U4117" s="37"/>
      <c r="V4117" s="37"/>
      <c r="W4117" s="37"/>
      <c r="X4117" s="37"/>
      <c r="Y4117" s="37"/>
      <c r="Z4117" s="37"/>
      <c r="AA4117" s="37"/>
      <c r="AB4117" s="37"/>
      <c r="AC4117" s="37"/>
      <c r="AD4117" s="37"/>
      <c r="AE4117" s="37"/>
      <c r="AF4117" s="37"/>
      <c r="AG4117" s="37"/>
      <c r="AH4117" s="37"/>
      <c r="AI4117" s="37"/>
      <c r="AJ4117" s="37"/>
      <c r="AK4117" s="37"/>
      <c r="AL4117" s="37"/>
      <c r="AM4117" s="37"/>
      <c r="AN4117" s="37"/>
      <c r="AO4117" s="37"/>
      <c r="AP4117" s="37"/>
      <c r="AQ4117" s="37"/>
      <c r="AR4117" s="37"/>
      <c r="AS4117" s="37"/>
      <c r="AT4117" s="37"/>
      <c r="AU4117" s="37"/>
      <c r="AV4117" s="37"/>
      <c r="AW4117" s="37"/>
      <c r="AX4117" s="37"/>
      <c r="AY4117" s="37"/>
      <c r="AZ4117" s="37"/>
      <c r="BA4117" s="37"/>
      <c r="BB4117" s="37"/>
      <c r="BC4117" s="37"/>
      <c r="BD4117" s="37"/>
      <c r="BE4117" s="37"/>
      <c r="BF4117" s="37"/>
      <c r="BG4117" s="37"/>
      <c r="BH4117" s="37"/>
      <c r="BI4117" s="37"/>
      <c r="BJ4117" s="37"/>
      <c r="BK4117" s="37"/>
      <c r="BL4117" s="37"/>
      <c r="BM4117" s="37"/>
    </row>
    <row r="4118" spans="1:65" s="40" customFormat="1" ht="21" x14ac:dyDescent="0.35">
      <c r="A4118" s="37"/>
      <c r="B4118" s="37"/>
      <c r="C4118" s="41"/>
      <c r="D4118" s="38"/>
      <c r="E4118" s="38"/>
      <c r="F4118" s="42"/>
      <c r="G4118" s="43"/>
      <c r="H4118" s="37"/>
      <c r="I4118" s="37"/>
      <c r="J4118" s="38"/>
      <c r="K4118" s="37"/>
      <c r="L4118" s="38"/>
      <c r="M4118" s="39"/>
      <c r="P4118" s="37"/>
      <c r="Q4118" s="37"/>
      <c r="R4118" s="37"/>
      <c r="S4118" s="37"/>
      <c r="T4118" s="37"/>
      <c r="U4118" s="37"/>
      <c r="V4118" s="37"/>
      <c r="W4118" s="37"/>
      <c r="X4118" s="37"/>
      <c r="Y4118" s="37"/>
      <c r="Z4118" s="37"/>
      <c r="AA4118" s="37"/>
      <c r="AB4118" s="37"/>
      <c r="AC4118" s="37"/>
      <c r="AD4118" s="37"/>
      <c r="AE4118" s="37"/>
      <c r="AF4118" s="37"/>
      <c r="AG4118" s="37"/>
      <c r="AH4118" s="37"/>
      <c r="AI4118" s="37"/>
      <c r="AJ4118" s="37"/>
      <c r="AK4118" s="37"/>
      <c r="AL4118" s="37"/>
      <c r="AM4118" s="37"/>
      <c r="AN4118" s="37"/>
      <c r="AO4118" s="37"/>
      <c r="AP4118" s="37"/>
      <c r="AQ4118" s="37"/>
      <c r="AR4118" s="37"/>
      <c r="AS4118" s="37"/>
      <c r="AT4118" s="37"/>
      <c r="AU4118" s="37"/>
      <c r="AV4118" s="37"/>
      <c r="AW4118" s="37"/>
      <c r="AX4118" s="37"/>
      <c r="AY4118" s="37"/>
      <c r="AZ4118" s="37"/>
      <c r="BA4118" s="37"/>
      <c r="BB4118" s="37"/>
      <c r="BC4118" s="37"/>
      <c r="BD4118" s="37"/>
      <c r="BE4118" s="37"/>
      <c r="BF4118" s="37"/>
      <c r="BG4118" s="37"/>
      <c r="BH4118" s="37"/>
      <c r="BI4118" s="37"/>
      <c r="BJ4118" s="37"/>
      <c r="BK4118" s="37"/>
      <c r="BL4118" s="37"/>
      <c r="BM4118" s="37"/>
    </row>
    <row r="4119" spans="1:65" s="40" customFormat="1" ht="21" x14ac:dyDescent="0.35">
      <c r="A4119" s="37"/>
      <c r="B4119" s="37"/>
      <c r="C4119" s="41"/>
      <c r="D4119" s="38"/>
      <c r="E4119" s="38"/>
      <c r="F4119" s="42"/>
      <c r="G4119" s="43"/>
      <c r="H4119" s="37"/>
      <c r="I4119" s="37"/>
      <c r="J4119" s="38"/>
      <c r="K4119" s="37"/>
      <c r="L4119" s="38"/>
      <c r="M4119" s="39"/>
      <c r="P4119" s="37"/>
      <c r="Q4119" s="37"/>
      <c r="R4119" s="37"/>
      <c r="S4119" s="37"/>
      <c r="T4119" s="37"/>
      <c r="U4119" s="37"/>
      <c r="V4119" s="37"/>
      <c r="W4119" s="37"/>
      <c r="X4119" s="37"/>
      <c r="Y4119" s="37"/>
      <c r="Z4119" s="37"/>
      <c r="AA4119" s="37"/>
      <c r="AB4119" s="37"/>
      <c r="AC4119" s="37"/>
      <c r="AD4119" s="37"/>
      <c r="AE4119" s="37"/>
      <c r="AF4119" s="37"/>
      <c r="AG4119" s="37"/>
      <c r="AH4119" s="37"/>
      <c r="AI4119" s="37"/>
      <c r="AJ4119" s="37"/>
      <c r="AK4119" s="37"/>
      <c r="AL4119" s="37"/>
      <c r="AM4119" s="37"/>
      <c r="AN4119" s="37"/>
      <c r="AO4119" s="37"/>
      <c r="AP4119" s="37"/>
      <c r="AQ4119" s="37"/>
      <c r="AR4119" s="37"/>
      <c r="AS4119" s="37"/>
      <c r="AT4119" s="37"/>
      <c r="AU4119" s="37"/>
      <c r="AV4119" s="37"/>
      <c r="AW4119" s="37"/>
      <c r="AX4119" s="37"/>
      <c r="AY4119" s="37"/>
      <c r="AZ4119" s="37"/>
      <c r="BA4119" s="37"/>
      <c r="BB4119" s="37"/>
      <c r="BC4119" s="37"/>
      <c r="BD4119" s="37"/>
      <c r="BE4119" s="37"/>
      <c r="BF4119" s="37"/>
      <c r="BG4119" s="37"/>
      <c r="BH4119" s="37"/>
      <c r="BI4119" s="37"/>
      <c r="BJ4119" s="37"/>
      <c r="BK4119" s="37"/>
      <c r="BL4119" s="37"/>
      <c r="BM4119" s="37"/>
    </row>
    <row r="4120" spans="1:65" s="40" customFormat="1" ht="21" x14ac:dyDescent="0.35">
      <c r="A4120" s="37"/>
      <c r="B4120" s="37"/>
      <c r="C4120" s="41"/>
      <c r="D4120" s="38"/>
      <c r="E4120" s="38"/>
      <c r="F4120" s="42"/>
      <c r="G4120" s="43"/>
      <c r="H4120" s="37"/>
      <c r="I4120" s="37"/>
      <c r="J4120" s="38"/>
      <c r="K4120" s="37"/>
      <c r="L4120" s="38"/>
      <c r="M4120" s="39"/>
      <c r="P4120" s="37"/>
      <c r="Q4120" s="37"/>
      <c r="R4120" s="37"/>
      <c r="S4120" s="37"/>
      <c r="T4120" s="37"/>
      <c r="U4120" s="37"/>
      <c r="V4120" s="37"/>
      <c r="W4120" s="37"/>
      <c r="X4120" s="37"/>
      <c r="Y4120" s="37"/>
      <c r="Z4120" s="37"/>
      <c r="AA4120" s="37"/>
      <c r="AB4120" s="37"/>
      <c r="AC4120" s="37"/>
      <c r="AD4120" s="37"/>
      <c r="AE4120" s="37"/>
      <c r="AF4120" s="37"/>
      <c r="AG4120" s="37"/>
      <c r="AH4120" s="37"/>
      <c r="AI4120" s="37"/>
      <c r="AJ4120" s="37"/>
      <c r="AK4120" s="37"/>
      <c r="AL4120" s="37"/>
      <c r="AM4120" s="37"/>
      <c r="AN4120" s="37"/>
      <c r="AO4120" s="37"/>
      <c r="AP4120" s="37"/>
      <c r="AQ4120" s="37"/>
      <c r="AR4120" s="37"/>
      <c r="AS4120" s="37"/>
      <c r="AT4120" s="37"/>
      <c r="AU4120" s="37"/>
      <c r="AV4120" s="37"/>
      <c r="AW4120" s="37"/>
      <c r="AX4120" s="37"/>
      <c r="AY4120" s="37"/>
      <c r="AZ4120" s="37"/>
      <c r="BA4120" s="37"/>
      <c r="BB4120" s="37"/>
      <c r="BC4120" s="37"/>
      <c r="BD4120" s="37"/>
      <c r="BE4120" s="37"/>
      <c r="BF4120" s="37"/>
      <c r="BG4120" s="37"/>
      <c r="BH4120" s="37"/>
      <c r="BI4120" s="37"/>
      <c r="BJ4120" s="37"/>
      <c r="BK4120" s="37"/>
      <c r="BL4120" s="37"/>
      <c r="BM4120" s="37"/>
    </row>
    <row r="4121" spans="1:65" s="40" customFormat="1" ht="21" x14ac:dyDescent="0.35">
      <c r="A4121" s="37"/>
      <c r="B4121" s="37"/>
      <c r="C4121" s="41"/>
      <c r="D4121" s="38"/>
      <c r="E4121" s="38"/>
      <c r="F4121" s="42"/>
      <c r="G4121" s="43"/>
      <c r="H4121" s="37"/>
      <c r="I4121" s="37"/>
      <c r="J4121" s="38"/>
      <c r="K4121" s="37"/>
      <c r="L4121" s="38"/>
      <c r="M4121" s="39"/>
      <c r="P4121" s="37"/>
      <c r="Q4121" s="37"/>
      <c r="R4121" s="37"/>
      <c r="S4121" s="37"/>
      <c r="T4121" s="37"/>
      <c r="U4121" s="37"/>
      <c r="V4121" s="37"/>
      <c r="W4121" s="37"/>
      <c r="X4121" s="37"/>
      <c r="Y4121" s="37"/>
      <c r="Z4121" s="37"/>
      <c r="AA4121" s="37"/>
      <c r="AB4121" s="37"/>
      <c r="AC4121" s="37"/>
      <c r="AD4121" s="37"/>
      <c r="AE4121" s="37"/>
      <c r="AF4121" s="37"/>
      <c r="AG4121" s="37"/>
      <c r="AH4121" s="37"/>
      <c r="AI4121" s="37"/>
      <c r="AJ4121" s="37"/>
      <c r="AK4121" s="37"/>
      <c r="AL4121" s="37"/>
      <c r="AM4121" s="37"/>
      <c r="AN4121" s="37"/>
      <c r="AO4121" s="37"/>
      <c r="AP4121" s="37"/>
      <c r="AQ4121" s="37"/>
      <c r="AR4121" s="37"/>
      <c r="AS4121" s="37"/>
      <c r="AT4121" s="37"/>
      <c r="AU4121" s="37"/>
      <c r="AV4121" s="37"/>
      <c r="AW4121" s="37"/>
      <c r="AX4121" s="37"/>
      <c r="AY4121" s="37"/>
      <c r="AZ4121" s="37"/>
      <c r="BA4121" s="37"/>
      <c r="BB4121" s="37"/>
      <c r="BC4121" s="37"/>
      <c r="BD4121" s="37"/>
      <c r="BE4121" s="37"/>
      <c r="BF4121" s="37"/>
      <c r="BG4121" s="37"/>
      <c r="BH4121" s="37"/>
      <c r="BI4121" s="37"/>
      <c r="BJ4121" s="37"/>
      <c r="BK4121" s="37"/>
      <c r="BL4121" s="37"/>
      <c r="BM4121" s="37"/>
    </row>
    <row r="4122" spans="1:65" s="40" customFormat="1" ht="21" x14ac:dyDescent="0.35">
      <c r="A4122" s="37"/>
      <c r="B4122" s="37"/>
      <c r="C4122" s="41"/>
      <c r="D4122" s="38"/>
      <c r="E4122" s="38"/>
      <c r="F4122" s="42"/>
      <c r="G4122" s="43"/>
      <c r="H4122" s="37"/>
      <c r="I4122" s="37"/>
      <c r="J4122" s="38"/>
      <c r="K4122" s="37"/>
      <c r="L4122" s="38"/>
      <c r="M4122" s="39"/>
      <c r="P4122" s="37"/>
      <c r="Q4122" s="37"/>
      <c r="R4122" s="37"/>
      <c r="S4122" s="37"/>
      <c r="T4122" s="37"/>
      <c r="U4122" s="37"/>
      <c r="V4122" s="37"/>
      <c r="W4122" s="37"/>
      <c r="X4122" s="37"/>
      <c r="Y4122" s="37"/>
      <c r="Z4122" s="37"/>
      <c r="AA4122" s="37"/>
      <c r="AB4122" s="37"/>
      <c r="AC4122" s="37"/>
      <c r="AD4122" s="37"/>
      <c r="AE4122" s="37"/>
      <c r="AF4122" s="37"/>
      <c r="AG4122" s="37"/>
      <c r="AH4122" s="37"/>
      <c r="AI4122" s="37"/>
      <c r="AJ4122" s="37"/>
      <c r="AK4122" s="37"/>
      <c r="AL4122" s="37"/>
      <c r="AM4122" s="37"/>
      <c r="AN4122" s="37"/>
      <c r="AO4122" s="37"/>
      <c r="AP4122" s="37"/>
      <c r="AQ4122" s="37"/>
      <c r="AR4122" s="37"/>
      <c r="AS4122" s="37"/>
      <c r="AT4122" s="37"/>
      <c r="AU4122" s="37"/>
      <c r="AV4122" s="37"/>
      <c r="AW4122" s="37"/>
      <c r="AX4122" s="37"/>
      <c r="AY4122" s="37"/>
      <c r="AZ4122" s="37"/>
      <c r="BA4122" s="37"/>
      <c r="BB4122" s="37"/>
      <c r="BC4122" s="37"/>
      <c r="BD4122" s="37"/>
      <c r="BE4122" s="37"/>
      <c r="BF4122" s="37"/>
      <c r="BG4122" s="37"/>
      <c r="BH4122" s="37"/>
      <c r="BI4122" s="37"/>
      <c r="BJ4122" s="37"/>
      <c r="BK4122" s="37"/>
      <c r="BL4122" s="37"/>
      <c r="BM4122" s="37"/>
    </row>
    <row r="4123" spans="1:65" s="40" customFormat="1" ht="21" x14ac:dyDescent="0.35">
      <c r="A4123" s="37"/>
      <c r="B4123" s="37"/>
      <c r="C4123" s="41"/>
      <c r="D4123" s="38"/>
      <c r="E4123" s="38"/>
      <c r="F4123" s="42"/>
      <c r="G4123" s="43"/>
      <c r="H4123" s="37"/>
      <c r="I4123" s="37"/>
      <c r="J4123" s="38"/>
      <c r="K4123" s="37"/>
      <c r="L4123" s="38"/>
      <c r="M4123" s="39"/>
      <c r="P4123" s="37"/>
      <c r="Q4123" s="37"/>
      <c r="R4123" s="37"/>
      <c r="S4123" s="37"/>
      <c r="T4123" s="37"/>
      <c r="U4123" s="37"/>
      <c r="V4123" s="37"/>
      <c r="W4123" s="37"/>
      <c r="X4123" s="37"/>
      <c r="Y4123" s="37"/>
      <c r="Z4123" s="37"/>
      <c r="AA4123" s="37"/>
      <c r="AB4123" s="37"/>
      <c r="AC4123" s="37"/>
      <c r="AD4123" s="37"/>
      <c r="AE4123" s="37"/>
      <c r="AF4123" s="37"/>
      <c r="AG4123" s="37"/>
      <c r="AH4123" s="37"/>
      <c r="AI4123" s="37"/>
      <c r="AJ4123" s="37"/>
      <c r="AK4123" s="37"/>
      <c r="AL4123" s="37"/>
      <c r="AM4123" s="37"/>
      <c r="AN4123" s="37"/>
      <c r="AO4123" s="37"/>
      <c r="AP4123" s="37"/>
      <c r="AQ4123" s="37"/>
      <c r="AR4123" s="37"/>
      <c r="AS4123" s="37"/>
      <c r="AT4123" s="37"/>
      <c r="AU4123" s="37"/>
      <c r="AV4123" s="37"/>
      <c r="AW4123" s="37"/>
      <c r="AX4123" s="37"/>
      <c r="AY4123" s="37"/>
      <c r="AZ4123" s="37"/>
      <c r="BA4123" s="37"/>
      <c r="BB4123" s="37"/>
      <c r="BC4123" s="37"/>
      <c r="BD4123" s="37"/>
      <c r="BE4123" s="37"/>
      <c r="BF4123" s="37"/>
      <c r="BG4123" s="37"/>
      <c r="BH4123" s="37"/>
      <c r="BI4123" s="37"/>
      <c r="BJ4123" s="37"/>
      <c r="BK4123" s="37"/>
      <c r="BL4123" s="37"/>
      <c r="BM4123" s="37"/>
    </row>
    <row r="4124" spans="1:65" s="40" customFormat="1" ht="21" x14ac:dyDescent="0.35">
      <c r="A4124" s="37"/>
      <c r="B4124" s="37"/>
      <c r="C4124" s="41"/>
      <c r="D4124" s="38"/>
      <c r="E4124" s="38"/>
      <c r="F4124" s="42"/>
      <c r="G4124" s="43"/>
      <c r="H4124" s="37"/>
      <c r="I4124" s="37"/>
      <c r="J4124" s="38"/>
      <c r="K4124" s="37"/>
      <c r="L4124" s="38"/>
      <c r="M4124" s="39"/>
      <c r="P4124" s="37"/>
      <c r="Q4124" s="37"/>
      <c r="R4124" s="37"/>
      <c r="S4124" s="37"/>
      <c r="T4124" s="37"/>
      <c r="U4124" s="37"/>
      <c r="V4124" s="37"/>
      <c r="W4124" s="37"/>
      <c r="X4124" s="37"/>
      <c r="Y4124" s="37"/>
      <c r="Z4124" s="37"/>
      <c r="AA4124" s="37"/>
      <c r="AB4124" s="37"/>
      <c r="AC4124" s="37"/>
      <c r="AD4124" s="37"/>
      <c r="AE4124" s="37"/>
      <c r="AF4124" s="37"/>
      <c r="AG4124" s="37"/>
      <c r="AH4124" s="37"/>
      <c r="AI4124" s="37"/>
      <c r="AJ4124" s="37"/>
      <c r="AK4124" s="37"/>
      <c r="AL4124" s="37"/>
      <c r="AM4124" s="37"/>
      <c r="AN4124" s="37"/>
      <c r="AO4124" s="37"/>
      <c r="AP4124" s="37"/>
      <c r="AQ4124" s="37"/>
      <c r="AR4124" s="37"/>
      <c r="AS4124" s="37"/>
      <c r="AT4124" s="37"/>
      <c r="AU4124" s="37"/>
      <c r="AV4124" s="37"/>
      <c r="AW4124" s="37"/>
      <c r="AX4124" s="37"/>
      <c r="AY4124" s="37"/>
      <c r="AZ4124" s="37"/>
      <c r="BA4124" s="37"/>
      <c r="BB4124" s="37"/>
      <c r="BC4124" s="37"/>
      <c r="BD4124" s="37"/>
      <c r="BE4124" s="37"/>
      <c r="BF4124" s="37"/>
      <c r="BG4124" s="37"/>
      <c r="BH4124" s="37"/>
      <c r="BI4124" s="37"/>
      <c r="BJ4124" s="37"/>
      <c r="BK4124" s="37"/>
      <c r="BL4124" s="37"/>
      <c r="BM4124" s="37"/>
    </row>
    <row r="4125" spans="1:65" s="40" customFormat="1" ht="21" x14ac:dyDescent="0.35">
      <c r="A4125" s="37"/>
      <c r="B4125" s="37"/>
      <c r="C4125" s="41"/>
      <c r="D4125" s="38"/>
      <c r="E4125" s="38"/>
      <c r="F4125" s="42"/>
      <c r="G4125" s="43"/>
      <c r="H4125" s="37"/>
      <c r="I4125" s="37"/>
      <c r="J4125" s="38"/>
      <c r="K4125" s="37"/>
      <c r="L4125" s="38"/>
      <c r="M4125" s="39"/>
      <c r="P4125" s="37"/>
      <c r="Q4125" s="37"/>
      <c r="R4125" s="37"/>
      <c r="S4125" s="37"/>
      <c r="T4125" s="37"/>
      <c r="U4125" s="37"/>
      <c r="V4125" s="37"/>
      <c r="W4125" s="37"/>
      <c r="X4125" s="37"/>
      <c r="Y4125" s="37"/>
      <c r="Z4125" s="37"/>
      <c r="AA4125" s="37"/>
      <c r="AB4125" s="37"/>
      <c r="AC4125" s="37"/>
      <c r="AD4125" s="37"/>
      <c r="AE4125" s="37"/>
      <c r="AF4125" s="37"/>
      <c r="AG4125" s="37"/>
      <c r="AH4125" s="37"/>
      <c r="AI4125" s="37"/>
      <c r="AJ4125" s="37"/>
      <c r="AK4125" s="37"/>
      <c r="AL4125" s="37"/>
      <c r="AM4125" s="37"/>
      <c r="AN4125" s="37"/>
      <c r="AO4125" s="37"/>
      <c r="AP4125" s="37"/>
      <c r="AQ4125" s="37"/>
      <c r="AR4125" s="37"/>
      <c r="AS4125" s="37"/>
      <c r="AT4125" s="37"/>
      <c r="AU4125" s="37"/>
      <c r="AV4125" s="37"/>
      <c r="AW4125" s="37"/>
      <c r="AX4125" s="37"/>
      <c r="AY4125" s="37"/>
      <c r="AZ4125" s="37"/>
      <c r="BA4125" s="37"/>
      <c r="BB4125" s="37"/>
      <c r="BC4125" s="37"/>
      <c r="BD4125" s="37"/>
      <c r="BE4125" s="37"/>
      <c r="BF4125" s="37"/>
      <c r="BG4125" s="37"/>
      <c r="BH4125" s="37"/>
      <c r="BI4125" s="37"/>
      <c r="BJ4125" s="37"/>
      <c r="BK4125" s="37"/>
      <c r="BL4125" s="37"/>
      <c r="BM4125" s="37"/>
    </row>
    <row r="4126" spans="1:65" s="40" customFormat="1" ht="21" x14ac:dyDescent="0.35">
      <c r="A4126" s="37"/>
      <c r="B4126" s="37"/>
      <c r="C4126" s="41"/>
      <c r="D4126" s="38"/>
      <c r="E4126" s="38"/>
      <c r="F4126" s="42"/>
      <c r="G4126" s="43"/>
      <c r="H4126" s="37"/>
      <c r="I4126" s="37"/>
      <c r="J4126" s="38"/>
      <c r="K4126" s="37"/>
      <c r="L4126" s="38"/>
      <c r="M4126" s="39"/>
      <c r="P4126" s="37"/>
      <c r="Q4126" s="37"/>
      <c r="R4126" s="37"/>
      <c r="S4126" s="37"/>
      <c r="T4126" s="37"/>
      <c r="U4126" s="37"/>
      <c r="V4126" s="37"/>
      <c r="W4126" s="37"/>
      <c r="X4126" s="37"/>
      <c r="Y4126" s="37"/>
      <c r="Z4126" s="37"/>
      <c r="AA4126" s="37"/>
      <c r="AB4126" s="37"/>
      <c r="AC4126" s="37"/>
      <c r="AD4126" s="37"/>
      <c r="AE4126" s="37"/>
      <c r="AF4126" s="37"/>
      <c r="AG4126" s="37"/>
      <c r="AH4126" s="37"/>
      <c r="AI4126" s="37"/>
      <c r="AJ4126" s="37"/>
      <c r="AK4126" s="37"/>
      <c r="AL4126" s="37"/>
      <c r="AM4126" s="37"/>
      <c r="AN4126" s="37"/>
      <c r="AO4126" s="37"/>
      <c r="AP4126" s="37"/>
      <c r="AQ4126" s="37"/>
      <c r="AR4126" s="37"/>
      <c r="AS4126" s="37"/>
      <c r="AT4126" s="37"/>
      <c r="AU4126" s="37"/>
      <c r="AV4126" s="37"/>
      <c r="AW4126" s="37"/>
      <c r="AX4126" s="37"/>
      <c r="AY4126" s="37"/>
      <c r="AZ4126" s="37"/>
      <c r="BA4126" s="37"/>
      <c r="BB4126" s="37"/>
      <c r="BC4126" s="37"/>
      <c r="BD4126" s="37"/>
      <c r="BE4126" s="37"/>
      <c r="BF4126" s="37"/>
      <c r="BG4126" s="37"/>
      <c r="BH4126" s="37"/>
      <c r="BI4126" s="37"/>
      <c r="BJ4126" s="37"/>
      <c r="BK4126" s="37"/>
      <c r="BL4126" s="37"/>
      <c r="BM4126" s="37"/>
    </row>
    <row r="4127" spans="1:65" s="40" customFormat="1" ht="21" x14ac:dyDescent="0.35">
      <c r="A4127" s="37"/>
      <c r="B4127" s="37"/>
      <c r="C4127" s="41"/>
      <c r="D4127" s="38"/>
      <c r="E4127" s="38"/>
      <c r="F4127" s="42"/>
      <c r="G4127" s="43"/>
      <c r="H4127" s="37"/>
      <c r="I4127" s="37"/>
      <c r="J4127" s="38"/>
      <c r="K4127" s="37"/>
      <c r="L4127" s="38"/>
      <c r="M4127" s="39"/>
      <c r="P4127" s="37"/>
      <c r="Q4127" s="37"/>
      <c r="R4127" s="37"/>
      <c r="S4127" s="37"/>
      <c r="T4127" s="37"/>
      <c r="U4127" s="37"/>
      <c r="V4127" s="37"/>
      <c r="W4127" s="37"/>
      <c r="X4127" s="37"/>
      <c r="Y4127" s="37"/>
      <c r="Z4127" s="37"/>
      <c r="AA4127" s="37"/>
      <c r="AB4127" s="37"/>
      <c r="AC4127" s="37"/>
      <c r="AD4127" s="37"/>
      <c r="AE4127" s="37"/>
      <c r="AF4127" s="37"/>
      <c r="AG4127" s="37"/>
      <c r="AH4127" s="37"/>
      <c r="AI4127" s="37"/>
      <c r="AJ4127" s="37"/>
      <c r="AK4127" s="37"/>
      <c r="AL4127" s="37"/>
      <c r="AM4127" s="37"/>
      <c r="AN4127" s="37"/>
      <c r="AO4127" s="37"/>
      <c r="AP4127" s="37"/>
      <c r="AQ4127" s="37"/>
      <c r="AR4127" s="37"/>
      <c r="AS4127" s="37"/>
      <c r="AT4127" s="37"/>
      <c r="AU4127" s="37"/>
      <c r="AV4127" s="37"/>
      <c r="AW4127" s="37"/>
      <c r="AX4127" s="37"/>
      <c r="AY4127" s="37"/>
      <c r="AZ4127" s="37"/>
      <c r="BA4127" s="37"/>
      <c r="BB4127" s="37"/>
      <c r="BC4127" s="37"/>
      <c r="BD4127" s="37"/>
      <c r="BE4127" s="37"/>
      <c r="BF4127" s="37"/>
      <c r="BG4127" s="37"/>
      <c r="BH4127" s="37"/>
      <c r="BI4127" s="37"/>
      <c r="BJ4127" s="37"/>
      <c r="BK4127" s="37"/>
      <c r="BL4127" s="37"/>
      <c r="BM4127" s="37"/>
    </row>
    <row r="4128" spans="1:65" s="40" customFormat="1" ht="21" x14ac:dyDescent="0.35">
      <c r="A4128" s="37"/>
      <c r="B4128" s="37"/>
      <c r="C4128" s="41"/>
      <c r="D4128" s="38"/>
      <c r="E4128" s="38"/>
      <c r="F4128" s="42"/>
      <c r="G4128" s="43"/>
      <c r="H4128" s="37"/>
      <c r="I4128" s="37"/>
      <c r="J4128" s="38"/>
      <c r="K4128" s="37"/>
      <c r="L4128" s="38"/>
      <c r="M4128" s="39"/>
      <c r="P4128" s="37"/>
      <c r="Q4128" s="37"/>
      <c r="R4128" s="37"/>
      <c r="S4128" s="37"/>
      <c r="T4128" s="37"/>
      <c r="U4128" s="37"/>
      <c r="V4128" s="37"/>
      <c r="W4128" s="37"/>
      <c r="X4128" s="37"/>
      <c r="Y4128" s="37"/>
      <c r="Z4128" s="37"/>
      <c r="AA4128" s="37"/>
      <c r="AB4128" s="37"/>
      <c r="AC4128" s="37"/>
      <c r="AD4128" s="37"/>
      <c r="AE4128" s="37"/>
      <c r="AF4128" s="37"/>
      <c r="AG4128" s="37"/>
      <c r="AH4128" s="37"/>
      <c r="AI4128" s="37"/>
      <c r="AJ4128" s="37"/>
      <c r="AK4128" s="37"/>
      <c r="AL4128" s="37"/>
      <c r="AM4128" s="37"/>
      <c r="AN4128" s="37"/>
      <c r="AO4128" s="37"/>
      <c r="AP4128" s="37"/>
      <c r="AQ4128" s="37"/>
      <c r="AR4128" s="37"/>
      <c r="AS4128" s="37"/>
      <c r="AT4128" s="37"/>
      <c r="AU4128" s="37"/>
      <c r="AV4128" s="37"/>
      <c r="AW4128" s="37"/>
      <c r="AX4128" s="37"/>
      <c r="AY4128" s="37"/>
      <c r="AZ4128" s="37"/>
      <c r="BA4128" s="37"/>
      <c r="BB4128" s="37"/>
      <c r="BC4128" s="37"/>
      <c r="BD4128" s="37"/>
      <c r="BE4128" s="37"/>
      <c r="BF4128" s="37"/>
      <c r="BG4128" s="37"/>
      <c r="BH4128" s="37"/>
      <c r="BI4128" s="37"/>
      <c r="BJ4128" s="37"/>
      <c r="BK4128" s="37"/>
      <c r="BL4128" s="37"/>
      <c r="BM4128" s="37"/>
    </row>
    <row r="4129" spans="1:65" s="40" customFormat="1" ht="21" x14ac:dyDescent="0.35">
      <c r="A4129" s="37"/>
      <c r="B4129" s="37"/>
      <c r="C4129" s="41"/>
      <c r="D4129" s="38"/>
      <c r="E4129" s="38"/>
      <c r="F4129" s="42"/>
      <c r="G4129" s="43"/>
      <c r="H4129" s="37"/>
      <c r="I4129" s="37"/>
      <c r="J4129" s="38"/>
      <c r="K4129" s="37"/>
      <c r="L4129" s="38"/>
      <c r="M4129" s="39"/>
      <c r="P4129" s="37"/>
      <c r="Q4129" s="37"/>
      <c r="R4129" s="37"/>
      <c r="S4129" s="37"/>
      <c r="T4129" s="37"/>
      <c r="U4129" s="37"/>
      <c r="V4129" s="37"/>
      <c r="W4129" s="37"/>
      <c r="X4129" s="37"/>
      <c r="Y4129" s="37"/>
      <c r="Z4129" s="37"/>
      <c r="AA4129" s="37"/>
      <c r="AB4129" s="37"/>
      <c r="AC4129" s="37"/>
      <c r="AD4129" s="37"/>
      <c r="AE4129" s="37"/>
      <c r="AF4129" s="37"/>
      <c r="AG4129" s="37"/>
      <c r="AH4129" s="37"/>
      <c r="AI4129" s="37"/>
      <c r="AJ4129" s="37"/>
      <c r="AK4129" s="37"/>
      <c r="AL4129" s="37"/>
      <c r="AM4129" s="37"/>
      <c r="AN4129" s="37"/>
      <c r="AO4129" s="37"/>
      <c r="AP4129" s="37"/>
      <c r="AQ4129" s="37"/>
      <c r="AR4129" s="37"/>
      <c r="AS4129" s="37"/>
      <c r="AT4129" s="37"/>
      <c r="AU4129" s="37"/>
      <c r="AV4129" s="37"/>
      <c r="AW4129" s="37"/>
      <c r="AX4129" s="37"/>
      <c r="AY4129" s="37"/>
      <c r="AZ4129" s="37"/>
      <c r="BA4129" s="37"/>
      <c r="BB4129" s="37"/>
      <c r="BC4129" s="37"/>
      <c r="BD4129" s="37"/>
      <c r="BE4129" s="37"/>
      <c r="BF4129" s="37"/>
      <c r="BG4129" s="37"/>
      <c r="BH4129" s="37"/>
      <c r="BI4129" s="37"/>
      <c r="BJ4129" s="37"/>
      <c r="BK4129" s="37"/>
      <c r="BL4129" s="37"/>
      <c r="BM4129" s="37"/>
    </row>
    <row r="4130" spans="1:65" s="40" customFormat="1" ht="21" x14ac:dyDescent="0.35">
      <c r="A4130" s="37"/>
      <c r="B4130" s="37"/>
      <c r="C4130" s="41"/>
      <c r="D4130" s="38"/>
      <c r="E4130" s="38"/>
      <c r="F4130" s="42"/>
      <c r="G4130" s="43"/>
      <c r="H4130" s="37"/>
      <c r="I4130" s="37"/>
      <c r="J4130" s="38"/>
      <c r="K4130" s="37"/>
      <c r="L4130" s="38"/>
      <c r="M4130" s="39"/>
      <c r="P4130" s="37"/>
      <c r="Q4130" s="37"/>
      <c r="R4130" s="37"/>
      <c r="S4130" s="37"/>
      <c r="T4130" s="37"/>
      <c r="U4130" s="37"/>
      <c r="V4130" s="37"/>
      <c r="W4130" s="37"/>
      <c r="X4130" s="37"/>
      <c r="Y4130" s="37"/>
      <c r="Z4130" s="37"/>
      <c r="AA4130" s="37"/>
      <c r="AB4130" s="37"/>
      <c r="AC4130" s="37"/>
      <c r="AD4130" s="37"/>
      <c r="AE4130" s="37"/>
      <c r="AF4130" s="37"/>
      <c r="AG4130" s="37"/>
      <c r="AH4130" s="37"/>
      <c r="AI4130" s="37"/>
      <c r="AJ4130" s="37"/>
      <c r="AK4130" s="37"/>
      <c r="AL4130" s="37"/>
      <c r="AM4130" s="37"/>
      <c r="AN4130" s="37"/>
      <c r="AO4130" s="37"/>
      <c r="AP4130" s="37"/>
      <c r="AQ4130" s="37"/>
      <c r="AR4130" s="37"/>
      <c r="AS4130" s="37"/>
      <c r="AT4130" s="37"/>
      <c r="AU4130" s="37"/>
      <c r="AV4130" s="37"/>
      <c r="AW4130" s="37"/>
      <c r="AX4130" s="37"/>
      <c r="AY4130" s="37"/>
      <c r="AZ4130" s="37"/>
      <c r="BA4130" s="37"/>
      <c r="BB4130" s="37"/>
      <c r="BC4130" s="37"/>
      <c r="BD4130" s="37"/>
      <c r="BE4130" s="37"/>
      <c r="BF4130" s="37"/>
      <c r="BG4130" s="37"/>
      <c r="BH4130" s="37"/>
      <c r="BI4130" s="37"/>
      <c r="BJ4130" s="37"/>
      <c r="BK4130" s="37"/>
      <c r="BL4130" s="37"/>
      <c r="BM4130" s="37"/>
    </row>
    <row r="4131" spans="1:65" s="40" customFormat="1" ht="21" x14ac:dyDescent="0.35">
      <c r="A4131" s="37"/>
      <c r="B4131" s="37"/>
      <c r="C4131" s="41"/>
      <c r="D4131" s="38"/>
      <c r="E4131" s="38"/>
      <c r="F4131" s="42"/>
      <c r="G4131" s="43"/>
      <c r="H4131" s="37"/>
      <c r="I4131" s="37"/>
      <c r="J4131" s="38"/>
      <c r="K4131" s="37"/>
      <c r="L4131" s="38"/>
      <c r="M4131" s="39"/>
      <c r="P4131" s="37"/>
      <c r="Q4131" s="37"/>
      <c r="R4131" s="37"/>
      <c r="S4131" s="37"/>
      <c r="T4131" s="37"/>
      <c r="U4131" s="37"/>
      <c r="V4131" s="37"/>
      <c r="W4131" s="37"/>
      <c r="X4131" s="37"/>
      <c r="Y4131" s="37"/>
      <c r="Z4131" s="37"/>
      <c r="AA4131" s="37"/>
      <c r="AB4131" s="37"/>
      <c r="AC4131" s="37"/>
      <c r="AD4131" s="37"/>
      <c r="AE4131" s="37"/>
      <c r="AF4131" s="37"/>
      <c r="AG4131" s="37"/>
      <c r="AH4131" s="37"/>
      <c r="AI4131" s="37"/>
      <c r="AJ4131" s="37"/>
      <c r="AK4131" s="37"/>
      <c r="AL4131" s="37"/>
      <c r="AM4131" s="37"/>
      <c r="AN4131" s="37"/>
      <c r="AO4131" s="37"/>
      <c r="AP4131" s="37"/>
      <c r="AQ4131" s="37"/>
      <c r="AR4131" s="37"/>
      <c r="AS4131" s="37"/>
      <c r="AT4131" s="37"/>
      <c r="AU4131" s="37"/>
      <c r="AV4131" s="37"/>
      <c r="AW4131" s="37"/>
      <c r="AX4131" s="37"/>
      <c r="AY4131" s="37"/>
      <c r="AZ4131" s="37"/>
      <c r="BA4131" s="37"/>
      <c r="BB4131" s="37"/>
      <c r="BC4131" s="37"/>
      <c r="BD4131" s="37"/>
      <c r="BE4131" s="37"/>
      <c r="BF4131" s="37"/>
      <c r="BG4131" s="37"/>
      <c r="BH4131" s="37"/>
      <c r="BI4131" s="37"/>
      <c r="BJ4131" s="37"/>
      <c r="BK4131" s="37"/>
      <c r="BL4131" s="37"/>
      <c r="BM4131" s="37"/>
    </row>
    <row r="4132" spans="1:65" s="40" customFormat="1" ht="21" x14ac:dyDescent="0.35">
      <c r="A4132" s="37"/>
      <c r="B4132" s="37"/>
      <c r="C4132" s="41"/>
      <c r="D4132" s="38"/>
      <c r="E4132" s="38"/>
      <c r="F4132" s="42"/>
      <c r="G4132" s="43"/>
      <c r="H4132" s="37"/>
      <c r="I4132" s="37"/>
      <c r="J4132" s="38"/>
      <c r="K4132" s="37"/>
      <c r="L4132" s="38"/>
      <c r="M4132" s="39"/>
      <c r="P4132" s="37"/>
      <c r="Q4132" s="37"/>
      <c r="R4132" s="37"/>
      <c r="S4132" s="37"/>
      <c r="T4132" s="37"/>
      <c r="U4132" s="37"/>
      <c r="V4132" s="37"/>
      <c r="W4132" s="37"/>
      <c r="X4132" s="37"/>
      <c r="Y4132" s="37"/>
      <c r="Z4132" s="37"/>
      <c r="AA4132" s="37"/>
      <c r="AB4132" s="37"/>
      <c r="AC4132" s="37"/>
      <c r="AD4132" s="37"/>
      <c r="AE4132" s="37"/>
      <c r="AF4132" s="37"/>
      <c r="AG4132" s="37"/>
      <c r="AH4132" s="37"/>
      <c r="AI4132" s="37"/>
      <c r="AJ4132" s="37"/>
      <c r="AK4132" s="37"/>
      <c r="AL4132" s="37"/>
      <c r="AM4132" s="37"/>
      <c r="AN4132" s="37"/>
      <c r="AO4132" s="37"/>
      <c r="AP4132" s="37"/>
      <c r="AQ4132" s="37"/>
      <c r="AR4132" s="37"/>
      <c r="AS4132" s="37"/>
      <c r="AT4132" s="37"/>
      <c r="AU4132" s="37"/>
      <c r="AV4132" s="37"/>
      <c r="AW4132" s="37"/>
      <c r="AX4132" s="37"/>
      <c r="AY4132" s="37"/>
      <c r="AZ4132" s="37"/>
      <c r="BA4132" s="37"/>
      <c r="BB4132" s="37"/>
      <c r="BC4132" s="37"/>
      <c r="BD4132" s="37"/>
      <c r="BE4132" s="37"/>
      <c r="BF4132" s="37"/>
      <c r="BG4132" s="37"/>
      <c r="BH4132" s="37"/>
      <c r="BI4132" s="37"/>
      <c r="BJ4132" s="37"/>
      <c r="BK4132" s="37"/>
      <c r="BL4132" s="37"/>
      <c r="BM4132" s="37"/>
    </row>
    <row r="4133" spans="1:65" s="40" customFormat="1" ht="21" x14ac:dyDescent="0.35">
      <c r="A4133" s="37"/>
      <c r="B4133" s="37"/>
      <c r="C4133" s="41"/>
      <c r="D4133" s="38"/>
      <c r="E4133" s="38"/>
      <c r="F4133" s="42"/>
      <c r="G4133" s="43"/>
      <c r="H4133" s="37"/>
      <c r="I4133" s="37"/>
      <c r="J4133" s="38"/>
      <c r="K4133" s="37"/>
      <c r="L4133" s="38"/>
      <c r="M4133" s="39"/>
      <c r="P4133" s="37"/>
      <c r="Q4133" s="37"/>
      <c r="R4133" s="37"/>
      <c r="S4133" s="37"/>
      <c r="T4133" s="37"/>
      <c r="U4133" s="37"/>
      <c r="V4133" s="37"/>
      <c r="W4133" s="37"/>
      <c r="X4133" s="37"/>
      <c r="Y4133" s="37"/>
      <c r="Z4133" s="37"/>
      <c r="AA4133" s="37"/>
      <c r="AB4133" s="37"/>
      <c r="AC4133" s="37"/>
      <c r="AD4133" s="37"/>
      <c r="AE4133" s="37"/>
      <c r="AF4133" s="37"/>
      <c r="AG4133" s="37"/>
      <c r="AH4133" s="37"/>
      <c r="AI4133" s="37"/>
      <c r="AJ4133" s="37"/>
      <c r="AK4133" s="37"/>
      <c r="AL4133" s="37"/>
      <c r="AM4133" s="37"/>
      <c r="AN4133" s="37"/>
      <c r="AO4133" s="37"/>
      <c r="AP4133" s="37"/>
      <c r="AQ4133" s="37"/>
      <c r="AR4133" s="37"/>
      <c r="AS4133" s="37"/>
      <c r="AT4133" s="37"/>
      <c r="AU4133" s="37"/>
      <c r="AV4133" s="37"/>
      <c r="AW4133" s="37"/>
      <c r="AX4133" s="37"/>
      <c r="AY4133" s="37"/>
      <c r="AZ4133" s="37"/>
      <c r="BA4133" s="37"/>
      <c r="BB4133" s="37"/>
      <c r="BC4133" s="37"/>
      <c r="BD4133" s="37"/>
      <c r="BE4133" s="37"/>
      <c r="BF4133" s="37"/>
      <c r="BG4133" s="37"/>
      <c r="BH4133" s="37"/>
      <c r="BI4133" s="37"/>
      <c r="BJ4133" s="37"/>
      <c r="BK4133" s="37"/>
      <c r="BL4133" s="37"/>
      <c r="BM4133" s="37"/>
    </row>
    <row r="4134" spans="1:65" s="40" customFormat="1" ht="21" x14ac:dyDescent="0.35">
      <c r="A4134" s="37"/>
      <c r="B4134" s="37"/>
      <c r="C4134" s="41"/>
      <c r="D4134" s="38"/>
      <c r="E4134" s="38"/>
      <c r="F4134" s="42"/>
      <c r="G4134" s="43"/>
      <c r="H4134" s="37"/>
      <c r="I4134" s="37"/>
      <c r="J4134" s="38"/>
      <c r="K4134" s="37"/>
      <c r="L4134" s="38"/>
      <c r="M4134" s="39"/>
      <c r="P4134" s="37"/>
      <c r="Q4134" s="37"/>
      <c r="R4134" s="37"/>
      <c r="S4134" s="37"/>
      <c r="T4134" s="37"/>
      <c r="U4134" s="37"/>
      <c r="V4134" s="37"/>
      <c r="W4134" s="37"/>
      <c r="X4134" s="37"/>
      <c r="Y4134" s="37"/>
      <c r="Z4134" s="37"/>
      <c r="AA4134" s="37"/>
      <c r="AB4134" s="37"/>
      <c r="AC4134" s="37"/>
      <c r="AD4134" s="37"/>
      <c r="AE4134" s="37"/>
      <c r="AF4134" s="37"/>
      <c r="AG4134" s="37"/>
      <c r="AH4134" s="37"/>
      <c r="AI4134" s="37"/>
      <c r="AJ4134" s="37"/>
      <c r="AK4134" s="37"/>
      <c r="AL4134" s="37"/>
      <c r="AM4134" s="37"/>
      <c r="AN4134" s="37"/>
      <c r="AO4134" s="37"/>
      <c r="AP4134" s="37"/>
      <c r="AQ4134" s="37"/>
      <c r="AR4134" s="37"/>
      <c r="AS4134" s="37"/>
      <c r="AT4134" s="37"/>
      <c r="AU4134" s="37"/>
      <c r="AV4134" s="37"/>
      <c r="AW4134" s="37"/>
      <c r="AX4134" s="37"/>
      <c r="AY4134" s="37"/>
      <c r="AZ4134" s="37"/>
      <c r="BA4134" s="37"/>
      <c r="BB4134" s="37"/>
      <c r="BC4134" s="37"/>
      <c r="BD4134" s="37"/>
      <c r="BE4134" s="37"/>
      <c r="BF4134" s="37"/>
      <c r="BG4134" s="37"/>
      <c r="BH4134" s="37"/>
      <c r="BI4134" s="37"/>
      <c r="BJ4134" s="37"/>
      <c r="BK4134" s="37"/>
      <c r="BL4134" s="37"/>
      <c r="BM4134" s="37"/>
    </row>
    <row r="4135" spans="1:65" s="40" customFormat="1" ht="21" x14ac:dyDescent="0.35">
      <c r="A4135" s="37"/>
      <c r="B4135" s="37"/>
      <c r="C4135" s="41"/>
      <c r="D4135" s="38"/>
      <c r="E4135" s="38"/>
      <c r="F4135" s="42"/>
      <c r="G4135" s="43"/>
      <c r="H4135" s="37"/>
      <c r="I4135" s="37"/>
      <c r="J4135" s="38"/>
      <c r="K4135" s="37"/>
      <c r="L4135" s="38"/>
      <c r="M4135" s="39"/>
      <c r="P4135" s="37"/>
      <c r="Q4135" s="37"/>
      <c r="R4135" s="37"/>
      <c r="S4135" s="37"/>
      <c r="T4135" s="37"/>
      <c r="U4135" s="37"/>
      <c r="V4135" s="37"/>
      <c r="W4135" s="37"/>
      <c r="X4135" s="37"/>
      <c r="Y4135" s="37"/>
      <c r="Z4135" s="37"/>
      <c r="AA4135" s="37"/>
      <c r="AB4135" s="37"/>
      <c r="AC4135" s="37"/>
      <c r="AD4135" s="37"/>
      <c r="AE4135" s="37"/>
      <c r="AF4135" s="37"/>
      <c r="AG4135" s="37"/>
      <c r="AH4135" s="37"/>
      <c r="AI4135" s="37"/>
      <c r="AJ4135" s="37"/>
      <c r="AK4135" s="37"/>
      <c r="AL4135" s="37"/>
      <c r="AM4135" s="37"/>
      <c r="AN4135" s="37"/>
      <c r="AO4135" s="37"/>
      <c r="AP4135" s="37"/>
      <c r="AQ4135" s="37"/>
      <c r="AR4135" s="37"/>
      <c r="AS4135" s="37"/>
      <c r="AT4135" s="37"/>
      <c r="AU4135" s="37"/>
      <c r="AV4135" s="37"/>
      <c r="AW4135" s="37"/>
      <c r="AX4135" s="37"/>
      <c r="AY4135" s="37"/>
      <c r="AZ4135" s="37"/>
      <c r="BA4135" s="37"/>
      <c r="BB4135" s="37"/>
      <c r="BC4135" s="37"/>
      <c r="BD4135" s="37"/>
      <c r="BE4135" s="37"/>
      <c r="BF4135" s="37"/>
      <c r="BG4135" s="37"/>
      <c r="BH4135" s="37"/>
      <c r="BI4135" s="37"/>
      <c r="BJ4135" s="37"/>
      <c r="BK4135" s="37"/>
      <c r="BL4135" s="37"/>
      <c r="BM4135" s="37"/>
    </row>
    <row r="4136" spans="1:65" s="40" customFormat="1" ht="21" x14ac:dyDescent="0.35">
      <c r="A4136" s="37"/>
      <c r="B4136" s="37"/>
      <c r="C4136" s="41"/>
      <c r="D4136" s="38"/>
      <c r="E4136" s="38"/>
      <c r="F4136" s="42"/>
      <c r="G4136" s="43"/>
      <c r="H4136" s="37"/>
      <c r="I4136" s="37"/>
      <c r="J4136" s="38"/>
      <c r="K4136" s="37"/>
      <c r="L4136" s="38"/>
      <c r="M4136" s="39"/>
      <c r="P4136" s="37"/>
      <c r="Q4136" s="37"/>
      <c r="R4136" s="37"/>
      <c r="S4136" s="37"/>
      <c r="T4136" s="37"/>
      <c r="U4136" s="37"/>
      <c r="V4136" s="37"/>
      <c r="W4136" s="37"/>
      <c r="X4136" s="37"/>
      <c r="Y4136" s="37"/>
      <c r="Z4136" s="37"/>
      <c r="AA4136" s="37"/>
      <c r="AB4136" s="37"/>
      <c r="AC4136" s="37"/>
      <c r="AD4136" s="37"/>
      <c r="AE4136" s="37"/>
      <c r="AF4136" s="37"/>
      <c r="AG4136" s="37"/>
      <c r="AH4136" s="37"/>
      <c r="AI4136" s="37"/>
      <c r="AJ4136" s="37"/>
      <c r="AK4136" s="37"/>
      <c r="AL4136" s="37"/>
      <c r="AM4136" s="37"/>
      <c r="AN4136" s="37"/>
      <c r="AO4136" s="37"/>
      <c r="AP4136" s="37"/>
      <c r="AQ4136" s="37"/>
      <c r="AR4136" s="37"/>
      <c r="AS4136" s="37"/>
      <c r="AT4136" s="37"/>
      <c r="AU4136" s="37"/>
      <c r="AV4136" s="37"/>
      <c r="AW4136" s="37"/>
      <c r="AX4136" s="37"/>
      <c r="AY4136" s="37"/>
      <c r="AZ4136" s="37"/>
      <c r="BA4136" s="37"/>
      <c r="BB4136" s="37"/>
      <c r="BC4136" s="37"/>
      <c r="BD4136" s="37"/>
      <c r="BE4136" s="37"/>
      <c r="BF4136" s="37"/>
      <c r="BG4136" s="37"/>
      <c r="BH4136" s="37"/>
      <c r="BI4136" s="37"/>
      <c r="BJ4136" s="37"/>
      <c r="BK4136" s="37"/>
      <c r="BL4136" s="37"/>
      <c r="BM4136" s="37"/>
    </row>
    <row r="4137" spans="1:65" s="40" customFormat="1" ht="21" x14ac:dyDescent="0.35">
      <c r="A4137" s="37"/>
      <c r="B4137" s="37"/>
      <c r="C4137" s="41"/>
      <c r="D4137" s="38"/>
      <c r="E4137" s="38"/>
      <c r="F4137" s="42"/>
      <c r="G4137" s="43"/>
      <c r="H4137" s="37"/>
      <c r="I4137" s="37"/>
      <c r="J4137" s="38"/>
      <c r="K4137" s="37"/>
      <c r="L4137" s="38"/>
      <c r="M4137" s="39"/>
      <c r="P4137" s="37"/>
      <c r="Q4137" s="37"/>
      <c r="R4137" s="37"/>
      <c r="S4137" s="37"/>
      <c r="T4137" s="37"/>
      <c r="U4137" s="37"/>
      <c r="V4137" s="37"/>
      <c r="W4137" s="37"/>
      <c r="X4137" s="37"/>
      <c r="Y4137" s="37"/>
      <c r="Z4137" s="37"/>
      <c r="AA4137" s="37"/>
      <c r="AB4137" s="37"/>
      <c r="AC4137" s="37"/>
      <c r="AD4137" s="37"/>
      <c r="AE4137" s="37"/>
      <c r="AF4137" s="37"/>
      <c r="AG4137" s="37"/>
      <c r="AH4137" s="37"/>
      <c r="AI4137" s="37"/>
      <c r="AJ4137" s="37"/>
      <c r="AK4137" s="37"/>
      <c r="AL4137" s="37"/>
      <c r="AM4137" s="37"/>
      <c r="AN4137" s="37"/>
      <c r="AO4137" s="37"/>
      <c r="AP4137" s="37"/>
      <c r="AQ4137" s="37"/>
      <c r="AR4137" s="37"/>
      <c r="AS4137" s="37"/>
      <c r="AT4137" s="37"/>
      <c r="AU4137" s="37"/>
      <c r="AV4137" s="37"/>
      <c r="AW4137" s="37"/>
      <c r="AX4137" s="37"/>
      <c r="AY4137" s="37"/>
      <c r="AZ4137" s="37"/>
      <c r="BA4137" s="37"/>
      <c r="BB4137" s="37"/>
      <c r="BC4137" s="37"/>
      <c r="BD4137" s="37"/>
      <c r="BE4137" s="37"/>
      <c r="BF4137" s="37"/>
      <c r="BG4137" s="37"/>
      <c r="BH4137" s="37"/>
      <c r="BI4137" s="37"/>
      <c r="BJ4137" s="37"/>
      <c r="BK4137" s="37"/>
      <c r="BL4137" s="37"/>
      <c r="BM4137" s="37"/>
    </row>
    <row r="4138" spans="1:65" s="40" customFormat="1" ht="21" x14ac:dyDescent="0.35">
      <c r="A4138" s="37"/>
      <c r="B4138" s="37"/>
      <c r="C4138" s="41"/>
      <c r="D4138" s="38"/>
      <c r="E4138" s="38"/>
      <c r="F4138" s="42"/>
      <c r="G4138" s="43"/>
      <c r="H4138" s="37"/>
      <c r="I4138" s="37"/>
      <c r="J4138" s="38"/>
      <c r="K4138" s="37"/>
      <c r="L4138" s="38"/>
      <c r="M4138" s="39"/>
      <c r="P4138" s="37"/>
      <c r="Q4138" s="37"/>
      <c r="R4138" s="37"/>
      <c r="S4138" s="37"/>
      <c r="T4138" s="37"/>
      <c r="U4138" s="37"/>
      <c r="V4138" s="37"/>
      <c r="W4138" s="37"/>
      <c r="X4138" s="37"/>
      <c r="Y4138" s="37"/>
      <c r="Z4138" s="37"/>
      <c r="AA4138" s="37"/>
      <c r="AB4138" s="37"/>
      <c r="AC4138" s="37"/>
      <c r="AD4138" s="37"/>
      <c r="AE4138" s="37"/>
      <c r="AF4138" s="37"/>
      <c r="AG4138" s="37"/>
      <c r="AH4138" s="37"/>
      <c r="AI4138" s="37"/>
      <c r="AJ4138" s="37"/>
      <c r="AK4138" s="37"/>
      <c r="AL4138" s="37"/>
      <c r="AM4138" s="37"/>
      <c r="AN4138" s="37"/>
      <c r="AO4138" s="37"/>
      <c r="AP4138" s="37"/>
      <c r="AQ4138" s="37"/>
      <c r="AR4138" s="37"/>
      <c r="AS4138" s="37"/>
      <c r="AT4138" s="37"/>
      <c r="AU4138" s="37"/>
      <c r="AV4138" s="37"/>
      <c r="AW4138" s="37"/>
      <c r="AX4138" s="37"/>
      <c r="AY4138" s="37"/>
      <c r="AZ4138" s="37"/>
      <c r="BA4138" s="37"/>
      <c r="BB4138" s="37"/>
      <c r="BC4138" s="37"/>
      <c r="BD4138" s="37"/>
      <c r="BE4138" s="37"/>
      <c r="BF4138" s="37"/>
      <c r="BG4138" s="37"/>
      <c r="BH4138" s="37"/>
      <c r="BI4138" s="37"/>
      <c r="BJ4138" s="37"/>
      <c r="BK4138" s="37"/>
      <c r="BL4138" s="37"/>
      <c r="BM4138" s="37"/>
    </row>
    <row r="4139" spans="1:65" s="40" customFormat="1" ht="21" x14ac:dyDescent="0.35">
      <c r="A4139" s="37"/>
      <c r="B4139" s="37"/>
      <c r="C4139" s="41"/>
      <c r="D4139" s="38"/>
      <c r="E4139" s="38"/>
      <c r="F4139" s="42"/>
      <c r="G4139" s="43"/>
      <c r="H4139" s="37"/>
      <c r="I4139" s="37"/>
      <c r="J4139" s="38"/>
      <c r="K4139" s="37"/>
      <c r="L4139" s="38"/>
      <c r="M4139" s="39"/>
      <c r="P4139" s="37"/>
      <c r="Q4139" s="37"/>
      <c r="R4139" s="37"/>
      <c r="S4139" s="37"/>
      <c r="T4139" s="37"/>
      <c r="U4139" s="37"/>
      <c r="V4139" s="37"/>
      <c r="W4139" s="37"/>
      <c r="X4139" s="37"/>
      <c r="Y4139" s="37"/>
      <c r="Z4139" s="37"/>
      <c r="AA4139" s="37"/>
      <c r="AB4139" s="37"/>
      <c r="AC4139" s="37"/>
      <c r="AD4139" s="37"/>
      <c r="AE4139" s="37"/>
      <c r="AF4139" s="37"/>
      <c r="AG4139" s="37"/>
      <c r="AH4139" s="37"/>
      <c r="AI4139" s="37"/>
      <c r="AJ4139" s="37"/>
      <c r="AK4139" s="37"/>
      <c r="AL4139" s="37"/>
      <c r="AM4139" s="37"/>
      <c r="AN4139" s="37"/>
      <c r="AO4139" s="37"/>
      <c r="AP4139" s="37"/>
      <c r="AQ4139" s="37"/>
      <c r="AR4139" s="37"/>
      <c r="AS4139" s="37"/>
      <c r="AT4139" s="37"/>
      <c r="AU4139" s="37"/>
      <c r="AV4139" s="37"/>
      <c r="AW4139" s="37"/>
      <c r="AX4139" s="37"/>
      <c r="AY4139" s="37"/>
      <c r="AZ4139" s="37"/>
      <c r="BA4139" s="37"/>
      <c r="BB4139" s="37"/>
      <c r="BC4139" s="37"/>
      <c r="BD4139" s="37"/>
      <c r="BE4139" s="37"/>
      <c r="BF4139" s="37"/>
      <c r="BG4139" s="37"/>
      <c r="BH4139" s="37"/>
      <c r="BI4139" s="37"/>
      <c r="BJ4139" s="37"/>
      <c r="BK4139" s="37"/>
      <c r="BL4139" s="37"/>
      <c r="BM4139" s="37"/>
    </row>
    <row r="4140" spans="1:65" s="40" customFormat="1" ht="21" x14ac:dyDescent="0.35">
      <c r="A4140" s="37"/>
      <c r="B4140" s="37"/>
      <c r="C4140" s="41"/>
      <c r="D4140" s="38"/>
      <c r="E4140" s="38"/>
      <c r="F4140" s="42"/>
      <c r="G4140" s="43"/>
      <c r="H4140" s="37"/>
      <c r="I4140" s="37"/>
      <c r="J4140" s="38"/>
      <c r="K4140" s="37"/>
      <c r="L4140" s="38"/>
      <c r="M4140" s="39"/>
      <c r="P4140" s="37"/>
      <c r="Q4140" s="37"/>
      <c r="R4140" s="37"/>
      <c r="S4140" s="37"/>
      <c r="T4140" s="37"/>
      <c r="U4140" s="37"/>
      <c r="V4140" s="37"/>
      <c r="W4140" s="37"/>
      <c r="X4140" s="37"/>
      <c r="Y4140" s="37"/>
      <c r="Z4140" s="37"/>
      <c r="AA4140" s="37"/>
      <c r="AB4140" s="37"/>
      <c r="AC4140" s="37"/>
      <c r="AD4140" s="37"/>
      <c r="AE4140" s="37"/>
      <c r="AF4140" s="37"/>
      <c r="AG4140" s="37"/>
      <c r="AH4140" s="37"/>
      <c r="AI4140" s="37"/>
      <c r="AJ4140" s="37"/>
      <c r="AK4140" s="37"/>
      <c r="AL4140" s="37"/>
      <c r="AM4140" s="37"/>
      <c r="AN4140" s="37"/>
      <c r="AO4140" s="37"/>
      <c r="AP4140" s="37"/>
      <c r="AQ4140" s="37"/>
      <c r="AR4140" s="37"/>
      <c r="AS4140" s="37"/>
      <c r="AT4140" s="37"/>
      <c r="AU4140" s="37"/>
      <c r="AV4140" s="37"/>
      <c r="AW4140" s="37"/>
      <c r="AX4140" s="37"/>
      <c r="AY4140" s="37"/>
      <c r="AZ4140" s="37"/>
      <c r="BA4140" s="37"/>
      <c r="BB4140" s="37"/>
      <c r="BC4140" s="37"/>
      <c r="BD4140" s="37"/>
      <c r="BE4140" s="37"/>
      <c r="BF4140" s="37"/>
      <c r="BG4140" s="37"/>
      <c r="BH4140" s="37"/>
      <c r="BI4140" s="37"/>
      <c r="BJ4140" s="37"/>
      <c r="BK4140" s="37"/>
      <c r="BL4140" s="37"/>
      <c r="BM4140" s="37"/>
    </row>
    <row r="4141" spans="1:65" s="40" customFormat="1" ht="21" x14ac:dyDescent="0.35">
      <c r="A4141" s="37"/>
      <c r="B4141" s="37"/>
      <c r="C4141" s="41"/>
      <c r="D4141" s="38"/>
      <c r="E4141" s="38"/>
      <c r="F4141" s="42"/>
      <c r="G4141" s="43"/>
      <c r="H4141" s="37"/>
      <c r="I4141" s="37"/>
      <c r="J4141" s="38"/>
      <c r="K4141" s="37"/>
      <c r="L4141" s="38"/>
      <c r="M4141" s="39"/>
      <c r="P4141" s="37"/>
      <c r="Q4141" s="37"/>
      <c r="R4141" s="37"/>
      <c r="S4141" s="37"/>
      <c r="T4141" s="37"/>
      <c r="U4141" s="37"/>
      <c r="V4141" s="37"/>
      <c r="W4141" s="37"/>
      <c r="X4141" s="37"/>
      <c r="Y4141" s="37"/>
      <c r="Z4141" s="37"/>
      <c r="AA4141" s="37"/>
      <c r="AB4141" s="37"/>
      <c r="AC4141" s="37"/>
      <c r="AD4141" s="37"/>
      <c r="AE4141" s="37"/>
      <c r="AF4141" s="37"/>
      <c r="AG4141" s="37"/>
      <c r="AH4141" s="37"/>
      <c r="AI4141" s="37"/>
      <c r="AJ4141" s="37"/>
      <c r="AK4141" s="37"/>
      <c r="AL4141" s="37"/>
      <c r="AM4141" s="37"/>
      <c r="AN4141" s="37"/>
      <c r="AO4141" s="37"/>
      <c r="AP4141" s="37"/>
      <c r="AQ4141" s="37"/>
      <c r="AR4141" s="37"/>
      <c r="AS4141" s="37"/>
      <c r="AT4141" s="37"/>
      <c r="AU4141" s="37"/>
      <c r="AV4141" s="37"/>
      <c r="AW4141" s="37"/>
      <c r="AX4141" s="37"/>
      <c r="AY4141" s="37"/>
      <c r="AZ4141" s="37"/>
      <c r="BA4141" s="37"/>
      <c r="BB4141" s="37"/>
      <c r="BC4141" s="37"/>
      <c r="BD4141" s="37"/>
      <c r="BE4141" s="37"/>
      <c r="BF4141" s="37"/>
      <c r="BG4141" s="37"/>
      <c r="BH4141" s="37"/>
      <c r="BI4141" s="37"/>
      <c r="BJ4141" s="37"/>
      <c r="BK4141" s="37"/>
      <c r="BL4141" s="37"/>
      <c r="BM4141" s="37"/>
    </row>
    <row r="4142" spans="1:65" s="40" customFormat="1" ht="21" x14ac:dyDescent="0.35">
      <c r="A4142" s="37"/>
      <c r="B4142" s="37"/>
      <c r="C4142" s="41"/>
      <c r="D4142" s="38"/>
      <c r="E4142" s="38"/>
      <c r="F4142" s="42"/>
      <c r="G4142" s="43"/>
      <c r="H4142" s="37"/>
      <c r="I4142" s="37"/>
      <c r="J4142" s="38"/>
      <c r="K4142" s="37"/>
      <c r="L4142" s="38"/>
      <c r="M4142" s="39"/>
      <c r="P4142" s="37"/>
      <c r="Q4142" s="37"/>
      <c r="R4142" s="37"/>
      <c r="S4142" s="37"/>
      <c r="T4142" s="37"/>
      <c r="U4142" s="37"/>
      <c r="V4142" s="37"/>
      <c r="W4142" s="37"/>
      <c r="X4142" s="37"/>
      <c r="Y4142" s="37"/>
      <c r="Z4142" s="37"/>
      <c r="AA4142" s="37"/>
      <c r="AB4142" s="37"/>
      <c r="AC4142" s="37"/>
      <c r="AD4142" s="37"/>
      <c r="AE4142" s="37"/>
      <c r="AF4142" s="37"/>
      <c r="AG4142" s="37"/>
      <c r="AH4142" s="37"/>
      <c r="AI4142" s="37"/>
      <c r="AJ4142" s="37"/>
      <c r="AK4142" s="37"/>
      <c r="AL4142" s="37"/>
      <c r="AM4142" s="37"/>
      <c r="AN4142" s="37"/>
      <c r="AO4142" s="37"/>
      <c r="AP4142" s="37"/>
      <c r="AQ4142" s="37"/>
      <c r="AR4142" s="37"/>
      <c r="AS4142" s="37"/>
      <c r="AT4142" s="37"/>
      <c r="AU4142" s="37"/>
      <c r="AV4142" s="37"/>
      <c r="AW4142" s="37"/>
      <c r="AX4142" s="37"/>
      <c r="AY4142" s="37"/>
      <c r="AZ4142" s="37"/>
      <c r="BA4142" s="37"/>
      <c r="BB4142" s="37"/>
      <c r="BC4142" s="37"/>
      <c r="BD4142" s="37"/>
      <c r="BE4142" s="37"/>
      <c r="BF4142" s="37"/>
      <c r="BG4142" s="37"/>
      <c r="BH4142" s="37"/>
      <c r="BI4142" s="37"/>
      <c r="BJ4142" s="37"/>
      <c r="BK4142" s="37"/>
      <c r="BL4142" s="37"/>
      <c r="BM4142" s="37"/>
    </row>
    <row r="4143" spans="1:65" s="40" customFormat="1" ht="21" x14ac:dyDescent="0.35">
      <c r="A4143" s="37"/>
      <c r="B4143" s="37"/>
      <c r="C4143" s="41"/>
      <c r="D4143" s="38"/>
      <c r="E4143" s="38"/>
      <c r="F4143" s="42"/>
      <c r="G4143" s="43"/>
      <c r="H4143" s="37"/>
      <c r="I4143" s="37"/>
      <c r="J4143" s="38"/>
      <c r="K4143" s="37"/>
      <c r="L4143" s="38"/>
      <c r="M4143" s="39"/>
      <c r="P4143" s="37"/>
      <c r="Q4143" s="37"/>
      <c r="R4143" s="37"/>
      <c r="S4143" s="37"/>
      <c r="T4143" s="37"/>
      <c r="U4143" s="37"/>
      <c r="V4143" s="37"/>
      <c r="W4143" s="37"/>
      <c r="X4143" s="37"/>
      <c r="Y4143" s="37"/>
      <c r="Z4143" s="37"/>
      <c r="AA4143" s="37"/>
      <c r="AB4143" s="37"/>
      <c r="AC4143" s="37"/>
      <c r="AD4143" s="37"/>
      <c r="AE4143" s="37"/>
      <c r="AF4143" s="37"/>
      <c r="AG4143" s="37"/>
      <c r="AH4143" s="37"/>
      <c r="AI4143" s="37"/>
      <c r="AJ4143" s="37"/>
      <c r="AK4143" s="37"/>
      <c r="AL4143" s="37"/>
      <c r="AM4143" s="37"/>
      <c r="AN4143" s="37"/>
      <c r="AO4143" s="37"/>
      <c r="AP4143" s="37"/>
      <c r="AQ4143" s="37"/>
      <c r="AR4143" s="37"/>
      <c r="AS4143" s="37"/>
      <c r="AT4143" s="37"/>
      <c r="AU4143" s="37"/>
      <c r="AV4143" s="37"/>
      <c r="AW4143" s="37"/>
      <c r="AX4143" s="37"/>
      <c r="AY4143" s="37"/>
      <c r="AZ4143" s="37"/>
      <c r="BA4143" s="37"/>
      <c r="BB4143" s="37"/>
      <c r="BC4143" s="37"/>
      <c r="BD4143" s="37"/>
      <c r="BE4143" s="37"/>
      <c r="BF4143" s="37"/>
      <c r="BG4143" s="37"/>
      <c r="BH4143" s="37"/>
      <c r="BI4143" s="37"/>
      <c r="BJ4143" s="37"/>
      <c r="BK4143" s="37"/>
      <c r="BL4143" s="37"/>
      <c r="BM4143" s="37"/>
    </row>
    <row r="4144" spans="1:65" s="40" customFormat="1" ht="21" x14ac:dyDescent="0.35">
      <c r="A4144" s="37"/>
      <c r="B4144" s="37"/>
      <c r="C4144" s="41"/>
      <c r="D4144" s="38"/>
      <c r="E4144" s="38"/>
      <c r="F4144" s="42"/>
      <c r="G4144" s="43"/>
      <c r="H4144" s="37"/>
      <c r="I4144" s="37"/>
      <c r="J4144" s="38"/>
      <c r="K4144" s="37"/>
      <c r="L4144" s="38"/>
      <c r="M4144" s="39"/>
      <c r="P4144" s="37"/>
      <c r="Q4144" s="37"/>
      <c r="R4144" s="37"/>
      <c r="S4144" s="37"/>
      <c r="T4144" s="37"/>
      <c r="U4144" s="37"/>
      <c r="V4144" s="37"/>
      <c r="W4144" s="37"/>
      <c r="X4144" s="37"/>
      <c r="Y4144" s="37"/>
      <c r="Z4144" s="37"/>
      <c r="AA4144" s="37"/>
      <c r="AB4144" s="37"/>
      <c r="AC4144" s="37"/>
      <c r="AD4144" s="37"/>
      <c r="AE4144" s="37"/>
      <c r="AF4144" s="37"/>
      <c r="AG4144" s="37"/>
      <c r="AH4144" s="37"/>
      <c r="AI4144" s="37"/>
      <c r="AJ4144" s="37"/>
      <c r="AK4144" s="37"/>
      <c r="AL4144" s="37"/>
      <c r="AM4144" s="37"/>
      <c r="AN4144" s="37"/>
      <c r="AO4144" s="37"/>
      <c r="AP4144" s="37"/>
      <c r="AQ4144" s="37"/>
      <c r="AR4144" s="37"/>
      <c r="AS4144" s="37"/>
      <c r="AT4144" s="37"/>
      <c r="AU4144" s="37"/>
      <c r="AV4144" s="37"/>
      <c r="AW4144" s="37"/>
      <c r="AX4144" s="37"/>
      <c r="AY4144" s="37"/>
      <c r="AZ4144" s="37"/>
      <c r="BA4144" s="37"/>
      <c r="BB4144" s="37"/>
      <c r="BC4144" s="37"/>
      <c r="BD4144" s="37"/>
      <c r="BE4144" s="37"/>
      <c r="BF4144" s="37"/>
      <c r="BG4144" s="37"/>
      <c r="BH4144" s="37"/>
      <c r="BI4144" s="37"/>
      <c r="BJ4144" s="37"/>
      <c r="BK4144" s="37"/>
      <c r="BL4144" s="37"/>
      <c r="BM4144" s="37"/>
    </row>
    <row r="4145" spans="1:65" s="40" customFormat="1" ht="21" x14ac:dyDescent="0.35">
      <c r="A4145" s="37"/>
      <c r="B4145" s="37"/>
      <c r="C4145" s="41"/>
      <c r="D4145" s="38"/>
      <c r="E4145" s="38"/>
      <c r="F4145" s="42"/>
      <c r="G4145" s="43"/>
      <c r="H4145" s="37"/>
      <c r="I4145" s="37"/>
      <c r="J4145" s="38"/>
      <c r="K4145" s="37"/>
      <c r="L4145" s="38"/>
      <c r="M4145" s="39"/>
      <c r="P4145" s="37"/>
      <c r="Q4145" s="37"/>
      <c r="R4145" s="37"/>
      <c r="S4145" s="37"/>
      <c r="T4145" s="37"/>
      <c r="U4145" s="37"/>
      <c r="V4145" s="37"/>
      <c r="W4145" s="37"/>
      <c r="X4145" s="37"/>
      <c r="Y4145" s="37"/>
      <c r="Z4145" s="37"/>
      <c r="AA4145" s="37"/>
      <c r="AB4145" s="37"/>
      <c r="AC4145" s="37"/>
      <c r="AD4145" s="37"/>
      <c r="AE4145" s="37"/>
      <c r="AF4145" s="37"/>
      <c r="AG4145" s="37"/>
      <c r="AH4145" s="37"/>
      <c r="AI4145" s="37"/>
      <c r="AJ4145" s="37"/>
      <c r="AK4145" s="37"/>
      <c r="AL4145" s="37"/>
      <c r="AM4145" s="37"/>
      <c r="AN4145" s="37"/>
      <c r="AO4145" s="37"/>
      <c r="AP4145" s="37"/>
      <c r="AQ4145" s="37"/>
      <c r="AR4145" s="37"/>
      <c r="AS4145" s="37"/>
      <c r="AT4145" s="37"/>
      <c r="AU4145" s="37"/>
      <c r="AV4145" s="37"/>
      <c r="AW4145" s="37"/>
      <c r="AX4145" s="37"/>
      <c r="AY4145" s="37"/>
      <c r="AZ4145" s="37"/>
      <c r="BA4145" s="37"/>
      <c r="BB4145" s="37"/>
      <c r="BC4145" s="37"/>
      <c r="BD4145" s="37"/>
      <c r="BE4145" s="37"/>
      <c r="BF4145" s="37"/>
      <c r="BG4145" s="37"/>
      <c r="BH4145" s="37"/>
      <c r="BI4145" s="37"/>
      <c r="BJ4145" s="37"/>
      <c r="BK4145" s="37"/>
      <c r="BL4145" s="37"/>
      <c r="BM4145" s="37"/>
    </row>
    <row r="4146" spans="1:65" s="40" customFormat="1" ht="21" x14ac:dyDescent="0.35">
      <c r="A4146" s="37"/>
      <c r="B4146" s="37"/>
      <c r="C4146" s="41"/>
      <c r="D4146" s="38"/>
      <c r="E4146" s="38"/>
      <c r="F4146" s="42"/>
      <c r="G4146" s="43"/>
      <c r="H4146" s="37"/>
      <c r="I4146" s="37"/>
      <c r="J4146" s="38"/>
      <c r="K4146" s="37"/>
      <c r="L4146" s="38"/>
      <c r="M4146" s="39"/>
      <c r="P4146" s="37"/>
      <c r="Q4146" s="37"/>
      <c r="R4146" s="37"/>
      <c r="S4146" s="37"/>
      <c r="T4146" s="37"/>
      <c r="U4146" s="37"/>
      <c r="V4146" s="37"/>
      <c r="W4146" s="37"/>
      <c r="X4146" s="37"/>
      <c r="Y4146" s="37"/>
      <c r="Z4146" s="37"/>
      <c r="AA4146" s="37"/>
      <c r="AB4146" s="37"/>
      <c r="AC4146" s="37"/>
      <c r="AD4146" s="37"/>
      <c r="AE4146" s="37"/>
      <c r="AF4146" s="37"/>
      <c r="AG4146" s="37"/>
      <c r="AH4146" s="37"/>
      <c r="AI4146" s="37"/>
      <c r="AJ4146" s="37"/>
      <c r="AK4146" s="37"/>
      <c r="AL4146" s="37"/>
      <c r="AM4146" s="37"/>
      <c r="AN4146" s="37"/>
      <c r="AO4146" s="37"/>
      <c r="AP4146" s="37"/>
      <c r="AQ4146" s="37"/>
      <c r="AR4146" s="37"/>
      <c r="AS4146" s="37"/>
      <c r="AT4146" s="37"/>
      <c r="AU4146" s="37"/>
      <c r="AV4146" s="37"/>
      <c r="AW4146" s="37"/>
      <c r="AX4146" s="37"/>
      <c r="AY4146" s="37"/>
      <c r="AZ4146" s="37"/>
      <c r="BA4146" s="37"/>
      <c r="BB4146" s="37"/>
      <c r="BC4146" s="37"/>
      <c r="BD4146" s="37"/>
      <c r="BE4146" s="37"/>
      <c r="BF4146" s="37"/>
      <c r="BG4146" s="37"/>
      <c r="BH4146" s="37"/>
      <c r="BI4146" s="37"/>
      <c r="BJ4146" s="37"/>
      <c r="BK4146" s="37"/>
      <c r="BL4146" s="37"/>
      <c r="BM4146" s="37"/>
    </row>
    <row r="4147" spans="1:65" s="40" customFormat="1" ht="21" x14ac:dyDescent="0.35">
      <c r="A4147" s="37"/>
      <c r="B4147" s="37"/>
      <c r="C4147" s="41"/>
      <c r="D4147" s="38"/>
      <c r="E4147" s="38"/>
      <c r="F4147" s="42"/>
      <c r="G4147" s="43"/>
      <c r="H4147" s="37"/>
      <c r="I4147" s="37"/>
      <c r="J4147" s="38"/>
      <c r="K4147" s="37"/>
      <c r="L4147" s="38"/>
      <c r="M4147" s="39"/>
      <c r="P4147" s="37"/>
      <c r="Q4147" s="37"/>
      <c r="R4147" s="37"/>
      <c r="S4147" s="37"/>
      <c r="T4147" s="37"/>
      <c r="U4147" s="37"/>
      <c r="V4147" s="37"/>
      <c r="W4147" s="37"/>
      <c r="X4147" s="37"/>
      <c r="Y4147" s="37"/>
      <c r="Z4147" s="37"/>
      <c r="AA4147" s="37"/>
      <c r="AB4147" s="37"/>
      <c r="AC4147" s="37"/>
      <c r="AD4147" s="37"/>
      <c r="AE4147" s="37"/>
      <c r="AF4147" s="37"/>
      <c r="AG4147" s="37"/>
      <c r="AH4147" s="37"/>
      <c r="AI4147" s="37"/>
      <c r="AJ4147" s="37"/>
      <c r="AK4147" s="37"/>
      <c r="AL4147" s="37"/>
      <c r="AM4147" s="37"/>
      <c r="AN4147" s="37"/>
      <c r="AO4147" s="37"/>
      <c r="AP4147" s="37"/>
      <c r="AQ4147" s="37"/>
      <c r="AR4147" s="37"/>
      <c r="AS4147" s="37"/>
      <c r="AT4147" s="37"/>
      <c r="AU4147" s="37"/>
      <c r="AV4147" s="37"/>
      <c r="AW4147" s="37"/>
      <c r="AX4147" s="37"/>
      <c r="AY4147" s="37"/>
      <c r="AZ4147" s="37"/>
      <c r="BA4147" s="37"/>
      <c r="BB4147" s="37"/>
      <c r="BC4147" s="37"/>
      <c r="BD4147" s="37"/>
      <c r="BE4147" s="37"/>
      <c r="BF4147" s="37"/>
      <c r="BG4147" s="37"/>
      <c r="BH4147" s="37"/>
      <c r="BI4147" s="37"/>
      <c r="BJ4147" s="37"/>
      <c r="BK4147" s="37"/>
      <c r="BL4147" s="37"/>
      <c r="BM4147" s="37"/>
    </row>
    <row r="4148" spans="1:65" s="40" customFormat="1" ht="21" x14ac:dyDescent="0.35">
      <c r="A4148" s="37"/>
      <c r="B4148" s="37"/>
      <c r="C4148" s="41"/>
      <c r="D4148" s="38"/>
      <c r="E4148" s="38"/>
      <c r="F4148" s="42"/>
      <c r="G4148" s="43"/>
      <c r="H4148" s="37"/>
      <c r="I4148" s="37"/>
      <c r="J4148" s="38"/>
      <c r="K4148" s="37"/>
      <c r="L4148" s="38"/>
      <c r="M4148" s="39"/>
      <c r="P4148" s="37"/>
      <c r="Q4148" s="37"/>
      <c r="R4148" s="37"/>
      <c r="S4148" s="37"/>
      <c r="T4148" s="37"/>
      <c r="U4148" s="37"/>
      <c r="V4148" s="37"/>
      <c r="W4148" s="37"/>
      <c r="X4148" s="37"/>
      <c r="Y4148" s="37"/>
      <c r="Z4148" s="37"/>
      <c r="AA4148" s="37"/>
      <c r="AB4148" s="37"/>
      <c r="AC4148" s="37"/>
      <c r="AD4148" s="37"/>
      <c r="AE4148" s="37"/>
      <c r="AF4148" s="37"/>
      <c r="AG4148" s="37"/>
      <c r="AH4148" s="37"/>
      <c r="AI4148" s="37"/>
      <c r="AJ4148" s="37"/>
      <c r="AK4148" s="37"/>
      <c r="AL4148" s="37"/>
      <c r="AM4148" s="37"/>
      <c r="AN4148" s="37"/>
      <c r="AO4148" s="37"/>
      <c r="AP4148" s="37"/>
      <c r="AQ4148" s="37"/>
      <c r="AR4148" s="37"/>
      <c r="AS4148" s="37"/>
      <c r="AT4148" s="37"/>
      <c r="AU4148" s="37"/>
      <c r="AV4148" s="37"/>
      <c r="AW4148" s="37"/>
      <c r="AX4148" s="37"/>
      <c r="AY4148" s="37"/>
      <c r="AZ4148" s="37"/>
      <c r="BA4148" s="37"/>
      <c r="BB4148" s="37"/>
      <c r="BC4148" s="37"/>
      <c r="BD4148" s="37"/>
      <c r="BE4148" s="37"/>
      <c r="BF4148" s="37"/>
      <c r="BG4148" s="37"/>
      <c r="BH4148" s="37"/>
      <c r="BI4148" s="37"/>
      <c r="BJ4148" s="37"/>
      <c r="BK4148" s="37"/>
      <c r="BL4148" s="37"/>
      <c r="BM4148" s="37"/>
    </row>
    <row r="4149" spans="1:65" s="40" customFormat="1" ht="21" x14ac:dyDescent="0.35">
      <c r="A4149" s="37"/>
      <c r="B4149" s="37"/>
      <c r="C4149" s="41"/>
      <c r="D4149" s="38"/>
      <c r="E4149" s="38"/>
      <c r="F4149" s="42"/>
      <c r="G4149" s="43"/>
      <c r="H4149" s="37"/>
      <c r="I4149" s="37"/>
      <c r="J4149" s="38"/>
      <c r="K4149" s="37"/>
      <c r="L4149" s="38"/>
      <c r="M4149" s="39"/>
      <c r="P4149" s="37"/>
      <c r="Q4149" s="37"/>
      <c r="R4149" s="37"/>
      <c r="S4149" s="37"/>
      <c r="T4149" s="37"/>
      <c r="U4149" s="37"/>
      <c r="V4149" s="37"/>
      <c r="W4149" s="37"/>
      <c r="X4149" s="37"/>
      <c r="Y4149" s="37"/>
      <c r="Z4149" s="37"/>
      <c r="AA4149" s="37"/>
      <c r="AB4149" s="37"/>
      <c r="AC4149" s="37"/>
      <c r="AD4149" s="37"/>
      <c r="AE4149" s="37"/>
      <c r="AF4149" s="37"/>
      <c r="AG4149" s="37"/>
      <c r="AH4149" s="37"/>
      <c r="AI4149" s="37"/>
      <c r="AJ4149" s="37"/>
      <c r="AK4149" s="37"/>
      <c r="AL4149" s="37"/>
      <c r="AM4149" s="37"/>
      <c r="AN4149" s="37"/>
      <c r="AO4149" s="37"/>
      <c r="AP4149" s="37"/>
      <c r="AQ4149" s="37"/>
      <c r="AR4149" s="37"/>
      <c r="AS4149" s="37"/>
      <c r="AT4149" s="37"/>
      <c r="AU4149" s="37"/>
      <c r="AV4149" s="37"/>
      <c r="AW4149" s="37"/>
      <c r="AX4149" s="37"/>
      <c r="AY4149" s="37"/>
      <c r="AZ4149" s="37"/>
      <c r="BA4149" s="37"/>
      <c r="BB4149" s="37"/>
      <c r="BC4149" s="37"/>
      <c r="BD4149" s="37"/>
      <c r="BE4149" s="37"/>
      <c r="BF4149" s="37"/>
      <c r="BG4149" s="37"/>
      <c r="BH4149" s="37"/>
      <c r="BI4149" s="37"/>
      <c r="BJ4149" s="37"/>
      <c r="BK4149" s="37"/>
      <c r="BL4149" s="37"/>
      <c r="BM4149" s="37"/>
    </row>
    <row r="4150" spans="1:65" s="40" customFormat="1" ht="21" x14ac:dyDescent="0.35">
      <c r="A4150" s="37"/>
      <c r="B4150" s="37"/>
      <c r="C4150" s="41"/>
      <c r="D4150" s="38"/>
      <c r="E4150" s="38"/>
      <c r="F4150" s="42"/>
      <c r="G4150" s="43"/>
      <c r="H4150" s="37"/>
      <c r="I4150" s="37"/>
      <c r="J4150" s="38"/>
      <c r="K4150" s="37"/>
      <c r="L4150" s="38"/>
      <c r="M4150" s="39"/>
      <c r="P4150" s="37"/>
      <c r="Q4150" s="37"/>
      <c r="R4150" s="37"/>
      <c r="S4150" s="37"/>
      <c r="T4150" s="37"/>
      <c r="U4150" s="37"/>
      <c r="V4150" s="37"/>
      <c r="W4150" s="37"/>
      <c r="X4150" s="37"/>
      <c r="Y4150" s="37"/>
      <c r="Z4150" s="37"/>
      <c r="AA4150" s="37"/>
      <c r="AB4150" s="37"/>
      <c r="AC4150" s="37"/>
      <c r="AD4150" s="37"/>
      <c r="AE4150" s="37"/>
      <c r="AF4150" s="37"/>
      <c r="AG4150" s="37"/>
      <c r="AH4150" s="37"/>
      <c r="AI4150" s="37"/>
      <c r="AJ4150" s="37"/>
      <c r="AK4150" s="37"/>
      <c r="AL4150" s="37"/>
      <c r="AM4150" s="37"/>
      <c r="AN4150" s="37"/>
      <c r="AO4150" s="37"/>
      <c r="AP4150" s="37"/>
      <c r="AQ4150" s="37"/>
      <c r="AR4150" s="37"/>
      <c r="AS4150" s="37"/>
      <c r="AT4150" s="37"/>
      <c r="AU4150" s="37"/>
      <c r="AV4150" s="37"/>
      <c r="AW4150" s="37"/>
      <c r="AX4150" s="37"/>
      <c r="AY4150" s="37"/>
      <c r="AZ4150" s="37"/>
      <c r="BA4150" s="37"/>
      <c r="BB4150" s="37"/>
      <c r="BC4150" s="37"/>
      <c r="BD4150" s="37"/>
      <c r="BE4150" s="37"/>
      <c r="BF4150" s="37"/>
      <c r="BG4150" s="37"/>
      <c r="BH4150" s="37"/>
      <c r="BI4150" s="37"/>
      <c r="BJ4150" s="37"/>
      <c r="BK4150" s="37"/>
      <c r="BL4150" s="37"/>
      <c r="BM4150" s="37"/>
    </row>
    <row r="4151" spans="1:65" s="40" customFormat="1" ht="21" x14ac:dyDescent="0.35">
      <c r="A4151" s="37"/>
      <c r="B4151" s="37"/>
      <c r="C4151" s="41"/>
      <c r="D4151" s="38"/>
      <c r="E4151" s="38"/>
      <c r="F4151" s="42"/>
      <c r="G4151" s="43"/>
      <c r="H4151" s="37"/>
      <c r="I4151" s="37"/>
      <c r="J4151" s="38"/>
      <c r="K4151" s="37"/>
      <c r="L4151" s="38"/>
      <c r="M4151" s="39"/>
      <c r="P4151" s="37"/>
      <c r="Q4151" s="37"/>
      <c r="R4151" s="37"/>
      <c r="S4151" s="37"/>
      <c r="T4151" s="37"/>
      <c r="U4151" s="37"/>
      <c r="V4151" s="37"/>
      <c r="W4151" s="37"/>
      <c r="X4151" s="37"/>
      <c r="Y4151" s="37"/>
      <c r="Z4151" s="37"/>
      <c r="AA4151" s="37"/>
      <c r="AB4151" s="37"/>
      <c r="AC4151" s="37"/>
      <c r="AD4151" s="37"/>
      <c r="AE4151" s="37"/>
      <c r="AF4151" s="37"/>
      <c r="AG4151" s="37"/>
      <c r="AH4151" s="37"/>
      <c r="AI4151" s="37"/>
      <c r="AJ4151" s="37"/>
      <c r="AK4151" s="37"/>
      <c r="AL4151" s="37"/>
      <c r="AM4151" s="37"/>
      <c r="AN4151" s="37"/>
      <c r="AO4151" s="37"/>
      <c r="AP4151" s="37"/>
      <c r="AQ4151" s="37"/>
      <c r="AR4151" s="37"/>
      <c r="AS4151" s="37"/>
      <c r="AT4151" s="37"/>
      <c r="AU4151" s="37"/>
      <c r="AV4151" s="37"/>
      <c r="AW4151" s="37"/>
      <c r="AX4151" s="37"/>
      <c r="AY4151" s="37"/>
      <c r="AZ4151" s="37"/>
      <c r="BA4151" s="37"/>
      <c r="BB4151" s="37"/>
      <c r="BC4151" s="37"/>
      <c r="BD4151" s="37"/>
      <c r="BE4151" s="37"/>
      <c r="BF4151" s="37"/>
      <c r="BG4151" s="37"/>
      <c r="BH4151" s="37"/>
      <c r="BI4151" s="37"/>
      <c r="BJ4151" s="37"/>
      <c r="BK4151" s="37"/>
      <c r="BL4151" s="37"/>
      <c r="BM4151" s="37"/>
    </row>
    <row r="4152" spans="1:65" s="40" customFormat="1" ht="21" x14ac:dyDescent="0.35">
      <c r="A4152" s="37"/>
      <c r="B4152" s="37"/>
      <c r="C4152" s="41"/>
      <c r="D4152" s="38"/>
      <c r="E4152" s="38"/>
      <c r="F4152" s="42"/>
      <c r="G4152" s="43"/>
      <c r="H4152" s="37"/>
      <c r="I4152" s="37"/>
      <c r="J4152" s="38"/>
      <c r="K4152" s="37"/>
      <c r="L4152" s="38"/>
      <c r="M4152" s="39"/>
      <c r="P4152" s="37"/>
      <c r="Q4152" s="37"/>
      <c r="R4152" s="37"/>
      <c r="S4152" s="37"/>
      <c r="T4152" s="37"/>
      <c r="U4152" s="37"/>
      <c r="V4152" s="37"/>
      <c r="W4152" s="37"/>
      <c r="X4152" s="37"/>
      <c r="Y4152" s="37"/>
      <c r="Z4152" s="37"/>
      <c r="AA4152" s="37"/>
      <c r="AB4152" s="37"/>
      <c r="AC4152" s="37"/>
      <c r="AD4152" s="37"/>
      <c r="AE4152" s="37"/>
      <c r="AF4152" s="37"/>
      <c r="AG4152" s="37"/>
      <c r="AH4152" s="37"/>
      <c r="AI4152" s="37"/>
      <c r="AJ4152" s="37"/>
      <c r="AK4152" s="37"/>
      <c r="AL4152" s="37"/>
      <c r="AM4152" s="37"/>
      <c r="AN4152" s="37"/>
      <c r="AO4152" s="37"/>
      <c r="AP4152" s="37"/>
      <c r="AQ4152" s="37"/>
      <c r="AR4152" s="37"/>
      <c r="AS4152" s="37"/>
      <c r="AT4152" s="37"/>
      <c r="AU4152" s="37"/>
      <c r="AV4152" s="37"/>
      <c r="AW4152" s="37"/>
      <c r="AX4152" s="37"/>
      <c r="AY4152" s="37"/>
      <c r="AZ4152" s="37"/>
      <c r="BA4152" s="37"/>
      <c r="BB4152" s="37"/>
      <c r="BC4152" s="37"/>
      <c r="BD4152" s="37"/>
      <c r="BE4152" s="37"/>
      <c r="BF4152" s="37"/>
      <c r="BG4152" s="37"/>
      <c r="BH4152" s="37"/>
      <c r="BI4152" s="37"/>
      <c r="BJ4152" s="37"/>
      <c r="BK4152" s="37"/>
      <c r="BL4152" s="37"/>
      <c r="BM4152" s="37"/>
    </row>
    <row r="4153" spans="1:65" s="40" customFormat="1" ht="21" x14ac:dyDescent="0.35">
      <c r="A4153" s="37"/>
      <c r="B4153" s="37"/>
      <c r="C4153" s="41"/>
      <c r="D4153" s="38"/>
      <c r="E4153" s="38"/>
      <c r="F4153" s="42"/>
      <c r="G4153" s="43"/>
      <c r="H4153" s="37"/>
      <c r="I4153" s="37"/>
      <c r="J4153" s="38"/>
      <c r="K4153" s="37"/>
      <c r="L4153" s="38"/>
      <c r="M4153" s="39"/>
      <c r="P4153" s="37"/>
      <c r="Q4153" s="37"/>
      <c r="R4153" s="37"/>
      <c r="S4153" s="37"/>
      <c r="T4153" s="37"/>
      <c r="U4153" s="37"/>
      <c r="V4153" s="37"/>
      <c r="W4153" s="37"/>
      <c r="X4153" s="37"/>
      <c r="Y4153" s="37"/>
      <c r="Z4153" s="37"/>
      <c r="AA4153" s="37"/>
      <c r="AB4153" s="37"/>
      <c r="AC4153" s="37"/>
      <c r="AD4153" s="37"/>
      <c r="AE4153" s="37"/>
      <c r="AF4153" s="37"/>
      <c r="AG4153" s="37"/>
      <c r="AH4153" s="37"/>
      <c r="AI4153" s="37"/>
      <c r="AJ4153" s="37"/>
      <c r="AK4153" s="37"/>
      <c r="AL4153" s="37"/>
      <c r="AM4153" s="37"/>
      <c r="AN4153" s="37"/>
      <c r="AO4153" s="37"/>
      <c r="AP4153" s="37"/>
      <c r="AQ4153" s="37"/>
      <c r="AR4153" s="37"/>
      <c r="AS4153" s="37"/>
      <c r="AT4153" s="37"/>
      <c r="AU4153" s="37"/>
      <c r="AV4153" s="37"/>
      <c r="AW4153" s="37"/>
      <c r="AX4153" s="37"/>
      <c r="AY4153" s="37"/>
      <c r="AZ4153" s="37"/>
      <c r="BA4153" s="37"/>
      <c r="BB4153" s="37"/>
      <c r="BC4153" s="37"/>
      <c r="BD4153" s="37"/>
      <c r="BE4153" s="37"/>
      <c r="BF4153" s="37"/>
      <c r="BG4153" s="37"/>
      <c r="BH4153" s="37"/>
      <c r="BI4153" s="37"/>
      <c r="BJ4153" s="37"/>
      <c r="BK4153" s="37"/>
      <c r="BL4153" s="37"/>
      <c r="BM4153" s="37"/>
    </row>
    <row r="4154" spans="1:65" s="40" customFormat="1" ht="21" x14ac:dyDescent="0.35">
      <c r="A4154" s="37"/>
      <c r="B4154" s="37"/>
      <c r="C4154" s="41"/>
      <c r="D4154" s="38"/>
      <c r="E4154" s="38"/>
      <c r="F4154" s="42"/>
      <c r="G4154" s="43"/>
      <c r="H4154" s="37"/>
      <c r="I4154" s="37"/>
      <c r="J4154" s="38"/>
      <c r="K4154" s="37"/>
      <c r="L4154" s="38"/>
      <c r="M4154" s="39"/>
      <c r="P4154" s="37"/>
      <c r="Q4154" s="37"/>
      <c r="R4154" s="37"/>
      <c r="S4154" s="37"/>
      <c r="T4154" s="37"/>
      <c r="U4154" s="37"/>
      <c r="V4154" s="37"/>
      <c r="W4154" s="37"/>
      <c r="X4154" s="37"/>
      <c r="Y4154" s="37"/>
      <c r="Z4154" s="37"/>
      <c r="AA4154" s="37"/>
      <c r="AB4154" s="37"/>
      <c r="AC4154" s="37"/>
      <c r="AD4154" s="37"/>
      <c r="AE4154" s="37"/>
      <c r="AF4154" s="37"/>
      <c r="AG4154" s="37"/>
      <c r="AH4154" s="37"/>
      <c r="AI4154" s="37"/>
      <c r="AJ4154" s="37"/>
      <c r="AK4154" s="37"/>
      <c r="AL4154" s="37"/>
      <c r="AM4154" s="37"/>
      <c r="AN4154" s="37"/>
      <c r="AO4154" s="37"/>
      <c r="AP4154" s="37"/>
      <c r="AQ4154" s="37"/>
      <c r="AR4154" s="37"/>
      <c r="AS4154" s="37"/>
      <c r="AT4154" s="37"/>
      <c r="AU4154" s="37"/>
      <c r="AV4154" s="37"/>
      <c r="AW4154" s="37"/>
      <c r="AX4154" s="37"/>
      <c r="AY4154" s="37"/>
      <c r="AZ4154" s="37"/>
      <c r="BA4154" s="37"/>
      <c r="BB4154" s="37"/>
      <c r="BC4154" s="37"/>
      <c r="BD4154" s="37"/>
      <c r="BE4154" s="37"/>
      <c r="BF4154" s="37"/>
      <c r="BG4154" s="37"/>
      <c r="BH4154" s="37"/>
      <c r="BI4154" s="37"/>
      <c r="BJ4154" s="37"/>
      <c r="BK4154" s="37"/>
      <c r="BL4154" s="37"/>
      <c r="BM4154" s="37"/>
    </row>
    <row r="4155" spans="1:65" s="40" customFormat="1" ht="21" x14ac:dyDescent="0.35">
      <c r="A4155" s="37"/>
      <c r="B4155" s="37"/>
      <c r="C4155" s="41"/>
      <c r="D4155" s="38"/>
      <c r="E4155" s="38"/>
      <c r="F4155" s="42"/>
      <c r="G4155" s="43"/>
      <c r="H4155" s="37"/>
      <c r="I4155" s="37"/>
      <c r="J4155" s="38"/>
      <c r="K4155" s="37"/>
      <c r="L4155" s="38"/>
      <c r="M4155" s="39"/>
      <c r="P4155" s="37"/>
      <c r="Q4155" s="37"/>
      <c r="R4155" s="37"/>
      <c r="S4155" s="37"/>
      <c r="T4155" s="37"/>
      <c r="U4155" s="37"/>
      <c r="V4155" s="37"/>
      <c r="W4155" s="37"/>
      <c r="X4155" s="37"/>
      <c r="Y4155" s="37"/>
      <c r="Z4155" s="37"/>
      <c r="AA4155" s="37"/>
      <c r="AB4155" s="37"/>
      <c r="AC4155" s="37"/>
      <c r="AD4155" s="37"/>
      <c r="AE4155" s="37"/>
      <c r="AF4155" s="37"/>
      <c r="AG4155" s="37"/>
      <c r="AH4155" s="37"/>
      <c r="AI4155" s="37"/>
      <c r="AJ4155" s="37"/>
      <c r="AK4155" s="37"/>
      <c r="AL4155" s="37"/>
      <c r="AM4155" s="37"/>
      <c r="AN4155" s="37"/>
      <c r="AO4155" s="37"/>
      <c r="AP4155" s="37"/>
      <c r="AQ4155" s="37"/>
      <c r="AR4155" s="37"/>
      <c r="AS4155" s="37"/>
      <c r="AT4155" s="37"/>
      <c r="AU4155" s="37"/>
      <c r="AV4155" s="37"/>
      <c r="AW4155" s="37"/>
      <c r="AX4155" s="37"/>
      <c r="AY4155" s="37"/>
      <c r="AZ4155" s="37"/>
      <c r="BA4155" s="37"/>
      <c r="BB4155" s="37"/>
      <c r="BC4155" s="37"/>
      <c r="BD4155" s="37"/>
      <c r="BE4155" s="37"/>
      <c r="BF4155" s="37"/>
      <c r="BG4155" s="37"/>
      <c r="BH4155" s="37"/>
      <c r="BI4155" s="37"/>
      <c r="BJ4155" s="37"/>
      <c r="BK4155" s="37"/>
      <c r="BL4155" s="37"/>
      <c r="BM4155" s="37"/>
    </row>
    <row r="4156" spans="1:65" s="40" customFormat="1" ht="21" x14ac:dyDescent="0.35">
      <c r="A4156" s="37"/>
      <c r="B4156" s="37"/>
      <c r="C4156" s="41"/>
      <c r="D4156" s="38"/>
      <c r="E4156" s="38"/>
      <c r="F4156" s="42"/>
      <c r="G4156" s="43"/>
      <c r="H4156" s="37"/>
      <c r="I4156" s="37"/>
      <c r="J4156" s="38"/>
      <c r="K4156" s="37"/>
      <c r="L4156" s="38"/>
      <c r="M4156" s="39"/>
      <c r="P4156" s="37"/>
      <c r="Q4156" s="37"/>
      <c r="R4156" s="37"/>
      <c r="S4156" s="37"/>
      <c r="T4156" s="37"/>
      <c r="U4156" s="37"/>
      <c r="V4156" s="37"/>
      <c r="W4156" s="37"/>
      <c r="X4156" s="37"/>
      <c r="Y4156" s="37"/>
      <c r="Z4156" s="37"/>
      <c r="AA4156" s="37"/>
      <c r="AB4156" s="37"/>
      <c r="AC4156" s="37"/>
      <c r="AD4156" s="37"/>
      <c r="AE4156" s="37"/>
      <c r="AF4156" s="37"/>
      <c r="AG4156" s="37"/>
      <c r="AH4156" s="37"/>
      <c r="AI4156" s="37"/>
      <c r="AJ4156" s="37"/>
      <c r="AK4156" s="37"/>
      <c r="AL4156" s="37"/>
      <c r="AM4156" s="37"/>
      <c r="AN4156" s="37"/>
      <c r="AO4156" s="37"/>
      <c r="AP4156" s="37"/>
      <c r="AQ4156" s="37"/>
      <c r="AR4156" s="37"/>
      <c r="AS4156" s="37"/>
      <c r="AT4156" s="37"/>
      <c r="AU4156" s="37"/>
      <c r="AV4156" s="37"/>
      <c r="AW4156" s="37"/>
      <c r="AX4156" s="37"/>
      <c r="AY4156" s="37"/>
      <c r="AZ4156" s="37"/>
      <c r="BA4156" s="37"/>
      <c r="BB4156" s="37"/>
      <c r="BC4156" s="37"/>
      <c r="BD4156" s="37"/>
      <c r="BE4156" s="37"/>
      <c r="BF4156" s="37"/>
      <c r="BG4156" s="37"/>
      <c r="BH4156" s="37"/>
      <c r="BI4156" s="37"/>
      <c r="BJ4156" s="37"/>
      <c r="BK4156" s="37"/>
      <c r="BL4156" s="37"/>
      <c r="BM4156" s="37"/>
    </row>
    <row r="4157" spans="1:65" s="40" customFormat="1" ht="21" x14ac:dyDescent="0.35">
      <c r="A4157" s="37"/>
      <c r="B4157" s="37"/>
      <c r="C4157" s="41"/>
      <c r="D4157" s="38"/>
      <c r="E4157" s="38"/>
      <c r="F4157" s="42"/>
      <c r="G4157" s="43"/>
      <c r="H4157" s="37"/>
      <c r="I4157" s="37"/>
      <c r="J4157" s="38"/>
      <c r="K4157" s="37"/>
      <c r="L4157" s="38"/>
      <c r="M4157" s="39"/>
      <c r="P4157" s="37"/>
      <c r="Q4157" s="37"/>
      <c r="R4157" s="37"/>
      <c r="S4157" s="37"/>
      <c r="T4157" s="37"/>
      <c r="U4157" s="37"/>
      <c r="V4157" s="37"/>
      <c r="W4157" s="37"/>
      <c r="X4157" s="37"/>
      <c r="Y4157" s="37"/>
      <c r="Z4157" s="37"/>
      <c r="AA4157" s="37"/>
      <c r="AB4157" s="37"/>
      <c r="AC4157" s="37"/>
      <c r="AD4157" s="37"/>
      <c r="AE4157" s="37"/>
      <c r="AF4157" s="37"/>
      <c r="AG4157" s="37"/>
      <c r="AH4157" s="37"/>
      <c r="AI4157" s="37"/>
      <c r="AJ4157" s="37"/>
      <c r="AK4157" s="37"/>
      <c r="AL4157" s="37"/>
      <c r="AM4157" s="37"/>
      <c r="AN4157" s="37"/>
      <c r="AO4157" s="37"/>
      <c r="AP4157" s="37"/>
      <c r="AQ4157" s="37"/>
      <c r="AR4157" s="37"/>
      <c r="AS4157" s="37"/>
      <c r="AT4157" s="37"/>
      <c r="AU4157" s="37"/>
      <c r="AV4157" s="37"/>
      <c r="AW4157" s="37"/>
      <c r="AX4157" s="37"/>
      <c r="AY4157" s="37"/>
      <c r="AZ4157" s="37"/>
      <c r="BA4157" s="37"/>
      <c r="BB4157" s="37"/>
      <c r="BC4157" s="37"/>
      <c r="BD4157" s="37"/>
      <c r="BE4157" s="37"/>
      <c r="BF4157" s="37"/>
      <c r="BG4157" s="37"/>
      <c r="BH4157" s="37"/>
      <c r="BI4157" s="37"/>
      <c r="BJ4157" s="37"/>
      <c r="BK4157" s="37"/>
      <c r="BL4157" s="37"/>
      <c r="BM4157" s="37"/>
    </row>
    <row r="4158" spans="1:65" s="40" customFormat="1" ht="21" x14ac:dyDescent="0.35">
      <c r="A4158" s="37"/>
      <c r="B4158" s="37"/>
      <c r="C4158" s="41"/>
      <c r="D4158" s="38"/>
      <c r="E4158" s="38"/>
      <c r="F4158" s="42"/>
      <c r="G4158" s="43"/>
      <c r="H4158" s="37"/>
      <c r="I4158" s="37"/>
      <c r="J4158" s="38"/>
      <c r="K4158" s="37"/>
      <c r="L4158" s="38"/>
      <c r="M4158" s="39"/>
      <c r="P4158" s="37"/>
      <c r="Q4158" s="37"/>
      <c r="R4158" s="37"/>
      <c r="S4158" s="37"/>
      <c r="T4158" s="37"/>
      <c r="U4158" s="37"/>
      <c r="V4158" s="37"/>
      <c r="W4158" s="37"/>
      <c r="X4158" s="37"/>
      <c r="Y4158" s="37"/>
      <c r="Z4158" s="37"/>
      <c r="AA4158" s="37"/>
      <c r="AB4158" s="37"/>
      <c r="AC4158" s="37"/>
      <c r="AD4158" s="37"/>
      <c r="AE4158" s="37"/>
      <c r="AF4158" s="37"/>
      <c r="AG4158" s="37"/>
      <c r="AH4158" s="37"/>
      <c r="AI4158" s="37"/>
      <c r="AJ4158" s="37"/>
      <c r="AK4158" s="37"/>
      <c r="AL4158" s="37"/>
      <c r="AM4158" s="37"/>
      <c r="AN4158" s="37"/>
      <c r="AO4158" s="37"/>
      <c r="AP4158" s="37"/>
      <c r="AQ4158" s="37"/>
      <c r="AR4158" s="37"/>
      <c r="AS4158" s="37"/>
      <c r="AT4158" s="37"/>
      <c r="AU4158" s="37"/>
      <c r="AV4158" s="37"/>
      <c r="AW4158" s="37"/>
      <c r="AX4158" s="37"/>
      <c r="AY4158" s="37"/>
      <c r="AZ4158" s="37"/>
      <c r="BA4158" s="37"/>
      <c r="BB4158" s="37"/>
      <c r="BC4158" s="37"/>
      <c r="BD4158" s="37"/>
      <c r="BE4158" s="37"/>
      <c r="BF4158" s="37"/>
      <c r="BG4158" s="37"/>
      <c r="BH4158" s="37"/>
      <c r="BI4158" s="37"/>
      <c r="BJ4158" s="37"/>
      <c r="BK4158" s="37"/>
      <c r="BL4158" s="37"/>
      <c r="BM4158" s="37"/>
    </row>
    <row r="4159" spans="1:65" s="40" customFormat="1" ht="21" x14ac:dyDescent="0.35">
      <c r="A4159" s="37"/>
      <c r="B4159" s="37"/>
      <c r="C4159" s="41"/>
      <c r="D4159" s="38"/>
      <c r="E4159" s="38"/>
      <c r="F4159" s="42"/>
      <c r="G4159" s="43"/>
      <c r="H4159" s="37"/>
      <c r="I4159" s="37"/>
      <c r="J4159" s="38"/>
      <c r="K4159" s="37"/>
      <c r="L4159" s="38"/>
      <c r="M4159" s="39"/>
      <c r="P4159" s="37"/>
      <c r="Q4159" s="37"/>
      <c r="R4159" s="37"/>
      <c r="S4159" s="37"/>
      <c r="T4159" s="37"/>
      <c r="U4159" s="37"/>
      <c r="V4159" s="37"/>
      <c r="W4159" s="37"/>
      <c r="X4159" s="37"/>
      <c r="Y4159" s="37"/>
      <c r="Z4159" s="37"/>
      <c r="AA4159" s="37"/>
      <c r="AB4159" s="37"/>
      <c r="AC4159" s="37"/>
      <c r="AD4159" s="37"/>
      <c r="AE4159" s="37"/>
      <c r="AF4159" s="37"/>
      <c r="AG4159" s="37"/>
      <c r="AH4159" s="37"/>
      <c r="AI4159" s="37"/>
      <c r="AJ4159" s="37"/>
      <c r="AK4159" s="37"/>
      <c r="AL4159" s="37"/>
      <c r="AM4159" s="37"/>
      <c r="AN4159" s="37"/>
      <c r="AO4159" s="37"/>
      <c r="AP4159" s="37"/>
      <c r="AQ4159" s="37"/>
      <c r="AR4159" s="37"/>
      <c r="AS4159" s="37"/>
      <c r="AT4159" s="37"/>
      <c r="AU4159" s="37"/>
      <c r="AV4159" s="37"/>
      <c r="AW4159" s="37"/>
      <c r="AX4159" s="37"/>
      <c r="AY4159" s="37"/>
      <c r="AZ4159" s="37"/>
      <c r="BA4159" s="37"/>
      <c r="BB4159" s="37"/>
      <c r="BC4159" s="37"/>
      <c r="BD4159" s="37"/>
      <c r="BE4159" s="37"/>
      <c r="BF4159" s="37"/>
      <c r="BG4159" s="37"/>
      <c r="BH4159" s="37"/>
      <c r="BI4159" s="37"/>
      <c r="BJ4159" s="37"/>
      <c r="BK4159" s="37"/>
      <c r="BL4159" s="37"/>
      <c r="BM4159" s="37"/>
    </row>
    <row r="4160" spans="1:65" s="40" customFormat="1" ht="21" x14ac:dyDescent="0.35">
      <c r="A4160" s="37"/>
      <c r="B4160" s="37"/>
      <c r="C4160" s="41"/>
      <c r="D4160" s="38"/>
      <c r="E4160" s="38"/>
      <c r="F4160" s="42"/>
      <c r="G4160" s="43"/>
      <c r="H4160" s="37"/>
      <c r="I4160" s="37"/>
      <c r="J4160" s="38"/>
      <c r="K4160" s="37"/>
      <c r="L4160" s="38"/>
      <c r="M4160" s="39"/>
      <c r="P4160" s="37"/>
      <c r="Q4160" s="37"/>
      <c r="R4160" s="37"/>
      <c r="S4160" s="37"/>
      <c r="T4160" s="37"/>
      <c r="U4160" s="37"/>
      <c r="V4160" s="37"/>
      <c r="W4160" s="37"/>
      <c r="X4160" s="37"/>
      <c r="Y4160" s="37"/>
      <c r="Z4160" s="37"/>
      <c r="AA4160" s="37"/>
      <c r="AB4160" s="37"/>
      <c r="AC4160" s="37"/>
      <c r="AD4160" s="37"/>
      <c r="AE4160" s="37"/>
      <c r="AF4160" s="37"/>
      <c r="AG4160" s="37"/>
      <c r="AH4160" s="37"/>
      <c r="AI4160" s="37"/>
      <c r="AJ4160" s="37"/>
      <c r="AK4160" s="37"/>
      <c r="AL4160" s="37"/>
      <c r="AM4160" s="37"/>
      <c r="AN4160" s="37"/>
      <c r="AO4160" s="37"/>
      <c r="AP4160" s="37"/>
      <c r="AQ4160" s="37"/>
      <c r="AR4160" s="37"/>
      <c r="AS4160" s="37"/>
      <c r="AT4160" s="37"/>
      <c r="AU4160" s="37"/>
      <c r="AV4160" s="37"/>
      <c r="AW4160" s="37"/>
      <c r="AX4160" s="37"/>
      <c r="AY4160" s="37"/>
      <c r="AZ4160" s="37"/>
      <c r="BA4160" s="37"/>
      <c r="BB4160" s="37"/>
      <c r="BC4160" s="37"/>
      <c r="BD4160" s="37"/>
      <c r="BE4160" s="37"/>
      <c r="BF4160" s="37"/>
      <c r="BG4160" s="37"/>
      <c r="BH4160" s="37"/>
      <c r="BI4160" s="37"/>
      <c r="BJ4160" s="37"/>
      <c r="BK4160" s="37"/>
      <c r="BL4160" s="37"/>
      <c r="BM4160" s="37"/>
    </row>
    <row r="4161" spans="1:65" s="40" customFormat="1" ht="21" x14ac:dyDescent="0.35">
      <c r="A4161" s="37"/>
      <c r="B4161" s="37"/>
      <c r="C4161" s="41"/>
      <c r="D4161" s="38"/>
      <c r="E4161" s="38"/>
      <c r="F4161" s="42"/>
      <c r="G4161" s="43"/>
      <c r="H4161" s="37"/>
      <c r="I4161" s="37"/>
      <c r="J4161" s="38"/>
      <c r="K4161" s="37"/>
      <c r="L4161" s="38"/>
      <c r="M4161" s="39"/>
      <c r="P4161" s="37"/>
      <c r="Q4161" s="37"/>
      <c r="R4161" s="37"/>
      <c r="S4161" s="37"/>
      <c r="T4161" s="37"/>
      <c r="U4161" s="37"/>
      <c r="V4161" s="37"/>
      <c r="W4161" s="37"/>
      <c r="X4161" s="37"/>
      <c r="Y4161" s="37"/>
      <c r="Z4161" s="37"/>
      <c r="AA4161" s="37"/>
      <c r="AB4161" s="37"/>
      <c r="AC4161" s="37"/>
      <c r="AD4161" s="37"/>
      <c r="AE4161" s="37"/>
      <c r="AF4161" s="37"/>
      <c r="AG4161" s="37"/>
      <c r="AH4161" s="37"/>
      <c r="AI4161" s="37"/>
      <c r="AJ4161" s="37"/>
      <c r="AK4161" s="37"/>
      <c r="AL4161" s="37"/>
      <c r="AM4161" s="37"/>
      <c r="AN4161" s="37"/>
      <c r="AO4161" s="37"/>
      <c r="AP4161" s="37"/>
      <c r="AQ4161" s="37"/>
      <c r="AR4161" s="37"/>
      <c r="AS4161" s="37"/>
      <c r="AT4161" s="37"/>
      <c r="AU4161" s="37"/>
      <c r="AV4161" s="37"/>
      <c r="AW4161" s="37"/>
      <c r="AX4161" s="37"/>
      <c r="AY4161" s="37"/>
      <c r="AZ4161" s="37"/>
      <c r="BA4161" s="37"/>
      <c r="BB4161" s="37"/>
      <c r="BC4161" s="37"/>
      <c r="BD4161" s="37"/>
      <c r="BE4161" s="37"/>
      <c r="BF4161" s="37"/>
      <c r="BG4161" s="37"/>
      <c r="BH4161" s="37"/>
      <c r="BI4161" s="37"/>
      <c r="BJ4161" s="37"/>
      <c r="BK4161" s="37"/>
      <c r="BL4161" s="37"/>
      <c r="BM4161" s="37"/>
    </row>
    <row r="4162" spans="1:65" s="40" customFormat="1" ht="21" x14ac:dyDescent="0.35">
      <c r="A4162" s="37"/>
      <c r="B4162" s="37"/>
      <c r="C4162" s="41"/>
      <c r="D4162" s="38"/>
      <c r="E4162" s="38"/>
      <c r="F4162" s="42"/>
      <c r="G4162" s="43"/>
      <c r="H4162" s="37"/>
      <c r="I4162" s="37"/>
      <c r="J4162" s="38"/>
      <c r="K4162" s="37"/>
      <c r="L4162" s="38"/>
      <c r="M4162" s="39"/>
      <c r="P4162" s="37"/>
      <c r="Q4162" s="37"/>
      <c r="R4162" s="37"/>
      <c r="S4162" s="37"/>
      <c r="T4162" s="37"/>
      <c r="U4162" s="37"/>
      <c r="V4162" s="37"/>
      <c r="W4162" s="37"/>
      <c r="X4162" s="37"/>
      <c r="Y4162" s="37"/>
      <c r="Z4162" s="37"/>
      <c r="AA4162" s="37"/>
      <c r="AB4162" s="37"/>
      <c r="AC4162" s="37"/>
      <c r="AD4162" s="37"/>
      <c r="AE4162" s="37"/>
      <c r="AF4162" s="37"/>
      <c r="AG4162" s="37"/>
      <c r="AH4162" s="37"/>
      <c r="AI4162" s="37"/>
      <c r="AJ4162" s="37"/>
      <c r="AK4162" s="37"/>
      <c r="AL4162" s="37"/>
      <c r="AM4162" s="37"/>
      <c r="AN4162" s="37"/>
      <c r="AO4162" s="37"/>
      <c r="AP4162" s="37"/>
      <c r="AQ4162" s="37"/>
      <c r="AR4162" s="37"/>
      <c r="AS4162" s="37"/>
      <c r="AT4162" s="37"/>
      <c r="AU4162" s="37"/>
      <c r="AV4162" s="37"/>
      <c r="AW4162" s="37"/>
      <c r="AX4162" s="37"/>
      <c r="AY4162" s="37"/>
      <c r="AZ4162" s="37"/>
      <c r="BA4162" s="37"/>
      <c r="BB4162" s="37"/>
      <c r="BC4162" s="37"/>
      <c r="BD4162" s="37"/>
      <c r="BE4162" s="37"/>
      <c r="BF4162" s="37"/>
      <c r="BG4162" s="37"/>
      <c r="BH4162" s="37"/>
      <c r="BI4162" s="37"/>
      <c r="BJ4162" s="37"/>
      <c r="BK4162" s="37"/>
      <c r="BL4162" s="37"/>
      <c r="BM4162" s="37"/>
    </row>
    <row r="4163" spans="1:65" s="40" customFormat="1" ht="21" x14ac:dyDescent="0.35">
      <c r="A4163" s="37"/>
      <c r="B4163" s="37"/>
      <c r="C4163" s="41"/>
      <c r="D4163" s="38"/>
      <c r="E4163" s="38"/>
      <c r="F4163" s="42"/>
      <c r="G4163" s="43"/>
      <c r="H4163" s="37"/>
      <c r="I4163" s="37"/>
      <c r="J4163" s="38"/>
      <c r="K4163" s="37"/>
      <c r="L4163" s="38"/>
      <c r="M4163" s="39"/>
      <c r="P4163" s="37"/>
      <c r="Q4163" s="37"/>
      <c r="R4163" s="37"/>
      <c r="S4163" s="37"/>
      <c r="T4163" s="37"/>
      <c r="U4163" s="37"/>
      <c r="V4163" s="37"/>
      <c r="W4163" s="37"/>
      <c r="X4163" s="37"/>
      <c r="Y4163" s="37"/>
      <c r="Z4163" s="37"/>
      <c r="AA4163" s="37"/>
      <c r="AB4163" s="37"/>
      <c r="AC4163" s="37"/>
      <c r="AD4163" s="37"/>
      <c r="AE4163" s="37"/>
      <c r="AF4163" s="37"/>
      <c r="AG4163" s="37"/>
      <c r="AH4163" s="37"/>
      <c r="AI4163" s="37"/>
      <c r="AJ4163" s="37"/>
      <c r="AK4163" s="37"/>
      <c r="AL4163" s="37"/>
      <c r="AM4163" s="37"/>
      <c r="AN4163" s="37"/>
      <c r="AO4163" s="37"/>
      <c r="AP4163" s="37"/>
      <c r="AQ4163" s="37"/>
      <c r="AR4163" s="37"/>
      <c r="AS4163" s="37"/>
      <c r="AT4163" s="37"/>
      <c r="AU4163" s="37"/>
      <c r="AV4163" s="37"/>
      <c r="AW4163" s="37"/>
      <c r="AX4163" s="37"/>
      <c r="AY4163" s="37"/>
      <c r="AZ4163" s="37"/>
      <c r="BA4163" s="37"/>
      <c r="BB4163" s="37"/>
      <c r="BC4163" s="37"/>
      <c r="BD4163" s="37"/>
      <c r="BE4163" s="37"/>
      <c r="BF4163" s="37"/>
      <c r="BG4163" s="37"/>
      <c r="BH4163" s="37"/>
      <c r="BI4163" s="37"/>
      <c r="BJ4163" s="37"/>
      <c r="BK4163" s="37"/>
      <c r="BL4163" s="37"/>
      <c r="BM4163" s="37"/>
    </row>
    <row r="4164" spans="1:65" s="40" customFormat="1" ht="21" x14ac:dyDescent="0.35">
      <c r="A4164" s="37"/>
      <c r="B4164" s="37"/>
      <c r="C4164" s="41"/>
      <c r="D4164" s="38"/>
      <c r="E4164" s="38"/>
      <c r="F4164" s="42"/>
      <c r="G4164" s="43"/>
      <c r="H4164" s="37"/>
      <c r="I4164" s="37"/>
      <c r="J4164" s="38"/>
      <c r="K4164" s="37"/>
      <c r="L4164" s="38"/>
      <c r="M4164" s="39"/>
      <c r="P4164" s="37"/>
      <c r="Q4164" s="37"/>
      <c r="R4164" s="37"/>
      <c r="S4164" s="37"/>
      <c r="T4164" s="37"/>
      <c r="U4164" s="37"/>
      <c r="V4164" s="37"/>
      <c r="W4164" s="37"/>
      <c r="X4164" s="37"/>
      <c r="Y4164" s="37"/>
      <c r="Z4164" s="37"/>
      <c r="AA4164" s="37"/>
      <c r="AB4164" s="37"/>
      <c r="AC4164" s="37"/>
      <c r="AD4164" s="37"/>
      <c r="AE4164" s="37"/>
      <c r="AF4164" s="37"/>
      <c r="AG4164" s="37"/>
      <c r="AH4164" s="37"/>
      <c r="AI4164" s="37"/>
      <c r="AJ4164" s="37"/>
      <c r="AK4164" s="37"/>
      <c r="AL4164" s="37"/>
      <c r="AM4164" s="37"/>
      <c r="AN4164" s="37"/>
      <c r="AO4164" s="37"/>
      <c r="AP4164" s="37"/>
      <c r="AQ4164" s="37"/>
      <c r="AR4164" s="37"/>
      <c r="AS4164" s="37"/>
      <c r="AT4164" s="37"/>
      <c r="AU4164" s="37"/>
      <c r="AV4164" s="37"/>
      <c r="AW4164" s="37"/>
      <c r="AX4164" s="37"/>
      <c r="AY4164" s="37"/>
      <c r="AZ4164" s="37"/>
      <c r="BA4164" s="37"/>
      <c r="BB4164" s="37"/>
      <c r="BC4164" s="37"/>
      <c r="BD4164" s="37"/>
      <c r="BE4164" s="37"/>
      <c r="BF4164" s="37"/>
      <c r="BG4164" s="37"/>
      <c r="BH4164" s="37"/>
      <c r="BI4164" s="37"/>
      <c r="BJ4164" s="37"/>
      <c r="BK4164" s="37"/>
      <c r="BL4164" s="37"/>
      <c r="BM4164" s="37"/>
    </row>
    <row r="4165" spans="1:65" s="40" customFormat="1" ht="21" x14ac:dyDescent="0.35">
      <c r="A4165" s="37"/>
      <c r="B4165" s="37"/>
      <c r="C4165" s="41"/>
      <c r="D4165" s="38"/>
      <c r="E4165" s="38"/>
      <c r="F4165" s="42"/>
      <c r="G4165" s="43"/>
      <c r="H4165" s="37"/>
      <c r="I4165" s="37"/>
      <c r="J4165" s="38"/>
      <c r="K4165" s="37"/>
      <c r="L4165" s="38"/>
      <c r="M4165" s="39"/>
      <c r="P4165" s="37"/>
      <c r="Q4165" s="37"/>
      <c r="R4165" s="37"/>
      <c r="S4165" s="37"/>
      <c r="T4165" s="37"/>
      <c r="U4165" s="37"/>
      <c r="V4165" s="37"/>
      <c r="W4165" s="37"/>
      <c r="X4165" s="37"/>
      <c r="Y4165" s="37"/>
      <c r="Z4165" s="37"/>
      <c r="AA4165" s="37"/>
      <c r="AB4165" s="37"/>
      <c r="AC4165" s="37"/>
      <c r="AD4165" s="37"/>
      <c r="AE4165" s="37"/>
      <c r="AF4165" s="37"/>
      <c r="AG4165" s="37"/>
      <c r="AH4165" s="37"/>
      <c r="AI4165" s="37"/>
      <c r="AJ4165" s="37"/>
      <c r="AK4165" s="37"/>
      <c r="AL4165" s="37"/>
      <c r="AM4165" s="37"/>
      <c r="AN4165" s="37"/>
      <c r="AO4165" s="37"/>
      <c r="AP4165" s="37"/>
      <c r="AQ4165" s="37"/>
      <c r="AR4165" s="37"/>
      <c r="AS4165" s="37"/>
      <c r="AT4165" s="37"/>
      <c r="AU4165" s="37"/>
      <c r="AV4165" s="37"/>
      <c r="AW4165" s="37"/>
      <c r="AX4165" s="37"/>
      <c r="AY4165" s="37"/>
      <c r="AZ4165" s="37"/>
      <c r="BA4165" s="37"/>
      <c r="BB4165" s="37"/>
      <c r="BC4165" s="37"/>
      <c r="BD4165" s="37"/>
      <c r="BE4165" s="37"/>
      <c r="BF4165" s="37"/>
      <c r="BG4165" s="37"/>
      <c r="BH4165" s="37"/>
      <c r="BI4165" s="37"/>
      <c r="BJ4165" s="37"/>
      <c r="BK4165" s="37"/>
      <c r="BL4165" s="37"/>
      <c r="BM4165" s="37"/>
    </row>
    <row r="4166" spans="1:65" s="40" customFormat="1" ht="21" x14ac:dyDescent="0.35">
      <c r="A4166" s="37"/>
      <c r="B4166" s="37"/>
      <c r="C4166" s="41"/>
      <c r="D4166" s="38"/>
      <c r="E4166" s="38"/>
      <c r="F4166" s="42"/>
      <c r="G4166" s="43"/>
      <c r="H4166" s="37"/>
      <c r="I4166" s="37"/>
      <c r="J4166" s="38"/>
      <c r="K4166" s="37"/>
      <c r="L4166" s="38"/>
      <c r="M4166" s="39"/>
      <c r="P4166" s="37"/>
      <c r="Q4166" s="37"/>
      <c r="R4166" s="37"/>
      <c r="S4166" s="37"/>
      <c r="T4166" s="37"/>
      <c r="U4166" s="37"/>
      <c r="V4166" s="37"/>
      <c r="W4166" s="37"/>
      <c r="X4166" s="37"/>
      <c r="Y4166" s="37"/>
      <c r="Z4166" s="37"/>
      <c r="AA4166" s="37"/>
      <c r="AB4166" s="37"/>
      <c r="AC4166" s="37"/>
      <c r="AD4166" s="37"/>
      <c r="AE4166" s="37"/>
      <c r="AF4166" s="37"/>
      <c r="AG4166" s="37"/>
      <c r="AH4166" s="37"/>
      <c r="AI4166" s="37"/>
      <c r="AJ4166" s="37"/>
      <c r="AK4166" s="37"/>
      <c r="AL4166" s="37"/>
      <c r="AM4166" s="37"/>
      <c r="AN4166" s="37"/>
      <c r="AO4166" s="37"/>
      <c r="AP4166" s="37"/>
      <c r="AQ4166" s="37"/>
      <c r="AR4166" s="37"/>
      <c r="AS4166" s="37"/>
      <c r="AT4166" s="37"/>
      <c r="AU4166" s="37"/>
      <c r="AV4166" s="37"/>
      <c r="AW4166" s="37"/>
      <c r="AX4166" s="37"/>
      <c r="AY4166" s="37"/>
      <c r="AZ4166" s="37"/>
      <c r="BA4166" s="37"/>
      <c r="BB4166" s="37"/>
      <c r="BC4166" s="37"/>
      <c r="BD4166" s="37"/>
      <c r="BE4166" s="37"/>
      <c r="BF4166" s="37"/>
      <c r="BG4166" s="37"/>
      <c r="BH4166" s="37"/>
      <c r="BI4166" s="37"/>
      <c r="BJ4166" s="37"/>
      <c r="BK4166" s="37"/>
      <c r="BL4166" s="37"/>
      <c r="BM4166" s="37"/>
    </row>
    <row r="4167" spans="1:65" s="40" customFormat="1" ht="21" x14ac:dyDescent="0.35">
      <c r="A4167" s="37"/>
      <c r="B4167" s="37"/>
      <c r="C4167" s="41"/>
      <c r="D4167" s="38"/>
      <c r="E4167" s="38"/>
      <c r="F4167" s="42"/>
      <c r="G4167" s="43"/>
      <c r="H4167" s="37"/>
      <c r="I4167" s="37"/>
      <c r="J4167" s="38"/>
      <c r="K4167" s="37"/>
      <c r="L4167" s="38"/>
      <c r="M4167" s="39"/>
      <c r="P4167" s="37"/>
      <c r="Q4167" s="37"/>
      <c r="R4167" s="37"/>
      <c r="S4167" s="37"/>
      <c r="T4167" s="37"/>
      <c r="U4167" s="37"/>
      <c r="V4167" s="37"/>
      <c r="W4167" s="37"/>
      <c r="X4167" s="37"/>
      <c r="Y4167" s="37"/>
      <c r="Z4167" s="37"/>
      <c r="AA4167" s="37"/>
      <c r="AB4167" s="37"/>
      <c r="AC4167" s="37"/>
      <c r="AD4167" s="37"/>
      <c r="AE4167" s="37"/>
      <c r="AF4167" s="37"/>
      <c r="AG4167" s="37"/>
      <c r="AH4167" s="37"/>
      <c r="AI4167" s="37"/>
      <c r="AJ4167" s="37"/>
      <c r="AK4167" s="37"/>
      <c r="AL4167" s="37"/>
      <c r="AM4167" s="37"/>
      <c r="AN4167" s="37"/>
      <c r="AO4167" s="37"/>
      <c r="AP4167" s="37"/>
      <c r="AQ4167" s="37"/>
      <c r="AR4167" s="37"/>
      <c r="AS4167" s="37"/>
      <c r="AT4167" s="37"/>
      <c r="AU4167" s="37"/>
      <c r="AV4167" s="37"/>
      <c r="AW4167" s="37"/>
      <c r="AX4167" s="37"/>
      <c r="AY4167" s="37"/>
      <c r="AZ4167" s="37"/>
      <c r="BA4167" s="37"/>
      <c r="BB4167" s="37"/>
      <c r="BC4167" s="37"/>
      <c r="BD4167" s="37"/>
      <c r="BE4167" s="37"/>
      <c r="BF4167" s="37"/>
      <c r="BG4167" s="37"/>
      <c r="BH4167" s="37"/>
      <c r="BI4167" s="37"/>
      <c r="BJ4167" s="37"/>
      <c r="BK4167" s="37"/>
      <c r="BL4167" s="37"/>
      <c r="BM4167" s="37"/>
    </row>
    <row r="4168" spans="1:65" s="40" customFormat="1" ht="21" x14ac:dyDescent="0.35">
      <c r="A4168" s="37"/>
      <c r="B4168" s="37"/>
      <c r="C4168" s="41"/>
      <c r="D4168" s="38"/>
      <c r="E4168" s="38"/>
      <c r="F4168" s="42"/>
      <c r="G4168" s="43"/>
      <c r="H4168" s="37"/>
      <c r="I4168" s="37"/>
      <c r="J4168" s="38"/>
      <c r="K4168" s="37"/>
      <c r="L4168" s="38"/>
      <c r="M4168" s="39"/>
      <c r="P4168" s="37"/>
      <c r="Q4168" s="37"/>
      <c r="R4168" s="37"/>
      <c r="S4168" s="37"/>
      <c r="T4168" s="37"/>
      <c r="U4168" s="37"/>
      <c r="V4168" s="37"/>
      <c r="W4168" s="37"/>
      <c r="X4168" s="37"/>
      <c r="Y4168" s="37"/>
      <c r="Z4168" s="37"/>
      <c r="AA4168" s="37"/>
      <c r="AB4168" s="37"/>
      <c r="AC4168" s="37"/>
      <c r="AD4168" s="37"/>
      <c r="AE4168" s="37"/>
      <c r="AF4168" s="37"/>
      <c r="AG4168" s="37"/>
      <c r="AH4168" s="37"/>
      <c r="AI4168" s="37"/>
      <c r="AJ4168" s="37"/>
      <c r="AK4168" s="37"/>
      <c r="AL4168" s="37"/>
      <c r="AM4168" s="37"/>
      <c r="AN4168" s="37"/>
      <c r="AO4168" s="37"/>
      <c r="AP4168" s="37"/>
      <c r="AQ4168" s="37"/>
      <c r="AR4168" s="37"/>
      <c r="AS4168" s="37"/>
      <c r="AT4168" s="37"/>
      <c r="AU4168" s="37"/>
      <c r="AV4168" s="37"/>
      <c r="AW4168" s="37"/>
      <c r="AX4168" s="37"/>
      <c r="AY4168" s="37"/>
      <c r="AZ4168" s="37"/>
      <c r="BA4168" s="37"/>
      <c r="BB4168" s="37"/>
      <c r="BC4168" s="37"/>
      <c r="BD4168" s="37"/>
      <c r="BE4168" s="37"/>
      <c r="BF4168" s="37"/>
      <c r="BG4168" s="37"/>
      <c r="BH4168" s="37"/>
      <c r="BI4168" s="37"/>
      <c r="BJ4168" s="37"/>
      <c r="BK4168" s="37"/>
      <c r="BL4168" s="37"/>
      <c r="BM4168" s="37"/>
    </row>
    <row r="4169" spans="1:65" s="40" customFormat="1" ht="21" x14ac:dyDescent="0.35">
      <c r="A4169" s="37"/>
      <c r="B4169" s="37"/>
      <c r="C4169" s="41"/>
      <c r="D4169" s="38"/>
      <c r="E4169" s="38"/>
      <c r="F4169" s="42"/>
      <c r="G4169" s="43"/>
      <c r="H4169" s="37"/>
      <c r="I4169" s="37"/>
      <c r="J4169" s="38"/>
      <c r="K4169" s="37"/>
      <c r="L4169" s="38"/>
      <c r="M4169" s="39"/>
      <c r="P4169" s="37"/>
      <c r="Q4169" s="37"/>
      <c r="R4169" s="37"/>
      <c r="S4169" s="37"/>
      <c r="T4169" s="37"/>
      <c r="U4169" s="37"/>
      <c r="V4169" s="37"/>
      <c r="W4169" s="37"/>
      <c r="X4169" s="37"/>
      <c r="Y4169" s="37"/>
      <c r="Z4169" s="37"/>
      <c r="AA4169" s="37"/>
      <c r="AB4169" s="37"/>
      <c r="AC4169" s="37"/>
      <c r="AD4169" s="37"/>
      <c r="AE4169" s="37"/>
      <c r="AF4169" s="37"/>
      <c r="AG4169" s="37"/>
      <c r="AH4169" s="37"/>
      <c r="AI4169" s="37"/>
      <c r="AJ4169" s="37"/>
      <c r="AK4169" s="37"/>
      <c r="AL4169" s="37"/>
      <c r="AM4169" s="37"/>
      <c r="AN4169" s="37"/>
      <c r="AO4169" s="37"/>
      <c r="AP4169" s="37"/>
      <c r="AQ4169" s="37"/>
      <c r="AR4169" s="37"/>
      <c r="AS4169" s="37"/>
      <c r="AT4169" s="37"/>
      <c r="AU4169" s="37"/>
      <c r="AV4169" s="37"/>
      <c r="AW4169" s="37"/>
      <c r="AX4169" s="37"/>
      <c r="AY4169" s="37"/>
      <c r="AZ4169" s="37"/>
      <c r="BA4169" s="37"/>
      <c r="BB4169" s="37"/>
      <c r="BC4169" s="37"/>
      <c r="BD4169" s="37"/>
      <c r="BE4169" s="37"/>
      <c r="BF4169" s="37"/>
      <c r="BG4169" s="37"/>
      <c r="BH4169" s="37"/>
      <c r="BI4169" s="37"/>
      <c r="BJ4169" s="37"/>
      <c r="BK4169" s="37"/>
      <c r="BL4169" s="37"/>
      <c r="BM4169" s="37"/>
    </row>
    <row r="4170" spans="1:65" s="40" customFormat="1" ht="21" x14ac:dyDescent="0.35">
      <c r="A4170" s="37"/>
      <c r="B4170" s="37"/>
      <c r="C4170" s="41"/>
      <c r="D4170" s="38"/>
      <c r="E4170" s="38"/>
      <c r="F4170" s="42"/>
      <c r="G4170" s="43"/>
      <c r="H4170" s="37"/>
      <c r="I4170" s="37"/>
      <c r="J4170" s="38"/>
      <c r="K4170" s="37"/>
      <c r="L4170" s="38"/>
      <c r="M4170" s="39"/>
      <c r="P4170" s="37"/>
      <c r="Q4170" s="37"/>
      <c r="R4170" s="37"/>
      <c r="S4170" s="37"/>
      <c r="T4170" s="37"/>
      <c r="U4170" s="37"/>
      <c r="V4170" s="37"/>
      <c r="W4170" s="37"/>
      <c r="X4170" s="37"/>
      <c r="Y4170" s="37"/>
      <c r="Z4170" s="37"/>
      <c r="AA4170" s="37"/>
      <c r="AB4170" s="37"/>
      <c r="AC4170" s="37"/>
      <c r="AD4170" s="37"/>
      <c r="AE4170" s="37"/>
      <c r="AF4170" s="37"/>
      <c r="AG4170" s="37"/>
      <c r="AH4170" s="37"/>
      <c r="AI4170" s="37"/>
      <c r="AJ4170" s="37"/>
      <c r="AK4170" s="37"/>
      <c r="AL4170" s="37"/>
      <c r="AM4170" s="37"/>
      <c r="AN4170" s="37"/>
      <c r="AO4170" s="37"/>
      <c r="AP4170" s="37"/>
      <c r="AQ4170" s="37"/>
      <c r="AR4170" s="37"/>
      <c r="AS4170" s="37"/>
      <c r="AT4170" s="37"/>
      <c r="AU4170" s="37"/>
      <c r="AV4170" s="37"/>
      <c r="AW4170" s="37"/>
      <c r="AX4170" s="37"/>
      <c r="AY4170" s="37"/>
      <c r="AZ4170" s="37"/>
      <c r="BA4170" s="37"/>
      <c r="BB4170" s="37"/>
      <c r="BC4170" s="37"/>
      <c r="BD4170" s="37"/>
      <c r="BE4170" s="37"/>
      <c r="BF4170" s="37"/>
      <c r="BG4170" s="37"/>
      <c r="BH4170" s="37"/>
      <c r="BI4170" s="37"/>
      <c r="BJ4170" s="37"/>
      <c r="BK4170" s="37"/>
      <c r="BL4170" s="37"/>
      <c r="BM4170" s="37"/>
    </row>
    <row r="4171" spans="1:65" s="40" customFormat="1" ht="21" x14ac:dyDescent="0.35">
      <c r="A4171" s="37"/>
      <c r="B4171" s="37"/>
      <c r="C4171" s="41"/>
      <c r="D4171" s="38"/>
      <c r="E4171" s="38"/>
      <c r="F4171" s="42"/>
      <c r="G4171" s="43"/>
      <c r="H4171" s="37"/>
      <c r="I4171" s="37"/>
      <c r="J4171" s="38"/>
      <c r="K4171" s="37"/>
      <c r="L4171" s="38"/>
      <c r="M4171" s="39"/>
      <c r="P4171" s="37"/>
      <c r="Q4171" s="37"/>
      <c r="R4171" s="37"/>
      <c r="S4171" s="37"/>
      <c r="T4171" s="37"/>
      <c r="U4171" s="37"/>
      <c r="V4171" s="37"/>
      <c r="W4171" s="37"/>
      <c r="X4171" s="37"/>
      <c r="Y4171" s="37"/>
      <c r="Z4171" s="37"/>
      <c r="AA4171" s="37"/>
      <c r="AB4171" s="37"/>
      <c r="AC4171" s="37"/>
      <c r="AD4171" s="37"/>
      <c r="AE4171" s="37"/>
      <c r="AF4171" s="37"/>
      <c r="AG4171" s="37"/>
      <c r="AH4171" s="37"/>
      <c r="AI4171" s="37"/>
      <c r="AJ4171" s="37"/>
      <c r="AK4171" s="37"/>
      <c r="AL4171" s="37"/>
      <c r="AM4171" s="37"/>
      <c r="AN4171" s="37"/>
      <c r="AO4171" s="37"/>
      <c r="AP4171" s="37"/>
      <c r="AQ4171" s="37"/>
      <c r="AR4171" s="37"/>
      <c r="AS4171" s="37"/>
      <c r="AT4171" s="37"/>
      <c r="AU4171" s="37"/>
      <c r="AV4171" s="37"/>
      <c r="AW4171" s="37"/>
      <c r="AX4171" s="37"/>
      <c r="AY4171" s="37"/>
      <c r="AZ4171" s="37"/>
      <c r="BA4171" s="37"/>
      <c r="BB4171" s="37"/>
      <c r="BC4171" s="37"/>
      <c r="BD4171" s="37"/>
      <c r="BE4171" s="37"/>
      <c r="BF4171" s="37"/>
      <c r="BG4171" s="37"/>
      <c r="BH4171" s="37"/>
      <c r="BI4171" s="37"/>
      <c r="BJ4171" s="37"/>
      <c r="BK4171" s="37"/>
      <c r="BL4171" s="37"/>
      <c r="BM4171" s="37"/>
    </row>
    <row r="4172" spans="1:65" s="40" customFormat="1" ht="21" x14ac:dyDescent="0.35">
      <c r="A4172" s="37"/>
      <c r="B4172" s="37"/>
      <c r="C4172" s="41"/>
      <c r="D4172" s="38"/>
      <c r="E4172" s="38"/>
      <c r="F4172" s="42"/>
      <c r="G4172" s="43"/>
      <c r="H4172" s="37"/>
      <c r="I4172" s="37"/>
      <c r="J4172" s="38"/>
      <c r="K4172" s="37"/>
      <c r="L4172" s="38"/>
      <c r="M4172" s="39"/>
      <c r="P4172" s="37"/>
      <c r="Q4172" s="37"/>
      <c r="R4172" s="37"/>
      <c r="S4172" s="37"/>
      <c r="T4172" s="37"/>
      <c r="U4172" s="37"/>
      <c r="V4172" s="37"/>
      <c r="W4172" s="37"/>
      <c r="X4172" s="37"/>
      <c r="Y4172" s="37"/>
      <c r="Z4172" s="37"/>
      <c r="AA4172" s="37"/>
      <c r="AB4172" s="37"/>
      <c r="AC4172" s="37"/>
      <c r="AD4172" s="37"/>
      <c r="AE4172" s="37"/>
      <c r="AF4172" s="37"/>
      <c r="AG4172" s="37"/>
      <c r="AH4172" s="37"/>
      <c r="AI4172" s="37"/>
      <c r="AJ4172" s="37"/>
      <c r="AK4172" s="37"/>
      <c r="AL4172" s="37"/>
      <c r="AM4172" s="37"/>
      <c r="AN4172" s="37"/>
      <c r="AO4172" s="37"/>
      <c r="AP4172" s="37"/>
      <c r="AQ4172" s="37"/>
      <c r="AR4172" s="37"/>
      <c r="AS4172" s="37"/>
      <c r="AT4172" s="37"/>
      <c r="AU4172" s="37"/>
      <c r="AV4172" s="37"/>
      <c r="AW4172" s="37"/>
      <c r="AX4172" s="37"/>
      <c r="AY4172" s="37"/>
      <c r="AZ4172" s="37"/>
      <c r="BA4172" s="37"/>
      <c r="BB4172" s="37"/>
      <c r="BC4172" s="37"/>
      <c r="BD4172" s="37"/>
      <c r="BE4172" s="37"/>
      <c r="BF4172" s="37"/>
      <c r="BG4172" s="37"/>
      <c r="BH4172" s="37"/>
      <c r="BI4172" s="37"/>
      <c r="BJ4172" s="37"/>
      <c r="BK4172" s="37"/>
      <c r="BL4172" s="37"/>
      <c r="BM4172" s="37"/>
    </row>
    <row r="4173" spans="1:65" s="40" customFormat="1" ht="21" x14ac:dyDescent="0.35">
      <c r="A4173" s="37"/>
      <c r="B4173" s="37"/>
      <c r="C4173" s="41"/>
      <c r="D4173" s="38"/>
      <c r="E4173" s="38"/>
      <c r="F4173" s="42"/>
      <c r="G4173" s="43"/>
      <c r="H4173" s="37"/>
      <c r="I4173" s="37"/>
      <c r="J4173" s="38"/>
      <c r="K4173" s="37"/>
      <c r="L4173" s="38"/>
      <c r="M4173" s="39"/>
      <c r="P4173" s="37"/>
      <c r="Q4173" s="37"/>
      <c r="R4173" s="37"/>
      <c r="S4173" s="37"/>
      <c r="T4173" s="37"/>
      <c r="U4173" s="37"/>
      <c r="V4173" s="37"/>
      <c r="W4173" s="37"/>
      <c r="X4173" s="37"/>
      <c r="Y4173" s="37"/>
      <c r="Z4173" s="37"/>
      <c r="AA4173" s="37"/>
      <c r="AB4173" s="37"/>
      <c r="AC4173" s="37"/>
      <c r="AD4173" s="37"/>
      <c r="AE4173" s="37"/>
      <c r="AF4173" s="37"/>
      <c r="AG4173" s="37"/>
      <c r="AH4173" s="37"/>
      <c r="AI4173" s="37"/>
      <c r="AJ4173" s="37"/>
      <c r="AK4173" s="37"/>
      <c r="AL4173" s="37"/>
      <c r="AM4173" s="37"/>
      <c r="AN4173" s="37"/>
      <c r="AO4173" s="37"/>
      <c r="AP4173" s="37"/>
      <c r="AQ4173" s="37"/>
      <c r="AR4173" s="37"/>
      <c r="AS4173" s="37"/>
      <c r="AT4173" s="37"/>
      <c r="AU4173" s="37"/>
      <c r="AV4173" s="37"/>
      <c r="AW4173" s="37"/>
      <c r="AX4173" s="37"/>
      <c r="AY4173" s="37"/>
      <c r="AZ4173" s="37"/>
      <c r="BA4173" s="37"/>
      <c r="BB4173" s="37"/>
      <c r="BC4173" s="37"/>
      <c r="BD4173" s="37"/>
      <c r="BE4173" s="37"/>
      <c r="BF4173" s="37"/>
      <c r="BG4173" s="37"/>
      <c r="BH4173" s="37"/>
      <c r="BI4173" s="37"/>
      <c r="BJ4173" s="37"/>
      <c r="BK4173" s="37"/>
      <c r="BL4173" s="37"/>
      <c r="BM4173" s="37"/>
    </row>
    <row r="4174" spans="1:65" s="40" customFormat="1" ht="21" x14ac:dyDescent="0.35">
      <c r="A4174" s="37"/>
      <c r="B4174" s="37"/>
      <c r="C4174" s="41"/>
      <c r="D4174" s="38"/>
      <c r="E4174" s="38"/>
      <c r="F4174" s="42"/>
      <c r="G4174" s="43"/>
      <c r="H4174" s="37"/>
      <c r="I4174" s="37"/>
      <c r="J4174" s="38"/>
      <c r="K4174" s="37"/>
      <c r="L4174" s="38"/>
      <c r="M4174" s="39"/>
      <c r="P4174" s="37"/>
      <c r="Q4174" s="37"/>
      <c r="R4174" s="37"/>
      <c r="S4174" s="37"/>
      <c r="T4174" s="37"/>
      <c r="U4174" s="37"/>
      <c r="V4174" s="37"/>
      <c r="W4174" s="37"/>
      <c r="X4174" s="37"/>
      <c r="Y4174" s="37"/>
      <c r="Z4174" s="37"/>
      <c r="AA4174" s="37"/>
      <c r="AB4174" s="37"/>
      <c r="AC4174" s="37"/>
      <c r="AD4174" s="37"/>
      <c r="AE4174" s="37"/>
      <c r="AF4174" s="37"/>
      <c r="AG4174" s="37"/>
      <c r="AH4174" s="37"/>
      <c r="AI4174" s="37"/>
      <c r="AJ4174" s="37"/>
      <c r="AK4174" s="37"/>
      <c r="AL4174" s="37"/>
      <c r="AM4174" s="37"/>
      <c r="AN4174" s="37"/>
      <c r="AO4174" s="37"/>
      <c r="AP4174" s="37"/>
      <c r="AQ4174" s="37"/>
      <c r="AR4174" s="37"/>
      <c r="AS4174" s="37"/>
      <c r="AT4174" s="37"/>
      <c r="AU4174" s="37"/>
      <c r="AV4174" s="37"/>
      <c r="AW4174" s="37"/>
      <c r="AX4174" s="37"/>
      <c r="AY4174" s="37"/>
      <c r="AZ4174" s="37"/>
      <c r="BA4174" s="37"/>
      <c r="BB4174" s="37"/>
      <c r="BC4174" s="37"/>
      <c r="BD4174" s="37"/>
      <c r="BE4174" s="37"/>
      <c r="BF4174" s="37"/>
      <c r="BG4174" s="37"/>
      <c r="BH4174" s="37"/>
      <c r="BI4174" s="37"/>
      <c r="BJ4174" s="37"/>
      <c r="BK4174" s="37"/>
      <c r="BL4174" s="37"/>
      <c r="BM4174" s="37"/>
    </row>
    <row r="4175" spans="1:65" s="40" customFormat="1" ht="21" x14ac:dyDescent="0.35">
      <c r="A4175" s="37"/>
      <c r="B4175" s="37"/>
      <c r="C4175" s="41"/>
      <c r="D4175" s="38"/>
      <c r="E4175" s="38"/>
      <c r="F4175" s="42"/>
      <c r="G4175" s="43"/>
      <c r="H4175" s="37"/>
      <c r="I4175" s="37"/>
      <c r="J4175" s="38"/>
      <c r="K4175" s="37"/>
      <c r="L4175" s="38"/>
      <c r="M4175" s="39"/>
      <c r="P4175" s="37"/>
      <c r="Q4175" s="37"/>
      <c r="R4175" s="37"/>
      <c r="S4175" s="37"/>
      <c r="T4175" s="37"/>
      <c r="U4175" s="37"/>
      <c r="V4175" s="37"/>
      <c r="W4175" s="37"/>
      <c r="X4175" s="37"/>
      <c r="Y4175" s="37"/>
      <c r="Z4175" s="37"/>
      <c r="AA4175" s="37"/>
      <c r="AB4175" s="37"/>
      <c r="AC4175" s="37"/>
      <c r="AD4175" s="37"/>
      <c r="AE4175" s="37"/>
      <c r="AF4175" s="37"/>
      <c r="AG4175" s="37"/>
      <c r="AH4175" s="37"/>
      <c r="AI4175" s="37"/>
      <c r="AJ4175" s="37"/>
      <c r="AK4175" s="37"/>
      <c r="AL4175" s="37"/>
      <c r="AM4175" s="37"/>
      <c r="AN4175" s="37"/>
      <c r="AO4175" s="37"/>
      <c r="AP4175" s="37"/>
      <c r="AQ4175" s="37"/>
      <c r="AR4175" s="37"/>
      <c r="AS4175" s="37"/>
      <c r="AT4175" s="37"/>
      <c r="AU4175" s="37"/>
      <c r="AV4175" s="37"/>
      <c r="AW4175" s="37"/>
      <c r="AX4175" s="37"/>
      <c r="AY4175" s="37"/>
      <c r="AZ4175" s="37"/>
      <c r="BA4175" s="37"/>
      <c r="BB4175" s="37"/>
      <c r="BC4175" s="37"/>
      <c r="BD4175" s="37"/>
      <c r="BE4175" s="37"/>
      <c r="BF4175" s="37"/>
      <c r="BG4175" s="37"/>
      <c r="BH4175" s="37"/>
      <c r="BI4175" s="37"/>
      <c r="BJ4175" s="37"/>
      <c r="BK4175" s="37"/>
      <c r="BL4175" s="37"/>
      <c r="BM4175" s="37"/>
    </row>
    <row r="4176" spans="1:65" s="40" customFormat="1" ht="21" x14ac:dyDescent="0.35">
      <c r="A4176" s="37"/>
      <c r="B4176" s="37"/>
      <c r="C4176" s="41"/>
      <c r="D4176" s="38"/>
      <c r="E4176" s="38"/>
      <c r="F4176" s="42"/>
      <c r="G4176" s="43"/>
      <c r="H4176" s="37"/>
      <c r="I4176" s="37"/>
      <c r="J4176" s="38"/>
      <c r="K4176" s="37"/>
      <c r="L4176" s="38"/>
      <c r="M4176" s="39"/>
      <c r="P4176" s="37"/>
      <c r="Q4176" s="37"/>
      <c r="R4176" s="37"/>
      <c r="S4176" s="37"/>
      <c r="T4176" s="37"/>
      <c r="U4176" s="37"/>
      <c r="V4176" s="37"/>
      <c r="W4176" s="37"/>
      <c r="X4176" s="37"/>
      <c r="Y4176" s="37"/>
      <c r="Z4176" s="37"/>
      <c r="AA4176" s="37"/>
      <c r="AB4176" s="37"/>
      <c r="AC4176" s="37"/>
      <c r="AD4176" s="37"/>
      <c r="AE4176" s="37"/>
      <c r="AF4176" s="37"/>
      <c r="AG4176" s="37"/>
      <c r="AH4176" s="37"/>
      <c r="AI4176" s="37"/>
      <c r="AJ4176" s="37"/>
      <c r="AK4176" s="37"/>
      <c r="AL4176" s="37"/>
      <c r="AM4176" s="37"/>
      <c r="AN4176" s="37"/>
      <c r="AO4176" s="37"/>
      <c r="AP4176" s="37"/>
      <c r="AQ4176" s="37"/>
      <c r="AR4176" s="37"/>
      <c r="AS4176" s="37"/>
      <c r="AT4176" s="37"/>
      <c r="AU4176" s="37"/>
      <c r="AV4176" s="37"/>
      <c r="AW4176" s="37"/>
      <c r="AX4176" s="37"/>
      <c r="AY4176" s="37"/>
      <c r="AZ4176" s="37"/>
      <c r="BA4176" s="37"/>
      <c r="BB4176" s="37"/>
      <c r="BC4176" s="37"/>
      <c r="BD4176" s="37"/>
      <c r="BE4176" s="37"/>
      <c r="BF4176" s="37"/>
      <c r="BG4176" s="37"/>
      <c r="BH4176" s="37"/>
      <c r="BI4176" s="37"/>
      <c r="BJ4176" s="37"/>
      <c r="BK4176" s="37"/>
      <c r="BL4176" s="37"/>
      <c r="BM4176" s="37"/>
    </row>
    <row r="4177" spans="1:65" s="40" customFormat="1" ht="21" x14ac:dyDescent="0.35">
      <c r="A4177" s="37"/>
      <c r="B4177" s="37"/>
      <c r="C4177" s="41"/>
      <c r="D4177" s="38"/>
      <c r="E4177" s="38"/>
      <c r="F4177" s="42"/>
      <c r="G4177" s="43"/>
      <c r="H4177" s="37"/>
      <c r="I4177" s="37"/>
      <c r="J4177" s="38"/>
      <c r="K4177" s="37"/>
      <c r="L4177" s="38"/>
      <c r="M4177" s="39"/>
      <c r="P4177" s="37"/>
      <c r="Q4177" s="37"/>
      <c r="R4177" s="37"/>
      <c r="S4177" s="37"/>
      <c r="T4177" s="37"/>
      <c r="U4177" s="37"/>
      <c r="V4177" s="37"/>
      <c r="W4177" s="37"/>
      <c r="X4177" s="37"/>
      <c r="Y4177" s="37"/>
      <c r="Z4177" s="37"/>
      <c r="AA4177" s="37"/>
      <c r="AB4177" s="37"/>
      <c r="AC4177" s="37"/>
      <c r="AD4177" s="37"/>
      <c r="AE4177" s="37"/>
      <c r="AF4177" s="37"/>
      <c r="AG4177" s="37"/>
      <c r="AH4177" s="37"/>
      <c r="AI4177" s="37"/>
      <c r="AJ4177" s="37"/>
      <c r="AK4177" s="37"/>
      <c r="AL4177" s="37"/>
      <c r="AM4177" s="37"/>
      <c r="AN4177" s="37"/>
      <c r="AO4177" s="37"/>
      <c r="AP4177" s="37"/>
      <c r="AQ4177" s="37"/>
      <c r="AR4177" s="37"/>
      <c r="AS4177" s="37"/>
      <c r="AT4177" s="37"/>
      <c r="AU4177" s="37"/>
      <c r="AV4177" s="37"/>
      <c r="AW4177" s="37"/>
      <c r="AX4177" s="37"/>
      <c r="AY4177" s="37"/>
      <c r="AZ4177" s="37"/>
      <c r="BA4177" s="37"/>
      <c r="BB4177" s="37"/>
      <c r="BC4177" s="37"/>
      <c r="BD4177" s="37"/>
      <c r="BE4177" s="37"/>
      <c r="BF4177" s="37"/>
      <c r="BG4177" s="37"/>
      <c r="BH4177" s="37"/>
      <c r="BI4177" s="37"/>
      <c r="BJ4177" s="37"/>
      <c r="BK4177" s="37"/>
      <c r="BL4177" s="37"/>
      <c r="BM4177" s="37"/>
    </row>
    <row r="4178" spans="1:65" s="40" customFormat="1" ht="21" x14ac:dyDescent="0.35">
      <c r="A4178" s="37"/>
      <c r="B4178" s="37"/>
      <c r="C4178" s="41"/>
      <c r="D4178" s="38"/>
      <c r="E4178" s="38"/>
      <c r="F4178" s="42"/>
      <c r="G4178" s="43"/>
      <c r="H4178" s="37"/>
      <c r="I4178" s="37"/>
      <c r="J4178" s="38"/>
      <c r="K4178" s="37"/>
      <c r="L4178" s="38"/>
      <c r="M4178" s="39"/>
      <c r="P4178" s="37"/>
      <c r="Q4178" s="37"/>
      <c r="R4178" s="37"/>
      <c r="S4178" s="37"/>
      <c r="T4178" s="37"/>
      <c r="U4178" s="37"/>
      <c r="V4178" s="37"/>
      <c r="W4178" s="37"/>
      <c r="X4178" s="37"/>
      <c r="Y4178" s="37"/>
      <c r="Z4178" s="37"/>
      <c r="AA4178" s="37"/>
      <c r="AB4178" s="37"/>
      <c r="AC4178" s="37"/>
      <c r="AD4178" s="37"/>
      <c r="AE4178" s="37"/>
      <c r="AF4178" s="37"/>
      <c r="AG4178" s="37"/>
      <c r="AH4178" s="37"/>
      <c r="AI4178" s="37"/>
      <c r="AJ4178" s="37"/>
      <c r="AK4178" s="37"/>
      <c r="AL4178" s="37"/>
      <c r="AM4178" s="37"/>
      <c r="AN4178" s="37"/>
      <c r="AO4178" s="37"/>
      <c r="AP4178" s="37"/>
      <c r="AQ4178" s="37"/>
      <c r="AR4178" s="37"/>
      <c r="AS4178" s="37"/>
      <c r="AT4178" s="37"/>
      <c r="AU4178" s="37"/>
      <c r="AV4178" s="37"/>
      <c r="AW4178" s="37"/>
      <c r="AX4178" s="37"/>
      <c r="AY4178" s="37"/>
      <c r="AZ4178" s="37"/>
      <c r="BA4178" s="37"/>
      <c r="BB4178" s="37"/>
      <c r="BC4178" s="37"/>
      <c r="BD4178" s="37"/>
      <c r="BE4178" s="37"/>
      <c r="BF4178" s="37"/>
      <c r="BG4178" s="37"/>
      <c r="BH4178" s="37"/>
      <c r="BI4178" s="37"/>
      <c r="BJ4178" s="37"/>
      <c r="BK4178" s="37"/>
      <c r="BL4178" s="37"/>
      <c r="BM4178" s="37"/>
    </row>
    <row r="4179" spans="1:65" s="40" customFormat="1" ht="21" x14ac:dyDescent="0.35">
      <c r="A4179" s="37"/>
      <c r="B4179" s="37"/>
      <c r="C4179" s="41"/>
      <c r="D4179" s="38"/>
      <c r="E4179" s="38"/>
      <c r="F4179" s="42"/>
      <c r="G4179" s="43"/>
      <c r="H4179" s="37"/>
      <c r="I4179" s="37"/>
      <c r="J4179" s="38"/>
      <c r="K4179" s="37"/>
      <c r="L4179" s="38"/>
      <c r="M4179" s="39"/>
      <c r="P4179" s="37"/>
      <c r="Q4179" s="37"/>
      <c r="R4179" s="37"/>
      <c r="S4179" s="37"/>
      <c r="T4179" s="37"/>
      <c r="U4179" s="37"/>
      <c r="V4179" s="37"/>
      <c r="W4179" s="37"/>
      <c r="X4179" s="37"/>
      <c r="Y4179" s="37"/>
      <c r="Z4179" s="37"/>
      <c r="AA4179" s="37"/>
      <c r="AB4179" s="37"/>
      <c r="AC4179" s="37"/>
      <c r="AD4179" s="37"/>
      <c r="AE4179" s="37"/>
      <c r="AF4179" s="37"/>
      <c r="AG4179" s="37"/>
      <c r="AH4179" s="37"/>
      <c r="AI4179" s="37"/>
      <c r="AJ4179" s="37"/>
      <c r="AK4179" s="37"/>
      <c r="AL4179" s="37"/>
      <c r="AM4179" s="37"/>
      <c r="AN4179" s="37"/>
      <c r="AO4179" s="37"/>
      <c r="AP4179" s="37"/>
      <c r="AQ4179" s="37"/>
      <c r="AR4179" s="37"/>
      <c r="AS4179" s="37"/>
      <c r="AT4179" s="37"/>
      <c r="AU4179" s="37"/>
      <c r="AV4179" s="37"/>
      <c r="AW4179" s="37"/>
      <c r="AX4179" s="37"/>
      <c r="AY4179" s="37"/>
      <c r="AZ4179" s="37"/>
      <c r="BA4179" s="37"/>
      <c r="BB4179" s="37"/>
      <c r="BC4179" s="37"/>
      <c r="BD4179" s="37"/>
      <c r="BE4179" s="37"/>
      <c r="BF4179" s="37"/>
      <c r="BG4179" s="37"/>
      <c r="BH4179" s="37"/>
      <c r="BI4179" s="37"/>
      <c r="BJ4179" s="37"/>
      <c r="BK4179" s="37"/>
      <c r="BL4179" s="37"/>
      <c r="BM4179" s="37"/>
    </row>
    <row r="4180" spans="1:65" s="40" customFormat="1" ht="21" x14ac:dyDescent="0.35">
      <c r="A4180" s="37"/>
      <c r="B4180" s="37"/>
      <c r="C4180" s="41"/>
      <c r="D4180" s="38"/>
      <c r="E4180" s="38"/>
      <c r="F4180" s="42"/>
      <c r="G4180" s="43"/>
      <c r="H4180" s="37"/>
      <c r="I4180" s="37"/>
      <c r="J4180" s="38"/>
      <c r="K4180" s="37"/>
      <c r="L4180" s="38"/>
      <c r="M4180" s="39"/>
      <c r="P4180" s="37"/>
      <c r="Q4180" s="37"/>
      <c r="R4180" s="37"/>
      <c r="S4180" s="37"/>
      <c r="T4180" s="37"/>
      <c r="U4180" s="37"/>
      <c r="V4180" s="37"/>
      <c r="W4180" s="37"/>
      <c r="X4180" s="37"/>
      <c r="Y4180" s="37"/>
      <c r="Z4180" s="37"/>
      <c r="AA4180" s="37"/>
      <c r="AB4180" s="37"/>
      <c r="AC4180" s="37"/>
      <c r="AD4180" s="37"/>
      <c r="AE4180" s="37"/>
      <c r="AF4180" s="37"/>
      <c r="AG4180" s="37"/>
      <c r="AH4180" s="37"/>
      <c r="AI4180" s="37"/>
      <c r="AJ4180" s="37"/>
      <c r="AK4180" s="37"/>
      <c r="AL4180" s="37"/>
      <c r="AM4180" s="37"/>
      <c r="AN4180" s="37"/>
      <c r="AO4180" s="37"/>
      <c r="AP4180" s="37"/>
      <c r="AQ4180" s="37"/>
      <c r="AR4180" s="37"/>
      <c r="AS4180" s="37"/>
      <c r="AT4180" s="37"/>
      <c r="AU4180" s="37"/>
      <c r="AV4180" s="37"/>
      <c r="AW4180" s="37"/>
      <c r="AX4180" s="37"/>
      <c r="AY4180" s="37"/>
      <c r="AZ4180" s="37"/>
      <c r="BA4180" s="37"/>
      <c r="BB4180" s="37"/>
      <c r="BC4180" s="37"/>
      <c r="BD4180" s="37"/>
      <c r="BE4180" s="37"/>
      <c r="BF4180" s="37"/>
      <c r="BG4180" s="37"/>
      <c r="BH4180" s="37"/>
      <c r="BI4180" s="37"/>
      <c r="BJ4180" s="37"/>
      <c r="BK4180" s="37"/>
      <c r="BL4180" s="37"/>
      <c r="BM4180" s="37"/>
    </row>
    <row r="4181" spans="1:65" s="40" customFormat="1" ht="21" x14ac:dyDescent="0.35">
      <c r="A4181" s="37"/>
      <c r="B4181" s="37"/>
      <c r="C4181" s="41"/>
      <c r="D4181" s="38"/>
      <c r="E4181" s="38"/>
      <c r="F4181" s="42"/>
      <c r="G4181" s="43"/>
      <c r="H4181" s="37"/>
      <c r="I4181" s="37"/>
      <c r="J4181" s="38"/>
      <c r="K4181" s="37"/>
      <c r="L4181" s="38"/>
      <c r="M4181" s="39"/>
      <c r="P4181" s="37"/>
      <c r="Q4181" s="37"/>
      <c r="R4181" s="37"/>
      <c r="S4181" s="37"/>
      <c r="T4181" s="37"/>
      <c r="U4181" s="37"/>
      <c r="V4181" s="37"/>
      <c r="W4181" s="37"/>
      <c r="X4181" s="37"/>
      <c r="Y4181" s="37"/>
      <c r="Z4181" s="37"/>
      <c r="AA4181" s="37"/>
      <c r="AB4181" s="37"/>
      <c r="AC4181" s="37"/>
      <c r="AD4181" s="37"/>
      <c r="AE4181" s="37"/>
      <c r="AF4181" s="37"/>
      <c r="AG4181" s="37"/>
      <c r="AH4181" s="37"/>
      <c r="AI4181" s="37"/>
      <c r="AJ4181" s="37"/>
      <c r="AK4181" s="37"/>
      <c r="AL4181" s="37"/>
      <c r="AM4181" s="37"/>
      <c r="AN4181" s="37"/>
      <c r="AO4181" s="37"/>
      <c r="AP4181" s="37"/>
      <c r="AQ4181" s="37"/>
      <c r="AR4181" s="37"/>
      <c r="AS4181" s="37"/>
      <c r="AT4181" s="37"/>
      <c r="AU4181" s="37"/>
      <c r="AV4181" s="37"/>
      <c r="AW4181" s="37"/>
      <c r="AX4181" s="37"/>
      <c r="AY4181" s="37"/>
      <c r="AZ4181" s="37"/>
      <c r="BA4181" s="37"/>
      <c r="BB4181" s="37"/>
      <c r="BC4181" s="37"/>
      <c r="BD4181" s="37"/>
      <c r="BE4181" s="37"/>
      <c r="BF4181" s="37"/>
      <c r="BG4181" s="37"/>
      <c r="BH4181" s="37"/>
      <c r="BI4181" s="37"/>
      <c r="BJ4181" s="37"/>
      <c r="BK4181" s="37"/>
      <c r="BL4181" s="37"/>
      <c r="BM4181" s="37"/>
    </row>
    <row r="4182" spans="1:65" s="40" customFormat="1" ht="21" x14ac:dyDescent="0.35">
      <c r="A4182" s="37"/>
      <c r="B4182" s="37"/>
      <c r="C4182" s="41"/>
      <c r="D4182" s="38"/>
      <c r="E4182" s="38"/>
      <c r="F4182" s="42"/>
      <c r="G4182" s="43"/>
      <c r="H4182" s="37"/>
      <c r="I4182" s="37"/>
      <c r="J4182" s="38"/>
      <c r="K4182" s="37"/>
      <c r="L4182" s="38"/>
      <c r="M4182" s="39"/>
      <c r="P4182" s="37"/>
      <c r="Q4182" s="37"/>
      <c r="R4182" s="37"/>
      <c r="S4182" s="37"/>
      <c r="T4182" s="37"/>
      <c r="U4182" s="37"/>
      <c r="V4182" s="37"/>
      <c r="W4182" s="37"/>
      <c r="X4182" s="37"/>
      <c r="Y4182" s="37"/>
      <c r="Z4182" s="37"/>
      <c r="AA4182" s="37"/>
      <c r="AB4182" s="37"/>
      <c r="AC4182" s="37"/>
      <c r="AD4182" s="37"/>
      <c r="AE4182" s="37"/>
      <c r="AF4182" s="37"/>
      <c r="AG4182" s="37"/>
      <c r="AH4182" s="37"/>
      <c r="AI4182" s="37"/>
      <c r="AJ4182" s="37"/>
      <c r="AK4182" s="37"/>
      <c r="AL4182" s="37"/>
      <c r="AM4182" s="37"/>
      <c r="AN4182" s="37"/>
      <c r="AO4182" s="37"/>
      <c r="AP4182" s="37"/>
      <c r="AQ4182" s="37"/>
      <c r="AR4182" s="37"/>
      <c r="AS4182" s="37"/>
      <c r="AT4182" s="37"/>
      <c r="AU4182" s="37"/>
      <c r="AV4182" s="37"/>
      <c r="AW4182" s="37"/>
      <c r="AX4182" s="37"/>
      <c r="AY4182" s="37"/>
      <c r="AZ4182" s="37"/>
      <c r="BA4182" s="37"/>
      <c r="BB4182" s="37"/>
      <c r="BC4182" s="37"/>
      <c r="BD4182" s="37"/>
      <c r="BE4182" s="37"/>
      <c r="BF4182" s="37"/>
      <c r="BG4182" s="37"/>
      <c r="BH4182" s="37"/>
      <c r="BI4182" s="37"/>
      <c r="BJ4182" s="37"/>
      <c r="BK4182" s="37"/>
      <c r="BL4182" s="37"/>
      <c r="BM4182" s="37"/>
    </row>
    <row r="4183" spans="1:65" s="40" customFormat="1" ht="21" x14ac:dyDescent="0.35">
      <c r="A4183" s="37"/>
      <c r="B4183" s="37"/>
      <c r="C4183" s="41"/>
      <c r="D4183" s="38"/>
      <c r="E4183" s="38"/>
      <c r="F4183" s="42"/>
      <c r="G4183" s="43"/>
      <c r="H4183" s="37"/>
      <c r="I4183" s="37"/>
      <c r="J4183" s="38"/>
      <c r="K4183" s="37"/>
      <c r="L4183" s="38"/>
      <c r="M4183" s="39"/>
      <c r="P4183" s="37"/>
      <c r="Q4183" s="37"/>
      <c r="R4183" s="37"/>
      <c r="S4183" s="37"/>
      <c r="T4183" s="37"/>
      <c r="U4183" s="37"/>
      <c r="V4183" s="37"/>
      <c r="W4183" s="37"/>
      <c r="X4183" s="37"/>
      <c r="Y4183" s="37"/>
      <c r="Z4183" s="37"/>
      <c r="AA4183" s="37"/>
      <c r="AB4183" s="37"/>
      <c r="AC4183" s="37"/>
      <c r="AD4183" s="37"/>
      <c r="AE4183" s="37"/>
      <c r="AF4183" s="37"/>
      <c r="AG4183" s="37"/>
      <c r="AH4183" s="37"/>
      <c r="AI4183" s="37"/>
      <c r="AJ4183" s="37"/>
      <c r="AK4183" s="37"/>
      <c r="AL4183" s="37"/>
      <c r="AM4183" s="37"/>
      <c r="AN4183" s="37"/>
      <c r="AO4183" s="37"/>
      <c r="AP4183" s="37"/>
      <c r="AQ4183" s="37"/>
      <c r="AR4183" s="37"/>
      <c r="AS4183" s="37"/>
      <c r="AT4183" s="37"/>
      <c r="AU4183" s="37"/>
      <c r="AV4183" s="37"/>
      <c r="AW4183" s="37"/>
      <c r="AX4183" s="37"/>
      <c r="AY4183" s="37"/>
      <c r="AZ4183" s="37"/>
      <c r="BA4183" s="37"/>
      <c r="BB4183" s="37"/>
      <c r="BC4183" s="37"/>
      <c r="BD4183" s="37"/>
      <c r="BE4183" s="37"/>
      <c r="BF4183" s="37"/>
      <c r="BG4183" s="37"/>
      <c r="BH4183" s="37"/>
      <c r="BI4183" s="37"/>
      <c r="BJ4183" s="37"/>
      <c r="BK4183" s="37"/>
      <c r="BL4183" s="37"/>
      <c r="BM4183" s="37"/>
    </row>
    <row r="4184" spans="1:65" s="40" customFormat="1" ht="21" x14ac:dyDescent="0.35">
      <c r="A4184" s="37"/>
      <c r="B4184" s="37"/>
      <c r="C4184" s="41"/>
      <c r="D4184" s="38"/>
      <c r="E4184" s="38"/>
      <c r="F4184" s="42"/>
      <c r="G4184" s="43"/>
      <c r="H4184" s="37"/>
      <c r="I4184" s="37"/>
      <c r="J4184" s="38"/>
      <c r="K4184" s="37"/>
      <c r="L4184" s="38"/>
      <c r="M4184" s="39"/>
      <c r="P4184" s="37"/>
      <c r="Q4184" s="37"/>
      <c r="R4184" s="37"/>
      <c r="S4184" s="37"/>
      <c r="T4184" s="37"/>
      <c r="U4184" s="37"/>
      <c r="V4184" s="37"/>
      <c r="W4184" s="37"/>
      <c r="X4184" s="37"/>
      <c r="Y4184" s="37"/>
      <c r="Z4184" s="37"/>
      <c r="AA4184" s="37"/>
      <c r="AB4184" s="37"/>
      <c r="AC4184" s="37"/>
      <c r="AD4184" s="37"/>
      <c r="AE4184" s="37"/>
      <c r="AF4184" s="37"/>
      <c r="AG4184" s="37"/>
      <c r="AH4184" s="37"/>
      <c r="AI4184" s="37"/>
      <c r="AJ4184" s="37"/>
      <c r="AK4184" s="37"/>
      <c r="AL4184" s="37"/>
      <c r="AM4184" s="37"/>
      <c r="AN4184" s="37"/>
      <c r="AO4184" s="37"/>
      <c r="AP4184" s="37"/>
      <c r="AQ4184" s="37"/>
      <c r="AR4184" s="37"/>
      <c r="AS4184" s="37"/>
      <c r="AT4184" s="37"/>
      <c r="AU4184" s="37"/>
      <c r="AV4184" s="37"/>
      <c r="AW4184" s="37"/>
      <c r="AX4184" s="37"/>
      <c r="AY4184" s="37"/>
      <c r="AZ4184" s="37"/>
      <c r="BA4184" s="37"/>
      <c r="BB4184" s="37"/>
      <c r="BC4184" s="37"/>
      <c r="BD4184" s="37"/>
      <c r="BE4184" s="37"/>
      <c r="BF4184" s="37"/>
      <c r="BG4184" s="37"/>
      <c r="BH4184" s="37"/>
      <c r="BI4184" s="37"/>
      <c r="BJ4184" s="37"/>
      <c r="BK4184" s="37"/>
      <c r="BL4184" s="37"/>
      <c r="BM4184" s="37"/>
    </row>
    <row r="4185" spans="1:65" s="40" customFormat="1" ht="21" x14ac:dyDescent="0.35">
      <c r="A4185" s="37"/>
      <c r="B4185" s="37"/>
      <c r="C4185" s="41"/>
      <c r="D4185" s="38"/>
      <c r="E4185" s="38"/>
      <c r="F4185" s="42"/>
      <c r="G4185" s="43"/>
      <c r="H4185" s="37"/>
      <c r="I4185" s="37"/>
      <c r="J4185" s="38"/>
      <c r="K4185" s="37"/>
      <c r="L4185" s="38"/>
      <c r="M4185" s="39"/>
      <c r="P4185" s="37"/>
      <c r="Q4185" s="37"/>
      <c r="R4185" s="37"/>
      <c r="S4185" s="37"/>
      <c r="T4185" s="37"/>
      <c r="U4185" s="37"/>
      <c r="V4185" s="37"/>
      <c r="W4185" s="37"/>
      <c r="X4185" s="37"/>
      <c r="Y4185" s="37"/>
      <c r="Z4185" s="37"/>
      <c r="AA4185" s="37"/>
      <c r="AB4185" s="37"/>
      <c r="AC4185" s="37"/>
      <c r="AD4185" s="37"/>
      <c r="AE4185" s="37"/>
      <c r="AF4185" s="37"/>
      <c r="AG4185" s="37"/>
      <c r="AH4185" s="37"/>
      <c r="AI4185" s="37"/>
      <c r="AJ4185" s="37"/>
      <c r="AK4185" s="37"/>
      <c r="AL4185" s="37"/>
      <c r="AM4185" s="37"/>
      <c r="AN4185" s="37"/>
      <c r="AO4185" s="37"/>
      <c r="AP4185" s="37"/>
      <c r="AQ4185" s="37"/>
      <c r="AR4185" s="37"/>
      <c r="AS4185" s="37"/>
      <c r="AT4185" s="37"/>
      <c r="AU4185" s="37"/>
      <c r="AV4185" s="37"/>
      <c r="AW4185" s="37"/>
      <c r="AX4185" s="37"/>
      <c r="AY4185" s="37"/>
      <c r="AZ4185" s="37"/>
      <c r="BA4185" s="37"/>
      <c r="BB4185" s="37"/>
      <c r="BC4185" s="37"/>
      <c r="BD4185" s="37"/>
      <c r="BE4185" s="37"/>
      <c r="BF4185" s="37"/>
      <c r="BG4185" s="37"/>
      <c r="BH4185" s="37"/>
      <c r="BI4185" s="37"/>
      <c r="BJ4185" s="37"/>
      <c r="BK4185" s="37"/>
      <c r="BL4185" s="37"/>
      <c r="BM4185" s="37"/>
    </row>
    <row r="4186" spans="1:65" s="40" customFormat="1" ht="21" x14ac:dyDescent="0.35">
      <c r="A4186" s="37"/>
      <c r="B4186" s="37"/>
      <c r="C4186" s="41"/>
      <c r="D4186" s="38"/>
      <c r="E4186" s="38"/>
      <c r="F4186" s="42"/>
      <c r="G4186" s="43"/>
      <c r="H4186" s="37"/>
      <c r="I4186" s="37"/>
      <c r="J4186" s="38"/>
      <c r="K4186" s="37"/>
      <c r="L4186" s="38"/>
      <c r="M4186" s="39"/>
      <c r="P4186" s="37"/>
      <c r="Q4186" s="37"/>
      <c r="R4186" s="37"/>
      <c r="S4186" s="37"/>
      <c r="T4186" s="37"/>
      <c r="U4186" s="37"/>
      <c r="V4186" s="37"/>
      <c r="W4186" s="37"/>
      <c r="X4186" s="37"/>
      <c r="Y4186" s="37"/>
      <c r="Z4186" s="37"/>
      <c r="AA4186" s="37"/>
      <c r="AB4186" s="37"/>
      <c r="AC4186" s="37"/>
      <c r="AD4186" s="37"/>
      <c r="AE4186" s="37"/>
      <c r="AF4186" s="37"/>
      <c r="AG4186" s="37"/>
      <c r="AH4186" s="37"/>
      <c r="AI4186" s="37"/>
      <c r="AJ4186" s="37"/>
      <c r="AK4186" s="37"/>
      <c r="AL4186" s="37"/>
      <c r="AM4186" s="37"/>
      <c r="AN4186" s="37"/>
      <c r="AO4186" s="37"/>
      <c r="AP4186" s="37"/>
      <c r="AQ4186" s="37"/>
      <c r="AR4186" s="37"/>
      <c r="AS4186" s="37"/>
      <c r="AT4186" s="37"/>
      <c r="AU4186" s="37"/>
      <c r="AV4186" s="37"/>
      <c r="AW4186" s="37"/>
      <c r="AX4186" s="37"/>
      <c r="AY4186" s="37"/>
      <c r="AZ4186" s="37"/>
      <c r="BA4186" s="37"/>
      <c r="BB4186" s="37"/>
      <c r="BC4186" s="37"/>
      <c r="BD4186" s="37"/>
      <c r="BE4186" s="37"/>
      <c r="BF4186" s="37"/>
      <c r="BG4186" s="37"/>
      <c r="BH4186" s="37"/>
      <c r="BI4186" s="37"/>
      <c r="BJ4186" s="37"/>
      <c r="BK4186" s="37"/>
      <c r="BL4186" s="37"/>
      <c r="BM4186" s="37"/>
    </row>
    <row r="4187" spans="1:65" s="40" customFormat="1" ht="21" x14ac:dyDescent="0.35">
      <c r="A4187" s="37"/>
      <c r="B4187" s="37"/>
      <c r="C4187" s="41"/>
      <c r="D4187" s="38"/>
      <c r="E4187" s="38"/>
      <c r="F4187" s="42"/>
      <c r="G4187" s="43"/>
      <c r="H4187" s="37"/>
      <c r="I4187" s="37"/>
      <c r="J4187" s="38"/>
      <c r="K4187" s="37"/>
      <c r="L4187" s="38"/>
      <c r="M4187" s="39"/>
      <c r="P4187" s="37"/>
      <c r="Q4187" s="37"/>
      <c r="R4187" s="37"/>
      <c r="S4187" s="37"/>
      <c r="T4187" s="37"/>
      <c r="U4187" s="37"/>
      <c r="V4187" s="37"/>
      <c r="W4187" s="37"/>
      <c r="X4187" s="37"/>
      <c r="Y4187" s="37"/>
      <c r="Z4187" s="37"/>
      <c r="AA4187" s="37"/>
      <c r="AB4187" s="37"/>
      <c r="AC4187" s="37"/>
      <c r="AD4187" s="37"/>
      <c r="AE4187" s="37"/>
      <c r="AF4187" s="37"/>
      <c r="AG4187" s="37"/>
      <c r="AH4187" s="37"/>
      <c r="AI4187" s="37"/>
      <c r="AJ4187" s="37"/>
      <c r="AK4187" s="37"/>
      <c r="AL4187" s="37"/>
      <c r="AM4187" s="37"/>
      <c r="AN4187" s="37"/>
      <c r="AO4187" s="37"/>
      <c r="AP4187" s="37"/>
      <c r="AQ4187" s="37"/>
      <c r="AR4187" s="37"/>
      <c r="AS4187" s="37"/>
      <c r="AT4187" s="37"/>
      <c r="AU4187" s="37"/>
      <c r="AV4187" s="37"/>
      <c r="AW4187" s="37"/>
      <c r="AX4187" s="37"/>
      <c r="AY4187" s="37"/>
      <c r="AZ4187" s="37"/>
      <c r="BA4187" s="37"/>
      <c r="BB4187" s="37"/>
      <c r="BC4187" s="37"/>
      <c r="BD4187" s="37"/>
      <c r="BE4187" s="37"/>
      <c r="BF4187" s="37"/>
      <c r="BG4187" s="37"/>
      <c r="BH4187" s="37"/>
      <c r="BI4187" s="37"/>
      <c r="BJ4187" s="37"/>
      <c r="BK4187" s="37"/>
      <c r="BL4187" s="37"/>
      <c r="BM4187" s="37"/>
    </row>
    <row r="4188" spans="1:65" s="40" customFormat="1" ht="21" x14ac:dyDescent="0.35">
      <c r="A4188" s="37"/>
      <c r="B4188" s="37"/>
      <c r="C4188" s="41"/>
      <c r="D4188" s="38"/>
      <c r="E4188" s="38"/>
      <c r="F4188" s="42"/>
      <c r="G4188" s="43"/>
      <c r="H4188" s="37"/>
      <c r="I4188" s="37"/>
      <c r="J4188" s="38"/>
      <c r="K4188" s="37"/>
      <c r="L4188" s="38"/>
      <c r="M4188" s="39"/>
      <c r="P4188" s="37"/>
      <c r="Q4188" s="37"/>
      <c r="R4188" s="37"/>
      <c r="S4188" s="37"/>
      <c r="T4188" s="37"/>
      <c r="U4188" s="37"/>
      <c r="V4188" s="37"/>
      <c r="W4188" s="37"/>
      <c r="X4188" s="37"/>
      <c r="Y4188" s="37"/>
      <c r="Z4188" s="37"/>
      <c r="AA4188" s="37"/>
      <c r="AB4188" s="37"/>
      <c r="AC4188" s="37"/>
      <c r="AD4188" s="37"/>
      <c r="AE4188" s="37"/>
      <c r="AF4188" s="37"/>
      <c r="AG4188" s="37"/>
      <c r="AH4188" s="37"/>
      <c r="AI4188" s="37"/>
      <c r="AJ4188" s="37"/>
      <c r="AK4188" s="37"/>
      <c r="AL4188" s="37"/>
      <c r="AM4188" s="37"/>
      <c r="AN4188" s="37"/>
      <c r="AO4188" s="37"/>
      <c r="AP4188" s="37"/>
      <c r="AQ4188" s="37"/>
      <c r="AR4188" s="37"/>
      <c r="AS4188" s="37"/>
      <c r="AT4188" s="37"/>
      <c r="AU4188" s="37"/>
      <c r="AV4188" s="37"/>
      <c r="AW4188" s="37"/>
      <c r="AX4188" s="37"/>
      <c r="AY4188" s="37"/>
      <c r="AZ4188" s="37"/>
      <c r="BA4188" s="37"/>
      <c r="BB4188" s="37"/>
      <c r="BC4188" s="37"/>
      <c r="BD4188" s="37"/>
      <c r="BE4188" s="37"/>
      <c r="BF4188" s="37"/>
      <c r="BG4188" s="37"/>
      <c r="BH4188" s="37"/>
      <c r="BI4188" s="37"/>
      <c r="BJ4188" s="37"/>
      <c r="BK4188" s="37"/>
      <c r="BL4188" s="37"/>
      <c r="BM4188" s="37"/>
    </row>
    <row r="4189" spans="1:65" s="40" customFormat="1" ht="21" x14ac:dyDescent="0.35">
      <c r="A4189" s="37"/>
      <c r="B4189" s="37"/>
      <c r="C4189" s="41"/>
      <c r="D4189" s="38"/>
      <c r="E4189" s="38"/>
      <c r="F4189" s="42"/>
      <c r="G4189" s="43"/>
      <c r="H4189" s="37"/>
      <c r="I4189" s="37"/>
      <c r="J4189" s="38"/>
      <c r="K4189" s="37"/>
      <c r="L4189" s="38"/>
      <c r="M4189" s="39"/>
      <c r="P4189" s="37"/>
      <c r="Q4189" s="37"/>
      <c r="R4189" s="37"/>
      <c r="S4189" s="37"/>
      <c r="T4189" s="37"/>
      <c r="U4189" s="37"/>
      <c r="V4189" s="37"/>
      <c r="W4189" s="37"/>
      <c r="X4189" s="37"/>
      <c r="Y4189" s="37"/>
      <c r="Z4189" s="37"/>
      <c r="AA4189" s="37"/>
      <c r="AB4189" s="37"/>
      <c r="AC4189" s="37"/>
      <c r="AD4189" s="37"/>
      <c r="AE4189" s="37"/>
      <c r="AF4189" s="37"/>
      <c r="AG4189" s="37"/>
      <c r="AH4189" s="37"/>
      <c r="AI4189" s="37"/>
      <c r="AJ4189" s="37"/>
      <c r="AK4189" s="37"/>
      <c r="AL4189" s="37"/>
      <c r="AM4189" s="37"/>
      <c r="AN4189" s="37"/>
      <c r="AO4189" s="37"/>
      <c r="AP4189" s="37"/>
      <c r="AQ4189" s="37"/>
      <c r="AR4189" s="37"/>
      <c r="AS4189" s="37"/>
      <c r="AT4189" s="37"/>
      <c r="AU4189" s="37"/>
      <c r="AV4189" s="37"/>
      <c r="AW4189" s="37"/>
      <c r="AX4189" s="37"/>
      <c r="AY4189" s="37"/>
      <c r="AZ4189" s="37"/>
      <c r="BA4189" s="37"/>
      <c r="BB4189" s="37"/>
      <c r="BC4189" s="37"/>
      <c r="BD4189" s="37"/>
      <c r="BE4189" s="37"/>
      <c r="BF4189" s="37"/>
      <c r="BG4189" s="37"/>
      <c r="BH4189" s="37"/>
      <c r="BI4189" s="37"/>
      <c r="BJ4189" s="37"/>
      <c r="BK4189" s="37"/>
      <c r="BL4189" s="37"/>
      <c r="BM4189" s="37"/>
    </row>
    <row r="4190" spans="1:65" s="40" customFormat="1" ht="21" x14ac:dyDescent="0.35">
      <c r="A4190" s="37"/>
      <c r="B4190" s="37"/>
      <c r="C4190" s="41"/>
      <c r="D4190" s="38"/>
      <c r="E4190" s="38"/>
      <c r="F4190" s="42"/>
      <c r="G4190" s="43"/>
      <c r="H4190" s="37"/>
      <c r="I4190" s="37"/>
      <c r="J4190" s="38"/>
      <c r="K4190" s="37"/>
      <c r="L4190" s="38"/>
      <c r="M4190" s="39"/>
      <c r="P4190" s="37"/>
      <c r="Q4190" s="37"/>
      <c r="R4190" s="37"/>
      <c r="S4190" s="37"/>
      <c r="T4190" s="37"/>
      <c r="U4190" s="37"/>
      <c r="V4190" s="37"/>
      <c r="W4190" s="37"/>
      <c r="X4190" s="37"/>
      <c r="Y4190" s="37"/>
      <c r="Z4190" s="37"/>
      <c r="AA4190" s="37"/>
      <c r="AB4190" s="37"/>
      <c r="AC4190" s="37"/>
      <c r="AD4190" s="37"/>
      <c r="AE4190" s="37"/>
      <c r="AF4190" s="37"/>
      <c r="AG4190" s="37"/>
      <c r="AH4190" s="37"/>
      <c r="AI4190" s="37"/>
      <c r="AJ4190" s="37"/>
      <c r="AK4190" s="37"/>
      <c r="AL4190" s="37"/>
      <c r="AM4190" s="37"/>
      <c r="AN4190" s="37"/>
      <c r="AO4190" s="37"/>
      <c r="AP4190" s="37"/>
      <c r="AQ4190" s="37"/>
      <c r="AR4190" s="37"/>
      <c r="AS4190" s="37"/>
      <c r="AT4190" s="37"/>
      <c r="AU4190" s="37"/>
      <c r="AV4190" s="37"/>
      <c r="AW4190" s="37"/>
      <c r="AX4190" s="37"/>
      <c r="AY4190" s="37"/>
      <c r="AZ4190" s="37"/>
      <c r="BA4190" s="37"/>
      <c r="BB4190" s="37"/>
      <c r="BC4190" s="37"/>
      <c r="BD4190" s="37"/>
      <c r="BE4190" s="37"/>
      <c r="BF4190" s="37"/>
      <c r="BG4190" s="37"/>
      <c r="BH4190" s="37"/>
      <c r="BI4190" s="37"/>
      <c r="BJ4190" s="37"/>
      <c r="BK4190" s="37"/>
      <c r="BL4190" s="37"/>
      <c r="BM4190" s="37"/>
    </row>
    <row r="4191" spans="1:65" s="40" customFormat="1" ht="21" x14ac:dyDescent="0.35">
      <c r="A4191" s="37"/>
      <c r="B4191" s="37"/>
      <c r="C4191" s="41"/>
      <c r="D4191" s="38"/>
      <c r="E4191" s="38"/>
      <c r="F4191" s="42"/>
      <c r="G4191" s="43"/>
      <c r="H4191" s="37"/>
      <c r="I4191" s="37"/>
      <c r="J4191" s="38"/>
      <c r="K4191" s="37"/>
      <c r="L4191" s="38"/>
      <c r="M4191" s="39"/>
      <c r="P4191" s="37"/>
      <c r="Q4191" s="37"/>
      <c r="R4191" s="37"/>
      <c r="S4191" s="37"/>
      <c r="T4191" s="37"/>
      <c r="U4191" s="37"/>
      <c r="V4191" s="37"/>
      <c r="W4191" s="37"/>
      <c r="X4191" s="37"/>
      <c r="Y4191" s="37"/>
      <c r="Z4191" s="37"/>
      <c r="AA4191" s="37"/>
      <c r="AB4191" s="37"/>
      <c r="AC4191" s="37"/>
      <c r="AD4191" s="37"/>
      <c r="AE4191" s="37"/>
      <c r="AF4191" s="37"/>
      <c r="AG4191" s="37"/>
      <c r="AH4191" s="37"/>
      <c r="AI4191" s="37"/>
      <c r="AJ4191" s="37"/>
      <c r="AK4191" s="37"/>
      <c r="AL4191" s="37"/>
      <c r="AM4191" s="37"/>
      <c r="AN4191" s="37"/>
      <c r="AO4191" s="37"/>
      <c r="AP4191" s="37"/>
      <c r="AQ4191" s="37"/>
      <c r="AR4191" s="37"/>
      <c r="AS4191" s="37"/>
      <c r="AT4191" s="37"/>
      <c r="AU4191" s="37"/>
      <c r="AV4191" s="37"/>
      <c r="AW4191" s="37"/>
      <c r="AX4191" s="37"/>
      <c r="AY4191" s="37"/>
      <c r="AZ4191" s="37"/>
      <c r="BA4191" s="37"/>
      <c r="BB4191" s="37"/>
      <c r="BC4191" s="37"/>
      <c r="BD4191" s="37"/>
      <c r="BE4191" s="37"/>
      <c r="BF4191" s="37"/>
      <c r="BG4191" s="37"/>
      <c r="BH4191" s="37"/>
      <c r="BI4191" s="37"/>
      <c r="BJ4191" s="37"/>
      <c r="BK4191" s="37"/>
      <c r="BL4191" s="37"/>
      <c r="BM4191" s="37"/>
    </row>
    <row r="4192" spans="1:65" s="40" customFormat="1" ht="21" x14ac:dyDescent="0.35">
      <c r="A4192" s="37"/>
      <c r="B4192" s="37"/>
      <c r="C4192" s="41"/>
      <c r="D4192" s="38"/>
      <c r="E4192" s="38"/>
      <c r="F4192" s="42"/>
      <c r="G4192" s="43"/>
      <c r="H4192" s="37"/>
      <c r="I4192" s="37"/>
      <c r="J4192" s="38"/>
      <c r="K4192" s="37"/>
      <c r="L4192" s="38"/>
      <c r="M4192" s="39"/>
      <c r="P4192" s="37"/>
      <c r="Q4192" s="37"/>
      <c r="R4192" s="37"/>
      <c r="S4192" s="37"/>
      <c r="T4192" s="37"/>
      <c r="U4192" s="37"/>
      <c r="V4192" s="37"/>
      <c r="W4192" s="37"/>
      <c r="X4192" s="37"/>
      <c r="Y4192" s="37"/>
      <c r="Z4192" s="37"/>
      <c r="AA4192" s="37"/>
      <c r="AB4192" s="37"/>
      <c r="AC4192" s="37"/>
      <c r="AD4192" s="37"/>
      <c r="AE4192" s="37"/>
      <c r="AF4192" s="37"/>
      <c r="AG4192" s="37"/>
      <c r="AH4192" s="37"/>
      <c r="AI4192" s="37"/>
      <c r="AJ4192" s="37"/>
      <c r="AK4192" s="37"/>
      <c r="AL4192" s="37"/>
      <c r="AM4192" s="37"/>
      <c r="AN4192" s="37"/>
      <c r="AO4192" s="37"/>
      <c r="AP4192" s="37"/>
      <c r="AQ4192" s="37"/>
      <c r="AR4192" s="37"/>
      <c r="AS4192" s="37"/>
      <c r="AT4192" s="37"/>
      <c r="AU4192" s="37"/>
      <c r="AV4192" s="37"/>
      <c r="AW4192" s="37"/>
      <c r="AX4192" s="37"/>
      <c r="AY4192" s="37"/>
      <c r="AZ4192" s="37"/>
      <c r="BA4192" s="37"/>
      <c r="BB4192" s="37"/>
      <c r="BC4192" s="37"/>
      <c r="BD4192" s="37"/>
      <c r="BE4192" s="37"/>
      <c r="BF4192" s="37"/>
      <c r="BG4192" s="37"/>
      <c r="BH4192" s="37"/>
      <c r="BI4192" s="37"/>
      <c r="BJ4192" s="37"/>
      <c r="BK4192" s="37"/>
      <c r="BL4192" s="37"/>
      <c r="BM4192" s="37"/>
    </row>
    <row r="4193" spans="1:65" s="40" customFormat="1" ht="21" x14ac:dyDescent="0.35">
      <c r="A4193" s="37"/>
      <c r="B4193" s="37"/>
      <c r="C4193" s="41"/>
      <c r="D4193" s="38"/>
      <c r="E4193" s="38"/>
      <c r="F4193" s="42"/>
      <c r="G4193" s="43"/>
      <c r="H4193" s="37"/>
      <c r="I4193" s="37"/>
      <c r="J4193" s="38"/>
      <c r="K4193" s="37"/>
      <c r="L4193" s="38"/>
      <c r="M4193" s="39"/>
      <c r="P4193" s="37"/>
      <c r="Q4193" s="37"/>
      <c r="R4193" s="37"/>
      <c r="S4193" s="37"/>
      <c r="T4193" s="37"/>
      <c r="U4193" s="37"/>
      <c r="V4193" s="37"/>
      <c r="W4193" s="37"/>
      <c r="X4193" s="37"/>
      <c r="Y4193" s="37"/>
      <c r="Z4193" s="37"/>
      <c r="AA4193" s="37"/>
      <c r="AB4193" s="37"/>
      <c r="AC4193" s="37"/>
      <c r="AD4193" s="37"/>
      <c r="AE4193" s="37"/>
      <c r="AF4193" s="37"/>
      <c r="AG4193" s="37"/>
      <c r="AH4193" s="37"/>
      <c r="AI4193" s="37"/>
      <c r="AJ4193" s="37"/>
      <c r="AK4193" s="37"/>
      <c r="AL4193" s="37"/>
      <c r="AM4193" s="37"/>
      <c r="AN4193" s="37"/>
      <c r="AO4193" s="37"/>
      <c r="AP4193" s="37"/>
      <c r="AQ4193" s="37"/>
      <c r="AR4193" s="37"/>
      <c r="AS4193" s="37"/>
      <c r="AT4193" s="37"/>
      <c r="AU4193" s="37"/>
      <c r="AV4193" s="37"/>
      <c r="AW4193" s="37"/>
      <c r="AX4193" s="37"/>
      <c r="AY4193" s="37"/>
      <c r="AZ4193" s="37"/>
      <c r="BA4193" s="37"/>
      <c r="BB4193" s="37"/>
      <c r="BC4193" s="37"/>
      <c r="BD4193" s="37"/>
      <c r="BE4193" s="37"/>
      <c r="BF4193" s="37"/>
      <c r="BG4193" s="37"/>
      <c r="BH4193" s="37"/>
      <c r="BI4193" s="37"/>
      <c r="BJ4193" s="37"/>
      <c r="BK4193" s="37"/>
      <c r="BL4193" s="37"/>
      <c r="BM4193" s="37"/>
    </row>
    <row r="4194" spans="1:65" s="40" customFormat="1" ht="21" x14ac:dyDescent="0.35">
      <c r="A4194" s="37"/>
      <c r="B4194" s="37"/>
      <c r="C4194" s="41"/>
      <c r="D4194" s="38"/>
      <c r="E4194" s="38"/>
      <c r="F4194" s="42"/>
      <c r="G4194" s="43"/>
      <c r="H4194" s="37"/>
      <c r="I4194" s="37"/>
      <c r="J4194" s="38"/>
      <c r="K4194" s="37"/>
      <c r="L4194" s="38"/>
      <c r="M4194" s="39"/>
      <c r="P4194" s="37"/>
      <c r="Q4194" s="37"/>
      <c r="R4194" s="37"/>
      <c r="S4194" s="37"/>
      <c r="T4194" s="37"/>
      <c r="U4194" s="37"/>
      <c r="V4194" s="37"/>
      <c r="W4194" s="37"/>
      <c r="X4194" s="37"/>
      <c r="Y4194" s="37"/>
      <c r="Z4194" s="37"/>
      <c r="AA4194" s="37"/>
      <c r="AB4194" s="37"/>
      <c r="AC4194" s="37"/>
      <c r="AD4194" s="37"/>
      <c r="AE4194" s="37"/>
      <c r="AF4194" s="37"/>
      <c r="AG4194" s="37"/>
      <c r="AH4194" s="37"/>
      <c r="AI4194" s="37"/>
      <c r="AJ4194" s="37"/>
      <c r="AK4194" s="37"/>
      <c r="AL4194" s="37"/>
      <c r="AM4194" s="37"/>
      <c r="AN4194" s="37"/>
      <c r="AO4194" s="37"/>
      <c r="AP4194" s="37"/>
      <c r="AQ4194" s="37"/>
      <c r="AR4194" s="37"/>
      <c r="AS4194" s="37"/>
      <c r="AT4194" s="37"/>
      <c r="AU4194" s="37"/>
      <c r="AV4194" s="37"/>
      <c r="AW4194" s="37"/>
      <c r="AX4194" s="37"/>
      <c r="AY4194" s="37"/>
      <c r="AZ4194" s="37"/>
      <c r="BA4194" s="37"/>
      <c r="BB4194" s="37"/>
      <c r="BC4194" s="37"/>
      <c r="BD4194" s="37"/>
      <c r="BE4194" s="37"/>
      <c r="BF4194" s="37"/>
      <c r="BG4194" s="37"/>
      <c r="BH4194" s="37"/>
      <c r="BI4194" s="37"/>
      <c r="BJ4194" s="37"/>
      <c r="BK4194" s="37"/>
      <c r="BL4194" s="37"/>
      <c r="BM4194" s="37"/>
    </row>
    <row r="4195" spans="1:65" s="40" customFormat="1" ht="21" x14ac:dyDescent="0.35">
      <c r="A4195" s="37"/>
      <c r="B4195" s="37"/>
      <c r="C4195" s="41"/>
      <c r="D4195" s="38"/>
      <c r="E4195" s="38"/>
      <c r="F4195" s="42"/>
      <c r="G4195" s="43"/>
      <c r="H4195" s="37"/>
      <c r="I4195" s="37"/>
      <c r="J4195" s="38"/>
      <c r="K4195" s="37"/>
      <c r="L4195" s="38"/>
      <c r="M4195" s="39"/>
      <c r="P4195" s="37"/>
      <c r="Q4195" s="37"/>
      <c r="R4195" s="37"/>
      <c r="S4195" s="37"/>
      <c r="T4195" s="37"/>
      <c r="U4195" s="37"/>
      <c r="V4195" s="37"/>
      <c r="W4195" s="37"/>
      <c r="X4195" s="37"/>
      <c r="Y4195" s="37"/>
      <c r="Z4195" s="37"/>
      <c r="AA4195" s="37"/>
      <c r="AB4195" s="37"/>
      <c r="AC4195" s="37"/>
      <c r="AD4195" s="37"/>
      <c r="AE4195" s="37"/>
      <c r="AF4195" s="37"/>
      <c r="AG4195" s="37"/>
      <c r="AH4195" s="37"/>
      <c r="AI4195" s="37"/>
      <c r="AJ4195" s="37"/>
      <c r="AK4195" s="37"/>
      <c r="AL4195" s="37"/>
      <c r="AM4195" s="37"/>
      <c r="AN4195" s="37"/>
      <c r="AO4195" s="37"/>
      <c r="AP4195" s="37"/>
      <c r="AQ4195" s="37"/>
      <c r="AR4195" s="37"/>
      <c r="AS4195" s="37"/>
      <c r="AT4195" s="37"/>
      <c r="AU4195" s="37"/>
      <c r="AV4195" s="37"/>
      <c r="AW4195" s="37"/>
      <c r="AX4195" s="37"/>
      <c r="AY4195" s="37"/>
      <c r="AZ4195" s="37"/>
      <c r="BA4195" s="37"/>
      <c r="BB4195" s="37"/>
      <c r="BC4195" s="37"/>
      <c r="BD4195" s="37"/>
      <c r="BE4195" s="37"/>
      <c r="BF4195" s="37"/>
      <c r="BG4195" s="37"/>
      <c r="BH4195" s="37"/>
      <c r="BI4195" s="37"/>
      <c r="BJ4195" s="37"/>
      <c r="BK4195" s="37"/>
      <c r="BL4195" s="37"/>
      <c r="BM4195" s="37"/>
    </row>
    <row r="4196" spans="1:65" s="40" customFormat="1" ht="21" x14ac:dyDescent="0.35">
      <c r="A4196" s="37"/>
      <c r="B4196" s="37"/>
      <c r="C4196" s="41"/>
      <c r="D4196" s="38"/>
      <c r="E4196" s="38"/>
      <c r="F4196" s="42"/>
      <c r="G4196" s="43"/>
      <c r="H4196" s="37"/>
      <c r="I4196" s="37"/>
      <c r="J4196" s="38"/>
      <c r="K4196" s="37"/>
      <c r="L4196" s="38"/>
      <c r="M4196" s="39"/>
      <c r="P4196" s="37"/>
      <c r="Q4196" s="37"/>
      <c r="R4196" s="37"/>
      <c r="S4196" s="37"/>
      <c r="T4196" s="37"/>
      <c r="U4196" s="37"/>
      <c r="V4196" s="37"/>
      <c r="W4196" s="37"/>
      <c r="X4196" s="37"/>
      <c r="Y4196" s="37"/>
      <c r="Z4196" s="37"/>
      <c r="AA4196" s="37"/>
      <c r="AB4196" s="37"/>
      <c r="AC4196" s="37"/>
      <c r="AD4196" s="37"/>
      <c r="AE4196" s="37"/>
      <c r="AF4196" s="37"/>
      <c r="AG4196" s="37"/>
      <c r="AH4196" s="37"/>
      <c r="AI4196" s="37"/>
      <c r="AJ4196" s="37"/>
      <c r="AK4196" s="37"/>
      <c r="AL4196" s="37"/>
      <c r="AM4196" s="37"/>
      <c r="AN4196" s="37"/>
      <c r="AO4196" s="37"/>
      <c r="AP4196" s="37"/>
      <c r="AQ4196" s="37"/>
      <c r="AR4196" s="37"/>
      <c r="AS4196" s="37"/>
      <c r="AT4196" s="37"/>
      <c r="AU4196" s="37"/>
      <c r="AV4196" s="37"/>
      <c r="AW4196" s="37"/>
      <c r="AX4196" s="37"/>
      <c r="AY4196" s="37"/>
      <c r="AZ4196" s="37"/>
      <c r="BA4196" s="37"/>
      <c r="BB4196" s="37"/>
      <c r="BC4196" s="37"/>
      <c r="BD4196" s="37"/>
      <c r="BE4196" s="37"/>
      <c r="BF4196" s="37"/>
      <c r="BG4196" s="37"/>
      <c r="BH4196" s="37"/>
      <c r="BI4196" s="37"/>
      <c r="BJ4196" s="37"/>
      <c r="BK4196" s="37"/>
      <c r="BL4196" s="37"/>
      <c r="BM4196" s="37"/>
    </row>
    <row r="4197" spans="1:65" s="40" customFormat="1" ht="21" x14ac:dyDescent="0.35">
      <c r="A4197" s="37"/>
      <c r="B4197" s="37"/>
      <c r="C4197" s="41"/>
      <c r="D4197" s="38"/>
      <c r="E4197" s="38"/>
      <c r="F4197" s="42"/>
      <c r="G4197" s="43"/>
      <c r="H4197" s="37"/>
      <c r="I4197" s="1"/>
      <c r="J4197" s="9"/>
      <c r="K4197" s="1"/>
      <c r="L4197" s="38"/>
      <c r="M4197" s="39"/>
      <c r="P4197" s="37"/>
      <c r="Q4197" s="37"/>
      <c r="R4197" s="37"/>
      <c r="S4197" s="37"/>
      <c r="T4197" s="37"/>
      <c r="U4197" s="37"/>
      <c r="V4197" s="37"/>
      <c r="W4197" s="37"/>
      <c r="X4197" s="37"/>
      <c r="Y4197" s="37"/>
      <c r="Z4197" s="37"/>
      <c r="AA4197" s="37"/>
      <c r="AB4197" s="37"/>
      <c r="AC4197" s="37"/>
      <c r="AD4197" s="37"/>
      <c r="AE4197" s="37"/>
      <c r="AF4197" s="37"/>
      <c r="AG4197" s="37"/>
      <c r="AH4197" s="37"/>
      <c r="AI4197" s="37"/>
      <c r="AJ4197" s="37"/>
      <c r="AK4197" s="37"/>
      <c r="AL4197" s="37"/>
      <c r="AM4197" s="37"/>
      <c r="AN4197" s="37"/>
      <c r="AO4197" s="37"/>
      <c r="AP4197" s="37"/>
      <c r="AQ4197" s="37"/>
      <c r="AR4197" s="37"/>
      <c r="AS4197" s="37"/>
      <c r="AT4197" s="37"/>
      <c r="AU4197" s="37"/>
      <c r="AV4197" s="37"/>
      <c r="AW4197" s="37"/>
      <c r="AX4197" s="37"/>
      <c r="AY4197" s="37"/>
      <c r="AZ4197" s="37"/>
      <c r="BA4197" s="37"/>
      <c r="BB4197" s="37"/>
      <c r="BC4197" s="37"/>
      <c r="BD4197" s="37"/>
      <c r="BE4197" s="37"/>
      <c r="BF4197" s="37"/>
      <c r="BG4197" s="37"/>
      <c r="BH4197" s="37"/>
      <c r="BI4197" s="37"/>
      <c r="BJ4197" s="37"/>
      <c r="BK4197" s="37"/>
      <c r="BL4197" s="37"/>
      <c r="BM4197" s="37"/>
    </row>
  </sheetData>
  <protectedRanges>
    <protectedRange algorithmName="SHA-512" hashValue="GhaxwUXcisEdNycdRnsWNNyvP8zNl8CO5vwQSew1HJYrL0aSHKbJrCk+4hbw5bjzhVJAtgIT1pRe59ADhoe/VQ==" saltValue="Mc1T/7zvwhOwhFcS6YPpBA==" spinCount="100000" sqref="J2:K2" name="Range1_1"/>
    <protectedRange algorithmName="SHA-512" hashValue="2j/fhS8yUVHVYEXmKCJEoLakPHMRgUceIxavEQ4q5SUg0v4LmVuHRf1gcH5FBU2QCb4niM24Mpu1kUHaMa+mHg==" saltValue="vj0/rZ1sdNcqruGRMRTbpQ==" spinCount="100000" sqref="N180:N181 K213 K232:K233 K242 K288 K327 K376:K377 K421:K422 K434:K435 K447:K448 K458:K459 K469:K470 K479:K480 K489:K490 K500:K501 K514:K515 K528:K529 K538:K539 K551:K552 K561:K562 K571:K572 K581:K582 K593:K594 K605:K606 K615:K616 K628:K629 K641:K644 K649 J650 M654 K651 K654 K656:K657 K662 K667 K670 K680 K688:K689 K696:K697 K706 K717:K718 K726:K727 K735 K744:K745 K753:K754 K762 K771 K780:K781 K789 K798 K809:K810 K819 K830 K842:K843 K851 N207:N208 N236:N237 K385 K398 K407 K417" name="Range2_1_1_4_1_2_1_2"/>
    <protectedRange algorithmName="SHA-512" hashValue="2j/fhS8yUVHVYEXmKCJEoLakPHMRgUceIxavEQ4q5SUg0v4LmVuHRf1gcH5FBU2QCb4niM24Mpu1kUHaMa+mHg==" saltValue="vj0/rZ1sdNcqruGRMRTbpQ==" spinCount="100000" sqref="N186 K278 K429 K477 K487 K508 K522 K534 K558 K567 K578 K587 K611 K621 K636 K686:K687 K678:K679 K711 K724 K733 K740 K751 K760 K767 K769 K776 K778 K787 K795 K806 K816 K825:K826 K836:K837 K857:K858" name="Range2_1_1_4"/>
    <protectedRange algorithmName="SHA-512" hashValue="2j/fhS8yUVHVYEXmKCJEoLakPHMRgUceIxavEQ4q5SUg0v4LmVuHRf1gcH5FBU2QCb4niM24Mpu1kUHaMa+mHg==" saltValue="vj0/rZ1sdNcqruGRMRTbpQ==" spinCount="100000" sqref="K12" name="Range2_1_1_4_1_2_1_1_1"/>
    <protectedRange algorithmName="SHA-512" hashValue="2j/fhS8yUVHVYEXmKCJEoLakPHMRgUceIxavEQ4q5SUg0v4LmVuHRf1gcH5FBU2QCb4niM24Mpu1kUHaMa+mHg==" saltValue="vj0/rZ1sdNcqruGRMRTbpQ==" spinCount="100000" sqref="K3:K4 K95:K96 K13:K14 K74:K76 K46:K47" name="Range2_1_1_4_1_2_1_2_1"/>
    <protectedRange algorithmName="SHA-512" hashValue="2j/fhS8yUVHVYEXmKCJEoLakPHMRgUceIxavEQ4q5SUg0v4LmVuHRf1gcH5FBU2QCb4niM24Mpu1kUHaMa+mHg==" saltValue="vj0/rZ1sdNcqruGRMRTbpQ==" spinCount="100000" sqref="K22" name="Range2_1_2"/>
    <protectedRange algorithmName="SHA-512" hashValue="2j/fhS8yUVHVYEXmKCJEoLakPHMRgUceIxavEQ4q5SUg0v4LmVuHRf1gcH5FBU2QCb4niM24Mpu1kUHaMa+mHg==" saltValue="vj0/rZ1sdNcqruGRMRTbpQ==" spinCount="100000" sqref="K54 K63 K72 K83 K105 K113 K142 K173 K185:K186 K203 K212 K230 K241 K258 K268 K286 K296 K305 K315 K324 K345 K355 K386 K397 K408 K418" name="Range2_1_1_4_1"/>
    <protectedRange algorithmName="SHA-512" hashValue="2j/fhS8yUVHVYEXmKCJEoLakPHMRgUceIxavEQ4q5SUg0v4LmVuHRf1gcH5FBU2QCb4niM24Mpu1kUHaMa+mHg==" saltValue="vj0/rZ1sdNcqruGRMRTbpQ==" spinCount="100000" sqref="K82 K93 K123" name="Range2_1_1_1"/>
    <protectedRange algorithmName="SHA-512" hashValue="2j/fhS8yUVHVYEXmKCJEoLakPHMRgUceIxavEQ4q5SUg0v4LmVuHRf1gcH5FBU2QCb4niM24Mpu1kUHaMa+mHg==" saltValue="vj0/rZ1sdNcqruGRMRTbpQ==" spinCount="100000" sqref="K23 K35 K55 K64 K85 K97 K106 K115 K125:K126 K135 K146 K157 K166 K178 K187 K196 K205 K214 K223 K234 K243 K251 K261 K271 K279 K289 K298 K308 K317 K328 K338 K348 K358 K367 K378 K388 K400 K410" name="Range2_1_1_4_1_2_1_2_1_1"/>
    <protectedRange algorithmName="SHA-512" hashValue="2j/fhS8yUVHVYEXmKCJEoLakPHMRgUceIxavEQ4q5SUg0v4LmVuHRf1gcH5FBU2QCb4niM24Mpu1kUHaMa+mHg==" saltValue="vj0/rZ1sdNcqruGRMRTbpQ==" spinCount="100000" sqref="K29:K30 K41:K42 K44 K61:K62 K70 K91:K92 K103 K112 K121:K122 K132 K141 K152:K153 K163:K164 K172 K184 K202 K211 K229 K240 K257 K267 K285 K295 K304 K314 K323 K334 K344 K354 K364 K373 K384 K394 K406 K416" name="Range2_1_1_4_1_1"/>
  </protectedRanges>
  <customSheetViews>
    <customSheetView guid="{27845B34-279C-44A8-8AD1-89637F247940}" scale="85" showAutoFilter="1" hiddenRows="1" hiddenColumns="1">
      <pane ySplit="1" topLeftCell="A2" activePane="bottomLeft" state="frozen"/>
      <selection pane="bottomLeft" activeCell="A2" sqref="A2:XFD2"/>
      <pageMargins left="0.7" right="0.7" top="0.75" bottom="0.75" header="0.3" footer="0.3"/>
      <pageSetup orientation="portrait" r:id="rId1"/>
      <autoFilter ref="D1:D33"/>
    </customSheetView>
  </customSheetViews>
  <mergeCells count="1">
    <mergeCell ref="A1:K1"/>
  </mergeCells>
  <dataValidations count="4">
    <dataValidation type="list" allowBlank="1" showInputMessage="1" showErrorMessage="1" sqref="J698 J319 J310 J273 J236 M209 J198 J57 J66 J87 J99 J108 J117 J128 J137 J37 J159 J168 J180 J148 J25 J707 J719 J728 J737 J746 J755 J764 J773 J782 J791 J800 J811 J821 J832 M182 J844 J853 J189 J207 J216 J225 M238 J245 J253 J263 J281 J291 J300 J690 J337 J347 J340 J360 J369 J380 J390 J402 J423 J436 J449 J460 J471 J481 J491 J502 J516 J530 J540 J553 J563 J573 J583 J595 J607 J617 J630 J645 J663 J671 J681 J330 J350 J366 J412">
      <formula1>$J$25:$J$33</formula1>
    </dataValidation>
    <dataValidation type="whole" allowBlank="1" showInputMessage="1" showErrorMessage="1" sqref="C146 C298 C328">
      <formula1>10</formula1>
      <formula2>20</formula2>
    </dataValidation>
    <dataValidation type="list" allowBlank="1" showInputMessage="1" showErrorMessage="1" sqref="K22">
      <formula1>IF(#REF!="MAINTENANCE BREAKDOWN",MAINTENANCE_BREAKDOWN,IF(#REF!="CRANE DELAY",CRANE_DELAY,IF(#REF!="PACKAGING DELAY",PACKAGING_DELAY,IF(#REF!="OPERATION DELAY",OPERATION_DELAY,IF(#REF!="HR DELAY",HR_DELAY,IF(#REF!="SCRAP REMOVAL",SCRAP))))))</formula1>
    </dataValidation>
    <dataValidation type="list" allowBlank="1" showInputMessage="1" showErrorMessage="1" sqref="K82 K123 K93">
      <formula1>IF(#REF!="MAINTENANCE BREAKDOWN",MAINTENANCE_BREAKDOWN,IF(#REF!="CRANE DELAY",CRANE_DELAY,IF(#REF!="PACKAGING DELAY",PACKAGING_DELAY,IF(#REF!="OPERATION DELAY",OPERATION_DELAY,IF(#REF!="HR DELAY",HR_DELAY,IF(#REF!="SCRAP REMOVAL",SCRAP))))))</formula1>
    </dataValidation>
  </dataValidation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3">
        <x14:dataValidation type="list" allowBlank="1" showInputMessage="1" showErrorMessage="1">
          <x14:formula1>
            <xm:f>Sheet3!$F$4:$F$6</xm:f>
          </x14:formula1>
          <xm:sqref>M2 N4:N6 D723 D719:D721 D732 D728:D730 D750 D746:D748 D759 D755:D757 D782:D784 D811:D813 D844:D846 D702 AI7:AI12 D690:D692 D204:E204 D213:E213 D233:E233 D694 D645:D649 D278:E278 D698:D700 D335:E335 D347 D337 D366 D374:E374 D365:E365 D357 D408:D409 D398:D399 D423:D427 D436:D440 D449:D453 D460:D464 D471:D475 D481:D485 D491:D495 D502:D506 D516:D520 D530:D535 D540:D544 D553:D557 D563:D569 D573:D581 D583:D589 D595:D599 D607:D613 D617:D623 D634 D630:D632 D643 D316:E316 D306:E307</xm:sqref>
        </x14:dataValidation>
        <x14:dataValidation type="list" allowBlank="1" showInputMessage="1" showErrorMessage="1">
          <x14:formula1>
            <xm:f>Sheet3!$D$4:$D$9</xm:f>
          </x14:formula1>
          <xm:sqref>C213 C233 C204 C278</xm:sqref>
        </x14:dataValidation>
        <x14:dataValidation type="list" allowBlank="1" showInputMessage="1" showErrorMessage="1">
          <x14:formula1>
            <xm:f>Sheet3!$B$4:$B$6</xm:f>
          </x14:formula1>
          <xm:sqref>B233 B204 B213 B278</xm:sqref>
        </x14:dataValidation>
        <x14:dataValidation type="list" allowBlank="1" showInputMessage="1" showErrorMessage="1">
          <x14:formula1>
            <xm:f>'C:\Users\klnrwctl1\Desktop\CTL-1 DOCUMENT\[WCTL-1 DELAY REPORT JANUARY-26.xlsx]Sheet3'!#REF!</xm:f>
          </x14:formula1>
          <xm:sqref>B3 B12 B95</xm:sqref>
        </x14:dataValidation>
        <x14:dataValidation type="list" allowBlank="1" showInputMessage="1" showErrorMessage="1">
          <x14:formula1>
            <xm:f>Sheet3!$D$4:$D$13</xm:f>
          </x14:formula1>
          <xm:sqref>C727 C736 C745 C754 C763 C772 C781 C790 C799 C810 C820 C831 C843 C852 C718 C707 C232 C242 C697 C689 C681 C655 C327 C336 C346 C669 C663 C377 C661 C397 C407 C657:C659 C422 C435 C448 C459 C470 C480 C490 C501 C515 C529 C539 C552 C562 C594 C629 C642 C644 C652 C671</xm:sqref>
        </x14:dataValidation>
        <x14:dataValidation type="list" allowBlank="1" showInputMessage="1" showErrorMessage="1">
          <x14:formula1>
            <xm:f>'C:\Users\klnrwctl1\Desktop\[WCT-1 Delay Report-Dec23.xlsx]Sheet2'!#REF!</xm:f>
          </x14:formula1>
          <xm:sqref>K696:K697 K711 K706 K717:K718 K724 K726:K727 K733 K740 K735 K744:K745 K751 K753:K754 K760 K767 K762 K769 K776 K771 K778 K780:K781 K787 K795 K789 K798 K806 K809:K810 K816 K825:K826 K819 K836:K837 K830 N180:N181 N186 K842:K843 K857:K858 K851 K29:K30 K85 K211:K214 K202:K203 K205 K196 N207:N208 K232:K234 K223 K229:K230 N236:N237 K178 K240:K243 K257:K258 K261 K267:K268 K278:K279 K285:K286 K288:K289 K295:K296 K298 K304:K305 K314:K315 K317 K327:K328 K334 K344:K345 K338 K354:K355 K376:K378 K384:K386 K388 K397:K398 K406:K408 K400 K421:K422 K429 K434:K435 K447:K448 K458:K459 K469:K470 K477 K479:K480 K487 K489:K490 K500:K501 K508 K514:K515 K522 K528:K529 K534 K538:K539 K551:K552 K558 K561:K562 K567 K571:K572 K578 K581:K582 K587 K593:K594 K605:K606 K611 K615:K616 K621 K628:K629 K636 K641:K644 K649 J650 M654 K651 K654 K656:K657 K662 K667 K670 K686:K689 K678:K680 K3:K4 K12:K14 K23 K44 K46:K47 K41:K42 K70 K74:K76 K95:K97 K103 K112:K113 K121:K122 K132 K141:K142 K54:K55 K61:K64 K35 K72 K83 K91:K92 K105:K106 K115 K125:K126 K135 K152:K153 K146 K157 K163:K164 K166 K172:K173 K184:K187 K251 K271 K308 K323:K324 K348 K364 K358 K373 K367 K394 K410 K416:K418</xm:sqref>
        </x14:dataValidation>
        <x14:dataValidation type="list" allowBlank="1" showInputMessage="1" showErrorMessage="1">
          <x14:formula1>
            <xm:f>'C:\Users\klnrwctl1\Desktop\New folder\[WCTL-1 DELAY JANUARY-24) (Autosaved).xlsx]Sheet3'!#REF!</xm:f>
          </x14:formula1>
          <xm:sqref>J672:J679 J682:J688 J691:J696 J699:J702 J704 J708:J715 J717 J720:J724 J726 J729:J733 J735 J738:J742 J744 J747:J751 J753 J756:J760 J762 J765:J769 J771 J774:J778 J780 J783:J787 J789 J792:J796 K794 J798 J801:J804 J806:J807 J809 J812:J817 J819 J822:J826 J828 J830 J833:J837 J839:J840 J842 J845:J849 M180 M183:M186 J851 J854:J858 J860 J190:J196 J166 J181:J187 J208:J212 J217:J221 J214 J226:J232 J237:J243 M239:M241 J251 J246:J249 J254:J261 J234 J264:J269 M236 J271 J223 J282:J289 J292:J298 J274:J279 M210:M212 J308 J301:J306 J320:J324 J311:J317 J326 J328 J331:J336 M207 J341:J345 J338 J199:J205 J348 J361:J365 J367 J378 J370:J376 J381:J388 J391:J394 J396:J400 J403:J410 J424:J429 J434 J437:J441 J447 J450:J454 J456 J461:J464 J458 J466 J469 J472:J477 J479 J482:J485 J487 J492:J495 J489 J500 J503:J511 J514 J517:J520 J522:J525 J528 J531:J536 J538 J549:J551 J541:J547 J554:J561 J564:J567 J569 J571 J574:J578 J581 J584:J588 J591 J593 J596:J601 J603 J605 J608:J613 J615 J618:J621 J623 J628 J631:J636 J641 J643 J646:J649 J651 J654 J656:J658 J660 J664:J669 J160:J164 J3 J15:J21 J5:J13 J23 J26:J31 J46 J58:J64 J67:J75 J100:J106 J85 J129:J133 J38:J44 J54:J55 J48:J52 J35 J77:J83 J88:J94 J97 J109:J115 J118:J126 J135 J138:J146 J169:J178 J149:J157 J351:J358 J413:J421</xm:sqref>
        </x14:dataValidation>
        <x14:dataValidation type="list" allowBlank="1" showInputMessage="1" showErrorMessage="1">
          <x14:formula1>
            <xm:f>Sheet3!$F$4:$F$7</xm:f>
          </x14:formula1>
          <xm:sqref>D749 D758 D754 D763 D772 D785 D781 D790 D799 D814 D810 D820 D831 D847 D843 D852 D671 AI13:AI21 D736 D731 D727 D722 D232:E232 D242:E242 D718 D707 D701 D697 D693 D689 D327 D336 D346 D745 D681 D377 D669 D397 D407 D663 D422 D435 D448 D459 D470 D480 D490 D501 D515 D529 D539 D552 D562 D572 D582 D594 D606 D616 D629 D642 D633 D644 D652 D655 D657:D659 D661</xm:sqref>
        </x14:dataValidation>
        <x14:dataValidation type="list" allowBlank="1" showInputMessage="1" showErrorMessage="1">
          <x14:formula1>
            <xm:f>'C:\Users\klnrwctl1\Desktop\DELAY REPORT - Copy - Copy (2)\[WCTL-1 DELAY REPORT january-25 (Autosaved) - Copy - Copy.xlsx]Sheet3'!#REF!</xm:f>
          </x14:formula1>
          <xm:sqref>C74</xm:sqref>
        </x14:dataValidation>
        <x14:dataValidation type="list" allowBlank="1" showInputMessage="1" showErrorMessage="1">
          <x14:formula1>
            <xm:f>Sheet3!$B$4:$B$7</xm:f>
          </x14:formula1>
          <xm:sqref>B616 B644 B606 B582 B232 B242 B572 B562 B529 B346 B490 B397 B422 B459</xm:sqref>
        </x14:dataValidation>
        <x14:dataValidation type="list" allowBlank="1" showInputMessage="1" showErrorMessage="1">
          <x14:formula1>
            <xm:f>Sheet3!#REF!</xm:f>
          </x14:formula1>
          <xm:sqref>C106:E106 B4:B11 B47:C53 B43:E43 D146:E146 D85:E85 B124:E124 C125:E126 B155:E156 D157:E157 B174:E174 B14:C21 B31:E31 C3:C12 D3:E21 C23:E23 AI4:AI6 D46:E53 C55:E55 D74:E81 B76:C81 C95:E95 C97:E97 C35:E35 B134:E134 C135:E135 C64:E64 C166:E166 D118 B96:E96 D187:E187 C196:E196 C178:E178 D214:E214 C223:E223 C205:E205 D243:E243 C251:E251 C234:E234 D271:E271 C279:E279 C261:E261 D298:E298 C289:E289 C317:D317 D328 D308:E308 C348:D348 D358 D338 D378 D115:E115 D367 D388 D400 D410</xm:sqref>
        </x14:dataValidation>
        <x14:dataValidation type="list" allowBlank="1" showInputMessage="1" showErrorMessage="1">
          <x14:formula1>
            <xm:f>'C:\Users\klnrwctl1\Desktop\DELAY REPORT - Copy - Copy (2)\[WCTL-1 DELAY REPORT FEB-25 (Autosaved).xlsx]Sheet3'!#REF!</xm:f>
          </x14:formula1>
          <xm:sqref>B74</xm:sqref>
        </x14:dataValidation>
        <x14:dataValidation type="list" allowBlank="1" showInputMessage="1" showErrorMessage="1">
          <x14:formula1>
            <xm:f>Sheet3!$D$4:$D$12</xm:f>
          </x14:formula1>
          <xm:sqref>C187 C214 C243 C271 C358 C367 C388 C400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12" sqref="F12"/>
    </sheetView>
  </sheetViews>
  <sheetFormatPr defaultRowHeight="15" x14ac:dyDescent="0.25"/>
  <sheetData/>
  <customSheetViews>
    <customSheetView guid="{27845B34-279C-44A8-8AD1-89637F247940}" state="hidden">
      <selection activeCell="F12" sqref="F12"/>
      <pageMargins left="0.7" right="0.7" top="0.75" bottom="0.75" header="0.3" footer="0.3"/>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T82"/>
  <sheetViews>
    <sheetView topLeftCell="G1" workbookViewId="0">
      <selection activeCell="I17" sqref="I17"/>
    </sheetView>
  </sheetViews>
  <sheetFormatPr defaultRowHeight="15" x14ac:dyDescent="0.25"/>
  <cols>
    <col min="3" max="3" width="9.42578125" customWidth="1"/>
    <col min="4" max="4" width="19" bestFit="1" customWidth="1"/>
    <col min="6" max="6" width="36.5703125" customWidth="1"/>
    <col min="7" max="7" width="34.42578125" bestFit="1" customWidth="1"/>
    <col min="8" max="8" width="51.85546875" bestFit="1" customWidth="1"/>
    <col min="9" max="9" width="36.85546875" customWidth="1"/>
    <col min="10" max="10" width="35.7109375" customWidth="1"/>
    <col min="11" max="11" width="51.7109375" customWidth="1"/>
  </cols>
  <sheetData>
    <row r="4" spans="2:11" ht="18.75" x14ac:dyDescent="0.3">
      <c r="B4" t="s">
        <v>9</v>
      </c>
      <c r="D4" s="4" t="s">
        <v>18</v>
      </c>
      <c r="F4" s="21" t="s">
        <v>147</v>
      </c>
      <c r="G4" s="5" t="s">
        <v>24</v>
      </c>
      <c r="H4" s="6" t="s">
        <v>24</v>
      </c>
      <c r="I4" s="10" t="s">
        <v>27</v>
      </c>
      <c r="J4" s="6" t="s">
        <v>28</v>
      </c>
      <c r="K4" s="6" t="s">
        <v>29</v>
      </c>
    </row>
    <row r="5" spans="2:11" ht="18.75" x14ac:dyDescent="0.3">
      <c r="B5" t="s">
        <v>11</v>
      </c>
      <c r="D5" s="4" t="s">
        <v>19</v>
      </c>
      <c r="F5" s="21" t="s">
        <v>119</v>
      </c>
      <c r="G5" s="5" t="s">
        <v>25</v>
      </c>
      <c r="H5" s="3" t="s">
        <v>13</v>
      </c>
      <c r="I5" s="5" t="s">
        <v>33</v>
      </c>
      <c r="J5" s="7" t="s">
        <v>34</v>
      </c>
      <c r="K5" s="12" t="s">
        <v>102</v>
      </c>
    </row>
    <row r="6" spans="2:11" ht="18.75" x14ac:dyDescent="0.3">
      <c r="B6" t="s">
        <v>12</v>
      </c>
      <c r="D6" s="4" t="s">
        <v>20</v>
      </c>
      <c r="F6" s="21" t="s">
        <v>146</v>
      </c>
      <c r="G6" s="5" t="s">
        <v>26</v>
      </c>
      <c r="H6" s="8"/>
      <c r="I6" s="5" t="s">
        <v>35</v>
      </c>
      <c r="J6" s="5" t="s">
        <v>36</v>
      </c>
      <c r="K6" s="14" t="s">
        <v>55</v>
      </c>
    </row>
    <row r="7" spans="2:11" x14ac:dyDescent="0.25">
      <c r="D7" s="4" t="s">
        <v>21</v>
      </c>
      <c r="G7" s="5" t="s">
        <v>27</v>
      </c>
      <c r="H7" s="8"/>
      <c r="I7" s="7" t="s">
        <v>38</v>
      </c>
      <c r="J7" s="5" t="s">
        <v>39</v>
      </c>
      <c r="K7" s="14" t="s">
        <v>105</v>
      </c>
    </row>
    <row r="8" spans="2:11" x14ac:dyDescent="0.25">
      <c r="D8" s="4" t="s">
        <v>22</v>
      </c>
      <c r="G8" s="5" t="s">
        <v>28</v>
      </c>
      <c r="H8" s="6" t="s">
        <v>25</v>
      </c>
      <c r="I8" s="7" t="s">
        <v>41</v>
      </c>
      <c r="J8" s="7" t="s">
        <v>42</v>
      </c>
      <c r="K8" s="14" t="s">
        <v>71</v>
      </c>
    </row>
    <row r="9" spans="2:11" x14ac:dyDescent="0.25">
      <c r="D9" s="4" t="s">
        <v>23</v>
      </c>
      <c r="G9" s="5" t="s">
        <v>29</v>
      </c>
      <c r="H9" s="3" t="s">
        <v>14</v>
      </c>
      <c r="I9" s="7" t="s">
        <v>44</v>
      </c>
      <c r="J9" s="7" t="s">
        <v>45</v>
      </c>
      <c r="K9" s="14" t="s">
        <v>96</v>
      </c>
    </row>
    <row r="10" spans="2:11" x14ac:dyDescent="0.25">
      <c r="D10" s="4" t="s">
        <v>118</v>
      </c>
      <c r="G10" s="5" t="s">
        <v>30</v>
      </c>
      <c r="H10" s="8"/>
      <c r="I10" s="7" t="s">
        <v>47</v>
      </c>
      <c r="J10" s="7" t="s">
        <v>48</v>
      </c>
      <c r="K10" s="14" t="s">
        <v>97</v>
      </c>
    </row>
    <row r="11" spans="2:11" x14ac:dyDescent="0.25">
      <c r="D11" s="4" t="s">
        <v>145</v>
      </c>
      <c r="F11" t="s">
        <v>10</v>
      </c>
      <c r="G11" s="5" t="s">
        <v>31</v>
      </c>
      <c r="H11" s="8"/>
      <c r="I11" s="7" t="s">
        <v>50</v>
      </c>
      <c r="J11" s="7" t="s">
        <v>51</v>
      </c>
      <c r="K11" s="14" t="s">
        <v>79</v>
      </c>
    </row>
    <row r="12" spans="2:11" x14ac:dyDescent="0.25">
      <c r="D12" s="4" t="s">
        <v>195</v>
      </c>
      <c r="G12" s="5" t="s">
        <v>32</v>
      </c>
      <c r="H12" s="6" t="s">
        <v>26</v>
      </c>
      <c r="I12" s="7" t="s">
        <v>53</v>
      </c>
      <c r="J12" s="7" t="s">
        <v>54</v>
      </c>
      <c r="K12" s="14" t="s">
        <v>53</v>
      </c>
    </row>
    <row r="13" spans="2:11" x14ac:dyDescent="0.25">
      <c r="G13" s="8" t="s">
        <v>109</v>
      </c>
      <c r="H13" s="3" t="s">
        <v>15</v>
      </c>
      <c r="I13" s="7" t="s">
        <v>56</v>
      </c>
      <c r="J13" s="7" t="s">
        <v>57</v>
      </c>
      <c r="K13" s="14" t="s">
        <v>82</v>
      </c>
    </row>
    <row r="14" spans="2:11" x14ac:dyDescent="0.25">
      <c r="G14" s="7" t="s">
        <v>128</v>
      </c>
      <c r="H14" s="8"/>
      <c r="I14" s="7" t="s">
        <v>59</v>
      </c>
      <c r="J14" s="7" t="s">
        <v>60</v>
      </c>
      <c r="K14" s="14" t="s">
        <v>81</v>
      </c>
    </row>
    <row r="15" spans="2:11" x14ac:dyDescent="0.25">
      <c r="G15" s="7" t="s">
        <v>66</v>
      </c>
      <c r="H15" s="8"/>
      <c r="I15" s="7" t="s">
        <v>115</v>
      </c>
      <c r="J15" s="7" t="s">
        <v>28</v>
      </c>
      <c r="K15" s="14" t="s">
        <v>91</v>
      </c>
    </row>
    <row r="16" spans="2:11" x14ac:dyDescent="0.25">
      <c r="G16" s="7" t="s">
        <v>129</v>
      </c>
      <c r="H16" s="8"/>
      <c r="I16" s="7" t="s">
        <v>122</v>
      </c>
      <c r="J16" s="7"/>
      <c r="K16" s="14" t="s">
        <v>110</v>
      </c>
    </row>
    <row r="17" spans="8:11" x14ac:dyDescent="0.25">
      <c r="H17" s="8"/>
      <c r="I17" s="31" t="s">
        <v>17</v>
      </c>
      <c r="J17" s="8"/>
      <c r="K17" s="14" t="s">
        <v>52</v>
      </c>
    </row>
    <row r="18" spans="8:11" x14ac:dyDescent="0.25">
      <c r="H18" s="11" t="s">
        <v>126</v>
      </c>
      <c r="I18" s="6" t="s">
        <v>32</v>
      </c>
      <c r="J18" s="6" t="s">
        <v>63</v>
      </c>
      <c r="K18" s="14" t="s">
        <v>49</v>
      </c>
    </row>
    <row r="19" spans="8:11" x14ac:dyDescent="0.25">
      <c r="H19" s="5" t="s">
        <v>65</v>
      </c>
      <c r="I19" s="5" t="s">
        <v>66</v>
      </c>
      <c r="J19" s="5" t="s">
        <v>16</v>
      </c>
      <c r="K19" s="14" t="s">
        <v>61</v>
      </c>
    </row>
    <row r="20" spans="8:11" x14ac:dyDescent="0.25">
      <c r="H20" s="7" t="s">
        <v>68</v>
      </c>
      <c r="I20" s="7" t="s">
        <v>69</v>
      </c>
      <c r="J20" s="5" t="s">
        <v>70</v>
      </c>
      <c r="K20" s="12" t="s">
        <v>78</v>
      </c>
    </row>
    <row r="21" spans="8:11" x14ac:dyDescent="0.25">
      <c r="H21" s="7" t="s">
        <v>72</v>
      </c>
      <c r="I21" s="7" t="s">
        <v>73</v>
      </c>
      <c r="J21" s="5" t="s">
        <v>74</v>
      </c>
      <c r="K21" s="13" t="s">
        <v>64</v>
      </c>
    </row>
    <row r="22" spans="8:11" x14ac:dyDescent="0.25">
      <c r="H22" s="8"/>
      <c r="I22" s="8"/>
      <c r="J22" s="8"/>
      <c r="K22" s="14" t="s">
        <v>62</v>
      </c>
    </row>
    <row r="23" spans="8:11" x14ac:dyDescent="0.25">
      <c r="H23" s="8"/>
      <c r="I23" s="8"/>
      <c r="J23" s="8"/>
      <c r="K23" s="15" t="s">
        <v>80</v>
      </c>
    </row>
    <row r="24" spans="8:11" x14ac:dyDescent="0.25">
      <c r="H24" s="8"/>
      <c r="I24" s="8"/>
      <c r="J24" s="8"/>
      <c r="K24" s="14" t="s">
        <v>123</v>
      </c>
    </row>
    <row r="25" spans="8:11" x14ac:dyDescent="0.25">
      <c r="H25" s="8"/>
      <c r="I25" s="8" t="s">
        <v>129</v>
      </c>
      <c r="J25" s="8"/>
      <c r="K25" s="14" t="s">
        <v>114</v>
      </c>
    </row>
    <row r="26" spans="8:11" x14ac:dyDescent="0.25">
      <c r="H26" s="8"/>
      <c r="I26" s="8"/>
      <c r="J26" s="8"/>
      <c r="K26" s="16" t="s">
        <v>116</v>
      </c>
    </row>
    <row r="27" spans="8:11" x14ac:dyDescent="0.25">
      <c r="H27" s="8" t="s">
        <v>142</v>
      </c>
      <c r="I27" s="8"/>
      <c r="J27" s="8"/>
      <c r="K27" s="14" t="s">
        <v>111</v>
      </c>
    </row>
    <row r="28" spans="8:11" x14ac:dyDescent="0.25">
      <c r="H28" s="8"/>
      <c r="I28" s="8"/>
      <c r="J28" s="8"/>
      <c r="K28" s="14" t="s">
        <v>100</v>
      </c>
    </row>
    <row r="29" spans="8:11" x14ac:dyDescent="0.25">
      <c r="H29" s="8"/>
      <c r="I29" s="8"/>
      <c r="J29" s="8"/>
      <c r="K29" s="14" t="s">
        <v>84</v>
      </c>
    </row>
    <row r="30" spans="8:11" x14ac:dyDescent="0.25">
      <c r="H30" s="8"/>
      <c r="I30" s="8"/>
      <c r="J30" s="8"/>
      <c r="K30" s="14" t="s">
        <v>85</v>
      </c>
    </row>
    <row r="31" spans="8:11" x14ac:dyDescent="0.25">
      <c r="H31" s="8"/>
      <c r="I31" s="8"/>
      <c r="J31" s="8"/>
      <c r="K31" s="14" t="s">
        <v>101</v>
      </c>
    </row>
    <row r="32" spans="8:11" x14ac:dyDescent="0.25">
      <c r="H32" s="8"/>
      <c r="I32" s="8"/>
      <c r="J32" s="8"/>
      <c r="K32" s="14" t="s">
        <v>99</v>
      </c>
    </row>
    <row r="33" spans="8:11" x14ac:dyDescent="0.25">
      <c r="H33" s="8"/>
      <c r="I33" s="8"/>
      <c r="J33" s="8"/>
      <c r="K33" s="14" t="s">
        <v>98</v>
      </c>
    </row>
    <row r="34" spans="8:11" x14ac:dyDescent="0.25">
      <c r="H34" s="8"/>
      <c r="I34" s="8"/>
      <c r="J34" s="8"/>
      <c r="K34" s="14" t="s">
        <v>67</v>
      </c>
    </row>
    <row r="35" spans="8:11" x14ac:dyDescent="0.25">
      <c r="H35" s="8"/>
      <c r="I35" s="8"/>
      <c r="J35" s="8"/>
      <c r="K35" s="14" t="s">
        <v>75</v>
      </c>
    </row>
    <row r="36" spans="8:11" x14ac:dyDescent="0.25">
      <c r="H36" s="8"/>
      <c r="I36" s="8"/>
      <c r="J36" s="8"/>
      <c r="K36" s="14" t="s">
        <v>108</v>
      </c>
    </row>
    <row r="37" spans="8:11" x14ac:dyDescent="0.25">
      <c r="H37" s="8"/>
      <c r="I37" s="8"/>
      <c r="J37" s="8"/>
      <c r="K37" s="14" t="s">
        <v>107</v>
      </c>
    </row>
    <row r="38" spans="8:11" x14ac:dyDescent="0.25">
      <c r="H38" s="8"/>
      <c r="I38" s="8"/>
      <c r="J38" s="8"/>
      <c r="K38" s="14" t="s">
        <v>77</v>
      </c>
    </row>
    <row r="39" spans="8:11" x14ac:dyDescent="0.25">
      <c r="H39" s="8"/>
      <c r="I39" s="8"/>
      <c r="J39" s="8"/>
      <c r="K39" s="13" t="s">
        <v>76</v>
      </c>
    </row>
    <row r="40" spans="8:11" x14ac:dyDescent="0.25">
      <c r="H40" s="8"/>
      <c r="I40" s="8"/>
      <c r="J40" s="8"/>
      <c r="K40" s="14" t="s">
        <v>112</v>
      </c>
    </row>
    <row r="41" spans="8:11" x14ac:dyDescent="0.25">
      <c r="H41" s="8"/>
      <c r="I41" s="8"/>
      <c r="J41" s="8"/>
      <c r="K41" s="14" t="s">
        <v>113</v>
      </c>
    </row>
    <row r="42" spans="8:11" x14ac:dyDescent="0.25">
      <c r="H42" s="8"/>
      <c r="I42" s="8"/>
      <c r="J42" s="8"/>
      <c r="K42" s="14" t="s">
        <v>46</v>
      </c>
    </row>
    <row r="43" spans="8:11" x14ac:dyDescent="0.25">
      <c r="H43" s="8"/>
      <c r="I43" s="36"/>
      <c r="J43" s="14"/>
    </row>
    <row r="44" spans="8:11" ht="15.75" x14ac:dyDescent="0.25">
      <c r="H44" s="8"/>
      <c r="I44" s="8"/>
      <c r="J44" s="26"/>
      <c r="K44" s="14" t="s">
        <v>104</v>
      </c>
    </row>
    <row r="45" spans="8:11" ht="15.75" x14ac:dyDescent="0.25">
      <c r="H45" s="8"/>
      <c r="I45" s="8"/>
      <c r="J45" s="29"/>
      <c r="K45" s="14" t="s">
        <v>58</v>
      </c>
    </row>
    <row r="46" spans="8:11" ht="15.75" x14ac:dyDescent="0.25">
      <c r="H46" s="8"/>
      <c r="I46" s="8"/>
      <c r="J46" s="26"/>
      <c r="K46" s="14" t="s">
        <v>106</v>
      </c>
    </row>
    <row r="47" spans="8:11" ht="15.75" x14ac:dyDescent="0.25">
      <c r="H47" s="8"/>
      <c r="I47" s="8"/>
      <c r="J47" s="25"/>
      <c r="K47" s="14" t="s">
        <v>94</v>
      </c>
    </row>
    <row r="48" spans="8:11" x14ac:dyDescent="0.25">
      <c r="H48" s="8"/>
      <c r="I48" s="8"/>
      <c r="J48" s="8"/>
      <c r="K48" s="14" t="s">
        <v>83</v>
      </c>
    </row>
    <row r="49" spans="8:11" x14ac:dyDescent="0.25">
      <c r="H49" s="8"/>
      <c r="I49" s="8"/>
      <c r="J49" s="8"/>
      <c r="K49" s="14" t="s">
        <v>89</v>
      </c>
    </row>
    <row r="50" spans="8:11" x14ac:dyDescent="0.25">
      <c r="H50" s="8"/>
      <c r="I50" s="8"/>
      <c r="J50" s="8"/>
      <c r="K50" s="14" t="s">
        <v>90</v>
      </c>
    </row>
    <row r="51" spans="8:11" x14ac:dyDescent="0.25">
      <c r="H51" s="8"/>
      <c r="I51" s="8"/>
      <c r="J51" s="8"/>
      <c r="K51" s="14" t="s">
        <v>92</v>
      </c>
    </row>
    <row r="52" spans="8:11" x14ac:dyDescent="0.25">
      <c r="H52" s="8"/>
      <c r="I52" s="8"/>
      <c r="J52" s="8"/>
      <c r="K52" s="14" t="s">
        <v>103</v>
      </c>
    </row>
    <row r="53" spans="8:11" x14ac:dyDescent="0.25">
      <c r="H53" s="8"/>
      <c r="I53" s="8"/>
      <c r="J53" s="8"/>
      <c r="K53" s="14" t="s">
        <v>93</v>
      </c>
    </row>
    <row r="54" spans="8:11" x14ac:dyDescent="0.25">
      <c r="H54" s="8"/>
      <c r="I54" s="8"/>
      <c r="J54" s="8"/>
      <c r="K54" s="14" t="s">
        <v>87</v>
      </c>
    </row>
    <row r="55" spans="8:11" x14ac:dyDescent="0.25">
      <c r="H55" s="8"/>
      <c r="I55" s="8"/>
      <c r="J55" s="8"/>
      <c r="K55" s="14" t="s">
        <v>86</v>
      </c>
    </row>
    <row r="56" spans="8:11" x14ac:dyDescent="0.25">
      <c r="H56" s="8"/>
      <c r="I56" s="8"/>
      <c r="J56" s="8"/>
      <c r="K56" s="14" t="s">
        <v>88</v>
      </c>
    </row>
    <row r="57" spans="8:11" x14ac:dyDescent="0.25">
      <c r="H57" s="8"/>
      <c r="I57" s="8"/>
      <c r="J57" s="8"/>
      <c r="K57" s="14" t="s">
        <v>95</v>
      </c>
    </row>
    <row r="58" spans="8:11" x14ac:dyDescent="0.25">
      <c r="H58" s="8"/>
      <c r="I58" s="8"/>
      <c r="J58" s="8"/>
      <c r="K58" s="16" t="s">
        <v>37</v>
      </c>
    </row>
    <row r="59" spans="8:11" x14ac:dyDescent="0.25">
      <c r="H59" s="8"/>
      <c r="I59" s="8"/>
      <c r="J59" s="8"/>
      <c r="K59" s="16" t="s">
        <v>40</v>
      </c>
    </row>
    <row r="60" spans="8:11" x14ac:dyDescent="0.25">
      <c r="H60" s="8"/>
      <c r="I60" s="8"/>
      <c r="J60" s="8"/>
      <c r="K60" s="14" t="s">
        <v>43</v>
      </c>
    </row>
    <row r="61" spans="8:11" x14ac:dyDescent="0.25">
      <c r="H61" s="8"/>
      <c r="I61" s="8"/>
      <c r="J61" s="8"/>
      <c r="K61" s="14" t="s">
        <v>117</v>
      </c>
    </row>
    <row r="62" spans="8:11" x14ac:dyDescent="0.25">
      <c r="H62" s="8"/>
      <c r="I62" s="8"/>
      <c r="J62" s="8"/>
      <c r="K62" s="16" t="s">
        <v>120</v>
      </c>
    </row>
    <row r="63" spans="8:11" x14ac:dyDescent="0.25">
      <c r="K63" s="14" t="s">
        <v>121</v>
      </c>
    </row>
    <row r="64" spans="8:11" x14ac:dyDescent="0.25">
      <c r="K64" s="14" t="s">
        <v>123</v>
      </c>
    </row>
    <row r="65" spans="10:20" x14ac:dyDescent="0.25">
      <c r="K65" s="14" t="s">
        <v>124</v>
      </c>
    </row>
    <row r="66" spans="10:20" x14ac:dyDescent="0.25">
      <c r="K66" s="14" t="s">
        <v>125</v>
      </c>
    </row>
    <row r="67" spans="10:20" x14ac:dyDescent="0.25">
      <c r="K67" s="15" t="s">
        <v>130</v>
      </c>
    </row>
    <row r="68" spans="10:20" x14ac:dyDescent="0.25">
      <c r="K68" s="14" t="s">
        <v>132</v>
      </c>
    </row>
    <row r="69" spans="10:20" x14ac:dyDescent="0.25">
      <c r="K69" s="14" t="s">
        <v>133</v>
      </c>
    </row>
    <row r="70" spans="10:20" x14ac:dyDescent="0.25">
      <c r="K70" s="14" t="s">
        <v>134</v>
      </c>
    </row>
    <row r="71" spans="10:20" x14ac:dyDescent="0.25">
      <c r="K71" s="14" t="s">
        <v>136</v>
      </c>
    </row>
    <row r="72" spans="10:20" x14ac:dyDescent="0.25">
      <c r="K72" s="27" t="s">
        <v>137</v>
      </c>
    </row>
    <row r="73" spans="10:20" ht="16.5" customHeight="1" x14ac:dyDescent="0.25">
      <c r="K73" s="27" t="s">
        <v>138</v>
      </c>
    </row>
    <row r="74" spans="10:20" x14ac:dyDescent="0.25">
      <c r="K74" s="27" t="s">
        <v>139</v>
      </c>
    </row>
    <row r="75" spans="10:20" x14ac:dyDescent="0.25">
      <c r="K75" s="28" t="s">
        <v>140</v>
      </c>
    </row>
    <row r="76" spans="10:20" x14ac:dyDescent="0.25">
      <c r="K76" s="28" t="s">
        <v>141</v>
      </c>
    </row>
    <row r="77" spans="10:20" x14ac:dyDescent="0.25">
      <c r="J77" s="33"/>
      <c r="K77" s="34" t="s">
        <v>144</v>
      </c>
      <c r="L77" s="33"/>
      <c r="M77" s="33"/>
      <c r="N77" s="33"/>
      <c r="O77" s="33"/>
      <c r="P77" s="33"/>
      <c r="Q77" s="33"/>
      <c r="R77" s="33"/>
      <c r="S77" s="33"/>
      <c r="T77" s="33"/>
    </row>
    <row r="78" spans="10:20" x14ac:dyDescent="0.25">
      <c r="K78" s="35" t="s">
        <v>143</v>
      </c>
    </row>
    <row r="79" spans="10:20" x14ac:dyDescent="0.25">
      <c r="K79" s="46" t="s">
        <v>154</v>
      </c>
    </row>
    <row r="80" spans="10:20" x14ac:dyDescent="0.25">
      <c r="K80" s="102" t="s">
        <v>233</v>
      </c>
    </row>
    <row r="81" spans="9:11" x14ac:dyDescent="0.25">
      <c r="I81" t="s">
        <v>135</v>
      </c>
      <c r="K81" s="102" t="s">
        <v>224</v>
      </c>
    </row>
    <row r="82" spans="9:11" x14ac:dyDescent="0.25">
      <c r="K82" t="s">
        <v>155</v>
      </c>
    </row>
  </sheetData>
  <protectedRanges>
    <protectedRange algorithmName="SHA-512" hashValue="2j/fhS8yUVHVYEXmKCJEoLakPHMRgUceIxavEQ4q5SUg0v4LmVuHRf1gcH5FBU2QCb4niM24Mpu1kUHaMa+mHg==" saltValue="vj0/rZ1sdNcqruGRMRTbpQ==" spinCount="100000" sqref="J44" name="Range2_1"/>
    <protectedRange algorithmName="SHA-512" hashValue="2j/fhS8yUVHVYEXmKCJEoLakPHMRgUceIxavEQ4q5SUg0v4LmVuHRf1gcH5FBU2QCb4niM24Mpu1kUHaMa+mHg==" saltValue="vj0/rZ1sdNcqruGRMRTbpQ==" spinCount="100000" sqref="J46" name="Range2_1_1"/>
  </protectedRanges>
  <sortState ref="K5:K53">
    <sortCondition ref="K5"/>
  </sortState>
  <customSheetViews>
    <customSheetView guid="{27845B34-279C-44A8-8AD1-89637F247940}" topLeftCell="H58">
      <selection activeCell="J69" sqref="J69"/>
      <pageMargins left="0.7" right="0.7" top="0.75" bottom="0.75" header="0.3" footer="0.3"/>
    </customSheetView>
  </customSheetViews>
  <dataValidations count="1">
    <dataValidation type="list" allowBlank="1" showInputMessage="1" showErrorMessage="1" sqref="J44 J46">
      <formula1>IF(#REF!="MAINTENANCE BREAKDOWN",MAINTENANCE_BREAKDOWN,IF(#REF!="CRANE DELAY",CRANE_DELAY,IF(#REF!="PACKAGING DELAY",PACKAGING_DELAY,IF(#REF!="OPERATION DELAY",OPERATION_DELAY,IF(#REF!="HR DELAY",HR_DELAY,IF(#REF!="SCRAP REMOVAL",SCRAP))))))</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U56"/>
  <sheetViews>
    <sheetView workbookViewId="0">
      <selection activeCell="A11" sqref="A11"/>
    </sheetView>
  </sheetViews>
  <sheetFormatPr defaultRowHeight="15" x14ac:dyDescent="0.25"/>
  <cols>
    <col min="6" max="6" width="14.28515625" customWidth="1"/>
    <col min="7" max="7" width="6" customWidth="1"/>
    <col min="8" max="8" width="44.7109375" bestFit="1" customWidth="1"/>
    <col min="9" max="9" width="14.7109375" bestFit="1" customWidth="1"/>
    <col min="10" max="10" width="4.7109375" customWidth="1"/>
    <col min="15" max="15" width="6.140625" customWidth="1"/>
    <col min="16" max="17" width="9.140625" hidden="1" customWidth="1"/>
    <col min="19" max="19" width="47.140625" customWidth="1"/>
  </cols>
  <sheetData>
    <row r="1" spans="2:21" ht="18.75" x14ac:dyDescent="0.3">
      <c r="B1" s="17"/>
      <c r="C1" s="19"/>
      <c r="D1" s="19"/>
      <c r="E1" s="19"/>
      <c r="F1" s="19"/>
      <c r="G1" s="19"/>
      <c r="H1" s="19"/>
      <c r="I1" s="19"/>
      <c r="J1" s="19"/>
      <c r="K1" s="19"/>
      <c r="L1" s="19"/>
      <c r="M1" s="19"/>
      <c r="N1" s="19"/>
      <c r="O1" s="19"/>
      <c r="P1" s="19"/>
      <c r="Q1" s="19"/>
      <c r="R1" s="19"/>
      <c r="S1" s="19"/>
      <c r="T1" s="19"/>
      <c r="U1" s="19"/>
    </row>
    <row r="2" spans="2:21" ht="18.75" x14ac:dyDescent="0.3">
      <c r="B2" s="17"/>
      <c r="C2" s="19"/>
      <c r="D2" s="19"/>
      <c r="E2" s="19"/>
      <c r="F2" s="19"/>
      <c r="G2" s="19"/>
      <c r="H2" s="19"/>
      <c r="I2" s="19"/>
      <c r="J2" s="19"/>
      <c r="K2" s="19"/>
      <c r="L2" s="19"/>
      <c r="M2" s="19"/>
      <c r="N2" s="19"/>
      <c r="O2" s="19"/>
      <c r="P2" s="19"/>
      <c r="Q2" s="19"/>
      <c r="R2" s="19"/>
      <c r="S2" s="19"/>
      <c r="T2" s="19"/>
      <c r="U2" s="19"/>
    </row>
    <row r="3" spans="2:21" ht="21" hidden="1" customHeight="1" x14ac:dyDescent="0.3">
      <c r="B3" s="17"/>
      <c r="C3" s="19"/>
      <c r="D3" s="19"/>
      <c r="E3" s="19"/>
      <c r="F3" s="19"/>
      <c r="G3" s="19"/>
      <c r="H3" s="19"/>
      <c r="I3" s="19"/>
      <c r="J3" s="19"/>
      <c r="K3" s="19"/>
      <c r="L3" s="19"/>
      <c r="M3" s="19"/>
      <c r="N3" s="19"/>
      <c r="O3" s="19"/>
      <c r="P3" s="19"/>
      <c r="Q3" s="19"/>
      <c r="R3" s="19"/>
      <c r="S3" s="19"/>
      <c r="T3" s="19"/>
      <c r="U3" s="19"/>
    </row>
    <row r="4" spans="2:21" ht="19.5" hidden="1" customHeight="1" x14ac:dyDescent="0.3">
      <c r="B4" s="17"/>
      <c r="C4" s="19"/>
      <c r="D4" s="19"/>
      <c r="E4" s="19"/>
      <c r="F4" s="19"/>
      <c r="G4" s="107"/>
      <c r="H4" s="107"/>
      <c r="I4" s="107"/>
      <c r="J4" s="107"/>
      <c r="K4" s="19"/>
      <c r="L4" s="19"/>
      <c r="M4" s="19"/>
      <c r="N4" s="19"/>
      <c r="O4" s="19"/>
      <c r="P4" s="19"/>
      <c r="Q4" s="19"/>
      <c r="R4" s="19"/>
      <c r="S4" s="19"/>
      <c r="T4" s="19"/>
      <c r="U4" s="19"/>
    </row>
    <row r="5" spans="2:21" ht="22.5" hidden="1" x14ac:dyDescent="0.45">
      <c r="B5" s="17"/>
      <c r="C5" s="19"/>
      <c r="D5" s="19"/>
      <c r="E5" s="19"/>
      <c r="F5" s="19"/>
      <c r="G5" s="109"/>
      <c r="H5" s="22"/>
      <c r="I5" s="23"/>
      <c r="J5" s="109"/>
      <c r="K5" s="19"/>
      <c r="L5" s="19"/>
      <c r="M5" s="19"/>
      <c r="N5" s="19"/>
      <c r="O5" s="19"/>
      <c r="P5" s="19"/>
      <c r="Q5" s="19"/>
      <c r="R5" s="19"/>
      <c r="S5" s="19"/>
      <c r="T5" s="19"/>
      <c r="U5" s="19"/>
    </row>
    <row r="6" spans="2:21" ht="22.5" hidden="1" x14ac:dyDescent="0.45">
      <c r="B6" s="17"/>
      <c r="C6" s="19"/>
      <c r="D6" s="19"/>
      <c r="E6" s="19"/>
      <c r="F6" s="19"/>
      <c r="G6" s="110"/>
      <c r="H6" s="22"/>
      <c r="I6" s="23"/>
      <c r="J6" s="110"/>
      <c r="K6" s="19"/>
      <c r="L6" s="19"/>
      <c r="M6" s="19"/>
      <c r="N6" s="19"/>
      <c r="O6" s="19"/>
      <c r="P6" s="19"/>
      <c r="Q6" s="19"/>
      <c r="R6" s="19"/>
      <c r="S6" s="19"/>
      <c r="T6" s="19"/>
      <c r="U6" s="19"/>
    </row>
    <row r="7" spans="2:21" ht="22.5" hidden="1" x14ac:dyDescent="0.45">
      <c r="B7" s="17"/>
      <c r="C7" s="19"/>
      <c r="D7" s="19"/>
      <c r="E7" s="19"/>
      <c r="F7" s="19"/>
      <c r="G7" s="111"/>
      <c r="H7" s="22"/>
      <c r="I7" s="23"/>
      <c r="J7" s="111"/>
      <c r="K7" s="19"/>
      <c r="L7" s="19"/>
      <c r="M7" s="19"/>
      <c r="N7" s="19"/>
      <c r="O7" s="19"/>
      <c r="P7" s="19"/>
      <c r="Q7" s="19"/>
      <c r="R7" s="19"/>
      <c r="S7" s="19"/>
      <c r="T7" s="19"/>
      <c r="U7" s="19"/>
    </row>
    <row r="8" spans="2:21" ht="21" hidden="1" customHeight="1" x14ac:dyDescent="0.3">
      <c r="B8" s="17"/>
      <c r="C8" s="19"/>
      <c r="D8" s="19"/>
      <c r="E8" s="19"/>
      <c r="F8" s="19"/>
      <c r="G8" s="108"/>
      <c r="H8" s="108"/>
      <c r="I8" s="108"/>
      <c r="J8" s="108"/>
      <c r="K8" s="19"/>
      <c r="L8" s="19"/>
      <c r="M8" s="19"/>
      <c r="N8" s="19"/>
      <c r="O8" s="19"/>
      <c r="P8" s="19"/>
      <c r="Q8" s="19"/>
      <c r="R8" s="19"/>
      <c r="S8" s="19"/>
      <c r="T8" s="19"/>
      <c r="U8" s="19"/>
    </row>
    <row r="9" spans="2:21" ht="18.75" hidden="1" x14ac:dyDescent="0.3">
      <c r="B9" s="17"/>
      <c r="C9" s="19"/>
      <c r="D9" s="19"/>
      <c r="E9" s="19"/>
      <c r="F9" s="19"/>
      <c r="G9" s="19"/>
      <c r="H9" s="19"/>
      <c r="I9" s="19"/>
      <c r="J9" s="19"/>
      <c r="K9" s="19"/>
      <c r="L9" s="19"/>
      <c r="M9" s="19"/>
      <c r="N9" s="19"/>
      <c r="O9" s="19"/>
      <c r="P9" s="19"/>
      <c r="Q9" s="19"/>
      <c r="R9" s="19"/>
      <c r="S9" s="19"/>
      <c r="T9" s="19"/>
      <c r="U9" s="19"/>
    </row>
    <row r="10" spans="2:21" ht="18.75" hidden="1" x14ac:dyDescent="0.3">
      <c r="B10" s="17"/>
      <c r="C10" s="19"/>
      <c r="D10" s="19"/>
      <c r="E10" s="19"/>
      <c r="F10" s="19"/>
      <c r="G10" s="19"/>
      <c r="H10" s="19"/>
      <c r="I10" s="19"/>
      <c r="J10" s="19"/>
      <c r="K10" s="19"/>
      <c r="L10" s="19"/>
      <c r="M10" s="19"/>
      <c r="N10" s="19"/>
      <c r="O10" s="19"/>
      <c r="P10" s="19"/>
      <c r="Q10" s="19"/>
      <c r="R10" s="19"/>
      <c r="S10" s="19"/>
      <c r="T10" s="19"/>
      <c r="U10" s="19"/>
    </row>
    <row r="11" spans="2:21" ht="85.5" customHeight="1" x14ac:dyDescent="0.3">
      <c r="B11" s="17"/>
      <c r="C11" s="19"/>
      <c r="D11" s="19"/>
      <c r="E11" s="19"/>
      <c r="F11" s="19"/>
      <c r="G11" s="19"/>
      <c r="H11" s="19"/>
      <c r="I11" s="19"/>
      <c r="J11" s="19"/>
      <c r="K11" s="19"/>
      <c r="L11" s="19"/>
      <c r="M11" s="19"/>
      <c r="N11" s="19"/>
      <c r="O11" s="19"/>
      <c r="P11" s="19"/>
      <c r="Q11" s="19"/>
      <c r="R11" s="19"/>
      <c r="S11" s="19"/>
      <c r="T11" s="19"/>
      <c r="U11" s="19"/>
    </row>
    <row r="12" spans="2:21" ht="18.75" x14ac:dyDescent="0.3">
      <c r="B12" s="17"/>
      <c r="C12" s="19"/>
      <c r="D12" s="19"/>
      <c r="E12" s="19"/>
      <c r="F12" s="19"/>
      <c r="G12" s="19"/>
      <c r="H12" s="19"/>
      <c r="J12" s="19"/>
      <c r="K12" s="19"/>
      <c r="L12" s="19"/>
      <c r="M12" s="19"/>
      <c r="N12" s="19"/>
      <c r="O12" s="19"/>
      <c r="P12" s="19"/>
      <c r="Q12" s="19"/>
      <c r="R12" s="19"/>
      <c r="S12" s="19"/>
      <c r="T12" s="19"/>
      <c r="U12" s="19"/>
    </row>
    <row r="13" spans="2:21" ht="18.75" x14ac:dyDescent="0.3">
      <c r="B13" s="17"/>
      <c r="C13" s="19"/>
      <c r="D13" s="19"/>
      <c r="E13" s="19"/>
      <c r="F13" s="19"/>
      <c r="G13" s="19"/>
      <c r="H13" s="19"/>
      <c r="I13" s="19"/>
      <c r="J13" s="19"/>
      <c r="K13" s="19"/>
      <c r="L13" s="19"/>
      <c r="M13" s="19"/>
      <c r="N13" s="19"/>
      <c r="O13" s="19"/>
      <c r="P13" s="19"/>
      <c r="Q13" s="19"/>
      <c r="R13" s="19"/>
      <c r="S13" s="19"/>
      <c r="T13" s="19"/>
      <c r="U13" s="19"/>
    </row>
    <row r="14" spans="2:21" ht="18.75" x14ac:dyDescent="0.3">
      <c r="B14" s="17"/>
      <c r="C14" s="19"/>
      <c r="D14" s="19"/>
      <c r="E14" s="19"/>
      <c r="F14" s="19"/>
      <c r="G14" s="19"/>
      <c r="H14" s="19"/>
      <c r="I14" s="19"/>
      <c r="J14" s="19"/>
      <c r="K14" s="19"/>
      <c r="L14" s="19"/>
      <c r="M14" s="19"/>
      <c r="N14" s="19"/>
      <c r="O14" s="19"/>
      <c r="P14" s="19"/>
      <c r="Q14" s="19"/>
      <c r="R14" s="19"/>
      <c r="S14" s="19"/>
      <c r="T14" s="19"/>
      <c r="U14" s="19"/>
    </row>
    <row r="15" spans="2:21" ht="18.75" x14ac:dyDescent="0.3">
      <c r="B15" s="17"/>
      <c r="C15" s="19"/>
      <c r="D15" s="19"/>
      <c r="E15" s="19"/>
      <c r="F15" s="19"/>
      <c r="G15" s="19"/>
      <c r="H15" s="19"/>
      <c r="I15" s="19"/>
      <c r="J15" s="19"/>
      <c r="K15" s="19"/>
      <c r="L15" s="19"/>
      <c r="M15" s="19"/>
      <c r="N15" s="19"/>
      <c r="O15" s="19"/>
      <c r="P15" s="19"/>
      <c r="Q15" s="19"/>
      <c r="R15" s="19"/>
      <c r="S15" s="19"/>
      <c r="T15" s="19"/>
      <c r="U15" s="19"/>
    </row>
    <row r="16" spans="2:21" ht="18.75" x14ac:dyDescent="0.3">
      <c r="B16" s="17"/>
      <c r="C16" s="19"/>
      <c r="D16" s="19"/>
      <c r="E16" s="19"/>
      <c r="F16" s="19"/>
      <c r="G16" s="19"/>
      <c r="H16" s="19"/>
      <c r="I16" s="19"/>
      <c r="J16" s="19"/>
      <c r="K16" s="19"/>
      <c r="L16" s="19"/>
      <c r="M16" s="19"/>
      <c r="N16" s="19"/>
      <c r="O16" s="19"/>
      <c r="P16" s="19"/>
      <c r="Q16" s="19"/>
      <c r="R16" s="19"/>
      <c r="S16" s="19"/>
      <c r="T16" s="19"/>
      <c r="U16" s="19"/>
    </row>
    <row r="17" spans="2:21" ht="18.75" x14ac:dyDescent="0.3">
      <c r="B17" s="17"/>
      <c r="C17" s="19"/>
      <c r="D17" s="19"/>
      <c r="E17" s="19"/>
      <c r="F17" s="19"/>
      <c r="G17" s="19"/>
      <c r="H17" s="19"/>
      <c r="I17" s="19"/>
      <c r="J17" s="19"/>
      <c r="K17" s="19"/>
      <c r="L17" s="19"/>
      <c r="M17" s="19"/>
      <c r="N17" s="19"/>
      <c r="O17" s="19"/>
      <c r="P17" s="19"/>
      <c r="Q17" s="19"/>
      <c r="R17" s="19"/>
      <c r="S17" s="19"/>
      <c r="T17" s="19"/>
      <c r="U17" s="19"/>
    </row>
    <row r="18" spans="2:21" ht="18.75" x14ac:dyDescent="0.3">
      <c r="B18" s="17"/>
      <c r="C18" s="19"/>
      <c r="D18" s="19"/>
      <c r="E18" s="19"/>
      <c r="F18" s="19"/>
      <c r="G18" s="19"/>
      <c r="H18" s="19"/>
      <c r="I18" s="19"/>
      <c r="J18" s="19"/>
      <c r="K18" s="19"/>
      <c r="L18" s="19"/>
      <c r="M18" s="19"/>
      <c r="N18" s="19"/>
      <c r="O18" s="19"/>
      <c r="P18" s="19"/>
      <c r="Q18" s="19"/>
      <c r="R18" s="19"/>
      <c r="S18" s="19"/>
      <c r="T18" s="19"/>
      <c r="U18" s="19"/>
    </row>
    <row r="19" spans="2:21" ht="18.75" x14ac:dyDescent="0.3">
      <c r="B19" s="17"/>
      <c r="C19" s="19"/>
      <c r="D19" s="19"/>
      <c r="E19" s="19"/>
      <c r="F19" s="19"/>
      <c r="G19" s="19"/>
      <c r="H19" s="19"/>
      <c r="I19" s="19"/>
      <c r="J19" s="19"/>
      <c r="K19" s="19"/>
      <c r="L19" s="19"/>
      <c r="M19" s="19"/>
      <c r="N19" s="19"/>
      <c r="O19" s="19"/>
      <c r="P19" s="19"/>
      <c r="Q19" s="19"/>
      <c r="R19" s="19"/>
      <c r="S19" s="19"/>
      <c r="T19" s="19"/>
      <c r="U19" s="19"/>
    </row>
    <row r="20" spans="2:21" ht="18.75" x14ac:dyDescent="0.3">
      <c r="B20" s="17"/>
      <c r="C20" s="19"/>
      <c r="D20" s="19"/>
      <c r="E20" s="19"/>
      <c r="F20" s="19"/>
      <c r="G20" s="19"/>
      <c r="H20" s="19"/>
      <c r="I20" s="19"/>
      <c r="J20" s="19"/>
      <c r="K20" s="19"/>
      <c r="L20" s="19"/>
      <c r="M20" s="19"/>
      <c r="N20" s="19"/>
      <c r="O20" s="19"/>
      <c r="P20" s="19"/>
      <c r="Q20" s="19"/>
      <c r="R20" s="19"/>
      <c r="S20" s="19"/>
      <c r="T20" s="19"/>
      <c r="U20" s="19"/>
    </row>
    <row r="21" spans="2:21" ht="18.75" x14ac:dyDescent="0.3">
      <c r="B21" s="17"/>
      <c r="C21" s="19"/>
      <c r="D21" s="19"/>
      <c r="E21" s="19"/>
      <c r="F21" s="19"/>
      <c r="G21" s="19"/>
      <c r="H21" s="19"/>
      <c r="I21" s="19"/>
      <c r="J21" s="19"/>
      <c r="K21" s="19"/>
      <c r="L21" s="19"/>
      <c r="M21" s="19"/>
      <c r="N21" s="19"/>
      <c r="O21" s="19"/>
      <c r="P21" s="19"/>
      <c r="Q21" s="19"/>
      <c r="R21" s="19"/>
      <c r="S21" s="19"/>
      <c r="T21" s="19"/>
      <c r="U21" s="19"/>
    </row>
    <row r="22" spans="2:21" ht="18.75" x14ac:dyDescent="0.3">
      <c r="B22" s="17"/>
      <c r="C22" s="19"/>
      <c r="D22" s="19"/>
      <c r="E22" s="19"/>
      <c r="F22" s="19"/>
      <c r="G22" s="19"/>
      <c r="H22" s="19"/>
      <c r="I22" s="19"/>
      <c r="J22" s="19"/>
      <c r="K22" s="19"/>
      <c r="L22" s="19"/>
      <c r="M22" s="19"/>
      <c r="N22" s="19"/>
      <c r="O22" s="19"/>
      <c r="P22" s="19"/>
      <c r="Q22" s="19"/>
      <c r="R22" s="19"/>
      <c r="S22" s="19"/>
      <c r="T22" s="19"/>
      <c r="U22" s="19"/>
    </row>
    <row r="23" spans="2:21" ht="18.75" x14ac:dyDescent="0.3">
      <c r="B23" s="17"/>
      <c r="C23" s="19"/>
      <c r="D23" s="19"/>
      <c r="E23" s="19"/>
      <c r="F23" s="19"/>
      <c r="G23" s="19"/>
      <c r="H23" s="19"/>
      <c r="I23" s="19"/>
      <c r="J23" s="19"/>
      <c r="K23" s="19"/>
      <c r="L23" s="19"/>
      <c r="M23" s="19"/>
      <c r="N23" s="19"/>
      <c r="O23" s="19"/>
      <c r="P23" s="19"/>
      <c r="Q23" s="19"/>
      <c r="R23" s="19"/>
      <c r="S23" s="19"/>
      <c r="T23" s="19"/>
      <c r="U23" s="19"/>
    </row>
    <row r="24" spans="2:21" ht="18.75" x14ac:dyDescent="0.3">
      <c r="B24" s="17"/>
      <c r="C24" s="19"/>
      <c r="D24" s="19"/>
      <c r="E24" s="19"/>
      <c r="F24" s="19"/>
      <c r="G24" s="19"/>
      <c r="H24" s="19"/>
      <c r="I24" s="19"/>
      <c r="J24" s="19"/>
      <c r="K24" s="19"/>
      <c r="L24" s="19"/>
      <c r="M24" s="19"/>
      <c r="N24" s="19"/>
      <c r="O24" s="19"/>
      <c r="P24" s="19"/>
      <c r="Q24" s="19"/>
      <c r="R24" s="19"/>
      <c r="S24" s="19"/>
      <c r="T24" s="19"/>
      <c r="U24" s="19"/>
    </row>
    <row r="25" spans="2:21" ht="18.75" x14ac:dyDescent="0.3">
      <c r="B25" s="17"/>
      <c r="C25" s="19"/>
      <c r="D25" s="19"/>
      <c r="E25" s="19"/>
      <c r="F25" s="19"/>
      <c r="G25" s="19"/>
      <c r="H25" s="19"/>
      <c r="I25" s="19"/>
      <c r="J25" s="19"/>
      <c r="K25" s="19"/>
      <c r="L25" s="19"/>
      <c r="M25" s="19"/>
      <c r="N25" s="19"/>
      <c r="O25" s="19"/>
      <c r="P25" s="19"/>
      <c r="Q25" s="19"/>
      <c r="R25" s="19"/>
      <c r="S25" s="19"/>
      <c r="T25" s="19"/>
      <c r="U25" s="19"/>
    </row>
    <row r="26" spans="2:21" ht="18.75" x14ac:dyDescent="0.3">
      <c r="B26" s="17"/>
      <c r="C26" s="19"/>
      <c r="D26" s="19"/>
      <c r="E26" s="19"/>
      <c r="F26" s="19"/>
      <c r="G26" s="19"/>
      <c r="H26" s="19"/>
      <c r="I26" s="19"/>
      <c r="J26" s="19"/>
      <c r="K26" s="19"/>
      <c r="L26" s="19"/>
      <c r="M26" s="19"/>
      <c r="N26" s="19"/>
      <c r="O26" s="19"/>
      <c r="P26" s="19"/>
      <c r="Q26" s="19"/>
      <c r="R26" s="19"/>
      <c r="S26" s="19"/>
      <c r="T26" s="19"/>
      <c r="U26" s="19"/>
    </row>
    <row r="27" spans="2:21" ht="18.75" x14ac:dyDescent="0.3">
      <c r="B27" s="17"/>
      <c r="C27" s="19"/>
      <c r="D27" s="19"/>
      <c r="E27" s="19"/>
      <c r="F27" s="19"/>
      <c r="G27" s="19"/>
      <c r="H27" s="19"/>
      <c r="I27" s="19"/>
      <c r="J27" s="19"/>
      <c r="K27" s="19"/>
      <c r="L27" s="19"/>
      <c r="M27" s="19"/>
      <c r="N27" s="19"/>
      <c r="O27" s="19"/>
      <c r="P27" s="19"/>
      <c r="Q27" s="19"/>
      <c r="R27" s="19"/>
      <c r="S27" s="19"/>
      <c r="T27" s="19"/>
      <c r="U27" s="19"/>
    </row>
    <row r="28" spans="2:21" ht="18.75" x14ac:dyDescent="0.3">
      <c r="B28" s="17"/>
      <c r="C28" s="19"/>
      <c r="D28" s="19"/>
      <c r="E28" s="19"/>
      <c r="F28" s="19"/>
      <c r="G28" s="19"/>
      <c r="H28" s="19"/>
      <c r="I28" s="19"/>
      <c r="J28" s="19"/>
      <c r="K28" s="19"/>
      <c r="L28" s="19"/>
      <c r="M28" s="19"/>
      <c r="N28" s="19"/>
      <c r="O28" s="19"/>
      <c r="P28" s="19"/>
      <c r="Q28" s="19"/>
      <c r="R28" s="19"/>
      <c r="S28" s="19"/>
      <c r="T28" s="19"/>
      <c r="U28" s="19"/>
    </row>
    <row r="29" spans="2:21" ht="18.75" x14ac:dyDescent="0.3">
      <c r="B29" s="17"/>
      <c r="C29" s="19"/>
      <c r="D29" s="19"/>
      <c r="E29" s="19"/>
      <c r="F29" s="19"/>
      <c r="G29" s="19"/>
      <c r="H29" s="19"/>
      <c r="I29" s="19"/>
      <c r="J29" s="19"/>
      <c r="K29" s="19"/>
      <c r="L29" s="19"/>
      <c r="M29" s="19"/>
      <c r="N29" s="19"/>
      <c r="O29" s="19"/>
      <c r="P29" s="19"/>
      <c r="Q29" s="19"/>
      <c r="R29" s="19"/>
      <c r="S29" s="19"/>
      <c r="T29" s="19"/>
      <c r="U29" s="19"/>
    </row>
    <row r="30" spans="2:21" ht="18.75" x14ac:dyDescent="0.3">
      <c r="B30" s="17"/>
      <c r="C30" s="19"/>
      <c r="D30" s="19"/>
      <c r="E30" s="19"/>
      <c r="F30" s="19"/>
      <c r="G30" s="19"/>
      <c r="H30" s="19"/>
      <c r="I30" s="19"/>
      <c r="J30" s="19"/>
      <c r="K30" s="19"/>
      <c r="L30" s="19"/>
      <c r="M30" s="19"/>
      <c r="N30" s="19"/>
      <c r="O30" s="19"/>
      <c r="P30" s="19"/>
      <c r="Q30" s="19"/>
      <c r="R30" s="19"/>
      <c r="S30" s="19"/>
      <c r="T30" s="19"/>
      <c r="U30" s="19"/>
    </row>
    <row r="31" spans="2:21" ht="18.75" x14ac:dyDescent="0.3">
      <c r="B31" s="17"/>
      <c r="C31" s="19"/>
      <c r="D31" s="19"/>
      <c r="E31" s="19"/>
      <c r="F31" s="19"/>
      <c r="G31" s="19"/>
      <c r="H31" s="19"/>
      <c r="I31" s="19"/>
      <c r="J31" s="19"/>
      <c r="K31" s="19"/>
      <c r="L31" s="19"/>
      <c r="M31" s="19"/>
      <c r="N31" s="19"/>
      <c r="O31" s="19"/>
      <c r="P31" s="19"/>
      <c r="Q31" s="19"/>
      <c r="R31" s="19"/>
      <c r="S31" s="19"/>
      <c r="T31" s="19"/>
      <c r="U31" s="19"/>
    </row>
    <row r="32" spans="2:21" ht="18.75" x14ac:dyDescent="0.3">
      <c r="B32" s="17"/>
      <c r="C32" s="19"/>
      <c r="D32" s="19"/>
      <c r="E32" s="19"/>
      <c r="F32" s="19"/>
      <c r="G32" s="19"/>
      <c r="H32" s="19"/>
      <c r="I32" s="19"/>
      <c r="J32" s="19"/>
      <c r="K32" s="19"/>
      <c r="L32" s="19"/>
      <c r="M32" s="19"/>
      <c r="N32" s="19"/>
      <c r="O32" s="19"/>
      <c r="P32" s="19"/>
      <c r="Q32" s="19"/>
      <c r="R32" s="19"/>
      <c r="S32" s="19"/>
      <c r="T32" s="19"/>
      <c r="U32" s="19"/>
    </row>
    <row r="33" spans="2:21" ht="18.75" x14ac:dyDescent="0.3">
      <c r="B33" s="17"/>
      <c r="C33" s="19"/>
      <c r="D33" s="19"/>
      <c r="E33" s="19"/>
      <c r="F33" s="19"/>
      <c r="G33" s="19"/>
      <c r="H33" s="19"/>
      <c r="I33" s="19"/>
      <c r="J33" s="19"/>
      <c r="K33" s="19"/>
      <c r="L33" s="19"/>
      <c r="M33" s="19"/>
      <c r="N33" s="19"/>
      <c r="O33" s="19"/>
      <c r="P33" s="19"/>
      <c r="Q33" s="19"/>
      <c r="R33" s="19"/>
      <c r="S33" s="19"/>
      <c r="T33" s="19"/>
      <c r="U33" s="19"/>
    </row>
    <row r="34" spans="2:21" ht="18.75" x14ac:dyDescent="0.3">
      <c r="B34" s="18"/>
      <c r="C34" s="20"/>
      <c r="D34" s="20"/>
      <c r="E34" s="20"/>
      <c r="F34" s="20"/>
      <c r="G34" s="20"/>
      <c r="H34" s="20"/>
      <c r="I34" s="20"/>
      <c r="J34" s="20"/>
      <c r="K34" s="20"/>
      <c r="L34" s="20"/>
      <c r="M34" s="20"/>
      <c r="N34" s="20"/>
      <c r="O34" s="20"/>
      <c r="P34" s="20"/>
      <c r="Q34" s="20"/>
      <c r="R34" s="20"/>
      <c r="S34" s="20"/>
      <c r="T34" s="20"/>
      <c r="U34" s="20"/>
    </row>
    <row r="35" spans="2:21" ht="18.75" x14ac:dyDescent="0.3">
      <c r="C35" s="21"/>
      <c r="D35" s="21"/>
      <c r="E35" s="21"/>
      <c r="F35" s="21"/>
      <c r="G35" s="21"/>
      <c r="H35" s="21"/>
      <c r="I35" s="21"/>
      <c r="J35" s="21"/>
      <c r="K35" s="21"/>
      <c r="L35" s="21"/>
      <c r="M35" s="21"/>
      <c r="N35" s="21"/>
      <c r="O35" s="21"/>
      <c r="P35" s="21"/>
      <c r="Q35" s="21"/>
      <c r="R35" s="21"/>
      <c r="S35" s="21"/>
      <c r="T35" s="21"/>
      <c r="U35" s="21"/>
    </row>
    <row r="36" spans="2:21" ht="18.75" x14ac:dyDescent="0.3">
      <c r="C36" s="21"/>
      <c r="D36" s="21"/>
      <c r="E36" s="21"/>
      <c r="F36" s="21"/>
      <c r="G36" s="21"/>
      <c r="H36" s="21"/>
      <c r="I36" s="21"/>
      <c r="J36" s="21"/>
      <c r="K36" s="21"/>
      <c r="L36" s="21"/>
      <c r="M36" s="21"/>
      <c r="N36" s="21"/>
      <c r="O36" s="21"/>
      <c r="P36" s="21"/>
      <c r="Q36" s="21"/>
      <c r="R36" s="21"/>
      <c r="S36" s="21"/>
      <c r="T36" s="21"/>
      <c r="U36" s="21"/>
    </row>
    <row r="37" spans="2:21" ht="18.75" x14ac:dyDescent="0.3">
      <c r="C37" s="21"/>
      <c r="D37" s="21"/>
      <c r="E37" s="21"/>
      <c r="F37" s="21"/>
      <c r="G37" s="21"/>
      <c r="H37" s="21"/>
      <c r="I37" s="21"/>
      <c r="J37" s="21"/>
      <c r="K37" s="21"/>
      <c r="L37" s="21"/>
      <c r="M37" s="21"/>
      <c r="N37" s="21"/>
      <c r="O37" s="21"/>
      <c r="P37" s="21"/>
      <c r="Q37" s="21"/>
      <c r="R37" s="21"/>
      <c r="S37" s="21"/>
      <c r="T37" s="21"/>
      <c r="U37" s="21"/>
    </row>
    <row r="38" spans="2:21" ht="18.75" x14ac:dyDescent="0.3">
      <c r="C38" s="21"/>
      <c r="D38" s="21"/>
      <c r="E38" s="21"/>
      <c r="F38" s="21"/>
      <c r="G38" s="21"/>
      <c r="H38" s="21"/>
      <c r="I38" s="21"/>
      <c r="J38" s="21"/>
      <c r="K38" s="21"/>
      <c r="L38" s="21"/>
      <c r="M38" s="21"/>
      <c r="N38" s="21"/>
      <c r="O38" s="21"/>
      <c r="P38" s="21"/>
      <c r="Q38" s="21"/>
      <c r="R38" s="21"/>
      <c r="S38" s="21"/>
      <c r="T38" s="21"/>
      <c r="U38" s="21"/>
    </row>
    <row r="39" spans="2:21" ht="18.75" x14ac:dyDescent="0.3">
      <c r="C39" s="21"/>
      <c r="D39" s="21"/>
      <c r="E39" s="21"/>
      <c r="F39" s="21"/>
      <c r="G39" s="21"/>
      <c r="H39" s="21"/>
      <c r="I39" s="21"/>
      <c r="J39" s="21"/>
      <c r="K39" s="21"/>
      <c r="L39" s="21"/>
      <c r="M39" s="21"/>
      <c r="N39" s="21"/>
      <c r="O39" s="21"/>
      <c r="P39" s="21"/>
      <c r="Q39" s="21"/>
      <c r="R39" s="21"/>
      <c r="S39" s="21"/>
      <c r="T39" s="21"/>
      <c r="U39" s="21"/>
    </row>
    <row r="40" spans="2:21" ht="18.75" x14ac:dyDescent="0.3">
      <c r="C40" s="21"/>
      <c r="D40" s="21"/>
      <c r="E40" s="21"/>
      <c r="F40" s="21"/>
      <c r="G40" s="21"/>
      <c r="H40" s="21"/>
      <c r="I40" s="21"/>
      <c r="J40" s="21"/>
      <c r="K40" s="21"/>
      <c r="L40" s="21"/>
      <c r="M40" s="21"/>
      <c r="N40" s="21"/>
      <c r="O40" s="21"/>
      <c r="P40" s="21"/>
      <c r="Q40" s="21"/>
      <c r="R40" s="21"/>
      <c r="S40" s="21"/>
      <c r="T40" s="21"/>
      <c r="U40" s="21"/>
    </row>
    <row r="41" spans="2:21" ht="18.75" x14ac:dyDescent="0.3">
      <c r="C41" s="21"/>
      <c r="D41" s="21"/>
      <c r="E41" s="21"/>
      <c r="F41" s="21"/>
      <c r="G41" s="21"/>
      <c r="H41" s="21"/>
      <c r="I41" s="21"/>
      <c r="J41" s="21"/>
      <c r="K41" s="21"/>
      <c r="L41" s="21"/>
      <c r="M41" s="21"/>
      <c r="N41" s="21"/>
      <c r="O41" s="21"/>
      <c r="P41" s="21"/>
      <c r="Q41" s="21"/>
      <c r="R41" s="21"/>
      <c r="S41" s="21"/>
      <c r="T41" s="21"/>
      <c r="U41" s="21"/>
    </row>
    <row r="42" spans="2:21" ht="18.75" x14ac:dyDescent="0.3">
      <c r="C42" s="21"/>
      <c r="D42" s="21"/>
      <c r="E42" s="21"/>
      <c r="F42" s="21"/>
      <c r="G42" s="21"/>
      <c r="H42" s="21"/>
      <c r="I42" s="21"/>
      <c r="J42" s="21"/>
      <c r="K42" s="21"/>
      <c r="L42" s="21"/>
      <c r="M42" s="21"/>
      <c r="N42" s="21"/>
      <c r="O42" s="21"/>
      <c r="P42" s="21"/>
      <c r="Q42" s="21"/>
      <c r="R42" s="21"/>
      <c r="S42" s="21"/>
      <c r="T42" s="21"/>
      <c r="U42" s="21"/>
    </row>
    <row r="43" spans="2:21" ht="18.75" x14ac:dyDescent="0.3">
      <c r="C43" s="21"/>
      <c r="D43" s="21"/>
      <c r="E43" s="21"/>
      <c r="F43" s="21"/>
      <c r="G43" s="21"/>
      <c r="H43" s="21"/>
      <c r="I43" s="21"/>
      <c r="J43" s="21"/>
      <c r="K43" s="21"/>
      <c r="L43" s="21"/>
      <c r="M43" s="21"/>
      <c r="N43" s="21"/>
      <c r="O43" s="21"/>
      <c r="P43" s="21"/>
      <c r="Q43" s="21"/>
      <c r="R43" s="21"/>
      <c r="S43" s="21"/>
      <c r="T43" s="21"/>
      <c r="U43" s="21"/>
    </row>
    <row r="44" spans="2:21" ht="18.75" x14ac:dyDescent="0.3">
      <c r="C44" s="21"/>
      <c r="D44" s="21"/>
      <c r="E44" s="21"/>
      <c r="F44" s="21"/>
      <c r="G44" s="21"/>
      <c r="H44" s="21"/>
      <c r="I44" s="21"/>
      <c r="J44" s="21"/>
      <c r="K44" s="21"/>
      <c r="L44" s="21"/>
      <c r="M44" s="21"/>
      <c r="N44" s="21"/>
      <c r="O44" s="21"/>
      <c r="P44" s="21"/>
      <c r="Q44" s="21"/>
      <c r="R44" s="21"/>
      <c r="S44" s="21"/>
      <c r="T44" s="21"/>
      <c r="U44" s="21"/>
    </row>
    <row r="45" spans="2:21" ht="18.75" x14ac:dyDescent="0.3">
      <c r="C45" s="21"/>
      <c r="D45" s="21"/>
      <c r="E45" s="21"/>
      <c r="F45" s="21"/>
      <c r="G45" s="21"/>
      <c r="H45" s="21"/>
      <c r="I45" s="21"/>
      <c r="J45" s="21"/>
      <c r="K45" s="21"/>
      <c r="L45" s="21"/>
      <c r="M45" s="21"/>
      <c r="N45" s="21"/>
      <c r="O45" s="21"/>
      <c r="P45" s="21"/>
      <c r="Q45" s="21"/>
      <c r="R45" s="21"/>
      <c r="S45" s="21"/>
      <c r="T45" s="21"/>
      <c r="U45" s="21"/>
    </row>
    <row r="46" spans="2:21" ht="18.75" x14ac:dyDescent="0.3">
      <c r="C46" s="21"/>
      <c r="D46" s="21"/>
      <c r="E46" s="21"/>
      <c r="F46" s="21"/>
      <c r="G46" s="21"/>
      <c r="H46" s="21"/>
      <c r="I46" s="21"/>
      <c r="J46" s="21"/>
      <c r="K46" s="21"/>
      <c r="L46" s="21"/>
      <c r="M46" s="21"/>
      <c r="N46" s="21"/>
      <c r="O46" s="21"/>
      <c r="P46" s="21"/>
      <c r="Q46" s="21"/>
      <c r="R46" s="21"/>
      <c r="S46" s="21"/>
      <c r="T46" s="21"/>
      <c r="U46" s="21"/>
    </row>
    <row r="47" spans="2:21" ht="18.75" x14ac:dyDescent="0.3">
      <c r="C47" s="21"/>
      <c r="D47" s="21"/>
      <c r="E47" s="21"/>
      <c r="F47" s="21"/>
      <c r="G47" s="21"/>
      <c r="H47" s="21"/>
      <c r="I47" s="21"/>
      <c r="J47" s="21"/>
      <c r="K47" s="21"/>
      <c r="L47" s="21"/>
      <c r="M47" s="21"/>
      <c r="N47" s="21"/>
      <c r="O47" s="21"/>
      <c r="P47" s="21"/>
      <c r="Q47" s="21"/>
      <c r="R47" s="21"/>
      <c r="S47" s="21"/>
      <c r="T47" s="21"/>
      <c r="U47" s="21"/>
    </row>
    <row r="48" spans="2:21" ht="18.75" x14ac:dyDescent="0.3">
      <c r="C48" s="21"/>
      <c r="D48" s="21"/>
      <c r="E48" s="21"/>
      <c r="F48" s="21"/>
      <c r="G48" s="21"/>
      <c r="H48" s="21"/>
      <c r="I48" s="21"/>
      <c r="J48" s="21"/>
      <c r="K48" s="21"/>
      <c r="L48" s="21"/>
      <c r="M48" s="21"/>
      <c r="N48" s="21"/>
      <c r="O48" s="21"/>
      <c r="P48" s="21"/>
      <c r="Q48" s="21"/>
      <c r="R48" s="21"/>
      <c r="S48" s="21"/>
      <c r="T48" s="21"/>
      <c r="U48" s="21"/>
    </row>
    <row r="49" spans="3:21" ht="18.75" x14ac:dyDescent="0.3">
      <c r="C49" s="21"/>
      <c r="D49" s="21"/>
      <c r="E49" s="21"/>
      <c r="F49" s="21"/>
      <c r="G49" s="21"/>
      <c r="H49" s="21"/>
      <c r="I49" s="21"/>
      <c r="J49" s="21"/>
      <c r="K49" s="21"/>
      <c r="L49" s="21"/>
      <c r="M49" s="21"/>
      <c r="N49" s="21"/>
      <c r="O49" s="21"/>
      <c r="P49" s="21"/>
      <c r="Q49" s="21"/>
      <c r="R49" s="21"/>
      <c r="S49" s="21"/>
      <c r="T49" s="21"/>
      <c r="U49" s="21"/>
    </row>
    <row r="50" spans="3:21" ht="18.75" x14ac:dyDescent="0.3">
      <c r="C50" s="21"/>
      <c r="D50" s="21"/>
      <c r="E50" s="21"/>
      <c r="F50" s="21"/>
      <c r="G50" s="21"/>
      <c r="H50" s="21"/>
      <c r="I50" s="21"/>
      <c r="J50" s="21"/>
      <c r="K50" s="21"/>
      <c r="L50" s="21"/>
      <c r="M50" s="21"/>
      <c r="N50" s="21"/>
      <c r="O50" s="21"/>
      <c r="P50" s="21"/>
      <c r="Q50" s="21"/>
      <c r="R50" s="21"/>
      <c r="S50" s="21"/>
      <c r="T50" s="21"/>
      <c r="U50" s="21"/>
    </row>
    <row r="51" spans="3:21" ht="18.75" x14ac:dyDescent="0.3">
      <c r="C51" s="21"/>
      <c r="D51" s="21"/>
      <c r="E51" s="21"/>
      <c r="F51" s="21"/>
      <c r="G51" s="21"/>
      <c r="H51" s="21"/>
      <c r="I51" s="21"/>
      <c r="J51" s="21"/>
      <c r="K51" s="21"/>
      <c r="L51" s="21"/>
      <c r="M51" s="21"/>
      <c r="N51" s="21"/>
      <c r="O51" s="21"/>
      <c r="P51" s="21"/>
      <c r="Q51" s="21"/>
      <c r="R51" s="21"/>
      <c r="S51" s="21"/>
      <c r="T51" s="21"/>
      <c r="U51" s="21"/>
    </row>
    <row r="52" spans="3:21" ht="18.75" x14ac:dyDescent="0.3">
      <c r="C52" s="21"/>
      <c r="D52" s="21"/>
      <c r="E52" s="21"/>
      <c r="F52" s="21"/>
      <c r="G52" s="21"/>
      <c r="H52" s="21"/>
      <c r="I52" s="21"/>
      <c r="J52" s="21"/>
      <c r="K52" s="21"/>
      <c r="L52" s="21"/>
      <c r="M52" s="21"/>
      <c r="N52" s="21"/>
      <c r="O52" s="21"/>
      <c r="P52" s="21"/>
      <c r="Q52" s="21"/>
      <c r="R52" s="21"/>
      <c r="S52" s="21"/>
      <c r="T52" s="21"/>
      <c r="U52" s="21"/>
    </row>
    <row r="53" spans="3:21" ht="18.75" x14ac:dyDescent="0.3">
      <c r="C53" s="21"/>
      <c r="D53" s="21"/>
      <c r="E53" s="21"/>
      <c r="F53" s="21"/>
      <c r="G53" s="21"/>
      <c r="H53" s="21"/>
      <c r="I53" s="21"/>
      <c r="J53" s="21"/>
      <c r="K53" s="21"/>
      <c r="L53" s="21"/>
      <c r="M53" s="21"/>
      <c r="N53" s="21"/>
      <c r="O53" s="21"/>
      <c r="P53" s="21"/>
      <c r="Q53" s="21"/>
      <c r="R53" s="21"/>
      <c r="S53" s="21"/>
      <c r="T53" s="21"/>
      <c r="U53" s="21"/>
    </row>
    <row r="54" spans="3:21" ht="18.75" x14ac:dyDescent="0.3">
      <c r="C54" s="21"/>
      <c r="D54" s="21"/>
      <c r="E54" s="21"/>
      <c r="F54" s="21"/>
      <c r="G54" s="21"/>
      <c r="H54" s="21"/>
      <c r="I54" s="21"/>
      <c r="J54" s="21"/>
      <c r="K54" s="21"/>
      <c r="L54" s="21"/>
      <c r="M54" s="21"/>
      <c r="N54" s="21"/>
      <c r="O54" s="21"/>
      <c r="P54" s="21"/>
      <c r="Q54" s="21"/>
      <c r="R54" s="21"/>
      <c r="S54" s="21"/>
      <c r="T54" s="21"/>
      <c r="U54" s="21"/>
    </row>
    <row r="55" spans="3:21" ht="18.75" x14ac:dyDescent="0.3">
      <c r="C55" s="21"/>
      <c r="D55" s="21"/>
      <c r="E55" s="21"/>
      <c r="F55" s="21"/>
      <c r="G55" s="21"/>
      <c r="H55" s="21"/>
      <c r="I55" s="21"/>
      <c r="J55" s="21"/>
      <c r="K55" s="21"/>
      <c r="L55" s="21"/>
      <c r="M55" s="21"/>
      <c r="N55" s="21"/>
      <c r="O55" s="21"/>
      <c r="P55" s="21"/>
      <c r="Q55" s="21"/>
      <c r="R55" s="21"/>
      <c r="S55" s="21"/>
      <c r="T55" s="21"/>
      <c r="U55" s="21"/>
    </row>
    <row r="56" spans="3:21" ht="18.75" x14ac:dyDescent="0.3">
      <c r="C56" s="21"/>
      <c r="D56" s="21"/>
      <c r="E56" s="21"/>
      <c r="F56" s="21"/>
      <c r="G56" s="21"/>
      <c r="H56" s="21"/>
      <c r="I56" s="21"/>
      <c r="J56" s="21"/>
      <c r="K56" s="21"/>
      <c r="L56" s="21"/>
      <c r="M56" s="21"/>
      <c r="N56" s="21"/>
      <c r="O56" s="21"/>
      <c r="P56" s="21"/>
      <c r="Q56" s="21"/>
      <c r="R56" s="21"/>
      <c r="S56" s="21"/>
      <c r="T56" s="21"/>
      <c r="U56" s="21"/>
    </row>
  </sheetData>
  <customSheetViews>
    <customSheetView guid="{27845B34-279C-44A8-8AD1-89637F247940}" hiddenColumns="1">
      <selection activeCell="F18" sqref="F18"/>
      <pageMargins left="0.7" right="0.7" top="0.75" bottom="0.75" header="0.3" footer="0.3"/>
      <pageSetup orientation="portrait" r:id="rId1"/>
    </customSheetView>
  </customSheetViews>
  <mergeCells count="4">
    <mergeCell ref="G4:J4"/>
    <mergeCell ref="G8:J8"/>
    <mergeCell ref="G5:G7"/>
    <mergeCell ref="J5:J7"/>
  </mergeCells>
  <conditionalFormatting sqref="K4">
    <cfRule type="dataBar" priority="3">
      <dataBar>
        <cfvo type="min"/>
        <cfvo type="max"/>
        <color rgb="FF008AEF"/>
      </dataBar>
      <extLst>
        <ext xmlns:x14="http://schemas.microsoft.com/office/spreadsheetml/2009/9/main" uri="{B025F937-C7B1-47D3-B67F-A62EFF666E3E}">
          <x14:id>{86DC623D-9139-4ACF-B5FD-CECB7177EEE4}</x14:id>
        </ext>
      </extLst>
    </cfRule>
  </conditionalFormatting>
  <conditionalFormatting sqref="H11:H13">
    <cfRule type="dataBar" priority="1">
      <dataBar>
        <cfvo type="min"/>
        <cfvo type="max"/>
        <color rgb="FF008AEF"/>
      </dataBar>
      <extLst>
        <ext xmlns:x14="http://schemas.microsoft.com/office/spreadsheetml/2009/9/main" uri="{B025F937-C7B1-47D3-B67F-A62EFF666E3E}">
          <x14:id>{BA7D56F7-61E0-4C52-943A-CBD382FFC14D}</x14:id>
        </ext>
      </extLst>
    </cfRule>
  </conditionalFormatting>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dataBar" id="{86DC623D-9139-4ACF-B5FD-CECB7177EEE4}">
            <x14:dataBar minLength="0" maxLength="100" border="1" negativeBarBorderColorSameAsPositive="0">
              <x14:cfvo type="autoMin"/>
              <x14:cfvo type="autoMax"/>
              <x14:borderColor rgb="FF008AEF"/>
              <x14:negativeFillColor rgb="FFFF0000"/>
              <x14:negativeBorderColor rgb="FFFF0000"/>
              <x14:axisColor rgb="FF000000"/>
            </x14:dataBar>
          </x14:cfRule>
          <xm:sqref>K4</xm:sqref>
        </x14:conditionalFormatting>
        <x14:conditionalFormatting xmlns:xm="http://schemas.microsoft.com/office/excel/2006/main">
          <x14:cfRule type="dataBar" id="{BA7D56F7-61E0-4C52-943A-CBD382FFC14D}">
            <x14:dataBar minLength="0" maxLength="100" border="1" negativeBarBorderColorSameAsPositive="0">
              <x14:cfvo type="autoMin"/>
              <x14:cfvo type="autoMax"/>
              <x14:borderColor rgb="FF008AEF"/>
              <x14:negativeFillColor rgb="FFFF0000"/>
              <x14:negativeBorderColor rgb="FFFF0000"/>
              <x14:axisColor rgb="FF000000"/>
            </x14:dataBar>
          </x14:cfRule>
          <xm:sqref>H11:H13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9:M11"/>
  <sheetViews>
    <sheetView workbookViewId="0">
      <selection activeCell="I19" sqref="I19"/>
    </sheetView>
  </sheetViews>
  <sheetFormatPr defaultRowHeight="15" x14ac:dyDescent="0.25"/>
  <cols>
    <col min="13" max="13" width="10.28515625" customWidth="1"/>
  </cols>
  <sheetData>
    <row r="9" spans="8:13" ht="23.25" x14ac:dyDescent="0.35">
      <c r="H9" s="69"/>
      <c r="I9" s="69"/>
      <c r="J9" s="70"/>
      <c r="K9" s="69"/>
      <c r="L9" s="69"/>
      <c r="M9" s="71"/>
    </row>
    <row r="10" spans="8:13" ht="23.25" x14ac:dyDescent="0.35">
      <c r="H10" s="69"/>
      <c r="I10" s="69"/>
      <c r="J10" s="70"/>
      <c r="K10" s="69"/>
      <c r="L10" s="69"/>
      <c r="M10" s="71"/>
    </row>
    <row r="11" spans="8:13" ht="23.25" x14ac:dyDescent="0.35">
      <c r="H11" s="69"/>
      <c r="I11" s="69"/>
      <c r="J11" s="70"/>
      <c r="K11" s="69"/>
      <c r="L11" s="69"/>
      <c r="M11" s="71"/>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Sheet3!$F$4:$F$7</xm:f>
          </x14:formula1>
          <xm:sqref>J9:J11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MAY-25</vt:lpstr>
      <vt:lpstr>Sheet1</vt:lpstr>
      <vt:lpstr>Sheet3</vt:lpstr>
      <vt:lpstr>Sheet2</vt:lpstr>
      <vt:lpstr>Sheet4</vt:lpstr>
      <vt:lpstr>CRANE_DELAY</vt:lpstr>
      <vt:lpstr>HR_DELAY</vt:lpstr>
      <vt:lpstr>MAINTENANCE_BREAKDOWN</vt:lpstr>
      <vt:lpstr>OPERATION_DELAY</vt:lpstr>
      <vt:lpstr>PACKAGING_DELAY</vt:lpstr>
      <vt:lpstr>SCRAP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Diganta Sahu</dc:creator>
  <cp:lastModifiedBy>KLNRWCTL1</cp:lastModifiedBy>
  <dcterms:created xsi:type="dcterms:W3CDTF">2023-04-09T11:40:18Z</dcterms:created>
  <dcterms:modified xsi:type="dcterms:W3CDTF">2026-05-15T00:17:47Z</dcterms:modified>
</cp:coreProperties>
</file>