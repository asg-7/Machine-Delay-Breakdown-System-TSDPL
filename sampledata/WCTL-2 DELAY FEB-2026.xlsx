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C:\Users\1763\Desktop\"/>
    </mc:Choice>
  </mc:AlternateContent>
  <bookViews>
    <workbookView xWindow="-105" yWindow="-105" windowWidth="19425" windowHeight="10305" tabRatio="507"/>
  </bookViews>
  <sheets>
    <sheet name="delay report" sheetId="14" r:id="rId1"/>
    <sheet name="Sheet2" sheetId="17" r:id="rId2"/>
    <sheet name="Sheet1" sheetId="18" r:id="rId3"/>
    <sheet name="Sheet3" sheetId="15" state="hidden" r:id="rId4"/>
  </sheets>
  <definedNames>
    <definedName name="_xlnm._FilterDatabase" localSheetId="0" hidden="1">'delay report'!$A$1:$N$10</definedName>
    <definedName name="CRANE_DELAY">Sheet3!$K$7:$K$17</definedName>
    <definedName name="HR_DELAY">Sheet3!$J$19:$J$21</definedName>
    <definedName name="HRNCTL">#REF!</definedName>
    <definedName name="HRS">#REF!</definedName>
    <definedName name="HRSAS">#REF!</definedName>
    <definedName name="HRWCTL">#REF!</definedName>
    <definedName name="MAINTENANCE_BREAKDOWN">Sheet3!$L$7:$L$54</definedName>
    <definedName name="OPERATION_DELAY">Sheet3!$J$7:$J$16</definedName>
    <definedName name="PACKAGING_DELAY">Sheet3!$K$20:$K$22</definedName>
    <definedName name="PICKLING">#REF!</definedName>
    <definedName name="_xlnm.Print_Area" localSheetId="0">'delay report'!$A$1:$R$4984</definedName>
    <definedName name="SCRAP">Sheet3!$I$19:$I$20</definedName>
    <definedName name="SCRAP_REMOVAL">Sheet3!$I$19:$I$20</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727" i="14" l="1"/>
  <c r="F5716" i="14"/>
  <c r="F5688" i="14" l="1"/>
  <c r="F5660" i="14" l="1"/>
  <c r="F5633" i="14"/>
  <c r="F5614" i="14"/>
  <c r="F5496" i="14" l="1"/>
  <c r="F5426" i="14" l="1"/>
  <c r="F5404" i="14"/>
  <c r="F5357" i="14" l="1"/>
  <c r="F5333" i="14" l="1"/>
  <c r="F5295" i="14" l="1"/>
  <c r="F5270" i="14"/>
  <c r="F5218" i="14" l="1"/>
  <c r="F5192" i="14"/>
  <c r="F5137" i="14" l="1"/>
  <c r="F5119" i="14"/>
  <c r="F5047" i="14" l="1"/>
  <c r="F4995" i="14"/>
  <c r="F4947" i="14"/>
  <c r="F4922" i="14"/>
  <c r="F4893" i="14" l="1"/>
  <c r="F4861" i="14" l="1"/>
  <c r="F4807" i="14"/>
  <c r="F4705" i="14"/>
  <c r="F4675" i="14"/>
  <c r="F4645" i="14" l="1"/>
  <c r="F4635" i="14"/>
  <c r="F4560" i="14" l="1"/>
  <c r="F4535" i="14"/>
  <c r="F4505" i="14"/>
  <c r="F4435" i="14"/>
  <c r="F4394" i="14"/>
  <c r="F4405" i="14"/>
  <c r="F4383" i="14" l="1"/>
  <c r="F4347" i="14"/>
  <c r="F4315" i="14"/>
  <c r="F4256" i="14"/>
  <c r="F4192" i="14" l="1"/>
  <c r="F4181" i="14"/>
  <c r="F4149" i="14"/>
  <c r="F4107" i="14"/>
  <c r="F4098" i="14"/>
  <c r="F4080" i="14"/>
  <c r="F4071" i="14"/>
  <c r="F3997" i="14"/>
  <c r="F3900" i="14"/>
  <c r="F3880" i="14"/>
  <c r="F3851" i="14"/>
  <c r="F3840" i="14"/>
  <c r="F3789" i="14"/>
  <c r="F3759" i="14" l="1"/>
  <c r="F3706" i="14"/>
  <c r="F3676" i="14" l="1"/>
  <c r="F3642" i="14"/>
  <c r="F3609" i="14"/>
  <c r="F3578" i="14"/>
  <c r="F3544" i="14"/>
  <c r="F3338" i="14" l="1"/>
  <c r="F3308" i="14"/>
  <c r="F3276" i="14"/>
  <c r="F3257" i="14"/>
  <c r="F3229" i="14"/>
  <c r="F3202" i="14"/>
  <c r="F3005" i="14" l="1"/>
  <c r="F2987" i="14"/>
  <c r="F2978" i="14"/>
  <c r="F2954" i="14"/>
  <c r="F2925" i="14"/>
  <c r="F2894" i="14" l="1"/>
  <c r="F2808" i="14"/>
  <c r="F2554" i="14" l="1"/>
  <c r="F2520" i="14"/>
  <c r="F2486" i="14"/>
  <c r="F2445" i="14" l="1"/>
  <c r="F2387" i="14"/>
  <c r="F2377" i="14"/>
  <c r="F2355" i="14"/>
  <c r="F2288" i="14"/>
  <c r="F2253" i="14"/>
  <c r="F2189" i="14" l="1"/>
  <c r="F2139" i="14"/>
  <c r="F2082" i="14" l="1"/>
  <c r="F2050" i="14"/>
  <c r="F2027" i="14"/>
  <c r="F2016" i="14"/>
  <c r="F1938" i="14"/>
  <c r="F1926" i="14"/>
  <c r="F1902" i="14"/>
  <c r="F1868" i="14" l="1"/>
  <c r="F1834" i="14"/>
  <c r="F1808" i="14"/>
  <c r="F1760" i="14" l="1"/>
  <c r="F1731" i="14"/>
  <c r="F1702" i="14" l="1"/>
  <c r="F1669" i="14"/>
  <c r="F1639" i="14"/>
  <c r="F1605" i="14"/>
  <c r="F1574" i="14" l="1"/>
  <c r="F1460" i="14" l="1"/>
  <c r="F1369" i="14" l="1"/>
  <c r="F1286" i="14"/>
  <c r="F1254" i="14"/>
  <c r="F1223" i="14" l="1"/>
  <c r="F1164" i="14"/>
  <c r="F1132" i="14"/>
  <c r="F1089" i="14" l="1"/>
  <c r="F1055" i="14" l="1"/>
  <c r="F1021" i="14"/>
  <c r="F989" i="14"/>
  <c r="F962" i="14"/>
  <c r="F837" i="14" l="1"/>
  <c r="F811" i="14"/>
  <c r="F713" i="14"/>
  <c r="F664" i="14"/>
  <c r="F633" i="14" l="1"/>
  <c r="F579" i="14"/>
  <c r="F547" i="14"/>
  <c r="F467" i="14" l="1"/>
  <c r="F404" i="14"/>
  <c r="F375" i="14" l="1"/>
  <c r="F344" i="14"/>
  <c r="F309" i="14"/>
  <c r="F200" i="14"/>
  <c r="F167" i="14" l="1"/>
  <c r="F149" i="14"/>
  <c r="Q6" i="14" s="1"/>
  <c r="H8" i="17" s="1"/>
  <c r="F39" i="14" l="1"/>
  <c r="Q5" i="14" l="1"/>
  <c r="H7" i="17" s="1"/>
  <c r="Q4" i="14"/>
  <c r="H6" i="17" s="1"/>
  <c r="N1" i="14" l="1"/>
</calcChain>
</file>

<file path=xl/sharedStrings.xml><?xml version="1.0" encoding="utf-8"?>
<sst xmlns="http://schemas.openxmlformats.org/spreadsheetml/2006/main" count="10741" uniqueCount="976">
  <si>
    <t>A</t>
  </si>
  <si>
    <t>B</t>
  </si>
  <si>
    <t>C</t>
  </si>
  <si>
    <t>Shift</t>
  </si>
  <si>
    <t>Shift Incharge</t>
  </si>
  <si>
    <t>SCRAP LOADING</t>
  </si>
  <si>
    <t>JAGANNATH REDDY</t>
  </si>
  <si>
    <t>DIGANTA SAHU</t>
  </si>
  <si>
    <t>Date</t>
  </si>
  <si>
    <t>MT</t>
  </si>
  <si>
    <t>No of Coil</t>
  </si>
  <si>
    <t>Line</t>
  </si>
  <si>
    <t xml:space="preserve">Delay Time </t>
  </si>
  <si>
    <t>LEVELLER CLEANING</t>
  </si>
  <si>
    <t>FLYING SHEAR BLADE CHANGE</t>
  </si>
  <si>
    <t>NAGESHWAR REDDY</t>
  </si>
  <si>
    <t>SUNIL PRADHAN</t>
  </si>
  <si>
    <t>VIKRAM SINGH</t>
  </si>
  <si>
    <t>ASHISH SINGH</t>
  </si>
  <si>
    <t>Sachin , Devi &amp; Team</t>
  </si>
  <si>
    <t>Ashish, Bhupender &amp; Team</t>
  </si>
  <si>
    <t>Chitta , Digambar &amp; Team</t>
  </si>
  <si>
    <t>WCTL-2</t>
  </si>
  <si>
    <t>SHIFT HANDOVER</t>
  </si>
  <si>
    <t>OPERATION DELAY</t>
  </si>
  <si>
    <t>CRANE DELAY</t>
  </si>
  <si>
    <t>MAINTENANCE BREAKDOWN</t>
  </si>
  <si>
    <t>SCRAP REMOVAL</t>
  </si>
  <si>
    <t>HR DELAY</t>
  </si>
  <si>
    <t>PACKET SHIFTING/PACKAGING DELAY</t>
  </si>
  <si>
    <t>SHIFT HANDOVER FROM PREVIOUS SHIFT</t>
  </si>
  <si>
    <t>TOTAL COIL FEEDING TIME DURING SHIFT WORKING</t>
  </si>
  <si>
    <t>TOTAL COIL FEEDING DELAY</t>
  </si>
  <si>
    <t>TOTAL QUALITY INSPECTION DELAY</t>
  </si>
  <si>
    <t>RM COIL SURFACE CHECKING &amp; MEASUREMENT OF SHEET</t>
  </si>
  <si>
    <t>ENDCUT SCRAP HANDLING</t>
  </si>
  <si>
    <t>SCRAP VEHICLE LOADING</t>
  </si>
  <si>
    <t>PRINTER NOT WORKING</t>
  </si>
  <si>
    <t>SHEET BEND IN LINE</t>
  </si>
  <si>
    <t>COIL UNLOADING</t>
  </si>
  <si>
    <t>HEAVY RAIN</t>
  </si>
  <si>
    <t>COIL FEEDING ISSUE</t>
  </si>
  <si>
    <t>LESS MANPOWER</t>
  </si>
  <si>
    <t>BUS LATE</t>
  </si>
  <si>
    <t>COMMUNICATION MEETING</t>
  </si>
  <si>
    <t>SHEET TRANSFER CAR EVACUATION DELAY</t>
  </si>
  <si>
    <t>MULTIPLE PACKETS HANDLING</t>
  </si>
  <si>
    <t>FG SPACE ISSUE</t>
  </si>
  <si>
    <t>FG VEHICLE LOADING</t>
  </si>
  <si>
    <t>SHEET LIFTER OPEN/CLOSE ISSUE</t>
  </si>
  <si>
    <t>20-20 CRANE TRIP ISSUE</t>
  </si>
  <si>
    <t>20-20 CRANE CT/LT ISSUE</t>
  </si>
  <si>
    <t>20-20 CRANE BOTTOM LEVER BEND</t>
  </si>
  <si>
    <t>20-20 CRANE LIGHT SENSOR ISSUE</t>
  </si>
  <si>
    <t>HDPE PACKAGING DELAY</t>
  </si>
  <si>
    <t>DAILY CHECKLIFT JOB</t>
  </si>
  <si>
    <t>UNCOILER EXPAND/COLLAPSE ISSUE</t>
  </si>
  <si>
    <t>UNCOILER SEGMENT BOLT BROKEN</t>
  </si>
  <si>
    <t>UNCOILER WEDGE BOLT BROKEN ISSUE</t>
  </si>
  <si>
    <t>OBBS BOLT BROKEN</t>
  </si>
  <si>
    <t>ENTRY COIL CAR FWD/BWD ISSUE</t>
  </si>
  <si>
    <t>ENTRY COIL CAR CRADE ROLL ROTATE ISSUE</t>
  </si>
  <si>
    <t>ACB ROLL UP/DOWN ISSUE</t>
  </si>
  <si>
    <t>ENTRY PINCH ROLL UP/DOWN</t>
  </si>
  <si>
    <t>PRESSURE ROLL UP/DOWN  ISSUE</t>
  </si>
  <si>
    <t>FLATTNER ROLL CHANGE</t>
  </si>
  <si>
    <t>FLATTNER ROLL BUFFING</t>
  </si>
  <si>
    <t>IDLE ROLL BEARING DAMAGE</t>
  </si>
  <si>
    <t>BOTTOM SCRATCH ISSUE</t>
  </si>
  <si>
    <t>LEVELLER  ROLL CHANGE</t>
  </si>
  <si>
    <t>LEVELLER ROLL BUFFING</t>
  </si>
  <si>
    <t>LEVELLER GREASE LUBRICATION ISSUE</t>
  </si>
  <si>
    <t>FLATTNER GREASE LUBRICATION ISSUE</t>
  </si>
  <si>
    <t>BRUSHING ROLL CHANGE</t>
  </si>
  <si>
    <t>MEASUREING WHEEL ISSUE</t>
  </si>
  <si>
    <t>TAIL ROLL NOT WORKING</t>
  </si>
  <si>
    <t>CONVEYER BELT CHANGE</t>
  </si>
  <si>
    <t>CONVEYER ROLL BEARING CHANGE</t>
  </si>
  <si>
    <t>SIDE GUIDE JOGGING ISSUE</t>
  </si>
  <si>
    <t>SIDE GUIDE OPEN/CLOSE ISSUE</t>
  </si>
  <si>
    <t>HEADSTOPPER FWD/BWD ISSUE</t>
  </si>
  <si>
    <t xml:space="preserve">HEADSTOPPER JOGGING ISSUE </t>
  </si>
  <si>
    <t>STACKER PIN UP ISSUE</t>
  </si>
  <si>
    <t>STACKER PIN AIR LEAKAGE</t>
  </si>
  <si>
    <t>STACKER ROLLER BEARING DAMAGED</t>
  </si>
  <si>
    <t>STACKER  ROLLER CONVEYER CHAIN BROKEN</t>
  </si>
  <si>
    <t>STACKER  ROLLER CONVEYER CHAIN SPROCKET BROKEN</t>
  </si>
  <si>
    <t>CROSS 90 CHAIN BROKEN</t>
  </si>
  <si>
    <t>OVER PASSING BELT CHANGE</t>
  </si>
  <si>
    <t>STACKER  SUPPORT ROLL CHANGE</t>
  </si>
  <si>
    <t>STACKER LINER PLATE BROKEN</t>
  </si>
  <si>
    <t xml:space="preserve">PUP UP CONVEYER UP/DOWN ISSUE </t>
  </si>
  <si>
    <t>BOX.1 ROLLER CONVEYER NO.2 CHAIN BROKEN</t>
  </si>
  <si>
    <t>BOX.1 ROLLER CONVEYER NO.3 CHAIN BROKEN</t>
  </si>
  <si>
    <t>BOX.1 ROLLER CONVEYER NO.4 CHAIN BROKEN</t>
  </si>
  <si>
    <t>SCRAP STUCK IN BOTTOM  SCRAP PINCH ROLL</t>
  </si>
  <si>
    <t>SHEET STUCK IN STACKER OVER PASSING</t>
  </si>
  <si>
    <t>SCRATCHES FROM RUNNING LINE</t>
  </si>
  <si>
    <t>TRIM SCRAP BOX HANDLING</t>
  </si>
  <si>
    <t>AUTO SHEET PACKAGING DELAY</t>
  </si>
  <si>
    <t>RUNNER SHIFTING DELAY</t>
  </si>
  <si>
    <t>PACKAGING DELAY</t>
  </si>
  <si>
    <t>PREVENTIVE MAINTENANCE</t>
  </si>
  <si>
    <t>WEIGHT SCALE CALLIBRATION</t>
  </si>
  <si>
    <t>FLYING SHEAR TAIL ROLL PROBLEM</t>
  </si>
  <si>
    <t>SIDE GUIDE CALLIBRATION</t>
  </si>
  <si>
    <t>MAINTENANCE DAILY CHECKLIST</t>
  </si>
  <si>
    <t>SCRAP PINCH ROLL DRIVE CHAIN BROKEN</t>
  </si>
  <si>
    <t>STACKER OVER PASSING ROLL ISSUE</t>
  </si>
  <si>
    <t>STACKER DROPING ROLL ISSUE</t>
  </si>
  <si>
    <t>BOX 1 O\S SIDE GUIDE VERTICAL ROLL CHANGE</t>
  </si>
  <si>
    <t>20-20 CRANE TONG PROBLEM</t>
  </si>
  <si>
    <t>FLYING SHEAR BELT STITCHING</t>
  </si>
  <si>
    <t>OTHERS DELAY</t>
  </si>
  <si>
    <t xml:space="preserve"> </t>
  </si>
  <si>
    <t>LINE STOP FOR BOTTOM SCRATCH INSPECTION</t>
  </si>
  <si>
    <t>SIDE GUIDE JOGGING PROBLEM</t>
  </si>
  <si>
    <t>PRINTER PROBLEM</t>
  </si>
  <si>
    <t>BOX 1 SIDE GUIDE PROBLEM</t>
  </si>
  <si>
    <t>BUS ARRIVED LATE</t>
  </si>
  <si>
    <t>LEVELLER CLEANING 3 TIMES</t>
  </si>
  <si>
    <t>PM</t>
  </si>
  <si>
    <t>LEVELER CLEANING</t>
  </si>
  <si>
    <t>FLATTENER CLEANING</t>
  </si>
  <si>
    <t>BLADE CHANGE</t>
  </si>
  <si>
    <t>OTHERS</t>
  </si>
  <si>
    <t>BLADE CHANGE AND STACKER JOB</t>
  </si>
  <si>
    <t>FLYING SHEAR MODEL ERROR.</t>
  </si>
  <si>
    <t>SHORT LENGTH STACKING PROBLEM</t>
  </si>
  <si>
    <t>SIDE GUIDE PROBLEM</t>
  </si>
  <si>
    <t>TONGE CHANGE TWO TIMES</t>
  </si>
  <si>
    <t>FLYING SHEAR BOTTOM BLADE REPLACE.</t>
  </si>
  <si>
    <t>BOX1 OVER PASSING ROLL PROBLEM</t>
  </si>
  <si>
    <t>PACKAGING BED SHORTAGE FOR PACKING DOUBLE STACK 12 MTR PKT</t>
  </si>
  <si>
    <t>STACKER AREA NOT WORKING</t>
  </si>
  <si>
    <t xml:space="preserve"> STACKER CHAIN CONVEYOR IN CHAIN DENT</t>
  </si>
  <si>
    <t>MAX-HDPE PACKET.</t>
  </si>
  <si>
    <t xml:space="preserve">FG VEHICLE LOADING </t>
  </si>
  <si>
    <t>2000 mm hdpe not available.</t>
  </si>
  <si>
    <t>04 PCS. SAMPLE COLLECTED</t>
  </si>
  <si>
    <t>BOX-2 CROSS-90 CHAIN BROKEN</t>
  </si>
  <si>
    <t xml:space="preserve">PINCH ROLL NO3 OIL LEAKAGE </t>
  </si>
  <si>
    <t>CROSS 90 CHINE BROKEN</t>
  </si>
  <si>
    <t>SHEET DROPING PROBLEM</t>
  </si>
  <si>
    <t>BOTTOM  DENT GENERATED FROM STACKER CHAIN CON.</t>
  </si>
  <si>
    <t>SAMPLE COLLECTED</t>
  </si>
  <si>
    <t xml:space="preserve">SHEET STUCK IN STACKER </t>
  </si>
  <si>
    <t>DAILY CHECKLIST JOB</t>
  </si>
  <si>
    <t>SHEET DROPPING PROBLEM</t>
  </si>
  <si>
    <t>FLYING SHEAR MODULE ERROR</t>
  </si>
  <si>
    <t xml:space="preserve">SCRAP VEHICLE LOADING </t>
  </si>
  <si>
    <t>FLYING SHEAR BELT CONV. BELT CHANGE</t>
  </si>
  <si>
    <t>CROP SHEAR EXIT TABLE DOWN</t>
  </si>
  <si>
    <t>RUNING LINE STACKER PIN UP ISSUE</t>
  </si>
  <si>
    <t>BOTTOM SCRATCH INSPECTION</t>
  </si>
  <si>
    <t>FLATTNER ENTRY SENSER AND STACKER SIDE GUIDE PROBLEM</t>
  </si>
  <si>
    <t>SCRAP PINCH ROLL SENSOR PROBLEM</t>
  </si>
  <si>
    <t xml:space="preserve"> CHINE BROKEN</t>
  </si>
  <si>
    <t>STACKER ROLLER 1 CHAIN BROKEN</t>
  </si>
  <si>
    <t>25MM SHEET STUCK IN STACKER</t>
  </si>
  <si>
    <t>BE</t>
  </si>
  <si>
    <t>PROFIBUS NETWORK FAULT</t>
  </si>
  <si>
    <t>STACKER SIDE GUIDE PROBLEM</t>
  </si>
  <si>
    <t>TONG CHANGE 2 TIMES</t>
  </si>
  <si>
    <t>P.M</t>
  </si>
  <si>
    <t>20-20 CRANE PROBLEM</t>
  </si>
  <si>
    <t xml:space="preserve">  </t>
  </si>
  <si>
    <t>NETWORK FAULT</t>
  </si>
  <si>
    <t>OTHER DELAY</t>
  </si>
  <si>
    <t>URGENT FG VEHICLE LOADING</t>
  </si>
  <si>
    <t>SHEET STUCK IN SIDE GUIDE</t>
  </si>
  <si>
    <t>TBT</t>
  </si>
  <si>
    <t>20-20 CRANE SLOW OPERATING</t>
  </si>
  <si>
    <t>PRINTER PROBLEM.</t>
  </si>
  <si>
    <t>11.04.2024</t>
  </si>
  <si>
    <t>12.04.2024</t>
  </si>
  <si>
    <t>NO SCHEDULE</t>
  </si>
  <si>
    <t>FLYING SHEAR PROBLEM</t>
  </si>
  <si>
    <t>CHAIN DENT INSPECTION</t>
  </si>
  <si>
    <t>LEVELLER BUFFING</t>
  </si>
  <si>
    <t>MEETING</t>
  </si>
  <si>
    <t>HEAD STOPPER PROBLEM</t>
  </si>
  <si>
    <t>ACB ROLL BUFFERING</t>
  </si>
  <si>
    <t>FLATNER CLEANING</t>
  </si>
  <si>
    <t>STACKER JOB</t>
  </si>
  <si>
    <t>BUS LATE.</t>
  </si>
  <si>
    <t>SHORT LENGTH COIL PROCESSING</t>
  </si>
  <si>
    <t>FLYING SHEAR BLADE CHANGE.</t>
  </si>
  <si>
    <t>SHORT LENGTH SHEET DROPPING PROBLEM</t>
  </si>
  <si>
    <t>20-20 CRANE CT PROBLEM</t>
  </si>
  <si>
    <t>Start time</t>
  </si>
  <si>
    <t>End time</t>
  </si>
  <si>
    <t>RAHUL KUMAR</t>
  </si>
  <si>
    <t>MAX HDPE PACKET.</t>
  </si>
  <si>
    <t>01.11.2025</t>
  </si>
  <si>
    <t>SIDE GUIDE BOX NUT WELDING</t>
  </si>
  <si>
    <t>WCTL-2 DELAY NOVEMBER 2025</t>
  </si>
  <si>
    <t>02.11.2025</t>
  </si>
  <si>
    <t>ENTRY PINCH ROLL CYLINDER WORK</t>
  </si>
  <si>
    <t>SIDE GUIDE OPEN /CLOSE ISSUE</t>
  </si>
  <si>
    <t>ENTRY PINCH ROLL CYLINDER INSTALLATION</t>
  </si>
  <si>
    <t>BOX-2 CROSS-90 CHAIN WAY FWD PROBLEM</t>
  </si>
  <si>
    <t>STACKER BOX-1 PLATFORM CYLINDER PISTON ROD BROKEN</t>
  </si>
  <si>
    <t>10:00PM</t>
  </si>
  <si>
    <t>11:00PM</t>
  </si>
  <si>
    <t>SIDE GUIDE JOGGING PROBLEM.</t>
  </si>
  <si>
    <t>12:00AM</t>
  </si>
  <si>
    <t>12:30AM</t>
  </si>
  <si>
    <t>03.11.2025</t>
  </si>
  <si>
    <t>04.11.2025</t>
  </si>
  <si>
    <t>BOX-2  CROSS 90 CHAIN OUT OF THE SPROCKET</t>
  </si>
  <si>
    <t>FLYING SHEAR BELT TWIST</t>
  </si>
  <si>
    <t>25MM SHEET STUCK AND OVER LAPPING IN STACKER OVER PASSING</t>
  </si>
  <si>
    <t>05.11.2025</t>
  </si>
  <si>
    <t>BOX-1 PLATEFORM  CYLENDER   BROKEN .</t>
  </si>
  <si>
    <t>02:00PM</t>
  </si>
  <si>
    <t>09.40PM</t>
  </si>
  <si>
    <t>06.11.2025</t>
  </si>
  <si>
    <t>20-20 CRANE USED FOR MATERIAL SHIFTING</t>
  </si>
  <si>
    <t>07.11.2025</t>
  </si>
  <si>
    <t>SCRAP PINCH ROLL BEARING BROKEN</t>
  </si>
  <si>
    <t>25 MM SHEET NOT FORWARD DUE TO FLYING SHEAR BELT TWIST</t>
  </si>
  <si>
    <t>08.11.2025</t>
  </si>
  <si>
    <t xml:space="preserve">12M LENGTH PKT FWD PROBLEM </t>
  </si>
  <si>
    <t>BELT CONV BEARING CHANGE AND HEAD STOPPER FRONT PLATE BOULT BROKEN</t>
  </si>
  <si>
    <t>PACKET NOT FORWARD FROM ROLLER CON.-3</t>
  </si>
  <si>
    <t>10.:30:00</t>
  </si>
  <si>
    <t>SIDE GUIDE PROBLEM,HEAD STOPPER PROBLEM AND PIN PROBLEM</t>
  </si>
  <si>
    <t>09.11.2025</t>
  </si>
  <si>
    <t>FLYING SHEAR BELT CHANGE.</t>
  </si>
  <si>
    <t>COIL AUTOMATIC COLLAPS DUE TO DECOILLER DRIVE FAULT</t>
  </si>
  <si>
    <t>BOX-1 ROLLER CON.3 CHAIN SPROCKET BROCKEN</t>
  </si>
  <si>
    <t>FLYING SHEAR CON. BELT AND DEFLECTOR CON. BELT SHIFTED</t>
  </si>
  <si>
    <t>10.11.2025</t>
  </si>
  <si>
    <t xml:space="preserve">LESS PACKAGING MANPOWER </t>
  </si>
  <si>
    <t>QUALITY MEETING</t>
  </si>
  <si>
    <t>11.11.2025</t>
  </si>
  <si>
    <t>MAX-HDPE PKT  &amp; AUTO NOT WORKING.</t>
  </si>
  <si>
    <t>HEAD STOPPER LOCK/UNLOCK CYLINDER CHANGE</t>
  </si>
  <si>
    <t>JISHU HOZEN</t>
  </si>
  <si>
    <t>WELSPUN COIL PROCESS</t>
  </si>
  <si>
    <t>BRUSHING -2 OVER PASSING ROLL OUT</t>
  </si>
  <si>
    <t>HEAD STOPPER JOGGING PROBLEM</t>
  </si>
  <si>
    <t>AUTO NOT WORKING.</t>
  </si>
  <si>
    <t>12.11.2025</t>
  </si>
  <si>
    <t>FLYING SHEAR BELT CON. O/S FOLD.</t>
  </si>
  <si>
    <t>4000 MM SHEET NOT FORWORD DUE TO BELT LOOSE.</t>
  </si>
  <si>
    <t>SHEET OVER LAPPING AT STACKER</t>
  </si>
  <si>
    <t>SHEET STUCK AT STACKER DUE TO FINGER ROLL DAMAGE</t>
  </si>
  <si>
    <t>13.11.2025</t>
  </si>
  <si>
    <t>CONV.BELT TIGHTING.</t>
  </si>
  <si>
    <t>HEAD STOPPER LOCK/UNLOCK  VALVE  CHANGE</t>
  </si>
  <si>
    <t>06:00AM</t>
  </si>
  <si>
    <t>06:30AM</t>
  </si>
  <si>
    <t>3 NOS. WELSPUN COIL PROCESS</t>
  </si>
  <si>
    <t>MAX NO OF HDPE PKT (4 JCB COIL PROCESSED)</t>
  </si>
  <si>
    <t>14.11.2025</t>
  </si>
  <si>
    <t xml:space="preserve">07:10AM </t>
  </si>
  <si>
    <t>07:40AM</t>
  </si>
  <si>
    <t>AUTOMATIC POWER OFF.</t>
  </si>
  <si>
    <t>20-20 CRANE ENGAGE IN MAINTENANCE MATERIAL SHIFTING</t>
  </si>
  <si>
    <t xml:space="preserve">TRIMMING SHEAR OVER PASSING TABLE BROKEN </t>
  </si>
  <si>
    <t>1250 COIL SHIFT AUTOMATICALY IN RUNNING CONDITION</t>
  </si>
  <si>
    <t xml:space="preserve">MAX NO OF HDPE PKT </t>
  </si>
  <si>
    <t>15.11.2025</t>
  </si>
  <si>
    <t>01:30PM</t>
  </si>
  <si>
    <t>BELT CON.4 STUD CHANGE.</t>
  </si>
  <si>
    <t>01:55PM</t>
  </si>
  <si>
    <t>16.11.2025</t>
  </si>
  <si>
    <t>CHAIN CON.3 CHAN SPOKET  OUT.</t>
  </si>
  <si>
    <t xml:space="preserve">   AUTO NOT WORKING.</t>
  </si>
  <si>
    <t>12 MT PKT SHIFTING  TO AUTO AREA.</t>
  </si>
  <si>
    <t>PACKET SEGERATION  BY LOGISTIC.</t>
  </si>
  <si>
    <t>CROP SHEAR TAIL ROLL BROKEN</t>
  </si>
  <si>
    <t>17.11.2025</t>
  </si>
  <si>
    <t>SHOP FLOOR MEETING</t>
  </si>
  <si>
    <t>CRANE BUSY FOR DESPACH</t>
  </si>
  <si>
    <t>18.11.2025</t>
  </si>
  <si>
    <t xml:space="preserve">ALL HDPE PACKET </t>
  </si>
  <si>
    <t>SCRAP STUCK IN SCRAP TROLLY</t>
  </si>
  <si>
    <t>19.11.2025</t>
  </si>
  <si>
    <t>20.11.2025</t>
  </si>
  <si>
    <t>3 WELSPUN COIL PROCESSING</t>
  </si>
  <si>
    <t>STACKER BOX-1 ROLLOR CONV. ROLL SHAFT BROKEN</t>
  </si>
  <si>
    <t>21.11.2025</t>
  </si>
  <si>
    <t>OVER PASSING ROLL OUT</t>
  </si>
  <si>
    <t>22.11.2025</t>
  </si>
  <si>
    <t>CRANE -1 TONGE LIGHT PROBLEM.</t>
  </si>
  <si>
    <t>BOX-1 PLATE FORM PIN PROBLEM.</t>
  </si>
  <si>
    <t>23.11.2025</t>
  </si>
  <si>
    <t>24.11.2025</t>
  </si>
  <si>
    <t>20-20 CRANE TONG OPEN/CLOSE PROBLEM</t>
  </si>
  <si>
    <t>CORRECTOR ROLL COUPLING OUT</t>
  </si>
  <si>
    <t>25.11.2025</t>
  </si>
  <si>
    <t>DEFLECTING CONV. UP/DOWN PROBLEM</t>
  </si>
  <si>
    <t>26.11.025</t>
  </si>
  <si>
    <t>25 MM COIL SHIFT IN MANDERAL</t>
  </si>
  <si>
    <t>26.11.2025</t>
  </si>
  <si>
    <t>20-20 CRANE CT PROBLEM AND FG VEHICLE  LOADING</t>
  </si>
  <si>
    <t>BOX-1 ROLLER CON. CHAIN BROKEN</t>
  </si>
  <si>
    <t>27.11.2025</t>
  </si>
  <si>
    <t>BOX-2 ROLLER CON. CHAIN BROKEN</t>
  </si>
  <si>
    <t>FLYING SHEAR HYDRAULIC POWER PACK STOP</t>
  </si>
  <si>
    <t>STACKER PINCH ROLL PROBLEM</t>
  </si>
  <si>
    <t>BOX 1 BUFFER 1 AND BUFFER 2 CHAIN CONVEYER CHAIN TIGHT CONTINUE FROM B SHIFT</t>
  </si>
  <si>
    <t xml:space="preserve">    </t>
  </si>
  <si>
    <t>28.11.2025</t>
  </si>
  <si>
    <t>STACKER BOX -1 PLATFORM WELDING JOB</t>
  </si>
  <si>
    <t>BELT CON.4 CHANGE BROKEN</t>
  </si>
  <si>
    <t>28.10.2025</t>
  </si>
  <si>
    <t>29.11.2025</t>
  </si>
  <si>
    <t>BOX-1 ROLLER CONV. FWD PROBLEM</t>
  </si>
  <si>
    <t>SHEET STUCK AT STACKER PINCH ROLL</t>
  </si>
  <si>
    <t>OPERATOR SHORTAGE</t>
  </si>
  <si>
    <t>29.10.2025</t>
  </si>
  <si>
    <t>STACKER BOX-1 SCISSOR WELDING</t>
  </si>
  <si>
    <t>30.11.2025</t>
  </si>
  <si>
    <t>BOX-1 ROLLER CONV. -2 SPOCKET CHANGE</t>
  </si>
  <si>
    <t>STACKER PLATFORM JOB</t>
  </si>
  <si>
    <t>20-20 CRANE TONG LIGHT PROBLEM</t>
  </si>
  <si>
    <t>PREVIOUS SHIFT JCB COIL PROCESSED( 2500MM LENGTH)</t>
  </si>
  <si>
    <t>STACKER BOX 1 PLATFORM ROLL BEARING CHANGE</t>
  </si>
  <si>
    <t>01.12.2025</t>
  </si>
  <si>
    <t>BOX-1 ROLLER CONV.-2 AND 3  SPOCKET DAMAGE</t>
  </si>
  <si>
    <t>AUTO PACKEGING NOT WORKING IN FULL SHIFT</t>
  </si>
  <si>
    <t>02.12.2025</t>
  </si>
  <si>
    <t>DRIVE FAULT</t>
  </si>
  <si>
    <t>03.12.2025</t>
  </si>
  <si>
    <t>STACKER BOX 1 BUFFER 2 CHAIN SPROCKET OUT</t>
  </si>
  <si>
    <t>STACKER AUTOPOSITIONING PROBLEM</t>
  </si>
  <si>
    <t>SHORT LENGTH PKT</t>
  </si>
  <si>
    <t>04.12.2025</t>
  </si>
  <si>
    <t>LEVELLAR CLEANING AND BUFFING</t>
  </si>
  <si>
    <t>ID LOOSE COIL PROCESS AT 10 MPM</t>
  </si>
  <si>
    <t>05.12.2025</t>
  </si>
  <si>
    <t>LAST CONV. BELT SHIFTED 4 TIMES FROM O/S TO M/S AND M/S TO O/S</t>
  </si>
  <si>
    <t>BELT CONVEYER 4 CHAIN BROKEN</t>
  </si>
  <si>
    <t>ONE SAMPLE COIL PROCESS</t>
  </si>
  <si>
    <t>SHEET DROPPING AT PINCH ROLL</t>
  </si>
  <si>
    <t>HEAD STOPPER PLATE BOLT BROKEN</t>
  </si>
  <si>
    <t>SHEET DROPPING PROBLEM DUE TO HEAD STOPPER TRANSLATION PROBLEM</t>
  </si>
  <si>
    <t>06.12.2025</t>
  </si>
  <si>
    <t>OTHER</t>
  </si>
  <si>
    <t>BREAKFAST DELAY</t>
  </si>
  <si>
    <t>DAILY CHECKLIST JOB 2 TIMES</t>
  </si>
  <si>
    <t>FLYING SHEAR POWER PACK PUMP ROTATION OFF 2TIMES</t>
  </si>
  <si>
    <t>short length coil slow processing due to sheet dropping issue</t>
  </si>
  <si>
    <t>BOX-2 CHAIN WAY CONV. CHAIN LOOSE</t>
  </si>
  <si>
    <t>07.12.2025</t>
  </si>
  <si>
    <t>OBBS BOLT LOOSE</t>
  </si>
  <si>
    <t>FLYING SHEAR HYDRAULIC  POWER OFF</t>
  </si>
  <si>
    <t>STACKER BOX 1 SHOOT LENGTH SHEET DROPPING PROBLEM</t>
  </si>
  <si>
    <t>08.12.2025</t>
  </si>
  <si>
    <t>TATA STEEL POWER CUT</t>
  </si>
  <si>
    <t>8 PACKETS 12METER HDPE PACKING</t>
  </si>
  <si>
    <t>09.12.2025</t>
  </si>
  <si>
    <t>COIL SHIFTED</t>
  </si>
  <si>
    <t>BOX-1 ROLLER CON.3 SPOCKET BROKEN</t>
  </si>
  <si>
    <t>CONVEYOR BELT TIGHTENING</t>
  </si>
  <si>
    <t>PREVIOUS SHIFT COIL SHIFTED</t>
  </si>
  <si>
    <t>10.12.2025</t>
  </si>
  <si>
    <t>3 WELSPUN SAMPLE COILS PROCESSED</t>
  </si>
  <si>
    <t>STACKER BOX-1 SIDE GUIDE WELDING JOB</t>
  </si>
  <si>
    <t>HEAD STOPPER LOCK/UNLOCK PROBLEM</t>
  </si>
  <si>
    <t>11.12.2025</t>
  </si>
  <si>
    <t>FLATTNER WORK ROLL CHANGE</t>
  </si>
  <si>
    <t>ROLLER CON.4 CHAIN SPOKET TIGHT.</t>
  </si>
  <si>
    <t>12.12.2025</t>
  </si>
  <si>
    <t>FLYING SHEAR BLADE GAP PROBLEM</t>
  </si>
  <si>
    <t>BOX 1 BUFFER 2 CHAIN SPROCKET OUT</t>
  </si>
  <si>
    <t>BELT NO.4 SHIFTING</t>
  </si>
  <si>
    <t>SHEET NOT DROP IN STACKER DUE TO SIDE GUIDE NOT OPEN IN AUTO MODE</t>
  </si>
  <si>
    <t>4 WELSPUN COIL PROCESSED</t>
  </si>
  <si>
    <t>13.12.2025</t>
  </si>
  <si>
    <t>CRANE 2 USED FOR PKT SEGRIGATION</t>
  </si>
  <si>
    <t>20-20 CRANE USED FOR PKT SEGRIGATION</t>
  </si>
  <si>
    <t xml:space="preserve">ROLL WELDING </t>
  </si>
  <si>
    <t>14.12.2025</t>
  </si>
  <si>
    <t>PACKING DELAY</t>
  </si>
  <si>
    <t>15.12.2025</t>
  </si>
  <si>
    <t>OVER PASSING ROLL WELDING</t>
  </si>
  <si>
    <t>2000 WIDTH HDPE NOT AVAILABLE.2000 WIDTH COIL 1250 HDPE JOINT</t>
  </si>
  <si>
    <t>STRAIGHTENER DENT</t>
  </si>
  <si>
    <t>16.12.2025</t>
  </si>
  <si>
    <t>2 TECHNOCRAFT SAMPLE COILS PROCESSED</t>
  </si>
  <si>
    <t>OTHER  DELAY</t>
  </si>
  <si>
    <t xml:space="preserve"> 3  COIL WELSPUN   TPI INSPECTION.</t>
  </si>
  <si>
    <t>17.12.2025</t>
  </si>
  <si>
    <t>COIL CAR  IN-OUT  PROBLEM  &amp; COIL CAR AREA STIP REMOVE.</t>
  </si>
  <si>
    <t>18.12.2025</t>
  </si>
  <si>
    <t>STACKER HEAD STOP PROBLEM &amp; FLYING SHEAR ENCODER PROBLEM</t>
  </si>
  <si>
    <t>COIL CAR DRAG CHAIN CHANGE.</t>
  </si>
  <si>
    <t>20-20 CRANE TRIP 5 TIMES</t>
  </si>
  <si>
    <t>SHEET DROPPING ISSUE DUE TO HEAD STOPPER PROBLEM</t>
  </si>
  <si>
    <t>19.12.2025</t>
  </si>
  <si>
    <t>LENGTH VARIATION</t>
  </si>
  <si>
    <t>PINCH ROLL ENTRY IDEAL  ROLLER CHANGE.</t>
  </si>
  <si>
    <t>20.12.2025</t>
  </si>
  <si>
    <t>LINE RUNNING 20 MPM DUE TO LENGTH VARIATION</t>
  </si>
  <si>
    <t>CROP SHARE ROLL BROKEN</t>
  </si>
  <si>
    <t>21.12.2025</t>
  </si>
  <si>
    <t>FLYING SHEAR HYD.POWER PACK  FAULT.</t>
  </si>
  <si>
    <t>22.12.2025</t>
  </si>
  <si>
    <t>FLYING SHEAR CARRIAGE COUPLING CHECK &amp; LEVELLER,FLATTNER CALIBRATION</t>
  </si>
  <si>
    <t>EVERY PKT 2 SHEET MEASUREMENT</t>
  </si>
  <si>
    <t xml:space="preserve">FLYING SHEAR CARRIAGE CHECK BECAUSE OF DD </t>
  </si>
  <si>
    <t>4-5 SHEET MEASURED IN EVERY PKT.</t>
  </si>
  <si>
    <t>23.12.2025</t>
  </si>
  <si>
    <t>DIAGONAL &amp; LENGTH   CHEKING.</t>
  </si>
  <si>
    <t>OBBS PACKING JOB</t>
  </si>
  <si>
    <t>STACKER BOX 1 PLATFORM ROLL CHANGE</t>
  </si>
  <si>
    <t>24.12.2025</t>
  </si>
  <si>
    <t>FLATTNER CALIBRATION</t>
  </si>
  <si>
    <t>25.12.2025</t>
  </si>
  <si>
    <t>EVERY PKT 1 SHEET MEASUREMENT</t>
  </si>
  <si>
    <t>OPRATION DELAY</t>
  </si>
  <si>
    <t>BREAKFAST TIME</t>
  </si>
  <si>
    <t>MANPOWER SHORTAGE 6 AM TO 9 AM</t>
  </si>
  <si>
    <t>UNCOILER JOB DUE TO DIAG. DIFF.</t>
  </si>
  <si>
    <t>26.12.2025</t>
  </si>
  <si>
    <t>DISPATCH.</t>
  </si>
  <si>
    <t>ONLY 3 OPERATOR</t>
  </si>
  <si>
    <t>27.12.2025</t>
  </si>
  <si>
    <t>BOX-1 ROLLER CON.3 CHAIN BROKEN.</t>
  </si>
  <si>
    <t>HYDRAULIC POWER PACK PROBLEM</t>
  </si>
  <si>
    <t>28.12.2025</t>
  </si>
  <si>
    <t>BOX-1 PLATE FORM WORK.</t>
  </si>
  <si>
    <t>29.12.2025</t>
  </si>
  <si>
    <t>7 Timeas headstopper callibration</t>
  </si>
  <si>
    <t>30.12.2025</t>
  </si>
  <si>
    <t>SMALL TONG OPEN CLOSE PROBLEM</t>
  </si>
  <si>
    <t>12000 MM SHEET STUCK IN STACKER SIDE GUIDE</t>
  </si>
  <si>
    <t>31.12.2025</t>
  </si>
  <si>
    <t>DENT INSPECTION BY QUALITY PERSION</t>
  </si>
  <si>
    <t>SHEET STRUCK DUE TO HEAD STOPPER PROBLEM</t>
  </si>
  <si>
    <t>DIAGONAL PROBLEM.</t>
  </si>
  <si>
    <t>SHORT LENGTH SHEET DROPPING    PROBLEM.</t>
  </si>
  <si>
    <t>01.01.2026</t>
  </si>
  <si>
    <t>BRUSHING UNIT-3 COUPLING BOLT BROKEN</t>
  </si>
  <si>
    <t>DENT INSPECTION</t>
  </si>
  <si>
    <t>PACKAGING PERSON LATE ARRIVING</t>
  </si>
  <si>
    <t>HEADSTOPPER CALLIBRATION</t>
  </si>
  <si>
    <t>02.01.2026</t>
  </si>
  <si>
    <t>ONE GMM PFAUDLER COIL PROCESS INFRONT OF TATA STEEL QUALITY</t>
  </si>
  <si>
    <t>GMM COIL INSPECTION BY HSM QC</t>
  </si>
  <si>
    <t>03.01.2026</t>
  </si>
  <si>
    <t>LESS MANPOWER (OPERATOR)</t>
  </si>
  <si>
    <t>04.01.2026</t>
  </si>
  <si>
    <t>ZIG-ZAG PKT LIFT USING CHAIN</t>
  </si>
  <si>
    <t>05.01.2026</t>
  </si>
  <si>
    <t>MAXIMUM HDPE PACKATE PACKAGING</t>
  </si>
  <si>
    <t>BOX-1 ROLLER CON.1 SPOCKET BROKEN</t>
  </si>
  <si>
    <t>12.mm LENGTH SHEET DROPPING PROBLEM</t>
  </si>
  <si>
    <t xml:space="preserve">CONVEYOR  NO 4 REPAIRING </t>
  </si>
  <si>
    <t>SHEET STUCKING DUE TO CONVEYOR OUT TO BED</t>
  </si>
  <si>
    <t>06.01.2026</t>
  </si>
  <si>
    <t>SHEET DROPPING PROBLEM.</t>
  </si>
  <si>
    <t xml:space="preserve">MANPOWER SHORTAGE </t>
  </si>
  <si>
    <t>CRANE 2 USED AT POP CON.BY MNT TEAM.</t>
  </si>
  <si>
    <t>BOX 1  SIDE  GUIDE JOGGING PROBLEM</t>
  </si>
  <si>
    <t>20-20 CRANE TONG  PROBLEM</t>
  </si>
  <si>
    <t>07.01.2026</t>
  </si>
  <si>
    <t>BOX-1 PLATFORM CHAIN SPOKET BROKEN</t>
  </si>
  <si>
    <t>08.30PM</t>
  </si>
  <si>
    <t>10.00PM</t>
  </si>
  <si>
    <t>08.01.2026</t>
  </si>
  <si>
    <t>ACB ROLL BUFFRING.</t>
  </si>
  <si>
    <t>BOX-1  PLATE FORM CHAIN SPOKET  OUT .</t>
  </si>
  <si>
    <t>BOX-2 M/S DROPPING ROLL  DAMAGE.</t>
  </si>
  <si>
    <t>06:00PM</t>
  </si>
  <si>
    <t>06:40PM</t>
  </si>
  <si>
    <t>04:30PM</t>
  </si>
  <si>
    <t>05:00PM</t>
  </si>
  <si>
    <t>08:00PM</t>
  </si>
  <si>
    <t>09:20pm</t>
  </si>
  <si>
    <t>HADESTOPPER PROBLEM</t>
  </si>
  <si>
    <t>09.01.2026</t>
  </si>
  <si>
    <t>10.01.2026</t>
  </si>
  <si>
    <t>AUTO PACKEGINIG NOT WORKING</t>
  </si>
  <si>
    <t>BOX-2 PIN PROBLEM</t>
  </si>
  <si>
    <t>AUTO PACKING START AT 5:30PM</t>
  </si>
  <si>
    <t>11.01.2026</t>
  </si>
  <si>
    <t>12.01.2026</t>
  </si>
  <si>
    <t>BRASHING UNIT1 PROBLEM</t>
  </si>
  <si>
    <t>HYDRAULIC POWAR PACK HIGH</t>
  </si>
  <si>
    <t>GMM COIL INSPECTION</t>
  </si>
  <si>
    <t>FLYING SHEAR HYDRAULIC POWERPACK MOTOR CHANGE</t>
  </si>
  <si>
    <t>CROP SHEAR BED BROKEN</t>
  </si>
  <si>
    <t>13.01.2026</t>
  </si>
  <si>
    <t>FLYING SHEAR HYDRAULIC POWER PACK  PUMP ROTION FAULT.(4 times)</t>
  </si>
  <si>
    <t>SCRAP SHEET BEND DUU TO CON. BELT SHIFTED.</t>
  </si>
  <si>
    <t>LESS MAN POWER (OPERATOR)</t>
  </si>
  <si>
    <t>14.01.2026</t>
  </si>
  <si>
    <t>HEAD STOPPER  LOCK UNLOCK &amp; CALIBRATION PROBLEM.</t>
  </si>
  <si>
    <t>LEVELLER TOP ROLL BUFFING</t>
  </si>
  <si>
    <t>BOTTOM SCRATCH IN 7 MM COIL</t>
  </si>
  <si>
    <t>15.01.2026</t>
  </si>
  <si>
    <t>BOX-1 &amp; 2 SIDE GUIDE CALIBRATION.</t>
  </si>
  <si>
    <t>STACKER BOX-1 OVER PASSING ROLL WELDING.</t>
  </si>
  <si>
    <t>5:00PM</t>
  </si>
  <si>
    <t>6:30PM</t>
  </si>
  <si>
    <t>BELT CONV NO 4 DRIVE CHAIN TIGHTNING AND SIDE GUIDE CALLIBRATION</t>
  </si>
  <si>
    <t>16.01.2026</t>
  </si>
  <si>
    <t>48 CRANE MATERIAL SHIFTING</t>
  </si>
  <si>
    <t>17.01.2026</t>
  </si>
  <si>
    <t>SCRAP SHEET BEND DUE TO CON. BELT SHIFTED.</t>
  </si>
  <si>
    <t>DEFLECTOR CONVEYOR  DOWN SENSER BROKEN.</t>
  </si>
  <si>
    <t>SIDE GUIDE AND HEAD STOPPER CALLIBRATION</t>
  </si>
  <si>
    <t>18.01.2026</t>
  </si>
  <si>
    <t>4 HDPE COIL AND 3 SHORT LENGTH COIL PROCESSING</t>
  </si>
  <si>
    <t>SIDE GUIDE CYLINDER BASE BOULT TIGHTNING</t>
  </si>
  <si>
    <t>THREADING TABLE OPEN/CLOSE PROBLEM</t>
  </si>
  <si>
    <t xml:space="preserve">AUTO NOT WORKING.STACKER FULL </t>
  </si>
  <si>
    <t xml:space="preserve"> CALIBRATION PROBLEM.</t>
  </si>
  <si>
    <t>19.01.2026</t>
  </si>
  <si>
    <t>SHEET DROPPING ISSUE FOR SHORT LENGTH</t>
  </si>
  <si>
    <t>AUTO PACKEGING NOT WORKING</t>
  </si>
  <si>
    <t>20.01.2026</t>
  </si>
  <si>
    <t xml:space="preserve">AUTO NOT WORKING AND STACKER FULL </t>
  </si>
  <si>
    <t>COIL NO SCHEDULE</t>
  </si>
  <si>
    <t xml:space="preserve">RAHUL KUMAR </t>
  </si>
  <si>
    <t>STACKER BOX-1 PLATFORM UP/DOWN ENCODER PROBLEM</t>
  </si>
  <si>
    <t>20-20 CRANE USED FOR DISPATCH</t>
  </si>
  <si>
    <t>BOX-1 M/S  SIDE GUIDE JOGGING CYLENDER OIL LEAKAGE.</t>
  </si>
  <si>
    <t>BOX-1 SIDE GUIDE JOGGING PROBLEM  &amp; CALIBRATION .</t>
  </si>
  <si>
    <t>20-20 CRANE MAIN HOIST TRIP.</t>
  </si>
  <si>
    <t>21.01.2026</t>
  </si>
  <si>
    <t>MAINTENANCE MATERIAL SHIFT</t>
  </si>
  <si>
    <t>BOTTAM SCRATCH INSPECTION</t>
  </si>
  <si>
    <t>HEAD STOPPER CALIBRATION</t>
  </si>
  <si>
    <t>DEVI, AJEET &amp;TEAM</t>
  </si>
  <si>
    <t>22.01.2026</t>
  </si>
  <si>
    <t xml:space="preserve">20-20 CRANE TRIPING ISSUE RESTORATION JOB </t>
  </si>
  <si>
    <t>SCRAP PINCH ROLL BEARING PROBLEM AND HEAD STOPPER ENCODER CUPPLING CHEANG</t>
  </si>
  <si>
    <t>JH</t>
  </si>
  <si>
    <t>SHEET STUCK AT STACKER DUE TO HEADSTOPPER PROBLEM</t>
  </si>
  <si>
    <t>POWER RESTART DUE TO FLYING SHEAR OUT OF HOME POSITION</t>
  </si>
  <si>
    <t>BOX-1 PLATE FORM PIN WORK.</t>
  </si>
  <si>
    <t>23.01.2026</t>
  </si>
  <si>
    <t>BOTTOM SCRATCH INSPECTION AND CROSS 90 CHAIN TIGHT</t>
  </si>
  <si>
    <t>SHEET STUCK IN SIDE GUIDE BOX 1</t>
  </si>
  <si>
    <t>MAZAGON COIL TPI INSPECTION AND MEASUREMENT</t>
  </si>
  <si>
    <t>BOX 1 HEADSTOPPER CALLIBRATION 5 TIMES</t>
  </si>
  <si>
    <t>MAZAGON COIL INSPECTION AND MEASUREMENT</t>
  </si>
  <si>
    <t>BOX-1 &amp; 2 SIDE GUIDE &amp; HEAD STOPPER  CALIBRATION</t>
  </si>
  <si>
    <t>24.01.2026</t>
  </si>
  <si>
    <t>BOTTOM SCRACH INSPECTION AND CHAIN GRINDING</t>
  </si>
  <si>
    <t>PACKET FORWARD PROBLEM IN ROLLER CONV. -2</t>
  </si>
  <si>
    <t>DEVI ,AJIT &amp; TEAM</t>
  </si>
  <si>
    <t>25.01.2026</t>
  </si>
  <si>
    <t>FG PKT SEGRIGRATION FOR VEHICLE LOADING</t>
  </si>
  <si>
    <t>12 M PACKET  SHIFTING FROM BED TO AUTO AREA.</t>
  </si>
  <si>
    <t>FG PKT SEGRIGRATION FOR VEHICLE &amp; CAR  LOADING.</t>
  </si>
  <si>
    <t>26.01.2026</t>
  </si>
  <si>
    <t>FLAG  HOISTING</t>
  </si>
  <si>
    <t>20-20 CRANE SEFTY CHECKING</t>
  </si>
  <si>
    <t>LINE STOP LOGISTIC TEAM DISPATCH</t>
  </si>
  <si>
    <t>6 SHORT LENGTH COIL PROCESSING</t>
  </si>
  <si>
    <t>27.01.2026</t>
  </si>
  <si>
    <t>20-20 CRANE MAINTENANCE</t>
  </si>
  <si>
    <t>BOX-1 SIDE GUIDE SHEET DROPING PROBLEM &amp; CALIBRATION .</t>
  </si>
  <si>
    <t>ALL HDPE PACKET.</t>
  </si>
  <si>
    <t>DUE TO LOCAL STRICK.</t>
  </si>
  <si>
    <t>28.01.2026</t>
  </si>
  <si>
    <t>20-20 CRANE LEG OPEN CLOSE PROBLEM</t>
  </si>
  <si>
    <t>CRANE BUSY FOR MAINTENACE</t>
  </si>
  <si>
    <t>Crane Taken by miantenanace for conveyer job</t>
  </si>
  <si>
    <t>Side guide hyd cylinder change</t>
  </si>
  <si>
    <t>04:10PM</t>
  </si>
  <si>
    <t>02:20PM</t>
  </si>
  <si>
    <t>03:00PM</t>
  </si>
  <si>
    <t>05:50PM</t>
  </si>
  <si>
    <t>29.01.2026</t>
  </si>
  <si>
    <t xml:space="preserve"> HEAD STOPPER PROBLEM</t>
  </si>
  <si>
    <t>30.01.2026</t>
  </si>
  <si>
    <t>SIDE  GIUDE CYLENDER BASE  WELDING.</t>
  </si>
  <si>
    <t>DESPATCH.</t>
  </si>
  <si>
    <t>CRANE ENGAGED FOR URJENT DESPATCH.</t>
  </si>
  <si>
    <t>31.01.2026</t>
  </si>
  <si>
    <t xml:space="preserve">  TAIL ROLL  CHANGE.</t>
  </si>
  <si>
    <t>01.02.2026</t>
  </si>
  <si>
    <t>LEVELLER  BACK-UP ROLL DAMAGE.</t>
  </si>
  <si>
    <t>02.02.2026</t>
  </si>
  <si>
    <t>STACKER  BOTTOM SCRATCH BUFFING   3 TIMES</t>
  </si>
  <si>
    <t>BOTH SIDE GUIDE &amp; HEADSTOPER CALIBRATION</t>
  </si>
  <si>
    <t>MAIN MEASURING WHEEL BUFFING</t>
  </si>
  <si>
    <t>03.02.2026</t>
  </si>
  <si>
    <t>04.02.2026</t>
  </si>
  <si>
    <t>POWER CUT BY TSL.</t>
  </si>
  <si>
    <t>BOX-2  M/S SIDE GUIDE OPEN -CLOSE PROBLEM.</t>
  </si>
  <si>
    <t>FLYING SHEAR DRIVE FAULT.</t>
  </si>
  <si>
    <t>HEAD STOPPER VALVE STAND FALL DOWN</t>
  </si>
  <si>
    <t>05.02.2026</t>
  </si>
  <si>
    <t>STACKER CAMERA NOT WORKING</t>
  </si>
  <si>
    <t>SCRACH GENERATE IN MESURING WHEEL</t>
  </si>
  <si>
    <t>MAIN MEASUREING  WHEEL BUFFING.</t>
  </si>
  <si>
    <t>SCRATCH  GENERATE FROM MAIN MEASUREING.</t>
  </si>
  <si>
    <t>06.02.2026</t>
  </si>
  <si>
    <t>07.02.2026</t>
  </si>
  <si>
    <t>BELT CONVEYOR -4 CHAIN BROKEN</t>
  </si>
  <si>
    <t>24 MM SHEET STUCK IN STACKER DUETO CHAIN BROKEN</t>
  </si>
  <si>
    <t>08.02.2026</t>
  </si>
  <si>
    <t>UNCOILER SIGMENT WAGE BOLT LOOSE .</t>
  </si>
  <si>
    <t>OIL LEAKAGE FROM HEAD STOPPER.( 4  TIMES)</t>
  </si>
  <si>
    <t>09.02.2026</t>
  </si>
  <si>
    <t>BLOWER INSTALATION</t>
  </si>
  <si>
    <t>BRUSHING -3 PROBLEM</t>
  </si>
  <si>
    <t>SIDE GUIDE ROLLER STUK BETWEEN THE PKT</t>
  </si>
  <si>
    <t>COIL SHIFTING DUETO EMG PROBLEM</t>
  </si>
  <si>
    <t>12.7 MM COIL  TAIL END  BREAK IN FLATTNER.</t>
  </si>
  <si>
    <t>20-20  CRANE LEG OPEN- CLOSE PROBLEM.</t>
  </si>
  <si>
    <t>10.02.2026</t>
  </si>
  <si>
    <t>20-20 CRANE TONG  STUCK DUE TO OVER HIGHT PACKETS</t>
  </si>
  <si>
    <t>03:45PM</t>
  </si>
  <si>
    <t>07:25PM</t>
  </si>
  <si>
    <t>20-20 CRANE LEG OPEN PROBLEM</t>
  </si>
  <si>
    <t>AFTER ENTRY PINCH ROLL TABLE WELDING DAMAGE</t>
  </si>
  <si>
    <t>11.02.2026</t>
  </si>
  <si>
    <t>LINE UNDER MAINTENACE</t>
  </si>
  <si>
    <t>Stacker roller bearing &amp; roller replacement</t>
  </si>
  <si>
    <t>12.02.2026</t>
  </si>
  <si>
    <t>STACKER BOX-1 ROLLER CON. ROLL SHAFT AND CONVEYOR DRIVE CHAIN BROKEN</t>
  </si>
  <si>
    <t xml:space="preserve">STACKER BOX-1 ROLLER CONVEYOR PROBLEM </t>
  </si>
  <si>
    <t>MANDREL SHIFTING DUE TO EMG PROBLEM</t>
  </si>
  <si>
    <t>20-20 CRANES HOIST UP -DOWN PROBLEM.</t>
  </si>
  <si>
    <t>13.02.2026</t>
  </si>
  <si>
    <t>LEVELLER AND FLATNER CLEANING</t>
  </si>
  <si>
    <t>LINE STOPPED DUE TO OBNORMAL SOUND CAME FROM FLATNER</t>
  </si>
  <si>
    <t>STACKER BOX-1 ROLLER CON.-3 BUFFORING</t>
  </si>
  <si>
    <t>BOTTOM SCRATCH FROM STACKER ROLLOR CONV</t>
  </si>
  <si>
    <t>FLATTNER BUFFING</t>
  </si>
  <si>
    <t>14.02.2026</t>
  </si>
  <si>
    <t>15.02.2026</t>
  </si>
  <si>
    <t>THREE 12MTR HDPE COIL PACKAGING</t>
  </si>
  <si>
    <t>16.02.2026</t>
  </si>
  <si>
    <t>VC</t>
  </si>
  <si>
    <t>LINE STOP DUE TO ALL COIL TEMP.HIGH</t>
  </si>
  <si>
    <t>17.02.2026</t>
  </si>
  <si>
    <t>BOX-1 HEAD STOPPER LOCK-UNLOCK PROBLEM.(4 TIMES)</t>
  </si>
  <si>
    <t xml:space="preserve">OTHER </t>
  </si>
  <si>
    <t>SCHEDULE NOT AVAILABLE.</t>
  </si>
  <si>
    <t>18.02.2026</t>
  </si>
  <si>
    <t>SHORT LENGTH SHEETS DROPPING PROBLEM</t>
  </si>
  <si>
    <t xml:space="preserve"> SAFETY AUDIT</t>
  </si>
  <si>
    <t>19.02.2026</t>
  </si>
  <si>
    <t>MAZAGON COIL TPI INSPECTION</t>
  </si>
  <si>
    <t>20.02.2026</t>
  </si>
  <si>
    <t>SCB ROLL CHANGE AND STSCKER JOB</t>
  </si>
  <si>
    <t>ACB ROLL WORK.</t>
  </si>
  <si>
    <t>FLATNER CLEANING.</t>
  </si>
  <si>
    <t>CHAWGULE  COIL PROCESS.</t>
  </si>
  <si>
    <t>HEAD STOPPER LOCK-UNLOCK  PROBLEM.</t>
  </si>
  <si>
    <t>21.02.2026</t>
  </si>
  <si>
    <t>SHEET DROPPING ISSUE</t>
  </si>
  <si>
    <t>22.02.2026</t>
  </si>
  <si>
    <t>FLATNER GREASING</t>
  </si>
  <si>
    <t xml:space="preserve">LESS MAN POWER  </t>
  </si>
  <si>
    <t>PRINTER DELAY.</t>
  </si>
  <si>
    <t>23.02.2026</t>
  </si>
  <si>
    <t>FLATNER GREASING; SIDE GUIDE AND HEAD STOPPER CALIBRATION</t>
  </si>
  <si>
    <t xml:space="preserve"> SIDE GUIDE AND HEAD STOPPER CALIBRATION</t>
  </si>
  <si>
    <t>LESS PACKAGING MANPOWER DUE TO MEDICAL CHECK-UP</t>
  </si>
  <si>
    <t>PRINTER PROBEN</t>
  </si>
  <si>
    <t>3 JCB COIL PROSSESING</t>
  </si>
  <si>
    <t>PACKEGING PERSON COMING LATE</t>
  </si>
  <si>
    <t>OFF LINE PACKET SEGRIGATION</t>
  </si>
  <si>
    <t>24.02.2026</t>
  </si>
  <si>
    <t>LINE UNDER MAINTENANCE.</t>
  </si>
  <si>
    <t>TSK QUALITY PERSION INSPECTED(GMM COIL PROCESS)</t>
  </si>
  <si>
    <t xml:space="preserve"> SHEET STUCK IN SIDE GUIDE</t>
  </si>
  <si>
    <t>COIL CHANGE FROM SHEDEL DUE TO TEMP HIGH</t>
  </si>
  <si>
    <t>25.02.2026</t>
  </si>
  <si>
    <t>BOTTOM SCRATCH GENERATE FROM M/S SIDE GUIDE OVER PASSING ROLL.</t>
  </si>
  <si>
    <t>STACKER OVER PASSING ROLL CHANGED</t>
  </si>
  <si>
    <t xml:space="preserve"> SIDE GUIDE PROBLEM</t>
  </si>
  <si>
    <t>4NOS 25MM COIL PROCESS DELAY DUE TO SCALE DENT ISSUE</t>
  </si>
  <si>
    <t>LEVELLER CLEANING 2 TIMES DUE TO SCALE DENT</t>
  </si>
  <si>
    <t>2NO 12MTR HDPE COIL PACKAGING</t>
  </si>
  <si>
    <t xml:space="preserve">MAX NO. OF HDPE PKTS </t>
  </si>
  <si>
    <t>26.02.2026</t>
  </si>
  <si>
    <t>3 JCB  COIL PROCESS</t>
  </si>
  <si>
    <t>SIDE GUIDE OPEN/CLOSE PROBLEM</t>
  </si>
  <si>
    <t>SIDE GUIDE OVER PASSING BASE WELDING</t>
  </si>
  <si>
    <t>LINE STOP DUE TO CRANE ENGAGE IN VEHICLE LOADING</t>
  </si>
  <si>
    <t>LINE STOP DUE TO 20-20 CRANE ENGAGE IN VEHICLE LOADING</t>
  </si>
  <si>
    <t>STACKER BOX-2 SIDE GUIDE OPEN/CLOSE PROBLEM</t>
  </si>
  <si>
    <t>MAX NO. OF HDPE PKTS AND 12M HDPE 2 COILS PACKAGING</t>
  </si>
  <si>
    <t>27.02.202</t>
  </si>
  <si>
    <t>BOX 2 PIN PROBLEM</t>
  </si>
  <si>
    <t>LINE STOP FOR URGENT DESPATCH</t>
  </si>
  <si>
    <t>DESPATCH DELAY</t>
  </si>
  <si>
    <t>27.02.2026</t>
  </si>
  <si>
    <t>GMM COIL PROCESS</t>
  </si>
  <si>
    <t>URGENT DESPATCH</t>
  </si>
  <si>
    <t>20-20 CRANE ENGAGE IN VEHICLE LOADING</t>
  </si>
  <si>
    <t>28.02.202</t>
  </si>
  <si>
    <t>28.02.2026</t>
  </si>
  <si>
    <t>HEAD STOPPER AUTO POSITION PROBLEM</t>
  </si>
  <si>
    <t>01.03.202</t>
  </si>
  <si>
    <t>NETWORK FAULT.</t>
  </si>
  <si>
    <t>PRODUCT MISS DELAY(1 jcb,1 india metal,2 tsdpl 12.7 ,1 brakes india and 1 sandhar coil process)</t>
  </si>
  <si>
    <t>02.03.202</t>
  </si>
  <si>
    <t>CONVEYOR NO-2 BEND,WELDING DONE</t>
  </si>
  <si>
    <t>6300 MM ONE PACKET ZIGZAG</t>
  </si>
  <si>
    <t>02.03.2026</t>
  </si>
  <si>
    <t>03.03.2026</t>
  </si>
  <si>
    <t>HEAD STOPPER OIL LIKAGE</t>
  </si>
  <si>
    <t>FLATNER FRONT IDLE ROLL BROKEN</t>
  </si>
  <si>
    <t>SCRATCH GENERATE IN BOX -2 CROSS 90 CHAIN</t>
  </si>
  <si>
    <t>04.03.2026</t>
  </si>
  <si>
    <t>SHOPFLOOR MEETING</t>
  </si>
  <si>
    <t>MD VISIT</t>
  </si>
  <si>
    <t>BOX-1 ROLLER CON.  CHAIN  LOOSE.</t>
  </si>
  <si>
    <t>COIL  CAR NOT FORWORD.</t>
  </si>
  <si>
    <t>05.03.2026</t>
  </si>
  <si>
    <t>BOX -1 SIDE GUIDE CYLINDER PROBLEM</t>
  </si>
  <si>
    <t>20-20 CRANE STIKER BEND</t>
  </si>
  <si>
    <t>05.03.202</t>
  </si>
  <si>
    <t>BOX-1 SIDE GUIDE LINER BEARING BROKEN</t>
  </si>
  <si>
    <t>06.03.2026</t>
  </si>
  <si>
    <t>PACKET NOT FORWARD IN BOX-1</t>
  </si>
  <si>
    <t>ONLY 1 OPERATOR IN 20-20 CRANE</t>
  </si>
  <si>
    <t>BOX-1 SIDE GUIDE JOGING PROBLEM</t>
  </si>
  <si>
    <t>SHORT LENGTH PROCESSING</t>
  </si>
  <si>
    <t>07.03.2026</t>
  </si>
  <si>
    <t>SHORT LENGTH PKTS</t>
  </si>
  <si>
    <t>SHORT LENGTH SHEET DROPPING PROBLEM.</t>
  </si>
  <si>
    <t>08.03.2026</t>
  </si>
  <si>
    <t>ASHISH SHING</t>
  </si>
  <si>
    <t>MATERIAL SHIFTING FROM CRANE NO -2</t>
  </si>
  <si>
    <t>09.03.2026</t>
  </si>
  <si>
    <t>MAXIMUM HDPE PACKAGE PACKAGING</t>
  </si>
  <si>
    <t>SEGREGATION AND DISPATCH</t>
  </si>
  <si>
    <t>10.03.2026</t>
  </si>
  <si>
    <t>IDEAL ROLL WELDING</t>
  </si>
  <si>
    <t>TATA STELL MD   VISIT</t>
  </si>
  <si>
    <t>PRODUCT MIX (4 NOS. BHEL + 1 NO. JCB+1 NO. INDIA METAL)</t>
  </si>
  <si>
    <t>PRODUCT MIX (4 NOS. BHEL + 3 NO. JCB)</t>
  </si>
  <si>
    <t>4 JCB COILS AND 2 BHEL COIL PROCESSED</t>
  </si>
  <si>
    <t>11.03.2026</t>
  </si>
  <si>
    <t>HANDOVER PACKET RUNNER NOT AVAILABLE</t>
  </si>
  <si>
    <t>HEAD STOPER LOCK UNLUCK PROBLEM</t>
  </si>
  <si>
    <t>12.03.2026</t>
  </si>
  <si>
    <t xml:space="preserve">SHORT LENGTH SHEET MOVING FROM DEFLECTOR CONVEYOR </t>
  </si>
  <si>
    <t>13.03.2026</t>
  </si>
  <si>
    <t>1 ZIGZAG COIL LOADING</t>
  </si>
  <si>
    <t>BOX -1 PLATFORM FORWARD PROBLEM</t>
  </si>
  <si>
    <t>SHEET DROOPING PROBLEM</t>
  </si>
  <si>
    <t>FLATNER CALLIBRATION PROBLEM</t>
  </si>
  <si>
    <t>CROSS -90  2   LONG CHAIN OUT FROM SPOCKET.</t>
  </si>
  <si>
    <t>14.03.2026</t>
  </si>
  <si>
    <t>15.03.2026</t>
  </si>
  <si>
    <t>LEVELLER CLEANING AND DENT IDENTIFYING</t>
  </si>
  <si>
    <t>12 M SHEET DROPPING PROBLEM.</t>
  </si>
  <si>
    <t>16.03.2026</t>
  </si>
  <si>
    <t>UT TEST</t>
  </si>
  <si>
    <t>2TIMES HEAD STOPPER CALIBRATION</t>
  </si>
  <si>
    <t>17.03.2026</t>
  </si>
  <si>
    <t xml:space="preserve">BOTH STACKER SIDE GIDE &amp; HEAD STOPPER 2 TIME  CALIBRATION </t>
  </si>
  <si>
    <t xml:space="preserve">SIDE GIDE JOGING ISSUE </t>
  </si>
  <si>
    <t xml:space="preserve"> STACKER SIDE GIDE JOGGING PROBLEM</t>
  </si>
  <si>
    <t>SHORT LENGTH COIL PROCESSED</t>
  </si>
  <si>
    <t>18.03.2026</t>
  </si>
  <si>
    <t>GMM COIL PROCESSING</t>
  </si>
  <si>
    <t>ONE 2250 LENGTH,6.95 THICKNESS COIL PROCESS</t>
  </si>
  <si>
    <t xml:space="preserve">LEVELER  CLEANING </t>
  </si>
  <si>
    <t xml:space="preserve">DENT GENERATE FROM ACB ROLL </t>
  </si>
  <si>
    <t>ACB ROLL BUFFING</t>
  </si>
  <si>
    <t>19.03.2026</t>
  </si>
  <si>
    <t>BRUSHING UNIT  2 &amp; 3  JOB</t>
  </si>
  <si>
    <t>20.03.2026</t>
  </si>
  <si>
    <t>21.03.2026</t>
  </si>
  <si>
    <t>6 MM   COIL PROCESSING</t>
  </si>
  <si>
    <t>12M LENGTH SHEET STUCK AT STACKER DUE TO HEAD STOPPER PROBLEM</t>
  </si>
  <si>
    <t>22.03.2026</t>
  </si>
  <si>
    <t>BOX-1 M/S SIDE GUIDE GUIDE JOOGIN CYLENDER  HOSE DAMAGE.</t>
  </si>
  <si>
    <t>23.03.2026</t>
  </si>
  <si>
    <t>STACKER  PLATFORM  ROLLER BEARING FIXING AND ACB ROLL GRINDING</t>
  </si>
  <si>
    <t>MAX.PACKETS HDPE PACKAGING</t>
  </si>
  <si>
    <t>SCRAP TROLLY LIMIT SENSOR OUT</t>
  </si>
  <si>
    <t>4 JCB AND SANDHAR (PKT WT BELOW 5TON PROCESSING)</t>
  </si>
  <si>
    <t>ALL PACKETS HDPE PACKAGING</t>
  </si>
  <si>
    <t>ACB ROLL GRINDING</t>
  </si>
  <si>
    <t>BOX-1 PLATEFORM CHAIN SPOCKET  OUT.</t>
  </si>
  <si>
    <t>24.03.2026</t>
  </si>
  <si>
    <t>MAINTENANCE MATERIAL SHIFTING</t>
  </si>
  <si>
    <t>SCRAP VEHICLE LOADING IN 20-20 CRANE</t>
  </si>
  <si>
    <t>FLYING SHEAR POWERPACK MOTOR CHANGE</t>
  </si>
  <si>
    <t>04.30.00</t>
  </si>
  <si>
    <t>SAFETY AUDIT</t>
  </si>
  <si>
    <t>25.03.2026</t>
  </si>
  <si>
    <t>25 MM COIL BACK</t>
  </si>
  <si>
    <t>26.03.2026</t>
  </si>
  <si>
    <t>12 MTR COIL SLOW PROCESSING DUE TO HEADSTOPPER PROBLEM</t>
  </si>
  <si>
    <t>AUTO PACKAGING NOT RUNNING</t>
  </si>
  <si>
    <t>BOX 2 CROSS 90 CHAIN PROBLEM</t>
  </si>
  <si>
    <t>20-20 CRANE STUCK IN TRAILER BED AND UT PACKET SEGREGATION</t>
  </si>
  <si>
    <t>QUALITY DECISSION AND COIL BACK</t>
  </si>
  <si>
    <t>27.03.2026</t>
  </si>
  <si>
    <t>LEVELLER WORK ROLL BUFFERING</t>
  </si>
  <si>
    <t>12 MTR  AND  10 MTR COIL SLOW PROCESSING DUE TO HEAD STOPPER PROBLEM</t>
  </si>
  <si>
    <t>3 TPI COIL PROCESSED AND SAMPLE COLLECTION</t>
  </si>
  <si>
    <t>BOX 1 CHAIN SPOKET BROKEN</t>
  </si>
  <si>
    <t>28.03.2026</t>
  </si>
  <si>
    <t>STACKER BOX-2 CROSS-90 CHAIN BROKEN</t>
  </si>
  <si>
    <t>1PKT ZIG ZAG STACKING</t>
  </si>
  <si>
    <t>20-20 CRANE TONG OPEN CLOSE PROBLEM</t>
  </si>
  <si>
    <t>FLATENER AND CORRECTOR ROLL CLEANING</t>
  </si>
  <si>
    <t>29.03.2026</t>
  </si>
  <si>
    <t>30.03.2026</t>
  </si>
  <si>
    <t>3 JCB COIL PROCESSING</t>
  </si>
  <si>
    <t>31.03.2026</t>
  </si>
  <si>
    <t>BOX 1 HEADSTOPPER JOGGING PROBLEM</t>
  </si>
  <si>
    <t>01.04.2026</t>
  </si>
  <si>
    <t>MAX NO OF HDPE PKTS</t>
  </si>
  <si>
    <t>BOX 1 HEADSTOPPER  PROBLEM</t>
  </si>
  <si>
    <t>02.04.2026</t>
  </si>
  <si>
    <t>FLYING SHEAR BELT CONVEYOR UP-DOWN  M/S CYLENDER DAMAGE.</t>
  </si>
  <si>
    <t>HEAD STOPPER CALIBRATION IN EVERY COIL</t>
  </si>
  <si>
    <t>FLATNEAR CLEANING</t>
  </si>
  <si>
    <t>STACKER BOX-1 PLATFORM CHAIN LOOSE</t>
  </si>
  <si>
    <t>03.04.2026</t>
  </si>
  <si>
    <t>HEAD STOPPER FWD/REV PROBLEM</t>
  </si>
  <si>
    <t>LINE UNDER MAINTENANCE</t>
  </si>
  <si>
    <t>LEVELLER  AUTO POSITIONING PROBLEM</t>
  </si>
  <si>
    <t>04.04.2026</t>
  </si>
  <si>
    <t>MAXIMUM HDPE PKT</t>
  </si>
  <si>
    <t>BOX-1 ROLLER CON.1 CHAIN  SPOCKET OUT.</t>
  </si>
  <si>
    <t>LEVELLER AND FLATNEAR CLEANING</t>
  </si>
  <si>
    <t>PRODUCT MIX DELAY (TWO 12MTR HDPE BHEL COIL AND JCB COIL PROCESSING)</t>
  </si>
  <si>
    <t>05.04.2026</t>
  </si>
  <si>
    <t>LEVELLER AND FLATNEAR CLEANING 2 TIMES</t>
  </si>
  <si>
    <t>06.04.2026</t>
  </si>
  <si>
    <t>ACB ROLL  BUFFRINNG.</t>
  </si>
  <si>
    <t>HOOGHLY COIL TPI INSPECTION</t>
  </si>
  <si>
    <t>SANDHAR COIL PROCESS</t>
  </si>
  <si>
    <t>07.04.2026</t>
  </si>
  <si>
    <t>20-20 CRANE TONG OPEN - CLOSE PROBLEM.</t>
  </si>
  <si>
    <t>2 JCB COIL PROCESS.</t>
  </si>
  <si>
    <t>PKT SEGRIGATION AND BHEL PKT LOADING</t>
  </si>
  <si>
    <t>FLATTNER PROBLEM</t>
  </si>
  <si>
    <t>08.04.2026</t>
  </si>
  <si>
    <t>09.04.2026</t>
  </si>
  <si>
    <t>FLYING SHEAR POWER PACK PROBLEM</t>
  </si>
  <si>
    <t>DEFLECTING CONV. BELT FWD/BWD PROBLEM</t>
  </si>
  <si>
    <t>10.04.2026</t>
  </si>
  <si>
    <t>FLYING SHEAR CUT PRESSURE  PROBLEM</t>
  </si>
  <si>
    <t>FLYING SHEAR  CONVEYOR BELT  TIGHT.</t>
  </si>
  <si>
    <t>FLYING SHEAR BLADE FRONT ROLL PACKING JOB</t>
  </si>
  <si>
    <t>11.04.2026</t>
  </si>
  <si>
    <t>12.04.2026</t>
  </si>
  <si>
    <t>SCRAP TROLLY IN/OUT PROBLEM</t>
  </si>
  <si>
    <t>13.04.2026</t>
  </si>
  <si>
    <t>HEAD STOPPER ENCODER FAULT 3 TIMES</t>
  </si>
  <si>
    <t xml:space="preserve">SHEET TRANSFER CAR EVACUATION DELAY </t>
  </si>
  <si>
    <t>UT PACKETS SHIFTED</t>
  </si>
  <si>
    <t>PNEUMATIC  PRESSUR OFF</t>
  </si>
  <si>
    <t>FLYING SHEAR MANUAL MODE</t>
  </si>
  <si>
    <t>14.04.2026</t>
  </si>
  <si>
    <t>PRODUCT MIX DELAY AND TONG CHANGE 2TIMES</t>
  </si>
  <si>
    <t>MAINTENANCE MATERIAL HANDLING</t>
  </si>
  <si>
    <t>UT PKT TRANSFER</t>
  </si>
  <si>
    <t>MAX PACKET 12 MM.</t>
  </si>
  <si>
    <t>15.04.2026</t>
  </si>
  <si>
    <t>LEVELER BUFFING</t>
  </si>
  <si>
    <t>16.04.2026</t>
  </si>
  <si>
    <t>25 MM 12M SHEET DROPPING PROBLEM 2TIMES</t>
  </si>
  <si>
    <t>RUNNER BOX SHIFTING FOR CTL-1</t>
  </si>
  <si>
    <t>FLATTNER CLEANNING AND COIL BACK 2 TIMES</t>
  </si>
  <si>
    <t>FLATTNER CLEANING.</t>
  </si>
  <si>
    <t>FLATTNER UPPER ROLL BUFFRING.</t>
  </si>
  <si>
    <t>17.04.2026</t>
  </si>
  <si>
    <t>FLYING SHEAR FRONT IDLE ROLL CHANGE</t>
  </si>
  <si>
    <t>FLYING SHEAR NOT IN AUTO MODE.</t>
  </si>
  <si>
    <t>LINE UNDER MAINTENANCE FROM PREVIOUS SHIFT</t>
  </si>
  <si>
    <t>18.04.2026</t>
  </si>
  <si>
    <t xml:space="preserve">  LENGTH 2950 MM  MAXMIUM SHEETS STUCK AT SIDE GUIDE</t>
  </si>
  <si>
    <t>BOX-1 ROLLER CON.1 CHAIN BROKEN.</t>
  </si>
  <si>
    <t>19.04.2026</t>
  </si>
  <si>
    <t>FLATTNER JOB</t>
  </si>
  <si>
    <t>BOX-1 ROLLER CON.1  CHAIN TIGHT.</t>
  </si>
  <si>
    <t>FLYING SHEAR  NOT IN HOME POSITION.</t>
  </si>
  <si>
    <t>BRUSHING UNIT 1 AUTO DOWN</t>
  </si>
  <si>
    <t>20.04.2026</t>
  </si>
  <si>
    <t>SCRAP PINCH ROLL JOB</t>
  </si>
  <si>
    <t>STACKER BOX -1 SPROCKET  FITTING AND CHAIN TIGHTENING</t>
  </si>
  <si>
    <t>LENGTH 5100MM  MAXIMUM SHEET STRUCK AT SIDE GUIDE</t>
  </si>
  <si>
    <t>STACKER BOX-1 SIDEGUIDE PLATE BROKEN</t>
  </si>
  <si>
    <t>LEVLER DRIVE FAULT</t>
  </si>
  <si>
    <t>21.04.2026</t>
  </si>
  <si>
    <t>CRANE POWER CUT.</t>
  </si>
  <si>
    <t>FLATNNER    WORK ROLL BEARING PROBLEM.</t>
  </si>
  <si>
    <t>3 COIL 12 M   HDPE PACKING.</t>
  </si>
  <si>
    <t>22.04.2026</t>
  </si>
  <si>
    <t>2500mm LENGTH SHEET DROPPING PROBLEM</t>
  </si>
  <si>
    <t>MAXIMUM  HDPE PACKETS PACKAGING</t>
  </si>
  <si>
    <t>4250mm LENGTH SHEET DROPPING PROBLEM</t>
  </si>
  <si>
    <t>23.04.2026</t>
  </si>
  <si>
    <t>ROLLER CONV. SPOKET BROKEN</t>
  </si>
  <si>
    <t>FLYING SHEAR FAULT ALARM(FLYING SHEAR HYDRAULIC POWER PACK-PUMP RATATION)</t>
  </si>
  <si>
    <t xml:space="preserve"> SHEET  TWIST AT BELT CONVEYOR AND STUCK AT SIDE GUIDE(T=20MM,W=1980MM,L=2500MM ) </t>
  </si>
  <si>
    <t>24.04.2026</t>
  </si>
  <si>
    <t>HEAD STOPPER  AND SIDE GUIDE CALIBRATION 3 TIMES</t>
  </si>
  <si>
    <t>25.04.2026</t>
  </si>
  <si>
    <t>STACKER BOX-1 PIN CHANGE</t>
  </si>
  <si>
    <t>COIL CAR IN/OUT PROBLEM</t>
  </si>
  <si>
    <t>26.04.2026</t>
  </si>
  <si>
    <t>FLATTNER CLEANING</t>
  </si>
  <si>
    <t>27.04.2026</t>
  </si>
  <si>
    <t>MAN POWER SHORTEGE</t>
  </si>
  <si>
    <t>28.04.2026</t>
  </si>
  <si>
    <t>URJENT VEHICLE LOADING</t>
  </si>
  <si>
    <t>INTERARCH COIL THIRD PARTY INSPECTION</t>
  </si>
  <si>
    <t xml:space="preserve"> SUNIL PARDHAN</t>
  </si>
  <si>
    <t>BOX 2 PIN PROBELAM</t>
  </si>
  <si>
    <t>ROLLER CONV. CHAIN SPOKET BROKEN</t>
  </si>
  <si>
    <t>29.04.2026</t>
  </si>
  <si>
    <t>BOX 1 ROLLER CONV. 4 CHAIN SPOKET BROKEN 2 TIMES</t>
  </si>
  <si>
    <t>FLATTENER CLEANING 3 TIMES AND CORRECTOR ROLL CLEANING</t>
  </si>
  <si>
    <t>2.5 NOS. BHEL COIL (12 MTR HDPE PACKAGING)</t>
  </si>
  <si>
    <t>2 NOS. BHEL COIL (12 MTR HDPE PACKAGING)</t>
  </si>
  <si>
    <t>30.04.2026</t>
  </si>
  <si>
    <t>CRANE-2 UNDER MAINTENANCE</t>
  </si>
  <si>
    <t>CRANE ENGAGE IN OFFLINE DESPATCH</t>
  </si>
  <si>
    <t>01.05.2026</t>
  </si>
  <si>
    <t>BOX 1 ROLL CONV. 4 SPOCKET BROKEN</t>
  </si>
  <si>
    <t>ALL HDPE PKT WITH LESS MANPOWER</t>
  </si>
  <si>
    <t>MAX HDPE PKT WITH LESS MANPOWER</t>
  </si>
  <si>
    <t>02.05.2026</t>
  </si>
  <si>
    <t>03.05.2026</t>
  </si>
  <si>
    <t>STACKER BOX 1 PLATFORM CHAIN SPOCKET BROKEN</t>
  </si>
  <si>
    <t>STACKER BOX-1 ROLL WELDING BROKEN</t>
  </si>
  <si>
    <t>04.05.2026</t>
  </si>
  <si>
    <t>MAXIMUM HDPE(3 JCB) COIL PROCESSING</t>
  </si>
  <si>
    <t>3 HDPE COILS OF 12mtrs LENGTH, PROCESSED</t>
  </si>
  <si>
    <t>05.05.2026</t>
  </si>
  <si>
    <t>RAVI MAHATO</t>
  </si>
  <si>
    <t>06.05.2026</t>
  </si>
  <si>
    <t>BOX-1 CROSS-90 CHAIN PROBLEM</t>
  </si>
  <si>
    <t>OPERATOR SHORTEGE</t>
  </si>
  <si>
    <t>07.05.2026</t>
  </si>
  <si>
    <t>2.5 JCB COIL PROCESSING</t>
  </si>
  <si>
    <t>4 NOS. BHEL COIL (12 MTR HDPE PACKAGING)</t>
  </si>
  <si>
    <t>ACB ROLL BUFFEING</t>
  </si>
  <si>
    <t>08.05.2026</t>
  </si>
  <si>
    <t>09.05.2026</t>
  </si>
  <si>
    <t>10.05.2026</t>
  </si>
  <si>
    <t>BOX-1 SIDE  GUIDE JOGGING. PROBLEM.</t>
  </si>
  <si>
    <t>FG SPACE ISSUE.</t>
  </si>
  <si>
    <t>DISPATCH</t>
  </si>
  <si>
    <t>CRANE OPERATOR REST.</t>
  </si>
  <si>
    <t>TRAILOR UNLOADING.</t>
  </si>
  <si>
    <t>MAKING SPACE FOR FG PKT</t>
  </si>
  <si>
    <t>11.05.2026</t>
  </si>
  <si>
    <t>LINE STOP UNCOILER UNIT WATER FULL</t>
  </si>
  <si>
    <t>LINE STOP BRUSHING UNIT SCALE NOT REMOVE</t>
  </si>
  <si>
    <t xml:space="preserve">CRANE TONG GOT STUCK IN THE PACKET BY LOGISTIC PERSON DURING LOADING TIME </t>
  </si>
  <si>
    <t>PRINTER USED 1 OR 2</t>
  </si>
  <si>
    <t>USED 1,2-NOT OK</t>
  </si>
  <si>
    <t>TEAM</t>
  </si>
  <si>
    <t>3 COIL (12 MTR HDPE PACKAGING)</t>
  </si>
  <si>
    <t>20-20 CRANE STRIKER BEND</t>
  </si>
  <si>
    <t>12.05.2026</t>
  </si>
  <si>
    <t>USED 1,2- OK</t>
  </si>
  <si>
    <t>SHOR LENGTH SHEET DROPPING PROBLEM.</t>
  </si>
  <si>
    <t>PRODUCT MIX DELAY(1.75 JCB COIL PROCESSING)</t>
  </si>
  <si>
    <t>13.05.2026</t>
  </si>
  <si>
    <t>LEVELLER CLEANING 2 TIMES</t>
  </si>
  <si>
    <t>12 M 1COIL HDPE PACKAGING</t>
  </si>
  <si>
    <t>PRODUCT MIX DELAY</t>
  </si>
  <si>
    <t>14.05.2026</t>
  </si>
  <si>
    <t>SIDE GUIDE SHEET DROPPING PROBLEM</t>
  </si>
  <si>
    <t>BRUSHING UNIT PROBLEM</t>
  </si>
  <si>
    <t>FLATNER CLEANING 2 TIMES</t>
  </si>
  <si>
    <t xml:space="preserve">20-20 CRANE TONG  TRIP </t>
  </si>
  <si>
    <t>20-20 CRANE STICKER BEND IN PREVIOUS SHIFT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</si>
</sst>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F400]h:mm:ss\ AM/PM"/>
  </numFmts>
  <fonts count="13" x14ac:knownFonts="1">
    <font>
      <sz val="11"/>
      <name val="Calibri"/>
    </font>
    <font>
      <sz val="11"/>
      <name val="Calibri"/>
      <family val="2"/>
    </font>
    <font>
      <b/>
      <u/>
      <sz val="12"/>
      <color theme="0"/>
      <name val="Calibri"/>
      <family val="2"/>
      <scheme val="minor"/>
    </font>
    <font>
      <b/>
      <sz val="12"/>
      <name val="Calibri"/>
      <family val="2"/>
      <scheme val="minor"/>
    </font>
    <font>
      <b/>
      <sz val="12"/>
      <color theme="0"/>
      <name val="Calibri"/>
      <family val="2"/>
      <scheme val="minor"/>
    </font>
    <font>
      <b/>
      <sz val="16"/>
      <name val="Calibri"/>
      <family val="2"/>
      <scheme val="minor"/>
    </font>
    <font>
      <b/>
      <sz val="14"/>
      <name val="Calibri"/>
      <family val="2"/>
    </font>
    <font>
      <sz val="12"/>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b/>
      <sz val="12"/>
      <name val="Calibri"/>
      <family val="2"/>
    </font>
    <font>
      <b/>
      <sz val="12"/>
      <color theme="2"/>
      <name val="Calibri"/>
      <family val="2"/>
      <scheme val="minor"/>
    </font>
  </fonts>
  <fills count="13">
    <fill>
      <patternFill patternType="none"/>
    </fill>
    <fill>
      <patternFill patternType="gray125"/>
    </fill>
    <fill>
      <patternFill patternType="solid">
        <fgColor rgb="FF002060"/>
        <bgColor indexed="64"/>
      </patternFill>
    </fill>
    <fill>
      <patternFill patternType="solid">
        <fgColor rgb="FFFF0000"/>
        <bgColor indexed="64"/>
      </patternFill>
    </fill>
    <fill>
      <patternFill patternType="solid">
        <fgColor rgb="FFFFFF00"/>
        <bgColor indexed="64"/>
      </patternFill>
    </fill>
    <fill>
      <patternFill patternType="solid">
        <fgColor theme="0"/>
        <bgColor indexed="64"/>
      </patternFill>
    </fill>
    <fill>
      <patternFill patternType="solid">
        <fgColor rgb="FF92D050"/>
        <bgColor indexed="64"/>
      </patternFill>
    </fill>
    <fill>
      <patternFill patternType="solid">
        <fgColor theme="3" tint="0.39997558519241921"/>
        <bgColor indexed="64"/>
      </patternFill>
    </fill>
    <fill>
      <patternFill patternType="solid">
        <fgColor theme="4"/>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theme="0" tint="-4.9989318521683403E-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s>
  <cellStyleXfs count="4">
    <xf numFmtId="0" fontId="0" fillId="0" borderId="0">
      <alignment vertical="center"/>
    </xf>
    <xf numFmtId="0" fontId="8" fillId="9" borderId="0" applyNumberFormat="0" applyBorder="0" applyAlignment="0" applyProtection="0"/>
    <xf numFmtId="0" fontId="9" fillId="10" borderId="0" applyNumberFormat="0" applyBorder="0" applyAlignment="0" applyProtection="0"/>
    <xf numFmtId="0" fontId="10" fillId="11" borderId="0" applyNumberFormat="0" applyBorder="0" applyAlignment="0" applyProtection="0"/>
  </cellStyleXfs>
  <cellXfs count="37">
    <xf numFmtId="0" fontId="0" fillId="0" borderId="0" xfId="0">
      <alignment vertical="center"/>
    </xf>
    <xf numFmtId="0" fontId="0" fillId="0" borderId="0" xfId="0" applyAlignment="1">
      <alignment horizontal="center" vertical="center"/>
    </xf>
    <xf numFmtId="0" fontId="0" fillId="0" borderId="1" xfId="0" applyBorder="1" applyAlignment="1">
      <alignment horizontal="center" vertical="center"/>
    </xf>
    <xf numFmtId="0" fontId="1" fillId="0" borderId="0" xfId="0" applyFont="1" applyAlignment="1">
      <alignment horizontal="center" vertical="center"/>
    </xf>
    <xf numFmtId="0" fontId="1" fillId="0" borderId="0" xfId="0" applyFont="1">
      <alignment vertical="center"/>
    </xf>
    <xf numFmtId="0" fontId="0" fillId="0" borderId="0" xfId="0" applyAlignment="1"/>
    <xf numFmtId="0" fontId="1" fillId="4" borderId="0" xfId="0" applyFont="1" applyFill="1">
      <alignment vertical="center"/>
    </xf>
    <xf numFmtId="0" fontId="1" fillId="5" borderId="0" xfId="0" applyFont="1" applyFill="1">
      <alignment vertical="center"/>
    </xf>
    <xf numFmtId="0" fontId="0" fillId="0" borderId="1" xfId="0" applyBorder="1">
      <alignment vertical="center"/>
    </xf>
    <xf numFmtId="0" fontId="1" fillId="0" borderId="1" xfId="0" applyFont="1" applyBorder="1">
      <alignment vertical="center"/>
    </xf>
    <xf numFmtId="0" fontId="1" fillId="4" borderId="1" xfId="0" applyFont="1" applyFill="1" applyBorder="1">
      <alignment vertical="center"/>
    </xf>
    <xf numFmtId="0" fontId="0" fillId="0" borderId="2" xfId="0" applyBorder="1">
      <alignment vertical="center"/>
    </xf>
    <xf numFmtId="0" fontId="3" fillId="2" borderId="0" xfId="0" applyFont="1" applyFill="1" applyAlignment="1">
      <alignment horizontal="center" vertical="center"/>
    </xf>
    <xf numFmtId="0" fontId="3" fillId="3" borderId="0" xfId="0" applyFont="1" applyFill="1" applyAlignment="1">
      <alignment horizontal="center" vertical="center"/>
    </xf>
    <xf numFmtId="0" fontId="4" fillId="2" borderId="1" xfId="0" applyFont="1" applyFill="1" applyBorder="1" applyAlignment="1">
      <alignment horizontal="center" vertical="center"/>
    </xf>
    <xf numFmtId="0" fontId="3" fillId="0" borderId="0" xfId="0" applyFont="1" applyAlignment="1">
      <alignment horizontal="center" vertical="center"/>
    </xf>
    <xf numFmtId="0" fontId="3" fillId="0" borderId="1" xfId="0" applyFont="1" applyBorder="1" applyAlignment="1">
      <alignment horizontal="center" vertical="center"/>
    </xf>
    <xf numFmtId="164" fontId="4" fillId="2" borderId="1" xfId="0" applyNumberFormat="1" applyFont="1" applyFill="1" applyBorder="1" applyAlignment="1">
      <alignment horizontal="center" vertical="center"/>
    </xf>
    <xf numFmtId="164" fontId="3" fillId="0" borderId="1" xfId="0" applyNumberFormat="1" applyFont="1" applyBorder="1" applyAlignment="1">
      <alignment horizontal="center" vertical="center"/>
    </xf>
    <xf numFmtId="0" fontId="5" fillId="6" borderId="1" xfId="0" applyFont="1" applyFill="1" applyBorder="1" applyAlignment="1">
      <alignment horizontal="center" vertical="center"/>
    </xf>
    <xf numFmtId="0" fontId="6" fillId="6" borderId="1" xfId="0" applyFont="1" applyFill="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7" borderId="1" xfId="0" applyFont="1" applyFill="1" applyBorder="1" applyAlignment="1">
      <alignment horizontal="center" vertical="center"/>
    </xf>
    <xf numFmtId="0" fontId="3" fillId="8" borderId="1" xfId="0" applyFont="1" applyFill="1" applyBorder="1" applyAlignment="1">
      <alignment horizontal="center" vertical="center"/>
    </xf>
    <xf numFmtId="20" fontId="3" fillId="0" borderId="0" xfId="0" applyNumberFormat="1" applyFont="1" applyAlignment="1">
      <alignment horizontal="center" vertical="center"/>
    </xf>
    <xf numFmtId="0" fontId="7" fillId="0" borderId="1" xfId="0" applyFont="1" applyBorder="1" applyAlignment="1">
      <alignment horizontal="center" vertical="center"/>
    </xf>
    <xf numFmtId="0" fontId="9" fillId="10" borderId="1" xfId="2" applyBorder="1" applyAlignment="1">
      <alignment horizontal="center" vertical="center"/>
    </xf>
    <xf numFmtId="0" fontId="8" fillId="9" borderId="1" xfId="1" applyBorder="1" applyAlignment="1">
      <alignment horizontal="center" vertical="center"/>
    </xf>
    <xf numFmtId="0" fontId="10" fillId="11" borderId="7" xfId="3" applyBorder="1" applyAlignment="1">
      <alignment horizontal="center" vertical="center"/>
    </xf>
    <xf numFmtId="0" fontId="10" fillId="11" borderId="1" xfId="3" applyBorder="1" applyAlignment="1">
      <alignment horizontal="center" vertical="center"/>
    </xf>
    <xf numFmtId="0" fontId="3" fillId="0" borderId="1" xfId="0" applyFont="1" applyBorder="1" applyAlignment="1">
      <alignment horizontal="left" vertical="center"/>
    </xf>
    <xf numFmtId="0" fontId="11" fillId="0" borderId="0" xfId="0" applyFont="1" applyAlignment="1">
      <alignment horizontal="center" vertical="center"/>
    </xf>
    <xf numFmtId="0" fontId="12" fillId="12" borderId="1" xfId="0" applyFont="1" applyFill="1" applyBorder="1" applyAlignment="1">
      <alignment horizontal="center" vertical="center"/>
    </xf>
    <xf numFmtId="0" fontId="2" fillId="3" borderId="3" xfId="0" applyFont="1" applyFill="1" applyBorder="1" applyAlignment="1">
      <alignment horizontal="center" vertical="center"/>
    </xf>
    <xf numFmtId="0" fontId="2" fillId="3" borderId="5" xfId="0" applyFont="1" applyFill="1" applyBorder="1" applyAlignment="1">
      <alignment horizontal="center" vertical="center"/>
    </xf>
    <xf numFmtId="0" fontId="2" fillId="3" borderId="4" xfId="0" applyFont="1" applyFill="1" applyBorder="1" applyAlignment="1">
      <alignment horizontal="center" vertical="center"/>
    </xf>
  </cellXfs>
  <cellStyles count="4">
    <cellStyle name="Bad" xfId="2" builtinId="27"/>
    <cellStyle name="Good" xfId="1" builtinId="26"/>
    <cellStyle name="Neutral" xfId="3" builtinId="28"/>
    <cellStyle name="Normal" xfId="0" builtinId="0"/>
  </cellStyles>
  <dxfs count="0"/>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R5745"/>
  <sheetViews>
    <sheetView tabSelected="1" view="pageBreakPreview" topLeftCell="D1" zoomScale="80" zoomScaleNormal="20" zoomScaleSheetLayoutView="80" workbookViewId="0">
      <pane ySplit="2" topLeftCell="A5734" activePane="bottomLeft" state="frozen"/>
      <selection activeCell="E18" sqref="E18:L18"/>
      <selection pane="bottomLeft" activeCell="M5749" sqref="M5749"/>
    </sheetView>
  </sheetViews>
  <sheetFormatPr defaultColWidth="9.140625" defaultRowHeight="13.5" customHeight="1" x14ac:dyDescent="0.25"/>
  <cols>
    <col min="1" max="1" width="10.7109375" style="16" customWidth="1"/>
    <col min="2" max="2" width="10.85546875" style="16" customWidth="1"/>
    <col min="3" max="3" width="24.5703125" style="16" customWidth="1"/>
    <col min="4" max="4" width="28.28515625" style="16" customWidth="1"/>
    <col min="5" max="5" width="23" style="16" customWidth="1"/>
    <col min="6" max="6" width="11.140625" style="16" customWidth="1"/>
    <col min="7" max="7" width="12.28515625" style="16" customWidth="1"/>
    <col min="8" max="8" width="11" style="16" customWidth="1"/>
    <col min="9" max="9" width="12" style="16" customWidth="1"/>
    <col min="10" max="10" width="13.5703125" style="18" customWidth="1"/>
    <col min="11" max="11" width="15" style="18" customWidth="1"/>
    <col min="12" max="12" width="37.7109375" style="16" customWidth="1"/>
    <col min="13" max="13" width="97.42578125" style="16" customWidth="1"/>
    <col min="14" max="14" width="83.140625" style="15" customWidth="1"/>
    <col min="15" max="15" width="89.42578125" style="15" customWidth="1"/>
    <col min="16" max="16" width="30.5703125" style="15" hidden="1" customWidth="1"/>
    <col min="17" max="17" width="19.28515625" style="15" hidden="1" customWidth="1"/>
    <col min="18" max="18" width="82" style="15" customWidth="1"/>
    <col min="19" max="19" width="18.85546875" style="15" customWidth="1"/>
    <col min="20" max="21" width="9.140625" style="15" customWidth="1"/>
    <col min="22" max="16384" width="9.140625" style="15"/>
  </cols>
  <sheetData>
    <row r="1" spans="1:17" s="13" customFormat="1" ht="21" customHeight="1" x14ac:dyDescent="0.25">
      <c r="A1" s="34" t="s">
        <v>196</v>
      </c>
      <c r="B1" s="35"/>
      <c r="C1" s="35"/>
      <c r="D1" s="35"/>
      <c r="E1" s="35"/>
      <c r="F1" s="35"/>
      <c r="G1" s="35"/>
      <c r="H1" s="35"/>
      <c r="I1" s="35"/>
      <c r="J1" s="35"/>
      <c r="K1" s="35"/>
      <c r="L1" s="35"/>
      <c r="M1" s="36"/>
      <c r="N1" s="12" t="e">
        <f>+A:QK14717K:LK14717K:L</f>
        <v>#NAME?</v>
      </c>
    </row>
    <row r="2" spans="1:17" s="12" customFormat="1" ht="15.75" customHeight="1" x14ac:dyDescent="0.25">
      <c r="A2" s="14" t="s">
        <v>8</v>
      </c>
      <c r="B2" s="14" t="s">
        <v>3</v>
      </c>
      <c r="C2" s="14" t="s">
        <v>4</v>
      </c>
      <c r="D2" s="14" t="s">
        <v>959</v>
      </c>
      <c r="E2" s="14" t="s">
        <v>957</v>
      </c>
      <c r="F2" s="14" t="s">
        <v>9</v>
      </c>
      <c r="G2" s="14" t="s">
        <v>10</v>
      </c>
      <c r="H2" s="14" t="s">
        <v>11</v>
      </c>
      <c r="I2" s="14" t="s">
        <v>12</v>
      </c>
      <c r="J2" s="17" t="s">
        <v>190</v>
      </c>
      <c r="K2" s="17" t="s">
        <v>191</v>
      </c>
      <c r="L2" s="14"/>
      <c r="M2" s="14" t="s">
        <v>78</v>
      </c>
      <c r="N2" s="15"/>
    </row>
    <row r="3" spans="1:17" ht="13.5" customHeight="1" x14ac:dyDescent="0.25">
      <c r="A3" s="16" t="s">
        <v>194</v>
      </c>
      <c r="B3" s="16" t="s">
        <v>0</v>
      </c>
      <c r="C3" s="16" t="s">
        <v>16</v>
      </c>
      <c r="D3" s="16" t="s">
        <v>19</v>
      </c>
      <c r="F3" s="16">
        <v>382.99</v>
      </c>
      <c r="G3" s="16">
        <v>11</v>
      </c>
      <c r="H3" s="16" t="s">
        <v>22</v>
      </c>
      <c r="I3" s="16">
        <v>10</v>
      </c>
      <c r="L3" s="16" t="s">
        <v>23</v>
      </c>
      <c r="M3" s="15"/>
    </row>
    <row r="4" spans="1:17" ht="13.5" customHeight="1" x14ac:dyDescent="0.25">
      <c r="I4" s="16">
        <v>110</v>
      </c>
      <c r="L4" s="16" t="s">
        <v>32</v>
      </c>
      <c r="P4" s="16" t="s">
        <v>19</v>
      </c>
      <c r="Q4" s="16">
        <f>SUMIF(D3:D1979,D3,F3:F1979)</f>
        <v>20749.244999999999</v>
      </c>
    </row>
    <row r="5" spans="1:17" ht="13.5" customHeight="1" x14ac:dyDescent="0.25">
      <c r="I5" s="16">
        <v>40</v>
      </c>
      <c r="L5" s="16" t="s">
        <v>33</v>
      </c>
      <c r="P5" s="16" t="s">
        <v>21</v>
      </c>
      <c r="Q5" s="16">
        <f>SUMIF(D12:D1979,D12,F12:F1979)</f>
        <v>19577.833999999999</v>
      </c>
    </row>
    <row r="6" spans="1:17" ht="13.5" customHeight="1" x14ac:dyDescent="0.25">
      <c r="I6" s="16">
        <v>40</v>
      </c>
      <c r="L6" s="16" t="s">
        <v>29</v>
      </c>
      <c r="M6" s="15"/>
      <c r="P6" s="16" t="s">
        <v>20</v>
      </c>
      <c r="Q6" s="16">
        <f>SUMIF(D21:D1983,D21,F21:F1983)</f>
        <v>21377.297000000002</v>
      </c>
    </row>
    <row r="7" spans="1:17" ht="13.5" customHeight="1" x14ac:dyDescent="0.25">
      <c r="I7" s="16">
        <v>20</v>
      </c>
      <c r="L7" s="16" t="s">
        <v>25</v>
      </c>
      <c r="M7" s="16" t="s">
        <v>137</v>
      </c>
      <c r="P7" s="16"/>
      <c r="Q7" s="16"/>
    </row>
    <row r="8" spans="1:17" ht="13.5" customHeight="1" x14ac:dyDescent="0.25">
      <c r="I8" s="16">
        <v>20</v>
      </c>
      <c r="L8" s="16" t="s">
        <v>25</v>
      </c>
      <c r="M8" s="16" t="s">
        <v>45</v>
      </c>
      <c r="P8" s="16"/>
      <c r="Q8" s="16"/>
    </row>
    <row r="9" spans="1:17" ht="13.5" customHeight="1" x14ac:dyDescent="0.25">
      <c r="I9" s="16">
        <v>15</v>
      </c>
      <c r="L9" s="16" t="s">
        <v>27</v>
      </c>
      <c r="P9" s="16"/>
      <c r="Q9" s="16"/>
    </row>
    <row r="10" spans="1:17" ht="13.5" customHeight="1" x14ac:dyDescent="0.25">
      <c r="I10" s="16">
        <v>15</v>
      </c>
      <c r="L10" s="16" t="s">
        <v>26</v>
      </c>
      <c r="M10" s="16" t="s">
        <v>147</v>
      </c>
      <c r="P10" s="16"/>
      <c r="Q10" s="16"/>
    </row>
    <row r="11" spans="1:17" ht="13.5" customHeight="1" x14ac:dyDescent="0.25">
      <c r="P11" s="16"/>
      <c r="Q11" s="16"/>
    </row>
    <row r="12" spans="1:17" ht="13.5" customHeight="1" x14ac:dyDescent="0.25">
      <c r="A12" s="16" t="s">
        <v>194</v>
      </c>
      <c r="B12" s="16" t="s">
        <v>1</v>
      </c>
      <c r="C12" s="15" t="s">
        <v>192</v>
      </c>
      <c r="D12" s="16" t="s">
        <v>21</v>
      </c>
      <c r="F12" s="16">
        <v>285.29000000000002</v>
      </c>
      <c r="G12" s="16">
        <v>8.75</v>
      </c>
      <c r="H12" s="16" t="s">
        <v>22</v>
      </c>
      <c r="I12" s="16">
        <v>40</v>
      </c>
      <c r="L12" s="16" t="s">
        <v>23</v>
      </c>
      <c r="M12" s="15" t="s">
        <v>43</v>
      </c>
      <c r="P12" s="21"/>
    </row>
    <row r="13" spans="1:17" ht="13.5" customHeight="1" x14ac:dyDescent="0.25">
      <c r="I13" s="16">
        <v>90</v>
      </c>
      <c r="L13" s="16" t="s">
        <v>32</v>
      </c>
      <c r="P13" s="16"/>
    </row>
    <row r="14" spans="1:17" ht="13.5" customHeight="1" x14ac:dyDescent="0.25">
      <c r="I14" s="16">
        <v>20</v>
      </c>
      <c r="L14" s="16" t="s">
        <v>33</v>
      </c>
      <c r="P14" s="16"/>
    </row>
    <row r="15" spans="1:17" ht="13.5" customHeight="1" x14ac:dyDescent="0.25">
      <c r="I15" s="16">
        <v>60</v>
      </c>
      <c r="L15" s="16" t="s">
        <v>29</v>
      </c>
      <c r="M15" s="15" t="s">
        <v>193</v>
      </c>
      <c r="P15" s="16"/>
    </row>
    <row r="16" spans="1:17" ht="13.5" customHeight="1" x14ac:dyDescent="0.25">
      <c r="I16" s="16">
        <v>40</v>
      </c>
      <c r="L16" s="16" t="s">
        <v>25</v>
      </c>
      <c r="M16" s="16" t="s">
        <v>137</v>
      </c>
      <c r="P16" s="16"/>
    </row>
    <row r="17" spans="1:16" ht="13.5" customHeight="1" x14ac:dyDescent="0.25">
      <c r="I17" s="16">
        <v>30</v>
      </c>
      <c r="L17" s="16" t="s">
        <v>25</v>
      </c>
      <c r="M17" s="16" t="s">
        <v>45</v>
      </c>
      <c r="P17" s="16"/>
    </row>
    <row r="18" spans="1:16" ht="13.5" customHeight="1" x14ac:dyDescent="0.25">
      <c r="I18" s="16">
        <v>20</v>
      </c>
      <c r="L18" s="16" t="s">
        <v>27</v>
      </c>
      <c r="P18" s="16"/>
    </row>
    <row r="19" spans="1:16" ht="13.5" customHeight="1" x14ac:dyDescent="0.25">
      <c r="I19" s="16">
        <v>30</v>
      </c>
      <c r="J19" s="18">
        <v>0.1875</v>
      </c>
      <c r="K19" s="18">
        <v>0.20833333333333334</v>
      </c>
      <c r="L19" s="16" t="s">
        <v>26</v>
      </c>
      <c r="M19" s="15" t="s">
        <v>195</v>
      </c>
      <c r="P19" s="16"/>
    </row>
    <row r="20" spans="1:16" ht="13.5" customHeight="1" x14ac:dyDescent="0.25">
      <c r="P20" s="16"/>
    </row>
    <row r="21" spans="1:16" ht="13.5" customHeight="1" x14ac:dyDescent="0.25">
      <c r="A21" s="16" t="s">
        <v>194</v>
      </c>
      <c r="B21" s="16" t="s">
        <v>2</v>
      </c>
      <c r="C21" s="16" t="s">
        <v>15</v>
      </c>
      <c r="D21" s="16" t="s">
        <v>20</v>
      </c>
      <c r="F21" s="16">
        <v>416.22</v>
      </c>
      <c r="G21" s="16">
        <v>11</v>
      </c>
      <c r="H21" s="16" t="s">
        <v>22</v>
      </c>
      <c r="I21" s="16">
        <v>10</v>
      </c>
      <c r="L21" s="16" t="s">
        <v>23</v>
      </c>
      <c r="M21" s="15"/>
      <c r="P21" s="16"/>
    </row>
    <row r="22" spans="1:16" ht="13.5" customHeight="1" x14ac:dyDescent="0.25">
      <c r="I22" s="16">
        <v>110</v>
      </c>
      <c r="L22" s="16" t="s">
        <v>32</v>
      </c>
      <c r="P22" s="16"/>
    </row>
    <row r="23" spans="1:16" ht="13.5" customHeight="1" x14ac:dyDescent="0.25">
      <c r="I23" s="16">
        <v>30</v>
      </c>
      <c r="L23" s="16" t="s">
        <v>33</v>
      </c>
    </row>
    <row r="24" spans="1:16" ht="13.5" customHeight="1" x14ac:dyDescent="0.25">
      <c r="I24" s="16">
        <v>40</v>
      </c>
      <c r="L24" s="16" t="s">
        <v>29</v>
      </c>
      <c r="M24" s="15"/>
    </row>
    <row r="25" spans="1:16" ht="13.5" customHeight="1" x14ac:dyDescent="0.25">
      <c r="I25" s="16">
        <v>20</v>
      </c>
      <c r="L25" s="16" t="s">
        <v>25</v>
      </c>
      <c r="M25" s="16" t="s">
        <v>137</v>
      </c>
    </row>
    <row r="26" spans="1:16" ht="13.5" customHeight="1" x14ac:dyDescent="0.25">
      <c r="I26" s="16">
        <v>20</v>
      </c>
      <c r="L26" s="16" t="s">
        <v>25</v>
      </c>
      <c r="M26" s="16" t="s">
        <v>45</v>
      </c>
    </row>
    <row r="27" spans="1:16" ht="13.5" customHeight="1" x14ac:dyDescent="0.25">
      <c r="M27" s="15"/>
    </row>
    <row r="28" spans="1:16" ht="13.5" customHeight="1" x14ac:dyDescent="0.25">
      <c r="A28" s="16" t="s">
        <v>197</v>
      </c>
      <c r="B28" s="16" t="s">
        <v>0</v>
      </c>
      <c r="C28" s="16" t="s">
        <v>16</v>
      </c>
      <c r="D28" s="16" t="s">
        <v>19</v>
      </c>
      <c r="F28" s="16">
        <v>297.89</v>
      </c>
      <c r="G28" s="16">
        <v>8.25</v>
      </c>
      <c r="H28" s="16" t="s">
        <v>22</v>
      </c>
      <c r="I28" s="16">
        <v>10</v>
      </c>
      <c r="L28" s="16" t="s">
        <v>23</v>
      </c>
      <c r="M28" s="15"/>
    </row>
    <row r="29" spans="1:16" ht="13.5" customHeight="1" x14ac:dyDescent="0.25">
      <c r="I29" s="16">
        <v>80</v>
      </c>
      <c r="L29" s="16" t="s">
        <v>32</v>
      </c>
    </row>
    <row r="30" spans="1:16" ht="13.5" customHeight="1" x14ac:dyDescent="0.25">
      <c r="I30" s="16">
        <v>20</v>
      </c>
      <c r="L30" s="16" t="s">
        <v>33</v>
      </c>
    </row>
    <row r="31" spans="1:16" ht="13.5" customHeight="1" x14ac:dyDescent="0.25">
      <c r="I31" s="16">
        <v>20</v>
      </c>
      <c r="L31" s="16" t="s">
        <v>29</v>
      </c>
      <c r="M31" s="15"/>
    </row>
    <row r="32" spans="1:16" ht="13.5" customHeight="1" x14ac:dyDescent="0.25">
      <c r="I32" s="16">
        <v>20</v>
      </c>
      <c r="L32" s="16" t="s">
        <v>25</v>
      </c>
      <c r="M32" s="16" t="s">
        <v>137</v>
      </c>
    </row>
    <row r="33" spans="1:13" ht="13.5" customHeight="1" x14ac:dyDescent="0.25">
      <c r="I33" s="16">
        <v>20</v>
      </c>
      <c r="L33" s="16" t="s">
        <v>25</v>
      </c>
      <c r="M33" s="16" t="s">
        <v>45</v>
      </c>
    </row>
    <row r="34" spans="1:13" ht="13.5" customHeight="1" x14ac:dyDescent="0.25">
      <c r="I34" s="16">
        <v>20</v>
      </c>
      <c r="L34" s="16" t="s">
        <v>27</v>
      </c>
    </row>
    <row r="35" spans="1:13" ht="13.5" customHeight="1" x14ac:dyDescent="0.25">
      <c r="I35" s="16">
        <v>15</v>
      </c>
      <c r="L35" s="16" t="s">
        <v>26</v>
      </c>
      <c r="M35" s="16" t="s">
        <v>147</v>
      </c>
    </row>
    <row r="36" spans="1:13" ht="13.5" customHeight="1" x14ac:dyDescent="0.25">
      <c r="C36" s="15"/>
      <c r="I36" s="16">
        <v>100</v>
      </c>
      <c r="L36" s="16" t="s">
        <v>26</v>
      </c>
      <c r="M36" s="15" t="s">
        <v>198</v>
      </c>
    </row>
    <row r="37" spans="1:13" ht="13.5" customHeight="1" x14ac:dyDescent="0.25">
      <c r="I37" s="16">
        <v>30</v>
      </c>
      <c r="L37" s="16" t="s">
        <v>26</v>
      </c>
      <c r="M37" s="16" t="s">
        <v>199</v>
      </c>
    </row>
    <row r="39" spans="1:13" ht="13.5" customHeight="1" x14ac:dyDescent="0.25">
      <c r="A39" s="16" t="s">
        <v>197</v>
      </c>
      <c r="B39" s="16" t="s">
        <v>1</v>
      </c>
      <c r="C39" s="16" t="s">
        <v>6</v>
      </c>
      <c r="D39" s="16" t="s">
        <v>21</v>
      </c>
      <c r="F39" s="16">
        <f>30.49+38.13+30.46+38.38+38.32+38.17</f>
        <v>213.95</v>
      </c>
      <c r="G39" s="16">
        <v>6</v>
      </c>
      <c r="H39" s="16" t="s">
        <v>22</v>
      </c>
      <c r="I39" s="16">
        <v>10</v>
      </c>
      <c r="L39" s="16" t="s">
        <v>23</v>
      </c>
      <c r="M39" s="15"/>
    </row>
    <row r="40" spans="1:13" ht="13.5" customHeight="1" x14ac:dyDescent="0.25">
      <c r="I40" s="16">
        <v>70</v>
      </c>
      <c r="L40" s="16" t="s">
        <v>32</v>
      </c>
    </row>
    <row r="41" spans="1:13" ht="13.5" customHeight="1" x14ac:dyDescent="0.25">
      <c r="I41" s="16">
        <v>20</v>
      </c>
      <c r="L41" s="16" t="s">
        <v>33</v>
      </c>
    </row>
    <row r="42" spans="1:13" ht="13.5" customHeight="1" x14ac:dyDescent="0.25">
      <c r="I42" s="16">
        <v>30</v>
      </c>
      <c r="L42" s="16" t="s">
        <v>29</v>
      </c>
      <c r="M42" s="15" t="s">
        <v>193</v>
      </c>
    </row>
    <row r="43" spans="1:13" ht="13.5" customHeight="1" x14ac:dyDescent="0.25">
      <c r="I43" s="16">
        <v>20</v>
      </c>
      <c r="L43" s="16" t="s">
        <v>25</v>
      </c>
      <c r="M43" s="16" t="s">
        <v>137</v>
      </c>
    </row>
    <row r="44" spans="1:13" ht="13.5" customHeight="1" x14ac:dyDescent="0.25">
      <c r="I44" s="16">
        <v>20</v>
      </c>
      <c r="L44" s="16" t="s">
        <v>25</v>
      </c>
      <c r="M44" s="16" t="s">
        <v>45</v>
      </c>
    </row>
    <row r="45" spans="1:13" ht="13.5" customHeight="1" x14ac:dyDescent="0.25">
      <c r="I45" s="16">
        <v>10</v>
      </c>
      <c r="L45" s="16" t="s">
        <v>27</v>
      </c>
    </row>
    <row r="46" spans="1:13" ht="13.5" customHeight="1" x14ac:dyDescent="0.25">
      <c r="I46" s="16">
        <v>15</v>
      </c>
      <c r="J46" s="18">
        <v>0.24652777777777779</v>
      </c>
      <c r="K46" s="18">
        <v>0.26041666666666669</v>
      </c>
      <c r="L46" s="16" t="s">
        <v>26</v>
      </c>
      <c r="M46" s="15" t="s">
        <v>201</v>
      </c>
    </row>
    <row r="47" spans="1:13" ht="13.5" customHeight="1" x14ac:dyDescent="0.25">
      <c r="I47" s="16">
        <v>60</v>
      </c>
      <c r="J47" s="18">
        <v>0.12152777777777778</v>
      </c>
      <c r="K47" s="18">
        <v>0.17361111111111113</v>
      </c>
      <c r="L47" s="16" t="s">
        <v>26</v>
      </c>
      <c r="M47" s="15" t="s">
        <v>200</v>
      </c>
    </row>
    <row r="48" spans="1:13" ht="13.5" customHeight="1" x14ac:dyDescent="0.25">
      <c r="I48" s="16">
        <v>105</v>
      </c>
      <c r="J48" s="18">
        <v>0.34375</v>
      </c>
      <c r="K48" s="18">
        <v>0.41666666666666669</v>
      </c>
      <c r="L48" s="16" t="s">
        <v>26</v>
      </c>
      <c r="M48" s="15" t="s">
        <v>202</v>
      </c>
    </row>
    <row r="49" spans="1:14" ht="13.5" customHeight="1" x14ac:dyDescent="0.25">
      <c r="M49" s="15"/>
    </row>
    <row r="50" spans="1:14" ht="13.5" customHeight="1" x14ac:dyDescent="0.25">
      <c r="A50" s="16" t="s">
        <v>197</v>
      </c>
      <c r="B50" s="16" t="s">
        <v>2</v>
      </c>
      <c r="C50" s="16" t="s">
        <v>15</v>
      </c>
      <c r="D50" s="16" t="s">
        <v>20</v>
      </c>
      <c r="F50" s="16">
        <v>337.06</v>
      </c>
      <c r="G50" s="16">
        <v>9.75</v>
      </c>
      <c r="H50" s="16" t="s">
        <v>22</v>
      </c>
      <c r="I50" s="16">
        <v>10</v>
      </c>
      <c r="L50" s="16" t="s">
        <v>23</v>
      </c>
      <c r="M50" s="15"/>
    </row>
    <row r="51" spans="1:14" ht="13.5" customHeight="1" x14ac:dyDescent="0.25">
      <c r="I51" s="16">
        <v>90</v>
      </c>
      <c r="L51" s="16" t="s">
        <v>32</v>
      </c>
    </row>
    <row r="52" spans="1:14" ht="13.5" customHeight="1" x14ac:dyDescent="0.25">
      <c r="I52" s="16">
        <v>20</v>
      </c>
      <c r="L52" s="16" t="s">
        <v>33</v>
      </c>
    </row>
    <row r="53" spans="1:14" ht="13.5" customHeight="1" x14ac:dyDescent="0.25">
      <c r="I53" s="16">
        <v>20</v>
      </c>
      <c r="L53" s="16" t="s">
        <v>29</v>
      </c>
      <c r="M53" s="15"/>
    </row>
    <row r="54" spans="1:14" ht="13.5" customHeight="1" x14ac:dyDescent="0.25">
      <c r="I54" s="16">
        <v>20</v>
      </c>
      <c r="L54" s="16" t="s">
        <v>25</v>
      </c>
      <c r="M54" s="16" t="s">
        <v>137</v>
      </c>
    </row>
    <row r="55" spans="1:14" ht="13.5" customHeight="1" x14ac:dyDescent="0.25">
      <c r="I55" s="16">
        <v>20</v>
      </c>
      <c r="L55" s="16" t="s">
        <v>25</v>
      </c>
      <c r="M55" s="16" t="s">
        <v>45</v>
      </c>
    </row>
    <row r="56" spans="1:14" ht="13.5" customHeight="1" x14ac:dyDescent="0.25">
      <c r="I56" s="16">
        <v>20</v>
      </c>
      <c r="L56" s="16" t="s">
        <v>27</v>
      </c>
    </row>
    <row r="57" spans="1:14" ht="13.5" customHeight="1" x14ac:dyDescent="0.25">
      <c r="I57" s="16">
        <v>15</v>
      </c>
      <c r="L57" s="16" t="s">
        <v>26</v>
      </c>
      <c r="M57" s="16" t="s">
        <v>147</v>
      </c>
    </row>
    <row r="58" spans="1:14" ht="13.5" customHeight="1" x14ac:dyDescent="0.25">
      <c r="C58" s="15"/>
      <c r="I58" s="16">
        <v>60</v>
      </c>
      <c r="J58" s="18" t="s">
        <v>203</v>
      </c>
      <c r="K58" s="18" t="s">
        <v>204</v>
      </c>
      <c r="L58" s="16" t="s">
        <v>26</v>
      </c>
      <c r="M58" s="15" t="s">
        <v>202</v>
      </c>
    </row>
    <row r="59" spans="1:14" ht="13.5" customHeight="1" x14ac:dyDescent="0.25">
      <c r="I59" s="16">
        <v>30</v>
      </c>
      <c r="J59" s="18" t="s">
        <v>206</v>
      </c>
      <c r="K59" s="18" t="s">
        <v>207</v>
      </c>
      <c r="L59" s="16" t="s">
        <v>26</v>
      </c>
      <c r="M59" s="15" t="s">
        <v>205</v>
      </c>
      <c r="N59" s="15" t="s">
        <v>205</v>
      </c>
    </row>
    <row r="60" spans="1:14" ht="13.5" customHeight="1" x14ac:dyDescent="0.25">
      <c r="M60" s="15"/>
    </row>
    <row r="61" spans="1:14" ht="13.5" customHeight="1" x14ac:dyDescent="0.25">
      <c r="A61" s="16" t="s">
        <v>208</v>
      </c>
      <c r="B61" s="16" t="s">
        <v>0</v>
      </c>
      <c r="C61" s="15" t="s">
        <v>192</v>
      </c>
      <c r="D61" s="16" t="s">
        <v>21</v>
      </c>
      <c r="F61" s="16">
        <v>393.77</v>
      </c>
      <c r="G61" s="16">
        <v>11.5</v>
      </c>
      <c r="H61" s="16" t="s">
        <v>22</v>
      </c>
      <c r="I61" s="16">
        <v>10</v>
      </c>
      <c r="L61" s="16" t="s">
        <v>23</v>
      </c>
      <c r="M61" s="15"/>
    </row>
    <row r="62" spans="1:14" ht="13.5" customHeight="1" x14ac:dyDescent="0.25">
      <c r="I62" s="16">
        <v>110</v>
      </c>
      <c r="L62" s="16" t="s">
        <v>32</v>
      </c>
    </row>
    <row r="63" spans="1:14" ht="13.5" customHeight="1" x14ac:dyDescent="0.25">
      <c r="I63" s="16">
        <v>20</v>
      </c>
      <c r="L63" s="16" t="s">
        <v>33</v>
      </c>
    </row>
    <row r="64" spans="1:14" ht="13.5" customHeight="1" x14ac:dyDescent="0.25">
      <c r="I64" s="16">
        <v>30</v>
      </c>
      <c r="L64" s="16" t="s">
        <v>29</v>
      </c>
      <c r="M64" s="15" t="s">
        <v>193</v>
      </c>
    </row>
    <row r="65" spans="1:13" ht="13.5" customHeight="1" x14ac:dyDescent="0.25">
      <c r="I65" s="16">
        <v>20</v>
      </c>
      <c r="L65" s="16" t="s">
        <v>25</v>
      </c>
      <c r="M65" s="16" t="s">
        <v>137</v>
      </c>
    </row>
    <row r="66" spans="1:13" ht="13.5" customHeight="1" x14ac:dyDescent="0.25">
      <c r="I66" s="16">
        <v>20</v>
      </c>
      <c r="L66" s="16" t="s">
        <v>25</v>
      </c>
      <c r="M66" s="16" t="s">
        <v>45</v>
      </c>
    </row>
    <row r="67" spans="1:13" ht="13.5" customHeight="1" x14ac:dyDescent="0.25">
      <c r="I67" s="16">
        <v>10</v>
      </c>
      <c r="L67" s="16" t="s">
        <v>27</v>
      </c>
    </row>
    <row r="68" spans="1:13" ht="13.5" customHeight="1" x14ac:dyDescent="0.25">
      <c r="I68" s="16">
        <v>15</v>
      </c>
      <c r="L68" s="16" t="s">
        <v>26</v>
      </c>
      <c r="M68" s="16" t="s">
        <v>147</v>
      </c>
    </row>
    <row r="70" spans="1:13" ht="13.5" customHeight="1" x14ac:dyDescent="0.25">
      <c r="A70" s="16" t="s">
        <v>208</v>
      </c>
      <c r="B70" s="16" t="s">
        <v>1</v>
      </c>
      <c r="C70" s="16" t="s">
        <v>6</v>
      </c>
      <c r="D70" s="16" t="s">
        <v>20</v>
      </c>
      <c r="F70" s="16">
        <v>404.27</v>
      </c>
      <c r="G70" s="16">
        <v>11</v>
      </c>
      <c r="H70" s="16" t="s">
        <v>22</v>
      </c>
      <c r="I70" s="16">
        <v>10</v>
      </c>
      <c r="L70" s="16" t="s">
        <v>23</v>
      </c>
    </row>
    <row r="71" spans="1:13" ht="13.5" customHeight="1" x14ac:dyDescent="0.25">
      <c r="I71" s="16">
        <v>110</v>
      </c>
      <c r="L71" s="16" t="s">
        <v>32</v>
      </c>
    </row>
    <row r="72" spans="1:13" ht="13.5" customHeight="1" x14ac:dyDescent="0.25">
      <c r="I72" s="16">
        <v>20</v>
      </c>
      <c r="L72" s="16" t="s">
        <v>33</v>
      </c>
    </row>
    <row r="73" spans="1:13" ht="13.5" customHeight="1" x14ac:dyDescent="0.25">
      <c r="I73" s="16">
        <v>20</v>
      </c>
      <c r="L73" s="16" t="s">
        <v>29</v>
      </c>
    </row>
    <row r="74" spans="1:13" ht="13.5" customHeight="1" x14ac:dyDescent="0.25">
      <c r="I74" s="16">
        <v>20</v>
      </c>
      <c r="L74" s="16" t="s">
        <v>25</v>
      </c>
      <c r="M74" s="16" t="s">
        <v>137</v>
      </c>
    </row>
    <row r="75" spans="1:13" ht="13.5" customHeight="1" x14ac:dyDescent="0.25">
      <c r="I75" s="16">
        <v>20</v>
      </c>
      <c r="L75" s="16" t="s">
        <v>25</v>
      </c>
      <c r="M75" s="16" t="s">
        <v>45</v>
      </c>
    </row>
    <row r="76" spans="1:13" ht="13.5" customHeight="1" x14ac:dyDescent="0.25">
      <c r="I76" s="16">
        <v>20</v>
      </c>
      <c r="L76" s="16" t="s">
        <v>27</v>
      </c>
    </row>
    <row r="77" spans="1:13" ht="13.5" customHeight="1" x14ac:dyDescent="0.25">
      <c r="I77" s="16">
        <v>20</v>
      </c>
      <c r="L77" s="16" t="s">
        <v>26</v>
      </c>
      <c r="M77" s="16" t="s">
        <v>147</v>
      </c>
    </row>
    <row r="79" spans="1:13" ht="13.5" customHeight="1" x14ac:dyDescent="0.25">
      <c r="A79" s="16" t="s">
        <v>208</v>
      </c>
      <c r="B79" s="16" t="s">
        <v>2</v>
      </c>
      <c r="C79" s="16" t="s">
        <v>15</v>
      </c>
      <c r="D79" s="16" t="s">
        <v>19</v>
      </c>
      <c r="F79" s="16">
        <v>367.89</v>
      </c>
      <c r="G79" s="16">
        <v>10.25</v>
      </c>
      <c r="H79" s="16" t="s">
        <v>22</v>
      </c>
      <c r="I79" s="16">
        <v>10</v>
      </c>
      <c r="L79" s="16" t="s">
        <v>23</v>
      </c>
      <c r="M79" s="15"/>
    </row>
    <row r="80" spans="1:13" ht="13.5" customHeight="1" x14ac:dyDescent="0.25">
      <c r="I80" s="16">
        <v>110</v>
      </c>
      <c r="L80" s="16" t="s">
        <v>32</v>
      </c>
    </row>
    <row r="81" spans="1:13" ht="13.5" customHeight="1" x14ac:dyDescent="0.25">
      <c r="I81" s="16">
        <v>30</v>
      </c>
      <c r="L81" s="16" t="s">
        <v>33</v>
      </c>
    </row>
    <row r="82" spans="1:13" ht="13.5" customHeight="1" x14ac:dyDescent="0.25">
      <c r="I82" s="16">
        <v>40</v>
      </c>
      <c r="L82" s="16" t="s">
        <v>29</v>
      </c>
      <c r="M82" s="15"/>
    </row>
    <row r="83" spans="1:13" ht="13.5" customHeight="1" x14ac:dyDescent="0.25">
      <c r="I83" s="16">
        <v>30</v>
      </c>
      <c r="L83" s="16" t="s">
        <v>25</v>
      </c>
      <c r="M83" s="16" t="s">
        <v>137</v>
      </c>
    </row>
    <row r="84" spans="1:13" ht="13.5" customHeight="1" x14ac:dyDescent="0.25">
      <c r="I84" s="16">
        <v>20</v>
      </c>
      <c r="L84" s="16" t="s">
        <v>25</v>
      </c>
      <c r="M84" s="16" t="s">
        <v>45</v>
      </c>
    </row>
    <row r="85" spans="1:13" ht="13.5" customHeight="1" x14ac:dyDescent="0.25">
      <c r="I85" s="16">
        <v>20</v>
      </c>
      <c r="L85" s="16" t="s">
        <v>27</v>
      </c>
    </row>
    <row r="86" spans="1:13" ht="13.5" customHeight="1" x14ac:dyDescent="0.25">
      <c r="I86" s="16">
        <v>15</v>
      </c>
      <c r="L86" s="16" t="s">
        <v>26</v>
      </c>
      <c r="M86" s="16" t="s">
        <v>147</v>
      </c>
    </row>
    <row r="87" spans="1:13" ht="13.5" customHeight="1" x14ac:dyDescent="0.25">
      <c r="I87" s="16">
        <v>30</v>
      </c>
      <c r="L87" s="16" t="s">
        <v>26</v>
      </c>
      <c r="M87" s="15" t="s">
        <v>170</v>
      </c>
    </row>
    <row r="89" spans="1:13" ht="13.5" customHeight="1" x14ac:dyDescent="0.25">
      <c r="A89" s="16" t="s">
        <v>209</v>
      </c>
      <c r="B89" s="16" t="s">
        <v>0</v>
      </c>
      <c r="C89" s="15" t="s">
        <v>192</v>
      </c>
      <c r="D89" s="16" t="s">
        <v>21</v>
      </c>
      <c r="F89" s="16">
        <v>392.37</v>
      </c>
      <c r="G89" s="16">
        <v>10.75</v>
      </c>
      <c r="H89" s="16" t="s">
        <v>22</v>
      </c>
      <c r="I89" s="16">
        <v>10</v>
      </c>
      <c r="L89" s="16" t="s">
        <v>23</v>
      </c>
      <c r="M89" s="15"/>
    </row>
    <row r="90" spans="1:13" ht="13.5" customHeight="1" x14ac:dyDescent="0.25">
      <c r="I90" s="16">
        <v>100</v>
      </c>
      <c r="L90" s="16" t="s">
        <v>32</v>
      </c>
    </row>
    <row r="91" spans="1:13" ht="13.5" customHeight="1" x14ac:dyDescent="0.25">
      <c r="I91" s="16">
        <v>20</v>
      </c>
      <c r="L91" s="16" t="s">
        <v>33</v>
      </c>
    </row>
    <row r="92" spans="1:13" ht="13.5" customHeight="1" x14ac:dyDescent="0.25">
      <c r="I92" s="16">
        <v>40</v>
      </c>
      <c r="L92" s="16" t="s">
        <v>29</v>
      </c>
      <c r="M92" s="15" t="s">
        <v>193</v>
      </c>
    </row>
    <row r="93" spans="1:13" ht="13.5" customHeight="1" x14ac:dyDescent="0.25">
      <c r="I93" s="16">
        <v>20</v>
      </c>
      <c r="L93" s="16" t="s">
        <v>25</v>
      </c>
      <c r="M93" s="16" t="s">
        <v>137</v>
      </c>
    </row>
    <row r="94" spans="1:13" ht="13.5" customHeight="1" x14ac:dyDescent="0.25">
      <c r="I94" s="16">
        <v>20</v>
      </c>
      <c r="L94" s="16" t="s">
        <v>25</v>
      </c>
      <c r="M94" s="16" t="s">
        <v>45</v>
      </c>
    </row>
    <row r="95" spans="1:13" ht="13.5" customHeight="1" x14ac:dyDescent="0.25">
      <c r="I95" s="16">
        <v>10</v>
      </c>
      <c r="L95" s="16" t="s">
        <v>27</v>
      </c>
    </row>
    <row r="96" spans="1:13" ht="13.5" customHeight="1" x14ac:dyDescent="0.25">
      <c r="I96" s="16">
        <v>20</v>
      </c>
      <c r="L96" s="16" t="s">
        <v>26</v>
      </c>
      <c r="M96" s="16" t="s">
        <v>147</v>
      </c>
    </row>
    <row r="98" spans="1:13" ht="13.5" customHeight="1" x14ac:dyDescent="0.25">
      <c r="A98" s="16" t="s">
        <v>209</v>
      </c>
      <c r="B98" s="16" t="s">
        <v>1</v>
      </c>
      <c r="C98" s="16" t="s">
        <v>6</v>
      </c>
      <c r="D98" s="16" t="s">
        <v>20</v>
      </c>
      <c r="F98" s="16">
        <v>411.52</v>
      </c>
      <c r="G98" s="16">
        <v>11</v>
      </c>
      <c r="H98" s="16" t="s">
        <v>22</v>
      </c>
      <c r="I98" s="16">
        <v>10</v>
      </c>
      <c r="L98" s="16" t="s">
        <v>23</v>
      </c>
    </row>
    <row r="99" spans="1:13" ht="13.5" customHeight="1" x14ac:dyDescent="0.25">
      <c r="I99" s="16">
        <v>110</v>
      </c>
      <c r="L99" s="16" t="s">
        <v>32</v>
      </c>
    </row>
    <row r="100" spans="1:13" ht="13.5" customHeight="1" x14ac:dyDescent="0.25">
      <c r="I100" s="16">
        <v>20</v>
      </c>
      <c r="L100" s="16" t="s">
        <v>33</v>
      </c>
    </row>
    <row r="101" spans="1:13" ht="13.5" customHeight="1" x14ac:dyDescent="0.25">
      <c r="I101" s="16">
        <v>20</v>
      </c>
      <c r="L101" s="16" t="s">
        <v>29</v>
      </c>
    </row>
    <row r="102" spans="1:13" ht="13.5" customHeight="1" x14ac:dyDescent="0.25">
      <c r="I102" s="16">
        <v>20</v>
      </c>
      <c r="L102" s="16" t="s">
        <v>25</v>
      </c>
      <c r="M102" s="16" t="s">
        <v>137</v>
      </c>
    </row>
    <row r="103" spans="1:13" ht="13.5" customHeight="1" x14ac:dyDescent="0.25">
      <c r="I103" s="16">
        <v>20</v>
      </c>
      <c r="L103" s="16" t="s">
        <v>25</v>
      </c>
      <c r="M103" s="16" t="s">
        <v>45</v>
      </c>
    </row>
    <row r="104" spans="1:13" ht="13.5" customHeight="1" x14ac:dyDescent="0.25">
      <c r="I104" s="16">
        <v>20</v>
      </c>
      <c r="L104" s="16" t="s">
        <v>27</v>
      </c>
    </row>
    <row r="105" spans="1:13" ht="13.5" customHeight="1" x14ac:dyDescent="0.25">
      <c r="I105" s="16">
        <v>20</v>
      </c>
      <c r="L105" s="16" t="s">
        <v>26</v>
      </c>
      <c r="M105" s="16" t="s">
        <v>147</v>
      </c>
    </row>
    <row r="107" spans="1:13" ht="13.5" customHeight="1" x14ac:dyDescent="0.25">
      <c r="A107" s="16" t="s">
        <v>209</v>
      </c>
      <c r="B107" s="16" t="s">
        <v>2</v>
      </c>
      <c r="C107" s="16" t="s">
        <v>16</v>
      </c>
      <c r="D107" s="16" t="s">
        <v>19</v>
      </c>
      <c r="F107" s="16">
        <v>339.81</v>
      </c>
      <c r="G107" s="16">
        <v>9</v>
      </c>
      <c r="H107" s="16" t="s">
        <v>22</v>
      </c>
      <c r="I107" s="16">
        <v>10</v>
      </c>
      <c r="L107" s="16" t="s">
        <v>23</v>
      </c>
      <c r="M107" s="15"/>
    </row>
    <row r="108" spans="1:13" ht="13.5" customHeight="1" x14ac:dyDescent="0.25">
      <c r="I108" s="16">
        <v>90</v>
      </c>
      <c r="L108" s="16" t="s">
        <v>32</v>
      </c>
    </row>
    <row r="109" spans="1:13" ht="13.5" customHeight="1" x14ac:dyDescent="0.25">
      <c r="I109" s="16">
        <v>20</v>
      </c>
      <c r="L109" s="16" t="s">
        <v>33</v>
      </c>
    </row>
    <row r="110" spans="1:13" ht="13.5" customHeight="1" x14ac:dyDescent="0.25">
      <c r="I110" s="16">
        <v>30</v>
      </c>
      <c r="L110" s="16" t="s">
        <v>29</v>
      </c>
      <c r="M110" s="15" t="s">
        <v>193</v>
      </c>
    </row>
    <row r="111" spans="1:13" ht="13.5" customHeight="1" x14ac:dyDescent="0.25">
      <c r="I111" s="16">
        <v>20</v>
      </c>
      <c r="L111" s="16" t="s">
        <v>25</v>
      </c>
      <c r="M111" s="16" t="s">
        <v>137</v>
      </c>
    </row>
    <row r="112" spans="1:13" ht="13.5" customHeight="1" x14ac:dyDescent="0.25">
      <c r="I112" s="16">
        <v>20</v>
      </c>
      <c r="L112" s="16" t="s">
        <v>25</v>
      </c>
      <c r="M112" s="16" t="s">
        <v>45</v>
      </c>
    </row>
    <row r="113" spans="1:13" ht="13.5" customHeight="1" x14ac:dyDescent="0.25">
      <c r="I113" s="16">
        <v>10</v>
      </c>
      <c r="L113" s="16" t="s">
        <v>27</v>
      </c>
    </row>
    <row r="114" spans="1:13" ht="13.5" customHeight="1" x14ac:dyDescent="0.25">
      <c r="I114" s="16">
        <v>15</v>
      </c>
      <c r="L114" s="16" t="s">
        <v>26</v>
      </c>
      <c r="M114" s="16" t="s">
        <v>147</v>
      </c>
    </row>
    <row r="115" spans="1:13" ht="13.5" customHeight="1" x14ac:dyDescent="0.25">
      <c r="I115" s="16">
        <v>40</v>
      </c>
      <c r="L115" s="16" t="s">
        <v>26</v>
      </c>
      <c r="M115" s="16" t="s">
        <v>210</v>
      </c>
    </row>
    <row r="116" spans="1:13" ht="13.5" customHeight="1" x14ac:dyDescent="0.25">
      <c r="I116" s="16">
        <v>30</v>
      </c>
      <c r="L116" s="16" t="s">
        <v>26</v>
      </c>
      <c r="M116" s="16" t="s">
        <v>211</v>
      </c>
    </row>
    <row r="117" spans="1:13" ht="13.5" customHeight="1" x14ac:dyDescent="0.25">
      <c r="I117" s="16">
        <v>40</v>
      </c>
      <c r="L117" s="16" t="s">
        <v>26</v>
      </c>
      <c r="M117" s="16" t="s">
        <v>212</v>
      </c>
    </row>
    <row r="119" spans="1:13" ht="13.5" customHeight="1" x14ac:dyDescent="0.25">
      <c r="A119" s="16" t="s">
        <v>213</v>
      </c>
      <c r="B119" s="16" t="s">
        <v>0</v>
      </c>
      <c r="C119" s="15" t="s">
        <v>192</v>
      </c>
      <c r="D119" s="16" t="s">
        <v>21</v>
      </c>
      <c r="F119" s="16">
        <v>383.07</v>
      </c>
      <c r="G119" s="16">
        <v>10</v>
      </c>
      <c r="H119" s="16" t="s">
        <v>22</v>
      </c>
      <c r="I119" s="16">
        <v>10</v>
      </c>
      <c r="L119" s="16" t="s">
        <v>23</v>
      </c>
      <c r="M119" s="15"/>
    </row>
    <row r="120" spans="1:13" ht="13.5" customHeight="1" x14ac:dyDescent="0.25">
      <c r="I120" s="16">
        <v>100</v>
      </c>
      <c r="L120" s="16" t="s">
        <v>32</v>
      </c>
    </row>
    <row r="121" spans="1:13" ht="13.5" customHeight="1" x14ac:dyDescent="0.25">
      <c r="I121" s="16">
        <v>20</v>
      </c>
      <c r="L121" s="16" t="s">
        <v>33</v>
      </c>
    </row>
    <row r="122" spans="1:13" ht="13.5" customHeight="1" x14ac:dyDescent="0.25">
      <c r="I122" s="16">
        <v>40</v>
      </c>
      <c r="L122" s="16" t="s">
        <v>29</v>
      </c>
      <c r="M122" s="15" t="s">
        <v>193</v>
      </c>
    </row>
    <row r="123" spans="1:13" ht="13.5" customHeight="1" x14ac:dyDescent="0.25">
      <c r="I123" s="16">
        <v>50</v>
      </c>
      <c r="L123" s="16" t="s">
        <v>25</v>
      </c>
      <c r="M123" s="16" t="s">
        <v>137</v>
      </c>
    </row>
    <row r="124" spans="1:13" ht="13.5" customHeight="1" x14ac:dyDescent="0.25">
      <c r="I124" s="16">
        <v>20</v>
      </c>
      <c r="L124" s="16" t="s">
        <v>25</v>
      </c>
      <c r="M124" s="16" t="s">
        <v>45</v>
      </c>
    </row>
    <row r="125" spans="1:13" ht="13.5" customHeight="1" x14ac:dyDescent="0.25">
      <c r="I125" s="16">
        <v>10</v>
      </c>
      <c r="L125" s="16" t="s">
        <v>27</v>
      </c>
    </row>
    <row r="126" spans="1:13" ht="13.5" customHeight="1" x14ac:dyDescent="0.25">
      <c r="I126" s="16">
        <v>30</v>
      </c>
      <c r="L126" s="16" t="s">
        <v>26</v>
      </c>
      <c r="M126" s="16" t="s">
        <v>147</v>
      </c>
    </row>
    <row r="127" spans="1:13" ht="13.5" customHeight="1" x14ac:dyDescent="0.25">
      <c r="I127" s="16">
        <v>15</v>
      </c>
      <c r="L127" s="16" t="s">
        <v>26</v>
      </c>
      <c r="M127" s="15" t="s">
        <v>148</v>
      </c>
    </row>
    <row r="129" spans="1:13" ht="13.5" customHeight="1" x14ac:dyDescent="0.25">
      <c r="A129" s="16" t="s">
        <v>213</v>
      </c>
      <c r="B129" s="16" t="s">
        <v>1</v>
      </c>
      <c r="C129" s="16" t="s">
        <v>18</v>
      </c>
      <c r="D129" s="16" t="s">
        <v>20</v>
      </c>
      <c r="F129" s="16">
        <v>7.54</v>
      </c>
      <c r="G129" s="16">
        <v>0.25</v>
      </c>
      <c r="H129" s="16" t="s">
        <v>22</v>
      </c>
      <c r="I129" s="16">
        <v>460</v>
      </c>
      <c r="J129" s="18" t="s">
        <v>215</v>
      </c>
      <c r="K129" s="18" t="s">
        <v>216</v>
      </c>
      <c r="L129" s="16" t="s">
        <v>26</v>
      </c>
      <c r="M129" s="15" t="s">
        <v>214</v>
      </c>
    </row>
    <row r="131" spans="1:13" ht="13.5" customHeight="1" x14ac:dyDescent="0.25">
      <c r="A131" s="16" t="s">
        <v>213</v>
      </c>
      <c r="B131" s="16" t="s">
        <v>2</v>
      </c>
      <c r="C131" s="16" t="s">
        <v>16</v>
      </c>
      <c r="D131" s="16" t="s">
        <v>19</v>
      </c>
      <c r="F131" s="16">
        <v>444.05</v>
      </c>
      <c r="G131" s="16">
        <v>11</v>
      </c>
      <c r="H131" s="16" t="s">
        <v>22</v>
      </c>
      <c r="I131" s="16">
        <v>10</v>
      </c>
      <c r="L131" s="16" t="s">
        <v>23</v>
      </c>
      <c r="M131" s="15"/>
    </row>
    <row r="132" spans="1:13" ht="13.5" customHeight="1" x14ac:dyDescent="0.25">
      <c r="I132" s="16">
        <v>110</v>
      </c>
      <c r="L132" s="16" t="s">
        <v>32</v>
      </c>
    </row>
    <row r="133" spans="1:13" ht="13.5" customHeight="1" x14ac:dyDescent="0.25">
      <c r="I133" s="16">
        <v>20</v>
      </c>
      <c r="L133" s="16" t="s">
        <v>33</v>
      </c>
    </row>
    <row r="134" spans="1:13" ht="13.5" customHeight="1" x14ac:dyDescent="0.25">
      <c r="I134" s="16">
        <v>30</v>
      </c>
      <c r="L134" s="16" t="s">
        <v>29</v>
      </c>
      <c r="M134" s="15"/>
    </row>
    <row r="135" spans="1:13" ht="13.5" customHeight="1" x14ac:dyDescent="0.25">
      <c r="I135" s="16">
        <v>20</v>
      </c>
      <c r="L135" s="16" t="s">
        <v>25</v>
      </c>
      <c r="M135" s="16" t="s">
        <v>137</v>
      </c>
    </row>
    <row r="136" spans="1:13" ht="13.5" customHeight="1" x14ac:dyDescent="0.25">
      <c r="I136" s="16">
        <v>20</v>
      </c>
      <c r="L136" s="16" t="s">
        <v>25</v>
      </c>
      <c r="M136" s="16" t="s">
        <v>45</v>
      </c>
    </row>
    <row r="137" spans="1:13" ht="13.5" customHeight="1" x14ac:dyDescent="0.25">
      <c r="I137" s="16">
        <v>10</v>
      </c>
      <c r="L137" s="16" t="s">
        <v>27</v>
      </c>
    </row>
    <row r="138" spans="1:13" ht="13.5" customHeight="1" x14ac:dyDescent="0.25">
      <c r="I138" s="16">
        <v>15</v>
      </c>
      <c r="L138" s="16" t="s">
        <v>26</v>
      </c>
      <c r="M138" s="16" t="s">
        <v>147</v>
      </c>
    </row>
    <row r="140" spans="1:13" ht="13.5" customHeight="1" x14ac:dyDescent="0.25">
      <c r="A140" s="16" t="s">
        <v>217</v>
      </c>
      <c r="B140" s="16" t="s">
        <v>0</v>
      </c>
      <c r="C140" s="15" t="s">
        <v>192</v>
      </c>
      <c r="D140" s="16" t="s">
        <v>21</v>
      </c>
      <c r="F140" s="16">
        <v>410.1</v>
      </c>
      <c r="G140" s="16">
        <v>11</v>
      </c>
      <c r="H140" s="16" t="s">
        <v>22</v>
      </c>
      <c r="I140" s="16">
        <v>10</v>
      </c>
      <c r="L140" s="16" t="s">
        <v>23</v>
      </c>
      <c r="M140" s="15"/>
    </row>
    <row r="141" spans="1:13" ht="13.5" customHeight="1" x14ac:dyDescent="0.25">
      <c r="I141" s="16">
        <v>110</v>
      </c>
      <c r="L141" s="16" t="s">
        <v>32</v>
      </c>
    </row>
    <row r="142" spans="1:13" ht="13.5" customHeight="1" x14ac:dyDescent="0.25">
      <c r="I142" s="16">
        <v>20</v>
      </c>
      <c r="L142" s="16" t="s">
        <v>33</v>
      </c>
    </row>
    <row r="143" spans="1:13" ht="13.5" customHeight="1" x14ac:dyDescent="0.25">
      <c r="I143" s="16">
        <v>20</v>
      </c>
      <c r="L143" s="16" t="s">
        <v>29</v>
      </c>
      <c r="M143" s="15"/>
    </row>
    <row r="144" spans="1:13" ht="13.5" customHeight="1" x14ac:dyDescent="0.25">
      <c r="I144" s="16">
        <v>20</v>
      </c>
      <c r="L144" s="16" t="s">
        <v>25</v>
      </c>
      <c r="M144" s="16" t="s">
        <v>137</v>
      </c>
    </row>
    <row r="145" spans="1:13" ht="13.5" customHeight="1" x14ac:dyDescent="0.25">
      <c r="I145" s="16">
        <v>20</v>
      </c>
      <c r="L145" s="16" t="s">
        <v>25</v>
      </c>
      <c r="M145" s="16" t="s">
        <v>45</v>
      </c>
    </row>
    <row r="146" spans="1:13" ht="13.5" customHeight="1" x14ac:dyDescent="0.25">
      <c r="I146" s="16">
        <v>10</v>
      </c>
      <c r="L146" s="16" t="s">
        <v>27</v>
      </c>
    </row>
    <row r="147" spans="1:13" ht="13.5" customHeight="1" x14ac:dyDescent="0.25">
      <c r="I147" s="16">
        <v>20</v>
      </c>
      <c r="L147" s="16" t="s">
        <v>26</v>
      </c>
      <c r="M147" s="16" t="s">
        <v>147</v>
      </c>
    </row>
    <row r="149" spans="1:13" ht="13.5" customHeight="1" x14ac:dyDescent="0.25">
      <c r="A149" s="16" t="s">
        <v>217</v>
      </c>
      <c r="B149" s="16" t="s">
        <v>1</v>
      </c>
      <c r="C149" s="16" t="s">
        <v>6</v>
      </c>
      <c r="D149" s="16" t="s">
        <v>20</v>
      </c>
      <c r="F149" s="16">
        <f>6.44+38.14+38.6+38.28+38.36+35.77+38.14+30.63+38.39+38.28+38.47+38.44+38.2+38.31</f>
        <v>494.45</v>
      </c>
      <c r="G149" s="16">
        <v>13.25</v>
      </c>
      <c r="H149" s="16" t="s">
        <v>22</v>
      </c>
      <c r="I149" s="16">
        <v>10</v>
      </c>
      <c r="L149" s="16" t="s">
        <v>23</v>
      </c>
    </row>
    <row r="150" spans="1:13" ht="13.5" customHeight="1" x14ac:dyDescent="0.25">
      <c r="I150" s="16">
        <v>120</v>
      </c>
      <c r="L150" s="16" t="s">
        <v>32</v>
      </c>
    </row>
    <row r="151" spans="1:13" ht="13.5" customHeight="1" x14ac:dyDescent="0.25">
      <c r="I151" s="16">
        <v>15</v>
      </c>
      <c r="L151" s="16" t="s">
        <v>33</v>
      </c>
    </row>
    <row r="152" spans="1:13" ht="13.5" customHeight="1" x14ac:dyDescent="0.25">
      <c r="I152" s="16">
        <v>20</v>
      </c>
      <c r="L152" s="16" t="s">
        <v>29</v>
      </c>
    </row>
    <row r="153" spans="1:13" ht="13.5" customHeight="1" x14ac:dyDescent="0.25">
      <c r="I153" s="16">
        <v>15</v>
      </c>
      <c r="L153" s="16" t="s">
        <v>25</v>
      </c>
      <c r="M153" s="16" t="s">
        <v>137</v>
      </c>
    </row>
    <row r="154" spans="1:13" ht="13.5" customHeight="1" x14ac:dyDescent="0.25">
      <c r="I154" s="16">
        <v>10</v>
      </c>
      <c r="L154" s="16" t="s">
        <v>25</v>
      </c>
      <c r="M154" s="16" t="s">
        <v>45</v>
      </c>
    </row>
    <row r="155" spans="1:13" ht="13.5" customHeight="1" x14ac:dyDescent="0.25">
      <c r="I155" s="16">
        <v>20</v>
      </c>
      <c r="L155" s="16" t="s">
        <v>27</v>
      </c>
    </row>
    <row r="156" spans="1:13" ht="13.5" customHeight="1" x14ac:dyDescent="0.25">
      <c r="I156" s="16">
        <v>20</v>
      </c>
      <c r="L156" s="16" t="s">
        <v>26</v>
      </c>
      <c r="M156" s="16" t="s">
        <v>147</v>
      </c>
    </row>
    <row r="158" spans="1:13" ht="13.5" customHeight="1" x14ac:dyDescent="0.25">
      <c r="A158" s="16" t="s">
        <v>217</v>
      </c>
      <c r="B158" s="16" t="s">
        <v>2</v>
      </c>
      <c r="C158" s="16" t="s">
        <v>16</v>
      </c>
      <c r="D158" s="16" t="s">
        <v>19</v>
      </c>
      <c r="F158" s="16">
        <v>559.23</v>
      </c>
      <c r="G158" s="16">
        <v>15</v>
      </c>
      <c r="H158" s="16" t="s">
        <v>22</v>
      </c>
      <c r="I158" s="16">
        <v>10</v>
      </c>
      <c r="L158" s="16" t="s">
        <v>23</v>
      </c>
      <c r="M158" s="15"/>
    </row>
    <row r="159" spans="1:13" ht="13.5" customHeight="1" x14ac:dyDescent="0.25">
      <c r="I159" s="16">
        <v>150</v>
      </c>
      <c r="L159" s="16" t="s">
        <v>32</v>
      </c>
    </row>
    <row r="160" spans="1:13" ht="13.5" customHeight="1" x14ac:dyDescent="0.25">
      <c r="I160" s="16">
        <v>20</v>
      </c>
      <c r="L160" s="16" t="s">
        <v>33</v>
      </c>
    </row>
    <row r="161" spans="1:13" ht="13.5" customHeight="1" x14ac:dyDescent="0.25">
      <c r="I161" s="16">
        <v>10</v>
      </c>
      <c r="L161" s="16" t="s">
        <v>29</v>
      </c>
      <c r="M161" s="15"/>
    </row>
    <row r="162" spans="1:13" ht="13.5" customHeight="1" x14ac:dyDescent="0.25">
      <c r="I162" s="16">
        <v>10</v>
      </c>
      <c r="L162" s="16" t="s">
        <v>25</v>
      </c>
      <c r="M162" s="16" t="s">
        <v>137</v>
      </c>
    </row>
    <row r="163" spans="1:13" ht="13.5" customHeight="1" x14ac:dyDescent="0.25">
      <c r="I163" s="16">
        <v>10</v>
      </c>
      <c r="L163" s="16" t="s">
        <v>25</v>
      </c>
      <c r="M163" s="16" t="s">
        <v>45</v>
      </c>
    </row>
    <row r="164" spans="1:13" ht="13.5" customHeight="1" x14ac:dyDescent="0.25">
      <c r="I164" s="16">
        <v>15</v>
      </c>
      <c r="L164" s="16" t="s">
        <v>27</v>
      </c>
    </row>
    <row r="165" spans="1:13" ht="13.5" customHeight="1" x14ac:dyDescent="0.25">
      <c r="I165" s="16">
        <v>15</v>
      </c>
      <c r="L165" s="16" t="s">
        <v>26</v>
      </c>
      <c r="M165" s="16" t="s">
        <v>147</v>
      </c>
    </row>
    <row r="167" spans="1:13" ht="13.5" customHeight="1" x14ac:dyDescent="0.25">
      <c r="A167" s="16" t="s">
        <v>219</v>
      </c>
      <c r="B167" s="16" t="s">
        <v>0</v>
      </c>
      <c r="C167" s="15" t="s">
        <v>192</v>
      </c>
      <c r="D167" s="16" t="s">
        <v>21</v>
      </c>
      <c r="F167" s="16">
        <f>31.1+38.14+32.03+37.86+35.74+38.55+29.21+38.31+38.37+38.25+7.064</f>
        <v>364.62400000000008</v>
      </c>
      <c r="G167" s="16">
        <v>10.25</v>
      </c>
      <c r="H167" s="16" t="s">
        <v>22</v>
      </c>
      <c r="I167" s="16">
        <v>10</v>
      </c>
      <c r="L167" s="16" t="s">
        <v>23</v>
      </c>
      <c r="M167" s="15"/>
    </row>
    <row r="168" spans="1:13" ht="13.5" customHeight="1" x14ac:dyDescent="0.25">
      <c r="I168" s="16">
        <v>110</v>
      </c>
      <c r="L168" s="16" t="s">
        <v>32</v>
      </c>
    </row>
    <row r="169" spans="1:13" ht="13.5" customHeight="1" x14ac:dyDescent="0.25">
      <c r="I169" s="16">
        <v>20</v>
      </c>
      <c r="L169" s="16" t="s">
        <v>33</v>
      </c>
    </row>
    <row r="170" spans="1:13" ht="13.5" customHeight="1" x14ac:dyDescent="0.25">
      <c r="I170" s="16">
        <v>50</v>
      </c>
      <c r="L170" s="16" t="s">
        <v>29</v>
      </c>
      <c r="M170" s="15"/>
    </row>
    <row r="171" spans="1:13" ht="13.5" customHeight="1" x14ac:dyDescent="0.25">
      <c r="I171" s="16">
        <v>25</v>
      </c>
      <c r="L171" s="16" t="s">
        <v>25</v>
      </c>
      <c r="M171" s="16" t="s">
        <v>137</v>
      </c>
    </row>
    <row r="172" spans="1:13" ht="13.5" customHeight="1" x14ac:dyDescent="0.25">
      <c r="I172" s="16">
        <v>25</v>
      </c>
      <c r="L172" s="16" t="s">
        <v>25</v>
      </c>
      <c r="M172" s="16" t="s">
        <v>45</v>
      </c>
    </row>
    <row r="173" spans="1:13" ht="13.5" customHeight="1" x14ac:dyDescent="0.25">
      <c r="I173" s="16">
        <v>10</v>
      </c>
      <c r="L173" s="16" t="s">
        <v>27</v>
      </c>
    </row>
    <row r="174" spans="1:13" ht="13.5" customHeight="1" x14ac:dyDescent="0.25">
      <c r="I174" s="16">
        <v>20</v>
      </c>
      <c r="L174" s="16" t="s">
        <v>26</v>
      </c>
      <c r="M174" s="16" t="s">
        <v>147</v>
      </c>
    </row>
    <row r="175" spans="1:13" ht="13.5" customHeight="1" x14ac:dyDescent="0.25">
      <c r="I175" s="16">
        <v>25</v>
      </c>
      <c r="L175" s="16" t="s">
        <v>26</v>
      </c>
      <c r="M175" s="15" t="s">
        <v>111</v>
      </c>
    </row>
    <row r="176" spans="1:13" ht="13.5" customHeight="1" x14ac:dyDescent="0.25">
      <c r="I176" s="16">
        <v>15</v>
      </c>
      <c r="L176" s="15" t="s">
        <v>168</v>
      </c>
      <c r="M176" s="15" t="s">
        <v>218</v>
      </c>
    </row>
    <row r="178" spans="1:13" ht="13.5" customHeight="1" x14ac:dyDescent="0.25">
      <c r="A178" s="16" t="s">
        <v>219</v>
      </c>
      <c r="B178" s="16" t="s">
        <v>1</v>
      </c>
      <c r="C178" s="16" t="s">
        <v>15</v>
      </c>
      <c r="D178" s="16" t="s">
        <v>20</v>
      </c>
      <c r="F178" s="16">
        <v>620.05999999999995</v>
      </c>
      <c r="G178" s="16">
        <v>17</v>
      </c>
      <c r="H178" s="16" t="s">
        <v>22</v>
      </c>
      <c r="I178" s="16">
        <v>10</v>
      </c>
      <c r="L178" s="16" t="s">
        <v>23</v>
      </c>
    </row>
    <row r="179" spans="1:13" ht="13.5" customHeight="1" x14ac:dyDescent="0.25">
      <c r="I179" s="16">
        <v>170</v>
      </c>
      <c r="L179" s="16" t="s">
        <v>32</v>
      </c>
    </row>
    <row r="180" spans="1:13" ht="13.5" customHeight="1" x14ac:dyDescent="0.25">
      <c r="I180" s="16">
        <v>20</v>
      </c>
      <c r="L180" s="16" t="s">
        <v>33</v>
      </c>
    </row>
    <row r="181" spans="1:13" ht="13.5" customHeight="1" x14ac:dyDescent="0.25">
      <c r="I181" s="16">
        <v>20</v>
      </c>
      <c r="L181" s="16" t="s">
        <v>29</v>
      </c>
    </row>
    <row r="182" spans="1:13" ht="13.5" customHeight="1" x14ac:dyDescent="0.25">
      <c r="I182" s="16">
        <v>20</v>
      </c>
      <c r="L182" s="16" t="s">
        <v>25</v>
      </c>
      <c r="M182" s="16" t="s">
        <v>137</v>
      </c>
    </row>
    <row r="183" spans="1:13" ht="13.5" customHeight="1" x14ac:dyDescent="0.25">
      <c r="I183" s="16">
        <v>20</v>
      </c>
      <c r="L183" s="16" t="s">
        <v>25</v>
      </c>
      <c r="M183" s="16" t="s">
        <v>45</v>
      </c>
    </row>
    <row r="184" spans="1:13" ht="13.5" customHeight="1" x14ac:dyDescent="0.25">
      <c r="I184" s="16">
        <v>15</v>
      </c>
      <c r="L184" s="16" t="s">
        <v>27</v>
      </c>
    </row>
    <row r="185" spans="1:13" ht="13.5" customHeight="1" x14ac:dyDescent="0.25">
      <c r="I185" s="16">
        <v>20</v>
      </c>
      <c r="L185" s="16" t="s">
        <v>26</v>
      </c>
      <c r="M185" s="16" t="s">
        <v>147</v>
      </c>
    </row>
    <row r="189" spans="1:13" ht="13.5" customHeight="1" x14ac:dyDescent="0.25">
      <c r="A189" s="16" t="s">
        <v>219</v>
      </c>
      <c r="B189" s="16" t="s">
        <v>2</v>
      </c>
      <c r="C189" s="16" t="s">
        <v>16</v>
      </c>
      <c r="D189" s="16" t="s">
        <v>19</v>
      </c>
      <c r="F189" s="16">
        <v>253.35</v>
      </c>
      <c r="G189" s="16">
        <v>7</v>
      </c>
      <c r="H189" s="16" t="s">
        <v>22</v>
      </c>
      <c r="I189" s="16">
        <v>10</v>
      </c>
      <c r="L189" s="16" t="s">
        <v>23</v>
      </c>
    </row>
    <row r="190" spans="1:13" ht="13.5" customHeight="1" x14ac:dyDescent="0.25">
      <c r="I190" s="16">
        <v>70</v>
      </c>
      <c r="L190" s="16" t="s">
        <v>32</v>
      </c>
    </row>
    <row r="191" spans="1:13" ht="13.5" customHeight="1" x14ac:dyDescent="0.25">
      <c r="I191" s="16">
        <v>30</v>
      </c>
      <c r="L191" s="16" t="s">
        <v>33</v>
      </c>
    </row>
    <row r="192" spans="1:13" ht="13.5" customHeight="1" x14ac:dyDescent="0.25">
      <c r="I192" s="16">
        <v>30</v>
      </c>
      <c r="L192" s="16" t="s">
        <v>29</v>
      </c>
    </row>
    <row r="193" spans="1:13" ht="13.5" customHeight="1" x14ac:dyDescent="0.25">
      <c r="I193" s="16">
        <v>20</v>
      </c>
      <c r="L193" s="16" t="s">
        <v>25</v>
      </c>
      <c r="M193" s="16" t="s">
        <v>137</v>
      </c>
    </row>
    <row r="194" spans="1:13" ht="13.5" customHeight="1" x14ac:dyDescent="0.25">
      <c r="I194" s="16">
        <v>20</v>
      </c>
      <c r="L194" s="16" t="s">
        <v>25</v>
      </c>
      <c r="M194" s="16" t="s">
        <v>45</v>
      </c>
    </row>
    <row r="195" spans="1:13" ht="13.5" customHeight="1" x14ac:dyDescent="0.25">
      <c r="I195" s="16">
        <v>20</v>
      </c>
      <c r="L195" s="16" t="s">
        <v>27</v>
      </c>
    </row>
    <row r="196" spans="1:13" ht="13.5" customHeight="1" x14ac:dyDescent="0.25">
      <c r="I196" s="16">
        <v>15</v>
      </c>
      <c r="L196" s="16" t="s">
        <v>26</v>
      </c>
      <c r="M196" s="16" t="s">
        <v>147</v>
      </c>
    </row>
    <row r="197" spans="1:13" ht="13.5" customHeight="1" x14ac:dyDescent="0.25">
      <c r="I197" s="16">
        <v>120</v>
      </c>
      <c r="J197" s="18">
        <v>9.375E-2</v>
      </c>
      <c r="K197" s="18">
        <v>0.17708333333333334</v>
      </c>
      <c r="L197" s="16" t="s">
        <v>26</v>
      </c>
      <c r="M197" s="15" t="s">
        <v>220</v>
      </c>
    </row>
    <row r="198" spans="1:13" ht="13.5" customHeight="1" x14ac:dyDescent="0.25">
      <c r="I198" s="16">
        <v>40</v>
      </c>
      <c r="M198" s="15" t="s">
        <v>221</v>
      </c>
    </row>
    <row r="200" spans="1:13" ht="13.5" customHeight="1" x14ac:dyDescent="0.25">
      <c r="A200" s="16" t="s">
        <v>222</v>
      </c>
      <c r="B200" s="16" t="s">
        <v>0</v>
      </c>
      <c r="C200" s="16" t="s">
        <v>6</v>
      </c>
      <c r="D200" s="16" t="s">
        <v>21</v>
      </c>
      <c r="F200" s="16">
        <f>38.16+38.05+31.76+34.23+38.54+29.1+38.29+8.128+8.13</f>
        <v>264.38799999999998</v>
      </c>
      <c r="G200" s="16">
        <v>7.5</v>
      </c>
      <c r="H200" s="16" t="s">
        <v>22</v>
      </c>
      <c r="I200" s="16">
        <v>10</v>
      </c>
      <c r="L200" s="16" t="s">
        <v>23</v>
      </c>
      <c r="M200" s="15"/>
    </row>
    <row r="201" spans="1:13" ht="13.5" customHeight="1" x14ac:dyDescent="0.25">
      <c r="I201" s="16">
        <v>80</v>
      </c>
      <c r="L201" s="16" t="s">
        <v>32</v>
      </c>
    </row>
    <row r="202" spans="1:13" ht="13.5" customHeight="1" x14ac:dyDescent="0.25">
      <c r="I202" s="16">
        <v>15</v>
      </c>
      <c r="L202" s="16" t="s">
        <v>33</v>
      </c>
    </row>
    <row r="203" spans="1:13" ht="13.5" customHeight="1" x14ac:dyDescent="0.25">
      <c r="I203" s="16">
        <v>50</v>
      </c>
      <c r="L203" s="16" t="s">
        <v>29</v>
      </c>
      <c r="M203" s="15"/>
    </row>
    <row r="204" spans="1:13" ht="13.5" customHeight="1" x14ac:dyDescent="0.25">
      <c r="I204" s="16">
        <v>20</v>
      </c>
      <c r="L204" s="16" t="s">
        <v>25</v>
      </c>
      <c r="M204" s="16" t="s">
        <v>137</v>
      </c>
    </row>
    <row r="205" spans="1:13" ht="13.5" customHeight="1" x14ac:dyDescent="0.25">
      <c r="I205" s="16">
        <v>20</v>
      </c>
      <c r="L205" s="16" t="s">
        <v>25</v>
      </c>
      <c r="M205" s="16" t="s">
        <v>45</v>
      </c>
    </row>
    <row r="206" spans="1:13" ht="13.5" customHeight="1" x14ac:dyDescent="0.25">
      <c r="I206" s="16">
        <v>10</v>
      </c>
      <c r="L206" s="16" t="s">
        <v>27</v>
      </c>
    </row>
    <row r="207" spans="1:13" ht="13.5" customHeight="1" x14ac:dyDescent="0.25">
      <c r="I207" s="16">
        <v>20</v>
      </c>
      <c r="L207" s="16" t="s">
        <v>26</v>
      </c>
      <c r="M207" s="16" t="s">
        <v>147</v>
      </c>
    </row>
    <row r="208" spans="1:13" ht="13.5" customHeight="1" x14ac:dyDescent="0.25">
      <c r="I208" s="16">
        <v>45</v>
      </c>
      <c r="L208" s="16" t="s">
        <v>26</v>
      </c>
      <c r="M208" s="15" t="s">
        <v>223</v>
      </c>
    </row>
    <row r="209" spans="1:13" ht="13.5" customHeight="1" x14ac:dyDescent="0.25">
      <c r="I209" s="16">
        <v>80</v>
      </c>
      <c r="L209" s="16" t="s">
        <v>26</v>
      </c>
      <c r="M209" s="15" t="s">
        <v>224</v>
      </c>
    </row>
    <row r="210" spans="1:13" ht="13.5" customHeight="1" x14ac:dyDescent="0.25">
      <c r="L210" s="15"/>
      <c r="M210" s="15"/>
    </row>
    <row r="211" spans="1:13" ht="13.5" customHeight="1" x14ac:dyDescent="0.25">
      <c r="A211" s="16" t="s">
        <v>222</v>
      </c>
      <c r="B211" s="16" t="s">
        <v>1</v>
      </c>
      <c r="C211" s="16" t="s">
        <v>15</v>
      </c>
      <c r="D211" s="16" t="s">
        <v>20</v>
      </c>
      <c r="F211" s="16">
        <v>398.09</v>
      </c>
      <c r="G211" s="16">
        <v>11</v>
      </c>
      <c r="H211" s="16" t="s">
        <v>22</v>
      </c>
      <c r="I211" s="16">
        <v>10</v>
      </c>
      <c r="L211" s="16" t="s">
        <v>23</v>
      </c>
    </row>
    <row r="212" spans="1:13" ht="13.5" customHeight="1" x14ac:dyDescent="0.25">
      <c r="I212" s="16">
        <v>110</v>
      </c>
      <c r="L212" s="16" t="s">
        <v>32</v>
      </c>
    </row>
    <row r="213" spans="1:13" ht="13.5" customHeight="1" x14ac:dyDescent="0.25">
      <c r="I213" s="16">
        <v>20</v>
      </c>
      <c r="L213" s="16" t="s">
        <v>33</v>
      </c>
    </row>
    <row r="214" spans="1:13" ht="13.5" customHeight="1" x14ac:dyDescent="0.25">
      <c r="I214" s="16">
        <v>40</v>
      </c>
      <c r="L214" s="16" t="s">
        <v>29</v>
      </c>
    </row>
    <row r="215" spans="1:13" ht="13.5" customHeight="1" x14ac:dyDescent="0.25">
      <c r="I215" s="16">
        <v>30</v>
      </c>
      <c r="L215" s="16" t="s">
        <v>25</v>
      </c>
      <c r="M215" s="16" t="s">
        <v>137</v>
      </c>
    </row>
    <row r="216" spans="1:13" ht="13.5" customHeight="1" x14ac:dyDescent="0.25">
      <c r="I216" s="16">
        <v>20</v>
      </c>
      <c r="L216" s="16" t="s">
        <v>25</v>
      </c>
      <c r="M216" s="16" t="s">
        <v>45</v>
      </c>
    </row>
    <row r="217" spans="1:13" ht="13.5" customHeight="1" x14ac:dyDescent="0.25">
      <c r="I217" s="16">
        <v>10</v>
      </c>
      <c r="L217" s="16" t="s">
        <v>27</v>
      </c>
    </row>
    <row r="218" spans="1:13" ht="13.5" customHeight="1" x14ac:dyDescent="0.25">
      <c r="I218" s="16">
        <v>20</v>
      </c>
      <c r="L218" s="16" t="s">
        <v>26</v>
      </c>
      <c r="M218" s="16" t="s">
        <v>147</v>
      </c>
    </row>
    <row r="220" spans="1:13" ht="13.5" customHeight="1" x14ac:dyDescent="0.25">
      <c r="A220" s="16" t="s">
        <v>222</v>
      </c>
      <c r="B220" s="16" t="s">
        <v>2</v>
      </c>
      <c r="C220" s="16" t="s">
        <v>16</v>
      </c>
      <c r="D220" s="16" t="s">
        <v>19</v>
      </c>
      <c r="F220" s="16">
        <v>172.2</v>
      </c>
      <c r="G220" s="16">
        <v>5</v>
      </c>
      <c r="H220" s="16" t="s">
        <v>22</v>
      </c>
      <c r="I220" s="16">
        <v>10</v>
      </c>
      <c r="L220" s="16" t="s">
        <v>23</v>
      </c>
    </row>
    <row r="221" spans="1:13" ht="13.5" customHeight="1" x14ac:dyDescent="0.25">
      <c r="I221" s="16">
        <v>50</v>
      </c>
      <c r="L221" s="16" t="s">
        <v>32</v>
      </c>
    </row>
    <row r="222" spans="1:13" ht="13.5" customHeight="1" x14ac:dyDescent="0.25">
      <c r="I222" s="16">
        <v>15</v>
      </c>
      <c r="L222" s="16" t="s">
        <v>33</v>
      </c>
    </row>
    <row r="223" spans="1:13" ht="13.5" customHeight="1" x14ac:dyDescent="0.25">
      <c r="I223" s="16">
        <v>15</v>
      </c>
      <c r="L223" s="16" t="s">
        <v>29</v>
      </c>
    </row>
    <row r="224" spans="1:13" ht="13.5" customHeight="1" x14ac:dyDescent="0.25">
      <c r="I224" s="16">
        <v>15</v>
      </c>
      <c r="L224" s="16" t="s">
        <v>25</v>
      </c>
      <c r="M224" s="16" t="s">
        <v>137</v>
      </c>
    </row>
    <row r="225" spans="1:13" ht="13.5" customHeight="1" x14ac:dyDescent="0.25">
      <c r="I225" s="16">
        <v>15</v>
      </c>
      <c r="L225" s="16" t="s">
        <v>25</v>
      </c>
      <c r="M225" s="16" t="s">
        <v>45</v>
      </c>
    </row>
    <row r="226" spans="1:13" ht="13.5" customHeight="1" x14ac:dyDescent="0.25">
      <c r="I226" s="16">
        <v>20</v>
      </c>
      <c r="L226" s="16" t="s">
        <v>27</v>
      </c>
    </row>
    <row r="227" spans="1:13" ht="13.5" customHeight="1" x14ac:dyDescent="0.25">
      <c r="I227" s="16">
        <v>15</v>
      </c>
      <c r="L227" s="16" t="s">
        <v>26</v>
      </c>
      <c r="M227" s="16" t="s">
        <v>147</v>
      </c>
    </row>
    <row r="228" spans="1:13" ht="13.5" customHeight="1" x14ac:dyDescent="0.25">
      <c r="I228" s="16">
        <v>30</v>
      </c>
      <c r="J228" s="18">
        <v>0.41666666666666669</v>
      </c>
      <c r="K228" s="18" t="s">
        <v>226</v>
      </c>
      <c r="L228" s="16" t="s">
        <v>28</v>
      </c>
      <c r="M228" s="15" t="s">
        <v>119</v>
      </c>
    </row>
    <row r="229" spans="1:13" ht="13.5" customHeight="1" x14ac:dyDescent="0.25">
      <c r="I229" s="16">
        <v>100</v>
      </c>
      <c r="L229" s="16" t="s">
        <v>26</v>
      </c>
      <c r="M229" s="15" t="s">
        <v>225</v>
      </c>
    </row>
    <row r="230" spans="1:13" ht="13.5" customHeight="1" x14ac:dyDescent="0.25">
      <c r="I230" s="16">
        <v>130</v>
      </c>
      <c r="J230" s="18">
        <v>0.15972222222222224</v>
      </c>
      <c r="K230" s="18">
        <v>0.25</v>
      </c>
      <c r="L230" s="16" t="s">
        <v>26</v>
      </c>
      <c r="M230" s="16" t="s">
        <v>227</v>
      </c>
    </row>
    <row r="232" spans="1:13" ht="13.5" customHeight="1" x14ac:dyDescent="0.25">
      <c r="A232" s="16" t="s">
        <v>228</v>
      </c>
      <c r="B232" s="16" t="s">
        <v>0</v>
      </c>
      <c r="C232" s="16" t="s">
        <v>6</v>
      </c>
      <c r="D232" s="16" t="s">
        <v>21</v>
      </c>
      <c r="F232" s="16">
        <v>66.45</v>
      </c>
      <c r="G232" s="16">
        <v>1.75</v>
      </c>
      <c r="H232" s="16" t="s">
        <v>22</v>
      </c>
      <c r="I232" s="16">
        <v>100</v>
      </c>
      <c r="L232" s="16" t="s">
        <v>26</v>
      </c>
      <c r="M232" s="16" t="s">
        <v>227</v>
      </c>
    </row>
    <row r="233" spans="1:13" ht="13.5" customHeight="1" x14ac:dyDescent="0.25">
      <c r="I233" s="16">
        <v>20</v>
      </c>
      <c r="L233" s="16" t="s">
        <v>32</v>
      </c>
    </row>
    <row r="234" spans="1:13" ht="13.5" customHeight="1" x14ac:dyDescent="0.25">
      <c r="I234" s="16">
        <v>5</v>
      </c>
      <c r="L234" s="16" t="s">
        <v>33</v>
      </c>
    </row>
    <row r="235" spans="1:13" ht="13.5" customHeight="1" x14ac:dyDescent="0.25">
      <c r="I235" s="16">
        <v>10</v>
      </c>
      <c r="L235" s="16" t="s">
        <v>29</v>
      </c>
      <c r="M235" s="15"/>
    </row>
    <row r="236" spans="1:13" ht="13.5" customHeight="1" x14ac:dyDescent="0.25">
      <c r="I236" s="16">
        <v>310</v>
      </c>
      <c r="L236" s="16" t="s">
        <v>26</v>
      </c>
      <c r="M236" s="15" t="s">
        <v>121</v>
      </c>
    </row>
    <row r="238" spans="1:13" ht="13.5" customHeight="1" x14ac:dyDescent="0.25">
      <c r="A238" s="16" t="s">
        <v>228</v>
      </c>
      <c r="B238" s="16" t="s">
        <v>1</v>
      </c>
      <c r="C238" s="16" t="s">
        <v>15</v>
      </c>
      <c r="D238" s="16" t="s">
        <v>20</v>
      </c>
      <c r="F238" s="16">
        <v>172.535</v>
      </c>
      <c r="G238" s="16">
        <v>5</v>
      </c>
      <c r="H238" s="16" t="s">
        <v>22</v>
      </c>
      <c r="I238" s="16">
        <v>290</v>
      </c>
      <c r="L238" s="16" t="s">
        <v>26</v>
      </c>
      <c r="M238" s="15" t="s">
        <v>229</v>
      </c>
    </row>
    <row r="239" spans="1:13" ht="13.5" customHeight="1" x14ac:dyDescent="0.25">
      <c r="I239" s="16">
        <v>50</v>
      </c>
      <c r="L239" s="16" t="s">
        <v>32</v>
      </c>
    </row>
    <row r="240" spans="1:13" ht="13.5" customHeight="1" x14ac:dyDescent="0.25">
      <c r="I240" s="16">
        <v>20</v>
      </c>
      <c r="L240" s="16" t="s">
        <v>33</v>
      </c>
    </row>
    <row r="241" spans="1:13" ht="13.5" customHeight="1" x14ac:dyDescent="0.25">
      <c r="I241" s="16">
        <v>20</v>
      </c>
      <c r="L241" s="16" t="s">
        <v>29</v>
      </c>
    </row>
    <row r="242" spans="1:13" ht="13.5" customHeight="1" x14ac:dyDescent="0.25">
      <c r="I242" s="16">
        <v>10</v>
      </c>
      <c r="L242" s="16" t="s">
        <v>25</v>
      </c>
      <c r="M242" s="16" t="s">
        <v>137</v>
      </c>
    </row>
    <row r="243" spans="1:13" ht="13.5" customHeight="1" x14ac:dyDescent="0.25">
      <c r="I243" s="16">
        <v>20</v>
      </c>
      <c r="L243" s="16" t="s">
        <v>25</v>
      </c>
      <c r="M243" s="16" t="s">
        <v>45</v>
      </c>
    </row>
    <row r="244" spans="1:13" ht="13.5" customHeight="1" x14ac:dyDescent="0.25">
      <c r="I244" s="16">
        <v>10</v>
      </c>
      <c r="L244" s="16" t="s">
        <v>27</v>
      </c>
    </row>
    <row r="245" spans="1:13" ht="13.5" customHeight="1" x14ac:dyDescent="0.25">
      <c r="I245" s="16">
        <v>20</v>
      </c>
      <c r="L245" s="16" t="s">
        <v>26</v>
      </c>
      <c r="M245" s="16" t="s">
        <v>147</v>
      </c>
    </row>
    <row r="247" spans="1:13" ht="13.5" customHeight="1" x14ac:dyDescent="0.25">
      <c r="A247" s="16" t="s">
        <v>228</v>
      </c>
      <c r="B247" s="16" t="s">
        <v>2</v>
      </c>
      <c r="C247" s="16" t="s">
        <v>16</v>
      </c>
      <c r="D247" s="16" t="s">
        <v>19</v>
      </c>
      <c r="F247" s="16">
        <v>297.89999999999998</v>
      </c>
      <c r="G247" s="16">
        <v>8</v>
      </c>
      <c r="H247" s="16" t="s">
        <v>22</v>
      </c>
      <c r="I247" s="16">
        <v>10</v>
      </c>
      <c r="L247" s="16" t="s">
        <v>23</v>
      </c>
    </row>
    <row r="248" spans="1:13" ht="13.5" customHeight="1" x14ac:dyDescent="0.25">
      <c r="I248" s="16">
        <v>80</v>
      </c>
      <c r="L248" s="16" t="s">
        <v>32</v>
      </c>
    </row>
    <row r="249" spans="1:13" ht="13.5" customHeight="1" x14ac:dyDescent="0.25">
      <c r="I249" s="16">
        <v>20</v>
      </c>
      <c r="L249" s="16" t="s">
        <v>33</v>
      </c>
    </row>
    <row r="250" spans="1:13" ht="13.5" customHeight="1" x14ac:dyDescent="0.25">
      <c r="I250" s="16">
        <v>20</v>
      </c>
      <c r="L250" s="16" t="s">
        <v>29</v>
      </c>
    </row>
    <row r="251" spans="1:13" ht="13.5" customHeight="1" x14ac:dyDescent="0.25">
      <c r="I251" s="16">
        <v>15</v>
      </c>
      <c r="L251" s="16" t="s">
        <v>25</v>
      </c>
      <c r="M251" s="16" t="s">
        <v>137</v>
      </c>
    </row>
    <row r="252" spans="1:13" ht="13.5" customHeight="1" x14ac:dyDescent="0.25">
      <c r="I252" s="16">
        <v>15</v>
      </c>
      <c r="L252" s="16" t="s">
        <v>25</v>
      </c>
      <c r="M252" s="16" t="s">
        <v>45</v>
      </c>
    </row>
    <row r="253" spans="1:13" ht="13.5" customHeight="1" x14ac:dyDescent="0.25">
      <c r="I253" s="16">
        <v>20</v>
      </c>
      <c r="L253" s="16" t="s">
        <v>27</v>
      </c>
    </row>
    <row r="254" spans="1:13" ht="13.5" customHeight="1" x14ac:dyDescent="0.25">
      <c r="I254" s="16">
        <v>15</v>
      </c>
      <c r="L254" s="16" t="s">
        <v>26</v>
      </c>
      <c r="M254" s="16" t="s">
        <v>147</v>
      </c>
    </row>
    <row r="255" spans="1:13" ht="13.5" customHeight="1" x14ac:dyDescent="0.25">
      <c r="I255" s="16">
        <v>90</v>
      </c>
      <c r="L255" s="16" t="s">
        <v>26</v>
      </c>
      <c r="M255" s="16" t="s">
        <v>230</v>
      </c>
    </row>
    <row r="256" spans="1:13" ht="13.5" customHeight="1" x14ac:dyDescent="0.25">
      <c r="I256" s="16">
        <v>60</v>
      </c>
      <c r="L256" s="16" t="s">
        <v>26</v>
      </c>
      <c r="M256" s="16" t="s">
        <v>231</v>
      </c>
    </row>
    <row r="257" spans="1:13" ht="13.5" customHeight="1" x14ac:dyDescent="0.25">
      <c r="I257" s="16">
        <v>20</v>
      </c>
      <c r="L257" s="16" t="s">
        <v>26</v>
      </c>
      <c r="M257" s="16" t="s">
        <v>232</v>
      </c>
    </row>
    <row r="259" spans="1:13" ht="13.5" customHeight="1" x14ac:dyDescent="0.25">
      <c r="A259" s="16" t="s">
        <v>233</v>
      </c>
      <c r="B259" s="16" t="s">
        <v>0</v>
      </c>
      <c r="C259" s="16" t="s">
        <v>6</v>
      </c>
      <c r="D259" s="16" t="s">
        <v>20</v>
      </c>
      <c r="F259" s="16">
        <v>354.59</v>
      </c>
      <c r="G259" s="16">
        <v>10</v>
      </c>
      <c r="H259" s="16" t="s">
        <v>22</v>
      </c>
      <c r="I259" s="16">
        <v>10</v>
      </c>
      <c r="L259" s="16" t="s">
        <v>23</v>
      </c>
    </row>
    <row r="260" spans="1:13" ht="13.5" customHeight="1" x14ac:dyDescent="0.25">
      <c r="I260" s="16">
        <v>100</v>
      </c>
      <c r="L260" s="16" t="s">
        <v>32</v>
      </c>
    </row>
    <row r="261" spans="1:13" ht="13.5" customHeight="1" x14ac:dyDescent="0.25">
      <c r="I261" s="16">
        <v>20</v>
      </c>
      <c r="L261" s="16" t="s">
        <v>33</v>
      </c>
    </row>
    <row r="262" spans="1:13" ht="13.5" customHeight="1" x14ac:dyDescent="0.25">
      <c r="I262" s="16">
        <v>120</v>
      </c>
      <c r="L262" s="16" t="s">
        <v>29</v>
      </c>
      <c r="M262" s="15" t="s">
        <v>234</v>
      </c>
    </row>
    <row r="263" spans="1:13" ht="13.5" customHeight="1" x14ac:dyDescent="0.25">
      <c r="I263" s="16">
        <v>30</v>
      </c>
      <c r="L263" s="16" t="s">
        <v>25</v>
      </c>
      <c r="M263" s="16" t="s">
        <v>137</v>
      </c>
    </row>
    <row r="264" spans="1:13" ht="13.5" customHeight="1" x14ac:dyDescent="0.25">
      <c r="I264" s="16">
        <v>20</v>
      </c>
      <c r="L264" s="16" t="s">
        <v>25</v>
      </c>
      <c r="M264" s="16" t="s">
        <v>45</v>
      </c>
    </row>
    <row r="265" spans="1:13" ht="13.5" customHeight="1" x14ac:dyDescent="0.25">
      <c r="I265" s="16">
        <v>10</v>
      </c>
      <c r="L265" s="16" t="s">
        <v>27</v>
      </c>
    </row>
    <row r="266" spans="1:13" ht="13.5" customHeight="1" x14ac:dyDescent="0.25">
      <c r="I266" s="16">
        <v>20</v>
      </c>
      <c r="L266" s="16" t="s">
        <v>26</v>
      </c>
      <c r="M266" s="16" t="s">
        <v>147</v>
      </c>
    </row>
    <row r="268" spans="1:13" ht="13.5" customHeight="1" x14ac:dyDescent="0.25">
      <c r="A268" s="16" t="s">
        <v>233</v>
      </c>
      <c r="B268" s="16" t="s">
        <v>1</v>
      </c>
      <c r="C268" s="16" t="s">
        <v>15</v>
      </c>
      <c r="D268" s="16" t="s">
        <v>19</v>
      </c>
      <c r="F268" s="16">
        <v>348.85</v>
      </c>
      <c r="G268" s="16">
        <v>10.25</v>
      </c>
      <c r="H268" s="16" t="s">
        <v>22</v>
      </c>
      <c r="I268" s="16">
        <v>10</v>
      </c>
      <c r="L268" s="16" t="s">
        <v>23</v>
      </c>
    </row>
    <row r="269" spans="1:13" ht="13.5" customHeight="1" x14ac:dyDescent="0.25">
      <c r="I269" s="16">
        <v>110</v>
      </c>
      <c r="L269" s="16" t="s">
        <v>32</v>
      </c>
    </row>
    <row r="270" spans="1:13" ht="13.5" customHeight="1" x14ac:dyDescent="0.25">
      <c r="I270" s="16">
        <v>20</v>
      </c>
      <c r="L270" s="16" t="s">
        <v>33</v>
      </c>
    </row>
    <row r="271" spans="1:13" ht="13.5" customHeight="1" x14ac:dyDescent="0.25">
      <c r="I271" s="16">
        <v>20</v>
      </c>
      <c r="L271" s="16" t="s">
        <v>29</v>
      </c>
      <c r="M271" s="15"/>
    </row>
    <row r="272" spans="1:13" ht="13.5" customHeight="1" x14ac:dyDescent="0.25">
      <c r="I272" s="16">
        <v>30</v>
      </c>
      <c r="L272" s="16" t="s">
        <v>25</v>
      </c>
      <c r="M272" s="16" t="s">
        <v>137</v>
      </c>
    </row>
    <row r="273" spans="1:13" ht="13.5" customHeight="1" x14ac:dyDescent="0.25">
      <c r="I273" s="16">
        <v>20</v>
      </c>
      <c r="L273" s="16" t="s">
        <v>25</v>
      </c>
      <c r="M273" s="16" t="s">
        <v>45</v>
      </c>
    </row>
    <row r="274" spans="1:13" ht="13.5" customHeight="1" x14ac:dyDescent="0.25">
      <c r="I274" s="16">
        <v>20</v>
      </c>
      <c r="L274" s="16" t="s">
        <v>27</v>
      </c>
    </row>
    <row r="275" spans="1:13" ht="13.5" customHeight="1" x14ac:dyDescent="0.25">
      <c r="I275" s="16">
        <v>20</v>
      </c>
      <c r="L275" s="16" t="s">
        <v>26</v>
      </c>
      <c r="M275" s="16" t="s">
        <v>147</v>
      </c>
    </row>
    <row r="276" spans="1:13" ht="13.5" customHeight="1" x14ac:dyDescent="0.25">
      <c r="I276" s="16">
        <v>60</v>
      </c>
      <c r="L276" s="16" t="s">
        <v>125</v>
      </c>
      <c r="M276" s="16" t="s">
        <v>235</v>
      </c>
    </row>
    <row r="278" spans="1:13" ht="13.5" customHeight="1" x14ac:dyDescent="0.25">
      <c r="A278" s="16" t="s">
        <v>233</v>
      </c>
      <c r="B278" s="16" t="s">
        <v>2</v>
      </c>
      <c r="C278" s="15" t="s">
        <v>192</v>
      </c>
      <c r="D278" s="16" t="s">
        <v>21</v>
      </c>
      <c r="F278" s="16">
        <v>392.61</v>
      </c>
      <c r="G278" s="16">
        <v>11.25</v>
      </c>
      <c r="H278" s="16" t="s">
        <v>22</v>
      </c>
      <c r="I278" s="16">
        <v>10</v>
      </c>
      <c r="L278" s="16" t="s">
        <v>23</v>
      </c>
      <c r="M278" s="15"/>
    </row>
    <row r="279" spans="1:13" ht="13.5" customHeight="1" x14ac:dyDescent="0.25">
      <c r="I279" s="16">
        <v>110</v>
      </c>
      <c r="L279" s="16" t="s">
        <v>32</v>
      </c>
    </row>
    <row r="280" spans="1:13" ht="13.5" customHeight="1" x14ac:dyDescent="0.25">
      <c r="I280" s="16">
        <v>20</v>
      </c>
      <c r="L280" s="16" t="s">
        <v>33</v>
      </c>
    </row>
    <row r="281" spans="1:13" ht="13.5" customHeight="1" x14ac:dyDescent="0.25">
      <c r="I281" s="16">
        <v>40</v>
      </c>
      <c r="L281" s="16" t="s">
        <v>29</v>
      </c>
      <c r="M281" s="15"/>
    </row>
    <row r="282" spans="1:13" ht="13.5" customHeight="1" x14ac:dyDescent="0.25">
      <c r="I282" s="16">
        <v>20</v>
      </c>
      <c r="L282" s="16" t="s">
        <v>25</v>
      </c>
      <c r="M282" s="16" t="s">
        <v>137</v>
      </c>
    </row>
    <row r="283" spans="1:13" ht="13.5" customHeight="1" x14ac:dyDescent="0.25">
      <c r="I283" s="16">
        <v>20</v>
      </c>
      <c r="L283" s="16" t="s">
        <v>25</v>
      </c>
      <c r="M283" s="16" t="s">
        <v>45</v>
      </c>
    </row>
    <row r="284" spans="1:13" ht="13.5" customHeight="1" x14ac:dyDescent="0.25">
      <c r="I284" s="16">
        <v>10</v>
      </c>
      <c r="L284" s="16" t="s">
        <v>27</v>
      </c>
    </row>
    <row r="285" spans="1:13" ht="13.5" customHeight="1" x14ac:dyDescent="0.25">
      <c r="I285" s="16">
        <v>20</v>
      </c>
      <c r="L285" s="16" t="s">
        <v>26</v>
      </c>
      <c r="M285" s="16" t="s">
        <v>147</v>
      </c>
    </row>
    <row r="287" spans="1:13" ht="13.5" customHeight="1" x14ac:dyDescent="0.25">
      <c r="A287" s="16" t="s">
        <v>236</v>
      </c>
      <c r="B287" s="16" t="s">
        <v>0</v>
      </c>
      <c r="C287" s="16" t="s">
        <v>6</v>
      </c>
      <c r="D287" s="16" t="s">
        <v>20</v>
      </c>
      <c r="F287" s="16">
        <v>341.61</v>
      </c>
      <c r="G287" s="16">
        <v>9.75</v>
      </c>
      <c r="H287" s="16" t="s">
        <v>22</v>
      </c>
      <c r="I287" s="16">
        <v>10</v>
      </c>
      <c r="L287" s="16" t="s">
        <v>23</v>
      </c>
    </row>
    <row r="288" spans="1:13" ht="13.5" customHeight="1" x14ac:dyDescent="0.25">
      <c r="I288" s="16">
        <v>100</v>
      </c>
      <c r="L288" s="16" t="s">
        <v>32</v>
      </c>
    </row>
    <row r="289" spans="1:13" ht="13.5" customHeight="1" x14ac:dyDescent="0.25">
      <c r="I289" s="16">
        <v>20</v>
      </c>
      <c r="L289" s="16" t="s">
        <v>33</v>
      </c>
    </row>
    <row r="290" spans="1:13" ht="13.5" customHeight="1" x14ac:dyDescent="0.25">
      <c r="I290" s="16">
        <v>110</v>
      </c>
      <c r="L290" s="16" t="s">
        <v>29</v>
      </c>
      <c r="M290" s="15" t="s">
        <v>237</v>
      </c>
    </row>
    <row r="291" spans="1:13" ht="13.5" customHeight="1" x14ac:dyDescent="0.25">
      <c r="I291" s="16">
        <v>30</v>
      </c>
      <c r="L291" s="16" t="s">
        <v>25</v>
      </c>
      <c r="M291" s="16" t="s">
        <v>137</v>
      </c>
    </row>
    <row r="292" spans="1:13" ht="13.5" customHeight="1" x14ac:dyDescent="0.25">
      <c r="I292" s="16">
        <v>20</v>
      </c>
      <c r="L292" s="16" t="s">
        <v>25</v>
      </c>
      <c r="M292" s="16" t="s">
        <v>45</v>
      </c>
    </row>
    <row r="293" spans="1:13" ht="13.5" customHeight="1" x14ac:dyDescent="0.25">
      <c r="I293" s="16">
        <v>10</v>
      </c>
      <c r="L293" s="16" t="s">
        <v>27</v>
      </c>
    </row>
    <row r="294" spans="1:13" ht="13.5" customHeight="1" x14ac:dyDescent="0.25">
      <c r="I294" s="16">
        <v>20</v>
      </c>
      <c r="L294" s="16" t="s">
        <v>26</v>
      </c>
      <c r="M294" s="16" t="s">
        <v>147</v>
      </c>
    </row>
    <row r="296" spans="1:13" ht="13.5" customHeight="1" x14ac:dyDescent="0.25">
      <c r="A296" s="16" t="s">
        <v>236</v>
      </c>
      <c r="B296" s="16" t="s">
        <v>1</v>
      </c>
      <c r="C296" s="16" t="s">
        <v>16</v>
      </c>
      <c r="D296" s="16" t="s">
        <v>19</v>
      </c>
      <c r="F296" s="16">
        <v>179.32</v>
      </c>
      <c r="G296" s="16">
        <v>5</v>
      </c>
      <c r="H296" s="16" t="s">
        <v>22</v>
      </c>
      <c r="I296" s="16">
        <v>10</v>
      </c>
      <c r="L296" s="16" t="s">
        <v>23</v>
      </c>
    </row>
    <row r="297" spans="1:13" ht="13.5" customHeight="1" x14ac:dyDescent="0.25">
      <c r="I297" s="16">
        <v>50</v>
      </c>
      <c r="L297" s="16" t="s">
        <v>32</v>
      </c>
    </row>
    <row r="298" spans="1:13" ht="13.5" customHeight="1" x14ac:dyDescent="0.25">
      <c r="I298" s="16">
        <v>15</v>
      </c>
      <c r="L298" s="16" t="s">
        <v>33</v>
      </c>
    </row>
    <row r="299" spans="1:13" ht="13.5" customHeight="1" x14ac:dyDescent="0.25">
      <c r="I299" s="16">
        <v>15</v>
      </c>
      <c r="L299" s="16" t="s">
        <v>29</v>
      </c>
      <c r="M299" s="15"/>
    </row>
    <row r="300" spans="1:13" ht="13.5" customHeight="1" x14ac:dyDescent="0.25">
      <c r="I300" s="16">
        <v>20</v>
      </c>
      <c r="L300" s="16" t="s">
        <v>25</v>
      </c>
      <c r="M300" s="16" t="s">
        <v>137</v>
      </c>
    </row>
    <row r="301" spans="1:13" ht="13.5" customHeight="1" x14ac:dyDescent="0.25">
      <c r="I301" s="16">
        <v>15</v>
      </c>
      <c r="L301" s="16" t="s">
        <v>25</v>
      </c>
      <c r="M301" s="16" t="s">
        <v>45</v>
      </c>
    </row>
    <row r="302" spans="1:13" ht="13.5" customHeight="1" x14ac:dyDescent="0.25">
      <c r="I302" s="16">
        <v>10</v>
      </c>
      <c r="L302" s="16" t="s">
        <v>27</v>
      </c>
    </row>
    <row r="303" spans="1:13" ht="13.5" customHeight="1" x14ac:dyDescent="0.25">
      <c r="I303" s="16">
        <v>40</v>
      </c>
      <c r="L303" s="16" t="s">
        <v>33</v>
      </c>
      <c r="M303" s="16" t="s">
        <v>240</v>
      </c>
    </row>
    <row r="304" spans="1:13" ht="13.5" customHeight="1" x14ac:dyDescent="0.25">
      <c r="I304" s="16">
        <v>70</v>
      </c>
      <c r="J304" s="18">
        <v>8.3333333333333329E-2</v>
      </c>
      <c r="K304" s="18">
        <v>0.13194444444444445</v>
      </c>
      <c r="L304" s="16" t="s">
        <v>24</v>
      </c>
      <c r="M304" s="16" t="s">
        <v>239</v>
      </c>
    </row>
    <row r="305" spans="1:13" ht="13.5" customHeight="1" x14ac:dyDescent="0.25">
      <c r="I305" s="16">
        <v>60</v>
      </c>
      <c r="J305" s="18">
        <v>0.21527777777777779</v>
      </c>
      <c r="K305" s="18">
        <v>0.25694444444444448</v>
      </c>
      <c r="L305" s="16" t="s">
        <v>26</v>
      </c>
      <c r="M305" s="16" t="s">
        <v>238</v>
      </c>
    </row>
    <row r="306" spans="1:13" ht="13.5" customHeight="1" x14ac:dyDescent="0.25">
      <c r="I306" s="16">
        <v>45</v>
      </c>
      <c r="L306" s="16" t="s">
        <v>24</v>
      </c>
      <c r="M306" s="16" t="s">
        <v>123</v>
      </c>
    </row>
    <row r="307" spans="1:13" ht="13.5" customHeight="1" x14ac:dyDescent="0.25">
      <c r="I307" s="16">
        <v>30</v>
      </c>
      <c r="L307" s="16" t="s">
        <v>26</v>
      </c>
      <c r="M307" s="16" t="s">
        <v>241</v>
      </c>
    </row>
    <row r="309" spans="1:13" ht="13.5" customHeight="1" x14ac:dyDescent="0.25">
      <c r="A309" s="16" t="s">
        <v>236</v>
      </c>
      <c r="B309" s="16" t="s">
        <v>2</v>
      </c>
      <c r="C309" s="15" t="s">
        <v>192</v>
      </c>
      <c r="D309" s="16" t="s">
        <v>21</v>
      </c>
      <c r="F309" s="16">
        <f>38.65+38.49+38.28+31.44+31.7+38.27+34.76+27.19+37.82+31.22</f>
        <v>347.82000000000005</v>
      </c>
      <c r="G309" s="16">
        <v>10</v>
      </c>
      <c r="H309" s="16" t="s">
        <v>22</v>
      </c>
      <c r="I309" s="16">
        <v>10</v>
      </c>
      <c r="L309" s="16" t="s">
        <v>23</v>
      </c>
      <c r="M309" s="15"/>
    </row>
    <row r="310" spans="1:13" ht="13.5" customHeight="1" x14ac:dyDescent="0.25">
      <c r="I310" s="16">
        <v>100</v>
      </c>
      <c r="L310" s="16" t="s">
        <v>32</v>
      </c>
    </row>
    <row r="311" spans="1:13" ht="13.5" customHeight="1" x14ac:dyDescent="0.25">
      <c r="I311" s="16">
        <v>40</v>
      </c>
      <c r="L311" s="16" t="s">
        <v>33</v>
      </c>
      <c r="M311" s="16" t="s">
        <v>240</v>
      </c>
    </row>
    <row r="312" spans="1:13" ht="13.5" customHeight="1" x14ac:dyDescent="0.25">
      <c r="I312" s="16">
        <v>40</v>
      </c>
      <c r="L312" s="16" t="s">
        <v>29</v>
      </c>
      <c r="M312" s="15" t="s">
        <v>243</v>
      </c>
    </row>
    <row r="313" spans="1:13" ht="13.5" customHeight="1" x14ac:dyDescent="0.25">
      <c r="I313" s="16">
        <v>40</v>
      </c>
      <c r="L313" s="16" t="s">
        <v>25</v>
      </c>
      <c r="M313" s="16" t="s">
        <v>137</v>
      </c>
    </row>
    <row r="314" spans="1:13" ht="13.5" customHeight="1" x14ac:dyDescent="0.25">
      <c r="I314" s="16">
        <v>20</v>
      </c>
      <c r="L314" s="16" t="s">
        <v>25</v>
      </c>
      <c r="M314" s="16" t="s">
        <v>45</v>
      </c>
    </row>
    <row r="315" spans="1:13" ht="13.5" customHeight="1" x14ac:dyDescent="0.25">
      <c r="I315" s="16">
        <v>10</v>
      </c>
      <c r="L315" s="16" t="s">
        <v>27</v>
      </c>
    </row>
    <row r="316" spans="1:13" ht="13.5" customHeight="1" x14ac:dyDescent="0.25">
      <c r="I316" s="16">
        <v>20</v>
      </c>
      <c r="L316" s="16" t="s">
        <v>26</v>
      </c>
      <c r="M316" s="16" t="s">
        <v>147</v>
      </c>
    </row>
    <row r="317" spans="1:13" ht="13.5" customHeight="1" x14ac:dyDescent="0.25">
      <c r="I317" s="16">
        <v>30</v>
      </c>
      <c r="L317" s="16" t="s">
        <v>26</v>
      </c>
      <c r="M317" s="15" t="s">
        <v>242</v>
      </c>
    </row>
    <row r="320" spans="1:13" ht="13.5" customHeight="1" x14ac:dyDescent="0.25">
      <c r="A320" s="16" t="s">
        <v>244</v>
      </c>
      <c r="B320" s="16" t="s">
        <v>0</v>
      </c>
      <c r="C320" s="16" t="s">
        <v>15</v>
      </c>
      <c r="D320" s="16" t="s">
        <v>20</v>
      </c>
      <c r="F320" s="16">
        <v>327.02</v>
      </c>
      <c r="G320" s="16">
        <v>9</v>
      </c>
      <c r="H320" s="16" t="s">
        <v>22</v>
      </c>
      <c r="I320" s="16">
        <v>10</v>
      </c>
      <c r="L320" s="16" t="s">
        <v>23</v>
      </c>
    </row>
    <row r="321" spans="1:14" ht="13.5" customHeight="1" x14ac:dyDescent="0.25">
      <c r="I321" s="16">
        <v>90</v>
      </c>
      <c r="L321" s="16" t="s">
        <v>32</v>
      </c>
    </row>
    <row r="322" spans="1:14" ht="13.5" customHeight="1" x14ac:dyDescent="0.25">
      <c r="I322" s="16">
        <v>20</v>
      </c>
      <c r="L322" s="16" t="s">
        <v>33</v>
      </c>
    </row>
    <row r="323" spans="1:14" ht="13.5" customHeight="1" x14ac:dyDescent="0.25">
      <c r="I323" s="16">
        <v>30</v>
      </c>
      <c r="L323" s="16" t="s">
        <v>29</v>
      </c>
      <c r="M323" s="15" t="s">
        <v>237</v>
      </c>
    </row>
    <row r="324" spans="1:14" ht="13.5" customHeight="1" x14ac:dyDescent="0.25">
      <c r="I324" s="16">
        <v>30</v>
      </c>
      <c r="L324" s="16" t="s">
        <v>25</v>
      </c>
      <c r="M324" s="16" t="s">
        <v>137</v>
      </c>
    </row>
    <row r="325" spans="1:14" ht="13.5" customHeight="1" x14ac:dyDescent="0.25">
      <c r="I325" s="16">
        <v>20</v>
      </c>
      <c r="L325" s="16" t="s">
        <v>25</v>
      </c>
      <c r="M325" s="16" t="s">
        <v>45</v>
      </c>
    </row>
    <row r="326" spans="1:14" ht="13.5" customHeight="1" x14ac:dyDescent="0.25">
      <c r="I326" s="16">
        <v>10</v>
      </c>
      <c r="L326" s="16" t="s">
        <v>27</v>
      </c>
    </row>
    <row r="327" spans="1:14" ht="13.5" customHeight="1" x14ac:dyDescent="0.25">
      <c r="I327" s="16">
        <v>20</v>
      </c>
      <c r="L327" s="16" t="s">
        <v>26</v>
      </c>
      <c r="M327" s="16" t="s">
        <v>147</v>
      </c>
    </row>
    <row r="328" spans="1:14" ht="13.5" customHeight="1" x14ac:dyDescent="0.25">
      <c r="I328" s="16">
        <v>30</v>
      </c>
      <c r="L328" s="16" t="s">
        <v>24</v>
      </c>
      <c r="M328" s="15" t="s">
        <v>173</v>
      </c>
    </row>
    <row r="329" spans="1:14" ht="13.5" customHeight="1" x14ac:dyDescent="0.25">
      <c r="I329" s="16">
        <v>30</v>
      </c>
      <c r="L329" s="16" t="s">
        <v>26</v>
      </c>
      <c r="M329" s="15" t="s">
        <v>246</v>
      </c>
      <c r="N329" s="16"/>
    </row>
    <row r="330" spans="1:14" ht="13.5" customHeight="1" x14ac:dyDescent="0.25">
      <c r="I330" s="16">
        <v>20</v>
      </c>
      <c r="L330" s="16" t="s">
        <v>26</v>
      </c>
      <c r="M330" s="15" t="s">
        <v>245</v>
      </c>
    </row>
    <row r="332" spans="1:14" ht="13.5" customHeight="1" x14ac:dyDescent="0.25">
      <c r="A332" s="16" t="s">
        <v>244</v>
      </c>
      <c r="B332" s="16" t="s">
        <v>1</v>
      </c>
      <c r="C332" s="16" t="s">
        <v>16</v>
      </c>
      <c r="D332" s="16" t="s">
        <v>19</v>
      </c>
      <c r="F332" s="16">
        <v>193.78</v>
      </c>
      <c r="G332" s="16">
        <v>5.25</v>
      </c>
      <c r="H332" s="16" t="s">
        <v>22</v>
      </c>
      <c r="I332" s="16">
        <v>10</v>
      </c>
      <c r="L332" s="16" t="s">
        <v>23</v>
      </c>
    </row>
    <row r="333" spans="1:14" ht="13.5" customHeight="1" x14ac:dyDescent="0.25">
      <c r="I333" s="16">
        <v>50</v>
      </c>
      <c r="L333" s="16" t="s">
        <v>32</v>
      </c>
    </row>
    <row r="334" spans="1:14" ht="13.5" customHeight="1" x14ac:dyDescent="0.25">
      <c r="I334" s="16">
        <v>15</v>
      </c>
      <c r="L334" s="16" t="s">
        <v>33</v>
      </c>
    </row>
    <row r="335" spans="1:14" ht="13.5" customHeight="1" x14ac:dyDescent="0.25">
      <c r="I335" s="16">
        <v>15</v>
      </c>
      <c r="L335" s="16" t="s">
        <v>29</v>
      </c>
      <c r="M335" s="15"/>
    </row>
    <row r="336" spans="1:14" ht="13.5" customHeight="1" x14ac:dyDescent="0.25">
      <c r="I336" s="16">
        <v>10</v>
      </c>
      <c r="L336" s="16" t="s">
        <v>25</v>
      </c>
      <c r="M336" s="16" t="s">
        <v>137</v>
      </c>
    </row>
    <row r="337" spans="1:13" ht="13.5" customHeight="1" x14ac:dyDescent="0.25">
      <c r="I337" s="16">
        <v>10</v>
      </c>
      <c r="L337" s="16" t="s">
        <v>25</v>
      </c>
      <c r="M337" s="16" t="s">
        <v>45</v>
      </c>
    </row>
    <row r="338" spans="1:13" ht="13.5" customHeight="1" x14ac:dyDescent="0.25">
      <c r="I338" s="16">
        <v>10</v>
      </c>
      <c r="L338" s="16" t="s">
        <v>27</v>
      </c>
    </row>
    <row r="339" spans="1:13" ht="13.5" customHeight="1" x14ac:dyDescent="0.25">
      <c r="I339" s="16">
        <v>10</v>
      </c>
      <c r="L339" s="16" t="s">
        <v>26</v>
      </c>
      <c r="M339" s="16" t="s">
        <v>147</v>
      </c>
    </row>
    <row r="340" spans="1:13" ht="13.5" customHeight="1" x14ac:dyDescent="0.25">
      <c r="I340" s="16">
        <v>90</v>
      </c>
      <c r="L340" s="16" t="s">
        <v>24</v>
      </c>
      <c r="M340" s="16" t="s">
        <v>117</v>
      </c>
    </row>
    <row r="341" spans="1:13" ht="13.5" customHeight="1" x14ac:dyDescent="0.25">
      <c r="I341" s="16">
        <v>20</v>
      </c>
      <c r="L341" s="16" t="s">
        <v>33</v>
      </c>
      <c r="M341" s="16" t="s">
        <v>240</v>
      </c>
    </row>
    <row r="342" spans="1:13" ht="13.5" customHeight="1" x14ac:dyDescent="0.25">
      <c r="I342" s="16">
        <v>180</v>
      </c>
      <c r="J342" s="18">
        <v>0.29166666666666669</v>
      </c>
      <c r="K342" s="18">
        <v>0.41666666666666669</v>
      </c>
      <c r="L342" s="16" t="s">
        <v>24</v>
      </c>
      <c r="M342" s="16" t="s">
        <v>247</v>
      </c>
    </row>
    <row r="344" spans="1:13" ht="13.5" customHeight="1" x14ac:dyDescent="0.25">
      <c r="A344" s="16" t="s">
        <v>244</v>
      </c>
      <c r="B344" s="16" t="s">
        <v>2</v>
      </c>
      <c r="C344" s="15" t="s">
        <v>192</v>
      </c>
      <c r="D344" s="16" t="s">
        <v>21</v>
      </c>
      <c r="F344" s="16">
        <f>22.97+37.82+31.25+38.17+36.43+38.27+29.28+27.15+20.18+38.01+37.81</f>
        <v>357.34</v>
      </c>
      <c r="G344" s="16">
        <v>10.75</v>
      </c>
      <c r="H344" s="16" t="s">
        <v>22</v>
      </c>
      <c r="I344" s="16">
        <v>10</v>
      </c>
      <c r="L344" s="16" t="s">
        <v>23</v>
      </c>
      <c r="M344" s="15"/>
    </row>
    <row r="345" spans="1:13" ht="13.5" customHeight="1" x14ac:dyDescent="0.25">
      <c r="I345" s="16">
        <v>100</v>
      </c>
      <c r="L345" s="16" t="s">
        <v>32</v>
      </c>
    </row>
    <row r="346" spans="1:13" ht="13.5" customHeight="1" x14ac:dyDescent="0.25">
      <c r="I346" s="16">
        <v>25</v>
      </c>
      <c r="L346" s="16" t="s">
        <v>33</v>
      </c>
      <c r="M346" s="16" t="s">
        <v>240</v>
      </c>
    </row>
    <row r="347" spans="1:13" ht="13.5" customHeight="1" x14ac:dyDescent="0.25">
      <c r="I347" s="16">
        <v>30</v>
      </c>
      <c r="L347" s="16" t="s">
        <v>29</v>
      </c>
      <c r="M347" s="15"/>
    </row>
    <row r="348" spans="1:13" ht="13.5" customHeight="1" x14ac:dyDescent="0.25">
      <c r="I348" s="16">
        <v>30</v>
      </c>
      <c r="L348" s="16" t="s">
        <v>25</v>
      </c>
      <c r="M348" s="16" t="s">
        <v>137</v>
      </c>
    </row>
    <row r="349" spans="1:13" ht="13.5" customHeight="1" x14ac:dyDescent="0.25">
      <c r="I349" s="16">
        <v>20</v>
      </c>
      <c r="L349" s="16" t="s">
        <v>25</v>
      </c>
      <c r="M349" s="16" t="s">
        <v>45</v>
      </c>
    </row>
    <row r="350" spans="1:13" ht="13.5" customHeight="1" x14ac:dyDescent="0.25">
      <c r="I350" s="16">
        <v>10</v>
      </c>
      <c r="L350" s="16" t="s">
        <v>27</v>
      </c>
    </row>
    <row r="351" spans="1:13" ht="13.5" customHeight="1" x14ac:dyDescent="0.25">
      <c r="I351" s="16">
        <v>25</v>
      </c>
      <c r="L351" s="16" t="s">
        <v>26</v>
      </c>
      <c r="M351" s="16" t="s">
        <v>147</v>
      </c>
    </row>
    <row r="352" spans="1:13" ht="13.5" customHeight="1" x14ac:dyDescent="0.25">
      <c r="I352" s="16">
        <v>30</v>
      </c>
      <c r="L352" s="16" t="s">
        <v>26</v>
      </c>
      <c r="M352" s="15" t="s">
        <v>248</v>
      </c>
    </row>
    <row r="355" spans="1:13" ht="13.5" customHeight="1" x14ac:dyDescent="0.25">
      <c r="A355" s="16" t="s">
        <v>249</v>
      </c>
      <c r="B355" s="16" t="s">
        <v>0</v>
      </c>
      <c r="C355" s="16" t="s">
        <v>15</v>
      </c>
      <c r="D355" s="16" t="s">
        <v>20</v>
      </c>
      <c r="F355" s="16">
        <v>368.02</v>
      </c>
      <c r="G355" s="16">
        <v>10</v>
      </c>
      <c r="H355" s="16" t="s">
        <v>22</v>
      </c>
      <c r="I355" s="16">
        <v>10</v>
      </c>
      <c r="L355" s="16" t="s">
        <v>23</v>
      </c>
    </row>
    <row r="356" spans="1:13" ht="13.5" customHeight="1" x14ac:dyDescent="0.25">
      <c r="I356" s="16">
        <v>100</v>
      </c>
      <c r="L356" s="16" t="s">
        <v>32</v>
      </c>
    </row>
    <row r="357" spans="1:13" ht="13.5" customHeight="1" x14ac:dyDescent="0.25">
      <c r="I357" s="16">
        <v>40</v>
      </c>
      <c r="L357" s="16" t="s">
        <v>33</v>
      </c>
      <c r="M357" s="15" t="s">
        <v>254</v>
      </c>
    </row>
    <row r="358" spans="1:13" ht="13.5" customHeight="1" x14ac:dyDescent="0.25">
      <c r="I358" s="16">
        <v>40</v>
      </c>
      <c r="L358" s="16" t="s">
        <v>29</v>
      </c>
      <c r="M358" s="15" t="s">
        <v>237</v>
      </c>
    </row>
    <row r="359" spans="1:13" ht="13.5" customHeight="1" x14ac:dyDescent="0.25">
      <c r="I359" s="16">
        <v>30</v>
      </c>
      <c r="L359" s="16" t="s">
        <v>25</v>
      </c>
      <c r="M359" s="16" t="s">
        <v>137</v>
      </c>
    </row>
    <row r="360" spans="1:13" ht="13.5" customHeight="1" x14ac:dyDescent="0.25">
      <c r="I360" s="16">
        <v>10</v>
      </c>
      <c r="L360" s="16" t="s">
        <v>25</v>
      </c>
      <c r="M360" s="16" t="s">
        <v>45</v>
      </c>
    </row>
    <row r="361" spans="1:13" ht="13.5" customHeight="1" x14ac:dyDescent="0.25">
      <c r="I361" s="16">
        <v>10</v>
      </c>
      <c r="L361" s="16" t="s">
        <v>27</v>
      </c>
    </row>
    <row r="362" spans="1:13" ht="13.5" customHeight="1" x14ac:dyDescent="0.25">
      <c r="I362" s="16">
        <v>20</v>
      </c>
      <c r="L362" s="16" t="s">
        <v>26</v>
      </c>
      <c r="M362" s="16" t="s">
        <v>147</v>
      </c>
    </row>
    <row r="363" spans="1:13" ht="13.5" customHeight="1" x14ac:dyDescent="0.25">
      <c r="I363" s="16">
        <v>20</v>
      </c>
      <c r="L363" s="16" t="s">
        <v>26</v>
      </c>
      <c r="M363" s="15" t="s">
        <v>250</v>
      </c>
    </row>
    <row r="364" spans="1:13" ht="13.5" customHeight="1" x14ac:dyDescent="0.25">
      <c r="I364" s="16">
        <v>30</v>
      </c>
      <c r="J364" s="18" t="s">
        <v>252</v>
      </c>
      <c r="K364" s="18" t="s">
        <v>253</v>
      </c>
      <c r="L364" s="16" t="s">
        <v>26</v>
      </c>
      <c r="M364" s="16" t="s">
        <v>251</v>
      </c>
    </row>
    <row r="365" spans="1:13" ht="13.5" customHeight="1" x14ac:dyDescent="0.25">
      <c r="M365" s="15"/>
    </row>
    <row r="366" spans="1:13" ht="13.5" customHeight="1" x14ac:dyDescent="0.25">
      <c r="A366" s="16" t="s">
        <v>249</v>
      </c>
      <c r="B366" s="16" t="s">
        <v>1</v>
      </c>
      <c r="C366" s="16" t="s">
        <v>16</v>
      </c>
      <c r="D366" s="16" t="s">
        <v>19</v>
      </c>
      <c r="F366" s="16">
        <v>366.67</v>
      </c>
      <c r="G366" s="16">
        <v>11</v>
      </c>
      <c r="H366" s="16" t="s">
        <v>22</v>
      </c>
      <c r="I366" s="16">
        <v>10</v>
      </c>
      <c r="L366" s="16" t="s">
        <v>23</v>
      </c>
    </row>
    <row r="367" spans="1:13" ht="13.5" customHeight="1" x14ac:dyDescent="0.25">
      <c r="I367" s="16">
        <v>110</v>
      </c>
      <c r="L367" s="16" t="s">
        <v>32</v>
      </c>
    </row>
    <row r="368" spans="1:13" ht="13.5" customHeight="1" x14ac:dyDescent="0.25">
      <c r="I368" s="16">
        <v>20</v>
      </c>
      <c r="L368" s="16" t="s">
        <v>33</v>
      </c>
    </row>
    <row r="369" spans="1:13" ht="13.5" customHeight="1" x14ac:dyDescent="0.25">
      <c r="I369" s="16">
        <v>40</v>
      </c>
      <c r="L369" s="16" t="s">
        <v>29</v>
      </c>
    </row>
    <row r="370" spans="1:13" ht="13.5" customHeight="1" x14ac:dyDescent="0.25">
      <c r="I370" s="16">
        <v>30</v>
      </c>
      <c r="L370" s="16" t="s">
        <v>25</v>
      </c>
      <c r="M370" s="16" t="s">
        <v>137</v>
      </c>
    </row>
    <row r="371" spans="1:13" ht="13.5" customHeight="1" x14ac:dyDescent="0.25">
      <c r="I371" s="16">
        <v>20</v>
      </c>
      <c r="L371" s="16" t="s">
        <v>25</v>
      </c>
      <c r="M371" s="16" t="s">
        <v>45</v>
      </c>
    </row>
    <row r="372" spans="1:13" ht="13.5" customHeight="1" x14ac:dyDescent="0.25">
      <c r="I372" s="16">
        <v>10</v>
      </c>
      <c r="L372" s="16" t="s">
        <v>27</v>
      </c>
    </row>
    <row r="373" spans="1:13" ht="13.5" customHeight="1" x14ac:dyDescent="0.25">
      <c r="I373" s="16">
        <v>20</v>
      </c>
      <c r="L373" s="16" t="s">
        <v>26</v>
      </c>
      <c r="M373" s="16" t="s">
        <v>147</v>
      </c>
    </row>
    <row r="375" spans="1:13" ht="13.5" customHeight="1" x14ac:dyDescent="0.25">
      <c r="A375" s="16" t="s">
        <v>249</v>
      </c>
      <c r="B375" s="16" t="s">
        <v>2</v>
      </c>
      <c r="C375" s="15" t="s">
        <v>192</v>
      </c>
      <c r="D375" s="16" t="s">
        <v>21</v>
      </c>
      <c r="F375" s="16">
        <f>31.83+26.22+38+29.3+37.92+31.43+31.31+18.66+31.35</f>
        <v>276.02</v>
      </c>
      <c r="G375" s="16">
        <v>9</v>
      </c>
      <c r="H375" s="16" t="s">
        <v>22</v>
      </c>
      <c r="I375" s="16">
        <v>10</v>
      </c>
      <c r="L375" s="16" t="s">
        <v>23</v>
      </c>
      <c r="M375" s="15"/>
    </row>
    <row r="376" spans="1:13" ht="13.5" customHeight="1" x14ac:dyDescent="0.25">
      <c r="I376" s="16">
        <v>90</v>
      </c>
      <c r="L376" s="16" t="s">
        <v>32</v>
      </c>
    </row>
    <row r="377" spans="1:13" ht="13.5" customHeight="1" x14ac:dyDescent="0.25">
      <c r="I377" s="16">
        <v>25</v>
      </c>
      <c r="L377" s="16" t="s">
        <v>33</v>
      </c>
    </row>
    <row r="378" spans="1:13" ht="13.5" customHeight="1" x14ac:dyDescent="0.25">
      <c r="I378" s="16">
        <v>100</v>
      </c>
      <c r="L378" s="16" t="s">
        <v>29</v>
      </c>
      <c r="M378" s="15" t="s">
        <v>255</v>
      </c>
    </row>
    <row r="379" spans="1:13" ht="13.5" customHeight="1" x14ac:dyDescent="0.25">
      <c r="I379" s="16">
        <v>40</v>
      </c>
      <c r="L379" s="16" t="s">
        <v>25</v>
      </c>
      <c r="M379" s="16" t="s">
        <v>137</v>
      </c>
    </row>
    <row r="380" spans="1:13" ht="13.5" customHeight="1" x14ac:dyDescent="0.25">
      <c r="I380" s="16">
        <v>40</v>
      </c>
      <c r="L380" s="16" t="s">
        <v>25</v>
      </c>
      <c r="M380" s="16" t="s">
        <v>45</v>
      </c>
    </row>
    <row r="381" spans="1:13" ht="13.5" customHeight="1" x14ac:dyDescent="0.25">
      <c r="I381" s="16">
        <v>10</v>
      </c>
      <c r="L381" s="16" t="s">
        <v>27</v>
      </c>
    </row>
    <row r="382" spans="1:13" ht="13.5" customHeight="1" x14ac:dyDescent="0.25">
      <c r="I382" s="16">
        <v>20</v>
      </c>
      <c r="L382" s="16" t="s">
        <v>26</v>
      </c>
      <c r="M382" s="16" t="s">
        <v>147</v>
      </c>
    </row>
    <row r="384" spans="1:13" ht="13.5" customHeight="1" x14ac:dyDescent="0.25">
      <c r="A384" s="16" t="s">
        <v>256</v>
      </c>
      <c r="B384" s="16" t="s">
        <v>0</v>
      </c>
      <c r="C384" s="16" t="s">
        <v>15</v>
      </c>
      <c r="D384" s="16" t="s">
        <v>20</v>
      </c>
      <c r="F384" s="16">
        <v>363.23</v>
      </c>
      <c r="G384" s="16">
        <v>10</v>
      </c>
      <c r="H384" s="16" t="s">
        <v>22</v>
      </c>
      <c r="I384" s="16">
        <v>10</v>
      </c>
      <c r="L384" s="16" t="s">
        <v>23</v>
      </c>
    </row>
    <row r="385" spans="1:13" ht="13.5" customHeight="1" x14ac:dyDescent="0.25">
      <c r="I385" s="16">
        <v>100</v>
      </c>
      <c r="L385" s="16" t="s">
        <v>32</v>
      </c>
    </row>
    <row r="386" spans="1:13" ht="13.5" customHeight="1" x14ac:dyDescent="0.25">
      <c r="I386" s="16">
        <v>20</v>
      </c>
      <c r="L386" s="16" t="s">
        <v>33</v>
      </c>
      <c r="M386" s="15"/>
    </row>
    <row r="387" spans="1:13" ht="13.5" customHeight="1" x14ac:dyDescent="0.25">
      <c r="I387" s="16">
        <v>80</v>
      </c>
      <c r="L387" s="16" t="s">
        <v>29</v>
      </c>
      <c r="M387" s="15" t="s">
        <v>237</v>
      </c>
    </row>
    <row r="388" spans="1:13" ht="13.5" customHeight="1" x14ac:dyDescent="0.25">
      <c r="I388" s="16">
        <v>10</v>
      </c>
      <c r="L388" s="16" t="s">
        <v>25</v>
      </c>
      <c r="M388" s="16" t="s">
        <v>137</v>
      </c>
    </row>
    <row r="389" spans="1:13" ht="13.5" customHeight="1" x14ac:dyDescent="0.25">
      <c r="I389" s="16">
        <v>10</v>
      </c>
      <c r="L389" s="16" t="s">
        <v>25</v>
      </c>
      <c r="M389" s="16" t="s">
        <v>45</v>
      </c>
    </row>
    <row r="390" spans="1:13" ht="13.5" customHeight="1" x14ac:dyDescent="0.25">
      <c r="I390" s="16">
        <v>10</v>
      </c>
      <c r="L390" s="16" t="s">
        <v>27</v>
      </c>
    </row>
    <row r="391" spans="1:13" ht="13.5" customHeight="1" x14ac:dyDescent="0.25">
      <c r="I391" s="16">
        <v>20</v>
      </c>
      <c r="L391" s="16" t="s">
        <v>26</v>
      </c>
      <c r="M391" s="16" t="s">
        <v>147</v>
      </c>
    </row>
    <row r="392" spans="1:13" ht="13.5" customHeight="1" x14ac:dyDescent="0.25">
      <c r="I392" s="16">
        <v>40</v>
      </c>
      <c r="J392" s="18" t="s">
        <v>257</v>
      </c>
      <c r="K392" s="18" t="s">
        <v>258</v>
      </c>
      <c r="L392" s="16" t="s">
        <v>26</v>
      </c>
      <c r="M392" s="15" t="s">
        <v>259</v>
      </c>
    </row>
    <row r="394" spans="1:13" ht="13.5" customHeight="1" x14ac:dyDescent="0.25">
      <c r="A394" s="16" t="s">
        <v>256</v>
      </c>
      <c r="B394" s="16" t="s">
        <v>1</v>
      </c>
      <c r="C394" s="16" t="s">
        <v>16</v>
      </c>
      <c r="D394" s="16" t="s">
        <v>19</v>
      </c>
      <c r="F394" s="16">
        <v>305.62</v>
      </c>
      <c r="G394" s="16">
        <v>10</v>
      </c>
      <c r="H394" s="16" t="s">
        <v>22</v>
      </c>
      <c r="I394" s="16">
        <v>10</v>
      </c>
      <c r="L394" s="16" t="s">
        <v>23</v>
      </c>
    </row>
    <row r="395" spans="1:13" ht="13.5" customHeight="1" x14ac:dyDescent="0.25">
      <c r="I395" s="16">
        <v>100</v>
      </c>
      <c r="L395" s="16" t="s">
        <v>32</v>
      </c>
    </row>
    <row r="396" spans="1:13" ht="13.5" customHeight="1" x14ac:dyDescent="0.25">
      <c r="I396" s="16">
        <v>40</v>
      </c>
      <c r="L396" s="16" t="s">
        <v>33</v>
      </c>
    </row>
    <row r="397" spans="1:13" ht="13.5" customHeight="1" x14ac:dyDescent="0.25">
      <c r="I397" s="16">
        <v>30</v>
      </c>
      <c r="L397" s="16" t="s">
        <v>29</v>
      </c>
    </row>
    <row r="398" spans="1:13" ht="13.5" customHeight="1" x14ac:dyDescent="0.25">
      <c r="I398" s="16">
        <v>30</v>
      </c>
      <c r="L398" s="16" t="s">
        <v>25</v>
      </c>
      <c r="M398" s="16" t="s">
        <v>137</v>
      </c>
    </row>
    <row r="399" spans="1:13" ht="13.5" customHeight="1" x14ac:dyDescent="0.25">
      <c r="I399" s="16">
        <v>20</v>
      </c>
      <c r="L399" s="16" t="s">
        <v>25</v>
      </c>
      <c r="M399" s="16" t="s">
        <v>45</v>
      </c>
    </row>
    <row r="400" spans="1:13" ht="13.5" customHeight="1" x14ac:dyDescent="0.25">
      <c r="I400" s="16">
        <v>15</v>
      </c>
      <c r="L400" s="16" t="s">
        <v>27</v>
      </c>
    </row>
    <row r="401" spans="1:13" ht="13.5" customHeight="1" x14ac:dyDescent="0.25">
      <c r="I401" s="16">
        <v>15</v>
      </c>
      <c r="L401" s="16" t="s">
        <v>26</v>
      </c>
      <c r="M401" s="16" t="s">
        <v>147</v>
      </c>
    </row>
    <row r="402" spans="1:13" ht="13.5" customHeight="1" x14ac:dyDescent="0.25">
      <c r="I402" s="16">
        <v>30</v>
      </c>
      <c r="M402" s="15" t="s">
        <v>260</v>
      </c>
    </row>
    <row r="404" spans="1:13" ht="13.5" customHeight="1" x14ac:dyDescent="0.25">
      <c r="A404" s="16" t="s">
        <v>256</v>
      </c>
      <c r="B404" s="16" t="s">
        <v>2</v>
      </c>
      <c r="C404" s="15" t="s">
        <v>192</v>
      </c>
      <c r="D404" s="16" t="s">
        <v>21</v>
      </c>
      <c r="F404" s="16">
        <f>9.98+26.65+33.03+32.48+33+38.27+33.04+33.12</f>
        <v>239.57</v>
      </c>
      <c r="G404" s="16">
        <v>7.25</v>
      </c>
      <c r="H404" s="16" t="s">
        <v>22</v>
      </c>
      <c r="I404" s="16">
        <v>10</v>
      </c>
      <c r="L404" s="16" t="s">
        <v>23</v>
      </c>
      <c r="M404" s="15"/>
    </row>
    <row r="405" spans="1:13" ht="13.5" customHeight="1" x14ac:dyDescent="0.25">
      <c r="I405" s="16">
        <v>70</v>
      </c>
      <c r="L405" s="16" t="s">
        <v>32</v>
      </c>
    </row>
    <row r="406" spans="1:13" ht="13.5" customHeight="1" x14ac:dyDescent="0.25">
      <c r="I406" s="16">
        <v>25</v>
      </c>
      <c r="L406" s="16" t="s">
        <v>33</v>
      </c>
    </row>
    <row r="407" spans="1:13" ht="13.5" customHeight="1" x14ac:dyDescent="0.25">
      <c r="I407" s="16">
        <v>60</v>
      </c>
      <c r="L407" s="16" t="s">
        <v>29</v>
      </c>
      <c r="M407" s="15" t="s">
        <v>263</v>
      </c>
    </row>
    <row r="408" spans="1:13" ht="13.5" customHeight="1" x14ac:dyDescent="0.25">
      <c r="I408" s="16">
        <v>20</v>
      </c>
      <c r="L408" s="16" t="s">
        <v>25</v>
      </c>
      <c r="M408" s="16" t="s">
        <v>137</v>
      </c>
    </row>
    <row r="409" spans="1:13" ht="13.5" customHeight="1" x14ac:dyDescent="0.25">
      <c r="I409" s="16">
        <v>20</v>
      </c>
      <c r="L409" s="16" t="s">
        <v>25</v>
      </c>
      <c r="M409" s="16" t="s">
        <v>45</v>
      </c>
    </row>
    <row r="410" spans="1:13" ht="13.5" customHeight="1" x14ac:dyDescent="0.25">
      <c r="I410" s="16">
        <v>10</v>
      </c>
      <c r="L410" s="16" t="s">
        <v>27</v>
      </c>
    </row>
    <row r="411" spans="1:13" ht="13.5" customHeight="1" x14ac:dyDescent="0.25">
      <c r="I411" s="16">
        <v>20</v>
      </c>
      <c r="L411" s="16" t="s">
        <v>26</v>
      </c>
      <c r="M411" s="16" t="s">
        <v>147</v>
      </c>
    </row>
    <row r="412" spans="1:13" ht="13.5" customHeight="1" x14ac:dyDescent="0.25">
      <c r="I412" s="16">
        <v>85</v>
      </c>
      <c r="L412" s="16" t="s">
        <v>26</v>
      </c>
      <c r="M412" s="15" t="s">
        <v>261</v>
      </c>
    </row>
    <row r="413" spans="1:13" ht="13.5" customHeight="1" x14ac:dyDescent="0.25">
      <c r="I413" s="16">
        <v>60</v>
      </c>
      <c r="L413" s="16" t="s">
        <v>24</v>
      </c>
      <c r="M413" s="15" t="s">
        <v>262</v>
      </c>
    </row>
    <row r="417" spans="1:13" ht="13.5" customHeight="1" x14ac:dyDescent="0.25">
      <c r="A417" s="16" t="s">
        <v>264</v>
      </c>
      <c r="B417" s="16" t="s">
        <v>0</v>
      </c>
      <c r="C417" s="16" t="s">
        <v>15</v>
      </c>
      <c r="D417" s="16" t="s">
        <v>20</v>
      </c>
      <c r="F417" s="16">
        <v>337.27</v>
      </c>
      <c r="G417" s="16">
        <v>10</v>
      </c>
      <c r="H417" s="16" t="s">
        <v>22</v>
      </c>
      <c r="I417" s="16">
        <v>10</v>
      </c>
      <c r="L417" s="16" t="s">
        <v>23</v>
      </c>
    </row>
    <row r="418" spans="1:13" ht="13.5" customHeight="1" x14ac:dyDescent="0.25">
      <c r="I418" s="16">
        <v>110</v>
      </c>
      <c r="L418" s="16" t="s">
        <v>32</v>
      </c>
    </row>
    <row r="419" spans="1:13" ht="13.5" customHeight="1" x14ac:dyDescent="0.25">
      <c r="I419" s="16">
        <v>20</v>
      </c>
      <c r="L419" s="16" t="s">
        <v>33</v>
      </c>
      <c r="M419" s="15"/>
    </row>
    <row r="420" spans="1:13" ht="13.5" customHeight="1" x14ac:dyDescent="0.25">
      <c r="I420" s="16">
        <v>50</v>
      </c>
      <c r="L420" s="16" t="s">
        <v>29</v>
      </c>
      <c r="M420" s="15" t="s">
        <v>237</v>
      </c>
    </row>
    <row r="421" spans="1:13" ht="13.5" customHeight="1" x14ac:dyDescent="0.25">
      <c r="I421" s="16">
        <v>30</v>
      </c>
      <c r="L421" s="16" t="s">
        <v>25</v>
      </c>
      <c r="M421" s="16" t="s">
        <v>137</v>
      </c>
    </row>
    <row r="422" spans="1:13" ht="13.5" customHeight="1" x14ac:dyDescent="0.25">
      <c r="I422" s="16">
        <v>20</v>
      </c>
      <c r="L422" s="16" t="s">
        <v>25</v>
      </c>
      <c r="M422" s="16" t="s">
        <v>45</v>
      </c>
    </row>
    <row r="423" spans="1:13" ht="13.5" customHeight="1" x14ac:dyDescent="0.25">
      <c r="I423" s="16">
        <v>10</v>
      </c>
      <c r="L423" s="16" t="s">
        <v>27</v>
      </c>
    </row>
    <row r="424" spans="1:13" ht="13.5" customHeight="1" x14ac:dyDescent="0.25">
      <c r="I424" s="16">
        <v>20</v>
      </c>
      <c r="L424" s="16" t="s">
        <v>26</v>
      </c>
      <c r="M424" s="16" t="s">
        <v>147</v>
      </c>
    </row>
    <row r="425" spans="1:13" ht="13.5" customHeight="1" x14ac:dyDescent="0.25">
      <c r="I425" s="16">
        <v>25</v>
      </c>
      <c r="J425" s="18" t="s">
        <v>265</v>
      </c>
      <c r="K425" s="18" t="s">
        <v>267</v>
      </c>
      <c r="L425" s="16" t="s">
        <v>26</v>
      </c>
      <c r="M425" s="15" t="s">
        <v>266</v>
      </c>
    </row>
    <row r="427" spans="1:13" ht="13.5" customHeight="1" x14ac:dyDescent="0.25">
      <c r="A427" s="16" t="s">
        <v>264</v>
      </c>
      <c r="B427" s="16" t="s">
        <v>1</v>
      </c>
      <c r="C427" s="16" t="s">
        <v>16</v>
      </c>
      <c r="D427" s="16" t="s">
        <v>19</v>
      </c>
      <c r="F427" s="16">
        <v>706.18</v>
      </c>
      <c r="G427" s="16">
        <v>21</v>
      </c>
      <c r="H427" s="16" t="s">
        <v>22</v>
      </c>
      <c r="I427" s="16">
        <v>10</v>
      </c>
      <c r="L427" s="16" t="s">
        <v>23</v>
      </c>
    </row>
    <row r="428" spans="1:13" ht="13.5" customHeight="1" x14ac:dyDescent="0.25">
      <c r="I428" s="16">
        <v>150</v>
      </c>
      <c r="L428" s="16" t="s">
        <v>32</v>
      </c>
    </row>
    <row r="429" spans="1:13" ht="13.5" customHeight="1" x14ac:dyDescent="0.25">
      <c r="I429" s="16">
        <v>30</v>
      </c>
      <c r="L429" s="16" t="s">
        <v>33</v>
      </c>
    </row>
    <row r="430" spans="1:13" ht="13.5" customHeight="1" x14ac:dyDescent="0.25">
      <c r="I430" s="16">
        <v>10</v>
      </c>
      <c r="L430" s="16" t="s">
        <v>29</v>
      </c>
    </row>
    <row r="431" spans="1:13" ht="13.5" customHeight="1" x14ac:dyDescent="0.25">
      <c r="I431" s="16">
        <v>10</v>
      </c>
      <c r="L431" s="16" t="s">
        <v>25</v>
      </c>
      <c r="M431" s="16" t="s">
        <v>137</v>
      </c>
    </row>
    <row r="432" spans="1:13" ht="13.5" customHeight="1" x14ac:dyDescent="0.25">
      <c r="I432" s="16">
        <v>10</v>
      </c>
      <c r="L432" s="16" t="s">
        <v>25</v>
      </c>
      <c r="M432" s="16" t="s">
        <v>45</v>
      </c>
    </row>
    <row r="433" spans="1:13" ht="13.5" customHeight="1" x14ac:dyDescent="0.25">
      <c r="I433" s="16">
        <v>10</v>
      </c>
      <c r="L433" s="16" t="s">
        <v>27</v>
      </c>
    </row>
    <row r="434" spans="1:13" ht="13.5" customHeight="1" x14ac:dyDescent="0.25">
      <c r="I434" s="16">
        <v>15</v>
      </c>
      <c r="L434" s="16" t="s">
        <v>26</v>
      </c>
      <c r="M434" s="16" t="s">
        <v>147</v>
      </c>
    </row>
    <row r="437" spans="1:13" ht="13.5" customHeight="1" x14ac:dyDescent="0.25">
      <c r="A437" s="16" t="s">
        <v>264</v>
      </c>
      <c r="B437" s="16" t="s">
        <v>2</v>
      </c>
      <c r="C437" s="15" t="s">
        <v>192</v>
      </c>
      <c r="D437" s="16" t="s">
        <v>21</v>
      </c>
      <c r="F437" s="16">
        <v>381.07</v>
      </c>
      <c r="G437" s="16">
        <v>11</v>
      </c>
      <c r="H437" s="16" t="s">
        <v>22</v>
      </c>
      <c r="I437" s="16">
        <v>10</v>
      </c>
      <c r="L437" s="16" t="s">
        <v>23</v>
      </c>
      <c r="M437" s="15"/>
    </row>
    <row r="438" spans="1:13" ht="13.5" customHeight="1" x14ac:dyDescent="0.25">
      <c r="I438" s="16">
        <v>110</v>
      </c>
      <c r="L438" s="16" t="s">
        <v>32</v>
      </c>
    </row>
    <row r="439" spans="1:13" ht="13.5" customHeight="1" x14ac:dyDescent="0.25">
      <c r="I439" s="16">
        <v>25</v>
      </c>
      <c r="L439" s="16" t="s">
        <v>33</v>
      </c>
    </row>
    <row r="440" spans="1:13" ht="13.5" customHeight="1" x14ac:dyDescent="0.25">
      <c r="I440" s="16">
        <v>40</v>
      </c>
      <c r="L440" s="16" t="s">
        <v>29</v>
      </c>
      <c r="M440" s="15" t="s">
        <v>263</v>
      </c>
    </row>
    <row r="441" spans="1:13" ht="13.5" customHeight="1" x14ac:dyDescent="0.25">
      <c r="I441" s="16">
        <v>20</v>
      </c>
      <c r="L441" s="16" t="s">
        <v>25</v>
      </c>
      <c r="M441" s="16" t="s">
        <v>137</v>
      </c>
    </row>
    <row r="442" spans="1:13" ht="13.5" customHeight="1" x14ac:dyDescent="0.25">
      <c r="I442" s="16">
        <v>20</v>
      </c>
      <c r="L442" s="16" t="s">
        <v>25</v>
      </c>
      <c r="M442" s="16" t="s">
        <v>45</v>
      </c>
    </row>
    <row r="443" spans="1:13" ht="13.5" customHeight="1" x14ac:dyDescent="0.25">
      <c r="I443" s="16">
        <v>10</v>
      </c>
      <c r="L443" s="16" t="s">
        <v>27</v>
      </c>
    </row>
    <row r="444" spans="1:13" ht="13.5" customHeight="1" x14ac:dyDescent="0.25">
      <c r="I444" s="16">
        <v>20</v>
      </c>
      <c r="L444" s="16" t="s">
        <v>26</v>
      </c>
      <c r="M444" s="16" t="s">
        <v>147</v>
      </c>
    </row>
    <row r="446" spans="1:13" ht="13.5" customHeight="1" x14ac:dyDescent="0.25">
      <c r="A446" s="16" t="s">
        <v>268</v>
      </c>
      <c r="B446" s="16" t="s">
        <v>0</v>
      </c>
      <c r="C446" s="16" t="s">
        <v>15</v>
      </c>
      <c r="D446" s="16" t="s">
        <v>20</v>
      </c>
      <c r="F446" s="16">
        <v>347.54</v>
      </c>
      <c r="G446" s="16">
        <v>10</v>
      </c>
      <c r="H446" s="16" t="s">
        <v>22</v>
      </c>
      <c r="I446" s="16">
        <v>10</v>
      </c>
      <c r="L446" s="16" t="s">
        <v>23</v>
      </c>
    </row>
    <row r="447" spans="1:13" ht="13.5" customHeight="1" x14ac:dyDescent="0.25">
      <c r="I447" s="16">
        <v>100</v>
      </c>
      <c r="L447" s="16" t="s">
        <v>32</v>
      </c>
    </row>
    <row r="448" spans="1:13" ht="13.5" customHeight="1" x14ac:dyDescent="0.25">
      <c r="I448" s="16">
        <v>20</v>
      </c>
      <c r="L448" s="16" t="s">
        <v>33</v>
      </c>
      <c r="M448" s="15"/>
    </row>
    <row r="449" spans="1:13" ht="13.5" customHeight="1" x14ac:dyDescent="0.25">
      <c r="I449" s="16">
        <v>60</v>
      </c>
      <c r="L449" s="16" t="s">
        <v>29</v>
      </c>
      <c r="M449" s="15" t="s">
        <v>270</v>
      </c>
    </row>
    <row r="450" spans="1:13" ht="13.5" customHeight="1" x14ac:dyDescent="0.25">
      <c r="I450" s="16">
        <v>30</v>
      </c>
      <c r="L450" s="16" t="s">
        <v>25</v>
      </c>
      <c r="M450" s="16" t="s">
        <v>137</v>
      </c>
    </row>
    <row r="451" spans="1:13" ht="13.5" customHeight="1" x14ac:dyDescent="0.25">
      <c r="I451" s="16">
        <v>20</v>
      </c>
      <c r="L451" s="16" t="s">
        <v>25</v>
      </c>
      <c r="M451" s="16" t="s">
        <v>45</v>
      </c>
    </row>
    <row r="452" spans="1:13" ht="13.5" customHeight="1" x14ac:dyDescent="0.25">
      <c r="I452" s="16">
        <v>10</v>
      </c>
      <c r="L452" s="16" t="s">
        <v>27</v>
      </c>
    </row>
    <row r="453" spans="1:13" ht="13.5" customHeight="1" x14ac:dyDescent="0.25">
      <c r="I453" s="16">
        <v>20</v>
      </c>
      <c r="L453" s="16" t="s">
        <v>26</v>
      </c>
      <c r="M453" s="16" t="s">
        <v>147</v>
      </c>
    </row>
    <row r="454" spans="1:13" ht="13.5" customHeight="1" x14ac:dyDescent="0.25">
      <c r="I454" s="16">
        <v>20</v>
      </c>
      <c r="L454" s="16" t="s">
        <v>26</v>
      </c>
      <c r="M454" s="15" t="s">
        <v>269</v>
      </c>
    </row>
    <row r="455" spans="1:13" ht="13.5" customHeight="1" x14ac:dyDescent="0.25">
      <c r="I455" s="16">
        <v>40</v>
      </c>
      <c r="L455" s="16" t="s">
        <v>25</v>
      </c>
      <c r="M455" s="15" t="s">
        <v>271</v>
      </c>
    </row>
    <row r="456" spans="1:13" ht="13.5" customHeight="1" x14ac:dyDescent="0.25">
      <c r="I456" s="16">
        <v>30</v>
      </c>
      <c r="L456" s="16" t="s">
        <v>25</v>
      </c>
      <c r="M456" s="15" t="s">
        <v>272</v>
      </c>
    </row>
    <row r="458" spans="1:13" ht="13.5" customHeight="1" x14ac:dyDescent="0.25">
      <c r="A458" s="16" t="s">
        <v>268</v>
      </c>
      <c r="B458" s="16" t="s">
        <v>1</v>
      </c>
      <c r="C458" s="16" t="s">
        <v>16</v>
      </c>
      <c r="D458" s="16" t="s">
        <v>19</v>
      </c>
      <c r="F458" s="16">
        <v>357.22</v>
      </c>
      <c r="G458" s="16">
        <v>10.5</v>
      </c>
      <c r="H458" s="16" t="s">
        <v>22</v>
      </c>
      <c r="I458" s="16">
        <v>10</v>
      </c>
      <c r="L458" s="16" t="s">
        <v>23</v>
      </c>
      <c r="M458" s="15"/>
    </row>
    <row r="459" spans="1:13" ht="13.5" customHeight="1" x14ac:dyDescent="0.25">
      <c r="I459" s="16">
        <v>110</v>
      </c>
      <c r="L459" s="16" t="s">
        <v>32</v>
      </c>
    </row>
    <row r="460" spans="1:13" ht="13.5" customHeight="1" x14ac:dyDescent="0.25">
      <c r="I460" s="16">
        <v>30</v>
      </c>
      <c r="L460" s="16" t="s">
        <v>33</v>
      </c>
    </row>
    <row r="461" spans="1:13" ht="13.5" customHeight="1" x14ac:dyDescent="0.25">
      <c r="I461" s="16">
        <v>40</v>
      </c>
      <c r="L461" s="16" t="s">
        <v>29</v>
      </c>
      <c r="M461" s="15" t="s">
        <v>263</v>
      </c>
    </row>
    <row r="462" spans="1:13" ht="13.5" customHeight="1" x14ac:dyDescent="0.25">
      <c r="I462" s="16">
        <v>30</v>
      </c>
      <c r="L462" s="16" t="s">
        <v>25</v>
      </c>
      <c r="M462" s="16" t="s">
        <v>137</v>
      </c>
    </row>
    <row r="463" spans="1:13" ht="13.5" customHeight="1" x14ac:dyDescent="0.25">
      <c r="I463" s="16">
        <v>30</v>
      </c>
      <c r="L463" s="16" t="s">
        <v>25</v>
      </c>
      <c r="M463" s="16" t="s">
        <v>45</v>
      </c>
    </row>
    <row r="464" spans="1:13" ht="13.5" customHeight="1" x14ac:dyDescent="0.25">
      <c r="I464" s="16">
        <v>20</v>
      </c>
      <c r="L464" s="16" t="s">
        <v>27</v>
      </c>
    </row>
    <row r="465" spans="1:13" ht="13.5" customHeight="1" x14ac:dyDescent="0.25">
      <c r="I465" s="16">
        <v>20</v>
      </c>
      <c r="L465" s="16" t="s">
        <v>26</v>
      </c>
      <c r="M465" s="16" t="s">
        <v>147</v>
      </c>
    </row>
    <row r="467" spans="1:13" ht="13.5" customHeight="1" x14ac:dyDescent="0.25">
      <c r="A467" s="16" t="s">
        <v>268</v>
      </c>
      <c r="B467" s="16" t="s">
        <v>2</v>
      </c>
      <c r="C467" s="16" t="s">
        <v>6</v>
      </c>
      <c r="D467" s="16" t="s">
        <v>21</v>
      </c>
      <c r="F467" s="16">
        <f>11.82+31.83+28.82+33.19+33.07+38.02+38.56+38.27+31.6+32.03</f>
        <v>317.21000000000004</v>
      </c>
      <c r="G467" s="16">
        <v>9</v>
      </c>
      <c r="H467" s="16" t="s">
        <v>22</v>
      </c>
      <c r="I467" s="16">
        <v>10</v>
      </c>
      <c r="L467" s="16" t="s">
        <v>23</v>
      </c>
      <c r="M467" s="15"/>
    </row>
    <row r="468" spans="1:13" ht="13.5" customHeight="1" x14ac:dyDescent="0.25">
      <c r="I468" s="16">
        <v>90</v>
      </c>
      <c r="L468" s="16" t="s">
        <v>32</v>
      </c>
    </row>
    <row r="469" spans="1:13" ht="13.5" customHeight="1" x14ac:dyDescent="0.25">
      <c r="I469" s="16">
        <v>20</v>
      </c>
      <c r="L469" s="16" t="s">
        <v>33</v>
      </c>
    </row>
    <row r="470" spans="1:13" ht="13.5" customHeight="1" x14ac:dyDescent="0.25">
      <c r="I470" s="16">
        <v>40</v>
      </c>
      <c r="L470" s="16" t="s">
        <v>29</v>
      </c>
      <c r="M470" s="15"/>
    </row>
    <row r="471" spans="1:13" ht="13.5" customHeight="1" x14ac:dyDescent="0.25">
      <c r="I471" s="16">
        <v>20</v>
      </c>
      <c r="L471" s="16" t="s">
        <v>25</v>
      </c>
      <c r="M471" s="16" t="s">
        <v>137</v>
      </c>
    </row>
    <row r="472" spans="1:13" ht="13.5" customHeight="1" x14ac:dyDescent="0.25">
      <c r="I472" s="16">
        <v>30</v>
      </c>
      <c r="L472" s="16" t="s">
        <v>25</v>
      </c>
      <c r="M472" s="16" t="s">
        <v>45</v>
      </c>
    </row>
    <row r="473" spans="1:13" ht="13.5" customHeight="1" x14ac:dyDescent="0.25">
      <c r="I473" s="16">
        <v>30</v>
      </c>
      <c r="L473" s="16" t="s">
        <v>25</v>
      </c>
      <c r="M473" s="16" t="s">
        <v>172</v>
      </c>
    </row>
    <row r="474" spans="1:13" ht="13.5" customHeight="1" x14ac:dyDescent="0.25">
      <c r="I474" s="16">
        <v>10</v>
      </c>
      <c r="L474" s="16" t="s">
        <v>27</v>
      </c>
    </row>
    <row r="475" spans="1:13" ht="13.5" customHeight="1" x14ac:dyDescent="0.25">
      <c r="I475" s="16">
        <v>20</v>
      </c>
      <c r="L475" s="16" t="s">
        <v>26</v>
      </c>
      <c r="M475" s="16" t="s">
        <v>147</v>
      </c>
    </row>
    <row r="476" spans="1:13" ht="13.5" customHeight="1" x14ac:dyDescent="0.25">
      <c r="I476" s="16">
        <v>60</v>
      </c>
      <c r="L476" s="16" t="s">
        <v>26</v>
      </c>
      <c r="M476" s="15" t="s">
        <v>273</v>
      </c>
    </row>
    <row r="478" spans="1:13" ht="13.5" customHeight="1" x14ac:dyDescent="0.25">
      <c r="A478" s="16" t="s">
        <v>274</v>
      </c>
      <c r="B478" s="16" t="s">
        <v>0</v>
      </c>
      <c r="C478" s="16" t="s">
        <v>15</v>
      </c>
      <c r="D478" s="16" t="s">
        <v>19</v>
      </c>
      <c r="F478" s="16">
        <v>370.64</v>
      </c>
      <c r="G478" s="16">
        <v>10</v>
      </c>
      <c r="H478" s="16" t="s">
        <v>22</v>
      </c>
      <c r="I478" s="16">
        <v>10</v>
      </c>
      <c r="L478" s="16" t="s">
        <v>23</v>
      </c>
      <c r="M478" s="15"/>
    </row>
    <row r="479" spans="1:13" ht="13.5" customHeight="1" x14ac:dyDescent="0.25">
      <c r="I479" s="16">
        <v>100</v>
      </c>
      <c r="L479" s="16" t="s">
        <v>32</v>
      </c>
    </row>
    <row r="480" spans="1:13" ht="13.5" customHeight="1" x14ac:dyDescent="0.25">
      <c r="I480" s="16">
        <v>30</v>
      </c>
      <c r="L480" s="16" t="s">
        <v>33</v>
      </c>
    </row>
    <row r="481" spans="1:13" ht="13.5" customHeight="1" x14ac:dyDescent="0.25">
      <c r="I481" s="16">
        <v>30</v>
      </c>
      <c r="L481" s="16" t="s">
        <v>29</v>
      </c>
      <c r="M481" s="15"/>
    </row>
    <row r="482" spans="1:13" ht="13.5" customHeight="1" x14ac:dyDescent="0.25">
      <c r="I482" s="16">
        <v>30</v>
      </c>
      <c r="L482" s="16" t="s">
        <v>25</v>
      </c>
      <c r="M482" s="16" t="s">
        <v>137</v>
      </c>
    </row>
    <row r="483" spans="1:13" ht="13.5" customHeight="1" x14ac:dyDescent="0.25">
      <c r="I483" s="16">
        <v>30</v>
      </c>
      <c r="L483" s="16" t="s">
        <v>25</v>
      </c>
      <c r="M483" s="16" t="s">
        <v>45</v>
      </c>
    </row>
    <row r="484" spans="1:13" ht="13.5" customHeight="1" x14ac:dyDescent="0.25">
      <c r="I484" s="16">
        <v>20</v>
      </c>
      <c r="L484" s="16" t="s">
        <v>27</v>
      </c>
    </row>
    <row r="485" spans="1:13" ht="13.5" customHeight="1" x14ac:dyDescent="0.25">
      <c r="I485" s="16">
        <v>20</v>
      </c>
      <c r="L485" s="16" t="s">
        <v>26</v>
      </c>
      <c r="M485" s="16" t="s">
        <v>147</v>
      </c>
    </row>
    <row r="486" spans="1:13" ht="13.5" customHeight="1" x14ac:dyDescent="0.25">
      <c r="I486" s="16">
        <v>30</v>
      </c>
      <c r="L486" s="16" t="s">
        <v>25</v>
      </c>
      <c r="M486" s="15" t="s">
        <v>272</v>
      </c>
    </row>
    <row r="488" spans="1:13" ht="13.5" customHeight="1" x14ac:dyDescent="0.25">
      <c r="A488" s="16" t="s">
        <v>274</v>
      </c>
      <c r="B488" s="16" t="s">
        <v>1</v>
      </c>
      <c r="C488" s="15" t="s">
        <v>192</v>
      </c>
      <c r="D488" s="16" t="s">
        <v>21</v>
      </c>
      <c r="F488" s="16">
        <v>271.17</v>
      </c>
      <c r="G488" s="16">
        <v>7.5</v>
      </c>
      <c r="H488" s="16" t="s">
        <v>22</v>
      </c>
      <c r="I488" s="16">
        <v>30</v>
      </c>
      <c r="L488" s="16" t="s">
        <v>23</v>
      </c>
      <c r="M488" s="15" t="s">
        <v>275</v>
      </c>
    </row>
    <row r="489" spans="1:13" ht="13.5" customHeight="1" x14ac:dyDescent="0.25">
      <c r="I489" s="16">
        <v>80</v>
      </c>
      <c r="L489" s="16" t="s">
        <v>32</v>
      </c>
    </row>
    <row r="490" spans="1:13" ht="13.5" customHeight="1" x14ac:dyDescent="0.25">
      <c r="I490" s="16">
        <v>20</v>
      </c>
      <c r="L490" s="16" t="s">
        <v>33</v>
      </c>
    </row>
    <row r="491" spans="1:13" ht="13.5" customHeight="1" x14ac:dyDescent="0.25">
      <c r="I491" s="16">
        <v>40</v>
      </c>
      <c r="L491" s="16" t="s">
        <v>29</v>
      </c>
      <c r="M491" s="15"/>
    </row>
    <row r="492" spans="1:13" ht="13.5" customHeight="1" x14ac:dyDescent="0.25">
      <c r="I492" s="16">
        <v>30</v>
      </c>
      <c r="L492" s="16" t="s">
        <v>25</v>
      </c>
      <c r="M492" s="16" t="s">
        <v>137</v>
      </c>
    </row>
    <row r="493" spans="1:13" ht="13.5" customHeight="1" x14ac:dyDescent="0.25">
      <c r="I493" s="16">
        <v>30</v>
      </c>
      <c r="L493" s="16" t="s">
        <v>25</v>
      </c>
      <c r="M493" s="16" t="s">
        <v>45</v>
      </c>
    </row>
    <row r="494" spans="1:13" ht="13.5" customHeight="1" x14ac:dyDescent="0.25">
      <c r="I494" s="16">
        <v>100</v>
      </c>
      <c r="L494" s="16" t="s">
        <v>25</v>
      </c>
      <c r="M494" s="15" t="s">
        <v>276</v>
      </c>
    </row>
    <row r="495" spans="1:13" ht="13.5" customHeight="1" x14ac:dyDescent="0.25">
      <c r="I495" s="16">
        <v>10</v>
      </c>
      <c r="L495" s="16" t="s">
        <v>27</v>
      </c>
    </row>
    <row r="496" spans="1:13" ht="13.5" customHeight="1" x14ac:dyDescent="0.25">
      <c r="I496" s="16">
        <v>30</v>
      </c>
      <c r="L496" s="16" t="s">
        <v>26</v>
      </c>
      <c r="M496" s="16" t="s">
        <v>147</v>
      </c>
    </row>
    <row r="497" spans="1:13" ht="13.5" customHeight="1" x14ac:dyDescent="0.25">
      <c r="I497" s="16">
        <v>30</v>
      </c>
      <c r="L497" s="16" t="s">
        <v>24</v>
      </c>
      <c r="M497" s="15" t="s">
        <v>117</v>
      </c>
    </row>
    <row r="498" spans="1:13" ht="13.5" customHeight="1" x14ac:dyDescent="0.25">
      <c r="M498" s="15"/>
    </row>
    <row r="499" spans="1:13" ht="13.5" customHeight="1" x14ac:dyDescent="0.25">
      <c r="A499" s="16" t="s">
        <v>274</v>
      </c>
      <c r="B499" s="16" t="s">
        <v>2</v>
      </c>
      <c r="C499" s="16" t="s">
        <v>6</v>
      </c>
      <c r="D499" s="16" t="s">
        <v>20</v>
      </c>
      <c r="F499" s="16">
        <v>396.55</v>
      </c>
      <c r="G499" s="16">
        <v>11</v>
      </c>
      <c r="H499" s="16" t="s">
        <v>22</v>
      </c>
      <c r="I499" s="16">
        <v>10</v>
      </c>
      <c r="L499" s="16" t="s">
        <v>23</v>
      </c>
      <c r="M499" s="15"/>
    </row>
    <row r="500" spans="1:13" ht="13.5" customHeight="1" x14ac:dyDescent="0.25">
      <c r="I500" s="16">
        <v>110</v>
      </c>
      <c r="L500" s="16" t="s">
        <v>32</v>
      </c>
    </row>
    <row r="501" spans="1:13" ht="13.5" customHeight="1" x14ac:dyDescent="0.25">
      <c r="I501" s="16">
        <v>30</v>
      </c>
      <c r="L501" s="16" t="s">
        <v>33</v>
      </c>
    </row>
    <row r="502" spans="1:13" ht="13.5" customHeight="1" x14ac:dyDescent="0.25">
      <c r="I502" s="16">
        <v>50</v>
      </c>
      <c r="L502" s="16" t="s">
        <v>29</v>
      </c>
      <c r="M502" s="15" t="s">
        <v>270</v>
      </c>
    </row>
    <row r="503" spans="1:13" ht="13.5" customHeight="1" x14ac:dyDescent="0.25">
      <c r="I503" s="16">
        <v>30</v>
      </c>
      <c r="L503" s="16" t="s">
        <v>25</v>
      </c>
      <c r="M503" s="16" t="s">
        <v>137</v>
      </c>
    </row>
    <row r="504" spans="1:13" ht="13.5" customHeight="1" x14ac:dyDescent="0.25">
      <c r="I504" s="16">
        <v>30</v>
      </c>
      <c r="L504" s="16" t="s">
        <v>25</v>
      </c>
      <c r="M504" s="16" t="s">
        <v>45</v>
      </c>
    </row>
    <row r="505" spans="1:13" ht="13.5" customHeight="1" x14ac:dyDescent="0.25">
      <c r="I505" s="16">
        <v>20</v>
      </c>
      <c r="L505" s="16" t="s">
        <v>27</v>
      </c>
    </row>
    <row r="506" spans="1:13" ht="13.5" customHeight="1" x14ac:dyDescent="0.25">
      <c r="I506" s="16">
        <v>20</v>
      </c>
      <c r="L506" s="16" t="s">
        <v>26</v>
      </c>
      <c r="M506" s="16" t="s">
        <v>147</v>
      </c>
    </row>
    <row r="507" spans="1:13" ht="13.5" customHeight="1" x14ac:dyDescent="0.25">
      <c r="I507" s="15"/>
      <c r="J507" s="15"/>
      <c r="K507" s="15"/>
      <c r="L507" s="15"/>
      <c r="M507" s="15"/>
    </row>
    <row r="508" spans="1:13" ht="13.5" customHeight="1" x14ac:dyDescent="0.25">
      <c r="A508" s="16" t="s">
        <v>277</v>
      </c>
      <c r="B508" s="16" t="s">
        <v>0</v>
      </c>
      <c r="C508" s="16" t="s">
        <v>16</v>
      </c>
      <c r="D508" s="16" t="s">
        <v>19</v>
      </c>
      <c r="F508" s="16">
        <v>312.83999999999997</v>
      </c>
      <c r="G508" s="16">
        <v>10</v>
      </c>
      <c r="H508" s="16" t="s">
        <v>22</v>
      </c>
      <c r="I508" s="16">
        <v>10</v>
      </c>
      <c r="K508" s="18">
        <v>10</v>
      </c>
      <c r="L508" s="16" t="s">
        <v>23</v>
      </c>
      <c r="M508" s="15"/>
    </row>
    <row r="509" spans="1:13" ht="13.5" customHeight="1" x14ac:dyDescent="0.25">
      <c r="I509" s="16">
        <v>100</v>
      </c>
      <c r="L509" s="16" t="s">
        <v>32</v>
      </c>
    </row>
    <row r="510" spans="1:13" ht="13.5" customHeight="1" x14ac:dyDescent="0.25">
      <c r="I510" s="16">
        <v>30</v>
      </c>
      <c r="L510" s="16" t="s">
        <v>33</v>
      </c>
    </row>
    <row r="511" spans="1:13" ht="13.5" customHeight="1" x14ac:dyDescent="0.25">
      <c r="I511" s="16">
        <v>50</v>
      </c>
      <c r="L511" s="16" t="s">
        <v>29</v>
      </c>
      <c r="M511" s="15" t="s">
        <v>263</v>
      </c>
    </row>
    <row r="512" spans="1:13" ht="13.5" customHeight="1" x14ac:dyDescent="0.25">
      <c r="I512" s="16">
        <v>20</v>
      </c>
      <c r="L512" s="16" t="s">
        <v>25</v>
      </c>
      <c r="M512" s="16" t="s">
        <v>137</v>
      </c>
    </row>
    <row r="513" spans="1:13" ht="13.5" customHeight="1" x14ac:dyDescent="0.25">
      <c r="I513" s="16">
        <v>20</v>
      </c>
      <c r="L513" s="16" t="s">
        <v>25</v>
      </c>
      <c r="M513" s="16" t="s">
        <v>45</v>
      </c>
    </row>
    <row r="514" spans="1:13" ht="13.5" customHeight="1" x14ac:dyDescent="0.25">
      <c r="I514" s="16">
        <v>20</v>
      </c>
      <c r="L514" s="16" t="s">
        <v>27</v>
      </c>
    </row>
    <row r="515" spans="1:13" ht="13.5" customHeight="1" x14ac:dyDescent="0.25">
      <c r="I515" s="16">
        <v>20</v>
      </c>
      <c r="L515" s="16" t="s">
        <v>26</v>
      </c>
      <c r="M515" s="16" t="s">
        <v>147</v>
      </c>
    </row>
    <row r="516" spans="1:13" ht="13.5" customHeight="1" x14ac:dyDescent="0.25">
      <c r="I516" s="16">
        <v>40</v>
      </c>
      <c r="L516" s="16" t="s">
        <v>29</v>
      </c>
      <c r="M516" s="15" t="s">
        <v>270</v>
      </c>
    </row>
    <row r="518" spans="1:13" ht="13.5" customHeight="1" x14ac:dyDescent="0.25">
      <c r="A518" s="16" t="s">
        <v>277</v>
      </c>
      <c r="B518" s="16" t="s">
        <v>1</v>
      </c>
      <c r="C518" s="15" t="s">
        <v>192</v>
      </c>
      <c r="D518" s="16" t="s">
        <v>21</v>
      </c>
      <c r="F518" s="16">
        <v>299.68</v>
      </c>
      <c r="G518" s="16">
        <v>9</v>
      </c>
      <c r="H518" s="16" t="s">
        <v>22</v>
      </c>
      <c r="I518" s="16">
        <v>10</v>
      </c>
      <c r="L518" s="16" t="s">
        <v>23</v>
      </c>
      <c r="M518" s="15"/>
    </row>
    <row r="519" spans="1:13" ht="13.5" customHeight="1" x14ac:dyDescent="0.25">
      <c r="I519" s="16">
        <v>80</v>
      </c>
      <c r="L519" s="16" t="s">
        <v>32</v>
      </c>
    </row>
    <row r="520" spans="1:13" ht="13.5" customHeight="1" x14ac:dyDescent="0.25">
      <c r="I520" s="16">
        <v>30</v>
      </c>
      <c r="L520" s="16" t="s">
        <v>33</v>
      </c>
    </row>
    <row r="521" spans="1:13" ht="13.5" customHeight="1" x14ac:dyDescent="0.25">
      <c r="I521" s="16">
        <v>90</v>
      </c>
      <c r="L521" s="16" t="s">
        <v>29</v>
      </c>
      <c r="M521" s="15" t="s">
        <v>278</v>
      </c>
    </row>
    <row r="522" spans="1:13" ht="13.5" customHeight="1" x14ac:dyDescent="0.25">
      <c r="I522" s="16">
        <v>50</v>
      </c>
      <c r="L522" s="16" t="s">
        <v>25</v>
      </c>
      <c r="M522" s="16" t="s">
        <v>137</v>
      </c>
    </row>
    <row r="523" spans="1:13" ht="13.5" customHeight="1" x14ac:dyDescent="0.25">
      <c r="I523" s="16">
        <v>30</v>
      </c>
      <c r="L523" s="16" t="s">
        <v>25</v>
      </c>
      <c r="M523" s="16" t="s">
        <v>45</v>
      </c>
    </row>
    <row r="524" spans="1:13" ht="13.5" customHeight="1" x14ac:dyDescent="0.25">
      <c r="I524" s="16">
        <v>20</v>
      </c>
      <c r="L524" s="16" t="s">
        <v>26</v>
      </c>
      <c r="M524" s="16" t="s">
        <v>147</v>
      </c>
    </row>
    <row r="525" spans="1:13" ht="13.5" customHeight="1" x14ac:dyDescent="0.25">
      <c r="I525" s="16">
        <v>10</v>
      </c>
      <c r="L525" s="16" t="s">
        <v>27</v>
      </c>
    </row>
    <row r="526" spans="1:13" ht="13.5" customHeight="1" x14ac:dyDescent="0.25">
      <c r="I526" s="16">
        <v>20</v>
      </c>
      <c r="L526" s="16" t="s">
        <v>24</v>
      </c>
      <c r="M526" s="15" t="s">
        <v>279</v>
      </c>
    </row>
    <row r="528" spans="1:13" ht="13.5" customHeight="1" x14ac:dyDescent="0.25">
      <c r="A528" s="16" t="s">
        <v>277</v>
      </c>
      <c r="B528" s="16" t="s">
        <v>2</v>
      </c>
      <c r="C528" s="16" t="s">
        <v>6</v>
      </c>
      <c r="D528" s="16" t="s">
        <v>20</v>
      </c>
      <c r="F528" s="16">
        <v>334.31</v>
      </c>
      <c r="G528" s="16">
        <v>10</v>
      </c>
      <c r="H528" s="16" t="s">
        <v>22</v>
      </c>
      <c r="I528" s="16">
        <v>10</v>
      </c>
      <c r="L528" s="16" t="s">
        <v>23</v>
      </c>
      <c r="M528" s="15"/>
    </row>
    <row r="529" spans="1:13" ht="13.5" customHeight="1" x14ac:dyDescent="0.25">
      <c r="I529" s="16">
        <v>100</v>
      </c>
      <c r="L529" s="16" t="s">
        <v>32</v>
      </c>
    </row>
    <row r="530" spans="1:13" ht="13.5" customHeight="1" x14ac:dyDescent="0.25">
      <c r="I530" s="16">
        <v>30</v>
      </c>
      <c r="L530" s="16" t="s">
        <v>33</v>
      </c>
    </row>
    <row r="531" spans="1:13" ht="13.5" customHeight="1" x14ac:dyDescent="0.25">
      <c r="I531" s="16">
        <v>90</v>
      </c>
      <c r="L531" s="16" t="s">
        <v>29</v>
      </c>
      <c r="M531" s="15" t="s">
        <v>136</v>
      </c>
    </row>
    <row r="532" spans="1:13" ht="13.5" customHeight="1" x14ac:dyDescent="0.25">
      <c r="I532" s="16">
        <v>30</v>
      </c>
      <c r="L532" s="16" t="s">
        <v>25</v>
      </c>
      <c r="M532" s="16" t="s">
        <v>137</v>
      </c>
    </row>
    <row r="533" spans="1:13" ht="13.5" customHeight="1" x14ac:dyDescent="0.25">
      <c r="I533" s="16">
        <v>30</v>
      </c>
      <c r="L533" s="16" t="s">
        <v>25</v>
      </c>
      <c r="M533" s="16" t="s">
        <v>45</v>
      </c>
    </row>
    <row r="534" spans="1:13" ht="13.5" customHeight="1" x14ac:dyDescent="0.25">
      <c r="I534" s="16">
        <v>20</v>
      </c>
      <c r="L534" s="16" t="s">
        <v>27</v>
      </c>
    </row>
    <row r="535" spans="1:13" ht="13.5" customHeight="1" x14ac:dyDescent="0.25">
      <c r="I535" s="16">
        <v>15</v>
      </c>
      <c r="L535" s="16" t="s">
        <v>26</v>
      </c>
      <c r="M535" s="16" t="s">
        <v>147</v>
      </c>
    </row>
    <row r="537" spans="1:13" ht="13.5" customHeight="1" x14ac:dyDescent="0.25">
      <c r="A537" s="16" t="s">
        <v>280</v>
      </c>
      <c r="B537" s="16" t="s">
        <v>0</v>
      </c>
      <c r="C537" s="16" t="s">
        <v>16</v>
      </c>
      <c r="D537" s="16" t="s">
        <v>19</v>
      </c>
      <c r="F537" s="16">
        <v>341.52</v>
      </c>
      <c r="G537" s="16">
        <v>11</v>
      </c>
      <c r="H537" s="16" t="s">
        <v>22</v>
      </c>
      <c r="I537" s="16">
        <v>10</v>
      </c>
      <c r="L537" s="16" t="s">
        <v>23</v>
      </c>
      <c r="M537" s="15"/>
    </row>
    <row r="538" spans="1:13" ht="13.5" customHeight="1" x14ac:dyDescent="0.25">
      <c r="I538" s="16">
        <v>110</v>
      </c>
      <c r="L538" s="16" t="s">
        <v>32</v>
      </c>
    </row>
    <row r="539" spans="1:13" ht="13.5" customHeight="1" x14ac:dyDescent="0.25">
      <c r="I539" s="16">
        <v>40</v>
      </c>
      <c r="L539" s="16" t="s">
        <v>33</v>
      </c>
    </row>
    <row r="540" spans="1:13" ht="13.5" customHeight="1" x14ac:dyDescent="0.25">
      <c r="I540" s="16">
        <v>20</v>
      </c>
      <c r="L540" s="16" t="s">
        <v>29</v>
      </c>
      <c r="M540" s="15"/>
    </row>
    <row r="541" spans="1:13" ht="13.5" customHeight="1" x14ac:dyDescent="0.25">
      <c r="I541" s="16">
        <v>30</v>
      </c>
      <c r="L541" s="16" t="s">
        <v>25</v>
      </c>
      <c r="M541" s="16" t="s">
        <v>137</v>
      </c>
    </row>
    <row r="542" spans="1:13" ht="13.5" customHeight="1" x14ac:dyDescent="0.25">
      <c r="I542" s="16">
        <v>20</v>
      </c>
      <c r="L542" s="16" t="s">
        <v>25</v>
      </c>
      <c r="M542" s="16" t="s">
        <v>45</v>
      </c>
    </row>
    <row r="543" spans="1:13" ht="13.5" customHeight="1" x14ac:dyDescent="0.25">
      <c r="I543" s="16">
        <v>15</v>
      </c>
      <c r="L543" s="16" t="s">
        <v>27</v>
      </c>
    </row>
    <row r="544" spans="1:13" ht="13.5" customHeight="1" x14ac:dyDescent="0.25">
      <c r="I544" s="16">
        <v>15</v>
      </c>
      <c r="L544" s="16" t="s">
        <v>26</v>
      </c>
      <c r="M544" s="16" t="s">
        <v>147</v>
      </c>
    </row>
    <row r="545" spans="1:13" ht="13.5" customHeight="1" x14ac:dyDescent="0.25">
      <c r="I545" s="16">
        <v>20</v>
      </c>
      <c r="L545" s="16" t="s">
        <v>25</v>
      </c>
      <c r="M545" s="15" t="s">
        <v>36</v>
      </c>
    </row>
    <row r="547" spans="1:13" ht="13.5" customHeight="1" x14ac:dyDescent="0.25">
      <c r="A547" s="16" t="s">
        <v>280</v>
      </c>
      <c r="B547" s="16" t="s">
        <v>1</v>
      </c>
      <c r="C547" s="15" t="s">
        <v>192</v>
      </c>
      <c r="D547" s="16" t="s">
        <v>21</v>
      </c>
      <c r="F547" s="16">
        <f>9.77+26.89+37.18+37.17+31.19+38.22+38.07+32.45+30.1+26.27+0.946+3.774+3.772+3.77</f>
        <v>319.572</v>
      </c>
      <c r="G547" s="16">
        <v>10</v>
      </c>
      <c r="H547" s="16" t="s">
        <v>22</v>
      </c>
      <c r="I547" s="16">
        <v>10</v>
      </c>
      <c r="L547" s="16" t="s">
        <v>23</v>
      </c>
      <c r="M547" s="15"/>
    </row>
    <row r="548" spans="1:13" ht="13.5" customHeight="1" x14ac:dyDescent="0.25">
      <c r="I548" s="16">
        <v>100</v>
      </c>
      <c r="L548" s="16" t="s">
        <v>32</v>
      </c>
    </row>
    <row r="549" spans="1:13" ht="13.5" customHeight="1" x14ac:dyDescent="0.25">
      <c r="I549" s="16">
        <v>40</v>
      </c>
      <c r="L549" s="16" t="s">
        <v>33</v>
      </c>
    </row>
    <row r="550" spans="1:13" ht="13.5" customHeight="1" x14ac:dyDescent="0.25">
      <c r="I550" s="16">
        <v>40</v>
      </c>
      <c r="L550" s="16" t="s">
        <v>29</v>
      </c>
      <c r="M550" s="15" t="s">
        <v>278</v>
      </c>
    </row>
    <row r="551" spans="1:13" ht="13.5" customHeight="1" x14ac:dyDescent="0.25">
      <c r="I551" s="16">
        <v>30</v>
      </c>
      <c r="L551" s="16" t="s">
        <v>25</v>
      </c>
      <c r="M551" s="16" t="s">
        <v>137</v>
      </c>
    </row>
    <row r="552" spans="1:13" ht="13.5" customHeight="1" x14ac:dyDescent="0.25">
      <c r="I552" s="16">
        <v>30</v>
      </c>
      <c r="L552" s="16" t="s">
        <v>25</v>
      </c>
      <c r="M552" s="16" t="s">
        <v>45</v>
      </c>
    </row>
    <row r="553" spans="1:13" ht="13.5" customHeight="1" x14ac:dyDescent="0.25">
      <c r="I553" s="16">
        <v>20</v>
      </c>
      <c r="L553" s="16" t="s">
        <v>26</v>
      </c>
      <c r="M553" s="16" t="s">
        <v>147</v>
      </c>
    </row>
    <row r="554" spans="1:13" ht="13.5" customHeight="1" x14ac:dyDescent="0.25">
      <c r="I554" s="16">
        <v>10</v>
      </c>
      <c r="L554" s="16" t="s">
        <v>27</v>
      </c>
    </row>
    <row r="555" spans="1:13" ht="13.5" customHeight="1" x14ac:dyDescent="0.25">
      <c r="I555" s="16">
        <v>40</v>
      </c>
      <c r="L555" s="16" t="s">
        <v>24</v>
      </c>
      <c r="M555" s="15" t="s">
        <v>117</v>
      </c>
    </row>
    <row r="556" spans="1:13" ht="13.5" customHeight="1" x14ac:dyDescent="0.25">
      <c r="I556" s="16">
        <v>20</v>
      </c>
      <c r="L556" s="16" t="s">
        <v>25</v>
      </c>
    </row>
    <row r="557" spans="1:13" ht="13.5" customHeight="1" x14ac:dyDescent="0.25">
      <c r="I557" s="16">
        <v>20</v>
      </c>
      <c r="L557" s="16" t="s">
        <v>26</v>
      </c>
      <c r="M557" s="15" t="s">
        <v>148</v>
      </c>
    </row>
    <row r="560" spans="1:13" ht="13.5" customHeight="1" x14ac:dyDescent="0.25">
      <c r="A560" s="16" t="s">
        <v>280</v>
      </c>
      <c r="B560" s="16" t="s">
        <v>2</v>
      </c>
      <c r="C560" s="16" t="s">
        <v>15</v>
      </c>
      <c r="D560" s="16" t="s">
        <v>20</v>
      </c>
      <c r="F560" s="16">
        <v>364.4</v>
      </c>
      <c r="G560" s="16">
        <v>11</v>
      </c>
      <c r="H560" s="16" t="s">
        <v>22</v>
      </c>
      <c r="I560" s="16">
        <v>10</v>
      </c>
      <c r="L560" s="16" t="s">
        <v>23</v>
      </c>
      <c r="M560" s="15"/>
    </row>
    <row r="561" spans="1:13" ht="13.5" customHeight="1" x14ac:dyDescent="0.25">
      <c r="I561" s="16">
        <v>110</v>
      </c>
      <c r="L561" s="16" t="s">
        <v>32</v>
      </c>
    </row>
    <row r="562" spans="1:13" ht="13.5" customHeight="1" x14ac:dyDescent="0.25">
      <c r="I562" s="16">
        <v>30</v>
      </c>
      <c r="L562" s="16" t="s">
        <v>33</v>
      </c>
    </row>
    <row r="563" spans="1:13" ht="13.5" customHeight="1" x14ac:dyDescent="0.25">
      <c r="I563" s="16">
        <v>40</v>
      </c>
      <c r="L563" s="16" t="s">
        <v>29</v>
      </c>
      <c r="M563" s="15"/>
    </row>
    <row r="564" spans="1:13" ht="13.5" customHeight="1" x14ac:dyDescent="0.25">
      <c r="I564" s="16">
        <v>30</v>
      </c>
      <c r="L564" s="16" t="s">
        <v>25</v>
      </c>
      <c r="M564" s="16" t="s">
        <v>137</v>
      </c>
    </row>
    <row r="565" spans="1:13" ht="13.5" customHeight="1" x14ac:dyDescent="0.25">
      <c r="I565" s="16">
        <v>30</v>
      </c>
      <c r="L565" s="16" t="s">
        <v>25</v>
      </c>
      <c r="M565" s="16" t="s">
        <v>45</v>
      </c>
    </row>
    <row r="566" spans="1:13" ht="13.5" customHeight="1" x14ac:dyDescent="0.25">
      <c r="I566" s="16">
        <v>20</v>
      </c>
      <c r="L566" s="16" t="s">
        <v>27</v>
      </c>
    </row>
    <row r="567" spans="1:13" ht="13.5" customHeight="1" x14ac:dyDescent="0.25">
      <c r="I567" s="16">
        <v>20</v>
      </c>
      <c r="L567" s="16" t="s">
        <v>26</v>
      </c>
      <c r="M567" s="16" t="s">
        <v>147</v>
      </c>
    </row>
    <row r="569" spans="1:13" ht="13.5" customHeight="1" x14ac:dyDescent="0.25">
      <c r="A569" s="16" t="s">
        <v>281</v>
      </c>
      <c r="B569" s="16" t="s">
        <v>0</v>
      </c>
      <c r="C569" s="16" t="s">
        <v>16</v>
      </c>
      <c r="D569" s="16" t="s">
        <v>19</v>
      </c>
      <c r="F569" s="16">
        <v>365</v>
      </c>
      <c r="G569" s="16">
        <v>10.25</v>
      </c>
      <c r="H569" s="16" t="s">
        <v>22</v>
      </c>
      <c r="I569" s="16">
        <v>10</v>
      </c>
      <c r="L569" s="16" t="s">
        <v>23</v>
      </c>
      <c r="M569" s="15"/>
    </row>
    <row r="570" spans="1:13" ht="13.5" customHeight="1" x14ac:dyDescent="0.25">
      <c r="I570" s="16">
        <v>110</v>
      </c>
      <c r="L570" s="16" t="s">
        <v>32</v>
      </c>
    </row>
    <row r="571" spans="1:13" ht="13.5" customHeight="1" x14ac:dyDescent="0.25">
      <c r="I571" s="16">
        <v>30</v>
      </c>
      <c r="L571" s="16" t="s">
        <v>33</v>
      </c>
    </row>
    <row r="572" spans="1:13" ht="13.5" customHeight="1" x14ac:dyDescent="0.25">
      <c r="I572" s="16">
        <v>30</v>
      </c>
      <c r="L572" s="16" t="s">
        <v>29</v>
      </c>
      <c r="M572" s="15"/>
    </row>
    <row r="573" spans="1:13" ht="13.5" customHeight="1" x14ac:dyDescent="0.25">
      <c r="I573" s="16">
        <v>30</v>
      </c>
      <c r="L573" s="16" t="s">
        <v>25</v>
      </c>
      <c r="M573" s="16" t="s">
        <v>137</v>
      </c>
    </row>
    <row r="574" spans="1:13" ht="13.5" customHeight="1" x14ac:dyDescent="0.25">
      <c r="I574" s="16">
        <v>20</v>
      </c>
      <c r="L574" s="16" t="s">
        <v>25</v>
      </c>
      <c r="M574" s="16" t="s">
        <v>45</v>
      </c>
    </row>
    <row r="575" spans="1:13" ht="13.5" customHeight="1" x14ac:dyDescent="0.25">
      <c r="I575" s="16">
        <v>20</v>
      </c>
      <c r="L575" s="16" t="s">
        <v>27</v>
      </c>
    </row>
    <row r="576" spans="1:13" ht="13.5" customHeight="1" x14ac:dyDescent="0.25">
      <c r="I576" s="16">
        <v>15</v>
      </c>
      <c r="L576" s="16" t="s">
        <v>26</v>
      </c>
      <c r="M576" s="16" t="s">
        <v>147</v>
      </c>
    </row>
    <row r="577" spans="1:13" ht="13.5" customHeight="1" x14ac:dyDescent="0.25">
      <c r="I577" s="16">
        <v>30</v>
      </c>
      <c r="L577" s="16" t="s">
        <v>33</v>
      </c>
      <c r="M577" s="15" t="s">
        <v>282</v>
      </c>
    </row>
    <row r="579" spans="1:13" ht="13.5" customHeight="1" x14ac:dyDescent="0.25">
      <c r="A579" s="16" t="s">
        <v>281</v>
      </c>
      <c r="B579" s="16" t="s">
        <v>1</v>
      </c>
      <c r="C579" s="16" t="s">
        <v>6</v>
      </c>
      <c r="D579" s="16" t="s">
        <v>21</v>
      </c>
      <c r="F579" s="16">
        <f>31.38+31.69+31.68+37.72+33.24+31.5+30.95+38.13</f>
        <v>266.29000000000002</v>
      </c>
      <c r="G579" s="16">
        <v>8</v>
      </c>
      <c r="H579" s="16" t="s">
        <v>22</v>
      </c>
      <c r="I579" s="16">
        <v>10</v>
      </c>
      <c r="L579" s="16" t="s">
        <v>23</v>
      </c>
      <c r="M579" s="15"/>
    </row>
    <row r="580" spans="1:13" ht="13.5" customHeight="1" x14ac:dyDescent="0.25">
      <c r="I580" s="16">
        <v>90</v>
      </c>
      <c r="L580" s="16" t="s">
        <v>32</v>
      </c>
    </row>
    <row r="581" spans="1:13" ht="13.5" customHeight="1" x14ac:dyDescent="0.25">
      <c r="I581" s="16">
        <v>25</v>
      </c>
      <c r="L581" s="16" t="s">
        <v>33</v>
      </c>
    </row>
    <row r="582" spans="1:13" ht="13.5" customHeight="1" x14ac:dyDescent="0.25">
      <c r="I582" s="16">
        <v>30</v>
      </c>
      <c r="L582" s="16" t="s">
        <v>29</v>
      </c>
      <c r="M582" s="15"/>
    </row>
    <row r="583" spans="1:13" ht="13.5" customHeight="1" x14ac:dyDescent="0.25">
      <c r="I583" s="16">
        <v>20</v>
      </c>
      <c r="L583" s="16" t="s">
        <v>25</v>
      </c>
      <c r="M583" s="16" t="s">
        <v>137</v>
      </c>
    </row>
    <row r="584" spans="1:13" ht="13.5" customHeight="1" x14ac:dyDescent="0.25">
      <c r="I584" s="16">
        <v>20</v>
      </c>
      <c r="L584" s="16" t="s">
        <v>25</v>
      </c>
      <c r="M584" s="16" t="s">
        <v>45</v>
      </c>
    </row>
    <row r="585" spans="1:13" ht="13.5" customHeight="1" x14ac:dyDescent="0.25">
      <c r="I585" s="16">
        <v>20</v>
      </c>
      <c r="L585" s="16" t="s">
        <v>26</v>
      </c>
      <c r="M585" s="16" t="s">
        <v>147</v>
      </c>
    </row>
    <row r="586" spans="1:13" ht="13.5" customHeight="1" x14ac:dyDescent="0.25">
      <c r="I586" s="16">
        <v>10</v>
      </c>
      <c r="L586" s="16" t="s">
        <v>27</v>
      </c>
    </row>
    <row r="587" spans="1:13" ht="13.5" customHeight="1" x14ac:dyDescent="0.25">
      <c r="I587" s="16">
        <v>155</v>
      </c>
      <c r="L587" s="16" t="s">
        <v>26</v>
      </c>
      <c r="M587" s="15" t="s">
        <v>283</v>
      </c>
    </row>
    <row r="588" spans="1:13" ht="13.5" customHeight="1" x14ac:dyDescent="0.25">
      <c r="M588" s="15"/>
    </row>
    <row r="589" spans="1:13" ht="13.5" customHeight="1" x14ac:dyDescent="0.25">
      <c r="A589" s="16" t="s">
        <v>281</v>
      </c>
      <c r="B589" s="16" t="s">
        <v>2</v>
      </c>
      <c r="C589" s="16" t="s">
        <v>15</v>
      </c>
      <c r="D589" s="16" t="s">
        <v>20</v>
      </c>
      <c r="F589" s="16">
        <v>376.6</v>
      </c>
      <c r="G589" s="16">
        <v>11</v>
      </c>
      <c r="H589" s="16" t="s">
        <v>22</v>
      </c>
      <c r="I589" s="16">
        <v>10</v>
      </c>
      <c r="L589" s="16" t="s">
        <v>23</v>
      </c>
      <c r="M589" s="15"/>
    </row>
    <row r="590" spans="1:13" ht="13.5" customHeight="1" x14ac:dyDescent="0.25">
      <c r="I590" s="16">
        <v>110</v>
      </c>
      <c r="L590" s="16" t="s">
        <v>32</v>
      </c>
    </row>
    <row r="591" spans="1:13" ht="13.5" customHeight="1" x14ac:dyDescent="0.25">
      <c r="I591" s="16">
        <v>30</v>
      </c>
      <c r="L591" s="16" t="s">
        <v>33</v>
      </c>
    </row>
    <row r="592" spans="1:13" ht="13.5" customHeight="1" x14ac:dyDescent="0.25">
      <c r="I592" s="16">
        <v>40</v>
      </c>
      <c r="L592" s="16" t="s">
        <v>29</v>
      </c>
      <c r="M592" s="15"/>
    </row>
    <row r="593" spans="1:13" ht="13.5" customHeight="1" x14ac:dyDescent="0.25">
      <c r="I593" s="16">
        <v>30</v>
      </c>
      <c r="L593" s="16" t="s">
        <v>25</v>
      </c>
      <c r="M593" s="16" t="s">
        <v>137</v>
      </c>
    </row>
    <row r="594" spans="1:13" ht="13.5" customHeight="1" x14ac:dyDescent="0.25">
      <c r="I594" s="16">
        <v>20</v>
      </c>
      <c r="L594" s="16" t="s">
        <v>25</v>
      </c>
      <c r="M594" s="16" t="s">
        <v>45</v>
      </c>
    </row>
    <row r="595" spans="1:13" ht="13.5" customHeight="1" x14ac:dyDescent="0.25">
      <c r="I595" s="16">
        <v>20</v>
      </c>
      <c r="L595" s="16" t="s">
        <v>27</v>
      </c>
    </row>
    <row r="596" spans="1:13" ht="13.5" customHeight="1" x14ac:dyDescent="0.25">
      <c r="I596" s="16">
        <v>20</v>
      </c>
      <c r="L596" s="16" t="s">
        <v>26</v>
      </c>
      <c r="M596" s="16" t="s">
        <v>147</v>
      </c>
    </row>
    <row r="598" spans="1:13" ht="13.5" customHeight="1" x14ac:dyDescent="0.25">
      <c r="A598" s="16" t="s">
        <v>284</v>
      </c>
      <c r="B598" s="16" t="s">
        <v>0</v>
      </c>
      <c r="C598" s="16" t="s">
        <v>16</v>
      </c>
      <c r="D598" s="16" t="s">
        <v>19</v>
      </c>
      <c r="F598" s="16">
        <v>190.46</v>
      </c>
      <c r="G598" s="16">
        <v>6</v>
      </c>
      <c r="H598" s="16" t="s">
        <v>22</v>
      </c>
      <c r="I598" s="16">
        <v>10</v>
      </c>
      <c r="L598" s="16" t="s">
        <v>23</v>
      </c>
      <c r="M598" s="15"/>
    </row>
    <row r="599" spans="1:13" ht="13.5" customHeight="1" x14ac:dyDescent="0.25">
      <c r="I599" s="16">
        <v>70</v>
      </c>
      <c r="L599" s="16" t="s">
        <v>32</v>
      </c>
    </row>
    <row r="600" spans="1:13" ht="13.5" customHeight="1" x14ac:dyDescent="0.25">
      <c r="I600" s="16">
        <v>20</v>
      </c>
      <c r="L600" s="16" t="s">
        <v>33</v>
      </c>
    </row>
    <row r="601" spans="1:13" ht="13.5" customHeight="1" x14ac:dyDescent="0.25">
      <c r="I601" s="16">
        <v>20</v>
      </c>
      <c r="L601" s="16" t="s">
        <v>29</v>
      </c>
      <c r="M601" s="15"/>
    </row>
    <row r="602" spans="1:13" ht="13.5" customHeight="1" x14ac:dyDescent="0.25">
      <c r="I602" s="16">
        <v>15</v>
      </c>
      <c r="L602" s="16" t="s">
        <v>25</v>
      </c>
      <c r="M602" s="16" t="s">
        <v>137</v>
      </c>
    </row>
    <row r="603" spans="1:13" ht="13.5" customHeight="1" x14ac:dyDescent="0.25">
      <c r="I603" s="16">
        <v>15</v>
      </c>
      <c r="L603" s="16" t="s">
        <v>25</v>
      </c>
      <c r="M603" s="16" t="s">
        <v>45</v>
      </c>
    </row>
    <row r="604" spans="1:13" ht="13.5" customHeight="1" x14ac:dyDescent="0.25">
      <c r="I604" s="16">
        <v>10</v>
      </c>
      <c r="L604" s="16" t="s">
        <v>27</v>
      </c>
    </row>
    <row r="605" spans="1:13" ht="13.5" customHeight="1" x14ac:dyDescent="0.25">
      <c r="I605" s="16">
        <v>20</v>
      </c>
      <c r="L605" s="16" t="s">
        <v>26</v>
      </c>
      <c r="M605" s="16" t="s">
        <v>147</v>
      </c>
    </row>
    <row r="606" spans="1:13" ht="13.5" customHeight="1" x14ac:dyDescent="0.25">
      <c r="I606" s="16">
        <v>50</v>
      </c>
      <c r="J606" s="18">
        <v>0.35416666666666669</v>
      </c>
      <c r="K606" s="18">
        <v>0.3888888888888889</v>
      </c>
      <c r="L606" s="16" t="s">
        <v>26</v>
      </c>
      <c r="M606" s="16" t="s">
        <v>285</v>
      </c>
    </row>
    <row r="607" spans="1:13" ht="13.5" customHeight="1" x14ac:dyDescent="0.25">
      <c r="I607" s="16">
        <v>30</v>
      </c>
      <c r="L607" s="16" t="s">
        <v>25</v>
      </c>
      <c r="M607" s="16" t="s">
        <v>165</v>
      </c>
    </row>
    <row r="608" spans="1:13" ht="13.5" customHeight="1" x14ac:dyDescent="0.25">
      <c r="I608" s="16">
        <v>140</v>
      </c>
      <c r="J608" s="18">
        <v>0.4861111111111111</v>
      </c>
      <c r="K608" s="18">
        <v>8.3333333333333329E-2</v>
      </c>
      <c r="L608" s="16" t="s">
        <v>26</v>
      </c>
      <c r="M608" s="16" t="s">
        <v>177</v>
      </c>
    </row>
    <row r="610" spans="1:13" ht="13.5" customHeight="1" x14ac:dyDescent="0.25">
      <c r="A610" s="16" t="s">
        <v>284</v>
      </c>
      <c r="B610" s="16" t="s">
        <v>1</v>
      </c>
      <c r="C610" s="16" t="s">
        <v>6</v>
      </c>
      <c r="D610" s="16" t="s">
        <v>21</v>
      </c>
      <c r="F610" s="16">
        <v>0</v>
      </c>
      <c r="G610" s="16">
        <v>0</v>
      </c>
      <c r="H610" s="16" t="s">
        <v>22</v>
      </c>
      <c r="I610" s="16">
        <v>480</v>
      </c>
      <c r="L610" s="16" t="s">
        <v>26</v>
      </c>
      <c r="M610" s="16" t="s">
        <v>177</v>
      </c>
    </row>
    <row r="612" spans="1:13" ht="13.5" customHeight="1" x14ac:dyDescent="0.25">
      <c r="A612" s="16" t="s">
        <v>284</v>
      </c>
      <c r="B612" s="16" t="s">
        <v>2</v>
      </c>
      <c r="C612" s="16" t="s">
        <v>15</v>
      </c>
      <c r="D612" s="16" t="s">
        <v>20</v>
      </c>
      <c r="F612" s="16">
        <v>334.42</v>
      </c>
      <c r="G612" s="16">
        <v>10</v>
      </c>
      <c r="H612" s="16" t="s">
        <v>22</v>
      </c>
      <c r="I612" s="16">
        <v>10</v>
      </c>
      <c r="L612" s="16" t="s">
        <v>23</v>
      </c>
      <c r="M612" s="15"/>
    </row>
    <row r="613" spans="1:13" ht="13.5" customHeight="1" x14ac:dyDescent="0.25">
      <c r="I613" s="16">
        <v>90</v>
      </c>
      <c r="L613" s="16" t="s">
        <v>32</v>
      </c>
    </row>
    <row r="614" spans="1:13" ht="13.5" customHeight="1" x14ac:dyDescent="0.25">
      <c r="I614" s="16">
        <v>30</v>
      </c>
      <c r="L614" s="16" t="s">
        <v>33</v>
      </c>
    </row>
    <row r="615" spans="1:13" ht="13.5" customHeight="1" x14ac:dyDescent="0.25">
      <c r="I615" s="16">
        <v>40</v>
      </c>
      <c r="L615" s="16" t="s">
        <v>29</v>
      </c>
      <c r="M615" s="15"/>
    </row>
    <row r="616" spans="1:13" ht="13.5" customHeight="1" x14ac:dyDescent="0.25">
      <c r="I616" s="16">
        <v>30</v>
      </c>
      <c r="L616" s="16" t="s">
        <v>25</v>
      </c>
      <c r="M616" s="16" t="s">
        <v>137</v>
      </c>
    </row>
    <row r="617" spans="1:13" ht="13.5" customHeight="1" x14ac:dyDescent="0.25">
      <c r="I617" s="16">
        <v>20</v>
      </c>
      <c r="L617" s="16" t="s">
        <v>25</v>
      </c>
      <c r="M617" s="16" t="s">
        <v>45</v>
      </c>
    </row>
    <row r="618" spans="1:13" ht="13.5" customHeight="1" x14ac:dyDescent="0.25">
      <c r="I618" s="16">
        <v>20</v>
      </c>
      <c r="L618" s="16" t="s">
        <v>27</v>
      </c>
    </row>
    <row r="619" spans="1:13" ht="13.5" customHeight="1" x14ac:dyDescent="0.25">
      <c r="I619" s="16">
        <v>20</v>
      </c>
      <c r="L619" s="16" t="s">
        <v>26</v>
      </c>
      <c r="M619" s="16" t="s">
        <v>147</v>
      </c>
    </row>
    <row r="620" spans="1:13" ht="13.5" customHeight="1" x14ac:dyDescent="0.25">
      <c r="I620" s="16">
        <v>120</v>
      </c>
      <c r="J620" s="18">
        <v>0.41666666666666669</v>
      </c>
      <c r="K620" s="18">
        <v>0.5</v>
      </c>
      <c r="L620" s="16" t="s">
        <v>26</v>
      </c>
      <c r="M620" s="16" t="s">
        <v>177</v>
      </c>
    </row>
    <row r="621" spans="1:13" ht="13.5" customHeight="1" x14ac:dyDescent="0.25">
      <c r="I621" s="16">
        <v>20</v>
      </c>
      <c r="L621" s="16" t="s">
        <v>24</v>
      </c>
      <c r="M621" s="15" t="s">
        <v>173</v>
      </c>
    </row>
    <row r="623" spans="1:13" ht="13.5" customHeight="1" x14ac:dyDescent="0.25">
      <c r="A623" s="16" t="s">
        <v>286</v>
      </c>
      <c r="B623" s="16" t="s">
        <v>0</v>
      </c>
      <c r="C623" s="16" t="s">
        <v>16</v>
      </c>
      <c r="D623" s="16" t="s">
        <v>19</v>
      </c>
      <c r="F623" s="16">
        <v>352.53</v>
      </c>
      <c r="G623" s="16">
        <v>11</v>
      </c>
      <c r="H623" s="16" t="s">
        <v>22</v>
      </c>
      <c r="I623" s="16">
        <v>10</v>
      </c>
      <c r="L623" s="16" t="s">
        <v>23</v>
      </c>
      <c r="M623" s="15"/>
    </row>
    <row r="624" spans="1:13" ht="13.5" customHeight="1" x14ac:dyDescent="0.25">
      <c r="I624" s="16">
        <v>110</v>
      </c>
      <c r="L624" s="16" t="s">
        <v>32</v>
      </c>
    </row>
    <row r="625" spans="1:13" ht="13.5" customHeight="1" x14ac:dyDescent="0.25">
      <c r="I625" s="16">
        <v>30</v>
      </c>
      <c r="L625" s="16" t="s">
        <v>33</v>
      </c>
    </row>
    <row r="626" spans="1:13" ht="13.5" customHeight="1" x14ac:dyDescent="0.25">
      <c r="I626" s="16">
        <v>30</v>
      </c>
      <c r="L626" s="16" t="s">
        <v>29</v>
      </c>
      <c r="M626" s="15"/>
    </row>
    <row r="627" spans="1:13" ht="13.5" customHeight="1" x14ac:dyDescent="0.25">
      <c r="I627" s="16">
        <v>30</v>
      </c>
      <c r="L627" s="16" t="s">
        <v>25</v>
      </c>
      <c r="M627" s="16" t="s">
        <v>137</v>
      </c>
    </row>
    <row r="628" spans="1:13" ht="13.5" customHeight="1" x14ac:dyDescent="0.25">
      <c r="I628" s="16">
        <v>20</v>
      </c>
      <c r="L628" s="16" t="s">
        <v>25</v>
      </c>
      <c r="M628" s="16" t="s">
        <v>45</v>
      </c>
    </row>
    <row r="629" spans="1:13" ht="13.5" customHeight="1" x14ac:dyDescent="0.25">
      <c r="I629" s="16">
        <v>20</v>
      </c>
      <c r="L629" s="16" t="s">
        <v>27</v>
      </c>
    </row>
    <row r="630" spans="1:13" ht="13.5" customHeight="1" x14ac:dyDescent="0.25">
      <c r="I630" s="16">
        <v>15</v>
      </c>
      <c r="L630" s="16" t="s">
        <v>26</v>
      </c>
      <c r="M630" s="16" t="s">
        <v>147</v>
      </c>
    </row>
    <row r="631" spans="1:13" ht="13.5" customHeight="1" x14ac:dyDescent="0.25">
      <c r="I631" s="16">
        <v>20</v>
      </c>
      <c r="L631" s="16" t="s">
        <v>25</v>
      </c>
      <c r="M631" s="15" t="s">
        <v>36</v>
      </c>
    </row>
    <row r="633" spans="1:13" ht="13.5" customHeight="1" x14ac:dyDescent="0.25">
      <c r="A633" s="16" t="s">
        <v>286</v>
      </c>
      <c r="B633" s="16" t="s">
        <v>1</v>
      </c>
      <c r="C633" s="16" t="s">
        <v>6</v>
      </c>
      <c r="D633" s="16" t="s">
        <v>21</v>
      </c>
      <c r="F633" s="16">
        <f>37.2+38.2+33.3+32.9+31.6+31.7+31.6+31.4+31.3+31.2+37.29+32.22</f>
        <v>399.90999999999997</v>
      </c>
      <c r="G633" s="16">
        <v>12</v>
      </c>
      <c r="H633" s="16" t="s">
        <v>22</v>
      </c>
      <c r="I633" s="16">
        <v>10</v>
      </c>
      <c r="L633" s="16" t="s">
        <v>23</v>
      </c>
      <c r="M633" s="15"/>
    </row>
    <row r="634" spans="1:13" ht="13.5" customHeight="1" x14ac:dyDescent="0.25">
      <c r="I634" s="16">
        <v>110</v>
      </c>
      <c r="L634" s="16" t="s">
        <v>32</v>
      </c>
    </row>
    <row r="635" spans="1:13" ht="13.5" customHeight="1" x14ac:dyDescent="0.25">
      <c r="I635" s="16">
        <v>30</v>
      </c>
      <c r="L635" s="16" t="s">
        <v>33</v>
      </c>
    </row>
    <row r="636" spans="1:13" ht="13.5" customHeight="1" x14ac:dyDescent="0.25">
      <c r="I636" s="16">
        <v>30</v>
      </c>
      <c r="L636" s="16" t="s">
        <v>29</v>
      </c>
      <c r="M636" s="15"/>
    </row>
    <row r="637" spans="1:13" ht="13.5" customHeight="1" x14ac:dyDescent="0.25">
      <c r="I637" s="16">
        <v>20</v>
      </c>
      <c r="L637" s="16" t="s">
        <v>25</v>
      </c>
      <c r="M637" s="16" t="s">
        <v>137</v>
      </c>
    </row>
    <row r="638" spans="1:13" ht="13.5" customHeight="1" x14ac:dyDescent="0.25">
      <c r="I638" s="16">
        <v>20</v>
      </c>
      <c r="L638" s="16" t="s">
        <v>25</v>
      </c>
      <c r="M638" s="16" t="s">
        <v>45</v>
      </c>
    </row>
    <row r="639" spans="1:13" ht="13.5" customHeight="1" x14ac:dyDescent="0.25">
      <c r="I639" s="16">
        <v>20</v>
      </c>
      <c r="L639" s="16" t="s">
        <v>26</v>
      </c>
      <c r="M639" s="16" t="s">
        <v>147</v>
      </c>
    </row>
    <row r="640" spans="1:13" ht="13.5" customHeight="1" x14ac:dyDescent="0.25">
      <c r="I640" s="16">
        <v>10</v>
      </c>
      <c r="L640" s="16" t="s">
        <v>27</v>
      </c>
    </row>
    <row r="643" spans="1:13" ht="13.5" customHeight="1" x14ac:dyDescent="0.25">
      <c r="A643" s="16" t="s">
        <v>286</v>
      </c>
      <c r="B643" s="16" t="s">
        <v>2</v>
      </c>
      <c r="C643" s="16" t="s">
        <v>15</v>
      </c>
      <c r="D643" s="16" t="s">
        <v>20</v>
      </c>
      <c r="F643" s="16">
        <v>369.07</v>
      </c>
      <c r="G643" s="16">
        <v>10.5</v>
      </c>
      <c r="H643" s="16" t="s">
        <v>22</v>
      </c>
      <c r="I643" s="16">
        <v>10</v>
      </c>
      <c r="L643" s="16" t="s">
        <v>23</v>
      </c>
      <c r="M643" s="15"/>
    </row>
    <row r="644" spans="1:13" ht="13.5" customHeight="1" x14ac:dyDescent="0.25">
      <c r="I644" s="16">
        <v>110</v>
      </c>
      <c r="L644" s="16" t="s">
        <v>32</v>
      </c>
    </row>
    <row r="645" spans="1:13" ht="13.5" customHeight="1" x14ac:dyDescent="0.25">
      <c r="I645" s="16">
        <v>30</v>
      </c>
      <c r="L645" s="16" t="s">
        <v>33</v>
      </c>
    </row>
    <row r="646" spans="1:13" ht="13.5" customHeight="1" x14ac:dyDescent="0.25">
      <c r="I646" s="16">
        <v>40</v>
      </c>
      <c r="L646" s="16" t="s">
        <v>29</v>
      </c>
      <c r="M646" s="15"/>
    </row>
    <row r="647" spans="1:13" ht="13.5" customHeight="1" x14ac:dyDescent="0.25">
      <c r="I647" s="16">
        <v>30</v>
      </c>
      <c r="L647" s="16" t="s">
        <v>25</v>
      </c>
      <c r="M647" s="16" t="s">
        <v>137</v>
      </c>
    </row>
    <row r="648" spans="1:13" ht="13.5" customHeight="1" x14ac:dyDescent="0.25">
      <c r="I648" s="16">
        <v>20</v>
      </c>
      <c r="L648" s="16" t="s">
        <v>25</v>
      </c>
      <c r="M648" s="16" t="s">
        <v>45</v>
      </c>
    </row>
    <row r="649" spans="1:13" ht="13.5" customHeight="1" x14ac:dyDescent="0.25">
      <c r="I649" s="16">
        <v>20</v>
      </c>
      <c r="L649" s="16" t="s">
        <v>27</v>
      </c>
    </row>
    <row r="650" spans="1:13" ht="13.5" customHeight="1" x14ac:dyDescent="0.25">
      <c r="I650" s="16">
        <v>20</v>
      </c>
      <c r="L650" s="16" t="s">
        <v>26</v>
      </c>
      <c r="M650" s="16" t="s">
        <v>147</v>
      </c>
    </row>
    <row r="651" spans="1:13" ht="13.5" customHeight="1" x14ac:dyDescent="0.25">
      <c r="I651" s="16">
        <v>20</v>
      </c>
      <c r="L651" s="16" t="s">
        <v>26</v>
      </c>
      <c r="M651" s="15" t="s">
        <v>288</v>
      </c>
    </row>
    <row r="652" spans="1:13" ht="13.5" customHeight="1" x14ac:dyDescent="0.25">
      <c r="I652" s="16">
        <v>50</v>
      </c>
      <c r="L652" s="16" t="s">
        <v>25</v>
      </c>
      <c r="M652" s="15" t="s">
        <v>287</v>
      </c>
    </row>
    <row r="654" spans="1:13" ht="13.5" customHeight="1" x14ac:dyDescent="0.25">
      <c r="A654" s="16" t="s">
        <v>289</v>
      </c>
      <c r="B654" s="16" t="s">
        <v>0</v>
      </c>
      <c r="C654" s="16" t="s">
        <v>16</v>
      </c>
      <c r="D654" s="16" t="s">
        <v>19</v>
      </c>
      <c r="F654" s="16">
        <v>370.16</v>
      </c>
      <c r="G654" s="16">
        <v>11</v>
      </c>
      <c r="H654" s="16" t="s">
        <v>22</v>
      </c>
      <c r="I654" s="16">
        <v>10</v>
      </c>
      <c r="L654" s="16" t="s">
        <v>23</v>
      </c>
      <c r="M654" s="15"/>
    </row>
    <row r="655" spans="1:13" ht="13.5" customHeight="1" x14ac:dyDescent="0.25">
      <c r="I655" s="16">
        <v>110</v>
      </c>
      <c r="L655" s="16" t="s">
        <v>32</v>
      </c>
    </row>
    <row r="656" spans="1:13" ht="13.5" customHeight="1" x14ac:dyDescent="0.25">
      <c r="I656" s="16">
        <v>30</v>
      </c>
      <c r="L656" s="16" t="s">
        <v>33</v>
      </c>
    </row>
    <row r="657" spans="1:13" ht="13.5" customHeight="1" x14ac:dyDescent="0.25">
      <c r="I657" s="16">
        <v>30</v>
      </c>
      <c r="L657" s="16" t="s">
        <v>29</v>
      </c>
      <c r="M657" s="15"/>
    </row>
    <row r="658" spans="1:13" ht="13.5" customHeight="1" x14ac:dyDescent="0.25">
      <c r="I658" s="16">
        <v>30</v>
      </c>
      <c r="L658" s="16" t="s">
        <v>25</v>
      </c>
      <c r="M658" s="16" t="s">
        <v>137</v>
      </c>
    </row>
    <row r="659" spans="1:13" ht="13.5" customHeight="1" x14ac:dyDescent="0.25">
      <c r="I659" s="16">
        <v>20</v>
      </c>
      <c r="L659" s="16" t="s">
        <v>25</v>
      </c>
      <c r="M659" s="16" t="s">
        <v>45</v>
      </c>
    </row>
    <row r="660" spans="1:13" ht="13.5" customHeight="1" x14ac:dyDescent="0.25">
      <c r="I660" s="16">
        <v>20</v>
      </c>
      <c r="L660" s="16" t="s">
        <v>27</v>
      </c>
    </row>
    <row r="661" spans="1:13" ht="13.5" customHeight="1" x14ac:dyDescent="0.25">
      <c r="I661" s="16">
        <v>15</v>
      </c>
      <c r="L661" s="16" t="s">
        <v>26</v>
      </c>
      <c r="M661" s="16" t="s">
        <v>147</v>
      </c>
    </row>
    <row r="662" spans="1:13" ht="13.5" customHeight="1" x14ac:dyDescent="0.25">
      <c r="I662" s="16">
        <v>20</v>
      </c>
      <c r="L662" s="16" t="s">
        <v>25</v>
      </c>
      <c r="M662" s="15" t="s">
        <v>36</v>
      </c>
    </row>
    <row r="664" spans="1:13" ht="13.5" customHeight="1" x14ac:dyDescent="0.25">
      <c r="A664" s="16" t="s">
        <v>289</v>
      </c>
      <c r="B664" s="16" t="s">
        <v>1</v>
      </c>
      <c r="C664" s="16" t="s">
        <v>6</v>
      </c>
      <c r="D664" s="16" t="s">
        <v>21</v>
      </c>
      <c r="F664" s="16">
        <f>18.94+38.13+37.11+31.4+38.4+31.67+31.36+22.94+30.7+31.16+38.2+32.54+37.97+38.17+38.3+37.83+38.25+31.65+31.72+31.07+31.58+26.38+25.88+7.62+7.62</f>
        <v>766.59000000000026</v>
      </c>
      <c r="G664" s="16">
        <v>23</v>
      </c>
      <c r="H664" s="16" t="s">
        <v>22</v>
      </c>
      <c r="I664" s="16">
        <v>10</v>
      </c>
      <c r="L664" s="16" t="s">
        <v>23</v>
      </c>
      <c r="M664" s="15"/>
    </row>
    <row r="665" spans="1:13" ht="13.5" customHeight="1" x14ac:dyDescent="0.25">
      <c r="I665" s="16">
        <v>160</v>
      </c>
      <c r="L665" s="16" t="s">
        <v>32</v>
      </c>
    </row>
    <row r="666" spans="1:13" ht="13.5" customHeight="1" x14ac:dyDescent="0.25">
      <c r="I666" s="16">
        <v>20</v>
      </c>
      <c r="L666" s="16" t="s">
        <v>33</v>
      </c>
    </row>
    <row r="667" spans="1:13" ht="13.5" customHeight="1" x14ac:dyDescent="0.25">
      <c r="I667" s="16">
        <v>20</v>
      </c>
      <c r="L667" s="16" t="s">
        <v>29</v>
      </c>
      <c r="M667" s="15"/>
    </row>
    <row r="668" spans="1:13" ht="13.5" customHeight="1" x14ac:dyDescent="0.25">
      <c r="I668" s="16">
        <v>20</v>
      </c>
      <c r="L668" s="16" t="s">
        <v>25</v>
      </c>
      <c r="M668" s="16" t="s">
        <v>137</v>
      </c>
    </row>
    <row r="669" spans="1:13" ht="13.5" customHeight="1" x14ac:dyDescent="0.25">
      <c r="I669" s="16">
        <v>10</v>
      </c>
      <c r="L669" s="16" t="s">
        <v>25</v>
      </c>
      <c r="M669" s="16" t="s">
        <v>45</v>
      </c>
    </row>
    <row r="670" spans="1:13" ht="13.5" customHeight="1" x14ac:dyDescent="0.25">
      <c r="I670" s="16">
        <v>10</v>
      </c>
      <c r="L670" s="16" t="s">
        <v>26</v>
      </c>
      <c r="M670" s="16" t="s">
        <v>147</v>
      </c>
    </row>
    <row r="671" spans="1:13" ht="13.5" customHeight="1" x14ac:dyDescent="0.25">
      <c r="I671" s="16">
        <v>20</v>
      </c>
      <c r="L671" s="16" t="s">
        <v>27</v>
      </c>
    </row>
    <row r="672" spans="1:13" ht="13.5" customHeight="1" x14ac:dyDescent="0.25">
      <c r="M672" s="15"/>
    </row>
    <row r="673" spans="1:13" ht="13.5" customHeight="1" x14ac:dyDescent="0.25">
      <c r="A673" s="16" t="s">
        <v>289</v>
      </c>
      <c r="B673" s="16" t="s">
        <v>2</v>
      </c>
      <c r="C673" s="16" t="s">
        <v>15</v>
      </c>
      <c r="D673" s="16" t="s">
        <v>20</v>
      </c>
      <c r="F673" s="16">
        <v>379.9</v>
      </c>
      <c r="G673" s="16">
        <v>11</v>
      </c>
      <c r="H673" s="16" t="s">
        <v>22</v>
      </c>
      <c r="I673" s="16">
        <v>10</v>
      </c>
      <c r="L673" s="16" t="s">
        <v>23</v>
      </c>
      <c r="M673" s="15"/>
    </row>
    <row r="674" spans="1:13" ht="13.5" customHeight="1" x14ac:dyDescent="0.25">
      <c r="I674" s="16">
        <v>110</v>
      </c>
      <c r="L674" s="16" t="s">
        <v>32</v>
      </c>
    </row>
    <row r="675" spans="1:13" ht="13.5" customHeight="1" x14ac:dyDescent="0.25">
      <c r="I675" s="16">
        <v>30</v>
      </c>
      <c r="L675" s="16" t="s">
        <v>33</v>
      </c>
    </row>
    <row r="676" spans="1:13" ht="13.5" customHeight="1" x14ac:dyDescent="0.25">
      <c r="I676" s="16">
        <v>70</v>
      </c>
      <c r="L676" s="16" t="s">
        <v>29</v>
      </c>
      <c r="M676" s="15"/>
    </row>
    <row r="677" spans="1:13" ht="13.5" customHeight="1" x14ac:dyDescent="0.25">
      <c r="I677" s="16">
        <v>50</v>
      </c>
      <c r="L677" s="16" t="s">
        <v>25</v>
      </c>
      <c r="M677" s="16" t="s">
        <v>137</v>
      </c>
    </row>
    <row r="678" spans="1:13" ht="13.5" customHeight="1" x14ac:dyDescent="0.25">
      <c r="I678" s="16">
        <v>20</v>
      </c>
      <c r="L678" s="16" t="s">
        <v>25</v>
      </c>
      <c r="M678" s="16" t="s">
        <v>45</v>
      </c>
    </row>
    <row r="679" spans="1:13" ht="13.5" customHeight="1" x14ac:dyDescent="0.25">
      <c r="I679" s="16">
        <v>20</v>
      </c>
      <c r="L679" s="16" t="s">
        <v>27</v>
      </c>
    </row>
    <row r="680" spans="1:13" ht="13.5" customHeight="1" x14ac:dyDescent="0.25">
      <c r="I680" s="16">
        <v>20</v>
      </c>
      <c r="L680" s="16" t="s">
        <v>26</v>
      </c>
      <c r="M680" s="16" t="s">
        <v>147</v>
      </c>
    </row>
    <row r="682" spans="1:13" ht="13.5" customHeight="1" x14ac:dyDescent="0.25">
      <c r="A682" s="16" t="s">
        <v>290</v>
      </c>
      <c r="B682" s="16" t="s">
        <v>0</v>
      </c>
      <c r="C682" s="16" t="s">
        <v>6</v>
      </c>
      <c r="D682" s="16" t="s">
        <v>21</v>
      </c>
      <c r="F682" s="16">
        <v>228.24</v>
      </c>
      <c r="G682" s="16">
        <v>7.25</v>
      </c>
      <c r="H682" s="16" t="s">
        <v>22</v>
      </c>
      <c r="I682" s="16">
        <v>10</v>
      </c>
      <c r="L682" s="16" t="s">
        <v>23</v>
      </c>
      <c r="M682" s="15"/>
    </row>
    <row r="683" spans="1:13" ht="13.5" customHeight="1" x14ac:dyDescent="0.25">
      <c r="I683" s="16">
        <v>60</v>
      </c>
      <c r="L683" s="16" t="s">
        <v>32</v>
      </c>
    </row>
    <row r="684" spans="1:13" ht="13.5" customHeight="1" x14ac:dyDescent="0.25">
      <c r="I684" s="16">
        <v>15</v>
      </c>
      <c r="L684" s="16" t="s">
        <v>33</v>
      </c>
    </row>
    <row r="685" spans="1:13" ht="13.5" customHeight="1" x14ac:dyDescent="0.25">
      <c r="I685" s="16">
        <v>30</v>
      </c>
      <c r="L685" s="16" t="s">
        <v>29</v>
      </c>
      <c r="M685" s="15"/>
    </row>
    <row r="686" spans="1:13" ht="13.5" customHeight="1" x14ac:dyDescent="0.25">
      <c r="I686" s="16">
        <v>30</v>
      </c>
      <c r="L686" s="16" t="s">
        <v>25</v>
      </c>
      <c r="M686" s="16" t="s">
        <v>137</v>
      </c>
    </row>
    <row r="687" spans="1:13" ht="13.5" customHeight="1" x14ac:dyDescent="0.25">
      <c r="I687" s="16">
        <v>20</v>
      </c>
      <c r="L687" s="16" t="s">
        <v>25</v>
      </c>
      <c r="M687" s="16" t="s">
        <v>45</v>
      </c>
    </row>
    <row r="688" spans="1:13" ht="13.5" customHeight="1" x14ac:dyDescent="0.25">
      <c r="I688" s="16">
        <v>10</v>
      </c>
      <c r="L688" s="16" t="s">
        <v>27</v>
      </c>
    </row>
    <row r="689" spans="1:13" ht="13.5" customHeight="1" x14ac:dyDescent="0.25">
      <c r="I689" s="16">
        <v>20</v>
      </c>
      <c r="L689" s="16" t="s">
        <v>26</v>
      </c>
      <c r="M689" s="16" t="s">
        <v>147</v>
      </c>
    </row>
    <row r="690" spans="1:13" ht="13.5" customHeight="1" x14ac:dyDescent="0.25">
      <c r="I690" s="16">
        <v>200</v>
      </c>
      <c r="J690" s="18">
        <v>0.3125</v>
      </c>
      <c r="K690" s="18">
        <v>0.4513888888888889</v>
      </c>
      <c r="L690" s="16" t="s">
        <v>26</v>
      </c>
      <c r="M690" s="15" t="s">
        <v>291</v>
      </c>
    </row>
    <row r="692" spans="1:13" ht="13.5" customHeight="1" x14ac:dyDescent="0.25">
      <c r="A692" s="16" t="s">
        <v>290</v>
      </c>
      <c r="B692" s="16" t="s">
        <v>1</v>
      </c>
      <c r="C692" s="16" t="s">
        <v>18</v>
      </c>
      <c r="D692" s="16" t="s">
        <v>20</v>
      </c>
      <c r="F692" s="16">
        <v>364.1</v>
      </c>
      <c r="G692" s="16">
        <v>11</v>
      </c>
      <c r="H692" s="16" t="s">
        <v>22</v>
      </c>
      <c r="I692" s="16">
        <v>10</v>
      </c>
      <c r="L692" s="16" t="s">
        <v>23</v>
      </c>
      <c r="M692" s="15"/>
    </row>
    <row r="693" spans="1:13" ht="13.5" customHeight="1" x14ac:dyDescent="0.25">
      <c r="I693" s="16">
        <v>110</v>
      </c>
      <c r="L693" s="16" t="s">
        <v>32</v>
      </c>
    </row>
    <row r="694" spans="1:13" ht="13.5" customHeight="1" x14ac:dyDescent="0.25">
      <c r="I694" s="16">
        <v>20</v>
      </c>
      <c r="L694" s="16" t="s">
        <v>33</v>
      </c>
    </row>
    <row r="695" spans="1:13" ht="13.5" customHeight="1" x14ac:dyDescent="0.25">
      <c r="I695" s="16">
        <v>20</v>
      </c>
      <c r="L695" s="16" t="s">
        <v>29</v>
      </c>
      <c r="M695" s="15"/>
    </row>
    <row r="696" spans="1:13" ht="13.5" customHeight="1" x14ac:dyDescent="0.25">
      <c r="I696" s="16">
        <v>20</v>
      </c>
      <c r="L696" s="16" t="s">
        <v>25</v>
      </c>
      <c r="M696" s="16" t="s">
        <v>137</v>
      </c>
    </row>
    <row r="697" spans="1:13" ht="13.5" customHeight="1" x14ac:dyDescent="0.25">
      <c r="I697" s="16">
        <v>10</v>
      </c>
      <c r="L697" s="16" t="s">
        <v>25</v>
      </c>
      <c r="M697" s="16" t="s">
        <v>45</v>
      </c>
    </row>
    <row r="698" spans="1:13" ht="13.5" customHeight="1" x14ac:dyDescent="0.25">
      <c r="I698" s="16">
        <v>10</v>
      </c>
      <c r="L698" s="16" t="s">
        <v>26</v>
      </c>
      <c r="M698" s="16" t="s">
        <v>147</v>
      </c>
    </row>
    <row r="699" spans="1:13" ht="13.5" customHeight="1" x14ac:dyDescent="0.25">
      <c r="I699" s="16">
        <v>20</v>
      </c>
      <c r="L699" s="16" t="s">
        <v>27</v>
      </c>
    </row>
    <row r="700" spans="1:13" ht="13.5" customHeight="1" x14ac:dyDescent="0.25">
      <c r="I700" s="16">
        <v>20</v>
      </c>
      <c r="L700" s="16" t="s">
        <v>25</v>
      </c>
      <c r="M700" s="15" t="s">
        <v>36</v>
      </c>
    </row>
    <row r="702" spans="1:13" ht="13.5" customHeight="1" x14ac:dyDescent="0.25">
      <c r="A702" s="16" t="s">
        <v>290</v>
      </c>
      <c r="B702" s="16" t="s">
        <v>2</v>
      </c>
      <c r="C702" s="16" t="s">
        <v>15</v>
      </c>
      <c r="D702" s="16" t="s">
        <v>19</v>
      </c>
      <c r="F702" s="16">
        <v>309.38</v>
      </c>
      <c r="G702" s="16">
        <v>9.5</v>
      </c>
      <c r="H702" s="16" t="s">
        <v>22</v>
      </c>
      <c r="I702" s="16">
        <v>10</v>
      </c>
      <c r="L702" s="16" t="s">
        <v>23</v>
      </c>
      <c r="M702" s="15"/>
    </row>
    <row r="703" spans="1:13" ht="13.5" customHeight="1" x14ac:dyDescent="0.25">
      <c r="I703" s="16">
        <v>100</v>
      </c>
      <c r="L703" s="16" t="s">
        <v>32</v>
      </c>
    </row>
    <row r="704" spans="1:13" ht="13.5" customHeight="1" x14ac:dyDescent="0.25">
      <c r="I704" s="16">
        <v>20</v>
      </c>
      <c r="L704" s="16" t="s">
        <v>33</v>
      </c>
    </row>
    <row r="705" spans="1:13" ht="13.5" customHeight="1" x14ac:dyDescent="0.25">
      <c r="I705" s="16">
        <v>20</v>
      </c>
      <c r="L705" s="16" t="s">
        <v>29</v>
      </c>
      <c r="M705" s="15"/>
    </row>
    <row r="706" spans="1:13" ht="13.5" customHeight="1" x14ac:dyDescent="0.25">
      <c r="I706" s="16">
        <v>30</v>
      </c>
      <c r="L706" s="16" t="s">
        <v>25</v>
      </c>
      <c r="M706" s="16" t="s">
        <v>137</v>
      </c>
    </row>
    <row r="707" spans="1:13" ht="13.5" customHeight="1" x14ac:dyDescent="0.25">
      <c r="I707" s="16">
        <v>20</v>
      </c>
      <c r="L707" s="16" t="s">
        <v>25</v>
      </c>
      <c r="M707" s="16" t="s">
        <v>45</v>
      </c>
    </row>
    <row r="708" spans="1:13" ht="13.5" customHeight="1" x14ac:dyDescent="0.25">
      <c r="I708" s="16">
        <v>20</v>
      </c>
      <c r="L708" s="16" t="s">
        <v>27</v>
      </c>
    </row>
    <row r="709" spans="1:13" ht="13.5" customHeight="1" x14ac:dyDescent="0.25">
      <c r="F709" s="16" t="s">
        <v>114</v>
      </c>
      <c r="I709" s="16">
        <v>15</v>
      </c>
      <c r="L709" s="16" t="s">
        <v>26</v>
      </c>
      <c r="M709" s="16" t="s">
        <v>147</v>
      </c>
    </row>
    <row r="710" spans="1:13" ht="13.5" customHeight="1" x14ac:dyDescent="0.25">
      <c r="I710" s="16">
        <v>60</v>
      </c>
      <c r="J710" s="18">
        <v>8.3333333333333329E-2</v>
      </c>
      <c r="K710" s="18">
        <v>0.125</v>
      </c>
      <c r="L710" s="16" t="s">
        <v>26</v>
      </c>
      <c r="M710" s="15" t="s">
        <v>292</v>
      </c>
    </row>
    <row r="711" spans="1:13" ht="13.5" customHeight="1" x14ac:dyDescent="0.25">
      <c r="I711" s="16">
        <v>30</v>
      </c>
      <c r="L711" s="16" t="s">
        <v>26</v>
      </c>
      <c r="M711" s="16" t="s">
        <v>129</v>
      </c>
    </row>
    <row r="713" spans="1:13" ht="13.5" customHeight="1" x14ac:dyDescent="0.25">
      <c r="A713" s="16" t="s">
        <v>293</v>
      </c>
      <c r="B713" s="16" t="s">
        <v>0</v>
      </c>
      <c r="C713" s="16" t="s">
        <v>6</v>
      </c>
      <c r="D713" s="16" t="s">
        <v>21</v>
      </c>
      <c r="F713" s="16">
        <f>25.02+31.27+38.18+37.4+30.3+36.82+38.29+31.5+37.27+31.33+2.21+4.41+4.41+4.41+4.41</f>
        <v>357.23</v>
      </c>
      <c r="G713" s="16">
        <v>10.5</v>
      </c>
      <c r="H713" s="16" t="s">
        <v>22</v>
      </c>
      <c r="I713" s="16">
        <v>10</v>
      </c>
      <c r="L713" s="16" t="s">
        <v>23</v>
      </c>
      <c r="M713" s="15"/>
    </row>
    <row r="714" spans="1:13" ht="13.5" customHeight="1" x14ac:dyDescent="0.25">
      <c r="I714" s="16">
        <v>90</v>
      </c>
      <c r="L714" s="16" t="s">
        <v>32</v>
      </c>
    </row>
    <row r="715" spans="1:13" ht="13.5" customHeight="1" x14ac:dyDescent="0.25">
      <c r="I715" s="16">
        <v>25</v>
      </c>
      <c r="L715" s="16" t="s">
        <v>33</v>
      </c>
    </row>
    <row r="716" spans="1:13" ht="13.5" customHeight="1" x14ac:dyDescent="0.25">
      <c r="I716" s="16">
        <v>30</v>
      </c>
      <c r="L716" s="16" t="s">
        <v>29</v>
      </c>
      <c r="M716" s="15"/>
    </row>
    <row r="717" spans="1:13" ht="13.5" customHeight="1" x14ac:dyDescent="0.25">
      <c r="I717" s="16">
        <v>40</v>
      </c>
      <c r="L717" s="16" t="s">
        <v>25</v>
      </c>
      <c r="M717" s="16" t="s">
        <v>137</v>
      </c>
    </row>
    <row r="718" spans="1:13" ht="13.5" customHeight="1" x14ac:dyDescent="0.25">
      <c r="I718" s="16">
        <v>30</v>
      </c>
      <c r="L718" s="16" t="s">
        <v>25</v>
      </c>
      <c r="M718" s="16" t="s">
        <v>45</v>
      </c>
    </row>
    <row r="719" spans="1:13" ht="13.5" customHeight="1" x14ac:dyDescent="0.25">
      <c r="I719" s="16">
        <v>10</v>
      </c>
      <c r="L719" s="16" t="s">
        <v>27</v>
      </c>
    </row>
    <row r="720" spans="1:13" ht="13.5" customHeight="1" x14ac:dyDescent="0.25">
      <c r="I720" s="16">
        <v>20</v>
      </c>
      <c r="L720" s="16" t="s">
        <v>26</v>
      </c>
      <c r="M720" s="16" t="s">
        <v>147</v>
      </c>
    </row>
    <row r="721" spans="1:13" ht="13.5" customHeight="1" x14ac:dyDescent="0.25">
      <c r="I721" s="16">
        <v>20</v>
      </c>
      <c r="L721" s="16" t="s">
        <v>26</v>
      </c>
      <c r="M721" s="15" t="s">
        <v>291</v>
      </c>
    </row>
    <row r="722" spans="1:13" ht="13.5" customHeight="1" x14ac:dyDescent="0.25">
      <c r="I722" s="16">
        <v>20</v>
      </c>
      <c r="L722" s="16" t="s">
        <v>26</v>
      </c>
      <c r="M722" s="15" t="s">
        <v>294</v>
      </c>
    </row>
    <row r="724" spans="1:13" ht="13.5" customHeight="1" x14ac:dyDescent="0.25">
      <c r="A724" s="16" t="s">
        <v>293</v>
      </c>
      <c r="B724" s="16" t="s">
        <v>1</v>
      </c>
      <c r="C724" s="16" t="s">
        <v>18</v>
      </c>
      <c r="D724" s="16" t="s">
        <v>20</v>
      </c>
      <c r="F724" s="16">
        <v>367.17</v>
      </c>
      <c r="G724" s="16">
        <v>11</v>
      </c>
      <c r="H724" s="16" t="s">
        <v>22</v>
      </c>
      <c r="I724" s="16">
        <v>10</v>
      </c>
      <c r="L724" s="16" t="s">
        <v>23</v>
      </c>
      <c r="M724" s="15"/>
    </row>
    <row r="725" spans="1:13" ht="13.5" customHeight="1" x14ac:dyDescent="0.25">
      <c r="I725" s="16">
        <v>110</v>
      </c>
      <c r="L725" s="16" t="s">
        <v>32</v>
      </c>
    </row>
    <row r="726" spans="1:13" ht="13.5" customHeight="1" x14ac:dyDescent="0.25">
      <c r="I726" s="16">
        <v>20</v>
      </c>
      <c r="L726" s="16" t="s">
        <v>33</v>
      </c>
    </row>
    <row r="727" spans="1:13" ht="13.5" customHeight="1" x14ac:dyDescent="0.25">
      <c r="I727" s="16">
        <v>30</v>
      </c>
      <c r="L727" s="16" t="s">
        <v>29</v>
      </c>
      <c r="M727" s="15"/>
    </row>
    <row r="728" spans="1:13" ht="13.5" customHeight="1" x14ac:dyDescent="0.25">
      <c r="I728" s="16">
        <v>40</v>
      </c>
      <c r="L728" s="16" t="s">
        <v>25</v>
      </c>
      <c r="M728" s="16" t="s">
        <v>137</v>
      </c>
    </row>
    <row r="729" spans="1:13" ht="13.5" customHeight="1" x14ac:dyDescent="0.25">
      <c r="I729" s="16">
        <v>10</v>
      </c>
      <c r="L729" s="16" t="s">
        <v>25</v>
      </c>
      <c r="M729" s="16" t="s">
        <v>45</v>
      </c>
    </row>
    <row r="730" spans="1:13" ht="13.5" customHeight="1" x14ac:dyDescent="0.25">
      <c r="I730" s="16">
        <v>10</v>
      </c>
      <c r="L730" s="16" t="s">
        <v>26</v>
      </c>
      <c r="M730" s="16" t="s">
        <v>147</v>
      </c>
    </row>
    <row r="731" spans="1:13" ht="13.5" customHeight="1" x14ac:dyDescent="0.25">
      <c r="I731" s="16">
        <v>20</v>
      </c>
      <c r="L731" s="16" t="s">
        <v>27</v>
      </c>
    </row>
    <row r="732" spans="1:13" ht="13.5" customHeight="1" x14ac:dyDescent="0.25">
      <c r="I732" s="16">
        <v>20</v>
      </c>
      <c r="L732" s="16" t="s">
        <v>25</v>
      </c>
      <c r="M732" s="15" t="s">
        <v>36</v>
      </c>
    </row>
    <row r="734" spans="1:13" ht="13.5" customHeight="1" x14ac:dyDescent="0.25">
      <c r="A734" s="16" t="s">
        <v>293</v>
      </c>
      <c r="B734" s="16" t="s">
        <v>2</v>
      </c>
      <c r="C734" s="16" t="s">
        <v>16</v>
      </c>
      <c r="D734" s="16" t="s">
        <v>19</v>
      </c>
      <c r="F734" s="16">
        <v>385.59</v>
      </c>
      <c r="G734" s="16">
        <v>11</v>
      </c>
      <c r="H734" s="16" t="s">
        <v>22</v>
      </c>
      <c r="I734" s="16">
        <v>10</v>
      </c>
      <c r="L734" s="16" t="s">
        <v>23</v>
      </c>
      <c r="M734" s="15"/>
    </row>
    <row r="735" spans="1:13" ht="13.5" customHeight="1" x14ac:dyDescent="0.25">
      <c r="I735" s="16">
        <v>110</v>
      </c>
      <c r="L735" s="16" t="s">
        <v>32</v>
      </c>
    </row>
    <row r="736" spans="1:13" ht="13.5" customHeight="1" x14ac:dyDescent="0.25">
      <c r="I736" s="16">
        <v>20</v>
      </c>
      <c r="L736" s="16" t="s">
        <v>33</v>
      </c>
    </row>
    <row r="737" spans="1:13" ht="13.5" customHeight="1" x14ac:dyDescent="0.25">
      <c r="I737" s="16">
        <v>30</v>
      </c>
      <c r="L737" s="16" t="s">
        <v>29</v>
      </c>
      <c r="M737" s="15"/>
    </row>
    <row r="738" spans="1:13" ht="13.5" customHeight="1" x14ac:dyDescent="0.25">
      <c r="I738" s="16">
        <v>30</v>
      </c>
      <c r="L738" s="16" t="s">
        <v>25</v>
      </c>
      <c r="M738" s="16" t="s">
        <v>137</v>
      </c>
    </row>
    <row r="739" spans="1:13" ht="13.5" customHeight="1" x14ac:dyDescent="0.25">
      <c r="I739" s="16">
        <v>20</v>
      </c>
      <c r="L739" s="16" t="s">
        <v>25</v>
      </c>
      <c r="M739" s="16" t="s">
        <v>45</v>
      </c>
    </row>
    <row r="740" spans="1:13" ht="13.5" customHeight="1" x14ac:dyDescent="0.25">
      <c r="I740" s="16">
        <v>20</v>
      </c>
      <c r="L740" s="16" t="s">
        <v>27</v>
      </c>
    </row>
    <row r="741" spans="1:13" ht="13.5" customHeight="1" x14ac:dyDescent="0.25">
      <c r="F741" s="16" t="s">
        <v>114</v>
      </c>
      <c r="I741" s="16">
        <v>20</v>
      </c>
      <c r="L741" s="16" t="s">
        <v>26</v>
      </c>
      <c r="M741" s="16" t="s">
        <v>147</v>
      </c>
    </row>
    <row r="745" spans="1:13" ht="13.5" customHeight="1" x14ac:dyDescent="0.25">
      <c r="A745" s="16" t="s">
        <v>295</v>
      </c>
      <c r="B745" s="16" t="s">
        <v>0</v>
      </c>
      <c r="C745" s="16" t="s">
        <v>18</v>
      </c>
      <c r="D745" s="16" t="s">
        <v>21</v>
      </c>
      <c r="F745" s="16">
        <v>312.37599999999998</v>
      </c>
      <c r="G745" s="16">
        <v>9</v>
      </c>
      <c r="H745" s="16" t="s">
        <v>22</v>
      </c>
      <c r="I745" s="16">
        <v>10</v>
      </c>
      <c r="L745" s="16" t="s">
        <v>23</v>
      </c>
      <c r="M745" s="15"/>
    </row>
    <row r="746" spans="1:13" ht="13.5" customHeight="1" x14ac:dyDescent="0.25">
      <c r="I746" s="16">
        <v>90</v>
      </c>
      <c r="L746" s="16" t="s">
        <v>32</v>
      </c>
    </row>
    <row r="747" spans="1:13" ht="13.5" customHeight="1" x14ac:dyDescent="0.25">
      <c r="I747" s="16">
        <v>25</v>
      </c>
      <c r="L747" s="16" t="s">
        <v>33</v>
      </c>
    </row>
    <row r="748" spans="1:13" ht="13.5" customHeight="1" x14ac:dyDescent="0.25">
      <c r="I748" s="16">
        <v>30</v>
      </c>
      <c r="L748" s="16" t="s">
        <v>29</v>
      </c>
      <c r="M748" s="15"/>
    </row>
    <row r="749" spans="1:13" ht="13.5" customHeight="1" x14ac:dyDescent="0.25">
      <c r="I749" s="16">
        <v>40</v>
      </c>
      <c r="L749" s="16" t="s">
        <v>25</v>
      </c>
      <c r="M749" s="16" t="s">
        <v>137</v>
      </c>
    </row>
    <row r="750" spans="1:13" ht="13.5" customHeight="1" x14ac:dyDescent="0.25">
      <c r="I750" s="16">
        <v>30</v>
      </c>
      <c r="L750" s="16" t="s">
        <v>25</v>
      </c>
      <c r="M750" s="16" t="s">
        <v>45</v>
      </c>
    </row>
    <row r="751" spans="1:13" ht="13.5" customHeight="1" x14ac:dyDescent="0.25">
      <c r="I751" s="16">
        <v>10</v>
      </c>
      <c r="L751" s="16" t="s">
        <v>27</v>
      </c>
    </row>
    <row r="752" spans="1:13" ht="13.5" customHeight="1" x14ac:dyDescent="0.25">
      <c r="I752" s="16">
        <v>20</v>
      </c>
      <c r="L752" s="16" t="s">
        <v>26</v>
      </c>
      <c r="M752" s="16" t="s">
        <v>147</v>
      </c>
    </row>
    <row r="753" spans="1:13" ht="13.5" customHeight="1" x14ac:dyDescent="0.25">
      <c r="I753" s="16">
        <v>40</v>
      </c>
      <c r="J753" s="18">
        <v>0.40277777777777773</v>
      </c>
      <c r="K753" s="18">
        <v>0.43055555555555558</v>
      </c>
      <c r="L753" s="16" t="s">
        <v>26</v>
      </c>
      <c r="M753" s="15" t="s">
        <v>189</v>
      </c>
    </row>
    <row r="754" spans="1:13" ht="13.5" customHeight="1" x14ac:dyDescent="0.25">
      <c r="I754" s="16">
        <v>40</v>
      </c>
      <c r="J754" s="18">
        <v>0.52777777777777779</v>
      </c>
      <c r="K754" s="18">
        <v>5.5555555555555552E-2</v>
      </c>
      <c r="L754" s="16" t="s">
        <v>26</v>
      </c>
      <c r="M754" s="15" t="s">
        <v>296</v>
      </c>
    </row>
    <row r="756" spans="1:13" ht="13.5" customHeight="1" x14ac:dyDescent="0.25">
      <c r="A756" s="16" t="s">
        <v>297</v>
      </c>
      <c r="B756" s="16" t="s">
        <v>1</v>
      </c>
      <c r="C756" s="16" t="s">
        <v>7</v>
      </c>
      <c r="D756" s="16" t="s">
        <v>20</v>
      </c>
      <c r="F756" s="16">
        <v>286.91000000000003</v>
      </c>
      <c r="G756" s="16">
        <v>8</v>
      </c>
      <c r="H756" s="16" t="s">
        <v>22</v>
      </c>
      <c r="I756" s="16">
        <v>10</v>
      </c>
      <c r="L756" s="16" t="s">
        <v>23</v>
      </c>
      <c r="M756" s="15"/>
    </row>
    <row r="757" spans="1:13" ht="13.5" customHeight="1" x14ac:dyDescent="0.25">
      <c r="I757" s="16">
        <v>80</v>
      </c>
      <c r="L757" s="16" t="s">
        <v>32</v>
      </c>
    </row>
    <row r="758" spans="1:13" ht="13.5" customHeight="1" x14ac:dyDescent="0.25">
      <c r="I758" s="16">
        <v>20</v>
      </c>
      <c r="L758" s="16" t="s">
        <v>33</v>
      </c>
    </row>
    <row r="759" spans="1:13" ht="13.5" customHeight="1" x14ac:dyDescent="0.25">
      <c r="I759" s="16">
        <v>30</v>
      </c>
      <c r="L759" s="16" t="s">
        <v>29</v>
      </c>
      <c r="M759" s="15"/>
    </row>
    <row r="760" spans="1:13" ht="13.5" customHeight="1" x14ac:dyDescent="0.25">
      <c r="I760" s="16">
        <v>40</v>
      </c>
      <c r="L760" s="16" t="s">
        <v>25</v>
      </c>
      <c r="M760" s="16" t="s">
        <v>137</v>
      </c>
    </row>
    <row r="761" spans="1:13" ht="13.5" customHeight="1" x14ac:dyDescent="0.25">
      <c r="I761" s="16">
        <v>10</v>
      </c>
      <c r="L761" s="16" t="s">
        <v>25</v>
      </c>
      <c r="M761" s="16" t="s">
        <v>45</v>
      </c>
    </row>
    <row r="762" spans="1:13" ht="13.5" customHeight="1" x14ac:dyDescent="0.25">
      <c r="I762" s="16">
        <v>10</v>
      </c>
      <c r="L762" s="16" t="s">
        <v>26</v>
      </c>
      <c r="M762" s="16" t="s">
        <v>147</v>
      </c>
    </row>
    <row r="763" spans="1:13" ht="13.5" customHeight="1" x14ac:dyDescent="0.25">
      <c r="I763" s="16">
        <v>20</v>
      </c>
      <c r="L763" s="16" t="s">
        <v>27</v>
      </c>
    </row>
    <row r="764" spans="1:13" ht="13.5" customHeight="1" x14ac:dyDescent="0.25">
      <c r="I764" s="16">
        <v>20</v>
      </c>
      <c r="L764" s="16" t="s">
        <v>25</v>
      </c>
      <c r="M764" s="15" t="s">
        <v>36</v>
      </c>
    </row>
    <row r="765" spans="1:13" ht="13.5" customHeight="1" x14ac:dyDescent="0.25">
      <c r="I765" s="16">
        <v>180</v>
      </c>
      <c r="J765" s="18">
        <v>9.0277777777777776E-2</v>
      </c>
      <c r="K765" s="18">
        <v>0.18055555555555555</v>
      </c>
      <c r="L765" s="16" t="s">
        <v>26</v>
      </c>
      <c r="M765" s="15" t="s">
        <v>298</v>
      </c>
    </row>
    <row r="767" spans="1:13" ht="13.5" customHeight="1" x14ac:dyDescent="0.25">
      <c r="A767" s="16" t="s">
        <v>297</v>
      </c>
      <c r="B767" s="16" t="s">
        <v>2</v>
      </c>
      <c r="C767" s="16" t="s">
        <v>16</v>
      </c>
      <c r="D767" s="16" t="s">
        <v>19</v>
      </c>
      <c r="F767" s="16">
        <v>329.66</v>
      </c>
      <c r="G767" s="16">
        <v>9.75</v>
      </c>
      <c r="H767" s="16" t="s">
        <v>22</v>
      </c>
      <c r="I767" s="16">
        <v>10</v>
      </c>
      <c r="L767" s="16" t="s">
        <v>23</v>
      </c>
      <c r="M767" s="15"/>
    </row>
    <row r="768" spans="1:13" ht="13.5" customHeight="1" x14ac:dyDescent="0.25">
      <c r="I768" s="16">
        <v>90</v>
      </c>
      <c r="L768" s="16" t="s">
        <v>32</v>
      </c>
    </row>
    <row r="769" spans="1:13" ht="13.5" customHeight="1" x14ac:dyDescent="0.25">
      <c r="I769" s="16">
        <v>20</v>
      </c>
      <c r="L769" s="16" t="s">
        <v>33</v>
      </c>
    </row>
    <row r="770" spans="1:13" ht="13.5" customHeight="1" x14ac:dyDescent="0.25">
      <c r="I770" s="16">
        <v>20</v>
      </c>
      <c r="L770" s="16" t="s">
        <v>29</v>
      </c>
      <c r="M770" s="15"/>
    </row>
    <row r="771" spans="1:13" ht="13.5" customHeight="1" x14ac:dyDescent="0.25">
      <c r="I771" s="16">
        <v>20</v>
      </c>
      <c r="L771" s="16" t="s">
        <v>25</v>
      </c>
      <c r="M771" s="16" t="s">
        <v>137</v>
      </c>
    </row>
    <row r="772" spans="1:13" ht="13.5" customHeight="1" x14ac:dyDescent="0.25">
      <c r="I772" s="16">
        <v>20</v>
      </c>
      <c r="L772" s="16" t="s">
        <v>25</v>
      </c>
      <c r="M772" s="16" t="s">
        <v>45</v>
      </c>
    </row>
    <row r="773" spans="1:13" ht="13.5" customHeight="1" x14ac:dyDescent="0.25">
      <c r="I773" s="16">
        <v>20</v>
      </c>
      <c r="L773" s="16" t="s">
        <v>27</v>
      </c>
    </row>
    <row r="774" spans="1:13" ht="13.5" customHeight="1" x14ac:dyDescent="0.25">
      <c r="F774" s="16" t="s">
        <v>114</v>
      </c>
      <c r="I774" s="16">
        <v>20</v>
      </c>
      <c r="L774" s="16" t="s">
        <v>26</v>
      </c>
      <c r="M774" s="16" t="s">
        <v>147</v>
      </c>
    </row>
    <row r="775" spans="1:13" ht="13.5" customHeight="1" x14ac:dyDescent="0.25">
      <c r="I775" s="16">
        <v>15</v>
      </c>
      <c r="L775" s="16" t="s">
        <v>25</v>
      </c>
      <c r="M775" s="15" t="s">
        <v>291</v>
      </c>
    </row>
    <row r="776" spans="1:13" ht="13.5" customHeight="1" x14ac:dyDescent="0.25">
      <c r="I776" s="16">
        <v>60</v>
      </c>
      <c r="L776" s="16" t="s">
        <v>26</v>
      </c>
      <c r="M776" s="16" t="s">
        <v>299</v>
      </c>
    </row>
    <row r="777" spans="1:13" ht="13.5" customHeight="1" x14ac:dyDescent="0.25">
      <c r="M777" s="15"/>
    </row>
    <row r="778" spans="1:13" ht="13.5" customHeight="1" x14ac:dyDescent="0.25">
      <c r="A778" s="16" t="s">
        <v>300</v>
      </c>
      <c r="B778" s="16" t="s">
        <v>0</v>
      </c>
      <c r="C778" s="16" t="s">
        <v>6</v>
      </c>
      <c r="D778" s="16" t="s">
        <v>21</v>
      </c>
      <c r="F778" s="16">
        <v>285</v>
      </c>
      <c r="G778" s="16">
        <v>9.25</v>
      </c>
      <c r="H778" s="16" t="s">
        <v>22</v>
      </c>
      <c r="I778" s="16">
        <v>10</v>
      </c>
      <c r="L778" s="16" t="s">
        <v>23</v>
      </c>
      <c r="M778" s="15"/>
    </row>
    <row r="779" spans="1:13" ht="13.5" customHeight="1" x14ac:dyDescent="0.25">
      <c r="I779" s="16">
        <v>90</v>
      </c>
      <c r="L779" s="16" t="s">
        <v>32</v>
      </c>
    </row>
    <row r="780" spans="1:13" ht="13.5" customHeight="1" x14ac:dyDescent="0.25">
      <c r="I780" s="16">
        <v>20</v>
      </c>
      <c r="L780" s="16" t="s">
        <v>33</v>
      </c>
    </row>
    <row r="781" spans="1:13" ht="13.5" customHeight="1" x14ac:dyDescent="0.25">
      <c r="I781" s="16">
        <v>30</v>
      </c>
      <c r="L781" s="16" t="s">
        <v>29</v>
      </c>
      <c r="M781" s="15"/>
    </row>
    <row r="782" spans="1:13" ht="13.5" customHeight="1" x14ac:dyDescent="0.25">
      <c r="I782" s="16">
        <v>30</v>
      </c>
      <c r="L782" s="16" t="s">
        <v>25</v>
      </c>
      <c r="M782" s="16" t="s">
        <v>137</v>
      </c>
    </row>
    <row r="783" spans="1:13" ht="13.5" customHeight="1" x14ac:dyDescent="0.25">
      <c r="I783" s="16">
        <v>20</v>
      </c>
      <c r="L783" s="16" t="s">
        <v>25</v>
      </c>
      <c r="M783" s="16" t="s">
        <v>45</v>
      </c>
    </row>
    <row r="784" spans="1:13" ht="13.5" customHeight="1" x14ac:dyDescent="0.25">
      <c r="I784" s="16">
        <v>10</v>
      </c>
      <c r="L784" s="16" t="s">
        <v>27</v>
      </c>
    </row>
    <row r="785" spans="1:13" ht="13.5" customHeight="1" x14ac:dyDescent="0.25">
      <c r="I785" s="16">
        <v>20</v>
      </c>
      <c r="L785" s="16" t="s">
        <v>26</v>
      </c>
      <c r="M785" s="16" t="s">
        <v>147</v>
      </c>
    </row>
    <row r="786" spans="1:13" ht="13.5" customHeight="1" x14ac:dyDescent="0.25">
      <c r="I786" s="16">
        <v>160</v>
      </c>
      <c r="J786" s="18">
        <v>0.25</v>
      </c>
      <c r="K786" s="18">
        <v>0.3611111111111111</v>
      </c>
      <c r="L786" s="16" t="s">
        <v>26</v>
      </c>
      <c r="M786" s="16" t="s">
        <v>299</v>
      </c>
    </row>
    <row r="788" spans="1:13" ht="13.5" customHeight="1" x14ac:dyDescent="0.25">
      <c r="A788" s="16" t="s">
        <v>300</v>
      </c>
      <c r="B788" s="16" t="s">
        <v>1</v>
      </c>
      <c r="C788" s="16" t="s">
        <v>15</v>
      </c>
      <c r="D788" s="16" t="s">
        <v>20</v>
      </c>
      <c r="F788" s="16">
        <v>319.14999999999998</v>
      </c>
      <c r="G788" s="16">
        <v>9</v>
      </c>
      <c r="H788" s="16" t="s">
        <v>22</v>
      </c>
      <c r="I788" s="16">
        <v>10</v>
      </c>
      <c r="L788" s="16" t="s">
        <v>23</v>
      </c>
      <c r="M788" s="15"/>
    </row>
    <row r="789" spans="1:13" ht="13.5" customHeight="1" x14ac:dyDescent="0.25">
      <c r="I789" s="16">
        <v>90</v>
      </c>
      <c r="L789" s="16" t="s">
        <v>32</v>
      </c>
    </row>
    <row r="790" spans="1:13" ht="13.5" customHeight="1" x14ac:dyDescent="0.25">
      <c r="I790" s="16">
        <v>20</v>
      </c>
      <c r="L790" s="16" t="s">
        <v>33</v>
      </c>
    </row>
    <row r="791" spans="1:13" ht="13.5" customHeight="1" x14ac:dyDescent="0.25">
      <c r="I791" s="16">
        <v>30</v>
      </c>
      <c r="L791" s="16" t="s">
        <v>29</v>
      </c>
      <c r="M791" s="15"/>
    </row>
    <row r="792" spans="1:13" ht="13.5" customHeight="1" x14ac:dyDescent="0.25">
      <c r="I792" s="16">
        <v>70</v>
      </c>
      <c r="L792" s="16" t="s">
        <v>25</v>
      </c>
      <c r="M792" s="15" t="s">
        <v>169</v>
      </c>
    </row>
    <row r="793" spans="1:13" ht="13.5" customHeight="1" x14ac:dyDescent="0.25">
      <c r="I793" s="16">
        <v>10</v>
      </c>
      <c r="L793" s="16" t="s">
        <v>25</v>
      </c>
      <c r="M793" s="16" t="s">
        <v>45</v>
      </c>
    </row>
    <row r="794" spans="1:13" ht="13.5" customHeight="1" x14ac:dyDescent="0.25">
      <c r="I794" s="16">
        <v>10</v>
      </c>
      <c r="L794" s="16" t="s">
        <v>26</v>
      </c>
      <c r="M794" s="16" t="s">
        <v>147</v>
      </c>
    </row>
    <row r="795" spans="1:13" ht="13.5" customHeight="1" x14ac:dyDescent="0.25">
      <c r="I795" s="16">
        <v>20</v>
      </c>
      <c r="L795" s="16" t="s">
        <v>27</v>
      </c>
    </row>
    <row r="796" spans="1:13" ht="13.5" customHeight="1" x14ac:dyDescent="0.25">
      <c r="I796" s="16">
        <v>20</v>
      </c>
      <c r="L796" s="16" t="s">
        <v>25</v>
      </c>
      <c r="M796" s="15" t="s">
        <v>36</v>
      </c>
    </row>
    <row r="797" spans="1:13" ht="13.5" customHeight="1" x14ac:dyDescent="0.25">
      <c r="I797" s="16">
        <v>110</v>
      </c>
      <c r="J797" s="18">
        <v>0.33333333333333331</v>
      </c>
      <c r="K797" s="18">
        <v>0.40972222222222227</v>
      </c>
      <c r="L797" s="16" t="s">
        <v>26</v>
      </c>
      <c r="M797" s="15" t="s">
        <v>301</v>
      </c>
    </row>
    <row r="799" spans="1:13" ht="13.5" customHeight="1" x14ac:dyDescent="0.25">
      <c r="A799" s="16" t="s">
        <v>300</v>
      </c>
      <c r="B799" s="16" t="s">
        <v>2</v>
      </c>
      <c r="C799" s="16" t="s">
        <v>16</v>
      </c>
      <c r="D799" s="16" t="s">
        <v>19</v>
      </c>
      <c r="F799" s="16">
        <v>299.43</v>
      </c>
      <c r="G799" s="16">
        <v>9</v>
      </c>
      <c r="H799" s="16" t="s">
        <v>22</v>
      </c>
      <c r="I799" s="16">
        <v>10</v>
      </c>
      <c r="L799" s="16" t="s">
        <v>23</v>
      </c>
      <c r="M799" s="15"/>
    </row>
    <row r="800" spans="1:13" ht="13.5" customHeight="1" x14ac:dyDescent="0.25">
      <c r="I800" s="16">
        <v>100</v>
      </c>
      <c r="L800" s="16" t="s">
        <v>32</v>
      </c>
    </row>
    <row r="801" spans="1:13" ht="13.5" customHeight="1" x14ac:dyDescent="0.25">
      <c r="D801" s="16" t="s">
        <v>305</v>
      </c>
      <c r="I801" s="16">
        <v>30</v>
      </c>
      <c r="L801" s="16" t="s">
        <v>33</v>
      </c>
    </row>
    <row r="802" spans="1:13" ht="13.5" customHeight="1" x14ac:dyDescent="0.25">
      <c r="I802" s="16">
        <v>20</v>
      </c>
      <c r="L802" s="16" t="s">
        <v>29</v>
      </c>
      <c r="M802" s="15"/>
    </row>
    <row r="803" spans="1:13" ht="13.5" customHeight="1" x14ac:dyDescent="0.25">
      <c r="I803" s="16">
        <v>30</v>
      </c>
      <c r="L803" s="16" t="s">
        <v>25</v>
      </c>
      <c r="M803" s="16" t="s">
        <v>137</v>
      </c>
    </row>
    <row r="804" spans="1:13" ht="13.5" customHeight="1" x14ac:dyDescent="0.25">
      <c r="I804" s="16">
        <v>20</v>
      </c>
      <c r="L804" s="16" t="s">
        <v>25</v>
      </c>
      <c r="M804" s="16" t="s">
        <v>45</v>
      </c>
    </row>
    <row r="805" spans="1:13" ht="13.5" customHeight="1" x14ac:dyDescent="0.25">
      <c r="I805" s="16">
        <v>15</v>
      </c>
      <c r="L805" s="16" t="s">
        <v>27</v>
      </c>
    </row>
    <row r="806" spans="1:13" ht="13.5" customHeight="1" x14ac:dyDescent="0.25">
      <c r="F806" s="16" t="s">
        <v>114</v>
      </c>
      <c r="I806" s="16">
        <v>15</v>
      </c>
      <c r="L806" s="16" t="s">
        <v>26</v>
      </c>
      <c r="M806" s="16" t="s">
        <v>147</v>
      </c>
    </row>
    <row r="807" spans="1:13" ht="13.5" customHeight="1" x14ac:dyDescent="0.25">
      <c r="I807" s="16">
        <v>60</v>
      </c>
      <c r="J807" s="18">
        <v>0.41666666666666669</v>
      </c>
      <c r="K807" s="18">
        <v>0.45833333333333331</v>
      </c>
      <c r="L807" s="16" t="s">
        <v>26</v>
      </c>
      <c r="M807" s="15" t="s">
        <v>304</v>
      </c>
    </row>
    <row r="808" spans="1:13" ht="13.5" customHeight="1" x14ac:dyDescent="0.25">
      <c r="I808" s="16">
        <v>15</v>
      </c>
      <c r="J808" s="18">
        <v>0.16666666666666666</v>
      </c>
      <c r="K808" s="18">
        <v>0.17708333333333334</v>
      </c>
      <c r="L808" s="16" t="s">
        <v>26</v>
      </c>
      <c r="M808" s="15" t="s">
        <v>302</v>
      </c>
    </row>
    <row r="809" spans="1:13" ht="13.5" customHeight="1" x14ac:dyDescent="0.25">
      <c r="I809" s="16">
        <v>75</v>
      </c>
      <c r="J809" s="18">
        <v>0.19791666666666666</v>
      </c>
      <c r="K809" s="18">
        <v>0.25</v>
      </c>
      <c r="L809" s="16" t="s">
        <v>26</v>
      </c>
      <c r="M809" s="15" t="s">
        <v>303</v>
      </c>
    </row>
    <row r="811" spans="1:13" ht="13.5" customHeight="1" x14ac:dyDescent="0.25">
      <c r="A811" s="16" t="s">
        <v>306</v>
      </c>
      <c r="B811" s="16" t="s">
        <v>0</v>
      </c>
      <c r="C811" s="16" t="s">
        <v>6</v>
      </c>
      <c r="D811" s="16" t="s">
        <v>21</v>
      </c>
      <c r="F811" s="16">
        <f>29.64+27.16+32.47+37.84+31.47</f>
        <v>158.57999999999998</v>
      </c>
      <c r="G811" s="16">
        <v>5</v>
      </c>
      <c r="H811" s="16" t="s">
        <v>22</v>
      </c>
      <c r="I811" s="16">
        <v>140</v>
      </c>
      <c r="J811" s="18">
        <v>0.25</v>
      </c>
      <c r="K811" s="18">
        <v>0.34722222222222227</v>
      </c>
      <c r="L811" s="16" t="s">
        <v>26</v>
      </c>
      <c r="M811" s="15" t="s">
        <v>303</v>
      </c>
    </row>
    <row r="812" spans="1:13" ht="13.5" customHeight="1" x14ac:dyDescent="0.25">
      <c r="I812" s="16">
        <v>50</v>
      </c>
      <c r="L812" s="16" t="s">
        <v>32</v>
      </c>
    </row>
    <row r="813" spans="1:13" ht="13.5" customHeight="1" x14ac:dyDescent="0.25">
      <c r="I813" s="16">
        <v>10</v>
      </c>
      <c r="L813" s="16" t="s">
        <v>33</v>
      </c>
    </row>
    <row r="814" spans="1:13" ht="13.5" customHeight="1" x14ac:dyDescent="0.25">
      <c r="I814" s="16">
        <v>10</v>
      </c>
      <c r="L814" s="16" t="s">
        <v>29</v>
      </c>
      <c r="M814" s="15"/>
    </row>
    <row r="815" spans="1:13" ht="13.5" customHeight="1" x14ac:dyDescent="0.25">
      <c r="I815" s="16">
        <v>120</v>
      </c>
      <c r="L815" s="16" t="s">
        <v>25</v>
      </c>
      <c r="M815" s="16" t="s">
        <v>137</v>
      </c>
    </row>
    <row r="816" spans="1:13" ht="13.5" customHeight="1" x14ac:dyDescent="0.25">
      <c r="I816" s="16">
        <v>100</v>
      </c>
      <c r="J816" s="18">
        <v>0.4201388888888889</v>
      </c>
      <c r="K816" s="18">
        <v>0.48958333333333331</v>
      </c>
      <c r="L816" s="16" t="s">
        <v>26</v>
      </c>
      <c r="M816" s="15" t="s">
        <v>307</v>
      </c>
    </row>
    <row r="818" spans="1:13" ht="13.5" customHeight="1" x14ac:dyDescent="0.25">
      <c r="A818" s="16" t="s">
        <v>306</v>
      </c>
      <c r="B818" s="16" t="s">
        <v>1</v>
      </c>
      <c r="C818" s="16" t="s">
        <v>15</v>
      </c>
      <c r="D818" s="16" t="s">
        <v>20</v>
      </c>
      <c r="F818" s="16">
        <v>327.67</v>
      </c>
      <c r="G818" s="16">
        <v>10</v>
      </c>
      <c r="H818" s="16" t="s">
        <v>22</v>
      </c>
      <c r="I818" s="16">
        <v>10</v>
      </c>
      <c r="L818" s="16" t="s">
        <v>23</v>
      </c>
    </row>
    <row r="819" spans="1:13" ht="13.5" customHeight="1" x14ac:dyDescent="0.25">
      <c r="I819" s="16">
        <v>100</v>
      </c>
      <c r="L819" s="16" t="s">
        <v>32</v>
      </c>
    </row>
    <row r="820" spans="1:13" ht="13.5" customHeight="1" x14ac:dyDescent="0.25">
      <c r="I820" s="16">
        <v>15</v>
      </c>
      <c r="L820" s="16" t="s">
        <v>33</v>
      </c>
    </row>
    <row r="821" spans="1:13" ht="13.5" customHeight="1" x14ac:dyDescent="0.25">
      <c r="I821" s="16">
        <v>15</v>
      </c>
      <c r="L821" s="16" t="s">
        <v>29</v>
      </c>
      <c r="M821" s="15"/>
    </row>
    <row r="822" spans="1:13" ht="13.5" customHeight="1" x14ac:dyDescent="0.25">
      <c r="I822" s="16">
        <v>10</v>
      </c>
      <c r="L822" s="16" t="s">
        <v>25</v>
      </c>
      <c r="M822" s="16" t="s">
        <v>137</v>
      </c>
    </row>
    <row r="823" spans="1:13" ht="13.5" customHeight="1" x14ac:dyDescent="0.25">
      <c r="I823" s="16">
        <v>10</v>
      </c>
      <c r="L823" s="16" t="s">
        <v>25</v>
      </c>
      <c r="M823" s="16" t="s">
        <v>45</v>
      </c>
    </row>
    <row r="824" spans="1:13" ht="13.5" customHeight="1" x14ac:dyDescent="0.25">
      <c r="I824" s="16">
        <v>10</v>
      </c>
      <c r="L824" s="16" t="s">
        <v>27</v>
      </c>
    </row>
    <row r="825" spans="1:13" ht="13.5" customHeight="1" x14ac:dyDescent="0.25">
      <c r="I825" s="16">
        <v>10</v>
      </c>
      <c r="L825" s="16" t="s">
        <v>26</v>
      </c>
      <c r="M825" s="16" t="s">
        <v>147</v>
      </c>
    </row>
    <row r="826" spans="1:13" ht="13.5" customHeight="1" x14ac:dyDescent="0.25">
      <c r="I826" s="16">
        <v>60</v>
      </c>
      <c r="J826" s="18">
        <v>0.3125</v>
      </c>
      <c r="K826" s="18">
        <v>0.35416666666666669</v>
      </c>
      <c r="L826" s="16" t="s">
        <v>26</v>
      </c>
      <c r="M826" s="15" t="s">
        <v>308</v>
      </c>
    </row>
    <row r="828" spans="1:13" ht="13.5" customHeight="1" x14ac:dyDescent="0.25">
      <c r="A828" s="16" t="s">
        <v>309</v>
      </c>
      <c r="B828" s="16" t="s">
        <v>2</v>
      </c>
      <c r="C828" s="16" t="s">
        <v>16</v>
      </c>
      <c r="D828" s="16" t="s">
        <v>19</v>
      </c>
      <c r="F828" s="16">
        <v>363.69</v>
      </c>
      <c r="G828" s="16">
        <v>11</v>
      </c>
      <c r="H828" s="16" t="s">
        <v>22</v>
      </c>
      <c r="I828" s="16">
        <v>10</v>
      </c>
      <c r="L828" s="16" t="s">
        <v>23</v>
      </c>
      <c r="M828" s="15"/>
    </row>
    <row r="829" spans="1:13" ht="13.5" customHeight="1" x14ac:dyDescent="0.25">
      <c r="I829" s="16">
        <v>110</v>
      </c>
      <c r="L829" s="16" t="s">
        <v>32</v>
      </c>
    </row>
    <row r="830" spans="1:13" ht="13.5" customHeight="1" x14ac:dyDescent="0.25">
      <c r="D830" s="16" t="s">
        <v>305</v>
      </c>
      <c r="I830" s="16">
        <v>30</v>
      </c>
      <c r="L830" s="16" t="s">
        <v>33</v>
      </c>
    </row>
    <row r="831" spans="1:13" ht="13.5" customHeight="1" x14ac:dyDescent="0.25">
      <c r="I831" s="16">
        <v>20</v>
      </c>
      <c r="L831" s="16" t="s">
        <v>29</v>
      </c>
      <c r="M831" s="15"/>
    </row>
    <row r="832" spans="1:13" ht="13.5" customHeight="1" x14ac:dyDescent="0.25">
      <c r="I832" s="16">
        <v>30</v>
      </c>
      <c r="L832" s="16" t="s">
        <v>25</v>
      </c>
      <c r="M832" s="16" t="s">
        <v>137</v>
      </c>
    </row>
    <row r="833" spans="1:13" ht="13.5" customHeight="1" x14ac:dyDescent="0.25">
      <c r="I833" s="16">
        <v>20</v>
      </c>
      <c r="L833" s="16" t="s">
        <v>25</v>
      </c>
      <c r="M833" s="16" t="s">
        <v>45</v>
      </c>
    </row>
    <row r="834" spans="1:13" ht="13.5" customHeight="1" x14ac:dyDescent="0.25">
      <c r="I834" s="16">
        <v>20</v>
      </c>
      <c r="L834" s="16" t="s">
        <v>27</v>
      </c>
    </row>
    <row r="835" spans="1:13" ht="13.5" customHeight="1" x14ac:dyDescent="0.25">
      <c r="F835" s="16" t="s">
        <v>114</v>
      </c>
      <c r="I835" s="16">
        <v>20</v>
      </c>
      <c r="L835" s="16" t="s">
        <v>26</v>
      </c>
      <c r="M835" s="16" t="s">
        <v>147</v>
      </c>
    </row>
    <row r="837" spans="1:13" ht="13.5" customHeight="1" x14ac:dyDescent="0.25">
      <c r="A837" s="16" t="s">
        <v>310</v>
      </c>
      <c r="B837" s="16" t="s">
        <v>0</v>
      </c>
      <c r="C837" s="16" t="s">
        <v>6</v>
      </c>
      <c r="D837" s="16" t="s">
        <v>21</v>
      </c>
      <c r="F837" s="16">
        <f>37.68+22.94+38.58+35.37+31.54+37.83+38.21+23.16+0.806+3.992+3.99+3.99</f>
        <v>278.08800000000002</v>
      </c>
      <c r="G837" s="16">
        <v>8.5</v>
      </c>
      <c r="H837" s="16" t="s">
        <v>22</v>
      </c>
      <c r="I837" s="16">
        <v>10</v>
      </c>
      <c r="L837" s="16" t="s">
        <v>23</v>
      </c>
      <c r="M837" s="15"/>
    </row>
    <row r="838" spans="1:13" ht="13.5" customHeight="1" x14ac:dyDescent="0.25">
      <c r="I838" s="16">
        <v>90</v>
      </c>
      <c r="L838" s="16" t="s">
        <v>32</v>
      </c>
    </row>
    <row r="839" spans="1:13" ht="13.5" customHeight="1" x14ac:dyDescent="0.25">
      <c r="I839" s="16">
        <v>20</v>
      </c>
      <c r="L839" s="16" t="s">
        <v>33</v>
      </c>
    </row>
    <row r="840" spans="1:13" ht="13.5" customHeight="1" x14ac:dyDescent="0.25">
      <c r="I840" s="16">
        <v>90</v>
      </c>
      <c r="L840" s="16" t="s">
        <v>25</v>
      </c>
      <c r="M840" s="16" t="s">
        <v>137</v>
      </c>
    </row>
    <row r="841" spans="1:13" ht="13.5" customHeight="1" x14ac:dyDescent="0.25">
      <c r="I841" s="16">
        <v>20</v>
      </c>
      <c r="L841" s="16" t="s">
        <v>25</v>
      </c>
      <c r="M841" s="16" t="s">
        <v>45</v>
      </c>
    </row>
    <row r="842" spans="1:13" ht="13.5" customHeight="1" x14ac:dyDescent="0.25">
      <c r="I842" s="16">
        <v>10</v>
      </c>
      <c r="L842" s="16" t="s">
        <v>27</v>
      </c>
    </row>
    <row r="843" spans="1:13" ht="13.5" customHeight="1" x14ac:dyDescent="0.25">
      <c r="I843" s="16">
        <v>20</v>
      </c>
      <c r="L843" s="16" t="s">
        <v>26</v>
      </c>
      <c r="M843" s="16" t="s">
        <v>147</v>
      </c>
    </row>
    <row r="844" spans="1:13" ht="13.5" customHeight="1" x14ac:dyDescent="0.25">
      <c r="I844" s="16">
        <v>20</v>
      </c>
      <c r="L844" s="16" t="s">
        <v>26</v>
      </c>
      <c r="M844" s="15" t="s">
        <v>311</v>
      </c>
    </row>
    <row r="845" spans="1:13" ht="13.5" customHeight="1" x14ac:dyDescent="0.25">
      <c r="I845" s="16">
        <v>20</v>
      </c>
      <c r="L845" s="16" t="s">
        <v>24</v>
      </c>
      <c r="M845" s="15" t="s">
        <v>312</v>
      </c>
    </row>
    <row r="847" spans="1:13" ht="13.5" customHeight="1" x14ac:dyDescent="0.25">
      <c r="A847" s="16" t="s">
        <v>310</v>
      </c>
      <c r="B847" s="16" t="s">
        <v>1</v>
      </c>
      <c r="C847" s="16" t="s">
        <v>16</v>
      </c>
      <c r="D847" s="16" t="s">
        <v>20</v>
      </c>
      <c r="F847" s="16">
        <v>315.25700000000001</v>
      </c>
      <c r="G847" s="16">
        <v>10</v>
      </c>
      <c r="H847" s="16" t="s">
        <v>22</v>
      </c>
      <c r="I847" s="16">
        <v>10</v>
      </c>
      <c r="L847" s="16" t="s">
        <v>23</v>
      </c>
    </row>
    <row r="848" spans="1:13" ht="13.5" customHeight="1" x14ac:dyDescent="0.25">
      <c r="I848" s="16">
        <v>100</v>
      </c>
      <c r="L848" s="16" t="s">
        <v>32</v>
      </c>
    </row>
    <row r="849" spans="1:13" ht="13.5" customHeight="1" x14ac:dyDescent="0.25">
      <c r="I849" s="16">
        <v>15</v>
      </c>
      <c r="L849" s="16" t="s">
        <v>33</v>
      </c>
    </row>
    <row r="850" spans="1:13" ht="13.5" customHeight="1" x14ac:dyDescent="0.25">
      <c r="I850" s="16">
        <v>15</v>
      </c>
      <c r="L850" s="16" t="s">
        <v>29</v>
      </c>
      <c r="M850" s="15"/>
    </row>
    <row r="851" spans="1:13" ht="13.5" customHeight="1" x14ac:dyDescent="0.25">
      <c r="I851" s="16">
        <v>10</v>
      </c>
      <c r="L851" s="16" t="s">
        <v>25</v>
      </c>
      <c r="M851" s="16" t="s">
        <v>137</v>
      </c>
    </row>
    <row r="852" spans="1:13" ht="13.5" customHeight="1" x14ac:dyDescent="0.25">
      <c r="I852" s="16">
        <v>10</v>
      </c>
      <c r="L852" s="16" t="s">
        <v>25</v>
      </c>
      <c r="M852" s="16" t="s">
        <v>45</v>
      </c>
    </row>
    <row r="853" spans="1:13" ht="13.5" customHeight="1" x14ac:dyDescent="0.25">
      <c r="I853" s="16">
        <v>10</v>
      </c>
      <c r="L853" s="16" t="s">
        <v>27</v>
      </c>
    </row>
    <row r="854" spans="1:13" ht="13.5" customHeight="1" x14ac:dyDescent="0.25">
      <c r="I854" s="16">
        <v>10</v>
      </c>
      <c r="L854" s="16" t="s">
        <v>26</v>
      </c>
      <c r="M854" s="16" t="s">
        <v>147</v>
      </c>
    </row>
    <row r="855" spans="1:13" ht="13.5" customHeight="1" x14ac:dyDescent="0.25">
      <c r="I855" s="16">
        <v>50</v>
      </c>
      <c r="L855" s="16" t="s">
        <v>24</v>
      </c>
      <c r="M855" s="15" t="s">
        <v>313</v>
      </c>
    </row>
    <row r="857" spans="1:13" ht="13.5" customHeight="1" x14ac:dyDescent="0.25">
      <c r="A857" s="16" t="s">
        <v>314</v>
      </c>
      <c r="B857" s="16" t="s">
        <v>2</v>
      </c>
      <c r="C857" s="16" t="s">
        <v>15</v>
      </c>
      <c r="D857" s="16" t="s">
        <v>19</v>
      </c>
      <c r="F857" s="16">
        <v>289.33</v>
      </c>
      <c r="G857" s="16">
        <v>8.25</v>
      </c>
      <c r="H857" s="16" t="s">
        <v>22</v>
      </c>
      <c r="I857" s="16">
        <v>10</v>
      </c>
      <c r="L857" s="16" t="s">
        <v>23</v>
      </c>
      <c r="M857" s="15"/>
    </row>
    <row r="858" spans="1:13" ht="13.5" customHeight="1" x14ac:dyDescent="0.25">
      <c r="I858" s="16">
        <v>80</v>
      </c>
      <c r="L858" s="16" t="s">
        <v>32</v>
      </c>
    </row>
    <row r="859" spans="1:13" ht="13.5" customHeight="1" x14ac:dyDescent="0.25">
      <c r="D859" s="16" t="s">
        <v>305</v>
      </c>
      <c r="I859" s="16">
        <v>30</v>
      </c>
      <c r="L859" s="16" t="s">
        <v>33</v>
      </c>
    </row>
    <row r="860" spans="1:13" ht="13.5" customHeight="1" x14ac:dyDescent="0.25">
      <c r="I860" s="16">
        <v>20</v>
      </c>
      <c r="L860" s="16" t="s">
        <v>29</v>
      </c>
      <c r="M860" s="15"/>
    </row>
    <row r="861" spans="1:13" ht="13.5" customHeight="1" x14ac:dyDescent="0.25">
      <c r="I861" s="16">
        <v>20</v>
      </c>
      <c r="L861" s="16" t="s">
        <v>25</v>
      </c>
      <c r="M861" s="16" t="s">
        <v>137</v>
      </c>
    </row>
    <row r="862" spans="1:13" ht="13.5" customHeight="1" x14ac:dyDescent="0.25">
      <c r="I862" s="16">
        <v>20</v>
      </c>
      <c r="L862" s="16" t="s">
        <v>25</v>
      </c>
      <c r="M862" s="16" t="s">
        <v>45</v>
      </c>
    </row>
    <row r="863" spans="1:13" ht="13.5" customHeight="1" x14ac:dyDescent="0.25">
      <c r="I863" s="16">
        <v>20</v>
      </c>
      <c r="L863" s="16" t="s">
        <v>27</v>
      </c>
    </row>
    <row r="864" spans="1:13" ht="13.5" customHeight="1" x14ac:dyDescent="0.25">
      <c r="F864" s="16" t="s">
        <v>114</v>
      </c>
      <c r="I864" s="16">
        <v>20</v>
      </c>
      <c r="L864" s="16" t="s">
        <v>26</v>
      </c>
      <c r="M864" s="16" t="s">
        <v>147</v>
      </c>
    </row>
    <row r="865" spans="1:14" ht="13.5" customHeight="1" x14ac:dyDescent="0.25">
      <c r="I865" s="16">
        <v>40</v>
      </c>
      <c r="L865" s="16" t="s">
        <v>26</v>
      </c>
      <c r="M865" s="16" t="s">
        <v>129</v>
      </c>
    </row>
    <row r="866" spans="1:14" ht="13.5" customHeight="1" x14ac:dyDescent="0.25">
      <c r="I866" s="16">
        <v>100</v>
      </c>
      <c r="L866" s="16" t="s">
        <v>26</v>
      </c>
      <c r="M866" s="16" t="s">
        <v>315</v>
      </c>
    </row>
    <row r="869" spans="1:14" ht="13.5" customHeight="1" x14ac:dyDescent="0.25">
      <c r="A869" s="16" t="s">
        <v>316</v>
      </c>
      <c r="B869" s="16" t="s">
        <v>0</v>
      </c>
      <c r="C869" s="16" t="s">
        <v>18</v>
      </c>
      <c r="D869" s="16" t="s">
        <v>21</v>
      </c>
      <c r="F869" s="16">
        <v>256.80599999999998</v>
      </c>
      <c r="G869" s="16">
        <v>8</v>
      </c>
      <c r="H869" s="16" t="s">
        <v>22</v>
      </c>
      <c r="I869" s="16">
        <v>10</v>
      </c>
      <c r="L869" s="16" t="s">
        <v>23</v>
      </c>
      <c r="M869" s="15"/>
    </row>
    <row r="870" spans="1:14" ht="13.5" customHeight="1" x14ac:dyDescent="0.25">
      <c r="I870" s="16">
        <v>80</v>
      </c>
      <c r="L870" s="16" t="s">
        <v>32</v>
      </c>
    </row>
    <row r="871" spans="1:14" ht="13.5" customHeight="1" x14ac:dyDescent="0.25">
      <c r="I871" s="16">
        <v>20</v>
      </c>
      <c r="L871" s="16" t="s">
        <v>33</v>
      </c>
    </row>
    <row r="872" spans="1:14" ht="13.5" customHeight="1" x14ac:dyDescent="0.25">
      <c r="I872" s="16">
        <v>60</v>
      </c>
      <c r="L872" s="16" t="s">
        <v>25</v>
      </c>
      <c r="M872" s="16" t="s">
        <v>137</v>
      </c>
    </row>
    <row r="873" spans="1:14" ht="13.5" customHeight="1" x14ac:dyDescent="0.25">
      <c r="I873" s="16">
        <v>30</v>
      </c>
      <c r="L873" s="16" t="s">
        <v>29</v>
      </c>
    </row>
    <row r="874" spans="1:14" ht="13.5" customHeight="1" x14ac:dyDescent="0.25">
      <c r="I874" s="16">
        <v>20</v>
      </c>
      <c r="L874" s="16" t="s">
        <v>25</v>
      </c>
      <c r="M874" s="16" t="s">
        <v>45</v>
      </c>
    </row>
    <row r="875" spans="1:14" ht="13.5" customHeight="1" x14ac:dyDescent="0.25">
      <c r="I875" s="16">
        <v>10</v>
      </c>
      <c r="L875" s="16" t="s">
        <v>27</v>
      </c>
    </row>
    <row r="876" spans="1:14" ht="13.5" customHeight="1" x14ac:dyDescent="0.25">
      <c r="I876" s="16">
        <v>20</v>
      </c>
      <c r="L876" s="16" t="s">
        <v>26</v>
      </c>
      <c r="M876" s="16" t="s">
        <v>147</v>
      </c>
      <c r="N876" s="15" t="s">
        <v>317</v>
      </c>
    </row>
    <row r="877" spans="1:14" ht="13.5" customHeight="1" x14ac:dyDescent="0.25">
      <c r="I877" s="16">
        <v>60</v>
      </c>
      <c r="J877" s="18">
        <v>0.34722222222222227</v>
      </c>
      <c r="K877" s="18">
        <v>0.3888888888888889</v>
      </c>
      <c r="L877" s="16" t="s">
        <v>26</v>
      </c>
      <c r="M877" s="15" t="s">
        <v>317</v>
      </c>
    </row>
    <row r="879" spans="1:14" ht="13.5" customHeight="1" x14ac:dyDescent="0.25">
      <c r="A879" s="16" t="s">
        <v>316</v>
      </c>
      <c r="B879" s="16" t="s">
        <v>1</v>
      </c>
      <c r="C879" s="16" t="s">
        <v>15</v>
      </c>
      <c r="D879" s="16" t="s">
        <v>20</v>
      </c>
      <c r="F879" s="16">
        <v>271.74</v>
      </c>
      <c r="G879" s="16">
        <v>8</v>
      </c>
      <c r="H879" s="16" t="s">
        <v>22</v>
      </c>
      <c r="I879" s="16">
        <v>90</v>
      </c>
      <c r="J879" s="18">
        <v>8.3333333333333329E-2</v>
      </c>
      <c r="K879" s="18">
        <v>0.14652777777777778</v>
      </c>
      <c r="L879" s="16" t="s">
        <v>26</v>
      </c>
      <c r="M879" s="16" t="s">
        <v>318</v>
      </c>
    </row>
    <row r="880" spans="1:14" ht="13.5" customHeight="1" x14ac:dyDescent="0.25">
      <c r="I880" s="16">
        <v>70</v>
      </c>
      <c r="L880" s="16" t="s">
        <v>32</v>
      </c>
    </row>
    <row r="881" spans="1:13" ht="13.5" customHeight="1" x14ac:dyDescent="0.25">
      <c r="I881" s="16">
        <v>20</v>
      </c>
      <c r="L881" s="16" t="s">
        <v>33</v>
      </c>
    </row>
    <row r="882" spans="1:13" ht="13.5" customHeight="1" x14ac:dyDescent="0.25">
      <c r="I882" s="16">
        <v>20</v>
      </c>
      <c r="L882" s="16" t="s">
        <v>29</v>
      </c>
      <c r="M882" s="15"/>
    </row>
    <row r="883" spans="1:13" ht="13.5" customHeight="1" x14ac:dyDescent="0.25">
      <c r="I883" s="16">
        <v>20</v>
      </c>
      <c r="L883" s="16" t="s">
        <v>25</v>
      </c>
      <c r="M883" s="16" t="s">
        <v>137</v>
      </c>
    </row>
    <row r="884" spans="1:13" ht="13.5" customHeight="1" x14ac:dyDescent="0.25">
      <c r="I884" s="16">
        <v>20</v>
      </c>
      <c r="L884" s="16" t="s">
        <v>25</v>
      </c>
      <c r="M884" s="16" t="s">
        <v>45</v>
      </c>
    </row>
    <row r="885" spans="1:13" ht="13.5" customHeight="1" x14ac:dyDescent="0.25">
      <c r="I885" s="16">
        <v>20</v>
      </c>
      <c r="L885" s="16" t="s">
        <v>27</v>
      </c>
    </row>
    <row r="886" spans="1:13" ht="13.5" customHeight="1" x14ac:dyDescent="0.25">
      <c r="I886" s="16">
        <v>20</v>
      </c>
      <c r="L886" s="16" t="s">
        <v>26</v>
      </c>
      <c r="M886" s="16" t="s">
        <v>147</v>
      </c>
    </row>
    <row r="887" spans="1:13" ht="13.5" customHeight="1" x14ac:dyDescent="0.25">
      <c r="I887" s="16">
        <v>20</v>
      </c>
      <c r="L887" s="16" t="s">
        <v>24</v>
      </c>
      <c r="M887" s="16" t="s">
        <v>320</v>
      </c>
    </row>
    <row r="888" spans="1:13" ht="13.5" customHeight="1" x14ac:dyDescent="0.25">
      <c r="I888" s="16">
        <v>30</v>
      </c>
      <c r="L888" s="16" t="s">
        <v>26</v>
      </c>
      <c r="M888" s="16" t="s">
        <v>319</v>
      </c>
    </row>
    <row r="890" spans="1:13" ht="13.5" customHeight="1" x14ac:dyDescent="0.25">
      <c r="A890" s="16" t="s">
        <v>316</v>
      </c>
      <c r="B890" s="16" t="s">
        <v>2</v>
      </c>
      <c r="C890" s="16" t="s">
        <v>6</v>
      </c>
      <c r="D890" s="16" t="s">
        <v>19</v>
      </c>
      <c r="F890" s="16">
        <v>265.70999999999998</v>
      </c>
      <c r="G890" s="16">
        <v>8.25</v>
      </c>
      <c r="H890" s="16" t="s">
        <v>22</v>
      </c>
      <c r="I890" s="16">
        <v>10</v>
      </c>
      <c r="L890" s="16" t="s">
        <v>23</v>
      </c>
      <c r="M890" s="15"/>
    </row>
    <row r="891" spans="1:13" ht="13.5" customHeight="1" x14ac:dyDescent="0.25">
      <c r="I891" s="16">
        <v>90</v>
      </c>
      <c r="L891" s="16" t="s">
        <v>32</v>
      </c>
    </row>
    <row r="892" spans="1:13" ht="13.5" customHeight="1" x14ac:dyDescent="0.25">
      <c r="D892" s="16" t="s">
        <v>305</v>
      </c>
      <c r="I892" s="16">
        <v>30</v>
      </c>
      <c r="L892" s="16" t="s">
        <v>33</v>
      </c>
    </row>
    <row r="893" spans="1:13" ht="13.5" customHeight="1" x14ac:dyDescent="0.25">
      <c r="I893" s="16">
        <v>40</v>
      </c>
      <c r="L893" s="16" t="s">
        <v>29</v>
      </c>
      <c r="M893" s="15"/>
    </row>
    <row r="894" spans="1:13" ht="13.5" customHeight="1" x14ac:dyDescent="0.25">
      <c r="I894" s="16">
        <v>20</v>
      </c>
      <c r="L894" s="16" t="s">
        <v>25</v>
      </c>
      <c r="M894" s="16" t="s">
        <v>137</v>
      </c>
    </row>
    <row r="895" spans="1:13" ht="13.5" customHeight="1" x14ac:dyDescent="0.25">
      <c r="I895" s="16">
        <v>20</v>
      </c>
      <c r="L895" s="16" t="s">
        <v>25</v>
      </c>
      <c r="M895" s="16" t="s">
        <v>45</v>
      </c>
    </row>
    <row r="896" spans="1:13" ht="13.5" customHeight="1" x14ac:dyDescent="0.25">
      <c r="I896" s="16">
        <v>20</v>
      </c>
      <c r="L896" s="16" t="s">
        <v>27</v>
      </c>
    </row>
    <row r="897" spans="1:15" ht="13.5" customHeight="1" x14ac:dyDescent="0.25">
      <c r="F897" s="16" t="s">
        <v>114</v>
      </c>
      <c r="I897" s="16">
        <v>20</v>
      </c>
      <c r="L897" s="16" t="s">
        <v>26</v>
      </c>
      <c r="M897" s="16" t="s">
        <v>147</v>
      </c>
    </row>
    <row r="898" spans="1:15" ht="13.5" customHeight="1" x14ac:dyDescent="0.25">
      <c r="I898" s="16">
        <v>30</v>
      </c>
      <c r="L898" s="16" t="s">
        <v>26</v>
      </c>
      <c r="M898" s="15" t="s">
        <v>321</v>
      </c>
    </row>
    <row r="899" spans="1:15" ht="13.5" customHeight="1" x14ac:dyDescent="0.25">
      <c r="I899" s="16">
        <v>30</v>
      </c>
      <c r="L899" s="16" t="s">
        <v>24</v>
      </c>
      <c r="M899" s="15" t="s">
        <v>123</v>
      </c>
    </row>
    <row r="901" spans="1:15" ht="13.5" customHeight="1" x14ac:dyDescent="0.25">
      <c r="A901" s="16" t="s">
        <v>322</v>
      </c>
      <c r="B901" s="16" t="s">
        <v>0</v>
      </c>
      <c r="C901" s="16" t="s">
        <v>18</v>
      </c>
      <c r="D901" s="16" t="s">
        <v>20</v>
      </c>
      <c r="F901" s="16">
        <v>307.06</v>
      </c>
      <c r="G901" s="16">
        <v>9</v>
      </c>
      <c r="H901" s="16" t="s">
        <v>22</v>
      </c>
      <c r="I901" s="16">
        <v>10</v>
      </c>
      <c r="L901" s="16" t="s">
        <v>23</v>
      </c>
    </row>
    <row r="902" spans="1:15" ht="13.5" customHeight="1" x14ac:dyDescent="0.25">
      <c r="I902" s="16">
        <v>90</v>
      </c>
      <c r="L902" s="16" t="s">
        <v>32</v>
      </c>
    </row>
    <row r="903" spans="1:15" ht="13.5" customHeight="1" x14ac:dyDescent="0.25">
      <c r="I903" s="16">
        <v>20</v>
      </c>
      <c r="L903" s="16" t="s">
        <v>33</v>
      </c>
    </row>
    <row r="904" spans="1:15" ht="13.5" customHeight="1" x14ac:dyDescent="0.25">
      <c r="I904" s="16">
        <v>40</v>
      </c>
      <c r="L904" s="16" t="s">
        <v>29</v>
      </c>
      <c r="M904" s="15"/>
    </row>
    <row r="905" spans="1:15" ht="13.5" customHeight="1" x14ac:dyDescent="0.25">
      <c r="I905" s="16">
        <v>20</v>
      </c>
      <c r="L905" s="16" t="s">
        <v>25</v>
      </c>
      <c r="M905" s="16" t="s">
        <v>137</v>
      </c>
    </row>
    <row r="906" spans="1:15" ht="13.5" customHeight="1" x14ac:dyDescent="0.25">
      <c r="I906" s="16">
        <v>20</v>
      </c>
      <c r="L906" s="16" t="s">
        <v>25</v>
      </c>
      <c r="M906" s="16" t="s">
        <v>45</v>
      </c>
    </row>
    <row r="907" spans="1:15" ht="13.5" customHeight="1" x14ac:dyDescent="0.25">
      <c r="I907" s="16">
        <v>20</v>
      </c>
      <c r="L907" s="16" t="s">
        <v>27</v>
      </c>
      <c r="O907" s="15" t="s">
        <v>332</v>
      </c>
    </row>
    <row r="908" spans="1:15" ht="13.5" customHeight="1" x14ac:dyDescent="0.25">
      <c r="I908" s="16">
        <v>20</v>
      </c>
      <c r="L908" s="16" t="s">
        <v>26</v>
      </c>
      <c r="M908" s="16" t="s">
        <v>147</v>
      </c>
    </row>
    <row r="909" spans="1:15" ht="13.5" customHeight="1" x14ac:dyDescent="0.25">
      <c r="I909" s="16">
        <v>60</v>
      </c>
      <c r="J909" s="18">
        <v>0.54166666666666663</v>
      </c>
      <c r="K909" s="18">
        <v>0.58333333333333337</v>
      </c>
      <c r="L909" s="16" t="s">
        <v>26</v>
      </c>
      <c r="M909" s="16" t="s">
        <v>323</v>
      </c>
    </row>
    <row r="911" spans="1:15" ht="13.5" customHeight="1" x14ac:dyDescent="0.25">
      <c r="A911" s="16" t="s">
        <v>322</v>
      </c>
      <c r="B911" s="16" t="s">
        <v>1</v>
      </c>
      <c r="C911" s="16" t="s">
        <v>15</v>
      </c>
      <c r="D911" s="16" t="s">
        <v>19</v>
      </c>
      <c r="F911" s="16">
        <v>359.01</v>
      </c>
      <c r="G911" s="16">
        <v>11</v>
      </c>
      <c r="H911" s="16" t="s">
        <v>22</v>
      </c>
      <c r="I911" s="16">
        <v>10</v>
      </c>
      <c r="L911" s="16" t="s">
        <v>23</v>
      </c>
    </row>
    <row r="912" spans="1:15" ht="13.5" customHeight="1" x14ac:dyDescent="0.25">
      <c r="I912" s="16">
        <v>110</v>
      </c>
      <c r="L912" s="16" t="s">
        <v>32</v>
      </c>
    </row>
    <row r="913" spans="1:13" ht="13.5" customHeight="1" x14ac:dyDescent="0.25">
      <c r="I913" s="16">
        <v>20</v>
      </c>
      <c r="L913" s="16" t="s">
        <v>33</v>
      </c>
    </row>
    <row r="914" spans="1:13" ht="13.5" customHeight="1" x14ac:dyDescent="0.25">
      <c r="I914" s="16">
        <v>40</v>
      </c>
      <c r="L914" s="16" t="s">
        <v>29</v>
      </c>
      <c r="M914" s="15"/>
    </row>
    <row r="915" spans="1:13" ht="13.5" customHeight="1" x14ac:dyDescent="0.25">
      <c r="I915" s="16">
        <v>20</v>
      </c>
      <c r="L915" s="16" t="s">
        <v>25</v>
      </c>
      <c r="M915" s="16" t="s">
        <v>137</v>
      </c>
    </row>
    <row r="916" spans="1:13" ht="13.5" customHeight="1" x14ac:dyDescent="0.25">
      <c r="I916" s="16">
        <v>20</v>
      </c>
      <c r="L916" s="16" t="s">
        <v>25</v>
      </c>
      <c r="M916" s="16" t="s">
        <v>45</v>
      </c>
    </row>
    <row r="917" spans="1:13" ht="13.5" customHeight="1" x14ac:dyDescent="0.25">
      <c r="I917" s="16">
        <v>20</v>
      </c>
      <c r="L917" s="16" t="s">
        <v>27</v>
      </c>
    </row>
    <row r="918" spans="1:13" ht="13.5" customHeight="1" x14ac:dyDescent="0.25">
      <c r="I918" s="16">
        <v>20</v>
      </c>
      <c r="L918" s="16" t="s">
        <v>26</v>
      </c>
      <c r="M918" s="16" t="s">
        <v>147</v>
      </c>
    </row>
    <row r="919" spans="1:13" ht="13.5" customHeight="1" x14ac:dyDescent="0.25">
      <c r="I919" s="16">
        <v>30</v>
      </c>
      <c r="J919" s="18">
        <v>0.58333333333333337</v>
      </c>
      <c r="K919" s="18">
        <v>0.60416666666666663</v>
      </c>
      <c r="L919" s="16" t="s">
        <v>26</v>
      </c>
      <c r="M919" s="16" t="s">
        <v>323</v>
      </c>
    </row>
    <row r="923" spans="1:13" ht="13.5" customHeight="1" x14ac:dyDescent="0.25">
      <c r="A923" s="16" t="s">
        <v>322</v>
      </c>
      <c r="B923" s="16" t="s">
        <v>2</v>
      </c>
      <c r="C923" s="16" t="s">
        <v>6</v>
      </c>
      <c r="D923" s="16" t="s">
        <v>21</v>
      </c>
      <c r="F923" s="16">
        <v>344.71</v>
      </c>
      <c r="G923" s="16">
        <v>10</v>
      </c>
      <c r="H923" s="16" t="s">
        <v>22</v>
      </c>
      <c r="I923" s="16">
        <v>10</v>
      </c>
      <c r="L923" s="16" t="s">
        <v>23</v>
      </c>
      <c r="M923" s="15"/>
    </row>
    <row r="924" spans="1:13" ht="13.5" customHeight="1" x14ac:dyDescent="0.25">
      <c r="I924" s="16">
        <v>100</v>
      </c>
      <c r="L924" s="16" t="s">
        <v>32</v>
      </c>
    </row>
    <row r="925" spans="1:13" ht="13.5" customHeight="1" x14ac:dyDescent="0.25">
      <c r="I925" s="16">
        <v>20</v>
      </c>
      <c r="L925" s="16" t="s">
        <v>33</v>
      </c>
    </row>
    <row r="926" spans="1:13" ht="13.5" customHeight="1" x14ac:dyDescent="0.25">
      <c r="I926" s="16">
        <v>30</v>
      </c>
      <c r="L926" s="16" t="s">
        <v>25</v>
      </c>
      <c r="M926" s="16" t="s">
        <v>137</v>
      </c>
    </row>
    <row r="927" spans="1:13" ht="13.5" customHeight="1" x14ac:dyDescent="0.25">
      <c r="I927" s="16">
        <v>60</v>
      </c>
      <c r="L927" s="16" t="s">
        <v>29</v>
      </c>
      <c r="M927" s="15" t="s">
        <v>324</v>
      </c>
    </row>
    <row r="928" spans="1:13" ht="13.5" customHeight="1" x14ac:dyDescent="0.25">
      <c r="I928" s="16">
        <v>20</v>
      </c>
      <c r="L928" s="16" t="s">
        <v>25</v>
      </c>
      <c r="M928" s="16" t="s">
        <v>45</v>
      </c>
    </row>
    <row r="929" spans="1:13" ht="13.5" customHeight="1" x14ac:dyDescent="0.25">
      <c r="I929" s="16">
        <v>10</v>
      </c>
      <c r="L929" s="16" t="s">
        <v>27</v>
      </c>
    </row>
    <row r="930" spans="1:13" ht="13.5" customHeight="1" x14ac:dyDescent="0.25">
      <c r="I930" s="16">
        <v>20</v>
      </c>
      <c r="L930" s="16" t="s">
        <v>26</v>
      </c>
      <c r="M930" s="16" t="s">
        <v>147</v>
      </c>
    </row>
    <row r="931" spans="1:13" ht="13.5" customHeight="1" x14ac:dyDescent="0.25">
      <c r="M931" s="15"/>
    </row>
    <row r="932" spans="1:13" ht="13.5" customHeight="1" x14ac:dyDescent="0.25">
      <c r="A932" s="16" t="s">
        <v>325</v>
      </c>
      <c r="B932" s="16" t="s">
        <v>0</v>
      </c>
      <c r="C932" s="16" t="s">
        <v>18</v>
      </c>
      <c r="D932" s="16" t="s">
        <v>20</v>
      </c>
      <c r="F932" s="16">
        <v>138.79</v>
      </c>
      <c r="G932" s="16">
        <v>4</v>
      </c>
      <c r="H932" s="16" t="s">
        <v>22</v>
      </c>
      <c r="I932" s="16">
        <v>10</v>
      </c>
      <c r="L932" s="16" t="s">
        <v>23</v>
      </c>
    </row>
    <row r="933" spans="1:13" ht="13.5" customHeight="1" x14ac:dyDescent="0.25">
      <c r="I933" s="16">
        <v>40</v>
      </c>
      <c r="L933" s="16" t="s">
        <v>32</v>
      </c>
    </row>
    <row r="934" spans="1:13" ht="13.5" customHeight="1" x14ac:dyDescent="0.25">
      <c r="I934" s="16">
        <v>10</v>
      </c>
      <c r="L934" s="16" t="s">
        <v>33</v>
      </c>
    </row>
    <row r="935" spans="1:13" ht="13.5" customHeight="1" x14ac:dyDescent="0.25">
      <c r="I935" s="16">
        <v>10</v>
      </c>
      <c r="L935" s="16" t="s">
        <v>29</v>
      </c>
      <c r="M935" s="15"/>
    </row>
    <row r="936" spans="1:13" ht="13.5" customHeight="1" x14ac:dyDescent="0.25">
      <c r="I936" s="16">
        <v>10</v>
      </c>
      <c r="L936" s="16" t="s">
        <v>25</v>
      </c>
      <c r="M936" s="16" t="s">
        <v>137</v>
      </c>
    </row>
    <row r="937" spans="1:13" ht="13.5" customHeight="1" x14ac:dyDescent="0.25">
      <c r="I937" s="16">
        <v>10</v>
      </c>
      <c r="L937" s="16" t="s">
        <v>25</v>
      </c>
      <c r="M937" s="16" t="s">
        <v>45</v>
      </c>
    </row>
    <row r="938" spans="1:13" ht="13.5" customHeight="1" x14ac:dyDescent="0.25">
      <c r="I938" s="16">
        <v>20</v>
      </c>
      <c r="L938" s="16" t="s">
        <v>27</v>
      </c>
    </row>
    <row r="939" spans="1:13" ht="13.5" customHeight="1" x14ac:dyDescent="0.25">
      <c r="I939" s="16">
        <v>20</v>
      </c>
      <c r="L939" s="16" t="s">
        <v>26</v>
      </c>
      <c r="M939" s="16" t="s">
        <v>147</v>
      </c>
    </row>
    <row r="940" spans="1:13" ht="13.5" customHeight="1" x14ac:dyDescent="0.25">
      <c r="I940" s="16">
        <v>40</v>
      </c>
      <c r="J940" s="18">
        <v>0.27777777777777779</v>
      </c>
      <c r="K940" s="18">
        <v>0.30555555555555552</v>
      </c>
      <c r="L940" s="16" t="s">
        <v>26</v>
      </c>
      <c r="M940" s="16" t="s">
        <v>326</v>
      </c>
    </row>
    <row r="941" spans="1:13" ht="13.5" customHeight="1" x14ac:dyDescent="0.25">
      <c r="I941" s="16">
        <v>285</v>
      </c>
      <c r="J941" s="18">
        <v>0.38541666666666669</v>
      </c>
      <c r="K941" s="18">
        <v>0.58333333333333337</v>
      </c>
      <c r="L941" s="16" t="s">
        <v>26</v>
      </c>
      <c r="M941" s="16" t="s">
        <v>121</v>
      </c>
    </row>
    <row r="943" spans="1:13" ht="13.5" customHeight="1" x14ac:dyDescent="0.25">
      <c r="A943" s="16" t="s">
        <v>327</v>
      </c>
      <c r="B943" s="16" t="s">
        <v>0</v>
      </c>
      <c r="C943" s="16" t="s">
        <v>18</v>
      </c>
      <c r="D943" s="16" t="s">
        <v>20</v>
      </c>
      <c r="F943" s="16">
        <v>73.760000000000005</v>
      </c>
      <c r="G943" s="16">
        <v>2</v>
      </c>
      <c r="H943" s="16" t="s">
        <v>22</v>
      </c>
      <c r="I943" s="16">
        <v>300</v>
      </c>
      <c r="J943" s="18">
        <v>0.25</v>
      </c>
      <c r="K943" s="18">
        <v>0.45833333333333331</v>
      </c>
      <c r="L943" s="16" t="s">
        <v>26</v>
      </c>
      <c r="M943" s="16" t="s">
        <v>121</v>
      </c>
    </row>
    <row r="944" spans="1:13" ht="13.5" customHeight="1" x14ac:dyDescent="0.25">
      <c r="I944" s="16">
        <v>20</v>
      </c>
      <c r="L944" s="16" t="s">
        <v>32</v>
      </c>
    </row>
    <row r="945" spans="1:13" ht="13.5" customHeight="1" x14ac:dyDescent="0.25">
      <c r="I945" s="16">
        <v>10</v>
      </c>
      <c r="L945" s="16" t="s">
        <v>33</v>
      </c>
    </row>
    <row r="946" spans="1:13" ht="13.5" customHeight="1" x14ac:dyDescent="0.25">
      <c r="I946" s="16">
        <v>10</v>
      </c>
      <c r="L946" s="16" t="s">
        <v>29</v>
      </c>
      <c r="M946" s="15"/>
    </row>
    <row r="947" spans="1:13" ht="13.5" customHeight="1" x14ac:dyDescent="0.25">
      <c r="I947" s="16">
        <v>10</v>
      </c>
      <c r="L947" s="16" t="s">
        <v>25</v>
      </c>
      <c r="M947" s="16" t="s">
        <v>137</v>
      </c>
    </row>
    <row r="948" spans="1:13" ht="13.5" customHeight="1" x14ac:dyDescent="0.25">
      <c r="I948" s="16">
        <v>10</v>
      </c>
      <c r="L948" s="16" t="s">
        <v>25</v>
      </c>
      <c r="M948" s="16" t="s">
        <v>45</v>
      </c>
    </row>
    <row r="949" spans="1:13" ht="13.5" customHeight="1" x14ac:dyDescent="0.25">
      <c r="I949" s="16">
        <v>100</v>
      </c>
      <c r="J949" s="18">
        <v>0.5</v>
      </c>
      <c r="K949" s="18">
        <v>6.9444444444444434E-2</v>
      </c>
      <c r="L949" s="16" t="s">
        <v>26</v>
      </c>
      <c r="M949" s="16" t="s">
        <v>323</v>
      </c>
    </row>
    <row r="950" spans="1:13" ht="13.5" customHeight="1" x14ac:dyDescent="0.25">
      <c r="I950" s="15"/>
      <c r="J950" s="15"/>
      <c r="K950" s="15"/>
      <c r="L950" s="15"/>
      <c r="M950" s="15"/>
    </row>
    <row r="951" spans="1:13" ht="13.5" customHeight="1" x14ac:dyDescent="0.25">
      <c r="A951" s="16" t="s">
        <v>327</v>
      </c>
      <c r="B951" s="16" t="s">
        <v>1</v>
      </c>
      <c r="C951" s="16" t="s">
        <v>16</v>
      </c>
      <c r="D951" s="16" t="s">
        <v>19</v>
      </c>
      <c r="F951" s="16">
        <v>340.13</v>
      </c>
      <c r="G951" s="16">
        <v>11</v>
      </c>
      <c r="H951" s="16" t="s">
        <v>22</v>
      </c>
      <c r="I951" s="16">
        <v>10</v>
      </c>
      <c r="L951" s="16" t="s">
        <v>23</v>
      </c>
    </row>
    <row r="952" spans="1:13" ht="13.5" customHeight="1" x14ac:dyDescent="0.25">
      <c r="I952" s="16">
        <v>100</v>
      </c>
      <c r="L952" s="16" t="s">
        <v>32</v>
      </c>
    </row>
    <row r="953" spans="1:13" ht="13.5" customHeight="1" x14ac:dyDescent="0.25">
      <c r="I953" s="16">
        <v>30</v>
      </c>
      <c r="L953" s="16" t="s">
        <v>33</v>
      </c>
    </row>
    <row r="954" spans="1:13" ht="13.5" customHeight="1" x14ac:dyDescent="0.25">
      <c r="I954" s="16">
        <v>30</v>
      </c>
      <c r="L954" s="16" t="s">
        <v>29</v>
      </c>
      <c r="M954" s="15"/>
    </row>
    <row r="955" spans="1:13" ht="13.5" customHeight="1" x14ac:dyDescent="0.25">
      <c r="I955" s="16">
        <v>20</v>
      </c>
      <c r="L955" s="16" t="s">
        <v>25</v>
      </c>
      <c r="M955" s="16" t="s">
        <v>137</v>
      </c>
    </row>
    <row r="956" spans="1:13" ht="13.5" customHeight="1" x14ac:dyDescent="0.25">
      <c r="I956" s="16">
        <v>20</v>
      </c>
      <c r="L956" s="16" t="s">
        <v>25</v>
      </c>
      <c r="M956" s="16" t="s">
        <v>45</v>
      </c>
    </row>
    <row r="957" spans="1:13" ht="13.5" customHeight="1" x14ac:dyDescent="0.25">
      <c r="I957" s="16">
        <v>15</v>
      </c>
      <c r="L957" s="16" t="s">
        <v>27</v>
      </c>
    </row>
    <row r="958" spans="1:13" ht="13.5" customHeight="1" x14ac:dyDescent="0.25">
      <c r="I958" s="16">
        <v>20</v>
      </c>
      <c r="L958" s="16" t="s">
        <v>26</v>
      </c>
      <c r="M958" s="16" t="s">
        <v>147</v>
      </c>
    </row>
    <row r="959" spans="1:13" ht="13.5" customHeight="1" x14ac:dyDescent="0.25">
      <c r="I959" s="16">
        <v>30</v>
      </c>
      <c r="L959" s="16" t="s">
        <v>26</v>
      </c>
      <c r="M959" s="15" t="s">
        <v>328</v>
      </c>
    </row>
    <row r="960" spans="1:13" ht="13.5" customHeight="1" x14ac:dyDescent="0.25">
      <c r="I960" s="16">
        <v>20</v>
      </c>
      <c r="M960" s="15" t="s">
        <v>329</v>
      </c>
    </row>
    <row r="962" spans="1:13" ht="13.5" customHeight="1" x14ac:dyDescent="0.25">
      <c r="A962" s="16" t="s">
        <v>327</v>
      </c>
      <c r="B962" s="16" t="s">
        <v>2</v>
      </c>
      <c r="C962" s="16" t="s">
        <v>6</v>
      </c>
      <c r="D962" s="16" t="s">
        <v>21</v>
      </c>
      <c r="F962" s="16">
        <f>32.19+38.27+30.79+30.5+30.56+28.38+29.77+27.92+31.03</f>
        <v>279.40999999999997</v>
      </c>
      <c r="G962" s="16">
        <v>9</v>
      </c>
      <c r="H962" s="16" t="s">
        <v>22</v>
      </c>
      <c r="I962" s="16">
        <v>10</v>
      </c>
      <c r="L962" s="16" t="s">
        <v>23</v>
      </c>
      <c r="M962" s="15"/>
    </row>
    <row r="963" spans="1:13" ht="13.5" customHeight="1" x14ac:dyDescent="0.25">
      <c r="I963" s="16">
        <v>90</v>
      </c>
      <c r="L963" s="16" t="s">
        <v>32</v>
      </c>
    </row>
    <row r="964" spans="1:13" ht="13.5" customHeight="1" x14ac:dyDescent="0.25">
      <c r="I964" s="16">
        <v>30</v>
      </c>
      <c r="L964" s="16" t="s">
        <v>33</v>
      </c>
    </row>
    <row r="965" spans="1:13" ht="13.5" customHeight="1" x14ac:dyDescent="0.25">
      <c r="I965" s="16">
        <v>30</v>
      </c>
      <c r="L965" s="16" t="s">
        <v>25</v>
      </c>
      <c r="M965" s="16" t="s">
        <v>137</v>
      </c>
    </row>
    <row r="966" spans="1:13" ht="13.5" customHeight="1" x14ac:dyDescent="0.25">
      <c r="I966" s="16">
        <v>60</v>
      </c>
      <c r="L966" s="16" t="s">
        <v>29</v>
      </c>
      <c r="M966" s="15" t="s">
        <v>330</v>
      </c>
    </row>
    <row r="967" spans="1:13" ht="13.5" customHeight="1" x14ac:dyDescent="0.25">
      <c r="I967" s="16">
        <v>20</v>
      </c>
      <c r="L967" s="16" t="s">
        <v>25</v>
      </c>
      <c r="M967" s="16" t="s">
        <v>45</v>
      </c>
    </row>
    <row r="968" spans="1:13" ht="13.5" customHeight="1" x14ac:dyDescent="0.25">
      <c r="I968" s="16">
        <v>20</v>
      </c>
      <c r="L968" s="16" t="s">
        <v>27</v>
      </c>
    </row>
    <row r="969" spans="1:13" ht="13.5" customHeight="1" x14ac:dyDescent="0.25">
      <c r="I969" s="16">
        <v>40</v>
      </c>
      <c r="L969" s="16" t="s">
        <v>26</v>
      </c>
      <c r="M969" s="16" t="s">
        <v>147</v>
      </c>
    </row>
    <row r="971" spans="1:13" ht="13.5" customHeight="1" x14ac:dyDescent="0.25">
      <c r="A971" s="16" t="s">
        <v>331</v>
      </c>
      <c r="B971" s="16" t="s">
        <v>0</v>
      </c>
      <c r="C971" s="16" t="s">
        <v>15</v>
      </c>
      <c r="D971" s="16" t="s">
        <v>20</v>
      </c>
      <c r="F971" s="16">
        <v>131.6</v>
      </c>
      <c r="G971" s="16">
        <v>4</v>
      </c>
      <c r="H971" s="16" t="s">
        <v>22</v>
      </c>
      <c r="I971" s="16">
        <v>10</v>
      </c>
      <c r="L971" s="16" t="s">
        <v>23</v>
      </c>
      <c r="M971" s="15"/>
    </row>
    <row r="972" spans="1:13" ht="13.5" customHeight="1" x14ac:dyDescent="0.25">
      <c r="I972" s="16">
        <v>20</v>
      </c>
      <c r="L972" s="16" t="s">
        <v>32</v>
      </c>
    </row>
    <row r="973" spans="1:13" ht="13.5" customHeight="1" x14ac:dyDescent="0.25">
      <c r="I973" s="16">
        <v>10</v>
      </c>
      <c r="L973" s="16" t="s">
        <v>33</v>
      </c>
    </row>
    <row r="974" spans="1:13" ht="13.5" customHeight="1" x14ac:dyDescent="0.25">
      <c r="I974" s="16">
        <v>10</v>
      </c>
      <c r="L974" s="16" t="s">
        <v>29</v>
      </c>
      <c r="M974" s="15"/>
    </row>
    <row r="975" spans="1:13" ht="13.5" customHeight="1" x14ac:dyDescent="0.25">
      <c r="I975" s="16">
        <v>10</v>
      </c>
      <c r="L975" s="16" t="s">
        <v>25</v>
      </c>
      <c r="M975" s="16" t="s">
        <v>137</v>
      </c>
    </row>
    <row r="976" spans="1:13" ht="13.5" customHeight="1" x14ac:dyDescent="0.25">
      <c r="I976" s="16">
        <v>10</v>
      </c>
      <c r="L976" s="16" t="s">
        <v>25</v>
      </c>
      <c r="M976" s="16" t="s">
        <v>45</v>
      </c>
    </row>
    <row r="977" spans="1:13" ht="13.5" customHeight="1" x14ac:dyDescent="0.25">
      <c r="I977" s="16">
        <v>270</v>
      </c>
      <c r="J977" s="18">
        <v>0.29166666666666669</v>
      </c>
      <c r="K977" s="18">
        <v>0.47916666666666669</v>
      </c>
      <c r="L977" s="16" t="s">
        <v>24</v>
      </c>
      <c r="M977" s="15" t="s">
        <v>332</v>
      </c>
    </row>
    <row r="978" spans="1:13" ht="13.5" customHeight="1" x14ac:dyDescent="0.25">
      <c r="I978" s="16">
        <v>40</v>
      </c>
      <c r="J978" s="18">
        <v>0.47916666666666669</v>
      </c>
      <c r="K978" s="18">
        <v>0.50694444444444442</v>
      </c>
      <c r="L978" s="16" t="s">
        <v>24</v>
      </c>
      <c r="M978" s="15" t="s">
        <v>333</v>
      </c>
    </row>
    <row r="980" spans="1:13" ht="13.5" customHeight="1" x14ac:dyDescent="0.25">
      <c r="A980" s="16" t="s">
        <v>331</v>
      </c>
      <c r="B980" s="16" t="s">
        <v>1</v>
      </c>
      <c r="C980" s="16" t="s">
        <v>16</v>
      </c>
      <c r="D980" s="16" t="s">
        <v>19</v>
      </c>
      <c r="F980" s="16">
        <v>378.39</v>
      </c>
      <c r="G980" s="16">
        <v>11</v>
      </c>
      <c r="H980" s="16" t="s">
        <v>22</v>
      </c>
      <c r="I980" s="16">
        <v>10</v>
      </c>
      <c r="L980" s="16" t="s">
        <v>23</v>
      </c>
    </row>
    <row r="981" spans="1:13" ht="13.5" customHeight="1" x14ac:dyDescent="0.25">
      <c r="I981" s="16">
        <v>110</v>
      </c>
      <c r="L981" s="16" t="s">
        <v>32</v>
      </c>
    </row>
    <row r="982" spans="1:13" ht="13.5" customHeight="1" x14ac:dyDescent="0.25">
      <c r="I982" s="16">
        <v>30</v>
      </c>
      <c r="L982" s="16" t="s">
        <v>33</v>
      </c>
    </row>
    <row r="983" spans="1:13" ht="13.5" customHeight="1" x14ac:dyDescent="0.25">
      <c r="I983" s="16">
        <v>30</v>
      </c>
      <c r="L983" s="16" t="s">
        <v>29</v>
      </c>
      <c r="M983" s="15"/>
    </row>
    <row r="984" spans="1:13" ht="13.5" customHeight="1" x14ac:dyDescent="0.25">
      <c r="I984" s="16">
        <v>20</v>
      </c>
      <c r="L984" s="16" t="s">
        <v>25</v>
      </c>
      <c r="M984" s="16" t="s">
        <v>137</v>
      </c>
    </row>
    <row r="985" spans="1:13" ht="13.5" customHeight="1" x14ac:dyDescent="0.25">
      <c r="I985" s="16">
        <v>20</v>
      </c>
      <c r="L985" s="16" t="s">
        <v>25</v>
      </c>
      <c r="M985" s="16" t="s">
        <v>45</v>
      </c>
    </row>
    <row r="986" spans="1:13" ht="13.5" customHeight="1" x14ac:dyDescent="0.25">
      <c r="I986" s="16">
        <v>20</v>
      </c>
      <c r="L986" s="16" t="s">
        <v>27</v>
      </c>
    </row>
    <row r="987" spans="1:13" ht="13.5" customHeight="1" x14ac:dyDescent="0.25">
      <c r="I987" s="16">
        <v>20</v>
      </c>
      <c r="L987" s="16" t="s">
        <v>26</v>
      </c>
      <c r="M987" s="16" t="s">
        <v>147</v>
      </c>
    </row>
    <row r="989" spans="1:13" ht="13.5" customHeight="1" x14ac:dyDescent="0.25">
      <c r="A989" s="16" t="s">
        <v>331</v>
      </c>
      <c r="B989" s="16" t="s">
        <v>2</v>
      </c>
      <c r="C989" s="16" t="s">
        <v>6</v>
      </c>
      <c r="D989" s="16" t="s">
        <v>21</v>
      </c>
      <c r="F989" s="16">
        <f>38.1+38.27+31.22+38.13+26.74+38.09+38.18+38.2+31.22+38.23+38.33</f>
        <v>394.71</v>
      </c>
      <c r="G989" s="16">
        <v>11</v>
      </c>
      <c r="H989" s="16" t="s">
        <v>22</v>
      </c>
      <c r="I989" s="16">
        <v>10</v>
      </c>
      <c r="L989" s="16" t="s">
        <v>23</v>
      </c>
    </row>
    <row r="990" spans="1:13" ht="13.5" customHeight="1" x14ac:dyDescent="0.25">
      <c r="I990" s="16">
        <v>110</v>
      </c>
      <c r="L990" s="16" t="s">
        <v>32</v>
      </c>
    </row>
    <row r="991" spans="1:13" ht="13.5" customHeight="1" x14ac:dyDescent="0.25">
      <c r="I991" s="16">
        <v>30</v>
      </c>
      <c r="L991" s="16" t="s">
        <v>33</v>
      </c>
    </row>
    <row r="992" spans="1:13" ht="13.5" customHeight="1" x14ac:dyDescent="0.25">
      <c r="I992" s="16">
        <v>30</v>
      </c>
      <c r="L992" s="16" t="s">
        <v>29</v>
      </c>
      <c r="M992" s="15"/>
    </row>
    <row r="993" spans="1:17" ht="13.5" customHeight="1" x14ac:dyDescent="0.25">
      <c r="I993" s="16">
        <v>20</v>
      </c>
      <c r="L993" s="16" t="s">
        <v>25</v>
      </c>
      <c r="M993" s="16" t="s">
        <v>137</v>
      </c>
    </row>
    <row r="994" spans="1:17" ht="13.5" customHeight="1" x14ac:dyDescent="0.25">
      <c r="I994" s="16">
        <v>20</v>
      </c>
      <c r="L994" s="16" t="s">
        <v>25</v>
      </c>
      <c r="M994" s="16" t="s">
        <v>45</v>
      </c>
    </row>
    <row r="995" spans="1:17" ht="13.5" customHeight="1" x14ac:dyDescent="0.25">
      <c r="I995" s="16">
        <v>20</v>
      </c>
      <c r="L995" s="16" t="s">
        <v>27</v>
      </c>
    </row>
    <row r="996" spans="1:17" ht="13.5" customHeight="1" x14ac:dyDescent="0.25">
      <c r="I996" s="16">
        <v>20</v>
      </c>
      <c r="L996" s="16" t="s">
        <v>26</v>
      </c>
      <c r="M996" s="16" t="s">
        <v>147</v>
      </c>
    </row>
    <row r="998" spans="1:17" ht="13.5" customHeight="1" x14ac:dyDescent="0.25">
      <c r="A998" s="16" t="s">
        <v>334</v>
      </c>
      <c r="B998" s="16" t="s">
        <v>0</v>
      </c>
      <c r="C998" s="16" t="s">
        <v>15</v>
      </c>
      <c r="D998" s="16" t="s">
        <v>20</v>
      </c>
      <c r="F998" s="16">
        <v>353.22</v>
      </c>
      <c r="G998" s="16">
        <v>10</v>
      </c>
      <c r="H998" s="16" t="s">
        <v>22</v>
      </c>
      <c r="I998" s="16">
        <v>40</v>
      </c>
      <c r="J998" s="18">
        <v>0.25</v>
      </c>
      <c r="K998" s="18">
        <v>0.27777777777777779</v>
      </c>
      <c r="L998" s="16" t="s">
        <v>23</v>
      </c>
      <c r="M998" s="15" t="s">
        <v>43</v>
      </c>
    </row>
    <row r="999" spans="1:17" ht="13.5" customHeight="1" x14ac:dyDescent="0.25">
      <c r="I999" s="16">
        <v>100</v>
      </c>
      <c r="L999" s="16" t="s">
        <v>32</v>
      </c>
    </row>
    <row r="1000" spans="1:17" ht="13.5" customHeight="1" x14ac:dyDescent="0.25">
      <c r="I1000" s="16">
        <v>30</v>
      </c>
      <c r="L1000" s="16" t="s">
        <v>33</v>
      </c>
    </row>
    <row r="1001" spans="1:17" ht="13.5" customHeight="1" x14ac:dyDescent="0.25">
      <c r="I1001" s="16">
        <v>30</v>
      </c>
      <c r="L1001" s="16" t="s">
        <v>29</v>
      </c>
      <c r="M1001" s="15" t="s">
        <v>270</v>
      </c>
    </row>
    <row r="1002" spans="1:17" ht="13.5" customHeight="1" x14ac:dyDescent="0.25">
      <c r="I1002" s="16">
        <v>20</v>
      </c>
      <c r="L1002" s="16" t="s">
        <v>25</v>
      </c>
      <c r="M1002" s="16" t="s">
        <v>137</v>
      </c>
    </row>
    <row r="1003" spans="1:17" ht="13.5" customHeight="1" x14ac:dyDescent="0.25">
      <c r="I1003" s="16">
        <v>20</v>
      </c>
      <c r="L1003" s="16" t="s">
        <v>25</v>
      </c>
      <c r="M1003" s="16" t="s">
        <v>45</v>
      </c>
    </row>
    <row r="1004" spans="1:17" ht="13.5" customHeight="1" x14ac:dyDescent="0.25">
      <c r="I1004" s="16">
        <v>20</v>
      </c>
      <c r="L1004" s="16" t="s">
        <v>27</v>
      </c>
    </row>
    <row r="1005" spans="1:17" ht="13.5" customHeight="1" x14ac:dyDescent="0.25">
      <c r="I1005" s="16">
        <v>20</v>
      </c>
      <c r="L1005" s="16" t="s">
        <v>26</v>
      </c>
      <c r="M1005" s="16" t="s">
        <v>147</v>
      </c>
    </row>
    <row r="1006" spans="1:17" ht="13.5" customHeight="1" x14ac:dyDescent="0.25">
      <c r="I1006" s="16">
        <v>40</v>
      </c>
      <c r="J1006" s="18">
        <v>0.35416666666666669</v>
      </c>
      <c r="K1006" s="18">
        <v>0.38194444444444442</v>
      </c>
      <c r="L1006" s="16" t="s">
        <v>26</v>
      </c>
      <c r="M1006" s="15" t="s">
        <v>335</v>
      </c>
      <c r="N1006" s="18">
        <v>0.3125</v>
      </c>
      <c r="O1006" s="18">
        <v>0.35416666666666669</v>
      </c>
      <c r="P1006" s="16" t="s">
        <v>26</v>
      </c>
      <c r="Q1006" s="15" t="s">
        <v>308</v>
      </c>
    </row>
    <row r="1008" spans="1:17" ht="13.5" customHeight="1" x14ac:dyDescent="0.25">
      <c r="A1008" s="16" t="s">
        <v>334</v>
      </c>
      <c r="B1008" s="16" t="s">
        <v>1</v>
      </c>
      <c r="C1008" s="16" t="s">
        <v>16</v>
      </c>
      <c r="D1008" s="16" t="s">
        <v>19</v>
      </c>
      <c r="F1008" s="16">
        <v>325.77999999999997</v>
      </c>
      <c r="G1008" s="16">
        <v>10</v>
      </c>
      <c r="H1008" s="16" t="s">
        <v>22</v>
      </c>
      <c r="I1008" s="16">
        <v>10</v>
      </c>
      <c r="L1008" s="16" t="s">
        <v>23</v>
      </c>
    </row>
    <row r="1009" spans="1:13" ht="13.5" customHeight="1" x14ac:dyDescent="0.25">
      <c r="I1009" s="16">
        <v>110</v>
      </c>
      <c r="L1009" s="16" t="s">
        <v>32</v>
      </c>
    </row>
    <row r="1010" spans="1:13" ht="13.5" customHeight="1" x14ac:dyDescent="0.25">
      <c r="I1010" s="16">
        <v>30</v>
      </c>
      <c r="L1010" s="16" t="s">
        <v>33</v>
      </c>
      <c r="M1010" s="15"/>
    </row>
    <row r="1011" spans="1:13" ht="13.5" customHeight="1" x14ac:dyDescent="0.25">
      <c r="I1011" s="16">
        <v>30</v>
      </c>
      <c r="L1011" s="16" t="s">
        <v>29</v>
      </c>
      <c r="M1011" s="15"/>
    </row>
    <row r="1012" spans="1:13" ht="13.5" customHeight="1" x14ac:dyDescent="0.25">
      <c r="I1012" s="16">
        <v>50</v>
      </c>
      <c r="L1012" s="16" t="s">
        <v>25</v>
      </c>
      <c r="M1012" s="16" t="s">
        <v>137</v>
      </c>
    </row>
    <row r="1013" spans="1:13" ht="13.5" customHeight="1" x14ac:dyDescent="0.25">
      <c r="I1013" s="16">
        <v>20</v>
      </c>
      <c r="L1013" s="16" t="s">
        <v>25</v>
      </c>
      <c r="M1013" s="16" t="s">
        <v>45</v>
      </c>
    </row>
    <row r="1014" spans="1:13" ht="13.5" customHeight="1" x14ac:dyDescent="0.25">
      <c r="I1014" s="16">
        <v>15</v>
      </c>
      <c r="L1014" s="16" t="s">
        <v>27</v>
      </c>
    </row>
    <row r="1015" spans="1:13" ht="13.5" customHeight="1" x14ac:dyDescent="0.25">
      <c r="I1015" s="16">
        <v>15</v>
      </c>
      <c r="L1015" s="16" t="s">
        <v>26</v>
      </c>
      <c r="M1015" s="16" t="s">
        <v>147</v>
      </c>
    </row>
    <row r="1016" spans="1:13" ht="13.5" customHeight="1" x14ac:dyDescent="0.25">
      <c r="I1016" s="16">
        <v>20</v>
      </c>
      <c r="L1016" s="16" t="s">
        <v>25</v>
      </c>
      <c r="M1016" s="15" t="s">
        <v>36</v>
      </c>
    </row>
    <row r="1017" spans="1:13" ht="13.5" customHeight="1" x14ac:dyDescent="0.25">
      <c r="I1017" s="16">
        <v>20</v>
      </c>
      <c r="J1017" s="18">
        <v>0.38194444444444442</v>
      </c>
      <c r="K1017" s="18">
        <v>0.39583333333333331</v>
      </c>
      <c r="L1017" s="16" t="s">
        <v>26</v>
      </c>
      <c r="M1017" s="15" t="s">
        <v>336</v>
      </c>
    </row>
    <row r="1018" spans="1:13" ht="13.5" customHeight="1" x14ac:dyDescent="0.25">
      <c r="I1018" s="16">
        <v>20</v>
      </c>
      <c r="J1018" s="18">
        <v>0.29166666666666669</v>
      </c>
      <c r="K1018" s="18">
        <v>0.30555555555555552</v>
      </c>
      <c r="L1018" s="16" t="s">
        <v>26</v>
      </c>
      <c r="M1018" s="15" t="s">
        <v>338</v>
      </c>
    </row>
    <row r="1019" spans="1:13" ht="13.5" customHeight="1" x14ac:dyDescent="0.25">
      <c r="I1019" s="16">
        <v>20</v>
      </c>
      <c r="M1019" s="15" t="s">
        <v>337</v>
      </c>
    </row>
    <row r="1021" spans="1:13" ht="13.5" customHeight="1" x14ac:dyDescent="0.25">
      <c r="A1021" s="16" t="s">
        <v>334</v>
      </c>
      <c r="B1021" s="16" t="s">
        <v>2</v>
      </c>
      <c r="C1021" s="16" t="s">
        <v>6</v>
      </c>
      <c r="D1021" s="16" t="s">
        <v>21</v>
      </c>
      <c r="F1021" s="16">
        <f>27.99+38.45+32.24+38.23+38.47+38.15+31.21+31.2+31.56+32.17</f>
        <v>339.67</v>
      </c>
      <c r="G1021" s="16">
        <v>10</v>
      </c>
      <c r="H1021" s="16" t="s">
        <v>22</v>
      </c>
      <c r="I1021" s="16">
        <v>10</v>
      </c>
      <c r="L1021" s="16" t="s">
        <v>23</v>
      </c>
    </row>
    <row r="1022" spans="1:13" ht="13.5" customHeight="1" x14ac:dyDescent="0.25">
      <c r="I1022" s="16">
        <v>100</v>
      </c>
      <c r="L1022" s="16" t="s">
        <v>32</v>
      </c>
    </row>
    <row r="1023" spans="1:13" ht="13.5" customHeight="1" x14ac:dyDescent="0.25">
      <c r="I1023" s="16">
        <v>30</v>
      </c>
      <c r="L1023" s="16" t="s">
        <v>33</v>
      </c>
    </row>
    <row r="1024" spans="1:13" ht="13.5" customHeight="1" x14ac:dyDescent="0.25">
      <c r="I1024" s="16">
        <v>30</v>
      </c>
      <c r="L1024" s="16" t="s">
        <v>29</v>
      </c>
      <c r="M1024" s="15"/>
    </row>
    <row r="1025" spans="1:13" ht="13.5" customHeight="1" x14ac:dyDescent="0.25">
      <c r="I1025" s="16">
        <v>20</v>
      </c>
      <c r="L1025" s="16" t="s">
        <v>25</v>
      </c>
      <c r="M1025" s="16" t="s">
        <v>137</v>
      </c>
    </row>
    <row r="1026" spans="1:13" ht="13.5" customHeight="1" x14ac:dyDescent="0.25">
      <c r="I1026" s="16">
        <v>20</v>
      </c>
      <c r="L1026" s="16" t="s">
        <v>25</v>
      </c>
      <c r="M1026" s="16" t="s">
        <v>45</v>
      </c>
    </row>
    <row r="1027" spans="1:13" ht="13.5" customHeight="1" x14ac:dyDescent="0.25">
      <c r="I1027" s="16">
        <v>20</v>
      </c>
      <c r="L1027" s="16" t="s">
        <v>27</v>
      </c>
    </row>
    <row r="1028" spans="1:13" ht="13.5" customHeight="1" x14ac:dyDescent="0.25">
      <c r="I1028" s="16">
        <v>20</v>
      </c>
      <c r="L1028" s="16" t="s">
        <v>26</v>
      </c>
      <c r="M1028" s="16" t="s">
        <v>147</v>
      </c>
    </row>
    <row r="1029" spans="1:13" ht="13.5" customHeight="1" x14ac:dyDescent="0.25">
      <c r="I1029" s="16">
        <v>40</v>
      </c>
      <c r="J1029" s="18">
        <v>0.44097222222222227</v>
      </c>
      <c r="K1029" s="18">
        <v>0.46875</v>
      </c>
      <c r="L1029" s="16" t="s">
        <v>26</v>
      </c>
      <c r="M1029" s="15" t="s">
        <v>339</v>
      </c>
    </row>
    <row r="1030" spans="1:13" ht="13.5" customHeight="1" x14ac:dyDescent="0.25">
      <c r="I1030" s="16">
        <v>40</v>
      </c>
      <c r="L1030" s="16" t="s">
        <v>26</v>
      </c>
      <c r="M1030" s="15" t="s">
        <v>340</v>
      </c>
    </row>
    <row r="1032" spans="1:13" ht="13.5" customHeight="1" x14ac:dyDescent="0.25">
      <c r="A1032" s="16" t="s">
        <v>341</v>
      </c>
      <c r="B1032" s="16" t="s">
        <v>0</v>
      </c>
      <c r="C1032" s="16" t="s">
        <v>15</v>
      </c>
      <c r="D1032" s="16" t="s">
        <v>20</v>
      </c>
      <c r="F1032" s="16">
        <v>341.78</v>
      </c>
      <c r="G1032" s="16">
        <v>10.5</v>
      </c>
      <c r="H1032" s="16" t="s">
        <v>22</v>
      </c>
      <c r="I1032" s="16">
        <v>10</v>
      </c>
      <c r="L1032" s="16" t="s">
        <v>23</v>
      </c>
      <c r="M1032" s="15"/>
    </row>
    <row r="1033" spans="1:13" ht="13.5" customHeight="1" x14ac:dyDescent="0.25">
      <c r="I1033" s="16">
        <v>110</v>
      </c>
      <c r="L1033" s="16" t="s">
        <v>32</v>
      </c>
    </row>
    <row r="1034" spans="1:13" ht="13.5" customHeight="1" x14ac:dyDescent="0.25">
      <c r="I1034" s="16">
        <v>30</v>
      </c>
      <c r="L1034" s="16" t="s">
        <v>33</v>
      </c>
    </row>
    <row r="1035" spans="1:13" ht="13.5" customHeight="1" x14ac:dyDescent="0.25">
      <c r="I1035" s="16">
        <v>30</v>
      </c>
      <c r="L1035" s="16" t="s">
        <v>29</v>
      </c>
      <c r="M1035" s="15"/>
    </row>
    <row r="1036" spans="1:13" ht="13.5" customHeight="1" x14ac:dyDescent="0.25">
      <c r="I1036" s="16">
        <v>20</v>
      </c>
      <c r="L1036" s="16" t="s">
        <v>25</v>
      </c>
      <c r="M1036" s="16" t="s">
        <v>137</v>
      </c>
    </row>
    <row r="1037" spans="1:13" ht="13.5" customHeight="1" x14ac:dyDescent="0.25">
      <c r="I1037" s="16">
        <v>20</v>
      </c>
      <c r="L1037" s="16" t="s">
        <v>25</v>
      </c>
      <c r="M1037" s="16" t="s">
        <v>45</v>
      </c>
    </row>
    <row r="1038" spans="1:13" ht="13.5" customHeight="1" x14ac:dyDescent="0.25">
      <c r="I1038" s="16">
        <v>20</v>
      </c>
      <c r="L1038" s="16" t="s">
        <v>27</v>
      </c>
    </row>
    <row r="1039" spans="1:13" ht="13.5" customHeight="1" x14ac:dyDescent="0.25">
      <c r="I1039" s="16">
        <v>30</v>
      </c>
      <c r="L1039" s="16" t="s">
        <v>26</v>
      </c>
      <c r="M1039" s="16" t="s">
        <v>344</v>
      </c>
    </row>
    <row r="1040" spans="1:13" ht="13.5" customHeight="1" x14ac:dyDescent="0.25">
      <c r="I1040" s="16">
        <v>20</v>
      </c>
      <c r="L1040" s="16" t="s">
        <v>342</v>
      </c>
      <c r="M1040" s="16" t="s">
        <v>343</v>
      </c>
    </row>
    <row r="1041" spans="1:13" ht="13.5" customHeight="1" x14ac:dyDescent="0.25">
      <c r="I1041" s="16">
        <v>20</v>
      </c>
      <c r="L1041" s="16" t="s">
        <v>26</v>
      </c>
      <c r="M1041" s="16" t="s">
        <v>345</v>
      </c>
    </row>
    <row r="1043" spans="1:13" ht="13.5" customHeight="1" x14ac:dyDescent="0.25">
      <c r="A1043" s="16" t="s">
        <v>341</v>
      </c>
      <c r="B1043" s="16" t="s">
        <v>1</v>
      </c>
      <c r="C1043" s="16" t="s">
        <v>16</v>
      </c>
      <c r="D1043" s="16" t="s">
        <v>19</v>
      </c>
      <c r="F1043" s="16">
        <v>302.31</v>
      </c>
      <c r="G1043" s="16">
        <v>9.5</v>
      </c>
      <c r="H1043" s="16" t="s">
        <v>22</v>
      </c>
      <c r="I1043" s="16">
        <v>10</v>
      </c>
      <c r="L1043" s="16" t="s">
        <v>23</v>
      </c>
    </row>
    <row r="1044" spans="1:13" ht="13.5" customHeight="1" x14ac:dyDescent="0.25">
      <c r="I1044" s="16">
        <v>90</v>
      </c>
      <c r="L1044" s="16" t="s">
        <v>32</v>
      </c>
    </row>
    <row r="1045" spans="1:13" ht="13.5" customHeight="1" x14ac:dyDescent="0.25">
      <c r="I1045" s="16">
        <v>30</v>
      </c>
      <c r="L1045" s="16" t="s">
        <v>33</v>
      </c>
      <c r="M1045" s="15"/>
    </row>
    <row r="1046" spans="1:13" ht="13.5" customHeight="1" x14ac:dyDescent="0.25">
      <c r="I1046" s="16">
        <v>40</v>
      </c>
      <c r="L1046" s="16" t="s">
        <v>29</v>
      </c>
      <c r="M1046" s="15"/>
    </row>
    <row r="1047" spans="1:13" ht="13.5" customHeight="1" x14ac:dyDescent="0.25">
      <c r="I1047" s="16">
        <v>20</v>
      </c>
      <c r="L1047" s="16" t="s">
        <v>25</v>
      </c>
      <c r="M1047" s="16" t="s">
        <v>137</v>
      </c>
    </row>
    <row r="1048" spans="1:13" ht="13.5" customHeight="1" x14ac:dyDescent="0.25">
      <c r="I1048" s="16">
        <v>20</v>
      </c>
      <c r="L1048" s="16" t="s">
        <v>25</v>
      </c>
      <c r="M1048" s="16" t="s">
        <v>45</v>
      </c>
    </row>
    <row r="1049" spans="1:13" ht="13.5" customHeight="1" x14ac:dyDescent="0.25">
      <c r="I1049" s="16">
        <v>20</v>
      </c>
      <c r="L1049" s="16" t="s">
        <v>27</v>
      </c>
    </row>
    <row r="1050" spans="1:13" ht="13.5" customHeight="1" x14ac:dyDescent="0.25">
      <c r="I1050" s="16">
        <v>20</v>
      </c>
      <c r="L1050" s="16" t="s">
        <v>26</v>
      </c>
      <c r="M1050" s="16" t="s">
        <v>147</v>
      </c>
    </row>
    <row r="1051" spans="1:13" ht="13.5" customHeight="1" x14ac:dyDescent="0.25">
      <c r="I1051" s="16">
        <v>20</v>
      </c>
      <c r="L1051" s="16" t="s">
        <v>25</v>
      </c>
      <c r="M1051" s="15" t="s">
        <v>36</v>
      </c>
    </row>
    <row r="1052" spans="1:13" ht="13.5" customHeight="1" x14ac:dyDescent="0.25">
      <c r="I1052" s="16">
        <v>60</v>
      </c>
      <c r="M1052" s="15" t="s">
        <v>346</v>
      </c>
    </row>
    <row r="1053" spans="1:13" ht="13.5" customHeight="1" x14ac:dyDescent="0.25">
      <c r="I1053" s="16">
        <v>30</v>
      </c>
      <c r="L1053" s="16" t="s">
        <v>26</v>
      </c>
      <c r="M1053" s="15" t="s">
        <v>118</v>
      </c>
    </row>
    <row r="1055" spans="1:13" ht="13.5" customHeight="1" x14ac:dyDescent="0.25">
      <c r="A1055" s="16" t="s">
        <v>341</v>
      </c>
      <c r="B1055" s="16" t="s">
        <v>2</v>
      </c>
      <c r="C1055" s="16" t="s">
        <v>6</v>
      </c>
      <c r="D1055" s="16" t="s">
        <v>21</v>
      </c>
      <c r="F1055" s="16">
        <f>31+31.05+38.22+31.14+38.15+33.08+7.462+7.466+7.46</f>
        <v>225.02799999999999</v>
      </c>
      <c r="G1055" s="16">
        <v>6.75</v>
      </c>
      <c r="H1055" s="16" t="s">
        <v>22</v>
      </c>
      <c r="I1055" s="16">
        <v>35</v>
      </c>
      <c r="L1055" s="16" t="s">
        <v>23</v>
      </c>
      <c r="M1055" s="15" t="s">
        <v>347</v>
      </c>
    </row>
    <row r="1056" spans="1:13" ht="13.5" customHeight="1" x14ac:dyDescent="0.25">
      <c r="I1056" s="16">
        <v>70</v>
      </c>
      <c r="L1056" s="16" t="s">
        <v>32</v>
      </c>
    </row>
    <row r="1057" spans="1:13" ht="13.5" customHeight="1" x14ac:dyDescent="0.25">
      <c r="I1057" s="16">
        <v>20</v>
      </c>
      <c r="L1057" s="16" t="s">
        <v>33</v>
      </c>
    </row>
    <row r="1058" spans="1:13" ht="13.5" customHeight="1" x14ac:dyDescent="0.25">
      <c r="I1058" s="16">
        <v>15</v>
      </c>
      <c r="L1058" s="16" t="s">
        <v>29</v>
      </c>
      <c r="M1058" s="15"/>
    </row>
    <row r="1059" spans="1:13" ht="13.5" customHeight="1" x14ac:dyDescent="0.25">
      <c r="I1059" s="16">
        <v>10</v>
      </c>
      <c r="L1059" s="16" t="s">
        <v>25</v>
      </c>
      <c r="M1059" s="16" t="s">
        <v>137</v>
      </c>
    </row>
    <row r="1060" spans="1:13" ht="13.5" customHeight="1" x14ac:dyDescent="0.25">
      <c r="I1060" s="16">
        <v>10</v>
      </c>
      <c r="L1060" s="16" t="s">
        <v>25</v>
      </c>
      <c r="M1060" s="16" t="s">
        <v>45</v>
      </c>
    </row>
    <row r="1061" spans="1:13" ht="13.5" customHeight="1" x14ac:dyDescent="0.25">
      <c r="I1061" s="16">
        <v>10</v>
      </c>
      <c r="L1061" s="16" t="s">
        <v>27</v>
      </c>
    </row>
    <row r="1062" spans="1:13" ht="13.5" customHeight="1" x14ac:dyDescent="0.25">
      <c r="I1062" s="16">
        <v>20</v>
      </c>
      <c r="L1062" s="16" t="s">
        <v>26</v>
      </c>
      <c r="M1062" s="16" t="s">
        <v>147</v>
      </c>
    </row>
    <row r="1063" spans="1:13" ht="13.5" customHeight="1" x14ac:dyDescent="0.25">
      <c r="I1063" s="16">
        <v>150</v>
      </c>
      <c r="L1063" s="16" t="s">
        <v>26</v>
      </c>
      <c r="M1063" s="15" t="s">
        <v>66</v>
      </c>
    </row>
    <row r="1066" spans="1:13" ht="13.5" customHeight="1" x14ac:dyDescent="0.25">
      <c r="A1066" s="16" t="s">
        <v>348</v>
      </c>
      <c r="B1066" s="16" t="s">
        <v>0</v>
      </c>
      <c r="C1066" s="16" t="s">
        <v>15</v>
      </c>
      <c r="D1066" s="16" t="s">
        <v>20</v>
      </c>
      <c r="F1066" s="16">
        <v>338.072</v>
      </c>
      <c r="G1066" s="16">
        <v>10</v>
      </c>
      <c r="H1066" s="16" t="s">
        <v>22</v>
      </c>
      <c r="I1066" s="16">
        <v>10</v>
      </c>
      <c r="L1066" s="16" t="s">
        <v>23</v>
      </c>
      <c r="M1066" s="15"/>
    </row>
    <row r="1067" spans="1:13" ht="13.5" customHeight="1" x14ac:dyDescent="0.25">
      <c r="I1067" s="16">
        <v>100</v>
      </c>
      <c r="L1067" s="16" t="s">
        <v>32</v>
      </c>
    </row>
    <row r="1068" spans="1:13" ht="13.5" customHeight="1" x14ac:dyDescent="0.25">
      <c r="I1068" s="16">
        <v>30</v>
      </c>
      <c r="L1068" s="16" t="s">
        <v>33</v>
      </c>
    </row>
    <row r="1069" spans="1:13" ht="13.5" customHeight="1" x14ac:dyDescent="0.25">
      <c r="I1069" s="16">
        <v>20</v>
      </c>
      <c r="L1069" s="16" t="s">
        <v>29</v>
      </c>
      <c r="M1069" s="15"/>
    </row>
    <row r="1070" spans="1:13" ht="13.5" customHeight="1" x14ac:dyDescent="0.25">
      <c r="I1070" s="16">
        <v>20</v>
      </c>
      <c r="L1070" s="16" t="s">
        <v>25</v>
      </c>
      <c r="M1070" s="16" t="s">
        <v>137</v>
      </c>
    </row>
    <row r="1071" spans="1:13" ht="13.5" customHeight="1" x14ac:dyDescent="0.25">
      <c r="I1071" s="16">
        <v>20</v>
      </c>
      <c r="L1071" s="16" t="s">
        <v>25</v>
      </c>
      <c r="M1071" s="16" t="s">
        <v>45</v>
      </c>
    </row>
    <row r="1072" spans="1:13" ht="13.5" customHeight="1" x14ac:dyDescent="0.25">
      <c r="I1072" s="16">
        <v>20</v>
      </c>
      <c r="L1072" s="16" t="s">
        <v>27</v>
      </c>
    </row>
    <row r="1073" spans="1:13" ht="13.5" customHeight="1" x14ac:dyDescent="0.25">
      <c r="I1073" s="16">
        <v>20</v>
      </c>
      <c r="L1073" s="16" t="s">
        <v>26</v>
      </c>
      <c r="M1073" s="16" t="s">
        <v>344</v>
      </c>
    </row>
    <row r="1074" spans="1:13" ht="13.5" customHeight="1" x14ac:dyDescent="0.25">
      <c r="I1074" s="16">
        <v>20</v>
      </c>
      <c r="L1074" s="16" t="s">
        <v>342</v>
      </c>
      <c r="M1074" s="16" t="s">
        <v>343</v>
      </c>
    </row>
    <row r="1075" spans="1:13" ht="13.5" customHeight="1" x14ac:dyDescent="0.25">
      <c r="I1075" s="16">
        <v>110</v>
      </c>
      <c r="L1075" s="16" t="s">
        <v>26</v>
      </c>
      <c r="M1075" s="16" t="s">
        <v>349</v>
      </c>
    </row>
    <row r="1076" spans="1:13" ht="13.5" customHeight="1" x14ac:dyDescent="0.25">
      <c r="I1076" s="16">
        <v>15</v>
      </c>
      <c r="L1076" s="16" t="s">
        <v>26</v>
      </c>
      <c r="M1076" s="16" t="s">
        <v>350</v>
      </c>
    </row>
    <row r="1078" spans="1:13" ht="13.5" customHeight="1" x14ac:dyDescent="0.25">
      <c r="A1078" s="16" t="s">
        <v>348</v>
      </c>
      <c r="B1078" s="16" t="s">
        <v>1</v>
      </c>
      <c r="C1078" s="16" t="s">
        <v>16</v>
      </c>
      <c r="D1078" s="16" t="s">
        <v>19</v>
      </c>
      <c r="F1078" s="16">
        <v>331.61</v>
      </c>
      <c r="G1078" s="16">
        <v>10.75</v>
      </c>
      <c r="H1078" s="16" t="s">
        <v>22</v>
      </c>
      <c r="I1078" s="16">
        <v>10</v>
      </c>
      <c r="L1078" s="16" t="s">
        <v>23</v>
      </c>
    </row>
    <row r="1079" spans="1:13" ht="13.5" customHeight="1" x14ac:dyDescent="0.25">
      <c r="I1079" s="16">
        <v>100</v>
      </c>
      <c r="L1079" s="16" t="s">
        <v>32</v>
      </c>
    </row>
    <row r="1080" spans="1:13" ht="13.5" customHeight="1" x14ac:dyDescent="0.25">
      <c r="I1080" s="16">
        <v>40</v>
      </c>
      <c r="L1080" s="16" t="s">
        <v>33</v>
      </c>
      <c r="M1080" s="15"/>
    </row>
    <row r="1081" spans="1:13" ht="13.5" customHeight="1" x14ac:dyDescent="0.25">
      <c r="I1081" s="16">
        <v>40</v>
      </c>
      <c r="L1081" s="16" t="s">
        <v>29</v>
      </c>
      <c r="M1081" s="15"/>
    </row>
    <row r="1082" spans="1:13" ht="13.5" customHeight="1" x14ac:dyDescent="0.25">
      <c r="I1082" s="16">
        <v>20</v>
      </c>
      <c r="L1082" s="16" t="s">
        <v>25</v>
      </c>
      <c r="M1082" s="16" t="s">
        <v>137</v>
      </c>
    </row>
    <row r="1083" spans="1:13" ht="13.5" customHeight="1" x14ac:dyDescent="0.25">
      <c r="I1083" s="16">
        <v>20</v>
      </c>
      <c r="L1083" s="16" t="s">
        <v>25</v>
      </c>
      <c r="M1083" s="16" t="s">
        <v>45</v>
      </c>
    </row>
    <row r="1084" spans="1:13" ht="13.5" customHeight="1" x14ac:dyDescent="0.25">
      <c r="I1084" s="16">
        <v>20</v>
      </c>
      <c r="L1084" s="16" t="s">
        <v>27</v>
      </c>
    </row>
    <row r="1085" spans="1:13" ht="13.5" customHeight="1" x14ac:dyDescent="0.25">
      <c r="I1085" s="16">
        <v>20</v>
      </c>
      <c r="L1085" s="16" t="s">
        <v>26</v>
      </c>
      <c r="M1085" s="16" t="s">
        <v>147</v>
      </c>
    </row>
    <row r="1086" spans="1:13" ht="13.5" customHeight="1" x14ac:dyDescent="0.25">
      <c r="I1086" s="16">
        <v>20</v>
      </c>
      <c r="L1086" s="16" t="s">
        <v>25</v>
      </c>
      <c r="M1086" s="15" t="s">
        <v>36</v>
      </c>
    </row>
    <row r="1087" spans="1:13" ht="13.5" customHeight="1" x14ac:dyDescent="0.25">
      <c r="I1087" s="16">
        <v>40</v>
      </c>
      <c r="L1087" s="16" t="s">
        <v>26</v>
      </c>
      <c r="M1087" s="15" t="s">
        <v>118</v>
      </c>
    </row>
    <row r="1089" spans="1:13" ht="13.5" customHeight="1" x14ac:dyDescent="0.25">
      <c r="A1089" s="16" t="s">
        <v>348</v>
      </c>
      <c r="B1089" s="16" t="s">
        <v>2</v>
      </c>
      <c r="C1089" s="16" t="s">
        <v>6</v>
      </c>
      <c r="D1089" s="16" t="s">
        <v>21</v>
      </c>
      <c r="F1089" s="16">
        <f>18.57+31.09+37.7+28.99+31.26+38.01+26.22+26.39+26.2+31.38+37.77</f>
        <v>333.57999999999993</v>
      </c>
      <c r="G1089" s="16">
        <v>10.5</v>
      </c>
      <c r="H1089" s="16" t="s">
        <v>22</v>
      </c>
      <c r="I1089" s="16">
        <v>10</v>
      </c>
      <c r="L1089" s="16" t="s">
        <v>23</v>
      </c>
    </row>
    <row r="1090" spans="1:13" ht="13.5" customHeight="1" x14ac:dyDescent="0.25">
      <c r="I1090" s="16">
        <v>100</v>
      </c>
      <c r="L1090" s="16" t="s">
        <v>32</v>
      </c>
    </row>
    <row r="1091" spans="1:13" ht="13.5" customHeight="1" x14ac:dyDescent="0.25">
      <c r="I1091" s="16">
        <v>30</v>
      </c>
      <c r="L1091" s="16" t="s">
        <v>33</v>
      </c>
      <c r="M1091" s="15"/>
    </row>
    <row r="1092" spans="1:13" ht="13.5" customHeight="1" x14ac:dyDescent="0.25">
      <c r="I1092" s="16">
        <v>30</v>
      </c>
      <c r="L1092" s="16" t="s">
        <v>29</v>
      </c>
      <c r="M1092" s="15"/>
    </row>
    <row r="1093" spans="1:13" ht="13.5" customHeight="1" x14ac:dyDescent="0.25">
      <c r="I1093" s="16">
        <v>20</v>
      </c>
      <c r="L1093" s="16" t="s">
        <v>25</v>
      </c>
      <c r="M1093" s="16" t="s">
        <v>137</v>
      </c>
    </row>
    <row r="1094" spans="1:13" ht="13.5" customHeight="1" x14ac:dyDescent="0.25">
      <c r="I1094" s="16">
        <v>20</v>
      </c>
      <c r="L1094" s="16" t="s">
        <v>25</v>
      </c>
      <c r="M1094" s="16" t="s">
        <v>45</v>
      </c>
    </row>
    <row r="1095" spans="1:13" ht="13.5" customHeight="1" x14ac:dyDescent="0.25">
      <c r="I1095" s="16">
        <v>20</v>
      </c>
      <c r="L1095" s="16" t="s">
        <v>27</v>
      </c>
    </row>
    <row r="1096" spans="1:13" ht="13.5" customHeight="1" x14ac:dyDescent="0.25">
      <c r="I1096" s="16">
        <v>20</v>
      </c>
      <c r="L1096" s="16" t="s">
        <v>26</v>
      </c>
      <c r="M1096" s="16" t="s">
        <v>147</v>
      </c>
    </row>
    <row r="1097" spans="1:13" ht="13.5" customHeight="1" x14ac:dyDescent="0.25">
      <c r="I1097" s="16">
        <v>60</v>
      </c>
      <c r="L1097" s="16" t="s">
        <v>26</v>
      </c>
      <c r="M1097" s="15" t="s">
        <v>351</v>
      </c>
    </row>
    <row r="1099" spans="1:13" ht="13.5" customHeight="1" x14ac:dyDescent="0.25">
      <c r="A1099" s="16" t="s">
        <v>352</v>
      </c>
      <c r="B1099" s="16" t="s">
        <v>0</v>
      </c>
      <c r="C1099" s="16" t="s">
        <v>16</v>
      </c>
      <c r="D1099" s="16" t="s">
        <v>19</v>
      </c>
      <c r="F1099" s="16">
        <v>235.32</v>
      </c>
      <c r="G1099" s="16">
        <v>8.5</v>
      </c>
      <c r="H1099" s="16" t="s">
        <v>22</v>
      </c>
      <c r="I1099" s="16">
        <v>10</v>
      </c>
      <c r="L1099" s="16" t="s">
        <v>23</v>
      </c>
    </row>
    <row r="1100" spans="1:13" ht="13.5" customHeight="1" x14ac:dyDescent="0.25">
      <c r="I1100" s="16">
        <v>90</v>
      </c>
      <c r="L1100" s="16" t="s">
        <v>32</v>
      </c>
    </row>
    <row r="1101" spans="1:13" ht="13.5" customHeight="1" x14ac:dyDescent="0.25">
      <c r="I1101" s="16">
        <v>30</v>
      </c>
      <c r="L1101" s="16" t="s">
        <v>33</v>
      </c>
      <c r="M1101" s="15"/>
    </row>
    <row r="1102" spans="1:13" ht="13.5" customHeight="1" x14ac:dyDescent="0.25">
      <c r="I1102" s="16">
        <v>30</v>
      </c>
      <c r="L1102" s="16" t="s">
        <v>29</v>
      </c>
      <c r="M1102" s="15"/>
    </row>
    <row r="1103" spans="1:13" ht="13.5" customHeight="1" x14ac:dyDescent="0.25">
      <c r="I1103" s="16">
        <v>20</v>
      </c>
      <c r="L1103" s="16" t="s">
        <v>25</v>
      </c>
      <c r="M1103" s="16" t="s">
        <v>137</v>
      </c>
    </row>
    <row r="1104" spans="1:13" ht="13.5" customHeight="1" x14ac:dyDescent="0.25">
      <c r="I1104" s="16">
        <v>20</v>
      </c>
      <c r="L1104" s="16" t="s">
        <v>25</v>
      </c>
      <c r="M1104" s="16" t="s">
        <v>45</v>
      </c>
    </row>
    <row r="1105" spans="1:13" ht="13.5" customHeight="1" x14ac:dyDescent="0.25">
      <c r="I1105" s="16">
        <v>20</v>
      </c>
      <c r="L1105" s="16" t="s">
        <v>27</v>
      </c>
    </row>
    <row r="1106" spans="1:13" ht="13.5" customHeight="1" x14ac:dyDescent="0.25">
      <c r="I1106" s="16">
        <v>20</v>
      </c>
      <c r="L1106" s="16" t="s">
        <v>26</v>
      </c>
      <c r="M1106" s="16" t="s">
        <v>147</v>
      </c>
    </row>
    <row r="1107" spans="1:13" ht="13.5" customHeight="1" x14ac:dyDescent="0.25">
      <c r="I1107" s="16">
        <v>20</v>
      </c>
      <c r="L1107" s="16" t="s">
        <v>25</v>
      </c>
      <c r="M1107" s="15" t="s">
        <v>36</v>
      </c>
    </row>
    <row r="1108" spans="1:13" ht="13.5" customHeight="1" x14ac:dyDescent="0.25">
      <c r="I1108" s="16">
        <v>120</v>
      </c>
      <c r="L1108" s="16" t="s">
        <v>26</v>
      </c>
      <c r="M1108" s="15" t="s">
        <v>346</v>
      </c>
    </row>
    <row r="1109" spans="1:13" ht="13.5" customHeight="1" x14ac:dyDescent="0.25">
      <c r="I1109" s="16">
        <v>20</v>
      </c>
      <c r="L1109" s="16" t="s">
        <v>342</v>
      </c>
      <c r="M1109" s="16" t="s">
        <v>353</v>
      </c>
    </row>
    <row r="1111" spans="1:13" ht="13.5" customHeight="1" x14ac:dyDescent="0.25">
      <c r="A1111" s="16" t="s">
        <v>352</v>
      </c>
      <c r="B1111" s="16" t="s">
        <v>2</v>
      </c>
      <c r="C1111" s="16" t="s">
        <v>6</v>
      </c>
      <c r="D1111" s="16" t="s">
        <v>20</v>
      </c>
      <c r="F1111" s="16">
        <v>333.56</v>
      </c>
      <c r="G1111" s="16">
        <v>8.75</v>
      </c>
      <c r="H1111" s="16" t="s">
        <v>22</v>
      </c>
      <c r="I1111" s="16">
        <v>10</v>
      </c>
      <c r="L1111" s="16" t="s">
        <v>23</v>
      </c>
    </row>
    <row r="1112" spans="1:13" ht="13.5" customHeight="1" x14ac:dyDescent="0.25">
      <c r="I1112" s="16">
        <v>80</v>
      </c>
      <c r="L1112" s="16" t="s">
        <v>32</v>
      </c>
    </row>
    <row r="1113" spans="1:13" ht="13.5" customHeight="1" x14ac:dyDescent="0.25">
      <c r="I1113" s="16">
        <v>30</v>
      </c>
      <c r="L1113" s="16" t="s">
        <v>33</v>
      </c>
      <c r="M1113" s="15"/>
    </row>
    <row r="1114" spans="1:13" ht="13.5" customHeight="1" x14ac:dyDescent="0.25">
      <c r="I1114" s="16">
        <v>20</v>
      </c>
      <c r="L1114" s="16" t="s">
        <v>29</v>
      </c>
      <c r="M1114" s="15"/>
    </row>
    <row r="1115" spans="1:13" ht="13.5" customHeight="1" x14ac:dyDescent="0.25">
      <c r="I1115" s="16">
        <v>20</v>
      </c>
      <c r="L1115" s="16" t="s">
        <v>25</v>
      </c>
      <c r="M1115" s="16" t="s">
        <v>137</v>
      </c>
    </row>
    <row r="1116" spans="1:13" ht="13.5" customHeight="1" x14ac:dyDescent="0.25">
      <c r="I1116" s="16">
        <v>20</v>
      </c>
      <c r="L1116" s="16" t="s">
        <v>25</v>
      </c>
      <c r="M1116" s="16" t="s">
        <v>45</v>
      </c>
    </row>
    <row r="1117" spans="1:13" ht="13.5" customHeight="1" x14ac:dyDescent="0.25">
      <c r="I1117" s="16">
        <v>20</v>
      </c>
      <c r="L1117" s="16" t="s">
        <v>27</v>
      </c>
    </row>
    <row r="1118" spans="1:13" ht="13.5" customHeight="1" x14ac:dyDescent="0.25">
      <c r="I1118" s="16">
        <v>20</v>
      </c>
      <c r="L1118" s="16" t="s">
        <v>26</v>
      </c>
      <c r="M1118" s="16" t="s">
        <v>147</v>
      </c>
    </row>
    <row r="1119" spans="1:13" ht="13.5" customHeight="1" x14ac:dyDescent="0.25">
      <c r="I1119" s="16">
        <v>120</v>
      </c>
      <c r="J1119" s="18">
        <v>0.125</v>
      </c>
      <c r="K1119" s="18">
        <v>0.20833333333333334</v>
      </c>
      <c r="L1119" s="16" t="s">
        <v>26</v>
      </c>
      <c r="M1119" s="15" t="s">
        <v>116</v>
      </c>
    </row>
    <row r="1120" spans="1:13" ht="13.5" customHeight="1" x14ac:dyDescent="0.25">
      <c r="I1120" s="16">
        <v>40</v>
      </c>
      <c r="L1120" s="16" t="s">
        <v>101</v>
      </c>
      <c r="M1120" s="15" t="s">
        <v>354</v>
      </c>
    </row>
    <row r="1122" spans="1:13" ht="13.5" customHeight="1" x14ac:dyDescent="0.25">
      <c r="A1122" s="16" t="s">
        <v>355</v>
      </c>
      <c r="B1122" s="16" t="s">
        <v>0</v>
      </c>
      <c r="C1122" s="16" t="s">
        <v>7</v>
      </c>
      <c r="D1122" s="16" t="s">
        <v>19</v>
      </c>
      <c r="F1122" s="16">
        <v>381.89</v>
      </c>
      <c r="G1122" s="16">
        <v>10.5</v>
      </c>
      <c r="H1122" s="16" t="s">
        <v>22</v>
      </c>
      <c r="I1122" s="16">
        <v>10</v>
      </c>
      <c r="L1122" s="16" t="s">
        <v>23</v>
      </c>
    </row>
    <row r="1123" spans="1:13" ht="13.5" customHeight="1" x14ac:dyDescent="0.25">
      <c r="I1123" s="16">
        <v>110</v>
      </c>
      <c r="L1123" s="16" t="s">
        <v>32</v>
      </c>
    </row>
    <row r="1124" spans="1:13" ht="13.5" customHeight="1" x14ac:dyDescent="0.25">
      <c r="I1124" s="16">
        <v>30</v>
      </c>
      <c r="L1124" s="16" t="s">
        <v>33</v>
      </c>
      <c r="M1124" s="15"/>
    </row>
    <row r="1125" spans="1:13" ht="13.5" customHeight="1" x14ac:dyDescent="0.25">
      <c r="I1125" s="16">
        <v>30</v>
      </c>
      <c r="L1125" s="16" t="s">
        <v>29</v>
      </c>
      <c r="M1125" s="15"/>
    </row>
    <row r="1126" spans="1:13" ht="13.5" customHeight="1" x14ac:dyDescent="0.25">
      <c r="I1126" s="16">
        <v>40</v>
      </c>
      <c r="L1126" s="16" t="s">
        <v>25</v>
      </c>
      <c r="M1126" s="16" t="s">
        <v>137</v>
      </c>
    </row>
    <row r="1127" spans="1:13" ht="13.5" customHeight="1" x14ac:dyDescent="0.25">
      <c r="I1127" s="16">
        <v>20</v>
      </c>
      <c r="L1127" s="16" t="s">
        <v>25</v>
      </c>
      <c r="M1127" s="16" t="s">
        <v>45</v>
      </c>
    </row>
    <row r="1128" spans="1:13" ht="13.5" customHeight="1" x14ac:dyDescent="0.25">
      <c r="I1128" s="16">
        <v>15</v>
      </c>
      <c r="L1128" s="16" t="s">
        <v>27</v>
      </c>
    </row>
    <row r="1129" spans="1:13" ht="13.5" customHeight="1" x14ac:dyDescent="0.25">
      <c r="I1129" s="16">
        <v>15</v>
      </c>
      <c r="L1129" s="16" t="s">
        <v>26</v>
      </c>
      <c r="M1129" s="16" t="s">
        <v>147</v>
      </c>
    </row>
    <row r="1130" spans="1:13" ht="13.5" customHeight="1" x14ac:dyDescent="0.25">
      <c r="I1130" s="16">
        <v>20</v>
      </c>
      <c r="L1130" s="16" t="s">
        <v>25</v>
      </c>
      <c r="M1130" s="15" t="s">
        <v>36</v>
      </c>
    </row>
    <row r="1131" spans="1:13" ht="13.5" customHeight="1" x14ac:dyDescent="0.25">
      <c r="C1131" s="22"/>
      <c r="M1131" s="15"/>
    </row>
    <row r="1132" spans="1:13" ht="13.5" customHeight="1" x14ac:dyDescent="0.25">
      <c r="A1132" s="16" t="s">
        <v>355</v>
      </c>
      <c r="B1132" s="16" t="s">
        <v>1</v>
      </c>
      <c r="C1132" s="15" t="s">
        <v>192</v>
      </c>
      <c r="D1132" s="16" t="s">
        <v>21</v>
      </c>
      <c r="F1132" s="16">
        <f>21.99+37.91+38.05+37.67+29.42+37.98+38.29+37.72+38.2+34.41</f>
        <v>351.64</v>
      </c>
      <c r="G1132" s="16">
        <v>9.5</v>
      </c>
      <c r="H1132" s="16" t="s">
        <v>22</v>
      </c>
      <c r="I1132" s="16">
        <v>10</v>
      </c>
      <c r="L1132" s="16" t="s">
        <v>23</v>
      </c>
    </row>
    <row r="1133" spans="1:13" ht="13.5" customHeight="1" x14ac:dyDescent="0.25">
      <c r="I1133" s="16">
        <v>110</v>
      </c>
      <c r="L1133" s="16" t="s">
        <v>32</v>
      </c>
    </row>
    <row r="1134" spans="1:13" ht="13.5" customHeight="1" x14ac:dyDescent="0.25">
      <c r="I1134" s="16">
        <v>30</v>
      </c>
      <c r="L1134" s="16" t="s">
        <v>33</v>
      </c>
      <c r="M1134" s="15"/>
    </row>
    <row r="1135" spans="1:13" ht="13.5" customHeight="1" x14ac:dyDescent="0.25">
      <c r="I1135" s="16">
        <v>30</v>
      </c>
      <c r="L1135" s="16" t="s">
        <v>29</v>
      </c>
      <c r="M1135" s="15"/>
    </row>
    <row r="1136" spans="1:13" ht="13.5" customHeight="1" x14ac:dyDescent="0.25">
      <c r="I1136" s="16">
        <v>40</v>
      </c>
      <c r="L1136" s="16" t="s">
        <v>25</v>
      </c>
      <c r="M1136" s="16" t="s">
        <v>137</v>
      </c>
    </row>
    <row r="1137" spans="1:13" ht="13.5" customHeight="1" x14ac:dyDescent="0.25">
      <c r="I1137" s="16">
        <v>20</v>
      </c>
      <c r="L1137" s="16" t="s">
        <v>25</v>
      </c>
      <c r="M1137" s="16" t="s">
        <v>45</v>
      </c>
    </row>
    <row r="1138" spans="1:13" ht="13.5" customHeight="1" x14ac:dyDescent="0.25">
      <c r="I1138" s="16">
        <v>15</v>
      </c>
      <c r="L1138" s="16" t="s">
        <v>27</v>
      </c>
    </row>
    <row r="1139" spans="1:13" ht="13.5" customHeight="1" x14ac:dyDescent="0.25">
      <c r="I1139" s="16">
        <v>15</v>
      </c>
      <c r="L1139" s="16" t="s">
        <v>26</v>
      </c>
      <c r="M1139" s="16" t="s">
        <v>147</v>
      </c>
    </row>
    <row r="1140" spans="1:13" ht="13.5" customHeight="1" x14ac:dyDescent="0.25">
      <c r="I1140" s="16">
        <v>45</v>
      </c>
      <c r="L1140" s="16" t="s">
        <v>24</v>
      </c>
      <c r="M1140" s="16" t="s">
        <v>356</v>
      </c>
    </row>
    <row r="1142" spans="1:13" ht="13.5" customHeight="1" x14ac:dyDescent="0.25">
      <c r="A1142" s="16" t="s">
        <v>355</v>
      </c>
      <c r="B1142" s="16" t="s">
        <v>2</v>
      </c>
      <c r="C1142" s="16" t="s">
        <v>6</v>
      </c>
      <c r="D1142" s="16" t="s">
        <v>20</v>
      </c>
      <c r="F1142" s="23">
        <v>392.6</v>
      </c>
      <c r="G1142" s="16">
        <v>10.75</v>
      </c>
      <c r="H1142" s="16" t="s">
        <v>22</v>
      </c>
      <c r="I1142" s="16">
        <v>10</v>
      </c>
      <c r="L1142" s="16" t="s">
        <v>23</v>
      </c>
    </row>
    <row r="1143" spans="1:13" ht="13.5" customHeight="1" x14ac:dyDescent="0.25">
      <c r="I1143" s="16">
        <v>110</v>
      </c>
      <c r="L1143" s="16" t="s">
        <v>32</v>
      </c>
    </row>
    <row r="1144" spans="1:13" ht="13.5" customHeight="1" x14ac:dyDescent="0.25">
      <c r="I1144" s="16">
        <v>30</v>
      </c>
      <c r="L1144" s="16" t="s">
        <v>33</v>
      </c>
      <c r="M1144" s="15"/>
    </row>
    <row r="1145" spans="1:13" ht="13.5" customHeight="1" x14ac:dyDescent="0.25">
      <c r="I1145" s="16">
        <v>20</v>
      </c>
      <c r="L1145" s="16" t="s">
        <v>29</v>
      </c>
      <c r="M1145" s="15"/>
    </row>
    <row r="1146" spans="1:13" ht="13.5" customHeight="1" x14ac:dyDescent="0.25">
      <c r="I1146" s="16">
        <v>20</v>
      </c>
      <c r="L1146" s="16" t="s">
        <v>25</v>
      </c>
      <c r="M1146" s="16" t="s">
        <v>137</v>
      </c>
    </row>
    <row r="1147" spans="1:13" ht="13.5" customHeight="1" x14ac:dyDescent="0.25">
      <c r="I1147" s="16">
        <v>20</v>
      </c>
      <c r="L1147" s="16" t="s">
        <v>25</v>
      </c>
      <c r="M1147" s="16" t="s">
        <v>45</v>
      </c>
    </row>
    <row r="1148" spans="1:13" ht="13.5" customHeight="1" x14ac:dyDescent="0.25">
      <c r="I1148" s="16">
        <v>20</v>
      </c>
      <c r="L1148" s="16" t="s">
        <v>27</v>
      </c>
    </row>
    <row r="1149" spans="1:13" ht="13.5" customHeight="1" x14ac:dyDescent="0.25">
      <c r="I1149" s="16">
        <v>20</v>
      </c>
      <c r="L1149" s="16" t="s">
        <v>26</v>
      </c>
      <c r="M1149" s="16" t="s">
        <v>147</v>
      </c>
    </row>
    <row r="1150" spans="1:13" ht="13.5" customHeight="1" x14ac:dyDescent="0.25">
      <c r="I1150" s="16">
        <v>25</v>
      </c>
      <c r="L1150" s="16" t="s">
        <v>26</v>
      </c>
      <c r="M1150" s="15" t="s">
        <v>357</v>
      </c>
    </row>
    <row r="1151" spans="1:13" ht="13.5" customHeight="1" x14ac:dyDescent="0.25">
      <c r="I1151" s="16">
        <v>15</v>
      </c>
      <c r="L1151" s="16" t="s">
        <v>26</v>
      </c>
      <c r="M1151" s="16" t="s">
        <v>358</v>
      </c>
    </row>
    <row r="1152" spans="1:13" ht="13.5" customHeight="1" x14ac:dyDescent="0.25">
      <c r="I1152" s="16">
        <v>25</v>
      </c>
      <c r="L1152" s="16" t="s">
        <v>24</v>
      </c>
      <c r="M1152" s="16" t="s">
        <v>359</v>
      </c>
    </row>
    <row r="1154" spans="1:13" ht="13.5" customHeight="1" x14ac:dyDescent="0.25">
      <c r="A1154" s="16" t="s">
        <v>360</v>
      </c>
      <c r="B1154" s="16" t="s">
        <v>0</v>
      </c>
      <c r="C1154" s="16" t="s">
        <v>7</v>
      </c>
      <c r="D1154" s="16" t="s">
        <v>19</v>
      </c>
      <c r="F1154" s="23">
        <v>420.7</v>
      </c>
      <c r="G1154" s="16">
        <v>11.5</v>
      </c>
      <c r="H1154" s="16" t="s">
        <v>22</v>
      </c>
      <c r="I1154" s="16">
        <v>10</v>
      </c>
      <c r="L1154" s="16" t="s">
        <v>23</v>
      </c>
    </row>
    <row r="1155" spans="1:13" ht="13.5" customHeight="1" x14ac:dyDescent="0.25">
      <c r="I1155" s="16">
        <v>120</v>
      </c>
      <c r="L1155" s="16" t="s">
        <v>32</v>
      </c>
    </row>
    <row r="1156" spans="1:13" ht="13.5" customHeight="1" x14ac:dyDescent="0.25">
      <c r="I1156" s="16">
        <v>30</v>
      </c>
      <c r="L1156" s="16" t="s">
        <v>33</v>
      </c>
      <c r="M1156" s="15"/>
    </row>
    <row r="1157" spans="1:13" ht="13.5" customHeight="1" x14ac:dyDescent="0.25">
      <c r="I1157" s="16">
        <v>20</v>
      </c>
      <c r="L1157" s="16" t="s">
        <v>29</v>
      </c>
      <c r="M1157" s="15"/>
    </row>
    <row r="1158" spans="1:13" ht="13.5" customHeight="1" x14ac:dyDescent="0.25">
      <c r="I1158" s="16">
        <v>20</v>
      </c>
      <c r="L1158" s="16" t="s">
        <v>25</v>
      </c>
      <c r="M1158" s="16" t="s">
        <v>137</v>
      </c>
    </row>
    <row r="1159" spans="1:13" ht="13.5" customHeight="1" x14ac:dyDescent="0.25">
      <c r="I1159" s="16">
        <v>20</v>
      </c>
      <c r="L1159" s="16" t="s">
        <v>25</v>
      </c>
      <c r="M1159" s="16" t="s">
        <v>45</v>
      </c>
    </row>
    <row r="1160" spans="1:13" ht="13.5" customHeight="1" x14ac:dyDescent="0.25">
      <c r="I1160" s="16">
        <v>15</v>
      </c>
      <c r="L1160" s="16" t="s">
        <v>27</v>
      </c>
    </row>
    <row r="1161" spans="1:13" ht="13.5" customHeight="1" x14ac:dyDescent="0.25">
      <c r="I1161" s="16">
        <v>15</v>
      </c>
      <c r="L1161" s="16" t="s">
        <v>26</v>
      </c>
      <c r="M1161" s="16" t="s">
        <v>147</v>
      </c>
    </row>
    <row r="1162" spans="1:13" ht="13.5" customHeight="1" x14ac:dyDescent="0.25">
      <c r="I1162" s="16">
        <v>20</v>
      </c>
      <c r="M1162" s="15" t="s">
        <v>146</v>
      </c>
    </row>
    <row r="1164" spans="1:13" ht="13.5" customHeight="1" x14ac:dyDescent="0.25">
      <c r="A1164" s="16" t="s">
        <v>360</v>
      </c>
      <c r="B1164" s="16" t="s">
        <v>1</v>
      </c>
      <c r="C1164" s="15" t="s">
        <v>192</v>
      </c>
      <c r="D1164" s="16" t="s">
        <v>21</v>
      </c>
      <c r="F1164" s="23">
        <f>31.1+38+32.02+31.7+38.12+31.9+38.12+30.94+38.09+38.19+31.26+32.81-7.826</f>
        <v>404.42399999999998</v>
      </c>
      <c r="G1164" s="16">
        <v>11.75</v>
      </c>
      <c r="H1164" s="16" t="s">
        <v>22</v>
      </c>
      <c r="I1164" s="16">
        <v>25</v>
      </c>
      <c r="J1164" s="18">
        <v>8.3333333333333329E-2</v>
      </c>
      <c r="K1164" s="18">
        <v>0.10069444444444443</v>
      </c>
      <c r="L1164" s="16" t="s">
        <v>26</v>
      </c>
      <c r="M1164" s="15" t="s">
        <v>362</v>
      </c>
    </row>
    <row r="1165" spans="1:13" ht="13.5" customHeight="1" x14ac:dyDescent="0.25">
      <c r="I1165" s="16">
        <v>110</v>
      </c>
      <c r="L1165" s="16" t="s">
        <v>32</v>
      </c>
    </row>
    <row r="1166" spans="1:13" ht="13.5" customHeight="1" x14ac:dyDescent="0.25">
      <c r="I1166" s="16">
        <v>25</v>
      </c>
      <c r="L1166" s="16" t="s">
        <v>33</v>
      </c>
      <c r="M1166" s="15"/>
    </row>
    <row r="1167" spans="1:13" ht="13.5" customHeight="1" x14ac:dyDescent="0.25">
      <c r="I1167" s="16">
        <v>30</v>
      </c>
      <c r="L1167" s="16" t="s">
        <v>29</v>
      </c>
      <c r="M1167" s="15"/>
    </row>
    <row r="1168" spans="1:13" ht="13.5" customHeight="1" x14ac:dyDescent="0.25">
      <c r="I1168" s="16">
        <v>20</v>
      </c>
      <c r="L1168" s="16" t="s">
        <v>25</v>
      </c>
      <c r="M1168" s="16" t="s">
        <v>137</v>
      </c>
    </row>
    <row r="1169" spans="1:13" ht="13.5" customHeight="1" x14ac:dyDescent="0.25">
      <c r="I1169" s="16">
        <v>20</v>
      </c>
      <c r="L1169" s="16" t="s">
        <v>25</v>
      </c>
      <c r="M1169" s="16" t="s">
        <v>45</v>
      </c>
    </row>
    <row r="1170" spans="1:13" ht="13.5" customHeight="1" x14ac:dyDescent="0.25">
      <c r="I1170" s="16">
        <v>15</v>
      </c>
      <c r="L1170" s="16" t="s">
        <v>27</v>
      </c>
    </row>
    <row r="1171" spans="1:13" ht="13.5" customHeight="1" x14ac:dyDescent="0.25">
      <c r="I1171" s="16">
        <v>15</v>
      </c>
      <c r="L1171" s="16" t="s">
        <v>26</v>
      </c>
      <c r="M1171" s="16" t="s">
        <v>147</v>
      </c>
    </row>
    <row r="1172" spans="1:13" ht="13.5" customHeight="1" x14ac:dyDescent="0.25">
      <c r="I1172" s="16">
        <v>40</v>
      </c>
      <c r="L1172" s="16" t="s">
        <v>33</v>
      </c>
      <c r="M1172" s="15" t="s">
        <v>361</v>
      </c>
    </row>
    <row r="1173" spans="1:13" ht="13.5" customHeight="1" x14ac:dyDescent="0.25">
      <c r="I1173" s="16">
        <v>20</v>
      </c>
      <c r="L1173" s="16" t="s">
        <v>25</v>
      </c>
      <c r="M1173" s="15" t="s">
        <v>36</v>
      </c>
    </row>
    <row r="1175" spans="1:13" ht="13.5" customHeight="1" x14ac:dyDescent="0.25">
      <c r="A1175" s="16" t="s">
        <v>360</v>
      </c>
      <c r="B1175" s="16" t="s">
        <v>2</v>
      </c>
      <c r="C1175" s="16" t="s">
        <v>15</v>
      </c>
      <c r="D1175" s="16" t="s">
        <v>20</v>
      </c>
      <c r="F1175" s="23">
        <v>367.21600000000001</v>
      </c>
      <c r="G1175" s="16">
        <v>10.25</v>
      </c>
      <c r="H1175" s="16" t="s">
        <v>22</v>
      </c>
      <c r="I1175" s="16">
        <v>10</v>
      </c>
      <c r="L1175" s="16" t="s">
        <v>23</v>
      </c>
    </row>
    <row r="1176" spans="1:13" ht="13.5" customHeight="1" x14ac:dyDescent="0.25">
      <c r="I1176" s="16">
        <v>100</v>
      </c>
      <c r="L1176" s="16" t="s">
        <v>32</v>
      </c>
    </row>
    <row r="1177" spans="1:13" ht="13.5" customHeight="1" x14ac:dyDescent="0.25">
      <c r="I1177" s="16">
        <v>25</v>
      </c>
      <c r="L1177" s="16" t="s">
        <v>33</v>
      </c>
      <c r="M1177" s="15"/>
    </row>
    <row r="1178" spans="1:13" ht="13.5" customHeight="1" x14ac:dyDescent="0.25">
      <c r="I1178" s="16">
        <v>20</v>
      </c>
      <c r="L1178" s="16" t="s">
        <v>29</v>
      </c>
      <c r="M1178" s="15"/>
    </row>
    <row r="1179" spans="1:13" ht="13.5" customHeight="1" x14ac:dyDescent="0.25">
      <c r="I1179" s="16">
        <v>20</v>
      </c>
      <c r="L1179" s="16" t="s">
        <v>25</v>
      </c>
      <c r="M1179" s="16" t="s">
        <v>137</v>
      </c>
    </row>
    <row r="1180" spans="1:13" ht="13.5" customHeight="1" x14ac:dyDescent="0.25">
      <c r="I1180" s="16">
        <v>20</v>
      </c>
      <c r="L1180" s="16" t="s">
        <v>25</v>
      </c>
      <c r="M1180" s="16" t="s">
        <v>45</v>
      </c>
    </row>
    <row r="1181" spans="1:13" ht="13.5" customHeight="1" x14ac:dyDescent="0.25">
      <c r="I1181" s="16">
        <v>20</v>
      </c>
      <c r="L1181" s="16" t="s">
        <v>27</v>
      </c>
    </row>
    <row r="1182" spans="1:13" ht="13.5" customHeight="1" x14ac:dyDescent="0.25">
      <c r="I1182" s="16">
        <v>20</v>
      </c>
      <c r="L1182" s="16" t="s">
        <v>26</v>
      </c>
      <c r="M1182" s="16" t="s">
        <v>147</v>
      </c>
    </row>
    <row r="1183" spans="1:13" ht="13.5" customHeight="1" x14ac:dyDescent="0.25">
      <c r="I1183" s="16">
        <v>95</v>
      </c>
      <c r="J1183" s="18">
        <v>0.43055555555555558</v>
      </c>
      <c r="K1183" s="18">
        <v>0.49652777777777773</v>
      </c>
      <c r="L1183" s="16" t="s">
        <v>26</v>
      </c>
      <c r="M1183" s="15" t="s">
        <v>363</v>
      </c>
    </row>
    <row r="1184" spans="1:13" ht="13.5" customHeight="1" x14ac:dyDescent="0.25">
      <c r="I1184" s="16">
        <v>15</v>
      </c>
      <c r="L1184" s="16" t="s">
        <v>26</v>
      </c>
      <c r="M1184" s="16" t="s">
        <v>358</v>
      </c>
    </row>
    <row r="1186" spans="1:13" ht="13.5" customHeight="1" x14ac:dyDescent="0.25">
      <c r="A1186" s="16" t="s">
        <v>364</v>
      </c>
      <c r="B1186" s="16" t="s">
        <v>0</v>
      </c>
      <c r="C1186" s="15" t="s">
        <v>192</v>
      </c>
      <c r="D1186" s="16" t="s">
        <v>19</v>
      </c>
      <c r="F1186" s="23">
        <v>285.91000000000003</v>
      </c>
      <c r="G1186" s="16">
        <v>8</v>
      </c>
      <c r="H1186" s="16" t="s">
        <v>22</v>
      </c>
      <c r="I1186" s="16">
        <v>10</v>
      </c>
      <c r="L1186" s="16" t="s">
        <v>23</v>
      </c>
    </row>
    <row r="1187" spans="1:13" ht="13.5" customHeight="1" x14ac:dyDescent="0.25">
      <c r="I1187" s="16">
        <v>80</v>
      </c>
      <c r="L1187" s="16" t="s">
        <v>32</v>
      </c>
    </row>
    <row r="1188" spans="1:13" ht="13.5" customHeight="1" x14ac:dyDescent="0.25">
      <c r="I1188" s="16">
        <v>30</v>
      </c>
      <c r="L1188" s="16" t="s">
        <v>33</v>
      </c>
    </row>
    <row r="1189" spans="1:13" ht="13.5" customHeight="1" x14ac:dyDescent="0.25">
      <c r="I1189" s="16">
        <v>20</v>
      </c>
      <c r="L1189" s="16" t="s">
        <v>29</v>
      </c>
    </row>
    <row r="1190" spans="1:13" ht="13.5" customHeight="1" x14ac:dyDescent="0.25">
      <c r="I1190" s="16">
        <v>20</v>
      </c>
      <c r="L1190" s="16" t="s">
        <v>25</v>
      </c>
      <c r="M1190" s="16" t="s">
        <v>137</v>
      </c>
    </row>
    <row r="1191" spans="1:13" ht="13.5" customHeight="1" x14ac:dyDescent="0.25">
      <c r="I1191" s="16">
        <v>15</v>
      </c>
      <c r="L1191" s="16" t="s">
        <v>25</v>
      </c>
      <c r="M1191" s="16" t="s">
        <v>45</v>
      </c>
    </row>
    <row r="1192" spans="1:13" ht="13.5" customHeight="1" x14ac:dyDescent="0.25">
      <c r="I1192" s="16">
        <v>15</v>
      </c>
      <c r="L1192" s="16" t="s">
        <v>27</v>
      </c>
    </row>
    <row r="1193" spans="1:13" ht="13.5" customHeight="1" x14ac:dyDescent="0.25">
      <c r="I1193" s="16">
        <v>15</v>
      </c>
      <c r="L1193" s="16" t="s">
        <v>26</v>
      </c>
      <c r="M1193" s="16" t="s">
        <v>147</v>
      </c>
    </row>
    <row r="1194" spans="1:13" ht="13.5" customHeight="1" x14ac:dyDescent="0.25">
      <c r="I1194" s="16">
        <v>145</v>
      </c>
      <c r="J1194" s="18">
        <v>0.4826388888888889</v>
      </c>
      <c r="K1194" s="18">
        <v>8.3333333333333329E-2</v>
      </c>
      <c r="L1194" s="16" t="s">
        <v>26</v>
      </c>
      <c r="M1194" s="16" t="s">
        <v>126</v>
      </c>
    </row>
    <row r="1195" spans="1:13" ht="13.5" customHeight="1" x14ac:dyDescent="0.25">
      <c r="I1195" s="16">
        <v>15</v>
      </c>
      <c r="L1195" s="16" t="s">
        <v>25</v>
      </c>
      <c r="M1195" s="16" t="s">
        <v>36</v>
      </c>
    </row>
    <row r="1197" spans="1:13" ht="13.5" customHeight="1" x14ac:dyDescent="0.25">
      <c r="A1197" s="16" t="s">
        <v>364</v>
      </c>
      <c r="B1197" s="16" t="s">
        <v>1</v>
      </c>
      <c r="C1197" s="16" t="s">
        <v>6</v>
      </c>
      <c r="D1197" s="16" t="s">
        <v>21</v>
      </c>
      <c r="F1197" s="23">
        <v>0</v>
      </c>
      <c r="G1197" s="16">
        <v>0</v>
      </c>
      <c r="H1197" s="16" t="s">
        <v>22</v>
      </c>
      <c r="I1197" s="16">
        <v>480</v>
      </c>
      <c r="L1197" s="16" t="s">
        <v>26</v>
      </c>
      <c r="M1197" s="15" t="s">
        <v>365</v>
      </c>
    </row>
    <row r="1199" spans="1:13" ht="13.5" customHeight="1" x14ac:dyDescent="0.25">
      <c r="A1199" s="16" t="s">
        <v>364</v>
      </c>
      <c r="B1199" s="16" t="s">
        <v>2</v>
      </c>
      <c r="C1199" s="16" t="s">
        <v>15</v>
      </c>
      <c r="D1199" s="16" t="s">
        <v>20</v>
      </c>
      <c r="F1199" s="23">
        <v>303</v>
      </c>
      <c r="G1199" s="16">
        <v>8</v>
      </c>
      <c r="H1199" s="16" t="s">
        <v>22</v>
      </c>
      <c r="I1199" s="16">
        <v>150</v>
      </c>
      <c r="L1199" s="16" t="s">
        <v>26</v>
      </c>
      <c r="M1199" s="15" t="s">
        <v>365</v>
      </c>
    </row>
    <row r="1200" spans="1:13" ht="13.5" customHeight="1" x14ac:dyDescent="0.25">
      <c r="I1200" s="16">
        <v>80</v>
      </c>
      <c r="L1200" s="16" t="s">
        <v>32</v>
      </c>
    </row>
    <row r="1201" spans="1:13" ht="13.5" customHeight="1" x14ac:dyDescent="0.25">
      <c r="I1201" s="16">
        <v>25</v>
      </c>
      <c r="L1201" s="16" t="s">
        <v>33</v>
      </c>
      <c r="M1201" s="15"/>
    </row>
    <row r="1202" spans="1:13" ht="13.5" customHeight="1" x14ac:dyDescent="0.25">
      <c r="I1202" s="16">
        <v>20</v>
      </c>
      <c r="L1202" s="16" t="s">
        <v>29</v>
      </c>
      <c r="M1202" s="15"/>
    </row>
    <row r="1203" spans="1:13" ht="13.5" customHeight="1" x14ac:dyDescent="0.25">
      <c r="I1203" s="16">
        <v>20</v>
      </c>
      <c r="L1203" s="16" t="s">
        <v>25</v>
      </c>
      <c r="M1203" s="16" t="s">
        <v>137</v>
      </c>
    </row>
    <row r="1204" spans="1:13" ht="13.5" customHeight="1" x14ac:dyDescent="0.25">
      <c r="I1204" s="16">
        <v>20</v>
      </c>
      <c r="L1204" s="16" t="s">
        <v>25</v>
      </c>
      <c r="M1204" s="16" t="s">
        <v>45</v>
      </c>
    </row>
    <row r="1205" spans="1:13" ht="13.5" customHeight="1" x14ac:dyDescent="0.25">
      <c r="I1205" s="16">
        <v>20</v>
      </c>
      <c r="L1205" s="16" t="s">
        <v>27</v>
      </c>
    </row>
    <row r="1206" spans="1:13" ht="13.5" customHeight="1" x14ac:dyDescent="0.25">
      <c r="I1206" s="16">
        <v>20</v>
      </c>
      <c r="L1206" s="16" t="s">
        <v>26</v>
      </c>
      <c r="M1206" s="16" t="s">
        <v>147</v>
      </c>
    </row>
    <row r="1207" spans="1:13" ht="13.5" customHeight="1" x14ac:dyDescent="0.25">
      <c r="I1207" s="16">
        <v>20</v>
      </c>
      <c r="L1207" s="16" t="s">
        <v>26</v>
      </c>
      <c r="M1207" s="15" t="s">
        <v>366</v>
      </c>
    </row>
    <row r="1208" spans="1:13" ht="13.5" customHeight="1" x14ac:dyDescent="0.25">
      <c r="I1208" s="16">
        <v>30</v>
      </c>
      <c r="L1208" s="16" t="s">
        <v>26</v>
      </c>
      <c r="M1208" s="16" t="s">
        <v>358</v>
      </c>
    </row>
    <row r="1210" spans="1:13" ht="13.5" customHeight="1" x14ac:dyDescent="0.25">
      <c r="A1210" s="16" t="s">
        <v>367</v>
      </c>
      <c r="B1210" s="16" t="s">
        <v>0</v>
      </c>
      <c r="C1210" s="15" t="s">
        <v>192</v>
      </c>
      <c r="D1210" s="16" t="s">
        <v>19</v>
      </c>
      <c r="F1210" s="23">
        <v>242.35</v>
      </c>
      <c r="G1210" s="16">
        <v>6.75</v>
      </c>
      <c r="H1210" s="16" t="s">
        <v>22</v>
      </c>
      <c r="I1210" s="16">
        <v>10</v>
      </c>
      <c r="L1210" s="16" t="s">
        <v>23</v>
      </c>
    </row>
    <row r="1211" spans="1:13" ht="13.5" customHeight="1" x14ac:dyDescent="0.25">
      <c r="I1211" s="16">
        <v>70</v>
      </c>
      <c r="L1211" s="16" t="s">
        <v>32</v>
      </c>
    </row>
    <row r="1212" spans="1:13" ht="13.5" customHeight="1" x14ac:dyDescent="0.25">
      <c r="I1212" s="16">
        <v>20</v>
      </c>
      <c r="L1212" s="16" t="s">
        <v>33</v>
      </c>
    </row>
    <row r="1213" spans="1:13" ht="13.5" customHeight="1" x14ac:dyDescent="0.25">
      <c r="I1213" s="16">
        <v>20</v>
      </c>
      <c r="L1213" s="16" t="s">
        <v>29</v>
      </c>
    </row>
    <row r="1214" spans="1:13" ht="13.5" customHeight="1" x14ac:dyDescent="0.25">
      <c r="I1214" s="16">
        <v>30</v>
      </c>
      <c r="L1214" s="16" t="s">
        <v>25</v>
      </c>
      <c r="M1214" s="16" t="s">
        <v>137</v>
      </c>
    </row>
    <row r="1215" spans="1:13" ht="13.5" customHeight="1" x14ac:dyDescent="0.25">
      <c r="I1215" s="16">
        <v>15</v>
      </c>
      <c r="L1215" s="16" t="s">
        <v>25</v>
      </c>
      <c r="M1215" s="16" t="s">
        <v>45</v>
      </c>
    </row>
    <row r="1216" spans="1:13" ht="13.5" customHeight="1" x14ac:dyDescent="0.25">
      <c r="I1216" s="16">
        <v>15</v>
      </c>
      <c r="L1216" s="16" t="s">
        <v>27</v>
      </c>
    </row>
    <row r="1217" spans="1:13" ht="13.5" customHeight="1" x14ac:dyDescent="0.25">
      <c r="I1217" s="16">
        <v>15</v>
      </c>
      <c r="L1217" s="16" t="s">
        <v>26</v>
      </c>
      <c r="M1217" s="16" t="s">
        <v>147</v>
      </c>
    </row>
    <row r="1218" spans="1:13" ht="13.5" customHeight="1" x14ac:dyDescent="0.25">
      <c r="I1218" s="16">
        <v>120</v>
      </c>
      <c r="J1218" s="18">
        <v>0.30208333333333331</v>
      </c>
      <c r="K1218" s="18">
        <v>0.38541666666666669</v>
      </c>
      <c r="L1218" s="16" t="s">
        <v>26</v>
      </c>
      <c r="M1218" s="15" t="s">
        <v>368</v>
      </c>
    </row>
    <row r="1219" spans="1:13" ht="13.5" customHeight="1" x14ac:dyDescent="0.25">
      <c r="I1219" s="16">
        <v>50</v>
      </c>
      <c r="J1219" s="18">
        <v>0.41666666666666669</v>
      </c>
      <c r="K1219" s="18">
        <v>0.4513888888888889</v>
      </c>
      <c r="L1219" s="16" t="s">
        <v>26</v>
      </c>
      <c r="M1219" s="15" t="s">
        <v>369</v>
      </c>
    </row>
    <row r="1220" spans="1:13" ht="13.5" customHeight="1" x14ac:dyDescent="0.25">
      <c r="I1220" s="16">
        <v>20</v>
      </c>
      <c r="J1220" s="18">
        <v>0.49305555555555558</v>
      </c>
      <c r="K1220" s="18">
        <v>0.50694444444444442</v>
      </c>
      <c r="L1220" s="16" t="s">
        <v>26</v>
      </c>
      <c r="M1220" s="15" t="s">
        <v>370</v>
      </c>
    </row>
    <row r="1221" spans="1:13" ht="13.5" customHeight="1" x14ac:dyDescent="0.25">
      <c r="I1221" s="16">
        <v>30</v>
      </c>
      <c r="J1221" s="18">
        <v>0.51736111111111105</v>
      </c>
      <c r="K1221" s="18">
        <v>0.53819444444444442</v>
      </c>
      <c r="L1221" s="16" t="s">
        <v>26</v>
      </c>
      <c r="M1221" s="15" t="s">
        <v>371</v>
      </c>
    </row>
    <row r="1223" spans="1:13" ht="13.5" customHeight="1" x14ac:dyDescent="0.25">
      <c r="A1223" s="16" t="s">
        <v>367</v>
      </c>
      <c r="B1223" s="16" t="s">
        <v>1</v>
      </c>
      <c r="C1223" s="16" t="s">
        <v>6</v>
      </c>
      <c r="D1223" s="16" t="s">
        <v>21</v>
      </c>
      <c r="F1223" s="23">
        <f>9.13+31.15+35.37+38.05+34.73+37.94+31.46+32.07+31.84+38.03-10.86</f>
        <v>308.90999999999997</v>
      </c>
      <c r="G1223" s="16">
        <v>9</v>
      </c>
      <c r="H1223" s="16" t="s">
        <v>22</v>
      </c>
      <c r="I1223" s="16">
        <v>10</v>
      </c>
      <c r="L1223" s="16" t="s">
        <v>23</v>
      </c>
    </row>
    <row r="1224" spans="1:13" ht="13.5" customHeight="1" x14ac:dyDescent="0.25">
      <c r="I1224" s="16">
        <v>90</v>
      </c>
      <c r="J1224" s="18">
        <v>9.375E-2</v>
      </c>
      <c r="K1224" s="18">
        <v>0.15625</v>
      </c>
      <c r="L1224" s="16" t="s">
        <v>26</v>
      </c>
      <c r="M1224" s="15" t="s">
        <v>14</v>
      </c>
    </row>
    <row r="1225" spans="1:13" ht="13.5" customHeight="1" x14ac:dyDescent="0.25">
      <c r="I1225" s="16">
        <v>90</v>
      </c>
      <c r="L1225" s="16" t="s">
        <v>32</v>
      </c>
    </row>
    <row r="1226" spans="1:13" ht="13.5" customHeight="1" x14ac:dyDescent="0.25">
      <c r="I1226" s="16">
        <v>50</v>
      </c>
      <c r="L1226" s="16" t="s">
        <v>33</v>
      </c>
      <c r="M1226" s="15" t="s">
        <v>372</v>
      </c>
    </row>
    <row r="1227" spans="1:13" ht="13.5" customHeight="1" x14ac:dyDescent="0.25">
      <c r="I1227" s="16">
        <v>30</v>
      </c>
      <c r="L1227" s="16" t="s">
        <v>29</v>
      </c>
      <c r="M1227" s="15"/>
    </row>
    <row r="1228" spans="1:13" ht="13.5" customHeight="1" x14ac:dyDescent="0.25">
      <c r="I1228" s="16">
        <v>30</v>
      </c>
      <c r="L1228" s="16" t="s">
        <v>25</v>
      </c>
      <c r="M1228" s="16" t="s">
        <v>137</v>
      </c>
    </row>
    <row r="1229" spans="1:13" ht="13.5" customHeight="1" x14ac:dyDescent="0.25">
      <c r="I1229" s="16">
        <v>20</v>
      </c>
      <c r="L1229" s="16" t="s">
        <v>25</v>
      </c>
      <c r="M1229" s="16" t="s">
        <v>45</v>
      </c>
    </row>
    <row r="1230" spans="1:13" ht="13.5" customHeight="1" x14ac:dyDescent="0.25">
      <c r="I1230" s="16">
        <v>15</v>
      </c>
      <c r="L1230" s="16" t="s">
        <v>27</v>
      </c>
    </row>
    <row r="1231" spans="1:13" ht="13.5" customHeight="1" x14ac:dyDescent="0.25">
      <c r="I1231" s="16">
        <v>15</v>
      </c>
      <c r="L1231" s="16" t="s">
        <v>26</v>
      </c>
      <c r="M1231" s="16" t="s">
        <v>147</v>
      </c>
    </row>
    <row r="1232" spans="1:13" ht="13.5" customHeight="1" x14ac:dyDescent="0.25">
      <c r="I1232" s="16">
        <v>15</v>
      </c>
      <c r="L1232" s="16" t="s">
        <v>26</v>
      </c>
      <c r="M1232" s="15" t="s">
        <v>148</v>
      </c>
    </row>
    <row r="1234" spans="1:13" ht="13.5" customHeight="1" x14ac:dyDescent="0.25">
      <c r="A1234" s="16" t="s">
        <v>367</v>
      </c>
      <c r="B1234" s="16" t="s">
        <v>2</v>
      </c>
      <c r="C1234" s="16" t="s">
        <v>15</v>
      </c>
      <c r="D1234" s="16" t="s">
        <v>20</v>
      </c>
      <c r="F1234" s="23">
        <v>393.05</v>
      </c>
      <c r="G1234" s="16">
        <v>11</v>
      </c>
      <c r="H1234" s="16" t="s">
        <v>22</v>
      </c>
      <c r="I1234" s="16">
        <v>10</v>
      </c>
      <c r="L1234" s="16" t="s">
        <v>23</v>
      </c>
    </row>
    <row r="1235" spans="1:13" ht="13.5" customHeight="1" x14ac:dyDescent="0.25">
      <c r="I1235" s="16">
        <v>110</v>
      </c>
      <c r="L1235" s="16" t="s">
        <v>32</v>
      </c>
    </row>
    <row r="1236" spans="1:13" ht="13.5" customHeight="1" x14ac:dyDescent="0.25">
      <c r="I1236" s="16">
        <v>30</v>
      </c>
      <c r="L1236" s="16" t="s">
        <v>33</v>
      </c>
    </row>
    <row r="1237" spans="1:13" ht="13.5" customHeight="1" x14ac:dyDescent="0.25">
      <c r="I1237" s="16">
        <v>30</v>
      </c>
      <c r="L1237" s="16" t="s">
        <v>29</v>
      </c>
    </row>
    <row r="1238" spans="1:13" ht="13.5" customHeight="1" x14ac:dyDescent="0.25">
      <c r="I1238" s="16">
        <v>30</v>
      </c>
      <c r="L1238" s="16" t="s">
        <v>25</v>
      </c>
      <c r="M1238" s="16" t="s">
        <v>137</v>
      </c>
    </row>
    <row r="1239" spans="1:13" ht="13.5" customHeight="1" x14ac:dyDescent="0.25">
      <c r="I1239" s="16">
        <v>15</v>
      </c>
      <c r="L1239" s="16" t="s">
        <v>25</v>
      </c>
      <c r="M1239" s="16" t="s">
        <v>45</v>
      </c>
    </row>
    <row r="1240" spans="1:13" ht="13.5" customHeight="1" x14ac:dyDescent="0.25">
      <c r="I1240" s="16">
        <v>15</v>
      </c>
      <c r="L1240" s="16" t="s">
        <v>27</v>
      </c>
    </row>
    <row r="1241" spans="1:13" ht="13.5" customHeight="1" x14ac:dyDescent="0.25">
      <c r="I1241" s="16">
        <v>15</v>
      </c>
      <c r="L1241" s="16" t="s">
        <v>26</v>
      </c>
      <c r="M1241" s="16" t="s">
        <v>147</v>
      </c>
    </row>
    <row r="1242" spans="1:13" ht="13.5" customHeight="1" x14ac:dyDescent="0.25">
      <c r="I1242" s="16">
        <v>20</v>
      </c>
      <c r="L1242" s="16" t="s">
        <v>26</v>
      </c>
      <c r="M1242" s="16" t="s">
        <v>358</v>
      </c>
    </row>
    <row r="1244" spans="1:13" ht="13.5" customHeight="1" x14ac:dyDescent="0.25">
      <c r="A1244" s="16" t="s">
        <v>373</v>
      </c>
      <c r="B1244" s="16" t="s">
        <v>0</v>
      </c>
      <c r="C1244" s="15" t="s">
        <v>192</v>
      </c>
      <c r="D1244" s="16" t="s">
        <v>19</v>
      </c>
      <c r="F1244" s="23">
        <v>366.54</v>
      </c>
      <c r="G1244" s="16">
        <v>10.5</v>
      </c>
      <c r="H1244" s="16" t="s">
        <v>22</v>
      </c>
      <c r="I1244" s="16">
        <v>10</v>
      </c>
      <c r="L1244" s="16" t="s">
        <v>23</v>
      </c>
    </row>
    <row r="1245" spans="1:13" ht="13.5" customHeight="1" x14ac:dyDescent="0.25">
      <c r="I1245" s="16">
        <v>100</v>
      </c>
      <c r="L1245" s="16" t="s">
        <v>32</v>
      </c>
    </row>
    <row r="1246" spans="1:13" ht="13.5" customHeight="1" x14ac:dyDescent="0.25">
      <c r="I1246" s="16">
        <v>30</v>
      </c>
      <c r="L1246" s="16" t="s">
        <v>33</v>
      </c>
    </row>
    <row r="1247" spans="1:13" ht="13.5" customHeight="1" x14ac:dyDescent="0.25">
      <c r="I1247" s="16">
        <v>50</v>
      </c>
      <c r="L1247" s="16" t="s">
        <v>29</v>
      </c>
    </row>
    <row r="1248" spans="1:13" ht="13.5" customHeight="1" x14ac:dyDescent="0.25">
      <c r="I1248" s="16">
        <v>30</v>
      </c>
      <c r="L1248" s="16" t="s">
        <v>25</v>
      </c>
      <c r="M1248" s="16" t="s">
        <v>137</v>
      </c>
    </row>
    <row r="1249" spans="1:13" ht="13.5" customHeight="1" x14ac:dyDescent="0.25">
      <c r="I1249" s="16">
        <v>15</v>
      </c>
      <c r="L1249" s="16" t="s">
        <v>25</v>
      </c>
      <c r="M1249" s="16" t="s">
        <v>45</v>
      </c>
    </row>
    <row r="1250" spans="1:13" ht="13.5" customHeight="1" x14ac:dyDescent="0.25">
      <c r="I1250" s="16">
        <v>15</v>
      </c>
      <c r="L1250" s="16" t="s">
        <v>27</v>
      </c>
    </row>
    <row r="1251" spans="1:13" ht="13.5" customHeight="1" x14ac:dyDescent="0.25">
      <c r="I1251" s="16">
        <v>15</v>
      </c>
      <c r="L1251" s="16" t="s">
        <v>26</v>
      </c>
      <c r="M1251" s="16" t="s">
        <v>147</v>
      </c>
    </row>
    <row r="1252" spans="1:13" ht="13.5" customHeight="1" x14ac:dyDescent="0.25">
      <c r="I1252" s="16">
        <v>30</v>
      </c>
      <c r="L1252" s="16" t="s">
        <v>26</v>
      </c>
      <c r="M1252" s="15" t="s">
        <v>148</v>
      </c>
    </row>
    <row r="1254" spans="1:13" ht="13.5" customHeight="1" x14ac:dyDescent="0.25">
      <c r="A1254" s="16" t="s">
        <v>373</v>
      </c>
      <c r="B1254" s="16" t="s">
        <v>1</v>
      </c>
      <c r="C1254" s="16" t="s">
        <v>6</v>
      </c>
      <c r="D1254" s="16" t="s">
        <v>21</v>
      </c>
      <c r="F1254" s="23">
        <f>38.1+37.8+38.35+21.54+38.19+33.15+26.12+28.19+31.93+38.28</f>
        <v>331.65</v>
      </c>
      <c r="G1254" s="16">
        <v>10</v>
      </c>
      <c r="H1254" s="16" t="s">
        <v>22</v>
      </c>
      <c r="I1254" s="16">
        <v>10</v>
      </c>
      <c r="L1254" s="16" t="s">
        <v>23</v>
      </c>
    </row>
    <row r="1255" spans="1:13" ht="13.5" customHeight="1" x14ac:dyDescent="0.25">
      <c r="I1255" s="16">
        <v>100</v>
      </c>
      <c r="L1255" s="16" t="s">
        <v>32</v>
      </c>
    </row>
    <row r="1256" spans="1:13" ht="13.5" customHeight="1" x14ac:dyDescent="0.25">
      <c r="I1256" s="16">
        <v>25</v>
      </c>
      <c r="L1256" s="16" t="s">
        <v>33</v>
      </c>
      <c r="M1256" s="15"/>
    </row>
    <row r="1257" spans="1:13" ht="13.5" customHeight="1" x14ac:dyDescent="0.25">
      <c r="I1257" s="16">
        <v>25</v>
      </c>
      <c r="L1257" s="16" t="s">
        <v>29</v>
      </c>
      <c r="M1257" s="15"/>
    </row>
    <row r="1258" spans="1:13" ht="13.5" customHeight="1" x14ac:dyDescent="0.25">
      <c r="I1258" s="16">
        <v>20</v>
      </c>
      <c r="L1258" s="16" t="s">
        <v>25</v>
      </c>
      <c r="M1258" s="16" t="s">
        <v>137</v>
      </c>
    </row>
    <row r="1259" spans="1:13" ht="13.5" customHeight="1" x14ac:dyDescent="0.25">
      <c r="I1259" s="16">
        <v>20</v>
      </c>
      <c r="L1259" s="16" t="s">
        <v>25</v>
      </c>
      <c r="M1259" s="16" t="s">
        <v>45</v>
      </c>
    </row>
    <row r="1260" spans="1:13" ht="13.5" customHeight="1" x14ac:dyDescent="0.25">
      <c r="I1260" s="16">
        <v>15</v>
      </c>
      <c r="L1260" s="16" t="s">
        <v>27</v>
      </c>
    </row>
    <row r="1261" spans="1:13" ht="13.5" customHeight="1" x14ac:dyDescent="0.25">
      <c r="I1261" s="16">
        <v>15</v>
      </c>
      <c r="L1261" s="16" t="s">
        <v>26</v>
      </c>
      <c r="M1261" s="16" t="s">
        <v>147</v>
      </c>
    </row>
    <row r="1262" spans="1:13" ht="13.5" customHeight="1" x14ac:dyDescent="0.25">
      <c r="I1262" s="16">
        <v>20</v>
      </c>
      <c r="L1262" s="16" t="s">
        <v>25</v>
      </c>
      <c r="M1262" s="16" t="s">
        <v>36</v>
      </c>
    </row>
    <row r="1263" spans="1:13" ht="13.5" customHeight="1" x14ac:dyDescent="0.25">
      <c r="I1263" s="16">
        <v>30</v>
      </c>
      <c r="L1263" s="16" t="s">
        <v>25</v>
      </c>
      <c r="M1263" s="15" t="s">
        <v>374</v>
      </c>
    </row>
    <row r="1264" spans="1:13" ht="13.5" customHeight="1" x14ac:dyDescent="0.25">
      <c r="I1264" s="16">
        <v>30</v>
      </c>
      <c r="L1264" s="16" t="s">
        <v>25</v>
      </c>
      <c r="M1264" s="15" t="s">
        <v>375</v>
      </c>
    </row>
    <row r="1266" spans="1:13" ht="13.5" customHeight="1" x14ac:dyDescent="0.25">
      <c r="A1266" s="16" t="s">
        <v>373</v>
      </c>
      <c r="B1266" s="16" t="s">
        <v>2</v>
      </c>
      <c r="C1266" s="16" t="s">
        <v>15</v>
      </c>
      <c r="D1266" s="16" t="s">
        <v>20</v>
      </c>
      <c r="F1266" s="23">
        <v>381.39</v>
      </c>
      <c r="G1266" s="16">
        <v>11</v>
      </c>
      <c r="H1266" s="16" t="s">
        <v>22</v>
      </c>
      <c r="I1266" s="16">
        <v>10</v>
      </c>
      <c r="L1266" s="16" t="s">
        <v>23</v>
      </c>
    </row>
    <row r="1267" spans="1:13" ht="13.5" customHeight="1" x14ac:dyDescent="0.25">
      <c r="I1267" s="16">
        <v>110</v>
      </c>
      <c r="L1267" s="16" t="s">
        <v>32</v>
      </c>
    </row>
    <row r="1268" spans="1:13" ht="13.5" customHeight="1" x14ac:dyDescent="0.25">
      <c r="I1268" s="16">
        <v>30</v>
      </c>
      <c r="L1268" s="16" t="s">
        <v>33</v>
      </c>
    </row>
    <row r="1269" spans="1:13" ht="13.5" customHeight="1" x14ac:dyDescent="0.25">
      <c r="I1269" s="16">
        <v>40</v>
      </c>
      <c r="L1269" s="16" t="s">
        <v>29</v>
      </c>
    </row>
    <row r="1270" spans="1:13" ht="13.5" customHeight="1" x14ac:dyDescent="0.25">
      <c r="I1270" s="16">
        <v>20</v>
      </c>
      <c r="L1270" s="16" t="s">
        <v>25</v>
      </c>
      <c r="M1270" s="16" t="s">
        <v>137</v>
      </c>
    </row>
    <row r="1271" spans="1:13" ht="13.5" customHeight="1" x14ac:dyDescent="0.25">
      <c r="I1271" s="16">
        <v>20</v>
      </c>
      <c r="L1271" s="16" t="s">
        <v>25</v>
      </c>
      <c r="M1271" s="16" t="s">
        <v>45</v>
      </c>
    </row>
    <row r="1272" spans="1:13" ht="13.5" customHeight="1" x14ac:dyDescent="0.25">
      <c r="I1272" s="16">
        <v>10</v>
      </c>
      <c r="L1272" s="16" t="s">
        <v>27</v>
      </c>
    </row>
    <row r="1273" spans="1:13" ht="13.5" customHeight="1" x14ac:dyDescent="0.25">
      <c r="I1273" s="16">
        <v>20</v>
      </c>
      <c r="L1273" s="16" t="s">
        <v>26</v>
      </c>
      <c r="M1273" s="16" t="s">
        <v>147</v>
      </c>
    </row>
    <row r="1275" spans="1:13" ht="13.5" customHeight="1" x14ac:dyDescent="0.25">
      <c r="A1275" s="16" t="s">
        <v>377</v>
      </c>
      <c r="B1275" s="16" t="s">
        <v>0</v>
      </c>
      <c r="C1275" s="16" t="s">
        <v>16</v>
      </c>
      <c r="D1275" s="16" t="s">
        <v>19</v>
      </c>
      <c r="F1275" s="23">
        <v>345</v>
      </c>
      <c r="G1275" s="16">
        <v>10</v>
      </c>
      <c r="H1275" s="16" t="s">
        <v>22</v>
      </c>
      <c r="I1275" s="16">
        <v>10</v>
      </c>
      <c r="L1275" s="16" t="s">
        <v>23</v>
      </c>
    </row>
    <row r="1276" spans="1:13" ht="13.5" customHeight="1" x14ac:dyDescent="0.25">
      <c r="I1276" s="16">
        <v>100</v>
      </c>
      <c r="L1276" s="16" t="s">
        <v>32</v>
      </c>
    </row>
    <row r="1277" spans="1:13" ht="13.5" customHeight="1" x14ac:dyDescent="0.25">
      <c r="I1277" s="16">
        <v>30</v>
      </c>
      <c r="L1277" s="16" t="s">
        <v>33</v>
      </c>
    </row>
    <row r="1278" spans="1:13" ht="13.5" customHeight="1" x14ac:dyDescent="0.25">
      <c r="I1278" s="16">
        <v>50</v>
      </c>
      <c r="L1278" s="16" t="s">
        <v>29</v>
      </c>
    </row>
    <row r="1279" spans="1:13" ht="13.5" customHeight="1" x14ac:dyDescent="0.25">
      <c r="I1279" s="16">
        <v>30</v>
      </c>
      <c r="L1279" s="16" t="s">
        <v>25</v>
      </c>
      <c r="M1279" s="16" t="s">
        <v>137</v>
      </c>
    </row>
    <row r="1280" spans="1:13" ht="13.5" customHeight="1" x14ac:dyDescent="0.25">
      <c r="I1280" s="16">
        <v>15</v>
      </c>
      <c r="L1280" s="16" t="s">
        <v>25</v>
      </c>
      <c r="M1280" s="16" t="s">
        <v>45</v>
      </c>
    </row>
    <row r="1281" spans="1:13" ht="13.5" customHeight="1" x14ac:dyDescent="0.25">
      <c r="I1281" s="16">
        <v>15</v>
      </c>
      <c r="L1281" s="16" t="s">
        <v>27</v>
      </c>
    </row>
    <row r="1282" spans="1:13" ht="13.5" customHeight="1" x14ac:dyDescent="0.25">
      <c r="I1282" s="16">
        <v>15</v>
      </c>
      <c r="L1282" s="16" t="s">
        <v>26</v>
      </c>
      <c r="M1282" s="16" t="s">
        <v>147</v>
      </c>
    </row>
    <row r="1283" spans="1:13" ht="13.5" customHeight="1" x14ac:dyDescent="0.25">
      <c r="I1283" s="16">
        <v>30</v>
      </c>
      <c r="L1283" s="16" t="s">
        <v>26</v>
      </c>
      <c r="M1283" s="15" t="s">
        <v>148</v>
      </c>
    </row>
    <row r="1284" spans="1:13" ht="13.5" customHeight="1" x14ac:dyDescent="0.25">
      <c r="I1284" s="16">
        <v>15</v>
      </c>
      <c r="L1284" s="16" t="s">
        <v>26</v>
      </c>
      <c r="M1284" s="16" t="s">
        <v>376</v>
      </c>
    </row>
    <row r="1286" spans="1:13" ht="13.5" customHeight="1" x14ac:dyDescent="0.25">
      <c r="A1286" s="16" t="s">
        <v>377</v>
      </c>
      <c r="B1286" s="16" t="s">
        <v>1</v>
      </c>
      <c r="C1286" s="16" t="s">
        <v>6</v>
      </c>
      <c r="D1286" s="16" t="s">
        <v>21</v>
      </c>
      <c r="F1286" s="23">
        <f>31.33+31.12+28.91+38.08+38.19+38+38.08+37.92+37.96+37.29</f>
        <v>356.88</v>
      </c>
      <c r="G1286" s="16">
        <v>10</v>
      </c>
      <c r="H1286" s="16" t="s">
        <v>22</v>
      </c>
      <c r="I1286" s="16">
        <v>10</v>
      </c>
      <c r="L1286" s="16" t="s">
        <v>23</v>
      </c>
    </row>
    <row r="1287" spans="1:13" ht="13.5" customHeight="1" x14ac:dyDescent="0.25">
      <c r="I1287" s="16">
        <v>100</v>
      </c>
      <c r="L1287" s="16" t="s">
        <v>32</v>
      </c>
    </row>
    <row r="1288" spans="1:13" ht="13.5" customHeight="1" x14ac:dyDescent="0.25">
      <c r="I1288" s="16">
        <v>30</v>
      </c>
      <c r="L1288" s="16" t="s">
        <v>33</v>
      </c>
    </row>
    <row r="1289" spans="1:13" ht="13.5" customHeight="1" x14ac:dyDescent="0.25">
      <c r="I1289" s="16">
        <v>40</v>
      </c>
      <c r="L1289" s="16" t="s">
        <v>29</v>
      </c>
    </row>
    <row r="1290" spans="1:13" ht="13.5" customHeight="1" x14ac:dyDescent="0.25">
      <c r="I1290" s="16">
        <v>20</v>
      </c>
      <c r="L1290" s="16" t="s">
        <v>25</v>
      </c>
      <c r="M1290" s="16" t="s">
        <v>137</v>
      </c>
    </row>
    <row r="1291" spans="1:13" ht="13.5" customHeight="1" x14ac:dyDescent="0.25">
      <c r="I1291" s="16">
        <v>20</v>
      </c>
      <c r="L1291" s="16" t="s">
        <v>25</v>
      </c>
      <c r="M1291" s="16" t="s">
        <v>45</v>
      </c>
    </row>
    <row r="1292" spans="1:13" ht="13.5" customHeight="1" x14ac:dyDescent="0.25">
      <c r="I1292" s="16">
        <v>10</v>
      </c>
      <c r="L1292" s="16" t="s">
        <v>27</v>
      </c>
    </row>
    <row r="1293" spans="1:13" ht="13.5" customHeight="1" x14ac:dyDescent="0.25">
      <c r="I1293" s="16">
        <v>20</v>
      </c>
      <c r="L1293" s="16" t="s">
        <v>26</v>
      </c>
      <c r="M1293" s="16" t="s">
        <v>147</v>
      </c>
    </row>
    <row r="1295" spans="1:13" ht="13.5" customHeight="1" x14ac:dyDescent="0.25">
      <c r="A1295" s="16" t="s">
        <v>377</v>
      </c>
      <c r="B1295" s="16" t="s">
        <v>2</v>
      </c>
      <c r="C1295" s="16" t="s">
        <v>15</v>
      </c>
      <c r="D1295" s="16" t="s">
        <v>20</v>
      </c>
      <c r="F1295" s="23">
        <v>311.52</v>
      </c>
      <c r="G1295" s="16">
        <v>8.75</v>
      </c>
      <c r="H1295" s="16" t="s">
        <v>22</v>
      </c>
      <c r="I1295" s="16">
        <v>10</v>
      </c>
      <c r="L1295" s="16" t="s">
        <v>23</v>
      </c>
    </row>
    <row r="1296" spans="1:13" ht="13.5" customHeight="1" x14ac:dyDescent="0.25">
      <c r="I1296" s="16">
        <v>90</v>
      </c>
      <c r="L1296" s="16" t="s">
        <v>32</v>
      </c>
    </row>
    <row r="1297" spans="1:13" ht="13.5" customHeight="1" x14ac:dyDescent="0.25">
      <c r="I1297" s="16">
        <v>30</v>
      </c>
      <c r="L1297" s="16" t="s">
        <v>33</v>
      </c>
    </row>
    <row r="1298" spans="1:13" ht="13.5" customHeight="1" x14ac:dyDescent="0.25">
      <c r="I1298" s="16">
        <v>40</v>
      </c>
      <c r="L1298" s="16" t="s">
        <v>29</v>
      </c>
      <c r="M1298" s="16" t="s">
        <v>136</v>
      </c>
    </row>
    <row r="1299" spans="1:13" ht="13.5" customHeight="1" x14ac:dyDescent="0.25">
      <c r="I1299" s="16">
        <v>20</v>
      </c>
      <c r="L1299" s="16" t="s">
        <v>25</v>
      </c>
      <c r="M1299" s="16" t="s">
        <v>137</v>
      </c>
    </row>
    <row r="1300" spans="1:13" ht="13.5" customHeight="1" x14ac:dyDescent="0.25">
      <c r="I1300" s="16">
        <v>20</v>
      </c>
      <c r="L1300" s="16" t="s">
        <v>25</v>
      </c>
      <c r="M1300" s="16" t="s">
        <v>45</v>
      </c>
    </row>
    <row r="1301" spans="1:13" ht="13.5" customHeight="1" x14ac:dyDescent="0.25">
      <c r="I1301" s="16">
        <v>10</v>
      </c>
      <c r="L1301" s="16" t="s">
        <v>27</v>
      </c>
    </row>
    <row r="1302" spans="1:13" ht="13.5" customHeight="1" x14ac:dyDescent="0.25">
      <c r="I1302" s="16">
        <v>20</v>
      </c>
      <c r="L1302" s="16" t="s">
        <v>26</v>
      </c>
      <c r="M1302" s="16" t="s">
        <v>147</v>
      </c>
    </row>
    <row r="1303" spans="1:13" ht="13.5" customHeight="1" x14ac:dyDescent="0.25">
      <c r="I1303" s="16">
        <v>50</v>
      </c>
      <c r="L1303" s="16" t="s">
        <v>24</v>
      </c>
      <c r="M1303" s="15" t="s">
        <v>173</v>
      </c>
    </row>
    <row r="1304" spans="1:13" ht="13.5" customHeight="1" x14ac:dyDescent="0.25">
      <c r="I1304" s="16">
        <v>70</v>
      </c>
      <c r="L1304" s="16" t="s">
        <v>29</v>
      </c>
      <c r="M1304" s="15" t="s">
        <v>378</v>
      </c>
    </row>
    <row r="1306" spans="1:13" ht="13.5" customHeight="1" x14ac:dyDescent="0.25">
      <c r="A1306" s="16" t="s">
        <v>379</v>
      </c>
      <c r="B1306" s="16" t="s">
        <v>0</v>
      </c>
      <c r="C1306" s="15" t="s">
        <v>192</v>
      </c>
      <c r="D1306" s="16" t="s">
        <v>21</v>
      </c>
      <c r="F1306" s="23">
        <v>345.87</v>
      </c>
      <c r="G1306" s="16">
        <v>9.5</v>
      </c>
      <c r="H1306" s="16" t="s">
        <v>22</v>
      </c>
      <c r="I1306" s="16">
        <v>10</v>
      </c>
      <c r="L1306" s="16" t="s">
        <v>23</v>
      </c>
    </row>
    <row r="1307" spans="1:13" ht="13.5" customHeight="1" x14ac:dyDescent="0.25">
      <c r="I1307" s="16">
        <v>90</v>
      </c>
      <c r="L1307" s="16" t="s">
        <v>32</v>
      </c>
    </row>
    <row r="1308" spans="1:13" ht="13.5" customHeight="1" x14ac:dyDescent="0.25">
      <c r="I1308" s="16">
        <v>30</v>
      </c>
      <c r="L1308" s="16" t="s">
        <v>33</v>
      </c>
    </row>
    <row r="1309" spans="1:13" ht="13.5" customHeight="1" x14ac:dyDescent="0.25">
      <c r="I1309" s="16">
        <v>40</v>
      </c>
      <c r="L1309" s="16" t="s">
        <v>29</v>
      </c>
    </row>
    <row r="1310" spans="1:13" ht="13.5" customHeight="1" x14ac:dyDescent="0.25">
      <c r="I1310" s="16">
        <v>30</v>
      </c>
      <c r="L1310" s="16" t="s">
        <v>25</v>
      </c>
      <c r="M1310" s="16" t="s">
        <v>137</v>
      </c>
    </row>
    <row r="1311" spans="1:13" ht="13.5" customHeight="1" x14ac:dyDescent="0.25">
      <c r="I1311" s="16">
        <v>15</v>
      </c>
      <c r="L1311" s="16" t="s">
        <v>25</v>
      </c>
      <c r="M1311" s="16" t="s">
        <v>45</v>
      </c>
    </row>
    <row r="1312" spans="1:13" ht="13.5" customHeight="1" x14ac:dyDescent="0.25">
      <c r="I1312" s="16">
        <v>15</v>
      </c>
      <c r="L1312" s="16" t="s">
        <v>27</v>
      </c>
    </row>
    <row r="1313" spans="1:13" ht="13.5" customHeight="1" x14ac:dyDescent="0.25">
      <c r="I1313" s="16">
        <v>15</v>
      </c>
      <c r="L1313" s="16" t="s">
        <v>26</v>
      </c>
      <c r="M1313" s="16" t="s">
        <v>147</v>
      </c>
    </row>
    <row r="1314" spans="1:13" ht="13.5" customHeight="1" x14ac:dyDescent="0.25">
      <c r="I1314" s="16">
        <v>20</v>
      </c>
      <c r="L1314" s="16" t="s">
        <v>26</v>
      </c>
      <c r="M1314" s="15" t="s">
        <v>380</v>
      </c>
    </row>
    <row r="1315" spans="1:13" ht="13.5" customHeight="1" x14ac:dyDescent="0.25">
      <c r="I1315" s="16">
        <v>80</v>
      </c>
      <c r="L1315" s="16" t="s">
        <v>29</v>
      </c>
      <c r="M1315" s="15" t="s">
        <v>381</v>
      </c>
    </row>
    <row r="1318" spans="1:13" ht="13.5" customHeight="1" x14ac:dyDescent="0.25">
      <c r="A1318" s="16" t="s">
        <v>379</v>
      </c>
      <c r="B1318" s="16" t="s">
        <v>1</v>
      </c>
      <c r="C1318" s="16" t="s">
        <v>6</v>
      </c>
      <c r="D1318" s="16" t="s">
        <v>20</v>
      </c>
      <c r="F1318" s="23">
        <v>340.05</v>
      </c>
      <c r="G1318" s="16">
        <v>9.5</v>
      </c>
      <c r="H1318" s="16" t="s">
        <v>22</v>
      </c>
      <c r="I1318" s="16">
        <v>10</v>
      </c>
      <c r="L1318" s="16" t="s">
        <v>23</v>
      </c>
    </row>
    <row r="1319" spans="1:13" ht="13.5" customHeight="1" x14ac:dyDescent="0.25">
      <c r="I1319" s="16">
        <v>100</v>
      </c>
      <c r="L1319" s="16" t="s">
        <v>32</v>
      </c>
    </row>
    <row r="1320" spans="1:13" ht="13.5" customHeight="1" x14ac:dyDescent="0.25">
      <c r="I1320" s="16">
        <v>30</v>
      </c>
      <c r="L1320" s="16" t="s">
        <v>33</v>
      </c>
    </row>
    <row r="1321" spans="1:13" ht="13.5" customHeight="1" x14ac:dyDescent="0.25">
      <c r="I1321" s="16">
        <v>60</v>
      </c>
      <c r="L1321" s="16" t="s">
        <v>29</v>
      </c>
      <c r="M1321" s="16" t="s">
        <v>136</v>
      </c>
    </row>
    <row r="1322" spans="1:13" ht="13.5" customHeight="1" x14ac:dyDescent="0.25">
      <c r="I1322" s="16">
        <v>30</v>
      </c>
      <c r="L1322" s="16" t="s">
        <v>25</v>
      </c>
      <c r="M1322" s="16" t="s">
        <v>137</v>
      </c>
    </row>
    <row r="1323" spans="1:13" ht="13.5" customHeight="1" x14ac:dyDescent="0.25">
      <c r="I1323" s="16">
        <v>20</v>
      </c>
      <c r="L1323" s="16" t="s">
        <v>25</v>
      </c>
      <c r="M1323" s="16" t="s">
        <v>45</v>
      </c>
    </row>
    <row r="1324" spans="1:13" ht="13.5" customHeight="1" x14ac:dyDescent="0.25">
      <c r="I1324" s="16">
        <v>10</v>
      </c>
      <c r="L1324" s="16" t="s">
        <v>27</v>
      </c>
    </row>
    <row r="1325" spans="1:13" ht="13.5" customHeight="1" x14ac:dyDescent="0.25">
      <c r="I1325" s="16">
        <v>20</v>
      </c>
      <c r="L1325" s="16" t="s">
        <v>26</v>
      </c>
      <c r="M1325" s="16" t="s">
        <v>147</v>
      </c>
    </row>
    <row r="1326" spans="1:13" ht="13.5" customHeight="1" x14ac:dyDescent="0.25">
      <c r="M1326" s="15"/>
    </row>
    <row r="1327" spans="1:13" ht="13.5" customHeight="1" x14ac:dyDescent="0.25">
      <c r="A1327" s="16" t="s">
        <v>379</v>
      </c>
      <c r="B1327" s="16" t="s">
        <v>2</v>
      </c>
      <c r="C1327" s="16" t="s">
        <v>15</v>
      </c>
      <c r="D1327" s="16" t="s">
        <v>19</v>
      </c>
      <c r="F1327" s="23">
        <v>321.32</v>
      </c>
      <c r="G1327" s="16">
        <v>9.5</v>
      </c>
      <c r="H1327" s="16" t="s">
        <v>22</v>
      </c>
      <c r="I1327" s="16">
        <v>10</v>
      </c>
      <c r="L1327" s="16" t="s">
        <v>23</v>
      </c>
    </row>
    <row r="1328" spans="1:13" ht="13.5" customHeight="1" x14ac:dyDescent="0.25">
      <c r="I1328" s="16">
        <v>100</v>
      </c>
      <c r="L1328" s="16" t="s">
        <v>32</v>
      </c>
    </row>
    <row r="1329" spans="1:13" ht="13.5" customHeight="1" x14ac:dyDescent="0.25">
      <c r="I1329" s="16">
        <v>30</v>
      </c>
      <c r="L1329" s="16" t="s">
        <v>33</v>
      </c>
    </row>
    <row r="1330" spans="1:13" ht="13.5" customHeight="1" x14ac:dyDescent="0.25">
      <c r="I1330" s="16">
        <v>60</v>
      </c>
      <c r="L1330" s="16" t="s">
        <v>29</v>
      </c>
      <c r="M1330" s="16" t="s">
        <v>136</v>
      </c>
    </row>
    <row r="1331" spans="1:13" ht="13.5" customHeight="1" x14ac:dyDescent="0.25">
      <c r="I1331" s="16">
        <v>30</v>
      </c>
      <c r="L1331" s="16" t="s">
        <v>25</v>
      </c>
      <c r="M1331" s="16" t="s">
        <v>137</v>
      </c>
    </row>
    <row r="1332" spans="1:13" ht="13.5" customHeight="1" x14ac:dyDescent="0.25">
      <c r="I1332" s="16">
        <v>20</v>
      </c>
      <c r="L1332" s="16" t="s">
        <v>25</v>
      </c>
      <c r="M1332" s="16" t="s">
        <v>45</v>
      </c>
    </row>
    <row r="1333" spans="1:13" ht="13.5" customHeight="1" x14ac:dyDescent="0.25">
      <c r="I1333" s="16">
        <v>10</v>
      </c>
      <c r="L1333" s="16" t="s">
        <v>27</v>
      </c>
    </row>
    <row r="1334" spans="1:13" ht="13.5" customHeight="1" x14ac:dyDescent="0.25">
      <c r="I1334" s="16">
        <v>20</v>
      </c>
      <c r="L1334" s="16" t="s">
        <v>26</v>
      </c>
      <c r="M1334" s="16" t="s">
        <v>147</v>
      </c>
    </row>
    <row r="1335" spans="1:13" ht="13.5" customHeight="1" x14ac:dyDescent="0.25">
      <c r="I1335" s="16">
        <v>10</v>
      </c>
      <c r="L1335" s="16" t="s">
        <v>26</v>
      </c>
      <c r="M1335" s="16" t="s">
        <v>382</v>
      </c>
    </row>
    <row r="1337" spans="1:13" ht="13.5" customHeight="1" x14ac:dyDescent="0.25">
      <c r="A1337" s="16" t="s">
        <v>383</v>
      </c>
      <c r="B1337" s="16" t="s">
        <v>0</v>
      </c>
      <c r="C1337" s="15" t="s">
        <v>192</v>
      </c>
      <c r="D1337" s="16" t="s">
        <v>21</v>
      </c>
      <c r="F1337" s="23">
        <v>304.42</v>
      </c>
      <c r="G1337" s="16">
        <v>10</v>
      </c>
      <c r="H1337" s="16" t="s">
        <v>22</v>
      </c>
      <c r="I1337" s="16">
        <v>10</v>
      </c>
      <c r="L1337" s="16" t="s">
        <v>23</v>
      </c>
    </row>
    <row r="1338" spans="1:13" ht="13.5" customHeight="1" x14ac:dyDescent="0.25">
      <c r="I1338" s="16">
        <v>90</v>
      </c>
      <c r="L1338" s="16" t="s">
        <v>32</v>
      </c>
    </row>
    <row r="1339" spans="1:13" ht="13.5" customHeight="1" x14ac:dyDescent="0.25">
      <c r="I1339" s="16">
        <v>30</v>
      </c>
      <c r="L1339" s="16" t="s">
        <v>33</v>
      </c>
    </row>
    <row r="1340" spans="1:13" ht="13.5" customHeight="1" x14ac:dyDescent="0.25">
      <c r="I1340" s="16">
        <v>40</v>
      </c>
      <c r="L1340" s="16" t="s">
        <v>29</v>
      </c>
    </row>
    <row r="1341" spans="1:13" ht="13.5" customHeight="1" x14ac:dyDescent="0.25">
      <c r="I1341" s="16">
        <v>30</v>
      </c>
      <c r="L1341" s="16" t="s">
        <v>25</v>
      </c>
      <c r="M1341" s="16" t="s">
        <v>137</v>
      </c>
    </row>
    <row r="1342" spans="1:13" ht="13.5" customHeight="1" x14ac:dyDescent="0.25">
      <c r="I1342" s="16">
        <v>15</v>
      </c>
      <c r="L1342" s="16" t="s">
        <v>25</v>
      </c>
      <c r="M1342" s="16" t="s">
        <v>45</v>
      </c>
    </row>
    <row r="1343" spans="1:13" ht="13.5" customHeight="1" x14ac:dyDescent="0.25">
      <c r="I1343" s="16">
        <v>15</v>
      </c>
      <c r="L1343" s="16" t="s">
        <v>27</v>
      </c>
    </row>
    <row r="1344" spans="1:13" ht="13.5" customHeight="1" x14ac:dyDescent="0.25">
      <c r="I1344" s="16">
        <v>15</v>
      </c>
      <c r="L1344" s="16" t="s">
        <v>26</v>
      </c>
      <c r="M1344" s="16" t="s">
        <v>147</v>
      </c>
    </row>
    <row r="1345" spans="1:13" ht="13.5" customHeight="1" x14ac:dyDescent="0.25">
      <c r="I1345" s="16">
        <v>25</v>
      </c>
      <c r="L1345" s="16" t="s">
        <v>26</v>
      </c>
      <c r="M1345" s="16" t="s">
        <v>319</v>
      </c>
    </row>
    <row r="1346" spans="1:13" ht="13.5" customHeight="1" x14ac:dyDescent="0.25">
      <c r="I1346" s="16">
        <v>20</v>
      </c>
      <c r="L1346" s="16" t="s">
        <v>25</v>
      </c>
      <c r="M1346" s="15" t="s">
        <v>36</v>
      </c>
    </row>
    <row r="1347" spans="1:13" ht="13.5" customHeight="1" x14ac:dyDescent="0.25">
      <c r="I1347" s="16">
        <v>40</v>
      </c>
      <c r="L1347" s="16" t="s">
        <v>33</v>
      </c>
      <c r="M1347" s="15" t="s">
        <v>384</v>
      </c>
    </row>
    <row r="1348" spans="1:13" ht="13.5" customHeight="1" x14ac:dyDescent="0.25">
      <c r="F1348" s="23"/>
    </row>
    <row r="1349" spans="1:13" ht="13.5" customHeight="1" x14ac:dyDescent="0.25">
      <c r="A1349" s="16" t="s">
        <v>383</v>
      </c>
      <c r="B1349" s="16" t="s">
        <v>1</v>
      </c>
      <c r="C1349" s="16" t="s">
        <v>16</v>
      </c>
      <c r="D1349" s="16" t="s">
        <v>20</v>
      </c>
      <c r="F1349" s="23">
        <v>358.58</v>
      </c>
      <c r="G1349" s="16">
        <v>10.25</v>
      </c>
      <c r="H1349" s="16" t="s">
        <v>22</v>
      </c>
      <c r="I1349" s="16">
        <v>10</v>
      </c>
      <c r="L1349" s="16" t="s">
        <v>23</v>
      </c>
    </row>
    <row r="1350" spans="1:13" ht="13.5" customHeight="1" x14ac:dyDescent="0.25">
      <c r="I1350" s="16">
        <v>100</v>
      </c>
      <c r="L1350" s="16" t="s">
        <v>32</v>
      </c>
    </row>
    <row r="1351" spans="1:13" ht="13.5" customHeight="1" x14ac:dyDescent="0.25">
      <c r="I1351" s="16">
        <v>30</v>
      </c>
      <c r="L1351" s="16" t="s">
        <v>33</v>
      </c>
    </row>
    <row r="1352" spans="1:13" ht="13.5" customHeight="1" x14ac:dyDescent="0.25">
      <c r="I1352" s="16">
        <v>40</v>
      </c>
      <c r="L1352" s="16" t="s">
        <v>29</v>
      </c>
    </row>
    <row r="1353" spans="1:13" ht="13.5" customHeight="1" x14ac:dyDescent="0.25">
      <c r="I1353" s="16">
        <v>20</v>
      </c>
      <c r="L1353" s="16" t="s">
        <v>25</v>
      </c>
      <c r="M1353" s="16" t="s">
        <v>137</v>
      </c>
    </row>
    <row r="1354" spans="1:13" ht="13.5" customHeight="1" x14ac:dyDescent="0.25">
      <c r="I1354" s="16">
        <v>20</v>
      </c>
      <c r="L1354" s="16" t="s">
        <v>25</v>
      </c>
      <c r="M1354" s="16" t="s">
        <v>45</v>
      </c>
    </row>
    <row r="1355" spans="1:13" ht="13.5" customHeight="1" x14ac:dyDescent="0.25">
      <c r="I1355" s="16">
        <v>10</v>
      </c>
      <c r="L1355" s="16" t="s">
        <v>27</v>
      </c>
    </row>
    <row r="1356" spans="1:13" ht="13.5" customHeight="1" x14ac:dyDescent="0.25">
      <c r="I1356" s="16">
        <v>20</v>
      </c>
      <c r="L1356" s="16" t="s">
        <v>26</v>
      </c>
      <c r="M1356" s="16" t="s">
        <v>147</v>
      </c>
    </row>
    <row r="1357" spans="1:13" ht="13.5" customHeight="1" x14ac:dyDescent="0.25">
      <c r="I1357" s="16">
        <v>60</v>
      </c>
      <c r="L1357" s="15" t="s">
        <v>385</v>
      </c>
      <c r="M1357" s="15" t="s">
        <v>386</v>
      </c>
    </row>
    <row r="1359" spans="1:13" ht="13.5" customHeight="1" x14ac:dyDescent="0.25">
      <c r="A1359" s="16" t="s">
        <v>383</v>
      </c>
      <c r="B1359" s="16" t="s">
        <v>2</v>
      </c>
      <c r="C1359" s="16" t="s">
        <v>15</v>
      </c>
      <c r="D1359" s="16" t="s">
        <v>19</v>
      </c>
      <c r="F1359" s="23">
        <v>281.7</v>
      </c>
      <c r="G1359" s="16">
        <v>8</v>
      </c>
      <c r="H1359" s="16" t="s">
        <v>22</v>
      </c>
      <c r="I1359" s="16">
        <v>10</v>
      </c>
      <c r="L1359" s="16" t="s">
        <v>23</v>
      </c>
    </row>
    <row r="1360" spans="1:13" ht="13.5" customHeight="1" x14ac:dyDescent="0.25">
      <c r="I1360" s="16">
        <v>90</v>
      </c>
      <c r="L1360" s="16" t="s">
        <v>32</v>
      </c>
    </row>
    <row r="1361" spans="1:13" ht="13.5" customHeight="1" x14ac:dyDescent="0.25">
      <c r="I1361" s="16">
        <v>30</v>
      </c>
      <c r="L1361" s="16" t="s">
        <v>33</v>
      </c>
    </row>
    <row r="1362" spans="1:13" ht="13.5" customHeight="1" x14ac:dyDescent="0.25">
      <c r="I1362" s="16">
        <v>30</v>
      </c>
      <c r="L1362" s="16" t="s">
        <v>29</v>
      </c>
    </row>
    <row r="1363" spans="1:13" ht="13.5" customHeight="1" x14ac:dyDescent="0.25">
      <c r="I1363" s="16">
        <v>20</v>
      </c>
      <c r="L1363" s="16" t="s">
        <v>25</v>
      </c>
      <c r="M1363" s="16" t="s">
        <v>137</v>
      </c>
    </row>
    <row r="1364" spans="1:13" ht="13.5" customHeight="1" x14ac:dyDescent="0.25">
      <c r="I1364" s="16">
        <v>20</v>
      </c>
      <c r="L1364" s="16" t="s">
        <v>25</v>
      </c>
      <c r="M1364" s="16" t="s">
        <v>45</v>
      </c>
    </row>
    <row r="1365" spans="1:13" ht="13.5" customHeight="1" x14ac:dyDescent="0.25">
      <c r="I1365" s="16">
        <v>15</v>
      </c>
      <c r="L1365" s="16" t="s">
        <v>27</v>
      </c>
    </row>
    <row r="1366" spans="1:13" ht="13.5" customHeight="1" x14ac:dyDescent="0.25">
      <c r="I1366" s="16">
        <v>15</v>
      </c>
      <c r="L1366" s="16" t="s">
        <v>26</v>
      </c>
      <c r="M1366" s="16" t="s">
        <v>147</v>
      </c>
    </row>
    <row r="1367" spans="1:13" ht="13.5" customHeight="1" x14ac:dyDescent="0.25">
      <c r="I1367" s="16">
        <v>120</v>
      </c>
      <c r="L1367" s="16" t="s">
        <v>26</v>
      </c>
      <c r="M1367" s="15" t="s">
        <v>161</v>
      </c>
    </row>
    <row r="1369" spans="1:13" ht="13.5" customHeight="1" x14ac:dyDescent="0.25">
      <c r="A1369" s="16" t="s">
        <v>387</v>
      </c>
      <c r="B1369" s="16" t="s">
        <v>0</v>
      </c>
      <c r="C1369" s="15" t="s">
        <v>192</v>
      </c>
      <c r="D1369" s="16" t="s">
        <v>21</v>
      </c>
      <c r="F1369" s="23">
        <f>28.94+29.06+37.84+29.2+38.16+32.11+31.95+31.01+38.02+32.06</f>
        <v>328.34999999999997</v>
      </c>
      <c r="G1369" s="16">
        <v>10</v>
      </c>
      <c r="H1369" s="16" t="s">
        <v>22</v>
      </c>
      <c r="I1369" s="16">
        <v>10</v>
      </c>
      <c r="L1369" s="16" t="s">
        <v>23</v>
      </c>
    </row>
    <row r="1370" spans="1:13" ht="13.5" customHeight="1" x14ac:dyDescent="0.25">
      <c r="I1370" s="16">
        <v>100</v>
      </c>
      <c r="L1370" s="16" t="s">
        <v>32</v>
      </c>
    </row>
    <row r="1371" spans="1:13" ht="13.5" customHeight="1" x14ac:dyDescent="0.25">
      <c r="I1371" s="16">
        <v>40</v>
      </c>
      <c r="L1371" s="16" t="s">
        <v>33</v>
      </c>
    </row>
    <row r="1372" spans="1:13" ht="13.5" customHeight="1" x14ac:dyDescent="0.25">
      <c r="I1372" s="16">
        <v>50</v>
      </c>
      <c r="L1372" s="16" t="s">
        <v>29</v>
      </c>
    </row>
    <row r="1373" spans="1:13" ht="13.5" customHeight="1" x14ac:dyDescent="0.25">
      <c r="I1373" s="16">
        <v>30</v>
      </c>
      <c r="L1373" s="16" t="s">
        <v>25</v>
      </c>
      <c r="M1373" s="16" t="s">
        <v>137</v>
      </c>
    </row>
    <row r="1374" spans="1:13" ht="13.5" customHeight="1" x14ac:dyDescent="0.25">
      <c r="I1374" s="16">
        <v>30</v>
      </c>
      <c r="L1374" s="16" t="s">
        <v>25</v>
      </c>
      <c r="M1374" s="16" t="s">
        <v>45</v>
      </c>
    </row>
    <row r="1375" spans="1:13" ht="13.5" customHeight="1" x14ac:dyDescent="0.25">
      <c r="I1375" s="16">
        <v>20</v>
      </c>
      <c r="L1375" s="16" t="s">
        <v>27</v>
      </c>
    </row>
    <row r="1376" spans="1:13" ht="13.5" customHeight="1" x14ac:dyDescent="0.25">
      <c r="I1376" s="16">
        <v>20</v>
      </c>
      <c r="L1376" s="16" t="s">
        <v>26</v>
      </c>
      <c r="M1376" s="16" t="s">
        <v>147</v>
      </c>
    </row>
    <row r="1378" spans="1:13" ht="13.5" customHeight="1" x14ac:dyDescent="0.25">
      <c r="A1378" s="16" t="s">
        <v>387</v>
      </c>
      <c r="B1378" s="16" t="s">
        <v>1</v>
      </c>
      <c r="C1378" s="16" t="s">
        <v>18</v>
      </c>
      <c r="D1378" s="16" t="s">
        <v>20</v>
      </c>
      <c r="F1378" s="23">
        <v>236.44</v>
      </c>
      <c r="G1378" s="16">
        <v>7</v>
      </c>
      <c r="H1378" s="16" t="s">
        <v>22</v>
      </c>
      <c r="I1378" s="16">
        <v>10</v>
      </c>
      <c r="L1378" s="16" t="s">
        <v>23</v>
      </c>
    </row>
    <row r="1379" spans="1:13" ht="13.5" customHeight="1" x14ac:dyDescent="0.25">
      <c r="I1379" s="16">
        <v>70</v>
      </c>
      <c r="L1379" s="16" t="s">
        <v>32</v>
      </c>
    </row>
    <row r="1380" spans="1:13" ht="13.5" customHeight="1" x14ac:dyDescent="0.25">
      <c r="I1380" s="16">
        <v>20</v>
      </c>
      <c r="L1380" s="16" t="s">
        <v>33</v>
      </c>
    </row>
    <row r="1381" spans="1:13" ht="13.5" customHeight="1" x14ac:dyDescent="0.25">
      <c r="I1381" s="16">
        <v>40</v>
      </c>
      <c r="L1381" s="16" t="s">
        <v>29</v>
      </c>
    </row>
    <row r="1382" spans="1:13" ht="13.5" customHeight="1" x14ac:dyDescent="0.25">
      <c r="I1382" s="16">
        <v>20</v>
      </c>
      <c r="L1382" s="16" t="s">
        <v>25</v>
      </c>
      <c r="M1382" s="16" t="s">
        <v>137</v>
      </c>
    </row>
    <row r="1383" spans="1:13" ht="13.5" customHeight="1" x14ac:dyDescent="0.25">
      <c r="I1383" s="16">
        <v>20</v>
      </c>
      <c r="L1383" s="16" t="s">
        <v>25</v>
      </c>
      <c r="M1383" s="16" t="s">
        <v>45</v>
      </c>
    </row>
    <row r="1384" spans="1:13" ht="13.5" customHeight="1" x14ac:dyDescent="0.25">
      <c r="I1384" s="16">
        <v>10</v>
      </c>
      <c r="L1384" s="16" t="s">
        <v>27</v>
      </c>
    </row>
    <row r="1385" spans="1:13" ht="13.5" customHeight="1" x14ac:dyDescent="0.25">
      <c r="I1385" s="16">
        <v>20</v>
      </c>
      <c r="L1385" s="16" t="s">
        <v>26</v>
      </c>
      <c r="M1385" s="16" t="s">
        <v>147</v>
      </c>
    </row>
    <row r="1386" spans="1:13" ht="13.5" customHeight="1" x14ac:dyDescent="0.25">
      <c r="I1386" s="16">
        <v>150</v>
      </c>
      <c r="L1386" s="16" t="s">
        <v>26</v>
      </c>
      <c r="M1386" s="15" t="s">
        <v>388</v>
      </c>
    </row>
    <row r="1388" spans="1:13" ht="13.5" customHeight="1" x14ac:dyDescent="0.25">
      <c r="A1388" s="16" t="s">
        <v>387</v>
      </c>
      <c r="B1388" s="16" t="s">
        <v>2</v>
      </c>
      <c r="C1388" s="16" t="s">
        <v>16</v>
      </c>
      <c r="D1388" s="16" t="s">
        <v>19</v>
      </c>
      <c r="F1388" s="23">
        <v>98.21</v>
      </c>
      <c r="G1388" s="16">
        <v>3</v>
      </c>
      <c r="H1388" s="16" t="s">
        <v>22</v>
      </c>
      <c r="I1388" s="16">
        <v>10</v>
      </c>
      <c r="L1388" s="16" t="s">
        <v>23</v>
      </c>
    </row>
    <row r="1389" spans="1:13" ht="13.5" customHeight="1" x14ac:dyDescent="0.25">
      <c r="I1389" s="16">
        <v>30</v>
      </c>
      <c r="L1389" s="16" t="s">
        <v>32</v>
      </c>
    </row>
    <row r="1390" spans="1:13" ht="13.5" customHeight="1" x14ac:dyDescent="0.25">
      <c r="I1390" s="16">
        <v>10</v>
      </c>
      <c r="L1390" s="16" t="s">
        <v>33</v>
      </c>
    </row>
    <row r="1391" spans="1:13" ht="13.5" customHeight="1" x14ac:dyDescent="0.25">
      <c r="I1391" s="16">
        <v>20</v>
      </c>
      <c r="L1391" s="16" t="s">
        <v>29</v>
      </c>
    </row>
    <row r="1392" spans="1:13" ht="13.5" customHeight="1" x14ac:dyDescent="0.25">
      <c r="I1392" s="16">
        <v>10</v>
      </c>
      <c r="L1392" s="16" t="s">
        <v>25</v>
      </c>
      <c r="M1392" s="16" t="s">
        <v>137</v>
      </c>
    </row>
    <row r="1393" spans="1:13" ht="13.5" customHeight="1" x14ac:dyDescent="0.25">
      <c r="I1393" s="16">
        <v>10</v>
      </c>
      <c r="L1393" s="16" t="s">
        <v>25</v>
      </c>
      <c r="M1393" s="16" t="s">
        <v>45</v>
      </c>
    </row>
    <row r="1394" spans="1:13" ht="13.5" customHeight="1" x14ac:dyDescent="0.25">
      <c r="I1394" s="16">
        <v>10</v>
      </c>
      <c r="L1394" s="16" t="s">
        <v>27</v>
      </c>
    </row>
    <row r="1395" spans="1:13" ht="13.5" customHeight="1" x14ac:dyDescent="0.25">
      <c r="I1395" s="16">
        <v>10</v>
      </c>
      <c r="L1395" s="16" t="s">
        <v>26</v>
      </c>
      <c r="M1395" s="16" t="s">
        <v>147</v>
      </c>
    </row>
    <row r="1396" spans="1:13" ht="13.5" customHeight="1" x14ac:dyDescent="0.25">
      <c r="I1396" s="16">
        <v>360</v>
      </c>
      <c r="L1396" s="16" t="s">
        <v>26</v>
      </c>
      <c r="M1396" s="15" t="s">
        <v>388</v>
      </c>
    </row>
    <row r="1398" spans="1:13" ht="13.5" customHeight="1" x14ac:dyDescent="0.25">
      <c r="A1398" s="16" t="s">
        <v>389</v>
      </c>
      <c r="B1398" s="16" t="s">
        <v>0</v>
      </c>
      <c r="C1398" s="15" t="s">
        <v>192</v>
      </c>
      <c r="D1398" s="16" t="s">
        <v>21</v>
      </c>
      <c r="F1398" s="23">
        <v>275.49</v>
      </c>
      <c r="G1398" s="16">
        <v>8</v>
      </c>
      <c r="H1398" s="16" t="s">
        <v>22</v>
      </c>
      <c r="I1398" s="16">
        <v>10</v>
      </c>
      <c r="L1398" s="16" t="s">
        <v>23</v>
      </c>
    </row>
    <row r="1399" spans="1:13" ht="13.5" customHeight="1" x14ac:dyDescent="0.25">
      <c r="I1399" s="16">
        <v>90</v>
      </c>
      <c r="L1399" s="16" t="s">
        <v>32</v>
      </c>
    </row>
    <row r="1400" spans="1:13" ht="13.5" customHeight="1" x14ac:dyDescent="0.25">
      <c r="I1400" s="16">
        <v>40</v>
      </c>
      <c r="L1400" s="16" t="s">
        <v>33</v>
      </c>
    </row>
    <row r="1401" spans="1:13" ht="13.5" customHeight="1" x14ac:dyDescent="0.25">
      <c r="I1401" s="16">
        <v>50</v>
      </c>
      <c r="L1401" s="16" t="s">
        <v>29</v>
      </c>
    </row>
    <row r="1402" spans="1:13" ht="13.5" customHeight="1" x14ac:dyDescent="0.25">
      <c r="I1402" s="16">
        <v>30</v>
      </c>
      <c r="L1402" s="16" t="s">
        <v>25</v>
      </c>
      <c r="M1402" s="16" t="s">
        <v>137</v>
      </c>
    </row>
    <row r="1403" spans="1:13" ht="13.5" customHeight="1" x14ac:dyDescent="0.25">
      <c r="I1403" s="16">
        <v>30</v>
      </c>
      <c r="L1403" s="16" t="s">
        <v>25</v>
      </c>
      <c r="M1403" s="16" t="s">
        <v>45</v>
      </c>
    </row>
    <row r="1404" spans="1:13" ht="13.5" customHeight="1" x14ac:dyDescent="0.25">
      <c r="I1404" s="16">
        <v>20</v>
      </c>
      <c r="L1404" s="16" t="s">
        <v>27</v>
      </c>
    </row>
    <row r="1405" spans="1:13" ht="13.5" customHeight="1" x14ac:dyDescent="0.25">
      <c r="I1405" s="16">
        <v>20</v>
      </c>
      <c r="L1405" s="16" t="s">
        <v>26</v>
      </c>
      <c r="M1405" s="16" t="s">
        <v>147</v>
      </c>
    </row>
    <row r="1406" spans="1:13" ht="13.5" customHeight="1" x14ac:dyDescent="0.25">
      <c r="I1406" s="16">
        <v>120</v>
      </c>
      <c r="J1406" s="18">
        <v>0.3125</v>
      </c>
      <c r="K1406" s="18">
        <v>0.39583333333333331</v>
      </c>
      <c r="L1406" s="16" t="s">
        <v>26</v>
      </c>
      <c r="M1406" s="15" t="s">
        <v>390</v>
      </c>
    </row>
    <row r="1409" spans="1:13" ht="13.5" customHeight="1" x14ac:dyDescent="0.25">
      <c r="A1409" s="16" t="s">
        <v>389</v>
      </c>
      <c r="B1409" s="16" t="s">
        <v>1</v>
      </c>
      <c r="C1409" s="16" t="s">
        <v>6</v>
      </c>
      <c r="D1409" s="16" t="s">
        <v>20</v>
      </c>
      <c r="F1409" s="23">
        <v>78.25</v>
      </c>
      <c r="G1409" s="16">
        <v>2.25</v>
      </c>
      <c r="H1409" s="16" t="s">
        <v>22</v>
      </c>
      <c r="I1409" s="16">
        <v>10</v>
      </c>
      <c r="L1409" s="16" t="s">
        <v>23</v>
      </c>
    </row>
    <row r="1410" spans="1:13" ht="13.5" customHeight="1" x14ac:dyDescent="0.25">
      <c r="I1410" s="16">
        <v>20</v>
      </c>
      <c r="L1410" s="16" t="s">
        <v>32</v>
      </c>
    </row>
    <row r="1411" spans="1:13" ht="13.5" customHeight="1" x14ac:dyDescent="0.25">
      <c r="I1411" s="16">
        <v>20</v>
      </c>
      <c r="L1411" s="16" t="s">
        <v>33</v>
      </c>
    </row>
    <row r="1412" spans="1:13" ht="13.5" customHeight="1" x14ac:dyDescent="0.25">
      <c r="I1412" s="16">
        <v>20</v>
      </c>
      <c r="L1412" s="16" t="s">
        <v>29</v>
      </c>
    </row>
    <row r="1413" spans="1:13" ht="13.5" customHeight="1" x14ac:dyDescent="0.25">
      <c r="I1413" s="16">
        <v>20</v>
      </c>
      <c r="L1413" s="16" t="s">
        <v>25</v>
      </c>
      <c r="M1413" s="16" t="s">
        <v>137</v>
      </c>
    </row>
    <row r="1414" spans="1:13" ht="13.5" customHeight="1" x14ac:dyDescent="0.25">
      <c r="I1414" s="16">
        <v>20</v>
      </c>
      <c r="L1414" s="16" t="s">
        <v>25</v>
      </c>
      <c r="M1414" s="16" t="s">
        <v>45</v>
      </c>
    </row>
    <row r="1415" spans="1:13" ht="13.5" customHeight="1" x14ac:dyDescent="0.25">
      <c r="I1415" s="16">
        <v>10</v>
      </c>
      <c r="L1415" s="16" t="s">
        <v>27</v>
      </c>
    </row>
    <row r="1416" spans="1:13" ht="13.5" customHeight="1" x14ac:dyDescent="0.25">
      <c r="I1416" s="16">
        <v>410</v>
      </c>
      <c r="L1416" s="16" t="s">
        <v>26</v>
      </c>
      <c r="M1416" s="15" t="s">
        <v>391</v>
      </c>
    </row>
    <row r="1417" spans="1:13" ht="13.5" customHeight="1" x14ac:dyDescent="0.25">
      <c r="M1417" s="15"/>
    </row>
    <row r="1418" spans="1:13" ht="13.5" customHeight="1" x14ac:dyDescent="0.25">
      <c r="A1418" s="16" t="s">
        <v>389</v>
      </c>
      <c r="B1418" s="16" t="s">
        <v>2</v>
      </c>
      <c r="C1418" s="16" t="s">
        <v>16</v>
      </c>
      <c r="D1418" s="16" t="s">
        <v>19</v>
      </c>
      <c r="F1418" s="23">
        <v>445.09</v>
      </c>
      <c r="G1418" s="16">
        <v>12</v>
      </c>
      <c r="H1418" s="16" t="s">
        <v>22</v>
      </c>
      <c r="I1418" s="16">
        <v>10</v>
      </c>
      <c r="L1418" s="16" t="s">
        <v>23</v>
      </c>
    </row>
    <row r="1419" spans="1:13" ht="13.5" customHeight="1" x14ac:dyDescent="0.25">
      <c r="I1419" s="16">
        <v>120</v>
      </c>
      <c r="L1419" s="16" t="s">
        <v>32</v>
      </c>
    </row>
    <row r="1420" spans="1:13" ht="13.5" customHeight="1" x14ac:dyDescent="0.25">
      <c r="I1420" s="16">
        <v>30</v>
      </c>
      <c r="L1420" s="16" t="s">
        <v>33</v>
      </c>
    </row>
    <row r="1421" spans="1:13" ht="13.5" customHeight="1" x14ac:dyDescent="0.25">
      <c r="I1421" s="16">
        <v>20</v>
      </c>
      <c r="L1421" s="16" t="s">
        <v>29</v>
      </c>
    </row>
    <row r="1422" spans="1:13" ht="13.5" customHeight="1" x14ac:dyDescent="0.25">
      <c r="I1422" s="16">
        <v>20</v>
      </c>
      <c r="L1422" s="16" t="s">
        <v>25</v>
      </c>
      <c r="M1422" s="16" t="s">
        <v>137</v>
      </c>
    </row>
    <row r="1423" spans="1:13" ht="13.5" customHeight="1" x14ac:dyDescent="0.25">
      <c r="I1423" s="16">
        <v>20</v>
      </c>
      <c r="L1423" s="16" t="s">
        <v>25</v>
      </c>
      <c r="M1423" s="16" t="s">
        <v>45</v>
      </c>
    </row>
    <row r="1424" spans="1:13" ht="13.5" customHeight="1" x14ac:dyDescent="0.25">
      <c r="I1424" s="16">
        <v>20</v>
      </c>
      <c r="L1424" s="16" t="s">
        <v>27</v>
      </c>
    </row>
    <row r="1425" spans="1:13" ht="13.5" customHeight="1" x14ac:dyDescent="0.25">
      <c r="I1425" s="16">
        <v>20</v>
      </c>
      <c r="L1425" s="16" t="s">
        <v>26</v>
      </c>
      <c r="M1425" s="16" t="s">
        <v>147</v>
      </c>
    </row>
    <row r="1426" spans="1:13" ht="13.5" customHeight="1" x14ac:dyDescent="0.25">
      <c r="I1426" s="16">
        <v>30</v>
      </c>
      <c r="L1426" s="16" t="s">
        <v>26</v>
      </c>
      <c r="M1426" s="16" t="s">
        <v>393</v>
      </c>
    </row>
    <row r="1427" spans="1:13" ht="13.5" customHeight="1" x14ac:dyDescent="0.25">
      <c r="I1427" s="16">
        <v>40</v>
      </c>
      <c r="L1427" s="16" t="s">
        <v>26</v>
      </c>
      <c r="M1427" s="16" t="s">
        <v>392</v>
      </c>
    </row>
    <row r="1429" spans="1:13" ht="13.5" customHeight="1" x14ac:dyDescent="0.25">
      <c r="A1429" s="16" t="s">
        <v>394</v>
      </c>
      <c r="B1429" s="16" t="s">
        <v>0</v>
      </c>
      <c r="C1429" s="15" t="s">
        <v>192</v>
      </c>
      <c r="D1429" s="16" t="s">
        <v>21</v>
      </c>
      <c r="F1429" s="23">
        <v>198.25</v>
      </c>
      <c r="G1429" s="16">
        <v>5.75</v>
      </c>
      <c r="H1429" s="16" t="s">
        <v>22</v>
      </c>
      <c r="I1429" s="16">
        <v>10</v>
      </c>
      <c r="L1429" s="16" t="s">
        <v>23</v>
      </c>
    </row>
    <row r="1430" spans="1:13" ht="13.5" customHeight="1" x14ac:dyDescent="0.25">
      <c r="I1430" s="16">
        <v>50</v>
      </c>
      <c r="L1430" s="16" t="s">
        <v>32</v>
      </c>
    </row>
    <row r="1431" spans="1:13" ht="13.5" customHeight="1" x14ac:dyDescent="0.25">
      <c r="I1431" s="16">
        <v>30</v>
      </c>
      <c r="L1431" s="16" t="s">
        <v>33</v>
      </c>
    </row>
    <row r="1432" spans="1:13" ht="13.5" customHeight="1" x14ac:dyDescent="0.25">
      <c r="I1432" s="16">
        <v>20</v>
      </c>
      <c r="L1432" s="16" t="s">
        <v>29</v>
      </c>
    </row>
    <row r="1433" spans="1:13" ht="13.5" customHeight="1" x14ac:dyDescent="0.25">
      <c r="I1433" s="16">
        <v>10</v>
      </c>
      <c r="L1433" s="16" t="s">
        <v>25</v>
      </c>
      <c r="M1433" s="16" t="s">
        <v>137</v>
      </c>
    </row>
    <row r="1434" spans="1:13" ht="13.5" customHeight="1" x14ac:dyDescent="0.25">
      <c r="I1434" s="16">
        <v>10</v>
      </c>
      <c r="L1434" s="16" t="s">
        <v>25</v>
      </c>
      <c r="M1434" s="16" t="s">
        <v>45</v>
      </c>
    </row>
    <row r="1435" spans="1:13" ht="13.5" customHeight="1" x14ac:dyDescent="0.25">
      <c r="I1435" s="16">
        <v>20</v>
      </c>
      <c r="L1435" s="16" t="s">
        <v>27</v>
      </c>
    </row>
    <row r="1436" spans="1:13" ht="13.5" customHeight="1" x14ac:dyDescent="0.25">
      <c r="I1436" s="16">
        <v>20</v>
      </c>
      <c r="L1436" s="16" t="s">
        <v>26</v>
      </c>
      <c r="M1436" s="16" t="s">
        <v>147</v>
      </c>
    </row>
    <row r="1437" spans="1:13" ht="13.5" customHeight="1" x14ac:dyDescent="0.25">
      <c r="I1437" s="16">
        <v>270</v>
      </c>
      <c r="L1437" s="16" t="s">
        <v>26</v>
      </c>
      <c r="M1437" s="15" t="s">
        <v>395</v>
      </c>
    </row>
    <row r="1439" spans="1:13" ht="13.5" customHeight="1" x14ac:dyDescent="0.25">
      <c r="A1439" s="16" t="s">
        <v>394</v>
      </c>
      <c r="B1439" s="16" t="s">
        <v>1</v>
      </c>
      <c r="C1439" s="16" t="s">
        <v>6</v>
      </c>
      <c r="D1439" s="16" t="s">
        <v>20</v>
      </c>
      <c r="F1439" s="23">
        <v>300.04000000000002</v>
      </c>
      <c r="G1439" s="16">
        <v>8.25</v>
      </c>
      <c r="H1439" s="16" t="s">
        <v>22</v>
      </c>
      <c r="I1439" s="16">
        <v>10</v>
      </c>
      <c r="L1439" s="16" t="s">
        <v>23</v>
      </c>
    </row>
    <row r="1440" spans="1:13" ht="13.5" customHeight="1" x14ac:dyDescent="0.25">
      <c r="I1440" s="16">
        <v>90</v>
      </c>
      <c r="L1440" s="16" t="s">
        <v>32</v>
      </c>
    </row>
    <row r="1441" spans="1:13" ht="13.5" customHeight="1" x14ac:dyDescent="0.25">
      <c r="I1441" s="16">
        <v>20</v>
      </c>
      <c r="L1441" s="16" t="s">
        <v>33</v>
      </c>
    </row>
    <row r="1442" spans="1:13" ht="13.5" customHeight="1" x14ac:dyDescent="0.25">
      <c r="I1442" s="16">
        <v>20</v>
      </c>
      <c r="L1442" s="16" t="s">
        <v>29</v>
      </c>
    </row>
    <row r="1443" spans="1:13" ht="13.5" customHeight="1" x14ac:dyDescent="0.25">
      <c r="I1443" s="16">
        <v>20</v>
      </c>
      <c r="L1443" s="16" t="s">
        <v>25</v>
      </c>
      <c r="M1443" s="16" t="s">
        <v>137</v>
      </c>
    </row>
    <row r="1444" spans="1:13" ht="13.5" customHeight="1" x14ac:dyDescent="0.25">
      <c r="I1444" s="16">
        <v>20</v>
      </c>
      <c r="L1444" s="16" t="s">
        <v>25</v>
      </c>
      <c r="M1444" s="16" t="s">
        <v>45</v>
      </c>
    </row>
    <row r="1445" spans="1:13" ht="13.5" customHeight="1" x14ac:dyDescent="0.25">
      <c r="I1445" s="16">
        <v>10</v>
      </c>
      <c r="L1445" s="16" t="s">
        <v>27</v>
      </c>
    </row>
    <row r="1446" spans="1:13" ht="13.5" customHeight="1" x14ac:dyDescent="0.25">
      <c r="I1446" s="16">
        <v>150</v>
      </c>
      <c r="L1446" s="16" t="s">
        <v>26</v>
      </c>
      <c r="M1446" s="15" t="s">
        <v>396</v>
      </c>
    </row>
    <row r="1448" spans="1:13" ht="13.5" customHeight="1" x14ac:dyDescent="0.25">
      <c r="A1448" s="16" t="s">
        <v>394</v>
      </c>
      <c r="B1448" s="16" t="s">
        <v>2</v>
      </c>
      <c r="C1448" s="16" t="s">
        <v>16</v>
      </c>
      <c r="D1448" s="16" t="s">
        <v>19</v>
      </c>
      <c r="F1448" s="23">
        <v>329.60500000000002</v>
      </c>
      <c r="G1448" s="16">
        <v>10</v>
      </c>
      <c r="H1448" s="16" t="s">
        <v>22</v>
      </c>
      <c r="I1448" s="16">
        <v>10</v>
      </c>
      <c r="L1448" s="16" t="s">
        <v>23</v>
      </c>
    </row>
    <row r="1449" spans="1:13" ht="13.5" customHeight="1" x14ac:dyDescent="0.25">
      <c r="I1449" s="16">
        <v>100</v>
      </c>
      <c r="L1449" s="16" t="s">
        <v>32</v>
      </c>
    </row>
    <row r="1450" spans="1:13" ht="13.5" customHeight="1" x14ac:dyDescent="0.25">
      <c r="I1450" s="16">
        <v>30</v>
      </c>
      <c r="L1450" s="16" t="s">
        <v>33</v>
      </c>
    </row>
    <row r="1451" spans="1:13" ht="13.5" customHeight="1" x14ac:dyDescent="0.25">
      <c r="I1451" s="16">
        <v>30</v>
      </c>
      <c r="L1451" s="16" t="s">
        <v>29</v>
      </c>
    </row>
    <row r="1452" spans="1:13" ht="13.5" customHeight="1" x14ac:dyDescent="0.25">
      <c r="I1452" s="16">
        <v>20</v>
      </c>
      <c r="L1452" s="16" t="s">
        <v>25</v>
      </c>
      <c r="M1452" s="16" t="s">
        <v>137</v>
      </c>
    </row>
    <row r="1453" spans="1:13" ht="13.5" customHeight="1" x14ac:dyDescent="0.25">
      <c r="I1453" s="16">
        <v>20</v>
      </c>
      <c r="L1453" s="16" t="s">
        <v>25</v>
      </c>
      <c r="M1453" s="16" t="s">
        <v>45</v>
      </c>
    </row>
    <row r="1454" spans="1:13" ht="13.5" customHeight="1" x14ac:dyDescent="0.25">
      <c r="I1454" s="16">
        <v>20</v>
      </c>
      <c r="L1454" s="16" t="s">
        <v>27</v>
      </c>
    </row>
    <row r="1455" spans="1:13" ht="13.5" customHeight="1" x14ac:dyDescent="0.25">
      <c r="I1455" s="16">
        <v>20</v>
      </c>
      <c r="L1455" s="16" t="s">
        <v>26</v>
      </c>
      <c r="M1455" s="16" t="s">
        <v>147</v>
      </c>
    </row>
    <row r="1456" spans="1:13" ht="13.5" customHeight="1" x14ac:dyDescent="0.25">
      <c r="I1456" s="16">
        <v>40</v>
      </c>
      <c r="L1456" s="16" t="s">
        <v>26</v>
      </c>
      <c r="M1456" s="16" t="s">
        <v>182</v>
      </c>
    </row>
    <row r="1457" spans="1:13" ht="13.5" customHeight="1" x14ac:dyDescent="0.25">
      <c r="I1457" s="16">
        <v>20</v>
      </c>
      <c r="L1457" s="16" t="s">
        <v>26</v>
      </c>
      <c r="M1457" s="16" t="s">
        <v>13</v>
      </c>
    </row>
    <row r="1458" spans="1:13" ht="13.5" customHeight="1" x14ac:dyDescent="0.25">
      <c r="I1458" s="16">
        <v>15</v>
      </c>
      <c r="L1458" s="16" t="s">
        <v>26</v>
      </c>
      <c r="M1458" s="16" t="s">
        <v>111</v>
      </c>
    </row>
    <row r="1460" spans="1:13" ht="13.5" customHeight="1" x14ac:dyDescent="0.25">
      <c r="A1460" s="16" t="s">
        <v>397</v>
      </c>
      <c r="B1460" s="16" t="s">
        <v>0</v>
      </c>
      <c r="C1460" s="16" t="s">
        <v>6</v>
      </c>
      <c r="D1460" s="16" t="s">
        <v>21</v>
      </c>
      <c r="F1460" s="23">
        <f>38.08+28.95+38.43+38.25+38.15+38.09+38.07+37.24-8.34</f>
        <v>286.92000000000007</v>
      </c>
      <c r="G1460" s="16">
        <v>8</v>
      </c>
      <c r="H1460" s="16" t="s">
        <v>22</v>
      </c>
      <c r="I1460" s="16">
        <v>10</v>
      </c>
      <c r="L1460" s="16" t="s">
        <v>23</v>
      </c>
    </row>
    <row r="1461" spans="1:13" ht="13.5" customHeight="1" x14ac:dyDescent="0.25">
      <c r="F1461" s="16" t="s">
        <v>114</v>
      </c>
      <c r="I1461" s="16">
        <v>70</v>
      </c>
      <c r="L1461" s="16" t="s">
        <v>32</v>
      </c>
    </row>
    <row r="1462" spans="1:13" ht="13.5" customHeight="1" x14ac:dyDescent="0.25">
      <c r="I1462" s="16">
        <v>30</v>
      </c>
      <c r="L1462" s="16" t="s">
        <v>33</v>
      </c>
    </row>
    <row r="1463" spans="1:13" ht="13.5" customHeight="1" x14ac:dyDescent="0.25">
      <c r="I1463" s="16">
        <v>30</v>
      </c>
      <c r="L1463" s="16" t="s">
        <v>29</v>
      </c>
    </row>
    <row r="1464" spans="1:13" ht="13.5" customHeight="1" x14ac:dyDescent="0.25">
      <c r="I1464" s="16">
        <v>30</v>
      </c>
      <c r="L1464" s="16" t="s">
        <v>25</v>
      </c>
      <c r="M1464" s="16" t="s">
        <v>137</v>
      </c>
    </row>
    <row r="1465" spans="1:13" ht="13.5" customHeight="1" x14ac:dyDescent="0.25">
      <c r="I1465" s="16">
        <v>30</v>
      </c>
      <c r="L1465" s="16" t="s">
        <v>25</v>
      </c>
      <c r="M1465" s="16" t="s">
        <v>45</v>
      </c>
    </row>
    <row r="1466" spans="1:13" ht="13.5" customHeight="1" x14ac:dyDescent="0.25">
      <c r="I1466" s="16">
        <v>20</v>
      </c>
      <c r="L1466" s="16" t="s">
        <v>27</v>
      </c>
    </row>
    <row r="1467" spans="1:13" ht="13.5" customHeight="1" x14ac:dyDescent="0.25">
      <c r="I1467" s="16">
        <v>20</v>
      </c>
      <c r="L1467" s="16" t="s">
        <v>26</v>
      </c>
      <c r="M1467" s="16" t="s">
        <v>147</v>
      </c>
    </row>
    <row r="1468" spans="1:13" ht="13.5" customHeight="1" x14ac:dyDescent="0.25">
      <c r="I1468" s="16">
        <v>105</v>
      </c>
      <c r="J1468" s="18">
        <v>0.3125</v>
      </c>
      <c r="K1468" s="18">
        <v>0.38541666666666669</v>
      </c>
      <c r="L1468" s="16" t="s">
        <v>26</v>
      </c>
      <c r="M1468" s="15" t="s">
        <v>66</v>
      </c>
    </row>
    <row r="1469" spans="1:13" ht="13.5" customHeight="1" x14ac:dyDescent="0.25">
      <c r="I1469" s="16">
        <v>60</v>
      </c>
      <c r="L1469" s="16" t="s">
        <v>26</v>
      </c>
      <c r="M1469" s="15" t="s">
        <v>398</v>
      </c>
    </row>
    <row r="1471" spans="1:13" ht="13.5" customHeight="1" x14ac:dyDescent="0.25">
      <c r="A1471" s="16" t="s">
        <v>397</v>
      </c>
      <c r="B1471" s="16" t="s">
        <v>1</v>
      </c>
      <c r="C1471" s="15" t="s">
        <v>192</v>
      </c>
      <c r="D1471" s="16" t="s">
        <v>20</v>
      </c>
      <c r="F1471" s="23">
        <v>384.25</v>
      </c>
      <c r="G1471" s="16">
        <v>10.25</v>
      </c>
      <c r="H1471" s="16" t="s">
        <v>22</v>
      </c>
      <c r="I1471" s="16">
        <v>10</v>
      </c>
      <c r="L1471" s="16" t="s">
        <v>23</v>
      </c>
    </row>
    <row r="1472" spans="1:13" ht="13.5" customHeight="1" x14ac:dyDescent="0.25">
      <c r="I1472" s="16">
        <v>100</v>
      </c>
      <c r="L1472" s="16" t="s">
        <v>32</v>
      </c>
    </row>
    <row r="1473" spans="1:13" ht="13.5" customHeight="1" x14ac:dyDescent="0.25">
      <c r="I1473" s="16">
        <v>30</v>
      </c>
      <c r="L1473" s="16" t="s">
        <v>33</v>
      </c>
    </row>
    <row r="1474" spans="1:13" ht="13.5" customHeight="1" x14ac:dyDescent="0.25">
      <c r="I1474" s="16">
        <v>20</v>
      </c>
      <c r="L1474" s="16" t="s">
        <v>29</v>
      </c>
    </row>
    <row r="1475" spans="1:13" ht="13.5" customHeight="1" x14ac:dyDescent="0.25">
      <c r="I1475" s="16">
        <v>10</v>
      </c>
      <c r="L1475" s="16" t="s">
        <v>25</v>
      </c>
      <c r="M1475" s="16" t="s">
        <v>137</v>
      </c>
    </row>
    <row r="1476" spans="1:13" ht="13.5" customHeight="1" x14ac:dyDescent="0.25">
      <c r="I1476" s="16">
        <v>10</v>
      </c>
      <c r="L1476" s="16" t="s">
        <v>25</v>
      </c>
      <c r="M1476" s="16" t="s">
        <v>45</v>
      </c>
    </row>
    <row r="1477" spans="1:13" ht="13.5" customHeight="1" x14ac:dyDescent="0.25">
      <c r="I1477" s="16">
        <v>20</v>
      </c>
      <c r="L1477" s="16" t="s">
        <v>27</v>
      </c>
    </row>
    <row r="1478" spans="1:13" ht="13.5" customHeight="1" x14ac:dyDescent="0.25">
      <c r="I1478" s="16">
        <v>20</v>
      </c>
      <c r="L1478" s="16" t="s">
        <v>26</v>
      </c>
      <c r="M1478" s="16" t="s">
        <v>147</v>
      </c>
    </row>
    <row r="1479" spans="1:13" ht="13.5" customHeight="1" x14ac:dyDescent="0.25">
      <c r="I1479" s="16">
        <v>40</v>
      </c>
      <c r="L1479" s="16" t="s">
        <v>26</v>
      </c>
      <c r="M1479" s="15" t="s">
        <v>398</v>
      </c>
    </row>
    <row r="1481" spans="1:13" ht="13.5" customHeight="1" x14ac:dyDescent="0.25">
      <c r="A1481" s="16" t="s">
        <v>397</v>
      </c>
      <c r="B1481" s="16" t="s">
        <v>2</v>
      </c>
      <c r="C1481" s="16" t="s">
        <v>16</v>
      </c>
      <c r="D1481" s="16" t="s">
        <v>19</v>
      </c>
      <c r="F1481" s="23">
        <v>345.54</v>
      </c>
      <c r="G1481" s="16">
        <v>9.75</v>
      </c>
      <c r="H1481" s="16" t="s">
        <v>22</v>
      </c>
      <c r="I1481" s="16">
        <v>10</v>
      </c>
      <c r="L1481" s="16" t="s">
        <v>23</v>
      </c>
    </row>
    <row r="1482" spans="1:13" ht="13.5" customHeight="1" x14ac:dyDescent="0.25">
      <c r="I1482" s="16">
        <v>100</v>
      </c>
      <c r="L1482" s="16" t="s">
        <v>32</v>
      </c>
    </row>
    <row r="1483" spans="1:13" ht="13.5" customHeight="1" x14ac:dyDescent="0.25">
      <c r="I1483" s="16">
        <v>30</v>
      </c>
      <c r="L1483" s="16" t="s">
        <v>33</v>
      </c>
    </row>
    <row r="1484" spans="1:13" ht="13.5" customHeight="1" x14ac:dyDescent="0.25">
      <c r="I1484" s="16">
        <v>30</v>
      </c>
      <c r="L1484" s="16" t="s">
        <v>29</v>
      </c>
    </row>
    <row r="1485" spans="1:13" ht="13.5" customHeight="1" x14ac:dyDescent="0.25">
      <c r="I1485" s="16">
        <v>20</v>
      </c>
      <c r="L1485" s="16" t="s">
        <v>25</v>
      </c>
      <c r="M1485" s="16" t="s">
        <v>137</v>
      </c>
    </row>
    <row r="1486" spans="1:13" ht="13.5" customHeight="1" x14ac:dyDescent="0.25">
      <c r="I1486" s="16">
        <v>20</v>
      </c>
      <c r="L1486" s="16" t="s">
        <v>25</v>
      </c>
      <c r="M1486" s="16" t="s">
        <v>45</v>
      </c>
    </row>
    <row r="1487" spans="1:13" ht="13.5" customHeight="1" x14ac:dyDescent="0.25">
      <c r="I1487" s="16">
        <v>20</v>
      </c>
      <c r="L1487" s="16" t="s">
        <v>27</v>
      </c>
    </row>
    <row r="1488" spans="1:13" ht="13.5" customHeight="1" x14ac:dyDescent="0.25">
      <c r="I1488" s="16">
        <v>20</v>
      </c>
      <c r="L1488" s="16" t="s">
        <v>26</v>
      </c>
      <c r="M1488" s="16" t="s">
        <v>147</v>
      </c>
    </row>
    <row r="1489" spans="1:13" ht="13.5" customHeight="1" x14ac:dyDescent="0.25">
      <c r="I1489" s="16">
        <v>30</v>
      </c>
      <c r="L1489" s="16" t="s">
        <v>26</v>
      </c>
      <c r="M1489" s="16" t="s">
        <v>399</v>
      </c>
    </row>
    <row r="1490" spans="1:13" ht="13.5" customHeight="1" x14ac:dyDescent="0.25">
      <c r="I1490" s="16">
        <v>30</v>
      </c>
      <c r="L1490" s="16" t="s">
        <v>26</v>
      </c>
      <c r="M1490" s="15" t="s">
        <v>398</v>
      </c>
    </row>
    <row r="1492" spans="1:13" ht="13.5" customHeight="1" x14ac:dyDescent="0.25">
      <c r="A1492" s="16" t="s">
        <v>400</v>
      </c>
      <c r="B1492" s="16" t="s">
        <v>0</v>
      </c>
      <c r="C1492" s="16" t="s">
        <v>6</v>
      </c>
      <c r="D1492" s="16" t="s">
        <v>21</v>
      </c>
      <c r="F1492" s="23">
        <v>350.84</v>
      </c>
      <c r="G1492" s="16">
        <v>10.5</v>
      </c>
      <c r="H1492" s="16" t="s">
        <v>22</v>
      </c>
      <c r="I1492" s="16">
        <v>10</v>
      </c>
      <c r="L1492" s="16" t="s">
        <v>23</v>
      </c>
    </row>
    <row r="1493" spans="1:13" ht="13.5" customHeight="1" x14ac:dyDescent="0.25">
      <c r="F1493" s="16" t="s">
        <v>114</v>
      </c>
      <c r="I1493" s="16">
        <v>100</v>
      </c>
      <c r="L1493" s="16" t="s">
        <v>32</v>
      </c>
    </row>
    <row r="1494" spans="1:13" ht="13.5" customHeight="1" x14ac:dyDescent="0.25">
      <c r="I1494" s="16">
        <v>40</v>
      </c>
      <c r="L1494" s="16" t="s">
        <v>33</v>
      </c>
    </row>
    <row r="1495" spans="1:13" ht="13.5" customHeight="1" x14ac:dyDescent="0.25">
      <c r="I1495" s="16">
        <v>30</v>
      </c>
      <c r="L1495" s="16" t="s">
        <v>29</v>
      </c>
    </row>
    <row r="1496" spans="1:13" ht="13.5" customHeight="1" x14ac:dyDescent="0.25">
      <c r="I1496" s="16">
        <v>30</v>
      </c>
      <c r="L1496" s="16" t="s">
        <v>25</v>
      </c>
      <c r="M1496" s="16" t="s">
        <v>137</v>
      </c>
    </row>
    <row r="1497" spans="1:13" ht="13.5" customHeight="1" x14ac:dyDescent="0.25">
      <c r="I1497" s="16">
        <v>20</v>
      </c>
      <c r="L1497" s="16" t="s">
        <v>25</v>
      </c>
      <c r="M1497" s="16" t="s">
        <v>45</v>
      </c>
    </row>
    <row r="1498" spans="1:13" ht="13.5" customHeight="1" x14ac:dyDescent="0.25">
      <c r="I1498" s="16">
        <v>10</v>
      </c>
      <c r="L1498" s="16" t="s">
        <v>27</v>
      </c>
    </row>
    <row r="1499" spans="1:13" ht="13.5" customHeight="1" x14ac:dyDescent="0.25">
      <c r="I1499" s="16">
        <v>20</v>
      </c>
      <c r="L1499" s="16" t="s">
        <v>26</v>
      </c>
      <c r="M1499" s="16" t="s">
        <v>147</v>
      </c>
    </row>
    <row r="1500" spans="1:13" ht="13.5" customHeight="1" x14ac:dyDescent="0.25">
      <c r="I1500" s="16">
        <v>30</v>
      </c>
      <c r="L1500" s="16" t="s">
        <v>26</v>
      </c>
      <c r="M1500" s="15" t="s">
        <v>398</v>
      </c>
    </row>
    <row r="1502" spans="1:13" ht="13.5" customHeight="1" x14ac:dyDescent="0.25">
      <c r="A1502" s="16" t="s">
        <v>400</v>
      </c>
      <c r="B1502" s="16" t="s">
        <v>1</v>
      </c>
      <c r="C1502" s="16" t="s">
        <v>7</v>
      </c>
      <c r="D1502" s="16" t="s">
        <v>20</v>
      </c>
      <c r="F1502" s="23">
        <v>328.27</v>
      </c>
      <c r="G1502" s="16">
        <v>10</v>
      </c>
      <c r="H1502" s="16" t="s">
        <v>22</v>
      </c>
      <c r="I1502" s="16">
        <v>10</v>
      </c>
      <c r="L1502" s="16" t="s">
        <v>23</v>
      </c>
    </row>
    <row r="1503" spans="1:13" ht="13.5" customHeight="1" x14ac:dyDescent="0.25">
      <c r="I1503" s="16">
        <v>100</v>
      </c>
      <c r="L1503" s="16" t="s">
        <v>32</v>
      </c>
    </row>
    <row r="1504" spans="1:13" ht="13.5" customHeight="1" x14ac:dyDescent="0.25">
      <c r="I1504" s="16">
        <v>30</v>
      </c>
      <c r="L1504" s="16" t="s">
        <v>33</v>
      </c>
    </row>
    <row r="1505" spans="1:13" ht="13.5" customHeight="1" x14ac:dyDescent="0.25">
      <c r="I1505" s="16">
        <v>80</v>
      </c>
      <c r="L1505" s="16" t="s">
        <v>29</v>
      </c>
      <c r="M1505" s="15" t="s">
        <v>193</v>
      </c>
    </row>
    <row r="1506" spans="1:13" ht="13.5" customHeight="1" x14ac:dyDescent="0.25">
      <c r="I1506" s="16">
        <v>10</v>
      </c>
      <c r="L1506" s="16" t="s">
        <v>25</v>
      </c>
      <c r="M1506" s="16" t="s">
        <v>137</v>
      </c>
    </row>
    <row r="1507" spans="1:13" ht="13.5" customHeight="1" x14ac:dyDescent="0.25">
      <c r="I1507" s="16">
        <v>10</v>
      </c>
      <c r="L1507" s="16" t="s">
        <v>25</v>
      </c>
      <c r="M1507" s="16" t="s">
        <v>45</v>
      </c>
    </row>
    <row r="1508" spans="1:13" ht="13.5" customHeight="1" x14ac:dyDescent="0.25">
      <c r="I1508" s="16">
        <v>20</v>
      </c>
      <c r="L1508" s="16" t="s">
        <v>27</v>
      </c>
    </row>
    <row r="1509" spans="1:13" ht="13.5" customHeight="1" x14ac:dyDescent="0.25">
      <c r="I1509" s="16">
        <v>20</v>
      </c>
      <c r="L1509" s="16" t="s">
        <v>26</v>
      </c>
      <c r="M1509" s="16" t="s">
        <v>147</v>
      </c>
    </row>
    <row r="1510" spans="1:13" ht="13.5" customHeight="1" x14ac:dyDescent="0.25">
      <c r="I1510" s="16">
        <v>30</v>
      </c>
      <c r="L1510" s="16" t="s">
        <v>26</v>
      </c>
      <c r="M1510" s="15" t="s">
        <v>398</v>
      </c>
    </row>
    <row r="1511" spans="1:13" ht="13.5" customHeight="1" x14ac:dyDescent="0.25">
      <c r="I1511" s="16">
        <v>20</v>
      </c>
      <c r="L1511" s="16" t="s">
        <v>26</v>
      </c>
      <c r="M1511" s="15" t="s">
        <v>401</v>
      </c>
    </row>
    <row r="1513" spans="1:13" ht="13.5" customHeight="1" x14ac:dyDescent="0.25">
      <c r="A1513" s="16" t="s">
        <v>400</v>
      </c>
      <c r="B1513" s="16" t="s">
        <v>2</v>
      </c>
      <c r="C1513" s="16" t="s">
        <v>16</v>
      </c>
      <c r="D1513" s="16" t="s">
        <v>19</v>
      </c>
      <c r="F1513" s="23">
        <v>336.52</v>
      </c>
      <c r="G1513" s="16">
        <v>10</v>
      </c>
      <c r="H1513" s="16" t="s">
        <v>22</v>
      </c>
      <c r="I1513" s="16">
        <v>10</v>
      </c>
      <c r="L1513" s="16" t="s">
        <v>23</v>
      </c>
    </row>
    <row r="1514" spans="1:13" ht="13.5" customHeight="1" x14ac:dyDescent="0.25">
      <c r="I1514" s="16">
        <v>100</v>
      </c>
      <c r="L1514" s="16" t="s">
        <v>32</v>
      </c>
    </row>
    <row r="1515" spans="1:13" ht="13.5" customHeight="1" x14ac:dyDescent="0.25">
      <c r="I1515" s="16">
        <v>30</v>
      </c>
      <c r="L1515" s="16" t="s">
        <v>33</v>
      </c>
    </row>
    <row r="1516" spans="1:13" ht="13.5" customHeight="1" x14ac:dyDescent="0.25">
      <c r="I1516" s="16">
        <v>80</v>
      </c>
      <c r="L1516" s="16" t="s">
        <v>29</v>
      </c>
      <c r="M1516" s="15" t="s">
        <v>193</v>
      </c>
    </row>
    <row r="1517" spans="1:13" ht="13.5" customHeight="1" x14ac:dyDescent="0.25">
      <c r="I1517" s="16">
        <v>10</v>
      </c>
      <c r="L1517" s="16" t="s">
        <v>25</v>
      </c>
      <c r="M1517" s="16" t="s">
        <v>137</v>
      </c>
    </row>
    <row r="1518" spans="1:13" ht="13.5" customHeight="1" x14ac:dyDescent="0.25">
      <c r="I1518" s="16">
        <v>10</v>
      </c>
      <c r="L1518" s="16" t="s">
        <v>25</v>
      </c>
      <c r="M1518" s="16" t="s">
        <v>45</v>
      </c>
    </row>
    <row r="1519" spans="1:13" ht="13.5" customHeight="1" x14ac:dyDescent="0.25">
      <c r="I1519" s="16">
        <v>20</v>
      </c>
      <c r="L1519" s="16" t="s">
        <v>27</v>
      </c>
    </row>
    <row r="1520" spans="1:13" ht="13.5" customHeight="1" x14ac:dyDescent="0.25">
      <c r="I1520" s="16">
        <v>20</v>
      </c>
      <c r="L1520" s="16" t="s">
        <v>26</v>
      </c>
      <c r="M1520" s="16" t="s">
        <v>147</v>
      </c>
    </row>
    <row r="1521" spans="1:18" ht="13.5" customHeight="1" x14ac:dyDescent="0.25">
      <c r="I1521" s="16">
        <v>30</v>
      </c>
      <c r="L1521" s="16" t="s">
        <v>26</v>
      </c>
      <c r="M1521" s="15" t="s">
        <v>398</v>
      </c>
    </row>
    <row r="1523" spans="1:18" ht="13.5" customHeight="1" x14ac:dyDescent="0.25">
      <c r="A1523" s="16" t="s">
        <v>402</v>
      </c>
      <c r="B1523" s="16" t="s">
        <v>0</v>
      </c>
      <c r="C1523" s="16" t="s">
        <v>6</v>
      </c>
      <c r="D1523" s="16" t="s">
        <v>20</v>
      </c>
      <c r="F1523" s="23">
        <v>270.57</v>
      </c>
      <c r="G1523" s="16">
        <v>9</v>
      </c>
      <c r="H1523" s="16" t="s">
        <v>22</v>
      </c>
      <c r="I1523" s="16">
        <v>10</v>
      </c>
      <c r="L1523" s="16" t="s">
        <v>23</v>
      </c>
      <c r="N1523" s="16"/>
      <c r="O1523" s="18"/>
      <c r="P1523" s="18"/>
      <c r="Q1523" s="16" t="s">
        <v>23</v>
      </c>
      <c r="R1523" s="16"/>
    </row>
    <row r="1524" spans="1:18" ht="13.5" customHeight="1" x14ac:dyDescent="0.25">
      <c r="I1524" s="16">
        <v>90</v>
      </c>
      <c r="L1524" s="16" t="s">
        <v>32</v>
      </c>
      <c r="N1524" s="16"/>
      <c r="O1524" s="18"/>
      <c r="P1524" s="18"/>
      <c r="Q1524" s="16" t="s">
        <v>32</v>
      </c>
      <c r="R1524" s="16"/>
    </row>
    <row r="1525" spans="1:18" ht="13.5" customHeight="1" x14ac:dyDescent="0.25">
      <c r="I1525" s="16">
        <v>50</v>
      </c>
      <c r="L1525" s="16" t="s">
        <v>33</v>
      </c>
      <c r="M1525" s="16" t="s">
        <v>404</v>
      </c>
      <c r="N1525" s="16"/>
      <c r="O1525" s="18"/>
      <c r="P1525" s="18"/>
      <c r="Q1525" s="16" t="s">
        <v>33</v>
      </c>
      <c r="R1525" s="16"/>
    </row>
    <row r="1526" spans="1:18" ht="13.5" customHeight="1" x14ac:dyDescent="0.25">
      <c r="I1526" s="16">
        <v>20</v>
      </c>
      <c r="L1526" s="16" t="s">
        <v>29</v>
      </c>
      <c r="M1526" s="15"/>
      <c r="N1526" s="16"/>
      <c r="O1526" s="18"/>
      <c r="P1526" s="18"/>
      <c r="Q1526" s="16" t="s">
        <v>29</v>
      </c>
    </row>
    <row r="1527" spans="1:18" ht="13.5" customHeight="1" x14ac:dyDescent="0.25">
      <c r="I1527" s="16">
        <v>10</v>
      </c>
      <c r="L1527" s="16" t="s">
        <v>25</v>
      </c>
      <c r="M1527" s="16" t="s">
        <v>137</v>
      </c>
      <c r="N1527" s="16"/>
      <c r="O1527" s="18"/>
      <c r="P1527" s="18"/>
      <c r="Q1527" s="16" t="s">
        <v>25</v>
      </c>
      <c r="R1527" s="16"/>
    </row>
    <row r="1528" spans="1:18" ht="13.5" customHeight="1" x14ac:dyDescent="0.25">
      <c r="I1528" s="16">
        <v>10</v>
      </c>
      <c r="L1528" s="16" t="s">
        <v>25</v>
      </c>
      <c r="M1528" s="16" t="s">
        <v>45</v>
      </c>
      <c r="N1528" s="16"/>
      <c r="O1528" s="18"/>
      <c r="P1528" s="18"/>
      <c r="Q1528" s="16" t="s">
        <v>25</v>
      </c>
      <c r="R1528" s="16"/>
    </row>
    <row r="1529" spans="1:18" ht="13.5" customHeight="1" x14ac:dyDescent="0.25">
      <c r="I1529" s="16">
        <v>10</v>
      </c>
      <c r="L1529" s="16" t="s">
        <v>27</v>
      </c>
      <c r="N1529" s="16"/>
      <c r="O1529" s="18"/>
      <c r="P1529" s="18"/>
      <c r="Q1529" s="16" t="s">
        <v>27</v>
      </c>
      <c r="R1529" s="16"/>
    </row>
    <row r="1530" spans="1:18" ht="13.5" customHeight="1" x14ac:dyDescent="0.25">
      <c r="I1530" s="16">
        <v>20</v>
      </c>
      <c r="L1530" s="16" t="s">
        <v>26</v>
      </c>
      <c r="M1530" s="16" t="s">
        <v>147</v>
      </c>
      <c r="N1530" s="16"/>
      <c r="O1530" s="18"/>
      <c r="P1530" s="18"/>
      <c r="Q1530" s="16" t="s">
        <v>26</v>
      </c>
      <c r="R1530" s="16"/>
    </row>
    <row r="1531" spans="1:18" ht="13.5" customHeight="1" x14ac:dyDescent="0.25">
      <c r="I1531" s="16">
        <v>90</v>
      </c>
      <c r="L1531" s="16" t="s">
        <v>26</v>
      </c>
      <c r="M1531" s="16" t="s">
        <v>403</v>
      </c>
      <c r="N1531" s="16"/>
      <c r="O1531" s="18"/>
      <c r="P1531" s="18"/>
      <c r="Q1531" s="16" t="s">
        <v>26</v>
      </c>
    </row>
    <row r="1532" spans="1:18" ht="13.5" customHeight="1" x14ac:dyDescent="0.25">
      <c r="N1532" s="16"/>
      <c r="O1532" s="18"/>
      <c r="P1532" s="18"/>
      <c r="Q1532" s="16"/>
    </row>
    <row r="1533" spans="1:18" ht="13.5" customHeight="1" x14ac:dyDescent="0.25">
      <c r="A1533" s="16" t="s">
        <v>402</v>
      </c>
      <c r="B1533" s="16" t="s">
        <v>1</v>
      </c>
      <c r="C1533" s="16" t="s">
        <v>18</v>
      </c>
      <c r="D1533" s="16" t="s">
        <v>19</v>
      </c>
      <c r="F1533" s="23">
        <v>207.38</v>
      </c>
      <c r="G1533" s="16">
        <v>6.75</v>
      </c>
      <c r="H1533" s="16" t="s">
        <v>22</v>
      </c>
      <c r="I1533" s="16">
        <v>10</v>
      </c>
      <c r="L1533" s="16" t="s">
        <v>23</v>
      </c>
    </row>
    <row r="1534" spans="1:18" ht="13.5" customHeight="1" x14ac:dyDescent="0.25">
      <c r="I1534" s="16">
        <v>70</v>
      </c>
      <c r="L1534" s="16" t="s">
        <v>32</v>
      </c>
    </row>
    <row r="1535" spans="1:18" ht="13.5" customHeight="1" x14ac:dyDescent="0.25">
      <c r="I1535" s="16">
        <v>70</v>
      </c>
      <c r="L1535" s="16" t="s">
        <v>33</v>
      </c>
      <c r="M1535" s="16" t="s">
        <v>406</v>
      </c>
    </row>
    <row r="1536" spans="1:18" ht="13.5" customHeight="1" x14ac:dyDescent="0.25">
      <c r="I1536" s="16">
        <v>20</v>
      </c>
      <c r="L1536" s="16" t="s">
        <v>29</v>
      </c>
      <c r="M1536" s="15"/>
    </row>
    <row r="1537" spans="1:13" ht="13.5" customHeight="1" x14ac:dyDescent="0.25">
      <c r="I1537" s="16">
        <v>10</v>
      </c>
      <c r="L1537" s="16" t="s">
        <v>25</v>
      </c>
      <c r="M1537" s="16" t="s">
        <v>137</v>
      </c>
    </row>
    <row r="1538" spans="1:13" ht="13.5" customHeight="1" x14ac:dyDescent="0.25">
      <c r="I1538" s="16">
        <v>10</v>
      </c>
      <c r="L1538" s="16" t="s">
        <v>25</v>
      </c>
      <c r="M1538" s="16" t="s">
        <v>45</v>
      </c>
    </row>
    <row r="1539" spans="1:13" ht="13.5" customHeight="1" x14ac:dyDescent="0.25">
      <c r="I1539" s="16">
        <v>10</v>
      </c>
      <c r="L1539" s="16" t="s">
        <v>27</v>
      </c>
    </row>
    <row r="1540" spans="1:13" ht="13.5" customHeight="1" x14ac:dyDescent="0.25">
      <c r="I1540" s="16">
        <v>20</v>
      </c>
      <c r="L1540" s="16" t="s">
        <v>26</v>
      </c>
      <c r="M1540" s="16" t="s">
        <v>147</v>
      </c>
    </row>
    <row r="1541" spans="1:13" ht="13.5" customHeight="1" x14ac:dyDescent="0.25">
      <c r="I1541" s="16">
        <v>100</v>
      </c>
      <c r="L1541" s="16" t="s">
        <v>26</v>
      </c>
      <c r="M1541" s="16" t="s">
        <v>405</v>
      </c>
    </row>
    <row r="1544" spans="1:13" ht="13.5" customHeight="1" x14ac:dyDescent="0.25">
      <c r="A1544" s="16" t="s">
        <v>402</v>
      </c>
      <c r="B1544" s="16" t="s">
        <v>2</v>
      </c>
      <c r="C1544" s="15" t="s">
        <v>192</v>
      </c>
      <c r="D1544" s="16" t="s">
        <v>21</v>
      </c>
      <c r="F1544" s="23">
        <v>351.02</v>
      </c>
      <c r="G1544" s="16">
        <v>11</v>
      </c>
      <c r="H1544" s="16" t="s">
        <v>22</v>
      </c>
      <c r="I1544" s="16">
        <v>10</v>
      </c>
      <c r="L1544" s="16" t="s">
        <v>23</v>
      </c>
    </row>
    <row r="1545" spans="1:13" ht="13.5" customHeight="1" x14ac:dyDescent="0.25">
      <c r="F1545" s="16" t="s">
        <v>114</v>
      </c>
      <c r="I1545" s="16">
        <v>110</v>
      </c>
      <c r="L1545" s="16" t="s">
        <v>32</v>
      </c>
    </row>
    <row r="1546" spans="1:13" ht="13.5" customHeight="1" x14ac:dyDescent="0.25">
      <c r="I1546" s="16">
        <v>40</v>
      </c>
      <c r="L1546" s="16" t="s">
        <v>33</v>
      </c>
    </row>
    <row r="1547" spans="1:13" ht="13.5" customHeight="1" x14ac:dyDescent="0.25">
      <c r="I1547" s="16">
        <v>30</v>
      </c>
      <c r="L1547" s="16" t="s">
        <v>29</v>
      </c>
    </row>
    <row r="1548" spans="1:13" ht="13.5" customHeight="1" x14ac:dyDescent="0.25">
      <c r="I1548" s="16">
        <v>30</v>
      </c>
      <c r="L1548" s="16" t="s">
        <v>25</v>
      </c>
      <c r="M1548" s="16" t="s">
        <v>137</v>
      </c>
    </row>
    <row r="1549" spans="1:13" ht="13.5" customHeight="1" x14ac:dyDescent="0.25">
      <c r="I1549" s="16">
        <v>20</v>
      </c>
      <c r="L1549" s="16" t="s">
        <v>25</v>
      </c>
      <c r="M1549" s="16" t="s">
        <v>45</v>
      </c>
    </row>
    <row r="1550" spans="1:13" ht="13.5" customHeight="1" x14ac:dyDescent="0.25">
      <c r="I1550" s="16">
        <v>10</v>
      </c>
      <c r="L1550" s="16" t="s">
        <v>27</v>
      </c>
    </row>
    <row r="1551" spans="1:13" ht="13.5" customHeight="1" x14ac:dyDescent="0.25">
      <c r="I1551" s="16">
        <v>20</v>
      </c>
      <c r="L1551" s="16" t="s">
        <v>26</v>
      </c>
      <c r="M1551" s="16" t="s">
        <v>147</v>
      </c>
    </row>
    <row r="1552" spans="1:13" ht="13.5" customHeight="1" x14ac:dyDescent="0.25">
      <c r="M1552" s="15"/>
    </row>
    <row r="1553" spans="1:13" ht="13.5" customHeight="1" x14ac:dyDescent="0.25">
      <c r="A1553" s="16" t="s">
        <v>407</v>
      </c>
      <c r="B1553" s="16" t="s">
        <v>0</v>
      </c>
      <c r="C1553" s="16" t="s">
        <v>6</v>
      </c>
      <c r="D1553" s="16" t="s">
        <v>20</v>
      </c>
      <c r="F1553" s="23">
        <v>293.36</v>
      </c>
      <c r="G1553" s="16">
        <v>9.25</v>
      </c>
      <c r="H1553" s="16" t="s">
        <v>22</v>
      </c>
      <c r="I1553" s="16">
        <v>10</v>
      </c>
      <c r="L1553" s="16" t="s">
        <v>23</v>
      </c>
    </row>
    <row r="1554" spans="1:13" ht="13.5" customHeight="1" x14ac:dyDescent="0.25">
      <c r="I1554" s="16">
        <v>90</v>
      </c>
      <c r="L1554" s="16" t="s">
        <v>32</v>
      </c>
    </row>
    <row r="1555" spans="1:13" ht="13.5" customHeight="1" x14ac:dyDescent="0.25">
      <c r="I1555" s="16">
        <v>50</v>
      </c>
      <c r="L1555" s="16" t="s">
        <v>33</v>
      </c>
      <c r="M1555" s="16" t="s">
        <v>404</v>
      </c>
    </row>
    <row r="1556" spans="1:13" ht="13.5" customHeight="1" x14ac:dyDescent="0.25">
      <c r="I1556" s="16">
        <v>20</v>
      </c>
      <c r="L1556" s="16" t="s">
        <v>29</v>
      </c>
      <c r="M1556" s="15"/>
    </row>
    <row r="1557" spans="1:13" ht="13.5" customHeight="1" x14ac:dyDescent="0.25">
      <c r="I1557" s="16">
        <v>10</v>
      </c>
      <c r="L1557" s="16" t="s">
        <v>25</v>
      </c>
      <c r="M1557" s="16" t="s">
        <v>137</v>
      </c>
    </row>
    <row r="1558" spans="1:13" ht="13.5" customHeight="1" x14ac:dyDescent="0.25">
      <c r="I1558" s="16">
        <v>10</v>
      </c>
      <c r="L1558" s="16" t="s">
        <v>25</v>
      </c>
      <c r="M1558" s="16" t="s">
        <v>45</v>
      </c>
    </row>
    <row r="1559" spans="1:13" ht="13.5" customHeight="1" x14ac:dyDescent="0.25">
      <c r="I1559" s="16">
        <v>10</v>
      </c>
      <c r="L1559" s="16" t="s">
        <v>27</v>
      </c>
    </row>
    <row r="1560" spans="1:13" ht="13.5" customHeight="1" x14ac:dyDescent="0.25">
      <c r="I1560" s="16">
        <v>20</v>
      </c>
      <c r="L1560" s="16" t="s">
        <v>26</v>
      </c>
      <c r="M1560" s="16" t="s">
        <v>147</v>
      </c>
    </row>
    <row r="1561" spans="1:13" ht="13.5" customHeight="1" x14ac:dyDescent="0.25">
      <c r="I1561" s="16">
        <v>40</v>
      </c>
      <c r="L1561" s="16" t="s">
        <v>26</v>
      </c>
      <c r="M1561" s="15" t="s">
        <v>408</v>
      </c>
    </row>
    <row r="1562" spans="1:13" ht="13.5" customHeight="1" x14ac:dyDescent="0.25">
      <c r="I1562" s="16">
        <v>40</v>
      </c>
      <c r="L1562" s="16" t="s">
        <v>24</v>
      </c>
      <c r="M1562" s="15" t="s">
        <v>173</v>
      </c>
    </row>
    <row r="1564" spans="1:13" ht="13.5" customHeight="1" x14ac:dyDescent="0.25">
      <c r="A1564" s="16" t="s">
        <v>407</v>
      </c>
      <c r="B1564" s="16" t="s">
        <v>1</v>
      </c>
      <c r="C1564" s="16" t="s">
        <v>16</v>
      </c>
      <c r="D1564" s="16" t="s">
        <v>19</v>
      </c>
      <c r="F1564" s="23">
        <v>327.81</v>
      </c>
      <c r="G1564" s="16">
        <v>10</v>
      </c>
      <c r="H1564" s="16" t="s">
        <v>22</v>
      </c>
      <c r="I1564" s="16">
        <v>10</v>
      </c>
      <c r="L1564" s="16" t="s">
        <v>23</v>
      </c>
    </row>
    <row r="1565" spans="1:13" ht="13.5" customHeight="1" x14ac:dyDescent="0.25">
      <c r="I1565" s="16">
        <v>100</v>
      </c>
      <c r="L1565" s="16" t="s">
        <v>32</v>
      </c>
    </row>
    <row r="1566" spans="1:13" ht="13.5" customHeight="1" x14ac:dyDescent="0.25">
      <c r="I1566" s="16">
        <v>70</v>
      </c>
      <c r="L1566" s="16" t="s">
        <v>33</v>
      </c>
      <c r="M1566" s="16" t="s">
        <v>406</v>
      </c>
    </row>
    <row r="1567" spans="1:13" ht="13.5" customHeight="1" x14ac:dyDescent="0.25">
      <c r="I1567" s="16">
        <v>30</v>
      </c>
      <c r="L1567" s="16" t="s">
        <v>29</v>
      </c>
    </row>
    <row r="1568" spans="1:13" ht="13.5" customHeight="1" x14ac:dyDescent="0.25">
      <c r="I1568" s="16">
        <v>20</v>
      </c>
      <c r="L1568" s="16" t="s">
        <v>25</v>
      </c>
      <c r="M1568" s="16" t="s">
        <v>137</v>
      </c>
    </row>
    <row r="1569" spans="1:13" ht="13.5" customHeight="1" x14ac:dyDescent="0.25">
      <c r="I1569" s="16">
        <v>20</v>
      </c>
      <c r="L1569" s="16" t="s">
        <v>25</v>
      </c>
      <c r="M1569" s="16" t="s">
        <v>45</v>
      </c>
    </row>
    <row r="1570" spans="1:13" ht="13.5" customHeight="1" x14ac:dyDescent="0.25">
      <c r="I1570" s="16">
        <v>20</v>
      </c>
      <c r="L1570" s="16" t="s">
        <v>27</v>
      </c>
    </row>
    <row r="1571" spans="1:13" ht="13.5" customHeight="1" x14ac:dyDescent="0.25">
      <c r="I1571" s="16">
        <v>20</v>
      </c>
      <c r="L1571" s="16" t="s">
        <v>26</v>
      </c>
      <c r="M1571" s="16" t="s">
        <v>147</v>
      </c>
    </row>
    <row r="1572" spans="1:13" ht="13.5" customHeight="1" x14ac:dyDescent="0.25">
      <c r="I1572" s="16">
        <v>20</v>
      </c>
      <c r="L1572" s="16" t="s">
        <v>26</v>
      </c>
      <c r="M1572" s="16" t="s">
        <v>409</v>
      </c>
    </row>
    <row r="1574" spans="1:13" ht="13.5" customHeight="1" x14ac:dyDescent="0.25">
      <c r="A1574" s="16" t="s">
        <v>407</v>
      </c>
      <c r="B1574" s="16" t="s">
        <v>2</v>
      </c>
      <c r="C1574" s="15" t="s">
        <v>192</v>
      </c>
      <c r="D1574" s="16" t="s">
        <v>21</v>
      </c>
      <c r="F1574" s="24">
        <f>29.39+31.33+31.28+31.55+38.33+31.52+27.59+31.36</f>
        <v>252.35000000000002</v>
      </c>
      <c r="G1574" s="16">
        <v>8</v>
      </c>
      <c r="H1574" s="16" t="s">
        <v>22</v>
      </c>
      <c r="I1574" s="16">
        <v>10</v>
      </c>
      <c r="L1574" s="16" t="s">
        <v>23</v>
      </c>
    </row>
    <row r="1575" spans="1:13" ht="13.5" customHeight="1" x14ac:dyDescent="0.25">
      <c r="F1575" s="16" t="s">
        <v>114</v>
      </c>
      <c r="I1575" s="16">
        <v>80</v>
      </c>
      <c r="L1575" s="16" t="s">
        <v>32</v>
      </c>
    </row>
    <row r="1576" spans="1:13" ht="13.5" customHeight="1" x14ac:dyDescent="0.25">
      <c r="I1576" s="16">
        <v>40</v>
      </c>
      <c r="L1576" s="16" t="s">
        <v>33</v>
      </c>
    </row>
    <row r="1577" spans="1:13" ht="13.5" customHeight="1" x14ac:dyDescent="0.25">
      <c r="I1577" s="16">
        <v>25</v>
      </c>
      <c r="L1577" s="16" t="s">
        <v>29</v>
      </c>
    </row>
    <row r="1578" spans="1:13" ht="13.5" customHeight="1" x14ac:dyDescent="0.25">
      <c r="I1578" s="16">
        <v>25</v>
      </c>
      <c r="L1578" s="16" t="s">
        <v>25</v>
      </c>
      <c r="M1578" s="16" t="s">
        <v>137</v>
      </c>
    </row>
    <row r="1579" spans="1:13" ht="13.5" customHeight="1" x14ac:dyDescent="0.25">
      <c r="I1579" s="16">
        <v>20</v>
      </c>
      <c r="L1579" s="16" t="s">
        <v>25</v>
      </c>
      <c r="M1579" s="16" t="s">
        <v>45</v>
      </c>
    </row>
    <row r="1580" spans="1:13" ht="13.5" customHeight="1" x14ac:dyDescent="0.25">
      <c r="I1580" s="16">
        <v>10</v>
      </c>
      <c r="L1580" s="16" t="s">
        <v>27</v>
      </c>
    </row>
    <row r="1581" spans="1:13" ht="13.5" customHeight="1" x14ac:dyDescent="0.25">
      <c r="I1581" s="16">
        <v>20</v>
      </c>
      <c r="L1581" s="16" t="s">
        <v>26</v>
      </c>
      <c r="M1581" s="16" t="s">
        <v>147</v>
      </c>
    </row>
    <row r="1582" spans="1:13" ht="13.5" customHeight="1" x14ac:dyDescent="0.25">
      <c r="I1582" s="16">
        <v>130</v>
      </c>
      <c r="J1582" s="18">
        <v>0.51388888888888895</v>
      </c>
      <c r="K1582" s="18">
        <v>0.10416666666666667</v>
      </c>
      <c r="L1582" s="16" t="s">
        <v>26</v>
      </c>
      <c r="M1582" s="15" t="s">
        <v>410</v>
      </c>
    </row>
    <row r="1584" spans="1:13" ht="13.5" customHeight="1" x14ac:dyDescent="0.25">
      <c r="A1584" s="16" t="s">
        <v>411</v>
      </c>
      <c r="B1584" s="16" t="s">
        <v>0</v>
      </c>
      <c r="C1584" s="16" t="s">
        <v>18</v>
      </c>
      <c r="D1584" s="16" t="s">
        <v>20</v>
      </c>
      <c r="F1584" s="23">
        <v>327.06</v>
      </c>
      <c r="G1584" s="16">
        <v>9.75</v>
      </c>
      <c r="H1584" s="16" t="s">
        <v>22</v>
      </c>
      <c r="I1584" s="16">
        <v>10</v>
      </c>
      <c r="L1584" s="16" t="s">
        <v>23</v>
      </c>
    </row>
    <row r="1585" spans="1:13" ht="13.5" customHeight="1" x14ac:dyDescent="0.25">
      <c r="I1585" s="16">
        <v>100</v>
      </c>
      <c r="L1585" s="16" t="s">
        <v>32</v>
      </c>
    </row>
    <row r="1586" spans="1:13" ht="13.5" customHeight="1" x14ac:dyDescent="0.25">
      <c r="I1586" s="16">
        <v>50</v>
      </c>
      <c r="L1586" s="16" t="s">
        <v>33</v>
      </c>
      <c r="M1586" s="16" t="s">
        <v>404</v>
      </c>
    </row>
    <row r="1587" spans="1:13" ht="13.5" customHeight="1" x14ac:dyDescent="0.25">
      <c r="I1587" s="16">
        <v>20</v>
      </c>
      <c r="L1587" s="16" t="s">
        <v>29</v>
      </c>
      <c r="M1587" s="15"/>
    </row>
    <row r="1588" spans="1:13" ht="13.5" customHeight="1" x14ac:dyDescent="0.25">
      <c r="I1588" s="16">
        <v>10</v>
      </c>
      <c r="L1588" s="16" t="s">
        <v>25</v>
      </c>
      <c r="M1588" s="16" t="s">
        <v>137</v>
      </c>
    </row>
    <row r="1589" spans="1:13" ht="13.5" customHeight="1" x14ac:dyDescent="0.25">
      <c r="I1589" s="16">
        <v>10</v>
      </c>
      <c r="L1589" s="16" t="s">
        <v>25</v>
      </c>
      <c r="M1589" s="16" t="s">
        <v>45</v>
      </c>
    </row>
    <row r="1590" spans="1:13" ht="13.5" customHeight="1" x14ac:dyDescent="0.25">
      <c r="I1590" s="16">
        <v>10</v>
      </c>
      <c r="L1590" s="16" t="s">
        <v>27</v>
      </c>
    </row>
    <row r="1591" spans="1:13" ht="13.5" customHeight="1" x14ac:dyDescent="0.25">
      <c r="I1591" s="16">
        <v>20</v>
      </c>
      <c r="L1591" s="16" t="s">
        <v>26</v>
      </c>
      <c r="M1591" s="16" t="s">
        <v>147</v>
      </c>
    </row>
    <row r="1592" spans="1:13" ht="13.5" customHeight="1" x14ac:dyDescent="0.25">
      <c r="I1592" s="16">
        <v>60</v>
      </c>
      <c r="L1592" s="16" t="s">
        <v>26</v>
      </c>
      <c r="M1592" s="15" t="s">
        <v>408</v>
      </c>
    </row>
    <row r="1594" spans="1:13" ht="13.5" customHeight="1" x14ac:dyDescent="0.25">
      <c r="A1594" s="16" t="s">
        <v>411</v>
      </c>
      <c r="B1594" s="16" t="s">
        <v>1</v>
      </c>
      <c r="C1594" s="16" t="s">
        <v>16</v>
      </c>
      <c r="D1594" s="16" t="s">
        <v>19</v>
      </c>
      <c r="F1594" s="23">
        <v>241.23</v>
      </c>
      <c r="G1594" s="16">
        <v>7</v>
      </c>
      <c r="H1594" s="16" t="s">
        <v>22</v>
      </c>
      <c r="I1594" s="16">
        <v>10</v>
      </c>
      <c r="L1594" s="16" t="s">
        <v>23</v>
      </c>
    </row>
    <row r="1595" spans="1:13" ht="13.5" customHeight="1" x14ac:dyDescent="0.25">
      <c r="I1595" s="16">
        <v>40</v>
      </c>
      <c r="L1595" s="16" t="s">
        <v>32</v>
      </c>
    </row>
    <row r="1596" spans="1:13" ht="13.5" customHeight="1" x14ac:dyDescent="0.25">
      <c r="I1596" s="16">
        <v>70</v>
      </c>
      <c r="L1596" s="16" t="s">
        <v>33</v>
      </c>
      <c r="M1596" s="16" t="s">
        <v>406</v>
      </c>
    </row>
    <row r="1597" spans="1:13" ht="13.5" customHeight="1" x14ac:dyDescent="0.25">
      <c r="I1597" s="16">
        <v>30</v>
      </c>
      <c r="L1597" s="16" t="s">
        <v>29</v>
      </c>
    </row>
    <row r="1598" spans="1:13" ht="13.5" customHeight="1" x14ac:dyDescent="0.25">
      <c r="I1598" s="16">
        <v>20</v>
      </c>
      <c r="L1598" s="16" t="s">
        <v>25</v>
      </c>
      <c r="M1598" s="16" t="s">
        <v>137</v>
      </c>
    </row>
    <row r="1599" spans="1:13" ht="13.5" customHeight="1" x14ac:dyDescent="0.25">
      <c r="I1599" s="16">
        <v>20</v>
      </c>
      <c r="L1599" s="16" t="s">
        <v>25</v>
      </c>
      <c r="M1599" s="16" t="s">
        <v>45</v>
      </c>
    </row>
    <row r="1600" spans="1:13" ht="13.5" customHeight="1" x14ac:dyDescent="0.25">
      <c r="I1600" s="16">
        <v>20</v>
      </c>
      <c r="L1600" s="16" t="s">
        <v>27</v>
      </c>
    </row>
    <row r="1601" spans="1:13" ht="13.5" customHeight="1" x14ac:dyDescent="0.25">
      <c r="I1601" s="16">
        <v>20</v>
      </c>
      <c r="L1601" s="16" t="s">
        <v>26</v>
      </c>
      <c r="M1601" s="16" t="s">
        <v>147</v>
      </c>
    </row>
    <row r="1602" spans="1:13" ht="13.5" customHeight="1" x14ac:dyDescent="0.25">
      <c r="I1602" s="16">
        <v>120</v>
      </c>
      <c r="L1602" s="16" t="s">
        <v>26</v>
      </c>
      <c r="M1602" s="15" t="s">
        <v>408</v>
      </c>
    </row>
    <row r="1603" spans="1:13" ht="13.5" customHeight="1" x14ac:dyDescent="0.25">
      <c r="I1603" s="16">
        <v>100</v>
      </c>
      <c r="L1603" s="16" t="s">
        <v>26</v>
      </c>
      <c r="M1603" s="16" t="s">
        <v>412</v>
      </c>
    </row>
    <row r="1605" spans="1:13" ht="13.5" customHeight="1" x14ac:dyDescent="0.25">
      <c r="A1605" s="16" t="s">
        <v>411</v>
      </c>
      <c r="B1605" s="16" t="s">
        <v>2</v>
      </c>
      <c r="C1605" s="15" t="s">
        <v>192</v>
      </c>
      <c r="D1605" s="16" t="s">
        <v>21</v>
      </c>
      <c r="F1605" s="24">
        <f>10.57+31.58+31.45+31.4+31.32+33.51+31.4+36.2+31.47+38.34+33.51+8.3+8.278+8.3</f>
        <v>365.62800000000004</v>
      </c>
      <c r="G1605" s="16">
        <v>10.75</v>
      </c>
      <c r="H1605" s="16" t="s">
        <v>22</v>
      </c>
      <c r="I1605" s="16">
        <v>10</v>
      </c>
      <c r="L1605" s="16" t="s">
        <v>23</v>
      </c>
    </row>
    <row r="1606" spans="1:13" ht="13.5" customHeight="1" x14ac:dyDescent="0.25">
      <c r="F1606" s="16" t="s">
        <v>114</v>
      </c>
      <c r="I1606" s="16">
        <v>100</v>
      </c>
      <c r="L1606" s="16" t="s">
        <v>32</v>
      </c>
    </row>
    <row r="1607" spans="1:13" ht="13.5" customHeight="1" x14ac:dyDescent="0.25">
      <c r="I1607" s="16">
        <v>40</v>
      </c>
      <c r="L1607" s="16" t="s">
        <v>33</v>
      </c>
    </row>
    <row r="1608" spans="1:13" ht="13.5" customHeight="1" x14ac:dyDescent="0.25">
      <c r="I1608" s="16">
        <v>30</v>
      </c>
      <c r="L1608" s="16" t="s">
        <v>29</v>
      </c>
    </row>
    <row r="1609" spans="1:13" ht="13.5" customHeight="1" x14ac:dyDescent="0.25">
      <c r="I1609" s="16">
        <v>25</v>
      </c>
      <c r="L1609" s="16" t="s">
        <v>25</v>
      </c>
      <c r="M1609" s="16" t="s">
        <v>137</v>
      </c>
    </row>
    <row r="1610" spans="1:13" ht="13.5" customHeight="1" x14ac:dyDescent="0.25">
      <c r="I1610" s="16">
        <v>20</v>
      </c>
      <c r="L1610" s="16" t="s">
        <v>25</v>
      </c>
      <c r="M1610" s="16" t="s">
        <v>45</v>
      </c>
    </row>
    <row r="1611" spans="1:13" ht="13.5" customHeight="1" x14ac:dyDescent="0.25">
      <c r="I1611" s="16">
        <v>10</v>
      </c>
      <c r="L1611" s="16" t="s">
        <v>27</v>
      </c>
    </row>
    <row r="1612" spans="1:13" ht="13.5" customHeight="1" x14ac:dyDescent="0.25">
      <c r="I1612" s="16">
        <v>20</v>
      </c>
      <c r="L1612" s="16" t="s">
        <v>26</v>
      </c>
      <c r="M1612" s="16" t="s">
        <v>147</v>
      </c>
    </row>
    <row r="1613" spans="1:13" ht="13.5" customHeight="1" x14ac:dyDescent="0.25">
      <c r="I1613" s="16">
        <v>60</v>
      </c>
      <c r="L1613" s="16" t="s">
        <v>26</v>
      </c>
      <c r="M1613" s="15" t="s">
        <v>408</v>
      </c>
    </row>
    <row r="1615" spans="1:13" ht="13.5" customHeight="1" x14ac:dyDescent="0.25">
      <c r="A1615" s="16" t="s">
        <v>413</v>
      </c>
      <c r="B1615" s="16" t="s">
        <v>0</v>
      </c>
      <c r="C1615" s="16" t="s">
        <v>6</v>
      </c>
      <c r="D1615" s="16" t="s">
        <v>20</v>
      </c>
      <c r="F1615" s="23">
        <v>217.28200000000001</v>
      </c>
      <c r="G1615" s="16">
        <v>6.25</v>
      </c>
      <c r="H1615" s="16" t="s">
        <v>22</v>
      </c>
      <c r="I1615" s="16">
        <v>10</v>
      </c>
      <c r="L1615" s="16" t="s">
        <v>23</v>
      </c>
    </row>
    <row r="1616" spans="1:13" ht="13.5" customHeight="1" x14ac:dyDescent="0.25">
      <c r="I1616" s="16">
        <v>60</v>
      </c>
      <c r="L1616" s="16" t="s">
        <v>32</v>
      </c>
    </row>
    <row r="1617" spans="1:13" ht="13.5" customHeight="1" x14ac:dyDescent="0.25">
      <c r="I1617" s="16">
        <v>20</v>
      </c>
      <c r="L1617" s="16" t="s">
        <v>33</v>
      </c>
      <c r="M1617" s="16" t="s">
        <v>414</v>
      </c>
    </row>
    <row r="1618" spans="1:13" ht="13.5" customHeight="1" x14ac:dyDescent="0.25">
      <c r="I1618" s="16">
        <v>10</v>
      </c>
      <c r="L1618" s="16" t="s">
        <v>29</v>
      </c>
      <c r="M1618" s="15"/>
    </row>
    <row r="1619" spans="1:13" ht="13.5" customHeight="1" x14ac:dyDescent="0.25">
      <c r="I1619" s="16">
        <v>10</v>
      </c>
      <c r="L1619" s="16" t="s">
        <v>25</v>
      </c>
      <c r="M1619" s="16" t="s">
        <v>137</v>
      </c>
    </row>
    <row r="1620" spans="1:13" ht="13.5" customHeight="1" x14ac:dyDescent="0.25">
      <c r="I1620" s="16">
        <v>10</v>
      </c>
      <c r="L1620" s="16" t="s">
        <v>25</v>
      </c>
      <c r="M1620" s="16" t="s">
        <v>45</v>
      </c>
    </row>
    <row r="1621" spans="1:13" ht="13.5" customHeight="1" x14ac:dyDescent="0.25">
      <c r="I1621" s="16">
        <v>10</v>
      </c>
      <c r="L1621" s="16" t="s">
        <v>27</v>
      </c>
    </row>
    <row r="1622" spans="1:13" ht="13.5" customHeight="1" x14ac:dyDescent="0.25">
      <c r="I1622" s="16">
        <v>20</v>
      </c>
      <c r="L1622" s="16" t="s">
        <v>26</v>
      </c>
      <c r="M1622" s="16" t="s">
        <v>147</v>
      </c>
    </row>
    <row r="1623" spans="1:13" ht="13.5" customHeight="1" x14ac:dyDescent="0.25">
      <c r="I1623" s="16">
        <v>20</v>
      </c>
      <c r="L1623" s="16" t="s">
        <v>26</v>
      </c>
      <c r="M1623" s="15" t="s">
        <v>408</v>
      </c>
    </row>
    <row r="1624" spans="1:13" ht="13.5" customHeight="1" x14ac:dyDescent="0.25">
      <c r="I1624" s="16">
        <v>30</v>
      </c>
      <c r="L1624" s="15" t="s">
        <v>415</v>
      </c>
      <c r="M1624" s="15" t="s">
        <v>417</v>
      </c>
    </row>
    <row r="1625" spans="1:13" ht="13.5" customHeight="1" x14ac:dyDescent="0.25">
      <c r="I1625" s="16">
        <v>20</v>
      </c>
      <c r="L1625" s="15" t="s">
        <v>415</v>
      </c>
      <c r="M1625" s="15" t="s">
        <v>416</v>
      </c>
    </row>
    <row r="1626" spans="1:13" ht="13.5" customHeight="1" x14ac:dyDescent="0.25">
      <c r="I1626" s="16">
        <v>160</v>
      </c>
      <c r="L1626" s="16" t="s">
        <v>26</v>
      </c>
      <c r="M1626" s="15" t="s">
        <v>418</v>
      </c>
    </row>
    <row r="1628" spans="1:13" ht="13.5" customHeight="1" x14ac:dyDescent="0.25">
      <c r="A1628" s="16" t="s">
        <v>413</v>
      </c>
      <c r="B1628" s="16" t="s">
        <v>1</v>
      </c>
      <c r="C1628" s="16" t="s">
        <v>16</v>
      </c>
      <c r="D1628" s="16" t="s">
        <v>19</v>
      </c>
      <c r="F1628" s="23">
        <v>304.17</v>
      </c>
      <c r="G1628" s="16">
        <v>10</v>
      </c>
      <c r="H1628" s="16" t="s">
        <v>22</v>
      </c>
      <c r="I1628" s="16">
        <v>10</v>
      </c>
      <c r="L1628" s="16" t="s">
        <v>23</v>
      </c>
    </row>
    <row r="1629" spans="1:13" ht="13.5" customHeight="1" x14ac:dyDescent="0.25">
      <c r="I1629" s="16">
        <v>110</v>
      </c>
      <c r="L1629" s="16" t="s">
        <v>32</v>
      </c>
    </row>
    <row r="1630" spans="1:13" ht="13.5" customHeight="1" x14ac:dyDescent="0.25">
      <c r="I1630" s="16">
        <v>20</v>
      </c>
      <c r="L1630" s="16" t="s">
        <v>33</v>
      </c>
      <c r="M1630" s="16" t="s">
        <v>414</v>
      </c>
    </row>
    <row r="1631" spans="1:13" ht="13.5" customHeight="1" x14ac:dyDescent="0.25">
      <c r="I1631" s="16">
        <v>20</v>
      </c>
      <c r="L1631" s="16" t="s">
        <v>29</v>
      </c>
      <c r="M1631" s="15"/>
    </row>
    <row r="1632" spans="1:13" ht="13.5" customHeight="1" x14ac:dyDescent="0.25">
      <c r="I1632" s="16">
        <v>10</v>
      </c>
      <c r="L1632" s="16" t="s">
        <v>25</v>
      </c>
      <c r="M1632" s="16" t="s">
        <v>137</v>
      </c>
    </row>
    <row r="1633" spans="1:13" ht="13.5" customHeight="1" x14ac:dyDescent="0.25">
      <c r="I1633" s="16">
        <v>10</v>
      </c>
      <c r="L1633" s="16" t="s">
        <v>25</v>
      </c>
      <c r="M1633" s="16" t="s">
        <v>45</v>
      </c>
    </row>
    <row r="1634" spans="1:13" ht="13.5" customHeight="1" x14ac:dyDescent="0.25">
      <c r="I1634" s="16">
        <v>20</v>
      </c>
      <c r="L1634" s="16" t="s">
        <v>27</v>
      </c>
    </row>
    <row r="1635" spans="1:13" ht="13.5" customHeight="1" x14ac:dyDescent="0.25">
      <c r="I1635" s="16">
        <v>20</v>
      </c>
      <c r="L1635" s="16" t="s">
        <v>26</v>
      </c>
      <c r="M1635" s="16" t="s">
        <v>147</v>
      </c>
    </row>
    <row r="1636" spans="1:13" ht="13.5" customHeight="1" x14ac:dyDescent="0.25">
      <c r="I1636" s="16" t="s">
        <v>114</v>
      </c>
      <c r="L1636" s="16" t="s">
        <v>26</v>
      </c>
      <c r="M1636" s="15" t="s">
        <v>408</v>
      </c>
    </row>
    <row r="1637" spans="1:13" ht="13.5" customHeight="1" x14ac:dyDescent="0.25">
      <c r="I1637" s="16">
        <v>25</v>
      </c>
      <c r="L1637" s="16" t="s">
        <v>26</v>
      </c>
      <c r="M1637" s="15" t="s">
        <v>181</v>
      </c>
    </row>
    <row r="1638" spans="1:13" ht="13.5" customHeight="1" x14ac:dyDescent="0.25">
      <c r="L1638" s="15"/>
      <c r="M1638" s="15"/>
    </row>
    <row r="1639" spans="1:13" ht="13.5" customHeight="1" x14ac:dyDescent="0.25">
      <c r="A1639" s="16" t="s">
        <v>413</v>
      </c>
      <c r="B1639" s="16" t="s">
        <v>2</v>
      </c>
      <c r="C1639" s="15" t="s">
        <v>192</v>
      </c>
      <c r="D1639" s="16" t="s">
        <v>21</v>
      </c>
      <c r="F1639" s="24">
        <f>31.49+31.02+31.48+31.42+30.55+37.97+38.24+37.53+26.1+38</f>
        <v>333.80000000000007</v>
      </c>
      <c r="G1639" s="16">
        <v>10</v>
      </c>
      <c r="H1639" s="16" t="s">
        <v>22</v>
      </c>
      <c r="I1639" s="16">
        <v>10</v>
      </c>
      <c r="L1639" s="16" t="s">
        <v>23</v>
      </c>
    </row>
    <row r="1640" spans="1:13" ht="13.5" customHeight="1" x14ac:dyDescent="0.25">
      <c r="F1640" s="16" t="s">
        <v>114</v>
      </c>
      <c r="I1640" s="16">
        <v>100</v>
      </c>
      <c r="L1640" s="16" t="s">
        <v>32</v>
      </c>
    </row>
    <row r="1641" spans="1:13" ht="13.5" customHeight="1" x14ac:dyDescent="0.25">
      <c r="I1641" s="16">
        <v>40</v>
      </c>
      <c r="L1641" s="16" t="s">
        <v>33</v>
      </c>
    </row>
    <row r="1642" spans="1:13" ht="13.5" customHeight="1" x14ac:dyDescent="0.25">
      <c r="I1642" s="16">
        <v>30</v>
      </c>
      <c r="L1642" s="16" t="s">
        <v>29</v>
      </c>
    </row>
    <row r="1643" spans="1:13" ht="13.5" customHeight="1" x14ac:dyDescent="0.25">
      <c r="I1643" s="16">
        <v>20</v>
      </c>
      <c r="L1643" s="16" t="s">
        <v>25</v>
      </c>
      <c r="M1643" s="16" t="s">
        <v>137</v>
      </c>
    </row>
    <row r="1644" spans="1:13" ht="13.5" customHeight="1" x14ac:dyDescent="0.25">
      <c r="I1644" s="16">
        <v>20</v>
      </c>
      <c r="L1644" s="16" t="s">
        <v>25</v>
      </c>
      <c r="M1644" s="16" t="s">
        <v>45</v>
      </c>
    </row>
    <row r="1645" spans="1:13" ht="13.5" customHeight="1" x14ac:dyDescent="0.25">
      <c r="I1645" s="16">
        <v>10</v>
      </c>
      <c r="L1645" s="16" t="s">
        <v>27</v>
      </c>
    </row>
    <row r="1646" spans="1:13" ht="13.5" customHeight="1" x14ac:dyDescent="0.25">
      <c r="I1646" s="16">
        <v>20</v>
      </c>
      <c r="L1646" s="16" t="s">
        <v>26</v>
      </c>
      <c r="M1646" s="16" t="s">
        <v>147</v>
      </c>
    </row>
    <row r="1647" spans="1:13" ht="13.5" customHeight="1" x14ac:dyDescent="0.25">
      <c r="I1647" s="16">
        <v>30</v>
      </c>
      <c r="L1647" s="16" t="s">
        <v>26</v>
      </c>
      <c r="M1647" s="15" t="s">
        <v>408</v>
      </c>
    </row>
    <row r="1649" spans="1:13" ht="13.5" customHeight="1" x14ac:dyDescent="0.25">
      <c r="A1649" s="16" t="s">
        <v>419</v>
      </c>
      <c r="B1649" s="16" t="s">
        <v>0</v>
      </c>
      <c r="C1649" s="16" t="s">
        <v>6</v>
      </c>
      <c r="D1649" s="16" t="s">
        <v>20</v>
      </c>
      <c r="F1649" s="23">
        <v>368.78</v>
      </c>
      <c r="G1649" s="16">
        <v>10.5</v>
      </c>
      <c r="H1649" s="16" t="s">
        <v>22</v>
      </c>
      <c r="I1649" s="16">
        <v>10</v>
      </c>
      <c r="L1649" s="16" t="s">
        <v>23</v>
      </c>
    </row>
    <row r="1650" spans="1:13" ht="13.5" customHeight="1" x14ac:dyDescent="0.25">
      <c r="I1650" s="16">
        <v>100</v>
      </c>
      <c r="L1650" s="16" t="s">
        <v>32</v>
      </c>
    </row>
    <row r="1651" spans="1:13" ht="13.5" customHeight="1" x14ac:dyDescent="0.25">
      <c r="I1651" s="16">
        <v>30</v>
      </c>
      <c r="L1651" s="16" t="s">
        <v>33</v>
      </c>
      <c r="M1651" s="16" t="s">
        <v>414</v>
      </c>
    </row>
    <row r="1652" spans="1:13" ht="13.5" customHeight="1" x14ac:dyDescent="0.25">
      <c r="I1652" s="16">
        <v>10</v>
      </c>
      <c r="L1652" s="16" t="s">
        <v>29</v>
      </c>
      <c r="M1652" s="15"/>
    </row>
    <row r="1653" spans="1:13" ht="13.5" customHeight="1" x14ac:dyDescent="0.25">
      <c r="I1653" s="16">
        <v>10</v>
      </c>
      <c r="L1653" s="16" t="s">
        <v>25</v>
      </c>
      <c r="M1653" s="16" t="s">
        <v>137</v>
      </c>
    </row>
    <row r="1654" spans="1:13" ht="13.5" customHeight="1" x14ac:dyDescent="0.25">
      <c r="I1654" s="16">
        <v>30</v>
      </c>
      <c r="L1654" s="16" t="s">
        <v>25</v>
      </c>
      <c r="M1654" s="15" t="s">
        <v>420</v>
      </c>
    </row>
    <row r="1655" spans="1:13" ht="13.5" customHeight="1" x14ac:dyDescent="0.25">
      <c r="I1655" s="16">
        <v>10</v>
      </c>
      <c r="L1655" s="16" t="s">
        <v>27</v>
      </c>
    </row>
    <row r="1656" spans="1:13" ht="13.5" customHeight="1" x14ac:dyDescent="0.25">
      <c r="I1656" s="16">
        <v>20</v>
      </c>
      <c r="L1656" s="16" t="s">
        <v>26</v>
      </c>
      <c r="M1656" s="16" t="s">
        <v>147</v>
      </c>
    </row>
    <row r="1657" spans="1:13" ht="13.5" customHeight="1" x14ac:dyDescent="0.25">
      <c r="I1657" s="16">
        <v>30</v>
      </c>
      <c r="L1657" s="16" t="s">
        <v>26</v>
      </c>
      <c r="M1657" s="15" t="s">
        <v>408</v>
      </c>
    </row>
    <row r="1659" spans="1:13" ht="13.5" customHeight="1" x14ac:dyDescent="0.25">
      <c r="A1659" s="16" t="s">
        <v>419</v>
      </c>
      <c r="B1659" s="16" t="s">
        <v>1</v>
      </c>
      <c r="C1659" s="16" t="s">
        <v>16</v>
      </c>
      <c r="D1659" s="16" t="s">
        <v>19</v>
      </c>
      <c r="F1659" s="23">
        <v>374.04</v>
      </c>
      <c r="G1659" s="16">
        <v>11</v>
      </c>
      <c r="H1659" s="16" t="s">
        <v>22</v>
      </c>
      <c r="I1659" s="16">
        <v>10</v>
      </c>
      <c r="L1659" s="16" t="s">
        <v>23</v>
      </c>
    </row>
    <row r="1660" spans="1:13" ht="13.5" customHeight="1" x14ac:dyDescent="0.25">
      <c r="I1660" s="16">
        <v>110</v>
      </c>
      <c r="L1660" s="16" t="s">
        <v>32</v>
      </c>
    </row>
    <row r="1661" spans="1:13" ht="13.5" customHeight="1" x14ac:dyDescent="0.25">
      <c r="I1661" s="16">
        <v>30</v>
      </c>
      <c r="L1661" s="16" t="s">
        <v>33</v>
      </c>
    </row>
    <row r="1662" spans="1:13" ht="13.5" customHeight="1" x14ac:dyDescent="0.25">
      <c r="I1662" s="16">
        <v>30</v>
      </c>
      <c r="L1662" s="16" t="s">
        <v>29</v>
      </c>
      <c r="M1662" s="15"/>
    </row>
    <row r="1663" spans="1:13" ht="13.5" customHeight="1" x14ac:dyDescent="0.25">
      <c r="I1663" s="16">
        <v>20</v>
      </c>
      <c r="L1663" s="16" t="s">
        <v>25</v>
      </c>
      <c r="M1663" s="16" t="s">
        <v>137</v>
      </c>
    </row>
    <row r="1664" spans="1:13" ht="13.5" customHeight="1" x14ac:dyDescent="0.25">
      <c r="I1664" s="16">
        <v>20</v>
      </c>
      <c r="L1664" s="16" t="s">
        <v>25</v>
      </c>
      <c r="M1664" s="16" t="s">
        <v>45</v>
      </c>
    </row>
    <row r="1665" spans="1:13" ht="13.5" customHeight="1" x14ac:dyDescent="0.25">
      <c r="I1665" s="16">
        <v>15</v>
      </c>
      <c r="L1665" s="16" t="s">
        <v>27</v>
      </c>
    </row>
    <row r="1666" spans="1:13" ht="13.5" customHeight="1" x14ac:dyDescent="0.25">
      <c r="I1666" s="16">
        <v>15</v>
      </c>
      <c r="L1666" s="16" t="s">
        <v>26</v>
      </c>
      <c r="M1666" s="16" t="s">
        <v>147</v>
      </c>
    </row>
    <row r="1667" spans="1:13" ht="13.5" customHeight="1" x14ac:dyDescent="0.25">
      <c r="I1667" s="16">
        <v>20</v>
      </c>
      <c r="L1667" s="16" t="s">
        <v>26</v>
      </c>
      <c r="M1667" s="15" t="s">
        <v>408</v>
      </c>
    </row>
    <row r="1669" spans="1:13" ht="13.5" customHeight="1" x14ac:dyDescent="0.25">
      <c r="A1669" s="16" t="s">
        <v>419</v>
      </c>
      <c r="B1669" s="16" t="s">
        <v>2</v>
      </c>
      <c r="C1669" s="15" t="s">
        <v>192</v>
      </c>
      <c r="D1669" s="16" t="s">
        <v>21</v>
      </c>
      <c r="F1669" s="24">
        <f>9.07+33.48+37.95+28.85+31.43+38.03+33.12+38.27+38.06+27.8</f>
        <v>316.06</v>
      </c>
      <c r="G1669" s="16">
        <v>9.25</v>
      </c>
      <c r="H1669" s="16" t="s">
        <v>22</v>
      </c>
      <c r="I1669" s="16">
        <v>10</v>
      </c>
      <c r="L1669" s="16" t="s">
        <v>23</v>
      </c>
    </row>
    <row r="1670" spans="1:13" ht="13.5" customHeight="1" x14ac:dyDescent="0.25">
      <c r="F1670" s="16" t="s">
        <v>114</v>
      </c>
      <c r="I1670" s="16">
        <v>100</v>
      </c>
      <c r="L1670" s="16" t="s">
        <v>32</v>
      </c>
    </row>
    <row r="1671" spans="1:13" ht="13.5" customHeight="1" x14ac:dyDescent="0.25">
      <c r="I1671" s="16">
        <v>30</v>
      </c>
      <c r="L1671" s="16" t="s">
        <v>33</v>
      </c>
    </row>
    <row r="1672" spans="1:13" ht="13.5" customHeight="1" x14ac:dyDescent="0.25">
      <c r="I1672" s="16">
        <v>30</v>
      </c>
      <c r="L1672" s="16" t="s">
        <v>29</v>
      </c>
    </row>
    <row r="1673" spans="1:13" ht="13.5" customHeight="1" x14ac:dyDescent="0.25">
      <c r="I1673" s="16">
        <v>20</v>
      </c>
      <c r="L1673" s="16" t="s">
        <v>25</v>
      </c>
      <c r="M1673" s="16" t="s">
        <v>137</v>
      </c>
    </row>
    <row r="1674" spans="1:13" ht="13.5" customHeight="1" x14ac:dyDescent="0.25">
      <c r="I1674" s="16">
        <v>20</v>
      </c>
      <c r="L1674" s="16" t="s">
        <v>25</v>
      </c>
      <c r="M1674" s="16" t="s">
        <v>45</v>
      </c>
    </row>
    <row r="1675" spans="1:13" ht="13.5" customHeight="1" x14ac:dyDescent="0.25">
      <c r="I1675" s="16">
        <v>10</v>
      </c>
      <c r="L1675" s="16" t="s">
        <v>27</v>
      </c>
    </row>
    <row r="1676" spans="1:13" ht="13.5" customHeight="1" x14ac:dyDescent="0.25">
      <c r="I1676" s="16">
        <v>20</v>
      </c>
      <c r="L1676" s="16" t="s">
        <v>26</v>
      </c>
      <c r="M1676" s="16" t="s">
        <v>147</v>
      </c>
    </row>
    <row r="1677" spans="1:13" ht="13.5" customHeight="1" x14ac:dyDescent="0.25">
      <c r="I1677" s="16">
        <v>40</v>
      </c>
      <c r="L1677" s="16" t="s">
        <v>24</v>
      </c>
      <c r="M1677" s="15" t="s">
        <v>421</v>
      </c>
    </row>
    <row r="1678" spans="1:13" ht="13.5" customHeight="1" x14ac:dyDescent="0.25">
      <c r="I1678" s="16">
        <v>30</v>
      </c>
      <c r="L1678" s="16" t="s">
        <v>26</v>
      </c>
      <c r="M1678" s="15" t="s">
        <v>117</v>
      </c>
    </row>
    <row r="1680" spans="1:13" ht="13.5" customHeight="1" x14ac:dyDescent="0.25">
      <c r="A1680" s="16" t="s">
        <v>422</v>
      </c>
      <c r="B1680" s="16" t="s">
        <v>0</v>
      </c>
      <c r="C1680" s="16" t="s">
        <v>6</v>
      </c>
      <c r="D1680" s="16" t="s">
        <v>20</v>
      </c>
      <c r="F1680" s="23">
        <v>311.64999999999998</v>
      </c>
      <c r="G1680" s="16">
        <v>10</v>
      </c>
      <c r="H1680" s="16" t="s">
        <v>22</v>
      </c>
      <c r="I1680" s="16">
        <v>10</v>
      </c>
      <c r="L1680" s="16" t="s">
        <v>23</v>
      </c>
    </row>
    <row r="1681" spans="1:13" ht="13.5" customHeight="1" x14ac:dyDescent="0.25">
      <c r="I1681" s="16">
        <v>100</v>
      </c>
      <c r="L1681" s="16" t="s">
        <v>32</v>
      </c>
    </row>
    <row r="1682" spans="1:13" ht="13.5" customHeight="1" x14ac:dyDescent="0.25">
      <c r="I1682" s="16">
        <v>30</v>
      </c>
      <c r="L1682" s="16" t="s">
        <v>33</v>
      </c>
      <c r="M1682" s="16" t="s">
        <v>414</v>
      </c>
    </row>
    <row r="1683" spans="1:13" ht="13.5" customHeight="1" x14ac:dyDescent="0.25">
      <c r="I1683" s="16">
        <v>10</v>
      </c>
      <c r="L1683" s="16" t="s">
        <v>29</v>
      </c>
      <c r="M1683" s="15"/>
    </row>
    <row r="1684" spans="1:13" ht="13.5" customHeight="1" x14ac:dyDescent="0.25">
      <c r="I1684" s="16">
        <v>10</v>
      </c>
      <c r="L1684" s="16" t="s">
        <v>25</v>
      </c>
      <c r="M1684" s="16" t="s">
        <v>137</v>
      </c>
    </row>
    <row r="1685" spans="1:13" ht="13.5" customHeight="1" x14ac:dyDescent="0.25">
      <c r="I1685" s="16">
        <v>20</v>
      </c>
      <c r="L1685" s="16" t="s">
        <v>25</v>
      </c>
      <c r="M1685" s="15" t="s">
        <v>420</v>
      </c>
    </row>
    <row r="1686" spans="1:13" ht="13.5" customHeight="1" x14ac:dyDescent="0.25">
      <c r="I1686" s="16">
        <v>10</v>
      </c>
      <c r="L1686" s="16" t="s">
        <v>27</v>
      </c>
    </row>
    <row r="1687" spans="1:13" ht="13.5" customHeight="1" x14ac:dyDescent="0.25">
      <c r="I1687" s="16">
        <v>20</v>
      </c>
      <c r="L1687" s="16" t="s">
        <v>26</v>
      </c>
      <c r="M1687" s="16" t="s">
        <v>147</v>
      </c>
    </row>
    <row r="1688" spans="1:13" ht="13.5" customHeight="1" x14ac:dyDescent="0.25">
      <c r="I1688" s="16">
        <v>20</v>
      </c>
      <c r="L1688" s="16" t="s">
        <v>26</v>
      </c>
      <c r="M1688" s="15" t="s">
        <v>408</v>
      </c>
    </row>
    <row r="1689" spans="1:13" ht="13.5" customHeight="1" x14ac:dyDescent="0.25">
      <c r="I1689" s="16">
        <v>60</v>
      </c>
      <c r="L1689" s="16" t="s">
        <v>26</v>
      </c>
      <c r="M1689" s="15" t="s">
        <v>423</v>
      </c>
    </row>
    <row r="1691" spans="1:13" ht="13.5" customHeight="1" x14ac:dyDescent="0.25">
      <c r="A1691" s="16" t="s">
        <v>422</v>
      </c>
      <c r="B1691" s="16" t="s">
        <v>1</v>
      </c>
      <c r="C1691" s="16" t="s">
        <v>16</v>
      </c>
      <c r="D1691" s="16" t="s">
        <v>19</v>
      </c>
      <c r="F1691" s="16">
        <v>324.43</v>
      </c>
      <c r="G1691" s="16">
        <v>10</v>
      </c>
      <c r="H1691" s="16" t="s">
        <v>22</v>
      </c>
      <c r="I1691" s="16">
        <v>10</v>
      </c>
      <c r="L1691" s="16" t="s">
        <v>23</v>
      </c>
    </row>
    <row r="1692" spans="1:13" ht="13.5" customHeight="1" x14ac:dyDescent="0.25">
      <c r="I1692" s="16">
        <v>100</v>
      </c>
      <c r="L1692" s="16" t="s">
        <v>32</v>
      </c>
    </row>
    <row r="1693" spans="1:13" ht="13.5" customHeight="1" x14ac:dyDescent="0.25">
      <c r="I1693" s="16">
        <v>40</v>
      </c>
      <c r="L1693" s="16" t="s">
        <v>33</v>
      </c>
    </row>
    <row r="1694" spans="1:13" ht="13.5" customHeight="1" x14ac:dyDescent="0.25">
      <c r="I1694" s="16">
        <v>30</v>
      </c>
      <c r="L1694" s="16" t="s">
        <v>29</v>
      </c>
      <c r="M1694" s="15"/>
    </row>
    <row r="1695" spans="1:13" ht="13.5" customHeight="1" x14ac:dyDescent="0.25">
      <c r="I1695" s="16">
        <v>20</v>
      </c>
      <c r="L1695" s="16" t="s">
        <v>25</v>
      </c>
      <c r="M1695" s="16" t="s">
        <v>137</v>
      </c>
    </row>
    <row r="1696" spans="1:13" ht="13.5" customHeight="1" x14ac:dyDescent="0.25">
      <c r="I1696" s="16">
        <v>20</v>
      </c>
      <c r="L1696" s="16" t="s">
        <v>25</v>
      </c>
      <c r="M1696" s="16" t="s">
        <v>45</v>
      </c>
    </row>
    <row r="1697" spans="1:13" ht="13.5" customHeight="1" x14ac:dyDescent="0.25">
      <c r="I1697" s="16">
        <v>15</v>
      </c>
      <c r="L1697" s="16" t="s">
        <v>27</v>
      </c>
    </row>
    <row r="1698" spans="1:13" ht="13.5" customHeight="1" x14ac:dyDescent="0.25">
      <c r="I1698" s="16">
        <v>15</v>
      </c>
      <c r="L1698" s="16" t="s">
        <v>26</v>
      </c>
      <c r="M1698" s="16" t="s">
        <v>147</v>
      </c>
    </row>
    <row r="1699" spans="1:13" ht="13.5" customHeight="1" x14ac:dyDescent="0.25">
      <c r="I1699" s="16">
        <v>30</v>
      </c>
      <c r="L1699" s="16" t="s">
        <v>26</v>
      </c>
      <c r="M1699" s="15" t="s">
        <v>105</v>
      </c>
    </row>
    <row r="1700" spans="1:13" ht="13.5" customHeight="1" x14ac:dyDescent="0.25">
      <c r="I1700" s="16">
        <v>30</v>
      </c>
      <c r="L1700" s="16" t="s">
        <v>26</v>
      </c>
      <c r="M1700" s="15" t="s">
        <v>424</v>
      </c>
    </row>
    <row r="1702" spans="1:13" ht="13.5" customHeight="1" x14ac:dyDescent="0.25">
      <c r="A1702" s="16" t="s">
        <v>422</v>
      </c>
      <c r="B1702" s="16" t="s">
        <v>2</v>
      </c>
      <c r="C1702" s="15" t="s">
        <v>192</v>
      </c>
      <c r="D1702" s="16" t="s">
        <v>21</v>
      </c>
      <c r="F1702" s="24">
        <f>26.21+8.48</f>
        <v>34.69</v>
      </c>
      <c r="G1702" s="16">
        <v>1.25</v>
      </c>
      <c r="H1702" s="16" t="s">
        <v>22</v>
      </c>
      <c r="I1702" s="16">
        <v>10</v>
      </c>
      <c r="L1702" s="16" t="s">
        <v>23</v>
      </c>
    </row>
    <row r="1703" spans="1:13" ht="13.5" customHeight="1" x14ac:dyDescent="0.25">
      <c r="F1703" s="16" t="s">
        <v>114</v>
      </c>
      <c r="I1703" s="16">
        <v>10</v>
      </c>
      <c r="L1703" s="16" t="s">
        <v>32</v>
      </c>
    </row>
    <row r="1704" spans="1:13" ht="13.5" customHeight="1" x14ac:dyDescent="0.25">
      <c r="I1704" s="16">
        <v>5</v>
      </c>
      <c r="L1704" s="16" t="s">
        <v>33</v>
      </c>
    </row>
    <row r="1705" spans="1:13" ht="13.5" customHeight="1" x14ac:dyDescent="0.25">
      <c r="I1705" s="16">
        <v>5</v>
      </c>
      <c r="L1705" s="16" t="s">
        <v>29</v>
      </c>
    </row>
    <row r="1706" spans="1:13" ht="13.5" customHeight="1" x14ac:dyDescent="0.25">
      <c r="I1706" s="16">
        <v>435</v>
      </c>
      <c r="J1706" s="18">
        <v>10.447916666666666</v>
      </c>
      <c r="K1706" s="18">
        <v>6.25</v>
      </c>
      <c r="L1706" s="16" t="s">
        <v>26</v>
      </c>
      <c r="M1706" s="15" t="s">
        <v>162</v>
      </c>
    </row>
    <row r="1709" spans="1:13" ht="13.5" customHeight="1" x14ac:dyDescent="0.25">
      <c r="A1709" s="16" t="s">
        <v>425</v>
      </c>
      <c r="B1709" s="16" t="s">
        <v>0</v>
      </c>
      <c r="C1709" s="16" t="s">
        <v>18</v>
      </c>
      <c r="D1709" s="16" t="s">
        <v>20</v>
      </c>
      <c r="F1709" s="23">
        <v>229.98</v>
      </c>
      <c r="G1709" s="16">
        <v>7.5</v>
      </c>
      <c r="H1709" s="16" t="s">
        <v>22</v>
      </c>
      <c r="I1709" s="16">
        <v>10</v>
      </c>
      <c r="L1709" s="16" t="s">
        <v>23</v>
      </c>
    </row>
    <row r="1710" spans="1:13" ht="13.5" customHeight="1" x14ac:dyDescent="0.25">
      <c r="I1710" s="16">
        <v>80</v>
      </c>
      <c r="L1710" s="16" t="s">
        <v>32</v>
      </c>
    </row>
    <row r="1711" spans="1:13" ht="13.5" customHeight="1" x14ac:dyDescent="0.25">
      <c r="I1711" s="16">
        <v>20</v>
      </c>
      <c r="L1711" s="16" t="s">
        <v>33</v>
      </c>
      <c r="M1711" s="16" t="s">
        <v>414</v>
      </c>
    </row>
    <row r="1712" spans="1:13" ht="13.5" customHeight="1" x14ac:dyDescent="0.25">
      <c r="I1712" s="16">
        <v>10</v>
      </c>
      <c r="L1712" s="16" t="s">
        <v>29</v>
      </c>
      <c r="M1712" s="15"/>
    </row>
    <row r="1713" spans="1:13" ht="13.5" customHeight="1" x14ac:dyDescent="0.25">
      <c r="I1713" s="16">
        <v>10</v>
      </c>
      <c r="L1713" s="16" t="s">
        <v>25</v>
      </c>
      <c r="M1713" s="16" t="s">
        <v>137</v>
      </c>
    </row>
    <row r="1714" spans="1:13" ht="13.5" customHeight="1" x14ac:dyDescent="0.25">
      <c r="I1714" s="16">
        <v>20</v>
      </c>
      <c r="L1714" s="16" t="s">
        <v>25</v>
      </c>
      <c r="M1714" s="15" t="s">
        <v>420</v>
      </c>
    </row>
    <row r="1715" spans="1:13" ht="13.5" customHeight="1" x14ac:dyDescent="0.25">
      <c r="I1715" s="16">
        <v>10</v>
      </c>
      <c r="L1715" s="16" t="s">
        <v>27</v>
      </c>
    </row>
    <row r="1716" spans="1:13" ht="13.5" customHeight="1" x14ac:dyDescent="0.25">
      <c r="I1716" s="16">
        <v>20</v>
      </c>
      <c r="L1716" s="16" t="s">
        <v>26</v>
      </c>
      <c r="M1716" s="16" t="s">
        <v>147</v>
      </c>
    </row>
    <row r="1717" spans="1:13" ht="13.5" customHeight="1" x14ac:dyDescent="0.25">
      <c r="I1717" s="16">
        <v>20</v>
      </c>
      <c r="L1717" s="16" t="s">
        <v>26</v>
      </c>
      <c r="M1717" s="15" t="s">
        <v>408</v>
      </c>
    </row>
    <row r="1718" spans="1:13" ht="13.5" customHeight="1" x14ac:dyDescent="0.25">
      <c r="I1718" s="16">
        <v>40</v>
      </c>
      <c r="L1718" s="16" t="s">
        <v>26</v>
      </c>
      <c r="M1718" s="15" t="s">
        <v>162</v>
      </c>
    </row>
    <row r="1719" spans="1:13" ht="13.5" customHeight="1" x14ac:dyDescent="0.25">
      <c r="I1719" s="16">
        <v>125</v>
      </c>
      <c r="L1719" s="16" t="s">
        <v>26</v>
      </c>
      <c r="M1719" s="15" t="s">
        <v>426</v>
      </c>
    </row>
    <row r="1721" spans="1:13" ht="13.5" customHeight="1" x14ac:dyDescent="0.25">
      <c r="A1721" s="16" t="s">
        <v>425</v>
      </c>
      <c r="B1721" s="16" t="s">
        <v>1</v>
      </c>
      <c r="C1721" s="16" t="s">
        <v>16</v>
      </c>
      <c r="D1721" s="16" t="s">
        <v>19</v>
      </c>
      <c r="F1721" s="16">
        <v>344.98</v>
      </c>
      <c r="G1721" s="16">
        <v>11</v>
      </c>
      <c r="H1721" s="16" t="s">
        <v>22</v>
      </c>
      <c r="I1721" s="16">
        <v>10</v>
      </c>
      <c r="L1721" s="16" t="s">
        <v>23</v>
      </c>
    </row>
    <row r="1722" spans="1:13" ht="13.5" customHeight="1" x14ac:dyDescent="0.25">
      <c r="I1722" s="16">
        <v>110</v>
      </c>
      <c r="L1722" s="16" t="s">
        <v>32</v>
      </c>
    </row>
    <row r="1723" spans="1:13" ht="13.5" customHeight="1" x14ac:dyDescent="0.25">
      <c r="I1723" s="16">
        <v>40</v>
      </c>
      <c r="L1723" s="16" t="s">
        <v>33</v>
      </c>
    </row>
    <row r="1724" spans="1:13" ht="13.5" customHeight="1" x14ac:dyDescent="0.25">
      <c r="I1724" s="16">
        <v>30</v>
      </c>
      <c r="L1724" s="16" t="s">
        <v>29</v>
      </c>
      <c r="M1724" s="15"/>
    </row>
    <row r="1725" spans="1:13" ht="13.5" customHeight="1" x14ac:dyDescent="0.25">
      <c r="I1725" s="16">
        <v>20</v>
      </c>
      <c r="L1725" s="16" t="s">
        <v>25</v>
      </c>
      <c r="M1725" s="16" t="s">
        <v>137</v>
      </c>
    </row>
    <row r="1726" spans="1:13" ht="13.5" customHeight="1" x14ac:dyDescent="0.25">
      <c r="I1726" s="16">
        <v>20</v>
      </c>
      <c r="L1726" s="16" t="s">
        <v>25</v>
      </c>
      <c r="M1726" s="16" t="s">
        <v>45</v>
      </c>
    </row>
    <row r="1727" spans="1:13" ht="13.5" customHeight="1" x14ac:dyDescent="0.25">
      <c r="I1727" s="16">
        <v>15</v>
      </c>
      <c r="L1727" s="16" t="s">
        <v>27</v>
      </c>
    </row>
    <row r="1728" spans="1:13" ht="13.5" customHeight="1" x14ac:dyDescent="0.25">
      <c r="I1728" s="16">
        <v>15</v>
      </c>
      <c r="L1728" s="16" t="s">
        <v>26</v>
      </c>
      <c r="M1728" s="16" t="s">
        <v>147</v>
      </c>
    </row>
    <row r="1729" spans="1:13" ht="13.5" customHeight="1" x14ac:dyDescent="0.25">
      <c r="I1729" s="16">
        <v>20</v>
      </c>
      <c r="L1729" s="16" t="s">
        <v>26</v>
      </c>
      <c r="M1729" s="15" t="s">
        <v>408</v>
      </c>
    </row>
    <row r="1731" spans="1:13" ht="13.5" customHeight="1" x14ac:dyDescent="0.25">
      <c r="A1731" s="16" t="s">
        <v>425</v>
      </c>
      <c r="B1731" s="16" t="s">
        <v>2</v>
      </c>
      <c r="C1731" s="16" t="s">
        <v>6</v>
      </c>
      <c r="D1731" s="16" t="s">
        <v>21</v>
      </c>
      <c r="F1731" s="16">
        <f>9.23+27.56+29.78+31.4+27.53+37.54+31.92+25.59+38.32+27.71+22.51+26.69</f>
        <v>335.78</v>
      </c>
      <c r="G1731" s="16">
        <v>11.25</v>
      </c>
      <c r="H1731" s="16" t="s">
        <v>22</v>
      </c>
      <c r="I1731" s="16">
        <v>10</v>
      </c>
      <c r="L1731" s="16" t="s">
        <v>23</v>
      </c>
    </row>
    <row r="1732" spans="1:13" ht="13.5" customHeight="1" x14ac:dyDescent="0.25">
      <c r="I1732" s="16">
        <v>110</v>
      </c>
      <c r="L1732" s="16" t="s">
        <v>32</v>
      </c>
    </row>
    <row r="1733" spans="1:13" ht="13.5" customHeight="1" x14ac:dyDescent="0.25">
      <c r="I1733" s="16">
        <v>50</v>
      </c>
      <c r="L1733" s="16" t="s">
        <v>33</v>
      </c>
    </row>
    <row r="1734" spans="1:13" ht="13.5" customHeight="1" x14ac:dyDescent="0.25">
      <c r="I1734" s="16">
        <v>30</v>
      </c>
      <c r="L1734" s="16" t="s">
        <v>29</v>
      </c>
      <c r="M1734" s="15"/>
    </row>
    <row r="1735" spans="1:13" ht="13.5" customHeight="1" x14ac:dyDescent="0.25">
      <c r="I1735" s="16">
        <v>30</v>
      </c>
      <c r="L1735" s="16" t="s">
        <v>25</v>
      </c>
      <c r="M1735" s="16" t="s">
        <v>137</v>
      </c>
    </row>
    <row r="1736" spans="1:13" ht="13.5" customHeight="1" x14ac:dyDescent="0.25">
      <c r="I1736" s="16">
        <v>20</v>
      </c>
      <c r="L1736" s="16" t="s">
        <v>25</v>
      </c>
      <c r="M1736" s="16" t="s">
        <v>45</v>
      </c>
    </row>
    <row r="1737" spans="1:13" ht="13.5" customHeight="1" x14ac:dyDescent="0.25">
      <c r="I1737" s="16">
        <v>15</v>
      </c>
      <c r="L1737" s="16" t="s">
        <v>27</v>
      </c>
    </row>
    <row r="1738" spans="1:13" ht="13.5" customHeight="1" x14ac:dyDescent="0.25">
      <c r="I1738" s="16">
        <v>15</v>
      </c>
      <c r="L1738" s="16" t="s">
        <v>26</v>
      </c>
      <c r="M1738" s="16" t="s">
        <v>147</v>
      </c>
    </row>
    <row r="1740" spans="1:13" ht="13.5" customHeight="1" x14ac:dyDescent="0.25">
      <c r="A1740" s="16" t="s">
        <v>427</v>
      </c>
      <c r="B1740" s="16" t="s">
        <v>0</v>
      </c>
      <c r="C1740" s="16" t="s">
        <v>18</v>
      </c>
      <c r="D1740" s="16" t="s">
        <v>19</v>
      </c>
      <c r="F1740" s="16">
        <v>332.02</v>
      </c>
      <c r="G1740" s="16">
        <v>9.75</v>
      </c>
      <c r="H1740" s="16" t="s">
        <v>22</v>
      </c>
      <c r="I1740" s="16">
        <v>10</v>
      </c>
      <c r="L1740" s="16" t="s">
        <v>23</v>
      </c>
    </row>
    <row r="1741" spans="1:13" ht="13.5" customHeight="1" x14ac:dyDescent="0.25">
      <c r="I1741" s="16">
        <v>110</v>
      </c>
      <c r="L1741" s="16" t="s">
        <v>32</v>
      </c>
    </row>
    <row r="1742" spans="1:13" ht="13.5" customHeight="1" x14ac:dyDescent="0.25">
      <c r="I1742" s="16">
        <v>40</v>
      </c>
      <c r="L1742" s="16" t="s">
        <v>33</v>
      </c>
    </row>
    <row r="1743" spans="1:13" ht="13.5" customHeight="1" x14ac:dyDescent="0.25">
      <c r="I1743" s="16">
        <v>30</v>
      </c>
      <c r="L1743" s="16" t="s">
        <v>29</v>
      </c>
      <c r="M1743" s="15"/>
    </row>
    <row r="1744" spans="1:13" ht="13.5" customHeight="1" x14ac:dyDescent="0.25">
      <c r="I1744" s="16">
        <v>20</v>
      </c>
      <c r="L1744" s="16" t="s">
        <v>25</v>
      </c>
      <c r="M1744" s="16" t="s">
        <v>137</v>
      </c>
    </row>
    <row r="1745" spans="1:13" ht="13.5" customHeight="1" x14ac:dyDescent="0.25">
      <c r="I1745" s="16">
        <v>20</v>
      </c>
      <c r="L1745" s="16" t="s">
        <v>25</v>
      </c>
      <c r="M1745" s="16" t="s">
        <v>45</v>
      </c>
    </row>
    <row r="1746" spans="1:13" ht="13.5" customHeight="1" x14ac:dyDescent="0.25">
      <c r="I1746" s="16">
        <v>15</v>
      </c>
      <c r="L1746" s="16" t="s">
        <v>27</v>
      </c>
    </row>
    <row r="1747" spans="1:13" ht="13.5" customHeight="1" x14ac:dyDescent="0.25">
      <c r="I1747" s="16">
        <v>15</v>
      </c>
      <c r="L1747" s="16" t="s">
        <v>26</v>
      </c>
      <c r="M1747" s="16" t="s">
        <v>147</v>
      </c>
    </row>
    <row r="1748" spans="1:13" ht="13.5" customHeight="1" x14ac:dyDescent="0.25">
      <c r="I1748" s="16">
        <v>20</v>
      </c>
      <c r="L1748" s="16" t="s">
        <v>26</v>
      </c>
      <c r="M1748" s="15" t="s">
        <v>408</v>
      </c>
    </row>
    <row r="1749" spans="1:13" ht="13.5" customHeight="1" x14ac:dyDescent="0.25">
      <c r="I1749" s="16">
        <v>25</v>
      </c>
      <c r="L1749" s="16" t="s">
        <v>26</v>
      </c>
      <c r="M1749" s="16" t="s">
        <v>428</v>
      </c>
    </row>
    <row r="1750" spans="1:13" ht="13.5" customHeight="1" x14ac:dyDescent="0.25">
      <c r="I1750" s="16">
        <v>40</v>
      </c>
      <c r="L1750" s="15" t="s">
        <v>415</v>
      </c>
      <c r="M1750" s="15" t="s">
        <v>173</v>
      </c>
    </row>
    <row r="1752" spans="1:13" ht="13.5" customHeight="1" x14ac:dyDescent="0.25">
      <c r="A1752" s="16" t="s">
        <v>427</v>
      </c>
      <c r="B1752" s="16" t="s">
        <v>1</v>
      </c>
      <c r="C1752" s="15" t="s">
        <v>192</v>
      </c>
      <c r="D1752" s="16" t="s">
        <v>21</v>
      </c>
      <c r="F1752" s="16">
        <v>370.64</v>
      </c>
      <c r="G1752" s="16">
        <v>11.25</v>
      </c>
      <c r="H1752" s="16" t="s">
        <v>22</v>
      </c>
      <c r="I1752" s="16">
        <v>10</v>
      </c>
      <c r="L1752" s="16" t="s">
        <v>23</v>
      </c>
    </row>
    <row r="1753" spans="1:13" ht="13.5" customHeight="1" x14ac:dyDescent="0.25">
      <c r="I1753" s="16">
        <v>110</v>
      </c>
      <c r="L1753" s="16" t="s">
        <v>32</v>
      </c>
    </row>
    <row r="1754" spans="1:13" ht="13.5" customHeight="1" x14ac:dyDescent="0.25">
      <c r="I1754" s="16">
        <v>30</v>
      </c>
      <c r="L1754" s="16" t="s">
        <v>33</v>
      </c>
    </row>
    <row r="1755" spans="1:13" ht="13.5" customHeight="1" x14ac:dyDescent="0.25">
      <c r="I1755" s="16">
        <v>30</v>
      </c>
      <c r="L1755" s="16" t="s">
        <v>29</v>
      </c>
      <c r="M1755" s="15"/>
    </row>
    <row r="1756" spans="1:13" ht="13.5" customHeight="1" x14ac:dyDescent="0.25">
      <c r="I1756" s="16">
        <v>30</v>
      </c>
      <c r="L1756" s="16" t="s">
        <v>25</v>
      </c>
      <c r="M1756" s="16" t="s">
        <v>137</v>
      </c>
    </row>
    <row r="1757" spans="1:13" ht="13.5" customHeight="1" x14ac:dyDescent="0.25">
      <c r="I1757" s="16">
        <v>20</v>
      </c>
      <c r="L1757" s="16" t="s">
        <v>25</v>
      </c>
      <c r="M1757" s="16" t="s">
        <v>45</v>
      </c>
    </row>
    <row r="1758" spans="1:13" ht="13.5" customHeight="1" x14ac:dyDescent="0.25">
      <c r="I1758" s="16">
        <v>10</v>
      </c>
      <c r="L1758" s="16" t="s">
        <v>27</v>
      </c>
    </row>
    <row r="1760" spans="1:13" ht="13.5" customHeight="1" x14ac:dyDescent="0.25">
      <c r="A1760" s="16" t="s">
        <v>427</v>
      </c>
      <c r="B1760" s="16" t="s">
        <v>2</v>
      </c>
      <c r="C1760" s="16" t="s">
        <v>6</v>
      </c>
      <c r="D1760" s="16" t="s">
        <v>20</v>
      </c>
      <c r="F1760" s="16">
        <f>37.72+30.84+31.02+30.84+31.09+23.44+38.63+38.62+37.56+31.13+31.04</f>
        <v>361.93</v>
      </c>
      <c r="G1760" s="16">
        <v>11</v>
      </c>
      <c r="H1760" s="16" t="s">
        <v>22</v>
      </c>
      <c r="I1760" s="16">
        <v>10</v>
      </c>
      <c r="L1760" s="16" t="s">
        <v>23</v>
      </c>
    </row>
    <row r="1761" spans="1:13" ht="13.5" customHeight="1" x14ac:dyDescent="0.25">
      <c r="I1761" s="16">
        <v>110</v>
      </c>
      <c r="L1761" s="16" t="s">
        <v>32</v>
      </c>
    </row>
    <row r="1762" spans="1:13" ht="13.5" customHeight="1" x14ac:dyDescent="0.25">
      <c r="I1762" s="16">
        <v>40</v>
      </c>
      <c r="L1762" s="16" t="s">
        <v>33</v>
      </c>
    </row>
    <row r="1763" spans="1:13" ht="13.5" customHeight="1" x14ac:dyDescent="0.25">
      <c r="I1763" s="16">
        <v>30</v>
      </c>
      <c r="L1763" s="16" t="s">
        <v>29</v>
      </c>
      <c r="M1763" s="15"/>
    </row>
    <row r="1764" spans="1:13" ht="13.5" customHeight="1" x14ac:dyDescent="0.25">
      <c r="I1764" s="16">
        <v>45</v>
      </c>
      <c r="L1764" s="16" t="s">
        <v>25</v>
      </c>
      <c r="M1764" s="16" t="s">
        <v>137</v>
      </c>
    </row>
    <row r="1765" spans="1:13" ht="13.5" customHeight="1" x14ac:dyDescent="0.25">
      <c r="I1765" s="16">
        <v>20</v>
      </c>
      <c r="L1765" s="16" t="s">
        <v>25</v>
      </c>
      <c r="M1765" s="16" t="s">
        <v>45</v>
      </c>
    </row>
    <row r="1766" spans="1:13" ht="13.5" customHeight="1" x14ac:dyDescent="0.25">
      <c r="I1766" s="16">
        <v>15</v>
      </c>
      <c r="L1766" s="16" t="s">
        <v>27</v>
      </c>
    </row>
    <row r="1767" spans="1:13" ht="13.5" customHeight="1" x14ac:dyDescent="0.25">
      <c r="I1767" s="16">
        <v>15</v>
      </c>
      <c r="L1767" s="16" t="s">
        <v>26</v>
      </c>
      <c r="M1767" s="16" t="s">
        <v>147</v>
      </c>
    </row>
    <row r="1769" spans="1:13" ht="13.5" customHeight="1" x14ac:dyDescent="0.25">
      <c r="A1769" s="16" t="s">
        <v>429</v>
      </c>
      <c r="B1769" s="16" t="s">
        <v>0</v>
      </c>
      <c r="C1769" s="16" t="s">
        <v>18</v>
      </c>
      <c r="D1769" s="16" t="s">
        <v>19</v>
      </c>
      <c r="F1769" s="16">
        <v>328.98</v>
      </c>
      <c r="G1769" s="16">
        <v>10</v>
      </c>
      <c r="H1769" s="16" t="s">
        <v>22</v>
      </c>
      <c r="I1769" s="16">
        <v>10</v>
      </c>
      <c r="L1769" s="16" t="s">
        <v>23</v>
      </c>
    </row>
    <row r="1770" spans="1:13" ht="13.5" customHeight="1" x14ac:dyDescent="0.25">
      <c r="I1770" s="16">
        <v>110</v>
      </c>
      <c r="L1770" s="16" t="s">
        <v>32</v>
      </c>
    </row>
    <row r="1771" spans="1:13" ht="13.5" customHeight="1" x14ac:dyDescent="0.25">
      <c r="I1771" s="16">
        <v>40</v>
      </c>
      <c r="L1771" s="16" t="s">
        <v>33</v>
      </c>
    </row>
    <row r="1772" spans="1:13" ht="13.5" customHeight="1" x14ac:dyDescent="0.25">
      <c r="I1772" s="16">
        <v>30</v>
      </c>
      <c r="L1772" s="16" t="s">
        <v>29</v>
      </c>
      <c r="M1772" s="15"/>
    </row>
    <row r="1773" spans="1:13" ht="13.5" customHeight="1" x14ac:dyDescent="0.25">
      <c r="I1773" s="16">
        <v>40</v>
      </c>
      <c r="L1773" s="16" t="s">
        <v>25</v>
      </c>
      <c r="M1773" s="16" t="s">
        <v>137</v>
      </c>
    </row>
    <row r="1774" spans="1:13" ht="13.5" customHeight="1" x14ac:dyDescent="0.25">
      <c r="I1774" s="16">
        <v>20</v>
      </c>
      <c r="L1774" s="16" t="s">
        <v>25</v>
      </c>
      <c r="M1774" s="16" t="s">
        <v>45</v>
      </c>
    </row>
    <row r="1775" spans="1:13" ht="13.5" customHeight="1" x14ac:dyDescent="0.25">
      <c r="I1775" s="16">
        <v>15</v>
      </c>
      <c r="L1775" s="16" t="s">
        <v>27</v>
      </c>
    </row>
    <row r="1776" spans="1:13" ht="13.5" customHeight="1" x14ac:dyDescent="0.25">
      <c r="I1776" s="16">
        <v>15</v>
      </c>
      <c r="L1776" s="16" t="s">
        <v>26</v>
      </c>
      <c r="M1776" s="16" t="s">
        <v>147</v>
      </c>
    </row>
    <row r="1777" spans="1:13" ht="13.5" customHeight="1" x14ac:dyDescent="0.25">
      <c r="I1777" s="16">
        <v>30</v>
      </c>
      <c r="L1777" s="16" t="s">
        <v>25</v>
      </c>
      <c r="M1777" s="15" t="s">
        <v>430</v>
      </c>
    </row>
    <row r="1778" spans="1:13" ht="13.5" customHeight="1" x14ac:dyDescent="0.25">
      <c r="I1778" s="16">
        <v>30</v>
      </c>
      <c r="M1778" s="15" t="s">
        <v>431</v>
      </c>
    </row>
    <row r="1780" spans="1:13" ht="13.5" customHeight="1" x14ac:dyDescent="0.25">
      <c r="A1780" s="16" t="s">
        <v>429</v>
      </c>
      <c r="B1780" s="16" t="s">
        <v>1</v>
      </c>
      <c r="C1780" s="15" t="s">
        <v>192</v>
      </c>
      <c r="D1780" s="16" t="s">
        <v>21</v>
      </c>
      <c r="F1780" s="16">
        <v>365.3</v>
      </c>
      <c r="G1780" s="16">
        <v>11</v>
      </c>
      <c r="H1780" s="16" t="s">
        <v>22</v>
      </c>
      <c r="I1780" s="16">
        <v>10</v>
      </c>
      <c r="L1780" s="16" t="s">
        <v>23</v>
      </c>
    </row>
    <row r="1781" spans="1:13" ht="13.5" customHeight="1" x14ac:dyDescent="0.25">
      <c r="I1781" s="16">
        <v>110</v>
      </c>
      <c r="L1781" s="16" t="s">
        <v>32</v>
      </c>
    </row>
    <row r="1782" spans="1:13" ht="13.5" customHeight="1" x14ac:dyDescent="0.25">
      <c r="I1782" s="16">
        <v>30</v>
      </c>
      <c r="L1782" s="16" t="s">
        <v>33</v>
      </c>
    </row>
    <row r="1783" spans="1:13" ht="13.5" customHeight="1" x14ac:dyDescent="0.25">
      <c r="I1783" s="16">
        <v>30</v>
      </c>
      <c r="L1783" s="16" t="s">
        <v>29</v>
      </c>
      <c r="M1783" s="15"/>
    </row>
    <row r="1784" spans="1:13" ht="13.5" customHeight="1" x14ac:dyDescent="0.25">
      <c r="I1784" s="16">
        <v>30</v>
      </c>
      <c r="L1784" s="16" t="s">
        <v>25</v>
      </c>
      <c r="M1784" s="16" t="s">
        <v>137</v>
      </c>
    </row>
    <row r="1785" spans="1:13" ht="13.5" customHeight="1" x14ac:dyDescent="0.25">
      <c r="I1785" s="16">
        <v>20</v>
      </c>
      <c r="L1785" s="16" t="s">
        <v>25</v>
      </c>
      <c r="M1785" s="16" t="s">
        <v>45</v>
      </c>
    </row>
    <row r="1786" spans="1:13" ht="13.5" customHeight="1" x14ac:dyDescent="0.25">
      <c r="I1786" s="16">
        <v>10</v>
      </c>
      <c r="L1786" s="16" t="s">
        <v>27</v>
      </c>
    </row>
    <row r="1788" spans="1:13" ht="13.5" customHeight="1" x14ac:dyDescent="0.25">
      <c r="A1788" s="16" t="s">
        <v>429</v>
      </c>
      <c r="B1788" s="16" t="s">
        <v>2</v>
      </c>
      <c r="C1788" s="16" t="s">
        <v>6</v>
      </c>
      <c r="D1788" s="16" t="s">
        <v>20</v>
      </c>
      <c r="F1788" s="16">
        <v>364.44</v>
      </c>
      <c r="G1788" s="16">
        <v>11</v>
      </c>
      <c r="H1788" s="16" t="s">
        <v>22</v>
      </c>
      <c r="I1788" s="16">
        <v>10</v>
      </c>
      <c r="L1788" s="16" t="s">
        <v>23</v>
      </c>
    </row>
    <row r="1789" spans="1:13" ht="13.5" customHeight="1" x14ac:dyDescent="0.25">
      <c r="I1789" s="16">
        <v>110</v>
      </c>
      <c r="L1789" s="16" t="s">
        <v>32</v>
      </c>
    </row>
    <row r="1790" spans="1:13" ht="13.5" customHeight="1" x14ac:dyDescent="0.25">
      <c r="I1790" s="16">
        <v>40</v>
      </c>
      <c r="L1790" s="16" t="s">
        <v>33</v>
      </c>
    </row>
    <row r="1791" spans="1:13" ht="13.5" customHeight="1" x14ac:dyDescent="0.25">
      <c r="I1791" s="16">
        <v>30</v>
      </c>
      <c r="L1791" s="16" t="s">
        <v>29</v>
      </c>
      <c r="M1791" s="15"/>
    </row>
    <row r="1792" spans="1:13" ht="13.5" customHeight="1" x14ac:dyDescent="0.25">
      <c r="I1792" s="16">
        <v>40</v>
      </c>
      <c r="L1792" s="16" t="s">
        <v>25</v>
      </c>
      <c r="M1792" s="16" t="s">
        <v>137</v>
      </c>
    </row>
    <row r="1793" spans="1:13" ht="13.5" customHeight="1" x14ac:dyDescent="0.25">
      <c r="I1793" s="16">
        <v>20</v>
      </c>
      <c r="L1793" s="16" t="s">
        <v>25</v>
      </c>
      <c r="M1793" s="16" t="s">
        <v>45</v>
      </c>
    </row>
    <row r="1794" spans="1:13" ht="13.5" customHeight="1" x14ac:dyDescent="0.25">
      <c r="I1794" s="16">
        <v>15</v>
      </c>
      <c r="L1794" s="16" t="s">
        <v>27</v>
      </c>
    </row>
    <row r="1795" spans="1:13" ht="13.5" customHeight="1" x14ac:dyDescent="0.25">
      <c r="I1795" s="16">
        <v>15</v>
      </c>
      <c r="L1795" s="16" t="s">
        <v>26</v>
      </c>
      <c r="M1795" s="16" t="s">
        <v>147</v>
      </c>
    </row>
    <row r="1797" spans="1:13" ht="13.5" customHeight="1" x14ac:dyDescent="0.25">
      <c r="A1797" s="16" t="s">
        <v>432</v>
      </c>
      <c r="B1797" s="16" t="s">
        <v>0</v>
      </c>
      <c r="C1797" s="16" t="s">
        <v>16</v>
      </c>
      <c r="D1797" s="16" t="s">
        <v>19</v>
      </c>
      <c r="F1797" s="16">
        <v>321.55</v>
      </c>
      <c r="G1797" s="16">
        <v>10</v>
      </c>
      <c r="H1797" s="16" t="s">
        <v>22</v>
      </c>
      <c r="I1797" s="16">
        <v>10</v>
      </c>
      <c r="L1797" s="16" t="s">
        <v>23</v>
      </c>
    </row>
    <row r="1798" spans="1:13" ht="13.5" customHeight="1" x14ac:dyDescent="0.25">
      <c r="I1798" s="16">
        <v>110</v>
      </c>
      <c r="L1798" s="16" t="s">
        <v>32</v>
      </c>
    </row>
    <row r="1799" spans="1:13" ht="13.5" customHeight="1" x14ac:dyDescent="0.25">
      <c r="I1799" s="16">
        <v>30</v>
      </c>
      <c r="L1799" s="16" t="s">
        <v>33</v>
      </c>
    </row>
    <row r="1800" spans="1:13" ht="13.5" customHeight="1" x14ac:dyDescent="0.25">
      <c r="I1800" s="16">
        <v>30</v>
      </c>
      <c r="L1800" s="16" t="s">
        <v>29</v>
      </c>
      <c r="M1800" s="15"/>
    </row>
    <row r="1801" spans="1:13" ht="13.5" customHeight="1" x14ac:dyDescent="0.25">
      <c r="I1801" s="16">
        <v>30</v>
      </c>
      <c r="L1801" s="16" t="s">
        <v>25</v>
      </c>
      <c r="M1801" s="16" t="s">
        <v>137</v>
      </c>
    </row>
    <row r="1802" spans="1:13" ht="13.5" customHeight="1" x14ac:dyDescent="0.25">
      <c r="I1802" s="16">
        <v>20</v>
      </c>
      <c r="L1802" s="16" t="s">
        <v>25</v>
      </c>
      <c r="M1802" s="16" t="s">
        <v>45</v>
      </c>
    </row>
    <row r="1803" spans="1:13" ht="13.5" customHeight="1" x14ac:dyDescent="0.25">
      <c r="I1803" s="16">
        <v>20</v>
      </c>
      <c r="L1803" s="16" t="s">
        <v>27</v>
      </c>
    </row>
    <row r="1804" spans="1:13" ht="13.5" customHeight="1" x14ac:dyDescent="0.25">
      <c r="I1804" s="16">
        <v>15</v>
      </c>
      <c r="L1804" s="16" t="s">
        <v>26</v>
      </c>
      <c r="M1804" s="16" t="s">
        <v>147</v>
      </c>
    </row>
    <row r="1805" spans="1:13" ht="13.5" customHeight="1" x14ac:dyDescent="0.25">
      <c r="I1805" s="16">
        <v>25</v>
      </c>
      <c r="L1805" s="16" t="s">
        <v>26</v>
      </c>
      <c r="M1805" s="15" t="s">
        <v>434</v>
      </c>
    </row>
    <row r="1806" spans="1:13" ht="13.5" customHeight="1" x14ac:dyDescent="0.25">
      <c r="I1806" s="16">
        <v>20</v>
      </c>
      <c r="L1806" s="16" t="s">
        <v>33</v>
      </c>
      <c r="M1806" s="16" t="s">
        <v>433</v>
      </c>
    </row>
    <row r="1808" spans="1:13" ht="13.5" customHeight="1" x14ac:dyDescent="0.25">
      <c r="A1808" s="16" t="s">
        <v>432</v>
      </c>
      <c r="B1808" s="16" t="s">
        <v>1</v>
      </c>
      <c r="C1808" s="16" t="s">
        <v>18</v>
      </c>
      <c r="D1808" s="16" t="s">
        <v>21</v>
      </c>
      <c r="F1808" s="16">
        <f>33.99+37.55+30.89+37.54+37.85+37.71+28.2+36.92+27.23+31.03</f>
        <v>338.90999999999997</v>
      </c>
      <c r="G1808" s="16">
        <v>9.75</v>
      </c>
      <c r="H1808" s="16" t="s">
        <v>22</v>
      </c>
      <c r="I1808" s="16">
        <v>10</v>
      </c>
      <c r="L1808" s="16" t="s">
        <v>23</v>
      </c>
    </row>
    <row r="1809" spans="1:13" ht="13.5" customHeight="1" x14ac:dyDescent="0.25">
      <c r="I1809" s="16">
        <v>100</v>
      </c>
      <c r="L1809" s="16" t="s">
        <v>32</v>
      </c>
    </row>
    <row r="1810" spans="1:13" ht="13.5" customHeight="1" x14ac:dyDescent="0.25">
      <c r="I1810" s="16">
        <v>30</v>
      </c>
      <c r="L1810" s="16" t="s">
        <v>33</v>
      </c>
    </row>
    <row r="1811" spans="1:13" ht="13.5" customHeight="1" x14ac:dyDescent="0.25">
      <c r="I1811" s="16">
        <v>30</v>
      </c>
      <c r="L1811" s="16" t="s">
        <v>29</v>
      </c>
      <c r="M1811" s="15"/>
    </row>
    <row r="1812" spans="1:13" ht="13.5" customHeight="1" x14ac:dyDescent="0.25">
      <c r="I1812" s="16">
        <v>20</v>
      </c>
      <c r="L1812" s="16" t="s">
        <v>25</v>
      </c>
      <c r="M1812" s="16" t="s">
        <v>137</v>
      </c>
    </row>
    <row r="1813" spans="1:13" ht="13.5" customHeight="1" x14ac:dyDescent="0.25">
      <c r="I1813" s="16">
        <v>20</v>
      </c>
      <c r="L1813" s="16" t="s">
        <v>25</v>
      </c>
      <c r="M1813" s="16" t="s">
        <v>45</v>
      </c>
    </row>
    <row r="1814" spans="1:13" ht="13.5" customHeight="1" x14ac:dyDescent="0.25">
      <c r="I1814" s="16">
        <v>10</v>
      </c>
      <c r="L1814" s="16" t="s">
        <v>27</v>
      </c>
    </row>
    <row r="1815" spans="1:13" ht="13.5" customHeight="1" x14ac:dyDescent="0.25">
      <c r="I1815" s="16">
        <v>80</v>
      </c>
      <c r="L1815" s="16" t="s">
        <v>26</v>
      </c>
      <c r="M1815" s="15" t="s">
        <v>179</v>
      </c>
    </row>
    <row r="1817" spans="1:13" ht="13.5" customHeight="1" x14ac:dyDescent="0.25">
      <c r="A1817" s="16" t="s">
        <v>432</v>
      </c>
      <c r="B1817" s="16" t="s">
        <v>2</v>
      </c>
      <c r="C1817" s="15" t="s">
        <v>192</v>
      </c>
      <c r="D1817" s="16" t="s">
        <v>20</v>
      </c>
      <c r="F1817" s="16">
        <v>240.56</v>
      </c>
      <c r="G1817" s="16">
        <v>7.5</v>
      </c>
      <c r="H1817" s="16" t="s">
        <v>22</v>
      </c>
      <c r="I1817" s="16">
        <v>10</v>
      </c>
      <c r="L1817" s="16" t="s">
        <v>23</v>
      </c>
    </row>
    <row r="1818" spans="1:13" ht="13.5" customHeight="1" x14ac:dyDescent="0.25">
      <c r="I1818" s="16">
        <v>70</v>
      </c>
      <c r="L1818" s="16" t="s">
        <v>32</v>
      </c>
    </row>
    <row r="1819" spans="1:13" ht="13.5" customHeight="1" x14ac:dyDescent="0.25">
      <c r="I1819" s="16">
        <v>20</v>
      </c>
      <c r="L1819" s="16" t="s">
        <v>33</v>
      </c>
    </row>
    <row r="1820" spans="1:13" ht="13.5" customHeight="1" x14ac:dyDescent="0.25">
      <c r="I1820" s="16">
        <v>30</v>
      </c>
      <c r="L1820" s="16" t="s">
        <v>29</v>
      </c>
      <c r="M1820" s="15"/>
    </row>
    <row r="1821" spans="1:13" ht="13.5" customHeight="1" x14ac:dyDescent="0.25">
      <c r="I1821" s="16">
        <v>40</v>
      </c>
      <c r="L1821" s="16" t="s">
        <v>25</v>
      </c>
      <c r="M1821" s="16" t="s">
        <v>137</v>
      </c>
    </row>
    <row r="1822" spans="1:13" ht="13.5" customHeight="1" x14ac:dyDescent="0.25">
      <c r="I1822" s="16">
        <v>20</v>
      </c>
      <c r="L1822" s="16" t="s">
        <v>25</v>
      </c>
      <c r="M1822" s="16" t="s">
        <v>45</v>
      </c>
    </row>
    <row r="1823" spans="1:13" ht="13.5" customHeight="1" x14ac:dyDescent="0.25">
      <c r="I1823" s="16">
        <v>15</v>
      </c>
      <c r="L1823" s="16" t="s">
        <v>27</v>
      </c>
    </row>
    <row r="1824" spans="1:13" ht="13.5" customHeight="1" x14ac:dyDescent="0.25">
      <c r="I1824" s="16">
        <v>15</v>
      </c>
      <c r="L1824" s="16" t="s">
        <v>26</v>
      </c>
      <c r="M1824" s="16" t="s">
        <v>147</v>
      </c>
    </row>
    <row r="1825" spans="1:14" ht="13.5" customHeight="1" x14ac:dyDescent="0.25">
      <c r="I1825" s="16">
        <v>120</v>
      </c>
      <c r="L1825" s="16" t="s">
        <v>26</v>
      </c>
      <c r="M1825" s="15" t="s">
        <v>435</v>
      </c>
    </row>
    <row r="1826" spans="1:14" ht="13.5" customHeight="1" x14ac:dyDescent="0.25">
      <c r="I1826" s="16">
        <v>30</v>
      </c>
      <c r="L1826" s="16" t="s">
        <v>26</v>
      </c>
      <c r="M1826" s="15" t="s">
        <v>436</v>
      </c>
      <c r="N1826" s="16"/>
    </row>
    <row r="1828" spans="1:14" ht="13.5" customHeight="1" x14ac:dyDescent="0.25">
      <c r="A1828" s="16" t="s">
        <v>437</v>
      </c>
      <c r="B1828" s="16" t="s">
        <v>0</v>
      </c>
      <c r="C1828" s="16" t="s">
        <v>16</v>
      </c>
      <c r="D1828" s="16" t="s">
        <v>19</v>
      </c>
      <c r="F1828" s="16">
        <v>75.680000000000007</v>
      </c>
      <c r="G1828" s="16">
        <v>2.25</v>
      </c>
      <c r="H1828" s="16" t="s">
        <v>22</v>
      </c>
      <c r="I1828" s="16">
        <v>30</v>
      </c>
      <c r="L1828" s="16" t="s">
        <v>32</v>
      </c>
    </row>
    <row r="1829" spans="1:14" ht="13.5" customHeight="1" x14ac:dyDescent="0.25">
      <c r="I1829" s="16">
        <v>20</v>
      </c>
      <c r="L1829" s="16" t="s">
        <v>33</v>
      </c>
    </row>
    <row r="1830" spans="1:14" ht="13.5" customHeight="1" x14ac:dyDescent="0.25">
      <c r="I1830" s="16">
        <v>120</v>
      </c>
      <c r="L1830" s="16" t="s">
        <v>342</v>
      </c>
      <c r="M1830" s="16" t="s">
        <v>176</v>
      </c>
    </row>
    <row r="1831" spans="1:14" ht="13.5" customHeight="1" x14ac:dyDescent="0.25">
      <c r="I1831" s="16">
        <v>200</v>
      </c>
      <c r="L1831" s="16" t="s">
        <v>26</v>
      </c>
      <c r="M1831" s="16" t="s">
        <v>438</v>
      </c>
    </row>
    <row r="1832" spans="1:14" ht="13.5" customHeight="1" x14ac:dyDescent="0.25">
      <c r="I1832" s="16">
        <v>20</v>
      </c>
      <c r="L1832" s="16" t="s">
        <v>33</v>
      </c>
      <c r="M1832" s="15" t="s">
        <v>439</v>
      </c>
    </row>
    <row r="1833" spans="1:14" ht="13.5" customHeight="1" x14ac:dyDescent="0.25">
      <c r="M1833" s="15"/>
    </row>
    <row r="1834" spans="1:14" ht="13.5" customHeight="1" x14ac:dyDescent="0.25">
      <c r="A1834" s="16" t="s">
        <v>437</v>
      </c>
      <c r="B1834" s="16" t="s">
        <v>1</v>
      </c>
      <c r="C1834" s="15" t="s">
        <v>192</v>
      </c>
      <c r="D1834" s="16" t="s">
        <v>21</v>
      </c>
      <c r="F1834" s="16">
        <f>27.65+36.94+26.43+38.15+38.4+31.19+38.26</f>
        <v>237.02</v>
      </c>
      <c r="G1834" s="16">
        <v>7</v>
      </c>
      <c r="H1834" s="16" t="s">
        <v>22</v>
      </c>
      <c r="I1834" s="16">
        <v>10</v>
      </c>
      <c r="L1834" s="16" t="s">
        <v>23</v>
      </c>
    </row>
    <row r="1835" spans="1:14" ht="13.5" customHeight="1" x14ac:dyDescent="0.25">
      <c r="I1835" s="16">
        <v>70</v>
      </c>
      <c r="L1835" s="16" t="s">
        <v>32</v>
      </c>
    </row>
    <row r="1836" spans="1:14" ht="13.5" customHeight="1" x14ac:dyDescent="0.25">
      <c r="I1836" s="16">
        <v>20</v>
      </c>
      <c r="L1836" s="16" t="s">
        <v>33</v>
      </c>
    </row>
    <row r="1837" spans="1:14" ht="13.5" customHeight="1" x14ac:dyDescent="0.25">
      <c r="I1837" s="16">
        <v>30</v>
      </c>
      <c r="L1837" s="16" t="s">
        <v>29</v>
      </c>
      <c r="M1837" s="15"/>
    </row>
    <row r="1838" spans="1:14" ht="13.5" customHeight="1" x14ac:dyDescent="0.25">
      <c r="I1838" s="16">
        <v>30</v>
      </c>
      <c r="L1838" s="16" t="s">
        <v>25</v>
      </c>
      <c r="M1838" s="16" t="s">
        <v>137</v>
      </c>
    </row>
    <row r="1839" spans="1:14" ht="13.5" customHeight="1" x14ac:dyDescent="0.25">
      <c r="I1839" s="16">
        <v>30</v>
      </c>
      <c r="L1839" s="16" t="s">
        <v>25</v>
      </c>
      <c r="M1839" s="16" t="s">
        <v>45</v>
      </c>
    </row>
    <row r="1840" spans="1:14" ht="13.5" customHeight="1" x14ac:dyDescent="0.25">
      <c r="I1840" s="16">
        <v>10</v>
      </c>
      <c r="L1840" s="16" t="s">
        <v>27</v>
      </c>
    </row>
    <row r="1841" spans="1:13" ht="13.5" customHeight="1" x14ac:dyDescent="0.25">
      <c r="I1841" s="16">
        <v>60</v>
      </c>
      <c r="L1841" s="16" t="s">
        <v>28</v>
      </c>
      <c r="M1841" s="15" t="s">
        <v>180</v>
      </c>
    </row>
    <row r="1842" spans="1:13" ht="13.5" customHeight="1" x14ac:dyDescent="0.25">
      <c r="I1842" s="16">
        <v>120</v>
      </c>
      <c r="L1842" s="16" t="s">
        <v>26</v>
      </c>
      <c r="M1842" s="15" t="s">
        <v>435</v>
      </c>
    </row>
    <row r="1844" spans="1:13" ht="13.5" customHeight="1" x14ac:dyDescent="0.25">
      <c r="A1844" s="16" t="s">
        <v>437</v>
      </c>
      <c r="B1844" s="16" t="s">
        <v>2</v>
      </c>
      <c r="C1844" s="16" t="s">
        <v>15</v>
      </c>
      <c r="D1844" s="16" t="s">
        <v>20</v>
      </c>
      <c r="F1844" s="16">
        <v>302.08</v>
      </c>
      <c r="G1844" s="16">
        <v>10</v>
      </c>
      <c r="H1844" s="16" t="s">
        <v>22</v>
      </c>
      <c r="I1844" s="16">
        <v>10</v>
      </c>
      <c r="L1844" s="16" t="s">
        <v>23</v>
      </c>
    </row>
    <row r="1845" spans="1:13" ht="13.5" customHeight="1" x14ac:dyDescent="0.25">
      <c r="I1845" s="16">
        <v>100</v>
      </c>
      <c r="L1845" s="16" t="s">
        <v>32</v>
      </c>
    </row>
    <row r="1846" spans="1:13" ht="13.5" customHeight="1" x14ac:dyDescent="0.25">
      <c r="I1846" s="16">
        <v>40</v>
      </c>
      <c r="L1846" s="16" t="s">
        <v>33</v>
      </c>
    </row>
    <row r="1847" spans="1:13" ht="13.5" customHeight="1" x14ac:dyDescent="0.25">
      <c r="I1847" s="16">
        <v>90</v>
      </c>
      <c r="L1847" s="16" t="s">
        <v>29</v>
      </c>
      <c r="M1847" s="15"/>
    </row>
    <row r="1848" spans="1:13" ht="13.5" customHeight="1" x14ac:dyDescent="0.25">
      <c r="I1848" s="16">
        <v>40</v>
      </c>
      <c r="L1848" s="16" t="s">
        <v>25</v>
      </c>
      <c r="M1848" s="16" t="s">
        <v>137</v>
      </c>
    </row>
    <row r="1849" spans="1:13" ht="13.5" customHeight="1" x14ac:dyDescent="0.25">
      <c r="I1849" s="16">
        <v>20</v>
      </c>
      <c r="L1849" s="16" t="s">
        <v>25</v>
      </c>
      <c r="M1849" s="16" t="s">
        <v>45</v>
      </c>
    </row>
    <row r="1850" spans="1:13" ht="13.5" customHeight="1" x14ac:dyDescent="0.25">
      <c r="I1850" s="16">
        <v>15</v>
      </c>
      <c r="L1850" s="16" t="s">
        <v>27</v>
      </c>
    </row>
    <row r="1851" spans="1:13" ht="13.5" customHeight="1" x14ac:dyDescent="0.25">
      <c r="I1851" s="16">
        <v>15</v>
      </c>
      <c r="L1851" s="16" t="s">
        <v>26</v>
      </c>
      <c r="M1851" s="16" t="s">
        <v>147</v>
      </c>
    </row>
    <row r="1852" spans="1:13" ht="13.5" customHeight="1" x14ac:dyDescent="0.25">
      <c r="I1852" s="16">
        <v>30</v>
      </c>
      <c r="L1852" s="16" t="s">
        <v>26</v>
      </c>
      <c r="M1852" s="15" t="s">
        <v>436</v>
      </c>
    </row>
    <row r="1853" spans="1:13" ht="13.5" customHeight="1" x14ac:dyDescent="0.25">
      <c r="M1853" s="15"/>
    </row>
    <row r="1854" spans="1:13" ht="13.5" customHeight="1" x14ac:dyDescent="0.25">
      <c r="A1854" s="16" t="s">
        <v>442</v>
      </c>
      <c r="B1854" s="16" t="s">
        <v>0</v>
      </c>
      <c r="C1854" s="16" t="s">
        <v>16</v>
      </c>
      <c r="D1854" s="16" t="s">
        <v>19</v>
      </c>
      <c r="F1854" s="16">
        <v>334.07</v>
      </c>
      <c r="G1854" s="16">
        <v>10</v>
      </c>
      <c r="H1854" s="16" t="s">
        <v>22</v>
      </c>
      <c r="I1854" s="16">
        <v>30</v>
      </c>
      <c r="L1854" s="16" t="s">
        <v>29</v>
      </c>
      <c r="M1854" s="15" t="s">
        <v>440</v>
      </c>
    </row>
    <row r="1855" spans="1:13" ht="13.5" customHeight="1" x14ac:dyDescent="0.25">
      <c r="I1855" s="16">
        <v>10</v>
      </c>
      <c r="L1855" s="16" t="s">
        <v>23</v>
      </c>
    </row>
    <row r="1856" spans="1:13" ht="13.5" customHeight="1" x14ac:dyDescent="0.25">
      <c r="I1856" s="16">
        <v>100</v>
      </c>
      <c r="L1856" s="16" t="s">
        <v>32</v>
      </c>
    </row>
    <row r="1857" spans="1:13" ht="13.5" customHeight="1" x14ac:dyDescent="0.25">
      <c r="I1857" s="16">
        <v>30</v>
      </c>
      <c r="L1857" s="16" t="s">
        <v>33</v>
      </c>
    </row>
    <row r="1858" spans="1:13" ht="13.5" customHeight="1" x14ac:dyDescent="0.25">
      <c r="I1858" s="16">
        <v>30</v>
      </c>
      <c r="L1858" s="16" t="s">
        <v>29</v>
      </c>
      <c r="M1858" s="15"/>
    </row>
    <row r="1859" spans="1:13" ht="13.5" customHeight="1" x14ac:dyDescent="0.25">
      <c r="I1859" s="16">
        <v>30</v>
      </c>
      <c r="L1859" s="16" t="s">
        <v>25</v>
      </c>
      <c r="M1859" s="16" t="s">
        <v>137</v>
      </c>
    </row>
    <row r="1860" spans="1:13" ht="13.5" customHeight="1" x14ac:dyDescent="0.25">
      <c r="I1860" s="16">
        <v>15</v>
      </c>
      <c r="L1860" s="16" t="s">
        <v>25</v>
      </c>
      <c r="M1860" s="16" t="s">
        <v>45</v>
      </c>
    </row>
    <row r="1861" spans="1:13" ht="13.5" customHeight="1" x14ac:dyDescent="0.25">
      <c r="I1861" s="16">
        <v>20</v>
      </c>
      <c r="L1861" s="16" t="s">
        <v>27</v>
      </c>
    </row>
    <row r="1862" spans="1:13" ht="13.5" customHeight="1" x14ac:dyDescent="0.25">
      <c r="I1862" s="16">
        <v>15</v>
      </c>
      <c r="L1862" s="16" t="s">
        <v>26</v>
      </c>
      <c r="M1862" s="16" t="s">
        <v>147</v>
      </c>
    </row>
    <row r="1863" spans="1:13" ht="13.5" customHeight="1" x14ac:dyDescent="0.25">
      <c r="I1863" s="16">
        <v>15</v>
      </c>
      <c r="L1863" s="16" t="s">
        <v>26</v>
      </c>
      <c r="M1863" s="15" t="s">
        <v>441</v>
      </c>
    </row>
    <row r="1864" spans="1:13" ht="13.5" customHeight="1" x14ac:dyDescent="0.25">
      <c r="I1864" s="16">
        <v>20</v>
      </c>
      <c r="L1864" s="16" t="s">
        <v>26</v>
      </c>
      <c r="M1864" s="15" t="s">
        <v>129</v>
      </c>
    </row>
    <row r="1865" spans="1:13" ht="13.5" customHeight="1" x14ac:dyDescent="0.25">
      <c r="I1865" s="16">
        <v>20</v>
      </c>
      <c r="L1865" s="16" t="s">
        <v>33</v>
      </c>
      <c r="M1865" s="15" t="s">
        <v>443</v>
      </c>
    </row>
    <row r="1866" spans="1:13" ht="13.5" customHeight="1" x14ac:dyDescent="0.25">
      <c r="I1866" s="16">
        <v>15</v>
      </c>
      <c r="L1866" s="16" t="s">
        <v>25</v>
      </c>
      <c r="M1866" s="15" t="s">
        <v>36</v>
      </c>
    </row>
    <row r="1868" spans="1:13" ht="13.5" customHeight="1" x14ac:dyDescent="0.25">
      <c r="A1868" s="16" t="s">
        <v>442</v>
      </c>
      <c r="B1868" s="16" t="s">
        <v>1</v>
      </c>
      <c r="C1868" s="15" t="s">
        <v>192</v>
      </c>
      <c r="D1868" s="16" t="s">
        <v>21</v>
      </c>
      <c r="F1868" s="16">
        <f>37.85+33.87+32.83+28.51+31.07+37.55+31.02+37.57+31.13+32.72</f>
        <v>334.12</v>
      </c>
      <c r="G1868" s="16">
        <v>10</v>
      </c>
      <c r="H1868" s="16" t="s">
        <v>22</v>
      </c>
      <c r="I1868" s="16">
        <v>10</v>
      </c>
      <c r="L1868" s="16" t="s">
        <v>23</v>
      </c>
    </row>
    <row r="1869" spans="1:13" ht="13.5" customHeight="1" x14ac:dyDescent="0.25">
      <c r="I1869" s="16">
        <v>100</v>
      </c>
      <c r="L1869" s="16" t="s">
        <v>32</v>
      </c>
    </row>
    <row r="1870" spans="1:13" ht="13.5" customHeight="1" x14ac:dyDescent="0.25">
      <c r="I1870" s="16">
        <v>30</v>
      </c>
      <c r="L1870" s="16" t="s">
        <v>33</v>
      </c>
    </row>
    <row r="1871" spans="1:13" ht="13.5" customHeight="1" x14ac:dyDescent="0.25">
      <c r="I1871" s="16">
        <v>30</v>
      </c>
      <c r="L1871" s="16" t="s">
        <v>29</v>
      </c>
      <c r="M1871" s="15"/>
    </row>
    <row r="1872" spans="1:13" ht="13.5" customHeight="1" x14ac:dyDescent="0.25">
      <c r="I1872" s="16">
        <v>40</v>
      </c>
      <c r="L1872" s="16" t="s">
        <v>25</v>
      </c>
      <c r="M1872" s="16" t="s">
        <v>137</v>
      </c>
    </row>
    <row r="1873" spans="1:13" ht="13.5" customHeight="1" x14ac:dyDescent="0.25">
      <c r="I1873" s="16">
        <v>30</v>
      </c>
      <c r="L1873" s="16" t="s">
        <v>25</v>
      </c>
      <c r="M1873" s="16" t="s">
        <v>45</v>
      </c>
    </row>
    <row r="1874" spans="1:13" ht="13.5" customHeight="1" x14ac:dyDescent="0.25">
      <c r="I1874" s="16">
        <v>15</v>
      </c>
      <c r="L1874" s="16" t="s">
        <v>27</v>
      </c>
    </row>
    <row r="1875" spans="1:13" ht="13.5" customHeight="1" x14ac:dyDescent="0.25">
      <c r="I1875" s="16">
        <v>15</v>
      </c>
      <c r="L1875" s="16" t="s">
        <v>26</v>
      </c>
      <c r="M1875" s="16" t="s">
        <v>147</v>
      </c>
    </row>
    <row r="1876" spans="1:13" ht="13.5" customHeight="1" x14ac:dyDescent="0.25">
      <c r="I1876" s="16">
        <v>40</v>
      </c>
      <c r="L1876" s="16" t="s">
        <v>33</v>
      </c>
      <c r="M1876" s="15" t="s">
        <v>444</v>
      </c>
    </row>
    <row r="1877" spans="1:13" ht="13.5" customHeight="1" x14ac:dyDescent="0.25">
      <c r="I1877" s="16">
        <v>20</v>
      </c>
      <c r="L1877" s="16" t="s">
        <v>24</v>
      </c>
      <c r="M1877" s="15" t="s">
        <v>117</v>
      </c>
    </row>
    <row r="1880" spans="1:13" ht="13.5" customHeight="1" x14ac:dyDescent="0.25">
      <c r="A1880" s="16" t="s">
        <v>442</v>
      </c>
      <c r="B1880" s="16" t="s">
        <v>2</v>
      </c>
      <c r="C1880" s="16" t="s">
        <v>15</v>
      </c>
      <c r="D1880" s="16" t="s">
        <v>20</v>
      </c>
      <c r="F1880" s="16">
        <v>360.29500000000002</v>
      </c>
      <c r="G1880" s="16">
        <v>11</v>
      </c>
      <c r="H1880" s="16" t="s">
        <v>22</v>
      </c>
      <c r="I1880" s="16">
        <v>10</v>
      </c>
      <c r="L1880" s="16" t="s">
        <v>23</v>
      </c>
    </row>
    <row r="1881" spans="1:13" ht="13.5" customHeight="1" x14ac:dyDescent="0.25">
      <c r="I1881" s="16">
        <v>100</v>
      </c>
      <c r="L1881" s="16" t="s">
        <v>32</v>
      </c>
    </row>
    <row r="1882" spans="1:13" ht="13.5" customHeight="1" x14ac:dyDescent="0.25">
      <c r="I1882" s="16">
        <v>40</v>
      </c>
      <c r="L1882" s="16" t="s">
        <v>33</v>
      </c>
    </row>
    <row r="1883" spans="1:13" ht="13.5" customHeight="1" x14ac:dyDescent="0.25">
      <c r="I1883" s="16">
        <v>30</v>
      </c>
      <c r="L1883" s="16" t="s">
        <v>29</v>
      </c>
      <c r="M1883" s="15"/>
    </row>
    <row r="1884" spans="1:13" ht="13.5" customHeight="1" x14ac:dyDescent="0.25">
      <c r="I1884" s="16">
        <v>30</v>
      </c>
      <c r="L1884" s="16" t="s">
        <v>25</v>
      </c>
      <c r="M1884" s="16" t="s">
        <v>137</v>
      </c>
    </row>
    <row r="1885" spans="1:13" ht="13.5" customHeight="1" x14ac:dyDescent="0.25">
      <c r="I1885" s="16">
        <v>20</v>
      </c>
      <c r="L1885" s="16" t="s">
        <v>25</v>
      </c>
      <c r="M1885" s="16" t="s">
        <v>45</v>
      </c>
    </row>
    <row r="1886" spans="1:13" ht="13.5" customHeight="1" x14ac:dyDescent="0.25">
      <c r="I1886" s="16">
        <v>15</v>
      </c>
      <c r="L1886" s="16" t="s">
        <v>27</v>
      </c>
    </row>
    <row r="1887" spans="1:13" ht="13.5" customHeight="1" x14ac:dyDescent="0.25">
      <c r="I1887" s="16">
        <v>15</v>
      </c>
      <c r="L1887" s="16" t="s">
        <v>26</v>
      </c>
      <c r="M1887" s="16" t="s">
        <v>147</v>
      </c>
    </row>
    <row r="1888" spans="1:13" ht="13.5" customHeight="1" x14ac:dyDescent="0.25">
      <c r="I1888" s="16">
        <v>20</v>
      </c>
      <c r="L1888" s="16" t="s">
        <v>26</v>
      </c>
      <c r="M1888" s="15" t="s">
        <v>436</v>
      </c>
    </row>
    <row r="1890" spans="1:13" ht="13.5" customHeight="1" x14ac:dyDescent="0.25">
      <c r="A1890" s="16" t="s">
        <v>445</v>
      </c>
      <c r="B1890" s="16" t="s">
        <v>0</v>
      </c>
      <c r="C1890" s="16" t="s">
        <v>16</v>
      </c>
      <c r="D1890" s="16" t="s">
        <v>19</v>
      </c>
      <c r="F1890" s="16">
        <v>302.76</v>
      </c>
      <c r="G1890" s="16">
        <v>10.75</v>
      </c>
      <c r="H1890" s="16" t="s">
        <v>22</v>
      </c>
      <c r="I1890" s="16">
        <v>30</v>
      </c>
      <c r="L1890" s="16" t="s">
        <v>29</v>
      </c>
      <c r="M1890" s="15" t="s">
        <v>440</v>
      </c>
    </row>
    <row r="1891" spans="1:13" ht="13.5" customHeight="1" x14ac:dyDescent="0.25">
      <c r="I1891" s="16">
        <v>10</v>
      </c>
      <c r="L1891" s="16" t="s">
        <v>23</v>
      </c>
    </row>
    <row r="1892" spans="1:13" ht="13.5" customHeight="1" x14ac:dyDescent="0.25">
      <c r="I1892" s="16">
        <v>110</v>
      </c>
      <c r="L1892" s="16" t="s">
        <v>32</v>
      </c>
    </row>
    <row r="1893" spans="1:13" ht="13.5" customHeight="1" x14ac:dyDescent="0.25">
      <c r="I1893" s="16">
        <v>40</v>
      </c>
      <c r="L1893" s="16" t="s">
        <v>33</v>
      </c>
    </row>
    <row r="1894" spans="1:13" ht="13.5" customHeight="1" x14ac:dyDescent="0.25">
      <c r="I1894" s="16">
        <v>40</v>
      </c>
      <c r="L1894" s="16" t="s">
        <v>29</v>
      </c>
      <c r="M1894" s="15"/>
    </row>
    <row r="1895" spans="1:13" ht="13.5" customHeight="1" x14ac:dyDescent="0.25">
      <c r="I1895" s="16">
        <v>20</v>
      </c>
      <c r="L1895" s="16" t="s">
        <v>25</v>
      </c>
      <c r="M1895" s="16" t="s">
        <v>137</v>
      </c>
    </row>
    <row r="1896" spans="1:13" ht="13.5" customHeight="1" x14ac:dyDescent="0.25">
      <c r="I1896" s="16">
        <v>20</v>
      </c>
      <c r="L1896" s="16" t="s">
        <v>25</v>
      </c>
      <c r="M1896" s="16" t="s">
        <v>45</v>
      </c>
    </row>
    <row r="1897" spans="1:13" ht="13.5" customHeight="1" x14ac:dyDescent="0.25">
      <c r="I1897" s="16">
        <v>20</v>
      </c>
      <c r="L1897" s="16" t="s">
        <v>27</v>
      </c>
    </row>
    <row r="1898" spans="1:13" ht="13.5" customHeight="1" x14ac:dyDescent="0.25">
      <c r="I1898" s="16">
        <v>15</v>
      </c>
      <c r="L1898" s="16" t="s">
        <v>26</v>
      </c>
      <c r="M1898" s="16" t="s">
        <v>147</v>
      </c>
    </row>
    <row r="1899" spans="1:13" ht="13.5" customHeight="1" x14ac:dyDescent="0.25">
      <c r="I1899" s="16">
        <v>15</v>
      </c>
      <c r="L1899" s="16" t="s">
        <v>26</v>
      </c>
      <c r="M1899" s="15" t="s">
        <v>441</v>
      </c>
    </row>
    <row r="1900" spans="1:13" ht="13.5" customHeight="1" x14ac:dyDescent="0.25">
      <c r="I1900" s="16">
        <v>30</v>
      </c>
      <c r="L1900" s="16" t="s">
        <v>26</v>
      </c>
      <c r="M1900" s="15" t="s">
        <v>162</v>
      </c>
    </row>
    <row r="1902" spans="1:13" ht="13.5" customHeight="1" x14ac:dyDescent="0.25">
      <c r="A1902" s="16" t="s">
        <v>445</v>
      </c>
      <c r="B1902" s="16" t="s">
        <v>1</v>
      </c>
      <c r="C1902" s="15" t="s">
        <v>192</v>
      </c>
      <c r="D1902" s="16" t="s">
        <v>21</v>
      </c>
      <c r="F1902" s="16">
        <f>9.22+30.85+23.53+29.48+29.56+26.61+26.76+26.86+37.83+26.05</f>
        <v>266.75</v>
      </c>
      <c r="G1902" s="16">
        <v>9.5</v>
      </c>
      <c r="H1902" s="16" t="s">
        <v>22</v>
      </c>
      <c r="I1902" s="16">
        <v>45</v>
      </c>
      <c r="J1902" s="18">
        <v>8.3333333333333329E-2</v>
      </c>
      <c r="K1902" s="18">
        <v>0.11458333333333333</v>
      </c>
      <c r="L1902" s="16" t="s">
        <v>26</v>
      </c>
      <c r="M1902" s="15" t="s">
        <v>162</v>
      </c>
    </row>
    <row r="1903" spans="1:13" ht="13.5" customHeight="1" x14ac:dyDescent="0.25">
      <c r="I1903" s="16">
        <v>100</v>
      </c>
      <c r="L1903" s="16" t="s">
        <v>32</v>
      </c>
    </row>
    <row r="1904" spans="1:13" ht="13.5" customHeight="1" x14ac:dyDescent="0.25">
      <c r="I1904" s="16">
        <v>50</v>
      </c>
      <c r="L1904" s="16" t="s">
        <v>33</v>
      </c>
    </row>
    <row r="1905" spans="1:13" ht="13.5" customHeight="1" x14ac:dyDescent="0.25">
      <c r="I1905" s="16">
        <v>30</v>
      </c>
      <c r="L1905" s="16" t="s">
        <v>29</v>
      </c>
      <c r="M1905" s="15"/>
    </row>
    <row r="1906" spans="1:13" ht="13.5" customHeight="1" x14ac:dyDescent="0.25">
      <c r="I1906" s="16">
        <v>20</v>
      </c>
      <c r="L1906" s="16" t="s">
        <v>25</v>
      </c>
      <c r="M1906" s="16" t="s">
        <v>137</v>
      </c>
    </row>
    <row r="1907" spans="1:13" ht="13.5" customHeight="1" x14ac:dyDescent="0.25">
      <c r="I1907" s="16">
        <v>40</v>
      </c>
      <c r="L1907" s="16" t="s">
        <v>25</v>
      </c>
      <c r="M1907" s="16" t="s">
        <v>45</v>
      </c>
    </row>
    <row r="1908" spans="1:13" ht="13.5" customHeight="1" x14ac:dyDescent="0.25">
      <c r="I1908" s="16">
        <v>15</v>
      </c>
      <c r="L1908" s="16" t="s">
        <v>27</v>
      </c>
    </row>
    <row r="1909" spans="1:13" ht="13.5" customHeight="1" x14ac:dyDescent="0.25">
      <c r="I1909" s="16">
        <v>15</v>
      </c>
      <c r="L1909" s="16" t="s">
        <v>26</v>
      </c>
      <c r="M1909" s="16" t="s">
        <v>147</v>
      </c>
    </row>
    <row r="1910" spans="1:13" ht="13.5" customHeight="1" x14ac:dyDescent="0.25">
      <c r="I1910" s="16">
        <v>40</v>
      </c>
      <c r="L1910" s="16" t="s">
        <v>24</v>
      </c>
      <c r="M1910" s="15" t="s">
        <v>117</v>
      </c>
    </row>
    <row r="1911" spans="1:13" ht="13.5" customHeight="1" x14ac:dyDescent="0.25">
      <c r="I1911" s="16">
        <v>20</v>
      </c>
      <c r="L1911" s="16" t="s">
        <v>26</v>
      </c>
      <c r="M1911" s="15" t="s">
        <v>188</v>
      </c>
    </row>
    <row r="1914" spans="1:13" ht="13.5" customHeight="1" x14ac:dyDescent="0.25">
      <c r="A1914" s="16" t="s">
        <v>445</v>
      </c>
      <c r="B1914" s="16" t="s">
        <v>2</v>
      </c>
      <c r="C1914" s="16" t="s">
        <v>15</v>
      </c>
      <c r="D1914" s="16" t="s">
        <v>20</v>
      </c>
      <c r="F1914" s="16">
        <v>332.27</v>
      </c>
      <c r="G1914" s="16">
        <v>10</v>
      </c>
      <c r="H1914" s="16" t="s">
        <v>22</v>
      </c>
      <c r="I1914" s="16">
        <v>10</v>
      </c>
      <c r="L1914" s="16" t="s">
        <v>23</v>
      </c>
    </row>
    <row r="1915" spans="1:13" ht="13.5" customHeight="1" x14ac:dyDescent="0.25">
      <c r="I1915" s="16">
        <v>100</v>
      </c>
      <c r="L1915" s="16" t="s">
        <v>32</v>
      </c>
    </row>
    <row r="1916" spans="1:13" ht="13.5" customHeight="1" x14ac:dyDescent="0.25">
      <c r="I1916" s="16">
        <v>30</v>
      </c>
      <c r="L1916" s="16" t="s">
        <v>33</v>
      </c>
    </row>
    <row r="1917" spans="1:13" ht="13.5" customHeight="1" x14ac:dyDescent="0.25">
      <c r="I1917" s="16">
        <v>20</v>
      </c>
      <c r="L1917" s="16" t="s">
        <v>29</v>
      </c>
      <c r="M1917" s="15"/>
    </row>
    <row r="1918" spans="1:13" ht="13.5" customHeight="1" x14ac:dyDescent="0.25">
      <c r="I1918" s="16">
        <v>20</v>
      </c>
      <c r="L1918" s="16" t="s">
        <v>25</v>
      </c>
      <c r="M1918" s="16" t="s">
        <v>137</v>
      </c>
    </row>
    <row r="1919" spans="1:13" ht="13.5" customHeight="1" x14ac:dyDescent="0.25">
      <c r="I1919" s="16">
        <v>20</v>
      </c>
      <c r="L1919" s="16" t="s">
        <v>25</v>
      </c>
      <c r="M1919" s="16" t="s">
        <v>45</v>
      </c>
    </row>
    <row r="1920" spans="1:13" ht="13.5" customHeight="1" x14ac:dyDescent="0.25">
      <c r="I1920" s="16">
        <v>15</v>
      </c>
      <c r="L1920" s="16" t="s">
        <v>27</v>
      </c>
    </row>
    <row r="1921" spans="1:13" ht="13.5" customHeight="1" x14ac:dyDescent="0.25">
      <c r="I1921" s="16">
        <v>15</v>
      </c>
      <c r="L1921" s="16" t="s">
        <v>26</v>
      </c>
      <c r="M1921" s="16" t="s">
        <v>147</v>
      </c>
    </row>
    <row r="1922" spans="1:13" ht="13.5" customHeight="1" x14ac:dyDescent="0.25">
      <c r="I1922" s="16">
        <v>30</v>
      </c>
      <c r="L1922" s="16" t="s">
        <v>26</v>
      </c>
      <c r="M1922" s="15" t="s">
        <v>436</v>
      </c>
    </row>
    <row r="1923" spans="1:13" ht="13.5" customHeight="1" x14ac:dyDescent="0.25">
      <c r="I1923" s="16">
        <v>20</v>
      </c>
      <c r="L1923" s="16" t="s">
        <v>24</v>
      </c>
      <c r="M1923" s="15" t="s">
        <v>117</v>
      </c>
    </row>
    <row r="1924" spans="1:13" ht="13.5" customHeight="1" x14ac:dyDescent="0.25">
      <c r="I1924" s="16">
        <v>30</v>
      </c>
      <c r="L1924" s="16" t="s">
        <v>24</v>
      </c>
      <c r="M1924" s="15" t="s">
        <v>446</v>
      </c>
    </row>
    <row r="1926" spans="1:13" ht="13.5" customHeight="1" x14ac:dyDescent="0.25">
      <c r="A1926" s="16" t="s">
        <v>447</v>
      </c>
      <c r="B1926" s="16" t="s">
        <v>0</v>
      </c>
      <c r="C1926" s="16" t="s">
        <v>16</v>
      </c>
      <c r="D1926" s="16" t="s">
        <v>19</v>
      </c>
      <c r="F1926" s="16">
        <f>37.82+31.47+37.8+31.1+35.91+31.07+26.56+26.15+26.71+22.55+31.19</f>
        <v>338.33</v>
      </c>
      <c r="G1926" s="16">
        <v>11</v>
      </c>
      <c r="H1926" s="16" t="s">
        <v>22</v>
      </c>
      <c r="I1926" s="16">
        <v>30</v>
      </c>
      <c r="L1926" s="16" t="s">
        <v>29</v>
      </c>
      <c r="M1926" s="15" t="s">
        <v>440</v>
      </c>
    </row>
    <row r="1927" spans="1:13" ht="13.5" customHeight="1" x14ac:dyDescent="0.25">
      <c r="I1927" s="16">
        <v>10</v>
      </c>
      <c r="L1927" s="16" t="s">
        <v>23</v>
      </c>
    </row>
    <row r="1928" spans="1:13" ht="13.5" customHeight="1" x14ac:dyDescent="0.25">
      <c r="I1928" s="16">
        <v>110</v>
      </c>
      <c r="L1928" s="16" t="s">
        <v>32</v>
      </c>
    </row>
    <row r="1929" spans="1:13" ht="13.5" customHeight="1" x14ac:dyDescent="0.25">
      <c r="I1929" s="16">
        <v>40</v>
      </c>
      <c r="L1929" s="16" t="s">
        <v>33</v>
      </c>
    </row>
    <row r="1930" spans="1:13" ht="13.5" customHeight="1" x14ac:dyDescent="0.25">
      <c r="I1930" s="16">
        <v>30</v>
      </c>
      <c r="L1930" s="16" t="s">
        <v>29</v>
      </c>
      <c r="M1930" s="15"/>
    </row>
    <row r="1931" spans="1:13" ht="13.5" customHeight="1" x14ac:dyDescent="0.25">
      <c r="I1931" s="16">
        <v>20</v>
      </c>
      <c r="L1931" s="16" t="s">
        <v>25</v>
      </c>
      <c r="M1931" s="16" t="s">
        <v>137</v>
      </c>
    </row>
    <row r="1932" spans="1:13" ht="13.5" customHeight="1" x14ac:dyDescent="0.25">
      <c r="I1932" s="16">
        <v>20</v>
      </c>
      <c r="L1932" s="16" t="s">
        <v>25</v>
      </c>
      <c r="M1932" s="16" t="s">
        <v>45</v>
      </c>
    </row>
    <row r="1933" spans="1:13" ht="13.5" customHeight="1" x14ac:dyDescent="0.25">
      <c r="I1933" s="16">
        <v>20</v>
      </c>
      <c r="L1933" s="16" t="s">
        <v>27</v>
      </c>
    </row>
    <row r="1934" spans="1:13" ht="13.5" customHeight="1" x14ac:dyDescent="0.25">
      <c r="I1934" s="16">
        <v>15</v>
      </c>
      <c r="L1934" s="16" t="s">
        <v>26</v>
      </c>
      <c r="M1934" s="16" t="s">
        <v>147</v>
      </c>
    </row>
    <row r="1935" spans="1:13" ht="13.5" customHeight="1" x14ac:dyDescent="0.25">
      <c r="I1935" s="16">
        <v>15</v>
      </c>
      <c r="L1935" s="16" t="s">
        <v>26</v>
      </c>
      <c r="M1935" s="15" t="s">
        <v>441</v>
      </c>
    </row>
    <row r="1936" spans="1:13" ht="13.5" customHeight="1" x14ac:dyDescent="0.25">
      <c r="I1936" s="16">
        <v>20</v>
      </c>
      <c r="L1936" s="16" t="s">
        <v>26</v>
      </c>
      <c r="M1936" s="15" t="s">
        <v>188</v>
      </c>
    </row>
    <row r="1938" spans="1:13" ht="13.5" customHeight="1" x14ac:dyDescent="0.25">
      <c r="A1938" s="16" t="s">
        <v>447</v>
      </c>
      <c r="B1938" s="16" t="s">
        <v>1</v>
      </c>
      <c r="C1938" s="16" t="s">
        <v>18</v>
      </c>
      <c r="D1938" s="16" t="s">
        <v>21</v>
      </c>
      <c r="F1938" s="16">
        <f>34.72+38.29+31.61+31.54+37.52+31.66+21.3+26.91+32.79+26.07-5.64</f>
        <v>306.77000000000004</v>
      </c>
      <c r="G1938" s="16">
        <v>10</v>
      </c>
      <c r="H1938" s="16" t="s">
        <v>22</v>
      </c>
      <c r="I1938" s="16">
        <v>10</v>
      </c>
      <c r="L1938" s="16" t="s">
        <v>23</v>
      </c>
      <c r="M1938" s="15"/>
    </row>
    <row r="1939" spans="1:13" ht="13.5" customHeight="1" x14ac:dyDescent="0.25">
      <c r="I1939" s="16">
        <v>100</v>
      </c>
      <c r="L1939" s="16" t="s">
        <v>32</v>
      </c>
    </row>
    <row r="1940" spans="1:13" ht="13.5" customHeight="1" x14ac:dyDescent="0.25">
      <c r="I1940" s="16">
        <v>40</v>
      </c>
      <c r="L1940" s="16" t="s">
        <v>33</v>
      </c>
    </row>
    <row r="1941" spans="1:13" ht="13.5" customHeight="1" x14ac:dyDescent="0.25">
      <c r="I1941" s="16">
        <v>30</v>
      </c>
      <c r="L1941" s="16" t="s">
        <v>29</v>
      </c>
      <c r="M1941" s="15"/>
    </row>
    <row r="1942" spans="1:13" ht="13.5" customHeight="1" x14ac:dyDescent="0.25">
      <c r="I1942" s="16">
        <v>20</v>
      </c>
      <c r="L1942" s="16" t="s">
        <v>25</v>
      </c>
      <c r="M1942" s="16" t="s">
        <v>137</v>
      </c>
    </row>
    <row r="1943" spans="1:13" ht="13.5" customHeight="1" x14ac:dyDescent="0.25">
      <c r="I1943" s="16">
        <v>30</v>
      </c>
      <c r="L1943" s="16" t="s">
        <v>25</v>
      </c>
      <c r="M1943" s="16" t="s">
        <v>45</v>
      </c>
    </row>
    <row r="1944" spans="1:13" ht="13.5" customHeight="1" x14ac:dyDescent="0.25">
      <c r="I1944" s="16">
        <v>15</v>
      </c>
      <c r="L1944" s="16" t="s">
        <v>27</v>
      </c>
    </row>
    <row r="1945" spans="1:13" ht="13.5" customHeight="1" x14ac:dyDescent="0.25">
      <c r="I1945" s="16">
        <v>15</v>
      </c>
      <c r="L1945" s="16" t="s">
        <v>26</v>
      </c>
      <c r="M1945" s="16" t="s">
        <v>147</v>
      </c>
    </row>
    <row r="1946" spans="1:13" ht="13.5" customHeight="1" x14ac:dyDescent="0.25">
      <c r="I1946" s="16">
        <v>50</v>
      </c>
      <c r="L1946" s="16" t="s">
        <v>26</v>
      </c>
      <c r="M1946" s="15" t="s">
        <v>188</v>
      </c>
    </row>
    <row r="1947" spans="1:13" ht="13.5" customHeight="1" x14ac:dyDescent="0.25">
      <c r="I1947" s="16">
        <v>30</v>
      </c>
      <c r="L1947" s="16" t="s">
        <v>24</v>
      </c>
      <c r="M1947" s="15" t="s">
        <v>448</v>
      </c>
    </row>
    <row r="1949" spans="1:13" ht="13.5" customHeight="1" x14ac:dyDescent="0.25">
      <c r="A1949" s="16" t="s">
        <v>447</v>
      </c>
      <c r="B1949" s="16" t="s">
        <v>2</v>
      </c>
      <c r="C1949" s="16" t="s">
        <v>15</v>
      </c>
      <c r="D1949" s="16" t="s">
        <v>20</v>
      </c>
      <c r="F1949" s="16">
        <v>364.16</v>
      </c>
      <c r="G1949" s="16">
        <v>11</v>
      </c>
      <c r="H1949" s="16" t="s">
        <v>22</v>
      </c>
      <c r="I1949" s="16">
        <v>10</v>
      </c>
      <c r="L1949" s="16" t="s">
        <v>23</v>
      </c>
    </row>
    <row r="1950" spans="1:13" ht="13.5" customHeight="1" x14ac:dyDescent="0.25">
      <c r="I1950" s="16">
        <v>110</v>
      </c>
      <c r="L1950" s="16" t="s">
        <v>32</v>
      </c>
    </row>
    <row r="1951" spans="1:13" ht="13.5" customHeight="1" x14ac:dyDescent="0.25">
      <c r="I1951" s="16">
        <v>30</v>
      </c>
      <c r="L1951" s="16" t="s">
        <v>33</v>
      </c>
    </row>
    <row r="1952" spans="1:13" ht="13.5" customHeight="1" x14ac:dyDescent="0.25">
      <c r="I1952" s="16">
        <v>20</v>
      </c>
      <c r="L1952" s="16" t="s">
        <v>29</v>
      </c>
      <c r="M1952" s="15"/>
    </row>
    <row r="1953" spans="1:13" ht="13.5" customHeight="1" x14ac:dyDescent="0.25">
      <c r="I1953" s="16">
        <v>20</v>
      </c>
      <c r="L1953" s="16" t="s">
        <v>25</v>
      </c>
      <c r="M1953" s="16" t="s">
        <v>137</v>
      </c>
    </row>
    <row r="1954" spans="1:13" ht="13.5" customHeight="1" x14ac:dyDescent="0.25">
      <c r="I1954" s="16">
        <v>20</v>
      </c>
      <c r="L1954" s="16" t="s">
        <v>25</v>
      </c>
      <c r="M1954" s="16" t="s">
        <v>45</v>
      </c>
    </row>
    <row r="1955" spans="1:13" ht="13.5" customHeight="1" x14ac:dyDescent="0.25">
      <c r="I1955" s="16">
        <v>15</v>
      </c>
      <c r="L1955" s="16" t="s">
        <v>27</v>
      </c>
    </row>
    <row r="1956" spans="1:13" ht="13.5" customHeight="1" x14ac:dyDescent="0.25">
      <c r="I1956" s="16">
        <v>15</v>
      </c>
      <c r="L1956" s="16" t="s">
        <v>26</v>
      </c>
      <c r="M1956" s="16" t="s">
        <v>147</v>
      </c>
    </row>
    <row r="1957" spans="1:13" ht="13.5" customHeight="1" x14ac:dyDescent="0.25">
      <c r="I1957" s="16">
        <v>30</v>
      </c>
      <c r="L1957" s="16" t="s">
        <v>26</v>
      </c>
      <c r="M1957" s="15" t="s">
        <v>436</v>
      </c>
    </row>
    <row r="1959" spans="1:13" ht="13.5" customHeight="1" x14ac:dyDescent="0.25">
      <c r="I1959" s="16">
        <v>10</v>
      </c>
      <c r="L1959" s="16" t="s">
        <v>23</v>
      </c>
      <c r="M1959" s="15"/>
    </row>
    <row r="1960" spans="1:13" ht="13.5" customHeight="1" x14ac:dyDescent="0.25">
      <c r="A1960" s="16" t="s">
        <v>449</v>
      </c>
      <c r="B1960" s="16" t="s">
        <v>0</v>
      </c>
      <c r="C1960" s="15" t="s">
        <v>192</v>
      </c>
      <c r="D1960" s="16" t="s">
        <v>21</v>
      </c>
      <c r="F1960" s="16">
        <v>323.06</v>
      </c>
      <c r="G1960" s="16">
        <v>9.5</v>
      </c>
      <c r="H1960" s="16" t="s">
        <v>22</v>
      </c>
      <c r="I1960" s="16">
        <v>100</v>
      </c>
      <c r="L1960" s="16" t="s">
        <v>32</v>
      </c>
    </row>
    <row r="1961" spans="1:13" ht="13.5" customHeight="1" x14ac:dyDescent="0.25">
      <c r="I1961" s="16">
        <v>40</v>
      </c>
      <c r="L1961" s="16" t="s">
        <v>33</v>
      </c>
    </row>
    <row r="1962" spans="1:13" ht="13.5" customHeight="1" x14ac:dyDescent="0.25">
      <c r="I1962" s="16">
        <v>80</v>
      </c>
      <c r="L1962" s="16" t="s">
        <v>29</v>
      </c>
      <c r="M1962" s="15" t="s">
        <v>450</v>
      </c>
    </row>
    <row r="1963" spans="1:13" ht="13.5" customHeight="1" x14ac:dyDescent="0.25">
      <c r="I1963" s="16">
        <v>20</v>
      </c>
      <c r="L1963" s="16" t="s">
        <v>25</v>
      </c>
      <c r="M1963" s="16" t="s">
        <v>137</v>
      </c>
    </row>
    <row r="1964" spans="1:13" ht="13.5" customHeight="1" x14ac:dyDescent="0.25">
      <c r="I1964" s="16">
        <v>30</v>
      </c>
      <c r="L1964" s="16" t="s">
        <v>25</v>
      </c>
      <c r="M1964" s="16" t="s">
        <v>45</v>
      </c>
    </row>
    <row r="1965" spans="1:13" ht="13.5" customHeight="1" x14ac:dyDescent="0.25">
      <c r="I1965" s="16">
        <v>15</v>
      </c>
      <c r="L1965" s="16" t="s">
        <v>27</v>
      </c>
    </row>
    <row r="1966" spans="1:13" ht="13.5" customHeight="1" x14ac:dyDescent="0.25">
      <c r="I1966" s="16">
        <v>15</v>
      </c>
      <c r="L1966" s="16" t="s">
        <v>26</v>
      </c>
      <c r="M1966" s="16" t="s">
        <v>147</v>
      </c>
    </row>
    <row r="1967" spans="1:13" ht="13.5" customHeight="1" x14ac:dyDescent="0.25">
      <c r="I1967" s="16">
        <v>20</v>
      </c>
      <c r="L1967" s="16" t="s">
        <v>26</v>
      </c>
      <c r="M1967" s="15" t="s">
        <v>188</v>
      </c>
    </row>
    <row r="1968" spans="1:13" ht="13.5" customHeight="1" x14ac:dyDescent="0.25">
      <c r="M1968" s="15"/>
    </row>
    <row r="1969" spans="1:13" ht="13.5" customHeight="1" x14ac:dyDescent="0.25">
      <c r="A1969" s="16" t="s">
        <v>449</v>
      </c>
      <c r="B1969" s="16" t="s">
        <v>1</v>
      </c>
      <c r="C1969" s="16" t="s">
        <v>6</v>
      </c>
      <c r="D1969" s="16" t="s">
        <v>20</v>
      </c>
      <c r="F1969" s="16">
        <v>332.11</v>
      </c>
      <c r="G1969" s="16">
        <v>9.75</v>
      </c>
      <c r="H1969" s="16" t="s">
        <v>22</v>
      </c>
      <c r="I1969" s="16">
        <v>10</v>
      </c>
      <c r="L1969" s="16" t="s">
        <v>23</v>
      </c>
      <c r="M1969" s="15"/>
    </row>
    <row r="1970" spans="1:13" ht="13.5" customHeight="1" x14ac:dyDescent="0.25">
      <c r="I1970" s="16">
        <v>100</v>
      </c>
      <c r="L1970" s="16" t="s">
        <v>32</v>
      </c>
    </row>
    <row r="1971" spans="1:13" ht="13.5" customHeight="1" x14ac:dyDescent="0.25">
      <c r="I1971" s="16">
        <v>35</v>
      </c>
      <c r="L1971" s="16" t="s">
        <v>33</v>
      </c>
    </row>
    <row r="1972" spans="1:13" ht="13.5" customHeight="1" x14ac:dyDescent="0.25">
      <c r="I1972" s="16">
        <v>30</v>
      </c>
      <c r="L1972" s="16" t="s">
        <v>29</v>
      </c>
      <c r="M1972" s="15"/>
    </row>
    <row r="1973" spans="1:13" ht="13.5" customHeight="1" x14ac:dyDescent="0.25">
      <c r="I1973" s="16">
        <v>30</v>
      </c>
      <c r="L1973" s="16" t="s">
        <v>25</v>
      </c>
      <c r="M1973" s="16" t="s">
        <v>137</v>
      </c>
    </row>
    <row r="1974" spans="1:13" ht="13.5" customHeight="1" x14ac:dyDescent="0.25">
      <c r="I1974" s="16">
        <v>20</v>
      </c>
      <c r="L1974" s="16" t="s">
        <v>25</v>
      </c>
      <c r="M1974" s="15" t="s">
        <v>36</v>
      </c>
    </row>
    <row r="1975" spans="1:13" ht="13.5" customHeight="1" x14ac:dyDescent="0.25">
      <c r="I1975" s="16">
        <v>15</v>
      </c>
      <c r="L1975" s="16" t="s">
        <v>27</v>
      </c>
    </row>
    <row r="1976" spans="1:13" ht="13.5" customHeight="1" x14ac:dyDescent="0.25">
      <c r="I1976" s="16">
        <v>15</v>
      </c>
      <c r="L1976" s="16" t="s">
        <v>26</v>
      </c>
      <c r="M1976" s="16" t="s">
        <v>147</v>
      </c>
    </row>
    <row r="1977" spans="1:13" ht="13.5" customHeight="1" x14ac:dyDescent="0.25">
      <c r="I1977" s="16">
        <v>20</v>
      </c>
      <c r="L1977" s="16" t="s">
        <v>26</v>
      </c>
      <c r="M1977" s="15" t="s">
        <v>188</v>
      </c>
    </row>
    <row r="1978" spans="1:13" ht="13.5" customHeight="1" x14ac:dyDescent="0.25">
      <c r="I1978" s="16">
        <v>40</v>
      </c>
      <c r="L1978" s="16" t="s">
        <v>26</v>
      </c>
      <c r="M1978" s="15" t="s">
        <v>451</v>
      </c>
    </row>
    <row r="1980" spans="1:13" ht="13.5" customHeight="1" x14ac:dyDescent="0.25">
      <c r="A1980" s="16" t="s">
        <v>449</v>
      </c>
      <c r="B1980" s="16" t="s">
        <v>2</v>
      </c>
      <c r="C1980" s="16" t="s">
        <v>15</v>
      </c>
      <c r="D1980" s="16" t="s">
        <v>19</v>
      </c>
      <c r="F1980" s="16">
        <v>315.32</v>
      </c>
      <c r="G1980" s="16">
        <v>9.75</v>
      </c>
      <c r="H1980" s="16" t="s">
        <v>22</v>
      </c>
      <c r="I1980" s="16">
        <v>10</v>
      </c>
      <c r="L1980" s="16" t="s">
        <v>23</v>
      </c>
      <c r="M1980" s="15"/>
    </row>
    <row r="1981" spans="1:13" ht="13.5" customHeight="1" x14ac:dyDescent="0.25">
      <c r="I1981" s="16">
        <v>100</v>
      </c>
      <c r="L1981" s="16" t="s">
        <v>32</v>
      </c>
    </row>
    <row r="1982" spans="1:13" ht="13.5" customHeight="1" x14ac:dyDescent="0.25">
      <c r="I1982" s="16">
        <v>40</v>
      </c>
      <c r="L1982" s="16" t="s">
        <v>33</v>
      </c>
    </row>
    <row r="1983" spans="1:13" ht="13.5" customHeight="1" x14ac:dyDescent="0.25">
      <c r="I1983" s="16">
        <v>30</v>
      </c>
      <c r="L1983" s="16" t="s">
        <v>29</v>
      </c>
      <c r="M1983" s="15"/>
    </row>
    <row r="1984" spans="1:13" ht="13.5" customHeight="1" x14ac:dyDescent="0.25">
      <c r="I1984" s="16">
        <v>20</v>
      </c>
      <c r="L1984" s="16" t="s">
        <v>25</v>
      </c>
      <c r="M1984" s="16" t="s">
        <v>137</v>
      </c>
    </row>
    <row r="1985" spans="1:13" ht="13.5" customHeight="1" x14ac:dyDescent="0.25">
      <c r="I1985" s="16">
        <v>30</v>
      </c>
      <c r="L1985" s="16" t="s">
        <v>25</v>
      </c>
      <c r="M1985" s="16" t="s">
        <v>45</v>
      </c>
    </row>
    <row r="1986" spans="1:13" ht="13.5" customHeight="1" x14ac:dyDescent="0.25">
      <c r="I1986" s="16">
        <v>15</v>
      </c>
      <c r="L1986" s="16" t="s">
        <v>27</v>
      </c>
    </row>
    <row r="1987" spans="1:13" ht="13.5" customHeight="1" x14ac:dyDescent="0.25">
      <c r="I1987" s="16">
        <v>15</v>
      </c>
      <c r="L1987" s="16" t="s">
        <v>26</v>
      </c>
      <c r="M1987" s="16" t="s">
        <v>147</v>
      </c>
    </row>
    <row r="1988" spans="1:13" ht="13.5" customHeight="1" x14ac:dyDescent="0.25">
      <c r="I1988" s="16">
        <v>20</v>
      </c>
      <c r="L1988" s="16" t="s">
        <v>26</v>
      </c>
      <c r="M1988" s="15" t="s">
        <v>452</v>
      </c>
    </row>
    <row r="1989" spans="1:13" ht="13.5" customHeight="1" x14ac:dyDescent="0.25">
      <c r="I1989" s="16">
        <v>60</v>
      </c>
      <c r="L1989" s="16" t="s">
        <v>26</v>
      </c>
      <c r="M1989" s="15" t="s">
        <v>451</v>
      </c>
    </row>
    <row r="1992" spans="1:13" ht="13.5" customHeight="1" x14ac:dyDescent="0.25">
      <c r="A1992" s="16" t="s">
        <v>455</v>
      </c>
      <c r="B1992" s="16" t="s">
        <v>0</v>
      </c>
      <c r="C1992" s="15" t="s">
        <v>192</v>
      </c>
      <c r="D1992" s="16" t="s">
        <v>21</v>
      </c>
      <c r="F1992" s="16">
        <v>305.39</v>
      </c>
      <c r="G1992" s="16">
        <v>9</v>
      </c>
      <c r="H1992" s="16" t="s">
        <v>22</v>
      </c>
      <c r="I1992" s="16">
        <v>90</v>
      </c>
      <c r="L1992" s="16" t="s">
        <v>32</v>
      </c>
    </row>
    <row r="1993" spans="1:13" ht="13.5" customHeight="1" x14ac:dyDescent="0.25">
      <c r="I1993" s="16">
        <v>40</v>
      </c>
      <c r="L1993" s="16" t="s">
        <v>33</v>
      </c>
    </row>
    <row r="1994" spans="1:13" ht="13.5" customHeight="1" x14ac:dyDescent="0.25">
      <c r="I1994" s="16">
        <v>60</v>
      </c>
      <c r="L1994" s="16" t="s">
        <v>29</v>
      </c>
      <c r="M1994" s="15" t="s">
        <v>450</v>
      </c>
    </row>
    <row r="1995" spans="1:13" ht="13.5" customHeight="1" x14ac:dyDescent="0.25">
      <c r="I1995" s="16">
        <v>20</v>
      </c>
      <c r="L1995" s="16" t="s">
        <v>25</v>
      </c>
      <c r="M1995" s="16" t="s">
        <v>137</v>
      </c>
    </row>
    <row r="1996" spans="1:13" ht="13.5" customHeight="1" x14ac:dyDescent="0.25">
      <c r="I1996" s="16">
        <v>30</v>
      </c>
      <c r="L1996" s="16" t="s">
        <v>25</v>
      </c>
      <c r="M1996" s="16" t="s">
        <v>45</v>
      </c>
    </row>
    <row r="1997" spans="1:13" ht="13.5" customHeight="1" x14ac:dyDescent="0.25">
      <c r="I1997" s="16">
        <v>15</v>
      </c>
      <c r="L1997" s="16" t="s">
        <v>27</v>
      </c>
    </row>
    <row r="1998" spans="1:13" ht="13.5" customHeight="1" x14ac:dyDescent="0.25">
      <c r="I1998" s="16">
        <v>15</v>
      </c>
      <c r="L1998" s="16" t="s">
        <v>26</v>
      </c>
      <c r="M1998" s="16" t="s">
        <v>147</v>
      </c>
    </row>
    <row r="1999" spans="1:13" ht="13.5" customHeight="1" x14ac:dyDescent="0.25">
      <c r="I1999" s="16">
        <v>30</v>
      </c>
      <c r="J1999" s="18">
        <v>0.36805555555555558</v>
      </c>
      <c r="K1999" s="18">
        <v>0.3888888888888889</v>
      </c>
      <c r="L1999" s="16" t="s">
        <v>26</v>
      </c>
      <c r="M1999" s="15" t="s">
        <v>453</v>
      </c>
    </row>
    <row r="2000" spans="1:13" ht="13.5" customHeight="1" x14ac:dyDescent="0.25">
      <c r="I2000" s="16">
        <v>45</v>
      </c>
      <c r="J2000" s="18">
        <v>0.33680555555555558</v>
      </c>
      <c r="K2000" s="18">
        <v>0.36805555555555558</v>
      </c>
      <c r="L2000" s="16" t="s">
        <v>26</v>
      </c>
      <c r="M2000" s="15" t="s">
        <v>454</v>
      </c>
    </row>
    <row r="2003" spans="1:13" ht="13.5" customHeight="1" x14ac:dyDescent="0.25">
      <c r="A2003" s="16" t="s">
        <v>455</v>
      </c>
      <c r="B2003" s="16" t="s">
        <v>1</v>
      </c>
      <c r="C2003" s="16" t="s">
        <v>6</v>
      </c>
      <c r="D2003" s="16" t="s">
        <v>20</v>
      </c>
      <c r="F2003" s="16">
        <v>308.76</v>
      </c>
      <c r="G2003" s="16">
        <v>9</v>
      </c>
      <c r="H2003" s="16" t="s">
        <v>22</v>
      </c>
      <c r="I2003" s="16">
        <v>10</v>
      </c>
      <c r="L2003" s="16" t="s">
        <v>23</v>
      </c>
      <c r="M2003" s="15"/>
    </row>
    <row r="2004" spans="1:13" ht="13.5" customHeight="1" x14ac:dyDescent="0.25">
      <c r="I2004" s="16">
        <v>90</v>
      </c>
      <c r="L2004" s="16" t="s">
        <v>32</v>
      </c>
    </row>
    <row r="2005" spans="1:13" ht="13.5" customHeight="1" x14ac:dyDescent="0.25">
      <c r="I2005" s="16">
        <v>35</v>
      </c>
      <c r="L2005" s="16" t="s">
        <v>33</v>
      </c>
    </row>
    <row r="2006" spans="1:13" ht="13.5" customHeight="1" x14ac:dyDescent="0.25">
      <c r="I2006" s="16">
        <v>30</v>
      </c>
      <c r="L2006" s="16" t="s">
        <v>29</v>
      </c>
      <c r="M2006" s="15"/>
    </row>
    <row r="2007" spans="1:13" ht="13.5" customHeight="1" x14ac:dyDescent="0.25">
      <c r="I2007" s="16">
        <v>30</v>
      </c>
      <c r="L2007" s="16" t="s">
        <v>25</v>
      </c>
      <c r="M2007" s="16" t="s">
        <v>137</v>
      </c>
    </row>
    <row r="2008" spans="1:13" ht="13.5" customHeight="1" x14ac:dyDescent="0.25">
      <c r="I2008" s="16">
        <v>20</v>
      </c>
      <c r="L2008" s="16" t="s">
        <v>25</v>
      </c>
      <c r="M2008" s="15" t="s">
        <v>36</v>
      </c>
    </row>
    <row r="2009" spans="1:13" ht="13.5" customHeight="1" x14ac:dyDescent="0.25">
      <c r="I2009" s="16">
        <v>15</v>
      </c>
      <c r="L2009" s="16" t="s">
        <v>27</v>
      </c>
    </row>
    <row r="2010" spans="1:13" ht="13.5" customHeight="1" x14ac:dyDescent="0.25">
      <c r="I2010" s="16">
        <v>20</v>
      </c>
      <c r="L2010" s="16" t="s">
        <v>26</v>
      </c>
      <c r="M2010" s="16" t="s">
        <v>147</v>
      </c>
    </row>
    <row r="2011" spans="1:13" ht="13.5" customHeight="1" x14ac:dyDescent="0.25">
      <c r="I2011" s="16">
        <v>30</v>
      </c>
      <c r="L2011" s="16" t="s">
        <v>26</v>
      </c>
      <c r="M2011" s="15" t="s">
        <v>456</v>
      </c>
    </row>
    <row r="2012" spans="1:13" ht="13.5" customHeight="1" x14ac:dyDescent="0.25">
      <c r="I2012" s="16">
        <v>40</v>
      </c>
      <c r="L2012" s="15" t="s">
        <v>415</v>
      </c>
      <c r="M2012" s="15" t="s">
        <v>457</v>
      </c>
    </row>
    <row r="2013" spans="1:13" ht="13.5" customHeight="1" x14ac:dyDescent="0.25">
      <c r="I2013" s="16">
        <v>20</v>
      </c>
      <c r="J2013" s="15"/>
      <c r="L2013" s="16" t="s">
        <v>24</v>
      </c>
      <c r="M2013" s="15" t="s">
        <v>117</v>
      </c>
    </row>
    <row r="2014" spans="1:13" ht="13.5" customHeight="1" x14ac:dyDescent="0.25">
      <c r="I2014" s="16">
        <v>30</v>
      </c>
      <c r="L2014" s="16" t="s">
        <v>26</v>
      </c>
      <c r="M2014" s="15" t="s">
        <v>458</v>
      </c>
    </row>
    <row r="2016" spans="1:13" ht="13.5" customHeight="1" x14ac:dyDescent="0.25">
      <c r="A2016" s="16" t="s">
        <v>455</v>
      </c>
      <c r="B2016" s="16" t="s">
        <v>2</v>
      </c>
      <c r="C2016" s="16" t="s">
        <v>16</v>
      </c>
      <c r="D2016" s="16" t="s">
        <v>19</v>
      </c>
      <c r="F2016" s="16">
        <f>346.16-8.76</f>
        <v>337.40000000000003</v>
      </c>
      <c r="G2016" s="16">
        <v>10.25</v>
      </c>
      <c r="H2016" s="16" t="s">
        <v>22</v>
      </c>
      <c r="I2016" s="16">
        <v>10</v>
      </c>
      <c r="L2016" s="16" t="s">
        <v>23</v>
      </c>
    </row>
    <row r="2017" spans="1:13" ht="13.5" customHeight="1" x14ac:dyDescent="0.25">
      <c r="I2017" s="16">
        <v>110</v>
      </c>
      <c r="L2017" s="16" t="s">
        <v>32</v>
      </c>
    </row>
    <row r="2018" spans="1:13" ht="13.5" customHeight="1" x14ac:dyDescent="0.25">
      <c r="I2018" s="16">
        <v>30</v>
      </c>
      <c r="L2018" s="16" t="s">
        <v>33</v>
      </c>
    </row>
    <row r="2019" spans="1:13" ht="13.5" customHeight="1" x14ac:dyDescent="0.25">
      <c r="I2019" s="16">
        <v>20</v>
      </c>
      <c r="L2019" s="16" t="s">
        <v>29</v>
      </c>
      <c r="M2019" s="15"/>
    </row>
    <row r="2020" spans="1:13" ht="13.5" customHeight="1" x14ac:dyDescent="0.25">
      <c r="I2020" s="16">
        <v>20</v>
      </c>
      <c r="L2020" s="16" t="s">
        <v>25</v>
      </c>
      <c r="M2020" s="16" t="s">
        <v>137</v>
      </c>
    </row>
    <row r="2021" spans="1:13" ht="13.5" customHeight="1" x14ac:dyDescent="0.25">
      <c r="I2021" s="16">
        <v>20</v>
      </c>
      <c r="L2021" s="16" t="s">
        <v>25</v>
      </c>
      <c r="M2021" s="16" t="s">
        <v>45</v>
      </c>
    </row>
    <row r="2022" spans="1:13" ht="13.5" customHeight="1" x14ac:dyDescent="0.25">
      <c r="I2022" s="16">
        <v>20</v>
      </c>
      <c r="L2022" s="16" t="s">
        <v>27</v>
      </c>
    </row>
    <row r="2023" spans="1:13" ht="13.5" customHeight="1" x14ac:dyDescent="0.25">
      <c r="I2023" s="16">
        <v>15</v>
      </c>
      <c r="L2023" s="16" t="s">
        <v>26</v>
      </c>
      <c r="M2023" s="16" t="s">
        <v>147</v>
      </c>
    </row>
    <row r="2024" spans="1:13" ht="13.5" customHeight="1" x14ac:dyDescent="0.25">
      <c r="I2024" s="16">
        <v>30</v>
      </c>
      <c r="L2024" s="16" t="s">
        <v>26</v>
      </c>
      <c r="M2024" s="15" t="s">
        <v>459</v>
      </c>
    </row>
    <row r="2025" spans="1:13" ht="13.5" customHeight="1" x14ac:dyDescent="0.25">
      <c r="I2025" s="16">
        <v>20</v>
      </c>
      <c r="L2025" s="16" t="s">
        <v>25</v>
      </c>
      <c r="M2025" s="15" t="s">
        <v>460</v>
      </c>
    </row>
    <row r="2027" spans="1:13" ht="13.5" customHeight="1" x14ac:dyDescent="0.25">
      <c r="A2027" s="16" t="s">
        <v>461</v>
      </c>
      <c r="B2027" s="16" t="s">
        <v>0</v>
      </c>
      <c r="C2027" s="15" t="s">
        <v>192</v>
      </c>
      <c r="D2027" s="16" t="s">
        <v>21</v>
      </c>
      <c r="F2027" s="16">
        <f>24.79+38.33+32.87+37.88</f>
        <v>133.87</v>
      </c>
      <c r="G2027" s="16">
        <v>3.75</v>
      </c>
      <c r="H2027" s="16" t="s">
        <v>22</v>
      </c>
      <c r="I2027" s="16">
        <v>30</v>
      </c>
      <c r="L2027" s="16" t="s">
        <v>32</v>
      </c>
    </row>
    <row r="2028" spans="1:13" ht="13.5" customHeight="1" x14ac:dyDescent="0.25">
      <c r="I2028" s="16">
        <v>10</v>
      </c>
      <c r="L2028" s="16" t="s">
        <v>33</v>
      </c>
    </row>
    <row r="2029" spans="1:13" ht="13.5" customHeight="1" x14ac:dyDescent="0.25">
      <c r="I2029" s="16">
        <v>10</v>
      </c>
      <c r="L2029" s="16" t="s">
        <v>29</v>
      </c>
      <c r="M2029" s="15" t="s">
        <v>450</v>
      </c>
    </row>
    <row r="2030" spans="1:13" ht="13.5" customHeight="1" x14ac:dyDescent="0.25">
      <c r="I2030" s="16">
        <v>10</v>
      </c>
      <c r="L2030" s="16" t="s">
        <v>25</v>
      </c>
      <c r="M2030" s="16" t="s">
        <v>137</v>
      </c>
    </row>
    <row r="2031" spans="1:13" ht="13.5" customHeight="1" x14ac:dyDescent="0.25">
      <c r="I2031" s="16">
        <v>10</v>
      </c>
      <c r="L2031" s="16" t="s">
        <v>25</v>
      </c>
      <c r="M2031" s="16" t="s">
        <v>45</v>
      </c>
    </row>
    <row r="2032" spans="1:13" ht="13.5" customHeight="1" x14ac:dyDescent="0.25">
      <c r="I2032" s="16">
        <v>10</v>
      </c>
      <c r="L2032" s="16" t="s">
        <v>27</v>
      </c>
    </row>
    <row r="2033" spans="1:13" ht="13.5" customHeight="1" x14ac:dyDescent="0.25">
      <c r="I2033" s="16">
        <v>10</v>
      </c>
      <c r="L2033" s="16" t="s">
        <v>26</v>
      </c>
      <c r="M2033" s="16" t="s">
        <v>147</v>
      </c>
    </row>
    <row r="2034" spans="1:13" ht="13.5" customHeight="1" x14ac:dyDescent="0.25">
      <c r="I2034" s="16">
        <v>40</v>
      </c>
      <c r="J2034" s="18">
        <v>0.375</v>
      </c>
      <c r="K2034" s="18">
        <v>0.40277777777777773</v>
      </c>
      <c r="L2034" s="16" t="s">
        <v>26</v>
      </c>
      <c r="M2034" s="15" t="s">
        <v>462</v>
      </c>
    </row>
    <row r="2035" spans="1:13" ht="13.5" customHeight="1" x14ac:dyDescent="0.25">
      <c r="I2035" s="16">
        <v>220</v>
      </c>
      <c r="J2035" s="18">
        <v>0.43055555555555558</v>
      </c>
      <c r="K2035" s="18">
        <v>8.3333333333333329E-2</v>
      </c>
      <c r="L2035" s="16" t="s">
        <v>26</v>
      </c>
      <c r="M2035" s="15" t="s">
        <v>121</v>
      </c>
    </row>
    <row r="2037" spans="1:13" ht="13.5" customHeight="1" x14ac:dyDescent="0.25">
      <c r="A2037" s="16" t="s">
        <v>461</v>
      </c>
      <c r="B2037" s="16" t="s">
        <v>1</v>
      </c>
      <c r="C2037" s="16" t="s">
        <v>15</v>
      </c>
      <c r="D2037" s="16" t="s">
        <v>20</v>
      </c>
      <c r="F2037" s="16">
        <v>0</v>
      </c>
      <c r="G2037" s="16">
        <v>0</v>
      </c>
      <c r="H2037" s="16" t="s">
        <v>22</v>
      </c>
      <c r="I2037" s="16">
        <v>390</v>
      </c>
      <c r="J2037" s="18" t="s">
        <v>215</v>
      </c>
      <c r="K2037" s="18" t="s">
        <v>463</v>
      </c>
      <c r="L2037" s="16" t="s">
        <v>26</v>
      </c>
      <c r="M2037" s="15" t="s">
        <v>121</v>
      </c>
    </row>
    <row r="2038" spans="1:13" ht="13.5" customHeight="1" x14ac:dyDescent="0.25">
      <c r="I2038" s="16">
        <v>90</v>
      </c>
      <c r="J2038" s="18" t="s">
        <v>463</v>
      </c>
      <c r="K2038" s="18" t="s">
        <v>464</v>
      </c>
      <c r="L2038" s="16" t="s">
        <v>26</v>
      </c>
      <c r="M2038" s="16" t="s">
        <v>167</v>
      </c>
    </row>
    <row r="2040" spans="1:13" ht="13.5" customHeight="1" x14ac:dyDescent="0.25">
      <c r="A2040" s="16" t="s">
        <v>461</v>
      </c>
      <c r="B2040" s="16" t="s">
        <v>2</v>
      </c>
      <c r="C2040" s="16" t="s">
        <v>16</v>
      </c>
      <c r="D2040" s="16" t="s">
        <v>19</v>
      </c>
      <c r="F2040" s="16">
        <v>172.48</v>
      </c>
      <c r="G2040" s="16">
        <v>5</v>
      </c>
      <c r="H2040" s="16" t="s">
        <v>22</v>
      </c>
      <c r="I2040" s="16">
        <v>10</v>
      </c>
      <c r="L2040" s="16" t="s">
        <v>23</v>
      </c>
    </row>
    <row r="2041" spans="1:13" ht="13.5" customHeight="1" x14ac:dyDescent="0.25">
      <c r="I2041" s="16">
        <v>50</v>
      </c>
      <c r="L2041" s="16" t="s">
        <v>32</v>
      </c>
    </row>
    <row r="2042" spans="1:13" ht="13.5" customHeight="1" x14ac:dyDescent="0.25">
      <c r="I2042" s="16">
        <v>10</v>
      </c>
      <c r="L2042" s="16" t="s">
        <v>33</v>
      </c>
    </row>
    <row r="2043" spans="1:13" ht="13.5" customHeight="1" x14ac:dyDescent="0.25">
      <c r="I2043" s="16">
        <v>10</v>
      </c>
      <c r="L2043" s="16" t="s">
        <v>29</v>
      </c>
      <c r="M2043" s="15"/>
    </row>
    <row r="2044" spans="1:13" ht="13.5" customHeight="1" x14ac:dyDescent="0.25">
      <c r="I2044" s="16">
        <v>10</v>
      </c>
      <c r="L2044" s="16" t="s">
        <v>25</v>
      </c>
      <c r="M2044" s="16" t="s">
        <v>137</v>
      </c>
    </row>
    <row r="2045" spans="1:13" ht="13.5" customHeight="1" x14ac:dyDescent="0.25">
      <c r="I2045" s="16">
        <v>10</v>
      </c>
      <c r="L2045" s="16" t="s">
        <v>25</v>
      </c>
      <c r="M2045" s="16" t="s">
        <v>45</v>
      </c>
    </row>
    <row r="2046" spans="1:13" ht="13.5" customHeight="1" x14ac:dyDescent="0.25">
      <c r="I2046" s="16">
        <v>10</v>
      </c>
      <c r="L2046" s="16" t="s">
        <v>27</v>
      </c>
    </row>
    <row r="2047" spans="1:13" ht="13.5" customHeight="1" x14ac:dyDescent="0.25">
      <c r="I2047" s="16">
        <v>15</v>
      </c>
      <c r="L2047" s="16" t="s">
        <v>26</v>
      </c>
      <c r="M2047" s="16" t="s">
        <v>147</v>
      </c>
    </row>
    <row r="2048" spans="1:13" ht="13.5" customHeight="1" x14ac:dyDescent="0.25">
      <c r="I2048" s="16">
        <v>320</v>
      </c>
      <c r="L2048" s="16" t="s">
        <v>26</v>
      </c>
      <c r="M2048" s="16" t="s">
        <v>167</v>
      </c>
    </row>
    <row r="2050" spans="1:13" ht="13.5" customHeight="1" x14ac:dyDescent="0.25">
      <c r="A2050" s="16" t="s">
        <v>465</v>
      </c>
      <c r="B2050" s="16" t="s">
        <v>0</v>
      </c>
      <c r="C2050" s="15" t="s">
        <v>192</v>
      </c>
      <c r="D2050" s="16" t="s">
        <v>21</v>
      </c>
      <c r="F2050" s="16">
        <f>26.77+30.82+33.77+31.63+33.67+37.8+33.83+37.83+27.22+33.06+38.18</f>
        <v>364.58000000000004</v>
      </c>
      <c r="G2050" s="16">
        <v>11</v>
      </c>
      <c r="H2050" s="16" t="s">
        <v>22</v>
      </c>
      <c r="I2050" s="16">
        <v>10</v>
      </c>
      <c r="L2050" s="16" t="s">
        <v>23</v>
      </c>
    </row>
    <row r="2051" spans="1:13" ht="13.5" customHeight="1" x14ac:dyDescent="0.25">
      <c r="I2051" s="16">
        <v>110</v>
      </c>
      <c r="L2051" s="16" t="s">
        <v>32</v>
      </c>
    </row>
    <row r="2052" spans="1:13" ht="13.5" customHeight="1" x14ac:dyDescent="0.25">
      <c r="I2052" s="16">
        <v>50</v>
      </c>
      <c r="L2052" s="16" t="s">
        <v>33</v>
      </c>
    </row>
    <row r="2053" spans="1:13" ht="13.5" customHeight="1" x14ac:dyDescent="0.25">
      <c r="I2053" s="16">
        <v>80</v>
      </c>
      <c r="L2053" s="16" t="s">
        <v>29</v>
      </c>
      <c r="M2053" s="15"/>
    </row>
    <row r="2054" spans="1:13" ht="13.5" customHeight="1" x14ac:dyDescent="0.25">
      <c r="I2054" s="16">
        <v>20</v>
      </c>
      <c r="L2054" s="16" t="s">
        <v>25</v>
      </c>
      <c r="M2054" s="16" t="s">
        <v>137</v>
      </c>
    </row>
    <row r="2055" spans="1:13" ht="13.5" customHeight="1" x14ac:dyDescent="0.25">
      <c r="I2055" s="16">
        <v>20</v>
      </c>
      <c r="L2055" s="16" t="s">
        <v>25</v>
      </c>
      <c r="M2055" s="16" t="s">
        <v>45</v>
      </c>
    </row>
    <row r="2056" spans="1:13" ht="13.5" customHeight="1" x14ac:dyDescent="0.25">
      <c r="I2056" s="16">
        <v>15</v>
      </c>
      <c r="L2056" s="16" t="s">
        <v>27</v>
      </c>
    </row>
    <row r="2057" spans="1:13" ht="13.5" customHeight="1" x14ac:dyDescent="0.25">
      <c r="I2057" s="16">
        <v>15</v>
      </c>
      <c r="L2057" s="16" t="s">
        <v>26</v>
      </c>
      <c r="M2057" s="16" t="s">
        <v>147</v>
      </c>
    </row>
    <row r="2060" spans="1:13" ht="13.5" customHeight="1" x14ac:dyDescent="0.25">
      <c r="A2060" s="16" t="s">
        <v>465</v>
      </c>
      <c r="B2060" s="16" t="s">
        <v>1</v>
      </c>
      <c r="C2060" s="16" t="s">
        <v>15</v>
      </c>
      <c r="D2060" s="16" t="s">
        <v>20</v>
      </c>
      <c r="F2060" s="16">
        <v>261.29000000000002</v>
      </c>
      <c r="G2060" s="16">
        <v>7.75</v>
      </c>
      <c r="H2060" s="16" t="s">
        <v>22</v>
      </c>
      <c r="I2060" s="16">
        <v>10</v>
      </c>
      <c r="L2060" s="16" t="s">
        <v>23</v>
      </c>
      <c r="M2060" s="15"/>
    </row>
    <row r="2061" spans="1:13" ht="13.5" customHeight="1" x14ac:dyDescent="0.25">
      <c r="I2061" s="16">
        <v>70</v>
      </c>
      <c r="L2061" s="16" t="s">
        <v>32</v>
      </c>
    </row>
    <row r="2062" spans="1:13" ht="13.5" customHeight="1" x14ac:dyDescent="0.25">
      <c r="I2062" s="16">
        <v>35</v>
      </c>
      <c r="L2062" s="16" t="s">
        <v>33</v>
      </c>
    </row>
    <row r="2063" spans="1:13" ht="13.5" customHeight="1" x14ac:dyDescent="0.25">
      <c r="I2063" s="16">
        <v>30</v>
      </c>
      <c r="L2063" s="16" t="s">
        <v>29</v>
      </c>
      <c r="M2063" s="15"/>
    </row>
    <row r="2064" spans="1:13" ht="13.5" customHeight="1" x14ac:dyDescent="0.25">
      <c r="I2064" s="16">
        <v>30</v>
      </c>
      <c r="L2064" s="16" t="s">
        <v>25</v>
      </c>
      <c r="M2064" s="16" t="s">
        <v>137</v>
      </c>
    </row>
    <row r="2065" spans="1:13" ht="13.5" customHeight="1" x14ac:dyDescent="0.25">
      <c r="I2065" s="16">
        <v>20</v>
      </c>
      <c r="L2065" s="16" t="s">
        <v>25</v>
      </c>
      <c r="M2065" s="15" t="s">
        <v>36</v>
      </c>
    </row>
    <row r="2066" spans="1:13" ht="13.5" customHeight="1" x14ac:dyDescent="0.25">
      <c r="I2066" s="16">
        <v>15</v>
      </c>
      <c r="L2066" s="16" t="s">
        <v>27</v>
      </c>
    </row>
    <row r="2067" spans="1:13" ht="13.5" customHeight="1" x14ac:dyDescent="0.25">
      <c r="I2067" s="16">
        <v>20</v>
      </c>
      <c r="L2067" s="16" t="s">
        <v>26</v>
      </c>
      <c r="M2067" s="16" t="s">
        <v>147</v>
      </c>
    </row>
    <row r="2068" spans="1:13" ht="13.5" customHeight="1" x14ac:dyDescent="0.25">
      <c r="I2068" s="16">
        <v>30</v>
      </c>
      <c r="J2068" s="18" t="s">
        <v>471</v>
      </c>
      <c r="K2068" s="18" t="s">
        <v>472</v>
      </c>
      <c r="L2068" s="16" t="s">
        <v>26</v>
      </c>
      <c r="M2068" s="15" t="s">
        <v>466</v>
      </c>
    </row>
    <row r="2069" spans="1:13" ht="13.5" customHeight="1" x14ac:dyDescent="0.25">
      <c r="I2069" s="16">
        <v>40</v>
      </c>
      <c r="J2069" s="18" t="s">
        <v>469</v>
      </c>
      <c r="K2069" s="18" t="s">
        <v>470</v>
      </c>
      <c r="L2069" s="16" t="s">
        <v>26</v>
      </c>
      <c r="M2069" s="15" t="s">
        <v>467</v>
      </c>
    </row>
    <row r="2070" spans="1:13" ht="13.5" customHeight="1" x14ac:dyDescent="0.25">
      <c r="I2070" s="16">
        <v>80</v>
      </c>
      <c r="J2070" s="18" t="s">
        <v>473</v>
      </c>
      <c r="K2070" s="18" t="s">
        <v>474</v>
      </c>
      <c r="L2070" s="16" t="s">
        <v>26</v>
      </c>
      <c r="M2070" s="15" t="s">
        <v>468</v>
      </c>
    </row>
    <row r="2072" spans="1:13" ht="13.5" customHeight="1" x14ac:dyDescent="0.25">
      <c r="A2072" s="16" t="s">
        <v>465</v>
      </c>
      <c r="B2072" s="16" t="s">
        <v>2</v>
      </c>
      <c r="C2072" s="16" t="s">
        <v>16</v>
      </c>
      <c r="D2072" s="16" t="s">
        <v>19</v>
      </c>
      <c r="F2072" s="16">
        <v>351.29</v>
      </c>
      <c r="G2072" s="16">
        <v>10.25</v>
      </c>
      <c r="H2072" s="16" t="s">
        <v>22</v>
      </c>
      <c r="I2072" s="16">
        <v>10</v>
      </c>
      <c r="L2072" s="16" t="s">
        <v>23</v>
      </c>
    </row>
    <row r="2073" spans="1:13" ht="13.5" customHeight="1" x14ac:dyDescent="0.25">
      <c r="I2073" s="16">
        <v>100</v>
      </c>
      <c r="L2073" s="16" t="s">
        <v>32</v>
      </c>
    </row>
    <row r="2074" spans="1:13" ht="13.5" customHeight="1" x14ac:dyDescent="0.25">
      <c r="I2074" s="16">
        <v>50</v>
      </c>
      <c r="L2074" s="16" t="s">
        <v>33</v>
      </c>
    </row>
    <row r="2075" spans="1:13" ht="13.5" customHeight="1" x14ac:dyDescent="0.25">
      <c r="I2075" s="16">
        <v>80</v>
      </c>
      <c r="L2075" s="16" t="s">
        <v>29</v>
      </c>
      <c r="M2075" s="15"/>
    </row>
    <row r="2076" spans="1:13" ht="13.5" customHeight="1" x14ac:dyDescent="0.25">
      <c r="I2076" s="16">
        <v>20</v>
      </c>
      <c r="L2076" s="16" t="s">
        <v>25</v>
      </c>
      <c r="M2076" s="16" t="s">
        <v>137</v>
      </c>
    </row>
    <row r="2077" spans="1:13" ht="13.5" customHeight="1" x14ac:dyDescent="0.25">
      <c r="I2077" s="16">
        <v>20</v>
      </c>
      <c r="L2077" s="16" t="s">
        <v>25</v>
      </c>
      <c r="M2077" s="16" t="s">
        <v>45</v>
      </c>
    </row>
    <row r="2078" spans="1:13" ht="13.5" customHeight="1" x14ac:dyDescent="0.25">
      <c r="I2078" s="16">
        <v>15</v>
      </c>
      <c r="L2078" s="16" t="s">
        <v>27</v>
      </c>
    </row>
    <row r="2079" spans="1:13" ht="13.5" customHeight="1" x14ac:dyDescent="0.25">
      <c r="I2079" s="16">
        <v>15</v>
      </c>
      <c r="L2079" s="16" t="s">
        <v>26</v>
      </c>
      <c r="M2079" s="16" t="s">
        <v>147</v>
      </c>
    </row>
    <row r="2080" spans="1:13" ht="13.5" customHeight="1" x14ac:dyDescent="0.25">
      <c r="I2080" s="16">
        <v>70</v>
      </c>
      <c r="L2080" s="16" t="s">
        <v>26</v>
      </c>
      <c r="M2080" s="16" t="s">
        <v>475</v>
      </c>
    </row>
    <row r="2082" spans="1:13" ht="13.5" customHeight="1" x14ac:dyDescent="0.25">
      <c r="A2082" s="16" t="s">
        <v>476</v>
      </c>
      <c r="B2082" s="16" t="s">
        <v>0</v>
      </c>
      <c r="C2082" s="15" t="s">
        <v>192</v>
      </c>
      <c r="D2082" s="16" t="s">
        <v>21</v>
      </c>
      <c r="F2082" s="16">
        <f>10.51+37.88+36.16+38.28+38.1+27.46+29.19+32.11+37.83+32.38+37.6+2.834+4.724+4.726+4.722</f>
        <v>374.50599999999997</v>
      </c>
      <c r="G2082" s="16">
        <v>11</v>
      </c>
      <c r="H2082" s="16" t="s">
        <v>22</v>
      </c>
      <c r="I2082" s="16">
        <v>10</v>
      </c>
      <c r="L2082" s="16" t="s">
        <v>23</v>
      </c>
    </row>
    <row r="2083" spans="1:13" ht="13.5" customHeight="1" x14ac:dyDescent="0.25">
      <c r="I2083" s="16">
        <v>110</v>
      </c>
      <c r="L2083" s="16" t="s">
        <v>32</v>
      </c>
    </row>
    <row r="2084" spans="1:13" ht="13.5" customHeight="1" x14ac:dyDescent="0.25">
      <c r="I2084" s="16">
        <v>30</v>
      </c>
      <c r="L2084" s="16" t="s">
        <v>33</v>
      </c>
    </row>
    <row r="2085" spans="1:13" ht="13.5" customHeight="1" x14ac:dyDescent="0.25">
      <c r="I2085" s="16">
        <v>50</v>
      </c>
      <c r="L2085" s="16" t="s">
        <v>29</v>
      </c>
      <c r="M2085" s="15"/>
    </row>
    <row r="2086" spans="1:13" ht="13.5" customHeight="1" x14ac:dyDescent="0.25">
      <c r="I2086" s="16">
        <v>20</v>
      </c>
      <c r="L2086" s="16" t="s">
        <v>25</v>
      </c>
      <c r="M2086" s="16" t="s">
        <v>137</v>
      </c>
    </row>
    <row r="2087" spans="1:13" ht="13.5" customHeight="1" x14ac:dyDescent="0.25">
      <c r="I2087" s="16">
        <v>20</v>
      </c>
      <c r="L2087" s="16" t="s">
        <v>25</v>
      </c>
      <c r="M2087" s="16" t="s">
        <v>45</v>
      </c>
    </row>
    <row r="2088" spans="1:13" ht="13.5" customHeight="1" x14ac:dyDescent="0.25">
      <c r="I2088" s="16">
        <v>15</v>
      </c>
      <c r="L2088" s="16" t="s">
        <v>27</v>
      </c>
    </row>
    <row r="2089" spans="1:13" ht="13.5" customHeight="1" x14ac:dyDescent="0.25">
      <c r="I2089" s="16">
        <v>15</v>
      </c>
      <c r="L2089" s="16" t="s">
        <v>26</v>
      </c>
      <c r="M2089" s="16" t="s">
        <v>147</v>
      </c>
    </row>
    <row r="2091" spans="1:13" ht="13.5" customHeight="1" x14ac:dyDescent="0.25">
      <c r="A2091" s="16" t="s">
        <v>476</v>
      </c>
      <c r="B2091" s="16" t="s">
        <v>1</v>
      </c>
      <c r="C2091" s="16" t="s">
        <v>6</v>
      </c>
      <c r="D2091" s="16" t="s">
        <v>20</v>
      </c>
      <c r="F2091" s="16">
        <v>376.47</v>
      </c>
      <c r="G2091" s="16">
        <v>11</v>
      </c>
      <c r="H2091" s="16" t="s">
        <v>22</v>
      </c>
      <c r="I2091" s="16">
        <v>10</v>
      </c>
      <c r="L2091" s="16" t="s">
        <v>23</v>
      </c>
      <c r="M2091" s="15"/>
    </row>
    <row r="2092" spans="1:13" ht="13.5" customHeight="1" x14ac:dyDescent="0.25">
      <c r="I2092" s="16">
        <v>110</v>
      </c>
      <c r="L2092" s="16" t="s">
        <v>32</v>
      </c>
    </row>
    <row r="2093" spans="1:13" ht="13.5" customHeight="1" x14ac:dyDescent="0.25">
      <c r="I2093" s="16">
        <v>40</v>
      </c>
      <c r="L2093" s="16" t="s">
        <v>33</v>
      </c>
    </row>
    <row r="2094" spans="1:13" ht="13.5" customHeight="1" x14ac:dyDescent="0.25">
      <c r="I2094" s="16">
        <v>40</v>
      </c>
      <c r="L2094" s="16" t="s">
        <v>29</v>
      </c>
      <c r="M2094" s="15"/>
    </row>
    <row r="2095" spans="1:13" ht="13.5" customHeight="1" x14ac:dyDescent="0.25">
      <c r="I2095" s="16">
        <v>30</v>
      </c>
      <c r="L2095" s="16" t="s">
        <v>25</v>
      </c>
      <c r="M2095" s="16" t="s">
        <v>137</v>
      </c>
    </row>
    <row r="2096" spans="1:13" ht="13.5" customHeight="1" x14ac:dyDescent="0.25">
      <c r="I2096" s="16">
        <v>20</v>
      </c>
      <c r="L2096" s="16" t="s">
        <v>25</v>
      </c>
      <c r="M2096" s="15" t="s">
        <v>36</v>
      </c>
    </row>
    <row r="2097" spans="1:13" ht="13.5" customHeight="1" x14ac:dyDescent="0.25">
      <c r="I2097" s="16">
        <v>15</v>
      </c>
      <c r="L2097" s="16" t="s">
        <v>27</v>
      </c>
    </row>
    <row r="2098" spans="1:13" ht="13.5" customHeight="1" x14ac:dyDescent="0.25">
      <c r="I2098" s="16">
        <v>20</v>
      </c>
      <c r="L2098" s="16" t="s">
        <v>26</v>
      </c>
      <c r="M2098" s="16" t="s">
        <v>147</v>
      </c>
    </row>
    <row r="2100" spans="1:13" ht="13.5" customHeight="1" x14ac:dyDescent="0.25">
      <c r="A2100" s="16" t="s">
        <v>476</v>
      </c>
      <c r="B2100" s="16" t="s">
        <v>2</v>
      </c>
      <c r="C2100" s="16" t="s">
        <v>16</v>
      </c>
      <c r="D2100" s="16" t="s">
        <v>19</v>
      </c>
      <c r="F2100" s="16">
        <v>361.13</v>
      </c>
      <c r="G2100" s="16">
        <v>11</v>
      </c>
      <c r="H2100" s="16" t="s">
        <v>22</v>
      </c>
      <c r="I2100" s="16">
        <v>10</v>
      </c>
      <c r="L2100" s="16" t="s">
        <v>23</v>
      </c>
    </row>
    <row r="2101" spans="1:13" ht="13.5" customHeight="1" x14ac:dyDescent="0.25">
      <c r="I2101" s="16">
        <v>110</v>
      </c>
      <c r="L2101" s="16" t="s">
        <v>32</v>
      </c>
    </row>
    <row r="2102" spans="1:13" ht="13.5" customHeight="1" x14ac:dyDescent="0.25">
      <c r="I2102" s="16">
        <v>30</v>
      </c>
      <c r="L2102" s="16" t="s">
        <v>33</v>
      </c>
    </row>
    <row r="2103" spans="1:13" ht="13.5" customHeight="1" x14ac:dyDescent="0.25">
      <c r="I2103" s="16">
        <v>50</v>
      </c>
      <c r="L2103" s="16" t="s">
        <v>29</v>
      </c>
      <c r="M2103" s="15"/>
    </row>
    <row r="2104" spans="1:13" ht="13.5" customHeight="1" x14ac:dyDescent="0.25">
      <c r="I2104" s="16">
        <v>20</v>
      </c>
      <c r="L2104" s="16" t="s">
        <v>25</v>
      </c>
      <c r="M2104" s="16" t="s">
        <v>137</v>
      </c>
    </row>
    <row r="2105" spans="1:13" ht="13.5" customHeight="1" x14ac:dyDescent="0.25">
      <c r="I2105" s="16">
        <v>20</v>
      </c>
      <c r="L2105" s="16" t="s">
        <v>25</v>
      </c>
      <c r="M2105" s="16" t="s">
        <v>45</v>
      </c>
    </row>
    <row r="2106" spans="1:13" ht="13.5" customHeight="1" x14ac:dyDescent="0.25">
      <c r="I2106" s="16">
        <v>15</v>
      </c>
      <c r="L2106" s="16" t="s">
        <v>27</v>
      </c>
    </row>
    <row r="2107" spans="1:13" ht="13.5" customHeight="1" x14ac:dyDescent="0.25">
      <c r="I2107" s="16">
        <v>15</v>
      </c>
      <c r="L2107" s="16" t="s">
        <v>26</v>
      </c>
      <c r="M2107" s="16" t="s">
        <v>147</v>
      </c>
    </row>
    <row r="2110" spans="1:13" ht="13.5" customHeight="1" x14ac:dyDescent="0.25">
      <c r="A2110" s="16" t="s">
        <v>477</v>
      </c>
      <c r="B2110" s="16" t="s">
        <v>0</v>
      </c>
      <c r="C2110" s="15" t="s">
        <v>192</v>
      </c>
      <c r="D2110" s="16" t="s">
        <v>21</v>
      </c>
      <c r="F2110" s="16">
        <v>349.09</v>
      </c>
      <c r="G2110" s="16">
        <v>10.25</v>
      </c>
      <c r="H2110" s="16" t="s">
        <v>22</v>
      </c>
      <c r="I2110" s="16">
        <v>10</v>
      </c>
      <c r="L2110" s="16" t="s">
        <v>23</v>
      </c>
    </row>
    <row r="2111" spans="1:13" ht="13.5" customHeight="1" x14ac:dyDescent="0.25">
      <c r="I2111" s="16">
        <v>100</v>
      </c>
      <c r="L2111" s="16" t="s">
        <v>32</v>
      </c>
    </row>
    <row r="2112" spans="1:13" ht="13.5" customHeight="1" x14ac:dyDescent="0.25">
      <c r="I2112" s="16">
        <v>30</v>
      </c>
      <c r="L2112" s="16" t="s">
        <v>33</v>
      </c>
    </row>
    <row r="2113" spans="1:13" ht="13.5" customHeight="1" x14ac:dyDescent="0.25">
      <c r="I2113" s="16">
        <v>80</v>
      </c>
      <c r="L2113" s="16" t="s">
        <v>29</v>
      </c>
      <c r="M2113" s="15" t="s">
        <v>478</v>
      </c>
    </row>
    <row r="2114" spans="1:13" ht="13.5" customHeight="1" x14ac:dyDescent="0.25">
      <c r="I2114" s="16">
        <v>20</v>
      </c>
      <c r="L2114" s="16" t="s">
        <v>25</v>
      </c>
      <c r="M2114" s="16" t="s">
        <v>137</v>
      </c>
    </row>
    <row r="2115" spans="1:13" ht="13.5" customHeight="1" x14ac:dyDescent="0.25">
      <c r="I2115" s="16">
        <v>20</v>
      </c>
      <c r="L2115" s="16" t="s">
        <v>25</v>
      </c>
      <c r="M2115" s="16" t="s">
        <v>45</v>
      </c>
    </row>
    <row r="2116" spans="1:13" ht="13.5" customHeight="1" x14ac:dyDescent="0.25">
      <c r="I2116" s="16">
        <v>15</v>
      </c>
      <c r="L2116" s="16" t="s">
        <v>27</v>
      </c>
    </row>
    <row r="2117" spans="1:13" ht="13.5" customHeight="1" x14ac:dyDescent="0.25">
      <c r="I2117" s="16">
        <v>15</v>
      </c>
      <c r="L2117" s="16" t="s">
        <v>26</v>
      </c>
      <c r="M2117" s="16" t="s">
        <v>147</v>
      </c>
    </row>
    <row r="2118" spans="1:13" ht="13.5" customHeight="1" x14ac:dyDescent="0.25">
      <c r="I2118" s="16">
        <v>20</v>
      </c>
      <c r="J2118" s="18">
        <v>0.3125</v>
      </c>
      <c r="K2118" s="18">
        <v>0.3263888888888889</v>
      </c>
      <c r="L2118" s="16" t="s">
        <v>26</v>
      </c>
      <c r="M2118" s="15" t="s">
        <v>479</v>
      </c>
    </row>
    <row r="2120" spans="1:13" ht="13.5" customHeight="1" x14ac:dyDescent="0.25">
      <c r="A2120" s="16" t="s">
        <v>477</v>
      </c>
      <c r="B2120" s="16" t="s">
        <v>1</v>
      </c>
      <c r="C2120" s="16" t="s">
        <v>15</v>
      </c>
      <c r="D2120" s="16" t="s">
        <v>20</v>
      </c>
      <c r="F2120" s="16">
        <v>339.81</v>
      </c>
      <c r="G2120" s="16">
        <v>10.75</v>
      </c>
      <c r="H2120" s="16" t="s">
        <v>22</v>
      </c>
      <c r="I2120" s="16">
        <v>10</v>
      </c>
      <c r="L2120" s="16" t="s">
        <v>23</v>
      </c>
      <c r="M2120" s="15"/>
    </row>
    <row r="2121" spans="1:13" ht="13.5" customHeight="1" x14ac:dyDescent="0.25">
      <c r="I2121" s="16">
        <v>110</v>
      </c>
      <c r="L2121" s="16" t="s">
        <v>32</v>
      </c>
    </row>
    <row r="2122" spans="1:13" ht="13.5" customHeight="1" x14ac:dyDescent="0.25">
      <c r="I2122" s="16">
        <v>40</v>
      </c>
      <c r="L2122" s="16" t="s">
        <v>33</v>
      </c>
    </row>
    <row r="2123" spans="1:13" ht="13.5" customHeight="1" x14ac:dyDescent="0.25">
      <c r="I2123" s="16">
        <v>40</v>
      </c>
      <c r="L2123" s="16" t="s">
        <v>29</v>
      </c>
      <c r="M2123" s="15"/>
    </row>
    <row r="2124" spans="1:13" ht="13.5" customHeight="1" x14ac:dyDescent="0.25">
      <c r="I2124" s="16">
        <v>30</v>
      </c>
      <c r="L2124" s="16" t="s">
        <v>25</v>
      </c>
      <c r="M2124" s="16" t="s">
        <v>137</v>
      </c>
    </row>
    <row r="2125" spans="1:13" ht="13.5" customHeight="1" x14ac:dyDescent="0.25">
      <c r="I2125" s="16">
        <v>20</v>
      </c>
      <c r="L2125" s="16" t="s">
        <v>25</v>
      </c>
      <c r="M2125" s="15" t="s">
        <v>36</v>
      </c>
    </row>
    <row r="2126" spans="1:13" ht="13.5" customHeight="1" x14ac:dyDescent="0.25">
      <c r="I2126" s="16">
        <v>15</v>
      </c>
      <c r="L2126" s="16" t="s">
        <v>27</v>
      </c>
    </row>
    <row r="2127" spans="1:13" ht="13.5" customHeight="1" x14ac:dyDescent="0.25">
      <c r="I2127" s="16">
        <v>20</v>
      </c>
      <c r="L2127" s="16" t="s">
        <v>26</v>
      </c>
      <c r="M2127" s="16" t="s">
        <v>147</v>
      </c>
    </row>
    <row r="2128" spans="1:13" ht="13.5" customHeight="1" x14ac:dyDescent="0.25">
      <c r="I2128" s="16">
        <v>30</v>
      </c>
      <c r="L2128" s="16" t="s">
        <v>29</v>
      </c>
      <c r="M2128" s="15" t="s">
        <v>480</v>
      </c>
    </row>
    <row r="2130" spans="1:13" ht="13.5" customHeight="1" x14ac:dyDescent="0.25">
      <c r="A2130" s="16" t="s">
        <v>477</v>
      </c>
      <c r="B2130" s="16" t="s">
        <v>2</v>
      </c>
      <c r="C2130" s="16" t="s">
        <v>16</v>
      </c>
      <c r="D2130" s="16" t="s">
        <v>19</v>
      </c>
      <c r="F2130" s="16">
        <v>356.46</v>
      </c>
      <c r="G2130" s="16">
        <v>11</v>
      </c>
      <c r="H2130" s="16" t="s">
        <v>22</v>
      </c>
      <c r="I2130" s="16">
        <v>10</v>
      </c>
      <c r="L2130" s="16" t="s">
        <v>23</v>
      </c>
    </row>
    <row r="2131" spans="1:13" ht="13.5" customHeight="1" x14ac:dyDescent="0.25">
      <c r="I2131" s="16">
        <v>110</v>
      </c>
      <c r="L2131" s="16" t="s">
        <v>32</v>
      </c>
    </row>
    <row r="2132" spans="1:13" ht="13.5" customHeight="1" x14ac:dyDescent="0.25">
      <c r="I2132" s="16">
        <v>30</v>
      </c>
      <c r="L2132" s="16" t="s">
        <v>33</v>
      </c>
    </row>
    <row r="2133" spans="1:13" ht="13.5" customHeight="1" x14ac:dyDescent="0.25">
      <c r="I2133" s="16">
        <v>50</v>
      </c>
      <c r="L2133" s="16" t="s">
        <v>29</v>
      </c>
      <c r="M2133" s="15"/>
    </row>
    <row r="2134" spans="1:13" ht="13.5" customHeight="1" x14ac:dyDescent="0.25">
      <c r="I2134" s="16">
        <v>20</v>
      </c>
      <c r="L2134" s="16" t="s">
        <v>25</v>
      </c>
      <c r="M2134" s="16" t="s">
        <v>137</v>
      </c>
    </row>
    <row r="2135" spans="1:13" ht="13.5" customHeight="1" x14ac:dyDescent="0.25">
      <c r="I2135" s="16">
        <v>20</v>
      </c>
      <c r="L2135" s="16" t="s">
        <v>25</v>
      </c>
      <c r="M2135" s="16" t="s">
        <v>45</v>
      </c>
    </row>
    <row r="2136" spans="1:13" ht="13.5" customHeight="1" x14ac:dyDescent="0.25">
      <c r="I2136" s="16">
        <v>15</v>
      </c>
      <c r="L2136" s="16" t="s">
        <v>27</v>
      </c>
    </row>
    <row r="2137" spans="1:13" ht="13.5" customHeight="1" x14ac:dyDescent="0.25">
      <c r="I2137" s="16">
        <v>15</v>
      </c>
      <c r="L2137" s="16" t="s">
        <v>26</v>
      </c>
      <c r="M2137" s="16" t="s">
        <v>147</v>
      </c>
    </row>
    <row r="2139" spans="1:13" ht="13.5" customHeight="1" x14ac:dyDescent="0.25">
      <c r="A2139" s="16" t="s">
        <v>481</v>
      </c>
      <c r="B2139" s="16" t="s">
        <v>0</v>
      </c>
      <c r="C2139" s="16" t="s">
        <v>6</v>
      </c>
      <c r="D2139" s="16" t="s">
        <v>21</v>
      </c>
      <c r="F2139" s="16">
        <f>14.27+37.7+38.3+38.07+37.71+33.91+38.63+32.1+32.37+38.64+7.7+7.69+7.69+7.694</f>
        <v>372.47399999999999</v>
      </c>
      <c r="G2139" s="16">
        <v>10.199999999999999</v>
      </c>
      <c r="H2139" s="16" t="s">
        <v>22</v>
      </c>
      <c r="I2139" s="16">
        <v>10</v>
      </c>
      <c r="L2139" s="16" t="s">
        <v>23</v>
      </c>
    </row>
    <row r="2140" spans="1:13" ht="13.5" customHeight="1" x14ac:dyDescent="0.25">
      <c r="I2140" s="16">
        <v>100</v>
      </c>
      <c r="L2140" s="16" t="s">
        <v>32</v>
      </c>
    </row>
    <row r="2141" spans="1:13" ht="13.5" customHeight="1" x14ac:dyDescent="0.25">
      <c r="I2141" s="16">
        <v>30</v>
      </c>
      <c r="L2141" s="16" t="s">
        <v>33</v>
      </c>
    </row>
    <row r="2142" spans="1:13" ht="13.5" customHeight="1" x14ac:dyDescent="0.25">
      <c r="I2142" s="16">
        <v>50</v>
      </c>
      <c r="L2142" s="16" t="s">
        <v>29</v>
      </c>
      <c r="M2142" s="15"/>
    </row>
    <row r="2143" spans="1:13" ht="13.5" customHeight="1" x14ac:dyDescent="0.25">
      <c r="I2143" s="16">
        <v>20</v>
      </c>
      <c r="L2143" s="16" t="s">
        <v>25</v>
      </c>
      <c r="M2143" s="16" t="s">
        <v>137</v>
      </c>
    </row>
    <row r="2144" spans="1:13" ht="13.5" customHeight="1" x14ac:dyDescent="0.25">
      <c r="I2144" s="16">
        <v>20</v>
      </c>
      <c r="L2144" s="16" t="s">
        <v>25</v>
      </c>
      <c r="M2144" s="16" t="s">
        <v>45</v>
      </c>
    </row>
    <row r="2145" spans="1:13" ht="13.5" customHeight="1" x14ac:dyDescent="0.25">
      <c r="I2145" s="16">
        <v>15</v>
      </c>
      <c r="L2145" s="16" t="s">
        <v>27</v>
      </c>
    </row>
    <row r="2146" spans="1:13" ht="13.5" customHeight="1" x14ac:dyDescent="0.25">
      <c r="G2146" s="16" t="s">
        <v>305</v>
      </c>
      <c r="I2146" s="16">
        <v>15</v>
      </c>
      <c r="L2146" s="16" t="s">
        <v>26</v>
      </c>
      <c r="M2146" s="16" t="s">
        <v>147</v>
      </c>
    </row>
    <row r="2147" spans="1:13" ht="13.5" customHeight="1" x14ac:dyDescent="0.25">
      <c r="I2147" s="16">
        <v>15</v>
      </c>
      <c r="L2147" s="16" t="s">
        <v>26</v>
      </c>
      <c r="M2147" s="15"/>
    </row>
    <row r="2148" spans="1:13" ht="13.5" customHeight="1" x14ac:dyDescent="0.25">
      <c r="M2148" s="15"/>
    </row>
    <row r="2149" spans="1:13" ht="13.5" customHeight="1" x14ac:dyDescent="0.25">
      <c r="A2149" s="16" t="s">
        <v>481</v>
      </c>
      <c r="B2149" s="16" t="s">
        <v>1</v>
      </c>
      <c r="C2149" s="16" t="s">
        <v>16</v>
      </c>
      <c r="D2149" s="16" t="s">
        <v>20</v>
      </c>
      <c r="F2149" s="16">
        <v>360.31</v>
      </c>
      <c r="G2149" s="16">
        <v>11</v>
      </c>
      <c r="H2149" s="16" t="s">
        <v>22</v>
      </c>
      <c r="I2149" s="16">
        <v>10</v>
      </c>
      <c r="L2149" s="16" t="s">
        <v>23</v>
      </c>
    </row>
    <row r="2150" spans="1:13" ht="13.5" customHeight="1" x14ac:dyDescent="0.25">
      <c r="I2150" s="16">
        <v>110</v>
      </c>
      <c r="L2150" s="16" t="s">
        <v>32</v>
      </c>
    </row>
    <row r="2151" spans="1:13" ht="13.5" customHeight="1" x14ac:dyDescent="0.25">
      <c r="I2151" s="16">
        <v>30</v>
      </c>
      <c r="L2151" s="16" t="s">
        <v>33</v>
      </c>
    </row>
    <row r="2152" spans="1:13" ht="13.5" customHeight="1" x14ac:dyDescent="0.25">
      <c r="I2152" s="16">
        <v>50</v>
      </c>
      <c r="L2152" s="16" t="s">
        <v>29</v>
      </c>
      <c r="M2152" s="15"/>
    </row>
    <row r="2153" spans="1:13" ht="13.5" customHeight="1" x14ac:dyDescent="0.25">
      <c r="I2153" s="16">
        <v>20</v>
      </c>
      <c r="L2153" s="16" t="s">
        <v>25</v>
      </c>
      <c r="M2153" s="16" t="s">
        <v>137</v>
      </c>
    </row>
    <row r="2154" spans="1:13" ht="13.5" customHeight="1" x14ac:dyDescent="0.25">
      <c r="I2154" s="16">
        <v>20</v>
      </c>
      <c r="L2154" s="16" t="s">
        <v>25</v>
      </c>
      <c r="M2154" s="16" t="s">
        <v>45</v>
      </c>
    </row>
    <row r="2155" spans="1:13" ht="13.5" customHeight="1" x14ac:dyDescent="0.25">
      <c r="I2155" s="16">
        <v>15</v>
      </c>
      <c r="L2155" s="16" t="s">
        <v>27</v>
      </c>
    </row>
    <row r="2156" spans="1:13" ht="13.5" customHeight="1" x14ac:dyDescent="0.25">
      <c r="I2156" s="16">
        <v>15</v>
      </c>
      <c r="L2156" s="16" t="s">
        <v>26</v>
      </c>
      <c r="M2156" s="16" t="s">
        <v>147</v>
      </c>
    </row>
    <row r="2157" spans="1:13" ht="13.5" customHeight="1" x14ac:dyDescent="0.25">
      <c r="I2157" s="16">
        <v>20</v>
      </c>
      <c r="L2157" s="16" t="s">
        <v>26</v>
      </c>
      <c r="M2157" s="15" t="s">
        <v>288</v>
      </c>
    </row>
    <row r="2159" spans="1:13" ht="13.5" customHeight="1" x14ac:dyDescent="0.25">
      <c r="A2159" s="16" t="s">
        <v>481</v>
      </c>
      <c r="B2159" s="16" t="s">
        <v>2</v>
      </c>
      <c r="C2159" s="16" t="s">
        <v>15</v>
      </c>
      <c r="D2159" s="16" t="s">
        <v>19</v>
      </c>
      <c r="F2159" s="16">
        <v>364.76</v>
      </c>
      <c r="G2159" s="16">
        <v>11</v>
      </c>
      <c r="H2159" s="16" t="s">
        <v>22</v>
      </c>
      <c r="I2159" s="16">
        <v>10</v>
      </c>
      <c r="L2159" s="16" t="s">
        <v>23</v>
      </c>
    </row>
    <row r="2160" spans="1:13" ht="13.5" customHeight="1" x14ac:dyDescent="0.25">
      <c r="I2160" s="16">
        <v>110</v>
      </c>
      <c r="L2160" s="16" t="s">
        <v>32</v>
      </c>
    </row>
    <row r="2161" spans="1:13" ht="13.5" customHeight="1" x14ac:dyDescent="0.25">
      <c r="I2161" s="16">
        <v>30</v>
      </c>
      <c r="L2161" s="16" t="s">
        <v>33</v>
      </c>
    </row>
    <row r="2162" spans="1:13" ht="13.5" customHeight="1" x14ac:dyDescent="0.25">
      <c r="I2162" s="16">
        <v>50</v>
      </c>
      <c r="L2162" s="16" t="s">
        <v>29</v>
      </c>
      <c r="M2162" s="15"/>
    </row>
    <row r="2163" spans="1:13" ht="13.5" customHeight="1" x14ac:dyDescent="0.25">
      <c r="I2163" s="16">
        <v>20</v>
      </c>
      <c r="L2163" s="16" t="s">
        <v>25</v>
      </c>
      <c r="M2163" s="16" t="s">
        <v>137</v>
      </c>
    </row>
    <row r="2164" spans="1:13" ht="13.5" customHeight="1" x14ac:dyDescent="0.25">
      <c r="I2164" s="16">
        <v>20</v>
      </c>
      <c r="L2164" s="16" t="s">
        <v>25</v>
      </c>
      <c r="M2164" s="16" t="s">
        <v>45</v>
      </c>
    </row>
    <row r="2165" spans="1:13" ht="13.5" customHeight="1" x14ac:dyDescent="0.25">
      <c r="I2165" s="16">
        <v>15</v>
      </c>
      <c r="L2165" s="16" t="s">
        <v>27</v>
      </c>
    </row>
    <row r="2166" spans="1:13" ht="13.5" customHeight="1" x14ac:dyDescent="0.25">
      <c r="I2166" s="16">
        <v>15</v>
      </c>
      <c r="L2166" s="16" t="s">
        <v>26</v>
      </c>
      <c r="M2166" s="16" t="s">
        <v>147</v>
      </c>
    </row>
    <row r="2168" spans="1:13" ht="13.5" customHeight="1" x14ac:dyDescent="0.25">
      <c r="A2168" s="16" t="s">
        <v>482</v>
      </c>
      <c r="B2168" s="16" t="s">
        <v>0</v>
      </c>
      <c r="C2168" s="16" t="s">
        <v>6</v>
      </c>
      <c r="D2168" s="16" t="s">
        <v>20</v>
      </c>
      <c r="F2168" s="16">
        <v>392.02</v>
      </c>
      <c r="G2168" s="16">
        <v>11</v>
      </c>
      <c r="H2168" s="16" t="s">
        <v>22</v>
      </c>
      <c r="I2168" s="16">
        <v>10</v>
      </c>
      <c r="L2168" s="16" t="s">
        <v>23</v>
      </c>
    </row>
    <row r="2169" spans="1:13" ht="13.5" customHeight="1" x14ac:dyDescent="0.25">
      <c r="I2169" s="16">
        <v>110</v>
      </c>
      <c r="L2169" s="16" t="s">
        <v>32</v>
      </c>
    </row>
    <row r="2170" spans="1:13" ht="13.5" customHeight="1" x14ac:dyDescent="0.25">
      <c r="I2170" s="16">
        <v>30</v>
      </c>
      <c r="L2170" s="16" t="s">
        <v>33</v>
      </c>
    </row>
    <row r="2171" spans="1:13" ht="13.5" customHeight="1" x14ac:dyDescent="0.25">
      <c r="I2171" s="16">
        <v>45</v>
      </c>
      <c r="L2171" s="16" t="s">
        <v>29</v>
      </c>
      <c r="M2171" s="15"/>
    </row>
    <row r="2172" spans="1:13" ht="13.5" customHeight="1" x14ac:dyDescent="0.25">
      <c r="I2172" s="16">
        <v>20</v>
      </c>
      <c r="L2172" s="16" t="s">
        <v>25</v>
      </c>
      <c r="M2172" s="16" t="s">
        <v>137</v>
      </c>
    </row>
    <row r="2173" spans="1:13" ht="13.5" customHeight="1" x14ac:dyDescent="0.25">
      <c r="I2173" s="16">
        <v>20</v>
      </c>
      <c r="L2173" s="16" t="s">
        <v>25</v>
      </c>
      <c r="M2173" s="16" t="s">
        <v>45</v>
      </c>
    </row>
    <row r="2174" spans="1:13" ht="13.5" customHeight="1" x14ac:dyDescent="0.25">
      <c r="I2174" s="16">
        <v>15</v>
      </c>
      <c r="L2174" s="16" t="s">
        <v>27</v>
      </c>
    </row>
    <row r="2175" spans="1:13" ht="13.5" customHeight="1" x14ac:dyDescent="0.25">
      <c r="G2175" s="16" t="s">
        <v>305</v>
      </c>
      <c r="I2175" s="16">
        <v>20</v>
      </c>
      <c r="L2175" s="16" t="s">
        <v>26</v>
      </c>
      <c r="M2175" s="16" t="s">
        <v>147</v>
      </c>
    </row>
    <row r="2176" spans="1:13" ht="13.5" customHeight="1" x14ac:dyDescent="0.25">
      <c r="I2176" s="15"/>
      <c r="J2176" s="15"/>
      <c r="K2176" s="15"/>
      <c r="L2176" s="15"/>
      <c r="M2176" s="15"/>
    </row>
    <row r="2177" spans="1:13" ht="13.5" customHeight="1" x14ac:dyDescent="0.25">
      <c r="A2177" s="16" t="s">
        <v>482</v>
      </c>
      <c r="B2177" s="16" t="s">
        <v>1</v>
      </c>
      <c r="C2177" s="16" t="s">
        <v>18</v>
      </c>
      <c r="D2177" s="16" t="s">
        <v>19</v>
      </c>
      <c r="F2177" s="16">
        <v>244.34</v>
      </c>
      <c r="G2177" s="16">
        <v>7</v>
      </c>
      <c r="H2177" s="16" t="s">
        <v>22</v>
      </c>
      <c r="I2177" s="16">
        <v>10</v>
      </c>
      <c r="L2177" s="16" t="s">
        <v>23</v>
      </c>
    </row>
    <row r="2178" spans="1:13" ht="13.5" customHeight="1" x14ac:dyDescent="0.25">
      <c r="I2178" s="16">
        <v>70</v>
      </c>
      <c r="L2178" s="16" t="s">
        <v>32</v>
      </c>
    </row>
    <row r="2179" spans="1:13" ht="13.5" customHeight="1" x14ac:dyDescent="0.25">
      <c r="I2179" s="16">
        <v>20</v>
      </c>
      <c r="L2179" s="16" t="s">
        <v>33</v>
      </c>
    </row>
    <row r="2180" spans="1:13" ht="13.5" customHeight="1" x14ac:dyDescent="0.25">
      <c r="I2180" s="16">
        <v>20</v>
      </c>
      <c r="L2180" s="16" t="s">
        <v>29</v>
      </c>
      <c r="M2180" s="15"/>
    </row>
    <row r="2181" spans="1:13" ht="13.5" customHeight="1" x14ac:dyDescent="0.25">
      <c r="I2181" s="16">
        <v>10</v>
      </c>
      <c r="L2181" s="16" t="s">
        <v>25</v>
      </c>
      <c r="M2181" s="16" t="s">
        <v>137</v>
      </c>
    </row>
    <row r="2182" spans="1:13" ht="13.5" customHeight="1" x14ac:dyDescent="0.25">
      <c r="I2182" s="16">
        <v>10</v>
      </c>
      <c r="L2182" s="16" t="s">
        <v>25</v>
      </c>
      <c r="M2182" s="16" t="s">
        <v>45</v>
      </c>
    </row>
    <row r="2183" spans="1:13" ht="13.5" customHeight="1" x14ac:dyDescent="0.25">
      <c r="I2183" s="16">
        <v>15</v>
      </c>
      <c r="L2183" s="16" t="s">
        <v>27</v>
      </c>
    </row>
    <row r="2184" spans="1:13" ht="13.5" customHeight="1" x14ac:dyDescent="0.25">
      <c r="I2184" s="16">
        <v>15</v>
      </c>
      <c r="L2184" s="16" t="s">
        <v>26</v>
      </c>
      <c r="M2184" s="16" t="s">
        <v>147</v>
      </c>
    </row>
    <row r="2185" spans="1:13" ht="13.5" customHeight="1" x14ac:dyDescent="0.25">
      <c r="I2185" s="16">
        <v>80</v>
      </c>
      <c r="L2185" s="16" t="s">
        <v>26</v>
      </c>
      <c r="M2185" s="16" t="s">
        <v>483</v>
      </c>
    </row>
    <row r="2186" spans="1:13" ht="13.5" customHeight="1" x14ac:dyDescent="0.25">
      <c r="I2186" s="16">
        <v>120</v>
      </c>
      <c r="L2186" s="16" t="s">
        <v>26</v>
      </c>
      <c r="M2186" s="16" t="s">
        <v>484</v>
      </c>
    </row>
    <row r="2187" spans="1:13" ht="13.5" customHeight="1" x14ac:dyDescent="0.25">
      <c r="I2187" s="16">
        <v>20</v>
      </c>
      <c r="L2187" s="16" t="s">
        <v>24</v>
      </c>
      <c r="M2187" s="16" t="s">
        <v>485</v>
      </c>
    </row>
    <row r="2189" spans="1:13" ht="13.5" customHeight="1" x14ac:dyDescent="0.25">
      <c r="A2189" s="16" t="s">
        <v>482</v>
      </c>
      <c r="B2189" s="16" t="s">
        <v>2</v>
      </c>
      <c r="C2189" s="16" t="s">
        <v>15</v>
      </c>
      <c r="D2189" s="16" t="s">
        <v>21</v>
      </c>
      <c r="F2189" s="16">
        <f>22.83+38.1+38+38.27+38.38+37.56+38.33+37.56+27.2+38.34</f>
        <v>354.57000000000005</v>
      </c>
      <c r="G2189" s="16">
        <v>9.5</v>
      </c>
      <c r="H2189" s="16" t="s">
        <v>22</v>
      </c>
      <c r="I2189" s="16">
        <v>10</v>
      </c>
      <c r="L2189" s="16" t="s">
        <v>23</v>
      </c>
    </row>
    <row r="2190" spans="1:13" ht="13.5" customHeight="1" x14ac:dyDescent="0.25">
      <c r="I2190" s="16">
        <v>90</v>
      </c>
      <c r="L2190" s="16" t="s">
        <v>32</v>
      </c>
    </row>
    <row r="2191" spans="1:13" ht="13.5" customHeight="1" x14ac:dyDescent="0.25">
      <c r="I2191" s="16">
        <v>30</v>
      </c>
      <c r="L2191" s="16" t="s">
        <v>33</v>
      </c>
    </row>
    <row r="2192" spans="1:13" ht="13.5" customHeight="1" x14ac:dyDescent="0.25">
      <c r="I2192" s="16">
        <v>50</v>
      </c>
      <c r="L2192" s="16" t="s">
        <v>29</v>
      </c>
      <c r="M2192" s="15"/>
    </row>
    <row r="2193" spans="1:13" ht="13.5" customHeight="1" x14ac:dyDescent="0.25">
      <c r="I2193" s="16">
        <v>20</v>
      </c>
      <c r="L2193" s="16" t="s">
        <v>25</v>
      </c>
      <c r="M2193" s="16" t="s">
        <v>137</v>
      </c>
    </row>
    <row r="2194" spans="1:13" ht="13.5" customHeight="1" x14ac:dyDescent="0.25">
      <c r="I2194" s="16">
        <v>20</v>
      </c>
      <c r="L2194" s="16" t="s">
        <v>25</v>
      </c>
      <c r="M2194" s="16" t="s">
        <v>45</v>
      </c>
    </row>
    <row r="2195" spans="1:13" ht="13.5" customHeight="1" x14ac:dyDescent="0.25">
      <c r="I2195" s="16">
        <v>15</v>
      </c>
      <c r="L2195" s="16" t="s">
        <v>27</v>
      </c>
    </row>
    <row r="2196" spans="1:13" ht="13.5" customHeight="1" x14ac:dyDescent="0.25">
      <c r="I2196" s="16">
        <v>15</v>
      </c>
      <c r="L2196" s="16" t="s">
        <v>26</v>
      </c>
      <c r="M2196" s="16" t="s">
        <v>147</v>
      </c>
    </row>
    <row r="2197" spans="1:13" ht="13.5" customHeight="1" x14ac:dyDescent="0.25">
      <c r="I2197" s="16">
        <v>70</v>
      </c>
      <c r="J2197" s="18">
        <v>0.4201388888888889</v>
      </c>
      <c r="K2197" s="18">
        <v>0.46875</v>
      </c>
      <c r="L2197" s="16" t="s">
        <v>26</v>
      </c>
      <c r="M2197" s="15" t="s">
        <v>486</v>
      </c>
    </row>
    <row r="2198" spans="1:13" ht="13.5" customHeight="1" x14ac:dyDescent="0.25">
      <c r="I2198" s="16">
        <v>20</v>
      </c>
      <c r="L2198" s="16" t="s">
        <v>26</v>
      </c>
      <c r="M2198" s="15" t="s">
        <v>487</v>
      </c>
    </row>
    <row r="2200" spans="1:13" ht="13.5" customHeight="1" x14ac:dyDescent="0.25">
      <c r="A2200" s="16" t="s">
        <v>488</v>
      </c>
      <c r="B2200" s="16" t="s">
        <v>0</v>
      </c>
      <c r="C2200" s="16" t="s">
        <v>6</v>
      </c>
      <c r="D2200" s="16" t="s">
        <v>20</v>
      </c>
      <c r="F2200" s="16">
        <v>372.11</v>
      </c>
      <c r="G2200" s="16">
        <v>10</v>
      </c>
      <c r="H2200" s="16" t="s">
        <v>22</v>
      </c>
      <c r="I2200" s="16">
        <v>10</v>
      </c>
      <c r="L2200" s="16" t="s">
        <v>23</v>
      </c>
    </row>
    <row r="2201" spans="1:13" ht="13.5" customHeight="1" x14ac:dyDescent="0.25">
      <c r="I2201" s="16">
        <v>100</v>
      </c>
      <c r="L2201" s="16" t="s">
        <v>32</v>
      </c>
    </row>
    <row r="2202" spans="1:13" ht="13.5" customHeight="1" x14ac:dyDescent="0.25">
      <c r="I2202" s="16">
        <v>30</v>
      </c>
      <c r="L2202" s="16" t="s">
        <v>33</v>
      </c>
    </row>
    <row r="2203" spans="1:13" ht="13.5" customHeight="1" x14ac:dyDescent="0.25">
      <c r="I2203" s="16">
        <v>45</v>
      </c>
      <c r="L2203" s="16" t="s">
        <v>29</v>
      </c>
      <c r="M2203" s="15"/>
    </row>
    <row r="2204" spans="1:13" ht="13.5" customHeight="1" x14ac:dyDescent="0.25">
      <c r="I2204" s="16">
        <v>20</v>
      </c>
      <c r="L2204" s="16" t="s">
        <v>25</v>
      </c>
      <c r="M2204" s="16" t="s">
        <v>137</v>
      </c>
    </row>
    <row r="2205" spans="1:13" ht="13.5" customHeight="1" x14ac:dyDescent="0.25">
      <c r="I2205" s="16">
        <v>20</v>
      </c>
      <c r="L2205" s="16" t="s">
        <v>25</v>
      </c>
      <c r="M2205" s="16" t="s">
        <v>45</v>
      </c>
    </row>
    <row r="2206" spans="1:13" ht="13.5" customHeight="1" x14ac:dyDescent="0.25">
      <c r="I2206" s="16">
        <v>15</v>
      </c>
      <c r="L2206" s="16" t="s">
        <v>27</v>
      </c>
    </row>
    <row r="2207" spans="1:13" ht="13.5" customHeight="1" x14ac:dyDescent="0.25">
      <c r="G2207" s="16" t="s">
        <v>305</v>
      </c>
      <c r="I2207" s="16">
        <v>20</v>
      </c>
      <c r="L2207" s="16" t="s">
        <v>26</v>
      </c>
      <c r="M2207" s="16" t="s">
        <v>147</v>
      </c>
    </row>
    <row r="2208" spans="1:13" ht="13.5" customHeight="1" x14ac:dyDescent="0.25">
      <c r="I2208" s="16">
        <v>30</v>
      </c>
      <c r="L2208" s="16" t="s">
        <v>26</v>
      </c>
      <c r="M2208" s="15" t="s">
        <v>489</v>
      </c>
    </row>
    <row r="2209" spans="1:13" ht="13.5" customHeight="1" x14ac:dyDescent="0.25">
      <c r="I2209" s="16">
        <v>30</v>
      </c>
      <c r="L2209" s="16" t="s">
        <v>26</v>
      </c>
      <c r="M2209" s="15" t="s">
        <v>456</v>
      </c>
    </row>
    <row r="2211" spans="1:13" ht="13.5" customHeight="1" x14ac:dyDescent="0.25">
      <c r="A2211" s="16" t="s">
        <v>488</v>
      </c>
      <c r="B2211" s="16" t="s">
        <v>1</v>
      </c>
      <c r="C2211" s="16" t="s">
        <v>7</v>
      </c>
      <c r="D2211" s="16" t="s">
        <v>19</v>
      </c>
      <c r="F2211" s="16">
        <v>390.25</v>
      </c>
      <c r="G2211" s="16">
        <v>10.75</v>
      </c>
      <c r="H2211" s="16" t="s">
        <v>22</v>
      </c>
      <c r="I2211" s="16">
        <v>10</v>
      </c>
      <c r="L2211" s="16" t="s">
        <v>23</v>
      </c>
    </row>
    <row r="2212" spans="1:13" ht="13.5" customHeight="1" x14ac:dyDescent="0.25">
      <c r="I2212" s="16">
        <v>110</v>
      </c>
      <c r="L2212" s="16" t="s">
        <v>32</v>
      </c>
    </row>
    <row r="2213" spans="1:13" ht="13.5" customHeight="1" x14ac:dyDescent="0.25">
      <c r="I2213" s="16">
        <v>30</v>
      </c>
      <c r="L2213" s="16" t="s">
        <v>33</v>
      </c>
    </row>
    <row r="2214" spans="1:13" ht="13.5" customHeight="1" x14ac:dyDescent="0.25">
      <c r="I2214" s="16">
        <v>20</v>
      </c>
      <c r="L2214" s="16" t="s">
        <v>29</v>
      </c>
      <c r="M2214" s="15"/>
    </row>
    <row r="2215" spans="1:13" ht="13.5" customHeight="1" x14ac:dyDescent="0.25">
      <c r="I2215" s="16">
        <v>30</v>
      </c>
      <c r="L2215" s="16" t="s">
        <v>25</v>
      </c>
      <c r="M2215" s="16" t="s">
        <v>137</v>
      </c>
    </row>
    <row r="2216" spans="1:13" ht="13.5" customHeight="1" x14ac:dyDescent="0.25">
      <c r="I2216" s="16">
        <v>20</v>
      </c>
      <c r="L2216" s="16" t="s">
        <v>25</v>
      </c>
      <c r="M2216" s="16" t="s">
        <v>45</v>
      </c>
    </row>
    <row r="2217" spans="1:13" ht="13.5" customHeight="1" x14ac:dyDescent="0.25">
      <c r="I2217" s="16">
        <v>15</v>
      </c>
      <c r="L2217" s="16" t="s">
        <v>27</v>
      </c>
    </row>
    <row r="2218" spans="1:13" ht="13.5" customHeight="1" x14ac:dyDescent="0.25">
      <c r="I2218" s="16">
        <v>20</v>
      </c>
      <c r="L2218" s="16" t="s">
        <v>26</v>
      </c>
      <c r="M2218" s="16" t="s">
        <v>147</v>
      </c>
    </row>
    <row r="2219" spans="1:13" ht="13.5" customHeight="1" x14ac:dyDescent="0.25">
      <c r="I2219" s="16">
        <v>15</v>
      </c>
      <c r="L2219" s="16" t="s">
        <v>25</v>
      </c>
      <c r="M2219" s="15" t="s">
        <v>36</v>
      </c>
    </row>
    <row r="2221" spans="1:13" ht="13.5" customHeight="1" x14ac:dyDescent="0.25">
      <c r="A2221" s="16" t="s">
        <v>488</v>
      </c>
      <c r="B2221" s="16" t="s">
        <v>2</v>
      </c>
      <c r="C2221" s="16" t="s">
        <v>18</v>
      </c>
      <c r="D2221" s="16" t="s">
        <v>21</v>
      </c>
      <c r="F2221" s="16">
        <v>389.91</v>
      </c>
      <c r="G2221" s="16">
        <v>10.5</v>
      </c>
      <c r="H2221" s="16" t="s">
        <v>22</v>
      </c>
      <c r="I2221" s="16">
        <v>10</v>
      </c>
      <c r="L2221" s="16" t="s">
        <v>23</v>
      </c>
    </row>
    <row r="2222" spans="1:13" ht="13.5" customHeight="1" x14ac:dyDescent="0.25">
      <c r="I2222" s="16">
        <v>100</v>
      </c>
      <c r="L2222" s="16" t="s">
        <v>32</v>
      </c>
    </row>
    <row r="2223" spans="1:13" ht="13.5" customHeight="1" x14ac:dyDescent="0.25">
      <c r="I2223" s="16">
        <v>30</v>
      </c>
      <c r="L2223" s="16" t="s">
        <v>33</v>
      </c>
    </row>
    <row r="2224" spans="1:13" ht="13.5" customHeight="1" x14ac:dyDescent="0.25">
      <c r="I2224" s="16">
        <v>50</v>
      </c>
      <c r="L2224" s="16" t="s">
        <v>29</v>
      </c>
      <c r="M2224" s="15"/>
    </row>
    <row r="2225" spans="1:13" ht="13.5" customHeight="1" x14ac:dyDescent="0.25">
      <c r="I2225" s="16">
        <v>20</v>
      </c>
      <c r="L2225" s="16" t="s">
        <v>25</v>
      </c>
      <c r="M2225" s="16" t="s">
        <v>137</v>
      </c>
    </row>
    <row r="2226" spans="1:13" ht="13.5" customHeight="1" x14ac:dyDescent="0.25">
      <c r="I2226" s="16">
        <v>20</v>
      </c>
      <c r="L2226" s="16" t="s">
        <v>25</v>
      </c>
      <c r="M2226" s="16" t="s">
        <v>45</v>
      </c>
    </row>
    <row r="2227" spans="1:13" ht="13.5" customHeight="1" x14ac:dyDescent="0.25">
      <c r="I2227" s="16">
        <v>15</v>
      </c>
      <c r="L2227" s="16" t="s">
        <v>27</v>
      </c>
    </row>
    <row r="2228" spans="1:13" ht="13.5" customHeight="1" x14ac:dyDescent="0.25">
      <c r="I2228" s="16">
        <v>15</v>
      </c>
      <c r="L2228" s="16" t="s">
        <v>26</v>
      </c>
      <c r="M2228" s="16" t="s">
        <v>147</v>
      </c>
    </row>
    <row r="2229" spans="1:13" ht="13.5" customHeight="1" x14ac:dyDescent="0.25">
      <c r="M2229" s="15"/>
    </row>
    <row r="2230" spans="1:13" ht="13.5" customHeight="1" x14ac:dyDescent="0.25">
      <c r="A2230" s="16" t="s">
        <v>492</v>
      </c>
      <c r="B2230" s="16" t="s">
        <v>0</v>
      </c>
      <c r="C2230" s="16" t="s">
        <v>15</v>
      </c>
      <c r="D2230" s="16" t="s">
        <v>20</v>
      </c>
      <c r="F2230" s="16">
        <v>333.47</v>
      </c>
      <c r="G2230" s="16">
        <v>10</v>
      </c>
      <c r="H2230" s="16" t="s">
        <v>22</v>
      </c>
      <c r="I2230" s="16">
        <v>10</v>
      </c>
      <c r="L2230" s="16" t="s">
        <v>23</v>
      </c>
    </row>
    <row r="2231" spans="1:13" ht="13.5" customHeight="1" x14ac:dyDescent="0.25">
      <c r="I2231" s="16">
        <v>100</v>
      </c>
      <c r="L2231" s="16" t="s">
        <v>32</v>
      </c>
    </row>
    <row r="2232" spans="1:13" ht="13.5" customHeight="1" x14ac:dyDescent="0.25">
      <c r="I2232" s="16">
        <v>30</v>
      </c>
      <c r="L2232" s="16" t="s">
        <v>33</v>
      </c>
    </row>
    <row r="2233" spans="1:13" ht="13.5" customHeight="1" x14ac:dyDescent="0.25">
      <c r="I2233" s="16">
        <v>45</v>
      </c>
      <c r="L2233" s="16" t="s">
        <v>29</v>
      </c>
      <c r="M2233" s="15"/>
    </row>
    <row r="2234" spans="1:13" ht="13.5" customHeight="1" x14ac:dyDescent="0.25">
      <c r="I2234" s="16">
        <v>20</v>
      </c>
      <c r="L2234" s="16" t="s">
        <v>25</v>
      </c>
      <c r="M2234" s="16" t="s">
        <v>137</v>
      </c>
    </row>
    <row r="2235" spans="1:13" ht="13.5" customHeight="1" x14ac:dyDescent="0.25">
      <c r="I2235" s="16">
        <v>20</v>
      </c>
      <c r="L2235" s="16" t="s">
        <v>25</v>
      </c>
      <c r="M2235" s="16" t="s">
        <v>45</v>
      </c>
    </row>
    <row r="2236" spans="1:13" ht="13.5" customHeight="1" x14ac:dyDescent="0.25">
      <c r="I2236" s="16">
        <v>15</v>
      </c>
      <c r="L2236" s="16" t="s">
        <v>27</v>
      </c>
    </row>
    <row r="2237" spans="1:13" ht="13.5" customHeight="1" x14ac:dyDescent="0.25">
      <c r="G2237" s="16" t="s">
        <v>305</v>
      </c>
      <c r="I2237" s="16">
        <v>20</v>
      </c>
      <c r="L2237" s="16" t="s">
        <v>26</v>
      </c>
      <c r="M2237" s="16" t="s">
        <v>147</v>
      </c>
    </row>
    <row r="2238" spans="1:13" ht="13.5" customHeight="1" x14ac:dyDescent="0.25">
      <c r="I2238" s="16">
        <v>30</v>
      </c>
      <c r="L2238" s="16" t="s">
        <v>26</v>
      </c>
      <c r="M2238" s="15" t="s">
        <v>490</v>
      </c>
    </row>
    <row r="2239" spans="1:13" ht="13.5" customHeight="1" x14ac:dyDescent="0.25">
      <c r="I2239" s="16">
        <v>30</v>
      </c>
      <c r="L2239" s="16" t="s">
        <v>24</v>
      </c>
      <c r="M2239" s="15" t="s">
        <v>491</v>
      </c>
    </row>
    <row r="2240" spans="1:13" ht="13.5" customHeight="1" x14ac:dyDescent="0.25">
      <c r="I2240" s="16">
        <v>20</v>
      </c>
      <c r="L2240" s="16" t="s">
        <v>26</v>
      </c>
      <c r="M2240" s="15" t="s">
        <v>493</v>
      </c>
    </row>
    <row r="2242" spans="1:13" ht="13.5" customHeight="1" x14ac:dyDescent="0.25">
      <c r="A2242" s="16" t="s">
        <v>492</v>
      </c>
      <c r="B2242" s="16" t="s">
        <v>1</v>
      </c>
      <c r="C2242" s="16" t="s">
        <v>7</v>
      </c>
      <c r="D2242" s="16" t="s">
        <v>19</v>
      </c>
      <c r="F2242" s="16">
        <v>311.31</v>
      </c>
      <c r="G2242" s="16">
        <v>9.25</v>
      </c>
      <c r="H2242" s="16" t="s">
        <v>22</v>
      </c>
      <c r="I2242" s="16">
        <v>10</v>
      </c>
      <c r="L2242" s="16" t="s">
        <v>23</v>
      </c>
    </row>
    <row r="2243" spans="1:13" ht="13.5" customHeight="1" x14ac:dyDescent="0.25">
      <c r="I2243" s="16">
        <v>100</v>
      </c>
      <c r="L2243" s="16" t="s">
        <v>32</v>
      </c>
    </row>
    <row r="2244" spans="1:13" ht="13.5" customHeight="1" x14ac:dyDescent="0.25">
      <c r="I2244" s="16">
        <v>30</v>
      </c>
      <c r="L2244" s="16" t="s">
        <v>33</v>
      </c>
    </row>
    <row r="2245" spans="1:13" ht="13.5" customHeight="1" x14ac:dyDescent="0.25">
      <c r="I2245" s="16">
        <v>40</v>
      </c>
      <c r="L2245" s="16" t="s">
        <v>29</v>
      </c>
      <c r="M2245" s="15"/>
    </row>
    <row r="2246" spans="1:13" ht="13.5" customHeight="1" x14ac:dyDescent="0.25">
      <c r="I2246" s="16">
        <v>20</v>
      </c>
      <c r="L2246" s="16" t="s">
        <v>25</v>
      </c>
      <c r="M2246" s="16" t="s">
        <v>137</v>
      </c>
    </row>
    <row r="2247" spans="1:13" ht="13.5" customHeight="1" x14ac:dyDescent="0.25">
      <c r="I2247" s="16">
        <v>20</v>
      </c>
      <c r="L2247" s="16" t="s">
        <v>25</v>
      </c>
      <c r="M2247" s="16" t="s">
        <v>45</v>
      </c>
    </row>
    <row r="2248" spans="1:13" ht="13.5" customHeight="1" x14ac:dyDescent="0.25">
      <c r="I2248" s="16">
        <v>15</v>
      </c>
      <c r="L2248" s="16" t="s">
        <v>27</v>
      </c>
    </row>
    <row r="2249" spans="1:13" ht="13.5" customHeight="1" x14ac:dyDescent="0.25">
      <c r="I2249" s="16">
        <v>20</v>
      </c>
      <c r="L2249" s="16" t="s">
        <v>26</v>
      </c>
      <c r="M2249" s="16" t="s">
        <v>147</v>
      </c>
    </row>
    <row r="2250" spans="1:13" ht="13.5" customHeight="1" x14ac:dyDescent="0.25">
      <c r="I2250" s="16">
        <v>60</v>
      </c>
      <c r="J2250" s="18">
        <v>0.19444444444444445</v>
      </c>
      <c r="K2250" s="18">
        <v>0.23611111111111113</v>
      </c>
      <c r="L2250" s="16" t="s">
        <v>26</v>
      </c>
      <c r="M2250" s="15" t="s">
        <v>494</v>
      </c>
    </row>
    <row r="2253" spans="1:13" ht="13.5" customHeight="1" x14ac:dyDescent="0.25">
      <c r="A2253" s="16" t="s">
        <v>492</v>
      </c>
      <c r="B2253" s="16" t="s">
        <v>2</v>
      </c>
      <c r="C2253" s="16" t="s">
        <v>18</v>
      </c>
      <c r="D2253" s="16" t="s">
        <v>21</v>
      </c>
      <c r="F2253" s="16">
        <f>19.92+32.29+38.06+31.99+33.63+29.5+38.39+28.82+29+37.7</f>
        <v>319.3</v>
      </c>
      <c r="G2253" s="16">
        <v>10</v>
      </c>
      <c r="H2253" s="16" t="s">
        <v>22</v>
      </c>
      <c r="I2253" s="16">
        <v>10</v>
      </c>
      <c r="L2253" s="16" t="s">
        <v>23</v>
      </c>
    </row>
    <row r="2254" spans="1:13" ht="13.5" customHeight="1" x14ac:dyDescent="0.25">
      <c r="I2254" s="16">
        <v>90</v>
      </c>
      <c r="L2254" s="16" t="s">
        <v>32</v>
      </c>
    </row>
    <row r="2255" spans="1:13" ht="13.5" customHeight="1" x14ac:dyDescent="0.25">
      <c r="I2255" s="16">
        <v>30</v>
      </c>
      <c r="L2255" s="16" t="s">
        <v>33</v>
      </c>
    </row>
    <row r="2256" spans="1:13" ht="13.5" customHeight="1" x14ac:dyDescent="0.25">
      <c r="I2256" s="16">
        <v>40</v>
      </c>
      <c r="L2256" s="16" t="s">
        <v>29</v>
      </c>
      <c r="M2256" s="15"/>
    </row>
    <row r="2257" spans="1:13" ht="13.5" customHeight="1" x14ac:dyDescent="0.25">
      <c r="I2257" s="16">
        <v>20</v>
      </c>
      <c r="L2257" s="16" t="s">
        <v>25</v>
      </c>
      <c r="M2257" s="16" t="s">
        <v>137</v>
      </c>
    </row>
    <row r="2258" spans="1:13" ht="13.5" customHeight="1" x14ac:dyDescent="0.25">
      <c r="I2258" s="16">
        <v>20</v>
      </c>
      <c r="L2258" s="16" t="s">
        <v>25</v>
      </c>
      <c r="M2258" s="16" t="s">
        <v>45</v>
      </c>
    </row>
    <row r="2259" spans="1:13" ht="13.5" customHeight="1" x14ac:dyDescent="0.25">
      <c r="I2259" s="16">
        <v>15</v>
      </c>
      <c r="L2259" s="16" t="s">
        <v>27</v>
      </c>
    </row>
    <row r="2260" spans="1:13" ht="13.5" customHeight="1" x14ac:dyDescent="0.25">
      <c r="I2260" s="16">
        <v>20</v>
      </c>
      <c r="L2260" s="16" t="s">
        <v>26</v>
      </c>
      <c r="M2260" s="16" t="s">
        <v>147</v>
      </c>
    </row>
    <row r="2261" spans="1:13" ht="13.5" customHeight="1" x14ac:dyDescent="0.25">
      <c r="I2261" s="16">
        <v>30</v>
      </c>
      <c r="L2261" s="16" t="s">
        <v>26</v>
      </c>
      <c r="M2261" s="15" t="s">
        <v>495</v>
      </c>
    </row>
    <row r="2262" spans="1:13" ht="13.5" customHeight="1" x14ac:dyDescent="0.25">
      <c r="I2262" s="16">
        <v>20</v>
      </c>
      <c r="L2262" s="16" t="s">
        <v>24</v>
      </c>
      <c r="M2262" s="15" t="s">
        <v>117</v>
      </c>
    </row>
    <row r="2265" spans="1:13" ht="13.5" customHeight="1" x14ac:dyDescent="0.25">
      <c r="A2265" s="16" t="s">
        <v>496</v>
      </c>
      <c r="B2265" s="16" t="s">
        <v>0</v>
      </c>
      <c r="C2265" s="16" t="s">
        <v>15</v>
      </c>
      <c r="D2265" s="16" t="s">
        <v>20</v>
      </c>
      <c r="F2265" s="16">
        <v>237.52</v>
      </c>
      <c r="G2265" s="16">
        <v>7</v>
      </c>
      <c r="H2265" s="16" t="s">
        <v>22</v>
      </c>
      <c r="I2265" s="16">
        <v>10</v>
      </c>
      <c r="L2265" s="16" t="s">
        <v>23</v>
      </c>
    </row>
    <row r="2266" spans="1:13" ht="13.5" customHeight="1" x14ac:dyDescent="0.25">
      <c r="I2266" s="16">
        <v>70</v>
      </c>
      <c r="L2266" s="16" t="s">
        <v>32</v>
      </c>
    </row>
    <row r="2267" spans="1:13" ht="13.5" customHeight="1" x14ac:dyDescent="0.25">
      <c r="I2267" s="16">
        <v>30</v>
      </c>
      <c r="L2267" s="16" t="s">
        <v>33</v>
      </c>
    </row>
    <row r="2268" spans="1:13" ht="13.5" customHeight="1" x14ac:dyDescent="0.25">
      <c r="I2268" s="16">
        <v>20</v>
      </c>
      <c r="L2268" s="16" t="s">
        <v>29</v>
      </c>
      <c r="M2268" s="15"/>
    </row>
    <row r="2269" spans="1:13" ht="13.5" customHeight="1" x14ac:dyDescent="0.25">
      <c r="I2269" s="16">
        <v>20</v>
      </c>
      <c r="L2269" s="16" t="s">
        <v>25</v>
      </c>
      <c r="M2269" s="16" t="s">
        <v>137</v>
      </c>
    </row>
    <row r="2270" spans="1:13" ht="13.5" customHeight="1" x14ac:dyDescent="0.25">
      <c r="I2270" s="16">
        <v>20</v>
      </c>
      <c r="L2270" s="16" t="s">
        <v>25</v>
      </c>
      <c r="M2270" s="16" t="s">
        <v>45</v>
      </c>
    </row>
    <row r="2271" spans="1:13" ht="13.5" customHeight="1" x14ac:dyDescent="0.25">
      <c r="I2271" s="16">
        <v>15</v>
      </c>
      <c r="L2271" s="16" t="s">
        <v>27</v>
      </c>
    </row>
    <row r="2272" spans="1:13" ht="13.5" customHeight="1" x14ac:dyDescent="0.25">
      <c r="G2272" s="16" t="s">
        <v>305</v>
      </c>
      <c r="I2272" s="16">
        <v>20</v>
      </c>
      <c r="L2272" s="16" t="s">
        <v>26</v>
      </c>
      <c r="M2272" s="16" t="s">
        <v>147</v>
      </c>
    </row>
    <row r="2273" spans="1:14" ht="13.5" customHeight="1" x14ac:dyDescent="0.25">
      <c r="I2273" s="16">
        <v>20</v>
      </c>
      <c r="L2273" s="16" t="s">
        <v>26</v>
      </c>
      <c r="M2273" s="15" t="s">
        <v>490</v>
      </c>
    </row>
    <row r="2274" spans="1:14" ht="13.5" customHeight="1" x14ac:dyDescent="0.25">
      <c r="I2274" s="16">
        <v>30</v>
      </c>
      <c r="L2274" s="16" t="s">
        <v>24</v>
      </c>
      <c r="M2274" s="15" t="s">
        <v>491</v>
      </c>
    </row>
    <row r="2275" spans="1:14" ht="13.5" customHeight="1" x14ac:dyDescent="0.25">
      <c r="I2275" s="16">
        <v>20</v>
      </c>
      <c r="L2275" s="16" t="s">
        <v>26</v>
      </c>
      <c r="M2275" s="15" t="s">
        <v>493</v>
      </c>
    </row>
    <row r="2276" spans="1:14" ht="13.5" customHeight="1" x14ac:dyDescent="0.25">
      <c r="I2276" s="16">
        <v>30</v>
      </c>
      <c r="L2276" s="16" t="s">
        <v>26</v>
      </c>
      <c r="M2276" s="15" t="s">
        <v>497</v>
      </c>
    </row>
    <row r="2277" spans="1:14" ht="13.5" customHeight="1" x14ac:dyDescent="0.25">
      <c r="I2277" s="16">
        <v>140</v>
      </c>
      <c r="L2277" s="16" t="s">
        <v>26</v>
      </c>
      <c r="M2277" s="15" t="s">
        <v>288</v>
      </c>
    </row>
    <row r="2279" spans="1:14" ht="13.5" customHeight="1" x14ac:dyDescent="0.25">
      <c r="A2279" s="16" t="s">
        <v>496</v>
      </c>
      <c r="B2279" s="16" t="s">
        <v>1</v>
      </c>
      <c r="C2279" s="16" t="s">
        <v>6</v>
      </c>
      <c r="D2279" s="16" t="s">
        <v>19</v>
      </c>
      <c r="F2279" s="16">
        <v>302.07</v>
      </c>
      <c r="G2279" s="16">
        <v>8.75</v>
      </c>
      <c r="H2279" s="16" t="s">
        <v>22</v>
      </c>
      <c r="I2279" s="16">
        <v>10</v>
      </c>
      <c r="L2279" s="16" t="s">
        <v>23</v>
      </c>
    </row>
    <row r="2280" spans="1:14" ht="13.5" customHeight="1" x14ac:dyDescent="0.25">
      <c r="I2280" s="16">
        <v>90</v>
      </c>
      <c r="L2280" s="16" t="s">
        <v>32</v>
      </c>
    </row>
    <row r="2281" spans="1:14" ht="13.5" customHeight="1" x14ac:dyDescent="0.25">
      <c r="I2281" s="16">
        <v>30</v>
      </c>
      <c r="L2281" s="16" t="s">
        <v>33</v>
      </c>
      <c r="N2281" s="15" t="s">
        <v>243</v>
      </c>
    </row>
    <row r="2282" spans="1:14" ht="13.5" customHeight="1" x14ac:dyDescent="0.25">
      <c r="I2282" s="16">
        <v>50</v>
      </c>
      <c r="L2282" s="16" t="s">
        <v>29</v>
      </c>
      <c r="M2282" s="15" t="s">
        <v>243</v>
      </c>
    </row>
    <row r="2283" spans="1:14" ht="13.5" customHeight="1" x14ac:dyDescent="0.25">
      <c r="I2283" s="16">
        <v>20</v>
      </c>
      <c r="L2283" s="16" t="s">
        <v>25</v>
      </c>
      <c r="M2283" s="16" t="s">
        <v>137</v>
      </c>
    </row>
    <row r="2284" spans="1:14" ht="13.5" customHeight="1" x14ac:dyDescent="0.25">
      <c r="I2284" s="16">
        <v>15</v>
      </c>
      <c r="L2284" s="16" t="s">
        <v>27</v>
      </c>
    </row>
    <row r="2285" spans="1:14" ht="13.5" customHeight="1" x14ac:dyDescent="0.25">
      <c r="I2285" s="16">
        <v>20</v>
      </c>
      <c r="L2285" s="16" t="s">
        <v>26</v>
      </c>
      <c r="M2285" s="16" t="s">
        <v>147</v>
      </c>
    </row>
    <row r="2286" spans="1:14" ht="13.5" customHeight="1" x14ac:dyDescent="0.25">
      <c r="I2286" s="16">
        <v>90</v>
      </c>
      <c r="J2286" s="18" t="s">
        <v>499</v>
      </c>
      <c r="K2286" s="18" t="s">
        <v>500</v>
      </c>
      <c r="L2286" s="16" t="s">
        <v>26</v>
      </c>
      <c r="M2286" s="15" t="s">
        <v>498</v>
      </c>
    </row>
    <row r="2287" spans="1:14" ht="13.5" customHeight="1" x14ac:dyDescent="0.25">
      <c r="M2287" s="15"/>
    </row>
    <row r="2288" spans="1:14" ht="13.5" customHeight="1" x14ac:dyDescent="0.25">
      <c r="A2288" s="16" t="s">
        <v>496</v>
      </c>
      <c r="B2288" s="16" t="s">
        <v>2</v>
      </c>
      <c r="C2288" s="16" t="s">
        <v>16</v>
      </c>
      <c r="D2288" s="16" t="s">
        <v>21</v>
      </c>
      <c r="F2288" s="16">
        <f>15.76+29.37+33.21+31.87+32.11+31.2+30.67+37.77+24.05+37.66-5.928</f>
        <v>297.74199999999996</v>
      </c>
      <c r="G2288" s="16">
        <v>9.25</v>
      </c>
      <c r="H2288" s="16" t="s">
        <v>22</v>
      </c>
      <c r="I2288" s="16">
        <v>10</v>
      </c>
      <c r="L2288" s="16" t="s">
        <v>23</v>
      </c>
    </row>
    <row r="2289" spans="1:13" ht="13.5" customHeight="1" x14ac:dyDescent="0.25">
      <c r="I2289" s="16">
        <v>90</v>
      </c>
      <c r="L2289" s="16" t="s">
        <v>32</v>
      </c>
    </row>
    <row r="2290" spans="1:13" ht="13.5" customHeight="1" x14ac:dyDescent="0.25">
      <c r="I2290" s="16">
        <v>30</v>
      </c>
      <c r="L2290" s="16" t="s">
        <v>33</v>
      </c>
    </row>
    <row r="2291" spans="1:13" ht="13.5" customHeight="1" x14ac:dyDescent="0.25">
      <c r="I2291" s="16">
        <v>40</v>
      </c>
      <c r="L2291" s="16" t="s">
        <v>29</v>
      </c>
      <c r="M2291" s="15"/>
    </row>
    <row r="2292" spans="1:13" ht="13.5" customHeight="1" x14ac:dyDescent="0.25">
      <c r="I2292" s="16">
        <v>20</v>
      </c>
      <c r="L2292" s="16" t="s">
        <v>25</v>
      </c>
      <c r="M2292" s="16" t="s">
        <v>137</v>
      </c>
    </row>
    <row r="2293" spans="1:13" ht="13.5" customHeight="1" x14ac:dyDescent="0.25">
      <c r="I2293" s="16">
        <v>20</v>
      </c>
      <c r="L2293" s="16" t="s">
        <v>25</v>
      </c>
      <c r="M2293" s="16" t="s">
        <v>45</v>
      </c>
    </row>
    <row r="2294" spans="1:13" ht="13.5" customHeight="1" x14ac:dyDescent="0.25">
      <c r="I2294" s="16">
        <v>15</v>
      </c>
      <c r="L2294" s="16" t="s">
        <v>27</v>
      </c>
    </row>
    <row r="2295" spans="1:13" ht="13.5" customHeight="1" x14ac:dyDescent="0.25">
      <c r="I2295" s="16">
        <v>20</v>
      </c>
      <c r="L2295" s="16" t="s">
        <v>26</v>
      </c>
      <c r="M2295" s="16" t="s">
        <v>147</v>
      </c>
    </row>
    <row r="2296" spans="1:13" ht="13.5" customHeight="1" x14ac:dyDescent="0.25">
      <c r="I2296" s="16">
        <v>40</v>
      </c>
      <c r="L2296" s="16" t="s">
        <v>26</v>
      </c>
      <c r="M2296" s="15" t="s">
        <v>148</v>
      </c>
    </row>
    <row r="2297" spans="1:13" ht="13.5" customHeight="1" x14ac:dyDescent="0.25">
      <c r="I2297" s="16">
        <v>30</v>
      </c>
      <c r="L2297" s="16" t="s">
        <v>26</v>
      </c>
      <c r="M2297" s="15" t="s">
        <v>501</v>
      </c>
    </row>
    <row r="2299" spans="1:13" ht="13.5" customHeight="1" x14ac:dyDescent="0.25">
      <c r="A2299" s="16" t="s">
        <v>502</v>
      </c>
      <c r="B2299" s="16" t="s">
        <v>0</v>
      </c>
      <c r="C2299" s="16" t="s">
        <v>15</v>
      </c>
      <c r="D2299" s="16" t="s">
        <v>20</v>
      </c>
      <c r="F2299" s="16">
        <v>359.05</v>
      </c>
      <c r="G2299" s="16">
        <v>10</v>
      </c>
      <c r="H2299" s="16" t="s">
        <v>22</v>
      </c>
      <c r="I2299" s="16">
        <v>10</v>
      </c>
      <c r="L2299" s="16" t="s">
        <v>23</v>
      </c>
    </row>
    <row r="2300" spans="1:13" ht="13.5" customHeight="1" x14ac:dyDescent="0.25">
      <c r="I2300" s="16">
        <v>100</v>
      </c>
      <c r="L2300" s="16" t="s">
        <v>32</v>
      </c>
    </row>
    <row r="2301" spans="1:13" ht="13.5" customHeight="1" x14ac:dyDescent="0.25">
      <c r="I2301" s="16">
        <v>30</v>
      </c>
      <c r="L2301" s="16" t="s">
        <v>33</v>
      </c>
    </row>
    <row r="2302" spans="1:13" ht="13.5" customHeight="1" x14ac:dyDescent="0.25">
      <c r="I2302" s="16">
        <v>30</v>
      </c>
      <c r="L2302" s="16" t="s">
        <v>29</v>
      </c>
      <c r="M2302" s="15" t="s">
        <v>243</v>
      </c>
    </row>
    <row r="2303" spans="1:13" ht="13.5" customHeight="1" x14ac:dyDescent="0.25">
      <c r="I2303" s="16">
        <v>20</v>
      </c>
      <c r="L2303" s="16" t="s">
        <v>25</v>
      </c>
      <c r="M2303" s="16" t="s">
        <v>137</v>
      </c>
    </row>
    <row r="2304" spans="1:13" ht="13.5" customHeight="1" x14ac:dyDescent="0.25">
      <c r="I2304" s="16">
        <v>20</v>
      </c>
      <c r="L2304" s="16" t="s">
        <v>25</v>
      </c>
      <c r="M2304" s="16" t="s">
        <v>45</v>
      </c>
    </row>
    <row r="2305" spans="1:14" ht="13.5" customHeight="1" x14ac:dyDescent="0.25">
      <c r="I2305" s="16">
        <v>15</v>
      </c>
      <c r="L2305" s="16" t="s">
        <v>27</v>
      </c>
    </row>
    <row r="2306" spans="1:14" ht="13.5" customHeight="1" x14ac:dyDescent="0.25">
      <c r="G2306" s="16" t="s">
        <v>305</v>
      </c>
      <c r="I2306" s="16">
        <v>20</v>
      </c>
      <c r="L2306" s="16" t="s">
        <v>26</v>
      </c>
      <c r="M2306" s="16" t="s">
        <v>147</v>
      </c>
    </row>
    <row r="2307" spans="1:14" ht="13.5" customHeight="1" x14ac:dyDescent="0.25">
      <c r="I2307" s="16">
        <v>20</v>
      </c>
      <c r="L2307" s="16" t="s">
        <v>26</v>
      </c>
      <c r="M2307" s="15" t="s">
        <v>490</v>
      </c>
    </row>
    <row r="2308" spans="1:14" ht="13.5" customHeight="1" x14ac:dyDescent="0.25">
      <c r="I2308" s="16">
        <v>30</v>
      </c>
      <c r="L2308" s="16" t="s">
        <v>26</v>
      </c>
      <c r="M2308" s="15" t="s">
        <v>456</v>
      </c>
    </row>
    <row r="2309" spans="1:14" ht="13.5" customHeight="1" x14ac:dyDescent="0.25">
      <c r="I2309" s="16">
        <v>50</v>
      </c>
      <c r="L2309" s="15" t="s">
        <v>378</v>
      </c>
      <c r="M2309" s="15" t="s">
        <v>243</v>
      </c>
    </row>
    <row r="2311" spans="1:14" ht="13.5" customHeight="1" x14ac:dyDescent="0.25">
      <c r="A2311" s="16" t="s">
        <v>502</v>
      </c>
      <c r="B2311" s="16" t="s">
        <v>1</v>
      </c>
      <c r="C2311" s="16" t="s">
        <v>6</v>
      </c>
      <c r="D2311" s="15" t="s">
        <v>548</v>
      </c>
      <c r="E2311" s="15"/>
      <c r="F2311" s="16">
        <v>329.84</v>
      </c>
      <c r="G2311" s="16">
        <v>10.25</v>
      </c>
      <c r="H2311" s="16" t="s">
        <v>22</v>
      </c>
      <c r="I2311" s="16">
        <v>10</v>
      </c>
      <c r="L2311" s="16" t="s">
        <v>23</v>
      </c>
    </row>
    <row r="2312" spans="1:14" ht="13.5" customHeight="1" x14ac:dyDescent="0.25">
      <c r="I2312" s="16">
        <v>90</v>
      </c>
      <c r="L2312" s="16" t="s">
        <v>32</v>
      </c>
      <c r="N2312" s="16"/>
    </row>
    <row r="2313" spans="1:14" ht="13.5" customHeight="1" x14ac:dyDescent="0.25">
      <c r="I2313" s="16">
        <v>30</v>
      </c>
      <c r="L2313" s="16" t="s">
        <v>33</v>
      </c>
    </row>
    <row r="2314" spans="1:14" ht="13.5" customHeight="1" x14ac:dyDescent="0.25">
      <c r="I2314" s="16">
        <v>50</v>
      </c>
      <c r="L2314" s="16" t="s">
        <v>29</v>
      </c>
      <c r="M2314" s="15" t="s">
        <v>243</v>
      </c>
    </row>
    <row r="2315" spans="1:14" ht="13.5" customHeight="1" x14ac:dyDescent="0.25">
      <c r="I2315" s="16">
        <v>20</v>
      </c>
      <c r="L2315" s="16" t="s">
        <v>25</v>
      </c>
      <c r="M2315" s="16" t="s">
        <v>137</v>
      </c>
    </row>
    <row r="2316" spans="1:14" ht="13.5" customHeight="1" x14ac:dyDescent="0.25">
      <c r="I2316" s="16">
        <v>15</v>
      </c>
      <c r="L2316" s="16" t="s">
        <v>27</v>
      </c>
    </row>
    <row r="2317" spans="1:14" ht="13.5" customHeight="1" x14ac:dyDescent="0.25">
      <c r="I2317" s="16">
        <v>20</v>
      </c>
      <c r="L2317" s="16" t="s">
        <v>26</v>
      </c>
      <c r="M2317" s="16" t="s">
        <v>147</v>
      </c>
    </row>
    <row r="2318" spans="1:14" ht="13.5" customHeight="1" x14ac:dyDescent="0.25">
      <c r="I2318" s="16">
        <v>40</v>
      </c>
      <c r="L2318" s="16" t="s">
        <v>26</v>
      </c>
      <c r="M2318" s="15" t="s">
        <v>503</v>
      </c>
    </row>
    <row r="2319" spans="1:14" ht="13.5" customHeight="1" x14ac:dyDescent="0.25">
      <c r="I2319" s="16">
        <v>20</v>
      </c>
      <c r="L2319" s="16" t="s">
        <v>26</v>
      </c>
      <c r="M2319" s="15" t="s">
        <v>493</v>
      </c>
    </row>
    <row r="2320" spans="1:14" ht="13.5" customHeight="1" x14ac:dyDescent="0.25">
      <c r="I2320" s="16">
        <v>15</v>
      </c>
      <c r="L2320" s="16" t="s">
        <v>25</v>
      </c>
      <c r="M2320" s="15" t="s">
        <v>36</v>
      </c>
    </row>
    <row r="2322" spans="1:13" ht="13.5" customHeight="1" x14ac:dyDescent="0.25">
      <c r="A2322" s="16" t="s">
        <v>502</v>
      </c>
      <c r="B2322" s="16" t="s">
        <v>2</v>
      </c>
      <c r="C2322" s="16" t="s">
        <v>16</v>
      </c>
      <c r="D2322" s="16" t="s">
        <v>21</v>
      </c>
      <c r="F2322" s="16">
        <v>284.31</v>
      </c>
      <c r="G2322" s="16">
        <v>8.25</v>
      </c>
      <c r="H2322" s="16" t="s">
        <v>22</v>
      </c>
      <c r="I2322" s="16">
        <v>10</v>
      </c>
      <c r="L2322" s="16" t="s">
        <v>23</v>
      </c>
    </row>
    <row r="2323" spans="1:13" ht="13.5" customHeight="1" x14ac:dyDescent="0.25">
      <c r="I2323" s="16">
        <v>90</v>
      </c>
      <c r="L2323" s="16" t="s">
        <v>32</v>
      </c>
    </row>
    <row r="2324" spans="1:13" ht="13.5" customHeight="1" x14ac:dyDescent="0.25">
      <c r="I2324" s="16">
        <v>30</v>
      </c>
      <c r="L2324" s="16" t="s">
        <v>33</v>
      </c>
    </row>
    <row r="2325" spans="1:13" ht="13.5" customHeight="1" x14ac:dyDescent="0.25">
      <c r="I2325" s="16">
        <v>40</v>
      </c>
      <c r="L2325" s="16" t="s">
        <v>29</v>
      </c>
      <c r="M2325" s="15"/>
    </row>
    <row r="2326" spans="1:13" ht="13.5" customHeight="1" x14ac:dyDescent="0.25">
      <c r="I2326" s="16">
        <v>20</v>
      </c>
      <c r="L2326" s="16" t="s">
        <v>25</v>
      </c>
      <c r="M2326" s="16" t="s">
        <v>137</v>
      </c>
    </row>
    <row r="2327" spans="1:13" ht="13.5" customHeight="1" x14ac:dyDescent="0.25">
      <c r="I2327" s="16">
        <v>20</v>
      </c>
      <c r="L2327" s="16" t="s">
        <v>25</v>
      </c>
      <c r="M2327" s="16" t="s">
        <v>45</v>
      </c>
    </row>
    <row r="2328" spans="1:13" ht="13.5" customHeight="1" x14ac:dyDescent="0.25">
      <c r="I2328" s="16">
        <v>15</v>
      </c>
      <c r="L2328" s="16" t="s">
        <v>27</v>
      </c>
    </row>
    <row r="2329" spans="1:13" ht="13.5" customHeight="1" x14ac:dyDescent="0.25">
      <c r="I2329" s="16">
        <v>20</v>
      </c>
      <c r="L2329" s="16" t="s">
        <v>26</v>
      </c>
      <c r="M2329" s="16" t="s">
        <v>147</v>
      </c>
    </row>
    <row r="2330" spans="1:13" ht="13.5" customHeight="1" x14ac:dyDescent="0.25">
      <c r="I2330" s="16">
        <v>120</v>
      </c>
      <c r="L2330" s="16" t="s">
        <v>26</v>
      </c>
      <c r="M2330" s="15" t="s">
        <v>456</v>
      </c>
    </row>
    <row r="2332" spans="1:13" ht="13.5" customHeight="1" x14ac:dyDescent="0.25">
      <c r="A2332" s="16" t="s">
        <v>504</v>
      </c>
      <c r="B2332" s="16" t="s">
        <v>0</v>
      </c>
      <c r="C2332" s="16" t="s">
        <v>15</v>
      </c>
      <c r="D2332" s="16" t="s">
        <v>20</v>
      </c>
      <c r="F2332" s="16">
        <v>311.45</v>
      </c>
      <c r="G2332" s="16">
        <v>9</v>
      </c>
      <c r="H2332" s="16" t="s">
        <v>22</v>
      </c>
      <c r="I2332" s="16">
        <v>10</v>
      </c>
      <c r="L2332" s="16" t="s">
        <v>23</v>
      </c>
    </row>
    <row r="2333" spans="1:13" ht="13.5" customHeight="1" x14ac:dyDescent="0.25">
      <c r="I2333" s="16">
        <v>90</v>
      </c>
      <c r="L2333" s="16" t="s">
        <v>32</v>
      </c>
    </row>
    <row r="2334" spans="1:13" ht="13.5" customHeight="1" x14ac:dyDescent="0.25">
      <c r="I2334" s="16">
        <v>30</v>
      </c>
      <c r="L2334" s="16" t="s">
        <v>33</v>
      </c>
    </row>
    <row r="2335" spans="1:13" ht="13.5" customHeight="1" x14ac:dyDescent="0.25">
      <c r="I2335" s="16">
        <v>10</v>
      </c>
      <c r="L2335" s="16" t="s">
        <v>29</v>
      </c>
      <c r="M2335" s="15" t="s">
        <v>243</v>
      </c>
    </row>
    <row r="2336" spans="1:13" ht="13.5" customHeight="1" x14ac:dyDescent="0.25">
      <c r="I2336" s="16">
        <v>20</v>
      </c>
      <c r="L2336" s="16" t="s">
        <v>25</v>
      </c>
      <c r="M2336" s="16" t="s">
        <v>137</v>
      </c>
    </row>
    <row r="2337" spans="1:13" ht="13.5" customHeight="1" x14ac:dyDescent="0.25">
      <c r="I2337" s="16">
        <v>20</v>
      </c>
      <c r="L2337" s="16" t="s">
        <v>25</v>
      </c>
      <c r="M2337" s="16" t="s">
        <v>45</v>
      </c>
    </row>
    <row r="2338" spans="1:13" ht="13.5" customHeight="1" x14ac:dyDescent="0.25">
      <c r="I2338" s="16">
        <v>15</v>
      </c>
      <c r="L2338" s="16" t="s">
        <v>27</v>
      </c>
    </row>
    <row r="2339" spans="1:13" ht="13.5" customHeight="1" x14ac:dyDescent="0.25">
      <c r="G2339" s="16" t="s">
        <v>305</v>
      </c>
      <c r="I2339" s="16">
        <v>20</v>
      </c>
      <c r="L2339" s="16" t="s">
        <v>26</v>
      </c>
      <c r="M2339" s="16" t="s">
        <v>147</v>
      </c>
    </row>
    <row r="2340" spans="1:13" ht="13.5" customHeight="1" x14ac:dyDescent="0.25">
      <c r="I2340" s="16">
        <v>20</v>
      </c>
      <c r="L2340" s="16" t="s">
        <v>26</v>
      </c>
      <c r="M2340" s="15" t="s">
        <v>505</v>
      </c>
    </row>
    <row r="2341" spans="1:13" ht="13.5" customHeight="1" x14ac:dyDescent="0.25">
      <c r="I2341" s="16">
        <v>50</v>
      </c>
      <c r="L2341" s="16" t="s">
        <v>26</v>
      </c>
      <c r="M2341" s="15" t="s">
        <v>456</v>
      </c>
    </row>
    <row r="2342" spans="1:13" ht="13.5" customHeight="1" x14ac:dyDescent="0.25">
      <c r="I2342" s="16">
        <v>30</v>
      </c>
      <c r="L2342" s="16" t="s">
        <v>26</v>
      </c>
      <c r="M2342" s="15" t="s">
        <v>506</v>
      </c>
    </row>
    <row r="2343" spans="1:13" ht="13.5" customHeight="1" x14ac:dyDescent="0.25">
      <c r="I2343" s="16">
        <v>30</v>
      </c>
      <c r="L2343" s="16" t="s">
        <v>26</v>
      </c>
      <c r="M2343" s="15" t="s">
        <v>493</v>
      </c>
    </row>
    <row r="2344" spans="1:13" ht="13.5" customHeight="1" x14ac:dyDescent="0.25">
      <c r="M2344" s="15"/>
    </row>
    <row r="2345" spans="1:13" ht="13.5" customHeight="1" x14ac:dyDescent="0.25">
      <c r="A2345" s="16" t="s">
        <v>504</v>
      </c>
      <c r="B2345" s="16" t="s">
        <v>1</v>
      </c>
      <c r="C2345" s="16" t="s">
        <v>6</v>
      </c>
      <c r="D2345" s="15" t="s">
        <v>548</v>
      </c>
      <c r="E2345" s="15"/>
      <c r="F2345" s="16">
        <v>212.46</v>
      </c>
      <c r="G2345" s="16">
        <v>6.5</v>
      </c>
      <c r="H2345" s="16" t="s">
        <v>22</v>
      </c>
      <c r="I2345" s="16">
        <v>10</v>
      </c>
      <c r="L2345" s="16" t="s">
        <v>23</v>
      </c>
    </row>
    <row r="2346" spans="1:13" ht="13.5" customHeight="1" x14ac:dyDescent="0.25">
      <c r="I2346" s="16">
        <v>60</v>
      </c>
      <c r="L2346" s="16" t="s">
        <v>32</v>
      </c>
    </row>
    <row r="2347" spans="1:13" ht="13.5" customHeight="1" x14ac:dyDescent="0.25">
      <c r="I2347" s="16">
        <v>20</v>
      </c>
      <c r="L2347" s="16" t="s">
        <v>33</v>
      </c>
    </row>
    <row r="2348" spans="1:13" ht="13.5" customHeight="1" x14ac:dyDescent="0.25">
      <c r="I2348" s="16">
        <v>20</v>
      </c>
      <c r="L2348" s="16" t="s">
        <v>29</v>
      </c>
      <c r="M2348" s="15"/>
    </row>
    <row r="2349" spans="1:13" ht="13.5" customHeight="1" x14ac:dyDescent="0.25">
      <c r="I2349" s="16">
        <v>30</v>
      </c>
      <c r="L2349" s="16" t="s">
        <v>25</v>
      </c>
      <c r="M2349" s="16" t="s">
        <v>137</v>
      </c>
    </row>
    <row r="2350" spans="1:13" ht="13.5" customHeight="1" x14ac:dyDescent="0.25">
      <c r="I2350" s="16">
        <v>20</v>
      </c>
      <c r="L2350" s="16" t="s">
        <v>25</v>
      </c>
      <c r="M2350" s="16" t="s">
        <v>45</v>
      </c>
    </row>
    <row r="2351" spans="1:13" ht="13.5" customHeight="1" x14ac:dyDescent="0.25">
      <c r="I2351" s="16">
        <v>15</v>
      </c>
      <c r="L2351" s="16" t="s">
        <v>27</v>
      </c>
    </row>
    <row r="2352" spans="1:13" ht="13.5" customHeight="1" x14ac:dyDescent="0.25">
      <c r="I2352" s="16">
        <v>15</v>
      </c>
      <c r="L2352" s="16" t="s">
        <v>26</v>
      </c>
      <c r="M2352" s="16" t="s">
        <v>147</v>
      </c>
    </row>
    <row r="2353" spans="1:13" ht="13.5" customHeight="1" x14ac:dyDescent="0.25">
      <c r="I2353" s="16">
        <v>230</v>
      </c>
      <c r="J2353" s="18">
        <v>8.3333333333333329E-2</v>
      </c>
      <c r="K2353" s="18">
        <v>0.24305555555555555</v>
      </c>
      <c r="L2353" s="16" t="s">
        <v>26</v>
      </c>
    </row>
    <row r="2355" spans="1:13" ht="13.5" customHeight="1" x14ac:dyDescent="0.25">
      <c r="A2355" s="16" t="s">
        <v>504</v>
      </c>
      <c r="B2355" s="16" t="s">
        <v>2</v>
      </c>
      <c r="C2355" s="16" t="s">
        <v>16</v>
      </c>
      <c r="D2355" s="16" t="s">
        <v>21</v>
      </c>
      <c r="F2355" s="16">
        <f>33.72+31.19+31.15+31.09+31.35+34.91+38.14+29.48+32.54+4.3+4.298</f>
        <v>302.16800000000006</v>
      </c>
      <c r="G2355" s="16">
        <v>9.5</v>
      </c>
      <c r="H2355" s="16" t="s">
        <v>22</v>
      </c>
      <c r="I2355" s="16">
        <v>10</v>
      </c>
      <c r="L2355" s="16" t="s">
        <v>23</v>
      </c>
    </row>
    <row r="2356" spans="1:13" ht="13.5" customHeight="1" x14ac:dyDescent="0.25">
      <c r="I2356" s="16">
        <v>100</v>
      </c>
      <c r="L2356" s="16" t="s">
        <v>32</v>
      </c>
    </row>
    <row r="2357" spans="1:13" ht="13.5" customHeight="1" x14ac:dyDescent="0.25">
      <c r="I2357" s="16">
        <v>30</v>
      </c>
      <c r="L2357" s="16" t="s">
        <v>33</v>
      </c>
    </row>
    <row r="2358" spans="1:13" ht="13.5" customHeight="1" x14ac:dyDescent="0.25">
      <c r="I2358" s="16">
        <v>50</v>
      </c>
      <c r="L2358" s="16" t="s">
        <v>29</v>
      </c>
      <c r="M2358" s="15"/>
    </row>
    <row r="2359" spans="1:13" ht="13.5" customHeight="1" x14ac:dyDescent="0.25">
      <c r="I2359" s="16">
        <v>25</v>
      </c>
      <c r="L2359" s="16" t="s">
        <v>25</v>
      </c>
      <c r="M2359" s="16" t="s">
        <v>137</v>
      </c>
    </row>
    <row r="2360" spans="1:13" ht="13.5" customHeight="1" x14ac:dyDescent="0.25">
      <c r="I2360" s="16">
        <v>25</v>
      </c>
      <c r="L2360" s="16" t="s">
        <v>25</v>
      </c>
      <c r="M2360" s="16" t="s">
        <v>45</v>
      </c>
    </row>
    <row r="2361" spans="1:13" ht="13.5" customHeight="1" x14ac:dyDescent="0.25">
      <c r="I2361" s="16">
        <v>15</v>
      </c>
      <c r="L2361" s="16" t="s">
        <v>27</v>
      </c>
    </row>
    <row r="2362" spans="1:13" ht="13.5" customHeight="1" x14ac:dyDescent="0.25">
      <c r="I2362" s="16">
        <v>20</v>
      </c>
      <c r="L2362" s="16" t="s">
        <v>26</v>
      </c>
      <c r="M2362" s="16" t="s">
        <v>147</v>
      </c>
    </row>
    <row r="2363" spans="1:13" ht="13.5" customHeight="1" x14ac:dyDescent="0.25">
      <c r="I2363" s="16">
        <v>15</v>
      </c>
      <c r="L2363" s="16" t="s">
        <v>26</v>
      </c>
      <c r="M2363" s="15" t="s">
        <v>148</v>
      </c>
    </row>
    <row r="2364" spans="1:13" ht="13.5" customHeight="1" x14ac:dyDescent="0.25">
      <c r="I2364" s="16">
        <v>15</v>
      </c>
      <c r="L2364" s="16" t="s">
        <v>26</v>
      </c>
      <c r="M2364" s="15" t="s">
        <v>507</v>
      </c>
    </row>
    <row r="2366" spans="1:13" ht="13.5" customHeight="1" x14ac:dyDescent="0.25">
      <c r="A2366" s="16" t="s">
        <v>508</v>
      </c>
      <c r="B2366" s="16" t="s">
        <v>0</v>
      </c>
      <c r="C2366" s="16" t="s">
        <v>15</v>
      </c>
      <c r="D2366" s="16" t="s">
        <v>20</v>
      </c>
      <c r="F2366" s="16">
        <v>365.34</v>
      </c>
      <c r="G2366" s="16">
        <v>10.5</v>
      </c>
      <c r="H2366" s="16" t="s">
        <v>22</v>
      </c>
      <c r="I2366" s="16">
        <v>10</v>
      </c>
      <c r="L2366" s="16" t="s">
        <v>23</v>
      </c>
    </row>
    <row r="2367" spans="1:13" ht="13.5" customHeight="1" x14ac:dyDescent="0.25">
      <c r="I2367" s="16">
        <v>100</v>
      </c>
      <c r="L2367" s="16" t="s">
        <v>32</v>
      </c>
    </row>
    <row r="2368" spans="1:13" ht="13.5" customHeight="1" x14ac:dyDescent="0.25">
      <c r="I2368" s="16">
        <v>20</v>
      </c>
      <c r="L2368" s="16" t="s">
        <v>33</v>
      </c>
    </row>
    <row r="2369" spans="1:13" ht="13.5" customHeight="1" x14ac:dyDescent="0.25">
      <c r="I2369" s="16">
        <v>40</v>
      </c>
      <c r="L2369" s="16" t="s">
        <v>29</v>
      </c>
      <c r="M2369" s="15"/>
    </row>
    <row r="2370" spans="1:13" ht="13.5" customHeight="1" x14ac:dyDescent="0.25">
      <c r="I2370" s="16">
        <v>30</v>
      </c>
      <c r="L2370" s="16" t="s">
        <v>25</v>
      </c>
      <c r="M2370" s="16" t="s">
        <v>137</v>
      </c>
    </row>
    <row r="2371" spans="1:13" ht="13.5" customHeight="1" x14ac:dyDescent="0.25">
      <c r="I2371" s="16">
        <v>20</v>
      </c>
      <c r="L2371" s="16" t="s">
        <v>25</v>
      </c>
      <c r="M2371" s="16" t="s">
        <v>45</v>
      </c>
    </row>
    <row r="2372" spans="1:13" ht="13.5" customHeight="1" x14ac:dyDescent="0.25">
      <c r="I2372" s="16">
        <v>15</v>
      </c>
      <c r="L2372" s="16" t="s">
        <v>27</v>
      </c>
    </row>
    <row r="2373" spans="1:13" ht="13.5" customHeight="1" x14ac:dyDescent="0.25">
      <c r="I2373" s="16">
        <v>15</v>
      </c>
      <c r="L2373" s="16" t="s">
        <v>26</v>
      </c>
      <c r="M2373" s="16" t="s">
        <v>147</v>
      </c>
    </row>
    <row r="2374" spans="1:13" ht="13.5" customHeight="1" x14ac:dyDescent="0.25">
      <c r="I2374" s="16">
        <v>40</v>
      </c>
      <c r="L2374" s="15" t="s">
        <v>378</v>
      </c>
      <c r="M2374" s="15" t="s">
        <v>243</v>
      </c>
    </row>
    <row r="2377" spans="1:13" ht="13.5" customHeight="1" x14ac:dyDescent="0.25">
      <c r="A2377" s="16" t="s">
        <v>508</v>
      </c>
      <c r="B2377" s="16" t="s">
        <v>2</v>
      </c>
      <c r="C2377" s="16" t="s">
        <v>16</v>
      </c>
      <c r="D2377" s="16" t="s">
        <v>530</v>
      </c>
      <c r="F2377" s="16">
        <f>32.73+37.83+38.07+31.06+37.93+31.23+38.41+31.24+31.29+4.31+4.3+4.29+4.29+4.29</f>
        <v>331.2700000000001</v>
      </c>
      <c r="G2377" s="16">
        <v>10</v>
      </c>
      <c r="H2377" s="16" t="s">
        <v>22</v>
      </c>
      <c r="I2377" s="16">
        <v>10</v>
      </c>
      <c r="L2377" s="16" t="s">
        <v>23</v>
      </c>
    </row>
    <row r="2378" spans="1:13" ht="13.5" customHeight="1" x14ac:dyDescent="0.25">
      <c r="I2378" s="16">
        <v>100</v>
      </c>
      <c r="L2378" s="16" t="s">
        <v>32</v>
      </c>
    </row>
    <row r="2379" spans="1:13" ht="13.5" customHeight="1" x14ac:dyDescent="0.25">
      <c r="I2379" s="16">
        <v>20</v>
      </c>
      <c r="L2379" s="16" t="s">
        <v>33</v>
      </c>
    </row>
    <row r="2380" spans="1:13" ht="13.5" customHeight="1" x14ac:dyDescent="0.25">
      <c r="I2380" s="16">
        <v>60</v>
      </c>
      <c r="L2380" s="16" t="s">
        <v>29</v>
      </c>
      <c r="M2380" s="15" t="s">
        <v>509</v>
      </c>
    </row>
    <row r="2381" spans="1:13" ht="13.5" customHeight="1" x14ac:dyDescent="0.25">
      <c r="I2381" s="16">
        <v>30</v>
      </c>
      <c r="L2381" s="16" t="s">
        <v>25</v>
      </c>
      <c r="M2381" s="16" t="s">
        <v>137</v>
      </c>
    </row>
    <row r="2382" spans="1:13" ht="13.5" customHeight="1" x14ac:dyDescent="0.25">
      <c r="I2382" s="16">
        <v>20</v>
      </c>
      <c r="L2382" s="16" t="s">
        <v>25</v>
      </c>
      <c r="M2382" s="16" t="s">
        <v>45</v>
      </c>
    </row>
    <row r="2383" spans="1:13" ht="13.5" customHeight="1" x14ac:dyDescent="0.25">
      <c r="I2383" s="16">
        <v>15</v>
      </c>
      <c r="L2383" s="16" t="s">
        <v>27</v>
      </c>
    </row>
    <row r="2384" spans="1:13" ht="13.5" customHeight="1" x14ac:dyDescent="0.25">
      <c r="I2384" s="16">
        <v>15</v>
      </c>
      <c r="L2384" s="16" t="s">
        <v>26</v>
      </c>
      <c r="M2384" s="16" t="s">
        <v>147</v>
      </c>
    </row>
    <row r="2385" spans="1:13" ht="13.5" customHeight="1" x14ac:dyDescent="0.25">
      <c r="I2385" s="16">
        <v>40</v>
      </c>
      <c r="L2385" s="15" t="s">
        <v>378</v>
      </c>
      <c r="M2385" s="15" t="s">
        <v>243</v>
      </c>
    </row>
    <row r="2387" spans="1:13" ht="13.5" customHeight="1" x14ac:dyDescent="0.25">
      <c r="A2387" s="16" t="s">
        <v>508</v>
      </c>
      <c r="B2387" s="16" t="s">
        <v>2</v>
      </c>
      <c r="C2387" s="16" t="s">
        <v>6</v>
      </c>
      <c r="D2387" s="16" t="s">
        <v>21</v>
      </c>
      <c r="F2387" s="16">
        <f>9.78+38.09+32.22+29.11+31.21+38.16+37.98+32.37+31.15+31.23+7.478+7.478+7.472</f>
        <v>333.72800000000001</v>
      </c>
      <c r="G2387" s="16">
        <v>10</v>
      </c>
      <c r="H2387" s="16" t="s">
        <v>22</v>
      </c>
      <c r="I2387" s="16">
        <v>10</v>
      </c>
      <c r="L2387" s="16" t="s">
        <v>23</v>
      </c>
    </row>
    <row r="2388" spans="1:13" ht="13.5" customHeight="1" x14ac:dyDescent="0.25">
      <c r="I2388" s="16">
        <v>100</v>
      </c>
      <c r="L2388" s="16" t="s">
        <v>32</v>
      </c>
    </row>
    <row r="2389" spans="1:13" ht="13.5" customHeight="1" x14ac:dyDescent="0.25">
      <c r="I2389" s="16">
        <v>30</v>
      </c>
      <c r="L2389" s="16" t="s">
        <v>33</v>
      </c>
    </row>
    <row r="2390" spans="1:13" ht="13.5" customHeight="1" x14ac:dyDescent="0.25">
      <c r="I2390" s="16">
        <v>60</v>
      </c>
      <c r="L2390" s="16" t="s">
        <v>29</v>
      </c>
      <c r="M2390" s="15"/>
    </row>
    <row r="2391" spans="1:13" ht="13.5" customHeight="1" x14ac:dyDescent="0.25">
      <c r="I2391" s="16">
        <v>25</v>
      </c>
      <c r="L2391" s="16" t="s">
        <v>25</v>
      </c>
      <c r="M2391" s="16" t="s">
        <v>137</v>
      </c>
    </row>
    <row r="2392" spans="1:13" ht="13.5" customHeight="1" x14ac:dyDescent="0.25">
      <c r="I2392" s="16">
        <v>25</v>
      </c>
      <c r="L2392" s="16" t="s">
        <v>25</v>
      </c>
      <c r="M2392" s="16" t="s">
        <v>45</v>
      </c>
    </row>
    <row r="2393" spans="1:13" ht="13.5" customHeight="1" x14ac:dyDescent="0.25">
      <c r="I2393" s="16">
        <v>15</v>
      </c>
      <c r="L2393" s="16" t="s">
        <v>27</v>
      </c>
    </row>
    <row r="2394" spans="1:13" ht="13.5" customHeight="1" x14ac:dyDescent="0.25">
      <c r="I2394" s="16">
        <v>20</v>
      </c>
      <c r="L2394" s="16" t="s">
        <v>26</v>
      </c>
      <c r="M2394" s="16" t="s">
        <v>147</v>
      </c>
    </row>
    <row r="2395" spans="1:13" ht="13.5" customHeight="1" x14ac:dyDescent="0.25">
      <c r="I2395" s="16">
        <v>15</v>
      </c>
      <c r="L2395" s="16" t="s">
        <v>26</v>
      </c>
      <c r="M2395" s="15" t="s">
        <v>510</v>
      </c>
    </row>
    <row r="2396" spans="1:13" ht="13.5" customHeight="1" x14ac:dyDescent="0.25">
      <c r="I2396" s="16">
        <v>25</v>
      </c>
      <c r="L2396" s="16" t="s">
        <v>26</v>
      </c>
      <c r="M2396" s="15" t="s">
        <v>511</v>
      </c>
    </row>
    <row r="2398" spans="1:13" ht="13.5" customHeight="1" x14ac:dyDescent="0.25">
      <c r="A2398" s="16" t="s">
        <v>514</v>
      </c>
      <c r="B2398" s="16" t="s">
        <v>0</v>
      </c>
      <c r="C2398" s="16" t="s">
        <v>18</v>
      </c>
      <c r="D2398" s="16" t="s">
        <v>530</v>
      </c>
      <c r="F2398" s="16">
        <v>327.09199999999998</v>
      </c>
      <c r="G2398" s="16">
        <v>10.25</v>
      </c>
      <c r="H2398" s="16" t="s">
        <v>22</v>
      </c>
      <c r="I2398" s="16">
        <v>10</v>
      </c>
      <c r="L2398" s="16" t="s">
        <v>23</v>
      </c>
    </row>
    <row r="2399" spans="1:13" ht="13.5" customHeight="1" x14ac:dyDescent="0.25">
      <c r="I2399" s="16">
        <v>100</v>
      </c>
      <c r="L2399" s="16" t="s">
        <v>32</v>
      </c>
    </row>
    <row r="2400" spans="1:13" ht="13.5" customHeight="1" x14ac:dyDescent="0.25">
      <c r="I2400" s="16">
        <v>20</v>
      </c>
      <c r="L2400" s="16" t="s">
        <v>33</v>
      </c>
    </row>
    <row r="2401" spans="1:13" ht="13.5" customHeight="1" x14ac:dyDescent="0.25">
      <c r="I2401" s="16">
        <v>40</v>
      </c>
      <c r="L2401" s="16" t="s">
        <v>29</v>
      </c>
      <c r="M2401" s="15"/>
    </row>
    <row r="2402" spans="1:13" ht="13.5" customHeight="1" x14ac:dyDescent="0.25">
      <c r="I2402" s="16">
        <v>30</v>
      </c>
      <c r="L2402" s="16" t="s">
        <v>25</v>
      </c>
      <c r="M2402" s="16" t="s">
        <v>137</v>
      </c>
    </row>
    <row r="2403" spans="1:13" ht="13.5" customHeight="1" x14ac:dyDescent="0.25">
      <c r="I2403" s="16">
        <v>20</v>
      </c>
      <c r="L2403" s="16" t="s">
        <v>25</v>
      </c>
      <c r="M2403" s="16" t="s">
        <v>45</v>
      </c>
    </row>
    <row r="2404" spans="1:13" ht="13.5" customHeight="1" x14ac:dyDescent="0.25">
      <c r="I2404" s="16">
        <v>15</v>
      </c>
      <c r="L2404" s="16" t="s">
        <v>27</v>
      </c>
    </row>
    <row r="2405" spans="1:13" ht="13.5" customHeight="1" x14ac:dyDescent="0.25">
      <c r="I2405" s="16">
        <v>15</v>
      </c>
      <c r="L2405" s="16" t="s">
        <v>26</v>
      </c>
      <c r="M2405" s="16" t="s">
        <v>147</v>
      </c>
    </row>
    <row r="2406" spans="1:13" ht="13.5" customHeight="1" x14ac:dyDescent="0.25">
      <c r="I2406" s="16">
        <v>60</v>
      </c>
      <c r="L2406" s="15" t="s">
        <v>378</v>
      </c>
      <c r="M2406" s="15" t="s">
        <v>512</v>
      </c>
    </row>
    <row r="2407" spans="1:13" ht="13.5" customHeight="1" x14ac:dyDescent="0.25">
      <c r="I2407" s="16">
        <v>20</v>
      </c>
      <c r="L2407" s="16" t="s">
        <v>25</v>
      </c>
      <c r="M2407" s="15" t="s">
        <v>36</v>
      </c>
    </row>
    <row r="2408" spans="1:13" ht="13.5" customHeight="1" x14ac:dyDescent="0.25">
      <c r="I2408" s="16">
        <v>15</v>
      </c>
      <c r="L2408" s="16" t="s">
        <v>26</v>
      </c>
      <c r="M2408" s="15" t="s">
        <v>513</v>
      </c>
    </row>
    <row r="2410" spans="1:13" ht="13.5" customHeight="1" x14ac:dyDescent="0.25">
      <c r="A2410" s="16" t="s">
        <v>514</v>
      </c>
      <c r="B2410" s="16" t="s">
        <v>1</v>
      </c>
      <c r="C2410" s="16" t="s">
        <v>16</v>
      </c>
      <c r="D2410" s="16" t="s">
        <v>21</v>
      </c>
      <c r="F2410" s="16">
        <v>310.58</v>
      </c>
      <c r="G2410" s="16">
        <v>10</v>
      </c>
      <c r="H2410" s="16" t="s">
        <v>22</v>
      </c>
      <c r="I2410" s="16">
        <v>10</v>
      </c>
      <c r="L2410" s="16" t="s">
        <v>23</v>
      </c>
    </row>
    <row r="2411" spans="1:13" ht="13.5" customHeight="1" x14ac:dyDescent="0.25">
      <c r="I2411" s="16">
        <v>100</v>
      </c>
      <c r="L2411" s="16" t="s">
        <v>32</v>
      </c>
    </row>
    <row r="2412" spans="1:13" ht="13.5" customHeight="1" x14ac:dyDescent="0.25">
      <c r="I2412" s="16">
        <v>30</v>
      </c>
      <c r="L2412" s="16" t="s">
        <v>33</v>
      </c>
    </row>
    <row r="2413" spans="1:13" ht="13.5" customHeight="1" x14ac:dyDescent="0.25">
      <c r="I2413" s="16">
        <v>40</v>
      </c>
      <c r="L2413" s="16" t="s">
        <v>29</v>
      </c>
      <c r="M2413" s="15"/>
    </row>
    <row r="2414" spans="1:13" ht="13.5" customHeight="1" x14ac:dyDescent="0.25">
      <c r="I2414" s="16">
        <v>25</v>
      </c>
      <c r="L2414" s="16" t="s">
        <v>25</v>
      </c>
      <c r="M2414" s="16" t="s">
        <v>137</v>
      </c>
    </row>
    <row r="2415" spans="1:13" ht="13.5" customHeight="1" x14ac:dyDescent="0.25">
      <c r="I2415" s="16">
        <v>20</v>
      </c>
      <c r="L2415" s="16" t="s">
        <v>25</v>
      </c>
      <c r="M2415" s="16" t="s">
        <v>45</v>
      </c>
    </row>
    <row r="2416" spans="1:13" ht="13.5" customHeight="1" x14ac:dyDescent="0.25">
      <c r="I2416" s="16">
        <v>15</v>
      </c>
      <c r="L2416" s="16" t="s">
        <v>27</v>
      </c>
    </row>
    <row r="2417" spans="1:13" ht="13.5" customHeight="1" x14ac:dyDescent="0.25">
      <c r="I2417" s="16">
        <v>20</v>
      </c>
      <c r="L2417" s="16" t="s">
        <v>26</v>
      </c>
      <c r="M2417" s="16" t="s">
        <v>147</v>
      </c>
    </row>
    <row r="2418" spans="1:13" ht="13.5" customHeight="1" x14ac:dyDescent="0.25">
      <c r="I2418" s="16">
        <v>60</v>
      </c>
      <c r="L2418" s="15" t="s">
        <v>378</v>
      </c>
      <c r="M2418" s="15" t="s">
        <v>512</v>
      </c>
    </row>
    <row r="2419" spans="1:13" ht="13.5" customHeight="1" x14ac:dyDescent="0.25">
      <c r="I2419" s="16">
        <v>15</v>
      </c>
      <c r="L2419" s="16" t="s">
        <v>26</v>
      </c>
      <c r="M2419" s="16" t="s">
        <v>515</v>
      </c>
    </row>
    <row r="2422" spans="1:13" ht="13.5" customHeight="1" x14ac:dyDescent="0.25">
      <c r="A2422" s="16" t="s">
        <v>514</v>
      </c>
      <c r="B2422" s="16" t="s">
        <v>2</v>
      </c>
      <c r="C2422" s="16" t="s">
        <v>6</v>
      </c>
      <c r="D2422" s="16" t="s">
        <v>20</v>
      </c>
      <c r="F2422" s="16">
        <v>356.9</v>
      </c>
      <c r="G2422" s="16">
        <v>10</v>
      </c>
      <c r="H2422" s="16" t="s">
        <v>22</v>
      </c>
      <c r="I2422" s="16">
        <v>10</v>
      </c>
      <c r="L2422" s="16" t="s">
        <v>23</v>
      </c>
    </row>
    <row r="2423" spans="1:13" ht="13.5" customHeight="1" x14ac:dyDescent="0.25">
      <c r="I2423" s="16">
        <v>100</v>
      </c>
      <c r="L2423" s="16" t="s">
        <v>32</v>
      </c>
    </row>
    <row r="2424" spans="1:13" ht="13.5" customHeight="1" x14ac:dyDescent="0.25">
      <c r="I2424" s="16">
        <v>20</v>
      </c>
      <c r="L2424" s="16" t="s">
        <v>33</v>
      </c>
    </row>
    <row r="2425" spans="1:13" ht="13.5" customHeight="1" x14ac:dyDescent="0.25">
      <c r="I2425" s="16">
        <v>40</v>
      </c>
      <c r="L2425" s="16" t="s">
        <v>29</v>
      </c>
      <c r="M2425" s="15"/>
    </row>
    <row r="2426" spans="1:13" ht="13.5" customHeight="1" x14ac:dyDescent="0.25">
      <c r="I2426" s="16">
        <v>30</v>
      </c>
      <c r="L2426" s="16" t="s">
        <v>25</v>
      </c>
      <c r="M2426" s="16" t="s">
        <v>137</v>
      </c>
    </row>
    <row r="2427" spans="1:13" ht="13.5" customHeight="1" x14ac:dyDescent="0.25">
      <c r="I2427" s="16">
        <v>20</v>
      </c>
      <c r="L2427" s="16" t="s">
        <v>25</v>
      </c>
      <c r="M2427" s="16" t="s">
        <v>45</v>
      </c>
    </row>
    <row r="2428" spans="1:13" ht="13.5" customHeight="1" x14ac:dyDescent="0.25">
      <c r="I2428" s="16">
        <v>15</v>
      </c>
      <c r="L2428" s="16" t="s">
        <v>27</v>
      </c>
    </row>
    <row r="2429" spans="1:13" ht="13.5" customHeight="1" x14ac:dyDescent="0.25">
      <c r="I2429" s="16">
        <v>15</v>
      </c>
      <c r="L2429" s="16" t="s">
        <v>26</v>
      </c>
      <c r="M2429" s="16" t="s">
        <v>147</v>
      </c>
    </row>
    <row r="2430" spans="1:13" ht="13.5" customHeight="1" x14ac:dyDescent="0.25">
      <c r="I2430" s="16">
        <v>30</v>
      </c>
      <c r="L2430" s="15" t="s">
        <v>378</v>
      </c>
      <c r="M2430" s="15" t="s">
        <v>516</v>
      </c>
    </row>
    <row r="2432" spans="1:13" ht="13.5" customHeight="1" x14ac:dyDescent="0.25">
      <c r="A2432" s="16" t="s">
        <v>517</v>
      </c>
      <c r="B2432" s="16" t="s">
        <v>0</v>
      </c>
      <c r="C2432" s="16" t="s">
        <v>7</v>
      </c>
      <c r="D2432" s="16" t="s">
        <v>530</v>
      </c>
      <c r="F2432" s="16">
        <v>321.64999999999998</v>
      </c>
      <c r="G2432" s="16">
        <v>9.25</v>
      </c>
      <c r="H2432" s="16" t="s">
        <v>22</v>
      </c>
      <c r="I2432" s="16">
        <v>10</v>
      </c>
      <c r="L2432" s="16" t="s">
        <v>23</v>
      </c>
    </row>
    <row r="2433" spans="1:13" ht="13.5" customHeight="1" x14ac:dyDescent="0.25">
      <c r="I2433" s="16">
        <v>100</v>
      </c>
      <c r="L2433" s="16" t="s">
        <v>32</v>
      </c>
    </row>
    <row r="2434" spans="1:13" ht="13.5" customHeight="1" x14ac:dyDescent="0.25">
      <c r="I2434" s="16">
        <v>20</v>
      </c>
      <c r="L2434" s="16" t="s">
        <v>33</v>
      </c>
    </row>
    <row r="2435" spans="1:13" ht="13.5" customHeight="1" x14ac:dyDescent="0.25">
      <c r="I2435" s="16">
        <v>40</v>
      </c>
      <c r="L2435" s="16" t="s">
        <v>29</v>
      </c>
      <c r="M2435" s="15"/>
    </row>
    <row r="2436" spans="1:13" ht="13.5" customHeight="1" x14ac:dyDescent="0.25">
      <c r="I2436" s="16">
        <v>30</v>
      </c>
      <c r="L2436" s="16" t="s">
        <v>25</v>
      </c>
      <c r="M2436" s="16" t="s">
        <v>137</v>
      </c>
    </row>
    <row r="2437" spans="1:13" ht="13.5" customHeight="1" x14ac:dyDescent="0.25">
      <c r="I2437" s="16">
        <v>20</v>
      </c>
      <c r="L2437" s="16" t="s">
        <v>25</v>
      </c>
      <c r="M2437" s="16" t="s">
        <v>45</v>
      </c>
    </row>
    <row r="2438" spans="1:13" ht="13.5" customHeight="1" x14ac:dyDescent="0.25">
      <c r="I2438" s="16">
        <v>15</v>
      </c>
      <c r="L2438" s="16" t="s">
        <v>27</v>
      </c>
    </row>
    <row r="2439" spans="1:13" ht="13.5" customHeight="1" x14ac:dyDescent="0.25">
      <c r="I2439" s="16">
        <v>15</v>
      </c>
      <c r="L2439" s="16" t="s">
        <v>26</v>
      </c>
      <c r="M2439" s="16" t="s">
        <v>147</v>
      </c>
    </row>
    <row r="2440" spans="1:13" ht="13.5" customHeight="1" x14ac:dyDescent="0.25">
      <c r="I2440" s="16">
        <v>30</v>
      </c>
      <c r="L2440" s="15" t="s">
        <v>378</v>
      </c>
      <c r="M2440" s="15" t="s">
        <v>518</v>
      </c>
    </row>
    <row r="2441" spans="1:13" ht="13.5" customHeight="1" x14ac:dyDescent="0.25">
      <c r="I2441" s="16">
        <v>30</v>
      </c>
      <c r="J2441" s="18">
        <v>0.2986111111111111</v>
      </c>
      <c r="K2441" s="18">
        <v>0.31944444444444448</v>
      </c>
      <c r="L2441" s="16" t="s">
        <v>25</v>
      </c>
      <c r="M2441" s="15" t="s">
        <v>460</v>
      </c>
    </row>
    <row r="2442" spans="1:13" ht="13.5" customHeight="1" x14ac:dyDescent="0.25">
      <c r="I2442" s="16">
        <v>15</v>
      </c>
      <c r="L2442" s="15" t="s">
        <v>113</v>
      </c>
      <c r="M2442" s="15" t="s">
        <v>519</v>
      </c>
    </row>
    <row r="2443" spans="1:13" ht="13.5" customHeight="1" x14ac:dyDescent="0.25">
      <c r="I2443" s="16">
        <v>20</v>
      </c>
      <c r="L2443" s="16" t="s">
        <v>26</v>
      </c>
      <c r="M2443" s="16" t="s">
        <v>515</v>
      </c>
    </row>
    <row r="2445" spans="1:13" ht="13.5" customHeight="1" x14ac:dyDescent="0.25">
      <c r="A2445" s="16" t="s">
        <v>517</v>
      </c>
      <c r="B2445" s="16" t="s">
        <v>1</v>
      </c>
      <c r="C2445" s="16" t="s">
        <v>520</v>
      </c>
      <c r="D2445" s="16" t="s">
        <v>21</v>
      </c>
      <c r="F2445" s="16">
        <f>30.23+30.94+32.09+37.65+37.88+30.63+37.6+26.97</f>
        <v>263.99</v>
      </c>
      <c r="G2445" s="16">
        <v>8</v>
      </c>
      <c r="H2445" s="16" t="s">
        <v>22</v>
      </c>
      <c r="I2445" s="16">
        <v>10</v>
      </c>
      <c r="L2445" s="16" t="s">
        <v>23</v>
      </c>
    </row>
    <row r="2446" spans="1:13" ht="13.5" customHeight="1" x14ac:dyDescent="0.25">
      <c r="I2446" s="16">
        <v>90</v>
      </c>
      <c r="L2446" s="16" t="s">
        <v>32</v>
      </c>
    </row>
    <row r="2447" spans="1:13" ht="13.5" customHeight="1" x14ac:dyDescent="0.25">
      <c r="I2447" s="16">
        <v>25</v>
      </c>
      <c r="L2447" s="16" t="s">
        <v>33</v>
      </c>
    </row>
    <row r="2448" spans="1:13" ht="13.5" customHeight="1" x14ac:dyDescent="0.25">
      <c r="I2448" s="16">
        <v>30</v>
      </c>
      <c r="L2448" s="16" t="s">
        <v>29</v>
      </c>
      <c r="M2448" s="15"/>
    </row>
    <row r="2449" spans="1:13" ht="13.5" customHeight="1" x14ac:dyDescent="0.25">
      <c r="I2449" s="16">
        <v>25</v>
      </c>
      <c r="L2449" s="16" t="s">
        <v>25</v>
      </c>
      <c r="M2449" s="16" t="s">
        <v>137</v>
      </c>
    </row>
    <row r="2450" spans="1:13" ht="13.5" customHeight="1" x14ac:dyDescent="0.25">
      <c r="I2450" s="16">
        <v>20</v>
      </c>
      <c r="L2450" s="16" t="s">
        <v>25</v>
      </c>
      <c r="M2450" s="16" t="s">
        <v>45</v>
      </c>
    </row>
    <row r="2451" spans="1:13" ht="13.5" customHeight="1" x14ac:dyDescent="0.25">
      <c r="I2451" s="16">
        <v>15</v>
      </c>
      <c r="L2451" s="16" t="s">
        <v>27</v>
      </c>
    </row>
    <row r="2452" spans="1:13" ht="13.5" customHeight="1" x14ac:dyDescent="0.25">
      <c r="I2452" s="16">
        <v>20</v>
      </c>
      <c r="L2452" s="16" t="s">
        <v>26</v>
      </c>
      <c r="M2452" s="16" t="s">
        <v>147</v>
      </c>
    </row>
    <row r="2453" spans="1:13" ht="13.5" customHeight="1" x14ac:dyDescent="0.25">
      <c r="I2453" s="16">
        <v>45</v>
      </c>
      <c r="L2453" s="16" t="s">
        <v>26</v>
      </c>
      <c r="M2453" s="15" t="s">
        <v>143</v>
      </c>
    </row>
    <row r="2454" spans="1:13" ht="13.5" customHeight="1" x14ac:dyDescent="0.25">
      <c r="I2454" s="16">
        <v>75</v>
      </c>
      <c r="L2454" s="16" t="s">
        <v>26</v>
      </c>
      <c r="M2454" s="15" t="s">
        <v>521</v>
      </c>
    </row>
    <row r="2455" spans="1:13" ht="13.5" customHeight="1" x14ac:dyDescent="0.25">
      <c r="I2455" s="16">
        <v>10</v>
      </c>
      <c r="L2455" s="16" t="s">
        <v>25</v>
      </c>
      <c r="M2455" s="15" t="s">
        <v>522</v>
      </c>
    </row>
    <row r="2457" spans="1:13" ht="13.5" customHeight="1" x14ac:dyDescent="0.25">
      <c r="A2457" s="16" t="s">
        <v>517</v>
      </c>
      <c r="B2457" s="16" t="s">
        <v>2</v>
      </c>
      <c r="C2457" s="16" t="s">
        <v>6</v>
      </c>
      <c r="D2457" s="16" t="s">
        <v>20</v>
      </c>
      <c r="F2457" s="16">
        <v>301.72000000000003</v>
      </c>
      <c r="G2457" s="16">
        <v>9</v>
      </c>
      <c r="H2457" s="16" t="s">
        <v>22</v>
      </c>
      <c r="I2457" s="16">
        <v>10</v>
      </c>
      <c r="L2457" s="16" t="s">
        <v>23</v>
      </c>
    </row>
    <row r="2458" spans="1:13" ht="13.5" customHeight="1" x14ac:dyDescent="0.25">
      <c r="I2458" s="16">
        <v>90</v>
      </c>
      <c r="L2458" s="16" t="s">
        <v>32</v>
      </c>
    </row>
    <row r="2459" spans="1:13" ht="13.5" customHeight="1" x14ac:dyDescent="0.25">
      <c r="I2459" s="16">
        <v>20</v>
      </c>
      <c r="L2459" s="16" t="s">
        <v>33</v>
      </c>
    </row>
    <row r="2460" spans="1:13" ht="13.5" customHeight="1" x14ac:dyDescent="0.25">
      <c r="I2460" s="16">
        <v>40</v>
      </c>
      <c r="L2460" s="16" t="s">
        <v>29</v>
      </c>
      <c r="M2460" s="15" t="s">
        <v>516</v>
      </c>
    </row>
    <row r="2461" spans="1:13" ht="13.5" customHeight="1" x14ac:dyDescent="0.25">
      <c r="I2461" s="16">
        <v>20</v>
      </c>
      <c r="L2461" s="16" t="s">
        <v>25</v>
      </c>
      <c r="M2461" s="16" t="s">
        <v>137</v>
      </c>
    </row>
    <row r="2462" spans="1:13" ht="13.5" customHeight="1" x14ac:dyDescent="0.25">
      <c r="I2462" s="16">
        <v>15</v>
      </c>
      <c r="L2462" s="16" t="s">
        <v>27</v>
      </c>
    </row>
    <row r="2463" spans="1:13" ht="13.5" customHeight="1" x14ac:dyDescent="0.25">
      <c r="I2463" s="16">
        <v>30</v>
      </c>
      <c r="L2463" s="15" t="s">
        <v>378</v>
      </c>
      <c r="M2463" s="15" t="s">
        <v>516</v>
      </c>
    </row>
    <row r="2464" spans="1:13" ht="13.5" customHeight="1" x14ac:dyDescent="0.25">
      <c r="I2464" s="16">
        <v>20</v>
      </c>
      <c r="L2464" s="16" t="s">
        <v>26</v>
      </c>
      <c r="M2464" s="16" t="s">
        <v>147</v>
      </c>
    </row>
    <row r="2465" spans="1:13" ht="13.5" customHeight="1" x14ac:dyDescent="0.25">
      <c r="I2465" s="16">
        <v>60</v>
      </c>
      <c r="L2465" s="16" t="s">
        <v>26</v>
      </c>
      <c r="M2465" s="15" t="s">
        <v>523</v>
      </c>
    </row>
    <row r="2466" spans="1:13" ht="13.5" customHeight="1" x14ac:dyDescent="0.25">
      <c r="I2466" s="16">
        <v>30</v>
      </c>
      <c r="L2466" s="16" t="s">
        <v>26</v>
      </c>
      <c r="M2466" s="15" t="s">
        <v>524</v>
      </c>
    </row>
    <row r="2467" spans="1:13" ht="13.5" customHeight="1" x14ac:dyDescent="0.25">
      <c r="I2467" s="16">
        <v>20</v>
      </c>
      <c r="L2467" s="16" t="s">
        <v>26</v>
      </c>
      <c r="M2467" s="15" t="s">
        <v>148</v>
      </c>
    </row>
    <row r="2468" spans="1:13" ht="13.5" customHeight="1" x14ac:dyDescent="0.25">
      <c r="I2468" s="16">
        <v>20</v>
      </c>
      <c r="L2468" s="16" t="s">
        <v>26</v>
      </c>
      <c r="M2468" s="15" t="s">
        <v>525</v>
      </c>
    </row>
    <row r="2469" spans="1:13" ht="13.5" customHeight="1" x14ac:dyDescent="0.25">
      <c r="I2469" s="16">
        <v>20</v>
      </c>
      <c r="L2469" s="16" t="s">
        <v>26</v>
      </c>
      <c r="M2469" s="15" t="s">
        <v>505</v>
      </c>
    </row>
    <row r="2471" spans="1:13" ht="13.5" customHeight="1" x14ac:dyDescent="0.25">
      <c r="A2471" s="16" t="s">
        <v>526</v>
      </c>
      <c r="B2471" s="16" t="s">
        <v>0</v>
      </c>
      <c r="C2471" s="16" t="s">
        <v>16</v>
      </c>
      <c r="D2471" s="16" t="s">
        <v>530</v>
      </c>
      <c r="F2471" s="16">
        <v>303.07</v>
      </c>
      <c r="G2471" s="16">
        <v>9.5</v>
      </c>
      <c r="H2471" s="16" t="s">
        <v>22</v>
      </c>
      <c r="I2471" s="16">
        <v>10</v>
      </c>
      <c r="L2471" s="16" t="s">
        <v>23</v>
      </c>
    </row>
    <row r="2472" spans="1:13" ht="13.5" customHeight="1" x14ac:dyDescent="0.25">
      <c r="I2472" s="16">
        <v>100</v>
      </c>
      <c r="L2472" s="16" t="s">
        <v>32</v>
      </c>
    </row>
    <row r="2473" spans="1:13" ht="13.5" customHeight="1" x14ac:dyDescent="0.25">
      <c r="I2473" s="16">
        <v>20</v>
      </c>
      <c r="L2473" s="16" t="s">
        <v>33</v>
      </c>
    </row>
    <row r="2474" spans="1:13" ht="13.5" customHeight="1" x14ac:dyDescent="0.25">
      <c r="I2474" s="16">
        <v>40</v>
      </c>
      <c r="L2474" s="16" t="s">
        <v>29</v>
      </c>
      <c r="M2474" s="15"/>
    </row>
    <row r="2475" spans="1:13" ht="13.5" customHeight="1" x14ac:dyDescent="0.25">
      <c r="I2475" s="16">
        <v>30</v>
      </c>
      <c r="L2475" s="16" t="s">
        <v>25</v>
      </c>
      <c r="M2475" s="16" t="s">
        <v>137</v>
      </c>
    </row>
    <row r="2476" spans="1:13" ht="13.5" customHeight="1" x14ac:dyDescent="0.25">
      <c r="I2476" s="16">
        <v>20</v>
      </c>
      <c r="L2476" s="16" t="s">
        <v>25</v>
      </c>
      <c r="M2476" s="16" t="s">
        <v>45</v>
      </c>
    </row>
    <row r="2477" spans="1:13" ht="13.5" customHeight="1" x14ac:dyDescent="0.25">
      <c r="I2477" s="16">
        <v>15</v>
      </c>
      <c r="L2477" s="16" t="s">
        <v>27</v>
      </c>
    </row>
    <row r="2478" spans="1:13" ht="13.5" customHeight="1" x14ac:dyDescent="0.25">
      <c r="I2478" s="16">
        <v>15</v>
      </c>
      <c r="L2478" s="16" t="s">
        <v>26</v>
      </c>
      <c r="M2478" s="16" t="s">
        <v>147</v>
      </c>
    </row>
    <row r="2479" spans="1:13" ht="13.5" customHeight="1" x14ac:dyDescent="0.25">
      <c r="I2479" s="16">
        <v>30</v>
      </c>
      <c r="L2479" s="15" t="s">
        <v>378</v>
      </c>
      <c r="M2479" s="15" t="s">
        <v>518</v>
      </c>
    </row>
    <row r="2480" spans="1:13" ht="13.5" customHeight="1" x14ac:dyDescent="0.25">
      <c r="I2480" s="16">
        <v>30</v>
      </c>
      <c r="L2480" s="16" t="s">
        <v>25</v>
      </c>
      <c r="M2480" s="15" t="s">
        <v>532</v>
      </c>
    </row>
    <row r="2481" spans="1:14" ht="13.5" customHeight="1" x14ac:dyDescent="0.25">
      <c r="I2481" s="16">
        <v>30</v>
      </c>
      <c r="L2481" s="16" t="s">
        <v>26</v>
      </c>
      <c r="M2481" s="16" t="s">
        <v>533</v>
      </c>
      <c r="N2481" s="16"/>
    </row>
    <row r="2482" spans="1:14" ht="13.5" customHeight="1" x14ac:dyDescent="0.25">
      <c r="I2482" s="16">
        <v>20</v>
      </c>
      <c r="L2482" s="15" t="s">
        <v>113</v>
      </c>
      <c r="M2482" s="16" t="s">
        <v>527</v>
      </c>
    </row>
    <row r="2483" spans="1:14" ht="13.5" customHeight="1" x14ac:dyDescent="0.25">
      <c r="I2483" s="16">
        <v>20</v>
      </c>
      <c r="L2483" s="16" t="s">
        <v>26</v>
      </c>
      <c r="M2483" s="16" t="s">
        <v>528</v>
      </c>
    </row>
    <row r="2484" spans="1:14" ht="13.5" customHeight="1" x14ac:dyDescent="0.25">
      <c r="I2484" s="16">
        <v>20</v>
      </c>
      <c r="L2484" s="16" t="s">
        <v>26</v>
      </c>
      <c r="M2484" s="15" t="s">
        <v>525</v>
      </c>
    </row>
    <row r="2486" spans="1:14" ht="13.5" customHeight="1" x14ac:dyDescent="0.25">
      <c r="A2486" s="16" t="s">
        <v>526</v>
      </c>
      <c r="B2486" s="16" t="s">
        <v>1</v>
      </c>
      <c r="C2486" s="16" t="s">
        <v>7</v>
      </c>
      <c r="D2486" s="16" t="s">
        <v>21</v>
      </c>
      <c r="F2486" s="16">
        <f>11.4+26.08+37.88+38.09+32.3+31.47+31.43+23.9+26.48+32.17+32.19</f>
        <v>323.39000000000004</v>
      </c>
      <c r="G2486" s="16">
        <v>10.5</v>
      </c>
      <c r="H2486" s="16" t="s">
        <v>22</v>
      </c>
      <c r="I2486" s="16">
        <v>10</v>
      </c>
      <c r="L2486" s="16" t="s">
        <v>23</v>
      </c>
    </row>
    <row r="2487" spans="1:14" ht="13.5" customHeight="1" x14ac:dyDescent="0.25">
      <c r="I2487" s="16">
        <v>100</v>
      </c>
      <c r="L2487" s="16" t="s">
        <v>32</v>
      </c>
    </row>
    <row r="2488" spans="1:14" ht="13.5" customHeight="1" x14ac:dyDescent="0.25">
      <c r="I2488" s="16">
        <v>30</v>
      </c>
      <c r="L2488" s="16" t="s">
        <v>33</v>
      </c>
    </row>
    <row r="2489" spans="1:14" ht="13.5" customHeight="1" x14ac:dyDescent="0.25">
      <c r="I2489" s="16">
        <v>40</v>
      </c>
      <c r="L2489" s="16" t="s">
        <v>29</v>
      </c>
      <c r="M2489" s="15"/>
    </row>
    <row r="2490" spans="1:14" ht="13.5" customHeight="1" x14ac:dyDescent="0.25">
      <c r="I2490" s="16">
        <v>30</v>
      </c>
      <c r="L2490" s="16" t="s">
        <v>25</v>
      </c>
      <c r="M2490" s="16" t="s">
        <v>137</v>
      </c>
    </row>
    <row r="2491" spans="1:14" ht="13.5" customHeight="1" x14ac:dyDescent="0.25">
      <c r="I2491" s="16">
        <v>20</v>
      </c>
      <c r="L2491" s="16" t="s">
        <v>25</v>
      </c>
      <c r="M2491" s="16" t="s">
        <v>45</v>
      </c>
    </row>
    <row r="2492" spans="1:14" ht="13.5" customHeight="1" x14ac:dyDescent="0.25">
      <c r="I2492" s="16">
        <v>20</v>
      </c>
      <c r="L2492" s="16" t="s">
        <v>27</v>
      </c>
    </row>
    <row r="2493" spans="1:14" ht="13.5" customHeight="1" x14ac:dyDescent="0.25">
      <c r="I2493" s="16">
        <v>20</v>
      </c>
      <c r="L2493" s="16" t="s">
        <v>26</v>
      </c>
      <c r="M2493" s="16" t="s">
        <v>147</v>
      </c>
    </row>
    <row r="2494" spans="1:14" ht="13.5" customHeight="1" x14ac:dyDescent="0.25">
      <c r="I2494" s="16">
        <v>30</v>
      </c>
      <c r="L2494" s="16" t="s">
        <v>25</v>
      </c>
      <c r="M2494" s="15" t="s">
        <v>163</v>
      </c>
    </row>
    <row r="2495" spans="1:14" ht="13.5" customHeight="1" x14ac:dyDescent="0.25">
      <c r="I2495" s="16">
        <v>15</v>
      </c>
      <c r="L2495" s="16" t="s">
        <v>26</v>
      </c>
      <c r="M2495" s="16" t="s">
        <v>528</v>
      </c>
    </row>
    <row r="2497" spans="1:13" ht="13.5" customHeight="1" x14ac:dyDescent="0.25">
      <c r="A2497" s="16" t="s">
        <v>526</v>
      </c>
      <c r="B2497" s="16" t="s">
        <v>2</v>
      </c>
      <c r="C2497" s="16" t="s">
        <v>520</v>
      </c>
      <c r="D2497" s="16" t="s">
        <v>20</v>
      </c>
      <c r="F2497" s="16">
        <v>316.89</v>
      </c>
      <c r="G2497" s="16">
        <v>10</v>
      </c>
      <c r="H2497" s="16" t="s">
        <v>22</v>
      </c>
      <c r="I2497" s="16">
        <v>10</v>
      </c>
      <c r="L2497" s="16" t="s">
        <v>23</v>
      </c>
    </row>
    <row r="2498" spans="1:13" ht="13.5" customHeight="1" x14ac:dyDescent="0.25">
      <c r="I2498" s="16">
        <v>100</v>
      </c>
      <c r="L2498" s="16" t="s">
        <v>32</v>
      </c>
    </row>
    <row r="2499" spans="1:13" ht="13.5" customHeight="1" x14ac:dyDescent="0.25">
      <c r="I2499" s="16">
        <v>20</v>
      </c>
      <c r="L2499" s="16" t="s">
        <v>33</v>
      </c>
    </row>
    <row r="2500" spans="1:13" ht="13.5" customHeight="1" x14ac:dyDescent="0.25">
      <c r="I2500" s="16">
        <v>50</v>
      </c>
      <c r="L2500" s="16" t="s">
        <v>29</v>
      </c>
      <c r="M2500" s="15" t="s">
        <v>516</v>
      </c>
    </row>
    <row r="2501" spans="1:13" ht="13.5" customHeight="1" x14ac:dyDescent="0.25">
      <c r="I2501" s="16">
        <v>20</v>
      </c>
      <c r="L2501" s="16" t="s">
        <v>25</v>
      </c>
      <c r="M2501" s="16" t="s">
        <v>137</v>
      </c>
    </row>
    <row r="2502" spans="1:13" ht="13.5" customHeight="1" x14ac:dyDescent="0.25">
      <c r="I2502" s="16">
        <v>15</v>
      </c>
      <c r="L2502" s="16" t="s">
        <v>27</v>
      </c>
    </row>
    <row r="2503" spans="1:13" ht="13.5" customHeight="1" x14ac:dyDescent="0.25">
      <c r="I2503" s="16">
        <v>30</v>
      </c>
      <c r="L2503" s="15" t="s">
        <v>378</v>
      </c>
      <c r="M2503" s="15" t="s">
        <v>516</v>
      </c>
    </row>
    <row r="2504" spans="1:13" ht="13.5" customHeight="1" x14ac:dyDescent="0.25">
      <c r="I2504" s="16">
        <v>20</v>
      </c>
      <c r="L2504" s="16" t="s">
        <v>26</v>
      </c>
      <c r="M2504" s="16" t="s">
        <v>147</v>
      </c>
    </row>
    <row r="2505" spans="1:13" ht="13.5" customHeight="1" x14ac:dyDescent="0.25">
      <c r="I2505" s="16">
        <v>20</v>
      </c>
      <c r="L2505" s="16" t="s">
        <v>26</v>
      </c>
      <c r="M2505" s="15" t="s">
        <v>529</v>
      </c>
    </row>
    <row r="2507" spans="1:13" ht="13.5" customHeight="1" x14ac:dyDescent="0.25">
      <c r="A2507" s="16" t="s">
        <v>531</v>
      </c>
      <c r="B2507" s="16" t="s">
        <v>0</v>
      </c>
      <c r="C2507" s="16" t="s">
        <v>16</v>
      </c>
      <c r="D2507" s="16" t="s">
        <v>530</v>
      </c>
      <c r="F2507" s="16">
        <v>241.39</v>
      </c>
      <c r="G2507" s="16">
        <v>8</v>
      </c>
      <c r="H2507" s="16" t="s">
        <v>22</v>
      </c>
      <c r="I2507" s="16">
        <v>10</v>
      </c>
      <c r="L2507" s="16" t="s">
        <v>23</v>
      </c>
    </row>
    <row r="2508" spans="1:13" ht="13.5" customHeight="1" x14ac:dyDescent="0.25">
      <c r="I2508" s="16">
        <v>80</v>
      </c>
      <c r="L2508" s="16" t="s">
        <v>32</v>
      </c>
    </row>
    <row r="2509" spans="1:13" ht="13.5" customHeight="1" x14ac:dyDescent="0.25">
      <c r="I2509" s="16">
        <v>30</v>
      </c>
      <c r="L2509" s="16" t="s">
        <v>33</v>
      </c>
    </row>
    <row r="2510" spans="1:13" ht="13.5" customHeight="1" x14ac:dyDescent="0.25">
      <c r="I2510" s="16">
        <v>40</v>
      </c>
      <c r="L2510" s="16" t="s">
        <v>29</v>
      </c>
      <c r="M2510" s="15" t="s">
        <v>516</v>
      </c>
    </row>
    <row r="2511" spans="1:13" ht="13.5" customHeight="1" x14ac:dyDescent="0.25">
      <c r="I2511" s="16">
        <v>20</v>
      </c>
      <c r="L2511" s="16" t="s">
        <v>25</v>
      </c>
      <c r="M2511" s="16" t="s">
        <v>137</v>
      </c>
    </row>
    <row r="2512" spans="1:13" ht="13.5" customHeight="1" x14ac:dyDescent="0.25">
      <c r="I2512" s="16">
        <v>20</v>
      </c>
      <c r="L2512" s="16" t="s">
        <v>27</v>
      </c>
    </row>
    <row r="2513" spans="1:13" ht="13.5" customHeight="1" x14ac:dyDescent="0.25">
      <c r="I2513" s="16">
        <v>20</v>
      </c>
      <c r="L2513" s="15" t="s">
        <v>378</v>
      </c>
    </row>
    <row r="2514" spans="1:13" ht="13.5" customHeight="1" x14ac:dyDescent="0.25">
      <c r="I2514" s="16">
        <v>15</v>
      </c>
      <c r="L2514" s="16" t="s">
        <v>26</v>
      </c>
      <c r="M2514" s="16" t="s">
        <v>147</v>
      </c>
    </row>
    <row r="2515" spans="1:13" ht="13.5" customHeight="1" x14ac:dyDescent="0.25">
      <c r="I2515" s="16">
        <v>20</v>
      </c>
      <c r="L2515" s="16" t="s">
        <v>26</v>
      </c>
      <c r="M2515" s="15" t="s">
        <v>529</v>
      </c>
    </row>
    <row r="2516" spans="1:13" ht="13.5" customHeight="1" x14ac:dyDescent="0.25">
      <c r="I2516" s="16">
        <v>20</v>
      </c>
      <c r="L2516" s="16" t="s">
        <v>26</v>
      </c>
      <c r="M2516" s="16" t="s">
        <v>528</v>
      </c>
    </row>
    <row r="2517" spans="1:13" ht="13.5" customHeight="1" x14ac:dyDescent="0.25">
      <c r="I2517" s="16">
        <v>95</v>
      </c>
      <c r="L2517" s="16" t="s">
        <v>26</v>
      </c>
      <c r="M2517" s="15" t="s">
        <v>288</v>
      </c>
    </row>
    <row r="2518" spans="1:13" ht="13.5" customHeight="1" x14ac:dyDescent="0.25">
      <c r="I2518" s="16">
        <v>40</v>
      </c>
      <c r="L2518" s="15" t="s">
        <v>113</v>
      </c>
      <c r="M2518" s="16" t="s">
        <v>534</v>
      </c>
    </row>
    <row r="2520" spans="1:13" ht="13.5" customHeight="1" x14ac:dyDescent="0.25">
      <c r="A2520" s="16" t="s">
        <v>531</v>
      </c>
      <c r="B2520" s="16" t="s">
        <v>1</v>
      </c>
      <c r="C2520" s="16" t="s">
        <v>7</v>
      </c>
      <c r="D2520" s="16" t="s">
        <v>21</v>
      </c>
      <c r="F2520" s="16">
        <f>25.9+32.09+31.96+29.34+33.24+31.99+32.13+32.29+33.73+33.19</f>
        <v>315.86</v>
      </c>
      <c r="G2520" s="16">
        <v>10</v>
      </c>
      <c r="H2520" s="16" t="s">
        <v>22</v>
      </c>
      <c r="I2520" s="16">
        <v>10</v>
      </c>
      <c r="L2520" s="16" t="s">
        <v>23</v>
      </c>
    </row>
    <row r="2521" spans="1:13" ht="13.5" customHeight="1" x14ac:dyDescent="0.25">
      <c r="I2521" s="16">
        <v>100</v>
      </c>
      <c r="L2521" s="16" t="s">
        <v>32</v>
      </c>
    </row>
    <row r="2522" spans="1:13" ht="13.5" customHeight="1" x14ac:dyDescent="0.25">
      <c r="I2522" s="16">
        <v>30</v>
      </c>
      <c r="L2522" s="16" t="s">
        <v>33</v>
      </c>
    </row>
    <row r="2523" spans="1:13" ht="13.5" customHeight="1" x14ac:dyDescent="0.25">
      <c r="I2523" s="16">
        <v>40</v>
      </c>
      <c r="L2523" s="16" t="s">
        <v>29</v>
      </c>
      <c r="M2523" s="15"/>
    </row>
    <row r="2524" spans="1:13" ht="13.5" customHeight="1" x14ac:dyDescent="0.25">
      <c r="I2524" s="16">
        <v>40</v>
      </c>
      <c r="L2524" s="16" t="s">
        <v>25</v>
      </c>
      <c r="M2524" s="16" t="s">
        <v>137</v>
      </c>
    </row>
    <row r="2525" spans="1:13" ht="13.5" customHeight="1" x14ac:dyDescent="0.25">
      <c r="I2525" s="16">
        <v>3</v>
      </c>
      <c r="L2525" s="16" t="s">
        <v>25</v>
      </c>
      <c r="M2525" s="16" t="s">
        <v>45</v>
      </c>
    </row>
    <row r="2526" spans="1:13" ht="13.5" customHeight="1" x14ac:dyDescent="0.25">
      <c r="I2526" s="16">
        <v>20</v>
      </c>
      <c r="L2526" s="16" t="s">
        <v>27</v>
      </c>
    </row>
    <row r="2527" spans="1:13" ht="13.5" customHeight="1" x14ac:dyDescent="0.25">
      <c r="I2527" s="16">
        <v>20</v>
      </c>
      <c r="L2527" s="16" t="s">
        <v>26</v>
      </c>
      <c r="M2527" s="16" t="s">
        <v>147</v>
      </c>
    </row>
    <row r="2528" spans="1:13" ht="13.5" customHeight="1" x14ac:dyDescent="0.25">
      <c r="I2528" s="16">
        <v>30</v>
      </c>
      <c r="L2528" s="16" t="s">
        <v>26</v>
      </c>
      <c r="M2528" s="15" t="s">
        <v>535</v>
      </c>
    </row>
    <row r="2529" spans="1:13" ht="13.5" customHeight="1" x14ac:dyDescent="0.25">
      <c r="I2529" s="16">
        <v>15</v>
      </c>
      <c r="L2529" s="16" t="s">
        <v>26</v>
      </c>
      <c r="M2529" s="15" t="s">
        <v>536</v>
      </c>
    </row>
    <row r="2531" spans="1:13" ht="13.5" customHeight="1" x14ac:dyDescent="0.25">
      <c r="A2531" s="16" t="s">
        <v>531</v>
      </c>
      <c r="B2531" s="16" t="s">
        <v>2</v>
      </c>
      <c r="C2531" s="16" t="s">
        <v>520</v>
      </c>
      <c r="D2531" s="16" t="s">
        <v>20</v>
      </c>
      <c r="F2531" s="16">
        <v>288.22000000000003</v>
      </c>
      <c r="G2531" s="16">
        <v>9</v>
      </c>
      <c r="H2531" s="16" t="s">
        <v>22</v>
      </c>
      <c r="I2531" s="16">
        <v>10</v>
      </c>
      <c r="L2531" s="16" t="s">
        <v>23</v>
      </c>
    </row>
    <row r="2532" spans="1:13" ht="13.5" customHeight="1" x14ac:dyDescent="0.25">
      <c r="I2532" s="16">
        <v>90</v>
      </c>
      <c r="L2532" s="16" t="s">
        <v>32</v>
      </c>
    </row>
    <row r="2533" spans="1:13" ht="13.5" customHeight="1" x14ac:dyDescent="0.25">
      <c r="I2533" s="16">
        <v>20</v>
      </c>
      <c r="L2533" s="16" t="s">
        <v>33</v>
      </c>
    </row>
    <row r="2534" spans="1:13" ht="13.5" customHeight="1" x14ac:dyDescent="0.25">
      <c r="I2534" s="16">
        <v>50</v>
      </c>
      <c r="L2534" s="16" t="s">
        <v>29</v>
      </c>
      <c r="M2534" s="15" t="s">
        <v>516</v>
      </c>
    </row>
    <row r="2535" spans="1:13" ht="13.5" customHeight="1" x14ac:dyDescent="0.25">
      <c r="I2535" s="16">
        <v>20</v>
      </c>
      <c r="L2535" s="16" t="s">
        <v>25</v>
      </c>
      <c r="M2535" s="16" t="s">
        <v>137</v>
      </c>
    </row>
    <row r="2536" spans="1:13" ht="13.5" customHeight="1" x14ac:dyDescent="0.25">
      <c r="I2536" s="16">
        <v>15</v>
      </c>
      <c r="L2536" s="16" t="s">
        <v>27</v>
      </c>
    </row>
    <row r="2537" spans="1:13" ht="13.5" customHeight="1" x14ac:dyDescent="0.25">
      <c r="I2537" s="16">
        <v>30</v>
      </c>
      <c r="L2537" s="15" t="s">
        <v>378</v>
      </c>
      <c r="M2537" s="15" t="s">
        <v>516</v>
      </c>
    </row>
    <row r="2538" spans="1:13" ht="13.5" customHeight="1" x14ac:dyDescent="0.25">
      <c r="I2538" s="16">
        <v>20</v>
      </c>
      <c r="L2538" s="16" t="s">
        <v>26</v>
      </c>
      <c r="M2538" s="16" t="s">
        <v>147</v>
      </c>
    </row>
    <row r="2539" spans="1:13" ht="13.5" customHeight="1" x14ac:dyDescent="0.25">
      <c r="I2539" s="16">
        <v>100</v>
      </c>
      <c r="L2539" s="16" t="s">
        <v>26</v>
      </c>
      <c r="M2539" s="15" t="s">
        <v>537</v>
      </c>
    </row>
    <row r="2541" spans="1:13" ht="13.5" customHeight="1" x14ac:dyDescent="0.25">
      <c r="A2541" s="16" t="s">
        <v>538</v>
      </c>
      <c r="B2541" s="16" t="s">
        <v>0</v>
      </c>
      <c r="C2541" s="16" t="s">
        <v>16</v>
      </c>
      <c r="D2541" s="15" t="s">
        <v>548</v>
      </c>
      <c r="E2541" s="15"/>
      <c r="F2541" s="16">
        <v>218.65</v>
      </c>
      <c r="G2541" s="16">
        <v>7</v>
      </c>
      <c r="H2541" s="16" t="s">
        <v>22</v>
      </c>
      <c r="I2541" s="16">
        <v>10</v>
      </c>
      <c r="L2541" s="16" t="s">
        <v>23</v>
      </c>
    </row>
    <row r="2542" spans="1:13" ht="13.5" customHeight="1" x14ac:dyDescent="0.25">
      <c r="I2542" s="16">
        <v>70</v>
      </c>
      <c r="L2542" s="16" t="s">
        <v>32</v>
      </c>
    </row>
    <row r="2543" spans="1:13" ht="13.5" customHeight="1" x14ac:dyDescent="0.25">
      <c r="I2543" s="16">
        <v>30</v>
      </c>
      <c r="L2543" s="16" t="s">
        <v>33</v>
      </c>
    </row>
    <row r="2544" spans="1:13" ht="13.5" customHeight="1" x14ac:dyDescent="0.25">
      <c r="I2544" s="16">
        <v>20</v>
      </c>
      <c r="L2544" s="16" t="s">
        <v>29</v>
      </c>
      <c r="M2544" s="15"/>
    </row>
    <row r="2545" spans="1:13" ht="13.5" customHeight="1" x14ac:dyDescent="0.25">
      <c r="I2545" s="16">
        <v>20</v>
      </c>
      <c r="L2545" s="16" t="s">
        <v>25</v>
      </c>
      <c r="M2545" s="16" t="s">
        <v>137</v>
      </c>
    </row>
    <row r="2546" spans="1:13" ht="13.5" customHeight="1" x14ac:dyDescent="0.25">
      <c r="I2546" s="16">
        <v>20</v>
      </c>
      <c r="L2546" s="16" t="s">
        <v>25</v>
      </c>
      <c r="M2546" s="16" t="s">
        <v>45</v>
      </c>
    </row>
    <row r="2547" spans="1:13" ht="13.5" customHeight="1" x14ac:dyDescent="0.25">
      <c r="I2547" s="16">
        <v>15</v>
      </c>
      <c r="L2547" s="16" t="s">
        <v>27</v>
      </c>
    </row>
    <row r="2548" spans="1:13" ht="13.5" customHeight="1" x14ac:dyDescent="0.25">
      <c r="I2548" s="16">
        <v>15</v>
      </c>
      <c r="L2548" s="16" t="s">
        <v>26</v>
      </c>
      <c r="M2548" s="16" t="s">
        <v>147</v>
      </c>
    </row>
    <row r="2549" spans="1:13" ht="13.5" customHeight="1" x14ac:dyDescent="0.25">
      <c r="I2549" s="16">
        <v>60</v>
      </c>
      <c r="L2549" s="16" t="s">
        <v>26</v>
      </c>
      <c r="M2549" s="15" t="s">
        <v>539</v>
      </c>
    </row>
    <row r="2550" spans="1:13" ht="13.5" customHeight="1" x14ac:dyDescent="0.25">
      <c r="I2550" s="16">
        <v>60</v>
      </c>
      <c r="L2550" s="16" t="s">
        <v>26</v>
      </c>
      <c r="M2550" s="15" t="s">
        <v>540</v>
      </c>
    </row>
    <row r="2551" spans="1:13" ht="13.5" customHeight="1" x14ac:dyDescent="0.25">
      <c r="I2551" s="16">
        <v>20</v>
      </c>
      <c r="L2551" s="16" t="s">
        <v>26</v>
      </c>
      <c r="M2551" s="15" t="s">
        <v>542</v>
      </c>
    </row>
    <row r="2552" spans="1:13" ht="13.5" customHeight="1" x14ac:dyDescent="0.25">
      <c r="I2552" s="16">
        <v>40</v>
      </c>
      <c r="L2552" s="16" t="s">
        <v>33</v>
      </c>
      <c r="M2552" s="15" t="s">
        <v>541</v>
      </c>
    </row>
    <row r="2554" spans="1:13" ht="13.5" customHeight="1" x14ac:dyDescent="0.25">
      <c r="A2554" s="16" t="s">
        <v>538</v>
      </c>
      <c r="B2554" s="16" t="s">
        <v>1</v>
      </c>
      <c r="C2554" s="16" t="s">
        <v>520</v>
      </c>
      <c r="D2554" s="16" t="s">
        <v>21</v>
      </c>
      <c r="F2554" s="16">
        <f>25.76+37.64+37.79+37.35+36.14+36.76+35.04</f>
        <v>246.48</v>
      </c>
      <c r="G2554" s="16">
        <v>7</v>
      </c>
      <c r="H2554" s="16" t="s">
        <v>22</v>
      </c>
      <c r="I2554" s="16">
        <v>10</v>
      </c>
      <c r="L2554" s="16" t="s">
        <v>23</v>
      </c>
    </row>
    <row r="2555" spans="1:13" ht="13.5" customHeight="1" x14ac:dyDescent="0.25">
      <c r="F2555" s="16" t="s">
        <v>305</v>
      </c>
      <c r="I2555" s="16">
        <v>80</v>
      </c>
      <c r="L2555" s="16" t="s">
        <v>32</v>
      </c>
    </row>
    <row r="2556" spans="1:13" ht="13.5" customHeight="1" x14ac:dyDescent="0.25">
      <c r="I2556" s="16">
        <v>45</v>
      </c>
      <c r="L2556" s="16" t="s">
        <v>33</v>
      </c>
      <c r="M2556" s="15" t="s">
        <v>543</v>
      </c>
    </row>
    <row r="2557" spans="1:13" ht="13.5" customHeight="1" x14ac:dyDescent="0.25">
      <c r="I2557" s="16">
        <v>50</v>
      </c>
      <c r="L2557" s="16" t="s">
        <v>29</v>
      </c>
      <c r="M2557" s="15"/>
    </row>
    <row r="2558" spans="1:13" ht="13.5" customHeight="1" x14ac:dyDescent="0.25">
      <c r="I2558" s="16">
        <v>40</v>
      </c>
      <c r="L2558" s="16" t="s">
        <v>25</v>
      </c>
      <c r="M2558" s="16" t="s">
        <v>137</v>
      </c>
    </row>
    <row r="2559" spans="1:13" ht="13.5" customHeight="1" x14ac:dyDescent="0.25">
      <c r="I2559" s="16">
        <v>20</v>
      </c>
      <c r="L2559" s="16" t="s">
        <v>25</v>
      </c>
      <c r="M2559" s="16" t="s">
        <v>45</v>
      </c>
    </row>
    <row r="2560" spans="1:13" ht="13.5" customHeight="1" x14ac:dyDescent="0.25">
      <c r="I2560" s="16">
        <v>20</v>
      </c>
      <c r="L2560" s="16" t="s">
        <v>27</v>
      </c>
    </row>
    <row r="2561" spans="1:13" ht="13.5" customHeight="1" x14ac:dyDescent="0.25">
      <c r="I2561" s="16">
        <v>20</v>
      </c>
      <c r="L2561" s="16" t="s">
        <v>26</v>
      </c>
      <c r="M2561" s="16" t="s">
        <v>147</v>
      </c>
    </row>
    <row r="2562" spans="1:13" ht="13.5" customHeight="1" x14ac:dyDescent="0.25">
      <c r="I2562" s="16">
        <v>30</v>
      </c>
      <c r="L2562" s="16" t="s">
        <v>26</v>
      </c>
      <c r="M2562" s="15" t="s">
        <v>534</v>
      </c>
    </row>
    <row r="2563" spans="1:13" ht="13.5" customHeight="1" x14ac:dyDescent="0.25">
      <c r="I2563" s="16">
        <v>80</v>
      </c>
      <c r="L2563" s="16" t="s">
        <v>26</v>
      </c>
      <c r="M2563" s="15" t="s">
        <v>318</v>
      </c>
    </row>
    <row r="2564" spans="1:13" ht="13.5" customHeight="1" x14ac:dyDescent="0.25">
      <c r="I2564" s="16">
        <v>20</v>
      </c>
      <c r="L2564" s="16" t="s">
        <v>24</v>
      </c>
      <c r="M2564" s="15" t="s">
        <v>13</v>
      </c>
    </row>
    <row r="2567" spans="1:13" ht="13.5" customHeight="1" x14ac:dyDescent="0.25">
      <c r="A2567" s="16" t="s">
        <v>538</v>
      </c>
      <c r="B2567" s="16" t="s">
        <v>2</v>
      </c>
      <c r="C2567" s="16" t="s">
        <v>15</v>
      </c>
      <c r="D2567" s="16" t="s">
        <v>20</v>
      </c>
      <c r="F2567" s="16">
        <v>350.16</v>
      </c>
      <c r="G2567" s="16">
        <v>10</v>
      </c>
      <c r="H2567" s="16" t="s">
        <v>22</v>
      </c>
      <c r="I2567" s="16">
        <v>10</v>
      </c>
      <c r="L2567" s="16" t="s">
        <v>23</v>
      </c>
    </row>
    <row r="2568" spans="1:13" ht="13.5" customHeight="1" x14ac:dyDescent="0.25">
      <c r="I2568" s="16">
        <v>100</v>
      </c>
      <c r="L2568" s="16" t="s">
        <v>32</v>
      </c>
    </row>
    <row r="2569" spans="1:13" ht="13.5" customHeight="1" x14ac:dyDescent="0.25">
      <c r="I2569" s="16">
        <v>20</v>
      </c>
      <c r="L2569" s="16" t="s">
        <v>33</v>
      </c>
    </row>
    <row r="2570" spans="1:13" ht="13.5" customHeight="1" x14ac:dyDescent="0.25">
      <c r="I2570" s="16">
        <v>50</v>
      </c>
      <c r="L2570" s="16" t="s">
        <v>29</v>
      </c>
      <c r="M2570" s="15"/>
    </row>
    <row r="2571" spans="1:13" ht="13.5" customHeight="1" x14ac:dyDescent="0.25">
      <c r="I2571" s="16">
        <v>20</v>
      </c>
      <c r="L2571" s="16" t="s">
        <v>25</v>
      </c>
      <c r="M2571" s="16" t="s">
        <v>137</v>
      </c>
    </row>
    <row r="2572" spans="1:13" ht="13.5" customHeight="1" x14ac:dyDescent="0.25">
      <c r="I2572" s="16">
        <v>15</v>
      </c>
      <c r="L2572" s="16" t="s">
        <v>27</v>
      </c>
    </row>
    <row r="2573" spans="1:13" ht="13.5" customHeight="1" x14ac:dyDescent="0.25">
      <c r="I2573" s="16">
        <v>20</v>
      </c>
      <c r="L2573" s="16" t="s">
        <v>26</v>
      </c>
      <c r="M2573" s="16" t="s">
        <v>147</v>
      </c>
    </row>
    <row r="2574" spans="1:13" ht="13.5" customHeight="1" x14ac:dyDescent="0.25">
      <c r="I2574" s="16">
        <v>30</v>
      </c>
      <c r="L2574" s="16" t="s">
        <v>26</v>
      </c>
      <c r="M2574" s="15" t="s">
        <v>544</v>
      </c>
    </row>
    <row r="2575" spans="1:13" ht="13.5" customHeight="1" x14ac:dyDescent="0.25">
      <c r="I2575" s="16">
        <v>30</v>
      </c>
      <c r="L2575" s="16" t="s">
        <v>24</v>
      </c>
      <c r="M2575" s="15" t="s">
        <v>173</v>
      </c>
    </row>
    <row r="2576" spans="1:13" ht="13.5" customHeight="1" x14ac:dyDescent="0.25">
      <c r="I2576" s="16">
        <v>30</v>
      </c>
      <c r="L2576" s="15" t="s">
        <v>378</v>
      </c>
      <c r="M2576" s="15" t="s">
        <v>516</v>
      </c>
    </row>
    <row r="2577" spans="1:15" ht="13.5" customHeight="1" x14ac:dyDescent="0.25">
      <c r="L2577" s="15"/>
      <c r="M2577" s="15"/>
    </row>
    <row r="2579" spans="1:15" ht="13.5" customHeight="1" x14ac:dyDescent="0.25">
      <c r="A2579" s="16" t="s">
        <v>545</v>
      </c>
      <c r="B2579" s="16" t="s">
        <v>0</v>
      </c>
      <c r="C2579" s="16" t="s">
        <v>16</v>
      </c>
      <c r="D2579" s="15" t="s">
        <v>548</v>
      </c>
      <c r="E2579" s="15"/>
      <c r="F2579" s="16">
        <v>325.01400000000001</v>
      </c>
      <c r="G2579" s="16">
        <v>9.5</v>
      </c>
      <c r="H2579" s="16" t="s">
        <v>22</v>
      </c>
      <c r="I2579" s="16">
        <v>10</v>
      </c>
      <c r="L2579" s="16" t="s">
        <v>23</v>
      </c>
    </row>
    <row r="2580" spans="1:15" ht="13.5" customHeight="1" x14ac:dyDescent="0.25">
      <c r="I2580" s="16">
        <v>100</v>
      </c>
      <c r="L2580" s="16" t="s">
        <v>32</v>
      </c>
    </row>
    <row r="2581" spans="1:15" ht="13.5" customHeight="1" x14ac:dyDescent="0.25">
      <c r="I2581" s="16">
        <v>40</v>
      </c>
      <c r="L2581" s="16" t="s">
        <v>33</v>
      </c>
    </row>
    <row r="2582" spans="1:15" ht="13.5" customHeight="1" x14ac:dyDescent="0.25">
      <c r="I2582" s="16">
        <v>20</v>
      </c>
      <c r="L2582" s="16" t="s">
        <v>29</v>
      </c>
      <c r="M2582" s="15"/>
    </row>
    <row r="2583" spans="1:15" ht="13.5" customHeight="1" x14ac:dyDescent="0.25">
      <c r="I2583" s="16">
        <v>20</v>
      </c>
      <c r="L2583" s="16" t="s">
        <v>25</v>
      </c>
      <c r="M2583" s="16" t="s">
        <v>137</v>
      </c>
      <c r="O2583" s="16"/>
    </row>
    <row r="2584" spans="1:15" ht="13.5" customHeight="1" x14ac:dyDescent="0.25">
      <c r="I2584" s="16">
        <v>20</v>
      </c>
      <c r="L2584" s="16" t="s">
        <v>25</v>
      </c>
      <c r="M2584" s="16" t="s">
        <v>45</v>
      </c>
    </row>
    <row r="2585" spans="1:15" ht="13.5" customHeight="1" x14ac:dyDescent="0.25">
      <c r="I2585" s="16">
        <v>20</v>
      </c>
      <c r="L2585" s="16" t="s">
        <v>27</v>
      </c>
    </row>
    <row r="2586" spans="1:15" ht="13.5" customHeight="1" x14ac:dyDescent="0.25">
      <c r="I2586" s="16">
        <v>15</v>
      </c>
      <c r="L2586" s="16" t="s">
        <v>26</v>
      </c>
      <c r="M2586" s="16" t="s">
        <v>147</v>
      </c>
    </row>
    <row r="2587" spans="1:15" ht="13.5" customHeight="1" x14ac:dyDescent="0.25">
      <c r="I2587" s="16">
        <v>60</v>
      </c>
      <c r="L2587" s="16" t="s">
        <v>26</v>
      </c>
      <c r="M2587" s="15" t="s">
        <v>539</v>
      </c>
    </row>
    <row r="2590" spans="1:15" ht="13.5" customHeight="1" x14ac:dyDescent="0.25">
      <c r="A2590" s="16" t="s">
        <v>545</v>
      </c>
      <c r="B2590" s="16" t="s">
        <v>1</v>
      </c>
      <c r="C2590" s="16" t="s">
        <v>520</v>
      </c>
      <c r="D2590" s="16" t="s">
        <v>21</v>
      </c>
      <c r="F2590" s="16">
        <v>261.37</v>
      </c>
      <c r="G2590" s="16">
        <v>8</v>
      </c>
      <c r="H2590" s="16" t="s">
        <v>22</v>
      </c>
      <c r="I2590" s="16">
        <v>10</v>
      </c>
      <c r="L2590" s="16" t="s">
        <v>23</v>
      </c>
    </row>
    <row r="2591" spans="1:15" ht="13.5" customHeight="1" x14ac:dyDescent="0.25">
      <c r="F2591" s="16" t="s">
        <v>305</v>
      </c>
      <c r="I2591" s="16">
        <v>80</v>
      </c>
      <c r="L2591" s="16" t="s">
        <v>32</v>
      </c>
    </row>
    <row r="2592" spans="1:15" ht="13.5" customHeight="1" x14ac:dyDescent="0.25">
      <c r="I2592" s="16">
        <v>40</v>
      </c>
      <c r="L2592" s="16" t="s">
        <v>33</v>
      </c>
      <c r="M2592" s="15"/>
    </row>
    <row r="2593" spans="1:13" ht="13.5" customHeight="1" x14ac:dyDescent="0.25">
      <c r="I2593" s="16">
        <v>40</v>
      </c>
      <c r="L2593" s="16" t="s">
        <v>29</v>
      </c>
      <c r="M2593" s="15"/>
    </row>
    <row r="2594" spans="1:13" ht="13.5" customHeight="1" x14ac:dyDescent="0.25">
      <c r="I2594" s="16">
        <v>40</v>
      </c>
      <c r="L2594" s="16" t="s">
        <v>25</v>
      </c>
      <c r="M2594" s="16" t="s">
        <v>137</v>
      </c>
    </row>
    <row r="2595" spans="1:13" ht="13.5" customHeight="1" x14ac:dyDescent="0.25">
      <c r="I2595" s="16">
        <v>20</v>
      </c>
      <c r="L2595" s="16" t="s">
        <v>25</v>
      </c>
      <c r="M2595" s="16" t="s">
        <v>45</v>
      </c>
    </row>
    <row r="2596" spans="1:13" ht="13.5" customHeight="1" x14ac:dyDescent="0.25">
      <c r="I2596" s="16">
        <v>20</v>
      </c>
      <c r="L2596" s="16" t="s">
        <v>27</v>
      </c>
    </row>
    <row r="2597" spans="1:13" ht="13.5" customHeight="1" x14ac:dyDescent="0.25">
      <c r="I2597" s="16">
        <v>20</v>
      </c>
      <c r="L2597" s="16" t="s">
        <v>26</v>
      </c>
      <c r="M2597" s="16" t="s">
        <v>147</v>
      </c>
    </row>
    <row r="2598" spans="1:13" ht="13.5" customHeight="1" x14ac:dyDescent="0.25">
      <c r="I2598" s="16">
        <v>60</v>
      </c>
      <c r="L2598" s="16" t="s">
        <v>26</v>
      </c>
      <c r="M2598" s="15" t="s">
        <v>546</v>
      </c>
    </row>
    <row r="2599" spans="1:13" ht="13.5" customHeight="1" x14ac:dyDescent="0.25">
      <c r="I2599" s="16">
        <v>25</v>
      </c>
      <c r="L2599" s="16" t="s">
        <v>26</v>
      </c>
      <c r="M2599" s="15" t="s">
        <v>318</v>
      </c>
    </row>
    <row r="2600" spans="1:13" ht="13.5" customHeight="1" x14ac:dyDescent="0.25">
      <c r="I2600" s="16">
        <v>30</v>
      </c>
      <c r="L2600" s="16" t="s">
        <v>26</v>
      </c>
      <c r="M2600" s="15" t="s">
        <v>547</v>
      </c>
    </row>
    <row r="2601" spans="1:13" ht="13.5" customHeight="1" x14ac:dyDescent="0.25">
      <c r="I2601" s="16">
        <v>25</v>
      </c>
      <c r="L2601" s="16" t="s">
        <v>24</v>
      </c>
      <c r="M2601" s="15" t="s">
        <v>122</v>
      </c>
    </row>
    <row r="2603" spans="1:13" ht="13.5" customHeight="1" x14ac:dyDescent="0.25">
      <c r="A2603" s="16" t="s">
        <v>545</v>
      </c>
      <c r="B2603" s="16" t="s">
        <v>2</v>
      </c>
      <c r="C2603" s="16" t="s">
        <v>15</v>
      </c>
      <c r="D2603" s="16" t="s">
        <v>20</v>
      </c>
      <c r="F2603" s="16">
        <v>376.1</v>
      </c>
      <c r="G2603" s="16">
        <v>10.5</v>
      </c>
      <c r="H2603" s="16" t="s">
        <v>22</v>
      </c>
      <c r="I2603" s="16">
        <v>10</v>
      </c>
      <c r="L2603" s="16" t="s">
        <v>23</v>
      </c>
    </row>
    <row r="2604" spans="1:13" ht="13.5" customHeight="1" x14ac:dyDescent="0.25">
      <c r="I2604" s="16">
        <v>100</v>
      </c>
      <c r="L2604" s="16" t="s">
        <v>32</v>
      </c>
    </row>
    <row r="2605" spans="1:13" ht="13.5" customHeight="1" x14ac:dyDescent="0.25">
      <c r="I2605" s="16">
        <v>20</v>
      </c>
      <c r="L2605" s="16" t="s">
        <v>33</v>
      </c>
    </row>
    <row r="2606" spans="1:13" ht="13.5" customHeight="1" x14ac:dyDescent="0.25">
      <c r="I2606" s="16">
        <v>50</v>
      </c>
      <c r="L2606" s="16" t="s">
        <v>29</v>
      </c>
      <c r="M2606" s="15"/>
    </row>
    <row r="2607" spans="1:13" ht="13.5" customHeight="1" x14ac:dyDescent="0.25">
      <c r="I2607" s="16">
        <v>20</v>
      </c>
      <c r="L2607" s="16" t="s">
        <v>25</v>
      </c>
      <c r="M2607" s="16" t="s">
        <v>137</v>
      </c>
    </row>
    <row r="2608" spans="1:13" ht="13.5" customHeight="1" x14ac:dyDescent="0.25">
      <c r="I2608" s="16">
        <v>15</v>
      </c>
      <c r="L2608" s="16" t="s">
        <v>27</v>
      </c>
    </row>
    <row r="2609" spans="1:13" ht="13.5" customHeight="1" x14ac:dyDescent="0.25">
      <c r="I2609" s="16">
        <v>20</v>
      </c>
      <c r="L2609" s="16" t="s">
        <v>26</v>
      </c>
      <c r="M2609" s="16" t="s">
        <v>147</v>
      </c>
    </row>
    <row r="2610" spans="1:13" ht="13.5" customHeight="1" x14ac:dyDescent="0.25">
      <c r="I2610" s="16">
        <v>20</v>
      </c>
      <c r="L2610" s="16" t="s">
        <v>26</v>
      </c>
      <c r="M2610" s="15" t="s">
        <v>544</v>
      </c>
    </row>
    <row r="2611" spans="1:13" ht="13.5" customHeight="1" x14ac:dyDescent="0.25">
      <c r="I2611" s="16">
        <v>30</v>
      </c>
      <c r="L2611" s="15" t="s">
        <v>378</v>
      </c>
      <c r="M2611" s="15" t="s">
        <v>516</v>
      </c>
    </row>
    <row r="2613" spans="1:13" ht="13.5" customHeight="1" x14ac:dyDescent="0.25">
      <c r="A2613" s="16" t="s">
        <v>549</v>
      </c>
      <c r="B2613" s="16" t="s">
        <v>0</v>
      </c>
      <c r="C2613" s="16" t="s">
        <v>16</v>
      </c>
      <c r="D2613" s="15" t="s">
        <v>548</v>
      </c>
      <c r="E2613" s="15"/>
      <c r="F2613" s="16">
        <v>228.56</v>
      </c>
      <c r="G2613" s="16">
        <v>6.75</v>
      </c>
      <c r="H2613" s="16" t="s">
        <v>22</v>
      </c>
      <c r="I2613" s="16">
        <v>10</v>
      </c>
      <c r="L2613" s="16" t="s">
        <v>23</v>
      </c>
    </row>
    <row r="2614" spans="1:13" ht="13.5" customHeight="1" x14ac:dyDescent="0.25">
      <c r="I2614" s="16">
        <v>70</v>
      </c>
      <c r="L2614" s="16" t="s">
        <v>32</v>
      </c>
    </row>
    <row r="2615" spans="1:13" ht="13.5" customHeight="1" x14ac:dyDescent="0.25">
      <c r="I2615" s="16">
        <v>40</v>
      </c>
      <c r="L2615" s="16" t="s">
        <v>33</v>
      </c>
    </row>
    <row r="2616" spans="1:13" ht="13.5" customHeight="1" x14ac:dyDescent="0.25">
      <c r="I2616" s="16">
        <v>20</v>
      </c>
      <c r="L2616" s="16" t="s">
        <v>29</v>
      </c>
      <c r="M2616" s="15"/>
    </row>
    <row r="2617" spans="1:13" ht="13.5" customHeight="1" x14ac:dyDescent="0.25">
      <c r="I2617" s="16">
        <v>20</v>
      </c>
      <c r="L2617" s="16" t="s">
        <v>25</v>
      </c>
      <c r="M2617" s="16" t="s">
        <v>137</v>
      </c>
    </row>
    <row r="2618" spans="1:13" ht="13.5" customHeight="1" x14ac:dyDescent="0.25">
      <c r="I2618" s="16">
        <v>20</v>
      </c>
      <c r="L2618" s="16" t="s">
        <v>25</v>
      </c>
      <c r="M2618" s="16" t="s">
        <v>45</v>
      </c>
    </row>
    <row r="2619" spans="1:13" ht="13.5" customHeight="1" x14ac:dyDescent="0.25">
      <c r="I2619" s="16">
        <v>20</v>
      </c>
      <c r="L2619" s="16" t="s">
        <v>27</v>
      </c>
    </row>
    <row r="2620" spans="1:13" ht="13.5" customHeight="1" x14ac:dyDescent="0.25">
      <c r="I2620" s="16">
        <v>15</v>
      </c>
      <c r="L2620" s="16" t="s">
        <v>26</v>
      </c>
      <c r="M2620" s="16" t="s">
        <v>147</v>
      </c>
    </row>
    <row r="2621" spans="1:13" ht="13.5" customHeight="1" x14ac:dyDescent="0.25">
      <c r="I2621" s="16">
        <v>200</v>
      </c>
      <c r="L2621" s="16" t="s">
        <v>26</v>
      </c>
      <c r="M2621" s="15" t="s">
        <v>111</v>
      </c>
    </row>
    <row r="2623" spans="1:13" ht="13.5" customHeight="1" x14ac:dyDescent="0.25">
      <c r="A2623" s="16" t="s">
        <v>549</v>
      </c>
      <c r="B2623" s="16" t="s">
        <v>1</v>
      </c>
      <c r="C2623" s="16" t="s">
        <v>6</v>
      </c>
      <c r="D2623" s="16" t="s">
        <v>21</v>
      </c>
      <c r="F2623" s="16">
        <v>315.14400000000001</v>
      </c>
      <c r="G2623" s="16">
        <v>10.25</v>
      </c>
      <c r="H2623" s="16" t="s">
        <v>22</v>
      </c>
      <c r="I2623" s="16">
        <v>10</v>
      </c>
      <c r="L2623" s="16" t="s">
        <v>23</v>
      </c>
    </row>
    <row r="2624" spans="1:13" ht="13.5" customHeight="1" x14ac:dyDescent="0.25">
      <c r="I2624" s="16">
        <v>100</v>
      </c>
      <c r="L2624" s="16" t="s">
        <v>32</v>
      </c>
    </row>
    <row r="2625" spans="1:13" ht="13.5" customHeight="1" x14ac:dyDescent="0.25">
      <c r="I2625" s="16">
        <v>30</v>
      </c>
      <c r="L2625" s="16" t="s">
        <v>33</v>
      </c>
    </row>
    <row r="2626" spans="1:13" ht="13.5" customHeight="1" x14ac:dyDescent="0.25">
      <c r="I2626" s="16">
        <v>30</v>
      </c>
      <c r="L2626" s="16" t="s">
        <v>29</v>
      </c>
      <c r="M2626" s="15"/>
    </row>
    <row r="2627" spans="1:13" ht="13.5" customHeight="1" x14ac:dyDescent="0.25">
      <c r="I2627" s="16">
        <v>20</v>
      </c>
      <c r="L2627" s="16" t="s">
        <v>25</v>
      </c>
      <c r="M2627" s="16" t="s">
        <v>137</v>
      </c>
    </row>
    <row r="2628" spans="1:13" ht="13.5" customHeight="1" x14ac:dyDescent="0.25">
      <c r="I2628" s="16">
        <v>20</v>
      </c>
      <c r="L2628" s="16" t="s">
        <v>27</v>
      </c>
    </row>
    <row r="2629" spans="1:13" ht="13.5" customHeight="1" x14ac:dyDescent="0.25">
      <c r="I2629" s="16">
        <v>20</v>
      </c>
      <c r="L2629" s="16" t="s">
        <v>26</v>
      </c>
      <c r="M2629" s="16" t="s">
        <v>147</v>
      </c>
    </row>
    <row r="2630" spans="1:13" ht="13.5" customHeight="1" x14ac:dyDescent="0.25">
      <c r="I2630" s="16">
        <v>20</v>
      </c>
      <c r="L2630" s="16" t="s">
        <v>25</v>
      </c>
      <c r="M2630" s="15" t="s">
        <v>36</v>
      </c>
    </row>
    <row r="2631" spans="1:13" ht="13.5" customHeight="1" x14ac:dyDescent="0.25">
      <c r="I2631" s="16">
        <v>15</v>
      </c>
      <c r="L2631" s="16" t="s">
        <v>26</v>
      </c>
      <c r="M2631" s="15" t="s">
        <v>291</v>
      </c>
    </row>
    <row r="2632" spans="1:13" ht="13.5" customHeight="1" x14ac:dyDescent="0.25">
      <c r="I2632" s="16">
        <v>30</v>
      </c>
      <c r="L2632" s="16" t="s">
        <v>25</v>
      </c>
      <c r="M2632" s="15" t="s">
        <v>550</v>
      </c>
    </row>
    <row r="2635" spans="1:13" ht="13.5" customHeight="1" x14ac:dyDescent="0.25">
      <c r="A2635" s="16" t="s">
        <v>549</v>
      </c>
      <c r="B2635" s="16" t="s">
        <v>2</v>
      </c>
      <c r="C2635" s="16" t="s">
        <v>15</v>
      </c>
      <c r="D2635" s="16" t="s">
        <v>20</v>
      </c>
      <c r="F2635" s="16">
        <v>312.13</v>
      </c>
      <c r="G2635" s="16">
        <v>10.25</v>
      </c>
      <c r="H2635" s="16" t="s">
        <v>22</v>
      </c>
      <c r="I2635" s="16">
        <v>10</v>
      </c>
      <c r="L2635" s="16" t="s">
        <v>23</v>
      </c>
    </row>
    <row r="2636" spans="1:13" ht="13.5" customHeight="1" x14ac:dyDescent="0.25">
      <c r="I2636" s="16">
        <v>100</v>
      </c>
      <c r="L2636" s="16" t="s">
        <v>32</v>
      </c>
    </row>
    <row r="2637" spans="1:13" ht="13.5" customHeight="1" x14ac:dyDescent="0.25">
      <c r="I2637" s="16">
        <v>20</v>
      </c>
      <c r="L2637" s="16" t="s">
        <v>33</v>
      </c>
    </row>
    <row r="2638" spans="1:13" ht="13.5" customHeight="1" x14ac:dyDescent="0.25">
      <c r="I2638" s="16">
        <v>70</v>
      </c>
      <c r="L2638" s="16" t="s">
        <v>29</v>
      </c>
      <c r="M2638" s="15"/>
    </row>
    <row r="2639" spans="1:13" ht="13.5" customHeight="1" x14ac:dyDescent="0.25">
      <c r="I2639" s="16">
        <v>20</v>
      </c>
      <c r="L2639" s="16" t="s">
        <v>25</v>
      </c>
      <c r="M2639" s="16" t="s">
        <v>137</v>
      </c>
    </row>
    <row r="2640" spans="1:13" ht="13.5" customHeight="1" x14ac:dyDescent="0.25">
      <c r="I2640" s="16">
        <v>15</v>
      </c>
      <c r="L2640" s="16" t="s">
        <v>27</v>
      </c>
    </row>
    <row r="2641" spans="1:13" ht="13.5" customHeight="1" x14ac:dyDescent="0.25">
      <c r="I2641" s="16">
        <v>20</v>
      </c>
      <c r="L2641" s="16" t="s">
        <v>26</v>
      </c>
      <c r="M2641" s="16" t="s">
        <v>147</v>
      </c>
    </row>
    <row r="2642" spans="1:13" ht="13.5" customHeight="1" x14ac:dyDescent="0.25">
      <c r="I2642" s="16">
        <v>20</v>
      </c>
      <c r="L2642" s="16" t="s">
        <v>25</v>
      </c>
      <c r="M2642" s="15" t="s">
        <v>551</v>
      </c>
    </row>
    <row r="2643" spans="1:13" ht="13.5" customHeight="1" x14ac:dyDescent="0.25">
      <c r="I2643" s="16">
        <v>30</v>
      </c>
      <c r="L2643" s="15" t="s">
        <v>378</v>
      </c>
      <c r="M2643" s="15" t="s">
        <v>516</v>
      </c>
    </row>
    <row r="2644" spans="1:13" ht="13.5" customHeight="1" x14ac:dyDescent="0.25">
      <c r="I2644" s="16">
        <v>40</v>
      </c>
      <c r="L2644" s="16" t="s">
        <v>25</v>
      </c>
      <c r="M2644" s="15" t="s">
        <v>552</v>
      </c>
    </row>
    <row r="2647" spans="1:13" ht="13.5" customHeight="1" x14ac:dyDescent="0.25">
      <c r="A2647" s="16" t="s">
        <v>553</v>
      </c>
      <c r="B2647" s="16" t="s">
        <v>0</v>
      </c>
      <c r="C2647" s="16" t="s">
        <v>520</v>
      </c>
      <c r="D2647" s="16" t="s">
        <v>21</v>
      </c>
      <c r="F2647" s="16">
        <v>241.04</v>
      </c>
      <c r="G2647" s="16">
        <v>8</v>
      </c>
      <c r="H2647" s="16" t="s">
        <v>22</v>
      </c>
      <c r="I2647" s="16">
        <v>10</v>
      </c>
      <c r="L2647" s="16" t="s">
        <v>23</v>
      </c>
    </row>
    <row r="2648" spans="1:13" ht="13.5" customHeight="1" x14ac:dyDescent="0.25">
      <c r="I2648" s="16">
        <v>80</v>
      </c>
      <c r="L2648" s="16" t="s">
        <v>32</v>
      </c>
    </row>
    <row r="2649" spans="1:13" ht="13.5" customHeight="1" x14ac:dyDescent="0.25">
      <c r="I2649" s="16">
        <v>40</v>
      </c>
      <c r="L2649" s="16" t="s">
        <v>33</v>
      </c>
    </row>
    <row r="2650" spans="1:13" ht="13.5" customHeight="1" x14ac:dyDescent="0.25">
      <c r="I2650" s="16">
        <v>50</v>
      </c>
      <c r="L2650" s="16" t="s">
        <v>29</v>
      </c>
      <c r="M2650" s="15"/>
    </row>
    <row r="2651" spans="1:13" ht="13.5" customHeight="1" x14ac:dyDescent="0.25">
      <c r="I2651" s="16">
        <v>20</v>
      </c>
      <c r="L2651" s="16" t="s">
        <v>25</v>
      </c>
      <c r="M2651" s="16" t="s">
        <v>137</v>
      </c>
    </row>
    <row r="2652" spans="1:13" ht="13.5" customHeight="1" x14ac:dyDescent="0.25">
      <c r="I2652" s="16">
        <v>20</v>
      </c>
      <c r="L2652" s="16" t="s">
        <v>27</v>
      </c>
    </row>
    <row r="2653" spans="1:13" ht="13.5" customHeight="1" x14ac:dyDescent="0.25">
      <c r="I2653" s="16">
        <v>20</v>
      </c>
      <c r="L2653" s="16" t="s">
        <v>26</v>
      </c>
      <c r="M2653" s="16" t="s">
        <v>147</v>
      </c>
    </row>
    <row r="2654" spans="1:13" ht="13.5" customHeight="1" x14ac:dyDescent="0.25">
      <c r="I2654" s="16">
        <v>20</v>
      </c>
      <c r="L2654" s="16" t="s">
        <v>25</v>
      </c>
      <c r="M2654" s="15" t="s">
        <v>36</v>
      </c>
    </row>
    <row r="2655" spans="1:13" ht="13.5" customHeight="1" x14ac:dyDescent="0.25">
      <c r="I2655" s="16">
        <v>30</v>
      </c>
      <c r="L2655" s="16" t="s">
        <v>25</v>
      </c>
      <c r="M2655" s="15" t="s">
        <v>555</v>
      </c>
    </row>
    <row r="2656" spans="1:13" ht="13.5" customHeight="1" x14ac:dyDescent="0.25">
      <c r="I2656" s="16">
        <v>60</v>
      </c>
      <c r="L2656" s="16" t="s">
        <v>28</v>
      </c>
      <c r="M2656" s="15" t="s">
        <v>554</v>
      </c>
    </row>
    <row r="2658" spans="1:13" ht="13.5" customHeight="1" x14ac:dyDescent="0.25">
      <c r="A2658" s="16" t="s">
        <v>553</v>
      </c>
      <c r="B2658" s="16" t="s">
        <v>1</v>
      </c>
      <c r="C2658" s="16" t="s">
        <v>6</v>
      </c>
      <c r="D2658" s="16" t="s">
        <v>20</v>
      </c>
      <c r="F2658" s="16">
        <v>182.61</v>
      </c>
      <c r="G2658" s="16">
        <v>6</v>
      </c>
      <c r="H2658" s="16" t="s">
        <v>22</v>
      </c>
      <c r="I2658" s="16">
        <v>10</v>
      </c>
      <c r="L2658" s="16" t="s">
        <v>23</v>
      </c>
    </row>
    <row r="2659" spans="1:13" ht="13.5" customHeight="1" x14ac:dyDescent="0.25">
      <c r="I2659" s="16">
        <v>60</v>
      </c>
      <c r="L2659" s="16" t="s">
        <v>32</v>
      </c>
    </row>
    <row r="2660" spans="1:13" ht="13.5" customHeight="1" x14ac:dyDescent="0.25">
      <c r="I2660" s="16">
        <v>20</v>
      </c>
      <c r="L2660" s="16" t="s">
        <v>33</v>
      </c>
    </row>
    <row r="2661" spans="1:13" ht="13.5" customHeight="1" x14ac:dyDescent="0.25">
      <c r="I2661" s="16">
        <v>20</v>
      </c>
      <c r="L2661" s="16" t="s">
        <v>29</v>
      </c>
      <c r="M2661" s="15" t="s">
        <v>516</v>
      </c>
    </row>
    <row r="2662" spans="1:13" ht="13.5" customHeight="1" x14ac:dyDescent="0.25">
      <c r="I2662" s="16">
        <v>10</v>
      </c>
      <c r="L2662" s="16" t="s">
        <v>25</v>
      </c>
      <c r="M2662" s="16" t="s">
        <v>137</v>
      </c>
    </row>
    <row r="2663" spans="1:13" ht="13.5" customHeight="1" x14ac:dyDescent="0.25">
      <c r="I2663" s="16">
        <v>15</v>
      </c>
      <c r="L2663" s="16" t="s">
        <v>27</v>
      </c>
    </row>
    <row r="2664" spans="1:13" ht="13.5" customHeight="1" x14ac:dyDescent="0.25">
      <c r="I2664" s="16">
        <v>15</v>
      </c>
      <c r="L2664" s="15" t="s">
        <v>378</v>
      </c>
    </row>
    <row r="2665" spans="1:13" ht="13.5" customHeight="1" x14ac:dyDescent="0.25">
      <c r="I2665" s="16">
        <v>120</v>
      </c>
      <c r="L2665" s="15" t="s">
        <v>113</v>
      </c>
      <c r="M2665" s="15" t="s">
        <v>556</v>
      </c>
    </row>
    <row r="2666" spans="1:13" ht="13.5" customHeight="1" x14ac:dyDescent="0.25">
      <c r="I2666" s="16">
        <v>120</v>
      </c>
      <c r="L2666" s="16" t="s">
        <v>26</v>
      </c>
      <c r="M2666" s="15" t="s">
        <v>318</v>
      </c>
    </row>
    <row r="2668" spans="1:13" ht="13.5" customHeight="1" x14ac:dyDescent="0.25">
      <c r="A2668" s="16" t="s">
        <v>553</v>
      </c>
      <c r="B2668" s="16" t="s">
        <v>2</v>
      </c>
      <c r="C2668" s="16" t="s">
        <v>15</v>
      </c>
      <c r="D2668" s="15" t="s">
        <v>548</v>
      </c>
      <c r="E2668" s="15"/>
      <c r="F2668" s="16">
        <v>293.79000000000002</v>
      </c>
      <c r="G2668" s="16">
        <v>10</v>
      </c>
      <c r="H2668" s="16" t="s">
        <v>22</v>
      </c>
      <c r="I2668" s="16">
        <v>10</v>
      </c>
      <c r="L2668" s="16" t="s">
        <v>23</v>
      </c>
    </row>
    <row r="2669" spans="1:13" ht="13.5" customHeight="1" x14ac:dyDescent="0.25">
      <c r="I2669" s="16">
        <v>70</v>
      </c>
      <c r="L2669" s="16" t="s">
        <v>32</v>
      </c>
    </row>
    <row r="2670" spans="1:13" ht="13.5" customHeight="1" x14ac:dyDescent="0.25">
      <c r="I2670" s="16">
        <v>40</v>
      </c>
      <c r="L2670" s="16" t="s">
        <v>33</v>
      </c>
    </row>
    <row r="2671" spans="1:13" ht="13.5" customHeight="1" x14ac:dyDescent="0.25">
      <c r="I2671" s="16">
        <v>20</v>
      </c>
      <c r="L2671" s="16" t="s">
        <v>29</v>
      </c>
      <c r="M2671" s="15"/>
    </row>
    <row r="2672" spans="1:13" ht="13.5" customHeight="1" x14ac:dyDescent="0.25">
      <c r="I2672" s="16">
        <v>20</v>
      </c>
      <c r="L2672" s="16" t="s">
        <v>25</v>
      </c>
      <c r="M2672" s="16" t="s">
        <v>137</v>
      </c>
    </row>
    <row r="2673" spans="1:13" ht="13.5" customHeight="1" x14ac:dyDescent="0.25">
      <c r="I2673" s="16">
        <v>20</v>
      </c>
      <c r="L2673" s="16" t="s">
        <v>25</v>
      </c>
      <c r="M2673" s="16" t="s">
        <v>45</v>
      </c>
    </row>
    <row r="2674" spans="1:13" ht="13.5" customHeight="1" x14ac:dyDescent="0.25">
      <c r="I2674" s="16">
        <v>20</v>
      </c>
      <c r="L2674" s="16" t="s">
        <v>27</v>
      </c>
    </row>
    <row r="2675" spans="1:13" ht="13.5" customHeight="1" x14ac:dyDescent="0.25">
      <c r="I2675" s="16">
        <v>15</v>
      </c>
      <c r="L2675" s="16" t="s">
        <v>26</v>
      </c>
      <c r="M2675" s="16" t="s">
        <v>147</v>
      </c>
    </row>
    <row r="2676" spans="1:13" ht="13.5" customHeight="1" x14ac:dyDescent="0.25">
      <c r="I2676" s="16">
        <v>30</v>
      </c>
      <c r="L2676" s="15" t="s">
        <v>113</v>
      </c>
      <c r="M2676" s="16" t="s">
        <v>557</v>
      </c>
    </row>
    <row r="2678" spans="1:13" ht="13.5" customHeight="1" x14ac:dyDescent="0.25">
      <c r="A2678" s="16" t="s">
        <v>558</v>
      </c>
      <c r="B2678" s="16" t="s">
        <v>0</v>
      </c>
      <c r="C2678" s="16" t="s">
        <v>520</v>
      </c>
      <c r="D2678" s="16" t="s">
        <v>21</v>
      </c>
      <c r="F2678" s="16">
        <v>276.77999999999997</v>
      </c>
      <c r="G2678" s="16">
        <v>9</v>
      </c>
      <c r="H2678" s="16" t="s">
        <v>22</v>
      </c>
      <c r="I2678" s="16">
        <v>10</v>
      </c>
      <c r="L2678" s="16" t="s">
        <v>23</v>
      </c>
    </row>
    <row r="2679" spans="1:13" ht="13.5" customHeight="1" x14ac:dyDescent="0.25">
      <c r="I2679" s="16">
        <v>90</v>
      </c>
      <c r="L2679" s="16" t="s">
        <v>32</v>
      </c>
    </row>
    <row r="2680" spans="1:13" ht="13.5" customHeight="1" x14ac:dyDescent="0.25">
      <c r="I2680" s="16">
        <v>40</v>
      </c>
      <c r="L2680" s="16" t="s">
        <v>33</v>
      </c>
    </row>
    <row r="2681" spans="1:13" ht="13.5" customHeight="1" x14ac:dyDescent="0.25">
      <c r="I2681" s="16">
        <v>50</v>
      </c>
      <c r="L2681" s="16" t="s">
        <v>29</v>
      </c>
      <c r="M2681" s="15"/>
    </row>
    <row r="2682" spans="1:13" ht="13.5" customHeight="1" x14ac:dyDescent="0.25">
      <c r="I2682" s="16">
        <v>20</v>
      </c>
      <c r="L2682" s="16" t="s">
        <v>25</v>
      </c>
      <c r="M2682" s="16" t="s">
        <v>137</v>
      </c>
    </row>
    <row r="2683" spans="1:13" ht="13.5" customHeight="1" x14ac:dyDescent="0.25">
      <c r="I2683" s="16">
        <v>20</v>
      </c>
      <c r="L2683" s="16" t="s">
        <v>27</v>
      </c>
    </row>
    <row r="2684" spans="1:13" ht="13.5" customHeight="1" x14ac:dyDescent="0.25">
      <c r="I2684" s="16">
        <v>20</v>
      </c>
      <c r="L2684" s="16" t="s">
        <v>26</v>
      </c>
      <c r="M2684" s="16" t="s">
        <v>147</v>
      </c>
    </row>
    <row r="2685" spans="1:13" ht="13.5" customHeight="1" x14ac:dyDescent="0.25">
      <c r="I2685" s="16">
        <v>20</v>
      </c>
      <c r="L2685" s="16" t="s">
        <v>25</v>
      </c>
      <c r="M2685" s="15" t="s">
        <v>36</v>
      </c>
    </row>
    <row r="2686" spans="1:13" ht="13.5" customHeight="1" x14ac:dyDescent="0.25">
      <c r="I2686" s="16">
        <v>30</v>
      </c>
      <c r="L2686" s="16" t="s">
        <v>26</v>
      </c>
      <c r="M2686" s="15" t="s">
        <v>559</v>
      </c>
    </row>
    <row r="2687" spans="1:13" ht="13.5" customHeight="1" x14ac:dyDescent="0.25">
      <c r="I2687" s="16">
        <v>60</v>
      </c>
      <c r="L2687" s="16" t="s">
        <v>26</v>
      </c>
      <c r="M2687" s="15" t="s">
        <v>560</v>
      </c>
    </row>
    <row r="2690" spans="1:13" ht="13.5" customHeight="1" x14ac:dyDescent="0.25">
      <c r="A2690" s="16" t="s">
        <v>558</v>
      </c>
      <c r="B2690" s="16" t="s">
        <v>1</v>
      </c>
      <c r="C2690" s="16" t="s">
        <v>6</v>
      </c>
      <c r="D2690" s="16" t="s">
        <v>20</v>
      </c>
      <c r="F2690" s="16">
        <v>320.08999999999997</v>
      </c>
      <c r="G2690" s="16">
        <v>9</v>
      </c>
      <c r="H2690" s="16" t="s">
        <v>22</v>
      </c>
      <c r="I2690" s="16">
        <v>10</v>
      </c>
      <c r="L2690" s="16" t="s">
        <v>23</v>
      </c>
    </row>
    <row r="2691" spans="1:13" ht="13.5" customHeight="1" x14ac:dyDescent="0.25">
      <c r="I2691" s="16">
        <v>90</v>
      </c>
      <c r="L2691" s="16" t="s">
        <v>32</v>
      </c>
    </row>
    <row r="2692" spans="1:13" ht="13.5" customHeight="1" x14ac:dyDescent="0.25">
      <c r="I2692" s="16">
        <v>20</v>
      </c>
      <c r="L2692" s="16" t="s">
        <v>33</v>
      </c>
    </row>
    <row r="2693" spans="1:13" ht="13.5" customHeight="1" x14ac:dyDescent="0.25">
      <c r="I2693" s="16">
        <v>20</v>
      </c>
      <c r="L2693" s="16" t="s">
        <v>29</v>
      </c>
      <c r="M2693" s="15" t="s">
        <v>516</v>
      </c>
    </row>
    <row r="2694" spans="1:13" ht="13.5" customHeight="1" x14ac:dyDescent="0.25">
      <c r="I2694" s="16">
        <v>40</v>
      </c>
      <c r="L2694" s="16" t="s">
        <v>25</v>
      </c>
      <c r="M2694" s="16" t="s">
        <v>137</v>
      </c>
    </row>
    <row r="2695" spans="1:13" ht="13.5" customHeight="1" x14ac:dyDescent="0.25">
      <c r="I2695" s="16">
        <v>15</v>
      </c>
      <c r="L2695" s="16" t="s">
        <v>27</v>
      </c>
    </row>
    <row r="2696" spans="1:13" ht="13.5" customHeight="1" x14ac:dyDescent="0.25">
      <c r="I2696" s="16">
        <v>90</v>
      </c>
      <c r="L2696" s="15" t="s">
        <v>378</v>
      </c>
      <c r="M2696" s="15" t="s">
        <v>561</v>
      </c>
    </row>
    <row r="2697" spans="1:13" ht="13.5" customHeight="1" x14ac:dyDescent="0.25">
      <c r="I2697" s="16">
        <v>20</v>
      </c>
      <c r="L2697" s="16" t="s">
        <v>26</v>
      </c>
      <c r="M2697" s="16" t="s">
        <v>147</v>
      </c>
    </row>
    <row r="2698" spans="1:13" ht="13.5" customHeight="1" x14ac:dyDescent="0.25">
      <c r="D2698" s="15"/>
      <c r="E2698" s="15"/>
    </row>
    <row r="2699" spans="1:13" ht="13.5" customHeight="1" x14ac:dyDescent="0.25">
      <c r="A2699" s="16" t="s">
        <v>558</v>
      </c>
      <c r="B2699" s="16" t="s">
        <v>2</v>
      </c>
      <c r="C2699" s="16" t="s">
        <v>16</v>
      </c>
      <c r="D2699" s="15" t="s">
        <v>548</v>
      </c>
      <c r="E2699" s="15"/>
      <c r="F2699" s="16">
        <v>345.11</v>
      </c>
      <c r="G2699" s="16">
        <v>10</v>
      </c>
      <c r="H2699" s="16" t="s">
        <v>22</v>
      </c>
      <c r="I2699" s="16">
        <v>10</v>
      </c>
      <c r="L2699" s="16" t="s">
        <v>23</v>
      </c>
    </row>
    <row r="2700" spans="1:13" ht="13.5" customHeight="1" x14ac:dyDescent="0.25">
      <c r="I2700" s="16">
        <v>100</v>
      </c>
      <c r="L2700" s="16" t="s">
        <v>32</v>
      </c>
    </row>
    <row r="2701" spans="1:13" ht="13.5" customHeight="1" x14ac:dyDescent="0.25">
      <c r="I2701" s="16">
        <v>30</v>
      </c>
      <c r="L2701" s="16" t="s">
        <v>33</v>
      </c>
    </row>
    <row r="2702" spans="1:13" ht="13.5" customHeight="1" x14ac:dyDescent="0.25">
      <c r="I2702" s="16">
        <v>30</v>
      </c>
      <c r="L2702" s="16" t="s">
        <v>29</v>
      </c>
      <c r="M2702" s="15" t="s">
        <v>136</v>
      </c>
    </row>
    <row r="2703" spans="1:13" ht="13.5" customHeight="1" x14ac:dyDescent="0.25">
      <c r="I2703" s="16">
        <v>50</v>
      </c>
      <c r="L2703" s="16" t="s">
        <v>25</v>
      </c>
      <c r="M2703" s="16" t="s">
        <v>137</v>
      </c>
    </row>
    <row r="2704" spans="1:13" ht="13.5" customHeight="1" x14ac:dyDescent="0.25">
      <c r="I2704" s="16">
        <v>20</v>
      </c>
      <c r="L2704" s="16" t="s">
        <v>25</v>
      </c>
      <c r="M2704" s="16" t="s">
        <v>45</v>
      </c>
    </row>
    <row r="2705" spans="1:13" ht="13.5" customHeight="1" x14ac:dyDescent="0.25">
      <c r="I2705" s="16">
        <v>20</v>
      </c>
      <c r="L2705" s="16" t="s">
        <v>27</v>
      </c>
    </row>
    <row r="2706" spans="1:13" ht="13.5" customHeight="1" x14ac:dyDescent="0.25">
      <c r="I2706" s="16">
        <v>15</v>
      </c>
      <c r="L2706" s="16" t="s">
        <v>26</v>
      </c>
      <c r="M2706" s="16" t="s">
        <v>147</v>
      </c>
    </row>
    <row r="2707" spans="1:13" ht="13.5" customHeight="1" x14ac:dyDescent="0.25">
      <c r="I2707" s="16">
        <v>30</v>
      </c>
      <c r="L2707" s="15" t="s">
        <v>113</v>
      </c>
      <c r="M2707" s="15" t="s">
        <v>562</v>
      </c>
    </row>
    <row r="2709" spans="1:13" ht="13.5" customHeight="1" x14ac:dyDescent="0.25">
      <c r="A2709" s="16" t="s">
        <v>563</v>
      </c>
      <c r="B2709" s="16" t="s">
        <v>0</v>
      </c>
      <c r="C2709" s="16" t="s">
        <v>520</v>
      </c>
      <c r="D2709" s="16" t="s">
        <v>21</v>
      </c>
      <c r="F2709" s="16">
        <v>337.38</v>
      </c>
      <c r="G2709" s="16">
        <v>11</v>
      </c>
      <c r="H2709" s="16" t="s">
        <v>22</v>
      </c>
      <c r="I2709" s="16">
        <v>10</v>
      </c>
      <c r="L2709" s="16" t="s">
        <v>23</v>
      </c>
    </row>
    <row r="2710" spans="1:13" ht="13.5" customHeight="1" x14ac:dyDescent="0.25">
      <c r="I2710" s="16">
        <v>110</v>
      </c>
      <c r="L2710" s="16" t="s">
        <v>32</v>
      </c>
    </row>
    <row r="2711" spans="1:13" ht="13.5" customHeight="1" x14ac:dyDescent="0.25">
      <c r="I2711" s="16">
        <v>40</v>
      </c>
      <c r="L2711" s="16" t="s">
        <v>33</v>
      </c>
    </row>
    <row r="2712" spans="1:13" ht="13.5" customHeight="1" x14ac:dyDescent="0.25">
      <c r="I2712" s="16">
        <v>40</v>
      </c>
      <c r="L2712" s="16" t="s">
        <v>29</v>
      </c>
      <c r="M2712" s="15"/>
    </row>
    <row r="2713" spans="1:13" ht="13.5" customHeight="1" x14ac:dyDescent="0.25">
      <c r="I2713" s="16">
        <v>20</v>
      </c>
      <c r="L2713" s="16" t="s">
        <v>25</v>
      </c>
      <c r="M2713" s="16" t="s">
        <v>137</v>
      </c>
    </row>
    <row r="2714" spans="1:13" ht="13.5" customHeight="1" x14ac:dyDescent="0.25">
      <c r="I2714" s="16">
        <v>20</v>
      </c>
      <c r="L2714" s="16" t="s">
        <v>27</v>
      </c>
    </row>
    <row r="2715" spans="1:13" ht="13.5" customHeight="1" x14ac:dyDescent="0.25">
      <c r="I2715" s="16">
        <v>20</v>
      </c>
      <c r="L2715" s="16" t="s">
        <v>26</v>
      </c>
      <c r="M2715" s="16" t="s">
        <v>147</v>
      </c>
    </row>
    <row r="2716" spans="1:13" ht="13.5" customHeight="1" x14ac:dyDescent="0.25">
      <c r="I2716" s="16">
        <v>20</v>
      </c>
      <c r="L2716" s="16" t="s">
        <v>25</v>
      </c>
      <c r="M2716" s="15" t="s">
        <v>36</v>
      </c>
    </row>
    <row r="2717" spans="1:13" ht="13.5" customHeight="1" x14ac:dyDescent="0.25">
      <c r="I2717" s="16">
        <v>25</v>
      </c>
      <c r="L2717" s="16" t="s">
        <v>26</v>
      </c>
      <c r="M2717" s="15" t="s">
        <v>564</v>
      </c>
    </row>
    <row r="2718" spans="1:13" ht="13.5" customHeight="1" x14ac:dyDescent="0.25">
      <c r="I2718" s="16">
        <v>30</v>
      </c>
      <c r="L2718" s="16" t="s">
        <v>26</v>
      </c>
      <c r="M2718" s="15" t="s">
        <v>565</v>
      </c>
    </row>
    <row r="2719" spans="1:13" ht="13.5" customHeight="1" x14ac:dyDescent="0.25">
      <c r="M2719" s="15"/>
    </row>
    <row r="2720" spans="1:13" ht="13.5" customHeight="1" x14ac:dyDescent="0.25">
      <c r="M2720" s="15"/>
    </row>
    <row r="2721" spans="1:17" ht="13.5" customHeight="1" x14ac:dyDescent="0.25">
      <c r="M2721" s="15"/>
    </row>
    <row r="2722" spans="1:17" ht="13.5" customHeight="1" x14ac:dyDescent="0.25">
      <c r="A2722" s="16" t="s">
        <v>563</v>
      </c>
      <c r="B2722" s="16" t="s">
        <v>1</v>
      </c>
      <c r="C2722" s="16" t="s">
        <v>7</v>
      </c>
      <c r="D2722" s="16" t="s">
        <v>20</v>
      </c>
      <c r="F2722" s="16">
        <v>274.63</v>
      </c>
      <c r="G2722" s="16">
        <v>9</v>
      </c>
      <c r="H2722" s="16" t="s">
        <v>22</v>
      </c>
      <c r="I2722" s="16">
        <v>10</v>
      </c>
      <c r="L2722" s="16" t="s">
        <v>23</v>
      </c>
      <c r="O2722" s="18"/>
      <c r="P2722" s="18">
        <v>0.125</v>
      </c>
      <c r="Q2722" s="16" t="s">
        <v>26</v>
      </c>
    </row>
    <row r="2723" spans="1:17" ht="13.5" customHeight="1" x14ac:dyDescent="0.25">
      <c r="I2723" s="16">
        <v>90</v>
      </c>
      <c r="L2723" s="16" t="s">
        <v>32</v>
      </c>
      <c r="O2723" s="18"/>
      <c r="P2723" s="18"/>
      <c r="Q2723" s="16" t="s">
        <v>26</v>
      </c>
    </row>
    <row r="2724" spans="1:17" ht="13.5" customHeight="1" x14ac:dyDescent="0.25">
      <c r="I2724" s="16">
        <v>20</v>
      </c>
      <c r="L2724" s="16" t="s">
        <v>33</v>
      </c>
    </row>
    <row r="2725" spans="1:17" ht="13.5" customHeight="1" x14ac:dyDescent="0.25">
      <c r="I2725" s="16">
        <v>20</v>
      </c>
      <c r="L2725" s="16" t="s">
        <v>29</v>
      </c>
      <c r="M2725" s="15" t="s">
        <v>516</v>
      </c>
    </row>
    <row r="2726" spans="1:17" ht="13.5" customHeight="1" x14ac:dyDescent="0.25">
      <c r="I2726" s="16">
        <v>40</v>
      </c>
      <c r="L2726" s="16" t="s">
        <v>25</v>
      </c>
      <c r="M2726" s="16" t="s">
        <v>137</v>
      </c>
    </row>
    <row r="2727" spans="1:17" ht="13.5" customHeight="1" x14ac:dyDescent="0.25">
      <c r="I2727" s="16">
        <v>15</v>
      </c>
      <c r="L2727" s="16" t="s">
        <v>27</v>
      </c>
    </row>
    <row r="2728" spans="1:17" ht="13.5" customHeight="1" x14ac:dyDescent="0.25">
      <c r="I2728" s="16">
        <v>30</v>
      </c>
      <c r="L2728" s="15" t="s">
        <v>378</v>
      </c>
      <c r="M2728" s="15"/>
    </row>
    <row r="2729" spans="1:17" ht="13.5" customHeight="1" x14ac:dyDescent="0.25">
      <c r="I2729" s="16">
        <v>20</v>
      </c>
      <c r="L2729" s="16" t="s">
        <v>26</v>
      </c>
      <c r="M2729" s="16" t="s">
        <v>147</v>
      </c>
    </row>
    <row r="2730" spans="1:17" ht="13.5" customHeight="1" x14ac:dyDescent="0.25">
      <c r="I2730" s="16">
        <v>30</v>
      </c>
      <c r="J2730" s="18" t="s">
        <v>569</v>
      </c>
      <c r="K2730" s="25" t="s">
        <v>570</v>
      </c>
      <c r="L2730" s="16" t="s">
        <v>26</v>
      </c>
      <c r="M2730" s="15" t="s">
        <v>566</v>
      </c>
    </row>
    <row r="2731" spans="1:17" ht="13.5" customHeight="1" x14ac:dyDescent="0.25">
      <c r="I2731" s="16">
        <v>100</v>
      </c>
      <c r="J2731" s="18" t="s">
        <v>568</v>
      </c>
      <c r="K2731" s="15" t="s">
        <v>571</v>
      </c>
      <c r="L2731" s="16" t="s">
        <v>26</v>
      </c>
      <c r="M2731" s="15" t="s">
        <v>567</v>
      </c>
    </row>
    <row r="2733" spans="1:17" ht="13.5" customHeight="1" x14ac:dyDescent="0.25">
      <c r="A2733" s="16" t="s">
        <v>563</v>
      </c>
      <c r="B2733" s="16" t="s">
        <v>2</v>
      </c>
      <c r="C2733" s="16" t="s">
        <v>16</v>
      </c>
      <c r="D2733" s="15" t="s">
        <v>548</v>
      </c>
      <c r="E2733" s="15"/>
      <c r="F2733" s="16">
        <v>341.5</v>
      </c>
      <c r="G2733" s="16">
        <v>11</v>
      </c>
      <c r="H2733" s="16" t="s">
        <v>22</v>
      </c>
      <c r="I2733" s="16">
        <v>10</v>
      </c>
      <c r="L2733" s="16" t="s">
        <v>23</v>
      </c>
    </row>
    <row r="2734" spans="1:17" ht="13.5" customHeight="1" x14ac:dyDescent="0.25">
      <c r="I2734" s="16">
        <v>110</v>
      </c>
      <c r="L2734" s="16" t="s">
        <v>32</v>
      </c>
    </row>
    <row r="2735" spans="1:17" ht="13.5" customHeight="1" x14ac:dyDescent="0.25">
      <c r="I2735" s="16">
        <v>30</v>
      </c>
      <c r="L2735" s="16" t="s">
        <v>33</v>
      </c>
    </row>
    <row r="2736" spans="1:17" ht="13.5" customHeight="1" x14ac:dyDescent="0.25">
      <c r="I2736" s="16">
        <v>20</v>
      </c>
      <c r="L2736" s="16" t="s">
        <v>29</v>
      </c>
    </row>
    <row r="2737" spans="1:13" ht="13.5" customHeight="1" x14ac:dyDescent="0.25">
      <c r="I2737" s="16">
        <v>30</v>
      </c>
      <c r="L2737" s="16" t="s">
        <v>25</v>
      </c>
      <c r="M2737" s="16" t="s">
        <v>137</v>
      </c>
    </row>
    <row r="2738" spans="1:13" ht="13.5" customHeight="1" x14ac:dyDescent="0.25">
      <c r="I2738" s="16">
        <v>20</v>
      </c>
      <c r="L2738" s="16" t="s">
        <v>25</v>
      </c>
      <c r="M2738" s="16" t="s">
        <v>45</v>
      </c>
    </row>
    <row r="2739" spans="1:13" ht="13.5" customHeight="1" x14ac:dyDescent="0.25">
      <c r="I2739" s="16">
        <v>15</v>
      </c>
      <c r="L2739" s="16" t="s">
        <v>27</v>
      </c>
    </row>
    <row r="2740" spans="1:13" ht="13.5" customHeight="1" x14ac:dyDescent="0.25">
      <c r="I2740" s="16">
        <v>15</v>
      </c>
      <c r="L2740" s="16" t="s">
        <v>26</v>
      </c>
    </row>
    <row r="2742" spans="1:13" ht="13.5" customHeight="1" x14ac:dyDescent="0.25">
      <c r="A2742" s="16" t="s">
        <v>572</v>
      </c>
      <c r="B2742" s="16" t="s">
        <v>0</v>
      </c>
      <c r="C2742" s="16" t="s">
        <v>520</v>
      </c>
      <c r="D2742" s="16" t="s">
        <v>21</v>
      </c>
      <c r="F2742" s="16">
        <v>324.61</v>
      </c>
      <c r="G2742" s="16">
        <v>11</v>
      </c>
      <c r="H2742" s="16" t="s">
        <v>22</v>
      </c>
      <c r="I2742" s="16">
        <v>10</v>
      </c>
      <c r="L2742" s="16" t="s">
        <v>23</v>
      </c>
    </row>
    <row r="2743" spans="1:13" ht="13.5" customHeight="1" x14ac:dyDescent="0.25">
      <c r="I2743" s="16">
        <v>110</v>
      </c>
      <c r="L2743" s="16" t="s">
        <v>32</v>
      </c>
    </row>
    <row r="2744" spans="1:13" ht="13.5" customHeight="1" x14ac:dyDescent="0.25">
      <c r="I2744" s="16">
        <v>30</v>
      </c>
      <c r="L2744" s="16" t="s">
        <v>33</v>
      </c>
    </row>
    <row r="2745" spans="1:13" ht="13.5" customHeight="1" x14ac:dyDescent="0.25">
      <c r="I2745" s="16">
        <v>30</v>
      </c>
      <c r="L2745" s="16" t="s">
        <v>29</v>
      </c>
      <c r="M2745" s="15"/>
    </row>
    <row r="2746" spans="1:13" ht="13.5" customHeight="1" x14ac:dyDescent="0.25">
      <c r="I2746" s="16">
        <v>30</v>
      </c>
      <c r="L2746" s="16" t="s">
        <v>25</v>
      </c>
      <c r="M2746" s="16" t="s">
        <v>137</v>
      </c>
    </row>
    <row r="2747" spans="1:13" ht="13.5" customHeight="1" x14ac:dyDescent="0.25">
      <c r="I2747" s="16">
        <v>20</v>
      </c>
      <c r="L2747" s="16" t="s">
        <v>25</v>
      </c>
      <c r="M2747" s="16" t="s">
        <v>45</v>
      </c>
    </row>
    <row r="2748" spans="1:13" ht="13.5" customHeight="1" x14ac:dyDescent="0.25">
      <c r="I2748" s="16">
        <v>20</v>
      </c>
      <c r="L2748" s="16" t="s">
        <v>27</v>
      </c>
    </row>
    <row r="2749" spans="1:13" ht="13.5" customHeight="1" x14ac:dyDescent="0.25">
      <c r="I2749" s="16">
        <v>20</v>
      </c>
      <c r="L2749" s="16" t="s">
        <v>26</v>
      </c>
      <c r="M2749" s="16" t="s">
        <v>147</v>
      </c>
    </row>
    <row r="2750" spans="1:13" ht="13.5" customHeight="1" x14ac:dyDescent="0.25">
      <c r="M2750" s="15"/>
    </row>
    <row r="2751" spans="1:13" ht="13.5" customHeight="1" x14ac:dyDescent="0.25">
      <c r="A2751" s="16" t="s">
        <v>572</v>
      </c>
      <c r="B2751" s="16" t="s">
        <v>1</v>
      </c>
      <c r="C2751" s="16" t="s">
        <v>6</v>
      </c>
      <c r="D2751" s="16" t="s">
        <v>20</v>
      </c>
      <c r="F2751" s="16">
        <v>341.33</v>
      </c>
      <c r="G2751" s="16">
        <v>11</v>
      </c>
      <c r="H2751" s="16" t="s">
        <v>22</v>
      </c>
      <c r="I2751" s="16">
        <v>10</v>
      </c>
      <c r="L2751" s="16" t="s">
        <v>23</v>
      </c>
    </row>
    <row r="2752" spans="1:13" ht="13.5" customHeight="1" x14ac:dyDescent="0.25">
      <c r="I2752" s="16">
        <v>110</v>
      </c>
      <c r="L2752" s="16" t="s">
        <v>32</v>
      </c>
    </row>
    <row r="2753" spans="1:13" ht="13.5" customHeight="1" x14ac:dyDescent="0.25">
      <c r="I2753" s="16">
        <v>30</v>
      </c>
      <c r="L2753" s="16" t="s">
        <v>33</v>
      </c>
    </row>
    <row r="2754" spans="1:13" ht="13.5" customHeight="1" x14ac:dyDescent="0.25">
      <c r="I2754" s="16">
        <v>40</v>
      </c>
      <c r="L2754" s="16" t="s">
        <v>29</v>
      </c>
      <c r="M2754" s="15" t="s">
        <v>516</v>
      </c>
    </row>
    <row r="2755" spans="1:13" ht="13.5" customHeight="1" x14ac:dyDescent="0.25">
      <c r="I2755" s="16">
        <v>50</v>
      </c>
      <c r="L2755" s="16" t="s">
        <v>25</v>
      </c>
      <c r="M2755" s="16" t="s">
        <v>137</v>
      </c>
    </row>
    <row r="2756" spans="1:13" ht="13.5" customHeight="1" x14ac:dyDescent="0.25">
      <c r="I2756" s="16">
        <v>15</v>
      </c>
      <c r="L2756" s="16" t="s">
        <v>27</v>
      </c>
    </row>
    <row r="2757" spans="1:13" ht="13.5" customHeight="1" x14ac:dyDescent="0.25">
      <c r="I2757" s="16">
        <v>20</v>
      </c>
      <c r="L2757" s="16" t="s">
        <v>26</v>
      </c>
      <c r="M2757" s="15"/>
    </row>
    <row r="2758" spans="1:13" ht="13.5" customHeight="1" x14ac:dyDescent="0.25">
      <c r="I2758" s="16">
        <v>25</v>
      </c>
      <c r="L2758" s="16" t="s">
        <v>25</v>
      </c>
      <c r="M2758" s="15" t="s">
        <v>36</v>
      </c>
    </row>
    <row r="2760" spans="1:13" ht="13.5" customHeight="1" x14ac:dyDescent="0.25">
      <c r="A2760" s="16" t="s">
        <v>572</v>
      </c>
      <c r="B2760" s="16" t="s">
        <v>2</v>
      </c>
      <c r="C2760" s="16" t="s">
        <v>16</v>
      </c>
      <c r="D2760" s="15" t="s">
        <v>548</v>
      </c>
      <c r="E2760" s="15"/>
      <c r="F2760" s="16">
        <v>305.29000000000002</v>
      </c>
      <c r="G2760" s="16">
        <v>10.25</v>
      </c>
      <c r="H2760" s="16" t="s">
        <v>22</v>
      </c>
      <c r="I2760" s="16">
        <v>10</v>
      </c>
      <c r="L2760" s="16" t="s">
        <v>23</v>
      </c>
    </row>
    <row r="2761" spans="1:13" ht="13.5" customHeight="1" x14ac:dyDescent="0.25">
      <c r="I2761" s="16">
        <v>110</v>
      </c>
      <c r="L2761" s="16" t="s">
        <v>32</v>
      </c>
    </row>
    <row r="2762" spans="1:13" ht="13.5" customHeight="1" x14ac:dyDescent="0.25">
      <c r="I2762" s="16">
        <v>30</v>
      </c>
      <c r="L2762" s="16" t="s">
        <v>33</v>
      </c>
    </row>
    <row r="2763" spans="1:13" ht="13.5" customHeight="1" x14ac:dyDescent="0.25">
      <c r="I2763" s="16">
        <v>20</v>
      </c>
      <c r="L2763" s="16" t="s">
        <v>29</v>
      </c>
    </row>
    <row r="2764" spans="1:13" ht="13.5" customHeight="1" x14ac:dyDescent="0.25">
      <c r="I2764" s="16">
        <v>20</v>
      </c>
      <c r="L2764" s="16" t="s">
        <v>25</v>
      </c>
      <c r="M2764" s="16" t="s">
        <v>137</v>
      </c>
    </row>
    <row r="2765" spans="1:13" ht="13.5" customHeight="1" x14ac:dyDescent="0.25">
      <c r="I2765" s="16">
        <v>20</v>
      </c>
      <c r="L2765" s="16" t="s">
        <v>25</v>
      </c>
      <c r="M2765" s="16" t="s">
        <v>45</v>
      </c>
    </row>
    <row r="2766" spans="1:13" ht="13.5" customHeight="1" x14ac:dyDescent="0.25">
      <c r="I2766" s="16">
        <v>15</v>
      </c>
      <c r="L2766" s="16" t="s">
        <v>27</v>
      </c>
    </row>
    <row r="2767" spans="1:13" ht="13.5" customHeight="1" x14ac:dyDescent="0.25">
      <c r="I2767" s="16">
        <v>15</v>
      </c>
      <c r="L2767" s="16" t="s">
        <v>26</v>
      </c>
      <c r="M2767" s="16" t="s">
        <v>147</v>
      </c>
    </row>
    <row r="2768" spans="1:13" ht="13.5" customHeight="1" x14ac:dyDescent="0.25">
      <c r="I2768" s="16">
        <v>80</v>
      </c>
      <c r="L2768" s="16" t="s">
        <v>26</v>
      </c>
      <c r="M2768" s="16" t="s">
        <v>573</v>
      </c>
    </row>
    <row r="2770" spans="1:13" ht="13.5" customHeight="1" x14ac:dyDescent="0.25">
      <c r="A2770" s="16" t="s">
        <v>574</v>
      </c>
      <c r="B2770" s="16" t="s">
        <v>0</v>
      </c>
      <c r="C2770" s="16" t="s">
        <v>520</v>
      </c>
      <c r="D2770" s="16" t="s">
        <v>21</v>
      </c>
      <c r="F2770" s="16">
        <v>344.71</v>
      </c>
      <c r="G2770" s="16">
        <v>11</v>
      </c>
      <c r="H2770" s="16" t="s">
        <v>22</v>
      </c>
      <c r="I2770" s="16">
        <v>10</v>
      </c>
      <c r="L2770" s="16" t="s">
        <v>23</v>
      </c>
    </row>
    <row r="2771" spans="1:13" ht="13.5" customHeight="1" x14ac:dyDescent="0.25">
      <c r="I2771" s="16">
        <v>110</v>
      </c>
      <c r="L2771" s="16" t="s">
        <v>32</v>
      </c>
    </row>
    <row r="2772" spans="1:13" ht="13.5" customHeight="1" x14ac:dyDescent="0.25">
      <c r="I2772" s="16">
        <v>30</v>
      </c>
      <c r="L2772" s="16" t="s">
        <v>33</v>
      </c>
    </row>
    <row r="2773" spans="1:13" ht="13.5" customHeight="1" x14ac:dyDescent="0.25">
      <c r="I2773" s="16">
        <v>30</v>
      </c>
      <c r="L2773" s="16" t="s">
        <v>29</v>
      </c>
      <c r="M2773" s="15"/>
    </row>
    <row r="2774" spans="1:13" ht="13.5" customHeight="1" x14ac:dyDescent="0.25">
      <c r="I2774" s="16">
        <v>30</v>
      </c>
      <c r="L2774" s="16" t="s">
        <v>25</v>
      </c>
      <c r="M2774" s="16" t="s">
        <v>137</v>
      </c>
    </row>
    <row r="2775" spans="1:13" ht="13.5" customHeight="1" x14ac:dyDescent="0.25">
      <c r="I2775" s="16">
        <v>20</v>
      </c>
      <c r="L2775" s="16" t="s">
        <v>25</v>
      </c>
      <c r="M2775" s="16" t="s">
        <v>45</v>
      </c>
    </row>
    <row r="2776" spans="1:13" ht="13.5" customHeight="1" x14ac:dyDescent="0.25">
      <c r="I2776" s="16">
        <v>20</v>
      </c>
      <c r="L2776" s="16" t="s">
        <v>27</v>
      </c>
    </row>
    <row r="2777" spans="1:13" ht="13.5" customHeight="1" x14ac:dyDescent="0.25">
      <c r="I2777" s="16">
        <v>20</v>
      </c>
      <c r="L2777" s="16" t="s">
        <v>26</v>
      </c>
      <c r="M2777" s="16" t="s">
        <v>147</v>
      </c>
    </row>
    <row r="2779" spans="1:13" ht="13.5" customHeight="1" x14ac:dyDescent="0.25">
      <c r="A2779" s="16" t="s">
        <v>574</v>
      </c>
      <c r="B2779" s="16" t="s">
        <v>1</v>
      </c>
      <c r="C2779" s="16" t="s">
        <v>6</v>
      </c>
      <c r="D2779" s="16" t="s">
        <v>20</v>
      </c>
      <c r="F2779" s="16">
        <v>307.12</v>
      </c>
      <c r="G2779" s="16">
        <v>10</v>
      </c>
      <c r="H2779" s="16" t="s">
        <v>22</v>
      </c>
      <c r="I2779" s="16">
        <v>10</v>
      </c>
      <c r="L2779" s="16" t="s">
        <v>23</v>
      </c>
    </row>
    <row r="2780" spans="1:13" ht="13.5" customHeight="1" x14ac:dyDescent="0.25">
      <c r="I2780" s="16">
        <v>90</v>
      </c>
      <c r="L2780" s="16" t="s">
        <v>32</v>
      </c>
    </row>
    <row r="2781" spans="1:13" ht="13.5" customHeight="1" x14ac:dyDescent="0.25">
      <c r="I2781" s="16">
        <v>30</v>
      </c>
      <c r="L2781" s="16" t="s">
        <v>33</v>
      </c>
    </row>
    <row r="2782" spans="1:13" ht="13.5" customHeight="1" x14ac:dyDescent="0.25">
      <c r="I2782" s="16">
        <v>40</v>
      </c>
      <c r="L2782" s="16" t="s">
        <v>29</v>
      </c>
      <c r="M2782" s="15" t="s">
        <v>516</v>
      </c>
    </row>
    <row r="2783" spans="1:13" ht="13.5" customHeight="1" x14ac:dyDescent="0.25">
      <c r="I2783" s="16">
        <v>15</v>
      </c>
      <c r="L2783" s="16" t="s">
        <v>27</v>
      </c>
      <c r="M2783" s="15"/>
    </row>
    <row r="2784" spans="1:13" ht="13.5" customHeight="1" x14ac:dyDescent="0.25">
      <c r="I2784" s="16">
        <v>20</v>
      </c>
      <c r="L2784" s="16" t="s">
        <v>26</v>
      </c>
      <c r="M2784" s="16" t="s">
        <v>147</v>
      </c>
    </row>
    <row r="2785" spans="1:13" ht="13.5" customHeight="1" x14ac:dyDescent="0.25">
      <c r="I2785" s="16">
        <v>25</v>
      </c>
      <c r="L2785" s="16" t="s">
        <v>26</v>
      </c>
      <c r="M2785" s="15" t="s">
        <v>575</v>
      </c>
    </row>
    <row r="2786" spans="1:13" ht="13.5" customHeight="1" x14ac:dyDescent="0.25">
      <c r="I2786" s="16">
        <v>60</v>
      </c>
      <c r="L2786" s="16" t="s">
        <v>25</v>
      </c>
      <c r="M2786" s="16" t="s">
        <v>576</v>
      </c>
    </row>
    <row r="2788" spans="1:13" ht="13.5" customHeight="1" x14ac:dyDescent="0.25">
      <c r="A2788" s="16" t="s">
        <v>574</v>
      </c>
      <c r="B2788" s="16" t="s">
        <v>2</v>
      </c>
      <c r="C2788" s="16" t="s">
        <v>16</v>
      </c>
      <c r="D2788" s="15" t="s">
        <v>548</v>
      </c>
      <c r="E2788" s="15"/>
      <c r="F2788" s="16">
        <v>135.03</v>
      </c>
      <c r="G2788" s="16">
        <v>5</v>
      </c>
      <c r="H2788" s="16" t="s">
        <v>22</v>
      </c>
      <c r="I2788" s="16">
        <v>10</v>
      </c>
      <c r="L2788" s="16" t="s">
        <v>23</v>
      </c>
    </row>
    <row r="2789" spans="1:13" ht="13.5" customHeight="1" x14ac:dyDescent="0.25">
      <c r="I2789" s="16">
        <v>60</v>
      </c>
      <c r="L2789" s="16" t="s">
        <v>32</v>
      </c>
    </row>
    <row r="2790" spans="1:13" ht="13.5" customHeight="1" x14ac:dyDescent="0.25">
      <c r="I2790" s="16">
        <v>30</v>
      </c>
      <c r="L2790" s="16" t="s">
        <v>33</v>
      </c>
    </row>
    <row r="2791" spans="1:13" ht="13.5" customHeight="1" x14ac:dyDescent="0.25">
      <c r="I2791" s="16">
        <v>20</v>
      </c>
      <c r="L2791" s="16" t="s">
        <v>29</v>
      </c>
    </row>
    <row r="2792" spans="1:13" ht="13.5" customHeight="1" x14ac:dyDescent="0.25">
      <c r="I2792" s="16">
        <v>20</v>
      </c>
      <c r="L2792" s="16" t="s">
        <v>25</v>
      </c>
      <c r="M2792" s="16" t="s">
        <v>137</v>
      </c>
    </row>
    <row r="2793" spans="1:13" ht="13.5" customHeight="1" x14ac:dyDescent="0.25">
      <c r="I2793" s="16">
        <v>20</v>
      </c>
      <c r="L2793" s="16" t="s">
        <v>25</v>
      </c>
      <c r="M2793" s="16" t="s">
        <v>45</v>
      </c>
    </row>
    <row r="2794" spans="1:13" ht="13.5" customHeight="1" x14ac:dyDescent="0.25">
      <c r="I2794" s="16">
        <v>15</v>
      </c>
      <c r="L2794" s="16" t="s">
        <v>27</v>
      </c>
    </row>
    <row r="2795" spans="1:13" ht="13.5" customHeight="1" x14ac:dyDescent="0.25">
      <c r="I2795" s="16">
        <v>15</v>
      </c>
      <c r="L2795" s="16" t="s">
        <v>26</v>
      </c>
      <c r="M2795" s="16" t="s">
        <v>147</v>
      </c>
    </row>
    <row r="2796" spans="1:13" ht="13.5" customHeight="1" x14ac:dyDescent="0.25">
      <c r="I2796" s="16">
        <v>70</v>
      </c>
      <c r="L2796" s="16" t="s">
        <v>26</v>
      </c>
      <c r="M2796" s="16" t="s">
        <v>154</v>
      </c>
    </row>
    <row r="2797" spans="1:13" ht="13.5" customHeight="1" x14ac:dyDescent="0.25">
      <c r="I2797" s="16">
        <v>240</v>
      </c>
      <c r="L2797" s="16" t="s">
        <v>25</v>
      </c>
      <c r="M2797" s="16" t="s">
        <v>577</v>
      </c>
    </row>
    <row r="2799" spans="1:13" ht="13.5" customHeight="1" x14ac:dyDescent="0.25">
      <c r="A2799" s="16" t="s">
        <v>578</v>
      </c>
      <c r="B2799" s="16" t="s">
        <v>0</v>
      </c>
      <c r="C2799" s="16" t="s">
        <v>520</v>
      </c>
      <c r="D2799" s="16" t="s">
        <v>21</v>
      </c>
      <c r="F2799" s="16">
        <v>157.66999999999999</v>
      </c>
      <c r="G2799" s="16">
        <v>4.75</v>
      </c>
      <c r="H2799" s="16" t="s">
        <v>22</v>
      </c>
      <c r="I2799" s="16">
        <v>10</v>
      </c>
      <c r="L2799" s="16" t="s">
        <v>23</v>
      </c>
    </row>
    <row r="2800" spans="1:13" ht="13.5" customHeight="1" x14ac:dyDescent="0.25">
      <c r="I2800" s="16">
        <v>40</v>
      </c>
      <c r="L2800" s="16" t="s">
        <v>32</v>
      </c>
    </row>
    <row r="2801" spans="1:13" ht="13.5" customHeight="1" x14ac:dyDescent="0.25">
      <c r="I2801" s="16">
        <v>10</v>
      </c>
      <c r="L2801" s="16" t="s">
        <v>33</v>
      </c>
    </row>
    <row r="2802" spans="1:13" ht="13.5" customHeight="1" x14ac:dyDescent="0.25">
      <c r="I2802" s="16">
        <v>20</v>
      </c>
      <c r="L2802" s="16" t="s">
        <v>29</v>
      </c>
      <c r="M2802" s="15" t="s">
        <v>516</v>
      </c>
    </row>
    <row r="2803" spans="1:13" ht="13.5" customHeight="1" x14ac:dyDescent="0.25">
      <c r="I2803" s="16">
        <v>15</v>
      </c>
      <c r="L2803" s="16" t="s">
        <v>27</v>
      </c>
      <c r="M2803" s="15"/>
    </row>
    <row r="2804" spans="1:13" ht="13.5" customHeight="1" x14ac:dyDescent="0.25">
      <c r="I2804" s="16">
        <v>20</v>
      </c>
      <c r="L2804" s="16" t="s">
        <v>26</v>
      </c>
      <c r="M2804" s="16" t="s">
        <v>147</v>
      </c>
    </row>
    <row r="2805" spans="1:13" ht="13.5" customHeight="1" x14ac:dyDescent="0.25">
      <c r="I2805" s="16">
        <v>210</v>
      </c>
      <c r="L2805" s="16" t="s">
        <v>26</v>
      </c>
      <c r="M2805" s="15" t="s">
        <v>579</v>
      </c>
    </row>
    <row r="2806" spans="1:13" ht="13.5" customHeight="1" x14ac:dyDescent="0.25">
      <c r="I2806" s="16">
        <v>120</v>
      </c>
      <c r="L2806" s="16" t="s">
        <v>25</v>
      </c>
      <c r="M2806" s="16" t="s">
        <v>576</v>
      </c>
    </row>
    <row r="2808" spans="1:13" ht="13.5" customHeight="1" x14ac:dyDescent="0.25">
      <c r="A2808" s="16" t="s">
        <v>578</v>
      </c>
      <c r="B2808" s="16" t="s">
        <v>1</v>
      </c>
      <c r="C2808" s="16" t="s">
        <v>6</v>
      </c>
      <c r="D2808" s="16" t="s">
        <v>20</v>
      </c>
      <c r="F2808" s="16">
        <f>31.18+31.05+31.06+30.93+31.15+36.29+30.6+31.04+30.84</f>
        <v>284.14</v>
      </c>
      <c r="G2808" s="16">
        <v>9</v>
      </c>
      <c r="H2808" s="16" t="s">
        <v>22</v>
      </c>
      <c r="I2808" s="16">
        <v>10</v>
      </c>
      <c r="L2808" s="16" t="s">
        <v>23</v>
      </c>
    </row>
    <row r="2809" spans="1:13" ht="13.5" customHeight="1" x14ac:dyDescent="0.25">
      <c r="I2809" s="16">
        <v>90</v>
      </c>
      <c r="L2809" s="16" t="s">
        <v>32</v>
      </c>
    </row>
    <row r="2810" spans="1:13" ht="13.5" customHeight="1" x14ac:dyDescent="0.25">
      <c r="I2810" s="16">
        <v>30</v>
      </c>
      <c r="L2810" s="16" t="s">
        <v>33</v>
      </c>
    </row>
    <row r="2811" spans="1:13" ht="13.5" customHeight="1" x14ac:dyDescent="0.25">
      <c r="I2811" s="16">
        <v>40</v>
      </c>
      <c r="L2811" s="16" t="s">
        <v>29</v>
      </c>
      <c r="M2811" s="15"/>
    </row>
    <row r="2812" spans="1:13" ht="13.5" customHeight="1" x14ac:dyDescent="0.25">
      <c r="I2812" s="16">
        <v>20</v>
      </c>
      <c r="L2812" s="16" t="s">
        <v>25</v>
      </c>
      <c r="M2812" s="16" t="s">
        <v>45</v>
      </c>
    </row>
    <row r="2813" spans="1:13" ht="13.5" customHeight="1" x14ac:dyDescent="0.25">
      <c r="I2813" s="16">
        <v>20</v>
      </c>
      <c r="L2813" s="16" t="s">
        <v>27</v>
      </c>
      <c r="M2813" s="15"/>
    </row>
    <row r="2814" spans="1:13" ht="13.5" customHeight="1" x14ac:dyDescent="0.25">
      <c r="I2814" s="16">
        <v>20</v>
      </c>
      <c r="L2814" s="16" t="s">
        <v>26</v>
      </c>
      <c r="M2814" s="16" t="s">
        <v>147</v>
      </c>
    </row>
    <row r="2815" spans="1:13" ht="13.5" customHeight="1" x14ac:dyDescent="0.25">
      <c r="I2815" s="16">
        <v>120</v>
      </c>
      <c r="J2815" s="16"/>
      <c r="L2815" s="16" t="s">
        <v>25</v>
      </c>
      <c r="M2815" s="16" t="s">
        <v>576</v>
      </c>
    </row>
    <row r="2817" spans="1:13" ht="13.5" customHeight="1" x14ac:dyDescent="0.25">
      <c r="A2817" s="16" t="s">
        <v>574</v>
      </c>
      <c r="B2817" s="16" t="s">
        <v>2</v>
      </c>
      <c r="C2817" s="16" t="s">
        <v>16</v>
      </c>
      <c r="D2817" s="15" t="s">
        <v>548</v>
      </c>
      <c r="E2817" s="15"/>
      <c r="F2817" s="16">
        <v>340.62</v>
      </c>
      <c r="G2817" s="16">
        <v>10.75</v>
      </c>
      <c r="H2817" s="16" t="s">
        <v>22</v>
      </c>
      <c r="I2817" s="16">
        <v>10</v>
      </c>
      <c r="L2817" s="16" t="s">
        <v>23</v>
      </c>
    </row>
    <row r="2818" spans="1:13" ht="13.5" customHeight="1" x14ac:dyDescent="0.25">
      <c r="I2818" s="16">
        <v>110</v>
      </c>
      <c r="L2818" s="16" t="s">
        <v>32</v>
      </c>
    </row>
    <row r="2819" spans="1:13" ht="13.5" customHeight="1" x14ac:dyDescent="0.25">
      <c r="I2819" s="16">
        <v>30</v>
      </c>
      <c r="L2819" s="16" t="s">
        <v>33</v>
      </c>
    </row>
    <row r="2820" spans="1:13" ht="13.5" customHeight="1" x14ac:dyDescent="0.25">
      <c r="I2820" s="16">
        <v>30</v>
      </c>
      <c r="L2820" s="16" t="s">
        <v>29</v>
      </c>
    </row>
    <row r="2821" spans="1:13" ht="13.5" customHeight="1" x14ac:dyDescent="0.25">
      <c r="I2821" s="16">
        <v>20</v>
      </c>
      <c r="L2821" s="16" t="s">
        <v>25</v>
      </c>
      <c r="M2821" s="16" t="s">
        <v>137</v>
      </c>
    </row>
    <row r="2822" spans="1:13" ht="13.5" customHeight="1" x14ac:dyDescent="0.25">
      <c r="I2822" s="16">
        <v>20</v>
      </c>
      <c r="L2822" s="16" t="s">
        <v>25</v>
      </c>
      <c r="M2822" s="16" t="s">
        <v>45</v>
      </c>
    </row>
    <row r="2823" spans="1:13" ht="13.5" customHeight="1" x14ac:dyDescent="0.25">
      <c r="I2823" s="16">
        <v>15</v>
      </c>
      <c r="L2823" s="16" t="s">
        <v>27</v>
      </c>
    </row>
    <row r="2824" spans="1:13" ht="13.5" customHeight="1" x14ac:dyDescent="0.25">
      <c r="I2824" s="16">
        <v>15</v>
      </c>
      <c r="L2824" s="16" t="s">
        <v>26</v>
      </c>
      <c r="M2824" s="16" t="s">
        <v>147</v>
      </c>
    </row>
    <row r="2825" spans="1:13" ht="13.5" customHeight="1" x14ac:dyDescent="0.25">
      <c r="I2825" s="16">
        <v>20</v>
      </c>
      <c r="L2825" s="16" t="s">
        <v>24</v>
      </c>
      <c r="M2825" s="15" t="s">
        <v>122</v>
      </c>
    </row>
    <row r="2826" spans="1:13" ht="13.5" customHeight="1" x14ac:dyDescent="0.25">
      <c r="M2826" s="15"/>
    </row>
    <row r="2827" spans="1:13" ht="13.5" customHeight="1" x14ac:dyDescent="0.25">
      <c r="A2827" s="16" t="s">
        <v>580</v>
      </c>
      <c r="B2827" s="16" t="s">
        <v>0</v>
      </c>
      <c r="C2827" s="16" t="s">
        <v>18</v>
      </c>
      <c r="D2827" s="16" t="s">
        <v>21</v>
      </c>
      <c r="F2827" s="16">
        <v>315.18</v>
      </c>
      <c r="G2827" s="16">
        <v>10.25</v>
      </c>
      <c r="H2827" s="16" t="s">
        <v>22</v>
      </c>
      <c r="I2827" s="16">
        <v>10</v>
      </c>
      <c r="L2827" s="16" t="s">
        <v>23</v>
      </c>
    </row>
    <row r="2828" spans="1:13" ht="13.5" customHeight="1" x14ac:dyDescent="0.25">
      <c r="I2828" s="16">
        <v>100</v>
      </c>
      <c r="L2828" s="16" t="s">
        <v>32</v>
      </c>
    </row>
    <row r="2829" spans="1:13" ht="13.5" customHeight="1" x14ac:dyDescent="0.25">
      <c r="I2829" s="16">
        <v>40</v>
      </c>
      <c r="L2829" s="16" t="s">
        <v>33</v>
      </c>
    </row>
    <row r="2830" spans="1:13" ht="13.5" customHeight="1" x14ac:dyDescent="0.25">
      <c r="I2830" s="16">
        <v>20</v>
      </c>
      <c r="L2830" s="16" t="s">
        <v>29</v>
      </c>
      <c r="M2830" s="15" t="s">
        <v>516</v>
      </c>
    </row>
    <row r="2831" spans="1:13" ht="13.5" customHeight="1" x14ac:dyDescent="0.25">
      <c r="I2831" s="16">
        <v>20</v>
      </c>
      <c r="L2831" s="16" t="s">
        <v>27</v>
      </c>
      <c r="M2831" s="15"/>
    </row>
    <row r="2832" spans="1:13" ht="13.5" customHeight="1" x14ac:dyDescent="0.25">
      <c r="I2832" s="16">
        <v>20</v>
      </c>
      <c r="L2832" s="16" t="s">
        <v>26</v>
      </c>
      <c r="M2832" s="16" t="s">
        <v>147</v>
      </c>
    </row>
    <row r="2833" spans="1:13" ht="13.5" customHeight="1" x14ac:dyDescent="0.25">
      <c r="I2833" s="16">
        <v>40</v>
      </c>
      <c r="L2833" s="16" t="s">
        <v>24</v>
      </c>
      <c r="M2833" s="15" t="s">
        <v>173</v>
      </c>
    </row>
    <row r="2835" spans="1:13" ht="13.5" customHeight="1" x14ac:dyDescent="0.25">
      <c r="A2835" s="16" t="s">
        <v>580</v>
      </c>
      <c r="B2835" s="16" t="s">
        <v>1</v>
      </c>
      <c r="C2835" s="16" t="s">
        <v>6</v>
      </c>
      <c r="D2835" s="16" t="s">
        <v>20</v>
      </c>
      <c r="F2835" s="16">
        <v>179.03</v>
      </c>
      <c r="G2835" s="16">
        <v>6</v>
      </c>
      <c r="H2835" s="16" t="s">
        <v>22</v>
      </c>
      <c r="I2835" s="16">
        <v>10</v>
      </c>
      <c r="L2835" s="16" t="s">
        <v>23</v>
      </c>
    </row>
    <row r="2836" spans="1:13" ht="13.5" customHeight="1" x14ac:dyDescent="0.25">
      <c r="I2836" s="16">
        <v>60</v>
      </c>
      <c r="L2836" s="16" t="s">
        <v>32</v>
      </c>
    </row>
    <row r="2837" spans="1:13" ht="13.5" customHeight="1" x14ac:dyDescent="0.25">
      <c r="I2837" s="16">
        <v>20</v>
      </c>
      <c r="L2837" s="16" t="s">
        <v>33</v>
      </c>
    </row>
    <row r="2838" spans="1:13" ht="13.5" customHeight="1" x14ac:dyDescent="0.25">
      <c r="I2838" s="16">
        <v>40</v>
      </c>
      <c r="L2838" s="16" t="s">
        <v>29</v>
      </c>
      <c r="M2838" s="15"/>
    </row>
    <row r="2839" spans="1:13" ht="13.5" customHeight="1" x14ac:dyDescent="0.25">
      <c r="I2839" s="16">
        <v>40</v>
      </c>
      <c r="J2839" s="16"/>
      <c r="L2839" s="16" t="s">
        <v>25</v>
      </c>
      <c r="M2839" s="16" t="s">
        <v>576</v>
      </c>
    </row>
    <row r="2840" spans="1:13" ht="13.5" customHeight="1" x14ac:dyDescent="0.25">
      <c r="I2840" s="16">
        <v>20</v>
      </c>
      <c r="L2840" s="16" t="s">
        <v>27</v>
      </c>
      <c r="M2840" s="15"/>
    </row>
    <row r="2841" spans="1:13" ht="13.5" customHeight="1" x14ac:dyDescent="0.25">
      <c r="I2841" s="16">
        <v>20</v>
      </c>
      <c r="L2841" s="16" t="s">
        <v>26</v>
      </c>
      <c r="M2841" s="16" t="s">
        <v>147</v>
      </c>
    </row>
    <row r="2842" spans="1:13" ht="13.5" customHeight="1" x14ac:dyDescent="0.25">
      <c r="I2842" s="16">
        <v>190</v>
      </c>
      <c r="J2842" s="16"/>
      <c r="L2842" s="16" t="s">
        <v>26</v>
      </c>
      <c r="M2842" s="15" t="s">
        <v>581</v>
      </c>
    </row>
    <row r="2844" spans="1:13" ht="13.5" customHeight="1" x14ac:dyDescent="0.25">
      <c r="A2844" s="16" t="s">
        <v>580</v>
      </c>
      <c r="B2844" s="16" t="s">
        <v>2</v>
      </c>
      <c r="C2844" s="16" t="s">
        <v>16</v>
      </c>
      <c r="D2844" s="15" t="s">
        <v>548</v>
      </c>
      <c r="E2844" s="15"/>
      <c r="F2844" s="16">
        <v>98.95</v>
      </c>
      <c r="G2844" s="16">
        <v>3</v>
      </c>
      <c r="H2844" s="16" t="s">
        <v>22</v>
      </c>
      <c r="I2844" s="16">
        <v>10</v>
      </c>
      <c r="L2844" s="16" t="s">
        <v>23</v>
      </c>
    </row>
    <row r="2845" spans="1:13" ht="13.5" customHeight="1" x14ac:dyDescent="0.25">
      <c r="I2845" s="16">
        <v>30</v>
      </c>
      <c r="L2845" s="16" t="s">
        <v>32</v>
      </c>
    </row>
    <row r="2846" spans="1:13" ht="13.5" customHeight="1" x14ac:dyDescent="0.25">
      <c r="I2846" s="16">
        <v>10</v>
      </c>
      <c r="L2846" s="16" t="s">
        <v>33</v>
      </c>
    </row>
    <row r="2847" spans="1:13" ht="13.5" customHeight="1" x14ac:dyDescent="0.25">
      <c r="I2847" s="16">
        <v>10</v>
      </c>
      <c r="L2847" s="16" t="s">
        <v>29</v>
      </c>
    </row>
    <row r="2848" spans="1:13" ht="13.5" customHeight="1" x14ac:dyDescent="0.25">
      <c r="I2848" s="16">
        <v>20</v>
      </c>
      <c r="L2848" s="16" t="s">
        <v>25</v>
      </c>
      <c r="M2848" s="16" t="s">
        <v>137</v>
      </c>
    </row>
    <row r="2849" spans="1:13" ht="13.5" customHeight="1" x14ac:dyDescent="0.25">
      <c r="I2849" s="16">
        <v>10</v>
      </c>
      <c r="L2849" s="16" t="s">
        <v>25</v>
      </c>
      <c r="M2849" s="16" t="s">
        <v>45</v>
      </c>
    </row>
    <row r="2850" spans="1:13" ht="13.5" customHeight="1" x14ac:dyDescent="0.25">
      <c r="I2850" s="16">
        <v>10</v>
      </c>
      <c r="L2850" s="16" t="s">
        <v>27</v>
      </c>
    </row>
    <row r="2851" spans="1:13" ht="13.5" customHeight="1" x14ac:dyDescent="0.25">
      <c r="I2851" s="16">
        <v>15</v>
      </c>
      <c r="L2851" s="16" t="s">
        <v>26</v>
      </c>
      <c r="M2851" s="16" t="s">
        <v>147</v>
      </c>
    </row>
    <row r="2852" spans="1:13" ht="13.5" customHeight="1" x14ac:dyDescent="0.25">
      <c r="I2852" s="16">
        <v>360</v>
      </c>
      <c r="L2852" s="16" t="s">
        <v>26</v>
      </c>
      <c r="M2852" s="15" t="s">
        <v>581</v>
      </c>
    </row>
    <row r="2854" spans="1:13" ht="13.5" customHeight="1" x14ac:dyDescent="0.25">
      <c r="A2854" s="16" t="s">
        <v>582</v>
      </c>
      <c r="B2854" s="16" t="s">
        <v>0</v>
      </c>
      <c r="C2854" s="16" t="s">
        <v>6</v>
      </c>
      <c r="D2854" s="16" t="s">
        <v>20</v>
      </c>
      <c r="F2854" s="16">
        <v>287.70999999999998</v>
      </c>
      <c r="G2854" s="16">
        <v>10</v>
      </c>
      <c r="H2854" s="16" t="s">
        <v>22</v>
      </c>
      <c r="I2854" s="16">
        <v>10</v>
      </c>
      <c r="L2854" s="16" t="s">
        <v>23</v>
      </c>
    </row>
    <row r="2855" spans="1:13" ht="13.5" customHeight="1" x14ac:dyDescent="0.25">
      <c r="I2855" s="16">
        <v>100</v>
      </c>
      <c r="L2855" s="16" t="s">
        <v>32</v>
      </c>
    </row>
    <row r="2856" spans="1:13" ht="13.5" customHeight="1" x14ac:dyDescent="0.25">
      <c r="I2856" s="16">
        <v>15</v>
      </c>
      <c r="L2856" s="16" t="s">
        <v>33</v>
      </c>
    </row>
    <row r="2857" spans="1:13" ht="13.5" customHeight="1" x14ac:dyDescent="0.25">
      <c r="I2857" s="16">
        <v>20</v>
      </c>
      <c r="L2857" s="16" t="s">
        <v>29</v>
      </c>
      <c r="M2857" s="15"/>
    </row>
    <row r="2858" spans="1:13" ht="13.5" customHeight="1" x14ac:dyDescent="0.25">
      <c r="I2858" s="16">
        <v>30</v>
      </c>
      <c r="J2858" s="16"/>
      <c r="L2858" s="16" t="s">
        <v>25</v>
      </c>
      <c r="M2858" s="16" t="s">
        <v>137</v>
      </c>
    </row>
    <row r="2859" spans="1:13" ht="13.5" customHeight="1" x14ac:dyDescent="0.25">
      <c r="I2859" s="16">
        <v>20</v>
      </c>
      <c r="L2859" s="16" t="s">
        <v>27</v>
      </c>
      <c r="M2859" s="15"/>
    </row>
    <row r="2860" spans="1:13" ht="13.5" customHeight="1" x14ac:dyDescent="0.25">
      <c r="I2860" s="16">
        <v>20</v>
      </c>
      <c r="L2860" s="16" t="s">
        <v>26</v>
      </c>
      <c r="M2860" s="16" t="s">
        <v>147</v>
      </c>
    </row>
    <row r="2861" spans="1:13" ht="13.5" customHeight="1" x14ac:dyDescent="0.25">
      <c r="I2861" s="16">
        <v>70</v>
      </c>
      <c r="L2861" s="16" t="s">
        <v>26</v>
      </c>
      <c r="M2861" s="15" t="s">
        <v>583</v>
      </c>
    </row>
    <row r="2862" spans="1:13" ht="13.5" customHeight="1" x14ac:dyDescent="0.25">
      <c r="I2862" s="16">
        <v>15</v>
      </c>
      <c r="L2862" s="16" t="s">
        <v>26</v>
      </c>
      <c r="M2862" s="16" t="s">
        <v>584</v>
      </c>
    </row>
    <row r="2864" spans="1:13" ht="13.5" customHeight="1" x14ac:dyDescent="0.25">
      <c r="A2864" s="16" t="s">
        <v>582</v>
      </c>
      <c r="B2864" s="16" t="s">
        <v>1</v>
      </c>
      <c r="C2864" s="16" t="s">
        <v>15</v>
      </c>
      <c r="D2864" s="15" t="s">
        <v>548</v>
      </c>
      <c r="E2864" s="15"/>
      <c r="F2864" s="16">
        <v>302.22000000000003</v>
      </c>
      <c r="G2864" s="16">
        <v>10.75</v>
      </c>
      <c r="H2864" s="16" t="s">
        <v>22</v>
      </c>
      <c r="I2864" s="16">
        <v>10</v>
      </c>
      <c r="L2864" s="16" t="s">
        <v>23</v>
      </c>
    </row>
    <row r="2865" spans="1:13" ht="13.5" customHeight="1" x14ac:dyDescent="0.25">
      <c r="I2865" s="16">
        <v>110</v>
      </c>
      <c r="L2865" s="16" t="s">
        <v>32</v>
      </c>
    </row>
    <row r="2866" spans="1:13" ht="13.5" customHeight="1" x14ac:dyDescent="0.25">
      <c r="I2866" s="16">
        <v>30</v>
      </c>
      <c r="L2866" s="16" t="s">
        <v>33</v>
      </c>
    </row>
    <row r="2867" spans="1:13" ht="13.5" customHeight="1" x14ac:dyDescent="0.25">
      <c r="I2867" s="16">
        <v>30</v>
      </c>
      <c r="L2867" s="16" t="s">
        <v>29</v>
      </c>
      <c r="M2867" s="15"/>
    </row>
    <row r="2868" spans="1:13" ht="13.5" customHeight="1" x14ac:dyDescent="0.25">
      <c r="I2868" s="16">
        <v>20</v>
      </c>
      <c r="L2868" s="16" t="s">
        <v>25</v>
      </c>
      <c r="M2868" s="16" t="s">
        <v>137</v>
      </c>
    </row>
    <row r="2869" spans="1:13" ht="13.5" customHeight="1" x14ac:dyDescent="0.25">
      <c r="I2869" s="16">
        <v>20</v>
      </c>
      <c r="L2869" s="16" t="s">
        <v>25</v>
      </c>
      <c r="M2869" s="16" t="s">
        <v>45</v>
      </c>
    </row>
    <row r="2870" spans="1:13" ht="13.5" customHeight="1" x14ac:dyDescent="0.25">
      <c r="I2870" s="16">
        <v>15</v>
      </c>
      <c r="L2870" s="16" t="s">
        <v>27</v>
      </c>
    </row>
    <row r="2871" spans="1:13" ht="13.5" customHeight="1" x14ac:dyDescent="0.25">
      <c r="I2871" s="16">
        <v>15</v>
      </c>
      <c r="L2871" s="16" t="s">
        <v>26</v>
      </c>
      <c r="M2871" s="16" t="s">
        <v>147</v>
      </c>
    </row>
    <row r="2872" spans="1:13" ht="13.5" customHeight="1" x14ac:dyDescent="0.25">
      <c r="I2872" s="16">
        <v>30</v>
      </c>
      <c r="J2872" s="18">
        <v>0.25</v>
      </c>
      <c r="K2872" s="18">
        <v>0.27083333333333331</v>
      </c>
      <c r="L2872" s="16" t="s">
        <v>26</v>
      </c>
      <c r="M2872" s="16" t="s">
        <v>585</v>
      </c>
    </row>
    <row r="2875" spans="1:13" ht="13.5" customHeight="1" x14ac:dyDescent="0.25">
      <c r="A2875" s="16" t="s">
        <v>582</v>
      </c>
      <c r="B2875" s="16" t="s">
        <v>2</v>
      </c>
      <c r="C2875" s="16" t="s">
        <v>520</v>
      </c>
      <c r="D2875" s="16" t="s">
        <v>21</v>
      </c>
      <c r="F2875" s="16">
        <v>305.32</v>
      </c>
      <c r="G2875" s="16">
        <v>10.75</v>
      </c>
      <c r="H2875" s="16" t="s">
        <v>22</v>
      </c>
      <c r="I2875" s="16">
        <v>10</v>
      </c>
      <c r="L2875" s="16" t="s">
        <v>23</v>
      </c>
    </row>
    <row r="2876" spans="1:13" ht="13.5" customHeight="1" x14ac:dyDescent="0.25">
      <c r="I2876" s="16">
        <v>110</v>
      </c>
      <c r="L2876" s="16" t="s">
        <v>32</v>
      </c>
    </row>
    <row r="2877" spans="1:13" ht="13.5" customHeight="1" x14ac:dyDescent="0.25">
      <c r="I2877" s="16">
        <v>30</v>
      </c>
      <c r="L2877" s="16" t="s">
        <v>33</v>
      </c>
    </row>
    <row r="2878" spans="1:13" ht="13.5" customHeight="1" x14ac:dyDescent="0.25">
      <c r="I2878" s="16">
        <v>30</v>
      </c>
      <c r="L2878" s="16" t="s">
        <v>29</v>
      </c>
      <c r="M2878" s="15"/>
    </row>
    <row r="2879" spans="1:13" ht="13.5" customHeight="1" x14ac:dyDescent="0.25">
      <c r="I2879" s="16">
        <v>20</v>
      </c>
      <c r="L2879" s="16" t="s">
        <v>25</v>
      </c>
      <c r="M2879" s="16" t="s">
        <v>137</v>
      </c>
    </row>
    <row r="2880" spans="1:13" ht="13.5" customHeight="1" x14ac:dyDescent="0.25">
      <c r="I2880" s="16">
        <v>20</v>
      </c>
      <c r="L2880" s="16" t="s">
        <v>25</v>
      </c>
      <c r="M2880" s="16" t="s">
        <v>45</v>
      </c>
    </row>
    <row r="2881" spans="1:13" ht="13.5" customHeight="1" x14ac:dyDescent="0.25">
      <c r="I2881" s="16">
        <v>15</v>
      </c>
      <c r="L2881" s="16" t="s">
        <v>27</v>
      </c>
    </row>
    <row r="2882" spans="1:13" ht="13.5" customHeight="1" x14ac:dyDescent="0.25">
      <c r="I2882" s="16">
        <v>15</v>
      </c>
      <c r="L2882" s="16" t="s">
        <v>26</v>
      </c>
      <c r="M2882" s="16" t="s">
        <v>147</v>
      </c>
    </row>
    <row r="2884" spans="1:13" ht="13.5" customHeight="1" x14ac:dyDescent="0.25">
      <c r="A2884" s="16" t="s">
        <v>586</v>
      </c>
      <c r="B2884" s="16" t="s">
        <v>0</v>
      </c>
      <c r="C2884" s="16" t="s">
        <v>6</v>
      </c>
      <c r="D2884" s="16" t="s">
        <v>20</v>
      </c>
      <c r="F2884" s="16">
        <v>322.47000000000003</v>
      </c>
      <c r="G2884" s="16">
        <v>10.5</v>
      </c>
      <c r="H2884" s="16" t="s">
        <v>22</v>
      </c>
      <c r="I2884" s="16">
        <v>10</v>
      </c>
      <c r="L2884" s="16" t="s">
        <v>23</v>
      </c>
    </row>
    <row r="2885" spans="1:13" ht="13.5" customHeight="1" x14ac:dyDescent="0.25">
      <c r="I2885" s="16">
        <v>100</v>
      </c>
      <c r="L2885" s="16" t="s">
        <v>32</v>
      </c>
    </row>
    <row r="2886" spans="1:13" ht="13.5" customHeight="1" x14ac:dyDescent="0.25">
      <c r="I2886" s="16">
        <v>15</v>
      </c>
      <c r="L2886" s="16" t="s">
        <v>33</v>
      </c>
    </row>
    <row r="2887" spans="1:13" ht="13.5" customHeight="1" x14ac:dyDescent="0.25">
      <c r="I2887" s="16">
        <v>20</v>
      </c>
      <c r="L2887" s="16" t="s">
        <v>29</v>
      </c>
      <c r="M2887" s="15"/>
    </row>
    <row r="2888" spans="1:13" ht="13.5" customHeight="1" x14ac:dyDescent="0.25">
      <c r="I2888" s="16">
        <v>30</v>
      </c>
      <c r="J2888" s="16"/>
      <c r="L2888" s="16" t="s">
        <v>25</v>
      </c>
      <c r="M2888" s="16" t="s">
        <v>137</v>
      </c>
    </row>
    <row r="2889" spans="1:13" ht="13.5" customHeight="1" x14ac:dyDescent="0.25">
      <c r="I2889" s="16">
        <v>20</v>
      </c>
      <c r="L2889" s="16" t="s">
        <v>27</v>
      </c>
      <c r="M2889" s="15"/>
    </row>
    <row r="2890" spans="1:13" ht="13.5" customHeight="1" x14ac:dyDescent="0.25">
      <c r="I2890" s="16">
        <v>20</v>
      </c>
      <c r="L2890" s="16" t="s">
        <v>26</v>
      </c>
      <c r="M2890" s="16" t="s">
        <v>147</v>
      </c>
    </row>
    <row r="2891" spans="1:13" ht="13.5" customHeight="1" x14ac:dyDescent="0.25">
      <c r="I2891" s="16">
        <v>40</v>
      </c>
      <c r="L2891" s="16" t="s">
        <v>26</v>
      </c>
      <c r="M2891" s="15" t="s">
        <v>583</v>
      </c>
    </row>
    <row r="2892" spans="1:13" ht="13.5" customHeight="1" x14ac:dyDescent="0.25">
      <c r="I2892" s="16">
        <v>15</v>
      </c>
      <c r="L2892" s="16" t="s">
        <v>26</v>
      </c>
      <c r="M2892" s="16" t="s">
        <v>584</v>
      </c>
    </row>
    <row r="2894" spans="1:13" ht="13.5" customHeight="1" x14ac:dyDescent="0.25">
      <c r="A2894" s="16" t="s">
        <v>586</v>
      </c>
      <c r="B2894" s="16" t="s">
        <v>1</v>
      </c>
      <c r="C2894" s="16" t="s">
        <v>16</v>
      </c>
      <c r="D2894" s="15" t="s">
        <v>548</v>
      </c>
      <c r="E2894" s="15"/>
      <c r="F2894" s="28">
        <f>29.02+26.71+29.31+26.58+28.93+30.81+31.07+31.03+29.1+26.68+31.2</f>
        <v>320.44</v>
      </c>
      <c r="G2894" s="16">
        <v>11</v>
      </c>
      <c r="H2894" s="16" t="s">
        <v>22</v>
      </c>
      <c r="I2894" s="16">
        <v>10</v>
      </c>
      <c r="L2894" s="16" t="s">
        <v>23</v>
      </c>
    </row>
    <row r="2895" spans="1:13" ht="13.5" customHeight="1" x14ac:dyDescent="0.25">
      <c r="I2895" s="16">
        <v>110</v>
      </c>
      <c r="L2895" s="16" t="s">
        <v>32</v>
      </c>
    </row>
    <row r="2896" spans="1:13" ht="13.5" customHeight="1" x14ac:dyDescent="0.25">
      <c r="I2896" s="16">
        <v>30</v>
      </c>
      <c r="L2896" s="16" t="s">
        <v>33</v>
      </c>
    </row>
    <row r="2897" spans="1:13" ht="13.5" customHeight="1" x14ac:dyDescent="0.25">
      <c r="I2897" s="16">
        <v>30</v>
      </c>
      <c r="L2897" s="16" t="s">
        <v>29</v>
      </c>
      <c r="M2897" s="15"/>
    </row>
    <row r="2898" spans="1:13" ht="13.5" customHeight="1" x14ac:dyDescent="0.25">
      <c r="I2898" s="16">
        <v>20</v>
      </c>
      <c r="L2898" s="16" t="s">
        <v>25</v>
      </c>
      <c r="M2898" s="16" t="s">
        <v>137</v>
      </c>
    </row>
    <row r="2899" spans="1:13" ht="13.5" customHeight="1" x14ac:dyDescent="0.25">
      <c r="I2899" s="16">
        <v>20</v>
      </c>
      <c r="L2899" s="16" t="s">
        <v>25</v>
      </c>
      <c r="M2899" s="16" t="s">
        <v>45</v>
      </c>
    </row>
    <row r="2900" spans="1:13" ht="13.5" customHeight="1" x14ac:dyDescent="0.25">
      <c r="I2900" s="16">
        <v>20</v>
      </c>
      <c r="L2900" s="16" t="s">
        <v>27</v>
      </c>
    </row>
    <row r="2901" spans="1:13" ht="13.5" customHeight="1" x14ac:dyDescent="0.25">
      <c r="I2901" s="16">
        <v>15</v>
      </c>
      <c r="L2901" s="16" t="s">
        <v>26</v>
      </c>
      <c r="M2901" s="16" t="s">
        <v>147</v>
      </c>
    </row>
    <row r="2902" spans="1:13" ht="13.5" customHeight="1" x14ac:dyDescent="0.25">
      <c r="I2902" s="16">
        <v>20</v>
      </c>
      <c r="L2902" s="16" t="s">
        <v>25</v>
      </c>
      <c r="M2902" s="15" t="s">
        <v>36</v>
      </c>
    </row>
    <row r="2905" spans="1:13" ht="13.5" customHeight="1" x14ac:dyDescent="0.25">
      <c r="A2905" s="16" t="s">
        <v>586</v>
      </c>
      <c r="B2905" s="16" t="s">
        <v>2</v>
      </c>
      <c r="C2905" s="16" t="s">
        <v>520</v>
      </c>
      <c r="D2905" s="16" t="s">
        <v>21</v>
      </c>
      <c r="F2905" s="28">
        <v>339.7</v>
      </c>
      <c r="G2905" s="16">
        <v>11</v>
      </c>
      <c r="H2905" s="16" t="s">
        <v>22</v>
      </c>
      <c r="I2905" s="16">
        <v>10</v>
      </c>
      <c r="L2905" s="16" t="s">
        <v>23</v>
      </c>
    </row>
    <row r="2906" spans="1:13" ht="13.5" customHeight="1" x14ac:dyDescent="0.25">
      <c r="I2906" s="16">
        <v>110</v>
      </c>
      <c r="L2906" s="16" t="s">
        <v>32</v>
      </c>
    </row>
    <row r="2907" spans="1:13" ht="13.5" customHeight="1" x14ac:dyDescent="0.25">
      <c r="I2907" s="16">
        <v>30</v>
      </c>
      <c r="L2907" s="16" t="s">
        <v>33</v>
      </c>
    </row>
    <row r="2908" spans="1:13" ht="13.5" customHeight="1" x14ac:dyDescent="0.25">
      <c r="I2908" s="16">
        <v>30</v>
      </c>
      <c r="L2908" s="16" t="s">
        <v>29</v>
      </c>
      <c r="M2908" s="15"/>
    </row>
    <row r="2909" spans="1:13" ht="13.5" customHeight="1" x14ac:dyDescent="0.25">
      <c r="I2909" s="16">
        <v>20</v>
      </c>
      <c r="L2909" s="16" t="s">
        <v>25</v>
      </c>
      <c r="M2909" s="16" t="s">
        <v>137</v>
      </c>
    </row>
    <row r="2910" spans="1:13" ht="13.5" customHeight="1" x14ac:dyDescent="0.25">
      <c r="I2910" s="16">
        <v>20</v>
      </c>
      <c r="L2910" s="16" t="s">
        <v>25</v>
      </c>
      <c r="M2910" s="16" t="s">
        <v>45</v>
      </c>
    </row>
    <row r="2911" spans="1:13" ht="13.5" customHeight="1" x14ac:dyDescent="0.25">
      <c r="I2911" s="16">
        <v>15</v>
      </c>
      <c r="L2911" s="16" t="s">
        <v>27</v>
      </c>
    </row>
    <row r="2912" spans="1:13" ht="13.5" customHeight="1" x14ac:dyDescent="0.25">
      <c r="I2912" s="16">
        <v>15</v>
      </c>
      <c r="L2912" s="16" t="s">
        <v>26</v>
      </c>
      <c r="M2912" s="16" t="s">
        <v>147</v>
      </c>
    </row>
    <row r="2914" spans="1:13" ht="13.5" customHeight="1" x14ac:dyDescent="0.25">
      <c r="A2914" s="16" t="s">
        <v>587</v>
      </c>
      <c r="B2914" s="16" t="s">
        <v>0</v>
      </c>
      <c r="C2914" s="16" t="s">
        <v>16</v>
      </c>
      <c r="D2914" s="16" t="s">
        <v>20</v>
      </c>
      <c r="F2914" s="30">
        <v>296.41000000000003</v>
      </c>
      <c r="G2914" s="16">
        <v>9</v>
      </c>
      <c r="H2914" s="16" t="s">
        <v>22</v>
      </c>
      <c r="I2914" s="16">
        <v>10</v>
      </c>
      <c r="L2914" s="16" t="s">
        <v>23</v>
      </c>
    </row>
    <row r="2915" spans="1:13" ht="13.5" customHeight="1" x14ac:dyDescent="0.25">
      <c r="I2915" s="16">
        <v>100</v>
      </c>
      <c r="L2915" s="16" t="s">
        <v>32</v>
      </c>
    </row>
    <row r="2916" spans="1:13" ht="13.5" customHeight="1" x14ac:dyDescent="0.25">
      <c r="I2916" s="16">
        <v>15</v>
      </c>
      <c r="L2916" s="16" t="s">
        <v>33</v>
      </c>
    </row>
    <row r="2917" spans="1:13" ht="13.5" customHeight="1" x14ac:dyDescent="0.25">
      <c r="I2917" s="16">
        <v>20</v>
      </c>
      <c r="L2917" s="16" t="s">
        <v>29</v>
      </c>
      <c r="M2917" s="15"/>
    </row>
    <row r="2918" spans="1:13" ht="13.5" customHeight="1" x14ac:dyDescent="0.25">
      <c r="I2918" s="16">
        <v>30</v>
      </c>
      <c r="J2918" s="16"/>
      <c r="L2918" s="16" t="s">
        <v>25</v>
      </c>
      <c r="M2918" s="16" t="s">
        <v>137</v>
      </c>
    </row>
    <row r="2919" spans="1:13" ht="13.5" customHeight="1" x14ac:dyDescent="0.25">
      <c r="I2919" s="16">
        <v>20</v>
      </c>
      <c r="L2919" s="16" t="s">
        <v>27</v>
      </c>
      <c r="M2919" s="15"/>
    </row>
    <row r="2920" spans="1:13" ht="13.5" customHeight="1" x14ac:dyDescent="0.25">
      <c r="I2920" s="16">
        <v>20</v>
      </c>
      <c r="L2920" s="16" t="s">
        <v>26</v>
      </c>
      <c r="M2920" s="16" t="s">
        <v>147</v>
      </c>
    </row>
    <row r="2921" spans="1:13" ht="13.5" customHeight="1" x14ac:dyDescent="0.25">
      <c r="I2921" s="16">
        <v>30</v>
      </c>
      <c r="L2921" s="16" t="s">
        <v>26</v>
      </c>
      <c r="M2921" s="15" t="s">
        <v>588</v>
      </c>
    </row>
    <row r="2922" spans="1:13" ht="13.5" customHeight="1" x14ac:dyDescent="0.25">
      <c r="I2922" s="16">
        <v>60</v>
      </c>
      <c r="L2922" s="16" t="s">
        <v>26</v>
      </c>
      <c r="M2922" s="15" t="s">
        <v>589</v>
      </c>
    </row>
    <row r="2923" spans="1:13" ht="13.5" customHeight="1" x14ac:dyDescent="0.25">
      <c r="I2923" s="16">
        <v>20</v>
      </c>
      <c r="L2923" s="16" t="s">
        <v>26</v>
      </c>
      <c r="M2923" s="15" t="s">
        <v>590</v>
      </c>
    </row>
    <row r="2925" spans="1:13" ht="13.5" customHeight="1" x14ac:dyDescent="0.25">
      <c r="A2925" s="16" t="s">
        <v>587</v>
      </c>
      <c r="B2925" s="16" t="s">
        <v>1</v>
      </c>
      <c r="C2925" s="16" t="s">
        <v>15</v>
      </c>
      <c r="D2925" s="15" t="s">
        <v>548</v>
      </c>
      <c r="E2925" s="15"/>
      <c r="F2925" s="30">
        <f>30.89+31.24+30.95+26.73+26.77+33.4+31+38.08+30.54</f>
        <v>279.60000000000002</v>
      </c>
      <c r="G2925" s="16">
        <v>9</v>
      </c>
      <c r="H2925" s="16" t="s">
        <v>22</v>
      </c>
      <c r="I2925" s="16">
        <v>10</v>
      </c>
      <c r="L2925" s="16" t="s">
        <v>23</v>
      </c>
    </row>
    <row r="2926" spans="1:13" ht="13.5" customHeight="1" x14ac:dyDescent="0.25">
      <c r="I2926" s="16">
        <v>90</v>
      </c>
      <c r="L2926" s="16" t="s">
        <v>32</v>
      </c>
    </row>
    <row r="2927" spans="1:13" ht="13.5" customHeight="1" x14ac:dyDescent="0.25">
      <c r="I2927" s="16">
        <v>25</v>
      </c>
      <c r="L2927" s="16" t="s">
        <v>33</v>
      </c>
    </row>
    <row r="2928" spans="1:13" ht="13.5" customHeight="1" x14ac:dyDescent="0.25">
      <c r="I2928" s="16">
        <v>30</v>
      </c>
      <c r="L2928" s="16" t="s">
        <v>29</v>
      </c>
      <c r="M2928" s="15"/>
    </row>
    <row r="2929" spans="1:13" ht="13.5" customHeight="1" x14ac:dyDescent="0.25">
      <c r="I2929" s="16">
        <v>30</v>
      </c>
      <c r="L2929" s="16" t="s">
        <v>25</v>
      </c>
      <c r="M2929" s="16" t="s">
        <v>137</v>
      </c>
    </row>
    <row r="2930" spans="1:13" ht="13.5" customHeight="1" x14ac:dyDescent="0.25">
      <c r="I2930" s="16">
        <v>30</v>
      </c>
      <c r="L2930" s="16" t="s">
        <v>25</v>
      </c>
      <c r="M2930" s="16" t="s">
        <v>45</v>
      </c>
    </row>
    <row r="2931" spans="1:13" ht="13.5" customHeight="1" x14ac:dyDescent="0.25">
      <c r="I2931" s="16">
        <v>20</v>
      </c>
      <c r="L2931" s="16" t="s">
        <v>27</v>
      </c>
    </row>
    <row r="2932" spans="1:13" ht="13.5" customHeight="1" x14ac:dyDescent="0.25">
      <c r="I2932" s="16">
        <v>15</v>
      </c>
      <c r="L2932" s="16" t="s">
        <v>26</v>
      </c>
      <c r="M2932" s="16" t="s">
        <v>147</v>
      </c>
    </row>
    <row r="2933" spans="1:13" ht="13.5" customHeight="1" x14ac:dyDescent="0.25">
      <c r="I2933" s="16">
        <v>90</v>
      </c>
      <c r="L2933" s="16" t="s">
        <v>26</v>
      </c>
      <c r="M2933" s="15" t="s">
        <v>591</v>
      </c>
    </row>
    <row r="2935" spans="1:13" ht="13.5" customHeight="1" x14ac:dyDescent="0.25">
      <c r="A2935" s="16" t="s">
        <v>587</v>
      </c>
      <c r="B2935" s="16" t="s">
        <v>2</v>
      </c>
      <c r="C2935" s="16" t="s">
        <v>520</v>
      </c>
      <c r="D2935" s="16" t="s">
        <v>21</v>
      </c>
      <c r="F2935" s="28">
        <v>380.31</v>
      </c>
      <c r="G2935" s="16">
        <v>11</v>
      </c>
      <c r="H2935" s="16" t="s">
        <v>22</v>
      </c>
      <c r="I2935" s="16">
        <v>10</v>
      </c>
      <c r="L2935" s="16" t="s">
        <v>23</v>
      </c>
    </row>
    <row r="2936" spans="1:13" ht="13.5" customHeight="1" x14ac:dyDescent="0.25">
      <c r="I2936" s="16">
        <v>110</v>
      </c>
      <c r="L2936" s="16" t="s">
        <v>32</v>
      </c>
    </row>
    <row r="2937" spans="1:13" ht="13.5" customHeight="1" x14ac:dyDescent="0.25">
      <c r="I2937" s="16">
        <v>20</v>
      </c>
      <c r="L2937" s="16" t="s">
        <v>33</v>
      </c>
    </row>
    <row r="2938" spans="1:13" ht="13.5" customHeight="1" x14ac:dyDescent="0.25">
      <c r="I2938" s="16">
        <v>25</v>
      </c>
      <c r="L2938" s="16" t="s">
        <v>29</v>
      </c>
      <c r="M2938" s="15"/>
    </row>
    <row r="2939" spans="1:13" ht="13.5" customHeight="1" x14ac:dyDescent="0.25">
      <c r="I2939" s="16">
        <v>20</v>
      </c>
      <c r="L2939" s="16" t="s">
        <v>25</v>
      </c>
      <c r="M2939" s="16" t="s">
        <v>137</v>
      </c>
    </row>
    <row r="2940" spans="1:13" ht="13.5" customHeight="1" x14ac:dyDescent="0.25">
      <c r="I2940" s="16">
        <v>20</v>
      </c>
      <c r="L2940" s="16" t="s">
        <v>25</v>
      </c>
      <c r="M2940" s="16" t="s">
        <v>45</v>
      </c>
    </row>
    <row r="2941" spans="1:13" ht="13.5" customHeight="1" x14ac:dyDescent="0.25">
      <c r="I2941" s="16">
        <v>15</v>
      </c>
      <c r="L2941" s="16" t="s">
        <v>27</v>
      </c>
    </row>
    <row r="2942" spans="1:13" ht="13.5" customHeight="1" x14ac:dyDescent="0.25">
      <c r="I2942" s="16">
        <v>15</v>
      </c>
      <c r="L2942" s="16" t="s">
        <v>26</v>
      </c>
      <c r="M2942" s="16" t="s">
        <v>147</v>
      </c>
    </row>
    <row r="2945" spans="1:14" ht="13.5" customHeight="1" x14ac:dyDescent="0.25">
      <c r="A2945" s="16" t="s">
        <v>592</v>
      </c>
      <c r="B2945" s="16" t="s">
        <v>0</v>
      </c>
      <c r="C2945" s="16" t="s">
        <v>16</v>
      </c>
      <c r="D2945" s="16" t="s">
        <v>20</v>
      </c>
      <c r="F2945" s="27">
        <v>171.3</v>
      </c>
      <c r="G2945" s="16">
        <v>5</v>
      </c>
      <c r="H2945" s="16" t="s">
        <v>22</v>
      </c>
      <c r="I2945" s="16">
        <v>10</v>
      </c>
      <c r="L2945" s="16" t="s">
        <v>23</v>
      </c>
    </row>
    <row r="2946" spans="1:14" ht="13.5" customHeight="1" x14ac:dyDescent="0.25">
      <c r="I2946" s="16">
        <v>50</v>
      </c>
      <c r="L2946" s="16" t="s">
        <v>32</v>
      </c>
    </row>
    <row r="2947" spans="1:14" ht="13.5" customHeight="1" x14ac:dyDescent="0.25">
      <c r="I2947" s="16">
        <v>15</v>
      </c>
      <c r="L2947" s="16" t="s">
        <v>33</v>
      </c>
    </row>
    <row r="2948" spans="1:14" ht="13.5" customHeight="1" x14ac:dyDescent="0.25">
      <c r="I2948" s="16">
        <v>20</v>
      </c>
      <c r="L2948" s="16" t="s">
        <v>29</v>
      </c>
      <c r="M2948" s="15"/>
    </row>
    <row r="2949" spans="1:14" ht="13.5" customHeight="1" x14ac:dyDescent="0.25">
      <c r="I2949" s="16">
        <v>10</v>
      </c>
      <c r="J2949" s="16"/>
      <c r="L2949" s="16" t="s">
        <v>25</v>
      </c>
      <c r="M2949" s="16" t="s">
        <v>102</v>
      </c>
    </row>
    <row r="2950" spans="1:14" ht="13.5" customHeight="1" x14ac:dyDescent="0.25">
      <c r="I2950" s="16">
        <v>20</v>
      </c>
      <c r="L2950" s="16" t="s">
        <v>27</v>
      </c>
      <c r="M2950" s="15"/>
    </row>
    <row r="2951" spans="1:14" ht="13.5" customHeight="1" x14ac:dyDescent="0.25">
      <c r="I2951" s="16">
        <v>290</v>
      </c>
      <c r="L2951" s="16" t="s">
        <v>26</v>
      </c>
      <c r="M2951" s="16" t="s">
        <v>102</v>
      </c>
    </row>
    <row r="2952" spans="1:14" ht="13.5" customHeight="1" x14ac:dyDescent="0.25">
      <c r="I2952" s="16">
        <v>20</v>
      </c>
      <c r="L2952" s="16" t="s">
        <v>26</v>
      </c>
      <c r="M2952" s="16" t="s">
        <v>55</v>
      </c>
      <c r="N2952" s="16"/>
    </row>
    <row r="2954" spans="1:14" ht="13.5" customHeight="1" x14ac:dyDescent="0.25">
      <c r="A2954" s="16" t="s">
        <v>592</v>
      </c>
      <c r="B2954" s="26" t="s">
        <v>1</v>
      </c>
      <c r="C2954" s="16" t="s">
        <v>15</v>
      </c>
      <c r="D2954" s="15" t="s">
        <v>548</v>
      </c>
      <c r="E2954" s="15"/>
      <c r="F2954" s="27">
        <f>7.18+5.98+5.974+5.97</f>
        <v>25.103999999999999</v>
      </c>
      <c r="G2954" s="16">
        <v>0.75</v>
      </c>
      <c r="H2954" s="16" t="s">
        <v>22</v>
      </c>
      <c r="I2954" s="16">
        <v>460</v>
      </c>
      <c r="J2954" s="18">
        <v>8.3333333333333329E-2</v>
      </c>
      <c r="K2954" s="18">
        <v>0.41666666666666669</v>
      </c>
      <c r="L2954" s="16" t="s">
        <v>26</v>
      </c>
      <c r="M2954" s="16" t="s">
        <v>102</v>
      </c>
    </row>
    <row r="2955" spans="1:14" ht="13.5" customHeight="1" x14ac:dyDescent="0.25">
      <c r="G2955" s="16" t="s">
        <v>166</v>
      </c>
      <c r="I2955" s="16">
        <v>10</v>
      </c>
      <c r="L2955" s="16" t="s">
        <v>32</v>
      </c>
    </row>
    <row r="2957" spans="1:14" ht="13.5" customHeight="1" x14ac:dyDescent="0.25">
      <c r="A2957" s="16" t="s">
        <v>592</v>
      </c>
      <c r="B2957" s="16" t="s">
        <v>2</v>
      </c>
      <c r="C2957" s="16" t="s">
        <v>520</v>
      </c>
      <c r="D2957" s="16" t="s">
        <v>21</v>
      </c>
      <c r="F2957" s="28">
        <v>314.334</v>
      </c>
      <c r="G2957" s="16">
        <v>9</v>
      </c>
      <c r="H2957" s="16" t="s">
        <v>22</v>
      </c>
      <c r="I2957" s="16">
        <v>10</v>
      </c>
      <c r="L2957" s="16" t="s">
        <v>23</v>
      </c>
    </row>
    <row r="2958" spans="1:14" ht="13.5" customHeight="1" x14ac:dyDescent="0.25">
      <c r="I2958" s="16">
        <v>90</v>
      </c>
      <c r="L2958" s="16" t="s">
        <v>32</v>
      </c>
    </row>
    <row r="2959" spans="1:14" ht="13.5" customHeight="1" x14ac:dyDescent="0.25">
      <c r="I2959" s="16">
        <v>20</v>
      </c>
      <c r="L2959" s="16" t="s">
        <v>33</v>
      </c>
    </row>
    <row r="2960" spans="1:14" ht="13.5" customHeight="1" x14ac:dyDescent="0.25">
      <c r="I2960" s="16">
        <v>20</v>
      </c>
      <c r="L2960" s="16" t="s">
        <v>29</v>
      </c>
      <c r="M2960" s="15"/>
    </row>
    <row r="2961" spans="1:13" ht="13.5" customHeight="1" x14ac:dyDescent="0.25">
      <c r="I2961" s="16">
        <v>20</v>
      </c>
      <c r="L2961" s="16" t="s">
        <v>25</v>
      </c>
      <c r="M2961" s="16" t="s">
        <v>137</v>
      </c>
    </row>
    <row r="2962" spans="1:13" ht="13.5" customHeight="1" x14ac:dyDescent="0.25">
      <c r="I2962" s="16">
        <v>20</v>
      </c>
      <c r="L2962" s="16" t="s">
        <v>25</v>
      </c>
      <c r="M2962" s="16" t="s">
        <v>45</v>
      </c>
    </row>
    <row r="2963" spans="1:13" ht="13.5" customHeight="1" x14ac:dyDescent="0.25">
      <c r="I2963" s="16">
        <v>10</v>
      </c>
      <c r="L2963" s="16" t="s">
        <v>27</v>
      </c>
    </row>
    <row r="2964" spans="1:13" ht="13.5" customHeight="1" x14ac:dyDescent="0.25">
      <c r="I2964" s="16">
        <v>90</v>
      </c>
      <c r="L2964" s="16" t="s">
        <v>26</v>
      </c>
      <c r="M2964" s="15" t="s">
        <v>593</v>
      </c>
    </row>
    <row r="2965" spans="1:13" ht="13.5" customHeight="1" x14ac:dyDescent="0.25">
      <c r="I2965" s="16">
        <v>40</v>
      </c>
      <c r="L2965" s="16" t="s">
        <v>26</v>
      </c>
      <c r="M2965" s="15" t="s">
        <v>594</v>
      </c>
    </row>
    <row r="2968" spans="1:13" ht="13.5" customHeight="1" x14ac:dyDescent="0.25">
      <c r="A2968" s="16" t="s">
        <v>597</v>
      </c>
      <c r="B2968" s="16" t="s">
        <v>0</v>
      </c>
      <c r="C2968" s="16" t="s">
        <v>6</v>
      </c>
      <c r="D2968" s="16" t="s">
        <v>20</v>
      </c>
      <c r="F2968" s="28">
        <v>334.17</v>
      </c>
      <c r="G2968" s="16">
        <v>9.5</v>
      </c>
      <c r="H2968" s="16" t="s">
        <v>22</v>
      </c>
      <c r="I2968" s="16">
        <v>10</v>
      </c>
      <c r="L2968" s="16" t="s">
        <v>23</v>
      </c>
    </row>
    <row r="2969" spans="1:13" ht="13.5" customHeight="1" x14ac:dyDescent="0.25">
      <c r="I2969" s="16">
        <v>100</v>
      </c>
      <c r="L2969" s="16" t="s">
        <v>32</v>
      </c>
    </row>
    <row r="2970" spans="1:13" ht="13.5" customHeight="1" x14ac:dyDescent="0.25">
      <c r="I2970" s="16">
        <v>15</v>
      </c>
      <c r="L2970" s="16" t="s">
        <v>33</v>
      </c>
    </row>
    <row r="2971" spans="1:13" ht="13.5" customHeight="1" x14ac:dyDescent="0.25">
      <c r="I2971" s="16">
        <v>20</v>
      </c>
      <c r="L2971" s="16" t="s">
        <v>29</v>
      </c>
      <c r="M2971" s="15"/>
    </row>
    <row r="2972" spans="1:13" ht="13.5" customHeight="1" x14ac:dyDescent="0.25">
      <c r="I2972" s="16">
        <v>30</v>
      </c>
      <c r="J2972" s="16"/>
      <c r="L2972" s="16" t="s">
        <v>25</v>
      </c>
      <c r="M2972" s="16" t="s">
        <v>137</v>
      </c>
    </row>
    <row r="2973" spans="1:13" ht="13.5" customHeight="1" x14ac:dyDescent="0.25">
      <c r="I2973" s="16">
        <v>20</v>
      </c>
      <c r="L2973" s="16" t="s">
        <v>27</v>
      </c>
      <c r="M2973" s="15"/>
    </row>
    <row r="2974" spans="1:13" ht="13.5" customHeight="1" x14ac:dyDescent="0.25">
      <c r="I2974" s="16">
        <v>20</v>
      </c>
      <c r="L2974" s="16" t="s">
        <v>26</v>
      </c>
      <c r="M2974" s="16" t="s">
        <v>147</v>
      </c>
    </row>
    <row r="2975" spans="1:13" ht="13.5" customHeight="1" x14ac:dyDescent="0.25">
      <c r="I2975" s="16">
        <v>40</v>
      </c>
      <c r="L2975" s="16" t="s">
        <v>26</v>
      </c>
      <c r="M2975" s="15" t="s">
        <v>596</v>
      </c>
    </row>
    <row r="2976" spans="1:13" ht="13.5" customHeight="1" x14ac:dyDescent="0.25">
      <c r="I2976" s="16">
        <v>45</v>
      </c>
      <c r="L2976" s="16" t="s">
        <v>26</v>
      </c>
      <c r="M2976" s="15" t="s">
        <v>595</v>
      </c>
    </row>
    <row r="2978" spans="1:13" ht="13.5" customHeight="1" x14ac:dyDescent="0.25">
      <c r="A2978" s="16" t="s">
        <v>597</v>
      </c>
      <c r="B2978" s="16" t="s">
        <v>1</v>
      </c>
      <c r="C2978" s="16" t="s">
        <v>15</v>
      </c>
      <c r="D2978" s="15" t="s">
        <v>548</v>
      </c>
      <c r="E2978" s="15"/>
      <c r="F2978" s="28">
        <f>31.19+37.79+37.66+37.57+31.07+30.48+31.38+31.93+32+26.88+26.21</f>
        <v>354.15999999999997</v>
      </c>
      <c r="G2978" s="16">
        <v>11</v>
      </c>
      <c r="H2978" s="16" t="s">
        <v>22</v>
      </c>
      <c r="I2978" s="16">
        <v>10</v>
      </c>
      <c r="L2978" s="16" t="s">
        <v>23</v>
      </c>
    </row>
    <row r="2979" spans="1:13" ht="13.5" customHeight="1" x14ac:dyDescent="0.25">
      <c r="I2979" s="16">
        <v>110</v>
      </c>
      <c r="L2979" s="16" t="s">
        <v>32</v>
      </c>
    </row>
    <row r="2980" spans="1:13" ht="13.5" customHeight="1" x14ac:dyDescent="0.25">
      <c r="I2980" s="16">
        <v>30</v>
      </c>
      <c r="L2980" s="16" t="s">
        <v>33</v>
      </c>
    </row>
    <row r="2981" spans="1:13" ht="13.5" customHeight="1" x14ac:dyDescent="0.25">
      <c r="I2981" s="16">
        <v>30</v>
      </c>
      <c r="L2981" s="16" t="s">
        <v>29</v>
      </c>
      <c r="M2981" s="15"/>
    </row>
    <row r="2982" spans="1:13" ht="13.5" customHeight="1" x14ac:dyDescent="0.25">
      <c r="I2982" s="16">
        <v>30</v>
      </c>
      <c r="L2982" s="16" t="s">
        <v>25</v>
      </c>
      <c r="M2982" s="16" t="s">
        <v>137</v>
      </c>
    </row>
    <row r="2983" spans="1:13" ht="13.5" customHeight="1" x14ac:dyDescent="0.25">
      <c r="I2983" s="16">
        <v>30</v>
      </c>
      <c r="L2983" s="16" t="s">
        <v>25</v>
      </c>
      <c r="M2983" s="16" t="s">
        <v>45</v>
      </c>
    </row>
    <row r="2984" spans="1:13" ht="13.5" customHeight="1" x14ac:dyDescent="0.25">
      <c r="I2984" s="16">
        <v>15</v>
      </c>
      <c r="L2984" s="16" t="s">
        <v>27</v>
      </c>
    </row>
    <row r="2985" spans="1:13" ht="13.5" customHeight="1" x14ac:dyDescent="0.25">
      <c r="I2985" s="16">
        <v>15</v>
      </c>
      <c r="L2985" s="16" t="s">
        <v>26</v>
      </c>
      <c r="M2985" s="16" t="s">
        <v>147</v>
      </c>
    </row>
    <row r="2987" spans="1:13" ht="13.5" customHeight="1" x14ac:dyDescent="0.25">
      <c r="A2987" s="16" t="s">
        <v>597</v>
      </c>
      <c r="B2987" s="16" t="s">
        <v>2</v>
      </c>
      <c r="C2987" s="16" t="s">
        <v>520</v>
      </c>
      <c r="D2987" s="16" t="s">
        <v>21</v>
      </c>
      <c r="F2987" s="28">
        <f>31.16+32.85+26.76+31.38+37.99+37.69+37.64+37.93+30.88+32.28-6.17</f>
        <v>330.39000000000004</v>
      </c>
      <c r="G2987" s="16">
        <v>10</v>
      </c>
      <c r="H2987" s="16" t="s">
        <v>22</v>
      </c>
      <c r="I2987" s="16">
        <v>10</v>
      </c>
      <c r="L2987" s="16" t="s">
        <v>23</v>
      </c>
    </row>
    <row r="2988" spans="1:13" ht="13.5" customHeight="1" x14ac:dyDescent="0.25">
      <c r="I2988" s="16">
        <v>100</v>
      </c>
      <c r="L2988" s="16" t="s">
        <v>32</v>
      </c>
    </row>
    <row r="2989" spans="1:13" ht="13.5" customHeight="1" x14ac:dyDescent="0.25">
      <c r="I2989" s="16">
        <v>30</v>
      </c>
      <c r="L2989" s="16" t="s">
        <v>33</v>
      </c>
    </row>
    <row r="2990" spans="1:13" ht="13.5" customHeight="1" x14ac:dyDescent="0.25">
      <c r="I2990" s="16">
        <v>80</v>
      </c>
      <c r="L2990" s="16" t="s">
        <v>29</v>
      </c>
      <c r="M2990" s="15"/>
    </row>
    <row r="2991" spans="1:13" ht="13.5" customHeight="1" x14ac:dyDescent="0.25">
      <c r="I2991" s="16">
        <v>50</v>
      </c>
      <c r="L2991" s="16" t="s">
        <v>25</v>
      </c>
      <c r="M2991" s="16" t="s">
        <v>137</v>
      </c>
    </row>
    <row r="2992" spans="1:13" ht="13.5" customHeight="1" x14ac:dyDescent="0.25">
      <c r="I2992" s="16">
        <v>30</v>
      </c>
      <c r="L2992" s="16" t="s">
        <v>25</v>
      </c>
      <c r="M2992" s="16" t="s">
        <v>45</v>
      </c>
    </row>
    <row r="2993" spans="1:13" ht="13.5" customHeight="1" x14ac:dyDescent="0.25">
      <c r="I2993" s="16">
        <v>15</v>
      </c>
      <c r="L2993" s="16" t="s">
        <v>27</v>
      </c>
    </row>
    <row r="2994" spans="1:13" ht="13.5" customHeight="1" x14ac:dyDescent="0.25">
      <c r="I2994" s="16">
        <v>15</v>
      </c>
      <c r="L2994" s="16" t="s">
        <v>26</v>
      </c>
      <c r="M2994" s="16" t="s">
        <v>147</v>
      </c>
    </row>
    <row r="2996" spans="1:13" ht="13.5" customHeight="1" x14ac:dyDescent="0.25">
      <c r="A2996" s="16" t="s">
        <v>598</v>
      </c>
      <c r="B2996" s="16" t="s">
        <v>0</v>
      </c>
      <c r="C2996" s="16" t="s">
        <v>15</v>
      </c>
      <c r="D2996" s="16" t="s">
        <v>20</v>
      </c>
      <c r="F2996" s="28">
        <v>362.78</v>
      </c>
      <c r="G2996" s="16">
        <v>11</v>
      </c>
      <c r="H2996" s="16" t="s">
        <v>22</v>
      </c>
      <c r="I2996" s="16">
        <v>10</v>
      </c>
      <c r="L2996" s="16" t="s">
        <v>23</v>
      </c>
    </row>
    <row r="2997" spans="1:13" ht="13.5" customHeight="1" x14ac:dyDescent="0.25">
      <c r="I2997" s="16">
        <v>110</v>
      </c>
      <c r="L2997" s="16" t="s">
        <v>32</v>
      </c>
    </row>
    <row r="2998" spans="1:13" ht="13.5" customHeight="1" x14ac:dyDescent="0.25">
      <c r="I2998" s="16">
        <v>35</v>
      </c>
      <c r="L2998" s="16" t="s">
        <v>33</v>
      </c>
    </row>
    <row r="2999" spans="1:13" ht="13.5" customHeight="1" x14ac:dyDescent="0.25">
      <c r="I2999" s="16">
        <v>20</v>
      </c>
      <c r="L2999" s="16" t="s">
        <v>29</v>
      </c>
      <c r="M2999" s="15"/>
    </row>
    <row r="3000" spans="1:13" ht="13.5" customHeight="1" x14ac:dyDescent="0.25">
      <c r="I3000" s="16">
        <v>30</v>
      </c>
      <c r="J3000" s="16"/>
      <c r="L3000" s="16" t="s">
        <v>25</v>
      </c>
      <c r="M3000" s="16" t="s">
        <v>137</v>
      </c>
    </row>
    <row r="3001" spans="1:13" ht="13.5" customHeight="1" x14ac:dyDescent="0.25">
      <c r="I3001" s="16">
        <v>20</v>
      </c>
      <c r="L3001" s="16" t="s">
        <v>27</v>
      </c>
      <c r="M3001" s="15"/>
    </row>
    <row r="3002" spans="1:13" ht="13.5" customHeight="1" x14ac:dyDescent="0.25">
      <c r="I3002" s="16">
        <v>20</v>
      </c>
      <c r="L3002" s="16" t="s">
        <v>26</v>
      </c>
      <c r="M3002" s="16" t="s">
        <v>147</v>
      </c>
    </row>
    <row r="3003" spans="1:13" ht="13.5" customHeight="1" x14ac:dyDescent="0.25">
      <c r="I3003" s="16">
        <v>20</v>
      </c>
      <c r="L3003" s="16" t="s">
        <v>25</v>
      </c>
      <c r="M3003" s="15" t="s">
        <v>36</v>
      </c>
    </row>
    <row r="3005" spans="1:13" ht="13.5" customHeight="1" x14ac:dyDescent="0.25">
      <c r="A3005" s="16" t="s">
        <v>598</v>
      </c>
      <c r="B3005" s="16" t="s">
        <v>1</v>
      </c>
      <c r="C3005" s="16" t="s">
        <v>16</v>
      </c>
      <c r="D3005" s="15" t="s">
        <v>548</v>
      </c>
      <c r="E3005" s="15"/>
      <c r="F3005" s="28">
        <f>37.98+23.84+38.24+31.22+36.32+31.08+31.25+37.85+37.94+27.95+37.58</f>
        <v>371.25</v>
      </c>
      <c r="G3005" s="16">
        <v>11</v>
      </c>
      <c r="H3005" s="16" t="s">
        <v>22</v>
      </c>
      <c r="I3005" s="16">
        <v>10</v>
      </c>
      <c r="L3005" s="16" t="s">
        <v>23</v>
      </c>
    </row>
    <row r="3006" spans="1:13" ht="13.5" customHeight="1" x14ac:dyDescent="0.25">
      <c r="I3006" s="16">
        <v>110</v>
      </c>
      <c r="L3006" s="16" t="s">
        <v>32</v>
      </c>
    </row>
    <row r="3007" spans="1:13" ht="13.5" customHeight="1" x14ac:dyDescent="0.25">
      <c r="I3007" s="16">
        <v>30</v>
      </c>
      <c r="L3007" s="16" t="s">
        <v>33</v>
      </c>
    </row>
    <row r="3008" spans="1:13" ht="13.5" customHeight="1" x14ac:dyDescent="0.25">
      <c r="I3008" s="16">
        <v>30</v>
      </c>
      <c r="L3008" s="16" t="s">
        <v>29</v>
      </c>
      <c r="M3008" s="15"/>
    </row>
    <row r="3009" spans="1:13" ht="13.5" customHeight="1" x14ac:dyDescent="0.25">
      <c r="I3009" s="16">
        <v>20</v>
      </c>
      <c r="L3009" s="16" t="s">
        <v>25</v>
      </c>
      <c r="M3009" s="16" t="s">
        <v>137</v>
      </c>
    </row>
    <row r="3010" spans="1:13" ht="13.5" customHeight="1" x14ac:dyDescent="0.25">
      <c r="I3010" s="16">
        <v>20</v>
      </c>
      <c r="L3010" s="16" t="s">
        <v>25</v>
      </c>
      <c r="M3010" s="16" t="s">
        <v>45</v>
      </c>
    </row>
    <row r="3011" spans="1:13" ht="13.5" customHeight="1" x14ac:dyDescent="0.25">
      <c r="I3011" s="16">
        <v>15</v>
      </c>
      <c r="L3011" s="16" t="s">
        <v>27</v>
      </c>
    </row>
    <row r="3012" spans="1:13" ht="13.5" customHeight="1" x14ac:dyDescent="0.25">
      <c r="I3012" s="16">
        <v>15</v>
      </c>
      <c r="L3012" s="16" t="s">
        <v>26</v>
      </c>
      <c r="M3012" s="16" t="s">
        <v>147</v>
      </c>
    </row>
    <row r="3013" spans="1:13" ht="13.5" customHeight="1" x14ac:dyDescent="0.25">
      <c r="I3013" s="16">
        <v>10</v>
      </c>
      <c r="L3013" s="16" t="s">
        <v>24</v>
      </c>
      <c r="M3013" s="15" t="s">
        <v>13</v>
      </c>
    </row>
    <row r="3015" spans="1:13" ht="13.5" customHeight="1" x14ac:dyDescent="0.25">
      <c r="A3015" s="16" t="s">
        <v>598</v>
      </c>
      <c r="B3015" s="16" t="s">
        <v>2</v>
      </c>
      <c r="C3015" s="16" t="s">
        <v>520</v>
      </c>
      <c r="D3015" s="16" t="s">
        <v>21</v>
      </c>
      <c r="F3015" s="28">
        <v>303.39999999999998</v>
      </c>
      <c r="G3015" s="16">
        <v>9</v>
      </c>
      <c r="H3015" s="16" t="s">
        <v>22</v>
      </c>
      <c r="I3015" s="16">
        <v>10</v>
      </c>
      <c r="L3015" s="16" t="s">
        <v>23</v>
      </c>
    </row>
    <row r="3016" spans="1:13" ht="13.5" customHeight="1" x14ac:dyDescent="0.25">
      <c r="I3016" s="16">
        <v>90</v>
      </c>
      <c r="L3016" s="16" t="s">
        <v>32</v>
      </c>
    </row>
    <row r="3017" spans="1:13" ht="13.5" customHeight="1" x14ac:dyDescent="0.25">
      <c r="I3017" s="16">
        <v>30</v>
      </c>
      <c r="L3017" s="16" t="s">
        <v>33</v>
      </c>
    </row>
    <row r="3018" spans="1:13" ht="13.5" customHeight="1" x14ac:dyDescent="0.25">
      <c r="I3018" s="16">
        <v>40</v>
      </c>
      <c r="L3018" s="16" t="s">
        <v>29</v>
      </c>
      <c r="M3018" s="15"/>
    </row>
    <row r="3019" spans="1:13" ht="13.5" customHeight="1" x14ac:dyDescent="0.25">
      <c r="I3019" s="16">
        <v>50</v>
      </c>
      <c r="L3019" s="16" t="s">
        <v>25</v>
      </c>
      <c r="M3019" s="16" t="s">
        <v>137</v>
      </c>
    </row>
    <row r="3020" spans="1:13" ht="13.5" customHeight="1" x14ac:dyDescent="0.25">
      <c r="I3020" s="16">
        <v>30</v>
      </c>
      <c r="L3020" s="16" t="s">
        <v>25</v>
      </c>
      <c r="M3020" s="16" t="s">
        <v>45</v>
      </c>
    </row>
    <row r="3021" spans="1:13" ht="13.5" customHeight="1" x14ac:dyDescent="0.25">
      <c r="I3021" s="16">
        <v>15</v>
      </c>
      <c r="L3021" s="16" t="s">
        <v>27</v>
      </c>
    </row>
    <row r="3022" spans="1:13" ht="13.5" customHeight="1" x14ac:dyDescent="0.25">
      <c r="I3022" s="16">
        <v>15</v>
      </c>
      <c r="L3022" s="16" t="s">
        <v>26</v>
      </c>
      <c r="M3022" s="16" t="s">
        <v>147</v>
      </c>
    </row>
    <row r="3023" spans="1:13" ht="13.5" customHeight="1" x14ac:dyDescent="0.25">
      <c r="I3023" s="16">
        <v>80</v>
      </c>
      <c r="J3023" s="18">
        <v>0.1875</v>
      </c>
      <c r="K3023" s="18">
        <v>0.25</v>
      </c>
      <c r="L3023" s="16" t="s">
        <v>26</v>
      </c>
      <c r="M3023" s="15" t="s">
        <v>599</v>
      </c>
    </row>
    <row r="3024" spans="1:13" ht="13.5" customHeight="1" x14ac:dyDescent="0.25">
      <c r="I3024" s="16">
        <v>30</v>
      </c>
      <c r="L3024" s="16" t="s">
        <v>26</v>
      </c>
      <c r="M3024" s="15" t="s">
        <v>600</v>
      </c>
    </row>
    <row r="3026" spans="1:13" ht="13.5" customHeight="1" x14ac:dyDescent="0.25">
      <c r="A3026" s="16" t="s">
        <v>601</v>
      </c>
      <c r="B3026" s="16" t="s">
        <v>0</v>
      </c>
      <c r="C3026" s="16" t="s">
        <v>15</v>
      </c>
      <c r="D3026" s="16" t="s">
        <v>20</v>
      </c>
      <c r="F3026" s="28">
        <v>381.43</v>
      </c>
      <c r="G3026" s="16">
        <v>11</v>
      </c>
      <c r="H3026" s="16" t="s">
        <v>22</v>
      </c>
      <c r="I3026" s="16">
        <v>10</v>
      </c>
      <c r="L3026" s="16" t="s">
        <v>23</v>
      </c>
    </row>
    <row r="3027" spans="1:13" ht="13.5" customHeight="1" x14ac:dyDescent="0.25">
      <c r="I3027" s="16">
        <v>110</v>
      </c>
      <c r="L3027" s="16" t="s">
        <v>32</v>
      </c>
    </row>
    <row r="3028" spans="1:13" ht="13.5" customHeight="1" x14ac:dyDescent="0.25">
      <c r="I3028" s="16">
        <v>30</v>
      </c>
      <c r="L3028" s="16" t="s">
        <v>33</v>
      </c>
    </row>
    <row r="3029" spans="1:13" ht="13.5" customHeight="1" x14ac:dyDescent="0.25">
      <c r="I3029" s="16">
        <v>20</v>
      </c>
      <c r="L3029" s="16" t="s">
        <v>29</v>
      </c>
      <c r="M3029" s="15"/>
    </row>
    <row r="3030" spans="1:13" ht="13.5" customHeight="1" x14ac:dyDescent="0.25">
      <c r="I3030" s="16">
        <v>20</v>
      </c>
      <c r="J3030" s="16"/>
      <c r="L3030" s="16" t="s">
        <v>25</v>
      </c>
      <c r="M3030" s="16" t="s">
        <v>137</v>
      </c>
    </row>
    <row r="3031" spans="1:13" ht="13.5" customHeight="1" x14ac:dyDescent="0.25">
      <c r="I3031" s="16">
        <v>20</v>
      </c>
      <c r="L3031" s="16" t="s">
        <v>27</v>
      </c>
      <c r="M3031" s="15"/>
    </row>
    <row r="3032" spans="1:13" ht="13.5" customHeight="1" x14ac:dyDescent="0.25">
      <c r="I3032" s="16">
        <v>20</v>
      </c>
      <c r="L3032" s="16" t="s">
        <v>26</v>
      </c>
      <c r="M3032" s="16" t="s">
        <v>147</v>
      </c>
    </row>
    <row r="3033" spans="1:13" ht="13.5" customHeight="1" x14ac:dyDescent="0.25">
      <c r="I3033" s="16">
        <v>20</v>
      </c>
      <c r="L3033" s="16" t="s">
        <v>26</v>
      </c>
      <c r="M3033" s="15" t="s">
        <v>602</v>
      </c>
    </row>
    <row r="3036" spans="1:13" ht="13.5" customHeight="1" x14ac:dyDescent="0.25">
      <c r="A3036" s="16" t="s">
        <v>601</v>
      </c>
      <c r="B3036" s="16" t="s">
        <v>1</v>
      </c>
      <c r="C3036" s="16" t="s">
        <v>16</v>
      </c>
      <c r="D3036" s="15" t="s">
        <v>548</v>
      </c>
      <c r="E3036" s="15"/>
      <c r="F3036" s="28">
        <v>311.72000000000003</v>
      </c>
      <c r="G3036" s="16">
        <v>9</v>
      </c>
      <c r="H3036" s="16" t="s">
        <v>22</v>
      </c>
      <c r="I3036" s="16">
        <v>10</v>
      </c>
      <c r="L3036" s="16" t="s">
        <v>23</v>
      </c>
    </row>
    <row r="3037" spans="1:13" ht="13.5" customHeight="1" x14ac:dyDescent="0.25">
      <c r="I3037" s="16">
        <v>90</v>
      </c>
      <c r="L3037" s="16" t="s">
        <v>32</v>
      </c>
    </row>
    <row r="3038" spans="1:13" ht="13.5" customHeight="1" x14ac:dyDescent="0.25">
      <c r="I3038" s="16">
        <v>30</v>
      </c>
      <c r="L3038" s="16" t="s">
        <v>33</v>
      </c>
    </row>
    <row r="3039" spans="1:13" ht="13.5" customHeight="1" x14ac:dyDescent="0.25">
      <c r="I3039" s="16">
        <v>50</v>
      </c>
      <c r="L3039" s="16" t="s">
        <v>29</v>
      </c>
      <c r="M3039" s="15"/>
    </row>
    <row r="3040" spans="1:13" ht="13.5" customHeight="1" x14ac:dyDescent="0.25">
      <c r="I3040" s="16">
        <v>20</v>
      </c>
      <c r="L3040" s="16" t="s">
        <v>25</v>
      </c>
      <c r="M3040" s="16" t="s">
        <v>137</v>
      </c>
    </row>
    <row r="3041" spans="1:13" ht="13.5" customHeight="1" x14ac:dyDescent="0.25">
      <c r="I3041" s="16">
        <v>20</v>
      </c>
      <c r="L3041" s="16" t="s">
        <v>25</v>
      </c>
      <c r="M3041" s="16" t="s">
        <v>45</v>
      </c>
    </row>
    <row r="3042" spans="1:13" ht="13.5" customHeight="1" x14ac:dyDescent="0.25">
      <c r="I3042" s="16">
        <v>15</v>
      </c>
      <c r="L3042" s="16" t="s">
        <v>27</v>
      </c>
    </row>
    <row r="3043" spans="1:13" ht="13.5" customHeight="1" x14ac:dyDescent="0.25">
      <c r="I3043" s="16">
        <v>15</v>
      </c>
      <c r="L3043" s="16" t="s">
        <v>26</v>
      </c>
      <c r="M3043" s="16" t="s">
        <v>147</v>
      </c>
    </row>
    <row r="3044" spans="1:13" ht="13.5" customHeight="1" x14ac:dyDescent="0.25">
      <c r="I3044" s="16">
        <v>90</v>
      </c>
      <c r="L3044" s="16" t="s">
        <v>26</v>
      </c>
      <c r="M3044" s="15" t="s">
        <v>603</v>
      </c>
    </row>
    <row r="3046" spans="1:13" ht="13.5" customHeight="1" x14ac:dyDescent="0.25">
      <c r="A3046" s="16" t="s">
        <v>601</v>
      </c>
      <c r="B3046" s="16" t="s">
        <v>2</v>
      </c>
      <c r="C3046" s="16" t="s">
        <v>520</v>
      </c>
      <c r="D3046" s="16" t="s">
        <v>21</v>
      </c>
      <c r="F3046" s="28">
        <v>354.64</v>
      </c>
      <c r="G3046" s="16">
        <v>11</v>
      </c>
      <c r="H3046" s="16" t="s">
        <v>22</v>
      </c>
      <c r="I3046" s="16">
        <v>10</v>
      </c>
      <c r="L3046" s="16" t="s">
        <v>23</v>
      </c>
    </row>
    <row r="3047" spans="1:13" ht="13.5" customHeight="1" x14ac:dyDescent="0.25">
      <c r="I3047" s="16">
        <v>110</v>
      </c>
      <c r="L3047" s="16" t="s">
        <v>32</v>
      </c>
    </row>
    <row r="3048" spans="1:13" ht="13.5" customHeight="1" x14ac:dyDescent="0.25">
      <c r="I3048" s="16">
        <v>30</v>
      </c>
      <c r="L3048" s="16" t="s">
        <v>33</v>
      </c>
    </row>
    <row r="3049" spans="1:13" ht="13.5" customHeight="1" x14ac:dyDescent="0.25">
      <c r="I3049" s="16">
        <v>40</v>
      </c>
      <c r="L3049" s="16" t="s">
        <v>29</v>
      </c>
      <c r="M3049" s="15"/>
    </row>
    <row r="3050" spans="1:13" ht="13.5" customHeight="1" x14ac:dyDescent="0.25">
      <c r="I3050" s="16">
        <v>40</v>
      </c>
      <c r="L3050" s="16" t="s">
        <v>25</v>
      </c>
      <c r="M3050" s="16" t="s">
        <v>137</v>
      </c>
    </row>
    <row r="3051" spans="1:13" ht="13.5" customHeight="1" x14ac:dyDescent="0.25">
      <c r="I3051" s="16">
        <v>30</v>
      </c>
      <c r="L3051" s="16" t="s">
        <v>25</v>
      </c>
      <c r="M3051" s="16" t="s">
        <v>45</v>
      </c>
    </row>
    <row r="3052" spans="1:13" ht="13.5" customHeight="1" x14ac:dyDescent="0.25">
      <c r="I3052" s="16">
        <v>15</v>
      </c>
      <c r="L3052" s="16" t="s">
        <v>27</v>
      </c>
    </row>
    <row r="3053" spans="1:13" ht="13.5" customHeight="1" x14ac:dyDescent="0.25">
      <c r="I3053" s="16">
        <v>15</v>
      </c>
      <c r="L3053" s="16" t="s">
        <v>26</v>
      </c>
      <c r="M3053" s="16" t="s">
        <v>147</v>
      </c>
    </row>
    <row r="3054" spans="1:13" ht="13.5" customHeight="1" x14ac:dyDescent="0.25">
      <c r="M3054" s="15"/>
    </row>
    <row r="3055" spans="1:13" ht="13.5" customHeight="1" x14ac:dyDescent="0.25">
      <c r="A3055" s="16" t="s">
        <v>604</v>
      </c>
      <c r="B3055" s="16" t="s">
        <v>0</v>
      </c>
      <c r="C3055" s="16" t="s">
        <v>15</v>
      </c>
      <c r="D3055" s="15" t="s">
        <v>548</v>
      </c>
      <c r="E3055" s="15"/>
      <c r="F3055" s="28">
        <v>352.32</v>
      </c>
      <c r="G3055" s="16">
        <v>11</v>
      </c>
      <c r="H3055" s="16" t="s">
        <v>22</v>
      </c>
      <c r="I3055" s="16">
        <v>10</v>
      </c>
      <c r="L3055" s="16" t="s">
        <v>23</v>
      </c>
    </row>
    <row r="3056" spans="1:13" ht="13.5" customHeight="1" x14ac:dyDescent="0.25">
      <c r="I3056" s="16">
        <v>110</v>
      </c>
      <c r="L3056" s="16" t="s">
        <v>32</v>
      </c>
    </row>
    <row r="3057" spans="1:13" ht="13.5" customHeight="1" x14ac:dyDescent="0.25">
      <c r="I3057" s="16">
        <v>30</v>
      </c>
      <c r="L3057" s="16" t="s">
        <v>33</v>
      </c>
    </row>
    <row r="3058" spans="1:13" ht="13.5" customHeight="1" x14ac:dyDescent="0.25">
      <c r="I3058" s="16">
        <v>30</v>
      </c>
      <c r="L3058" s="16" t="s">
        <v>29</v>
      </c>
      <c r="M3058" s="15"/>
    </row>
    <row r="3059" spans="1:13" ht="13.5" customHeight="1" x14ac:dyDescent="0.25">
      <c r="I3059" s="16">
        <v>20</v>
      </c>
      <c r="L3059" s="16" t="s">
        <v>25</v>
      </c>
      <c r="M3059" s="16" t="s">
        <v>137</v>
      </c>
    </row>
    <row r="3060" spans="1:13" ht="13.5" customHeight="1" x14ac:dyDescent="0.25">
      <c r="I3060" s="16">
        <v>20</v>
      </c>
      <c r="L3060" s="16" t="s">
        <v>25</v>
      </c>
      <c r="M3060" s="16" t="s">
        <v>45</v>
      </c>
    </row>
    <row r="3061" spans="1:13" ht="13.5" customHeight="1" x14ac:dyDescent="0.25">
      <c r="I3061" s="16">
        <v>15</v>
      </c>
      <c r="L3061" s="16" t="s">
        <v>27</v>
      </c>
    </row>
    <row r="3062" spans="1:13" ht="13.5" customHeight="1" x14ac:dyDescent="0.25">
      <c r="I3062" s="16">
        <v>15</v>
      </c>
      <c r="L3062" s="16" t="s">
        <v>26</v>
      </c>
      <c r="M3062" s="16" t="s">
        <v>147</v>
      </c>
    </row>
    <row r="3063" spans="1:13" ht="13.5" customHeight="1" x14ac:dyDescent="0.25">
      <c r="I3063" s="16">
        <v>10</v>
      </c>
      <c r="L3063" s="16" t="s">
        <v>25</v>
      </c>
      <c r="M3063" s="15" t="s">
        <v>36</v>
      </c>
    </row>
    <row r="3066" spans="1:13" ht="13.5" customHeight="1" x14ac:dyDescent="0.25">
      <c r="A3066" s="16" t="s">
        <v>604</v>
      </c>
      <c r="B3066" s="16" t="s">
        <v>1</v>
      </c>
      <c r="C3066" s="16" t="s">
        <v>18</v>
      </c>
      <c r="D3066" s="16" t="s">
        <v>21</v>
      </c>
      <c r="F3066" s="30">
        <v>291.08999999999997</v>
      </c>
      <c r="G3066" s="16">
        <v>9</v>
      </c>
      <c r="H3066" s="16" t="s">
        <v>22</v>
      </c>
      <c r="I3066" s="16">
        <v>10</v>
      </c>
      <c r="L3066" s="16" t="s">
        <v>23</v>
      </c>
    </row>
    <row r="3067" spans="1:13" ht="13.5" customHeight="1" x14ac:dyDescent="0.25">
      <c r="I3067" s="16">
        <v>90</v>
      </c>
      <c r="L3067" s="16" t="s">
        <v>32</v>
      </c>
    </row>
    <row r="3068" spans="1:13" ht="13.5" customHeight="1" x14ac:dyDescent="0.25">
      <c r="I3068" s="16">
        <v>30</v>
      </c>
      <c r="L3068" s="16" t="s">
        <v>33</v>
      </c>
    </row>
    <row r="3069" spans="1:13" ht="13.5" customHeight="1" x14ac:dyDescent="0.25">
      <c r="I3069" s="16">
        <v>40</v>
      </c>
      <c r="L3069" s="16" t="s">
        <v>29</v>
      </c>
      <c r="M3069" s="15"/>
    </row>
    <row r="3070" spans="1:13" ht="13.5" customHeight="1" x14ac:dyDescent="0.25">
      <c r="I3070" s="16">
        <v>40</v>
      </c>
      <c r="L3070" s="16" t="s">
        <v>25</v>
      </c>
      <c r="M3070" s="16" t="s">
        <v>137</v>
      </c>
    </row>
    <row r="3071" spans="1:13" ht="13.5" customHeight="1" x14ac:dyDescent="0.25">
      <c r="I3071" s="16">
        <v>30</v>
      </c>
      <c r="L3071" s="16" t="s">
        <v>25</v>
      </c>
      <c r="M3071" s="16" t="s">
        <v>45</v>
      </c>
    </row>
    <row r="3072" spans="1:13" ht="13.5" customHeight="1" x14ac:dyDescent="0.25">
      <c r="I3072" s="16">
        <v>15</v>
      </c>
      <c r="L3072" s="16" t="s">
        <v>27</v>
      </c>
    </row>
    <row r="3073" spans="1:13" ht="13.5" customHeight="1" x14ac:dyDescent="0.25">
      <c r="I3073" s="16">
        <v>60</v>
      </c>
      <c r="J3073" s="18">
        <v>8.3333333333333329E-2</v>
      </c>
      <c r="K3073" s="18">
        <v>0.125</v>
      </c>
      <c r="L3073" s="16" t="s">
        <v>26</v>
      </c>
      <c r="M3073" s="16" t="s">
        <v>605</v>
      </c>
    </row>
    <row r="3074" spans="1:13" ht="13.5" customHeight="1" x14ac:dyDescent="0.25">
      <c r="I3074" s="16">
        <v>20</v>
      </c>
      <c r="J3074" s="18">
        <v>0.14583333333333334</v>
      </c>
      <c r="K3074" s="18">
        <v>0.15972222222222224</v>
      </c>
      <c r="L3074" s="16" t="s">
        <v>26</v>
      </c>
      <c r="M3074" s="15" t="s">
        <v>606</v>
      </c>
    </row>
    <row r="3075" spans="1:13" ht="13.5" customHeight="1" x14ac:dyDescent="0.25">
      <c r="I3075" s="16">
        <v>15</v>
      </c>
      <c r="J3075" s="18">
        <v>0.21875</v>
      </c>
      <c r="K3075" s="18">
        <v>0.23611111111111113</v>
      </c>
      <c r="L3075" s="16" t="s">
        <v>26</v>
      </c>
      <c r="M3075" s="15" t="s">
        <v>607</v>
      </c>
    </row>
    <row r="3076" spans="1:13" ht="13.5" customHeight="1" x14ac:dyDescent="0.25">
      <c r="I3076" s="16">
        <v>30</v>
      </c>
      <c r="J3076" s="18">
        <v>0.375</v>
      </c>
      <c r="K3076" s="18">
        <v>0.39583333333333331</v>
      </c>
      <c r="L3076" s="16" t="s">
        <v>26</v>
      </c>
      <c r="M3076" s="15" t="s">
        <v>608</v>
      </c>
    </row>
    <row r="3079" spans="1:13" ht="13.5" customHeight="1" x14ac:dyDescent="0.25">
      <c r="A3079" s="16" t="s">
        <v>604</v>
      </c>
      <c r="B3079" s="16" t="s">
        <v>2</v>
      </c>
      <c r="D3079" s="16" t="s">
        <v>20</v>
      </c>
      <c r="F3079" s="28">
        <v>311.44</v>
      </c>
      <c r="G3079" s="16">
        <v>10</v>
      </c>
      <c r="H3079" s="16" t="s">
        <v>22</v>
      </c>
      <c r="I3079" s="16">
        <v>10</v>
      </c>
      <c r="L3079" s="16" t="s">
        <v>23</v>
      </c>
    </row>
    <row r="3080" spans="1:13" ht="13.5" customHeight="1" x14ac:dyDescent="0.25">
      <c r="I3080" s="16">
        <v>90</v>
      </c>
      <c r="L3080" s="16" t="s">
        <v>32</v>
      </c>
    </row>
    <row r="3081" spans="1:13" ht="13.5" customHeight="1" x14ac:dyDescent="0.25">
      <c r="I3081" s="16">
        <v>30</v>
      </c>
      <c r="L3081" s="16" t="s">
        <v>33</v>
      </c>
    </row>
    <row r="3082" spans="1:13" ht="13.5" customHeight="1" x14ac:dyDescent="0.25">
      <c r="I3082" s="16">
        <v>60</v>
      </c>
      <c r="L3082" s="16" t="s">
        <v>29</v>
      </c>
      <c r="M3082" s="15"/>
    </row>
    <row r="3083" spans="1:13" ht="13.5" customHeight="1" x14ac:dyDescent="0.25">
      <c r="I3083" s="16">
        <v>30</v>
      </c>
      <c r="J3083" s="16"/>
      <c r="L3083" s="16" t="s">
        <v>25</v>
      </c>
      <c r="M3083" s="16" t="s">
        <v>137</v>
      </c>
    </row>
    <row r="3084" spans="1:13" ht="13.5" customHeight="1" x14ac:dyDescent="0.25">
      <c r="I3084" s="16">
        <v>20</v>
      </c>
      <c r="L3084" s="16" t="s">
        <v>27</v>
      </c>
      <c r="M3084" s="15"/>
    </row>
    <row r="3085" spans="1:13" ht="13.5" customHeight="1" x14ac:dyDescent="0.25">
      <c r="I3085" s="16">
        <v>20</v>
      </c>
      <c r="L3085" s="16" t="s">
        <v>26</v>
      </c>
      <c r="M3085" s="16" t="s">
        <v>147</v>
      </c>
    </row>
    <row r="3086" spans="1:13" ht="13.5" customHeight="1" x14ac:dyDescent="0.25">
      <c r="I3086" s="16">
        <v>20</v>
      </c>
      <c r="L3086" s="16" t="s">
        <v>25</v>
      </c>
      <c r="M3086" s="15" t="s">
        <v>610</v>
      </c>
    </row>
    <row r="3087" spans="1:13" ht="13.5" customHeight="1" x14ac:dyDescent="0.25">
      <c r="I3087" s="16">
        <v>30</v>
      </c>
      <c r="L3087" s="16" t="s">
        <v>28</v>
      </c>
      <c r="M3087" s="15" t="s">
        <v>185</v>
      </c>
    </row>
    <row r="3088" spans="1:13" ht="13.5" customHeight="1" x14ac:dyDescent="0.25">
      <c r="I3088" s="16">
        <v>40</v>
      </c>
      <c r="L3088" s="16" t="s">
        <v>24</v>
      </c>
      <c r="M3088" s="15" t="s">
        <v>609</v>
      </c>
    </row>
    <row r="3089" spans="1:13" ht="13.5" customHeight="1" x14ac:dyDescent="0.25">
      <c r="M3089" s="15"/>
    </row>
    <row r="3090" spans="1:13" ht="13.5" customHeight="1" x14ac:dyDescent="0.25">
      <c r="A3090" s="16" t="s">
        <v>611</v>
      </c>
      <c r="B3090" s="16" t="s">
        <v>0</v>
      </c>
      <c r="C3090" s="16" t="s">
        <v>16</v>
      </c>
      <c r="D3090" s="15" t="s">
        <v>548</v>
      </c>
      <c r="E3090" s="15"/>
      <c r="F3090" s="28">
        <v>337.9</v>
      </c>
      <c r="G3090" s="16">
        <v>10</v>
      </c>
      <c r="H3090" s="16" t="s">
        <v>22</v>
      </c>
      <c r="I3090" s="16">
        <v>10</v>
      </c>
      <c r="L3090" s="16" t="s">
        <v>23</v>
      </c>
    </row>
    <row r="3091" spans="1:13" ht="13.5" customHeight="1" x14ac:dyDescent="0.25">
      <c r="I3091" s="16">
        <v>100</v>
      </c>
      <c r="L3091" s="16" t="s">
        <v>32</v>
      </c>
    </row>
    <row r="3092" spans="1:13" ht="13.5" customHeight="1" x14ac:dyDescent="0.25">
      <c r="I3092" s="16">
        <v>30</v>
      </c>
      <c r="L3092" s="16" t="s">
        <v>33</v>
      </c>
    </row>
    <row r="3093" spans="1:13" ht="13.5" customHeight="1" x14ac:dyDescent="0.25">
      <c r="I3093" s="16">
        <v>30</v>
      </c>
      <c r="L3093" s="16" t="s">
        <v>29</v>
      </c>
      <c r="M3093" s="15"/>
    </row>
    <row r="3094" spans="1:13" ht="13.5" customHeight="1" x14ac:dyDescent="0.25">
      <c r="I3094" s="16">
        <v>20</v>
      </c>
      <c r="L3094" s="16" t="s">
        <v>25</v>
      </c>
      <c r="M3094" s="16" t="s">
        <v>137</v>
      </c>
    </row>
    <row r="3095" spans="1:13" ht="13.5" customHeight="1" x14ac:dyDescent="0.25">
      <c r="I3095" s="16">
        <v>20</v>
      </c>
      <c r="L3095" s="16" t="s">
        <v>25</v>
      </c>
      <c r="M3095" s="16" t="s">
        <v>45</v>
      </c>
    </row>
    <row r="3096" spans="1:13" ht="13.5" customHeight="1" x14ac:dyDescent="0.25">
      <c r="I3096" s="16">
        <v>15</v>
      </c>
      <c r="L3096" s="16" t="s">
        <v>27</v>
      </c>
    </row>
    <row r="3097" spans="1:13" ht="13.5" customHeight="1" x14ac:dyDescent="0.25">
      <c r="I3097" s="16">
        <v>15</v>
      </c>
      <c r="L3097" s="16" t="s">
        <v>26</v>
      </c>
      <c r="M3097" s="16" t="s">
        <v>147</v>
      </c>
    </row>
    <row r="3098" spans="1:13" ht="13.5" customHeight="1" x14ac:dyDescent="0.25">
      <c r="I3098" s="16">
        <v>30</v>
      </c>
      <c r="L3098" s="16" t="s">
        <v>25</v>
      </c>
      <c r="M3098" s="16" t="s">
        <v>612</v>
      </c>
    </row>
    <row r="3099" spans="1:13" ht="13.5" customHeight="1" x14ac:dyDescent="0.25">
      <c r="I3099" s="16">
        <v>30</v>
      </c>
      <c r="L3099" s="16" t="s">
        <v>24</v>
      </c>
      <c r="M3099" s="16" t="s">
        <v>13</v>
      </c>
    </row>
    <row r="3101" spans="1:13" ht="13.5" customHeight="1" x14ac:dyDescent="0.25">
      <c r="A3101" s="16" t="s">
        <v>611</v>
      </c>
      <c r="B3101" s="16" t="s">
        <v>1</v>
      </c>
      <c r="C3101" s="16" t="s">
        <v>520</v>
      </c>
      <c r="D3101" s="16" t="s">
        <v>21</v>
      </c>
      <c r="F3101" s="27">
        <v>227.69</v>
      </c>
      <c r="G3101" s="16">
        <v>6.5</v>
      </c>
      <c r="H3101" s="16" t="s">
        <v>22</v>
      </c>
      <c r="I3101" s="16">
        <v>10</v>
      </c>
      <c r="L3101" s="16" t="s">
        <v>23</v>
      </c>
    </row>
    <row r="3102" spans="1:13" ht="13.5" customHeight="1" x14ac:dyDescent="0.25">
      <c r="I3102" s="16">
        <v>90</v>
      </c>
      <c r="L3102" s="16" t="s">
        <v>32</v>
      </c>
    </row>
    <row r="3103" spans="1:13" ht="13.5" customHeight="1" x14ac:dyDescent="0.25">
      <c r="I3103" s="16">
        <v>30</v>
      </c>
      <c r="L3103" s="16" t="s">
        <v>33</v>
      </c>
    </row>
    <row r="3104" spans="1:13" ht="13.5" customHeight="1" x14ac:dyDescent="0.25">
      <c r="I3104" s="16">
        <v>40</v>
      </c>
      <c r="L3104" s="16" t="s">
        <v>29</v>
      </c>
      <c r="M3104" s="15"/>
    </row>
    <row r="3105" spans="1:13" ht="13.5" customHeight="1" x14ac:dyDescent="0.25">
      <c r="I3105" s="16">
        <v>40</v>
      </c>
      <c r="L3105" s="16" t="s">
        <v>25</v>
      </c>
      <c r="M3105" s="16" t="s">
        <v>137</v>
      </c>
    </row>
    <row r="3106" spans="1:13" ht="13.5" customHeight="1" x14ac:dyDescent="0.25">
      <c r="I3106" s="16">
        <v>30</v>
      </c>
      <c r="L3106" s="16" t="s">
        <v>25</v>
      </c>
      <c r="M3106" s="16" t="s">
        <v>45</v>
      </c>
    </row>
    <row r="3107" spans="1:13" ht="13.5" customHeight="1" x14ac:dyDescent="0.25">
      <c r="I3107" s="16">
        <v>15</v>
      </c>
      <c r="L3107" s="16" t="s">
        <v>27</v>
      </c>
    </row>
    <row r="3108" spans="1:13" ht="13.5" customHeight="1" x14ac:dyDescent="0.25">
      <c r="I3108" s="16">
        <v>20</v>
      </c>
      <c r="L3108" s="16" t="s">
        <v>26</v>
      </c>
      <c r="M3108" s="16" t="s">
        <v>147</v>
      </c>
    </row>
    <row r="3109" spans="1:13" ht="13.5" customHeight="1" x14ac:dyDescent="0.25">
      <c r="I3109" s="16">
        <v>135</v>
      </c>
      <c r="J3109" s="18" t="s">
        <v>613</v>
      </c>
      <c r="K3109" s="18" t="s">
        <v>469</v>
      </c>
      <c r="L3109" s="16" t="s">
        <v>26</v>
      </c>
      <c r="M3109" s="15" t="s">
        <v>187</v>
      </c>
    </row>
    <row r="3110" spans="1:13" ht="13.5" customHeight="1" x14ac:dyDescent="0.25">
      <c r="I3110" s="16">
        <v>45</v>
      </c>
      <c r="J3110" s="18" t="s">
        <v>470</v>
      </c>
      <c r="K3110" s="18" t="s">
        <v>614</v>
      </c>
      <c r="L3110" s="16" t="s">
        <v>26</v>
      </c>
      <c r="M3110" s="15" t="s">
        <v>602</v>
      </c>
    </row>
    <row r="3112" spans="1:13" ht="13.5" customHeight="1" x14ac:dyDescent="0.25">
      <c r="A3112" s="16" t="s">
        <v>611</v>
      </c>
      <c r="B3112" s="16" t="s">
        <v>2</v>
      </c>
      <c r="C3112" s="16" t="s">
        <v>6</v>
      </c>
      <c r="D3112" s="16" t="s">
        <v>20</v>
      </c>
      <c r="F3112" s="28">
        <v>358.01</v>
      </c>
      <c r="G3112" s="16">
        <v>10</v>
      </c>
      <c r="H3112" s="16" t="s">
        <v>22</v>
      </c>
      <c r="I3112" s="16">
        <v>10</v>
      </c>
      <c r="L3112" s="16" t="s">
        <v>23</v>
      </c>
    </row>
    <row r="3113" spans="1:13" ht="13.5" customHeight="1" x14ac:dyDescent="0.25">
      <c r="I3113" s="16">
        <v>100</v>
      </c>
      <c r="L3113" s="16" t="s">
        <v>32</v>
      </c>
    </row>
    <row r="3114" spans="1:13" ht="13.5" customHeight="1" x14ac:dyDescent="0.25">
      <c r="I3114" s="16">
        <v>30</v>
      </c>
      <c r="L3114" s="16" t="s">
        <v>33</v>
      </c>
    </row>
    <row r="3115" spans="1:13" ht="13.5" customHeight="1" x14ac:dyDescent="0.25">
      <c r="I3115" s="16">
        <v>40</v>
      </c>
      <c r="L3115" s="16" t="s">
        <v>29</v>
      </c>
    </row>
    <row r="3116" spans="1:13" ht="13.5" customHeight="1" x14ac:dyDescent="0.25">
      <c r="I3116" s="16">
        <v>25</v>
      </c>
      <c r="L3116" s="16" t="s">
        <v>25</v>
      </c>
      <c r="M3116" s="16" t="s">
        <v>137</v>
      </c>
    </row>
    <row r="3117" spans="1:13" ht="13.5" customHeight="1" x14ac:dyDescent="0.25">
      <c r="I3117" s="16">
        <v>20</v>
      </c>
      <c r="L3117" s="16" t="s">
        <v>25</v>
      </c>
      <c r="M3117" s="16" t="s">
        <v>45</v>
      </c>
    </row>
    <row r="3118" spans="1:13" ht="13.5" customHeight="1" x14ac:dyDescent="0.25">
      <c r="I3118" s="16">
        <v>15</v>
      </c>
      <c r="L3118" s="16" t="s">
        <v>27</v>
      </c>
    </row>
    <row r="3119" spans="1:13" ht="13.5" customHeight="1" x14ac:dyDescent="0.25">
      <c r="I3119" s="16">
        <v>20</v>
      </c>
      <c r="L3119" s="16" t="s">
        <v>26</v>
      </c>
      <c r="M3119" s="16" t="s">
        <v>147</v>
      </c>
    </row>
    <row r="3120" spans="1:13" ht="13.5" customHeight="1" x14ac:dyDescent="0.25">
      <c r="I3120" s="16">
        <v>30</v>
      </c>
      <c r="L3120" s="16" t="s">
        <v>26</v>
      </c>
      <c r="M3120" s="16" t="s">
        <v>615</v>
      </c>
    </row>
    <row r="3121" spans="1:13" ht="13.5" customHeight="1" x14ac:dyDescent="0.25">
      <c r="I3121" s="16">
        <v>15</v>
      </c>
      <c r="L3121" s="16" t="s">
        <v>26</v>
      </c>
      <c r="M3121" s="16" t="s">
        <v>616</v>
      </c>
    </row>
    <row r="3123" spans="1:13" ht="13.5" customHeight="1" x14ac:dyDescent="0.25">
      <c r="M3123" s="15"/>
    </row>
    <row r="3124" spans="1:13" ht="13.5" customHeight="1" x14ac:dyDescent="0.25">
      <c r="A3124" s="16" t="s">
        <v>617</v>
      </c>
      <c r="B3124" s="16" t="s">
        <v>0</v>
      </c>
      <c r="C3124" s="16" t="s">
        <v>520</v>
      </c>
      <c r="D3124" s="15" t="s">
        <v>548</v>
      </c>
      <c r="E3124" s="15"/>
      <c r="F3124" s="27">
        <v>223.84</v>
      </c>
      <c r="G3124" s="16">
        <v>7.5</v>
      </c>
      <c r="H3124" s="16" t="s">
        <v>22</v>
      </c>
      <c r="I3124" s="16">
        <v>10</v>
      </c>
      <c r="L3124" s="16" t="s">
        <v>23</v>
      </c>
    </row>
    <row r="3125" spans="1:13" ht="13.5" customHeight="1" x14ac:dyDescent="0.25">
      <c r="I3125" s="16">
        <v>80</v>
      </c>
      <c r="L3125" s="16" t="s">
        <v>32</v>
      </c>
    </row>
    <row r="3126" spans="1:13" ht="13.5" customHeight="1" x14ac:dyDescent="0.25">
      <c r="I3126" s="16">
        <v>30</v>
      </c>
      <c r="L3126" s="16" t="s">
        <v>33</v>
      </c>
    </row>
    <row r="3127" spans="1:13" ht="13.5" customHeight="1" x14ac:dyDescent="0.25">
      <c r="I3127" s="16">
        <v>30</v>
      </c>
      <c r="L3127" s="16" t="s">
        <v>29</v>
      </c>
      <c r="M3127" s="15"/>
    </row>
    <row r="3128" spans="1:13" ht="13.5" customHeight="1" x14ac:dyDescent="0.25">
      <c r="I3128" s="16">
        <v>20</v>
      </c>
      <c r="L3128" s="16" t="s">
        <v>25</v>
      </c>
      <c r="M3128" s="16" t="s">
        <v>137</v>
      </c>
    </row>
    <row r="3129" spans="1:13" ht="13.5" customHeight="1" x14ac:dyDescent="0.25">
      <c r="I3129" s="16">
        <v>20</v>
      </c>
      <c r="L3129" s="16" t="s">
        <v>25</v>
      </c>
      <c r="M3129" s="16" t="s">
        <v>45</v>
      </c>
    </row>
    <row r="3130" spans="1:13" ht="13.5" customHeight="1" x14ac:dyDescent="0.25">
      <c r="I3130" s="16">
        <v>15</v>
      </c>
      <c r="L3130" s="16" t="s">
        <v>27</v>
      </c>
    </row>
    <row r="3131" spans="1:13" ht="13.5" customHeight="1" x14ac:dyDescent="0.25">
      <c r="I3131" s="16">
        <v>15</v>
      </c>
      <c r="L3131" s="16" t="s">
        <v>26</v>
      </c>
      <c r="M3131" s="16" t="s">
        <v>147</v>
      </c>
    </row>
    <row r="3132" spans="1:13" ht="13.5" customHeight="1" x14ac:dyDescent="0.25">
      <c r="I3132" s="16">
        <v>30</v>
      </c>
      <c r="J3132" s="18">
        <v>0.35069444444444442</v>
      </c>
      <c r="K3132" s="18">
        <v>0.37152777777777773</v>
      </c>
      <c r="L3132" s="16" t="s">
        <v>26</v>
      </c>
      <c r="M3132" s="15" t="s">
        <v>162</v>
      </c>
    </row>
    <row r="3133" spans="1:13" ht="13.5" customHeight="1" x14ac:dyDescent="0.25">
      <c r="I3133" s="16">
        <v>150</v>
      </c>
      <c r="J3133" s="18">
        <v>0.47916666666666669</v>
      </c>
      <c r="K3133" s="18">
        <v>8.3333333333333329E-2</v>
      </c>
      <c r="L3133" s="16" t="s">
        <v>26</v>
      </c>
      <c r="M3133" s="15" t="s">
        <v>618</v>
      </c>
    </row>
    <row r="3136" spans="1:13" ht="13.5" customHeight="1" x14ac:dyDescent="0.25">
      <c r="A3136" s="16" t="s">
        <v>617</v>
      </c>
      <c r="B3136" s="16" t="s">
        <v>1</v>
      </c>
      <c r="C3136" s="16" t="s">
        <v>16</v>
      </c>
      <c r="D3136" s="16" t="s">
        <v>21</v>
      </c>
      <c r="E3136" s="22"/>
      <c r="F3136" s="29">
        <v>260.7</v>
      </c>
      <c r="G3136" s="16">
        <v>8.5</v>
      </c>
      <c r="H3136" s="16" t="s">
        <v>22</v>
      </c>
      <c r="I3136" s="16">
        <v>10</v>
      </c>
      <c r="L3136" s="16" t="s">
        <v>23</v>
      </c>
    </row>
    <row r="3137" spans="1:14" ht="13.5" customHeight="1" x14ac:dyDescent="0.25">
      <c r="I3137" s="16">
        <v>80</v>
      </c>
      <c r="L3137" s="16" t="s">
        <v>32</v>
      </c>
    </row>
    <row r="3138" spans="1:14" ht="13.5" customHeight="1" x14ac:dyDescent="0.25">
      <c r="I3138" s="16">
        <v>30</v>
      </c>
      <c r="L3138" s="16" t="s">
        <v>33</v>
      </c>
    </row>
    <row r="3139" spans="1:14" ht="13.5" customHeight="1" x14ac:dyDescent="0.25">
      <c r="I3139" s="16">
        <v>30</v>
      </c>
      <c r="L3139" s="16" t="s">
        <v>29</v>
      </c>
      <c r="M3139" s="15"/>
    </row>
    <row r="3140" spans="1:14" ht="13.5" customHeight="1" x14ac:dyDescent="0.25">
      <c r="I3140" s="16">
        <v>30</v>
      </c>
      <c r="L3140" s="16" t="s">
        <v>25</v>
      </c>
      <c r="M3140" s="16" t="s">
        <v>137</v>
      </c>
    </row>
    <row r="3141" spans="1:14" ht="13.5" customHeight="1" x14ac:dyDescent="0.25">
      <c r="I3141" s="16">
        <v>30</v>
      </c>
      <c r="L3141" s="16" t="s">
        <v>25</v>
      </c>
      <c r="M3141" s="16" t="s">
        <v>45</v>
      </c>
      <c r="N3141" s="15" t="s">
        <v>105</v>
      </c>
    </row>
    <row r="3142" spans="1:14" ht="13.5" customHeight="1" x14ac:dyDescent="0.25">
      <c r="I3142" s="16">
        <v>15</v>
      </c>
      <c r="L3142" s="16" t="s">
        <v>27</v>
      </c>
    </row>
    <row r="3143" spans="1:14" ht="13.5" customHeight="1" x14ac:dyDescent="0.25">
      <c r="I3143" s="16">
        <v>20</v>
      </c>
      <c r="L3143" s="16" t="s">
        <v>26</v>
      </c>
      <c r="M3143" s="16" t="s">
        <v>147</v>
      </c>
    </row>
    <row r="3144" spans="1:14" ht="13.5" customHeight="1" x14ac:dyDescent="0.25">
      <c r="I3144" s="16">
        <v>120</v>
      </c>
      <c r="J3144" s="18">
        <v>8.3333333333333329E-2</v>
      </c>
      <c r="K3144" s="18">
        <v>0.16666666666666666</v>
      </c>
      <c r="L3144" s="16" t="s">
        <v>26</v>
      </c>
      <c r="M3144" s="15" t="s">
        <v>618</v>
      </c>
      <c r="N3144" s="15" t="s">
        <v>178</v>
      </c>
    </row>
    <row r="3145" spans="1:14" ht="13.5" customHeight="1" x14ac:dyDescent="0.25">
      <c r="I3145" s="16">
        <v>15</v>
      </c>
      <c r="J3145" s="18">
        <v>0.22569444444444445</v>
      </c>
      <c r="K3145" s="18">
        <v>0.23611111111111113</v>
      </c>
      <c r="L3145" s="16" t="s">
        <v>26</v>
      </c>
      <c r="M3145" s="15" t="s">
        <v>178</v>
      </c>
    </row>
    <row r="3146" spans="1:14" ht="13.5" customHeight="1" x14ac:dyDescent="0.25">
      <c r="I3146" s="16">
        <v>15</v>
      </c>
      <c r="J3146" s="18">
        <v>0.23611111111111113</v>
      </c>
      <c r="K3146" s="18">
        <v>0.24652777777777779</v>
      </c>
      <c r="L3146" s="16" t="s">
        <v>26</v>
      </c>
      <c r="M3146" s="15" t="s">
        <v>651</v>
      </c>
    </row>
    <row r="3148" spans="1:14" ht="13.5" customHeight="1" x14ac:dyDescent="0.25">
      <c r="A3148" s="16" t="s">
        <v>617</v>
      </c>
      <c r="B3148" s="16" t="s">
        <v>2</v>
      </c>
      <c r="C3148" s="16" t="s">
        <v>15</v>
      </c>
      <c r="D3148" s="16" t="s">
        <v>20</v>
      </c>
      <c r="F3148" s="28">
        <v>329.63</v>
      </c>
      <c r="G3148" s="16">
        <v>10.5</v>
      </c>
      <c r="H3148" s="16" t="s">
        <v>22</v>
      </c>
      <c r="I3148" s="16">
        <v>10</v>
      </c>
      <c r="L3148" s="16" t="s">
        <v>23</v>
      </c>
    </row>
    <row r="3149" spans="1:14" ht="13.5" customHeight="1" x14ac:dyDescent="0.25">
      <c r="I3149" s="16">
        <v>110</v>
      </c>
      <c r="L3149" s="16" t="s">
        <v>32</v>
      </c>
    </row>
    <row r="3150" spans="1:14" ht="13.5" customHeight="1" x14ac:dyDescent="0.25">
      <c r="I3150" s="16">
        <v>30</v>
      </c>
      <c r="L3150" s="16" t="s">
        <v>33</v>
      </c>
    </row>
    <row r="3151" spans="1:14" ht="13.5" customHeight="1" x14ac:dyDescent="0.25">
      <c r="I3151" s="16">
        <v>60</v>
      </c>
      <c r="L3151" s="16" t="s">
        <v>29</v>
      </c>
    </row>
    <row r="3152" spans="1:14" ht="13.5" customHeight="1" x14ac:dyDescent="0.25">
      <c r="I3152" s="16">
        <v>25</v>
      </c>
      <c r="L3152" s="16" t="s">
        <v>25</v>
      </c>
      <c r="M3152" s="16" t="s">
        <v>137</v>
      </c>
    </row>
    <row r="3153" spans="1:13" ht="13.5" customHeight="1" x14ac:dyDescent="0.25">
      <c r="I3153" s="16">
        <v>20</v>
      </c>
      <c r="L3153" s="16" t="s">
        <v>25</v>
      </c>
      <c r="M3153" s="16" t="s">
        <v>45</v>
      </c>
    </row>
    <row r="3154" spans="1:13" ht="13.5" customHeight="1" x14ac:dyDescent="0.25">
      <c r="I3154" s="16">
        <v>15</v>
      </c>
      <c r="L3154" s="16" t="s">
        <v>27</v>
      </c>
    </row>
    <row r="3155" spans="1:13" ht="13.5" customHeight="1" x14ac:dyDescent="0.25">
      <c r="I3155" s="16">
        <v>20</v>
      </c>
      <c r="L3155" s="16" t="s">
        <v>26</v>
      </c>
      <c r="M3155" s="16" t="s">
        <v>147</v>
      </c>
    </row>
    <row r="3156" spans="1:13" ht="13.5" customHeight="1" x14ac:dyDescent="0.25">
      <c r="J3156" s="18">
        <v>0.43402777777777773</v>
      </c>
      <c r="L3156" s="16" t="s">
        <v>26</v>
      </c>
      <c r="M3156" s="16" t="s">
        <v>619</v>
      </c>
    </row>
    <row r="3158" spans="1:13" ht="13.5" customHeight="1" x14ac:dyDescent="0.25">
      <c r="A3158" s="16" t="s">
        <v>620</v>
      </c>
      <c r="B3158" s="16" t="s">
        <v>0</v>
      </c>
      <c r="C3158" s="16" t="s">
        <v>16</v>
      </c>
      <c r="D3158" s="15" t="s">
        <v>548</v>
      </c>
      <c r="E3158" s="15"/>
      <c r="F3158" s="27">
        <v>256.49</v>
      </c>
      <c r="G3158" s="16">
        <v>8</v>
      </c>
      <c r="H3158" s="16" t="s">
        <v>22</v>
      </c>
      <c r="I3158" s="16">
        <v>10</v>
      </c>
      <c r="L3158" s="16" t="s">
        <v>23</v>
      </c>
    </row>
    <row r="3159" spans="1:13" ht="13.5" customHeight="1" x14ac:dyDescent="0.25">
      <c r="I3159" s="16">
        <v>80</v>
      </c>
      <c r="L3159" s="16" t="s">
        <v>32</v>
      </c>
    </row>
    <row r="3160" spans="1:13" ht="13.5" customHeight="1" x14ac:dyDescent="0.25">
      <c r="I3160" s="16">
        <v>20</v>
      </c>
      <c r="L3160" s="16" t="s">
        <v>33</v>
      </c>
    </row>
    <row r="3161" spans="1:13" ht="13.5" customHeight="1" x14ac:dyDescent="0.25">
      <c r="I3161" s="16">
        <v>30</v>
      </c>
      <c r="L3161" s="16" t="s">
        <v>29</v>
      </c>
      <c r="M3161" s="15"/>
    </row>
    <row r="3162" spans="1:13" ht="13.5" customHeight="1" x14ac:dyDescent="0.25">
      <c r="I3162" s="16">
        <v>20</v>
      </c>
      <c r="L3162" s="16" t="s">
        <v>25</v>
      </c>
      <c r="M3162" s="16" t="s">
        <v>137</v>
      </c>
    </row>
    <row r="3163" spans="1:13" ht="13.5" customHeight="1" x14ac:dyDescent="0.25">
      <c r="I3163" s="16">
        <v>20</v>
      </c>
      <c r="L3163" s="16" t="s">
        <v>25</v>
      </c>
      <c r="M3163" s="16" t="s">
        <v>45</v>
      </c>
    </row>
    <row r="3164" spans="1:13" ht="13.5" customHeight="1" x14ac:dyDescent="0.25">
      <c r="I3164" s="16">
        <v>10</v>
      </c>
      <c r="L3164" s="16" t="s">
        <v>27</v>
      </c>
    </row>
    <row r="3165" spans="1:13" ht="13.5" customHeight="1" x14ac:dyDescent="0.25">
      <c r="I3165" s="16">
        <v>15</v>
      </c>
      <c r="L3165" s="16" t="s">
        <v>26</v>
      </c>
      <c r="M3165" s="16" t="s">
        <v>147</v>
      </c>
    </row>
    <row r="3166" spans="1:13" ht="13.5" customHeight="1" x14ac:dyDescent="0.25">
      <c r="I3166" s="16">
        <v>130</v>
      </c>
      <c r="L3166" s="16" t="s">
        <v>26</v>
      </c>
      <c r="M3166" s="16" t="s">
        <v>621</v>
      </c>
    </row>
    <row r="3167" spans="1:13" ht="13.5" customHeight="1" x14ac:dyDescent="0.25">
      <c r="I3167" s="16">
        <v>30</v>
      </c>
      <c r="L3167" s="16" t="s">
        <v>24</v>
      </c>
      <c r="M3167" s="16" t="s">
        <v>183</v>
      </c>
    </row>
    <row r="3168" spans="1:13" ht="13.5" customHeight="1" x14ac:dyDescent="0.25">
      <c r="A3168" s="16" t="s">
        <v>620</v>
      </c>
      <c r="B3168" s="16" t="s">
        <v>1</v>
      </c>
      <c r="C3168" s="16" t="s">
        <v>520</v>
      </c>
      <c r="D3168" s="16" t="s">
        <v>21</v>
      </c>
      <c r="F3168" s="27">
        <v>253.22</v>
      </c>
      <c r="G3168" s="16">
        <v>8.25</v>
      </c>
      <c r="H3168" s="16" t="s">
        <v>22</v>
      </c>
      <c r="I3168" s="16">
        <v>10</v>
      </c>
      <c r="L3168" s="16" t="s">
        <v>23</v>
      </c>
    </row>
    <row r="3169" spans="1:13" ht="13.5" customHeight="1" x14ac:dyDescent="0.25">
      <c r="I3169" s="16">
        <v>90</v>
      </c>
      <c r="L3169" s="16" t="s">
        <v>32</v>
      </c>
    </row>
    <row r="3170" spans="1:13" ht="13.5" customHeight="1" x14ac:dyDescent="0.25">
      <c r="I3170" s="16">
        <v>30</v>
      </c>
      <c r="L3170" s="16" t="s">
        <v>33</v>
      </c>
    </row>
    <row r="3171" spans="1:13" ht="13.5" customHeight="1" x14ac:dyDescent="0.25">
      <c r="I3171" s="16">
        <v>30</v>
      </c>
      <c r="L3171" s="16" t="s">
        <v>29</v>
      </c>
      <c r="M3171" s="15"/>
    </row>
    <row r="3172" spans="1:13" ht="13.5" customHeight="1" x14ac:dyDescent="0.25">
      <c r="I3172" s="16">
        <v>60</v>
      </c>
      <c r="L3172" s="16" t="s">
        <v>25</v>
      </c>
      <c r="M3172" s="15" t="s">
        <v>276</v>
      </c>
    </row>
    <row r="3173" spans="1:13" ht="13.5" customHeight="1" x14ac:dyDescent="0.25">
      <c r="I3173" s="16">
        <v>30</v>
      </c>
      <c r="L3173" s="16" t="s">
        <v>25</v>
      </c>
      <c r="M3173" s="16" t="s">
        <v>45</v>
      </c>
    </row>
    <row r="3174" spans="1:13" ht="13.5" customHeight="1" x14ac:dyDescent="0.25">
      <c r="I3174" s="16">
        <v>15</v>
      </c>
      <c r="L3174" s="16" t="s">
        <v>27</v>
      </c>
    </row>
    <row r="3175" spans="1:13" ht="13.5" customHeight="1" x14ac:dyDescent="0.25">
      <c r="I3175" s="16">
        <v>20</v>
      </c>
      <c r="L3175" s="16" t="s">
        <v>26</v>
      </c>
      <c r="M3175" s="16" t="s">
        <v>147</v>
      </c>
    </row>
    <row r="3176" spans="1:13" ht="13.5" customHeight="1" x14ac:dyDescent="0.25">
      <c r="I3176" s="16">
        <v>90</v>
      </c>
      <c r="J3176" s="18">
        <v>0.13194444444444445</v>
      </c>
      <c r="K3176" s="18">
        <v>0.19444444444444445</v>
      </c>
      <c r="L3176" s="16" t="s">
        <v>26</v>
      </c>
      <c r="M3176" s="15" t="s">
        <v>622</v>
      </c>
    </row>
    <row r="3177" spans="1:13" ht="13.5" customHeight="1" x14ac:dyDescent="0.25">
      <c r="I3177" s="16">
        <v>30</v>
      </c>
      <c r="J3177" s="18">
        <v>0.39583333333333331</v>
      </c>
      <c r="K3177" s="18">
        <v>0.41666666666666669</v>
      </c>
      <c r="L3177" s="16" t="s">
        <v>26</v>
      </c>
      <c r="M3177" s="15" t="s">
        <v>623</v>
      </c>
    </row>
    <row r="3180" spans="1:13" ht="13.5" customHeight="1" x14ac:dyDescent="0.25">
      <c r="A3180" s="16" t="s">
        <v>620</v>
      </c>
      <c r="B3180" s="16" t="s">
        <v>2</v>
      </c>
      <c r="C3180" s="16" t="s">
        <v>15</v>
      </c>
      <c r="D3180" s="16" t="s">
        <v>20</v>
      </c>
      <c r="F3180" s="28">
        <v>310.06</v>
      </c>
      <c r="G3180" s="16">
        <v>11</v>
      </c>
      <c r="H3180" s="16" t="s">
        <v>22</v>
      </c>
      <c r="I3180" s="16">
        <v>10</v>
      </c>
      <c r="L3180" s="16" t="s">
        <v>23</v>
      </c>
    </row>
    <row r="3181" spans="1:13" ht="13.5" customHeight="1" x14ac:dyDescent="0.25">
      <c r="I3181" s="16">
        <v>110</v>
      </c>
      <c r="L3181" s="16" t="s">
        <v>32</v>
      </c>
    </row>
    <row r="3182" spans="1:13" ht="13.5" customHeight="1" x14ac:dyDescent="0.25">
      <c r="I3182" s="16">
        <v>30</v>
      </c>
      <c r="L3182" s="16" t="s">
        <v>33</v>
      </c>
    </row>
    <row r="3183" spans="1:13" ht="13.5" customHeight="1" x14ac:dyDescent="0.25">
      <c r="I3183" s="16">
        <v>60</v>
      </c>
      <c r="L3183" s="16" t="s">
        <v>29</v>
      </c>
    </row>
    <row r="3184" spans="1:13" ht="13.5" customHeight="1" x14ac:dyDescent="0.25">
      <c r="I3184" s="16">
        <v>25</v>
      </c>
      <c r="L3184" s="16" t="s">
        <v>25</v>
      </c>
      <c r="M3184" s="16" t="s">
        <v>137</v>
      </c>
    </row>
    <row r="3185" spans="1:13" ht="13.5" customHeight="1" x14ac:dyDescent="0.25">
      <c r="I3185" s="16">
        <v>20</v>
      </c>
      <c r="L3185" s="16" t="s">
        <v>25</v>
      </c>
      <c r="M3185" s="16" t="s">
        <v>45</v>
      </c>
    </row>
    <row r="3186" spans="1:13" ht="13.5" customHeight="1" x14ac:dyDescent="0.25">
      <c r="I3186" s="16">
        <v>15</v>
      </c>
      <c r="L3186" s="16" t="s">
        <v>27</v>
      </c>
    </row>
    <row r="3187" spans="1:13" ht="13.5" customHeight="1" x14ac:dyDescent="0.25">
      <c r="I3187" s="16">
        <v>20</v>
      </c>
      <c r="L3187" s="16" t="s">
        <v>26</v>
      </c>
      <c r="M3187" s="16" t="s">
        <v>147</v>
      </c>
    </row>
    <row r="3188" spans="1:13" ht="13.5" customHeight="1" x14ac:dyDescent="0.25">
      <c r="I3188" s="16">
        <v>40</v>
      </c>
      <c r="L3188" s="16" t="s">
        <v>25</v>
      </c>
      <c r="M3188" s="15" t="s">
        <v>624</v>
      </c>
    </row>
    <row r="3189" spans="1:13" ht="13.5" customHeight="1" x14ac:dyDescent="0.25">
      <c r="M3189" s="15"/>
    </row>
    <row r="3190" spans="1:13" ht="13.5" customHeight="1" x14ac:dyDescent="0.25">
      <c r="A3190" s="16" t="s">
        <v>625</v>
      </c>
      <c r="B3190" s="16" t="s">
        <v>0</v>
      </c>
      <c r="C3190" s="16" t="s">
        <v>16</v>
      </c>
      <c r="D3190" s="15" t="s">
        <v>548</v>
      </c>
      <c r="E3190" s="15"/>
      <c r="F3190" s="27">
        <v>246.5</v>
      </c>
      <c r="G3190" s="16">
        <v>8</v>
      </c>
      <c r="H3190" s="16" t="s">
        <v>22</v>
      </c>
      <c r="I3190" s="16">
        <v>10</v>
      </c>
      <c r="L3190" s="16" t="s">
        <v>23</v>
      </c>
    </row>
    <row r="3191" spans="1:13" ht="13.5" customHeight="1" x14ac:dyDescent="0.25">
      <c r="I3191" s="16">
        <v>80</v>
      </c>
      <c r="L3191" s="16" t="s">
        <v>32</v>
      </c>
    </row>
    <row r="3192" spans="1:13" ht="13.5" customHeight="1" x14ac:dyDescent="0.25">
      <c r="I3192" s="16">
        <v>20</v>
      </c>
      <c r="L3192" s="16" t="s">
        <v>33</v>
      </c>
    </row>
    <row r="3193" spans="1:13" ht="13.5" customHeight="1" x14ac:dyDescent="0.25">
      <c r="I3193" s="16">
        <v>30</v>
      </c>
      <c r="L3193" s="16" t="s">
        <v>29</v>
      </c>
      <c r="M3193" s="15"/>
    </row>
    <row r="3194" spans="1:13" ht="13.5" customHeight="1" x14ac:dyDescent="0.25">
      <c r="I3194" s="16">
        <v>20</v>
      </c>
      <c r="L3194" s="16" t="s">
        <v>25</v>
      </c>
      <c r="M3194" s="16" t="s">
        <v>137</v>
      </c>
    </row>
    <row r="3195" spans="1:13" ht="13.5" customHeight="1" x14ac:dyDescent="0.25">
      <c r="I3195" s="16">
        <v>20</v>
      </c>
      <c r="L3195" s="16" t="s">
        <v>25</v>
      </c>
      <c r="M3195" s="16" t="s">
        <v>45</v>
      </c>
    </row>
    <row r="3196" spans="1:13" ht="13.5" customHeight="1" x14ac:dyDescent="0.25">
      <c r="I3196" s="16">
        <v>10</v>
      </c>
      <c r="L3196" s="16" t="s">
        <v>27</v>
      </c>
    </row>
    <row r="3197" spans="1:13" ht="13.5" customHeight="1" x14ac:dyDescent="0.25">
      <c r="I3197" s="16">
        <v>15</v>
      </c>
      <c r="L3197" s="16" t="s">
        <v>26</v>
      </c>
      <c r="M3197" s="16" t="s">
        <v>147</v>
      </c>
    </row>
    <row r="3198" spans="1:13" ht="13.5" customHeight="1" x14ac:dyDescent="0.25">
      <c r="I3198" s="16">
        <v>50</v>
      </c>
      <c r="L3198" s="16" t="s">
        <v>24</v>
      </c>
      <c r="M3198" s="16" t="s">
        <v>626</v>
      </c>
    </row>
    <row r="3199" spans="1:13" ht="13.5" customHeight="1" x14ac:dyDescent="0.25">
      <c r="I3199" s="16">
        <v>20</v>
      </c>
      <c r="L3199" s="16" t="s">
        <v>26</v>
      </c>
      <c r="M3199" s="16" t="s">
        <v>627</v>
      </c>
    </row>
    <row r="3200" spans="1:13" ht="13.5" customHeight="1" x14ac:dyDescent="0.25">
      <c r="I3200" s="16">
        <v>90</v>
      </c>
      <c r="L3200" s="16" t="s">
        <v>26</v>
      </c>
      <c r="M3200" s="16" t="s">
        <v>628</v>
      </c>
    </row>
    <row r="3202" spans="1:13" ht="13.5" customHeight="1" x14ac:dyDescent="0.25">
      <c r="A3202" s="16" t="s">
        <v>625</v>
      </c>
      <c r="B3202" s="16" t="s">
        <v>1</v>
      </c>
      <c r="C3202" s="16" t="s">
        <v>520</v>
      </c>
      <c r="D3202" s="16" t="s">
        <v>21</v>
      </c>
      <c r="F3202" s="27">
        <f>28.84+7.574+7.56+7.56</f>
        <v>51.534000000000006</v>
      </c>
      <c r="G3202" s="16">
        <v>1.75</v>
      </c>
      <c r="H3202" s="16" t="s">
        <v>22</v>
      </c>
      <c r="I3202" s="16">
        <v>90</v>
      </c>
      <c r="J3202" s="18">
        <v>8.3333333333333329E-2</v>
      </c>
      <c r="K3202" s="18">
        <v>0.13541666666666666</v>
      </c>
      <c r="L3202" s="16" t="s">
        <v>26</v>
      </c>
      <c r="M3202" s="15" t="s">
        <v>629</v>
      </c>
    </row>
    <row r="3203" spans="1:13" ht="13.5" customHeight="1" x14ac:dyDescent="0.25">
      <c r="I3203" s="16">
        <v>20</v>
      </c>
      <c r="L3203" s="16" t="s">
        <v>32</v>
      </c>
    </row>
    <row r="3204" spans="1:13" ht="13.5" customHeight="1" x14ac:dyDescent="0.25">
      <c r="I3204" s="16">
        <v>10</v>
      </c>
      <c r="L3204" s="16" t="s">
        <v>33</v>
      </c>
    </row>
    <row r="3205" spans="1:13" ht="13.5" customHeight="1" x14ac:dyDescent="0.25">
      <c r="I3205" s="16">
        <v>5</v>
      </c>
      <c r="L3205" s="16" t="s">
        <v>29</v>
      </c>
      <c r="M3205" s="15"/>
    </row>
    <row r="3206" spans="1:13" ht="13.5" customHeight="1" x14ac:dyDescent="0.25">
      <c r="I3206" s="16">
        <v>5</v>
      </c>
      <c r="L3206" s="16" t="s">
        <v>25</v>
      </c>
      <c r="M3206" s="16" t="s">
        <v>45</v>
      </c>
    </row>
    <row r="3207" spans="1:13" ht="13.5" customHeight="1" x14ac:dyDescent="0.25">
      <c r="I3207" s="16">
        <v>345</v>
      </c>
      <c r="J3207" s="18">
        <v>0.15972222222222224</v>
      </c>
      <c r="K3207" s="18">
        <v>0.39930555555555558</v>
      </c>
      <c r="L3207" s="16" t="s">
        <v>26</v>
      </c>
      <c r="M3207" s="15" t="s">
        <v>630</v>
      </c>
    </row>
    <row r="3210" spans="1:13" ht="13.5" customHeight="1" x14ac:dyDescent="0.25">
      <c r="A3210" s="16" t="s">
        <v>625</v>
      </c>
      <c r="B3210" s="16" t="s">
        <v>2</v>
      </c>
      <c r="C3210" s="16" t="s">
        <v>15</v>
      </c>
      <c r="D3210" s="16" t="s">
        <v>20</v>
      </c>
      <c r="F3210" s="28">
        <v>341.19</v>
      </c>
      <c r="G3210" s="16">
        <v>10.5</v>
      </c>
      <c r="H3210" s="16" t="s">
        <v>22</v>
      </c>
      <c r="I3210" s="16">
        <v>10</v>
      </c>
      <c r="L3210" s="16" t="s">
        <v>23</v>
      </c>
    </row>
    <row r="3211" spans="1:13" ht="13.5" customHeight="1" x14ac:dyDescent="0.25">
      <c r="I3211" s="16">
        <v>110</v>
      </c>
      <c r="L3211" s="16" t="s">
        <v>32</v>
      </c>
    </row>
    <row r="3212" spans="1:13" ht="13.5" customHeight="1" x14ac:dyDescent="0.25">
      <c r="I3212" s="16">
        <v>30</v>
      </c>
      <c r="L3212" s="16" t="s">
        <v>33</v>
      </c>
    </row>
    <row r="3213" spans="1:13" ht="13.5" customHeight="1" x14ac:dyDescent="0.25">
      <c r="I3213" s="16">
        <v>80</v>
      </c>
      <c r="L3213" s="16" t="s">
        <v>29</v>
      </c>
      <c r="M3213" s="15" t="s">
        <v>136</v>
      </c>
    </row>
    <row r="3214" spans="1:13" ht="13.5" customHeight="1" x14ac:dyDescent="0.25">
      <c r="I3214" s="16">
        <v>25</v>
      </c>
      <c r="L3214" s="16" t="s">
        <v>25</v>
      </c>
      <c r="M3214" s="16" t="s">
        <v>137</v>
      </c>
    </row>
    <row r="3215" spans="1:13" ht="13.5" customHeight="1" x14ac:dyDescent="0.25">
      <c r="I3215" s="16">
        <v>20</v>
      </c>
      <c r="L3215" s="16" t="s">
        <v>25</v>
      </c>
      <c r="M3215" s="16" t="s">
        <v>45</v>
      </c>
    </row>
    <row r="3216" spans="1:13" ht="13.5" customHeight="1" x14ac:dyDescent="0.25">
      <c r="I3216" s="16">
        <v>15</v>
      </c>
      <c r="L3216" s="16" t="s">
        <v>27</v>
      </c>
    </row>
    <row r="3217" spans="1:13" ht="13.5" customHeight="1" x14ac:dyDescent="0.25">
      <c r="I3217" s="16">
        <v>20</v>
      </c>
      <c r="L3217" s="16" t="s">
        <v>26</v>
      </c>
      <c r="M3217" s="16" t="s">
        <v>147</v>
      </c>
    </row>
    <row r="3219" spans="1:13" ht="13.5" customHeight="1" x14ac:dyDescent="0.25">
      <c r="A3219" s="16" t="s">
        <v>631</v>
      </c>
      <c r="B3219" s="16" t="s">
        <v>0</v>
      </c>
      <c r="C3219" s="16" t="s">
        <v>16</v>
      </c>
      <c r="D3219" s="15" t="s">
        <v>548</v>
      </c>
      <c r="E3219" s="15"/>
      <c r="F3219" s="28">
        <v>308.99</v>
      </c>
      <c r="G3219" s="16">
        <v>10</v>
      </c>
      <c r="H3219" s="16" t="s">
        <v>22</v>
      </c>
      <c r="I3219" s="16">
        <v>10</v>
      </c>
      <c r="L3219" s="16" t="s">
        <v>23</v>
      </c>
    </row>
    <row r="3220" spans="1:13" ht="13.5" customHeight="1" x14ac:dyDescent="0.25">
      <c r="D3220" s="15"/>
      <c r="E3220" s="15"/>
      <c r="I3220" s="16">
        <v>100</v>
      </c>
      <c r="L3220" s="16" t="s">
        <v>32</v>
      </c>
    </row>
    <row r="3221" spans="1:13" ht="13.5" customHeight="1" x14ac:dyDescent="0.25">
      <c r="I3221" s="16">
        <v>30</v>
      </c>
      <c r="L3221" s="16" t="s">
        <v>33</v>
      </c>
    </row>
    <row r="3222" spans="1:13" ht="13.5" customHeight="1" x14ac:dyDescent="0.25">
      <c r="I3222" s="16">
        <v>30</v>
      </c>
      <c r="L3222" s="16" t="s">
        <v>29</v>
      </c>
      <c r="M3222" s="15"/>
    </row>
    <row r="3223" spans="1:13" ht="13.5" customHeight="1" x14ac:dyDescent="0.25">
      <c r="I3223" s="16">
        <v>30</v>
      </c>
      <c r="L3223" s="16" t="s">
        <v>25</v>
      </c>
      <c r="M3223" s="16" t="s">
        <v>137</v>
      </c>
    </row>
    <row r="3224" spans="1:13" ht="13.5" customHeight="1" x14ac:dyDescent="0.25">
      <c r="I3224" s="16">
        <v>20</v>
      </c>
      <c r="L3224" s="16" t="s">
        <v>25</v>
      </c>
      <c r="M3224" s="16" t="s">
        <v>45</v>
      </c>
    </row>
    <row r="3225" spans="1:13" ht="13.5" customHeight="1" x14ac:dyDescent="0.25">
      <c r="I3225" s="16">
        <v>20</v>
      </c>
      <c r="L3225" s="16" t="s">
        <v>27</v>
      </c>
    </row>
    <row r="3226" spans="1:13" ht="13.5" customHeight="1" x14ac:dyDescent="0.25">
      <c r="I3226" s="16">
        <v>15</v>
      </c>
      <c r="L3226" s="16" t="s">
        <v>26</v>
      </c>
      <c r="M3226" s="16" t="s">
        <v>147</v>
      </c>
    </row>
    <row r="3227" spans="1:13" ht="13.5" customHeight="1" x14ac:dyDescent="0.25">
      <c r="I3227" s="16">
        <v>40</v>
      </c>
      <c r="L3227" s="16" t="s">
        <v>24</v>
      </c>
      <c r="M3227" s="16" t="s">
        <v>117</v>
      </c>
    </row>
    <row r="3229" spans="1:13" ht="13.5" customHeight="1" x14ac:dyDescent="0.25">
      <c r="A3229" s="16" t="s">
        <v>631</v>
      </c>
      <c r="B3229" s="16" t="s">
        <v>1</v>
      </c>
      <c r="C3229" s="16" t="s">
        <v>520</v>
      </c>
      <c r="D3229" s="16" t="s">
        <v>21</v>
      </c>
      <c r="F3229" s="28">
        <f>23.48+36.5+26.94+31.24+37.62+31.14+23.19+31.3+31.44+37.06+31.37</f>
        <v>341.28000000000003</v>
      </c>
      <c r="G3229" s="16">
        <v>11</v>
      </c>
      <c r="H3229" s="16" t="s">
        <v>22</v>
      </c>
      <c r="I3229" s="16">
        <v>20</v>
      </c>
      <c r="L3229" s="16" t="s">
        <v>23</v>
      </c>
    </row>
    <row r="3230" spans="1:13" ht="13.5" customHeight="1" x14ac:dyDescent="0.25">
      <c r="I3230" s="16">
        <v>110</v>
      </c>
      <c r="L3230" s="16" t="s">
        <v>32</v>
      </c>
    </row>
    <row r="3231" spans="1:13" ht="13.5" customHeight="1" x14ac:dyDescent="0.25">
      <c r="I3231" s="16">
        <v>30</v>
      </c>
      <c r="L3231" s="16" t="s">
        <v>33</v>
      </c>
    </row>
    <row r="3232" spans="1:13" ht="13.5" customHeight="1" x14ac:dyDescent="0.25">
      <c r="I3232" s="16">
        <v>30</v>
      </c>
      <c r="L3232" s="16" t="s">
        <v>29</v>
      </c>
      <c r="M3232" s="15"/>
    </row>
    <row r="3233" spans="1:13" ht="13.5" customHeight="1" x14ac:dyDescent="0.25">
      <c r="I3233" s="16">
        <v>25</v>
      </c>
      <c r="L3233" s="16" t="s">
        <v>25</v>
      </c>
      <c r="M3233" s="16" t="s">
        <v>137</v>
      </c>
    </row>
    <row r="3234" spans="1:13" ht="13.5" customHeight="1" x14ac:dyDescent="0.25">
      <c r="I3234" s="16">
        <v>20</v>
      </c>
      <c r="L3234" s="16" t="s">
        <v>25</v>
      </c>
      <c r="M3234" s="16" t="s">
        <v>45</v>
      </c>
    </row>
    <row r="3235" spans="1:13" ht="13.5" customHeight="1" x14ac:dyDescent="0.25">
      <c r="I3235" s="16">
        <v>15</v>
      </c>
      <c r="L3235" s="16" t="s">
        <v>27</v>
      </c>
    </row>
    <row r="3236" spans="1:13" ht="13.5" customHeight="1" x14ac:dyDescent="0.25">
      <c r="I3236" s="16">
        <v>20</v>
      </c>
      <c r="L3236" s="16" t="s">
        <v>26</v>
      </c>
      <c r="M3236" s="16" t="s">
        <v>147</v>
      </c>
    </row>
    <row r="3239" spans="1:13" ht="13.5" customHeight="1" x14ac:dyDescent="0.25">
      <c r="A3239" s="16" t="s">
        <v>631</v>
      </c>
      <c r="B3239" s="16" t="s">
        <v>2</v>
      </c>
      <c r="C3239" s="16" t="s">
        <v>15</v>
      </c>
      <c r="D3239" s="16" t="s">
        <v>20</v>
      </c>
      <c r="F3239" s="28">
        <v>340.72</v>
      </c>
      <c r="G3239" s="16">
        <v>11</v>
      </c>
      <c r="H3239" s="16" t="s">
        <v>22</v>
      </c>
      <c r="I3239" s="16">
        <v>10</v>
      </c>
      <c r="L3239" s="16" t="s">
        <v>23</v>
      </c>
    </row>
    <row r="3240" spans="1:13" ht="13.5" customHeight="1" x14ac:dyDescent="0.25">
      <c r="I3240" s="16">
        <v>110</v>
      </c>
      <c r="L3240" s="16" t="s">
        <v>32</v>
      </c>
    </row>
    <row r="3241" spans="1:13" ht="13.5" customHeight="1" x14ac:dyDescent="0.25">
      <c r="I3241" s="16">
        <v>30</v>
      </c>
      <c r="L3241" s="16" t="s">
        <v>33</v>
      </c>
    </row>
    <row r="3242" spans="1:13" ht="13.5" customHeight="1" x14ac:dyDescent="0.25">
      <c r="I3242" s="16">
        <v>60</v>
      </c>
      <c r="L3242" s="16" t="s">
        <v>29</v>
      </c>
      <c r="M3242" s="15" t="s">
        <v>136</v>
      </c>
    </row>
    <row r="3243" spans="1:13" ht="13.5" customHeight="1" x14ac:dyDescent="0.25">
      <c r="I3243" s="16">
        <v>25</v>
      </c>
      <c r="L3243" s="16" t="s">
        <v>25</v>
      </c>
      <c r="M3243" s="16" t="s">
        <v>137</v>
      </c>
    </row>
    <row r="3244" spans="1:13" ht="13.5" customHeight="1" x14ac:dyDescent="0.25">
      <c r="I3244" s="16">
        <v>30</v>
      </c>
      <c r="L3244" s="16" t="s">
        <v>25</v>
      </c>
      <c r="M3244" s="16" t="s">
        <v>45</v>
      </c>
    </row>
    <row r="3245" spans="1:13" ht="13.5" customHeight="1" x14ac:dyDescent="0.25">
      <c r="I3245" s="16">
        <v>15</v>
      </c>
      <c r="L3245" s="16" t="s">
        <v>27</v>
      </c>
    </row>
    <row r="3246" spans="1:13" ht="13.5" customHeight="1" x14ac:dyDescent="0.25">
      <c r="I3246" s="16">
        <v>20</v>
      </c>
      <c r="L3246" s="16" t="s">
        <v>26</v>
      </c>
      <c r="M3246" s="16" t="s">
        <v>147</v>
      </c>
    </row>
    <row r="3248" spans="1:13" ht="13.5" customHeight="1" x14ac:dyDescent="0.25">
      <c r="A3248" s="16" t="s">
        <v>632</v>
      </c>
      <c r="B3248" s="16" t="s">
        <v>0</v>
      </c>
      <c r="C3248" s="16" t="s">
        <v>16</v>
      </c>
      <c r="D3248" s="15" t="s">
        <v>548</v>
      </c>
      <c r="E3248" s="15"/>
      <c r="F3248" s="28">
        <v>317.8</v>
      </c>
      <c r="G3248" s="16">
        <v>10</v>
      </c>
      <c r="H3248" s="16" t="s">
        <v>22</v>
      </c>
      <c r="I3248" s="16">
        <v>10</v>
      </c>
      <c r="L3248" s="16" t="s">
        <v>23</v>
      </c>
    </row>
    <row r="3249" spans="1:13" ht="13.5" customHeight="1" x14ac:dyDescent="0.25">
      <c r="I3249" s="16">
        <v>100</v>
      </c>
      <c r="L3249" s="16" t="s">
        <v>32</v>
      </c>
    </row>
    <row r="3250" spans="1:13" ht="13.5" customHeight="1" x14ac:dyDescent="0.25">
      <c r="I3250" s="16">
        <v>40</v>
      </c>
      <c r="L3250" s="16" t="s">
        <v>33</v>
      </c>
    </row>
    <row r="3251" spans="1:13" ht="13.5" customHeight="1" x14ac:dyDescent="0.25">
      <c r="I3251" s="16">
        <v>50</v>
      </c>
      <c r="L3251" s="16" t="s">
        <v>29</v>
      </c>
      <c r="M3251" s="15" t="s">
        <v>633</v>
      </c>
    </row>
    <row r="3252" spans="1:13" ht="13.5" customHeight="1" x14ac:dyDescent="0.25">
      <c r="I3252" s="16">
        <v>30</v>
      </c>
      <c r="L3252" s="16" t="s">
        <v>25</v>
      </c>
      <c r="M3252" s="16" t="s">
        <v>137</v>
      </c>
    </row>
    <row r="3253" spans="1:13" ht="13.5" customHeight="1" x14ac:dyDescent="0.25">
      <c r="I3253" s="16">
        <v>20</v>
      </c>
      <c r="L3253" s="16" t="s">
        <v>25</v>
      </c>
      <c r="M3253" s="16" t="s">
        <v>45</v>
      </c>
    </row>
    <row r="3254" spans="1:13" ht="13.5" customHeight="1" x14ac:dyDescent="0.25">
      <c r="I3254" s="16">
        <v>15</v>
      </c>
      <c r="L3254" s="16" t="s">
        <v>27</v>
      </c>
    </row>
    <row r="3255" spans="1:13" ht="13.5" customHeight="1" x14ac:dyDescent="0.25">
      <c r="I3255" s="16">
        <v>15</v>
      </c>
      <c r="L3255" s="16" t="s">
        <v>26</v>
      </c>
      <c r="M3255" s="16" t="s">
        <v>147</v>
      </c>
    </row>
    <row r="3257" spans="1:13" ht="13.5" customHeight="1" x14ac:dyDescent="0.25">
      <c r="A3257" s="16" t="s">
        <v>632</v>
      </c>
      <c r="B3257" s="16" t="s">
        <v>1</v>
      </c>
      <c r="C3257" s="16" t="s">
        <v>6</v>
      </c>
      <c r="D3257" s="16" t="s">
        <v>21</v>
      </c>
      <c r="F3257" s="28">
        <f>25.91+25.9+31.14+31.79+38.54+31.14+32.34+32.32+29.2+27.81+1.196+7.176+7.178+5.982</f>
        <v>327.62200000000007</v>
      </c>
      <c r="G3257" s="16">
        <v>10.75</v>
      </c>
      <c r="H3257" s="16" t="s">
        <v>22</v>
      </c>
      <c r="I3257" s="16">
        <v>10</v>
      </c>
      <c r="L3257" s="16" t="s">
        <v>23</v>
      </c>
    </row>
    <row r="3258" spans="1:13" ht="13.5" customHeight="1" x14ac:dyDescent="0.25">
      <c r="I3258" s="16">
        <v>110</v>
      </c>
      <c r="L3258" s="16" t="s">
        <v>32</v>
      </c>
    </row>
    <row r="3259" spans="1:13" ht="13.5" customHeight="1" x14ac:dyDescent="0.25">
      <c r="I3259" s="16">
        <v>30</v>
      </c>
      <c r="L3259" s="16" t="s">
        <v>33</v>
      </c>
    </row>
    <row r="3260" spans="1:13" ht="13.5" customHeight="1" x14ac:dyDescent="0.25">
      <c r="I3260" s="16">
        <v>40</v>
      </c>
      <c r="L3260" s="16" t="s">
        <v>29</v>
      </c>
      <c r="M3260" s="15"/>
    </row>
    <row r="3261" spans="1:13" ht="13.5" customHeight="1" x14ac:dyDescent="0.25">
      <c r="I3261" s="16">
        <v>25</v>
      </c>
      <c r="L3261" s="16" t="s">
        <v>25</v>
      </c>
      <c r="M3261" s="16" t="s">
        <v>137</v>
      </c>
    </row>
    <row r="3262" spans="1:13" ht="13.5" customHeight="1" x14ac:dyDescent="0.25">
      <c r="I3262" s="16">
        <v>20</v>
      </c>
      <c r="L3262" s="16" t="s">
        <v>25</v>
      </c>
      <c r="M3262" s="16" t="s">
        <v>45</v>
      </c>
    </row>
    <row r="3263" spans="1:13" ht="13.5" customHeight="1" x14ac:dyDescent="0.25">
      <c r="I3263" s="16">
        <v>15</v>
      </c>
      <c r="L3263" s="16" t="s">
        <v>27</v>
      </c>
    </row>
    <row r="3264" spans="1:13" ht="13.5" customHeight="1" x14ac:dyDescent="0.25">
      <c r="I3264" s="16">
        <v>20</v>
      </c>
      <c r="L3264" s="16" t="s">
        <v>26</v>
      </c>
      <c r="M3264" s="16" t="s">
        <v>147</v>
      </c>
    </row>
    <row r="3266" spans="1:13" ht="13.5" customHeight="1" x14ac:dyDescent="0.25">
      <c r="A3266" s="16" t="s">
        <v>632</v>
      </c>
      <c r="B3266" s="16" t="s">
        <v>2</v>
      </c>
      <c r="C3266" s="16" t="s">
        <v>15</v>
      </c>
      <c r="D3266" s="16" t="s">
        <v>20</v>
      </c>
      <c r="F3266" s="28">
        <v>350.02</v>
      </c>
      <c r="G3266" s="16">
        <v>10.5</v>
      </c>
      <c r="H3266" s="16" t="s">
        <v>22</v>
      </c>
      <c r="I3266" s="16">
        <v>10</v>
      </c>
      <c r="L3266" s="16" t="s">
        <v>23</v>
      </c>
    </row>
    <row r="3267" spans="1:13" ht="13.5" customHeight="1" x14ac:dyDescent="0.25">
      <c r="I3267" s="16">
        <v>110</v>
      </c>
      <c r="L3267" s="16" t="s">
        <v>32</v>
      </c>
    </row>
    <row r="3268" spans="1:13" ht="13.5" customHeight="1" x14ac:dyDescent="0.25">
      <c r="I3268" s="16">
        <v>30</v>
      </c>
      <c r="L3268" s="16" t="s">
        <v>33</v>
      </c>
    </row>
    <row r="3269" spans="1:13" ht="13.5" customHeight="1" x14ac:dyDescent="0.25">
      <c r="I3269" s="16">
        <v>70</v>
      </c>
      <c r="L3269" s="16" t="s">
        <v>29</v>
      </c>
      <c r="M3269" s="15" t="s">
        <v>136</v>
      </c>
    </row>
    <row r="3270" spans="1:13" ht="13.5" customHeight="1" x14ac:dyDescent="0.25">
      <c r="I3270" s="16">
        <v>40</v>
      </c>
      <c r="L3270" s="16" t="s">
        <v>25</v>
      </c>
      <c r="M3270" s="16" t="s">
        <v>137</v>
      </c>
    </row>
    <row r="3271" spans="1:13" ht="13.5" customHeight="1" x14ac:dyDescent="0.25">
      <c r="I3271" s="16">
        <v>20</v>
      </c>
      <c r="L3271" s="16" t="s">
        <v>25</v>
      </c>
      <c r="M3271" s="16" t="s">
        <v>45</v>
      </c>
    </row>
    <row r="3272" spans="1:13" ht="13.5" customHeight="1" x14ac:dyDescent="0.25">
      <c r="I3272" s="16">
        <v>15</v>
      </c>
      <c r="L3272" s="16" t="s">
        <v>27</v>
      </c>
    </row>
    <row r="3273" spans="1:13" ht="13.5" customHeight="1" x14ac:dyDescent="0.25">
      <c r="I3273" s="16">
        <v>20</v>
      </c>
      <c r="L3273" s="16" t="s">
        <v>26</v>
      </c>
      <c r="M3273" s="16" t="s">
        <v>147</v>
      </c>
    </row>
    <row r="3276" spans="1:13" ht="13.5" customHeight="1" x14ac:dyDescent="0.25">
      <c r="A3276" s="16" t="s">
        <v>634</v>
      </c>
      <c r="B3276" s="16" t="s">
        <v>0</v>
      </c>
      <c r="C3276" s="16" t="s">
        <v>520</v>
      </c>
      <c r="D3276" s="16" t="s">
        <v>21</v>
      </c>
      <c r="F3276" s="28">
        <f>32.24+37.79+38.11+37.64+31.5+37.57+31.38+31.01+31.57</f>
        <v>308.81</v>
      </c>
      <c r="G3276" s="16">
        <v>9</v>
      </c>
      <c r="H3276" s="16" t="s">
        <v>22</v>
      </c>
      <c r="I3276" s="16">
        <v>10</v>
      </c>
      <c r="L3276" s="16" t="s">
        <v>23</v>
      </c>
    </row>
    <row r="3277" spans="1:13" ht="13.5" customHeight="1" x14ac:dyDescent="0.25">
      <c r="I3277" s="16">
        <v>90</v>
      </c>
      <c r="L3277" s="16" t="s">
        <v>32</v>
      </c>
    </row>
    <row r="3278" spans="1:13" ht="13.5" customHeight="1" x14ac:dyDescent="0.25">
      <c r="I3278" s="16">
        <v>30</v>
      </c>
      <c r="L3278" s="16" t="s">
        <v>33</v>
      </c>
    </row>
    <row r="3279" spans="1:13" ht="13.5" customHeight="1" x14ac:dyDescent="0.25">
      <c r="I3279" s="16">
        <v>40</v>
      </c>
      <c r="L3279" s="16" t="s">
        <v>29</v>
      </c>
      <c r="M3279" s="15"/>
    </row>
    <row r="3280" spans="1:13" ht="13.5" customHeight="1" x14ac:dyDescent="0.25">
      <c r="I3280" s="16">
        <v>25</v>
      </c>
      <c r="L3280" s="16" t="s">
        <v>25</v>
      </c>
      <c r="M3280" s="16" t="s">
        <v>137</v>
      </c>
    </row>
    <row r="3281" spans="1:18" ht="13.5" customHeight="1" x14ac:dyDescent="0.25">
      <c r="I3281" s="16">
        <v>20</v>
      </c>
      <c r="L3281" s="16" t="s">
        <v>25</v>
      </c>
      <c r="M3281" s="16" t="s">
        <v>45</v>
      </c>
    </row>
    <row r="3282" spans="1:18" ht="13.5" customHeight="1" x14ac:dyDescent="0.25">
      <c r="I3282" s="16">
        <v>15</v>
      </c>
      <c r="L3282" s="16" t="s">
        <v>27</v>
      </c>
      <c r="M3282" s="16" t="s">
        <v>635</v>
      </c>
    </row>
    <row r="3283" spans="1:18" ht="13.5" customHeight="1" x14ac:dyDescent="0.25">
      <c r="I3283" s="16">
        <v>20</v>
      </c>
      <c r="L3283" s="16" t="s">
        <v>26</v>
      </c>
      <c r="M3283" s="16" t="s">
        <v>147</v>
      </c>
    </row>
    <row r="3284" spans="1:18" ht="13.5" customHeight="1" x14ac:dyDescent="0.25">
      <c r="I3284" s="16">
        <v>60</v>
      </c>
      <c r="L3284" s="16" t="s">
        <v>24</v>
      </c>
    </row>
    <row r="3286" spans="1:18" ht="13.5" customHeight="1" x14ac:dyDescent="0.25">
      <c r="A3286" s="16" t="s">
        <v>634</v>
      </c>
      <c r="B3286" s="16" t="s">
        <v>1</v>
      </c>
      <c r="C3286" s="16" t="s">
        <v>6</v>
      </c>
      <c r="D3286" s="16" t="s">
        <v>20</v>
      </c>
      <c r="F3286" s="28">
        <v>312.51</v>
      </c>
      <c r="G3286" s="16">
        <v>9.5</v>
      </c>
      <c r="H3286" s="16" t="s">
        <v>22</v>
      </c>
      <c r="I3286" s="16">
        <v>10</v>
      </c>
      <c r="L3286" s="16" t="s">
        <v>23</v>
      </c>
    </row>
    <row r="3287" spans="1:18" ht="13.5" customHeight="1" x14ac:dyDescent="0.25">
      <c r="I3287" s="16">
        <v>100</v>
      </c>
      <c r="L3287" s="16" t="s">
        <v>32</v>
      </c>
    </row>
    <row r="3288" spans="1:18" ht="13.5" customHeight="1" x14ac:dyDescent="0.25">
      <c r="I3288" s="16">
        <v>30</v>
      </c>
      <c r="L3288" s="16" t="s">
        <v>33</v>
      </c>
    </row>
    <row r="3289" spans="1:18" ht="13.5" customHeight="1" x14ac:dyDescent="0.25">
      <c r="I3289" s="16">
        <v>40</v>
      </c>
      <c r="L3289" s="16" t="s">
        <v>29</v>
      </c>
      <c r="M3289" s="15"/>
    </row>
    <row r="3290" spans="1:18" ht="13.5" customHeight="1" x14ac:dyDescent="0.25">
      <c r="I3290" s="16">
        <v>10</v>
      </c>
      <c r="L3290" s="16" t="s">
        <v>25</v>
      </c>
      <c r="M3290" s="16" t="s">
        <v>137</v>
      </c>
    </row>
    <row r="3291" spans="1:18" ht="13.5" customHeight="1" x14ac:dyDescent="0.25">
      <c r="I3291" s="16">
        <v>20</v>
      </c>
      <c r="L3291" s="16" t="s">
        <v>25</v>
      </c>
      <c r="M3291" s="16" t="s">
        <v>45</v>
      </c>
    </row>
    <row r="3292" spans="1:18" ht="13.5" customHeight="1" x14ac:dyDescent="0.25">
      <c r="I3292" s="16">
        <v>10</v>
      </c>
      <c r="L3292" s="16" t="s">
        <v>27</v>
      </c>
    </row>
    <row r="3293" spans="1:18" ht="13.5" customHeight="1" x14ac:dyDescent="0.25">
      <c r="I3293" s="16">
        <v>20</v>
      </c>
      <c r="L3293" s="16" t="s">
        <v>26</v>
      </c>
      <c r="M3293" s="16" t="s">
        <v>147</v>
      </c>
    </row>
    <row r="3294" spans="1:18" ht="13.5" customHeight="1" x14ac:dyDescent="0.25">
      <c r="I3294" s="16">
        <v>70</v>
      </c>
      <c r="L3294" s="16" t="s">
        <v>24</v>
      </c>
      <c r="M3294" s="16" t="s">
        <v>120</v>
      </c>
      <c r="O3294" s="16"/>
      <c r="R3294" s="16" t="s">
        <v>13</v>
      </c>
    </row>
    <row r="3295" spans="1:18" ht="13.5" customHeight="1" x14ac:dyDescent="0.25">
      <c r="I3295" s="16">
        <v>30</v>
      </c>
      <c r="L3295" s="16" t="s">
        <v>25</v>
      </c>
      <c r="M3295" s="15" t="s">
        <v>36</v>
      </c>
      <c r="N3295" s="16"/>
    </row>
    <row r="3297" spans="1:13" ht="13.5" customHeight="1" x14ac:dyDescent="0.25">
      <c r="A3297" s="16" t="s">
        <v>634</v>
      </c>
      <c r="B3297" s="16" t="s">
        <v>2</v>
      </c>
      <c r="C3297" s="16" t="s">
        <v>15</v>
      </c>
      <c r="D3297" s="15" t="s">
        <v>548</v>
      </c>
      <c r="E3297" s="15"/>
      <c r="F3297" s="16">
        <v>312.77</v>
      </c>
      <c r="G3297" s="16">
        <v>9.5</v>
      </c>
      <c r="H3297" s="16" t="s">
        <v>22</v>
      </c>
      <c r="I3297" s="16">
        <v>10</v>
      </c>
      <c r="L3297" s="16" t="s">
        <v>23</v>
      </c>
    </row>
    <row r="3298" spans="1:13" ht="13.5" customHeight="1" x14ac:dyDescent="0.25">
      <c r="I3298" s="16">
        <v>90</v>
      </c>
      <c r="L3298" s="16" t="s">
        <v>32</v>
      </c>
    </row>
    <row r="3299" spans="1:13" ht="13.5" customHeight="1" x14ac:dyDescent="0.25">
      <c r="I3299" s="16">
        <v>20</v>
      </c>
      <c r="L3299" s="16" t="s">
        <v>33</v>
      </c>
    </row>
    <row r="3300" spans="1:13" ht="13.5" customHeight="1" x14ac:dyDescent="0.25">
      <c r="I3300" s="16">
        <v>20</v>
      </c>
      <c r="L3300" s="16" t="s">
        <v>29</v>
      </c>
      <c r="M3300" s="15"/>
    </row>
    <row r="3301" spans="1:13" ht="13.5" customHeight="1" x14ac:dyDescent="0.25">
      <c r="I3301" s="16">
        <v>10</v>
      </c>
      <c r="L3301" s="16" t="s">
        <v>25</v>
      </c>
      <c r="M3301" s="16" t="s">
        <v>137</v>
      </c>
    </row>
    <row r="3302" spans="1:13" ht="13.5" customHeight="1" x14ac:dyDescent="0.25">
      <c r="I3302" s="16">
        <v>20</v>
      </c>
      <c r="L3302" s="16" t="s">
        <v>25</v>
      </c>
      <c r="M3302" s="16" t="s">
        <v>45</v>
      </c>
    </row>
    <row r="3303" spans="1:13" ht="13.5" customHeight="1" x14ac:dyDescent="0.25">
      <c r="I3303" s="16">
        <v>10</v>
      </c>
      <c r="L3303" s="16" t="s">
        <v>27</v>
      </c>
    </row>
    <row r="3304" spans="1:13" ht="13.5" customHeight="1" x14ac:dyDescent="0.25">
      <c r="I3304" s="16">
        <v>20</v>
      </c>
      <c r="L3304" s="16" t="s">
        <v>26</v>
      </c>
      <c r="M3304" s="16" t="s">
        <v>147</v>
      </c>
    </row>
    <row r="3305" spans="1:13" ht="13.5" customHeight="1" x14ac:dyDescent="0.25">
      <c r="I3305" s="16">
        <v>90</v>
      </c>
      <c r="L3305" s="16" t="s">
        <v>636</v>
      </c>
    </row>
    <row r="3308" spans="1:13" ht="13.5" customHeight="1" x14ac:dyDescent="0.25">
      <c r="A3308" s="16" t="s">
        <v>637</v>
      </c>
      <c r="B3308" s="16" t="s">
        <v>0</v>
      </c>
      <c r="C3308" s="16" t="s">
        <v>520</v>
      </c>
      <c r="D3308" s="16" t="s">
        <v>21</v>
      </c>
      <c r="F3308" s="28">
        <f>318.91+7.15+7.15+7.15</f>
        <v>340.35999999999996</v>
      </c>
      <c r="G3308" s="16">
        <v>10.75</v>
      </c>
      <c r="H3308" s="16" t="s">
        <v>22</v>
      </c>
      <c r="I3308" s="16">
        <v>10</v>
      </c>
      <c r="L3308" s="16" t="s">
        <v>23</v>
      </c>
    </row>
    <row r="3309" spans="1:13" ht="13.5" customHeight="1" x14ac:dyDescent="0.25">
      <c r="I3309" s="16">
        <v>110</v>
      </c>
      <c r="L3309" s="16" t="s">
        <v>32</v>
      </c>
    </row>
    <row r="3310" spans="1:13" ht="13.5" customHeight="1" x14ac:dyDescent="0.25">
      <c r="I3310" s="16">
        <v>30</v>
      </c>
      <c r="L3310" s="16" t="s">
        <v>33</v>
      </c>
    </row>
    <row r="3311" spans="1:13" ht="13.5" customHeight="1" x14ac:dyDescent="0.25">
      <c r="I3311" s="16">
        <v>40</v>
      </c>
      <c r="L3311" s="16" t="s">
        <v>29</v>
      </c>
      <c r="M3311" s="15"/>
    </row>
    <row r="3312" spans="1:13" ht="13.5" customHeight="1" x14ac:dyDescent="0.25">
      <c r="I3312" s="16">
        <v>50</v>
      </c>
      <c r="L3312" s="16" t="s">
        <v>25</v>
      </c>
      <c r="M3312" s="16" t="s">
        <v>137</v>
      </c>
    </row>
    <row r="3313" spans="1:13" ht="13.5" customHeight="1" x14ac:dyDescent="0.25">
      <c r="I3313" s="16">
        <v>20</v>
      </c>
      <c r="L3313" s="16" t="s">
        <v>25</v>
      </c>
      <c r="M3313" s="16" t="s">
        <v>45</v>
      </c>
    </row>
    <row r="3314" spans="1:13" ht="13.5" customHeight="1" x14ac:dyDescent="0.25">
      <c r="I3314" s="16">
        <v>15</v>
      </c>
      <c r="L3314" s="16" t="s">
        <v>27</v>
      </c>
    </row>
    <row r="3315" spans="1:13" ht="13.5" customHeight="1" x14ac:dyDescent="0.25">
      <c r="I3315" s="16">
        <v>20</v>
      </c>
      <c r="L3315" s="16" t="s">
        <v>26</v>
      </c>
      <c r="M3315" s="16" t="s">
        <v>147</v>
      </c>
    </row>
    <row r="3317" spans="1:13" ht="13.5" customHeight="1" x14ac:dyDescent="0.25">
      <c r="A3317" s="16" t="s">
        <v>637</v>
      </c>
      <c r="B3317" s="16" t="s">
        <v>1</v>
      </c>
      <c r="C3317" s="16" t="s">
        <v>6</v>
      </c>
      <c r="D3317" s="16" t="s">
        <v>20</v>
      </c>
      <c r="F3317" s="28">
        <v>291.14999999999998</v>
      </c>
      <c r="G3317" s="16">
        <v>9.25</v>
      </c>
      <c r="H3317" s="16" t="s">
        <v>22</v>
      </c>
      <c r="I3317" s="16">
        <v>10</v>
      </c>
      <c r="L3317" s="16" t="s">
        <v>23</v>
      </c>
    </row>
    <row r="3318" spans="1:13" ht="13.5" customHeight="1" x14ac:dyDescent="0.25">
      <c r="I3318" s="16">
        <v>90</v>
      </c>
      <c r="L3318" s="16" t="s">
        <v>32</v>
      </c>
    </row>
    <row r="3319" spans="1:13" ht="13.5" customHeight="1" x14ac:dyDescent="0.25">
      <c r="I3319" s="16">
        <v>30</v>
      </c>
      <c r="L3319" s="16" t="s">
        <v>33</v>
      </c>
    </row>
    <row r="3320" spans="1:13" ht="13.5" customHeight="1" x14ac:dyDescent="0.25">
      <c r="I3320" s="16">
        <v>20</v>
      </c>
      <c r="L3320" s="16" t="s">
        <v>29</v>
      </c>
      <c r="M3320" s="15"/>
    </row>
    <row r="3321" spans="1:13" ht="13.5" customHeight="1" x14ac:dyDescent="0.25">
      <c r="I3321" s="16">
        <v>30</v>
      </c>
      <c r="L3321" s="16" t="s">
        <v>25</v>
      </c>
      <c r="M3321" s="16" t="s">
        <v>137</v>
      </c>
    </row>
    <row r="3322" spans="1:13" ht="13.5" customHeight="1" x14ac:dyDescent="0.25">
      <c r="I3322" s="16">
        <v>10</v>
      </c>
      <c r="L3322" s="16" t="s">
        <v>25</v>
      </c>
      <c r="M3322" s="16" t="s">
        <v>45</v>
      </c>
    </row>
    <row r="3323" spans="1:13" ht="13.5" customHeight="1" x14ac:dyDescent="0.25">
      <c r="I3323" s="16">
        <v>10</v>
      </c>
      <c r="L3323" s="16" t="s">
        <v>27</v>
      </c>
    </row>
    <row r="3324" spans="1:13" ht="13.5" customHeight="1" x14ac:dyDescent="0.25">
      <c r="I3324" s="16">
        <v>20</v>
      </c>
      <c r="L3324" s="16" t="s">
        <v>26</v>
      </c>
      <c r="M3324" s="16" t="s">
        <v>147</v>
      </c>
    </row>
    <row r="3325" spans="1:13" ht="13.5" customHeight="1" x14ac:dyDescent="0.25">
      <c r="I3325" s="16">
        <v>100</v>
      </c>
      <c r="L3325" s="16" t="s">
        <v>26</v>
      </c>
      <c r="M3325" s="15" t="s">
        <v>638</v>
      </c>
    </row>
    <row r="3326" spans="1:13" ht="13.5" customHeight="1" x14ac:dyDescent="0.25">
      <c r="I3326" s="16">
        <v>30</v>
      </c>
      <c r="L3326" s="15" t="s">
        <v>639</v>
      </c>
      <c r="M3326" s="15" t="s">
        <v>640</v>
      </c>
    </row>
    <row r="3328" spans="1:13" ht="13.5" customHeight="1" x14ac:dyDescent="0.25">
      <c r="A3328" s="16" t="s">
        <v>637</v>
      </c>
      <c r="B3328" s="16" t="s">
        <v>2</v>
      </c>
      <c r="C3328" s="16" t="s">
        <v>16</v>
      </c>
      <c r="D3328" s="15" t="s">
        <v>548</v>
      </c>
      <c r="E3328" s="15"/>
      <c r="F3328" s="16">
        <v>307.89</v>
      </c>
      <c r="G3328" s="16">
        <v>10</v>
      </c>
      <c r="H3328" s="16" t="s">
        <v>22</v>
      </c>
      <c r="I3328" s="16">
        <v>10</v>
      </c>
      <c r="L3328" s="16" t="s">
        <v>23</v>
      </c>
    </row>
    <row r="3329" spans="1:13" ht="13.5" customHeight="1" x14ac:dyDescent="0.25">
      <c r="I3329" s="16">
        <v>100</v>
      </c>
      <c r="L3329" s="16" t="s">
        <v>32</v>
      </c>
    </row>
    <row r="3330" spans="1:13" ht="13.5" customHeight="1" x14ac:dyDescent="0.25">
      <c r="I3330" s="16">
        <v>30</v>
      </c>
      <c r="L3330" s="16" t="s">
        <v>33</v>
      </c>
    </row>
    <row r="3331" spans="1:13" ht="13.5" customHeight="1" x14ac:dyDescent="0.25">
      <c r="I3331" s="16">
        <v>20</v>
      </c>
      <c r="L3331" s="16" t="s">
        <v>29</v>
      </c>
      <c r="M3331" s="15"/>
    </row>
    <row r="3332" spans="1:13" ht="13.5" customHeight="1" x14ac:dyDescent="0.25">
      <c r="I3332" s="16">
        <v>10</v>
      </c>
      <c r="L3332" s="16" t="s">
        <v>25</v>
      </c>
      <c r="M3332" s="16" t="s">
        <v>137</v>
      </c>
    </row>
    <row r="3333" spans="1:13" ht="13.5" customHeight="1" x14ac:dyDescent="0.25">
      <c r="I3333" s="16">
        <v>20</v>
      </c>
      <c r="L3333" s="16" t="s">
        <v>25</v>
      </c>
      <c r="M3333" s="16" t="s">
        <v>45</v>
      </c>
    </row>
    <row r="3334" spans="1:13" ht="13.5" customHeight="1" x14ac:dyDescent="0.25">
      <c r="F3334" s="16" t="s">
        <v>166</v>
      </c>
      <c r="I3334" s="16">
        <v>10</v>
      </c>
      <c r="L3334" s="16" t="s">
        <v>27</v>
      </c>
    </row>
    <row r="3335" spans="1:13" ht="13.5" customHeight="1" x14ac:dyDescent="0.25">
      <c r="I3335" s="16">
        <v>20</v>
      </c>
      <c r="L3335" s="16" t="s">
        <v>26</v>
      </c>
      <c r="M3335" s="16" t="s">
        <v>147</v>
      </c>
    </row>
    <row r="3336" spans="1:13" ht="13.5" customHeight="1" x14ac:dyDescent="0.25">
      <c r="I3336" s="16">
        <v>60</v>
      </c>
      <c r="L3336" s="15" t="s">
        <v>639</v>
      </c>
      <c r="M3336" s="15" t="s">
        <v>640</v>
      </c>
    </row>
    <row r="3338" spans="1:13" ht="13.5" customHeight="1" x14ac:dyDescent="0.25">
      <c r="A3338" s="16" t="s">
        <v>641</v>
      </c>
      <c r="B3338" s="16" t="s">
        <v>0</v>
      </c>
      <c r="C3338" s="16" t="s">
        <v>520</v>
      </c>
      <c r="D3338" s="16" t="s">
        <v>21</v>
      </c>
      <c r="F3338" s="28">
        <f>27.04+31.47+22.81+23.02+30.84+36.84+36.98+37.03+38.26+30.96-11.25</f>
        <v>303.99999999999994</v>
      </c>
      <c r="G3338" s="16">
        <v>10</v>
      </c>
      <c r="H3338" s="16" t="s">
        <v>22</v>
      </c>
      <c r="I3338" s="16">
        <v>10</v>
      </c>
      <c r="L3338" s="16" t="s">
        <v>23</v>
      </c>
    </row>
    <row r="3339" spans="1:13" ht="13.5" customHeight="1" x14ac:dyDescent="0.25">
      <c r="I3339" s="16">
        <v>100</v>
      </c>
      <c r="L3339" s="16" t="s">
        <v>32</v>
      </c>
    </row>
    <row r="3340" spans="1:13" ht="13.5" customHeight="1" x14ac:dyDescent="0.25">
      <c r="I3340" s="16">
        <v>30</v>
      </c>
      <c r="L3340" s="16" t="s">
        <v>33</v>
      </c>
    </row>
    <row r="3341" spans="1:13" ht="13.5" customHeight="1" x14ac:dyDescent="0.25">
      <c r="I3341" s="16">
        <v>30</v>
      </c>
      <c r="L3341" s="16" t="s">
        <v>29</v>
      </c>
      <c r="M3341" s="15"/>
    </row>
    <row r="3342" spans="1:13" ht="13.5" customHeight="1" x14ac:dyDescent="0.25">
      <c r="I3342" s="16">
        <v>30</v>
      </c>
      <c r="L3342" s="16" t="s">
        <v>25</v>
      </c>
      <c r="M3342" s="16" t="s">
        <v>137</v>
      </c>
    </row>
    <row r="3343" spans="1:13" ht="13.5" customHeight="1" x14ac:dyDescent="0.25">
      <c r="I3343" s="16">
        <v>30</v>
      </c>
      <c r="L3343" s="16" t="s">
        <v>25</v>
      </c>
      <c r="M3343" s="16" t="s">
        <v>45</v>
      </c>
    </row>
    <row r="3344" spans="1:13" ht="13.5" customHeight="1" x14ac:dyDescent="0.25">
      <c r="I3344" s="16">
        <v>15</v>
      </c>
      <c r="L3344" s="16" t="s">
        <v>27</v>
      </c>
    </row>
    <row r="3345" spans="1:13" ht="13.5" customHeight="1" x14ac:dyDescent="0.25">
      <c r="I3345" s="16">
        <v>20</v>
      </c>
      <c r="L3345" s="16" t="s">
        <v>26</v>
      </c>
      <c r="M3345" s="16" t="s">
        <v>147</v>
      </c>
    </row>
    <row r="3346" spans="1:13" ht="13.5" customHeight="1" x14ac:dyDescent="0.25">
      <c r="I3346" s="16">
        <v>20</v>
      </c>
      <c r="L3346" s="16" t="s">
        <v>26</v>
      </c>
      <c r="M3346" s="16" t="s">
        <v>642</v>
      </c>
    </row>
    <row r="3347" spans="1:13" ht="13.5" customHeight="1" x14ac:dyDescent="0.25">
      <c r="I3347" s="16">
        <v>30</v>
      </c>
      <c r="L3347" s="16" t="s">
        <v>168</v>
      </c>
      <c r="M3347" s="16" t="s">
        <v>643</v>
      </c>
    </row>
    <row r="3349" spans="1:13" ht="13.5" customHeight="1" x14ac:dyDescent="0.25">
      <c r="A3349" s="16" t="s">
        <v>641</v>
      </c>
      <c r="B3349" s="16" t="s">
        <v>1</v>
      </c>
      <c r="C3349" s="16" t="s">
        <v>15</v>
      </c>
      <c r="D3349" s="16" t="s">
        <v>20</v>
      </c>
      <c r="F3349" s="28">
        <v>331.02</v>
      </c>
      <c r="G3349" s="16">
        <v>10</v>
      </c>
      <c r="H3349" s="16" t="s">
        <v>22</v>
      </c>
      <c r="I3349" s="16">
        <v>10</v>
      </c>
      <c r="L3349" s="16" t="s">
        <v>23</v>
      </c>
    </row>
    <row r="3350" spans="1:13" ht="13.5" customHeight="1" x14ac:dyDescent="0.25">
      <c r="I3350" s="16">
        <v>100</v>
      </c>
      <c r="L3350" s="16" t="s">
        <v>32</v>
      </c>
    </row>
    <row r="3351" spans="1:13" ht="13.5" customHeight="1" x14ac:dyDescent="0.25">
      <c r="I3351" s="16">
        <v>30</v>
      </c>
      <c r="L3351" s="16" t="s">
        <v>33</v>
      </c>
    </row>
    <row r="3352" spans="1:13" ht="13.5" customHeight="1" x14ac:dyDescent="0.25">
      <c r="I3352" s="16">
        <v>70</v>
      </c>
      <c r="L3352" s="16" t="s">
        <v>29</v>
      </c>
      <c r="M3352" s="15"/>
    </row>
    <row r="3353" spans="1:13" ht="13.5" customHeight="1" x14ac:dyDescent="0.25">
      <c r="I3353" s="16">
        <v>50</v>
      </c>
      <c r="L3353" s="16" t="s">
        <v>25</v>
      </c>
      <c r="M3353" s="16" t="s">
        <v>137</v>
      </c>
    </row>
    <row r="3354" spans="1:13" ht="13.5" customHeight="1" x14ac:dyDescent="0.25">
      <c r="I3354" s="16">
        <v>10</v>
      </c>
      <c r="L3354" s="16" t="s">
        <v>25</v>
      </c>
      <c r="M3354" s="16" t="s">
        <v>45</v>
      </c>
    </row>
    <row r="3355" spans="1:13" ht="13.5" customHeight="1" x14ac:dyDescent="0.25">
      <c r="I3355" s="16">
        <v>10</v>
      </c>
      <c r="L3355" s="16" t="s">
        <v>27</v>
      </c>
    </row>
    <row r="3356" spans="1:13" ht="13.5" customHeight="1" x14ac:dyDescent="0.25">
      <c r="I3356" s="16">
        <v>20</v>
      </c>
      <c r="L3356" s="16" t="s">
        <v>26</v>
      </c>
      <c r="M3356" s="16" t="s">
        <v>147</v>
      </c>
    </row>
    <row r="3357" spans="1:13" ht="13.5" customHeight="1" x14ac:dyDescent="0.25">
      <c r="M3357" s="15"/>
    </row>
    <row r="3358" spans="1:13" ht="13.5" customHeight="1" x14ac:dyDescent="0.25">
      <c r="A3358" s="16" t="s">
        <v>641</v>
      </c>
      <c r="B3358" s="16" t="s">
        <v>2</v>
      </c>
      <c r="C3358" s="16" t="s">
        <v>16</v>
      </c>
      <c r="D3358" s="15" t="s">
        <v>548</v>
      </c>
      <c r="E3358" s="15"/>
      <c r="F3358" s="28">
        <v>343.53500000000003</v>
      </c>
      <c r="G3358" s="16">
        <v>11</v>
      </c>
      <c r="H3358" s="16" t="s">
        <v>22</v>
      </c>
      <c r="I3358" s="16">
        <v>10</v>
      </c>
      <c r="L3358" s="16" t="s">
        <v>23</v>
      </c>
    </row>
    <row r="3359" spans="1:13" ht="13.5" customHeight="1" x14ac:dyDescent="0.25">
      <c r="I3359" s="16">
        <v>110</v>
      </c>
      <c r="L3359" s="16" t="s">
        <v>32</v>
      </c>
    </row>
    <row r="3360" spans="1:13" ht="13.5" customHeight="1" x14ac:dyDescent="0.25">
      <c r="I3360" s="16">
        <v>30</v>
      </c>
      <c r="L3360" s="16" t="s">
        <v>33</v>
      </c>
    </row>
    <row r="3361" spans="1:13" ht="13.5" customHeight="1" x14ac:dyDescent="0.25">
      <c r="I3361" s="16">
        <v>40</v>
      </c>
      <c r="L3361" s="16" t="s">
        <v>29</v>
      </c>
      <c r="M3361" s="15"/>
    </row>
    <row r="3362" spans="1:13" ht="13.5" customHeight="1" x14ac:dyDescent="0.25">
      <c r="I3362" s="16">
        <v>30</v>
      </c>
      <c r="L3362" s="16" t="s">
        <v>25</v>
      </c>
      <c r="M3362" s="16" t="s">
        <v>137</v>
      </c>
    </row>
    <row r="3363" spans="1:13" ht="13.5" customHeight="1" x14ac:dyDescent="0.25">
      <c r="I3363" s="16">
        <v>10</v>
      </c>
      <c r="L3363" s="16" t="s">
        <v>25</v>
      </c>
      <c r="M3363" s="16" t="s">
        <v>45</v>
      </c>
    </row>
    <row r="3364" spans="1:13" ht="13.5" customHeight="1" x14ac:dyDescent="0.25">
      <c r="I3364" s="16">
        <v>10</v>
      </c>
      <c r="L3364" s="16" t="s">
        <v>27</v>
      </c>
    </row>
    <row r="3365" spans="1:13" ht="13.5" customHeight="1" x14ac:dyDescent="0.25">
      <c r="I3365" s="16">
        <v>20</v>
      </c>
      <c r="L3365" s="16" t="s">
        <v>26</v>
      </c>
      <c r="M3365" s="16" t="s">
        <v>147</v>
      </c>
    </row>
    <row r="3367" spans="1:13" ht="13.5" customHeight="1" x14ac:dyDescent="0.25">
      <c r="A3367" s="16" t="s">
        <v>644</v>
      </c>
      <c r="B3367" s="16" t="s">
        <v>0</v>
      </c>
      <c r="C3367" s="16" t="s">
        <v>520</v>
      </c>
      <c r="D3367" s="16" t="s">
        <v>21</v>
      </c>
      <c r="F3367" s="28">
        <v>306.58</v>
      </c>
      <c r="G3367" s="16">
        <v>10</v>
      </c>
      <c r="H3367" s="16" t="s">
        <v>22</v>
      </c>
      <c r="I3367" s="16">
        <v>10</v>
      </c>
      <c r="L3367" s="16" t="s">
        <v>23</v>
      </c>
    </row>
    <row r="3368" spans="1:13" ht="13.5" customHeight="1" x14ac:dyDescent="0.25">
      <c r="I3368" s="16">
        <v>100</v>
      </c>
      <c r="L3368" s="16" t="s">
        <v>32</v>
      </c>
    </row>
    <row r="3369" spans="1:13" ht="13.5" customHeight="1" x14ac:dyDescent="0.25">
      <c r="I3369" s="16">
        <v>50</v>
      </c>
      <c r="L3369" s="16" t="s">
        <v>33</v>
      </c>
    </row>
    <row r="3370" spans="1:13" ht="13.5" customHeight="1" x14ac:dyDescent="0.25">
      <c r="I3370" s="16">
        <v>30</v>
      </c>
      <c r="L3370" s="16" t="s">
        <v>29</v>
      </c>
      <c r="M3370" s="15" t="s">
        <v>645</v>
      </c>
    </row>
    <row r="3371" spans="1:13" ht="13.5" customHeight="1" x14ac:dyDescent="0.25">
      <c r="I3371" s="16">
        <v>30</v>
      </c>
      <c r="L3371" s="16" t="s">
        <v>25</v>
      </c>
      <c r="M3371" s="16" t="s">
        <v>137</v>
      </c>
    </row>
    <row r="3372" spans="1:13" ht="13.5" customHeight="1" x14ac:dyDescent="0.25">
      <c r="I3372" s="16">
        <v>30</v>
      </c>
      <c r="L3372" s="16" t="s">
        <v>25</v>
      </c>
      <c r="M3372" s="16" t="s">
        <v>45</v>
      </c>
    </row>
    <row r="3373" spans="1:13" ht="13.5" customHeight="1" x14ac:dyDescent="0.25">
      <c r="I3373" s="16">
        <v>15</v>
      </c>
      <c r="L3373" s="16" t="s">
        <v>27</v>
      </c>
    </row>
    <row r="3374" spans="1:13" ht="13.5" customHeight="1" x14ac:dyDescent="0.25">
      <c r="I3374" s="16">
        <v>20</v>
      </c>
      <c r="L3374" s="16" t="s">
        <v>26</v>
      </c>
      <c r="M3374" s="16" t="s">
        <v>147</v>
      </c>
    </row>
    <row r="3375" spans="1:13" ht="13.5" customHeight="1" x14ac:dyDescent="0.25">
      <c r="I3375" s="16">
        <v>45</v>
      </c>
      <c r="L3375" s="16" t="s">
        <v>26</v>
      </c>
      <c r="M3375" s="16" t="s">
        <v>642</v>
      </c>
    </row>
    <row r="3376" spans="1:13" ht="13.5" customHeight="1" x14ac:dyDescent="0.25">
      <c r="I3376" s="16">
        <v>30</v>
      </c>
      <c r="L3376" s="16" t="s">
        <v>168</v>
      </c>
    </row>
    <row r="3378" spans="1:13" ht="13.5" customHeight="1" x14ac:dyDescent="0.25">
      <c r="A3378" s="16" t="s">
        <v>644</v>
      </c>
      <c r="B3378" s="16" t="s">
        <v>1</v>
      </c>
      <c r="C3378" s="16" t="s">
        <v>15</v>
      </c>
      <c r="D3378" s="16" t="s">
        <v>20</v>
      </c>
      <c r="F3378" s="28">
        <v>347.53</v>
      </c>
      <c r="G3378" s="16">
        <v>10.75</v>
      </c>
      <c r="H3378" s="16" t="s">
        <v>22</v>
      </c>
      <c r="I3378" s="16">
        <v>10</v>
      </c>
      <c r="L3378" s="16" t="s">
        <v>23</v>
      </c>
    </row>
    <row r="3379" spans="1:13" ht="13.5" customHeight="1" x14ac:dyDescent="0.25">
      <c r="I3379" s="16">
        <v>110</v>
      </c>
      <c r="L3379" s="16" t="s">
        <v>32</v>
      </c>
    </row>
    <row r="3380" spans="1:13" ht="13.5" customHeight="1" x14ac:dyDescent="0.25">
      <c r="I3380" s="16">
        <v>30</v>
      </c>
      <c r="L3380" s="16" t="s">
        <v>33</v>
      </c>
    </row>
    <row r="3381" spans="1:13" ht="13.5" customHeight="1" x14ac:dyDescent="0.25">
      <c r="I3381" s="16">
        <v>20</v>
      </c>
      <c r="L3381" s="16" t="s">
        <v>29</v>
      </c>
      <c r="M3381" s="15"/>
    </row>
    <row r="3382" spans="1:13" ht="13.5" customHeight="1" x14ac:dyDescent="0.25">
      <c r="I3382" s="16">
        <v>30</v>
      </c>
      <c r="L3382" s="16" t="s">
        <v>25</v>
      </c>
      <c r="M3382" s="16" t="s">
        <v>137</v>
      </c>
    </row>
    <row r="3383" spans="1:13" ht="13.5" customHeight="1" x14ac:dyDescent="0.25">
      <c r="I3383" s="16">
        <v>10</v>
      </c>
      <c r="L3383" s="16" t="s">
        <v>25</v>
      </c>
      <c r="M3383" s="16" t="s">
        <v>45</v>
      </c>
    </row>
    <row r="3384" spans="1:13" ht="13.5" customHeight="1" x14ac:dyDescent="0.25">
      <c r="I3384" s="16">
        <v>10</v>
      </c>
      <c r="L3384" s="16" t="s">
        <v>27</v>
      </c>
    </row>
    <row r="3385" spans="1:13" ht="13.5" customHeight="1" x14ac:dyDescent="0.25">
      <c r="I3385" s="16">
        <v>20</v>
      </c>
      <c r="L3385" s="16" t="s">
        <v>26</v>
      </c>
      <c r="M3385" s="16" t="s">
        <v>147</v>
      </c>
    </row>
    <row r="3387" spans="1:13" ht="13.5" customHeight="1" x14ac:dyDescent="0.25">
      <c r="A3387" s="16" t="s">
        <v>644</v>
      </c>
      <c r="B3387" s="16" t="s">
        <v>2</v>
      </c>
      <c r="C3387" s="16" t="s">
        <v>16</v>
      </c>
      <c r="D3387" s="16" t="s">
        <v>19</v>
      </c>
      <c r="F3387" s="28">
        <v>353.45</v>
      </c>
      <c r="G3387" s="16">
        <v>11</v>
      </c>
      <c r="H3387" s="16" t="s">
        <v>22</v>
      </c>
      <c r="I3387" s="16">
        <v>10</v>
      </c>
      <c r="L3387" s="16" t="s">
        <v>23</v>
      </c>
    </row>
    <row r="3388" spans="1:13" ht="13.5" customHeight="1" x14ac:dyDescent="0.25">
      <c r="I3388" s="16">
        <v>110</v>
      </c>
      <c r="L3388" s="16" t="s">
        <v>32</v>
      </c>
    </row>
    <row r="3389" spans="1:13" ht="13.5" customHeight="1" x14ac:dyDescent="0.25">
      <c r="I3389" s="16">
        <v>30</v>
      </c>
      <c r="L3389" s="16" t="s">
        <v>33</v>
      </c>
    </row>
    <row r="3390" spans="1:13" ht="13.5" customHeight="1" x14ac:dyDescent="0.25">
      <c r="I3390" s="16">
        <v>30</v>
      </c>
      <c r="L3390" s="16" t="s">
        <v>29</v>
      </c>
      <c r="M3390" s="15"/>
    </row>
    <row r="3391" spans="1:13" ht="13.5" customHeight="1" x14ac:dyDescent="0.25">
      <c r="I3391" s="16">
        <v>30</v>
      </c>
      <c r="L3391" s="16" t="s">
        <v>25</v>
      </c>
      <c r="M3391" s="16" t="s">
        <v>137</v>
      </c>
    </row>
    <row r="3392" spans="1:13" ht="13.5" customHeight="1" x14ac:dyDescent="0.25">
      <c r="I3392" s="16">
        <v>10</v>
      </c>
      <c r="L3392" s="16" t="s">
        <v>25</v>
      </c>
      <c r="M3392" s="16" t="s">
        <v>45</v>
      </c>
    </row>
    <row r="3393" spans="1:13" ht="13.5" customHeight="1" x14ac:dyDescent="0.25">
      <c r="I3393" s="16">
        <v>20</v>
      </c>
      <c r="L3393" s="16" t="s">
        <v>27</v>
      </c>
    </row>
    <row r="3394" spans="1:13" ht="13.5" customHeight="1" x14ac:dyDescent="0.25">
      <c r="I3394" s="16">
        <v>20</v>
      </c>
      <c r="L3394" s="16" t="s">
        <v>26</v>
      </c>
      <c r="M3394" s="16" t="s">
        <v>147</v>
      </c>
    </row>
    <row r="3396" spans="1:13" ht="13.5" customHeight="1" x14ac:dyDescent="0.25">
      <c r="A3396" s="16" t="s">
        <v>646</v>
      </c>
      <c r="B3396" s="16" t="s">
        <v>0</v>
      </c>
      <c r="C3396" s="16" t="s">
        <v>520</v>
      </c>
      <c r="D3396" s="16" t="s">
        <v>21</v>
      </c>
      <c r="F3396" s="28">
        <v>260.23</v>
      </c>
      <c r="G3396" s="16">
        <v>8.5</v>
      </c>
      <c r="H3396" s="16" t="s">
        <v>22</v>
      </c>
      <c r="I3396" s="16">
        <v>10</v>
      </c>
      <c r="L3396" s="16" t="s">
        <v>23</v>
      </c>
    </row>
    <row r="3397" spans="1:13" ht="13.5" customHeight="1" x14ac:dyDescent="0.25">
      <c r="I3397" s="16">
        <v>80</v>
      </c>
      <c r="L3397" s="16" t="s">
        <v>32</v>
      </c>
    </row>
    <row r="3398" spans="1:13" ht="13.5" customHeight="1" x14ac:dyDescent="0.25">
      <c r="I3398" s="16">
        <v>25</v>
      </c>
      <c r="L3398" s="16" t="s">
        <v>33</v>
      </c>
    </row>
    <row r="3399" spans="1:13" ht="13.5" customHeight="1" x14ac:dyDescent="0.25">
      <c r="I3399" s="16">
        <v>30</v>
      </c>
      <c r="L3399" s="16" t="s">
        <v>29</v>
      </c>
      <c r="M3399" s="15" t="s">
        <v>645</v>
      </c>
    </row>
    <row r="3400" spans="1:13" ht="13.5" customHeight="1" x14ac:dyDescent="0.25">
      <c r="I3400" s="16">
        <v>20</v>
      </c>
      <c r="L3400" s="16" t="s">
        <v>25</v>
      </c>
      <c r="M3400" s="16" t="s">
        <v>137</v>
      </c>
    </row>
    <row r="3401" spans="1:13" ht="13.5" customHeight="1" x14ac:dyDescent="0.25">
      <c r="I3401" s="16">
        <v>10</v>
      </c>
      <c r="L3401" s="16" t="s">
        <v>25</v>
      </c>
      <c r="M3401" s="16" t="s">
        <v>45</v>
      </c>
    </row>
    <row r="3402" spans="1:13" ht="13.5" customHeight="1" x14ac:dyDescent="0.25">
      <c r="I3402" s="16">
        <v>10</v>
      </c>
      <c r="L3402" s="16" t="s">
        <v>27</v>
      </c>
    </row>
    <row r="3403" spans="1:13" ht="13.5" customHeight="1" x14ac:dyDescent="0.25">
      <c r="I3403" s="16">
        <v>20</v>
      </c>
      <c r="L3403" s="16" t="s">
        <v>26</v>
      </c>
      <c r="M3403" s="16" t="s">
        <v>147</v>
      </c>
    </row>
    <row r="3404" spans="1:13" ht="13.5" customHeight="1" x14ac:dyDescent="0.25">
      <c r="I3404" s="16">
        <v>180</v>
      </c>
      <c r="J3404" s="18">
        <v>0.45833333333333331</v>
      </c>
      <c r="K3404" s="18">
        <v>8.3333333333333329E-2</v>
      </c>
      <c r="L3404" s="16" t="s">
        <v>26</v>
      </c>
      <c r="M3404" s="15" t="s">
        <v>647</v>
      </c>
    </row>
    <row r="3407" spans="1:13" ht="13.5" customHeight="1" x14ac:dyDescent="0.25">
      <c r="A3407" s="16" t="s">
        <v>646</v>
      </c>
      <c r="B3407" s="16" t="s">
        <v>1</v>
      </c>
      <c r="C3407" s="16" t="s">
        <v>6</v>
      </c>
      <c r="D3407" s="16" t="s">
        <v>20</v>
      </c>
      <c r="F3407" s="28">
        <v>218.84</v>
      </c>
      <c r="G3407" s="16">
        <v>6</v>
      </c>
      <c r="H3407" s="16" t="s">
        <v>22</v>
      </c>
      <c r="I3407" s="16">
        <v>10</v>
      </c>
      <c r="L3407" s="16" t="s">
        <v>23</v>
      </c>
    </row>
    <row r="3408" spans="1:13" ht="13.5" customHeight="1" x14ac:dyDescent="0.25">
      <c r="I3408" s="16">
        <v>70</v>
      </c>
      <c r="L3408" s="16" t="s">
        <v>32</v>
      </c>
    </row>
    <row r="3409" spans="1:13" ht="13.5" customHeight="1" x14ac:dyDescent="0.25">
      <c r="I3409" s="16">
        <v>20</v>
      </c>
      <c r="L3409" s="16" t="s">
        <v>33</v>
      </c>
    </row>
    <row r="3410" spans="1:13" ht="13.5" customHeight="1" x14ac:dyDescent="0.25">
      <c r="I3410" s="16">
        <v>20</v>
      </c>
      <c r="L3410" s="16" t="s">
        <v>29</v>
      </c>
      <c r="M3410" s="15"/>
    </row>
    <row r="3411" spans="1:13" ht="13.5" customHeight="1" x14ac:dyDescent="0.25">
      <c r="I3411" s="16">
        <v>30</v>
      </c>
      <c r="L3411" s="16" t="s">
        <v>25</v>
      </c>
      <c r="M3411" s="16" t="s">
        <v>137</v>
      </c>
    </row>
    <row r="3412" spans="1:13" ht="13.5" customHeight="1" x14ac:dyDescent="0.25">
      <c r="I3412" s="16">
        <v>10</v>
      </c>
      <c r="L3412" s="16" t="s">
        <v>27</v>
      </c>
    </row>
    <row r="3413" spans="1:13" ht="13.5" customHeight="1" x14ac:dyDescent="0.25">
      <c r="I3413" s="16">
        <v>10</v>
      </c>
      <c r="L3413" s="16" t="s">
        <v>26</v>
      </c>
      <c r="M3413" s="16" t="s">
        <v>147</v>
      </c>
    </row>
    <row r="3414" spans="1:13" ht="13.5" customHeight="1" x14ac:dyDescent="0.25">
      <c r="I3414" s="16">
        <v>130</v>
      </c>
      <c r="L3414" s="16" t="s">
        <v>26</v>
      </c>
      <c r="M3414" s="15" t="s">
        <v>648</v>
      </c>
    </row>
    <row r="3415" spans="1:13" ht="13.5" customHeight="1" x14ac:dyDescent="0.25">
      <c r="I3415" s="16">
        <v>20</v>
      </c>
      <c r="L3415" s="16" t="s">
        <v>168</v>
      </c>
      <c r="M3415" s="15" t="s">
        <v>649</v>
      </c>
    </row>
    <row r="3416" spans="1:13" ht="13.5" customHeight="1" x14ac:dyDescent="0.25">
      <c r="I3416" s="16">
        <v>40</v>
      </c>
      <c r="L3416" s="16" t="s">
        <v>33</v>
      </c>
      <c r="M3416" s="15" t="s">
        <v>650</v>
      </c>
    </row>
    <row r="3417" spans="1:13" ht="13.5" customHeight="1" x14ac:dyDescent="0.25">
      <c r="I3417" s="16">
        <v>60</v>
      </c>
      <c r="L3417" s="16" t="s">
        <v>26</v>
      </c>
      <c r="M3417" s="15" t="s">
        <v>651</v>
      </c>
    </row>
    <row r="3419" spans="1:13" ht="13.5" customHeight="1" x14ac:dyDescent="0.25">
      <c r="A3419" s="16" t="s">
        <v>646</v>
      </c>
      <c r="B3419" s="16" t="s">
        <v>2</v>
      </c>
      <c r="C3419" s="16" t="s">
        <v>16</v>
      </c>
      <c r="D3419" s="15" t="s">
        <v>548</v>
      </c>
      <c r="E3419" s="15"/>
      <c r="F3419" s="28">
        <v>11</v>
      </c>
      <c r="G3419" s="16">
        <v>354.1</v>
      </c>
      <c r="H3419" s="16" t="s">
        <v>22</v>
      </c>
      <c r="I3419" s="16">
        <v>10</v>
      </c>
      <c r="L3419" s="16" t="s">
        <v>23</v>
      </c>
    </row>
    <row r="3420" spans="1:13" ht="13.5" customHeight="1" x14ac:dyDescent="0.25">
      <c r="I3420" s="16">
        <v>110</v>
      </c>
      <c r="L3420" s="16" t="s">
        <v>32</v>
      </c>
    </row>
    <row r="3421" spans="1:13" ht="13.5" customHeight="1" x14ac:dyDescent="0.25">
      <c r="I3421" s="16">
        <v>30</v>
      </c>
      <c r="L3421" s="16" t="s">
        <v>33</v>
      </c>
    </row>
    <row r="3422" spans="1:13" ht="13.5" customHeight="1" x14ac:dyDescent="0.25">
      <c r="I3422" s="16">
        <v>30</v>
      </c>
      <c r="L3422" s="16" t="s">
        <v>29</v>
      </c>
      <c r="M3422" s="15"/>
    </row>
    <row r="3423" spans="1:13" ht="13.5" customHeight="1" x14ac:dyDescent="0.25">
      <c r="I3423" s="16">
        <v>30</v>
      </c>
      <c r="L3423" s="16" t="s">
        <v>25</v>
      </c>
      <c r="M3423" s="16" t="s">
        <v>137</v>
      </c>
    </row>
    <row r="3424" spans="1:13" ht="13.5" customHeight="1" x14ac:dyDescent="0.25">
      <c r="I3424" s="16">
        <v>10</v>
      </c>
      <c r="L3424" s="16" t="s">
        <v>25</v>
      </c>
      <c r="M3424" s="16" t="s">
        <v>45</v>
      </c>
    </row>
    <row r="3425" spans="1:13" ht="13.5" customHeight="1" x14ac:dyDescent="0.25">
      <c r="I3425" s="16">
        <v>20</v>
      </c>
      <c r="L3425" s="16" t="s">
        <v>27</v>
      </c>
    </row>
    <row r="3426" spans="1:13" ht="13.5" customHeight="1" x14ac:dyDescent="0.25">
      <c r="I3426" s="16">
        <v>20</v>
      </c>
      <c r="L3426" s="16" t="s">
        <v>26</v>
      </c>
      <c r="M3426" s="16" t="s">
        <v>147</v>
      </c>
    </row>
    <row r="3428" spans="1:13" ht="13.5" customHeight="1" x14ac:dyDescent="0.25">
      <c r="A3428" s="16" t="s">
        <v>652</v>
      </c>
      <c r="B3428" s="16" t="s">
        <v>0</v>
      </c>
      <c r="C3428" s="16" t="s">
        <v>520</v>
      </c>
      <c r="D3428" s="16" t="s">
        <v>21</v>
      </c>
      <c r="F3428" s="28">
        <v>539.57000000000005</v>
      </c>
      <c r="G3428" s="16">
        <v>16</v>
      </c>
      <c r="H3428" s="16" t="s">
        <v>22</v>
      </c>
      <c r="I3428" s="16">
        <v>10</v>
      </c>
      <c r="L3428" s="16" t="s">
        <v>23</v>
      </c>
    </row>
    <row r="3429" spans="1:13" ht="13.5" customHeight="1" x14ac:dyDescent="0.25">
      <c r="I3429" s="16">
        <v>130</v>
      </c>
      <c r="L3429" s="16" t="s">
        <v>32</v>
      </c>
    </row>
    <row r="3430" spans="1:13" ht="13.5" customHeight="1" x14ac:dyDescent="0.25">
      <c r="I3430" s="16">
        <v>30</v>
      </c>
      <c r="L3430" s="16" t="s">
        <v>33</v>
      </c>
    </row>
    <row r="3431" spans="1:13" ht="13.5" customHeight="1" x14ac:dyDescent="0.25">
      <c r="I3431" s="16">
        <v>20</v>
      </c>
      <c r="L3431" s="16" t="s">
        <v>25</v>
      </c>
      <c r="M3431" s="16" t="s">
        <v>137</v>
      </c>
    </row>
    <row r="3432" spans="1:13" ht="13.5" customHeight="1" x14ac:dyDescent="0.25">
      <c r="I3432" s="16">
        <v>10</v>
      </c>
      <c r="L3432" s="16" t="s">
        <v>25</v>
      </c>
      <c r="M3432" s="16" t="s">
        <v>45</v>
      </c>
    </row>
    <row r="3433" spans="1:13" ht="13.5" customHeight="1" x14ac:dyDescent="0.25">
      <c r="I3433" s="16">
        <v>15</v>
      </c>
      <c r="L3433" s="16" t="s">
        <v>27</v>
      </c>
    </row>
    <row r="3434" spans="1:13" ht="13.5" customHeight="1" x14ac:dyDescent="0.25">
      <c r="I3434" s="16">
        <v>20</v>
      </c>
      <c r="L3434" s="16" t="s">
        <v>26</v>
      </c>
      <c r="M3434" s="16" t="s">
        <v>147</v>
      </c>
    </row>
    <row r="3435" spans="1:13" ht="13.5" customHeight="1" x14ac:dyDescent="0.25">
      <c r="M3435" s="15"/>
    </row>
    <row r="3437" spans="1:13" ht="13.5" customHeight="1" x14ac:dyDescent="0.25">
      <c r="A3437" s="16" t="s">
        <v>652</v>
      </c>
      <c r="B3437" s="16" t="s">
        <v>1</v>
      </c>
      <c r="C3437" s="16" t="s">
        <v>15</v>
      </c>
      <c r="D3437" s="16" t="s">
        <v>20</v>
      </c>
      <c r="F3437" s="28">
        <v>385.32</v>
      </c>
      <c r="G3437" s="16">
        <v>12</v>
      </c>
      <c r="H3437" s="16" t="s">
        <v>22</v>
      </c>
      <c r="I3437" s="16">
        <v>10</v>
      </c>
      <c r="L3437" s="16" t="s">
        <v>23</v>
      </c>
    </row>
    <row r="3438" spans="1:13" ht="13.5" customHeight="1" x14ac:dyDescent="0.25">
      <c r="I3438" s="16">
        <v>120</v>
      </c>
      <c r="L3438" s="16" t="s">
        <v>32</v>
      </c>
    </row>
    <row r="3439" spans="1:13" ht="13.5" customHeight="1" x14ac:dyDescent="0.25">
      <c r="I3439" s="16">
        <v>30</v>
      </c>
      <c r="L3439" s="16" t="s">
        <v>33</v>
      </c>
    </row>
    <row r="3440" spans="1:13" ht="13.5" customHeight="1" x14ac:dyDescent="0.25">
      <c r="I3440" s="16">
        <v>20</v>
      </c>
      <c r="L3440" s="16" t="s">
        <v>29</v>
      </c>
      <c r="M3440" s="15"/>
    </row>
    <row r="3441" spans="1:13" ht="13.5" customHeight="1" x14ac:dyDescent="0.25">
      <c r="I3441" s="16">
        <v>30</v>
      </c>
      <c r="L3441" s="16" t="s">
        <v>25</v>
      </c>
      <c r="M3441" s="16" t="s">
        <v>137</v>
      </c>
    </row>
    <row r="3442" spans="1:13" ht="13.5" customHeight="1" x14ac:dyDescent="0.25">
      <c r="I3442" s="16">
        <v>10</v>
      </c>
      <c r="L3442" s="16" t="s">
        <v>25</v>
      </c>
      <c r="M3442" s="16" t="s">
        <v>45</v>
      </c>
    </row>
    <row r="3443" spans="1:13" ht="13.5" customHeight="1" x14ac:dyDescent="0.25">
      <c r="I3443" s="16">
        <v>10</v>
      </c>
      <c r="L3443" s="16" t="s">
        <v>27</v>
      </c>
    </row>
    <row r="3444" spans="1:13" ht="13.5" customHeight="1" x14ac:dyDescent="0.25">
      <c r="I3444" s="16">
        <v>20</v>
      </c>
      <c r="L3444" s="16" t="s">
        <v>26</v>
      </c>
      <c r="M3444" s="16" t="s">
        <v>147</v>
      </c>
    </row>
    <row r="3445" spans="1:13" ht="13.5" customHeight="1" x14ac:dyDescent="0.25">
      <c r="I3445" s="16">
        <v>20</v>
      </c>
      <c r="L3445" s="16" t="s">
        <v>24</v>
      </c>
      <c r="M3445" s="16" t="s">
        <v>183</v>
      </c>
    </row>
    <row r="3447" spans="1:13" ht="13.5" customHeight="1" x14ac:dyDescent="0.25">
      <c r="A3447" s="16" t="s">
        <v>652</v>
      </c>
      <c r="B3447" s="16" t="s">
        <v>2</v>
      </c>
      <c r="C3447" s="16" t="s">
        <v>16</v>
      </c>
      <c r="D3447" s="15" t="s">
        <v>548</v>
      </c>
      <c r="E3447" s="15"/>
      <c r="F3447" s="28">
        <v>395.88</v>
      </c>
      <c r="G3447" s="16">
        <v>12</v>
      </c>
      <c r="H3447" s="16" t="s">
        <v>22</v>
      </c>
      <c r="I3447" s="16">
        <v>10</v>
      </c>
      <c r="L3447" s="16" t="s">
        <v>23</v>
      </c>
    </row>
    <row r="3448" spans="1:13" ht="13.5" customHeight="1" x14ac:dyDescent="0.25">
      <c r="I3448" s="16">
        <v>120</v>
      </c>
      <c r="L3448" s="16" t="s">
        <v>32</v>
      </c>
    </row>
    <row r="3449" spans="1:13" ht="13.5" customHeight="1" x14ac:dyDescent="0.25">
      <c r="I3449" s="16">
        <v>30</v>
      </c>
      <c r="L3449" s="16" t="s">
        <v>33</v>
      </c>
    </row>
    <row r="3450" spans="1:13" ht="13.5" customHeight="1" x14ac:dyDescent="0.25">
      <c r="I3450" s="16">
        <v>30</v>
      </c>
      <c r="L3450" s="16" t="s">
        <v>29</v>
      </c>
      <c r="M3450" s="15"/>
    </row>
    <row r="3451" spans="1:13" ht="13.5" customHeight="1" x14ac:dyDescent="0.25">
      <c r="I3451" s="16">
        <v>30</v>
      </c>
      <c r="L3451" s="16" t="s">
        <v>25</v>
      </c>
      <c r="M3451" s="16" t="s">
        <v>137</v>
      </c>
    </row>
    <row r="3452" spans="1:13" ht="13.5" customHeight="1" x14ac:dyDescent="0.25">
      <c r="I3452" s="16">
        <v>10</v>
      </c>
      <c r="L3452" s="16" t="s">
        <v>25</v>
      </c>
      <c r="M3452" s="16" t="s">
        <v>45</v>
      </c>
    </row>
    <row r="3453" spans="1:13" ht="13.5" customHeight="1" x14ac:dyDescent="0.25">
      <c r="I3453" s="16">
        <v>20</v>
      </c>
      <c r="L3453" s="16" t="s">
        <v>27</v>
      </c>
    </row>
    <row r="3454" spans="1:13" ht="13.5" customHeight="1" x14ac:dyDescent="0.25">
      <c r="I3454" s="16">
        <v>20</v>
      </c>
      <c r="L3454" s="16" t="s">
        <v>26</v>
      </c>
      <c r="M3454" s="16" t="s">
        <v>147</v>
      </c>
    </row>
    <row r="3455" spans="1:13" ht="13.5" customHeight="1" x14ac:dyDescent="0.25">
      <c r="I3455" s="16">
        <v>45</v>
      </c>
      <c r="L3455" s="16" t="s">
        <v>26</v>
      </c>
      <c r="M3455" s="16" t="s">
        <v>167</v>
      </c>
    </row>
    <row r="3456" spans="1:13" ht="13.5" customHeight="1" x14ac:dyDescent="0.25">
      <c r="I3456" s="16">
        <v>45</v>
      </c>
      <c r="L3456" s="16" t="s">
        <v>26</v>
      </c>
      <c r="M3456" s="16" t="s">
        <v>653</v>
      </c>
    </row>
    <row r="3459" spans="1:13" ht="13.5" customHeight="1" x14ac:dyDescent="0.25">
      <c r="A3459" s="16" t="s">
        <v>654</v>
      </c>
      <c r="B3459" s="16" t="s">
        <v>0</v>
      </c>
      <c r="C3459" s="16" t="s">
        <v>6</v>
      </c>
      <c r="D3459" s="16" t="s">
        <v>21</v>
      </c>
      <c r="F3459" s="28">
        <v>420.37</v>
      </c>
      <c r="G3459" s="16">
        <v>13</v>
      </c>
      <c r="H3459" s="16" t="s">
        <v>22</v>
      </c>
      <c r="I3459" s="16">
        <v>10</v>
      </c>
      <c r="L3459" s="16" t="s">
        <v>23</v>
      </c>
    </row>
    <row r="3460" spans="1:13" ht="13.5" customHeight="1" x14ac:dyDescent="0.25">
      <c r="I3460" s="16">
        <v>120</v>
      </c>
      <c r="L3460" s="16" t="s">
        <v>32</v>
      </c>
    </row>
    <row r="3461" spans="1:13" ht="13.5" customHeight="1" x14ac:dyDescent="0.25">
      <c r="I3461" s="16">
        <v>30</v>
      </c>
      <c r="L3461" s="16" t="s">
        <v>33</v>
      </c>
    </row>
    <row r="3462" spans="1:13" ht="13.5" customHeight="1" x14ac:dyDescent="0.25">
      <c r="I3462" s="16">
        <v>20</v>
      </c>
      <c r="L3462" s="16" t="s">
        <v>25</v>
      </c>
      <c r="M3462" s="16" t="s">
        <v>137</v>
      </c>
    </row>
    <row r="3463" spans="1:13" ht="13.5" customHeight="1" x14ac:dyDescent="0.25">
      <c r="I3463" s="16">
        <v>10</v>
      </c>
      <c r="L3463" s="16" t="s">
        <v>25</v>
      </c>
      <c r="M3463" s="16" t="s">
        <v>45</v>
      </c>
    </row>
    <row r="3464" spans="1:13" ht="13.5" customHeight="1" x14ac:dyDescent="0.25">
      <c r="I3464" s="16">
        <v>15</v>
      </c>
      <c r="L3464" s="16" t="s">
        <v>27</v>
      </c>
    </row>
    <row r="3465" spans="1:13" ht="13.5" customHeight="1" x14ac:dyDescent="0.25">
      <c r="I3465" s="16">
        <v>20</v>
      </c>
      <c r="L3465" s="16" t="s">
        <v>26</v>
      </c>
      <c r="M3465" s="16" t="s">
        <v>147</v>
      </c>
    </row>
    <row r="3466" spans="1:13" ht="13.5" customHeight="1" x14ac:dyDescent="0.25">
      <c r="I3466" s="16">
        <v>20</v>
      </c>
      <c r="L3466" s="16" t="s">
        <v>26</v>
      </c>
      <c r="M3466" s="15" t="s">
        <v>655</v>
      </c>
    </row>
    <row r="3468" spans="1:13" ht="13.5" customHeight="1" x14ac:dyDescent="0.25">
      <c r="A3468" s="16" t="s">
        <v>654</v>
      </c>
      <c r="B3468" s="16" t="s">
        <v>1</v>
      </c>
      <c r="C3468" s="16" t="s">
        <v>15</v>
      </c>
      <c r="D3468" s="16" t="s">
        <v>20</v>
      </c>
      <c r="F3468" s="28">
        <v>388.27</v>
      </c>
      <c r="G3468" s="16">
        <v>11</v>
      </c>
      <c r="H3468" s="16" t="s">
        <v>22</v>
      </c>
      <c r="I3468" s="16">
        <v>10</v>
      </c>
      <c r="L3468" s="16" t="s">
        <v>23</v>
      </c>
    </row>
    <row r="3469" spans="1:13" ht="13.5" customHeight="1" x14ac:dyDescent="0.25">
      <c r="I3469" s="16">
        <v>110</v>
      </c>
      <c r="L3469" s="16" t="s">
        <v>32</v>
      </c>
    </row>
    <row r="3470" spans="1:13" ht="13.5" customHeight="1" x14ac:dyDescent="0.25">
      <c r="I3470" s="16">
        <v>30</v>
      </c>
      <c r="L3470" s="16" t="s">
        <v>33</v>
      </c>
    </row>
    <row r="3471" spans="1:13" ht="13.5" customHeight="1" x14ac:dyDescent="0.25">
      <c r="I3471" s="16">
        <v>20</v>
      </c>
      <c r="L3471" s="16" t="s">
        <v>29</v>
      </c>
      <c r="M3471" s="15"/>
    </row>
    <row r="3472" spans="1:13" ht="13.5" customHeight="1" x14ac:dyDescent="0.25">
      <c r="I3472" s="16">
        <v>30</v>
      </c>
      <c r="L3472" s="16" t="s">
        <v>25</v>
      </c>
      <c r="M3472" s="16" t="s">
        <v>137</v>
      </c>
    </row>
    <row r="3473" spans="1:13" ht="13.5" customHeight="1" x14ac:dyDescent="0.25">
      <c r="I3473" s="16">
        <v>10</v>
      </c>
      <c r="L3473" s="16" t="s">
        <v>25</v>
      </c>
      <c r="M3473" s="16" t="s">
        <v>45</v>
      </c>
    </row>
    <row r="3474" spans="1:13" ht="13.5" customHeight="1" x14ac:dyDescent="0.25">
      <c r="I3474" s="16">
        <v>10</v>
      </c>
      <c r="L3474" s="16" t="s">
        <v>27</v>
      </c>
    </row>
    <row r="3475" spans="1:13" ht="13.5" customHeight="1" x14ac:dyDescent="0.25">
      <c r="I3475" s="16">
        <v>20</v>
      </c>
      <c r="L3475" s="16" t="s">
        <v>26</v>
      </c>
      <c r="M3475" s="16" t="s">
        <v>147</v>
      </c>
    </row>
    <row r="3476" spans="1:13" ht="13.5" customHeight="1" x14ac:dyDescent="0.25">
      <c r="I3476" s="16">
        <v>40</v>
      </c>
      <c r="L3476" s="16" t="s">
        <v>29</v>
      </c>
      <c r="M3476" s="15" t="s">
        <v>656</v>
      </c>
    </row>
    <row r="3477" spans="1:13" ht="13.5" customHeight="1" x14ac:dyDescent="0.25">
      <c r="I3477" s="16">
        <v>20</v>
      </c>
      <c r="L3477" s="16" t="s">
        <v>24</v>
      </c>
      <c r="M3477" s="16" t="s">
        <v>657</v>
      </c>
    </row>
    <row r="3479" spans="1:13" ht="13.5" customHeight="1" x14ac:dyDescent="0.25">
      <c r="A3479" s="16" t="s">
        <v>654</v>
      </c>
      <c r="B3479" s="16" t="s">
        <v>2</v>
      </c>
      <c r="C3479" s="16" t="s">
        <v>16</v>
      </c>
      <c r="D3479" s="15" t="s">
        <v>548</v>
      </c>
      <c r="E3479" s="15"/>
      <c r="F3479" s="27">
        <v>266.33999999999997</v>
      </c>
      <c r="G3479" s="16">
        <v>9</v>
      </c>
      <c r="H3479" s="16" t="s">
        <v>22</v>
      </c>
      <c r="I3479" s="16">
        <v>10</v>
      </c>
      <c r="L3479" s="16" t="s">
        <v>23</v>
      </c>
    </row>
    <row r="3480" spans="1:13" ht="13.5" customHeight="1" x14ac:dyDescent="0.25">
      <c r="I3480" s="16">
        <v>90</v>
      </c>
      <c r="L3480" s="16" t="s">
        <v>32</v>
      </c>
    </row>
    <row r="3481" spans="1:13" ht="13.5" customHeight="1" x14ac:dyDescent="0.25">
      <c r="I3481" s="16">
        <v>30</v>
      </c>
      <c r="L3481" s="16" t="s">
        <v>33</v>
      </c>
    </row>
    <row r="3482" spans="1:13" ht="13.5" customHeight="1" x14ac:dyDescent="0.25">
      <c r="I3482" s="16">
        <v>30</v>
      </c>
      <c r="L3482" s="16" t="s">
        <v>29</v>
      </c>
      <c r="M3482" s="15"/>
    </row>
    <row r="3483" spans="1:13" ht="13.5" customHeight="1" x14ac:dyDescent="0.25">
      <c r="I3483" s="16">
        <v>30</v>
      </c>
      <c r="L3483" s="16" t="s">
        <v>25</v>
      </c>
      <c r="M3483" s="16" t="s">
        <v>137</v>
      </c>
    </row>
    <row r="3484" spans="1:13" ht="13.5" customHeight="1" x14ac:dyDescent="0.25">
      <c r="I3484" s="16">
        <v>10</v>
      </c>
      <c r="L3484" s="16" t="s">
        <v>25</v>
      </c>
      <c r="M3484" s="16" t="s">
        <v>45</v>
      </c>
    </row>
    <row r="3485" spans="1:13" ht="13.5" customHeight="1" x14ac:dyDescent="0.25">
      <c r="I3485" s="16">
        <v>20</v>
      </c>
      <c r="L3485" s="16" t="s">
        <v>27</v>
      </c>
    </row>
    <row r="3486" spans="1:13" ht="13.5" customHeight="1" x14ac:dyDescent="0.25">
      <c r="I3486" s="16">
        <v>20</v>
      </c>
      <c r="L3486" s="16" t="s">
        <v>26</v>
      </c>
      <c r="M3486" s="16" t="s">
        <v>147</v>
      </c>
    </row>
    <row r="3487" spans="1:13" ht="13.5" customHeight="1" x14ac:dyDescent="0.25">
      <c r="I3487" s="16">
        <v>120</v>
      </c>
      <c r="L3487" s="16" t="s">
        <v>26</v>
      </c>
      <c r="M3487" s="16" t="s">
        <v>129</v>
      </c>
    </row>
    <row r="3489" spans="1:13" ht="13.5" customHeight="1" x14ac:dyDescent="0.25">
      <c r="A3489" s="16" t="s">
        <v>658</v>
      </c>
      <c r="B3489" s="16" t="s">
        <v>0</v>
      </c>
      <c r="C3489" s="16" t="s">
        <v>6</v>
      </c>
      <c r="D3489" s="16" t="s">
        <v>20</v>
      </c>
      <c r="F3489" s="28">
        <v>350.08</v>
      </c>
      <c r="G3489" s="16">
        <v>10.75</v>
      </c>
      <c r="H3489" s="16" t="s">
        <v>22</v>
      </c>
      <c r="I3489" s="16">
        <v>10</v>
      </c>
      <c r="L3489" s="16" t="s">
        <v>23</v>
      </c>
    </row>
    <row r="3490" spans="1:13" ht="13.5" customHeight="1" x14ac:dyDescent="0.25">
      <c r="I3490" s="16">
        <v>110</v>
      </c>
      <c r="L3490" s="16" t="s">
        <v>32</v>
      </c>
    </row>
    <row r="3491" spans="1:13" ht="13.5" customHeight="1" x14ac:dyDescent="0.25">
      <c r="I3491" s="16">
        <v>20</v>
      </c>
      <c r="L3491" s="16" t="s">
        <v>33</v>
      </c>
    </row>
    <row r="3492" spans="1:13" ht="13.5" customHeight="1" x14ac:dyDescent="0.25">
      <c r="I3492" s="16">
        <v>20</v>
      </c>
      <c r="L3492" s="16" t="s">
        <v>25</v>
      </c>
      <c r="M3492" s="16" t="s">
        <v>137</v>
      </c>
    </row>
    <row r="3493" spans="1:13" ht="13.5" customHeight="1" x14ac:dyDescent="0.25">
      <c r="I3493" s="16">
        <v>10</v>
      </c>
      <c r="L3493" s="16" t="s">
        <v>25</v>
      </c>
      <c r="M3493" s="16" t="s">
        <v>45</v>
      </c>
    </row>
    <row r="3494" spans="1:13" ht="13.5" customHeight="1" x14ac:dyDescent="0.25">
      <c r="I3494" s="16">
        <v>10</v>
      </c>
      <c r="L3494" s="16" t="s">
        <v>27</v>
      </c>
    </row>
    <row r="3495" spans="1:13" ht="13.5" customHeight="1" x14ac:dyDescent="0.25">
      <c r="I3495" s="16">
        <v>20</v>
      </c>
      <c r="L3495" s="16" t="s">
        <v>26</v>
      </c>
      <c r="M3495" s="16" t="s">
        <v>147</v>
      </c>
    </row>
    <row r="3496" spans="1:13" ht="13.5" customHeight="1" x14ac:dyDescent="0.25">
      <c r="I3496" s="16">
        <v>30</v>
      </c>
      <c r="L3496" s="16" t="s">
        <v>26</v>
      </c>
      <c r="M3496" s="15" t="s">
        <v>659</v>
      </c>
    </row>
    <row r="3497" spans="1:13" ht="13.5" customHeight="1" x14ac:dyDescent="0.25">
      <c r="I3497" s="16">
        <v>20</v>
      </c>
      <c r="L3497" s="16" t="s">
        <v>25</v>
      </c>
      <c r="M3497" s="15" t="s">
        <v>36</v>
      </c>
    </row>
    <row r="3499" spans="1:13" ht="13.5" customHeight="1" x14ac:dyDescent="0.25">
      <c r="A3499" s="16" t="s">
        <v>654</v>
      </c>
      <c r="B3499" s="16" t="s">
        <v>2</v>
      </c>
      <c r="C3499" s="16" t="s">
        <v>15</v>
      </c>
      <c r="D3499" s="15" t="s">
        <v>548</v>
      </c>
      <c r="E3499" s="15"/>
      <c r="F3499" s="28">
        <v>317.69</v>
      </c>
      <c r="G3499" s="16">
        <v>10</v>
      </c>
      <c r="H3499" s="16" t="s">
        <v>22</v>
      </c>
      <c r="I3499" s="16">
        <v>10</v>
      </c>
      <c r="L3499" s="16" t="s">
        <v>23</v>
      </c>
    </row>
    <row r="3500" spans="1:13" ht="13.5" customHeight="1" x14ac:dyDescent="0.25">
      <c r="I3500" s="16">
        <v>100</v>
      </c>
      <c r="L3500" s="16" t="s">
        <v>32</v>
      </c>
    </row>
    <row r="3501" spans="1:13" ht="13.5" customHeight="1" x14ac:dyDescent="0.25">
      <c r="I3501" s="16">
        <v>30</v>
      </c>
      <c r="L3501" s="16" t="s">
        <v>33</v>
      </c>
    </row>
    <row r="3502" spans="1:13" ht="13.5" customHeight="1" x14ac:dyDescent="0.25">
      <c r="I3502" s="16">
        <v>40</v>
      </c>
      <c r="L3502" s="16" t="s">
        <v>29</v>
      </c>
      <c r="M3502" s="15"/>
    </row>
    <row r="3503" spans="1:13" ht="13.5" customHeight="1" x14ac:dyDescent="0.25">
      <c r="I3503" s="16">
        <v>30</v>
      </c>
      <c r="L3503" s="16" t="s">
        <v>25</v>
      </c>
      <c r="M3503" s="16" t="s">
        <v>137</v>
      </c>
    </row>
    <row r="3504" spans="1:13" ht="13.5" customHeight="1" x14ac:dyDescent="0.25">
      <c r="I3504" s="16">
        <v>10</v>
      </c>
      <c r="L3504" s="16" t="s">
        <v>25</v>
      </c>
      <c r="M3504" s="16" t="s">
        <v>45</v>
      </c>
    </row>
    <row r="3505" spans="1:13" ht="13.5" customHeight="1" x14ac:dyDescent="0.25">
      <c r="I3505" s="16">
        <v>20</v>
      </c>
      <c r="L3505" s="16" t="s">
        <v>27</v>
      </c>
    </row>
    <row r="3506" spans="1:13" ht="13.5" customHeight="1" x14ac:dyDescent="0.25">
      <c r="I3506" s="16">
        <v>20</v>
      </c>
      <c r="L3506" s="16" t="s">
        <v>26</v>
      </c>
      <c r="M3506" s="16" t="s">
        <v>147</v>
      </c>
    </row>
    <row r="3507" spans="1:13" ht="13.5" customHeight="1" x14ac:dyDescent="0.25">
      <c r="I3507" s="16">
        <v>20</v>
      </c>
      <c r="L3507" s="16" t="s">
        <v>26</v>
      </c>
      <c r="M3507" s="15" t="s">
        <v>660</v>
      </c>
    </row>
    <row r="3508" spans="1:13" ht="13.5" customHeight="1" x14ac:dyDescent="0.25">
      <c r="I3508" s="16">
        <v>30</v>
      </c>
      <c r="L3508" s="16" t="s">
        <v>342</v>
      </c>
      <c r="M3508" s="16" t="s">
        <v>661</v>
      </c>
    </row>
    <row r="3509" spans="1:13" ht="13.5" customHeight="1" x14ac:dyDescent="0.25">
      <c r="I3509" s="16">
        <v>15</v>
      </c>
      <c r="L3509" s="16" t="s">
        <v>24</v>
      </c>
      <c r="M3509" s="16" t="s">
        <v>662</v>
      </c>
    </row>
    <row r="3511" spans="1:13" ht="13.5" customHeight="1" x14ac:dyDescent="0.25">
      <c r="A3511" s="16" t="s">
        <v>658</v>
      </c>
      <c r="B3511" s="16" t="s">
        <v>2</v>
      </c>
      <c r="C3511" s="16" t="s">
        <v>520</v>
      </c>
      <c r="D3511" s="16" t="s">
        <v>20</v>
      </c>
      <c r="F3511" s="27">
        <v>291.61</v>
      </c>
      <c r="G3511" s="16">
        <v>8.75</v>
      </c>
      <c r="H3511" s="16" t="s">
        <v>22</v>
      </c>
      <c r="I3511" s="16">
        <v>30</v>
      </c>
      <c r="L3511" s="16" t="s">
        <v>23</v>
      </c>
      <c r="M3511" s="15" t="s">
        <v>664</v>
      </c>
    </row>
    <row r="3512" spans="1:13" ht="13.5" customHeight="1" x14ac:dyDescent="0.25">
      <c r="I3512" s="16">
        <v>90</v>
      </c>
      <c r="L3512" s="16" t="s">
        <v>32</v>
      </c>
    </row>
    <row r="3513" spans="1:13" ht="13.5" customHeight="1" x14ac:dyDescent="0.25">
      <c r="I3513" s="16">
        <v>30</v>
      </c>
      <c r="L3513" s="16" t="s">
        <v>33</v>
      </c>
    </row>
    <row r="3514" spans="1:13" ht="13.5" customHeight="1" x14ac:dyDescent="0.25">
      <c r="I3514" s="16">
        <v>20</v>
      </c>
      <c r="L3514" s="16" t="s">
        <v>25</v>
      </c>
      <c r="M3514" s="16" t="s">
        <v>137</v>
      </c>
    </row>
    <row r="3515" spans="1:13" ht="13.5" customHeight="1" x14ac:dyDescent="0.25">
      <c r="I3515" s="16">
        <v>10</v>
      </c>
      <c r="L3515" s="16" t="s">
        <v>25</v>
      </c>
      <c r="M3515" s="16" t="s">
        <v>45</v>
      </c>
    </row>
    <row r="3516" spans="1:13" ht="13.5" customHeight="1" x14ac:dyDescent="0.25">
      <c r="I3516" s="16">
        <v>10</v>
      </c>
      <c r="L3516" s="16" t="s">
        <v>27</v>
      </c>
    </row>
    <row r="3517" spans="1:13" ht="13.5" customHeight="1" x14ac:dyDescent="0.25">
      <c r="I3517" s="16">
        <v>20</v>
      </c>
      <c r="L3517" s="16" t="s">
        <v>26</v>
      </c>
      <c r="M3517" s="16" t="s">
        <v>147</v>
      </c>
    </row>
    <row r="3518" spans="1:13" ht="13.5" customHeight="1" x14ac:dyDescent="0.25">
      <c r="I3518" s="16">
        <v>100</v>
      </c>
      <c r="L3518" s="16" t="s">
        <v>29</v>
      </c>
      <c r="M3518" s="15" t="s">
        <v>663</v>
      </c>
    </row>
    <row r="3519" spans="1:13" ht="13.5" customHeight="1" x14ac:dyDescent="0.25">
      <c r="I3519" s="16">
        <v>20</v>
      </c>
      <c r="L3519" s="16" t="s">
        <v>25</v>
      </c>
      <c r="M3519" s="15" t="s">
        <v>665</v>
      </c>
    </row>
    <row r="3522" spans="1:13" ht="13.5" customHeight="1" x14ac:dyDescent="0.25">
      <c r="A3522" s="16" t="s">
        <v>666</v>
      </c>
      <c r="B3522" s="16" t="s">
        <v>0</v>
      </c>
      <c r="C3522" s="16" t="s">
        <v>6</v>
      </c>
      <c r="D3522" s="16" t="s">
        <v>20</v>
      </c>
      <c r="F3522" s="27">
        <v>210.59</v>
      </c>
      <c r="G3522" s="16">
        <v>6</v>
      </c>
      <c r="H3522" s="16" t="s">
        <v>22</v>
      </c>
      <c r="I3522" s="16">
        <v>10</v>
      </c>
      <c r="J3522" s="16"/>
      <c r="L3522" s="16" t="s">
        <v>23</v>
      </c>
    </row>
    <row r="3523" spans="1:13" ht="13.5" customHeight="1" x14ac:dyDescent="0.25">
      <c r="I3523" s="16">
        <v>60</v>
      </c>
      <c r="J3523" s="16"/>
      <c r="L3523" s="16" t="s">
        <v>32</v>
      </c>
    </row>
    <row r="3524" spans="1:13" ht="13.5" customHeight="1" x14ac:dyDescent="0.25">
      <c r="I3524" s="16">
        <v>20</v>
      </c>
      <c r="J3524" s="16"/>
      <c r="L3524" s="16" t="s">
        <v>33</v>
      </c>
    </row>
    <row r="3525" spans="1:13" ht="13.5" customHeight="1" x14ac:dyDescent="0.25">
      <c r="I3525" s="16">
        <v>20</v>
      </c>
      <c r="J3525" s="16"/>
      <c r="L3525" s="16" t="s">
        <v>25</v>
      </c>
      <c r="M3525" s="16" t="s">
        <v>137</v>
      </c>
    </row>
    <row r="3526" spans="1:13" ht="13.5" customHeight="1" x14ac:dyDescent="0.25">
      <c r="I3526" s="16">
        <v>10</v>
      </c>
      <c r="J3526" s="16"/>
      <c r="L3526" s="16" t="s">
        <v>25</v>
      </c>
      <c r="M3526" s="16" t="s">
        <v>45</v>
      </c>
    </row>
    <row r="3527" spans="1:13" ht="13.5" customHeight="1" x14ac:dyDescent="0.25">
      <c r="I3527" s="16">
        <v>10</v>
      </c>
      <c r="J3527" s="16"/>
      <c r="L3527" s="16" t="s">
        <v>27</v>
      </c>
    </row>
    <row r="3528" spans="1:13" ht="13.5" customHeight="1" x14ac:dyDescent="0.25">
      <c r="I3528" s="16">
        <v>20</v>
      </c>
      <c r="J3528" s="16"/>
      <c r="L3528" s="16" t="s">
        <v>26</v>
      </c>
      <c r="M3528" s="16" t="s">
        <v>147</v>
      </c>
    </row>
    <row r="3529" spans="1:13" ht="13.5" customHeight="1" x14ac:dyDescent="0.25">
      <c r="I3529" s="16">
        <v>195</v>
      </c>
      <c r="J3529" s="16"/>
      <c r="L3529" s="16" t="s">
        <v>26</v>
      </c>
      <c r="M3529" s="15" t="s">
        <v>667</v>
      </c>
    </row>
    <row r="3530" spans="1:13" ht="13.5" customHeight="1" x14ac:dyDescent="0.25">
      <c r="I3530" s="16">
        <v>30</v>
      </c>
      <c r="L3530" s="16" t="s">
        <v>29</v>
      </c>
    </row>
    <row r="3532" spans="1:13" ht="13.5" customHeight="1" x14ac:dyDescent="0.25">
      <c r="A3532" s="16" t="s">
        <v>666</v>
      </c>
      <c r="B3532" s="16" t="s">
        <v>2</v>
      </c>
      <c r="C3532" s="16" t="s">
        <v>16</v>
      </c>
      <c r="D3532" s="15" t="s">
        <v>548</v>
      </c>
      <c r="E3532" s="15"/>
      <c r="F3532" s="27">
        <v>269.12</v>
      </c>
      <c r="G3532" s="16">
        <v>8</v>
      </c>
      <c r="H3532" s="16" t="s">
        <v>22</v>
      </c>
      <c r="I3532" s="16">
        <v>10</v>
      </c>
      <c r="L3532" s="16" t="s">
        <v>23</v>
      </c>
    </row>
    <row r="3533" spans="1:13" ht="13.5" customHeight="1" x14ac:dyDescent="0.25">
      <c r="I3533" s="16">
        <v>100</v>
      </c>
      <c r="L3533" s="16" t="s">
        <v>32</v>
      </c>
    </row>
    <row r="3534" spans="1:13" ht="13.5" customHeight="1" x14ac:dyDescent="0.25">
      <c r="I3534" s="16">
        <v>30</v>
      </c>
      <c r="L3534" s="16" t="s">
        <v>33</v>
      </c>
    </row>
    <row r="3535" spans="1:13" ht="13.5" customHeight="1" x14ac:dyDescent="0.25">
      <c r="I3535" s="16">
        <v>20</v>
      </c>
      <c r="L3535" s="16" t="s">
        <v>29</v>
      </c>
      <c r="M3535" s="15"/>
    </row>
    <row r="3536" spans="1:13" ht="13.5" customHeight="1" x14ac:dyDescent="0.25">
      <c r="I3536" s="16">
        <v>30</v>
      </c>
      <c r="L3536" s="16" t="s">
        <v>25</v>
      </c>
      <c r="M3536" s="16" t="s">
        <v>137</v>
      </c>
    </row>
    <row r="3537" spans="1:13" ht="13.5" customHeight="1" x14ac:dyDescent="0.25">
      <c r="I3537" s="16">
        <v>10</v>
      </c>
      <c r="L3537" s="16" t="s">
        <v>25</v>
      </c>
      <c r="M3537" s="16" t="s">
        <v>45</v>
      </c>
    </row>
    <row r="3538" spans="1:13" ht="13.5" customHeight="1" x14ac:dyDescent="0.25">
      <c r="I3538" s="16">
        <v>20</v>
      </c>
      <c r="L3538" s="16" t="s">
        <v>27</v>
      </c>
    </row>
    <row r="3539" spans="1:13" ht="13.5" customHeight="1" x14ac:dyDescent="0.25">
      <c r="I3539" s="16">
        <v>20</v>
      </c>
      <c r="L3539" s="16" t="s">
        <v>26</v>
      </c>
      <c r="M3539" s="16" t="s">
        <v>147</v>
      </c>
    </row>
    <row r="3540" spans="1:13" ht="13.5" customHeight="1" x14ac:dyDescent="0.25">
      <c r="I3540" s="16">
        <v>20</v>
      </c>
      <c r="L3540" s="16" t="s">
        <v>26</v>
      </c>
      <c r="M3540" s="15" t="s">
        <v>660</v>
      </c>
    </row>
    <row r="3541" spans="1:13" ht="13.5" customHeight="1" x14ac:dyDescent="0.25">
      <c r="I3541" s="16">
        <v>30</v>
      </c>
      <c r="L3541" s="16" t="s">
        <v>33</v>
      </c>
      <c r="M3541" s="16" t="s">
        <v>668</v>
      </c>
    </row>
    <row r="3542" spans="1:13" ht="13.5" customHeight="1" x14ac:dyDescent="0.25">
      <c r="I3542" s="16">
        <v>120</v>
      </c>
      <c r="L3542" s="16" t="s">
        <v>26</v>
      </c>
      <c r="M3542" s="16" t="s">
        <v>669</v>
      </c>
    </row>
    <row r="3544" spans="1:13" ht="13.5" customHeight="1" x14ac:dyDescent="0.25">
      <c r="A3544" s="16" t="s">
        <v>666</v>
      </c>
      <c r="B3544" s="16" t="s">
        <v>2</v>
      </c>
      <c r="C3544" s="16" t="s">
        <v>520</v>
      </c>
      <c r="D3544" s="16" t="s">
        <v>21</v>
      </c>
      <c r="F3544" s="28">
        <f>37.83+29.75+37.7+37.11+35.84+28.96+31.42+37.05+31.52+9.45</f>
        <v>316.63</v>
      </c>
      <c r="G3544" s="16">
        <v>9.25</v>
      </c>
      <c r="H3544" s="16" t="s">
        <v>22</v>
      </c>
      <c r="I3544" s="16">
        <v>10</v>
      </c>
      <c r="L3544" s="16" t="s">
        <v>23</v>
      </c>
      <c r="M3544" s="15"/>
    </row>
    <row r="3545" spans="1:13" ht="13.5" customHeight="1" x14ac:dyDescent="0.25">
      <c r="I3545" s="16">
        <v>100</v>
      </c>
      <c r="L3545" s="16" t="s">
        <v>32</v>
      </c>
    </row>
    <row r="3546" spans="1:13" ht="13.5" customHeight="1" x14ac:dyDescent="0.25">
      <c r="I3546" s="16">
        <v>30</v>
      </c>
      <c r="L3546" s="16" t="s">
        <v>29</v>
      </c>
    </row>
    <row r="3547" spans="1:13" ht="13.5" customHeight="1" x14ac:dyDescent="0.25">
      <c r="I3547" s="16">
        <v>30</v>
      </c>
      <c r="L3547" s="16" t="s">
        <v>33</v>
      </c>
    </row>
    <row r="3548" spans="1:13" ht="13.5" customHeight="1" x14ac:dyDescent="0.25">
      <c r="I3548" s="16">
        <v>40</v>
      </c>
      <c r="L3548" s="16" t="s">
        <v>25</v>
      </c>
      <c r="M3548" s="16" t="s">
        <v>137</v>
      </c>
    </row>
    <row r="3549" spans="1:13" ht="13.5" customHeight="1" x14ac:dyDescent="0.25">
      <c r="I3549" s="16">
        <v>30</v>
      </c>
      <c r="L3549" s="16" t="s">
        <v>25</v>
      </c>
      <c r="M3549" s="16" t="s">
        <v>45</v>
      </c>
    </row>
    <row r="3550" spans="1:13" ht="13.5" customHeight="1" x14ac:dyDescent="0.25">
      <c r="I3550" s="16">
        <v>10</v>
      </c>
      <c r="L3550" s="16" t="s">
        <v>27</v>
      </c>
      <c r="M3550" s="16" t="s">
        <v>147</v>
      </c>
    </row>
    <row r="3551" spans="1:13" ht="13.5" customHeight="1" x14ac:dyDescent="0.25">
      <c r="I3551" s="16">
        <v>20</v>
      </c>
      <c r="L3551" s="16" t="s">
        <v>26</v>
      </c>
    </row>
    <row r="3552" spans="1:13" ht="13.5" customHeight="1" x14ac:dyDescent="0.25">
      <c r="I3552" s="16">
        <v>20</v>
      </c>
      <c r="L3552" s="15" t="s">
        <v>168</v>
      </c>
      <c r="M3552" s="16" t="s">
        <v>117</v>
      </c>
    </row>
    <row r="3553" spans="1:13" ht="13.5" customHeight="1" x14ac:dyDescent="0.25">
      <c r="I3553" s="16">
        <v>20</v>
      </c>
      <c r="L3553" s="16" t="s">
        <v>26</v>
      </c>
      <c r="M3553" s="16" t="s">
        <v>670</v>
      </c>
    </row>
    <row r="3555" spans="1:13" ht="13.5" customHeight="1" x14ac:dyDescent="0.25">
      <c r="A3555" s="16" t="s">
        <v>671</v>
      </c>
      <c r="B3555" s="16" t="s">
        <v>0</v>
      </c>
      <c r="C3555" s="16" t="s">
        <v>15</v>
      </c>
      <c r="D3555" s="16" t="s">
        <v>20</v>
      </c>
      <c r="F3555" s="27">
        <v>262.85000000000002</v>
      </c>
      <c r="G3555" s="16">
        <v>7.75</v>
      </c>
      <c r="H3555" s="16" t="s">
        <v>22</v>
      </c>
      <c r="I3555" s="16">
        <v>10</v>
      </c>
      <c r="J3555" s="16"/>
      <c r="L3555" s="16" t="s">
        <v>23</v>
      </c>
    </row>
    <row r="3556" spans="1:13" ht="13.5" customHeight="1" x14ac:dyDescent="0.25">
      <c r="I3556" s="16">
        <v>80</v>
      </c>
      <c r="J3556" s="16"/>
      <c r="L3556" s="16" t="s">
        <v>32</v>
      </c>
    </row>
    <row r="3557" spans="1:13" ht="13.5" customHeight="1" x14ac:dyDescent="0.25">
      <c r="I3557" s="16">
        <v>20</v>
      </c>
      <c r="J3557" s="16"/>
      <c r="L3557" s="16" t="s">
        <v>33</v>
      </c>
    </row>
    <row r="3558" spans="1:13" ht="13.5" customHeight="1" x14ac:dyDescent="0.25">
      <c r="I3558" s="16">
        <v>20</v>
      </c>
      <c r="J3558" s="16"/>
      <c r="L3558" s="16" t="s">
        <v>25</v>
      </c>
      <c r="M3558" s="16" t="s">
        <v>137</v>
      </c>
    </row>
    <row r="3559" spans="1:13" ht="13.5" customHeight="1" x14ac:dyDescent="0.25">
      <c r="I3559" s="16">
        <v>10</v>
      </c>
      <c r="J3559" s="16"/>
      <c r="L3559" s="16" t="s">
        <v>25</v>
      </c>
      <c r="M3559" s="16" t="s">
        <v>45</v>
      </c>
    </row>
    <row r="3560" spans="1:13" ht="13.5" customHeight="1" x14ac:dyDescent="0.25">
      <c r="I3560" s="16">
        <v>10</v>
      </c>
      <c r="J3560" s="16"/>
      <c r="L3560" s="16" t="s">
        <v>27</v>
      </c>
    </row>
    <row r="3561" spans="1:13" ht="13.5" customHeight="1" x14ac:dyDescent="0.25">
      <c r="I3561" s="16">
        <v>20</v>
      </c>
      <c r="J3561" s="16"/>
      <c r="L3561" s="16" t="s">
        <v>26</v>
      </c>
      <c r="M3561" s="16" t="s">
        <v>147</v>
      </c>
    </row>
    <row r="3562" spans="1:13" ht="13.5" customHeight="1" x14ac:dyDescent="0.25">
      <c r="I3562" s="16">
        <v>130</v>
      </c>
      <c r="J3562" s="16"/>
      <c r="L3562" s="16" t="s">
        <v>26</v>
      </c>
      <c r="M3562" s="15" t="s">
        <v>672</v>
      </c>
    </row>
    <row r="3563" spans="1:13" ht="13.5" customHeight="1" x14ac:dyDescent="0.25">
      <c r="I3563" s="16">
        <v>40</v>
      </c>
      <c r="L3563" s="16" t="s">
        <v>29</v>
      </c>
      <c r="M3563" s="15"/>
    </row>
    <row r="3565" spans="1:13" ht="13.5" customHeight="1" x14ac:dyDescent="0.25">
      <c r="A3565" s="16" t="s">
        <v>671</v>
      </c>
      <c r="B3565" s="16" t="s">
        <v>1</v>
      </c>
      <c r="C3565" s="16" t="s">
        <v>16</v>
      </c>
      <c r="D3565" s="15" t="s">
        <v>548</v>
      </c>
      <c r="E3565" s="15"/>
      <c r="F3565" s="28">
        <v>301.54000000000002</v>
      </c>
      <c r="G3565" s="16">
        <v>9.75</v>
      </c>
      <c r="H3565" s="16" t="s">
        <v>22</v>
      </c>
      <c r="I3565" s="16">
        <v>10</v>
      </c>
      <c r="L3565" s="16" t="s">
        <v>23</v>
      </c>
    </row>
    <row r="3566" spans="1:13" ht="13.5" customHeight="1" x14ac:dyDescent="0.25">
      <c r="I3566" s="16">
        <v>90</v>
      </c>
      <c r="L3566" s="16" t="s">
        <v>32</v>
      </c>
    </row>
    <row r="3567" spans="1:13" ht="13.5" customHeight="1" x14ac:dyDescent="0.25">
      <c r="I3567" s="16">
        <v>30</v>
      </c>
      <c r="L3567" s="16" t="s">
        <v>33</v>
      </c>
    </row>
    <row r="3568" spans="1:13" ht="13.5" customHeight="1" x14ac:dyDescent="0.25">
      <c r="I3568" s="16">
        <v>30</v>
      </c>
      <c r="L3568" s="16" t="s">
        <v>29</v>
      </c>
      <c r="M3568" s="15" t="s">
        <v>677</v>
      </c>
    </row>
    <row r="3569" spans="1:13" ht="13.5" customHeight="1" x14ac:dyDescent="0.25">
      <c r="I3569" s="16">
        <v>30</v>
      </c>
      <c r="L3569" s="16" t="s">
        <v>25</v>
      </c>
      <c r="M3569" s="16" t="s">
        <v>137</v>
      </c>
    </row>
    <row r="3570" spans="1:13" ht="13.5" customHeight="1" x14ac:dyDescent="0.25">
      <c r="I3570" s="16">
        <v>10</v>
      </c>
      <c r="L3570" s="16" t="s">
        <v>25</v>
      </c>
      <c r="M3570" s="16" t="s">
        <v>45</v>
      </c>
    </row>
    <row r="3571" spans="1:13" ht="13.5" customHeight="1" x14ac:dyDescent="0.25">
      <c r="I3571" s="16">
        <v>20</v>
      </c>
      <c r="L3571" s="16" t="s">
        <v>27</v>
      </c>
    </row>
    <row r="3572" spans="1:13" ht="13.5" customHeight="1" x14ac:dyDescent="0.25">
      <c r="I3572" s="16">
        <v>20</v>
      </c>
      <c r="L3572" s="16" t="s">
        <v>26</v>
      </c>
      <c r="M3572" s="16" t="s">
        <v>147</v>
      </c>
    </row>
    <row r="3573" spans="1:13" ht="13.5" customHeight="1" x14ac:dyDescent="0.25">
      <c r="I3573" s="16">
        <v>15</v>
      </c>
      <c r="L3573" s="16" t="s">
        <v>26</v>
      </c>
      <c r="M3573" s="15" t="s">
        <v>673</v>
      </c>
    </row>
    <row r="3574" spans="1:13" ht="13.5" customHeight="1" x14ac:dyDescent="0.25">
      <c r="I3574" s="16">
        <v>45</v>
      </c>
      <c r="L3574" s="16" t="s">
        <v>342</v>
      </c>
      <c r="M3574" s="16" t="s">
        <v>675</v>
      </c>
    </row>
    <row r="3575" spans="1:13" ht="13.5" customHeight="1" x14ac:dyDescent="0.25">
      <c r="I3575" s="16">
        <v>30</v>
      </c>
      <c r="L3575" s="16" t="s">
        <v>24</v>
      </c>
      <c r="M3575" s="16" t="s">
        <v>676</v>
      </c>
    </row>
    <row r="3576" spans="1:13" ht="13.5" customHeight="1" x14ac:dyDescent="0.25">
      <c r="I3576" s="16">
        <v>10</v>
      </c>
      <c r="L3576" s="16" t="s">
        <v>26</v>
      </c>
      <c r="M3576" s="16" t="s">
        <v>674</v>
      </c>
    </row>
    <row r="3578" spans="1:13" ht="13.5" customHeight="1" x14ac:dyDescent="0.25">
      <c r="A3578" s="16" t="s">
        <v>671</v>
      </c>
      <c r="B3578" s="16" t="s">
        <v>2</v>
      </c>
      <c r="C3578" s="16" t="s">
        <v>520</v>
      </c>
      <c r="D3578" s="16" t="s">
        <v>21</v>
      </c>
      <c r="F3578" s="28">
        <f>37.46+37.85+31.78+32.91+32.41+31.51+31.56+28.24+30.25+21.58</f>
        <v>315.54999999999995</v>
      </c>
      <c r="G3578" s="16">
        <v>10</v>
      </c>
      <c r="H3578" s="16" t="s">
        <v>22</v>
      </c>
      <c r="I3578" s="16">
        <v>10</v>
      </c>
      <c r="L3578" s="16" t="s">
        <v>23</v>
      </c>
      <c r="M3578" s="15"/>
    </row>
    <row r="3579" spans="1:13" ht="13.5" customHeight="1" x14ac:dyDescent="0.25">
      <c r="I3579" s="16">
        <v>100</v>
      </c>
      <c r="L3579" s="16" t="s">
        <v>32</v>
      </c>
    </row>
    <row r="3580" spans="1:13" ht="13.5" customHeight="1" x14ac:dyDescent="0.25">
      <c r="I3580" s="16">
        <v>30</v>
      </c>
      <c r="L3580" s="16" t="s">
        <v>33</v>
      </c>
    </row>
    <row r="3581" spans="1:13" ht="13.5" customHeight="1" x14ac:dyDescent="0.25">
      <c r="I3581" s="16">
        <v>70</v>
      </c>
      <c r="L3581" s="16" t="s">
        <v>29</v>
      </c>
      <c r="M3581" s="15" t="s">
        <v>678</v>
      </c>
    </row>
    <row r="3582" spans="1:13" ht="13.5" customHeight="1" x14ac:dyDescent="0.25">
      <c r="I3582" s="16">
        <v>30</v>
      </c>
      <c r="L3582" s="16" t="s">
        <v>25</v>
      </c>
      <c r="M3582" s="16" t="s">
        <v>137</v>
      </c>
    </row>
    <row r="3583" spans="1:13" ht="13.5" customHeight="1" x14ac:dyDescent="0.25">
      <c r="I3583" s="16">
        <v>30</v>
      </c>
      <c r="L3583" s="16" t="s">
        <v>25</v>
      </c>
      <c r="M3583" s="16" t="s">
        <v>45</v>
      </c>
    </row>
    <row r="3584" spans="1:13" ht="13.5" customHeight="1" x14ac:dyDescent="0.25">
      <c r="I3584" s="16">
        <v>10</v>
      </c>
      <c r="L3584" s="16" t="s">
        <v>27</v>
      </c>
      <c r="M3584" s="16" t="s">
        <v>147</v>
      </c>
    </row>
    <row r="3585" spans="1:13" ht="13.5" customHeight="1" x14ac:dyDescent="0.25">
      <c r="I3585" s="16">
        <v>20</v>
      </c>
      <c r="L3585" s="16" t="s">
        <v>26</v>
      </c>
    </row>
    <row r="3586" spans="1:13" ht="13.5" customHeight="1" x14ac:dyDescent="0.25">
      <c r="I3586" s="16">
        <v>10</v>
      </c>
      <c r="L3586" s="15" t="s">
        <v>168</v>
      </c>
      <c r="M3586" s="16" t="s">
        <v>117</v>
      </c>
    </row>
    <row r="3588" spans="1:13" ht="13.5" customHeight="1" x14ac:dyDescent="0.25">
      <c r="A3588" s="16" t="s">
        <v>679</v>
      </c>
      <c r="B3588" s="16" t="s">
        <v>0</v>
      </c>
      <c r="C3588" s="16" t="s">
        <v>15</v>
      </c>
      <c r="D3588" s="16" t="s">
        <v>20</v>
      </c>
      <c r="F3588" s="28">
        <v>317.08999999999997</v>
      </c>
      <c r="G3588" s="16">
        <v>9.5</v>
      </c>
      <c r="H3588" s="16" t="s">
        <v>22</v>
      </c>
      <c r="I3588" s="16">
        <v>10</v>
      </c>
      <c r="J3588" s="16"/>
      <c r="L3588" s="16" t="s">
        <v>23</v>
      </c>
    </row>
    <row r="3589" spans="1:13" ht="13.5" customHeight="1" x14ac:dyDescent="0.25">
      <c r="I3589" s="16">
        <v>100</v>
      </c>
      <c r="J3589" s="16"/>
      <c r="L3589" s="16" t="s">
        <v>32</v>
      </c>
    </row>
    <row r="3590" spans="1:13" ht="13.5" customHeight="1" x14ac:dyDescent="0.25">
      <c r="I3590" s="16">
        <v>20</v>
      </c>
      <c r="J3590" s="16"/>
      <c r="L3590" s="16" t="s">
        <v>33</v>
      </c>
    </row>
    <row r="3591" spans="1:13" ht="13.5" customHeight="1" x14ac:dyDescent="0.25">
      <c r="I3591" s="16">
        <v>60</v>
      </c>
      <c r="J3591" s="16"/>
      <c r="L3591" s="16" t="s">
        <v>25</v>
      </c>
      <c r="M3591" s="16" t="s">
        <v>137</v>
      </c>
    </row>
    <row r="3592" spans="1:13" ht="13.5" customHeight="1" x14ac:dyDescent="0.25">
      <c r="I3592" s="16">
        <v>10</v>
      </c>
      <c r="J3592" s="16"/>
      <c r="L3592" s="16" t="s">
        <v>25</v>
      </c>
      <c r="M3592" s="16" t="s">
        <v>45</v>
      </c>
    </row>
    <row r="3593" spans="1:13" ht="13.5" customHeight="1" x14ac:dyDescent="0.25">
      <c r="I3593" s="16">
        <v>10</v>
      </c>
      <c r="J3593" s="16"/>
      <c r="L3593" s="16" t="s">
        <v>27</v>
      </c>
    </row>
    <row r="3594" spans="1:13" ht="13.5" customHeight="1" x14ac:dyDescent="0.25">
      <c r="I3594" s="16">
        <v>20</v>
      </c>
      <c r="J3594" s="16"/>
      <c r="L3594" s="16" t="s">
        <v>26</v>
      </c>
      <c r="M3594" s="16" t="s">
        <v>147</v>
      </c>
    </row>
    <row r="3595" spans="1:13" ht="13.5" customHeight="1" x14ac:dyDescent="0.25">
      <c r="I3595" s="16">
        <v>70</v>
      </c>
      <c r="L3595" s="16" t="s">
        <v>29</v>
      </c>
      <c r="M3595" s="15" t="s">
        <v>680</v>
      </c>
    </row>
    <row r="3596" spans="1:13" ht="13.5" customHeight="1" x14ac:dyDescent="0.25">
      <c r="M3596" s="15"/>
    </row>
    <row r="3597" spans="1:13" ht="13.5" customHeight="1" x14ac:dyDescent="0.25">
      <c r="A3597" s="16" t="s">
        <v>679</v>
      </c>
      <c r="B3597" s="16" t="s">
        <v>1</v>
      </c>
      <c r="C3597" s="16" t="s">
        <v>16</v>
      </c>
      <c r="D3597" s="15" t="s">
        <v>548</v>
      </c>
      <c r="E3597" s="15"/>
      <c r="F3597" s="28">
        <v>304.24</v>
      </c>
      <c r="G3597" s="16">
        <v>9.75</v>
      </c>
      <c r="H3597" s="16" t="s">
        <v>22</v>
      </c>
      <c r="I3597" s="16">
        <v>10</v>
      </c>
      <c r="L3597" s="16" t="s">
        <v>23</v>
      </c>
    </row>
    <row r="3598" spans="1:13" ht="13.5" customHeight="1" x14ac:dyDescent="0.25">
      <c r="I3598" s="16">
        <v>90</v>
      </c>
      <c r="L3598" s="16" t="s">
        <v>32</v>
      </c>
    </row>
    <row r="3599" spans="1:13" ht="13.5" customHeight="1" x14ac:dyDescent="0.25">
      <c r="I3599" s="16">
        <v>30</v>
      </c>
      <c r="L3599" s="16" t="s">
        <v>33</v>
      </c>
    </row>
    <row r="3600" spans="1:13" ht="13.5" customHeight="1" x14ac:dyDescent="0.25">
      <c r="I3600" s="16">
        <v>30</v>
      </c>
      <c r="L3600" s="16" t="s">
        <v>29</v>
      </c>
      <c r="M3600" s="15" t="s">
        <v>677</v>
      </c>
    </row>
    <row r="3601" spans="1:13" ht="13.5" customHeight="1" x14ac:dyDescent="0.25">
      <c r="I3601" s="16">
        <v>30</v>
      </c>
      <c r="L3601" s="16" t="s">
        <v>25</v>
      </c>
      <c r="M3601" s="16" t="s">
        <v>137</v>
      </c>
    </row>
    <row r="3602" spans="1:13" ht="13.5" customHeight="1" x14ac:dyDescent="0.25">
      <c r="I3602" s="16">
        <v>10</v>
      </c>
      <c r="L3602" s="16" t="s">
        <v>25</v>
      </c>
      <c r="M3602" s="16" t="s">
        <v>45</v>
      </c>
    </row>
    <row r="3603" spans="1:13" ht="13.5" customHeight="1" x14ac:dyDescent="0.25">
      <c r="I3603" s="16">
        <v>20</v>
      </c>
      <c r="L3603" s="16" t="s">
        <v>27</v>
      </c>
    </row>
    <row r="3604" spans="1:13" ht="13.5" customHeight="1" x14ac:dyDescent="0.25">
      <c r="I3604" s="16">
        <v>20</v>
      </c>
      <c r="L3604" s="16" t="s">
        <v>26</v>
      </c>
      <c r="M3604" s="16" t="s">
        <v>147</v>
      </c>
    </row>
    <row r="3605" spans="1:13" ht="13.5" customHeight="1" x14ac:dyDescent="0.25">
      <c r="I3605" s="16">
        <v>30</v>
      </c>
      <c r="L3605" s="16" t="s">
        <v>26</v>
      </c>
      <c r="M3605" s="15" t="s">
        <v>681</v>
      </c>
    </row>
    <row r="3606" spans="1:13" ht="13.5" customHeight="1" x14ac:dyDescent="0.25">
      <c r="I3606" s="16">
        <v>20</v>
      </c>
      <c r="L3606" s="16" t="s">
        <v>26</v>
      </c>
      <c r="M3606" s="16" t="s">
        <v>682</v>
      </c>
    </row>
    <row r="3607" spans="1:13" ht="13.5" customHeight="1" x14ac:dyDescent="0.25">
      <c r="I3607" s="16">
        <v>60</v>
      </c>
      <c r="L3607" s="16" t="s">
        <v>25</v>
      </c>
      <c r="M3607" s="16" t="s">
        <v>683</v>
      </c>
    </row>
    <row r="3609" spans="1:13" ht="13.5" customHeight="1" x14ac:dyDescent="0.25">
      <c r="A3609" s="16" t="s">
        <v>679</v>
      </c>
      <c r="B3609" s="16" t="s">
        <v>2</v>
      </c>
      <c r="C3609" s="16" t="s">
        <v>520</v>
      </c>
      <c r="D3609" s="16" t="s">
        <v>21</v>
      </c>
      <c r="F3609" s="28">
        <f>37.81+31.22+29.05+31.64+37.82+33.01+3.02</f>
        <v>203.57</v>
      </c>
      <c r="G3609" s="16">
        <v>6.25</v>
      </c>
      <c r="H3609" s="16" t="s">
        <v>22</v>
      </c>
      <c r="I3609" s="16">
        <v>10</v>
      </c>
      <c r="L3609" s="16" t="s">
        <v>23</v>
      </c>
      <c r="M3609" s="15"/>
    </row>
    <row r="3610" spans="1:13" ht="13.5" customHeight="1" x14ac:dyDescent="0.25">
      <c r="I3610" s="16">
        <v>70</v>
      </c>
      <c r="L3610" s="16" t="s">
        <v>32</v>
      </c>
    </row>
    <row r="3611" spans="1:13" ht="13.5" customHeight="1" x14ac:dyDescent="0.25">
      <c r="I3611" s="16">
        <v>30</v>
      </c>
      <c r="L3611" s="16" t="s">
        <v>33</v>
      </c>
    </row>
    <row r="3612" spans="1:13" ht="13.5" customHeight="1" x14ac:dyDescent="0.25">
      <c r="I3612" s="16">
        <v>70</v>
      </c>
      <c r="L3612" s="16" t="s">
        <v>29</v>
      </c>
      <c r="M3612" s="15" t="s">
        <v>686</v>
      </c>
    </row>
    <row r="3613" spans="1:13" ht="13.5" customHeight="1" x14ac:dyDescent="0.25">
      <c r="I3613" s="16">
        <v>30</v>
      </c>
      <c r="L3613" s="16" t="s">
        <v>25</v>
      </c>
      <c r="M3613" s="16" t="s">
        <v>45</v>
      </c>
    </row>
    <row r="3614" spans="1:13" ht="13.5" customHeight="1" x14ac:dyDescent="0.25">
      <c r="I3614" s="16">
        <v>10</v>
      </c>
      <c r="L3614" s="16" t="s">
        <v>27</v>
      </c>
      <c r="M3614" s="16" t="s">
        <v>147</v>
      </c>
    </row>
    <row r="3615" spans="1:13" ht="13.5" customHeight="1" x14ac:dyDescent="0.25">
      <c r="I3615" s="16">
        <v>20</v>
      </c>
      <c r="L3615" s="16" t="s">
        <v>26</v>
      </c>
    </row>
    <row r="3616" spans="1:13" ht="13.5" customHeight="1" x14ac:dyDescent="0.25">
      <c r="I3616" s="16">
        <v>10</v>
      </c>
      <c r="L3616" s="15" t="s">
        <v>168</v>
      </c>
      <c r="M3616" s="16" t="s">
        <v>117</v>
      </c>
    </row>
    <row r="3617" spans="1:13" ht="13.5" customHeight="1" x14ac:dyDescent="0.25">
      <c r="I3617" s="16">
        <v>90</v>
      </c>
      <c r="L3617" s="16" t="s">
        <v>25</v>
      </c>
      <c r="M3617" s="16" t="s">
        <v>684</v>
      </c>
    </row>
    <row r="3618" spans="1:13" ht="13.5" customHeight="1" x14ac:dyDescent="0.25">
      <c r="I3618" s="16">
        <v>50</v>
      </c>
      <c r="L3618" s="16" t="s">
        <v>26</v>
      </c>
      <c r="M3618" s="16" t="s">
        <v>685</v>
      </c>
    </row>
    <row r="3620" spans="1:13" ht="13.5" customHeight="1" x14ac:dyDescent="0.25">
      <c r="A3620" s="16" t="s">
        <v>687</v>
      </c>
      <c r="B3620" s="16" t="s">
        <v>0</v>
      </c>
      <c r="C3620" s="16" t="s">
        <v>15</v>
      </c>
      <c r="D3620" s="16" t="s">
        <v>20</v>
      </c>
      <c r="F3620" s="28">
        <v>304.72000000000003</v>
      </c>
      <c r="G3620" s="16">
        <v>9.25</v>
      </c>
      <c r="H3620" s="16" t="s">
        <v>22</v>
      </c>
      <c r="I3620" s="16">
        <v>10</v>
      </c>
      <c r="L3620" s="16" t="s">
        <v>23</v>
      </c>
    </row>
    <row r="3621" spans="1:13" ht="13.5" customHeight="1" x14ac:dyDescent="0.25">
      <c r="I3621" s="16">
        <v>100</v>
      </c>
      <c r="L3621" s="16" t="s">
        <v>32</v>
      </c>
    </row>
    <row r="3622" spans="1:13" ht="13.5" customHeight="1" x14ac:dyDescent="0.25">
      <c r="I3622" s="16">
        <v>30</v>
      </c>
      <c r="L3622" s="16" t="s">
        <v>33</v>
      </c>
    </row>
    <row r="3623" spans="1:13" ht="13.5" customHeight="1" x14ac:dyDescent="0.25">
      <c r="I3623" s="16">
        <v>30</v>
      </c>
      <c r="L3623" s="16" t="s">
        <v>29</v>
      </c>
      <c r="M3623" s="15"/>
    </row>
    <row r="3624" spans="1:13" ht="13.5" customHeight="1" x14ac:dyDescent="0.25">
      <c r="I3624" s="16">
        <v>15</v>
      </c>
      <c r="L3624" s="16" t="s">
        <v>25</v>
      </c>
      <c r="M3624" s="15" t="s">
        <v>36</v>
      </c>
    </row>
    <row r="3625" spans="1:13" ht="13.5" customHeight="1" x14ac:dyDescent="0.25">
      <c r="I3625" s="16">
        <v>30</v>
      </c>
      <c r="L3625" s="16" t="s">
        <v>25</v>
      </c>
      <c r="M3625" s="16" t="s">
        <v>137</v>
      </c>
    </row>
    <row r="3626" spans="1:13" ht="13.5" customHeight="1" x14ac:dyDescent="0.25">
      <c r="I3626" s="16">
        <v>20</v>
      </c>
      <c r="L3626" s="16" t="s">
        <v>25</v>
      </c>
      <c r="M3626" s="16" t="s">
        <v>45</v>
      </c>
    </row>
    <row r="3627" spans="1:13" ht="13.5" customHeight="1" x14ac:dyDescent="0.25">
      <c r="I3627" s="16">
        <v>15</v>
      </c>
      <c r="L3627" s="16" t="s">
        <v>27</v>
      </c>
    </row>
    <row r="3628" spans="1:13" ht="13.5" customHeight="1" x14ac:dyDescent="0.25">
      <c r="I3628" s="16">
        <v>15</v>
      </c>
      <c r="L3628" s="16" t="s">
        <v>26</v>
      </c>
      <c r="M3628" s="16" t="s">
        <v>147</v>
      </c>
    </row>
    <row r="3629" spans="1:13" ht="13.5" customHeight="1" x14ac:dyDescent="0.25">
      <c r="I3629" s="16">
        <v>60</v>
      </c>
      <c r="L3629" s="16" t="s">
        <v>26</v>
      </c>
      <c r="M3629" s="15" t="s">
        <v>688</v>
      </c>
    </row>
    <row r="3630" spans="1:13" ht="13.5" customHeight="1" x14ac:dyDescent="0.25">
      <c r="I3630" s="16">
        <v>40</v>
      </c>
      <c r="L3630" s="15" t="s">
        <v>690</v>
      </c>
      <c r="M3630" s="15" t="s">
        <v>689</v>
      </c>
    </row>
    <row r="3632" spans="1:13" ht="13.5" customHeight="1" x14ac:dyDescent="0.25">
      <c r="A3632" s="16" t="s">
        <v>691</v>
      </c>
      <c r="B3632" s="16" t="s">
        <v>1</v>
      </c>
      <c r="C3632" s="16" t="s">
        <v>16</v>
      </c>
      <c r="D3632" s="15" t="s">
        <v>548</v>
      </c>
      <c r="E3632" s="15"/>
      <c r="F3632" s="28">
        <v>273.47000000000003</v>
      </c>
      <c r="G3632" s="16">
        <v>8</v>
      </c>
      <c r="H3632" s="16" t="s">
        <v>22</v>
      </c>
      <c r="I3632" s="16">
        <v>10</v>
      </c>
      <c r="L3632" s="16" t="s">
        <v>23</v>
      </c>
    </row>
    <row r="3633" spans="1:13" ht="13.5" customHeight="1" x14ac:dyDescent="0.25">
      <c r="I3633" s="16">
        <v>80</v>
      </c>
      <c r="L3633" s="16" t="s">
        <v>32</v>
      </c>
    </row>
    <row r="3634" spans="1:13" ht="13.5" customHeight="1" x14ac:dyDescent="0.25">
      <c r="I3634" s="16">
        <v>40</v>
      </c>
      <c r="L3634" s="16" t="s">
        <v>33</v>
      </c>
      <c r="M3634" s="16" t="s">
        <v>692</v>
      </c>
    </row>
    <row r="3635" spans="1:13" ht="13.5" customHeight="1" x14ac:dyDescent="0.25">
      <c r="I3635" s="16">
        <v>20</v>
      </c>
      <c r="L3635" s="16" t="s">
        <v>29</v>
      </c>
      <c r="M3635" s="15" t="s">
        <v>677</v>
      </c>
    </row>
    <row r="3636" spans="1:13" ht="13.5" customHeight="1" x14ac:dyDescent="0.25">
      <c r="I3636" s="16">
        <v>20</v>
      </c>
      <c r="L3636" s="16" t="s">
        <v>25</v>
      </c>
      <c r="M3636" s="16" t="s">
        <v>137</v>
      </c>
    </row>
    <row r="3637" spans="1:13" ht="13.5" customHeight="1" x14ac:dyDescent="0.25">
      <c r="I3637" s="16">
        <v>10</v>
      </c>
      <c r="L3637" s="16" t="s">
        <v>25</v>
      </c>
      <c r="M3637" s="16" t="s">
        <v>45</v>
      </c>
    </row>
    <row r="3638" spans="1:13" ht="13.5" customHeight="1" x14ac:dyDescent="0.25">
      <c r="I3638" s="16">
        <v>20</v>
      </c>
      <c r="L3638" s="16" t="s">
        <v>27</v>
      </c>
    </row>
    <row r="3639" spans="1:13" ht="13.5" customHeight="1" x14ac:dyDescent="0.25">
      <c r="I3639" s="16">
        <v>20</v>
      </c>
      <c r="L3639" s="16" t="s">
        <v>26</v>
      </c>
      <c r="M3639" s="16" t="s">
        <v>147</v>
      </c>
    </row>
    <row r="3640" spans="1:13" ht="13.5" customHeight="1" x14ac:dyDescent="0.25">
      <c r="I3640" s="16">
        <v>140</v>
      </c>
      <c r="L3640" s="16" t="s">
        <v>25</v>
      </c>
      <c r="M3640" s="16" t="s">
        <v>693</v>
      </c>
    </row>
    <row r="3642" spans="1:13" ht="13.5" customHeight="1" x14ac:dyDescent="0.25">
      <c r="A3642" s="16" t="s">
        <v>691</v>
      </c>
      <c r="B3642" s="16" t="s">
        <v>2</v>
      </c>
      <c r="C3642" s="16" t="s">
        <v>520</v>
      </c>
      <c r="D3642" s="16" t="s">
        <v>21</v>
      </c>
      <c r="F3642" s="28">
        <f>36.13+31.55+31.1+31.01+32.53+37.7+35.94+37.86+24.47+38.05</f>
        <v>336.34</v>
      </c>
      <c r="G3642" s="16">
        <v>10</v>
      </c>
      <c r="H3642" s="16" t="s">
        <v>22</v>
      </c>
      <c r="I3642" s="16">
        <v>10</v>
      </c>
      <c r="L3642" s="16" t="s">
        <v>23</v>
      </c>
      <c r="M3642" s="15"/>
    </row>
    <row r="3643" spans="1:13" ht="13.5" customHeight="1" x14ac:dyDescent="0.25">
      <c r="I3643" s="16">
        <v>100</v>
      </c>
      <c r="L3643" s="16" t="s">
        <v>32</v>
      </c>
    </row>
    <row r="3644" spans="1:13" ht="13.5" customHeight="1" x14ac:dyDescent="0.25">
      <c r="I3644" s="16">
        <v>30</v>
      </c>
      <c r="L3644" s="16" t="s">
        <v>33</v>
      </c>
    </row>
    <row r="3645" spans="1:13" ht="13.5" customHeight="1" x14ac:dyDescent="0.25">
      <c r="I3645" s="16">
        <v>40</v>
      </c>
      <c r="L3645" s="16" t="s">
        <v>29</v>
      </c>
      <c r="M3645" s="15"/>
    </row>
    <row r="3646" spans="1:13" ht="13.5" customHeight="1" x14ac:dyDescent="0.25">
      <c r="I3646" s="16">
        <v>30</v>
      </c>
      <c r="L3646" s="16" t="s">
        <v>25</v>
      </c>
      <c r="M3646" s="16" t="s">
        <v>45</v>
      </c>
    </row>
    <row r="3647" spans="1:13" ht="13.5" customHeight="1" x14ac:dyDescent="0.25">
      <c r="I3647" s="16">
        <v>10</v>
      </c>
      <c r="L3647" s="16" t="s">
        <v>27</v>
      </c>
      <c r="M3647" s="16" t="s">
        <v>147</v>
      </c>
    </row>
    <row r="3648" spans="1:13" ht="13.5" customHeight="1" x14ac:dyDescent="0.25">
      <c r="I3648" s="16">
        <v>20</v>
      </c>
      <c r="L3648" s="16" t="s">
        <v>26</v>
      </c>
    </row>
    <row r="3649" spans="1:13" ht="13.5" customHeight="1" x14ac:dyDescent="0.25">
      <c r="I3649" s="16">
        <v>10</v>
      </c>
      <c r="L3649" s="15" t="s">
        <v>168</v>
      </c>
      <c r="M3649" s="16" t="s">
        <v>117</v>
      </c>
    </row>
    <row r="3650" spans="1:13" ht="13.5" customHeight="1" x14ac:dyDescent="0.25">
      <c r="I3650" s="16">
        <v>40</v>
      </c>
      <c r="L3650" s="16" t="s">
        <v>25</v>
      </c>
      <c r="M3650" s="16" t="s">
        <v>694</v>
      </c>
    </row>
    <row r="3652" spans="1:13" ht="13.5" customHeight="1" x14ac:dyDescent="0.25">
      <c r="A3652" s="16" t="s">
        <v>695</v>
      </c>
      <c r="B3652" s="16" t="s">
        <v>0</v>
      </c>
      <c r="C3652" s="16" t="s">
        <v>15</v>
      </c>
      <c r="D3652" s="16" t="s">
        <v>20</v>
      </c>
      <c r="F3652" s="28">
        <v>309.12</v>
      </c>
      <c r="G3652" s="16">
        <v>10</v>
      </c>
      <c r="H3652" s="16" t="s">
        <v>22</v>
      </c>
      <c r="I3652" s="16">
        <v>10</v>
      </c>
      <c r="L3652" s="16" t="s">
        <v>23</v>
      </c>
    </row>
    <row r="3653" spans="1:13" ht="13.5" customHeight="1" x14ac:dyDescent="0.25">
      <c r="I3653" s="16">
        <v>100</v>
      </c>
      <c r="L3653" s="16" t="s">
        <v>32</v>
      </c>
    </row>
    <row r="3654" spans="1:13" ht="13.5" customHeight="1" x14ac:dyDescent="0.25">
      <c r="I3654" s="16">
        <v>30</v>
      </c>
      <c r="L3654" s="16" t="s">
        <v>33</v>
      </c>
    </row>
    <row r="3655" spans="1:13" ht="13.5" customHeight="1" x14ac:dyDescent="0.25">
      <c r="I3655" s="16">
        <v>40</v>
      </c>
      <c r="L3655" s="16" t="s">
        <v>29</v>
      </c>
      <c r="M3655" s="15"/>
    </row>
    <row r="3656" spans="1:13" ht="13.5" customHeight="1" x14ac:dyDescent="0.25">
      <c r="I3656" s="16">
        <v>20</v>
      </c>
      <c r="L3656" s="16" t="s">
        <v>25</v>
      </c>
      <c r="M3656" s="15" t="s">
        <v>36</v>
      </c>
    </row>
    <row r="3657" spans="1:13" ht="13.5" customHeight="1" x14ac:dyDescent="0.25">
      <c r="I3657" s="16">
        <v>30</v>
      </c>
      <c r="L3657" s="16" t="s">
        <v>25</v>
      </c>
      <c r="M3657" s="16" t="s">
        <v>137</v>
      </c>
    </row>
    <row r="3658" spans="1:13" ht="13.5" customHeight="1" x14ac:dyDescent="0.25">
      <c r="I3658" s="16">
        <v>20</v>
      </c>
      <c r="L3658" s="16" t="s">
        <v>25</v>
      </c>
      <c r="M3658" s="16" t="s">
        <v>45</v>
      </c>
    </row>
    <row r="3659" spans="1:13" ht="13.5" customHeight="1" x14ac:dyDescent="0.25">
      <c r="I3659" s="16">
        <v>10</v>
      </c>
      <c r="L3659" s="16" t="s">
        <v>27</v>
      </c>
    </row>
    <row r="3660" spans="1:13" ht="13.5" customHeight="1" x14ac:dyDescent="0.25">
      <c r="I3660" s="16">
        <v>20</v>
      </c>
      <c r="L3660" s="16" t="s">
        <v>26</v>
      </c>
      <c r="M3660" s="16" t="s">
        <v>147</v>
      </c>
    </row>
    <row r="3661" spans="1:13" ht="13.5" customHeight="1" x14ac:dyDescent="0.25">
      <c r="I3661" s="16">
        <v>40</v>
      </c>
      <c r="L3661" s="15" t="s">
        <v>690</v>
      </c>
      <c r="M3661" s="16" t="s">
        <v>694</v>
      </c>
    </row>
    <row r="3663" spans="1:13" ht="13.5" customHeight="1" x14ac:dyDescent="0.25">
      <c r="A3663" s="16" t="s">
        <v>696</v>
      </c>
      <c r="B3663" s="16" t="s">
        <v>1</v>
      </c>
      <c r="C3663" s="16" t="s">
        <v>16</v>
      </c>
      <c r="D3663" s="15" t="s">
        <v>548</v>
      </c>
      <c r="E3663" s="15"/>
      <c r="F3663" s="28">
        <v>268.44</v>
      </c>
      <c r="G3663" s="16">
        <v>8.5</v>
      </c>
      <c r="H3663" s="16" t="s">
        <v>22</v>
      </c>
      <c r="I3663" s="16">
        <v>10</v>
      </c>
      <c r="L3663" s="16" t="s">
        <v>23</v>
      </c>
    </row>
    <row r="3664" spans="1:13" ht="13.5" customHeight="1" x14ac:dyDescent="0.25">
      <c r="I3664" s="16">
        <v>90</v>
      </c>
      <c r="L3664" s="16" t="s">
        <v>32</v>
      </c>
    </row>
    <row r="3665" spans="1:13" ht="13.5" customHeight="1" x14ac:dyDescent="0.25">
      <c r="I3665" s="16">
        <v>30</v>
      </c>
      <c r="L3665" s="16" t="s">
        <v>33</v>
      </c>
      <c r="M3665" s="16" t="s">
        <v>692</v>
      </c>
    </row>
    <row r="3666" spans="1:13" ht="13.5" customHeight="1" x14ac:dyDescent="0.25">
      <c r="I3666" s="16">
        <v>20</v>
      </c>
      <c r="L3666" s="16" t="s">
        <v>29</v>
      </c>
      <c r="M3666" s="15" t="s">
        <v>677</v>
      </c>
    </row>
    <row r="3667" spans="1:13" ht="13.5" customHeight="1" x14ac:dyDescent="0.25">
      <c r="I3667" s="16">
        <v>20</v>
      </c>
      <c r="L3667" s="16" t="s">
        <v>25</v>
      </c>
      <c r="M3667" s="16" t="s">
        <v>137</v>
      </c>
    </row>
    <row r="3668" spans="1:13" ht="13.5" customHeight="1" x14ac:dyDescent="0.25">
      <c r="I3668" s="16">
        <v>10</v>
      </c>
      <c r="L3668" s="16" t="s">
        <v>25</v>
      </c>
      <c r="M3668" s="16" t="s">
        <v>45</v>
      </c>
    </row>
    <row r="3669" spans="1:13" ht="13.5" customHeight="1" x14ac:dyDescent="0.25">
      <c r="I3669" s="16">
        <v>20</v>
      </c>
      <c r="L3669" s="16" t="s">
        <v>27</v>
      </c>
    </row>
    <row r="3670" spans="1:13" ht="13.5" customHeight="1" x14ac:dyDescent="0.25">
      <c r="I3670" s="16">
        <v>20</v>
      </c>
      <c r="L3670" s="16" t="s">
        <v>26</v>
      </c>
      <c r="M3670" s="16" t="s">
        <v>147</v>
      </c>
    </row>
    <row r="3671" spans="1:13" ht="13.5" customHeight="1" x14ac:dyDescent="0.25">
      <c r="I3671" s="16">
        <v>20</v>
      </c>
      <c r="L3671" s="16" t="s">
        <v>342</v>
      </c>
      <c r="M3671" s="16" t="s">
        <v>119</v>
      </c>
    </row>
    <row r="3672" spans="1:13" ht="13.5" customHeight="1" x14ac:dyDescent="0.25">
      <c r="I3672" s="16">
        <v>45</v>
      </c>
      <c r="L3672" s="16" t="s">
        <v>26</v>
      </c>
      <c r="M3672" s="16" t="s">
        <v>186</v>
      </c>
    </row>
    <row r="3673" spans="1:13" ht="13.5" customHeight="1" x14ac:dyDescent="0.25">
      <c r="I3673" s="16">
        <v>60</v>
      </c>
      <c r="L3673" s="15" t="s">
        <v>690</v>
      </c>
      <c r="M3673" s="16" t="s">
        <v>693</v>
      </c>
    </row>
    <row r="3674" spans="1:13" ht="13.5" customHeight="1" x14ac:dyDescent="0.25">
      <c r="I3674" s="16">
        <v>30</v>
      </c>
      <c r="L3674" s="16" t="s">
        <v>26</v>
      </c>
      <c r="M3674" s="16" t="s">
        <v>697</v>
      </c>
    </row>
    <row r="3676" spans="1:13" ht="13.5" customHeight="1" x14ac:dyDescent="0.25">
      <c r="A3676" s="16" t="s">
        <v>696</v>
      </c>
      <c r="B3676" s="16" t="s">
        <v>2</v>
      </c>
      <c r="C3676" s="16" t="s">
        <v>520</v>
      </c>
      <c r="D3676" s="16" t="s">
        <v>21</v>
      </c>
      <c r="F3676" s="27">
        <f>4.69+4.69+2.36+1.09+31.07+37.47+24.84+29.12+37.51+9.39+9.36</f>
        <v>191.59000000000003</v>
      </c>
      <c r="G3676" s="16">
        <v>6</v>
      </c>
      <c r="H3676" s="16" t="s">
        <v>22</v>
      </c>
      <c r="I3676" s="16">
        <v>10</v>
      </c>
      <c r="L3676" s="16" t="s">
        <v>23</v>
      </c>
      <c r="M3676" s="15"/>
    </row>
    <row r="3677" spans="1:13" ht="13.5" customHeight="1" x14ac:dyDescent="0.25">
      <c r="I3677" s="16">
        <v>70</v>
      </c>
      <c r="L3677" s="16" t="s">
        <v>32</v>
      </c>
    </row>
    <row r="3678" spans="1:13" ht="13.5" customHeight="1" x14ac:dyDescent="0.25">
      <c r="I3678" s="16">
        <v>20</v>
      </c>
      <c r="L3678" s="16" t="s">
        <v>33</v>
      </c>
    </row>
    <row r="3679" spans="1:13" ht="13.5" customHeight="1" x14ac:dyDescent="0.25">
      <c r="I3679" s="16">
        <v>20</v>
      </c>
      <c r="L3679" s="16" t="s">
        <v>29</v>
      </c>
      <c r="M3679" s="15"/>
    </row>
    <row r="3680" spans="1:13" ht="13.5" customHeight="1" x14ac:dyDescent="0.25">
      <c r="I3680" s="16">
        <v>10</v>
      </c>
      <c r="L3680" s="16" t="s">
        <v>25</v>
      </c>
      <c r="M3680" s="16" t="s">
        <v>45</v>
      </c>
    </row>
    <row r="3681" spans="1:13" ht="13.5" customHeight="1" x14ac:dyDescent="0.25">
      <c r="I3681" s="16">
        <v>20</v>
      </c>
      <c r="L3681" s="16" t="s">
        <v>27</v>
      </c>
      <c r="M3681" s="16" t="s">
        <v>147</v>
      </c>
    </row>
    <row r="3682" spans="1:13" ht="13.5" customHeight="1" x14ac:dyDescent="0.25">
      <c r="I3682" s="16">
        <v>20</v>
      </c>
      <c r="L3682" s="16" t="s">
        <v>26</v>
      </c>
    </row>
    <row r="3683" spans="1:13" ht="13.5" customHeight="1" x14ac:dyDescent="0.25">
      <c r="I3683" s="16">
        <v>210</v>
      </c>
      <c r="L3683" s="16" t="s">
        <v>25</v>
      </c>
      <c r="M3683" s="16" t="s">
        <v>694</v>
      </c>
    </row>
    <row r="3685" spans="1:13" ht="13.5" customHeight="1" x14ac:dyDescent="0.25">
      <c r="A3685" s="16" t="s">
        <v>698</v>
      </c>
      <c r="B3685" s="16" t="s">
        <v>0</v>
      </c>
      <c r="C3685" s="16" t="s">
        <v>15</v>
      </c>
      <c r="D3685" s="16" t="s">
        <v>20</v>
      </c>
      <c r="F3685" s="28">
        <v>306.97000000000003</v>
      </c>
      <c r="G3685" s="16">
        <v>9.25</v>
      </c>
      <c r="H3685" s="16" t="s">
        <v>22</v>
      </c>
      <c r="I3685" s="16">
        <v>10</v>
      </c>
      <c r="L3685" s="16" t="s">
        <v>23</v>
      </c>
    </row>
    <row r="3686" spans="1:13" ht="13.5" customHeight="1" x14ac:dyDescent="0.25">
      <c r="I3686" s="16">
        <v>90</v>
      </c>
      <c r="L3686" s="16" t="s">
        <v>32</v>
      </c>
    </row>
    <row r="3687" spans="1:13" ht="13.5" customHeight="1" x14ac:dyDescent="0.25">
      <c r="I3687" s="16">
        <v>20</v>
      </c>
      <c r="L3687" s="16" t="s">
        <v>33</v>
      </c>
    </row>
    <row r="3688" spans="1:13" ht="13.5" customHeight="1" x14ac:dyDescent="0.25">
      <c r="I3688" s="16">
        <v>40</v>
      </c>
      <c r="L3688" s="16" t="s">
        <v>29</v>
      </c>
      <c r="M3688" s="15"/>
    </row>
    <row r="3689" spans="1:13" ht="13.5" customHeight="1" x14ac:dyDescent="0.25">
      <c r="I3689" s="16">
        <v>20</v>
      </c>
      <c r="L3689" s="16" t="s">
        <v>25</v>
      </c>
      <c r="M3689" s="15" t="s">
        <v>36</v>
      </c>
    </row>
    <row r="3690" spans="1:13" ht="13.5" customHeight="1" x14ac:dyDescent="0.25">
      <c r="I3690" s="16">
        <v>30</v>
      </c>
      <c r="L3690" s="16" t="s">
        <v>25</v>
      </c>
      <c r="M3690" s="16" t="s">
        <v>137</v>
      </c>
    </row>
    <row r="3691" spans="1:13" ht="13.5" customHeight="1" x14ac:dyDescent="0.25">
      <c r="I3691" s="16">
        <v>10</v>
      </c>
      <c r="L3691" s="16" t="s">
        <v>27</v>
      </c>
    </row>
    <row r="3692" spans="1:13" ht="13.5" customHeight="1" x14ac:dyDescent="0.25">
      <c r="I3692" s="16">
        <v>20</v>
      </c>
      <c r="L3692" s="16" t="s">
        <v>26</v>
      </c>
      <c r="M3692" s="16" t="s">
        <v>147</v>
      </c>
    </row>
    <row r="3693" spans="1:13" ht="13.5" customHeight="1" x14ac:dyDescent="0.25">
      <c r="I3693" s="16">
        <v>70</v>
      </c>
      <c r="L3693" s="16" t="s">
        <v>26</v>
      </c>
      <c r="M3693" s="15" t="s">
        <v>699</v>
      </c>
    </row>
    <row r="3694" spans="1:13" ht="13.5" customHeight="1" x14ac:dyDescent="0.25">
      <c r="I3694" s="16">
        <v>50</v>
      </c>
      <c r="L3694" s="15" t="s">
        <v>690</v>
      </c>
      <c r="M3694" s="16" t="s">
        <v>694</v>
      </c>
    </row>
    <row r="3696" spans="1:13" ht="13.5" customHeight="1" x14ac:dyDescent="0.25">
      <c r="A3696" s="16" t="s">
        <v>698</v>
      </c>
      <c r="B3696" s="16" t="s">
        <v>1</v>
      </c>
      <c r="C3696" s="16" t="s">
        <v>16</v>
      </c>
      <c r="D3696" s="15" t="s">
        <v>548</v>
      </c>
      <c r="E3696" s="15"/>
      <c r="F3696" s="28">
        <v>276.52999999999997</v>
      </c>
      <c r="G3696" s="16">
        <v>10</v>
      </c>
      <c r="H3696" s="16" t="s">
        <v>22</v>
      </c>
      <c r="I3696" s="16">
        <v>10</v>
      </c>
      <c r="L3696" s="16" t="s">
        <v>23</v>
      </c>
    </row>
    <row r="3697" spans="1:13" ht="13.5" customHeight="1" x14ac:dyDescent="0.25">
      <c r="I3697" s="16">
        <v>100</v>
      </c>
      <c r="L3697" s="16" t="s">
        <v>32</v>
      </c>
    </row>
    <row r="3698" spans="1:13" ht="13.5" customHeight="1" x14ac:dyDescent="0.25">
      <c r="I3698" s="16">
        <v>40</v>
      </c>
      <c r="L3698" s="16" t="s">
        <v>33</v>
      </c>
      <c r="M3698" s="16" t="s">
        <v>692</v>
      </c>
    </row>
    <row r="3699" spans="1:13" ht="13.5" customHeight="1" x14ac:dyDescent="0.25">
      <c r="I3699" s="16">
        <v>20</v>
      </c>
      <c r="L3699" s="16" t="s">
        <v>29</v>
      </c>
      <c r="M3699" s="15" t="s">
        <v>677</v>
      </c>
    </row>
    <row r="3700" spans="1:13" ht="13.5" customHeight="1" x14ac:dyDescent="0.25">
      <c r="I3700" s="16">
        <v>20</v>
      </c>
      <c r="L3700" s="16" t="s">
        <v>25</v>
      </c>
      <c r="M3700" s="16" t="s">
        <v>137</v>
      </c>
    </row>
    <row r="3701" spans="1:13" ht="13.5" customHeight="1" x14ac:dyDescent="0.25">
      <c r="I3701" s="16">
        <v>20</v>
      </c>
      <c r="L3701" s="16" t="s">
        <v>25</v>
      </c>
      <c r="M3701" s="16" t="s">
        <v>45</v>
      </c>
    </row>
    <row r="3702" spans="1:13" ht="13.5" customHeight="1" x14ac:dyDescent="0.25">
      <c r="I3702" s="16">
        <v>20</v>
      </c>
      <c r="L3702" s="16" t="s">
        <v>27</v>
      </c>
    </row>
    <row r="3703" spans="1:13" ht="13.5" customHeight="1" x14ac:dyDescent="0.25">
      <c r="I3703" s="16">
        <v>20</v>
      </c>
      <c r="L3703" s="16" t="s">
        <v>26</v>
      </c>
      <c r="M3703" s="16" t="s">
        <v>147</v>
      </c>
    </row>
    <row r="3704" spans="1:13" ht="13.5" customHeight="1" x14ac:dyDescent="0.25">
      <c r="I3704" s="16">
        <v>90</v>
      </c>
      <c r="L3704" s="16" t="s">
        <v>24</v>
      </c>
      <c r="M3704" s="31" t="s">
        <v>700</v>
      </c>
    </row>
    <row r="3706" spans="1:13" ht="13.5" customHeight="1" x14ac:dyDescent="0.25">
      <c r="A3706" s="16" t="s">
        <v>698</v>
      </c>
      <c r="B3706" s="16" t="s">
        <v>2</v>
      </c>
      <c r="C3706" s="16" t="s">
        <v>6</v>
      </c>
      <c r="D3706" s="16" t="s">
        <v>21</v>
      </c>
      <c r="F3706" s="28">
        <f>23.12+29.02+37.61+37.84+31.52+27.58+31.85+30.13+26.03+8.42</f>
        <v>283.12</v>
      </c>
      <c r="G3706" s="16">
        <v>9.25</v>
      </c>
      <c r="H3706" s="16" t="s">
        <v>22</v>
      </c>
      <c r="I3706" s="16">
        <v>10</v>
      </c>
      <c r="L3706" s="16" t="s">
        <v>23</v>
      </c>
      <c r="M3706" s="15"/>
    </row>
    <row r="3707" spans="1:13" ht="13.5" customHeight="1" x14ac:dyDescent="0.25">
      <c r="I3707" s="16">
        <v>100</v>
      </c>
      <c r="L3707" s="16" t="s">
        <v>32</v>
      </c>
    </row>
    <row r="3708" spans="1:13" ht="13.5" customHeight="1" x14ac:dyDescent="0.25">
      <c r="I3708" s="16">
        <v>30</v>
      </c>
      <c r="L3708" s="16" t="s">
        <v>33</v>
      </c>
    </row>
    <row r="3709" spans="1:13" ht="13.5" customHeight="1" x14ac:dyDescent="0.25">
      <c r="I3709" s="16">
        <v>40</v>
      </c>
      <c r="L3709" s="16" t="s">
        <v>29</v>
      </c>
      <c r="M3709" s="15"/>
    </row>
    <row r="3710" spans="1:13" ht="13.5" customHeight="1" x14ac:dyDescent="0.25">
      <c r="I3710" s="16">
        <v>30</v>
      </c>
      <c r="L3710" s="16" t="s">
        <v>25</v>
      </c>
      <c r="M3710" s="16" t="s">
        <v>45</v>
      </c>
    </row>
    <row r="3711" spans="1:13" ht="13.5" customHeight="1" x14ac:dyDescent="0.25">
      <c r="I3711" s="16">
        <v>10</v>
      </c>
      <c r="L3711" s="16" t="s">
        <v>27</v>
      </c>
    </row>
    <row r="3712" spans="1:13" ht="13.5" customHeight="1" x14ac:dyDescent="0.25">
      <c r="I3712" s="16">
        <v>20</v>
      </c>
      <c r="L3712" s="16" t="s">
        <v>26</v>
      </c>
      <c r="M3712" s="16" t="s">
        <v>147</v>
      </c>
    </row>
    <row r="3713" spans="1:13" ht="13.5" customHeight="1" x14ac:dyDescent="0.25">
      <c r="I3713" s="16">
        <v>40</v>
      </c>
      <c r="L3713" s="16" t="s">
        <v>26</v>
      </c>
      <c r="M3713" s="15" t="s">
        <v>112</v>
      </c>
    </row>
    <row r="3715" spans="1:13" ht="13.5" customHeight="1" x14ac:dyDescent="0.25">
      <c r="A3715" s="16" t="s">
        <v>701</v>
      </c>
      <c r="B3715" s="16" t="s">
        <v>0</v>
      </c>
      <c r="C3715" s="16" t="s">
        <v>15</v>
      </c>
      <c r="D3715" s="15" t="s">
        <v>548</v>
      </c>
      <c r="E3715" s="15"/>
      <c r="F3715" s="28">
        <v>280.95</v>
      </c>
      <c r="G3715" s="16">
        <v>9.75</v>
      </c>
      <c r="H3715" s="16" t="s">
        <v>22</v>
      </c>
      <c r="I3715" s="16">
        <v>10</v>
      </c>
      <c r="L3715" s="16" t="s">
        <v>23</v>
      </c>
    </row>
    <row r="3716" spans="1:13" ht="13.5" customHeight="1" x14ac:dyDescent="0.25">
      <c r="I3716" s="16">
        <v>90</v>
      </c>
      <c r="L3716" s="16" t="s">
        <v>32</v>
      </c>
    </row>
    <row r="3717" spans="1:13" ht="13.5" customHeight="1" x14ac:dyDescent="0.25">
      <c r="I3717" s="16">
        <v>30</v>
      </c>
      <c r="L3717" s="16" t="s">
        <v>33</v>
      </c>
      <c r="M3717" s="16" t="s">
        <v>692</v>
      </c>
    </row>
    <row r="3718" spans="1:13" ht="13.5" customHeight="1" x14ac:dyDescent="0.25">
      <c r="I3718" s="16">
        <v>20</v>
      </c>
      <c r="L3718" s="16" t="s">
        <v>29</v>
      </c>
      <c r="M3718" s="15" t="s">
        <v>677</v>
      </c>
    </row>
    <row r="3719" spans="1:13" ht="13.5" customHeight="1" x14ac:dyDescent="0.25">
      <c r="I3719" s="16">
        <v>20</v>
      </c>
      <c r="L3719" s="16" t="s">
        <v>25</v>
      </c>
      <c r="M3719" s="16" t="s">
        <v>137</v>
      </c>
    </row>
    <row r="3720" spans="1:13" ht="13.5" customHeight="1" x14ac:dyDescent="0.25">
      <c r="I3720" s="16">
        <v>20</v>
      </c>
      <c r="L3720" s="16" t="s">
        <v>25</v>
      </c>
      <c r="M3720" s="16" t="s">
        <v>45</v>
      </c>
    </row>
    <row r="3721" spans="1:13" ht="13.5" customHeight="1" x14ac:dyDescent="0.25">
      <c r="I3721" s="16">
        <v>20</v>
      </c>
      <c r="L3721" s="16" t="s">
        <v>27</v>
      </c>
    </row>
    <row r="3722" spans="1:13" ht="13.5" customHeight="1" x14ac:dyDescent="0.25">
      <c r="I3722" s="16">
        <v>20</v>
      </c>
      <c r="L3722" s="16" t="s">
        <v>26</v>
      </c>
      <c r="M3722" s="16" t="s">
        <v>147</v>
      </c>
    </row>
    <row r="3723" spans="1:13" ht="13.5" customHeight="1" x14ac:dyDescent="0.25">
      <c r="I3723" s="16">
        <v>85</v>
      </c>
      <c r="L3723" s="16" t="s">
        <v>26</v>
      </c>
      <c r="M3723" s="16" t="s">
        <v>702</v>
      </c>
    </row>
    <row r="3724" spans="1:13" ht="13.5" customHeight="1" x14ac:dyDescent="0.25">
      <c r="I3724" s="16">
        <v>20</v>
      </c>
      <c r="L3724" s="16" t="s">
        <v>24</v>
      </c>
      <c r="M3724" s="16" t="s">
        <v>117</v>
      </c>
    </row>
    <row r="3725" spans="1:13" ht="13.5" customHeight="1" x14ac:dyDescent="0.25">
      <c r="I3725" s="16">
        <v>20</v>
      </c>
      <c r="L3725" s="16" t="s">
        <v>24</v>
      </c>
      <c r="M3725" s="16" t="s">
        <v>703</v>
      </c>
    </row>
    <row r="3727" spans="1:13" ht="13.5" customHeight="1" x14ac:dyDescent="0.25">
      <c r="A3727" s="16" t="s">
        <v>701</v>
      </c>
      <c r="B3727" s="16" t="s">
        <v>1</v>
      </c>
      <c r="C3727" s="16" t="s">
        <v>520</v>
      </c>
      <c r="D3727" s="16" t="s">
        <v>21</v>
      </c>
      <c r="F3727" s="28">
        <v>347.02800000000002</v>
      </c>
      <c r="G3727" s="16">
        <v>11</v>
      </c>
      <c r="H3727" s="16" t="s">
        <v>22</v>
      </c>
      <c r="I3727" s="16">
        <v>10</v>
      </c>
      <c r="L3727" s="16" t="s">
        <v>23</v>
      </c>
    </row>
    <row r="3728" spans="1:13" ht="13.5" customHeight="1" x14ac:dyDescent="0.25">
      <c r="I3728" s="16">
        <v>110</v>
      </c>
      <c r="L3728" s="16" t="s">
        <v>32</v>
      </c>
    </row>
    <row r="3729" spans="1:13" ht="13.5" customHeight="1" x14ac:dyDescent="0.25">
      <c r="I3729" s="16">
        <v>30</v>
      </c>
      <c r="L3729" s="16" t="s">
        <v>33</v>
      </c>
    </row>
    <row r="3730" spans="1:13" ht="13.5" customHeight="1" x14ac:dyDescent="0.25">
      <c r="I3730" s="16">
        <v>30</v>
      </c>
      <c r="L3730" s="16" t="s">
        <v>29</v>
      </c>
      <c r="M3730" s="15"/>
    </row>
    <row r="3731" spans="1:13" ht="13.5" customHeight="1" x14ac:dyDescent="0.25">
      <c r="I3731" s="16">
        <v>20</v>
      </c>
      <c r="L3731" s="16" t="s">
        <v>25</v>
      </c>
      <c r="M3731" s="16" t="s">
        <v>137</v>
      </c>
    </row>
    <row r="3732" spans="1:13" ht="13.5" customHeight="1" x14ac:dyDescent="0.25">
      <c r="I3732" s="16">
        <v>20</v>
      </c>
      <c r="L3732" s="16" t="s">
        <v>25</v>
      </c>
      <c r="M3732" s="16" t="s">
        <v>45</v>
      </c>
    </row>
    <row r="3733" spans="1:13" ht="19.5" customHeight="1" x14ac:dyDescent="0.25">
      <c r="I3733" s="16">
        <v>20</v>
      </c>
      <c r="L3733" s="16" t="s">
        <v>27</v>
      </c>
    </row>
    <row r="3734" spans="1:13" ht="13.5" customHeight="1" x14ac:dyDescent="0.25">
      <c r="I3734" s="16">
        <v>20</v>
      </c>
      <c r="L3734" s="16" t="s">
        <v>26</v>
      </c>
      <c r="M3734" s="16" t="s">
        <v>147</v>
      </c>
    </row>
    <row r="3736" spans="1:13" ht="13.5" customHeight="1" x14ac:dyDescent="0.25">
      <c r="A3736" s="16" t="s">
        <v>704</v>
      </c>
      <c r="B3736" s="16" t="s">
        <v>2</v>
      </c>
      <c r="C3736" s="16" t="s">
        <v>7</v>
      </c>
      <c r="D3736" s="16" t="s">
        <v>20</v>
      </c>
      <c r="F3736" s="28">
        <v>335.44</v>
      </c>
      <c r="G3736" s="16">
        <v>11</v>
      </c>
      <c r="H3736" s="16" t="s">
        <v>22</v>
      </c>
      <c r="I3736" s="16">
        <v>10</v>
      </c>
      <c r="L3736" s="16" t="s">
        <v>23</v>
      </c>
    </row>
    <row r="3737" spans="1:13" ht="13.5" customHeight="1" x14ac:dyDescent="0.25">
      <c r="I3737" s="16">
        <v>110</v>
      </c>
      <c r="L3737" s="16" t="s">
        <v>32</v>
      </c>
    </row>
    <row r="3738" spans="1:13" ht="13.5" customHeight="1" x14ac:dyDescent="0.25">
      <c r="I3738" s="16">
        <v>30</v>
      </c>
      <c r="L3738" s="16" t="s">
        <v>33</v>
      </c>
    </row>
    <row r="3739" spans="1:13" ht="13.5" customHeight="1" x14ac:dyDescent="0.25">
      <c r="I3739" s="16">
        <v>30</v>
      </c>
      <c r="L3739" s="16" t="s">
        <v>29</v>
      </c>
      <c r="M3739" s="15"/>
    </row>
    <row r="3740" spans="1:13" ht="13.5" customHeight="1" x14ac:dyDescent="0.25">
      <c r="I3740" s="16">
        <v>40</v>
      </c>
      <c r="L3740" s="16" t="s">
        <v>25</v>
      </c>
      <c r="M3740" s="16" t="s">
        <v>137</v>
      </c>
    </row>
    <row r="3741" spans="1:13" ht="13.5" customHeight="1" x14ac:dyDescent="0.25">
      <c r="I3741" s="16">
        <v>20</v>
      </c>
      <c r="L3741" s="16" t="s">
        <v>25</v>
      </c>
      <c r="M3741" s="16" t="s">
        <v>45</v>
      </c>
    </row>
    <row r="3742" spans="1:13" ht="13.5" customHeight="1" x14ac:dyDescent="0.25">
      <c r="I3742" s="16">
        <v>20</v>
      </c>
      <c r="L3742" s="16" t="s">
        <v>27</v>
      </c>
    </row>
    <row r="3743" spans="1:13" ht="13.5" customHeight="1" x14ac:dyDescent="0.25">
      <c r="I3743" s="16">
        <v>20</v>
      </c>
      <c r="L3743" s="16" t="s">
        <v>26</v>
      </c>
      <c r="M3743" s="16" t="s">
        <v>147</v>
      </c>
    </row>
    <row r="3747" spans="1:13" ht="13.5" customHeight="1" x14ac:dyDescent="0.25">
      <c r="A3747" s="16" t="s">
        <v>705</v>
      </c>
      <c r="B3747" s="16" t="s">
        <v>0</v>
      </c>
      <c r="C3747" s="16" t="s">
        <v>15</v>
      </c>
      <c r="D3747" s="15" t="s">
        <v>548</v>
      </c>
      <c r="E3747" s="15"/>
      <c r="F3747" s="28">
        <v>270.04399999999998</v>
      </c>
      <c r="G3747" s="16">
        <v>8.75</v>
      </c>
      <c r="H3747" s="16" t="s">
        <v>22</v>
      </c>
      <c r="I3747" s="16">
        <v>10</v>
      </c>
      <c r="L3747" s="16" t="s">
        <v>23</v>
      </c>
    </row>
    <row r="3748" spans="1:13" ht="13.5" customHeight="1" x14ac:dyDescent="0.25">
      <c r="I3748" s="16">
        <v>90</v>
      </c>
      <c r="L3748" s="16" t="s">
        <v>32</v>
      </c>
    </row>
    <row r="3749" spans="1:13" ht="13.5" customHeight="1" x14ac:dyDescent="0.25">
      <c r="I3749" s="16">
        <v>30</v>
      </c>
      <c r="L3749" s="16" t="s">
        <v>33</v>
      </c>
    </row>
    <row r="3750" spans="1:13" ht="13.5" customHeight="1" x14ac:dyDescent="0.25">
      <c r="I3750" s="16">
        <v>20</v>
      </c>
      <c r="L3750" s="16" t="s">
        <v>29</v>
      </c>
      <c r="M3750" s="15"/>
    </row>
    <row r="3751" spans="1:13" ht="13.5" customHeight="1" x14ac:dyDescent="0.25">
      <c r="I3751" s="16">
        <v>20</v>
      </c>
      <c r="L3751" s="16" t="s">
        <v>25</v>
      </c>
      <c r="M3751" s="16" t="s">
        <v>137</v>
      </c>
    </row>
    <row r="3752" spans="1:13" ht="13.5" customHeight="1" x14ac:dyDescent="0.25">
      <c r="I3752" s="16">
        <v>20</v>
      </c>
      <c r="L3752" s="16" t="s">
        <v>25</v>
      </c>
      <c r="M3752" s="16" t="s">
        <v>45</v>
      </c>
    </row>
    <row r="3753" spans="1:13" ht="13.5" customHeight="1" x14ac:dyDescent="0.25">
      <c r="I3753" s="16">
        <v>20</v>
      </c>
      <c r="L3753" s="16" t="s">
        <v>27</v>
      </c>
    </row>
    <row r="3754" spans="1:13" ht="13.5" customHeight="1" x14ac:dyDescent="0.25">
      <c r="I3754" s="16">
        <v>20</v>
      </c>
      <c r="L3754" s="16" t="s">
        <v>26</v>
      </c>
      <c r="M3754" s="16" t="s">
        <v>147</v>
      </c>
    </row>
    <row r="3755" spans="1:13" ht="13.5" customHeight="1" x14ac:dyDescent="0.25">
      <c r="I3755" s="16">
        <v>60</v>
      </c>
      <c r="L3755" s="16" t="s">
        <v>26</v>
      </c>
      <c r="M3755" s="15" t="s">
        <v>706</v>
      </c>
    </row>
    <row r="3756" spans="1:13" ht="13.5" customHeight="1" x14ac:dyDescent="0.25">
      <c r="I3756" s="16">
        <v>40</v>
      </c>
      <c r="L3756" s="16" t="s">
        <v>26</v>
      </c>
      <c r="M3756" s="15" t="s">
        <v>707</v>
      </c>
    </row>
    <row r="3757" spans="1:13" ht="13.5" customHeight="1" x14ac:dyDescent="0.25">
      <c r="I3757" s="16">
        <v>20</v>
      </c>
      <c r="L3757" s="16" t="s">
        <v>26</v>
      </c>
      <c r="M3757" s="15" t="s">
        <v>708</v>
      </c>
    </row>
    <row r="3759" spans="1:13" ht="13.5" customHeight="1" x14ac:dyDescent="0.25">
      <c r="A3759" s="16" t="s">
        <v>705</v>
      </c>
      <c r="B3759" s="16" t="s">
        <v>1</v>
      </c>
      <c r="C3759" s="16" t="s">
        <v>520</v>
      </c>
      <c r="D3759" s="16" t="s">
        <v>21</v>
      </c>
      <c r="F3759" s="28">
        <f>13.8+30.02+32.07+31.61+36.89+31.49+23.23+31.97+32.3+32.2-6.554</f>
        <v>289.02600000000001</v>
      </c>
      <c r="G3759" s="16">
        <v>9.25</v>
      </c>
      <c r="H3759" s="16" t="s">
        <v>22</v>
      </c>
      <c r="I3759" s="16">
        <v>20</v>
      </c>
      <c r="L3759" s="16" t="s">
        <v>23</v>
      </c>
      <c r="M3759" s="16" t="s">
        <v>171</v>
      </c>
    </row>
    <row r="3760" spans="1:13" ht="13.5" customHeight="1" x14ac:dyDescent="0.25">
      <c r="I3760" s="16">
        <v>90</v>
      </c>
      <c r="L3760" s="16" t="s">
        <v>32</v>
      </c>
    </row>
    <row r="3761" spans="1:13" ht="13.5" customHeight="1" x14ac:dyDescent="0.25">
      <c r="I3761" s="16">
        <v>25</v>
      </c>
      <c r="L3761" s="16" t="s">
        <v>33</v>
      </c>
    </row>
    <row r="3762" spans="1:13" ht="13.5" customHeight="1" x14ac:dyDescent="0.25">
      <c r="I3762" s="16">
        <v>30</v>
      </c>
      <c r="L3762" s="16" t="s">
        <v>29</v>
      </c>
      <c r="M3762" s="15"/>
    </row>
    <row r="3763" spans="1:13" ht="13.5" customHeight="1" x14ac:dyDescent="0.25">
      <c r="I3763" s="16">
        <v>50</v>
      </c>
      <c r="L3763" s="16" t="s">
        <v>25</v>
      </c>
      <c r="M3763" s="16" t="s">
        <v>137</v>
      </c>
    </row>
    <row r="3764" spans="1:13" ht="13.5" customHeight="1" x14ac:dyDescent="0.25">
      <c r="I3764" s="16">
        <v>30</v>
      </c>
      <c r="L3764" s="16" t="s">
        <v>25</v>
      </c>
      <c r="M3764" s="16" t="s">
        <v>45</v>
      </c>
    </row>
    <row r="3765" spans="1:13" ht="13.5" customHeight="1" x14ac:dyDescent="0.25">
      <c r="I3765" s="16">
        <v>20</v>
      </c>
      <c r="L3765" s="16" t="s">
        <v>27</v>
      </c>
    </row>
    <row r="3766" spans="1:13" ht="13.5" customHeight="1" x14ac:dyDescent="0.25">
      <c r="I3766" s="16">
        <v>20</v>
      </c>
      <c r="L3766" s="16" t="s">
        <v>26</v>
      </c>
      <c r="M3766" s="16" t="s">
        <v>147</v>
      </c>
    </row>
    <row r="3767" spans="1:13" ht="13.5" customHeight="1" x14ac:dyDescent="0.25">
      <c r="I3767" s="16">
        <v>25</v>
      </c>
      <c r="L3767" s="16" t="s">
        <v>24</v>
      </c>
      <c r="M3767" s="16" t="s">
        <v>117</v>
      </c>
    </row>
    <row r="3768" spans="1:13" ht="13.5" customHeight="1" x14ac:dyDescent="0.25">
      <c r="I3768" s="16">
        <v>25</v>
      </c>
      <c r="L3768" s="16" t="s">
        <v>25</v>
      </c>
      <c r="M3768" s="16" t="s">
        <v>36</v>
      </c>
    </row>
    <row r="3770" spans="1:13" ht="13.5" customHeight="1" x14ac:dyDescent="0.25">
      <c r="A3770" s="16" t="s">
        <v>705</v>
      </c>
      <c r="B3770" s="16" t="s">
        <v>2</v>
      </c>
      <c r="C3770" s="16" t="s">
        <v>15</v>
      </c>
      <c r="D3770" s="16" t="s">
        <v>20</v>
      </c>
      <c r="F3770" s="28">
        <v>192.65</v>
      </c>
      <c r="G3770" s="16">
        <v>6.25</v>
      </c>
      <c r="H3770" s="16" t="s">
        <v>22</v>
      </c>
      <c r="I3770" s="16">
        <v>10</v>
      </c>
      <c r="L3770" s="16" t="s">
        <v>23</v>
      </c>
      <c r="M3770" s="16" t="s">
        <v>171</v>
      </c>
    </row>
    <row r="3771" spans="1:13" ht="13.5" customHeight="1" x14ac:dyDescent="0.25">
      <c r="I3771" s="16">
        <v>60</v>
      </c>
      <c r="L3771" s="16" t="s">
        <v>32</v>
      </c>
    </row>
    <row r="3772" spans="1:13" ht="13.5" customHeight="1" x14ac:dyDescent="0.25">
      <c r="I3772" s="16">
        <v>20</v>
      </c>
      <c r="L3772" s="16" t="s">
        <v>33</v>
      </c>
    </row>
    <row r="3773" spans="1:13" ht="13.5" customHeight="1" x14ac:dyDescent="0.25">
      <c r="I3773" s="16">
        <v>20</v>
      </c>
      <c r="L3773" s="16" t="s">
        <v>29</v>
      </c>
      <c r="M3773" s="15"/>
    </row>
    <row r="3774" spans="1:13" ht="13.5" customHeight="1" x14ac:dyDescent="0.25">
      <c r="I3774" s="16">
        <v>20</v>
      </c>
      <c r="L3774" s="16" t="s">
        <v>26</v>
      </c>
      <c r="M3774" s="16" t="s">
        <v>147</v>
      </c>
    </row>
    <row r="3775" spans="1:13" ht="13.5" customHeight="1" x14ac:dyDescent="0.25">
      <c r="I3775" s="16">
        <v>190</v>
      </c>
      <c r="L3775" s="16" t="s">
        <v>26</v>
      </c>
      <c r="M3775" s="15" t="s">
        <v>707</v>
      </c>
    </row>
    <row r="3776" spans="1:13" ht="13.5" customHeight="1" x14ac:dyDescent="0.25">
      <c r="I3776" s="16">
        <v>10</v>
      </c>
      <c r="L3776" s="16" t="s">
        <v>27</v>
      </c>
    </row>
    <row r="3777" spans="1:13" ht="13.5" customHeight="1" x14ac:dyDescent="0.25">
      <c r="I3777" s="16">
        <v>20</v>
      </c>
      <c r="L3777" s="16" t="s">
        <v>342</v>
      </c>
      <c r="M3777" s="16" t="s">
        <v>171</v>
      </c>
    </row>
    <row r="3779" spans="1:13" ht="13.5" customHeight="1" x14ac:dyDescent="0.25">
      <c r="A3779" s="16" t="s">
        <v>709</v>
      </c>
      <c r="B3779" s="16" t="s">
        <v>0</v>
      </c>
      <c r="C3779" s="16" t="s">
        <v>16</v>
      </c>
      <c r="D3779" s="15" t="s">
        <v>548</v>
      </c>
      <c r="E3779" s="15"/>
      <c r="F3779" s="28">
        <v>309.51</v>
      </c>
      <c r="G3779" s="16">
        <v>11</v>
      </c>
      <c r="H3779" s="16" t="s">
        <v>22</v>
      </c>
      <c r="I3779" s="16">
        <v>10</v>
      </c>
      <c r="L3779" s="16" t="s">
        <v>23</v>
      </c>
    </row>
    <row r="3780" spans="1:13" ht="13.5" customHeight="1" x14ac:dyDescent="0.25">
      <c r="I3780" s="16">
        <v>100</v>
      </c>
      <c r="L3780" s="16" t="s">
        <v>32</v>
      </c>
    </row>
    <row r="3781" spans="1:13" ht="13.5" customHeight="1" x14ac:dyDescent="0.25">
      <c r="I3781" s="16">
        <v>30</v>
      </c>
      <c r="L3781" s="16" t="s">
        <v>33</v>
      </c>
    </row>
    <row r="3782" spans="1:13" ht="13.5" customHeight="1" x14ac:dyDescent="0.25">
      <c r="I3782" s="16">
        <v>20</v>
      </c>
      <c r="L3782" s="16" t="s">
        <v>29</v>
      </c>
      <c r="M3782" s="15"/>
    </row>
    <row r="3783" spans="1:13" ht="13.5" customHeight="1" x14ac:dyDescent="0.25">
      <c r="I3783" s="16">
        <v>20</v>
      </c>
      <c r="L3783" s="16" t="s">
        <v>25</v>
      </c>
      <c r="M3783" s="16" t="s">
        <v>137</v>
      </c>
    </row>
    <row r="3784" spans="1:13" ht="13.5" customHeight="1" x14ac:dyDescent="0.25">
      <c r="I3784" s="16">
        <v>20</v>
      </c>
      <c r="L3784" s="16" t="s">
        <v>25</v>
      </c>
      <c r="M3784" s="16" t="s">
        <v>45</v>
      </c>
    </row>
    <row r="3785" spans="1:13" ht="13.5" customHeight="1" x14ac:dyDescent="0.25">
      <c r="I3785" s="16">
        <v>20</v>
      </c>
      <c r="L3785" s="16" t="s">
        <v>27</v>
      </c>
    </row>
    <row r="3786" spans="1:13" ht="13.5" customHeight="1" x14ac:dyDescent="0.25">
      <c r="I3786" s="16">
        <v>20</v>
      </c>
      <c r="L3786" s="16" t="s">
        <v>26</v>
      </c>
      <c r="M3786" s="16" t="s">
        <v>147</v>
      </c>
    </row>
    <row r="3787" spans="1:13" ht="13.5" customHeight="1" x14ac:dyDescent="0.25">
      <c r="I3787" s="16">
        <v>30</v>
      </c>
      <c r="L3787" s="16" t="s">
        <v>24</v>
      </c>
      <c r="M3787" s="15" t="s">
        <v>150</v>
      </c>
    </row>
    <row r="3788" spans="1:13" ht="13.5" customHeight="1" x14ac:dyDescent="0.25">
      <c r="M3788" s="15"/>
    </row>
    <row r="3789" spans="1:13" ht="13.5" customHeight="1" x14ac:dyDescent="0.25">
      <c r="A3789" s="16" t="s">
        <v>709</v>
      </c>
      <c r="B3789" s="16" t="s">
        <v>1</v>
      </c>
      <c r="C3789" s="16" t="s">
        <v>520</v>
      </c>
      <c r="D3789" s="16" t="s">
        <v>21</v>
      </c>
      <c r="F3789" s="28">
        <f>37.07+29.02+31.83+32+25.7+22.58+31.71+36.7+27.14+22.91</f>
        <v>296.66000000000003</v>
      </c>
      <c r="G3789" s="16">
        <v>10</v>
      </c>
      <c r="H3789" s="16" t="s">
        <v>22</v>
      </c>
      <c r="I3789" s="16">
        <v>30</v>
      </c>
      <c r="L3789" s="16" t="s">
        <v>23</v>
      </c>
      <c r="M3789" s="16" t="s">
        <v>710</v>
      </c>
    </row>
    <row r="3790" spans="1:13" ht="13.5" customHeight="1" x14ac:dyDescent="0.25">
      <c r="I3790" s="16">
        <v>30</v>
      </c>
      <c r="L3790" s="16" t="s">
        <v>24</v>
      </c>
      <c r="M3790" s="16" t="s">
        <v>711</v>
      </c>
    </row>
    <row r="3791" spans="1:13" ht="13.5" customHeight="1" x14ac:dyDescent="0.25">
      <c r="I3791" s="16">
        <v>100</v>
      </c>
      <c r="L3791" s="16" t="s">
        <v>32</v>
      </c>
    </row>
    <row r="3792" spans="1:13" ht="13.5" customHeight="1" x14ac:dyDescent="0.25">
      <c r="I3792" s="16">
        <v>25</v>
      </c>
      <c r="L3792" s="16" t="s">
        <v>33</v>
      </c>
    </row>
    <row r="3793" spans="1:13" ht="13.5" customHeight="1" x14ac:dyDescent="0.25">
      <c r="I3793" s="16">
        <v>20</v>
      </c>
      <c r="L3793" s="16" t="s">
        <v>29</v>
      </c>
      <c r="M3793" s="15"/>
    </row>
    <row r="3794" spans="1:13" ht="13.5" customHeight="1" x14ac:dyDescent="0.25">
      <c r="I3794" s="16">
        <v>20</v>
      </c>
      <c r="L3794" s="16" t="s">
        <v>25</v>
      </c>
      <c r="M3794" s="16" t="s">
        <v>137</v>
      </c>
    </row>
    <row r="3795" spans="1:13" ht="13.5" customHeight="1" x14ac:dyDescent="0.25">
      <c r="I3795" s="16">
        <v>20</v>
      </c>
      <c r="L3795" s="16" t="s">
        <v>25</v>
      </c>
      <c r="M3795" s="16" t="s">
        <v>45</v>
      </c>
    </row>
    <row r="3796" spans="1:13" ht="13.5" customHeight="1" x14ac:dyDescent="0.25">
      <c r="I3796" s="16">
        <v>20</v>
      </c>
      <c r="L3796" s="16" t="s">
        <v>27</v>
      </c>
    </row>
    <row r="3797" spans="1:13" ht="13.5" customHeight="1" x14ac:dyDescent="0.25">
      <c r="I3797" s="16">
        <v>20</v>
      </c>
      <c r="L3797" s="16" t="s">
        <v>26</v>
      </c>
      <c r="M3797" s="16" t="s">
        <v>147</v>
      </c>
    </row>
    <row r="3799" spans="1:13" ht="13.5" customHeight="1" x14ac:dyDescent="0.25">
      <c r="A3799" s="16" t="s">
        <v>709</v>
      </c>
      <c r="B3799" s="16" t="s">
        <v>2</v>
      </c>
      <c r="C3799" s="16" t="s">
        <v>15</v>
      </c>
      <c r="D3799" s="16" t="s">
        <v>20</v>
      </c>
      <c r="F3799" s="28">
        <v>251.82</v>
      </c>
      <c r="G3799" s="16">
        <v>8.25</v>
      </c>
      <c r="H3799" s="16" t="s">
        <v>22</v>
      </c>
      <c r="I3799" s="16">
        <v>10</v>
      </c>
      <c r="L3799" s="16" t="s">
        <v>23</v>
      </c>
      <c r="M3799" s="16" t="s">
        <v>171</v>
      </c>
    </row>
    <row r="3800" spans="1:13" ht="13.5" customHeight="1" x14ac:dyDescent="0.25">
      <c r="I3800" s="16">
        <v>90</v>
      </c>
      <c r="L3800" s="16" t="s">
        <v>32</v>
      </c>
    </row>
    <row r="3801" spans="1:13" ht="13.5" customHeight="1" x14ac:dyDescent="0.25">
      <c r="I3801" s="16">
        <v>20</v>
      </c>
      <c r="L3801" s="16" t="s">
        <v>33</v>
      </c>
    </row>
    <row r="3802" spans="1:13" ht="13.5" customHeight="1" x14ac:dyDescent="0.25">
      <c r="I3802" s="16">
        <v>20</v>
      </c>
      <c r="L3802" s="16" t="s">
        <v>29</v>
      </c>
      <c r="M3802" s="15"/>
    </row>
    <row r="3803" spans="1:13" ht="13.5" customHeight="1" x14ac:dyDescent="0.25">
      <c r="I3803" s="16">
        <v>20</v>
      </c>
      <c r="L3803" s="16" t="s">
        <v>26</v>
      </c>
      <c r="M3803" s="16" t="s">
        <v>147</v>
      </c>
    </row>
    <row r="3804" spans="1:13" ht="13.5" customHeight="1" x14ac:dyDescent="0.25">
      <c r="I3804" s="16">
        <v>55</v>
      </c>
      <c r="L3804" s="16" t="s">
        <v>26</v>
      </c>
      <c r="M3804" s="15" t="s">
        <v>712</v>
      </c>
    </row>
    <row r="3805" spans="1:13" ht="13.5" customHeight="1" x14ac:dyDescent="0.25">
      <c r="I3805" s="16">
        <v>75</v>
      </c>
      <c r="L3805" s="16" t="s">
        <v>26</v>
      </c>
      <c r="M3805" s="16" t="s">
        <v>713</v>
      </c>
    </row>
    <row r="3806" spans="1:13" ht="13.5" customHeight="1" x14ac:dyDescent="0.25">
      <c r="I3806" s="16">
        <v>20</v>
      </c>
      <c r="L3806" s="16" t="s">
        <v>342</v>
      </c>
      <c r="M3806" s="16" t="s">
        <v>171</v>
      </c>
    </row>
    <row r="3808" spans="1:13" ht="13.5" customHeight="1" x14ac:dyDescent="0.25">
      <c r="A3808" s="16" t="s">
        <v>714</v>
      </c>
      <c r="B3808" s="16" t="s">
        <v>0</v>
      </c>
      <c r="C3808" s="16" t="s">
        <v>16</v>
      </c>
      <c r="D3808" s="15" t="s">
        <v>548</v>
      </c>
      <c r="E3808" s="15"/>
      <c r="F3808" s="28">
        <v>329.04</v>
      </c>
      <c r="G3808" s="16">
        <v>11</v>
      </c>
      <c r="H3808" s="16" t="s">
        <v>22</v>
      </c>
      <c r="I3808" s="16">
        <v>10</v>
      </c>
      <c r="L3808" s="16" t="s">
        <v>23</v>
      </c>
    </row>
    <row r="3809" spans="1:13" ht="13.5" customHeight="1" x14ac:dyDescent="0.25">
      <c r="I3809" s="16">
        <v>110</v>
      </c>
      <c r="L3809" s="16" t="s">
        <v>32</v>
      </c>
    </row>
    <row r="3810" spans="1:13" ht="13.5" customHeight="1" x14ac:dyDescent="0.25">
      <c r="I3810" s="16">
        <v>30</v>
      </c>
      <c r="L3810" s="16" t="s">
        <v>33</v>
      </c>
    </row>
    <row r="3811" spans="1:13" ht="13.5" customHeight="1" x14ac:dyDescent="0.25">
      <c r="I3811" s="16">
        <v>30</v>
      </c>
      <c r="L3811" s="16" t="s">
        <v>29</v>
      </c>
      <c r="M3811" s="15"/>
    </row>
    <row r="3812" spans="1:13" ht="13.5" customHeight="1" x14ac:dyDescent="0.25">
      <c r="I3812" s="16">
        <v>20</v>
      </c>
      <c r="L3812" s="16" t="s">
        <v>25</v>
      </c>
      <c r="M3812" s="16" t="s">
        <v>137</v>
      </c>
    </row>
    <row r="3813" spans="1:13" ht="13.5" customHeight="1" x14ac:dyDescent="0.25">
      <c r="I3813" s="16">
        <v>20</v>
      </c>
      <c r="L3813" s="16" t="s">
        <v>25</v>
      </c>
      <c r="M3813" s="16" t="s">
        <v>45</v>
      </c>
    </row>
    <row r="3814" spans="1:13" ht="13.5" customHeight="1" x14ac:dyDescent="0.25">
      <c r="I3814" s="16">
        <v>20</v>
      </c>
      <c r="L3814" s="16" t="s">
        <v>27</v>
      </c>
    </row>
    <row r="3815" spans="1:13" ht="13.5" customHeight="1" x14ac:dyDescent="0.25">
      <c r="I3815" s="16">
        <v>20</v>
      </c>
      <c r="L3815" s="16" t="s">
        <v>26</v>
      </c>
      <c r="M3815" s="16" t="s">
        <v>147</v>
      </c>
    </row>
    <row r="3816" spans="1:13" ht="13.5" customHeight="1" x14ac:dyDescent="0.25">
      <c r="I3816" s="16">
        <v>20</v>
      </c>
      <c r="L3816" s="16" t="s">
        <v>24</v>
      </c>
      <c r="M3816" s="15" t="s">
        <v>150</v>
      </c>
    </row>
    <row r="3820" spans="1:13" ht="13.5" customHeight="1" x14ac:dyDescent="0.25">
      <c r="A3820" s="16" t="s">
        <v>714</v>
      </c>
      <c r="B3820" s="16" t="s">
        <v>1</v>
      </c>
      <c r="C3820" s="16" t="s">
        <v>520</v>
      </c>
      <c r="D3820" s="16" t="s">
        <v>21</v>
      </c>
      <c r="F3820" s="28">
        <v>236.79</v>
      </c>
      <c r="G3820" s="16">
        <v>7.75</v>
      </c>
      <c r="H3820" s="16" t="s">
        <v>22</v>
      </c>
      <c r="I3820" s="16">
        <v>20</v>
      </c>
      <c r="L3820" s="16" t="s">
        <v>23</v>
      </c>
      <c r="M3820" s="16" t="s">
        <v>171</v>
      </c>
    </row>
    <row r="3821" spans="1:13" ht="13.5" customHeight="1" x14ac:dyDescent="0.25">
      <c r="I3821" s="16">
        <v>80</v>
      </c>
      <c r="L3821" s="16" t="s">
        <v>24</v>
      </c>
      <c r="M3821" s="16" t="s">
        <v>711</v>
      </c>
    </row>
    <row r="3822" spans="1:13" ht="13.5" customHeight="1" x14ac:dyDescent="0.25">
      <c r="I3822" s="16">
        <v>80</v>
      </c>
      <c r="L3822" s="16" t="s">
        <v>32</v>
      </c>
    </row>
    <row r="3823" spans="1:13" ht="13.5" customHeight="1" x14ac:dyDescent="0.25">
      <c r="I3823" s="16">
        <v>25</v>
      </c>
      <c r="L3823" s="16" t="s">
        <v>33</v>
      </c>
    </row>
    <row r="3824" spans="1:13" ht="13.5" customHeight="1" x14ac:dyDescent="0.25">
      <c r="I3824" s="16">
        <v>20</v>
      </c>
      <c r="L3824" s="16" t="s">
        <v>29</v>
      </c>
      <c r="M3824" s="15"/>
    </row>
    <row r="3825" spans="1:13" ht="13.5" customHeight="1" x14ac:dyDescent="0.25">
      <c r="I3825" s="16">
        <v>20</v>
      </c>
      <c r="L3825" s="16" t="s">
        <v>25</v>
      </c>
      <c r="M3825" s="16" t="s">
        <v>137</v>
      </c>
    </row>
    <row r="3826" spans="1:13" ht="13.5" customHeight="1" x14ac:dyDescent="0.25">
      <c r="I3826" s="16">
        <v>20</v>
      </c>
      <c r="L3826" s="16" t="s">
        <v>25</v>
      </c>
      <c r="M3826" s="16" t="s">
        <v>45</v>
      </c>
    </row>
    <row r="3827" spans="1:13" ht="13.5" customHeight="1" x14ac:dyDescent="0.25">
      <c r="I3827" s="16">
        <v>20</v>
      </c>
      <c r="L3827" s="16" t="s">
        <v>27</v>
      </c>
    </row>
    <row r="3828" spans="1:13" ht="13.5" customHeight="1" x14ac:dyDescent="0.25">
      <c r="I3828" s="16">
        <v>20</v>
      </c>
      <c r="L3828" s="16" t="s">
        <v>26</v>
      </c>
      <c r="M3828" s="16" t="s">
        <v>147</v>
      </c>
    </row>
    <row r="3829" spans="1:13" ht="13.5" customHeight="1" x14ac:dyDescent="0.25">
      <c r="I3829" s="16">
        <v>25</v>
      </c>
      <c r="J3829" s="18">
        <v>0.35069444444444442</v>
      </c>
      <c r="K3829" s="18">
        <v>0.375</v>
      </c>
      <c r="L3829" s="16" t="s">
        <v>26</v>
      </c>
      <c r="M3829" s="15" t="s">
        <v>715</v>
      </c>
    </row>
    <row r="3830" spans="1:13" ht="13.5" customHeight="1" x14ac:dyDescent="0.25">
      <c r="I3830" s="16">
        <v>60</v>
      </c>
      <c r="J3830" s="18">
        <v>0.1875</v>
      </c>
      <c r="K3830" s="18">
        <v>0.22916666666666666</v>
      </c>
      <c r="L3830" s="16" t="s">
        <v>26</v>
      </c>
      <c r="M3830" s="15" t="s">
        <v>716</v>
      </c>
    </row>
    <row r="3832" spans="1:13" ht="13.5" customHeight="1" x14ac:dyDescent="0.25">
      <c r="A3832" s="16" t="s">
        <v>717</v>
      </c>
      <c r="B3832" s="16" t="s">
        <v>2</v>
      </c>
      <c r="C3832" s="16" t="s">
        <v>6</v>
      </c>
      <c r="D3832" s="16" t="s">
        <v>20</v>
      </c>
      <c r="F3832" s="28">
        <v>339.31</v>
      </c>
      <c r="G3832" s="16">
        <v>11</v>
      </c>
      <c r="H3832" s="16" t="s">
        <v>22</v>
      </c>
      <c r="I3832" s="16">
        <v>10</v>
      </c>
      <c r="L3832" s="16" t="s">
        <v>23</v>
      </c>
    </row>
    <row r="3833" spans="1:13" ht="13.5" customHeight="1" x14ac:dyDescent="0.25">
      <c r="I3833" s="16">
        <v>110</v>
      </c>
      <c r="L3833" s="16" t="s">
        <v>32</v>
      </c>
    </row>
    <row r="3834" spans="1:13" ht="13.5" customHeight="1" x14ac:dyDescent="0.25">
      <c r="I3834" s="16">
        <v>30</v>
      </c>
      <c r="L3834" s="16" t="s">
        <v>33</v>
      </c>
    </row>
    <row r="3835" spans="1:13" ht="13.5" customHeight="1" x14ac:dyDescent="0.25">
      <c r="I3835" s="16">
        <v>30</v>
      </c>
      <c r="L3835" s="16" t="s">
        <v>29</v>
      </c>
      <c r="M3835" s="15"/>
    </row>
    <row r="3836" spans="1:13" ht="13.5" customHeight="1" x14ac:dyDescent="0.25">
      <c r="I3836" s="16">
        <v>10</v>
      </c>
      <c r="L3836" s="16" t="s">
        <v>27</v>
      </c>
    </row>
    <row r="3837" spans="1:13" ht="13.5" customHeight="1" x14ac:dyDescent="0.25">
      <c r="I3837" s="16">
        <v>20</v>
      </c>
      <c r="L3837" s="16" t="s">
        <v>26</v>
      </c>
      <c r="M3837" s="16" t="s">
        <v>147</v>
      </c>
    </row>
    <row r="3838" spans="1:13" ht="13.5" customHeight="1" x14ac:dyDescent="0.25">
      <c r="I3838" s="16">
        <v>40</v>
      </c>
      <c r="L3838" s="16" t="s">
        <v>25</v>
      </c>
      <c r="M3838" s="16" t="s">
        <v>137</v>
      </c>
    </row>
    <row r="3840" spans="1:13" ht="13.5" customHeight="1" x14ac:dyDescent="0.25">
      <c r="A3840" s="16" t="s">
        <v>719</v>
      </c>
      <c r="B3840" s="16" t="s">
        <v>0</v>
      </c>
      <c r="C3840" s="16" t="s">
        <v>16</v>
      </c>
      <c r="D3840" s="15" t="s">
        <v>548</v>
      </c>
      <c r="E3840" s="15"/>
      <c r="F3840" s="28">
        <f>33.35+32.19+31.35+31.8+30.75+28.52</f>
        <v>187.96</v>
      </c>
      <c r="G3840" s="16">
        <v>6</v>
      </c>
      <c r="H3840" s="16" t="s">
        <v>22</v>
      </c>
      <c r="I3840" s="16">
        <v>10</v>
      </c>
      <c r="L3840" s="16" t="s">
        <v>23</v>
      </c>
    </row>
    <row r="3841" spans="1:13" ht="13.5" customHeight="1" x14ac:dyDescent="0.25">
      <c r="I3841" s="16">
        <v>70</v>
      </c>
      <c r="L3841" s="16" t="s">
        <v>32</v>
      </c>
    </row>
    <row r="3842" spans="1:13" ht="13.5" customHeight="1" x14ac:dyDescent="0.25">
      <c r="I3842" s="16">
        <v>30</v>
      </c>
      <c r="L3842" s="16" t="s">
        <v>33</v>
      </c>
    </row>
    <row r="3843" spans="1:13" ht="13.5" customHeight="1" x14ac:dyDescent="0.25">
      <c r="I3843" s="16">
        <v>20</v>
      </c>
      <c r="L3843" s="16" t="s">
        <v>29</v>
      </c>
      <c r="M3843" s="15"/>
    </row>
    <row r="3844" spans="1:13" ht="13.5" customHeight="1" x14ac:dyDescent="0.25">
      <c r="I3844" s="16">
        <v>20</v>
      </c>
      <c r="L3844" s="16" t="s">
        <v>25</v>
      </c>
      <c r="M3844" s="16" t="s">
        <v>137</v>
      </c>
    </row>
    <row r="3845" spans="1:13" ht="13.5" customHeight="1" x14ac:dyDescent="0.25">
      <c r="I3845" s="16">
        <v>20</v>
      </c>
      <c r="L3845" s="16" t="s">
        <v>25</v>
      </c>
      <c r="M3845" s="16" t="s">
        <v>45</v>
      </c>
    </row>
    <row r="3846" spans="1:13" ht="13.5" customHeight="1" x14ac:dyDescent="0.25">
      <c r="I3846" s="16">
        <v>20</v>
      </c>
      <c r="L3846" s="16" t="s">
        <v>27</v>
      </c>
    </row>
    <row r="3847" spans="1:13" ht="13.5" customHeight="1" x14ac:dyDescent="0.25">
      <c r="I3847" s="16">
        <v>20</v>
      </c>
      <c r="L3847" s="16" t="s">
        <v>26</v>
      </c>
      <c r="M3847" s="16" t="s">
        <v>147</v>
      </c>
    </row>
    <row r="3848" spans="1:13" ht="13.5" customHeight="1" x14ac:dyDescent="0.25">
      <c r="I3848" s="16">
        <v>200</v>
      </c>
      <c r="L3848" s="16" t="s">
        <v>26</v>
      </c>
      <c r="M3848" s="15" t="s">
        <v>718</v>
      </c>
    </row>
    <row r="3849" spans="1:13" ht="13.5" customHeight="1" x14ac:dyDescent="0.25">
      <c r="I3849" s="16">
        <v>20</v>
      </c>
      <c r="L3849" s="16" t="s">
        <v>26</v>
      </c>
      <c r="M3849" s="16" t="s">
        <v>720</v>
      </c>
    </row>
    <row r="3851" spans="1:13" ht="13.5" customHeight="1" x14ac:dyDescent="0.25">
      <c r="A3851" s="16" t="s">
        <v>719</v>
      </c>
      <c r="B3851" s="16" t="s">
        <v>1</v>
      </c>
      <c r="C3851" s="16" t="s">
        <v>520</v>
      </c>
      <c r="D3851" s="16" t="s">
        <v>21</v>
      </c>
      <c r="F3851" s="28">
        <f>24.33+30.98+31.6+31.96+29.23+32.25+26.56+32.19+26.61+23.08</f>
        <v>288.78999999999996</v>
      </c>
      <c r="G3851" s="16">
        <v>10</v>
      </c>
      <c r="H3851" s="16" t="s">
        <v>22</v>
      </c>
      <c r="I3851" s="16">
        <v>20</v>
      </c>
      <c r="L3851" s="16" t="s">
        <v>23</v>
      </c>
      <c r="M3851" s="16" t="s">
        <v>171</v>
      </c>
    </row>
    <row r="3852" spans="1:13" ht="13.5" customHeight="1" x14ac:dyDescent="0.25">
      <c r="I3852" s="16">
        <v>100</v>
      </c>
      <c r="L3852" s="16" t="s">
        <v>32</v>
      </c>
    </row>
    <row r="3853" spans="1:13" ht="13.5" customHeight="1" x14ac:dyDescent="0.25">
      <c r="I3853" s="16">
        <v>30</v>
      </c>
      <c r="L3853" s="16" t="s">
        <v>33</v>
      </c>
    </row>
    <row r="3854" spans="1:13" ht="13.5" customHeight="1" x14ac:dyDescent="0.25">
      <c r="I3854" s="16">
        <v>50</v>
      </c>
      <c r="L3854" s="16" t="s">
        <v>29</v>
      </c>
      <c r="M3854" s="15"/>
    </row>
    <row r="3855" spans="1:13" ht="13.5" customHeight="1" x14ac:dyDescent="0.25">
      <c r="I3855" s="16">
        <v>40</v>
      </c>
      <c r="L3855" s="16" t="s">
        <v>25</v>
      </c>
      <c r="M3855" s="16" t="s">
        <v>137</v>
      </c>
    </row>
    <row r="3856" spans="1:13" ht="13.5" customHeight="1" x14ac:dyDescent="0.25">
      <c r="I3856" s="16">
        <v>30</v>
      </c>
      <c r="L3856" s="16" t="s">
        <v>25</v>
      </c>
      <c r="M3856" s="16" t="s">
        <v>45</v>
      </c>
    </row>
    <row r="3857" spans="1:13" ht="13.5" customHeight="1" x14ac:dyDescent="0.25">
      <c r="I3857" s="16">
        <v>20</v>
      </c>
      <c r="L3857" s="16" t="s">
        <v>27</v>
      </c>
    </row>
    <row r="3858" spans="1:13" ht="13.5" customHeight="1" x14ac:dyDescent="0.25">
      <c r="I3858" s="16">
        <v>20</v>
      </c>
      <c r="L3858" s="16" t="s">
        <v>26</v>
      </c>
      <c r="M3858" s="16" t="s">
        <v>147</v>
      </c>
    </row>
    <row r="3859" spans="1:13" ht="13.5" customHeight="1" x14ac:dyDescent="0.25">
      <c r="I3859" s="16">
        <v>30</v>
      </c>
      <c r="L3859" s="16" t="s">
        <v>25</v>
      </c>
      <c r="M3859" s="15" t="s">
        <v>721</v>
      </c>
    </row>
    <row r="3860" spans="1:13" ht="13.5" customHeight="1" x14ac:dyDescent="0.25">
      <c r="I3860" s="16">
        <v>20</v>
      </c>
      <c r="L3860" s="16" t="s">
        <v>26</v>
      </c>
      <c r="M3860" s="16" t="s">
        <v>722</v>
      </c>
    </row>
    <row r="3862" spans="1:13" ht="13.5" customHeight="1" x14ac:dyDescent="0.25">
      <c r="A3862" s="16" t="s">
        <v>719</v>
      </c>
      <c r="B3862" s="16" t="s">
        <v>2</v>
      </c>
      <c r="C3862" s="16" t="s">
        <v>6</v>
      </c>
      <c r="D3862" s="16" t="s">
        <v>20</v>
      </c>
      <c r="F3862" s="28">
        <v>356.53</v>
      </c>
      <c r="G3862" s="16">
        <v>11</v>
      </c>
      <c r="H3862" s="16" t="s">
        <v>22</v>
      </c>
      <c r="I3862" s="16">
        <v>10</v>
      </c>
      <c r="L3862" s="16" t="s">
        <v>23</v>
      </c>
    </row>
    <row r="3863" spans="1:13" ht="13.5" customHeight="1" x14ac:dyDescent="0.25">
      <c r="I3863" s="16">
        <v>110</v>
      </c>
      <c r="L3863" s="16" t="s">
        <v>32</v>
      </c>
    </row>
    <row r="3864" spans="1:13" ht="13.5" customHeight="1" x14ac:dyDescent="0.25">
      <c r="I3864" s="16">
        <v>30</v>
      </c>
      <c r="L3864" s="16" t="s">
        <v>33</v>
      </c>
    </row>
    <row r="3865" spans="1:13" ht="13.5" customHeight="1" x14ac:dyDescent="0.25">
      <c r="I3865" s="16">
        <v>30</v>
      </c>
      <c r="L3865" s="16" t="s">
        <v>29</v>
      </c>
      <c r="M3865" s="15"/>
    </row>
    <row r="3866" spans="1:13" ht="13.5" customHeight="1" x14ac:dyDescent="0.25">
      <c r="I3866" s="16">
        <v>10</v>
      </c>
      <c r="L3866" s="16" t="s">
        <v>27</v>
      </c>
    </row>
    <row r="3867" spans="1:13" ht="13.5" customHeight="1" x14ac:dyDescent="0.25">
      <c r="I3867" s="16">
        <v>20</v>
      </c>
      <c r="L3867" s="16" t="s">
        <v>26</v>
      </c>
      <c r="M3867" s="16" t="s">
        <v>147</v>
      </c>
    </row>
    <row r="3868" spans="1:13" ht="13.5" customHeight="1" x14ac:dyDescent="0.25">
      <c r="I3868" s="16">
        <v>40</v>
      </c>
      <c r="L3868" s="16" t="s">
        <v>25</v>
      </c>
      <c r="M3868" s="16" t="s">
        <v>137</v>
      </c>
    </row>
    <row r="3870" spans="1:13" ht="13.5" customHeight="1" x14ac:dyDescent="0.25">
      <c r="A3870" s="16" t="s">
        <v>724</v>
      </c>
      <c r="B3870" s="16" t="s">
        <v>0</v>
      </c>
      <c r="C3870" s="16" t="s">
        <v>16</v>
      </c>
      <c r="D3870" s="15" t="s">
        <v>548</v>
      </c>
      <c r="E3870" s="15"/>
      <c r="F3870" s="28">
        <v>279.23</v>
      </c>
      <c r="G3870" s="16">
        <v>9</v>
      </c>
      <c r="H3870" s="16" t="s">
        <v>22</v>
      </c>
      <c r="I3870" s="16">
        <v>10</v>
      </c>
      <c r="L3870" s="16" t="s">
        <v>23</v>
      </c>
    </row>
    <row r="3871" spans="1:13" ht="13.5" customHeight="1" x14ac:dyDescent="0.25">
      <c r="I3871" s="16">
        <v>100</v>
      </c>
      <c r="L3871" s="16" t="s">
        <v>32</v>
      </c>
    </row>
    <row r="3872" spans="1:13" ht="13.5" customHeight="1" x14ac:dyDescent="0.25">
      <c r="I3872" s="16">
        <v>30</v>
      </c>
      <c r="L3872" s="16" t="s">
        <v>33</v>
      </c>
    </row>
    <row r="3873" spans="1:13" ht="13.5" customHeight="1" x14ac:dyDescent="0.25">
      <c r="I3873" s="16">
        <v>40</v>
      </c>
      <c r="L3873" s="16" t="s">
        <v>29</v>
      </c>
      <c r="M3873" s="15"/>
    </row>
    <row r="3874" spans="1:13" ht="13.5" customHeight="1" x14ac:dyDescent="0.25">
      <c r="I3874" s="16">
        <v>20</v>
      </c>
      <c r="L3874" s="16" t="s">
        <v>25</v>
      </c>
      <c r="M3874" s="16" t="s">
        <v>137</v>
      </c>
    </row>
    <row r="3875" spans="1:13" ht="13.5" customHeight="1" x14ac:dyDescent="0.25">
      <c r="I3875" s="16">
        <v>20</v>
      </c>
      <c r="L3875" s="16" t="s">
        <v>25</v>
      </c>
      <c r="M3875" s="16" t="s">
        <v>45</v>
      </c>
    </row>
    <row r="3876" spans="1:13" ht="13.5" customHeight="1" x14ac:dyDescent="0.25">
      <c r="I3876" s="16">
        <v>20</v>
      </c>
      <c r="L3876" s="16" t="s">
        <v>27</v>
      </c>
    </row>
    <row r="3877" spans="1:13" ht="13.5" customHeight="1" x14ac:dyDescent="0.25">
      <c r="I3877" s="16">
        <v>20</v>
      </c>
      <c r="L3877" s="16" t="s">
        <v>26</v>
      </c>
      <c r="M3877" s="16" t="s">
        <v>147</v>
      </c>
    </row>
    <row r="3878" spans="1:13" ht="13.5" customHeight="1" x14ac:dyDescent="0.25">
      <c r="I3878" s="16">
        <v>40</v>
      </c>
      <c r="L3878" s="16" t="s">
        <v>24</v>
      </c>
      <c r="M3878" s="15" t="s">
        <v>723</v>
      </c>
    </row>
    <row r="3880" spans="1:13" ht="13.5" customHeight="1" x14ac:dyDescent="0.25">
      <c r="A3880" s="16" t="s">
        <v>724</v>
      </c>
      <c r="B3880" s="16" t="s">
        <v>1</v>
      </c>
      <c r="C3880" s="16" t="s">
        <v>7</v>
      </c>
      <c r="D3880" s="16" t="s">
        <v>21</v>
      </c>
      <c r="F3880" s="28">
        <f>36.19+29.24+33.23+27.04+27.11+26.96+27.35+26.29+4.4+4.13+4.13+4.13</f>
        <v>250.2</v>
      </c>
      <c r="G3880" s="16">
        <v>8.75</v>
      </c>
      <c r="H3880" s="16" t="s">
        <v>22</v>
      </c>
      <c r="I3880" s="16">
        <v>10</v>
      </c>
      <c r="L3880" s="16" t="s">
        <v>23</v>
      </c>
    </row>
    <row r="3881" spans="1:13" ht="13.5" customHeight="1" x14ac:dyDescent="0.25">
      <c r="I3881" s="16">
        <v>90</v>
      </c>
      <c r="L3881" s="16" t="s">
        <v>32</v>
      </c>
    </row>
    <row r="3882" spans="1:13" ht="13.5" customHeight="1" x14ac:dyDescent="0.25">
      <c r="I3882" s="16">
        <v>25</v>
      </c>
      <c r="L3882" s="16" t="s">
        <v>33</v>
      </c>
    </row>
    <row r="3883" spans="1:13" ht="13.5" customHeight="1" x14ac:dyDescent="0.25">
      <c r="I3883" s="16">
        <v>80</v>
      </c>
      <c r="L3883" s="16" t="s">
        <v>29</v>
      </c>
      <c r="M3883" s="15" t="s">
        <v>725</v>
      </c>
    </row>
    <row r="3884" spans="1:13" ht="13.5" customHeight="1" x14ac:dyDescent="0.25">
      <c r="I3884" s="16">
        <v>20</v>
      </c>
      <c r="L3884" s="16" t="s">
        <v>25</v>
      </c>
      <c r="M3884" s="16" t="s">
        <v>137</v>
      </c>
    </row>
    <row r="3885" spans="1:13" ht="13.5" customHeight="1" x14ac:dyDescent="0.25">
      <c r="I3885" s="16">
        <v>20</v>
      </c>
      <c r="L3885" s="16" t="s">
        <v>25</v>
      </c>
      <c r="M3885" s="16" t="s">
        <v>45</v>
      </c>
    </row>
    <row r="3886" spans="1:13" ht="13.5" customHeight="1" x14ac:dyDescent="0.25">
      <c r="I3886" s="16">
        <v>20</v>
      </c>
      <c r="L3886" s="16" t="s">
        <v>27</v>
      </c>
    </row>
    <row r="3887" spans="1:13" ht="13.5" customHeight="1" x14ac:dyDescent="0.25">
      <c r="I3887" s="16">
        <v>20</v>
      </c>
      <c r="L3887" s="16" t="s">
        <v>26</v>
      </c>
      <c r="M3887" s="16" t="s">
        <v>147</v>
      </c>
    </row>
    <row r="3888" spans="1:13" ht="13.5" customHeight="1" x14ac:dyDescent="0.25">
      <c r="I3888" s="16">
        <v>90</v>
      </c>
      <c r="L3888" s="16" t="s">
        <v>26</v>
      </c>
      <c r="M3888" s="15" t="s">
        <v>184</v>
      </c>
    </row>
    <row r="3889" spans="1:13" ht="13.5" customHeight="1" x14ac:dyDescent="0.25">
      <c r="I3889" s="16">
        <v>30</v>
      </c>
      <c r="L3889" s="16" t="s">
        <v>24</v>
      </c>
      <c r="M3889" s="16" t="s">
        <v>534</v>
      </c>
    </row>
    <row r="3891" spans="1:13" ht="13.5" customHeight="1" x14ac:dyDescent="0.25">
      <c r="A3891" s="16" t="s">
        <v>724</v>
      </c>
      <c r="B3891" s="16" t="s">
        <v>2</v>
      </c>
      <c r="C3891" s="16" t="s">
        <v>6</v>
      </c>
      <c r="D3891" s="16" t="s">
        <v>20</v>
      </c>
      <c r="F3891" s="28">
        <v>276.41000000000003</v>
      </c>
      <c r="G3891" s="16">
        <v>9.5</v>
      </c>
      <c r="H3891" s="16" t="s">
        <v>22</v>
      </c>
      <c r="I3891" s="16">
        <v>10</v>
      </c>
      <c r="L3891" s="16" t="s">
        <v>23</v>
      </c>
    </row>
    <row r="3892" spans="1:13" ht="13.5" customHeight="1" x14ac:dyDescent="0.25">
      <c r="I3892" s="16">
        <v>90</v>
      </c>
      <c r="L3892" s="16" t="s">
        <v>32</v>
      </c>
    </row>
    <row r="3893" spans="1:13" ht="13.5" customHeight="1" x14ac:dyDescent="0.25">
      <c r="I3893" s="16">
        <v>30</v>
      </c>
      <c r="L3893" s="16" t="s">
        <v>33</v>
      </c>
    </row>
    <row r="3894" spans="1:13" ht="13.5" customHeight="1" x14ac:dyDescent="0.25">
      <c r="I3894" s="16">
        <v>30</v>
      </c>
      <c r="L3894" s="16" t="s">
        <v>29</v>
      </c>
      <c r="M3894" s="15"/>
    </row>
    <row r="3895" spans="1:13" ht="13.5" customHeight="1" x14ac:dyDescent="0.25">
      <c r="I3895" s="16">
        <v>10</v>
      </c>
      <c r="L3895" s="16" t="s">
        <v>27</v>
      </c>
    </row>
    <row r="3896" spans="1:13" ht="13.5" customHeight="1" x14ac:dyDescent="0.25">
      <c r="I3896" s="16">
        <v>20</v>
      </c>
      <c r="L3896" s="16" t="s">
        <v>26</v>
      </c>
      <c r="M3896" s="16" t="s">
        <v>147</v>
      </c>
    </row>
    <row r="3897" spans="1:13" ht="13.5" customHeight="1" x14ac:dyDescent="0.25">
      <c r="I3897" s="16">
        <v>30</v>
      </c>
      <c r="L3897" s="16" t="s">
        <v>25</v>
      </c>
      <c r="M3897" s="16" t="s">
        <v>137</v>
      </c>
    </row>
    <row r="3898" spans="1:13" ht="13.5" customHeight="1" x14ac:dyDescent="0.25">
      <c r="I3898" s="16">
        <v>30</v>
      </c>
      <c r="L3898" s="16" t="s">
        <v>26</v>
      </c>
      <c r="M3898" s="15" t="s">
        <v>726</v>
      </c>
    </row>
    <row r="3900" spans="1:13" ht="13.5" customHeight="1" x14ac:dyDescent="0.25">
      <c r="A3900" s="16" t="s">
        <v>727</v>
      </c>
      <c r="B3900" s="16" t="s">
        <v>0</v>
      </c>
      <c r="C3900" s="16" t="s">
        <v>520</v>
      </c>
      <c r="D3900" s="15" t="s">
        <v>548</v>
      </c>
      <c r="E3900" s="15"/>
      <c r="F3900" s="28">
        <f>26.95+31.12+38.32+35.59+38.11+32.4+31.08+29.46+4.18+4.18+4.18+4.18</f>
        <v>279.75000000000006</v>
      </c>
      <c r="G3900" s="16">
        <v>8.5</v>
      </c>
      <c r="H3900" s="16" t="s">
        <v>22</v>
      </c>
      <c r="I3900" s="16">
        <v>10</v>
      </c>
      <c r="L3900" s="16" t="s">
        <v>23</v>
      </c>
    </row>
    <row r="3901" spans="1:13" ht="13.5" customHeight="1" x14ac:dyDescent="0.25">
      <c r="I3901" s="16">
        <v>90</v>
      </c>
      <c r="L3901" s="16" t="s">
        <v>32</v>
      </c>
    </row>
    <row r="3902" spans="1:13" ht="13.5" customHeight="1" x14ac:dyDescent="0.25">
      <c r="I3902" s="16">
        <v>30</v>
      </c>
      <c r="L3902" s="16" t="s">
        <v>33</v>
      </c>
    </row>
    <row r="3903" spans="1:13" ht="13.5" customHeight="1" x14ac:dyDescent="0.25">
      <c r="I3903" s="16">
        <v>40</v>
      </c>
      <c r="L3903" s="16" t="s">
        <v>29</v>
      </c>
      <c r="M3903" s="15"/>
    </row>
    <row r="3904" spans="1:13" ht="13.5" customHeight="1" x14ac:dyDescent="0.25">
      <c r="I3904" s="16">
        <v>30</v>
      </c>
      <c r="L3904" s="16" t="s">
        <v>25</v>
      </c>
      <c r="M3904" s="16" t="s">
        <v>137</v>
      </c>
    </row>
    <row r="3905" spans="1:13" ht="13.5" customHeight="1" x14ac:dyDescent="0.25">
      <c r="I3905" s="16">
        <v>20</v>
      </c>
      <c r="L3905" s="16" t="s">
        <v>25</v>
      </c>
      <c r="M3905" s="16" t="s">
        <v>45</v>
      </c>
    </row>
    <row r="3906" spans="1:13" ht="13.5" customHeight="1" x14ac:dyDescent="0.25">
      <c r="I3906" s="16">
        <v>20</v>
      </c>
      <c r="L3906" s="16" t="s">
        <v>27</v>
      </c>
    </row>
    <row r="3907" spans="1:13" ht="13.5" customHeight="1" x14ac:dyDescent="0.25">
      <c r="I3907" s="16">
        <v>20</v>
      </c>
      <c r="L3907" s="16" t="s">
        <v>26</v>
      </c>
      <c r="M3907" s="16" t="s">
        <v>147</v>
      </c>
    </row>
    <row r="3908" spans="1:13" ht="13.5" customHeight="1" x14ac:dyDescent="0.25">
      <c r="I3908" s="16">
        <v>20</v>
      </c>
      <c r="L3908" s="16" t="s">
        <v>24</v>
      </c>
      <c r="M3908" s="15" t="s">
        <v>723</v>
      </c>
    </row>
    <row r="3909" spans="1:13" ht="13.5" customHeight="1" x14ac:dyDescent="0.25">
      <c r="I3909" s="16">
        <v>20</v>
      </c>
      <c r="L3909" s="16" t="s">
        <v>25</v>
      </c>
      <c r="M3909" s="16" t="s">
        <v>36</v>
      </c>
    </row>
    <row r="3910" spans="1:13" ht="13.5" customHeight="1" x14ac:dyDescent="0.25">
      <c r="I3910" s="16">
        <v>45</v>
      </c>
      <c r="L3910" s="16" t="s">
        <v>24</v>
      </c>
      <c r="M3910" s="16" t="s">
        <v>626</v>
      </c>
    </row>
    <row r="3912" spans="1:13" ht="13.5" customHeight="1" x14ac:dyDescent="0.25">
      <c r="A3912" s="16" t="s">
        <v>727</v>
      </c>
      <c r="B3912" s="16" t="s">
        <v>1</v>
      </c>
      <c r="C3912" s="15" t="s">
        <v>728</v>
      </c>
      <c r="D3912" s="16" t="s">
        <v>21</v>
      </c>
      <c r="F3912" s="28">
        <v>312.01</v>
      </c>
      <c r="G3912" s="16">
        <v>9.5</v>
      </c>
      <c r="H3912" s="16" t="s">
        <v>22</v>
      </c>
      <c r="I3912" s="16">
        <v>10</v>
      </c>
      <c r="L3912" s="16" t="s">
        <v>23</v>
      </c>
    </row>
    <row r="3913" spans="1:13" ht="13.5" customHeight="1" x14ac:dyDescent="0.25">
      <c r="I3913" s="16">
        <v>90</v>
      </c>
      <c r="L3913" s="16" t="s">
        <v>32</v>
      </c>
    </row>
    <row r="3914" spans="1:13" ht="13.5" customHeight="1" x14ac:dyDescent="0.25">
      <c r="I3914" s="16">
        <v>25</v>
      </c>
      <c r="L3914" s="16" t="s">
        <v>33</v>
      </c>
    </row>
    <row r="3915" spans="1:13" ht="13.5" customHeight="1" x14ac:dyDescent="0.25">
      <c r="I3915" s="16">
        <v>80</v>
      </c>
      <c r="L3915" s="16" t="s">
        <v>29</v>
      </c>
      <c r="M3915" s="15" t="s">
        <v>725</v>
      </c>
    </row>
    <row r="3916" spans="1:13" ht="13.5" customHeight="1" x14ac:dyDescent="0.25">
      <c r="I3916" s="16">
        <v>20</v>
      </c>
      <c r="L3916" s="16" t="s">
        <v>25</v>
      </c>
      <c r="M3916" s="16" t="s">
        <v>137</v>
      </c>
    </row>
    <row r="3917" spans="1:13" ht="13.5" customHeight="1" x14ac:dyDescent="0.25">
      <c r="I3917" s="16">
        <v>20</v>
      </c>
      <c r="L3917" s="16" t="s">
        <v>25</v>
      </c>
      <c r="M3917" s="16" t="s">
        <v>45</v>
      </c>
    </row>
    <row r="3918" spans="1:13" ht="13.5" customHeight="1" x14ac:dyDescent="0.25">
      <c r="I3918" s="16">
        <v>20</v>
      </c>
      <c r="L3918" s="16" t="s">
        <v>27</v>
      </c>
    </row>
    <row r="3919" spans="1:13" ht="13.5" customHeight="1" x14ac:dyDescent="0.25">
      <c r="I3919" s="16">
        <v>20</v>
      </c>
      <c r="L3919" s="16" t="s">
        <v>26</v>
      </c>
      <c r="M3919" s="16" t="s">
        <v>147</v>
      </c>
    </row>
    <row r="3920" spans="1:13" ht="13.5" customHeight="1" x14ac:dyDescent="0.25">
      <c r="I3920" s="16">
        <v>15</v>
      </c>
      <c r="L3920" s="16" t="s">
        <v>26</v>
      </c>
      <c r="M3920" s="16" t="s">
        <v>722</v>
      </c>
    </row>
    <row r="3921" spans="1:13" ht="13.5" customHeight="1" x14ac:dyDescent="0.25">
      <c r="I3921" s="16">
        <v>20</v>
      </c>
      <c r="L3921" s="16" t="s">
        <v>25</v>
      </c>
      <c r="M3921" s="16" t="s">
        <v>729</v>
      </c>
    </row>
    <row r="3923" spans="1:13" ht="13.5" customHeight="1" x14ac:dyDescent="0.25">
      <c r="A3923" s="16" t="s">
        <v>727</v>
      </c>
      <c r="B3923" s="16" t="s">
        <v>2</v>
      </c>
      <c r="C3923" s="16" t="s">
        <v>6</v>
      </c>
      <c r="D3923" s="16" t="s">
        <v>20</v>
      </c>
      <c r="F3923" s="28">
        <v>332.85</v>
      </c>
      <c r="G3923" s="16">
        <v>10</v>
      </c>
      <c r="H3923" s="16" t="s">
        <v>22</v>
      </c>
      <c r="I3923" s="16">
        <v>10</v>
      </c>
      <c r="L3923" s="16" t="s">
        <v>23</v>
      </c>
    </row>
    <row r="3924" spans="1:13" ht="13.5" customHeight="1" x14ac:dyDescent="0.25">
      <c r="I3924" s="16">
        <v>100</v>
      </c>
      <c r="L3924" s="16" t="s">
        <v>32</v>
      </c>
    </row>
    <row r="3925" spans="1:13" ht="13.5" customHeight="1" x14ac:dyDescent="0.25">
      <c r="I3925" s="16">
        <v>30</v>
      </c>
      <c r="L3925" s="16" t="s">
        <v>33</v>
      </c>
    </row>
    <row r="3926" spans="1:13" ht="13.5" customHeight="1" x14ac:dyDescent="0.25">
      <c r="I3926" s="16">
        <v>30</v>
      </c>
      <c r="L3926" s="16" t="s">
        <v>29</v>
      </c>
      <c r="M3926" s="15"/>
    </row>
    <row r="3927" spans="1:13" ht="13.5" customHeight="1" x14ac:dyDescent="0.25">
      <c r="I3927" s="16">
        <v>10</v>
      </c>
      <c r="L3927" s="16" t="s">
        <v>27</v>
      </c>
    </row>
    <row r="3928" spans="1:13" ht="13.5" customHeight="1" x14ac:dyDescent="0.25">
      <c r="I3928" s="16">
        <v>20</v>
      </c>
      <c r="L3928" s="16" t="s">
        <v>26</v>
      </c>
      <c r="M3928" s="16" t="s">
        <v>147</v>
      </c>
    </row>
    <row r="3929" spans="1:13" ht="13.5" customHeight="1" x14ac:dyDescent="0.25">
      <c r="I3929" s="16">
        <v>40</v>
      </c>
      <c r="L3929" s="16" t="s">
        <v>25</v>
      </c>
      <c r="M3929" s="16" t="s">
        <v>137</v>
      </c>
    </row>
    <row r="3933" spans="1:13" ht="13.5" customHeight="1" x14ac:dyDescent="0.25">
      <c r="A3933" s="16" t="s">
        <v>730</v>
      </c>
      <c r="B3933" s="16" t="s">
        <v>0</v>
      </c>
      <c r="C3933" s="16" t="s">
        <v>520</v>
      </c>
      <c r="D3933" s="16" t="s">
        <v>21</v>
      </c>
      <c r="F3933" s="28">
        <v>266.77</v>
      </c>
      <c r="G3933" s="16">
        <v>8</v>
      </c>
      <c r="H3933" s="16" t="s">
        <v>22</v>
      </c>
      <c r="I3933" s="16">
        <v>10</v>
      </c>
      <c r="L3933" s="16" t="s">
        <v>23</v>
      </c>
    </row>
    <row r="3934" spans="1:13" ht="13.5" customHeight="1" x14ac:dyDescent="0.25">
      <c r="I3934" s="16">
        <v>80</v>
      </c>
      <c r="L3934" s="16" t="s">
        <v>32</v>
      </c>
    </row>
    <row r="3935" spans="1:13" ht="13.5" customHeight="1" x14ac:dyDescent="0.25">
      <c r="I3935" s="16">
        <v>30</v>
      </c>
      <c r="L3935" s="16" t="s">
        <v>33</v>
      </c>
    </row>
    <row r="3936" spans="1:13" ht="13.5" customHeight="1" x14ac:dyDescent="0.25">
      <c r="I3936" s="16">
        <v>70</v>
      </c>
      <c r="L3936" s="16" t="s">
        <v>29</v>
      </c>
      <c r="M3936" s="15" t="s">
        <v>731</v>
      </c>
    </row>
    <row r="3937" spans="1:15" ht="13.5" customHeight="1" x14ac:dyDescent="0.25">
      <c r="I3937" s="16">
        <v>60</v>
      </c>
      <c r="L3937" s="16" t="s">
        <v>25</v>
      </c>
      <c r="M3937" s="16" t="s">
        <v>137</v>
      </c>
    </row>
    <row r="3938" spans="1:15" ht="13.5" customHeight="1" x14ac:dyDescent="0.25">
      <c r="I3938" s="16">
        <v>20</v>
      </c>
      <c r="L3938" s="16" t="s">
        <v>25</v>
      </c>
      <c r="M3938" s="16" t="s">
        <v>45</v>
      </c>
    </row>
    <row r="3939" spans="1:15" ht="13.5" customHeight="1" x14ac:dyDescent="0.25">
      <c r="I3939" s="16">
        <v>20</v>
      </c>
      <c r="L3939" s="16" t="s">
        <v>27</v>
      </c>
    </row>
    <row r="3940" spans="1:15" ht="13.5" customHeight="1" x14ac:dyDescent="0.25">
      <c r="I3940" s="16">
        <v>20</v>
      </c>
      <c r="L3940" s="16" t="s">
        <v>26</v>
      </c>
      <c r="M3940" s="16" t="s">
        <v>147</v>
      </c>
    </row>
    <row r="3941" spans="1:15" ht="13.5" customHeight="1" x14ac:dyDescent="0.25">
      <c r="I3941" s="16">
        <v>20</v>
      </c>
      <c r="L3941" s="16" t="s">
        <v>24</v>
      </c>
      <c r="M3941" s="15" t="s">
        <v>723</v>
      </c>
    </row>
    <row r="3942" spans="1:15" ht="13.5" customHeight="1" x14ac:dyDescent="0.25">
      <c r="I3942" s="16">
        <v>30</v>
      </c>
      <c r="L3942" s="16" t="s">
        <v>25</v>
      </c>
      <c r="M3942" s="16" t="s">
        <v>36</v>
      </c>
    </row>
    <row r="3944" spans="1:15" ht="13.5" customHeight="1" x14ac:dyDescent="0.25">
      <c r="A3944" s="16" t="s">
        <v>730</v>
      </c>
      <c r="B3944" s="16" t="s">
        <v>1</v>
      </c>
      <c r="C3944" s="16" t="s">
        <v>15</v>
      </c>
      <c r="D3944" s="16" t="s">
        <v>20</v>
      </c>
      <c r="F3944" s="28">
        <v>262.47000000000003</v>
      </c>
      <c r="G3944" s="16">
        <v>8</v>
      </c>
      <c r="H3944" s="16" t="s">
        <v>22</v>
      </c>
      <c r="I3944" s="16">
        <v>10</v>
      </c>
      <c r="L3944" s="16" t="s">
        <v>23</v>
      </c>
    </row>
    <row r="3945" spans="1:15" ht="13.5" customHeight="1" x14ac:dyDescent="0.25">
      <c r="I3945" s="16">
        <v>80</v>
      </c>
      <c r="L3945" s="16" t="s">
        <v>32</v>
      </c>
    </row>
    <row r="3946" spans="1:15" ht="13.5" customHeight="1" x14ac:dyDescent="0.25">
      <c r="I3946" s="16">
        <v>30</v>
      </c>
      <c r="L3946" s="16" t="s">
        <v>33</v>
      </c>
    </row>
    <row r="3947" spans="1:15" ht="13.5" customHeight="1" x14ac:dyDescent="0.25">
      <c r="I3947" s="16">
        <v>60</v>
      </c>
      <c r="L3947" s="16" t="s">
        <v>25</v>
      </c>
      <c r="M3947" s="16" t="s">
        <v>137</v>
      </c>
    </row>
    <row r="3948" spans="1:15" ht="13.5" customHeight="1" x14ac:dyDescent="0.25">
      <c r="I3948" s="16">
        <v>20</v>
      </c>
      <c r="L3948" s="16" t="s">
        <v>25</v>
      </c>
      <c r="M3948" s="16" t="s">
        <v>45</v>
      </c>
    </row>
    <row r="3949" spans="1:15" ht="13.5" customHeight="1" x14ac:dyDescent="0.25">
      <c r="I3949" s="16">
        <v>20</v>
      </c>
      <c r="L3949" s="16" t="s">
        <v>27</v>
      </c>
    </row>
    <row r="3950" spans="1:15" ht="13.5" customHeight="1" x14ac:dyDescent="0.25">
      <c r="I3950" s="16">
        <v>20</v>
      </c>
      <c r="L3950" s="16" t="s">
        <v>26</v>
      </c>
      <c r="M3950" s="16" t="s">
        <v>147</v>
      </c>
    </row>
    <row r="3951" spans="1:15" ht="13.5" customHeight="1" x14ac:dyDescent="0.25">
      <c r="I3951" s="16">
        <v>20</v>
      </c>
      <c r="L3951" s="16" t="s">
        <v>24</v>
      </c>
      <c r="M3951" s="15" t="s">
        <v>723</v>
      </c>
    </row>
    <row r="3952" spans="1:15" ht="13.5" customHeight="1" x14ac:dyDescent="0.25">
      <c r="I3952" s="16">
        <v>30</v>
      </c>
      <c r="L3952" s="16" t="s">
        <v>25</v>
      </c>
      <c r="M3952" s="16" t="s">
        <v>36</v>
      </c>
      <c r="O3952" s="15" t="s">
        <v>732</v>
      </c>
    </row>
    <row r="3953" spans="1:13" ht="13.5" customHeight="1" x14ac:dyDescent="0.25">
      <c r="I3953" s="16">
        <v>60</v>
      </c>
      <c r="L3953" s="16" t="s">
        <v>25</v>
      </c>
      <c r="M3953" s="15" t="s">
        <v>732</v>
      </c>
    </row>
    <row r="3955" spans="1:13" ht="13.5" customHeight="1" x14ac:dyDescent="0.25">
      <c r="A3955" s="16" t="s">
        <v>730</v>
      </c>
      <c r="B3955" s="16" t="s">
        <v>2</v>
      </c>
      <c r="C3955" s="16" t="s">
        <v>6</v>
      </c>
      <c r="D3955" s="15" t="s">
        <v>548</v>
      </c>
      <c r="E3955" s="15"/>
      <c r="F3955" s="28">
        <v>293.81</v>
      </c>
      <c r="G3955" s="16">
        <v>9</v>
      </c>
      <c r="H3955" s="16" t="s">
        <v>22</v>
      </c>
      <c r="I3955" s="16">
        <v>10</v>
      </c>
      <c r="L3955" s="16" t="s">
        <v>23</v>
      </c>
    </row>
    <row r="3956" spans="1:13" ht="13.5" customHeight="1" x14ac:dyDescent="0.25">
      <c r="I3956" s="16">
        <v>90</v>
      </c>
      <c r="L3956" s="16" t="s">
        <v>32</v>
      </c>
    </row>
    <row r="3957" spans="1:13" ht="13.5" customHeight="1" x14ac:dyDescent="0.25">
      <c r="I3957" s="16">
        <v>30</v>
      </c>
      <c r="L3957" s="16" t="s">
        <v>33</v>
      </c>
    </row>
    <row r="3958" spans="1:13" ht="13.5" customHeight="1" x14ac:dyDescent="0.25">
      <c r="I3958" s="16">
        <v>50</v>
      </c>
      <c r="L3958" s="16" t="s">
        <v>29</v>
      </c>
      <c r="M3958" s="15" t="s">
        <v>731</v>
      </c>
    </row>
    <row r="3959" spans="1:13" ht="13.5" customHeight="1" x14ac:dyDescent="0.25">
      <c r="I3959" s="16">
        <v>60</v>
      </c>
      <c r="L3959" s="16" t="s">
        <v>25</v>
      </c>
      <c r="M3959" s="16" t="s">
        <v>137</v>
      </c>
    </row>
    <row r="3960" spans="1:13" ht="13.5" customHeight="1" x14ac:dyDescent="0.25">
      <c r="I3960" s="16">
        <v>20</v>
      </c>
      <c r="L3960" s="16" t="s">
        <v>25</v>
      </c>
      <c r="M3960" s="16" t="s">
        <v>45</v>
      </c>
    </row>
    <row r="3961" spans="1:13" ht="13.5" customHeight="1" x14ac:dyDescent="0.25">
      <c r="I3961" s="16">
        <v>20</v>
      </c>
      <c r="L3961" s="16" t="s">
        <v>27</v>
      </c>
    </row>
    <row r="3962" spans="1:13" ht="13.5" customHeight="1" x14ac:dyDescent="0.25">
      <c r="I3962" s="16">
        <v>20</v>
      </c>
      <c r="L3962" s="16" t="s">
        <v>26</v>
      </c>
      <c r="M3962" s="16" t="s">
        <v>147</v>
      </c>
    </row>
    <row r="3963" spans="1:13" ht="13.5" customHeight="1" x14ac:dyDescent="0.25">
      <c r="I3963" s="16">
        <v>40</v>
      </c>
      <c r="L3963" s="16" t="s">
        <v>24</v>
      </c>
      <c r="M3963" s="15" t="s">
        <v>723</v>
      </c>
    </row>
    <row r="3965" spans="1:13" ht="13.5" customHeight="1" x14ac:dyDescent="0.25">
      <c r="A3965" s="16" t="s">
        <v>733</v>
      </c>
      <c r="B3965" s="16" t="s">
        <v>0</v>
      </c>
      <c r="C3965" s="16" t="s">
        <v>520</v>
      </c>
      <c r="D3965" s="16" t="s">
        <v>21</v>
      </c>
      <c r="F3965" s="28">
        <v>261.24</v>
      </c>
      <c r="G3965" s="16">
        <v>7.5</v>
      </c>
      <c r="H3965" s="16" t="s">
        <v>22</v>
      </c>
      <c r="I3965" s="16">
        <v>10</v>
      </c>
      <c r="L3965" s="16" t="s">
        <v>23</v>
      </c>
    </row>
    <row r="3966" spans="1:13" ht="13.5" customHeight="1" x14ac:dyDescent="0.25">
      <c r="I3966" s="16">
        <v>80</v>
      </c>
      <c r="L3966" s="16" t="s">
        <v>32</v>
      </c>
    </row>
    <row r="3967" spans="1:13" ht="13.5" customHeight="1" x14ac:dyDescent="0.25">
      <c r="I3967" s="16">
        <v>30</v>
      </c>
      <c r="L3967" s="16" t="s">
        <v>33</v>
      </c>
    </row>
    <row r="3968" spans="1:13" ht="13.5" customHeight="1" x14ac:dyDescent="0.25">
      <c r="I3968" s="16">
        <v>70</v>
      </c>
      <c r="L3968" s="16" t="s">
        <v>29</v>
      </c>
      <c r="M3968" s="15" t="s">
        <v>731</v>
      </c>
    </row>
    <row r="3969" spans="1:13" ht="13.5" customHeight="1" x14ac:dyDescent="0.25">
      <c r="I3969" s="16">
        <v>60</v>
      </c>
      <c r="L3969" s="16" t="s">
        <v>25</v>
      </c>
      <c r="M3969" s="16" t="s">
        <v>137</v>
      </c>
    </row>
    <row r="3970" spans="1:13" ht="13.5" customHeight="1" x14ac:dyDescent="0.25">
      <c r="I3970" s="16">
        <v>20</v>
      </c>
      <c r="L3970" s="16" t="s">
        <v>25</v>
      </c>
      <c r="M3970" s="16" t="s">
        <v>45</v>
      </c>
    </row>
    <row r="3971" spans="1:13" ht="13.5" customHeight="1" x14ac:dyDescent="0.25">
      <c r="I3971" s="16">
        <v>20</v>
      </c>
      <c r="L3971" s="16" t="s">
        <v>27</v>
      </c>
    </row>
    <row r="3972" spans="1:13" ht="13.5" customHeight="1" x14ac:dyDescent="0.25">
      <c r="I3972" s="16">
        <v>20</v>
      </c>
      <c r="L3972" s="16" t="s">
        <v>26</v>
      </c>
      <c r="M3972" s="16" t="s">
        <v>147</v>
      </c>
    </row>
    <row r="3973" spans="1:13" ht="13.5" customHeight="1" x14ac:dyDescent="0.25">
      <c r="I3973" s="16">
        <v>30</v>
      </c>
      <c r="L3973" s="16" t="s">
        <v>25</v>
      </c>
      <c r="M3973" s="16" t="s">
        <v>36</v>
      </c>
    </row>
    <row r="3974" spans="1:13" ht="13.5" customHeight="1" x14ac:dyDescent="0.25">
      <c r="I3974" s="16">
        <v>40</v>
      </c>
      <c r="L3974" s="16" t="s">
        <v>26</v>
      </c>
      <c r="M3974" s="16" t="s">
        <v>734</v>
      </c>
    </row>
    <row r="3975" spans="1:13" ht="13.5" customHeight="1" x14ac:dyDescent="0.25">
      <c r="I3975" s="16">
        <v>60</v>
      </c>
      <c r="L3975" s="16" t="s">
        <v>28</v>
      </c>
      <c r="M3975" s="15" t="s">
        <v>735</v>
      </c>
    </row>
    <row r="3977" spans="1:13" ht="13.5" customHeight="1" x14ac:dyDescent="0.25">
      <c r="A3977" s="16" t="s">
        <v>733</v>
      </c>
      <c r="B3977" s="16" t="s">
        <v>1</v>
      </c>
      <c r="C3977" s="16" t="s">
        <v>16</v>
      </c>
      <c r="D3977" s="16" t="s">
        <v>20</v>
      </c>
      <c r="F3977" s="28">
        <v>293.08999999999997</v>
      </c>
      <c r="G3977" s="16">
        <v>8.5</v>
      </c>
      <c r="H3977" s="16" t="s">
        <v>22</v>
      </c>
      <c r="I3977" s="16">
        <v>10</v>
      </c>
      <c r="L3977" s="16" t="s">
        <v>23</v>
      </c>
    </row>
    <row r="3978" spans="1:13" ht="13.5" customHeight="1" x14ac:dyDescent="0.25">
      <c r="I3978" s="16">
        <v>80</v>
      </c>
      <c r="L3978" s="16" t="s">
        <v>32</v>
      </c>
    </row>
    <row r="3979" spans="1:13" ht="13.5" customHeight="1" x14ac:dyDescent="0.25">
      <c r="I3979" s="16">
        <v>30</v>
      </c>
      <c r="L3979" s="16" t="s">
        <v>33</v>
      </c>
    </row>
    <row r="3980" spans="1:13" ht="13.5" customHeight="1" x14ac:dyDescent="0.25">
      <c r="I3980" s="16">
        <v>50</v>
      </c>
      <c r="L3980" s="16" t="s">
        <v>25</v>
      </c>
      <c r="M3980" s="16" t="s">
        <v>137</v>
      </c>
    </row>
    <row r="3981" spans="1:13" ht="13.5" customHeight="1" x14ac:dyDescent="0.25">
      <c r="I3981" s="16">
        <v>20</v>
      </c>
      <c r="L3981" s="16" t="s">
        <v>25</v>
      </c>
      <c r="M3981" s="16" t="s">
        <v>45</v>
      </c>
    </row>
    <row r="3982" spans="1:13" ht="13.5" customHeight="1" x14ac:dyDescent="0.25">
      <c r="I3982" s="16">
        <v>20</v>
      </c>
      <c r="L3982" s="16" t="s">
        <v>27</v>
      </c>
    </row>
    <row r="3983" spans="1:13" ht="13.5" customHeight="1" x14ac:dyDescent="0.25">
      <c r="I3983" s="16">
        <v>20</v>
      </c>
      <c r="L3983" s="16" t="s">
        <v>26</v>
      </c>
      <c r="M3983" s="16" t="s">
        <v>147</v>
      </c>
    </row>
    <row r="3984" spans="1:13" ht="13.5" customHeight="1" x14ac:dyDescent="0.25">
      <c r="I3984" s="16">
        <v>30</v>
      </c>
      <c r="L3984" s="16" t="s">
        <v>24</v>
      </c>
      <c r="M3984" s="15" t="s">
        <v>173</v>
      </c>
    </row>
    <row r="3985" spans="1:13" ht="13.5" customHeight="1" x14ac:dyDescent="0.25">
      <c r="I3985" s="16">
        <v>20</v>
      </c>
      <c r="L3985" s="16" t="s">
        <v>25</v>
      </c>
      <c r="M3985" s="16" t="s">
        <v>36</v>
      </c>
    </row>
    <row r="3986" spans="1:13" ht="13.5" customHeight="1" x14ac:dyDescent="0.25">
      <c r="I3986" s="16">
        <v>90</v>
      </c>
      <c r="L3986" s="16" t="s">
        <v>29</v>
      </c>
      <c r="M3986" s="15" t="s">
        <v>736</v>
      </c>
    </row>
    <row r="3988" spans="1:13" ht="13.5" customHeight="1" x14ac:dyDescent="0.25">
      <c r="A3988" s="16" t="s">
        <v>733</v>
      </c>
      <c r="B3988" s="16" t="s">
        <v>2</v>
      </c>
      <c r="C3988" s="16" t="s">
        <v>6</v>
      </c>
      <c r="D3988" s="15" t="s">
        <v>548</v>
      </c>
      <c r="E3988" s="15"/>
      <c r="F3988" s="28">
        <v>296.83999999999997</v>
      </c>
      <c r="G3988" s="16">
        <v>9</v>
      </c>
      <c r="H3988" s="16" t="s">
        <v>22</v>
      </c>
      <c r="I3988" s="16">
        <v>10</v>
      </c>
      <c r="L3988" s="16" t="s">
        <v>23</v>
      </c>
    </row>
    <row r="3989" spans="1:13" ht="13.5" customHeight="1" x14ac:dyDescent="0.25">
      <c r="I3989" s="16">
        <v>90</v>
      </c>
      <c r="L3989" s="16" t="s">
        <v>32</v>
      </c>
    </row>
    <row r="3990" spans="1:13" ht="13.5" customHeight="1" x14ac:dyDescent="0.25">
      <c r="I3990" s="16">
        <v>30</v>
      </c>
      <c r="L3990" s="16" t="s">
        <v>33</v>
      </c>
    </row>
    <row r="3991" spans="1:13" ht="13.5" customHeight="1" x14ac:dyDescent="0.25">
      <c r="I3991" s="16">
        <v>100</v>
      </c>
      <c r="L3991" s="16" t="s">
        <v>29</v>
      </c>
      <c r="M3991" s="15" t="s">
        <v>737</v>
      </c>
    </row>
    <row r="3992" spans="1:13" ht="13.5" customHeight="1" x14ac:dyDescent="0.25">
      <c r="I3992" s="16">
        <v>30</v>
      </c>
      <c r="L3992" s="16" t="s">
        <v>25</v>
      </c>
      <c r="M3992" s="16" t="s">
        <v>137</v>
      </c>
    </row>
    <row r="3993" spans="1:13" ht="13.5" customHeight="1" x14ac:dyDescent="0.25">
      <c r="I3993" s="16">
        <v>20</v>
      </c>
      <c r="L3993" s="16" t="s">
        <v>25</v>
      </c>
      <c r="M3993" s="16" t="s">
        <v>45</v>
      </c>
    </row>
    <row r="3994" spans="1:13" ht="13.5" customHeight="1" x14ac:dyDescent="0.25">
      <c r="I3994" s="16">
        <v>20</v>
      </c>
      <c r="L3994" s="16" t="s">
        <v>27</v>
      </c>
    </row>
    <row r="3995" spans="1:13" ht="13.5" customHeight="1" x14ac:dyDescent="0.25">
      <c r="I3995" s="16">
        <v>20</v>
      </c>
      <c r="L3995" s="16" t="s">
        <v>26</v>
      </c>
      <c r="M3995" s="16" t="s">
        <v>147</v>
      </c>
    </row>
    <row r="3996" spans="1:13" ht="13.5" customHeight="1" x14ac:dyDescent="0.25">
      <c r="M3996" s="15"/>
    </row>
    <row r="3997" spans="1:13" ht="13.5" customHeight="1" x14ac:dyDescent="0.25">
      <c r="A3997" s="16">
        <v>11.032026</v>
      </c>
      <c r="B3997" s="16" t="s">
        <v>0</v>
      </c>
      <c r="C3997" s="16" t="s">
        <v>520</v>
      </c>
      <c r="D3997" s="16" t="s">
        <v>21</v>
      </c>
      <c r="F3997" s="28">
        <f>29.15+27.58+26.11+32.48+32.49+38.44+38.19+35.51+12.54</f>
        <v>272.49</v>
      </c>
      <c r="G3997" s="16">
        <v>8.5</v>
      </c>
      <c r="H3997" s="16" t="s">
        <v>22</v>
      </c>
      <c r="I3997" s="16">
        <v>10</v>
      </c>
      <c r="L3997" s="16" t="s">
        <v>23</v>
      </c>
    </row>
    <row r="3998" spans="1:13" ht="13.5" customHeight="1" x14ac:dyDescent="0.25">
      <c r="I3998" s="16">
        <v>90</v>
      </c>
      <c r="L3998" s="16" t="s">
        <v>32</v>
      </c>
    </row>
    <row r="3999" spans="1:13" ht="13.5" customHeight="1" x14ac:dyDescent="0.25">
      <c r="I3999" s="16">
        <v>40</v>
      </c>
      <c r="L3999" s="16" t="s">
        <v>33</v>
      </c>
    </row>
    <row r="4000" spans="1:13" ht="13.5" customHeight="1" x14ac:dyDescent="0.25">
      <c r="I4000" s="16">
        <v>90</v>
      </c>
      <c r="L4000" s="16" t="s">
        <v>29</v>
      </c>
      <c r="M4000" s="15" t="s">
        <v>738</v>
      </c>
    </row>
    <row r="4001" spans="1:13" ht="13.5" customHeight="1" x14ac:dyDescent="0.25">
      <c r="I4001" s="16">
        <v>60</v>
      </c>
      <c r="L4001" s="16" t="s">
        <v>25</v>
      </c>
      <c r="M4001" s="16" t="s">
        <v>137</v>
      </c>
    </row>
    <row r="4002" spans="1:13" ht="13.5" customHeight="1" x14ac:dyDescent="0.25">
      <c r="I4002" s="16">
        <v>20</v>
      </c>
      <c r="L4002" s="16" t="s">
        <v>25</v>
      </c>
      <c r="M4002" s="16" t="s">
        <v>45</v>
      </c>
    </row>
    <row r="4003" spans="1:13" ht="13.5" customHeight="1" x14ac:dyDescent="0.25">
      <c r="I4003" s="16">
        <v>20</v>
      </c>
      <c r="L4003" s="16" t="s">
        <v>27</v>
      </c>
    </row>
    <row r="4004" spans="1:13" ht="13.5" customHeight="1" x14ac:dyDescent="0.25">
      <c r="I4004" s="16">
        <v>20</v>
      </c>
      <c r="L4004" s="16" t="s">
        <v>26</v>
      </c>
      <c r="M4004" s="16" t="s">
        <v>147</v>
      </c>
    </row>
    <row r="4007" spans="1:13" ht="13.5" customHeight="1" x14ac:dyDescent="0.25">
      <c r="A4007" s="16" t="s">
        <v>739</v>
      </c>
      <c r="B4007" s="16" t="s">
        <v>1</v>
      </c>
      <c r="C4007" s="16" t="s">
        <v>15</v>
      </c>
      <c r="D4007" s="16" t="s">
        <v>20</v>
      </c>
      <c r="F4007" s="28">
        <v>210.08</v>
      </c>
      <c r="G4007" s="16">
        <v>6.75</v>
      </c>
      <c r="H4007" s="16" t="s">
        <v>22</v>
      </c>
      <c r="I4007" s="16">
        <v>10</v>
      </c>
      <c r="L4007" s="16" t="s">
        <v>23</v>
      </c>
    </row>
    <row r="4008" spans="1:13" ht="13.5" customHeight="1" x14ac:dyDescent="0.25">
      <c r="I4008" s="16">
        <v>60</v>
      </c>
      <c r="L4008" s="16" t="s">
        <v>32</v>
      </c>
    </row>
    <row r="4009" spans="1:13" ht="13.5" customHeight="1" x14ac:dyDescent="0.25">
      <c r="I4009" s="16">
        <v>20</v>
      </c>
      <c r="L4009" s="16" t="s">
        <v>33</v>
      </c>
    </row>
    <row r="4010" spans="1:13" ht="13.5" customHeight="1" x14ac:dyDescent="0.25">
      <c r="I4010" s="16">
        <v>60</v>
      </c>
      <c r="L4010" s="16" t="s">
        <v>29</v>
      </c>
    </row>
    <row r="4011" spans="1:13" ht="13.5" customHeight="1" x14ac:dyDescent="0.25">
      <c r="I4011" s="16">
        <v>40</v>
      </c>
      <c r="L4011" s="16" t="s">
        <v>25</v>
      </c>
      <c r="M4011" s="16" t="s">
        <v>137</v>
      </c>
    </row>
    <row r="4012" spans="1:13" ht="13.5" customHeight="1" x14ac:dyDescent="0.25">
      <c r="I4012" s="16">
        <v>0</v>
      </c>
      <c r="L4012" s="16" t="s">
        <v>25</v>
      </c>
      <c r="M4012" s="16" t="s">
        <v>45</v>
      </c>
    </row>
    <row r="4013" spans="1:13" ht="13.5" customHeight="1" x14ac:dyDescent="0.25">
      <c r="I4013" s="16">
        <v>20</v>
      </c>
      <c r="L4013" s="16" t="s">
        <v>27</v>
      </c>
    </row>
    <row r="4014" spans="1:13" ht="13.5" customHeight="1" x14ac:dyDescent="0.25">
      <c r="I4014" s="16">
        <v>20</v>
      </c>
      <c r="L4014" s="16" t="s">
        <v>26</v>
      </c>
      <c r="M4014" s="16" t="s">
        <v>147</v>
      </c>
    </row>
    <row r="4015" spans="1:13" ht="13.5" customHeight="1" x14ac:dyDescent="0.25">
      <c r="I4015" s="16">
        <v>190</v>
      </c>
      <c r="L4015" s="16" t="s">
        <v>26</v>
      </c>
      <c r="M4015" s="15" t="s">
        <v>187</v>
      </c>
    </row>
    <row r="4017" spans="1:13" ht="13.5" customHeight="1" x14ac:dyDescent="0.25">
      <c r="A4017" s="16" t="s">
        <v>739</v>
      </c>
      <c r="B4017" s="16" t="s">
        <v>2</v>
      </c>
      <c r="C4017" s="16" t="s">
        <v>16</v>
      </c>
      <c r="D4017" s="15" t="s">
        <v>548</v>
      </c>
      <c r="E4017" s="15"/>
      <c r="F4017" s="28">
        <v>328.49</v>
      </c>
      <c r="G4017" s="16">
        <v>10</v>
      </c>
      <c r="H4017" s="16" t="s">
        <v>22</v>
      </c>
      <c r="I4017" s="16">
        <v>10</v>
      </c>
      <c r="L4017" s="16" t="s">
        <v>23</v>
      </c>
    </row>
    <row r="4018" spans="1:13" ht="13.5" customHeight="1" x14ac:dyDescent="0.25">
      <c r="I4018" s="16">
        <v>100</v>
      </c>
      <c r="L4018" s="16" t="s">
        <v>32</v>
      </c>
    </row>
    <row r="4019" spans="1:13" ht="13.5" customHeight="1" x14ac:dyDescent="0.25">
      <c r="I4019" s="16">
        <v>30</v>
      </c>
      <c r="L4019" s="16" t="s">
        <v>33</v>
      </c>
    </row>
    <row r="4020" spans="1:13" ht="13.5" customHeight="1" x14ac:dyDescent="0.25">
      <c r="I4020" s="16">
        <v>20</v>
      </c>
      <c r="L4020" s="16" t="s">
        <v>29</v>
      </c>
      <c r="M4020" s="15"/>
    </row>
    <row r="4021" spans="1:13" ht="13.5" customHeight="1" x14ac:dyDescent="0.25">
      <c r="I4021" s="16">
        <v>30</v>
      </c>
      <c r="L4021" s="16" t="s">
        <v>25</v>
      </c>
      <c r="M4021" s="16" t="s">
        <v>137</v>
      </c>
    </row>
    <row r="4022" spans="1:13" ht="13.5" customHeight="1" x14ac:dyDescent="0.25">
      <c r="I4022" s="16">
        <v>20</v>
      </c>
      <c r="L4022" s="16" t="s">
        <v>25</v>
      </c>
      <c r="M4022" s="16" t="s">
        <v>45</v>
      </c>
    </row>
    <row r="4023" spans="1:13" ht="13.5" customHeight="1" x14ac:dyDescent="0.25">
      <c r="I4023" s="16">
        <v>20</v>
      </c>
      <c r="L4023" s="16" t="s">
        <v>27</v>
      </c>
    </row>
    <row r="4024" spans="1:13" ht="13.5" customHeight="1" x14ac:dyDescent="0.25">
      <c r="I4024" s="16">
        <v>20</v>
      </c>
      <c r="L4024" s="16" t="s">
        <v>26</v>
      </c>
      <c r="M4024" s="16" t="s">
        <v>147</v>
      </c>
    </row>
    <row r="4025" spans="1:13" ht="13.5" customHeight="1" x14ac:dyDescent="0.25">
      <c r="I4025" s="16">
        <v>20</v>
      </c>
      <c r="L4025" s="16" t="s">
        <v>101</v>
      </c>
      <c r="M4025" s="16" t="s">
        <v>740</v>
      </c>
    </row>
    <row r="4026" spans="1:13" ht="13.5" customHeight="1" x14ac:dyDescent="0.25">
      <c r="I4026" s="16">
        <v>20</v>
      </c>
      <c r="L4026" s="16" t="s">
        <v>26</v>
      </c>
      <c r="M4026" s="16" t="s">
        <v>363</v>
      </c>
    </row>
    <row r="4028" spans="1:13" ht="13.5" customHeight="1" x14ac:dyDescent="0.25">
      <c r="M4028" s="15"/>
    </row>
    <row r="4029" spans="1:13" ht="13.5" customHeight="1" x14ac:dyDescent="0.25">
      <c r="A4029" s="16" t="s">
        <v>742</v>
      </c>
      <c r="B4029" s="16" t="s">
        <v>0</v>
      </c>
      <c r="C4029" s="16" t="s">
        <v>520</v>
      </c>
      <c r="D4029" s="16" t="s">
        <v>21</v>
      </c>
      <c r="F4029" s="28">
        <v>98.5</v>
      </c>
      <c r="G4029" s="16">
        <v>3</v>
      </c>
      <c r="H4029" s="16" t="s">
        <v>22</v>
      </c>
      <c r="I4029" s="16">
        <v>10</v>
      </c>
      <c r="L4029" s="16" t="s">
        <v>23</v>
      </c>
    </row>
    <row r="4030" spans="1:13" ht="13.5" customHeight="1" x14ac:dyDescent="0.25">
      <c r="I4030" s="16">
        <v>30</v>
      </c>
      <c r="L4030" s="16" t="s">
        <v>32</v>
      </c>
    </row>
    <row r="4031" spans="1:13" ht="13.5" customHeight="1" x14ac:dyDescent="0.25">
      <c r="I4031" s="16">
        <v>20</v>
      </c>
      <c r="L4031" s="16" t="s">
        <v>33</v>
      </c>
    </row>
    <row r="4032" spans="1:13" ht="13.5" customHeight="1" x14ac:dyDescent="0.25">
      <c r="I4032" s="16">
        <v>20</v>
      </c>
      <c r="L4032" s="16" t="s">
        <v>29</v>
      </c>
      <c r="M4032" s="15"/>
    </row>
    <row r="4033" spans="1:13" ht="13.5" customHeight="1" x14ac:dyDescent="0.25">
      <c r="I4033" s="16">
        <v>60</v>
      </c>
      <c r="L4033" s="16" t="s">
        <v>25</v>
      </c>
      <c r="M4033" s="16" t="s">
        <v>137</v>
      </c>
    </row>
    <row r="4034" spans="1:13" ht="13.5" customHeight="1" x14ac:dyDescent="0.25">
      <c r="I4034" s="16">
        <v>10</v>
      </c>
      <c r="L4034" s="16" t="s">
        <v>25</v>
      </c>
      <c r="M4034" s="16" t="s">
        <v>45</v>
      </c>
    </row>
    <row r="4035" spans="1:13" ht="13.5" customHeight="1" x14ac:dyDescent="0.25">
      <c r="I4035" s="16">
        <v>10</v>
      </c>
      <c r="L4035" s="16" t="s">
        <v>27</v>
      </c>
    </row>
    <row r="4036" spans="1:13" ht="13.5" customHeight="1" x14ac:dyDescent="0.25">
      <c r="I4036" s="16">
        <v>75</v>
      </c>
      <c r="L4036" s="16" t="s">
        <v>26</v>
      </c>
      <c r="M4036" s="15" t="s">
        <v>741</v>
      </c>
    </row>
    <row r="4037" spans="1:13" ht="13.5" customHeight="1" x14ac:dyDescent="0.25">
      <c r="I4037" s="16">
        <v>290</v>
      </c>
      <c r="L4037" s="16" t="s">
        <v>26</v>
      </c>
      <c r="M4037" s="15" t="s">
        <v>164</v>
      </c>
    </row>
    <row r="4039" spans="1:13" ht="13.5" customHeight="1" x14ac:dyDescent="0.25">
      <c r="A4039" s="16" t="s">
        <v>742</v>
      </c>
      <c r="B4039" s="16" t="s">
        <v>1</v>
      </c>
      <c r="C4039" s="16" t="s">
        <v>15</v>
      </c>
      <c r="D4039" s="16" t="s">
        <v>20</v>
      </c>
      <c r="F4039" s="28">
        <v>0</v>
      </c>
      <c r="G4039" s="16">
        <v>0</v>
      </c>
      <c r="H4039" s="16" t="s">
        <v>22</v>
      </c>
      <c r="I4039" s="16">
        <v>480</v>
      </c>
      <c r="L4039" s="16" t="s">
        <v>26</v>
      </c>
      <c r="M4039" s="15" t="s">
        <v>164</v>
      </c>
    </row>
    <row r="4041" spans="1:13" ht="13.5" customHeight="1" x14ac:dyDescent="0.25">
      <c r="A4041" s="16" t="s">
        <v>742</v>
      </c>
      <c r="B4041" s="16" t="s">
        <v>2</v>
      </c>
      <c r="C4041" s="16" t="s">
        <v>16</v>
      </c>
      <c r="D4041" s="15" t="s">
        <v>548</v>
      </c>
      <c r="E4041" s="15"/>
      <c r="F4041" s="28">
        <v>363.56</v>
      </c>
      <c r="G4041" s="16">
        <v>10</v>
      </c>
      <c r="H4041" s="16" t="s">
        <v>22</v>
      </c>
      <c r="I4041" s="16">
        <v>10</v>
      </c>
      <c r="L4041" s="16" t="s">
        <v>23</v>
      </c>
    </row>
    <row r="4042" spans="1:13" ht="13.5" customHeight="1" x14ac:dyDescent="0.25">
      <c r="I4042" s="16">
        <v>100</v>
      </c>
      <c r="L4042" s="16" t="s">
        <v>32</v>
      </c>
    </row>
    <row r="4043" spans="1:13" ht="13.5" customHeight="1" x14ac:dyDescent="0.25">
      <c r="I4043" s="16">
        <v>30</v>
      </c>
      <c r="L4043" s="16" t="s">
        <v>33</v>
      </c>
    </row>
    <row r="4044" spans="1:13" ht="13.5" customHeight="1" x14ac:dyDescent="0.25">
      <c r="I4044" s="16">
        <v>20</v>
      </c>
      <c r="L4044" s="16" t="s">
        <v>29</v>
      </c>
      <c r="M4044" s="15"/>
    </row>
    <row r="4045" spans="1:13" ht="13.5" customHeight="1" x14ac:dyDescent="0.25">
      <c r="I4045" s="16">
        <v>30</v>
      </c>
      <c r="L4045" s="16" t="s">
        <v>25</v>
      </c>
      <c r="M4045" s="16" t="s">
        <v>137</v>
      </c>
    </row>
    <row r="4046" spans="1:13" ht="13.5" customHeight="1" x14ac:dyDescent="0.25">
      <c r="I4046" s="16">
        <v>20</v>
      </c>
      <c r="L4046" s="16" t="s">
        <v>25</v>
      </c>
      <c r="M4046" s="16" t="s">
        <v>45</v>
      </c>
    </row>
    <row r="4047" spans="1:13" ht="13.5" customHeight="1" x14ac:dyDescent="0.25">
      <c r="I4047" s="16">
        <v>20</v>
      </c>
      <c r="L4047" s="16" t="s">
        <v>27</v>
      </c>
    </row>
    <row r="4048" spans="1:13" ht="13.5" customHeight="1" x14ac:dyDescent="0.25">
      <c r="I4048" s="16">
        <v>20</v>
      </c>
      <c r="L4048" s="16" t="s">
        <v>26</v>
      </c>
      <c r="M4048" s="16" t="s">
        <v>147</v>
      </c>
    </row>
    <row r="4049" spans="1:13" ht="13.5" customHeight="1" x14ac:dyDescent="0.25">
      <c r="I4049" s="16">
        <v>70</v>
      </c>
      <c r="L4049" s="16" t="s">
        <v>26</v>
      </c>
      <c r="M4049" s="16" t="s">
        <v>743</v>
      </c>
    </row>
    <row r="4051" spans="1:13" ht="13.5" customHeight="1" x14ac:dyDescent="0.25">
      <c r="A4051" s="16" t="s">
        <v>744</v>
      </c>
      <c r="B4051" s="16" t="s">
        <v>0</v>
      </c>
      <c r="C4051" s="16" t="s">
        <v>520</v>
      </c>
      <c r="D4051" s="16" t="s">
        <v>21</v>
      </c>
      <c r="F4051" s="28">
        <v>134.91</v>
      </c>
      <c r="G4051" s="16">
        <v>4.25</v>
      </c>
      <c r="H4051" s="16" t="s">
        <v>22</v>
      </c>
      <c r="I4051" s="16">
        <v>10</v>
      </c>
      <c r="L4051" s="16" t="s">
        <v>23</v>
      </c>
    </row>
    <row r="4052" spans="1:13" ht="13.5" customHeight="1" x14ac:dyDescent="0.25">
      <c r="I4052" s="16">
        <v>60</v>
      </c>
      <c r="L4052" s="16" t="s">
        <v>32</v>
      </c>
      <c r="M4052" s="15" t="s">
        <v>745</v>
      </c>
    </row>
    <row r="4053" spans="1:13" ht="13.5" customHeight="1" x14ac:dyDescent="0.25">
      <c r="I4053" s="16">
        <v>25</v>
      </c>
      <c r="L4053" s="16" t="s">
        <v>33</v>
      </c>
    </row>
    <row r="4054" spans="1:13" ht="13.5" customHeight="1" x14ac:dyDescent="0.25">
      <c r="I4054" s="16">
        <v>30</v>
      </c>
      <c r="L4054" s="16" t="s">
        <v>29</v>
      </c>
      <c r="M4054" s="15"/>
    </row>
    <row r="4055" spans="1:13" ht="13.5" customHeight="1" x14ac:dyDescent="0.25">
      <c r="I4055" s="16">
        <v>30</v>
      </c>
      <c r="L4055" s="16" t="s">
        <v>25</v>
      </c>
      <c r="M4055" s="16" t="s">
        <v>137</v>
      </c>
    </row>
    <row r="4056" spans="1:13" ht="13.5" customHeight="1" x14ac:dyDescent="0.25">
      <c r="I4056" s="16">
        <v>15</v>
      </c>
      <c r="L4056" s="16" t="s">
        <v>25</v>
      </c>
      <c r="M4056" s="16" t="s">
        <v>45</v>
      </c>
    </row>
    <row r="4057" spans="1:13" ht="13.5" customHeight="1" x14ac:dyDescent="0.25">
      <c r="I4057" s="16">
        <v>10</v>
      </c>
      <c r="L4057" s="16" t="s">
        <v>27</v>
      </c>
    </row>
    <row r="4058" spans="1:13" ht="13.5" customHeight="1" x14ac:dyDescent="0.25">
      <c r="I4058" s="16">
        <v>45</v>
      </c>
      <c r="L4058" s="16" t="s">
        <v>26</v>
      </c>
      <c r="M4058" s="15" t="s">
        <v>746</v>
      </c>
    </row>
    <row r="4059" spans="1:13" ht="13.5" customHeight="1" x14ac:dyDescent="0.25">
      <c r="I4059" s="16">
        <v>200</v>
      </c>
      <c r="J4059" s="18">
        <v>0.43402777777777773</v>
      </c>
      <c r="K4059" s="18">
        <v>8.3333333333333329E-2</v>
      </c>
      <c r="L4059" s="16" t="s">
        <v>26</v>
      </c>
      <c r="M4059" s="15" t="s">
        <v>748</v>
      </c>
    </row>
    <row r="4060" spans="1:13" ht="13.5" customHeight="1" x14ac:dyDescent="0.25">
      <c r="I4060" s="16">
        <v>25</v>
      </c>
      <c r="L4060" s="16" t="s">
        <v>26</v>
      </c>
      <c r="M4060" s="15" t="s">
        <v>747</v>
      </c>
    </row>
    <row r="4062" spans="1:13" ht="13.5" customHeight="1" x14ac:dyDescent="0.25">
      <c r="A4062" s="16" t="s">
        <v>744</v>
      </c>
      <c r="B4062" s="16" t="s">
        <v>1</v>
      </c>
      <c r="C4062" s="16" t="s">
        <v>15</v>
      </c>
      <c r="D4062" s="16" t="s">
        <v>20</v>
      </c>
      <c r="F4062" s="28">
        <v>169.43</v>
      </c>
      <c r="G4062" s="16">
        <v>5.25</v>
      </c>
      <c r="H4062" s="16" t="s">
        <v>22</v>
      </c>
      <c r="I4062" s="16">
        <v>10</v>
      </c>
      <c r="L4062" s="16" t="s">
        <v>23</v>
      </c>
    </row>
    <row r="4063" spans="1:13" ht="13.5" customHeight="1" x14ac:dyDescent="0.25">
      <c r="I4063" s="16">
        <v>50</v>
      </c>
      <c r="L4063" s="16" t="s">
        <v>32</v>
      </c>
      <c r="M4063" s="15"/>
    </row>
    <row r="4064" spans="1:13" ht="13.5" customHeight="1" x14ac:dyDescent="0.25">
      <c r="I4064" s="16">
        <v>20</v>
      </c>
      <c r="L4064" s="16" t="s">
        <v>33</v>
      </c>
    </row>
    <row r="4065" spans="1:13" ht="13.5" customHeight="1" x14ac:dyDescent="0.25">
      <c r="I4065" s="16">
        <v>10</v>
      </c>
      <c r="L4065" s="16" t="s">
        <v>29</v>
      </c>
      <c r="M4065" s="15"/>
    </row>
    <row r="4066" spans="1:13" ht="13.5" customHeight="1" x14ac:dyDescent="0.25">
      <c r="I4066" s="16">
        <v>20</v>
      </c>
      <c r="L4066" s="16" t="s">
        <v>25</v>
      </c>
      <c r="M4066" s="16" t="s">
        <v>137</v>
      </c>
    </row>
    <row r="4067" spans="1:13" ht="13.5" customHeight="1" x14ac:dyDescent="0.25">
      <c r="I4067" s="16">
        <v>10</v>
      </c>
      <c r="L4067" s="16" t="s">
        <v>27</v>
      </c>
    </row>
    <row r="4068" spans="1:13" ht="13.5" customHeight="1" x14ac:dyDescent="0.25">
      <c r="I4068" s="16">
        <v>250</v>
      </c>
      <c r="L4068" s="16" t="s">
        <v>26</v>
      </c>
      <c r="M4068" s="15" t="s">
        <v>748</v>
      </c>
    </row>
    <row r="4069" spans="1:13" ht="13.5" customHeight="1" x14ac:dyDescent="0.25">
      <c r="I4069" s="16">
        <v>45</v>
      </c>
      <c r="L4069" s="16" t="s">
        <v>26</v>
      </c>
      <c r="M4069" s="16" t="s">
        <v>749</v>
      </c>
    </row>
    <row r="4071" spans="1:13" ht="13.5" customHeight="1" x14ac:dyDescent="0.25">
      <c r="A4071" s="16" t="s">
        <v>744</v>
      </c>
      <c r="B4071" s="16" t="s">
        <v>2</v>
      </c>
      <c r="C4071" s="16" t="s">
        <v>16</v>
      </c>
      <c r="D4071" s="15" t="s">
        <v>548</v>
      </c>
      <c r="E4071" s="15"/>
      <c r="F4071" s="28">
        <f>349+6.25</f>
        <v>355.25</v>
      </c>
      <c r="G4071" s="16">
        <v>11</v>
      </c>
      <c r="H4071" s="16" t="s">
        <v>22</v>
      </c>
      <c r="I4071" s="16">
        <v>10</v>
      </c>
      <c r="L4071" s="16" t="s">
        <v>23</v>
      </c>
    </row>
    <row r="4072" spans="1:13" ht="13.5" customHeight="1" x14ac:dyDescent="0.25">
      <c r="I4072" s="16">
        <v>110</v>
      </c>
      <c r="L4072" s="16" t="s">
        <v>32</v>
      </c>
    </row>
    <row r="4073" spans="1:13" ht="13.5" customHeight="1" x14ac:dyDescent="0.25">
      <c r="I4073" s="16">
        <v>30</v>
      </c>
      <c r="L4073" s="16" t="s">
        <v>33</v>
      </c>
    </row>
    <row r="4074" spans="1:13" ht="13.5" customHeight="1" x14ac:dyDescent="0.25">
      <c r="I4074" s="16">
        <v>40</v>
      </c>
      <c r="L4074" s="16" t="s">
        <v>29</v>
      </c>
      <c r="M4074" s="15"/>
    </row>
    <row r="4075" spans="1:13" ht="13.5" customHeight="1" x14ac:dyDescent="0.25">
      <c r="I4075" s="16">
        <v>30</v>
      </c>
      <c r="L4075" s="16" t="s">
        <v>25</v>
      </c>
      <c r="M4075" s="16" t="s">
        <v>137</v>
      </c>
    </row>
    <row r="4076" spans="1:13" ht="13.5" customHeight="1" x14ac:dyDescent="0.25">
      <c r="I4076" s="16">
        <v>20</v>
      </c>
      <c r="L4076" s="16" t="s">
        <v>25</v>
      </c>
      <c r="M4076" s="16" t="s">
        <v>45</v>
      </c>
    </row>
    <row r="4077" spans="1:13" ht="13.5" customHeight="1" x14ac:dyDescent="0.25">
      <c r="I4077" s="16">
        <v>20</v>
      </c>
      <c r="L4077" s="16" t="s">
        <v>27</v>
      </c>
    </row>
    <row r="4078" spans="1:13" ht="13.5" customHeight="1" x14ac:dyDescent="0.25">
      <c r="I4078" s="16">
        <v>20</v>
      </c>
      <c r="L4078" s="16" t="s">
        <v>26</v>
      </c>
      <c r="M4078" s="16" t="s">
        <v>147</v>
      </c>
    </row>
    <row r="4080" spans="1:13" ht="13.5" customHeight="1" x14ac:dyDescent="0.25">
      <c r="A4080" s="16" t="s">
        <v>750</v>
      </c>
      <c r="B4080" s="16" t="s">
        <v>0</v>
      </c>
      <c r="C4080" s="16" t="s">
        <v>7</v>
      </c>
      <c r="D4080" s="16" t="s">
        <v>21</v>
      </c>
      <c r="F4080" s="28">
        <f>6.232+5.658+0.82+29.09+18.92+31.94+31.77+38.23+38.1+31.14+32.84+37.86+36.85</f>
        <v>339.45000000000005</v>
      </c>
      <c r="G4080" s="16">
        <v>10.5</v>
      </c>
      <c r="H4080" s="16" t="s">
        <v>22</v>
      </c>
      <c r="I4080" s="16">
        <v>10</v>
      </c>
      <c r="L4080" s="16" t="s">
        <v>23</v>
      </c>
    </row>
    <row r="4081" spans="1:13" ht="13.5" customHeight="1" x14ac:dyDescent="0.25">
      <c r="I4081" s="16">
        <v>110</v>
      </c>
      <c r="L4081" s="16" t="s">
        <v>32</v>
      </c>
    </row>
    <row r="4082" spans="1:13" ht="13.5" customHeight="1" x14ac:dyDescent="0.25">
      <c r="I4082" s="16">
        <v>30</v>
      </c>
      <c r="L4082" s="16" t="s">
        <v>33</v>
      </c>
    </row>
    <row r="4083" spans="1:13" ht="13.5" customHeight="1" x14ac:dyDescent="0.25">
      <c r="I4083" s="16">
        <v>40</v>
      </c>
      <c r="L4083" s="16" t="s">
        <v>29</v>
      </c>
      <c r="M4083" s="15"/>
    </row>
    <row r="4084" spans="1:13" ht="13.5" customHeight="1" x14ac:dyDescent="0.25">
      <c r="I4084" s="16">
        <v>30</v>
      </c>
      <c r="L4084" s="16" t="s">
        <v>25</v>
      </c>
      <c r="M4084" s="16" t="s">
        <v>137</v>
      </c>
    </row>
    <row r="4085" spans="1:13" ht="13.5" customHeight="1" x14ac:dyDescent="0.25">
      <c r="I4085" s="16">
        <v>20</v>
      </c>
      <c r="L4085" s="16" t="s">
        <v>25</v>
      </c>
      <c r="M4085" s="16" t="s">
        <v>45</v>
      </c>
    </row>
    <row r="4086" spans="1:13" ht="13.5" customHeight="1" x14ac:dyDescent="0.25">
      <c r="I4086" s="16">
        <v>20</v>
      </c>
      <c r="L4086" s="16" t="s">
        <v>27</v>
      </c>
    </row>
    <row r="4087" spans="1:13" ht="13.5" customHeight="1" x14ac:dyDescent="0.25">
      <c r="I4087" s="16">
        <v>20</v>
      </c>
      <c r="L4087" s="16" t="s">
        <v>26</v>
      </c>
      <c r="M4087" s="16" t="s">
        <v>147</v>
      </c>
    </row>
    <row r="4089" spans="1:13" ht="13.5" customHeight="1" x14ac:dyDescent="0.25">
      <c r="A4089" s="16" t="s">
        <v>750</v>
      </c>
      <c r="B4089" s="16" t="s">
        <v>1</v>
      </c>
      <c r="C4089" s="16" t="s">
        <v>15</v>
      </c>
      <c r="D4089" s="16" t="s">
        <v>20</v>
      </c>
      <c r="F4089" s="28">
        <v>353.62</v>
      </c>
      <c r="G4089" s="16">
        <v>11</v>
      </c>
      <c r="H4089" s="16" t="s">
        <v>22</v>
      </c>
      <c r="I4089" s="16">
        <v>10</v>
      </c>
      <c r="L4089" s="16" t="s">
        <v>23</v>
      </c>
    </row>
    <row r="4090" spans="1:13" ht="13.5" customHeight="1" x14ac:dyDescent="0.25">
      <c r="I4090" s="16">
        <v>110</v>
      </c>
      <c r="L4090" s="16" t="s">
        <v>32</v>
      </c>
    </row>
    <row r="4091" spans="1:13" ht="13.5" customHeight="1" x14ac:dyDescent="0.25">
      <c r="I4091" s="16">
        <v>30</v>
      </c>
      <c r="L4091" s="16" t="s">
        <v>33</v>
      </c>
    </row>
    <row r="4092" spans="1:13" ht="13.5" customHeight="1" x14ac:dyDescent="0.25">
      <c r="I4092" s="16">
        <v>40</v>
      </c>
      <c r="L4092" s="16" t="s">
        <v>29</v>
      </c>
      <c r="M4092" s="15"/>
    </row>
    <row r="4093" spans="1:13" ht="13.5" customHeight="1" x14ac:dyDescent="0.25">
      <c r="I4093" s="16">
        <v>30</v>
      </c>
      <c r="L4093" s="16" t="s">
        <v>25</v>
      </c>
      <c r="M4093" s="16" t="s">
        <v>137</v>
      </c>
    </row>
    <row r="4094" spans="1:13" ht="13.5" customHeight="1" x14ac:dyDescent="0.25">
      <c r="I4094" s="16">
        <v>20</v>
      </c>
      <c r="L4094" s="16" t="s">
        <v>25</v>
      </c>
      <c r="M4094" s="16" t="s">
        <v>45</v>
      </c>
    </row>
    <row r="4095" spans="1:13" ht="13.5" customHeight="1" x14ac:dyDescent="0.25">
      <c r="I4095" s="16">
        <v>20</v>
      </c>
      <c r="L4095" s="16" t="s">
        <v>27</v>
      </c>
    </row>
    <row r="4096" spans="1:13" ht="13.5" customHeight="1" x14ac:dyDescent="0.25">
      <c r="I4096" s="16">
        <v>20</v>
      </c>
      <c r="L4096" s="16" t="s">
        <v>26</v>
      </c>
      <c r="M4096" s="16" t="s">
        <v>147</v>
      </c>
    </row>
    <row r="4098" spans="1:13" ht="13.5" customHeight="1" x14ac:dyDescent="0.25">
      <c r="A4098" s="16" t="s">
        <v>750</v>
      </c>
      <c r="B4098" s="16" t="s">
        <v>2</v>
      </c>
      <c r="C4098" s="16" t="s">
        <v>16</v>
      </c>
      <c r="D4098" s="15" t="s">
        <v>548</v>
      </c>
      <c r="E4098" s="15"/>
      <c r="F4098" s="28">
        <f>32.03+32+38.3+38.04+38.36+26.63+38.09+31.95+38.16+32.4+26.3</f>
        <v>372.26000000000005</v>
      </c>
      <c r="G4098" s="16">
        <v>11</v>
      </c>
      <c r="H4098" s="16" t="s">
        <v>22</v>
      </c>
      <c r="I4098" s="16">
        <v>10</v>
      </c>
      <c r="L4098" s="16" t="s">
        <v>23</v>
      </c>
    </row>
    <row r="4099" spans="1:13" ht="13.5" customHeight="1" x14ac:dyDescent="0.25">
      <c r="I4099" s="16">
        <v>110</v>
      </c>
      <c r="L4099" s="16" t="s">
        <v>32</v>
      </c>
    </row>
    <row r="4100" spans="1:13" ht="13.5" customHeight="1" x14ac:dyDescent="0.25">
      <c r="I4100" s="16">
        <v>30</v>
      </c>
      <c r="L4100" s="16" t="s">
        <v>33</v>
      </c>
    </row>
    <row r="4101" spans="1:13" ht="13.5" customHeight="1" x14ac:dyDescent="0.25">
      <c r="I4101" s="16">
        <v>40</v>
      </c>
      <c r="L4101" s="16" t="s">
        <v>29</v>
      </c>
      <c r="M4101" s="15"/>
    </row>
    <row r="4102" spans="1:13" ht="13.5" customHeight="1" x14ac:dyDescent="0.25">
      <c r="I4102" s="16">
        <v>30</v>
      </c>
      <c r="L4102" s="16" t="s">
        <v>25</v>
      </c>
      <c r="M4102" s="16" t="s">
        <v>137</v>
      </c>
    </row>
    <row r="4103" spans="1:13" ht="13.5" customHeight="1" x14ac:dyDescent="0.25">
      <c r="I4103" s="16">
        <v>20</v>
      </c>
      <c r="L4103" s="16" t="s">
        <v>25</v>
      </c>
      <c r="M4103" s="16" t="s">
        <v>45</v>
      </c>
    </row>
    <row r="4104" spans="1:13" ht="13.5" customHeight="1" x14ac:dyDescent="0.25">
      <c r="I4104" s="16">
        <v>20</v>
      </c>
      <c r="L4104" s="16" t="s">
        <v>27</v>
      </c>
    </row>
    <row r="4105" spans="1:13" ht="13.5" customHeight="1" x14ac:dyDescent="0.25">
      <c r="I4105" s="16">
        <v>20</v>
      </c>
      <c r="L4105" s="16" t="s">
        <v>26</v>
      </c>
      <c r="M4105" s="16" t="s">
        <v>147</v>
      </c>
    </row>
    <row r="4107" spans="1:13" ht="13.5" customHeight="1" x14ac:dyDescent="0.25">
      <c r="A4107" s="16" t="s">
        <v>751</v>
      </c>
      <c r="B4107" s="16" t="s">
        <v>0</v>
      </c>
      <c r="C4107" s="16" t="s">
        <v>15</v>
      </c>
      <c r="D4107" s="16" t="s">
        <v>21</v>
      </c>
      <c r="F4107" s="28">
        <f>32.24+31.48+31.82+38.15+38.3+38.11+35.09+8.6</f>
        <v>253.79000000000002</v>
      </c>
      <c r="G4107" s="16">
        <v>7.25</v>
      </c>
      <c r="H4107" s="16" t="s">
        <v>22</v>
      </c>
      <c r="I4107" s="16">
        <v>10</v>
      </c>
      <c r="L4107" s="16" t="s">
        <v>23</v>
      </c>
    </row>
    <row r="4108" spans="1:13" ht="13.5" customHeight="1" x14ac:dyDescent="0.25">
      <c r="I4108" s="16">
        <v>80</v>
      </c>
      <c r="L4108" s="16" t="s">
        <v>32</v>
      </c>
    </row>
    <row r="4109" spans="1:13" ht="13.5" customHeight="1" x14ac:dyDescent="0.25">
      <c r="I4109" s="16">
        <v>25</v>
      </c>
      <c r="L4109" s="16" t="s">
        <v>33</v>
      </c>
    </row>
    <row r="4110" spans="1:13" ht="13.5" customHeight="1" x14ac:dyDescent="0.25">
      <c r="I4110" s="16">
        <v>25</v>
      </c>
      <c r="L4110" s="16" t="s">
        <v>29</v>
      </c>
      <c r="M4110" s="15"/>
    </row>
    <row r="4111" spans="1:13" ht="13.5" customHeight="1" x14ac:dyDescent="0.25">
      <c r="I4111" s="16">
        <v>30</v>
      </c>
      <c r="L4111" s="16" t="s">
        <v>25</v>
      </c>
      <c r="M4111" s="16" t="s">
        <v>137</v>
      </c>
    </row>
    <row r="4112" spans="1:13" ht="13.5" customHeight="1" x14ac:dyDescent="0.25">
      <c r="I4112" s="16">
        <v>20</v>
      </c>
      <c r="L4112" s="16" t="s">
        <v>25</v>
      </c>
      <c r="M4112" s="16" t="s">
        <v>45</v>
      </c>
    </row>
    <row r="4113" spans="1:13" ht="13.5" customHeight="1" x14ac:dyDescent="0.25">
      <c r="I4113" s="16">
        <v>20</v>
      </c>
      <c r="L4113" s="16" t="s">
        <v>27</v>
      </c>
    </row>
    <row r="4114" spans="1:13" ht="13.5" customHeight="1" x14ac:dyDescent="0.25">
      <c r="I4114" s="16">
        <v>20</v>
      </c>
      <c r="L4114" s="16" t="s">
        <v>26</v>
      </c>
      <c r="M4114" s="16" t="s">
        <v>147</v>
      </c>
    </row>
    <row r="4115" spans="1:13" ht="13.5" customHeight="1" x14ac:dyDescent="0.25">
      <c r="I4115" s="16">
        <v>90</v>
      </c>
      <c r="L4115" s="16" t="s">
        <v>26</v>
      </c>
      <c r="M4115" s="16" t="s">
        <v>179</v>
      </c>
    </row>
    <row r="4116" spans="1:13" ht="13.5" customHeight="1" x14ac:dyDescent="0.25">
      <c r="I4116" s="16">
        <v>45</v>
      </c>
      <c r="L4116" s="16" t="s">
        <v>24</v>
      </c>
      <c r="M4116" s="16" t="s">
        <v>752</v>
      </c>
    </row>
    <row r="4118" spans="1:13" ht="13.5" customHeight="1" x14ac:dyDescent="0.25">
      <c r="A4118" s="16" t="s">
        <v>751</v>
      </c>
      <c r="B4118" s="16" t="s">
        <v>1</v>
      </c>
      <c r="C4118" s="16" t="s">
        <v>6</v>
      </c>
      <c r="D4118" s="16" t="s">
        <v>20</v>
      </c>
      <c r="F4118" s="28">
        <v>340.85</v>
      </c>
      <c r="G4118" s="16">
        <v>10</v>
      </c>
      <c r="H4118" s="16" t="s">
        <v>22</v>
      </c>
      <c r="I4118" s="16">
        <v>10</v>
      </c>
      <c r="L4118" s="16" t="s">
        <v>23</v>
      </c>
    </row>
    <row r="4119" spans="1:13" ht="13.5" customHeight="1" x14ac:dyDescent="0.25">
      <c r="I4119" s="16">
        <v>110</v>
      </c>
      <c r="L4119" s="16" t="s">
        <v>32</v>
      </c>
    </row>
    <row r="4120" spans="1:13" ht="13.5" customHeight="1" x14ac:dyDescent="0.25">
      <c r="I4120" s="16">
        <v>30</v>
      </c>
      <c r="L4120" s="16" t="s">
        <v>33</v>
      </c>
    </row>
    <row r="4121" spans="1:13" ht="13.5" customHeight="1" x14ac:dyDescent="0.25">
      <c r="I4121" s="16">
        <v>40</v>
      </c>
      <c r="L4121" s="16" t="s">
        <v>29</v>
      </c>
      <c r="M4121" s="15"/>
    </row>
    <row r="4122" spans="1:13" ht="13.5" customHeight="1" x14ac:dyDescent="0.25">
      <c r="I4122" s="16">
        <v>30</v>
      </c>
      <c r="L4122" s="16" t="s">
        <v>25</v>
      </c>
      <c r="M4122" s="16" t="s">
        <v>137</v>
      </c>
    </row>
    <row r="4123" spans="1:13" ht="13.5" customHeight="1" x14ac:dyDescent="0.25">
      <c r="I4123" s="16">
        <v>20</v>
      </c>
      <c r="L4123" s="16" t="s">
        <v>25</v>
      </c>
      <c r="M4123" s="16" t="s">
        <v>45</v>
      </c>
    </row>
    <row r="4124" spans="1:13" ht="13.5" customHeight="1" x14ac:dyDescent="0.25">
      <c r="I4124" s="16">
        <v>20</v>
      </c>
      <c r="L4124" s="16" t="s">
        <v>27</v>
      </c>
    </row>
    <row r="4125" spans="1:13" ht="13.5" customHeight="1" x14ac:dyDescent="0.25">
      <c r="I4125" s="16">
        <v>20</v>
      </c>
      <c r="L4125" s="16" t="s">
        <v>26</v>
      </c>
      <c r="M4125" s="16" t="s">
        <v>147</v>
      </c>
    </row>
    <row r="4126" spans="1:13" ht="13.5" customHeight="1" x14ac:dyDescent="0.25">
      <c r="I4126" s="16">
        <v>20</v>
      </c>
      <c r="L4126" s="16" t="s">
        <v>26</v>
      </c>
      <c r="M4126" s="15" t="s">
        <v>753</v>
      </c>
    </row>
    <row r="4127" spans="1:13" ht="13.5" customHeight="1" x14ac:dyDescent="0.25">
      <c r="I4127" s="16">
        <v>60</v>
      </c>
      <c r="L4127" s="16" t="s">
        <v>26</v>
      </c>
      <c r="M4127" s="16" t="s">
        <v>179</v>
      </c>
    </row>
    <row r="4128" spans="1:13" ht="13.5" customHeight="1" x14ac:dyDescent="0.25">
      <c r="I4128" s="16">
        <v>20</v>
      </c>
      <c r="L4128" s="16" t="s">
        <v>24</v>
      </c>
      <c r="M4128" s="15" t="s">
        <v>117</v>
      </c>
    </row>
    <row r="4130" spans="1:13" ht="13.5" customHeight="1" x14ac:dyDescent="0.25">
      <c r="A4130" s="16" t="s">
        <v>751</v>
      </c>
      <c r="B4130" s="16" t="s">
        <v>2</v>
      </c>
      <c r="C4130" s="16" t="s">
        <v>16</v>
      </c>
      <c r="D4130" s="15" t="s">
        <v>548</v>
      </c>
      <c r="E4130" s="15"/>
      <c r="F4130" s="28">
        <v>385.86</v>
      </c>
      <c r="G4130" s="16">
        <v>11</v>
      </c>
      <c r="H4130" s="16" t="s">
        <v>22</v>
      </c>
      <c r="I4130" s="16">
        <v>10</v>
      </c>
      <c r="L4130" s="16" t="s">
        <v>23</v>
      </c>
    </row>
    <row r="4131" spans="1:13" ht="13.5" customHeight="1" x14ac:dyDescent="0.25">
      <c r="I4131" s="16">
        <v>110</v>
      </c>
      <c r="L4131" s="16" t="s">
        <v>32</v>
      </c>
    </row>
    <row r="4132" spans="1:13" ht="13.5" customHeight="1" x14ac:dyDescent="0.25">
      <c r="I4132" s="16">
        <v>30</v>
      </c>
      <c r="L4132" s="16" t="s">
        <v>33</v>
      </c>
    </row>
    <row r="4133" spans="1:13" ht="13.5" customHeight="1" x14ac:dyDescent="0.25">
      <c r="I4133" s="16">
        <v>30</v>
      </c>
      <c r="L4133" s="16" t="s">
        <v>29</v>
      </c>
      <c r="M4133" s="15"/>
    </row>
    <row r="4134" spans="1:13" ht="13.5" customHeight="1" x14ac:dyDescent="0.25">
      <c r="I4134" s="16">
        <v>20</v>
      </c>
      <c r="L4134" s="16" t="s">
        <v>25</v>
      </c>
      <c r="M4134" s="16" t="s">
        <v>137</v>
      </c>
    </row>
    <row r="4135" spans="1:13" ht="13.5" customHeight="1" x14ac:dyDescent="0.25">
      <c r="I4135" s="16">
        <v>20</v>
      </c>
      <c r="L4135" s="16" t="s">
        <v>25</v>
      </c>
      <c r="M4135" s="16" t="s">
        <v>45</v>
      </c>
    </row>
    <row r="4136" spans="1:13" ht="13.5" customHeight="1" x14ac:dyDescent="0.25">
      <c r="I4136" s="16">
        <v>15</v>
      </c>
      <c r="L4136" s="16" t="s">
        <v>27</v>
      </c>
    </row>
    <row r="4137" spans="1:13" ht="13.5" customHeight="1" x14ac:dyDescent="0.25">
      <c r="I4137" s="16">
        <v>15</v>
      </c>
      <c r="L4137" s="16" t="s">
        <v>26</v>
      </c>
      <c r="M4137" s="16" t="s">
        <v>147</v>
      </c>
    </row>
    <row r="4139" spans="1:13" ht="13.5" customHeight="1" x14ac:dyDescent="0.25">
      <c r="A4139" s="16" t="s">
        <v>754</v>
      </c>
      <c r="B4139" s="16" t="s">
        <v>0</v>
      </c>
      <c r="C4139" s="16" t="s">
        <v>6</v>
      </c>
      <c r="D4139" s="16" t="s">
        <v>20</v>
      </c>
      <c r="F4139" s="28">
        <v>380.91</v>
      </c>
      <c r="G4139" s="16">
        <v>10.75</v>
      </c>
      <c r="H4139" s="16" t="s">
        <v>22</v>
      </c>
      <c r="I4139" s="16">
        <v>10</v>
      </c>
      <c r="L4139" s="16" t="s">
        <v>23</v>
      </c>
    </row>
    <row r="4140" spans="1:13" ht="13.5" customHeight="1" x14ac:dyDescent="0.25">
      <c r="I4140" s="16">
        <v>110</v>
      </c>
      <c r="L4140" s="16" t="s">
        <v>32</v>
      </c>
    </row>
    <row r="4141" spans="1:13" ht="13.5" customHeight="1" x14ac:dyDescent="0.25">
      <c r="I4141" s="16">
        <v>30</v>
      </c>
      <c r="L4141" s="16" t="s">
        <v>33</v>
      </c>
    </row>
    <row r="4142" spans="1:13" ht="13.5" customHeight="1" x14ac:dyDescent="0.25">
      <c r="I4142" s="16">
        <v>40</v>
      </c>
      <c r="L4142" s="16" t="s">
        <v>29</v>
      </c>
      <c r="M4142" s="15"/>
    </row>
    <row r="4143" spans="1:13" ht="13.5" customHeight="1" x14ac:dyDescent="0.25">
      <c r="I4143" s="16">
        <v>30</v>
      </c>
      <c r="L4143" s="16" t="s">
        <v>25</v>
      </c>
      <c r="M4143" s="16" t="s">
        <v>137</v>
      </c>
    </row>
    <row r="4144" spans="1:13" ht="13.5" customHeight="1" x14ac:dyDescent="0.25">
      <c r="I4144" s="16">
        <v>20</v>
      </c>
      <c r="L4144" s="16" t="s">
        <v>25</v>
      </c>
      <c r="M4144" s="16" t="s">
        <v>45</v>
      </c>
    </row>
    <row r="4145" spans="1:13" ht="13.5" customHeight="1" x14ac:dyDescent="0.25">
      <c r="I4145" s="16">
        <v>20</v>
      </c>
      <c r="L4145" s="16" t="s">
        <v>27</v>
      </c>
    </row>
    <row r="4146" spans="1:13" ht="13.5" customHeight="1" x14ac:dyDescent="0.25">
      <c r="I4146" s="16">
        <v>20</v>
      </c>
      <c r="L4146" s="16" t="s">
        <v>26</v>
      </c>
      <c r="M4146" s="16" t="s">
        <v>147</v>
      </c>
    </row>
    <row r="4147" spans="1:13" ht="13.5" customHeight="1" x14ac:dyDescent="0.25">
      <c r="I4147" s="16">
        <v>30</v>
      </c>
      <c r="L4147" s="16" t="s">
        <v>33</v>
      </c>
      <c r="M4147" s="16" t="s">
        <v>692</v>
      </c>
    </row>
    <row r="4149" spans="1:13" ht="13.5" customHeight="1" x14ac:dyDescent="0.25">
      <c r="A4149" s="16" t="s">
        <v>754</v>
      </c>
      <c r="B4149" s="16" t="s">
        <v>1</v>
      </c>
      <c r="C4149" s="16" t="s">
        <v>15</v>
      </c>
      <c r="D4149" s="15" t="s">
        <v>548</v>
      </c>
      <c r="E4149" s="15"/>
      <c r="F4149" s="28">
        <f>11.62+31.62+32.12+37.69+30.13+37.82+37.88+23.79+22.87+38.24</f>
        <v>303.77999999999997</v>
      </c>
      <c r="G4149" s="16">
        <v>9.5</v>
      </c>
      <c r="H4149" s="16" t="s">
        <v>22</v>
      </c>
      <c r="I4149" s="16">
        <v>10</v>
      </c>
      <c r="L4149" s="16" t="s">
        <v>23</v>
      </c>
    </row>
    <row r="4150" spans="1:13" ht="13.5" customHeight="1" x14ac:dyDescent="0.25">
      <c r="I4150" s="16">
        <v>110</v>
      </c>
      <c r="L4150" s="16" t="s">
        <v>32</v>
      </c>
    </row>
    <row r="4151" spans="1:13" ht="13.5" customHeight="1" x14ac:dyDescent="0.25">
      <c r="I4151" s="16">
        <v>30</v>
      </c>
      <c r="L4151" s="16" t="s">
        <v>33</v>
      </c>
    </row>
    <row r="4152" spans="1:13" ht="13.5" customHeight="1" x14ac:dyDescent="0.25">
      <c r="I4152" s="16">
        <v>30</v>
      </c>
      <c r="L4152" s="16" t="s">
        <v>29</v>
      </c>
      <c r="M4152" s="15"/>
    </row>
    <row r="4153" spans="1:13" ht="13.5" customHeight="1" x14ac:dyDescent="0.25">
      <c r="I4153" s="16">
        <v>20</v>
      </c>
      <c r="L4153" s="16" t="s">
        <v>25</v>
      </c>
      <c r="M4153" s="16" t="s">
        <v>137</v>
      </c>
    </row>
    <row r="4154" spans="1:13" ht="13.5" customHeight="1" x14ac:dyDescent="0.25">
      <c r="I4154" s="16">
        <v>20</v>
      </c>
      <c r="L4154" s="16" t="s">
        <v>25</v>
      </c>
      <c r="M4154" s="16" t="s">
        <v>45</v>
      </c>
    </row>
    <row r="4155" spans="1:13" ht="13.5" customHeight="1" x14ac:dyDescent="0.25">
      <c r="I4155" s="16">
        <v>15</v>
      </c>
      <c r="L4155" s="16" t="s">
        <v>27</v>
      </c>
    </row>
    <row r="4156" spans="1:13" ht="13.5" customHeight="1" x14ac:dyDescent="0.25">
      <c r="I4156" s="16">
        <v>15</v>
      </c>
      <c r="L4156" s="16" t="s">
        <v>26</v>
      </c>
      <c r="M4156" s="16" t="s">
        <v>147</v>
      </c>
    </row>
    <row r="4157" spans="1:13" ht="13.5" customHeight="1" x14ac:dyDescent="0.25">
      <c r="I4157" s="16">
        <v>20</v>
      </c>
      <c r="L4157" s="16" t="s">
        <v>25</v>
      </c>
      <c r="M4157" s="16" t="s">
        <v>36</v>
      </c>
    </row>
    <row r="4158" spans="1:13" ht="13.5" customHeight="1" x14ac:dyDescent="0.25">
      <c r="I4158" s="16">
        <v>45</v>
      </c>
      <c r="L4158" s="16" t="s">
        <v>26</v>
      </c>
      <c r="M4158" s="16" t="s">
        <v>111</v>
      </c>
    </row>
    <row r="4159" spans="1:13" ht="13.5" customHeight="1" x14ac:dyDescent="0.25">
      <c r="I4159" s="16">
        <v>30</v>
      </c>
      <c r="L4159" s="16" t="s">
        <v>168</v>
      </c>
      <c r="M4159" s="16" t="s">
        <v>755</v>
      </c>
    </row>
    <row r="4160" spans="1:13" ht="13.5" customHeight="1" x14ac:dyDescent="0.25">
      <c r="I4160" s="16">
        <v>15</v>
      </c>
      <c r="L4160" s="16" t="s">
        <v>26</v>
      </c>
      <c r="M4160" s="16" t="s">
        <v>756</v>
      </c>
    </row>
    <row r="4162" spans="1:13" ht="13.5" customHeight="1" x14ac:dyDescent="0.25">
      <c r="A4162" s="16" t="s">
        <v>754</v>
      </c>
      <c r="B4162" s="16" t="s">
        <v>2</v>
      </c>
      <c r="C4162" s="16" t="s">
        <v>520</v>
      </c>
      <c r="D4162" s="16" t="s">
        <v>21</v>
      </c>
      <c r="F4162" s="28">
        <v>372.52</v>
      </c>
      <c r="G4162" s="16">
        <v>11</v>
      </c>
      <c r="H4162" s="16" t="s">
        <v>22</v>
      </c>
      <c r="I4162" s="16">
        <v>10</v>
      </c>
      <c r="L4162" s="16" t="s">
        <v>23</v>
      </c>
    </row>
    <row r="4163" spans="1:13" ht="13.5" customHeight="1" x14ac:dyDescent="0.25">
      <c r="I4163" s="16">
        <v>110</v>
      </c>
      <c r="L4163" s="16" t="s">
        <v>32</v>
      </c>
    </row>
    <row r="4164" spans="1:13" ht="13.5" customHeight="1" x14ac:dyDescent="0.25">
      <c r="I4164" s="16">
        <v>30</v>
      </c>
      <c r="L4164" s="16" t="s">
        <v>33</v>
      </c>
    </row>
    <row r="4165" spans="1:13" ht="13.5" customHeight="1" x14ac:dyDescent="0.25">
      <c r="I4165" s="16">
        <v>35</v>
      </c>
      <c r="L4165" s="16" t="s">
        <v>29</v>
      </c>
      <c r="M4165" s="15"/>
    </row>
    <row r="4166" spans="1:13" ht="13.5" customHeight="1" x14ac:dyDescent="0.25">
      <c r="I4166" s="16">
        <v>25</v>
      </c>
      <c r="L4166" s="16" t="s">
        <v>25</v>
      </c>
      <c r="M4166" s="16" t="s">
        <v>137</v>
      </c>
    </row>
    <row r="4167" spans="1:13" ht="13.5" customHeight="1" x14ac:dyDescent="0.25">
      <c r="I4167" s="16">
        <v>20</v>
      </c>
      <c r="L4167" s="16" t="s">
        <v>25</v>
      </c>
      <c r="M4167" s="16" t="s">
        <v>45</v>
      </c>
    </row>
    <row r="4168" spans="1:13" ht="13.5" customHeight="1" x14ac:dyDescent="0.25">
      <c r="I4168" s="16">
        <v>20</v>
      </c>
      <c r="L4168" s="16" t="s">
        <v>27</v>
      </c>
    </row>
    <row r="4169" spans="1:13" ht="13.5" customHeight="1" x14ac:dyDescent="0.25">
      <c r="I4169" s="16">
        <v>20</v>
      </c>
      <c r="L4169" s="16" t="s">
        <v>26</v>
      </c>
      <c r="M4169" s="16" t="s">
        <v>147</v>
      </c>
    </row>
    <row r="4171" spans="1:13" ht="13.5" customHeight="1" x14ac:dyDescent="0.25">
      <c r="A4171" s="16" t="s">
        <v>757</v>
      </c>
      <c r="B4171" s="16" t="s">
        <v>0</v>
      </c>
      <c r="C4171" s="16" t="s">
        <v>6</v>
      </c>
      <c r="D4171" s="16" t="s">
        <v>20</v>
      </c>
      <c r="F4171" s="28">
        <v>257.93</v>
      </c>
      <c r="G4171" s="16">
        <v>8</v>
      </c>
      <c r="H4171" s="16" t="s">
        <v>22</v>
      </c>
      <c r="I4171" s="16">
        <v>10</v>
      </c>
      <c r="L4171" s="16" t="s">
        <v>23</v>
      </c>
    </row>
    <row r="4172" spans="1:13" ht="13.5" customHeight="1" x14ac:dyDescent="0.25">
      <c r="I4172" s="16">
        <v>80</v>
      </c>
      <c r="L4172" s="16" t="s">
        <v>32</v>
      </c>
    </row>
    <row r="4173" spans="1:13" ht="13.5" customHeight="1" x14ac:dyDescent="0.25">
      <c r="I4173" s="16">
        <v>30</v>
      </c>
      <c r="L4173" s="16" t="s">
        <v>33</v>
      </c>
    </row>
    <row r="4174" spans="1:13" ht="13.5" customHeight="1" x14ac:dyDescent="0.25">
      <c r="I4174" s="16">
        <v>30</v>
      </c>
      <c r="L4174" s="16" t="s">
        <v>29</v>
      </c>
      <c r="M4174" s="15"/>
    </row>
    <row r="4175" spans="1:13" ht="13.5" customHeight="1" x14ac:dyDescent="0.25">
      <c r="I4175" s="16">
        <v>20</v>
      </c>
      <c r="L4175" s="16" t="s">
        <v>25</v>
      </c>
      <c r="M4175" s="16" t="s">
        <v>137</v>
      </c>
    </row>
    <row r="4176" spans="1:13" ht="13.5" customHeight="1" x14ac:dyDescent="0.25">
      <c r="I4176" s="16">
        <v>20</v>
      </c>
      <c r="L4176" s="16" t="s">
        <v>25</v>
      </c>
      <c r="M4176" s="16" t="s">
        <v>45</v>
      </c>
    </row>
    <row r="4177" spans="1:13" ht="13.5" customHeight="1" x14ac:dyDescent="0.25">
      <c r="I4177" s="16">
        <v>20</v>
      </c>
      <c r="L4177" s="16" t="s">
        <v>27</v>
      </c>
    </row>
    <row r="4178" spans="1:13" ht="13.5" customHeight="1" x14ac:dyDescent="0.25">
      <c r="I4178" s="16">
        <v>90</v>
      </c>
      <c r="L4178" s="16" t="s">
        <v>26</v>
      </c>
      <c r="M4178" s="16" t="s">
        <v>759</v>
      </c>
    </row>
    <row r="4179" spans="1:13" ht="13.5" customHeight="1" x14ac:dyDescent="0.25">
      <c r="I4179" s="16">
        <v>30</v>
      </c>
      <c r="L4179" s="16" t="s">
        <v>26</v>
      </c>
      <c r="M4179" s="16" t="s">
        <v>758</v>
      </c>
    </row>
    <row r="4181" spans="1:13" ht="13.5" customHeight="1" x14ac:dyDescent="0.25">
      <c r="A4181" s="16" t="s">
        <v>757</v>
      </c>
      <c r="B4181" s="16" t="s">
        <v>1</v>
      </c>
      <c r="C4181" s="16" t="s">
        <v>16</v>
      </c>
      <c r="D4181" s="15" t="s">
        <v>548</v>
      </c>
      <c r="E4181" s="15"/>
      <c r="F4181" s="28">
        <f>13.88+32.05+32.47+31.74+32.14+31.73+31.87+38.56+38.35+38.21+7.73</f>
        <v>328.73</v>
      </c>
      <c r="G4181" s="16">
        <v>10</v>
      </c>
      <c r="H4181" s="16" t="s">
        <v>22</v>
      </c>
      <c r="I4181" s="16">
        <v>10</v>
      </c>
      <c r="L4181" s="16" t="s">
        <v>23</v>
      </c>
    </row>
    <row r="4182" spans="1:13" ht="13.5" customHeight="1" x14ac:dyDescent="0.25">
      <c r="I4182" s="16">
        <v>100</v>
      </c>
      <c r="L4182" s="16" t="s">
        <v>32</v>
      </c>
    </row>
    <row r="4183" spans="1:13" ht="13.5" customHeight="1" x14ac:dyDescent="0.25">
      <c r="I4183" s="16">
        <v>30</v>
      </c>
      <c r="L4183" s="16" t="s">
        <v>33</v>
      </c>
    </row>
    <row r="4184" spans="1:13" ht="13.5" customHeight="1" x14ac:dyDescent="0.25">
      <c r="I4184" s="16">
        <v>30</v>
      </c>
      <c r="L4184" s="16" t="s">
        <v>29</v>
      </c>
      <c r="M4184" s="15"/>
    </row>
    <row r="4185" spans="1:13" ht="13.5" customHeight="1" x14ac:dyDescent="0.25">
      <c r="I4185" s="16">
        <v>20</v>
      </c>
      <c r="L4185" s="16" t="s">
        <v>25</v>
      </c>
      <c r="M4185" s="16" t="s">
        <v>137</v>
      </c>
    </row>
    <row r="4186" spans="1:13" ht="13.5" customHeight="1" x14ac:dyDescent="0.25">
      <c r="I4186" s="16">
        <v>20</v>
      </c>
      <c r="L4186" s="16" t="s">
        <v>25</v>
      </c>
      <c r="M4186" s="16" t="s">
        <v>45</v>
      </c>
    </row>
    <row r="4187" spans="1:13" ht="13.5" customHeight="1" x14ac:dyDescent="0.25">
      <c r="I4187" s="16">
        <v>20</v>
      </c>
      <c r="L4187" s="16" t="s">
        <v>27</v>
      </c>
    </row>
    <row r="4188" spans="1:13" ht="13.5" customHeight="1" x14ac:dyDescent="0.25">
      <c r="I4188" s="16">
        <v>60</v>
      </c>
      <c r="L4188" s="16" t="s">
        <v>26</v>
      </c>
      <c r="M4188" s="16" t="s">
        <v>759</v>
      </c>
    </row>
    <row r="4189" spans="1:13" ht="13.5" customHeight="1" x14ac:dyDescent="0.25">
      <c r="I4189" s="16">
        <v>15</v>
      </c>
      <c r="L4189" s="16" t="s">
        <v>26</v>
      </c>
      <c r="M4189" s="16" t="s">
        <v>147</v>
      </c>
    </row>
    <row r="4190" spans="1:13" ht="13.5" customHeight="1" x14ac:dyDescent="0.25">
      <c r="I4190" s="16">
        <v>60</v>
      </c>
      <c r="L4190" s="16" t="s">
        <v>26</v>
      </c>
      <c r="M4190" s="16" t="s">
        <v>760</v>
      </c>
    </row>
    <row r="4192" spans="1:13" ht="13.5" customHeight="1" x14ac:dyDescent="0.25">
      <c r="A4192" s="16" t="s">
        <v>757</v>
      </c>
      <c r="B4192" s="16" t="s">
        <v>2</v>
      </c>
      <c r="C4192" s="16" t="s">
        <v>520</v>
      </c>
      <c r="D4192" s="16" t="s">
        <v>21</v>
      </c>
      <c r="F4192" s="28">
        <f>30.36+31.7+31.89+38.71+31.83+22.52+24.46+31.88+30.8+31.7</f>
        <v>305.85000000000002</v>
      </c>
      <c r="G4192" s="16">
        <v>10</v>
      </c>
      <c r="H4192" s="16" t="s">
        <v>22</v>
      </c>
      <c r="I4192" s="16">
        <v>10</v>
      </c>
      <c r="L4192" s="16" t="s">
        <v>23</v>
      </c>
    </row>
    <row r="4193" spans="1:13" ht="13.5" customHeight="1" x14ac:dyDescent="0.25">
      <c r="I4193" s="16">
        <v>100</v>
      </c>
      <c r="L4193" s="16" t="s">
        <v>32</v>
      </c>
    </row>
    <row r="4194" spans="1:13" ht="13.5" customHeight="1" x14ac:dyDescent="0.25">
      <c r="I4194" s="16">
        <v>30</v>
      </c>
      <c r="L4194" s="16" t="s">
        <v>33</v>
      </c>
    </row>
    <row r="4195" spans="1:13" ht="13.5" customHeight="1" x14ac:dyDescent="0.25">
      <c r="I4195" s="16">
        <v>50</v>
      </c>
      <c r="L4195" s="16" t="s">
        <v>29</v>
      </c>
      <c r="M4195" s="15" t="s">
        <v>761</v>
      </c>
    </row>
    <row r="4196" spans="1:13" ht="13.5" customHeight="1" x14ac:dyDescent="0.25">
      <c r="I4196" s="16">
        <v>30</v>
      </c>
      <c r="L4196" s="16" t="s">
        <v>25</v>
      </c>
      <c r="M4196" s="16" t="s">
        <v>137</v>
      </c>
    </row>
    <row r="4197" spans="1:13" ht="13.5" customHeight="1" x14ac:dyDescent="0.25">
      <c r="I4197" s="16">
        <v>30</v>
      </c>
      <c r="L4197" s="16" t="s">
        <v>25</v>
      </c>
      <c r="M4197" s="16" t="s">
        <v>45</v>
      </c>
    </row>
    <row r="4198" spans="1:13" ht="13.5" customHeight="1" x14ac:dyDescent="0.25">
      <c r="I4198" s="16">
        <v>20</v>
      </c>
      <c r="L4198" s="16" t="s">
        <v>27</v>
      </c>
    </row>
    <row r="4199" spans="1:13" ht="13.5" customHeight="1" x14ac:dyDescent="0.25">
      <c r="I4199" s="16">
        <v>20</v>
      </c>
      <c r="L4199" s="16" t="s">
        <v>26</v>
      </c>
      <c r="M4199" s="16" t="s">
        <v>147</v>
      </c>
    </row>
    <row r="4200" spans="1:13" ht="13.5" customHeight="1" x14ac:dyDescent="0.25">
      <c r="I4200" s="16">
        <v>15</v>
      </c>
      <c r="L4200" s="16" t="s">
        <v>26</v>
      </c>
      <c r="M4200" s="16" t="s">
        <v>181</v>
      </c>
    </row>
    <row r="4202" spans="1:13" ht="13.5" customHeight="1" x14ac:dyDescent="0.25">
      <c r="A4202" s="16" t="s">
        <v>762</v>
      </c>
      <c r="B4202" s="16" t="s">
        <v>0</v>
      </c>
      <c r="C4202" s="16" t="s">
        <v>15</v>
      </c>
      <c r="D4202" s="16" t="s">
        <v>20</v>
      </c>
      <c r="F4202" s="28">
        <v>365.33</v>
      </c>
      <c r="G4202" s="16">
        <v>10.5</v>
      </c>
      <c r="H4202" s="16" t="s">
        <v>22</v>
      </c>
      <c r="I4202" s="16">
        <v>10</v>
      </c>
      <c r="L4202" s="16" t="s">
        <v>23</v>
      </c>
    </row>
    <row r="4203" spans="1:13" ht="13.5" customHeight="1" x14ac:dyDescent="0.25">
      <c r="I4203" s="16">
        <v>110</v>
      </c>
      <c r="L4203" s="16" t="s">
        <v>32</v>
      </c>
    </row>
    <row r="4204" spans="1:13" ht="13.5" customHeight="1" x14ac:dyDescent="0.25">
      <c r="I4204" s="16">
        <v>40</v>
      </c>
      <c r="L4204" s="16" t="s">
        <v>33</v>
      </c>
      <c r="M4204" s="15" t="s">
        <v>763</v>
      </c>
    </row>
    <row r="4205" spans="1:13" ht="13.5" customHeight="1" x14ac:dyDescent="0.25">
      <c r="I4205" s="16">
        <v>30</v>
      </c>
      <c r="L4205" s="16" t="s">
        <v>29</v>
      </c>
      <c r="M4205" s="15"/>
    </row>
    <row r="4206" spans="1:13" ht="13.5" customHeight="1" x14ac:dyDescent="0.25">
      <c r="I4206" s="16">
        <v>30</v>
      </c>
      <c r="L4206" s="16" t="s">
        <v>25</v>
      </c>
      <c r="M4206" s="16" t="s">
        <v>137</v>
      </c>
    </row>
    <row r="4207" spans="1:13" ht="13.5" customHeight="1" x14ac:dyDescent="0.25">
      <c r="I4207" s="16">
        <v>20</v>
      </c>
      <c r="L4207" s="16" t="s">
        <v>25</v>
      </c>
      <c r="M4207" s="16" t="s">
        <v>45</v>
      </c>
    </row>
    <row r="4208" spans="1:13" ht="13.5" customHeight="1" x14ac:dyDescent="0.25">
      <c r="I4208" s="16">
        <v>15</v>
      </c>
      <c r="L4208" s="16" t="s">
        <v>27</v>
      </c>
    </row>
    <row r="4209" spans="1:13" ht="13.5" customHeight="1" x14ac:dyDescent="0.25">
      <c r="I4209" s="16">
        <v>15</v>
      </c>
      <c r="L4209" s="16" t="s">
        <v>26</v>
      </c>
      <c r="M4209" s="16" t="s">
        <v>147</v>
      </c>
    </row>
    <row r="4210" spans="1:13" ht="13.5" customHeight="1" x14ac:dyDescent="0.25">
      <c r="I4210" s="16">
        <v>15</v>
      </c>
      <c r="L4210" s="16" t="s">
        <v>25</v>
      </c>
      <c r="M4210" s="15" t="s">
        <v>36</v>
      </c>
    </row>
    <row r="4211" spans="1:13" ht="13.5" customHeight="1" x14ac:dyDescent="0.25">
      <c r="I4211" s="16">
        <v>20</v>
      </c>
      <c r="L4211" s="16" t="s">
        <v>24</v>
      </c>
      <c r="M4211" s="15" t="s">
        <v>764</v>
      </c>
    </row>
    <row r="4213" spans="1:13" ht="13.5" customHeight="1" x14ac:dyDescent="0.25">
      <c r="A4213" s="16" t="s">
        <v>762</v>
      </c>
      <c r="B4213" s="16" t="s">
        <v>1</v>
      </c>
      <c r="C4213" s="16" t="s">
        <v>16</v>
      </c>
      <c r="D4213" s="15" t="s">
        <v>548</v>
      </c>
      <c r="E4213" s="15"/>
      <c r="F4213" s="28">
        <v>325.38</v>
      </c>
      <c r="G4213" s="16">
        <v>9.5</v>
      </c>
      <c r="H4213" s="16" t="s">
        <v>22</v>
      </c>
      <c r="I4213" s="16">
        <v>10</v>
      </c>
      <c r="L4213" s="16" t="s">
        <v>23</v>
      </c>
    </row>
    <row r="4214" spans="1:13" ht="13.5" customHeight="1" x14ac:dyDescent="0.25">
      <c r="I4214" s="16">
        <v>90</v>
      </c>
      <c r="L4214" s="16" t="s">
        <v>32</v>
      </c>
    </row>
    <row r="4215" spans="1:13" ht="13.5" customHeight="1" x14ac:dyDescent="0.25">
      <c r="I4215" s="16">
        <v>30</v>
      </c>
      <c r="L4215" s="16" t="s">
        <v>33</v>
      </c>
      <c r="M4215" s="15"/>
    </row>
    <row r="4216" spans="1:13" ht="13.5" customHeight="1" x14ac:dyDescent="0.25">
      <c r="I4216" s="16">
        <v>20</v>
      </c>
      <c r="L4216" s="16" t="s">
        <v>29</v>
      </c>
      <c r="M4216" s="15"/>
    </row>
    <row r="4217" spans="1:13" ht="13.5" customHeight="1" x14ac:dyDescent="0.25">
      <c r="I4217" s="16">
        <v>40</v>
      </c>
      <c r="L4217" s="16" t="s">
        <v>25</v>
      </c>
      <c r="M4217" s="16" t="s">
        <v>137</v>
      </c>
    </row>
    <row r="4218" spans="1:13" ht="13.5" customHeight="1" x14ac:dyDescent="0.25">
      <c r="I4218" s="16">
        <v>20</v>
      </c>
      <c r="L4218" s="16" t="s">
        <v>25</v>
      </c>
      <c r="M4218" s="16" t="s">
        <v>45</v>
      </c>
    </row>
    <row r="4219" spans="1:13" ht="13.5" customHeight="1" x14ac:dyDescent="0.25">
      <c r="I4219" s="16">
        <v>15</v>
      </c>
      <c r="L4219" s="16" t="s">
        <v>27</v>
      </c>
    </row>
    <row r="4220" spans="1:13" ht="13.5" customHeight="1" x14ac:dyDescent="0.25">
      <c r="I4220" s="16">
        <v>15</v>
      </c>
      <c r="L4220" s="16" t="s">
        <v>26</v>
      </c>
      <c r="M4220" s="16" t="s">
        <v>147</v>
      </c>
    </row>
    <row r="4221" spans="1:13" ht="13.5" customHeight="1" x14ac:dyDescent="0.25">
      <c r="I4221" s="16">
        <v>15</v>
      </c>
      <c r="L4221" s="16" t="s">
        <v>25</v>
      </c>
      <c r="M4221" s="15" t="s">
        <v>36</v>
      </c>
    </row>
    <row r="4222" spans="1:13" ht="13.5" customHeight="1" x14ac:dyDescent="0.25">
      <c r="I4222" s="16">
        <v>20</v>
      </c>
      <c r="L4222" s="16" t="s">
        <v>24</v>
      </c>
      <c r="M4222" s="15" t="s">
        <v>765</v>
      </c>
    </row>
    <row r="4223" spans="1:13" ht="13.5" customHeight="1" x14ac:dyDescent="0.25">
      <c r="I4223" s="16">
        <v>50</v>
      </c>
      <c r="L4223" s="32" t="s">
        <v>168</v>
      </c>
      <c r="M4223" s="15" t="s">
        <v>763</v>
      </c>
    </row>
    <row r="4224" spans="1:13" ht="13.5" customHeight="1" x14ac:dyDescent="0.25">
      <c r="I4224" s="16">
        <v>20</v>
      </c>
      <c r="L4224" s="32" t="s">
        <v>168</v>
      </c>
      <c r="M4224" s="16" t="s">
        <v>766</v>
      </c>
    </row>
    <row r="4226" spans="1:13" ht="13.5" customHeight="1" x14ac:dyDescent="0.25">
      <c r="A4226" s="16" t="s">
        <v>762</v>
      </c>
      <c r="B4226" s="16" t="s">
        <v>2</v>
      </c>
      <c r="C4226" s="16" t="s">
        <v>520</v>
      </c>
      <c r="D4226" s="16" t="s">
        <v>21</v>
      </c>
      <c r="F4226" s="28">
        <v>299.63</v>
      </c>
      <c r="G4226" s="16">
        <v>9</v>
      </c>
      <c r="H4226" s="16" t="s">
        <v>22</v>
      </c>
      <c r="I4226" s="16">
        <v>10</v>
      </c>
      <c r="L4226" s="16" t="s">
        <v>23</v>
      </c>
    </row>
    <row r="4227" spans="1:13" ht="13.5" customHeight="1" x14ac:dyDescent="0.25">
      <c r="I4227" s="16">
        <v>100</v>
      </c>
      <c r="L4227" s="16" t="s">
        <v>32</v>
      </c>
    </row>
    <row r="4228" spans="1:13" ht="13.5" customHeight="1" x14ac:dyDescent="0.25">
      <c r="I4228" s="16">
        <v>30</v>
      </c>
      <c r="L4228" s="16" t="s">
        <v>33</v>
      </c>
    </row>
    <row r="4229" spans="1:13" ht="13.5" customHeight="1" x14ac:dyDescent="0.25">
      <c r="I4229" s="16">
        <v>50</v>
      </c>
      <c r="L4229" s="16" t="s">
        <v>29</v>
      </c>
      <c r="M4229" s="15" t="s">
        <v>761</v>
      </c>
    </row>
    <row r="4230" spans="1:13" ht="13.5" customHeight="1" x14ac:dyDescent="0.25">
      <c r="I4230" s="16">
        <v>30</v>
      </c>
      <c r="L4230" s="16" t="s">
        <v>25</v>
      </c>
      <c r="M4230" s="16" t="s">
        <v>137</v>
      </c>
    </row>
    <row r="4231" spans="1:13" ht="13.5" customHeight="1" x14ac:dyDescent="0.25">
      <c r="I4231" s="16">
        <v>30</v>
      </c>
      <c r="L4231" s="16" t="s">
        <v>25</v>
      </c>
      <c r="M4231" s="16" t="s">
        <v>45</v>
      </c>
    </row>
    <row r="4232" spans="1:13" ht="13.5" customHeight="1" x14ac:dyDescent="0.25">
      <c r="I4232" s="16">
        <v>20</v>
      </c>
      <c r="L4232" s="16" t="s">
        <v>27</v>
      </c>
    </row>
    <row r="4233" spans="1:13" ht="13.5" customHeight="1" x14ac:dyDescent="0.25">
      <c r="I4233" s="16">
        <v>20</v>
      </c>
      <c r="L4233" s="16" t="s">
        <v>26</v>
      </c>
      <c r="M4233" s="16" t="s">
        <v>147</v>
      </c>
    </row>
    <row r="4234" spans="1:13" ht="13.5" hidden="1" customHeight="1" x14ac:dyDescent="0.25">
      <c r="I4234" s="16">
        <v>15</v>
      </c>
      <c r="L4234" s="16" t="s">
        <v>26</v>
      </c>
      <c r="M4234" s="16" t="s">
        <v>181</v>
      </c>
    </row>
    <row r="4235" spans="1:13" ht="13.5" customHeight="1" x14ac:dyDescent="0.25">
      <c r="I4235" s="16">
        <v>70</v>
      </c>
      <c r="L4235" s="16" t="s">
        <v>26</v>
      </c>
      <c r="M4235" s="16" t="s">
        <v>181</v>
      </c>
    </row>
    <row r="4236" spans="1:13" ht="13.5" customHeight="1" x14ac:dyDescent="0.25">
      <c r="I4236" s="16">
        <v>50</v>
      </c>
      <c r="L4236" s="16" t="s">
        <v>26</v>
      </c>
      <c r="M4236" s="16" t="s">
        <v>767</v>
      </c>
    </row>
    <row r="4238" spans="1:13" ht="13.5" customHeight="1" x14ac:dyDescent="0.25">
      <c r="A4238" s="16" t="s">
        <v>768</v>
      </c>
      <c r="B4238" s="16" t="s">
        <v>0</v>
      </c>
      <c r="C4238" s="16" t="s">
        <v>15</v>
      </c>
      <c r="D4238" s="16" t="s">
        <v>20</v>
      </c>
      <c r="F4238" s="28">
        <v>383.82</v>
      </c>
      <c r="G4238" s="16">
        <v>11</v>
      </c>
      <c r="H4238" s="16" t="s">
        <v>22</v>
      </c>
      <c r="I4238" s="16">
        <v>10</v>
      </c>
      <c r="L4238" s="16" t="s">
        <v>23</v>
      </c>
    </row>
    <row r="4239" spans="1:13" ht="13.5" customHeight="1" x14ac:dyDescent="0.25">
      <c r="I4239" s="16">
        <v>110</v>
      </c>
      <c r="L4239" s="16" t="s">
        <v>32</v>
      </c>
    </row>
    <row r="4240" spans="1:13" ht="13.5" customHeight="1" x14ac:dyDescent="0.25">
      <c r="I4240" s="16">
        <v>30</v>
      </c>
      <c r="L4240" s="16" t="s">
        <v>33</v>
      </c>
      <c r="M4240" s="15"/>
    </row>
    <row r="4241" spans="1:13" ht="13.5" customHeight="1" x14ac:dyDescent="0.25">
      <c r="I4241" s="16">
        <v>30</v>
      </c>
      <c r="L4241" s="16" t="s">
        <v>29</v>
      </c>
      <c r="M4241" s="15"/>
    </row>
    <row r="4242" spans="1:13" ht="13.5" customHeight="1" x14ac:dyDescent="0.25">
      <c r="I4242" s="16">
        <v>20</v>
      </c>
      <c r="L4242" s="16" t="s">
        <v>25</v>
      </c>
      <c r="M4242" s="16" t="s">
        <v>137</v>
      </c>
    </row>
    <row r="4243" spans="1:13" ht="13.5" customHeight="1" x14ac:dyDescent="0.25">
      <c r="I4243" s="16">
        <v>10</v>
      </c>
      <c r="L4243" s="16" t="s">
        <v>25</v>
      </c>
      <c r="M4243" s="16" t="s">
        <v>45</v>
      </c>
    </row>
    <row r="4244" spans="1:13" ht="13.5" customHeight="1" x14ac:dyDescent="0.25">
      <c r="I4244" s="16">
        <v>20</v>
      </c>
      <c r="L4244" s="16" t="s">
        <v>27</v>
      </c>
    </row>
    <row r="4245" spans="1:13" ht="13.5" customHeight="1" x14ac:dyDescent="0.25">
      <c r="I4245" s="16">
        <v>20</v>
      </c>
      <c r="L4245" s="16" t="s">
        <v>26</v>
      </c>
      <c r="M4245" s="16" t="s">
        <v>147</v>
      </c>
    </row>
    <row r="4247" spans="1:13" ht="13.5" customHeight="1" x14ac:dyDescent="0.25">
      <c r="A4247" s="16" t="s">
        <v>768</v>
      </c>
      <c r="B4247" s="16" t="s">
        <v>1</v>
      </c>
      <c r="C4247" s="16" t="s">
        <v>16</v>
      </c>
      <c r="D4247" s="15" t="s">
        <v>548</v>
      </c>
      <c r="E4247" s="15"/>
      <c r="F4247" s="28">
        <v>146.63</v>
      </c>
      <c r="G4247" s="16">
        <v>4</v>
      </c>
      <c r="H4247" s="16" t="s">
        <v>22</v>
      </c>
      <c r="I4247" s="16">
        <v>10</v>
      </c>
      <c r="L4247" s="16" t="s">
        <v>23</v>
      </c>
    </row>
    <row r="4248" spans="1:13" ht="13.5" customHeight="1" x14ac:dyDescent="0.25">
      <c r="I4248" s="16">
        <v>40</v>
      </c>
      <c r="L4248" s="16" t="s">
        <v>32</v>
      </c>
    </row>
    <row r="4249" spans="1:13" ht="13.5" customHeight="1" x14ac:dyDescent="0.25">
      <c r="I4249" s="16">
        <v>15</v>
      </c>
      <c r="L4249" s="16" t="s">
        <v>33</v>
      </c>
      <c r="M4249" s="15"/>
    </row>
    <row r="4250" spans="1:13" ht="13.5" customHeight="1" x14ac:dyDescent="0.25">
      <c r="I4250" s="16">
        <v>10</v>
      </c>
      <c r="L4250" s="16" t="s">
        <v>29</v>
      </c>
      <c r="M4250" s="15"/>
    </row>
    <row r="4251" spans="1:13" ht="13.5" customHeight="1" x14ac:dyDescent="0.25">
      <c r="I4251" s="16">
        <v>10</v>
      </c>
      <c r="L4251" s="16" t="s">
        <v>25</v>
      </c>
      <c r="M4251" s="16" t="s">
        <v>137</v>
      </c>
    </row>
    <row r="4252" spans="1:13" ht="13.5" customHeight="1" x14ac:dyDescent="0.25">
      <c r="I4252" s="16">
        <v>10</v>
      </c>
      <c r="L4252" s="16" t="s">
        <v>25</v>
      </c>
      <c r="M4252" s="16" t="s">
        <v>45</v>
      </c>
    </row>
    <row r="4253" spans="1:13" ht="13.5" customHeight="1" x14ac:dyDescent="0.25">
      <c r="I4253" s="16">
        <v>10</v>
      </c>
      <c r="L4253" s="16" t="s">
        <v>27</v>
      </c>
    </row>
    <row r="4254" spans="1:13" ht="13.5" customHeight="1" x14ac:dyDescent="0.25">
      <c r="I4254" s="16">
        <v>340</v>
      </c>
      <c r="L4254" s="16" t="s">
        <v>26</v>
      </c>
      <c r="M4254" s="16" t="s">
        <v>769</v>
      </c>
    </row>
    <row r="4255" spans="1:13" ht="13.5" customHeight="1" x14ac:dyDescent="0.25">
      <c r="M4255" s="15"/>
    </row>
    <row r="4256" spans="1:13" ht="13.5" customHeight="1" x14ac:dyDescent="0.25">
      <c r="A4256" s="16" t="s">
        <v>768</v>
      </c>
      <c r="B4256" s="16" t="s">
        <v>2</v>
      </c>
      <c r="C4256" s="16" t="s">
        <v>520</v>
      </c>
      <c r="D4256" s="16" t="s">
        <v>21</v>
      </c>
      <c r="F4256" s="28">
        <f>38.3+38.49+31.92+23.92+37.58+33.28+37.2+37.27+36.24</f>
        <v>314.2</v>
      </c>
      <c r="G4256" s="16">
        <v>9</v>
      </c>
      <c r="H4256" s="16" t="s">
        <v>22</v>
      </c>
      <c r="I4256" s="16">
        <v>10</v>
      </c>
      <c r="L4256" s="16" t="s">
        <v>23</v>
      </c>
    </row>
    <row r="4257" spans="1:13" ht="13.5" customHeight="1" x14ac:dyDescent="0.25">
      <c r="I4257" s="16">
        <v>90</v>
      </c>
      <c r="L4257" s="16" t="s">
        <v>32</v>
      </c>
    </row>
    <row r="4258" spans="1:13" ht="13.5" customHeight="1" x14ac:dyDescent="0.25">
      <c r="I4258" s="16">
        <v>20</v>
      </c>
      <c r="L4258" s="16" t="s">
        <v>33</v>
      </c>
      <c r="M4258" s="15"/>
    </row>
    <row r="4259" spans="1:13" ht="13.5" customHeight="1" x14ac:dyDescent="0.25">
      <c r="I4259" s="16">
        <v>20</v>
      </c>
      <c r="L4259" s="16" t="s">
        <v>29</v>
      </c>
      <c r="M4259" s="15"/>
    </row>
    <row r="4260" spans="1:13" ht="13.5" customHeight="1" x14ac:dyDescent="0.25">
      <c r="I4260" s="16">
        <v>20</v>
      </c>
      <c r="L4260" s="16" t="s">
        <v>25</v>
      </c>
      <c r="M4260" s="16" t="s">
        <v>137</v>
      </c>
    </row>
    <row r="4261" spans="1:13" ht="13.5" customHeight="1" x14ac:dyDescent="0.25">
      <c r="I4261" s="16">
        <v>20</v>
      </c>
      <c r="L4261" s="16" t="s">
        <v>25</v>
      </c>
      <c r="M4261" s="16" t="s">
        <v>45</v>
      </c>
    </row>
    <row r="4262" spans="1:13" ht="13.5" customHeight="1" x14ac:dyDescent="0.25">
      <c r="I4262" s="16">
        <v>20</v>
      </c>
      <c r="L4262" s="16" t="s">
        <v>27</v>
      </c>
    </row>
    <row r="4263" spans="1:13" ht="13.5" customHeight="1" x14ac:dyDescent="0.25">
      <c r="I4263" s="16">
        <v>80</v>
      </c>
      <c r="L4263" s="16" t="s">
        <v>26</v>
      </c>
      <c r="M4263" s="16" t="s">
        <v>767</v>
      </c>
    </row>
    <row r="4264" spans="1:13" ht="13.5" customHeight="1" x14ac:dyDescent="0.25">
      <c r="I4264" s="16">
        <v>20</v>
      </c>
      <c r="L4264" s="16" t="s">
        <v>26</v>
      </c>
      <c r="M4264" s="16" t="s">
        <v>129</v>
      </c>
    </row>
    <row r="4265" spans="1:13" ht="13.5" customHeight="1" x14ac:dyDescent="0.25">
      <c r="I4265" s="16">
        <v>20</v>
      </c>
      <c r="L4265" s="16" t="s">
        <v>26</v>
      </c>
      <c r="M4265" s="16" t="s">
        <v>148</v>
      </c>
    </row>
    <row r="4267" spans="1:13" ht="13.5" customHeight="1" x14ac:dyDescent="0.25">
      <c r="A4267" s="16" t="s">
        <v>770</v>
      </c>
      <c r="B4267" s="16" t="s">
        <v>0</v>
      </c>
      <c r="C4267" s="16" t="s">
        <v>15</v>
      </c>
      <c r="D4267" s="16" t="s">
        <v>20</v>
      </c>
      <c r="F4267" s="28">
        <v>366.63</v>
      </c>
      <c r="G4267" s="16">
        <v>11</v>
      </c>
      <c r="H4267" s="16" t="s">
        <v>22</v>
      </c>
      <c r="I4267" s="16">
        <v>10</v>
      </c>
      <c r="L4267" s="16" t="s">
        <v>23</v>
      </c>
    </row>
    <row r="4268" spans="1:13" ht="13.5" customHeight="1" x14ac:dyDescent="0.25">
      <c r="I4268" s="16">
        <v>110</v>
      </c>
      <c r="L4268" s="16" t="s">
        <v>32</v>
      </c>
    </row>
    <row r="4269" spans="1:13" ht="13.5" customHeight="1" x14ac:dyDescent="0.25">
      <c r="I4269" s="16">
        <v>30</v>
      </c>
      <c r="L4269" s="16" t="s">
        <v>33</v>
      </c>
      <c r="M4269" s="15"/>
    </row>
    <row r="4270" spans="1:13" ht="13.5" customHeight="1" x14ac:dyDescent="0.25">
      <c r="I4270" s="16">
        <v>30</v>
      </c>
      <c r="L4270" s="16" t="s">
        <v>29</v>
      </c>
      <c r="M4270" s="15"/>
    </row>
    <row r="4271" spans="1:13" ht="13.5" customHeight="1" x14ac:dyDescent="0.25">
      <c r="I4271" s="16">
        <v>20</v>
      </c>
      <c r="L4271" s="16" t="s">
        <v>25</v>
      </c>
      <c r="M4271" s="16" t="s">
        <v>137</v>
      </c>
    </row>
    <row r="4272" spans="1:13" ht="13.5" customHeight="1" x14ac:dyDescent="0.25">
      <c r="I4272" s="16">
        <v>10</v>
      </c>
      <c r="L4272" s="16" t="s">
        <v>25</v>
      </c>
      <c r="M4272" s="16" t="s">
        <v>45</v>
      </c>
    </row>
    <row r="4273" spans="1:13" ht="13.5" customHeight="1" x14ac:dyDescent="0.25">
      <c r="I4273" s="16">
        <v>20</v>
      </c>
      <c r="L4273" s="16" t="s">
        <v>27</v>
      </c>
    </row>
    <row r="4274" spans="1:13" ht="13.5" customHeight="1" x14ac:dyDescent="0.25">
      <c r="I4274" s="16">
        <v>20</v>
      </c>
      <c r="L4274" s="16" t="s">
        <v>26</v>
      </c>
      <c r="M4274" s="16" t="s">
        <v>147</v>
      </c>
    </row>
    <row r="4276" spans="1:13" ht="13.5" customHeight="1" x14ac:dyDescent="0.25">
      <c r="A4276" s="16" t="s">
        <v>770</v>
      </c>
      <c r="B4276" s="16" t="s">
        <v>1</v>
      </c>
      <c r="C4276" s="16" t="s">
        <v>16</v>
      </c>
      <c r="D4276" s="15" t="s">
        <v>548</v>
      </c>
      <c r="E4276" s="15"/>
      <c r="F4276" s="28">
        <v>370.56</v>
      </c>
      <c r="G4276" s="16">
        <v>11</v>
      </c>
      <c r="H4276" s="16" t="s">
        <v>22</v>
      </c>
      <c r="I4276" s="16">
        <v>10</v>
      </c>
      <c r="L4276" s="16" t="s">
        <v>23</v>
      </c>
    </row>
    <row r="4277" spans="1:13" ht="13.5" customHeight="1" x14ac:dyDescent="0.25">
      <c r="I4277" s="16">
        <v>110</v>
      </c>
      <c r="L4277" s="16" t="s">
        <v>32</v>
      </c>
    </row>
    <row r="4278" spans="1:13" ht="13.5" customHeight="1" x14ac:dyDescent="0.25">
      <c r="I4278" s="16">
        <v>30</v>
      </c>
      <c r="L4278" s="16" t="s">
        <v>33</v>
      </c>
      <c r="M4278" s="15"/>
    </row>
    <row r="4279" spans="1:13" ht="13.5" customHeight="1" x14ac:dyDescent="0.25">
      <c r="I4279" s="16">
        <v>30</v>
      </c>
      <c r="L4279" s="16" t="s">
        <v>29</v>
      </c>
      <c r="M4279" s="15"/>
    </row>
    <row r="4280" spans="1:13" ht="13.5" customHeight="1" x14ac:dyDescent="0.25">
      <c r="I4280" s="16">
        <v>20</v>
      </c>
      <c r="L4280" s="16" t="s">
        <v>25</v>
      </c>
      <c r="M4280" s="16" t="s">
        <v>137</v>
      </c>
    </row>
    <row r="4281" spans="1:13" ht="13.5" customHeight="1" x14ac:dyDescent="0.25">
      <c r="I4281" s="16">
        <v>10</v>
      </c>
      <c r="L4281" s="16" t="s">
        <v>25</v>
      </c>
      <c r="M4281" s="16" t="s">
        <v>45</v>
      </c>
    </row>
    <row r="4282" spans="1:13" ht="13.5" customHeight="1" x14ac:dyDescent="0.25">
      <c r="I4282" s="16">
        <v>20</v>
      </c>
      <c r="L4282" s="16" t="s">
        <v>27</v>
      </c>
    </row>
    <row r="4283" spans="1:13" ht="13.5" customHeight="1" x14ac:dyDescent="0.25">
      <c r="I4283" s="16">
        <v>20</v>
      </c>
      <c r="L4283" s="16" t="s">
        <v>26</v>
      </c>
      <c r="M4283" s="16" t="s">
        <v>147</v>
      </c>
    </row>
    <row r="4285" spans="1:13" ht="13.5" customHeight="1" x14ac:dyDescent="0.25">
      <c r="A4285" s="16" t="s">
        <v>770</v>
      </c>
      <c r="B4285" s="16" t="s">
        <v>2</v>
      </c>
      <c r="C4285" s="16" t="s">
        <v>520</v>
      </c>
      <c r="D4285" s="16" t="s">
        <v>21</v>
      </c>
      <c r="F4285" s="28">
        <v>312.63</v>
      </c>
      <c r="G4285" s="16">
        <v>10</v>
      </c>
      <c r="H4285" s="16" t="s">
        <v>22</v>
      </c>
      <c r="I4285" s="16">
        <v>10</v>
      </c>
      <c r="L4285" s="16" t="s">
        <v>23</v>
      </c>
    </row>
    <row r="4286" spans="1:13" ht="13.5" customHeight="1" x14ac:dyDescent="0.25">
      <c r="I4286" s="16">
        <v>100</v>
      </c>
      <c r="L4286" s="16" t="s">
        <v>32</v>
      </c>
    </row>
    <row r="4287" spans="1:13" ht="13.5" customHeight="1" x14ac:dyDescent="0.25">
      <c r="I4287" s="16">
        <v>30</v>
      </c>
      <c r="L4287" s="16" t="s">
        <v>33</v>
      </c>
      <c r="M4287" s="15"/>
    </row>
    <row r="4288" spans="1:13" ht="13.5" customHeight="1" x14ac:dyDescent="0.25">
      <c r="I4288" s="16">
        <v>45</v>
      </c>
      <c r="L4288" s="16" t="s">
        <v>29</v>
      </c>
      <c r="M4288" s="15"/>
    </row>
    <row r="4289" spans="1:13" ht="13.5" customHeight="1" x14ac:dyDescent="0.25">
      <c r="I4289" s="16">
        <v>20</v>
      </c>
      <c r="L4289" s="16" t="s">
        <v>25</v>
      </c>
      <c r="M4289" s="16" t="s">
        <v>137</v>
      </c>
    </row>
    <row r="4290" spans="1:13" ht="13.5" customHeight="1" x14ac:dyDescent="0.25">
      <c r="I4290" s="16">
        <v>10</v>
      </c>
      <c r="L4290" s="16" t="s">
        <v>25</v>
      </c>
      <c r="M4290" s="16" t="s">
        <v>45</v>
      </c>
    </row>
    <row r="4291" spans="1:13" ht="13.5" customHeight="1" x14ac:dyDescent="0.25">
      <c r="I4291" s="16">
        <v>20</v>
      </c>
      <c r="L4291" s="16" t="s">
        <v>27</v>
      </c>
    </row>
    <row r="4292" spans="1:13" ht="13.5" customHeight="1" x14ac:dyDescent="0.25">
      <c r="I4292" s="16">
        <v>20</v>
      </c>
      <c r="L4292" s="16" t="s">
        <v>26</v>
      </c>
      <c r="M4292" s="16" t="s">
        <v>147</v>
      </c>
    </row>
    <row r="4293" spans="1:13" ht="13.5" customHeight="1" x14ac:dyDescent="0.25">
      <c r="I4293" s="16">
        <v>60</v>
      </c>
      <c r="J4293" s="18">
        <v>0.5</v>
      </c>
      <c r="K4293" s="18">
        <v>4.1666666666666664E-2</v>
      </c>
      <c r="L4293" s="16" t="s">
        <v>26</v>
      </c>
      <c r="M4293" s="16" t="s">
        <v>181</v>
      </c>
    </row>
    <row r="4295" spans="1:13" ht="13.5" customHeight="1" x14ac:dyDescent="0.25">
      <c r="A4295" s="16" t="s">
        <v>771</v>
      </c>
      <c r="B4295" s="16" t="s">
        <v>0</v>
      </c>
      <c r="C4295" s="16" t="s">
        <v>15</v>
      </c>
      <c r="D4295" s="16" t="s">
        <v>20</v>
      </c>
      <c r="F4295" s="28">
        <v>334.31</v>
      </c>
      <c r="G4295" s="16">
        <v>10</v>
      </c>
      <c r="H4295" s="16" t="s">
        <v>22</v>
      </c>
      <c r="I4295" s="16">
        <v>10</v>
      </c>
      <c r="L4295" s="16" t="s">
        <v>23</v>
      </c>
    </row>
    <row r="4296" spans="1:13" ht="13.5" customHeight="1" x14ac:dyDescent="0.25">
      <c r="I4296" s="16">
        <v>100</v>
      </c>
      <c r="L4296" s="16" t="s">
        <v>32</v>
      </c>
    </row>
    <row r="4297" spans="1:13" ht="13.5" customHeight="1" x14ac:dyDescent="0.25">
      <c r="I4297" s="16">
        <v>30</v>
      </c>
      <c r="L4297" s="16" t="s">
        <v>33</v>
      </c>
      <c r="M4297" s="15"/>
    </row>
    <row r="4298" spans="1:13" ht="13.5" customHeight="1" x14ac:dyDescent="0.25">
      <c r="I4298" s="16">
        <v>30</v>
      </c>
      <c r="L4298" s="16" t="s">
        <v>29</v>
      </c>
      <c r="M4298" s="15"/>
    </row>
    <row r="4299" spans="1:13" ht="13.5" customHeight="1" x14ac:dyDescent="0.25">
      <c r="I4299" s="16">
        <v>20</v>
      </c>
      <c r="L4299" s="16" t="s">
        <v>25</v>
      </c>
      <c r="M4299" s="16" t="s">
        <v>137</v>
      </c>
    </row>
    <row r="4300" spans="1:13" ht="13.5" customHeight="1" x14ac:dyDescent="0.25">
      <c r="I4300" s="16">
        <v>10</v>
      </c>
      <c r="L4300" s="16" t="s">
        <v>25</v>
      </c>
      <c r="M4300" s="16" t="s">
        <v>45</v>
      </c>
    </row>
    <row r="4301" spans="1:13" ht="13.5" customHeight="1" x14ac:dyDescent="0.25">
      <c r="I4301" s="16">
        <v>20</v>
      </c>
      <c r="L4301" s="16" t="s">
        <v>27</v>
      </c>
    </row>
    <row r="4302" spans="1:13" ht="13.5" customHeight="1" x14ac:dyDescent="0.25">
      <c r="I4302" s="16">
        <v>20</v>
      </c>
      <c r="L4302" s="16" t="s">
        <v>26</v>
      </c>
      <c r="M4302" s="16" t="s">
        <v>147</v>
      </c>
    </row>
    <row r="4303" spans="1:13" ht="13.5" customHeight="1" x14ac:dyDescent="0.25">
      <c r="I4303" s="16">
        <v>40</v>
      </c>
      <c r="L4303" s="16" t="s">
        <v>26</v>
      </c>
      <c r="M4303" s="16" t="s">
        <v>181</v>
      </c>
    </row>
    <row r="4304" spans="1:13" ht="13.5" customHeight="1" x14ac:dyDescent="0.25">
      <c r="I4304" s="16">
        <v>40</v>
      </c>
      <c r="L4304" s="32" t="s">
        <v>168</v>
      </c>
      <c r="M4304" s="15" t="s">
        <v>772</v>
      </c>
    </row>
    <row r="4306" spans="1:13" ht="13.5" customHeight="1" x14ac:dyDescent="0.25">
      <c r="A4306" s="16" t="s">
        <v>771</v>
      </c>
      <c r="B4306" s="16" t="s">
        <v>1</v>
      </c>
      <c r="C4306" s="16" t="s">
        <v>16</v>
      </c>
      <c r="D4306" s="15" t="s">
        <v>548</v>
      </c>
      <c r="E4306" s="15"/>
      <c r="F4306" s="28">
        <v>359.98</v>
      </c>
      <c r="G4306" s="16">
        <v>11</v>
      </c>
      <c r="H4306" s="16" t="s">
        <v>22</v>
      </c>
      <c r="I4306" s="16">
        <v>10</v>
      </c>
      <c r="L4306" s="16" t="s">
        <v>23</v>
      </c>
    </row>
    <row r="4307" spans="1:13" ht="13.5" customHeight="1" x14ac:dyDescent="0.25">
      <c r="I4307" s="16">
        <v>110</v>
      </c>
      <c r="L4307" s="16" t="s">
        <v>32</v>
      </c>
    </row>
    <row r="4308" spans="1:13" ht="13.5" customHeight="1" x14ac:dyDescent="0.25">
      <c r="I4308" s="16">
        <v>30</v>
      </c>
      <c r="L4308" s="16" t="s">
        <v>33</v>
      </c>
      <c r="M4308" s="15"/>
    </row>
    <row r="4309" spans="1:13" ht="13.5" customHeight="1" x14ac:dyDescent="0.25">
      <c r="I4309" s="16">
        <v>30</v>
      </c>
      <c r="L4309" s="16" t="s">
        <v>29</v>
      </c>
      <c r="M4309" s="15"/>
    </row>
    <row r="4310" spans="1:13" ht="13.5" customHeight="1" x14ac:dyDescent="0.25">
      <c r="I4310" s="16">
        <v>20</v>
      </c>
      <c r="L4310" s="16" t="s">
        <v>25</v>
      </c>
      <c r="M4310" s="16" t="s">
        <v>137</v>
      </c>
    </row>
    <row r="4311" spans="1:13" ht="13.5" customHeight="1" x14ac:dyDescent="0.25">
      <c r="I4311" s="16">
        <v>10</v>
      </c>
      <c r="L4311" s="16" t="s">
        <v>25</v>
      </c>
      <c r="M4311" s="16" t="s">
        <v>45</v>
      </c>
    </row>
    <row r="4312" spans="1:13" ht="13.5" customHeight="1" x14ac:dyDescent="0.25">
      <c r="I4312" s="16">
        <v>20</v>
      </c>
      <c r="L4312" s="16" t="s">
        <v>27</v>
      </c>
    </row>
    <row r="4313" spans="1:13" ht="13.5" customHeight="1" x14ac:dyDescent="0.25">
      <c r="I4313" s="16">
        <v>20</v>
      </c>
      <c r="L4313" s="16" t="s">
        <v>26</v>
      </c>
      <c r="M4313" s="16" t="s">
        <v>147</v>
      </c>
    </row>
    <row r="4315" spans="1:13" ht="13.5" customHeight="1" x14ac:dyDescent="0.25">
      <c r="A4315" s="16" t="s">
        <v>771</v>
      </c>
      <c r="B4315" s="16" t="s">
        <v>2</v>
      </c>
      <c r="C4315" s="16" t="s">
        <v>520</v>
      </c>
      <c r="D4315" s="16" t="s">
        <v>21</v>
      </c>
      <c r="F4315" s="28">
        <f>334.09+4.802+4.78+4.78+4.78+4.776</f>
        <v>358.00799999999992</v>
      </c>
      <c r="G4315" s="16">
        <v>10.75</v>
      </c>
      <c r="H4315" s="16" t="s">
        <v>22</v>
      </c>
      <c r="I4315" s="16">
        <v>10</v>
      </c>
      <c r="L4315" s="16" t="s">
        <v>23</v>
      </c>
    </row>
    <row r="4316" spans="1:13" ht="13.5" customHeight="1" x14ac:dyDescent="0.25">
      <c r="I4316" s="16">
        <v>100</v>
      </c>
      <c r="L4316" s="16" t="s">
        <v>32</v>
      </c>
    </row>
    <row r="4317" spans="1:13" ht="13.5" customHeight="1" x14ac:dyDescent="0.25">
      <c r="I4317" s="16">
        <v>30</v>
      </c>
      <c r="L4317" s="16" t="s">
        <v>33</v>
      </c>
      <c r="M4317" s="15"/>
    </row>
    <row r="4318" spans="1:13" ht="13.5" customHeight="1" x14ac:dyDescent="0.25">
      <c r="I4318" s="16">
        <v>30</v>
      </c>
      <c r="L4318" s="16" t="s">
        <v>29</v>
      </c>
      <c r="M4318" s="15"/>
    </row>
    <row r="4319" spans="1:13" ht="13.5" customHeight="1" x14ac:dyDescent="0.25">
      <c r="I4319" s="16">
        <v>20</v>
      </c>
      <c r="L4319" s="16" t="s">
        <v>25</v>
      </c>
      <c r="M4319" s="16" t="s">
        <v>137</v>
      </c>
    </row>
    <row r="4320" spans="1:13" ht="13.5" customHeight="1" x14ac:dyDescent="0.25">
      <c r="I4320" s="16">
        <v>20</v>
      </c>
      <c r="L4320" s="16" t="s">
        <v>25</v>
      </c>
      <c r="M4320" s="16" t="s">
        <v>45</v>
      </c>
    </row>
    <row r="4321" spans="1:13" ht="13.5" customHeight="1" x14ac:dyDescent="0.25">
      <c r="I4321" s="16">
        <v>20</v>
      </c>
      <c r="L4321" s="16" t="s">
        <v>27</v>
      </c>
    </row>
    <row r="4322" spans="1:13" ht="13.5" customHeight="1" x14ac:dyDescent="0.25">
      <c r="I4322" s="16">
        <v>20</v>
      </c>
      <c r="L4322" s="16" t="s">
        <v>26</v>
      </c>
      <c r="M4322" s="16" t="s">
        <v>147</v>
      </c>
    </row>
    <row r="4323" spans="1:13" ht="13.5" hidden="1" customHeight="1" x14ac:dyDescent="0.25">
      <c r="I4323" s="16">
        <v>60</v>
      </c>
      <c r="J4323" s="18">
        <v>0.5</v>
      </c>
      <c r="K4323" s="18">
        <v>4.1666666666666664E-2</v>
      </c>
      <c r="L4323" s="16" t="s">
        <v>26</v>
      </c>
      <c r="M4323" s="16" t="s">
        <v>181</v>
      </c>
    </row>
    <row r="4324" spans="1:13" ht="13.5" customHeight="1" x14ac:dyDescent="0.25">
      <c r="I4324" s="16">
        <v>20</v>
      </c>
      <c r="L4324" s="16" t="s">
        <v>26</v>
      </c>
      <c r="M4324" s="16" t="s">
        <v>181</v>
      </c>
    </row>
    <row r="4325" spans="1:13" ht="13.5" customHeight="1" x14ac:dyDescent="0.25">
      <c r="I4325" s="16">
        <v>20</v>
      </c>
      <c r="L4325" s="16" t="s">
        <v>26</v>
      </c>
      <c r="M4325" s="16" t="s">
        <v>773</v>
      </c>
    </row>
    <row r="4328" spans="1:13" ht="13.5" customHeight="1" x14ac:dyDescent="0.25">
      <c r="A4328" s="16" t="s">
        <v>774</v>
      </c>
      <c r="B4328" s="16" t="s">
        <v>0</v>
      </c>
      <c r="C4328" s="16" t="s">
        <v>15</v>
      </c>
      <c r="D4328" s="16" t="s">
        <v>20</v>
      </c>
      <c r="F4328" s="28">
        <v>353.57</v>
      </c>
      <c r="G4328" s="16">
        <v>10.25</v>
      </c>
      <c r="H4328" s="16" t="s">
        <v>22</v>
      </c>
      <c r="I4328" s="16">
        <v>10</v>
      </c>
      <c r="L4328" s="16" t="s">
        <v>23</v>
      </c>
    </row>
    <row r="4329" spans="1:13" ht="13.5" customHeight="1" x14ac:dyDescent="0.25">
      <c r="I4329" s="16">
        <v>100</v>
      </c>
      <c r="L4329" s="16" t="s">
        <v>32</v>
      </c>
    </row>
    <row r="4330" spans="1:13" ht="13.5" customHeight="1" x14ac:dyDescent="0.25">
      <c r="I4330" s="16">
        <v>30</v>
      </c>
      <c r="L4330" s="16" t="s">
        <v>33</v>
      </c>
      <c r="M4330" s="15"/>
    </row>
    <row r="4331" spans="1:13" ht="13.5" customHeight="1" x14ac:dyDescent="0.25">
      <c r="I4331" s="16">
        <v>20</v>
      </c>
      <c r="L4331" s="16" t="s">
        <v>29</v>
      </c>
      <c r="M4331" s="15"/>
    </row>
    <row r="4332" spans="1:13" ht="13.5" customHeight="1" x14ac:dyDescent="0.25">
      <c r="I4332" s="16">
        <v>20</v>
      </c>
      <c r="L4332" s="16" t="s">
        <v>25</v>
      </c>
      <c r="M4332" s="16" t="s">
        <v>137</v>
      </c>
    </row>
    <row r="4333" spans="1:13" ht="13.5" customHeight="1" x14ac:dyDescent="0.25">
      <c r="I4333" s="16">
        <v>10</v>
      </c>
      <c r="L4333" s="16" t="s">
        <v>25</v>
      </c>
      <c r="M4333" s="16" t="s">
        <v>45</v>
      </c>
    </row>
    <row r="4334" spans="1:13" ht="13.5" customHeight="1" x14ac:dyDescent="0.25">
      <c r="I4334" s="16">
        <v>20</v>
      </c>
      <c r="L4334" s="16" t="s">
        <v>27</v>
      </c>
    </row>
    <row r="4335" spans="1:13" ht="13.5" customHeight="1" x14ac:dyDescent="0.25">
      <c r="I4335" s="16">
        <v>20</v>
      </c>
      <c r="L4335" s="16" t="s">
        <v>26</v>
      </c>
      <c r="M4335" s="16" t="s">
        <v>147</v>
      </c>
    </row>
    <row r="4336" spans="1:13" ht="13.5" customHeight="1" x14ac:dyDescent="0.25">
      <c r="I4336" s="16">
        <v>40</v>
      </c>
      <c r="L4336" s="16" t="s">
        <v>26</v>
      </c>
      <c r="M4336" s="15" t="s">
        <v>775</v>
      </c>
    </row>
    <row r="4338" spans="1:13" ht="13.5" customHeight="1" x14ac:dyDescent="0.25">
      <c r="A4338" s="16" t="s">
        <v>774</v>
      </c>
      <c r="B4338" s="16" t="s">
        <v>1</v>
      </c>
      <c r="C4338" s="16" t="s">
        <v>16</v>
      </c>
      <c r="D4338" s="15" t="s">
        <v>548</v>
      </c>
      <c r="E4338" s="15"/>
      <c r="F4338" s="28">
        <v>368.47</v>
      </c>
      <c r="G4338" s="16">
        <v>11</v>
      </c>
      <c r="H4338" s="16" t="s">
        <v>22</v>
      </c>
      <c r="I4338" s="16">
        <v>10</v>
      </c>
      <c r="L4338" s="16" t="s">
        <v>23</v>
      </c>
    </row>
    <row r="4339" spans="1:13" ht="13.5" customHeight="1" x14ac:dyDescent="0.25">
      <c r="I4339" s="16">
        <v>110</v>
      </c>
      <c r="L4339" s="16" t="s">
        <v>32</v>
      </c>
    </row>
    <row r="4340" spans="1:13" ht="13.5" customHeight="1" x14ac:dyDescent="0.25">
      <c r="I4340" s="16">
        <v>30</v>
      </c>
      <c r="L4340" s="16" t="s">
        <v>33</v>
      </c>
      <c r="M4340" s="15"/>
    </row>
    <row r="4341" spans="1:13" ht="13.5" customHeight="1" x14ac:dyDescent="0.25">
      <c r="I4341" s="16">
        <v>30</v>
      </c>
      <c r="L4341" s="16" t="s">
        <v>29</v>
      </c>
      <c r="M4341" s="15"/>
    </row>
    <row r="4342" spans="1:13" ht="13.5" customHeight="1" x14ac:dyDescent="0.25">
      <c r="I4342" s="16">
        <v>20</v>
      </c>
      <c r="L4342" s="16" t="s">
        <v>25</v>
      </c>
      <c r="M4342" s="16" t="s">
        <v>137</v>
      </c>
    </row>
    <row r="4343" spans="1:13" ht="13.5" customHeight="1" x14ac:dyDescent="0.25">
      <c r="I4343" s="16">
        <v>10</v>
      </c>
      <c r="L4343" s="16" t="s">
        <v>25</v>
      </c>
      <c r="M4343" s="16" t="s">
        <v>45</v>
      </c>
    </row>
    <row r="4344" spans="1:13" ht="13.5" customHeight="1" x14ac:dyDescent="0.25">
      <c r="I4344" s="16">
        <v>20</v>
      </c>
      <c r="L4344" s="16" t="s">
        <v>27</v>
      </c>
    </row>
    <row r="4345" spans="1:13" ht="13.5" customHeight="1" x14ac:dyDescent="0.25">
      <c r="I4345" s="16">
        <v>20</v>
      </c>
      <c r="L4345" s="16" t="s">
        <v>26</v>
      </c>
      <c r="M4345" s="16" t="s">
        <v>147</v>
      </c>
    </row>
    <row r="4347" spans="1:13" ht="13.5" customHeight="1" x14ac:dyDescent="0.25">
      <c r="A4347" s="16" t="s">
        <v>774</v>
      </c>
      <c r="B4347" s="16" t="s">
        <v>2</v>
      </c>
      <c r="C4347" s="16" t="s">
        <v>6</v>
      </c>
      <c r="D4347" s="16" t="s">
        <v>21</v>
      </c>
      <c r="F4347" s="16">
        <f>32.3+30.14+29.9+38.34+36.69+32.05+37.54+27.62+38.53+32.99+36.46</f>
        <v>372.56</v>
      </c>
      <c r="G4347" s="16">
        <v>11</v>
      </c>
      <c r="H4347" s="16" t="s">
        <v>22</v>
      </c>
      <c r="I4347" s="16">
        <v>10</v>
      </c>
      <c r="L4347" s="16" t="s">
        <v>23</v>
      </c>
    </row>
    <row r="4348" spans="1:13" ht="13.5" customHeight="1" x14ac:dyDescent="0.25">
      <c r="I4348" s="16">
        <v>110</v>
      </c>
      <c r="L4348" s="16" t="s">
        <v>32</v>
      </c>
    </row>
    <row r="4349" spans="1:13" ht="13.5" customHeight="1" x14ac:dyDescent="0.25">
      <c r="I4349" s="16">
        <v>30</v>
      </c>
      <c r="L4349" s="16" t="s">
        <v>33</v>
      </c>
      <c r="M4349" s="15"/>
    </row>
    <row r="4350" spans="1:13" ht="13.5" customHeight="1" x14ac:dyDescent="0.25">
      <c r="I4350" s="16">
        <v>30</v>
      </c>
      <c r="L4350" s="16" t="s">
        <v>29</v>
      </c>
      <c r="M4350" s="15"/>
    </row>
    <row r="4351" spans="1:13" ht="13.5" customHeight="1" x14ac:dyDescent="0.25">
      <c r="I4351" s="16">
        <v>20</v>
      </c>
      <c r="L4351" s="16" t="s">
        <v>25</v>
      </c>
      <c r="M4351" s="16" t="s">
        <v>137</v>
      </c>
    </row>
    <row r="4352" spans="1:13" ht="13.5" customHeight="1" x14ac:dyDescent="0.25">
      <c r="I4352" s="16">
        <v>10</v>
      </c>
      <c r="L4352" s="16" t="s">
        <v>25</v>
      </c>
      <c r="M4352" s="16" t="s">
        <v>45</v>
      </c>
    </row>
    <row r="4353" spans="1:13" ht="13.5" customHeight="1" x14ac:dyDescent="0.25">
      <c r="I4353" s="16">
        <v>20</v>
      </c>
      <c r="L4353" s="16" t="s">
        <v>27</v>
      </c>
    </row>
    <row r="4354" spans="1:13" ht="13.5" customHeight="1" x14ac:dyDescent="0.25">
      <c r="I4354" s="16">
        <v>20</v>
      </c>
      <c r="L4354" s="16" t="s">
        <v>26</v>
      </c>
      <c r="M4354" s="16" t="s">
        <v>147</v>
      </c>
    </row>
    <row r="4356" spans="1:13" ht="13.5" customHeight="1" x14ac:dyDescent="0.25">
      <c r="A4356" s="16" t="s">
        <v>776</v>
      </c>
      <c r="B4356" s="16" t="s">
        <v>0</v>
      </c>
      <c r="C4356" s="16" t="s">
        <v>15</v>
      </c>
      <c r="D4356" s="15" t="s">
        <v>548</v>
      </c>
      <c r="E4356" s="15"/>
      <c r="F4356" s="28">
        <v>286.85000000000002</v>
      </c>
      <c r="G4356" s="16">
        <v>8.75</v>
      </c>
      <c r="H4356" s="16" t="s">
        <v>22</v>
      </c>
      <c r="I4356" s="16">
        <v>10</v>
      </c>
      <c r="L4356" s="16" t="s">
        <v>23</v>
      </c>
    </row>
    <row r="4357" spans="1:13" ht="13.5" customHeight="1" x14ac:dyDescent="0.25">
      <c r="I4357" s="16">
        <v>100</v>
      </c>
      <c r="L4357" s="16" t="s">
        <v>32</v>
      </c>
    </row>
    <row r="4358" spans="1:13" ht="13.5" customHeight="1" x14ac:dyDescent="0.25">
      <c r="I4358" s="16">
        <v>30</v>
      </c>
      <c r="L4358" s="16" t="s">
        <v>33</v>
      </c>
      <c r="M4358" s="15"/>
    </row>
    <row r="4359" spans="1:13" ht="13.5" customHeight="1" x14ac:dyDescent="0.25">
      <c r="I4359" s="16">
        <v>30</v>
      </c>
      <c r="L4359" s="16" t="s">
        <v>29</v>
      </c>
      <c r="M4359" s="15"/>
    </row>
    <row r="4360" spans="1:13" ht="13.5" customHeight="1" x14ac:dyDescent="0.25">
      <c r="I4360" s="16">
        <v>20</v>
      </c>
      <c r="L4360" s="16" t="s">
        <v>25</v>
      </c>
      <c r="M4360" s="16" t="s">
        <v>137</v>
      </c>
    </row>
    <row r="4361" spans="1:13" ht="13.5" customHeight="1" x14ac:dyDescent="0.25">
      <c r="I4361" s="16">
        <v>10</v>
      </c>
      <c r="L4361" s="16" t="s">
        <v>25</v>
      </c>
      <c r="M4361" s="16" t="s">
        <v>45</v>
      </c>
    </row>
    <row r="4362" spans="1:13" ht="13.5" customHeight="1" x14ac:dyDescent="0.25">
      <c r="I4362" s="16">
        <v>20</v>
      </c>
      <c r="L4362" s="16" t="s">
        <v>27</v>
      </c>
    </row>
    <row r="4363" spans="1:13" ht="13.5" customHeight="1" x14ac:dyDescent="0.25">
      <c r="I4363" s="16">
        <v>20</v>
      </c>
      <c r="L4363" s="16" t="s">
        <v>26</v>
      </c>
      <c r="M4363" s="16" t="s">
        <v>147</v>
      </c>
    </row>
    <row r="4364" spans="1:13" ht="13.5" customHeight="1" x14ac:dyDescent="0.25">
      <c r="I4364" s="16">
        <v>60</v>
      </c>
      <c r="L4364" s="16" t="s">
        <v>26</v>
      </c>
      <c r="M4364" s="16" t="s">
        <v>777</v>
      </c>
    </row>
    <row r="4365" spans="1:13" ht="13.5" customHeight="1" x14ac:dyDescent="0.25">
      <c r="I4365" s="16">
        <v>30</v>
      </c>
      <c r="L4365" s="16" t="s">
        <v>24</v>
      </c>
      <c r="M4365" s="16" t="s">
        <v>778</v>
      </c>
    </row>
    <row r="4366" spans="1:13" ht="13.5" customHeight="1" x14ac:dyDescent="0.25">
      <c r="I4366" s="16">
        <v>15</v>
      </c>
      <c r="L4366" s="16" t="s">
        <v>26</v>
      </c>
      <c r="M4366" s="16" t="s">
        <v>779</v>
      </c>
    </row>
    <row r="4368" spans="1:13" ht="13.5" customHeight="1" x14ac:dyDescent="0.25">
      <c r="A4368" s="16" t="s">
        <v>776</v>
      </c>
      <c r="B4368" s="16" t="s">
        <v>1</v>
      </c>
      <c r="C4368" s="16" t="s">
        <v>520</v>
      </c>
      <c r="D4368" s="16" t="s">
        <v>21</v>
      </c>
      <c r="F4368" s="28">
        <v>240.53</v>
      </c>
      <c r="G4368" s="16">
        <v>7.25</v>
      </c>
      <c r="H4368" s="16" t="s">
        <v>22</v>
      </c>
      <c r="I4368" s="16">
        <v>10</v>
      </c>
      <c r="L4368" s="16" t="s">
        <v>23</v>
      </c>
    </row>
    <row r="4369" spans="1:13" ht="13.5" customHeight="1" x14ac:dyDescent="0.25">
      <c r="I4369" s="16">
        <v>80</v>
      </c>
      <c r="L4369" s="16" t="s">
        <v>32</v>
      </c>
    </row>
    <row r="4370" spans="1:13" ht="13.5" customHeight="1" x14ac:dyDescent="0.25">
      <c r="I4370" s="16">
        <v>30</v>
      </c>
      <c r="L4370" s="16" t="s">
        <v>33</v>
      </c>
      <c r="M4370" s="15"/>
    </row>
    <row r="4371" spans="1:13" ht="13.5" customHeight="1" x14ac:dyDescent="0.25">
      <c r="I4371" s="16">
        <v>30</v>
      </c>
      <c r="L4371" s="16" t="s">
        <v>29</v>
      </c>
      <c r="M4371" s="15"/>
    </row>
    <row r="4372" spans="1:13" ht="13.5" customHeight="1" x14ac:dyDescent="0.25">
      <c r="I4372" s="16">
        <v>20</v>
      </c>
      <c r="L4372" s="16" t="s">
        <v>25</v>
      </c>
      <c r="M4372" s="16" t="s">
        <v>137</v>
      </c>
    </row>
    <row r="4373" spans="1:13" ht="13.5" customHeight="1" x14ac:dyDescent="0.25">
      <c r="I4373" s="16">
        <v>20</v>
      </c>
      <c r="L4373" s="16" t="s">
        <v>25</v>
      </c>
      <c r="M4373" s="16" t="s">
        <v>45</v>
      </c>
    </row>
    <row r="4374" spans="1:13" ht="13.5" customHeight="1" x14ac:dyDescent="0.25">
      <c r="I4374" s="16">
        <v>20</v>
      </c>
      <c r="L4374" s="16" t="s">
        <v>27</v>
      </c>
    </row>
    <row r="4375" spans="1:13" ht="13.5" customHeight="1" x14ac:dyDescent="0.25">
      <c r="I4375" s="16">
        <v>20</v>
      </c>
      <c r="L4375" s="16" t="s">
        <v>26</v>
      </c>
      <c r="M4375" s="16" t="s">
        <v>147</v>
      </c>
    </row>
    <row r="4376" spans="1:13" ht="13.5" customHeight="1" x14ac:dyDescent="0.25">
      <c r="I4376" s="16">
        <v>20</v>
      </c>
      <c r="L4376" s="16" t="s">
        <v>26</v>
      </c>
      <c r="M4376" s="16" t="s">
        <v>181</v>
      </c>
    </row>
    <row r="4377" spans="1:13" ht="13.5" customHeight="1" x14ac:dyDescent="0.25">
      <c r="I4377" s="16">
        <v>20</v>
      </c>
      <c r="L4377" s="16" t="s">
        <v>26</v>
      </c>
      <c r="M4377" s="16" t="s">
        <v>773</v>
      </c>
    </row>
    <row r="4378" spans="1:13" ht="13.5" customHeight="1" x14ac:dyDescent="0.25">
      <c r="I4378" s="16">
        <v>90</v>
      </c>
      <c r="L4378" s="32" t="s">
        <v>168</v>
      </c>
      <c r="M4378" s="16" t="s">
        <v>780</v>
      </c>
    </row>
    <row r="4379" spans="1:13" ht="13.5" customHeight="1" x14ac:dyDescent="0.25">
      <c r="I4379" s="16">
        <v>40</v>
      </c>
      <c r="L4379" s="16" t="s">
        <v>24</v>
      </c>
      <c r="M4379" s="15" t="s">
        <v>765</v>
      </c>
    </row>
    <row r="4380" spans="1:13" ht="13.5" customHeight="1" x14ac:dyDescent="0.25">
      <c r="I4380" s="16">
        <v>20</v>
      </c>
      <c r="L4380" s="32" t="s">
        <v>168</v>
      </c>
      <c r="M4380" s="16" t="s">
        <v>45</v>
      </c>
    </row>
    <row r="4381" spans="1:13" ht="13.5" customHeight="1" x14ac:dyDescent="0.25">
      <c r="I4381" s="16">
        <v>20</v>
      </c>
      <c r="L4381" s="32" t="s">
        <v>168</v>
      </c>
      <c r="M4381" s="15" t="s">
        <v>36</v>
      </c>
    </row>
    <row r="4383" spans="1:13" ht="13.5" customHeight="1" x14ac:dyDescent="0.25">
      <c r="A4383" s="16" t="s">
        <v>776</v>
      </c>
      <c r="B4383" s="16" t="s">
        <v>2</v>
      </c>
      <c r="C4383" s="16" t="s">
        <v>6</v>
      </c>
      <c r="D4383" s="16" t="s">
        <v>20</v>
      </c>
      <c r="F4383" s="28">
        <f>26.18+32.81+31.22+31.44+31.48+31.78+32.86+37.63+30.41+4.94</f>
        <v>290.75</v>
      </c>
      <c r="G4383" s="16">
        <v>9.25</v>
      </c>
      <c r="H4383" s="16" t="s">
        <v>22</v>
      </c>
      <c r="I4383" s="16">
        <v>10</v>
      </c>
      <c r="L4383" s="16" t="s">
        <v>23</v>
      </c>
    </row>
    <row r="4384" spans="1:13" ht="13.5" customHeight="1" x14ac:dyDescent="0.25">
      <c r="I4384" s="16">
        <v>90</v>
      </c>
      <c r="L4384" s="16" t="s">
        <v>32</v>
      </c>
    </row>
    <row r="4385" spans="1:13" ht="13.5" customHeight="1" x14ac:dyDescent="0.25">
      <c r="I4385" s="16">
        <v>30</v>
      </c>
      <c r="L4385" s="16" t="s">
        <v>33</v>
      </c>
      <c r="M4385" s="15"/>
    </row>
    <row r="4386" spans="1:13" ht="13.5" customHeight="1" x14ac:dyDescent="0.25">
      <c r="I4386" s="16">
        <v>30</v>
      </c>
      <c r="L4386" s="16" t="s">
        <v>29</v>
      </c>
      <c r="M4386" s="15"/>
    </row>
    <row r="4387" spans="1:13" ht="13.5" customHeight="1" x14ac:dyDescent="0.25">
      <c r="I4387" s="16">
        <v>10</v>
      </c>
      <c r="L4387" s="16" t="s">
        <v>25</v>
      </c>
      <c r="M4387" s="16" t="s">
        <v>45</v>
      </c>
    </row>
    <row r="4388" spans="1:13" ht="13.5" customHeight="1" x14ac:dyDescent="0.25">
      <c r="I4388" s="16">
        <v>20</v>
      </c>
      <c r="L4388" s="16" t="s">
        <v>27</v>
      </c>
    </row>
    <row r="4389" spans="1:13" ht="13.5" customHeight="1" x14ac:dyDescent="0.25">
      <c r="I4389" s="16">
        <v>20</v>
      </c>
      <c r="L4389" s="16" t="s">
        <v>26</v>
      </c>
      <c r="M4389" s="16" t="s">
        <v>147</v>
      </c>
    </row>
    <row r="4390" spans="1:13" ht="13.5" customHeight="1" x14ac:dyDescent="0.25">
      <c r="I4390" s="16">
        <v>20</v>
      </c>
      <c r="L4390" s="16" t="s">
        <v>26</v>
      </c>
      <c r="M4390" s="16" t="s">
        <v>782</v>
      </c>
    </row>
    <row r="4391" spans="1:13" ht="13.5" customHeight="1" x14ac:dyDescent="0.25">
      <c r="I4391" s="16">
        <v>30</v>
      </c>
      <c r="L4391" s="16" t="s">
        <v>26</v>
      </c>
      <c r="M4391" s="15" t="s">
        <v>783</v>
      </c>
    </row>
    <row r="4392" spans="1:13" ht="13.5" customHeight="1" x14ac:dyDescent="0.25">
      <c r="I4392" s="16">
        <v>50</v>
      </c>
      <c r="L4392" s="16" t="s">
        <v>24</v>
      </c>
      <c r="M4392" s="16" t="s">
        <v>781</v>
      </c>
    </row>
    <row r="4394" spans="1:13" ht="13.5" customHeight="1" x14ac:dyDescent="0.25">
      <c r="A4394" s="16" t="s">
        <v>784</v>
      </c>
      <c r="B4394" s="16" t="s">
        <v>0</v>
      </c>
      <c r="C4394" s="16" t="s">
        <v>16</v>
      </c>
      <c r="D4394" s="15" t="s">
        <v>548</v>
      </c>
      <c r="E4394" s="15"/>
      <c r="F4394" s="28">
        <f>303.43</f>
        <v>303.43</v>
      </c>
      <c r="G4394" s="16">
        <v>10</v>
      </c>
      <c r="H4394" s="16" t="s">
        <v>22</v>
      </c>
      <c r="I4394" s="16">
        <v>10</v>
      </c>
      <c r="L4394" s="16" t="s">
        <v>23</v>
      </c>
    </row>
    <row r="4395" spans="1:13" ht="13.5" customHeight="1" x14ac:dyDescent="0.25">
      <c r="I4395" s="16">
        <v>100</v>
      </c>
      <c r="L4395" s="16" t="s">
        <v>32</v>
      </c>
    </row>
    <row r="4396" spans="1:13" ht="13.5" customHeight="1" x14ac:dyDescent="0.25">
      <c r="I4396" s="16">
        <v>30</v>
      </c>
      <c r="L4396" s="16" t="s">
        <v>33</v>
      </c>
      <c r="M4396" s="15"/>
    </row>
    <row r="4397" spans="1:13" ht="13.5" customHeight="1" x14ac:dyDescent="0.25">
      <c r="I4397" s="16">
        <v>30</v>
      </c>
      <c r="L4397" s="16" t="s">
        <v>29</v>
      </c>
      <c r="M4397" s="15"/>
    </row>
    <row r="4398" spans="1:13" ht="13.5" customHeight="1" x14ac:dyDescent="0.25">
      <c r="I4398" s="16">
        <v>20</v>
      </c>
      <c r="L4398" s="16" t="s">
        <v>25</v>
      </c>
      <c r="M4398" s="16" t="s">
        <v>137</v>
      </c>
    </row>
    <row r="4399" spans="1:13" ht="13.5" customHeight="1" x14ac:dyDescent="0.25">
      <c r="I4399" s="16">
        <v>10</v>
      </c>
      <c r="L4399" s="16" t="s">
        <v>25</v>
      </c>
      <c r="M4399" s="16" t="s">
        <v>45</v>
      </c>
    </row>
    <row r="4400" spans="1:13" ht="13.5" customHeight="1" x14ac:dyDescent="0.25">
      <c r="I4400" s="16">
        <v>20</v>
      </c>
      <c r="L4400" s="16" t="s">
        <v>27</v>
      </c>
    </row>
    <row r="4401" spans="1:13" ht="13.5" customHeight="1" x14ac:dyDescent="0.25">
      <c r="I4401" s="16">
        <v>20</v>
      </c>
      <c r="L4401" s="16" t="s">
        <v>26</v>
      </c>
      <c r="M4401" s="16" t="s">
        <v>147</v>
      </c>
    </row>
    <row r="4402" spans="1:13" ht="13.5" customHeight="1" x14ac:dyDescent="0.25">
      <c r="I4402" s="16">
        <v>20</v>
      </c>
      <c r="L4402" s="16" t="s">
        <v>168</v>
      </c>
      <c r="M4402" s="16" t="s">
        <v>785</v>
      </c>
    </row>
    <row r="4403" spans="1:13" ht="13.5" customHeight="1" x14ac:dyDescent="0.25">
      <c r="I4403" s="16">
        <v>45</v>
      </c>
      <c r="L4403" s="16" t="s">
        <v>25</v>
      </c>
      <c r="M4403" s="16" t="s">
        <v>786</v>
      </c>
    </row>
    <row r="4405" spans="1:13" ht="13.5" customHeight="1" x14ac:dyDescent="0.25">
      <c r="A4405" s="16" t="s">
        <v>784</v>
      </c>
      <c r="B4405" s="16" t="s">
        <v>1</v>
      </c>
      <c r="C4405" s="16" t="s">
        <v>520</v>
      </c>
      <c r="D4405" s="16" t="s">
        <v>21</v>
      </c>
      <c r="F4405" s="28">
        <f>4.45+0.83+32.02+35.49+26.86+30.45+5.27+8.11+8.1</f>
        <v>151.58000000000001</v>
      </c>
      <c r="G4405" s="16">
        <v>5</v>
      </c>
      <c r="H4405" s="16" t="s">
        <v>22</v>
      </c>
      <c r="I4405" s="16">
        <v>10</v>
      </c>
      <c r="L4405" s="16" t="s">
        <v>23</v>
      </c>
    </row>
    <row r="4406" spans="1:13" ht="13.5" customHeight="1" x14ac:dyDescent="0.25">
      <c r="I4406" s="16">
        <v>50</v>
      </c>
      <c r="L4406" s="16" t="s">
        <v>32</v>
      </c>
    </row>
    <row r="4407" spans="1:13" ht="13.5" customHeight="1" x14ac:dyDescent="0.25">
      <c r="I4407" s="16">
        <v>10</v>
      </c>
      <c r="L4407" s="16" t="s">
        <v>33</v>
      </c>
      <c r="M4407" s="15"/>
    </row>
    <row r="4408" spans="1:13" ht="13.5" customHeight="1" x14ac:dyDescent="0.25">
      <c r="I4408" s="16">
        <v>15</v>
      </c>
      <c r="L4408" s="16" t="s">
        <v>29</v>
      </c>
      <c r="M4408" s="15"/>
    </row>
    <row r="4409" spans="1:13" ht="13.5" customHeight="1" x14ac:dyDescent="0.25">
      <c r="I4409" s="16">
        <v>10</v>
      </c>
      <c r="L4409" s="16" t="s">
        <v>25</v>
      </c>
      <c r="M4409" s="16" t="s">
        <v>137</v>
      </c>
    </row>
    <row r="4410" spans="1:13" ht="13.5" customHeight="1" x14ac:dyDescent="0.25">
      <c r="I4410" s="16">
        <v>20</v>
      </c>
      <c r="L4410" s="16" t="s">
        <v>25</v>
      </c>
      <c r="M4410" s="16" t="s">
        <v>45</v>
      </c>
    </row>
    <row r="4411" spans="1:13" ht="13.5" customHeight="1" x14ac:dyDescent="0.25">
      <c r="I4411" s="16">
        <v>10</v>
      </c>
      <c r="L4411" s="16" t="s">
        <v>27</v>
      </c>
    </row>
    <row r="4412" spans="1:13" ht="13.5" customHeight="1" x14ac:dyDescent="0.25">
      <c r="I4412" s="16">
        <v>20</v>
      </c>
      <c r="L4412" s="16" t="s">
        <v>26</v>
      </c>
      <c r="M4412" s="16" t="s">
        <v>147</v>
      </c>
    </row>
    <row r="4413" spans="1:13" ht="13.5" customHeight="1" x14ac:dyDescent="0.25">
      <c r="I4413" s="16">
        <v>20</v>
      </c>
      <c r="L4413" s="16" t="s">
        <v>168</v>
      </c>
      <c r="M4413" s="16" t="s">
        <v>785</v>
      </c>
    </row>
    <row r="4414" spans="1:13" ht="13.5" customHeight="1" x14ac:dyDescent="0.25">
      <c r="I4414" s="16">
        <v>265</v>
      </c>
      <c r="J4414" s="18">
        <v>0.72222222222222221</v>
      </c>
      <c r="K4414" s="18">
        <v>0.90625</v>
      </c>
      <c r="L4414" s="16" t="s">
        <v>26</v>
      </c>
      <c r="M4414" s="16" t="s">
        <v>124</v>
      </c>
    </row>
    <row r="4416" spans="1:13" ht="13.5" customHeight="1" x14ac:dyDescent="0.25">
      <c r="A4416" s="16" t="s">
        <v>784</v>
      </c>
      <c r="B4416" s="16" t="s">
        <v>2</v>
      </c>
      <c r="C4416" s="16" t="s">
        <v>6</v>
      </c>
      <c r="D4416" s="16" t="s">
        <v>20</v>
      </c>
      <c r="F4416" s="28">
        <v>131.97999999999999</v>
      </c>
      <c r="G4416" s="16">
        <v>4</v>
      </c>
      <c r="H4416" s="16" t="s">
        <v>22</v>
      </c>
      <c r="I4416" s="16">
        <v>10</v>
      </c>
      <c r="L4416" s="16" t="s">
        <v>23</v>
      </c>
    </row>
    <row r="4417" spans="1:13" ht="13.5" customHeight="1" x14ac:dyDescent="0.25">
      <c r="I4417" s="16">
        <v>30</v>
      </c>
      <c r="L4417" s="16" t="s">
        <v>32</v>
      </c>
    </row>
    <row r="4418" spans="1:13" ht="13.5" customHeight="1" x14ac:dyDescent="0.25">
      <c r="I4418" s="16">
        <v>10</v>
      </c>
      <c r="L4418" s="16" t="s">
        <v>33</v>
      </c>
      <c r="M4418" s="15"/>
    </row>
    <row r="4419" spans="1:13" ht="13.5" customHeight="1" x14ac:dyDescent="0.25">
      <c r="I4419" s="16">
        <v>10</v>
      </c>
      <c r="L4419" s="16" t="s">
        <v>29</v>
      </c>
      <c r="M4419" s="15"/>
    </row>
    <row r="4420" spans="1:13" ht="13.5" customHeight="1" x14ac:dyDescent="0.25">
      <c r="I4420" s="16">
        <v>10</v>
      </c>
      <c r="L4420" s="16" t="s">
        <v>26</v>
      </c>
      <c r="M4420" s="16" t="s">
        <v>147</v>
      </c>
    </row>
    <row r="4421" spans="1:13" ht="13.5" customHeight="1" x14ac:dyDescent="0.25">
      <c r="I4421" s="16">
        <v>330</v>
      </c>
      <c r="J4421" s="18">
        <v>11.458333333333334</v>
      </c>
      <c r="K4421" s="18" t="s">
        <v>788</v>
      </c>
      <c r="L4421" s="16" t="s">
        <v>26</v>
      </c>
      <c r="M4421" s="16" t="s">
        <v>787</v>
      </c>
    </row>
    <row r="4423" spans="1:13" ht="13.5" customHeight="1" x14ac:dyDescent="0.25">
      <c r="A4423" s="16" t="s">
        <v>790</v>
      </c>
      <c r="B4423" s="16" t="s">
        <v>0</v>
      </c>
      <c r="C4423" s="16" t="s">
        <v>16</v>
      </c>
      <c r="D4423" s="15" t="s">
        <v>548</v>
      </c>
      <c r="E4423" s="15"/>
      <c r="F4423" s="28">
        <v>353.38</v>
      </c>
      <c r="G4423" s="16">
        <v>10.25</v>
      </c>
      <c r="H4423" s="16" t="s">
        <v>22</v>
      </c>
      <c r="I4423" s="16">
        <v>10</v>
      </c>
      <c r="L4423" s="16" t="s">
        <v>23</v>
      </c>
    </row>
    <row r="4424" spans="1:13" ht="13.5" customHeight="1" x14ac:dyDescent="0.25">
      <c r="I4424" s="16">
        <v>110</v>
      </c>
      <c r="L4424" s="16" t="s">
        <v>32</v>
      </c>
    </row>
    <row r="4425" spans="1:13" ht="13.5" customHeight="1" x14ac:dyDescent="0.25">
      <c r="I4425" s="16">
        <v>30</v>
      </c>
      <c r="L4425" s="16" t="s">
        <v>33</v>
      </c>
      <c r="M4425" s="15"/>
    </row>
    <row r="4426" spans="1:13" ht="13.5" customHeight="1" x14ac:dyDescent="0.25">
      <c r="I4426" s="16">
        <v>30</v>
      </c>
      <c r="L4426" s="16" t="s">
        <v>29</v>
      </c>
      <c r="M4426" s="15"/>
    </row>
    <row r="4427" spans="1:13" ht="13.5" customHeight="1" x14ac:dyDescent="0.25">
      <c r="I4427" s="16">
        <v>20</v>
      </c>
      <c r="L4427" s="16" t="s">
        <v>25</v>
      </c>
      <c r="M4427" s="16" t="s">
        <v>137</v>
      </c>
    </row>
    <row r="4428" spans="1:13" ht="13.5" customHeight="1" x14ac:dyDescent="0.25">
      <c r="I4428" s="16">
        <v>10</v>
      </c>
      <c r="L4428" s="16" t="s">
        <v>25</v>
      </c>
      <c r="M4428" s="16" t="s">
        <v>45</v>
      </c>
    </row>
    <row r="4429" spans="1:13" ht="13.5" customHeight="1" x14ac:dyDescent="0.25">
      <c r="I4429" s="16">
        <v>20</v>
      </c>
      <c r="L4429" s="16" t="s">
        <v>27</v>
      </c>
    </row>
    <row r="4430" spans="1:13" ht="13.5" customHeight="1" x14ac:dyDescent="0.25">
      <c r="I4430" s="16">
        <v>20</v>
      </c>
      <c r="L4430" s="16" t="s">
        <v>26</v>
      </c>
      <c r="M4430" s="16" t="s">
        <v>147</v>
      </c>
    </row>
    <row r="4431" spans="1:13" ht="13.5" customHeight="1" x14ac:dyDescent="0.25">
      <c r="I4431" s="16">
        <v>20</v>
      </c>
      <c r="L4431" s="16" t="s">
        <v>25</v>
      </c>
      <c r="M4431" s="16" t="s">
        <v>786</v>
      </c>
    </row>
    <row r="4432" spans="1:13" ht="13.5" customHeight="1" x14ac:dyDescent="0.25">
      <c r="I4432" s="16">
        <v>30</v>
      </c>
      <c r="L4432" s="16" t="s">
        <v>168</v>
      </c>
      <c r="M4432" s="16" t="s">
        <v>789</v>
      </c>
    </row>
    <row r="4433" spans="1:13" ht="13.5" customHeight="1" x14ac:dyDescent="0.25">
      <c r="I4433" s="16">
        <v>20</v>
      </c>
      <c r="L4433" s="16" t="s">
        <v>26</v>
      </c>
      <c r="M4433" s="16" t="s">
        <v>181</v>
      </c>
    </row>
    <row r="4435" spans="1:13" ht="13.5" customHeight="1" x14ac:dyDescent="0.25">
      <c r="A4435" s="16" t="s">
        <v>790</v>
      </c>
      <c r="B4435" s="16" t="s">
        <v>1</v>
      </c>
      <c r="C4435" s="16" t="s">
        <v>520</v>
      </c>
      <c r="D4435" s="16" t="s">
        <v>21</v>
      </c>
      <c r="F4435" s="28">
        <f>23.29+26.61+35.94+25.96+32.14+38.02+32.04+37.93-11.1</f>
        <v>240.83</v>
      </c>
      <c r="G4435" s="16">
        <v>7.75</v>
      </c>
      <c r="H4435" s="16" t="s">
        <v>22</v>
      </c>
      <c r="I4435" s="16">
        <v>10</v>
      </c>
      <c r="L4435" s="16" t="s">
        <v>23</v>
      </c>
    </row>
    <row r="4436" spans="1:13" ht="13.5" customHeight="1" x14ac:dyDescent="0.25">
      <c r="I4436" s="16">
        <v>70</v>
      </c>
      <c r="L4436" s="16" t="s">
        <v>32</v>
      </c>
    </row>
    <row r="4437" spans="1:13" ht="13.5" customHeight="1" x14ac:dyDescent="0.25">
      <c r="I4437" s="16">
        <v>25</v>
      </c>
      <c r="L4437" s="16" t="s">
        <v>33</v>
      </c>
      <c r="M4437" s="15"/>
    </row>
    <row r="4438" spans="1:13" ht="13.5" customHeight="1" x14ac:dyDescent="0.25">
      <c r="I4438" s="16">
        <v>40</v>
      </c>
      <c r="L4438" s="16" t="s">
        <v>29</v>
      </c>
      <c r="M4438" s="15"/>
    </row>
    <row r="4439" spans="1:13" ht="13.5" customHeight="1" x14ac:dyDescent="0.25">
      <c r="I4439" s="16">
        <v>30</v>
      </c>
      <c r="L4439" s="16" t="s">
        <v>25</v>
      </c>
      <c r="M4439" s="16" t="s">
        <v>137</v>
      </c>
    </row>
    <row r="4440" spans="1:13" ht="13.5" customHeight="1" x14ac:dyDescent="0.25">
      <c r="I4440" s="16">
        <v>30</v>
      </c>
      <c r="L4440" s="16" t="s">
        <v>25</v>
      </c>
      <c r="M4440" s="16" t="s">
        <v>45</v>
      </c>
    </row>
    <row r="4441" spans="1:13" ht="13.5" customHeight="1" x14ac:dyDescent="0.25">
      <c r="I4441" s="16">
        <v>20</v>
      </c>
      <c r="L4441" s="16" t="s">
        <v>27</v>
      </c>
    </row>
    <row r="4442" spans="1:13" ht="13.5" customHeight="1" x14ac:dyDescent="0.25">
      <c r="I4442" s="16">
        <v>20</v>
      </c>
      <c r="L4442" s="16" t="s">
        <v>26</v>
      </c>
      <c r="M4442" s="16" t="s">
        <v>147</v>
      </c>
    </row>
    <row r="4443" spans="1:13" ht="13.5" hidden="1" customHeight="1" x14ac:dyDescent="0.25">
      <c r="I4443" s="16">
        <v>20</v>
      </c>
      <c r="L4443" s="16" t="s">
        <v>168</v>
      </c>
      <c r="M4443" s="16" t="s">
        <v>785</v>
      </c>
    </row>
    <row r="4444" spans="1:13" ht="13.5" hidden="1" customHeight="1" x14ac:dyDescent="0.25">
      <c r="I4444" s="16">
        <v>265</v>
      </c>
      <c r="J4444" s="18">
        <v>0.72222222222222221</v>
      </c>
      <c r="K4444" s="18">
        <v>0.90625</v>
      </c>
      <c r="L4444" s="16" t="s">
        <v>26</v>
      </c>
      <c r="M4444" s="16" t="s">
        <v>124</v>
      </c>
    </row>
    <row r="4445" spans="1:13" ht="13.5" customHeight="1" x14ac:dyDescent="0.25">
      <c r="I4445" s="16">
        <v>50</v>
      </c>
      <c r="L4445" s="16" t="s">
        <v>168</v>
      </c>
      <c r="M4445" s="16" t="s">
        <v>117</v>
      </c>
    </row>
    <row r="4446" spans="1:13" ht="13.5" customHeight="1" x14ac:dyDescent="0.25">
      <c r="I4446" s="16">
        <v>50</v>
      </c>
      <c r="L4446" s="16" t="s">
        <v>26</v>
      </c>
      <c r="M4446" s="16" t="s">
        <v>181</v>
      </c>
    </row>
    <row r="4447" spans="1:13" ht="13.5" customHeight="1" x14ac:dyDescent="0.25">
      <c r="I4447" s="16">
        <v>90</v>
      </c>
      <c r="L4447" s="16" t="s">
        <v>26</v>
      </c>
      <c r="M4447" s="16" t="s">
        <v>791</v>
      </c>
    </row>
    <row r="4449" spans="1:13" ht="13.5" customHeight="1" x14ac:dyDescent="0.25">
      <c r="A4449" s="16" t="s">
        <v>790</v>
      </c>
      <c r="B4449" s="16" t="s">
        <v>2</v>
      </c>
      <c r="C4449" s="16" t="s">
        <v>15</v>
      </c>
      <c r="D4449" s="16" t="s">
        <v>20</v>
      </c>
      <c r="F4449" s="28">
        <v>362.2</v>
      </c>
      <c r="G4449" s="16">
        <v>11</v>
      </c>
      <c r="H4449" s="16" t="s">
        <v>22</v>
      </c>
      <c r="I4449" s="16">
        <v>10</v>
      </c>
      <c r="L4449" s="16" t="s">
        <v>23</v>
      </c>
    </row>
    <row r="4450" spans="1:13" ht="13.5" customHeight="1" x14ac:dyDescent="0.25">
      <c r="I4450" s="16">
        <v>110</v>
      </c>
      <c r="L4450" s="16" t="s">
        <v>32</v>
      </c>
    </row>
    <row r="4451" spans="1:13" ht="13.5" customHeight="1" x14ac:dyDescent="0.25">
      <c r="I4451" s="16">
        <v>30</v>
      </c>
      <c r="L4451" s="16" t="s">
        <v>33</v>
      </c>
      <c r="M4451" s="15"/>
    </row>
    <row r="4452" spans="1:13" ht="13.5" customHeight="1" x14ac:dyDescent="0.25">
      <c r="I4452" s="16">
        <v>30</v>
      </c>
      <c r="L4452" s="16" t="s">
        <v>29</v>
      </c>
      <c r="M4452" s="15"/>
    </row>
    <row r="4453" spans="1:13" ht="14.25" customHeight="1" x14ac:dyDescent="0.25">
      <c r="I4453" s="16">
        <v>10</v>
      </c>
      <c r="L4453" s="16" t="s">
        <v>25</v>
      </c>
      <c r="M4453" s="16" t="s">
        <v>45</v>
      </c>
    </row>
    <row r="4454" spans="1:13" ht="13.5" customHeight="1" x14ac:dyDescent="0.25">
      <c r="I4454" s="16">
        <v>20</v>
      </c>
      <c r="L4454" s="16" t="s">
        <v>27</v>
      </c>
    </row>
    <row r="4455" spans="1:13" ht="13.5" customHeight="1" x14ac:dyDescent="0.25">
      <c r="I4455" s="16">
        <v>20</v>
      </c>
      <c r="L4455" s="16" t="s">
        <v>26</v>
      </c>
      <c r="M4455" s="16" t="s">
        <v>147</v>
      </c>
    </row>
    <row r="4456" spans="1:13" ht="13.5" customHeight="1" x14ac:dyDescent="0.25">
      <c r="I4456" s="16">
        <v>20</v>
      </c>
      <c r="L4456" s="16" t="s">
        <v>25</v>
      </c>
      <c r="M4456" s="16" t="s">
        <v>137</v>
      </c>
    </row>
    <row r="4458" spans="1:13" ht="13.5" customHeight="1" x14ac:dyDescent="0.25">
      <c r="A4458" s="16" t="s">
        <v>792</v>
      </c>
      <c r="B4458" s="16" t="s">
        <v>0</v>
      </c>
      <c r="C4458" s="16" t="s">
        <v>16</v>
      </c>
      <c r="D4458" s="15" t="s">
        <v>548</v>
      </c>
      <c r="E4458" s="15"/>
      <c r="F4458" s="28">
        <v>372.35</v>
      </c>
      <c r="G4458" s="16">
        <v>10.25</v>
      </c>
      <c r="H4458" s="16" t="s">
        <v>22</v>
      </c>
      <c r="I4458" s="16">
        <v>10</v>
      </c>
      <c r="L4458" s="16" t="s">
        <v>23</v>
      </c>
    </row>
    <row r="4459" spans="1:13" ht="13.5" customHeight="1" x14ac:dyDescent="0.25">
      <c r="I4459" s="16">
        <v>110</v>
      </c>
      <c r="L4459" s="16" t="s">
        <v>32</v>
      </c>
    </row>
    <row r="4460" spans="1:13" ht="13.5" customHeight="1" x14ac:dyDescent="0.25">
      <c r="I4460" s="16">
        <v>30</v>
      </c>
      <c r="L4460" s="16" t="s">
        <v>33</v>
      </c>
      <c r="M4460" s="15"/>
    </row>
    <row r="4461" spans="1:13" ht="13.5" customHeight="1" x14ac:dyDescent="0.25">
      <c r="I4461" s="16">
        <v>20</v>
      </c>
      <c r="L4461" s="16" t="s">
        <v>29</v>
      </c>
      <c r="M4461" s="15"/>
    </row>
    <row r="4462" spans="1:13" ht="13.5" customHeight="1" x14ac:dyDescent="0.25">
      <c r="I4462" s="16">
        <v>30</v>
      </c>
      <c r="L4462" s="16" t="s">
        <v>25</v>
      </c>
      <c r="M4462" s="16" t="s">
        <v>137</v>
      </c>
    </row>
    <row r="4463" spans="1:13" ht="13.5" customHeight="1" x14ac:dyDescent="0.25">
      <c r="I4463" s="16">
        <v>20</v>
      </c>
      <c r="L4463" s="16" t="s">
        <v>25</v>
      </c>
      <c r="M4463" s="16" t="s">
        <v>45</v>
      </c>
    </row>
    <row r="4464" spans="1:13" ht="13.5" customHeight="1" x14ac:dyDescent="0.25">
      <c r="I4464" s="16">
        <v>15</v>
      </c>
      <c r="L4464" s="16" t="s">
        <v>27</v>
      </c>
    </row>
    <row r="4465" spans="1:13" ht="13.5" customHeight="1" x14ac:dyDescent="0.25">
      <c r="I4465" s="16">
        <v>15</v>
      </c>
      <c r="L4465" s="16" t="s">
        <v>26</v>
      </c>
      <c r="M4465" s="16" t="s">
        <v>147</v>
      </c>
    </row>
    <row r="4466" spans="1:13" ht="13.5" customHeight="1" x14ac:dyDescent="0.25">
      <c r="I4466" s="16">
        <v>20</v>
      </c>
      <c r="L4466" s="16" t="s">
        <v>25</v>
      </c>
      <c r="M4466" s="15" t="s">
        <v>36</v>
      </c>
    </row>
    <row r="4467" spans="1:13" ht="13.5" customHeight="1" x14ac:dyDescent="0.25">
      <c r="I4467" s="16">
        <v>30</v>
      </c>
      <c r="L4467" s="16" t="s">
        <v>26</v>
      </c>
      <c r="M4467" s="15" t="s">
        <v>793</v>
      </c>
    </row>
    <row r="4468" spans="1:13" ht="13.5" customHeight="1" x14ac:dyDescent="0.25">
      <c r="I4468" s="16">
        <v>40</v>
      </c>
      <c r="L4468" s="16" t="s">
        <v>26</v>
      </c>
      <c r="M4468" s="15" t="s">
        <v>794</v>
      </c>
    </row>
    <row r="4469" spans="1:13" ht="13.5" customHeight="1" x14ac:dyDescent="0.25">
      <c r="I4469" s="16">
        <v>20</v>
      </c>
      <c r="L4469" s="16" t="s">
        <v>26</v>
      </c>
      <c r="M4469" s="15" t="s">
        <v>795</v>
      </c>
    </row>
    <row r="4470" spans="1:13" ht="13.5" customHeight="1" x14ac:dyDescent="0.25">
      <c r="I4470" s="16">
        <v>40</v>
      </c>
      <c r="L4470" s="16" t="s">
        <v>25</v>
      </c>
      <c r="M4470" s="15" t="s">
        <v>796</v>
      </c>
    </row>
    <row r="4472" spans="1:13" ht="13.5" customHeight="1" x14ac:dyDescent="0.25">
      <c r="A4472" s="16" t="s">
        <v>792</v>
      </c>
      <c r="B4472" s="16" t="s">
        <v>1</v>
      </c>
      <c r="C4472" s="16" t="s">
        <v>520</v>
      </c>
      <c r="D4472" s="16" t="s">
        <v>21</v>
      </c>
      <c r="F4472" s="28">
        <v>316.95999999999998</v>
      </c>
      <c r="G4472" s="16">
        <v>8.25</v>
      </c>
      <c r="H4472" s="16" t="s">
        <v>22</v>
      </c>
      <c r="I4472" s="16">
        <v>10</v>
      </c>
      <c r="L4472" s="16" t="s">
        <v>23</v>
      </c>
    </row>
    <row r="4473" spans="1:13" ht="13.5" customHeight="1" x14ac:dyDescent="0.25">
      <c r="I4473" s="16">
        <v>90</v>
      </c>
      <c r="L4473" s="16" t="s">
        <v>32</v>
      </c>
    </row>
    <row r="4474" spans="1:13" ht="13.5" customHeight="1" x14ac:dyDescent="0.25">
      <c r="I4474" s="16">
        <v>30</v>
      </c>
      <c r="L4474" s="16" t="s">
        <v>33</v>
      </c>
      <c r="M4474" s="15"/>
    </row>
    <row r="4475" spans="1:13" ht="13.5" customHeight="1" x14ac:dyDescent="0.25">
      <c r="I4475" s="16">
        <v>30</v>
      </c>
      <c r="L4475" s="16" t="s">
        <v>29</v>
      </c>
      <c r="M4475" s="15"/>
    </row>
    <row r="4476" spans="1:13" ht="13.5" customHeight="1" x14ac:dyDescent="0.25">
      <c r="I4476" s="16">
        <v>20</v>
      </c>
      <c r="L4476" s="16" t="s">
        <v>25</v>
      </c>
      <c r="M4476" s="16" t="s">
        <v>137</v>
      </c>
    </row>
    <row r="4477" spans="1:13" ht="13.5" customHeight="1" x14ac:dyDescent="0.25">
      <c r="I4477" s="16">
        <v>10</v>
      </c>
      <c r="L4477" s="16" t="s">
        <v>25</v>
      </c>
      <c r="M4477" s="16" t="s">
        <v>45</v>
      </c>
    </row>
    <row r="4478" spans="1:13" ht="13.5" customHeight="1" x14ac:dyDescent="0.25">
      <c r="I4478" s="16">
        <v>20</v>
      </c>
      <c r="L4478" s="16" t="s">
        <v>27</v>
      </c>
    </row>
    <row r="4479" spans="1:13" ht="13.5" customHeight="1" x14ac:dyDescent="0.25">
      <c r="I4479" s="16">
        <v>20</v>
      </c>
      <c r="L4479" s="16" t="s">
        <v>26</v>
      </c>
      <c r="M4479" s="16" t="s">
        <v>147</v>
      </c>
    </row>
    <row r="4480" spans="1:13" ht="13.5" customHeight="1" x14ac:dyDescent="0.25">
      <c r="I4480" s="16">
        <v>30</v>
      </c>
      <c r="L4480" s="16" t="s">
        <v>24</v>
      </c>
      <c r="M4480" s="16" t="s">
        <v>13</v>
      </c>
    </row>
    <row r="4481" spans="1:13" ht="13.5" customHeight="1" x14ac:dyDescent="0.25">
      <c r="I4481" s="16">
        <v>45</v>
      </c>
      <c r="L4481" s="16" t="s">
        <v>24</v>
      </c>
      <c r="M4481" s="16" t="s">
        <v>797</v>
      </c>
    </row>
    <row r="4482" spans="1:13" ht="13.5" customHeight="1" x14ac:dyDescent="0.25">
      <c r="I4482" s="16">
        <v>25</v>
      </c>
      <c r="L4482" s="16" t="s">
        <v>26</v>
      </c>
      <c r="M4482" s="16" t="s">
        <v>363</v>
      </c>
    </row>
    <row r="4483" spans="1:13" ht="13.5" customHeight="1" x14ac:dyDescent="0.25">
      <c r="A4483" s="16" t="s">
        <v>792</v>
      </c>
      <c r="B4483" s="16" t="s">
        <v>2</v>
      </c>
      <c r="C4483" s="16" t="s">
        <v>15</v>
      </c>
      <c r="D4483" s="16" t="s">
        <v>20</v>
      </c>
      <c r="F4483" s="28">
        <v>399.58</v>
      </c>
      <c r="G4483" s="16">
        <v>11</v>
      </c>
      <c r="H4483" s="16" t="s">
        <v>22</v>
      </c>
      <c r="I4483" s="16">
        <v>10</v>
      </c>
      <c r="L4483" s="16" t="s">
        <v>23</v>
      </c>
    </row>
    <row r="4484" spans="1:13" ht="13.5" customHeight="1" x14ac:dyDescent="0.25">
      <c r="I4484" s="16">
        <v>110</v>
      </c>
      <c r="L4484" s="16" t="s">
        <v>32</v>
      </c>
    </row>
    <row r="4485" spans="1:13" ht="13.5" customHeight="1" x14ac:dyDescent="0.25">
      <c r="I4485" s="16">
        <v>30</v>
      </c>
      <c r="L4485" s="16" t="s">
        <v>33</v>
      </c>
      <c r="M4485" s="15"/>
    </row>
    <row r="4486" spans="1:13" ht="13.5" customHeight="1" x14ac:dyDescent="0.25">
      <c r="I4486" s="16">
        <v>30</v>
      </c>
      <c r="L4486" s="16" t="s">
        <v>29</v>
      </c>
      <c r="M4486" s="15"/>
    </row>
    <row r="4487" spans="1:13" ht="13.5" customHeight="1" x14ac:dyDescent="0.25">
      <c r="I4487" s="16">
        <v>10</v>
      </c>
      <c r="L4487" s="16" t="s">
        <v>25</v>
      </c>
      <c r="M4487" s="16" t="s">
        <v>45</v>
      </c>
    </row>
    <row r="4488" spans="1:13" ht="13.5" customHeight="1" x14ac:dyDescent="0.25">
      <c r="I4488" s="16">
        <v>20</v>
      </c>
      <c r="L4488" s="16" t="s">
        <v>27</v>
      </c>
    </row>
    <row r="4489" spans="1:13" ht="13.5" customHeight="1" x14ac:dyDescent="0.25">
      <c r="I4489" s="16">
        <v>20</v>
      </c>
      <c r="L4489" s="16" t="s">
        <v>26</v>
      </c>
      <c r="M4489" s="16" t="s">
        <v>147</v>
      </c>
    </row>
    <row r="4490" spans="1:13" ht="13.5" customHeight="1" x14ac:dyDescent="0.25">
      <c r="I4490" s="16">
        <v>20</v>
      </c>
      <c r="L4490" s="16" t="s">
        <v>25</v>
      </c>
      <c r="M4490" s="16" t="s">
        <v>137</v>
      </c>
    </row>
    <row r="4492" spans="1:13" ht="13.5" customHeight="1" x14ac:dyDescent="0.25">
      <c r="A4492" s="16" t="s">
        <v>798</v>
      </c>
      <c r="B4492" s="16" t="s">
        <v>0</v>
      </c>
      <c r="C4492" s="16" t="s">
        <v>16</v>
      </c>
      <c r="D4492" s="15" t="s">
        <v>548</v>
      </c>
      <c r="E4492" s="15"/>
      <c r="F4492" s="28">
        <v>247.07</v>
      </c>
      <c r="G4492" s="16">
        <v>7</v>
      </c>
      <c r="H4492" s="16" t="s">
        <v>22</v>
      </c>
      <c r="I4492" s="16">
        <v>10</v>
      </c>
      <c r="L4492" s="16" t="s">
        <v>23</v>
      </c>
    </row>
    <row r="4493" spans="1:13" ht="13.5" customHeight="1" x14ac:dyDescent="0.25">
      <c r="I4493" s="16">
        <v>70</v>
      </c>
      <c r="L4493" s="16" t="s">
        <v>32</v>
      </c>
    </row>
    <row r="4494" spans="1:13" ht="13.5" customHeight="1" x14ac:dyDescent="0.25">
      <c r="I4494" s="16">
        <v>30</v>
      </c>
      <c r="L4494" s="16" t="s">
        <v>33</v>
      </c>
      <c r="M4494" s="15"/>
    </row>
    <row r="4495" spans="1:13" ht="13.5" customHeight="1" x14ac:dyDescent="0.25">
      <c r="I4495" s="16">
        <v>20</v>
      </c>
      <c r="L4495" s="16" t="s">
        <v>29</v>
      </c>
      <c r="M4495" s="15"/>
    </row>
    <row r="4496" spans="1:13" ht="13.5" customHeight="1" x14ac:dyDescent="0.25">
      <c r="I4496" s="16">
        <v>20</v>
      </c>
      <c r="L4496" s="16" t="s">
        <v>25</v>
      </c>
      <c r="M4496" s="16" t="s">
        <v>137</v>
      </c>
    </row>
    <row r="4497" spans="1:13" ht="13.5" customHeight="1" x14ac:dyDescent="0.25">
      <c r="I4497" s="16">
        <v>20</v>
      </c>
      <c r="L4497" s="16" t="s">
        <v>25</v>
      </c>
      <c r="M4497" s="16" t="s">
        <v>45</v>
      </c>
    </row>
    <row r="4498" spans="1:13" ht="13.5" customHeight="1" x14ac:dyDescent="0.25">
      <c r="I4498" s="16">
        <v>15</v>
      </c>
      <c r="L4498" s="16" t="s">
        <v>27</v>
      </c>
    </row>
    <row r="4499" spans="1:13" ht="13.5" customHeight="1" x14ac:dyDescent="0.25">
      <c r="I4499" s="16">
        <v>15</v>
      </c>
      <c r="L4499" s="16" t="s">
        <v>26</v>
      </c>
      <c r="M4499" s="16" t="s">
        <v>147</v>
      </c>
    </row>
    <row r="4500" spans="1:13" ht="13.5" customHeight="1" x14ac:dyDescent="0.25">
      <c r="I4500" s="16">
        <v>20</v>
      </c>
      <c r="L4500" s="16" t="s">
        <v>25</v>
      </c>
      <c r="M4500" s="15" t="s">
        <v>36</v>
      </c>
    </row>
    <row r="4501" spans="1:13" ht="13.5" customHeight="1" x14ac:dyDescent="0.25">
      <c r="I4501" s="16">
        <v>20</v>
      </c>
      <c r="L4501" s="16" t="s">
        <v>26</v>
      </c>
      <c r="M4501" s="15" t="s">
        <v>800</v>
      </c>
    </row>
    <row r="4502" spans="1:13" ht="13.5" customHeight="1" x14ac:dyDescent="0.25">
      <c r="I4502" s="16">
        <v>120</v>
      </c>
      <c r="L4502" s="16" t="s">
        <v>24</v>
      </c>
      <c r="M4502" s="15" t="s">
        <v>799</v>
      </c>
    </row>
    <row r="4503" spans="1:13" ht="13.5" customHeight="1" x14ac:dyDescent="0.25">
      <c r="I4503" s="16">
        <v>25</v>
      </c>
      <c r="L4503" s="16" t="s">
        <v>26</v>
      </c>
      <c r="M4503" s="15" t="s">
        <v>184</v>
      </c>
    </row>
    <row r="4505" spans="1:13" ht="13.5" customHeight="1" x14ac:dyDescent="0.25">
      <c r="A4505" s="16" t="s">
        <v>798</v>
      </c>
      <c r="B4505" s="16" t="s">
        <v>1</v>
      </c>
      <c r="C4505" s="16" t="s">
        <v>7</v>
      </c>
      <c r="D4505" s="16" t="s">
        <v>21</v>
      </c>
      <c r="F4505" s="16">
        <f>6.76+31.27+31.14+31+38.77+38.55+38.63+38.42+20.24+38.03+38.38+8.136+8.13</f>
        <v>367.45600000000007</v>
      </c>
      <c r="G4505" s="16">
        <v>10.5</v>
      </c>
      <c r="H4505" s="16" t="s">
        <v>22</v>
      </c>
      <c r="I4505" s="16">
        <v>10</v>
      </c>
      <c r="L4505" s="16" t="s">
        <v>23</v>
      </c>
    </row>
    <row r="4506" spans="1:13" ht="13.5" customHeight="1" x14ac:dyDescent="0.25">
      <c r="I4506" s="16">
        <v>110</v>
      </c>
      <c r="L4506" s="16" t="s">
        <v>32</v>
      </c>
    </row>
    <row r="4507" spans="1:13" ht="13.5" customHeight="1" x14ac:dyDescent="0.25">
      <c r="I4507" s="16">
        <v>60</v>
      </c>
      <c r="L4507" s="16" t="s">
        <v>33</v>
      </c>
      <c r="M4507" s="15" t="s">
        <v>801</v>
      </c>
    </row>
    <row r="4508" spans="1:13" ht="13.5" customHeight="1" x14ac:dyDescent="0.25">
      <c r="I4508" s="16">
        <v>30</v>
      </c>
      <c r="L4508" s="16" t="s">
        <v>29</v>
      </c>
      <c r="M4508" s="15"/>
    </row>
    <row r="4509" spans="1:13" ht="13.5" customHeight="1" x14ac:dyDescent="0.25">
      <c r="I4509" s="16">
        <v>10</v>
      </c>
      <c r="L4509" s="16" t="s">
        <v>25</v>
      </c>
      <c r="M4509" s="16" t="s">
        <v>45</v>
      </c>
    </row>
    <row r="4510" spans="1:13" ht="13.5" customHeight="1" x14ac:dyDescent="0.25">
      <c r="I4510" s="16">
        <v>20</v>
      </c>
      <c r="L4510" s="16" t="s">
        <v>27</v>
      </c>
    </row>
    <row r="4511" spans="1:13" ht="13.5" customHeight="1" x14ac:dyDescent="0.25">
      <c r="I4511" s="16">
        <v>20</v>
      </c>
      <c r="L4511" s="16" t="s">
        <v>26</v>
      </c>
      <c r="M4511" s="16" t="s">
        <v>147</v>
      </c>
    </row>
    <row r="4512" spans="1:13" ht="13.5" customHeight="1" x14ac:dyDescent="0.25">
      <c r="I4512" s="16">
        <v>20</v>
      </c>
      <c r="L4512" s="16" t="s">
        <v>25</v>
      </c>
      <c r="M4512" s="16" t="s">
        <v>137</v>
      </c>
    </row>
    <row r="4513" spans="1:13" ht="13.5" customHeight="1" x14ac:dyDescent="0.25">
      <c r="I4513" s="16">
        <v>20</v>
      </c>
      <c r="L4513" s="16" t="s">
        <v>25</v>
      </c>
      <c r="M4513" s="16" t="s">
        <v>137</v>
      </c>
    </row>
    <row r="4515" spans="1:13" ht="13.5" customHeight="1" x14ac:dyDescent="0.25">
      <c r="A4515" s="16" t="s">
        <v>798</v>
      </c>
      <c r="B4515" s="16" t="s">
        <v>2</v>
      </c>
      <c r="C4515" s="16" t="s">
        <v>7</v>
      </c>
      <c r="D4515" s="16" t="s">
        <v>20</v>
      </c>
      <c r="F4515" s="28">
        <v>392.154</v>
      </c>
      <c r="G4515" s="16">
        <v>10.75</v>
      </c>
      <c r="H4515" s="16" t="s">
        <v>22</v>
      </c>
      <c r="I4515" s="16">
        <v>10</v>
      </c>
      <c r="L4515" s="16" t="s">
        <v>23</v>
      </c>
    </row>
    <row r="4516" spans="1:13" ht="13.5" customHeight="1" x14ac:dyDescent="0.25">
      <c r="I4516" s="16">
        <v>100</v>
      </c>
      <c r="L4516" s="16" t="s">
        <v>32</v>
      </c>
    </row>
    <row r="4517" spans="1:13" ht="13.5" customHeight="1" x14ac:dyDescent="0.25">
      <c r="I4517" s="16">
        <v>30</v>
      </c>
      <c r="L4517" s="16" t="s">
        <v>33</v>
      </c>
      <c r="M4517" s="15"/>
    </row>
    <row r="4518" spans="1:13" ht="13.5" customHeight="1" x14ac:dyDescent="0.25">
      <c r="I4518" s="16">
        <v>30</v>
      </c>
      <c r="L4518" s="16" t="s">
        <v>29</v>
      </c>
      <c r="M4518" s="15"/>
    </row>
    <row r="4519" spans="1:13" ht="13.5" customHeight="1" x14ac:dyDescent="0.25">
      <c r="I4519" s="16">
        <v>10</v>
      </c>
      <c r="L4519" s="16" t="s">
        <v>25</v>
      </c>
      <c r="M4519" s="16" t="s">
        <v>45</v>
      </c>
    </row>
    <row r="4520" spans="1:13" ht="13.5" customHeight="1" x14ac:dyDescent="0.25">
      <c r="I4520" s="16">
        <v>20</v>
      </c>
      <c r="L4520" s="16" t="s">
        <v>27</v>
      </c>
    </row>
    <row r="4521" spans="1:13" ht="13.5" customHeight="1" x14ac:dyDescent="0.25">
      <c r="I4521" s="16">
        <v>20</v>
      </c>
      <c r="L4521" s="16" t="s">
        <v>26</v>
      </c>
      <c r="M4521" s="16" t="s">
        <v>147</v>
      </c>
    </row>
    <row r="4522" spans="1:13" ht="13.5" customHeight="1" x14ac:dyDescent="0.25">
      <c r="I4522" s="16">
        <v>20</v>
      </c>
      <c r="L4522" s="16" t="s">
        <v>25</v>
      </c>
      <c r="M4522" s="16" t="s">
        <v>137</v>
      </c>
    </row>
    <row r="4523" spans="1:13" ht="13.5" customHeight="1" x14ac:dyDescent="0.25">
      <c r="I4523" s="16">
        <v>30</v>
      </c>
      <c r="J4523" s="18">
        <v>0.4861111111111111</v>
      </c>
      <c r="K4523" s="18">
        <v>0.50694444444444442</v>
      </c>
      <c r="L4523" s="16" t="s">
        <v>26</v>
      </c>
      <c r="M4523" s="16" t="s">
        <v>802</v>
      </c>
    </row>
    <row r="4525" spans="1:13" ht="13.5" customHeight="1" x14ac:dyDescent="0.25">
      <c r="A4525" s="16" t="s">
        <v>803</v>
      </c>
      <c r="B4525" s="16" t="s">
        <v>0</v>
      </c>
      <c r="C4525" s="16" t="s">
        <v>16</v>
      </c>
      <c r="D4525" s="15" t="s">
        <v>548</v>
      </c>
      <c r="E4525" s="15"/>
      <c r="F4525" s="28">
        <v>379.38</v>
      </c>
      <c r="G4525" s="16">
        <v>10.5</v>
      </c>
      <c r="H4525" s="16" t="s">
        <v>22</v>
      </c>
      <c r="I4525" s="16">
        <v>10</v>
      </c>
      <c r="L4525" s="16" t="s">
        <v>23</v>
      </c>
    </row>
    <row r="4526" spans="1:13" ht="13.5" customHeight="1" x14ac:dyDescent="0.25">
      <c r="I4526" s="16">
        <v>110</v>
      </c>
      <c r="L4526" s="16" t="s">
        <v>32</v>
      </c>
    </row>
    <row r="4527" spans="1:13" ht="13.5" customHeight="1" x14ac:dyDescent="0.25">
      <c r="I4527" s="16">
        <v>30</v>
      </c>
      <c r="L4527" s="16" t="s">
        <v>33</v>
      </c>
      <c r="M4527" s="15"/>
    </row>
    <row r="4528" spans="1:13" ht="13.5" customHeight="1" x14ac:dyDescent="0.25">
      <c r="I4528" s="16">
        <v>20</v>
      </c>
      <c r="L4528" s="16" t="s">
        <v>29</v>
      </c>
      <c r="M4528" s="15"/>
    </row>
    <row r="4529" spans="1:13" ht="13.5" customHeight="1" x14ac:dyDescent="0.25">
      <c r="I4529" s="16">
        <v>20</v>
      </c>
      <c r="L4529" s="16" t="s">
        <v>25</v>
      </c>
      <c r="M4529" s="16" t="s">
        <v>137</v>
      </c>
    </row>
    <row r="4530" spans="1:13" ht="13.5" customHeight="1" x14ac:dyDescent="0.25">
      <c r="I4530" s="16">
        <v>20</v>
      </c>
      <c r="L4530" s="16" t="s">
        <v>25</v>
      </c>
      <c r="M4530" s="16" t="s">
        <v>45</v>
      </c>
    </row>
    <row r="4531" spans="1:13" ht="13.5" customHeight="1" x14ac:dyDescent="0.25">
      <c r="I4531" s="16">
        <v>15</v>
      </c>
      <c r="L4531" s="16" t="s">
        <v>27</v>
      </c>
    </row>
    <row r="4532" spans="1:13" ht="13.5" customHeight="1" x14ac:dyDescent="0.25">
      <c r="I4532" s="16">
        <v>20</v>
      </c>
      <c r="L4532" s="16" t="s">
        <v>26</v>
      </c>
      <c r="M4532" s="16" t="s">
        <v>147</v>
      </c>
    </row>
    <row r="4533" spans="1:13" ht="13.5" customHeight="1" x14ac:dyDescent="0.25">
      <c r="I4533" s="16">
        <v>15</v>
      </c>
      <c r="L4533" s="16" t="s">
        <v>26</v>
      </c>
      <c r="M4533" s="15" t="s">
        <v>804</v>
      </c>
    </row>
    <row r="4535" spans="1:13" ht="13.5" customHeight="1" x14ac:dyDescent="0.25">
      <c r="A4535" s="16" t="s">
        <v>803</v>
      </c>
      <c r="B4535" s="16" t="s">
        <v>1</v>
      </c>
      <c r="C4535" s="16" t="s">
        <v>16</v>
      </c>
      <c r="D4535" s="16" t="s">
        <v>21</v>
      </c>
      <c r="F4535" s="16">
        <f>19.01+31.26+37.96+28.95+37.39+30.13+26.59+38.02+30.24+35.14+8.43+8.41</f>
        <v>331.53000000000003</v>
      </c>
      <c r="G4535" s="16">
        <v>10.25</v>
      </c>
      <c r="H4535" s="16" t="s">
        <v>22</v>
      </c>
      <c r="I4535" s="16">
        <v>10</v>
      </c>
      <c r="L4535" s="16" t="s">
        <v>23</v>
      </c>
    </row>
    <row r="4536" spans="1:13" ht="13.5" customHeight="1" x14ac:dyDescent="0.25">
      <c r="I4536" s="16">
        <v>100</v>
      </c>
      <c r="L4536" s="16" t="s">
        <v>32</v>
      </c>
    </row>
    <row r="4537" spans="1:13" ht="13.5" customHeight="1" x14ac:dyDescent="0.25">
      <c r="I4537" s="16">
        <v>30</v>
      </c>
      <c r="L4537" s="16" t="s">
        <v>33</v>
      </c>
      <c r="M4537" s="15"/>
    </row>
    <row r="4538" spans="1:13" ht="13.5" customHeight="1" x14ac:dyDescent="0.25">
      <c r="I4538" s="16">
        <v>30</v>
      </c>
      <c r="L4538" s="16" t="s">
        <v>29</v>
      </c>
      <c r="M4538" s="15"/>
    </row>
    <row r="4539" spans="1:13" ht="13.5" customHeight="1" x14ac:dyDescent="0.25">
      <c r="I4539" s="16">
        <v>25</v>
      </c>
      <c r="L4539" s="16" t="s">
        <v>25</v>
      </c>
      <c r="M4539" s="16" t="s">
        <v>45</v>
      </c>
    </row>
    <row r="4540" spans="1:13" ht="13.5" customHeight="1" x14ac:dyDescent="0.25">
      <c r="I4540" s="16">
        <v>20</v>
      </c>
      <c r="L4540" s="16" t="s">
        <v>27</v>
      </c>
    </row>
    <row r="4541" spans="1:13" ht="13.5" customHeight="1" x14ac:dyDescent="0.25">
      <c r="I4541" s="16">
        <v>20</v>
      </c>
      <c r="L4541" s="16" t="s">
        <v>26</v>
      </c>
      <c r="M4541" s="16" t="s">
        <v>147</v>
      </c>
    </row>
    <row r="4542" spans="1:13" ht="13.5" hidden="1" customHeight="1" x14ac:dyDescent="0.25">
      <c r="I4542" s="16">
        <v>20</v>
      </c>
      <c r="L4542" s="16" t="s">
        <v>25</v>
      </c>
      <c r="M4542" s="16" t="s">
        <v>137</v>
      </c>
    </row>
    <row r="4543" spans="1:13" ht="13.5" hidden="1" customHeight="1" x14ac:dyDescent="0.25">
      <c r="I4543" s="16">
        <v>20</v>
      </c>
      <c r="L4543" s="16" t="s">
        <v>25</v>
      </c>
      <c r="M4543" s="16" t="s">
        <v>137</v>
      </c>
    </row>
    <row r="4544" spans="1:13" ht="13.5" customHeight="1" x14ac:dyDescent="0.25">
      <c r="I4544" s="16">
        <v>30</v>
      </c>
      <c r="L4544" s="16" t="s">
        <v>25</v>
      </c>
      <c r="M4544" s="16" t="s">
        <v>137</v>
      </c>
    </row>
    <row r="4545" spans="1:13" ht="13.5" customHeight="1" x14ac:dyDescent="0.25">
      <c r="I4545" s="16">
        <v>60</v>
      </c>
      <c r="L4545" s="16" t="s">
        <v>26</v>
      </c>
      <c r="M4545" s="16" t="s">
        <v>140</v>
      </c>
    </row>
    <row r="4546" spans="1:13" ht="13.5" customHeight="1" x14ac:dyDescent="0.25">
      <c r="I4546" s="16">
        <v>30</v>
      </c>
      <c r="L4546" s="16" t="s">
        <v>24</v>
      </c>
      <c r="M4546" s="16" t="s">
        <v>805</v>
      </c>
    </row>
    <row r="4548" spans="1:13" ht="13.5" customHeight="1" x14ac:dyDescent="0.25">
      <c r="A4548" s="16" t="s">
        <v>803</v>
      </c>
      <c r="B4548" s="16" t="s">
        <v>2</v>
      </c>
      <c r="C4548" s="16" t="s">
        <v>7</v>
      </c>
      <c r="D4548" s="16" t="s">
        <v>20</v>
      </c>
      <c r="F4548" s="28">
        <v>330.5</v>
      </c>
      <c r="G4548" s="16">
        <v>10.25</v>
      </c>
      <c r="H4548" s="16" t="s">
        <v>22</v>
      </c>
      <c r="I4548" s="16">
        <v>10</v>
      </c>
      <c r="L4548" s="16" t="s">
        <v>23</v>
      </c>
    </row>
    <row r="4549" spans="1:13" ht="13.5" customHeight="1" x14ac:dyDescent="0.25">
      <c r="I4549" s="16">
        <v>100</v>
      </c>
      <c r="L4549" s="16" t="s">
        <v>32</v>
      </c>
    </row>
    <row r="4550" spans="1:13" ht="13.5" customHeight="1" x14ac:dyDescent="0.25">
      <c r="I4550" s="16">
        <v>30</v>
      </c>
      <c r="L4550" s="16" t="s">
        <v>33</v>
      </c>
      <c r="M4550" s="15"/>
    </row>
    <row r="4551" spans="1:13" ht="13.5" customHeight="1" x14ac:dyDescent="0.25">
      <c r="I4551" s="16">
        <v>45</v>
      </c>
      <c r="L4551" s="16" t="s">
        <v>29</v>
      </c>
      <c r="M4551" s="15"/>
    </row>
    <row r="4552" spans="1:13" ht="13.5" customHeight="1" x14ac:dyDescent="0.25">
      <c r="I4552" s="16">
        <v>10</v>
      </c>
      <c r="L4552" s="16" t="s">
        <v>25</v>
      </c>
      <c r="M4552" s="16" t="s">
        <v>45</v>
      </c>
    </row>
    <row r="4553" spans="1:13" ht="13.5" customHeight="1" x14ac:dyDescent="0.25">
      <c r="I4553" s="16">
        <v>20</v>
      </c>
      <c r="L4553" s="16" t="s">
        <v>27</v>
      </c>
    </row>
    <row r="4554" spans="1:13" ht="13.5" customHeight="1" x14ac:dyDescent="0.25">
      <c r="I4554" s="16">
        <v>20</v>
      </c>
      <c r="L4554" s="16" t="s">
        <v>26</v>
      </c>
      <c r="M4554" s="16" t="s">
        <v>147</v>
      </c>
    </row>
    <row r="4555" spans="1:13" ht="13.5" customHeight="1" x14ac:dyDescent="0.25">
      <c r="I4555" s="16">
        <v>20</v>
      </c>
      <c r="L4555" s="16" t="s">
        <v>25</v>
      </c>
      <c r="M4555" s="16" t="s">
        <v>137</v>
      </c>
    </row>
    <row r="4556" spans="1:13" ht="13.5" customHeight="1" x14ac:dyDescent="0.25">
      <c r="I4556" s="16">
        <v>20</v>
      </c>
      <c r="L4556" s="16" t="s">
        <v>26</v>
      </c>
      <c r="M4556" s="16" t="s">
        <v>806</v>
      </c>
    </row>
    <row r="4557" spans="1:13" ht="13.5" customHeight="1" x14ac:dyDescent="0.25">
      <c r="I4557" s="16">
        <v>20</v>
      </c>
      <c r="L4557" s="16" t="s">
        <v>26</v>
      </c>
      <c r="M4557" s="16" t="s">
        <v>773</v>
      </c>
    </row>
    <row r="4558" spans="1:13" ht="13.5" customHeight="1" x14ac:dyDescent="0.25">
      <c r="I4558" s="16">
        <v>40</v>
      </c>
      <c r="L4558" s="16" t="s">
        <v>24</v>
      </c>
      <c r="M4558" s="16" t="s">
        <v>807</v>
      </c>
    </row>
    <row r="4560" spans="1:13" ht="13.5" customHeight="1" x14ac:dyDescent="0.25">
      <c r="A4560" s="16" t="s">
        <v>808</v>
      </c>
      <c r="B4560" s="16" t="s">
        <v>0</v>
      </c>
      <c r="C4560" s="16" t="s">
        <v>6</v>
      </c>
      <c r="D4560" s="15" t="s">
        <v>548</v>
      </c>
      <c r="E4560" s="15"/>
      <c r="F4560" s="16">
        <f>38.26+38.69+38.52+38.7+38.37+38.45+38.59+38.22+38.25+32.74+32.76</f>
        <v>411.55000000000007</v>
      </c>
      <c r="G4560" s="16">
        <v>11</v>
      </c>
      <c r="H4560" s="16" t="s">
        <v>22</v>
      </c>
      <c r="I4560" s="16">
        <v>10</v>
      </c>
      <c r="L4560" s="16" t="s">
        <v>23</v>
      </c>
    </row>
    <row r="4561" spans="1:13" ht="13.5" customHeight="1" x14ac:dyDescent="0.25">
      <c r="I4561" s="16">
        <v>110</v>
      </c>
      <c r="L4561" s="16" t="s">
        <v>32</v>
      </c>
    </row>
    <row r="4562" spans="1:13" ht="13.5" customHeight="1" x14ac:dyDescent="0.25">
      <c r="I4562" s="16">
        <v>30</v>
      </c>
      <c r="L4562" s="16" t="s">
        <v>33</v>
      </c>
      <c r="M4562" s="15"/>
    </row>
    <row r="4563" spans="1:13" ht="13.5" customHeight="1" x14ac:dyDescent="0.25">
      <c r="I4563" s="16">
        <v>30</v>
      </c>
      <c r="L4563" s="16" t="s">
        <v>29</v>
      </c>
      <c r="M4563" s="15"/>
    </row>
    <row r="4564" spans="1:13" ht="13.5" customHeight="1" x14ac:dyDescent="0.25">
      <c r="I4564" s="16">
        <v>10</v>
      </c>
      <c r="L4564" s="16" t="s">
        <v>25</v>
      </c>
      <c r="M4564" s="16" t="s">
        <v>45</v>
      </c>
    </row>
    <row r="4565" spans="1:13" ht="13.5" customHeight="1" x14ac:dyDescent="0.25">
      <c r="I4565" s="16">
        <v>20</v>
      </c>
      <c r="L4565" s="16" t="s">
        <v>27</v>
      </c>
    </row>
    <row r="4566" spans="1:13" ht="13.5" customHeight="1" x14ac:dyDescent="0.25">
      <c r="I4566" s="16">
        <v>20</v>
      </c>
      <c r="L4566" s="16" t="s">
        <v>26</v>
      </c>
      <c r="M4566" s="16" t="s">
        <v>147</v>
      </c>
    </row>
    <row r="4567" spans="1:13" ht="13.5" customHeight="1" x14ac:dyDescent="0.25">
      <c r="I4567" s="16">
        <v>20</v>
      </c>
      <c r="L4567" s="16" t="s">
        <v>25</v>
      </c>
      <c r="M4567" s="16" t="s">
        <v>137</v>
      </c>
    </row>
    <row r="4569" spans="1:13" ht="13.5" customHeight="1" x14ac:dyDescent="0.25">
      <c r="A4569" s="16" t="s">
        <v>808</v>
      </c>
      <c r="B4569" s="16" t="s">
        <v>1</v>
      </c>
      <c r="C4569" s="16" t="s">
        <v>16</v>
      </c>
      <c r="D4569" s="16" t="s">
        <v>21</v>
      </c>
      <c r="F4569" s="16">
        <v>406.97</v>
      </c>
      <c r="G4569" s="16">
        <v>11</v>
      </c>
      <c r="H4569" s="16" t="s">
        <v>22</v>
      </c>
      <c r="I4569" s="16">
        <v>10</v>
      </c>
      <c r="L4569" s="16" t="s">
        <v>23</v>
      </c>
    </row>
    <row r="4570" spans="1:13" ht="13.5" customHeight="1" x14ac:dyDescent="0.25">
      <c r="I4570" s="16">
        <v>110</v>
      </c>
      <c r="L4570" s="16" t="s">
        <v>32</v>
      </c>
    </row>
    <row r="4571" spans="1:13" ht="13.5" customHeight="1" x14ac:dyDescent="0.25">
      <c r="I4571" s="16">
        <v>30</v>
      </c>
      <c r="L4571" s="16" t="s">
        <v>33</v>
      </c>
      <c r="M4571" s="15"/>
    </row>
    <row r="4572" spans="1:13" ht="13.5" customHeight="1" x14ac:dyDescent="0.25">
      <c r="I4572" s="16">
        <v>30</v>
      </c>
      <c r="L4572" s="16" t="s">
        <v>29</v>
      </c>
      <c r="M4572" s="15"/>
    </row>
    <row r="4573" spans="1:13" ht="13.5" customHeight="1" x14ac:dyDescent="0.25">
      <c r="I4573" s="16">
        <v>25</v>
      </c>
      <c r="L4573" s="16" t="s">
        <v>25</v>
      </c>
      <c r="M4573" s="16" t="s">
        <v>45</v>
      </c>
    </row>
    <row r="4574" spans="1:13" ht="13.5" customHeight="1" x14ac:dyDescent="0.25">
      <c r="I4574" s="16">
        <v>20</v>
      </c>
      <c r="L4574" s="16" t="s">
        <v>27</v>
      </c>
    </row>
    <row r="4575" spans="1:13" ht="13.5" customHeight="1" x14ac:dyDescent="0.25">
      <c r="I4575" s="16">
        <v>20</v>
      </c>
      <c r="L4575" s="16" t="s">
        <v>26</v>
      </c>
      <c r="M4575" s="16" t="s">
        <v>147</v>
      </c>
    </row>
    <row r="4576" spans="1:13" ht="13.5" customHeight="1" x14ac:dyDescent="0.25">
      <c r="I4576" s="16">
        <v>20</v>
      </c>
      <c r="L4576" s="16" t="s">
        <v>25</v>
      </c>
      <c r="M4576" s="16" t="s">
        <v>137</v>
      </c>
    </row>
    <row r="4577" spans="1:13" ht="13.5" customHeight="1" x14ac:dyDescent="0.25">
      <c r="I4577" s="16">
        <v>20</v>
      </c>
      <c r="L4577" s="16" t="s">
        <v>25</v>
      </c>
      <c r="M4577" s="16" t="s">
        <v>137</v>
      </c>
    </row>
    <row r="4578" spans="1:13" ht="13.5" hidden="1" customHeight="1" x14ac:dyDescent="0.25">
      <c r="I4578" s="16">
        <v>30</v>
      </c>
      <c r="L4578" s="16" t="s">
        <v>25</v>
      </c>
      <c r="M4578" s="16" t="s">
        <v>137</v>
      </c>
    </row>
    <row r="4579" spans="1:13" ht="13.5" customHeight="1" x14ac:dyDescent="0.25">
      <c r="A4579" s="16" t="s">
        <v>808</v>
      </c>
      <c r="B4579" s="16" t="s">
        <v>2</v>
      </c>
      <c r="C4579" s="16" t="s">
        <v>15</v>
      </c>
      <c r="D4579" s="16" t="s">
        <v>20</v>
      </c>
      <c r="F4579" s="28">
        <v>407.34</v>
      </c>
      <c r="G4579" s="16">
        <v>11</v>
      </c>
      <c r="H4579" s="16" t="s">
        <v>22</v>
      </c>
      <c r="I4579" s="16">
        <v>10</v>
      </c>
      <c r="L4579" s="16" t="s">
        <v>23</v>
      </c>
    </row>
    <row r="4580" spans="1:13" ht="13.5" customHeight="1" x14ac:dyDescent="0.25">
      <c r="I4580" s="16">
        <v>110</v>
      </c>
      <c r="L4580" s="16" t="s">
        <v>32</v>
      </c>
    </row>
    <row r="4581" spans="1:13" ht="13.5" customHeight="1" x14ac:dyDescent="0.25">
      <c r="I4581" s="16">
        <v>30</v>
      </c>
      <c r="L4581" s="16" t="s">
        <v>33</v>
      </c>
      <c r="M4581" s="15"/>
    </row>
    <row r="4582" spans="1:13" ht="13.5" customHeight="1" x14ac:dyDescent="0.25">
      <c r="I4582" s="16">
        <v>30</v>
      </c>
      <c r="L4582" s="16" t="s">
        <v>29</v>
      </c>
      <c r="M4582" s="15"/>
    </row>
    <row r="4583" spans="1:13" ht="13.5" customHeight="1" x14ac:dyDescent="0.25">
      <c r="I4583" s="16">
        <v>10</v>
      </c>
      <c r="L4583" s="16" t="s">
        <v>25</v>
      </c>
      <c r="M4583" s="16" t="s">
        <v>45</v>
      </c>
    </row>
    <row r="4584" spans="1:13" ht="13.5" customHeight="1" x14ac:dyDescent="0.25">
      <c r="I4584" s="16">
        <v>20</v>
      </c>
      <c r="L4584" s="16" t="s">
        <v>27</v>
      </c>
    </row>
    <row r="4585" spans="1:13" ht="13.5" customHeight="1" x14ac:dyDescent="0.25">
      <c r="I4585" s="16">
        <v>20</v>
      </c>
      <c r="L4585" s="16" t="s">
        <v>26</v>
      </c>
      <c r="M4585" s="16" t="s">
        <v>147</v>
      </c>
    </row>
    <row r="4586" spans="1:13" ht="13.5" customHeight="1" x14ac:dyDescent="0.25">
      <c r="I4586" s="16">
        <v>20</v>
      </c>
      <c r="L4586" s="16" t="s">
        <v>25</v>
      </c>
      <c r="M4586" s="16" t="s">
        <v>137</v>
      </c>
    </row>
    <row r="4588" spans="1:13" ht="13.5" customHeight="1" x14ac:dyDescent="0.25">
      <c r="A4588" s="16" t="s">
        <v>809</v>
      </c>
      <c r="B4588" s="16" t="s">
        <v>0</v>
      </c>
      <c r="C4588" s="16" t="s">
        <v>6</v>
      </c>
      <c r="D4588" s="16" t="s">
        <v>21</v>
      </c>
      <c r="F4588" s="16">
        <v>388</v>
      </c>
      <c r="G4588" s="16">
        <v>10.25</v>
      </c>
      <c r="H4588" s="16" t="s">
        <v>22</v>
      </c>
      <c r="I4588" s="16">
        <v>10</v>
      </c>
      <c r="L4588" s="16" t="s">
        <v>23</v>
      </c>
    </row>
    <row r="4589" spans="1:13" ht="13.5" customHeight="1" x14ac:dyDescent="0.25">
      <c r="I4589" s="16">
        <v>100</v>
      </c>
      <c r="L4589" s="16" t="s">
        <v>32</v>
      </c>
    </row>
    <row r="4590" spans="1:13" ht="13.5" customHeight="1" x14ac:dyDescent="0.25">
      <c r="I4590" s="16">
        <v>30</v>
      </c>
      <c r="L4590" s="16" t="s">
        <v>33</v>
      </c>
      <c r="M4590" s="15"/>
    </row>
    <row r="4591" spans="1:13" ht="13.5" customHeight="1" x14ac:dyDescent="0.25">
      <c r="I4591" s="16">
        <v>60</v>
      </c>
      <c r="L4591" s="16" t="s">
        <v>29</v>
      </c>
      <c r="M4591" s="15" t="s">
        <v>810</v>
      </c>
    </row>
    <row r="4592" spans="1:13" ht="13.5" customHeight="1" x14ac:dyDescent="0.25">
      <c r="I4592" s="16">
        <v>25</v>
      </c>
      <c r="L4592" s="16" t="s">
        <v>25</v>
      </c>
      <c r="M4592" s="16" t="s">
        <v>45</v>
      </c>
    </row>
    <row r="4593" spans="1:13" ht="13.5" customHeight="1" x14ac:dyDescent="0.25">
      <c r="I4593" s="16">
        <v>20</v>
      </c>
      <c r="L4593" s="16" t="s">
        <v>27</v>
      </c>
    </row>
    <row r="4594" spans="1:13" ht="13.5" customHeight="1" x14ac:dyDescent="0.25">
      <c r="I4594" s="16">
        <v>20</v>
      </c>
      <c r="L4594" s="16" t="s">
        <v>26</v>
      </c>
      <c r="M4594" s="16" t="s">
        <v>147</v>
      </c>
    </row>
    <row r="4595" spans="1:13" ht="13.5" customHeight="1" x14ac:dyDescent="0.25">
      <c r="I4595" s="16">
        <v>20</v>
      </c>
      <c r="L4595" s="16" t="s">
        <v>25</v>
      </c>
      <c r="M4595" s="16" t="s">
        <v>137</v>
      </c>
    </row>
    <row r="4596" spans="1:13" ht="13.5" hidden="1" customHeight="1" x14ac:dyDescent="0.25">
      <c r="I4596" s="16">
        <v>20</v>
      </c>
      <c r="L4596" s="16" t="s">
        <v>25</v>
      </c>
      <c r="M4596" s="16" t="s">
        <v>137</v>
      </c>
    </row>
    <row r="4598" spans="1:13" ht="13.5" customHeight="1" x14ac:dyDescent="0.25">
      <c r="A4598" s="16" t="s">
        <v>809</v>
      </c>
      <c r="B4598" s="16" t="s">
        <v>1</v>
      </c>
      <c r="C4598" s="16" t="s">
        <v>7</v>
      </c>
      <c r="D4598" s="16" t="s">
        <v>20</v>
      </c>
      <c r="F4598" s="16">
        <v>462.42</v>
      </c>
      <c r="G4598" s="16">
        <v>12</v>
      </c>
      <c r="H4598" s="16" t="s">
        <v>22</v>
      </c>
      <c r="I4598" s="16">
        <v>10</v>
      </c>
      <c r="L4598" s="16" t="s">
        <v>23</v>
      </c>
    </row>
    <row r="4599" spans="1:13" ht="13.5" customHeight="1" x14ac:dyDescent="0.25">
      <c r="I4599" s="16">
        <v>110</v>
      </c>
      <c r="L4599" s="16" t="s">
        <v>32</v>
      </c>
    </row>
    <row r="4600" spans="1:13" ht="13.5" customHeight="1" x14ac:dyDescent="0.25">
      <c r="I4600" s="16">
        <v>30</v>
      </c>
      <c r="L4600" s="16" t="s">
        <v>33</v>
      </c>
      <c r="M4600" s="15"/>
    </row>
    <row r="4601" spans="1:13" ht="13.5" customHeight="1" x14ac:dyDescent="0.25">
      <c r="I4601" s="16">
        <v>30</v>
      </c>
      <c r="L4601" s="16" t="s">
        <v>29</v>
      </c>
      <c r="M4601" s="15"/>
    </row>
    <row r="4602" spans="1:13" ht="13.5" customHeight="1" x14ac:dyDescent="0.25">
      <c r="I4602" s="16">
        <v>25</v>
      </c>
      <c r="L4602" s="16" t="s">
        <v>25</v>
      </c>
      <c r="M4602" s="16" t="s">
        <v>45</v>
      </c>
    </row>
    <row r="4603" spans="1:13" ht="13.5" customHeight="1" x14ac:dyDescent="0.25">
      <c r="I4603" s="16">
        <v>20</v>
      </c>
      <c r="L4603" s="16" t="s">
        <v>27</v>
      </c>
    </row>
    <row r="4604" spans="1:13" ht="13.5" customHeight="1" x14ac:dyDescent="0.25">
      <c r="I4604" s="16">
        <v>20</v>
      </c>
      <c r="L4604" s="16" t="s">
        <v>26</v>
      </c>
      <c r="M4604" s="16" t="s">
        <v>147</v>
      </c>
    </row>
    <row r="4605" spans="1:13" ht="13.5" customHeight="1" x14ac:dyDescent="0.25">
      <c r="I4605" s="16">
        <v>20</v>
      </c>
      <c r="L4605" s="16" t="s">
        <v>25</v>
      </c>
      <c r="M4605" s="16" t="s">
        <v>137</v>
      </c>
    </row>
    <row r="4607" spans="1:13" ht="13.5" customHeight="1" x14ac:dyDescent="0.25">
      <c r="A4607" s="16" t="s">
        <v>809</v>
      </c>
      <c r="B4607" s="16" t="s">
        <v>2</v>
      </c>
      <c r="C4607" s="16" t="s">
        <v>15</v>
      </c>
      <c r="D4607" s="15" t="s">
        <v>548</v>
      </c>
      <c r="E4607" s="15"/>
      <c r="F4607" s="16">
        <v>423.02</v>
      </c>
      <c r="G4607" s="16">
        <v>11</v>
      </c>
      <c r="H4607" s="16" t="s">
        <v>22</v>
      </c>
      <c r="I4607" s="16">
        <v>10</v>
      </c>
      <c r="L4607" s="16" t="s">
        <v>23</v>
      </c>
    </row>
    <row r="4608" spans="1:13" ht="13.5" customHeight="1" x14ac:dyDescent="0.25">
      <c r="I4608" s="16">
        <v>110</v>
      </c>
      <c r="L4608" s="16" t="s">
        <v>32</v>
      </c>
    </row>
    <row r="4609" spans="1:13" ht="13.5" customHeight="1" x14ac:dyDescent="0.25">
      <c r="I4609" s="16">
        <v>30</v>
      </c>
      <c r="L4609" s="16" t="s">
        <v>33</v>
      </c>
      <c r="M4609" s="15"/>
    </row>
    <row r="4610" spans="1:13" ht="13.5" customHeight="1" x14ac:dyDescent="0.25">
      <c r="I4610" s="16">
        <v>40</v>
      </c>
      <c r="L4610" s="16" t="s">
        <v>29</v>
      </c>
      <c r="M4610" s="15"/>
    </row>
    <row r="4611" spans="1:13" ht="13.5" customHeight="1" x14ac:dyDescent="0.25">
      <c r="I4611" s="16">
        <v>30</v>
      </c>
      <c r="L4611" s="16" t="s">
        <v>25</v>
      </c>
      <c r="M4611" s="16" t="s">
        <v>45</v>
      </c>
    </row>
    <row r="4612" spans="1:13" ht="13.5" customHeight="1" x14ac:dyDescent="0.25">
      <c r="I4612" s="16">
        <v>20</v>
      </c>
      <c r="L4612" s="16" t="s">
        <v>27</v>
      </c>
    </row>
    <row r="4613" spans="1:13" ht="13.5" customHeight="1" x14ac:dyDescent="0.25">
      <c r="I4613" s="16">
        <v>20</v>
      </c>
      <c r="L4613" s="16" t="s">
        <v>26</v>
      </c>
      <c r="M4613" s="16" t="s">
        <v>147</v>
      </c>
    </row>
    <row r="4614" spans="1:13" ht="13.5" customHeight="1" x14ac:dyDescent="0.25">
      <c r="I4614" s="16">
        <v>20</v>
      </c>
      <c r="L4614" s="16" t="s">
        <v>25</v>
      </c>
      <c r="M4614" s="16" t="s">
        <v>137</v>
      </c>
    </row>
    <row r="4616" spans="1:13" ht="13.5" customHeight="1" x14ac:dyDescent="0.25">
      <c r="A4616" s="16" t="s">
        <v>811</v>
      </c>
      <c r="B4616" s="16" t="s">
        <v>0</v>
      </c>
      <c r="C4616" s="16" t="s">
        <v>6</v>
      </c>
      <c r="D4616" s="16" t="s">
        <v>21</v>
      </c>
      <c r="F4616" s="16">
        <v>455.05</v>
      </c>
      <c r="G4616" s="16">
        <v>12</v>
      </c>
      <c r="H4616" s="16" t="s">
        <v>22</v>
      </c>
      <c r="I4616" s="16">
        <v>10</v>
      </c>
      <c r="L4616" s="16" t="s">
        <v>23</v>
      </c>
    </row>
    <row r="4617" spans="1:13" ht="13.5" customHeight="1" x14ac:dyDescent="0.25">
      <c r="I4617" s="16">
        <v>120</v>
      </c>
      <c r="L4617" s="16" t="s">
        <v>32</v>
      </c>
    </row>
    <row r="4618" spans="1:13" ht="13.5" customHeight="1" x14ac:dyDescent="0.25">
      <c r="I4618" s="16">
        <v>30</v>
      </c>
      <c r="L4618" s="16" t="s">
        <v>33</v>
      </c>
      <c r="M4618" s="15"/>
    </row>
    <row r="4619" spans="1:13" ht="13.5" customHeight="1" x14ac:dyDescent="0.25">
      <c r="I4619" s="16">
        <v>40</v>
      </c>
      <c r="L4619" s="16" t="s">
        <v>29</v>
      </c>
      <c r="M4619" s="15"/>
    </row>
    <row r="4620" spans="1:13" ht="13.5" customHeight="1" x14ac:dyDescent="0.25">
      <c r="I4620" s="16">
        <v>15</v>
      </c>
      <c r="L4620" s="16" t="s">
        <v>25</v>
      </c>
      <c r="M4620" s="16" t="s">
        <v>45</v>
      </c>
    </row>
    <row r="4621" spans="1:13" ht="13.5" customHeight="1" x14ac:dyDescent="0.25">
      <c r="I4621" s="16">
        <v>20</v>
      </c>
      <c r="L4621" s="16" t="s">
        <v>27</v>
      </c>
    </row>
    <row r="4622" spans="1:13" ht="13.5" customHeight="1" x14ac:dyDescent="0.25">
      <c r="I4622" s="16">
        <v>20</v>
      </c>
      <c r="L4622" s="16" t="s">
        <v>26</v>
      </c>
      <c r="M4622" s="16" t="s">
        <v>147</v>
      </c>
    </row>
    <row r="4623" spans="1:13" ht="13.5" customHeight="1" x14ac:dyDescent="0.25">
      <c r="I4623" s="16">
        <v>30</v>
      </c>
      <c r="L4623" s="16" t="s">
        <v>25</v>
      </c>
      <c r="M4623" s="16" t="s">
        <v>137</v>
      </c>
    </row>
    <row r="4626" spans="1:13" ht="13.5" customHeight="1" x14ac:dyDescent="0.25">
      <c r="A4626" s="16" t="s">
        <v>811</v>
      </c>
      <c r="B4626" s="16" t="s">
        <v>1</v>
      </c>
      <c r="C4626" s="16" t="s">
        <v>7</v>
      </c>
      <c r="D4626" s="16" t="s">
        <v>20</v>
      </c>
      <c r="F4626" s="16">
        <v>425.53</v>
      </c>
      <c r="G4626" s="16">
        <v>12</v>
      </c>
      <c r="H4626" s="16" t="s">
        <v>22</v>
      </c>
      <c r="I4626" s="16">
        <v>10</v>
      </c>
      <c r="L4626" s="16" t="s">
        <v>23</v>
      </c>
    </row>
    <row r="4627" spans="1:13" ht="13.5" customHeight="1" x14ac:dyDescent="0.25">
      <c r="I4627" s="16">
        <v>110</v>
      </c>
      <c r="L4627" s="16" t="s">
        <v>32</v>
      </c>
    </row>
    <row r="4628" spans="1:13" ht="13.5" customHeight="1" x14ac:dyDescent="0.25">
      <c r="I4628" s="16">
        <v>30</v>
      </c>
      <c r="L4628" s="16" t="s">
        <v>33</v>
      </c>
      <c r="M4628" s="15"/>
    </row>
    <row r="4629" spans="1:13" ht="13.5" customHeight="1" x14ac:dyDescent="0.25">
      <c r="I4629" s="16">
        <v>30</v>
      </c>
      <c r="L4629" s="16" t="s">
        <v>29</v>
      </c>
      <c r="M4629" s="15"/>
    </row>
    <row r="4630" spans="1:13" ht="13.5" customHeight="1" x14ac:dyDescent="0.25">
      <c r="I4630" s="16">
        <v>20</v>
      </c>
      <c r="L4630" s="16" t="s">
        <v>25</v>
      </c>
      <c r="M4630" s="16" t="s">
        <v>45</v>
      </c>
    </row>
    <row r="4631" spans="1:13" ht="13.5" customHeight="1" x14ac:dyDescent="0.25">
      <c r="I4631" s="16">
        <v>20</v>
      </c>
      <c r="L4631" s="16" t="s">
        <v>27</v>
      </c>
    </row>
    <row r="4632" spans="1:13" ht="13.5" customHeight="1" x14ac:dyDescent="0.25">
      <c r="I4632" s="16">
        <v>20</v>
      </c>
      <c r="L4632" s="16" t="s">
        <v>26</v>
      </c>
      <c r="M4632" s="16" t="s">
        <v>147</v>
      </c>
    </row>
    <row r="4633" spans="1:13" ht="13.5" customHeight="1" x14ac:dyDescent="0.25">
      <c r="I4633" s="16">
        <v>20</v>
      </c>
      <c r="L4633" s="16" t="s">
        <v>25</v>
      </c>
      <c r="M4633" s="16" t="s">
        <v>137</v>
      </c>
    </row>
    <row r="4635" spans="1:13" ht="13.5" customHeight="1" x14ac:dyDescent="0.25">
      <c r="A4635" s="16" t="s">
        <v>811</v>
      </c>
      <c r="B4635" s="16" t="s">
        <v>2</v>
      </c>
      <c r="C4635" s="16" t="s">
        <v>16</v>
      </c>
      <c r="D4635" s="15" t="s">
        <v>548</v>
      </c>
      <c r="E4635" s="15"/>
      <c r="F4635" s="16">
        <f>31.24+38.5+38.3+38.31+38.25+38.06+37.98+33.18+33.1+25.43+17.51</f>
        <v>369.86</v>
      </c>
      <c r="G4635" s="16">
        <v>11</v>
      </c>
      <c r="H4635" s="16" t="s">
        <v>22</v>
      </c>
      <c r="I4635" s="16">
        <v>10</v>
      </c>
      <c r="L4635" s="16" t="s">
        <v>23</v>
      </c>
    </row>
    <row r="4636" spans="1:13" ht="13.5" customHeight="1" x14ac:dyDescent="0.25">
      <c r="I4636" s="16">
        <v>110</v>
      </c>
      <c r="L4636" s="16" t="s">
        <v>32</v>
      </c>
    </row>
    <row r="4637" spans="1:13" ht="13.5" customHeight="1" x14ac:dyDescent="0.25">
      <c r="I4637" s="16">
        <v>30</v>
      </c>
      <c r="L4637" s="16" t="s">
        <v>33</v>
      </c>
      <c r="M4637" s="15"/>
    </row>
    <row r="4638" spans="1:13" ht="13.5" customHeight="1" x14ac:dyDescent="0.25">
      <c r="I4638" s="16">
        <v>40</v>
      </c>
      <c r="L4638" s="16" t="s">
        <v>29</v>
      </c>
      <c r="M4638" s="15"/>
    </row>
    <row r="4639" spans="1:13" ht="13.5" customHeight="1" x14ac:dyDescent="0.25">
      <c r="I4639" s="16">
        <v>30</v>
      </c>
      <c r="L4639" s="16" t="s">
        <v>25</v>
      </c>
      <c r="M4639" s="16" t="s">
        <v>45</v>
      </c>
    </row>
    <row r="4640" spans="1:13" ht="13.5" customHeight="1" x14ac:dyDescent="0.25">
      <c r="I4640" s="16">
        <v>20</v>
      </c>
      <c r="L4640" s="16" t="s">
        <v>27</v>
      </c>
    </row>
    <row r="4641" spans="1:13" ht="13.5" customHeight="1" x14ac:dyDescent="0.25">
      <c r="I4641" s="16">
        <v>20</v>
      </c>
      <c r="L4641" s="16" t="s">
        <v>26</v>
      </c>
      <c r="M4641" s="16" t="s">
        <v>147</v>
      </c>
    </row>
    <row r="4642" spans="1:13" ht="13.5" customHeight="1" x14ac:dyDescent="0.25">
      <c r="I4642" s="16">
        <v>20</v>
      </c>
      <c r="L4642" s="16" t="s">
        <v>25</v>
      </c>
      <c r="M4642" s="16" t="s">
        <v>137</v>
      </c>
    </row>
    <row r="4643" spans="1:13" ht="13.5" customHeight="1" x14ac:dyDescent="0.25">
      <c r="I4643" s="16">
        <v>30</v>
      </c>
      <c r="L4643" s="16" t="s">
        <v>26</v>
      </c>
      <c r="M4643" s="15" t="s">
        <v>812</v>
      </c>
    </row>
    <row r="4645" spans="1:13" ht="13.5" customHeight="1" x14ac:dyDescent="0.25">
      <c r="A4645" s="16" t="s">
        <v>813</v>
      </c>
      <c r="B4645" s="16" t="s">
        <v>0</v>
      </c>
      <c r="C4645" s="16" t="s">
        <v>7</v>
      </c>
      <c r="D4645" s="16" t="s">
        <v>21</v>
      </c>
      <c r="F4645" s="16">
        <f>38.39+38.4+32.01+38.08+38.56+38.4+38.19+38.29</f>
        <v>300.32</v>
      </c>
      <c r="G4645" s="16">
        <v>8</v>
      </c>
      <c r="H4645" s="16" t="s">
        <v>22</v>
      </c>
      <c r="I4645" s="16">
        <v>10</v>
      </c>
      <c r="L4645" s="16" t="s">
        <v>23</v>
      </c>
    </row>
    <row r="4646" spans="1:13" ht="13.5" customHeight="1" x14ac:dyDescent="0.25">
      <c r="I4646" s="16">
        <v>80</v>
      </c>
      <c r="L4646" s="16" t="s">
        <v>32</v>
      </c>
    </row>
    <row r="4647" spans="1:13" ht="13.5" customHeight="1" x14ac:dyDescent="0.25">
      <c r="I4647" s="16">
        <v>45</v>
      </c>
      <c r="L4647" s="16" t="s">
        <v>33</v>
      </c>
      <c r="M4647" s="15"/>
    </row>
    <row r="4648" spans="1:13" ht="13.5" customHeight="1" x14ac:dyDescent="0.25">
      <c r="I4648" s="16">
        <v>60</v>
      </c>
      <c r="L4648" s="16" t="s">
        <v>29</v>
      </c>
      <c r="M4648" s="15" t="s">
        <v>814</v>
      </c>
    </row>
    <row r="4649" spans="1:13" ht="13.5" customHeight="1" x14ac:dyDescent="0.25">
      <c r="I4649" s="16">
        <v>30</v>
      </c>
      <c r="L4649" s="16" t="s">
        <v>25</v>
      </c>
      <c r="M4649" s="16" t="s">
        <v>45</v>
      </c>
    </row>
    <row r="4650" spans="1:13" ht="13.5" customHeight="1" x14ac:dyDescent="0.25">
      <c r="I4650" s="16">
        <v>20</v>
      </c>
      <c r="L4650" s="16" t="s">
        <v>27</v>
      </c>
    </row>
    <row r="4651" spans="1:13" ht="13.5" customHeight="1" x14ac:dyDescent="0.25">
      <c r="I4651" s="16">
        <v>20</v>
      </c>
      <c r="L4651" s="16" t="s">
        <v>26</v>
      </c>
      <c r="M4651" s="16" t="s">
        <v>147</v>
      </c>
    </row>
    <row r="4652" spans="1:13" ht="13.5" customHeight="1" x14ac:dyDescent="0.25">
      <c r="I4652" s="16">
        <v>30</v>
      </c>
      <c r="L4652" s="16" t="s">
        <v>25</v>
      </c>
      <c r="M4652" s="16" t="s">
        <v>137</v>
      </c>
    </row>
    <row r="4653" spans="1:13" ht="13.5" customHeight="1" x14ac:dyDescent="0.25">
      <c r="I4653" s="16">
        <v>30</v>
      </c>
      <c r="L4653" s="16" t="s">
        <v>26</v>
      </c>
      <c r="M4653" s="15" t="s">
        <v>812</v>
      </c>
    </row>
    <row r="4654" spans="1:13" ht="13.5" customHeight="1" x14ac:dyDescent="0.25">
      <c r="I4654" s="16">
        <v>20</v>
      </c>
      <c r="L4654" s="16" t="s">
        <v>24</v>
      </c>
      <c r="M4654" s="16" t="s">
        <v>13</v>
      </c>
    </row>
    <row r="4656" spans="1:13" ht="13.5" customHeight="1" x14ac:dyDescent="0.25">
      <c r="A4656" s="16" t="s">
        <v>813</v>
      </c>
      <c r="B4656" s="16" t="s">
        <v>1</v>
      </c>
      <c r="C4656" s="16" t="s">
        <v>15</v>
      </c>
      <c r="D4656" s="16" t="s">
        <v>20</v>
      </c>
      <c r="F4656" s="16">
        <v>207.45</v>
      </c>
      <c r="G4656" s="16">
        <v>6</v>
      </c>
      <c r="H4656" s="16" t="s">
        <v>22</v>
      </c>
      <c r="I4656" s="16">
        <v>10</v>
      </c>
      <c r="L4656" s="16" t="s">
        <v>23</v>
      </c>
    </row>
    <row r="4657" spans="1:15" ht="13.5" customHeight="1" x14ac:dyDescent="0.25">
      <c r="I4657" s="16">
        <v>60</v>
      </c>
      <c r="L4657" s="16" t="s">
        <v>32</v>
      </c>
    </row>
    <row r="4658" spans="1:15" ht="13.5" customHeight="1" x14ac:dyDescent="0.25">
      <c r="I4658" s="16">
        <v>30</v>
      </c>
      <c r="L4658" s="16" t="s">
        <v>33</v>
      </c>
      <c r="M4658" s="15"/>
    </row>
    <row r="4659" spans="1:15" ht="13.5" customHeight="1" x14ac:dyDescent="0.25">
      <c r="I4659" s="16">
        <v>30</v>
      </c>
      <c r="L4659" s="16" t="s">
        <v>29</v>
      </c>
      <c r="M4659" s="15"/>
    </row>
    <row r="4660" spans="1:15" ht="13.5" customHeight="1" x14ac:dyDescent="0.25">
      <c r="I4660" s="16">
        <v>20</v>
      </c>
      <c r="L4660" s="16" t="s">
        <v>25</v>
      </c>
      <c r="M4660" s="16" t="s">
        <v>45</v>
      </c>
    </row>
    <row r="4661" spans="1:15" ht="13.5" customHeight="1" x14ac:dyDescent="0.25">
      <c r="I4661" s="16">
        <v>20</v>
      </c>
      <c r="L4661" s="16" t="s">
        <v>27</v>
      </c>
    </row>
    <row r="4662" spans="1:15" ht="13.5" customHeight="1" x14ac:dyDescent="0.25">
      <c r="I4662" s="16">
        <v>20</v>
      </c>
      <c r="L4662" s="16" t="s">
        <v>26</v>
      </c>
      <c r="M4662" s="16" t="s">
        <v>147</v>
      </c>
    </row>
    <row r="4663" spans="1:15" ht="13.5" customHeight="1" x14ac:dyDescent="0.25">
      <c r="I4663" s="16">
        <v>210</v>
      </c>
      <c r="J4663" s="18">
        <v>0.70833333333333337</v>
      </c>
      <c r="K4663" s="18">
        <v>0.85416666666666663</v>
      </c>
      <c r="L4663" s="16" t="s">
        <v>26</v>
      </c>
      <c r="M4663" s="16" t="s">
        <v>14</v>
      </c>
      <c r="O4663" s="16"/>
    </row>
    <row r="4665" spans="1:15" ht="13.5" customHeight="1" x14ac:dyDescent="0.25">
      <c r="A4665" s="16" t="s">
        <v>813</v>
      </c>
      <c r="B4665" s="16" t="s">
        <v>2</v>
      </c>
      <c r="C4665" s="16" t="s">
        <v>16</v>
      </c>
      <c r="D4665" s="15" t="s">
        <v>548</v>
      </c>
      <c r="E4665" s="15"/>
      <c r="F4665" s="16">
        <v>358.52</v>
      </c>
      <c r="G4665" s="16">
        <v>10</v>
      </c>
      <c r="H4665" s="16" t="s">
        <v>22</v>
      </c>
      <c r="I4665" s="16">
        <v>10</v>
      </c>
      <c r="L4665" s="16" t="s">
        <v>23</v>
      </c>
    </row>
    <row r="4666" spans="1:15" ht="13.5" customHeight="1" x14ac:dyDescent="0.25">
      <c r="I4666" s="16">
        <v>100</v>
      </c>
      <c r="L4666" s="16" t="s">
        <v>32</v>
      </c>
    </row>
    <row r="4667" spans="1:15" ht="13.5" customHeight="1" x14ac:dyDescent="0.25">
      <c r="I4667" s="16">
        <v>30</v>
      </c>
      <c r="L4667" s="16" t="s">
        <v>33</v>
      </c>
      <c r="M4667" s="15"/>
    </row>
    <row r="4668" spans="1:15" ht="13.5" customHeight="1" x14ac:dyDescent="0.25">
      <c r="I4668" s="16">
        <v>40</v>
      </c>
      <c r="L4668" s="16" t="s">
        <v>29</v>
      </c>
      <c r="M4668" s="15"/>
    </row>
    <row r="4669" spans="1:15" ht="13.5" customHeight="1" x14ac:dyDescent="0.25">
      <c r="I4669" s="16">
        <v>30</v>
      </c>
      <c r="L4669" s="16" t="s">
        <v>25</v>
      </c>
      <c r="M4669" s="16" t="s">
        <v>45</v>
      </c>
    </row>
    <row r="4670" spans="1:15" ht="13.5" customHeight="1" x14ac:dyDescent="0.25">
      <c r="I4670" s="16">
        <v>20</v>
      </c>
      <c r="L4670" s="16" t="s">
        <v>27</v>
      </c>
    </row>
    <row r="4671" spans="1:15" ht="13.5" customHeight="1" x14ac:dyDescent="0.25">
      <c r="I4671" s="16">
        <v>20</v>
      </c>
      <c r="L4671" s="16" t="s">
        <v>26</v>
      </c>
      <c r="M4671" s="16" t="s">
        <v>147</v>
      </c>
    </row>
    <row r="4672" spans="1:15" ht="13.5" customHeight="1" x14ac:dyDescent="0.25">
      <c r="I4672" s="16">
        <v>20</v>
      </c>
      <c r="L4672" s="16" t="s">
        <v>25</v>
      </c>
      <c r="M4672" s="16" t="s">
        <v>137</v>
      </c>
    </row>
    <row r="4673" spans="1:13" ht="13.5" customHeight="1" x14ac:dyDescent="0.25">
      <c r="I4673" s="16">
        <v>60</v>
      </c>
      <c r="L4673" s="16" t="s">
        <v>26</v>
      </c>
      <c r="M4673" s="15" t="s">
        <v>815</v>
      </c>
    </row>
    <row r="4675" spans="1:13" ht="13.5" customHeight="1" x14ac:dyDescent="0.25">
      <c r="A4675" s="16" t="s">
        <v>816</v>
      </c>
      <c r="B4675" s="16" t="s">
        <v>0</v>
      </c>
      <c r="C4675" s="16" t="s">
        <v>6</v>
      </c>
      <c r="D4675" s="16" t="s">
        <v>21</v>
      </c>
      <c r="F4675" s="16">
        <f>37.92+37.97+38.17+32.81+31.61+37.99+36.02+27.07+27.3+31.27+0.934+4.654+4.65+4.65+4.65</f>
        <v>357.66800000000001</v>
      </c>
      <c r="G4675" s="16">
        <v>10.75</v>
      </c>
      <c r="H4675" s="16" t="s">
        <v>22</v>
      </c>
      <c r="I4675" s="16">
        <v>10</v>
      </c>
      <c r="L4675" s="16" t="s">
        <v>23</v>
      </c>
    </row>
    <row r="4676" spans="1:13" ht="13.5" customHeight="1" x14ac:dyDescent="0.25">
      <c r="I4676" s="16">
        <v>110</v>
      </c>
      <c r="L4676" s="16" t="s">
        <v>32</v>
      </c>
    </row>
    <row r="4677" spans="1:13" ht="13.5" customHeight="1" x14ac:dyDescent="0.25">
      <c r="I4677" s="16">
        <v>30</v>
      </c>
      <c r="L4677" s="16" t="s">
        <v>33</v>
      </c>
      <c r="M4677" s="15"/>
    </row>
    <row r="4678" spans="1:13" ht="13.5" customHeight="1" x14ac:dyDescent="0.25">
      <c r="I4678" s="16">
        <v>50</v>
      </c>
      <c r="L4678" s="16" t="s">
        <v>29</v>
      </c>
      <c r="M4678" s="15"/>
    </row>
    <row r="4679" spans="1:13" ht="13.5" customHeight="1" x14ac:dyDescent="0.25">
      <c r="I4679" s="16">
        <v>30</v>
      </c>
      <c r="L4679" s="16" t="s">
        <v>25</v>
      </c>
      <c r="M4679" s="16" t="s">
        <v>45</v>
      </c>
    </row>
    <row r="4680" spans="1:13" ht="13.5" customHeight="1" x14ac:dyDescent="0.25">
      <c r="I4680" s="16">
        <v>20</v>
      </c>
      <c r="L4680" s="16" t="s">
        <v>27</v>
      </c>
    </row>
    <row r="4681" spans="1:13" ht="13.5" customHeight="1" x14ac:dyDescent="0.25">
      <c r="I4681" s="16">
        <v>20</v>
      </c>
      <c r="L4681" s="16" t="s">
        <v>26</v>
      </c>
      <c r="M4681" s="16" t="s">
        <v>147</v>
      </c>
    </row>
    <row r="4682" spans="1:13" ht="13.5" customHeight="1" x14ac:dyDescent="0.25">
      <c r="I4682" s="16">
        <v>20</v>
      </c>
      <c r="L4682" s="16" t="s">
        <v>25</v>
      </c>
      <c r="M4682" s="16" t="s">
        <v>137</v>
      </c>
    </row>
    <row r="4684" spans="1:13" ht="13.5" customHeight="1" x14ac:dyDescent="0.25">
      <c r="A4684" s="16" t="s">
        <v>816</v>
      </c>
      <c r="B4684" s="16" t="s">
        <v>1</v>
      </c>
      <c r="C4684" s="16" t="s">
        <v>15</v>
      </c>
      <c r="D4684" s="16" t="s">
        <v>20</v>
      </c>
      <c r="F4684" s="16">
        <v>218.3</v>
      </c>
      <c r="G4684" s="16">
        <v>6.25</v>
      </c>
      <c r="H4684" s="16" t="s">
        <v>22</v>
      </c>
      <c r="I4684" s="16">
        <v>10</v>
      </c>
      <c r="L4684" s="16" t="s">
        <v>23</v>
      </c>
    </row>
    <row r="4685" spans="1:13" ht="13.5" customHeight="1" x14ac:dyDescent="0.25">
      <c r="I4685" s="16">
        <v>60</v>
      </c>
      <c r="L4685" s="16" t="s">
        <v>32</v>
      </c>
    </row>
    <row r="4686" spans="1:13" ht="13.5" customHeight="1" x14ac:dyDescent="0.25">
      <c r="I4686" s="16">
        <v>30</v>
      </c>
      <c r="L4686" s="16" t="s">
        <v>33</v>
      </c>
      <c r="M4686" s="15"/>
    </row>
    <row r="4687" spans="1:13" ht="13.5" customHeight="1" x14ac:dyDescent="0.25">
      <c r="I4687" s="16">
        <v>30</v>
      </c>
      <c r="L4687" s="16" t="s">
        <v>29</v>
      </c>
      <c r="M4687" s="15"/>
    </row>
    <row r="4688" spans="1:13" ht="13.5" customHeight="1" x14ac:dyDescent="0.25">
      <c r="I4688" s="16">
        <v>20</v>
      </c>
      <c r="L4688" s="16" t="s">
        <v>25</v>
      </c>
      <c r="M4688" s="16" t="s">
        <v>45</v>
      </c>
    </row>
    <row r="4689" spans="1:13" ht="13.5" customHeight="1" x14ac:dyDescent="0.25">
      <c r="I4689" s="16">
        <v>20</v>
      </c>
      <c r="L4689" s="16" t="s">
        <v>27</v>
      </c>
    </row>
    <row r="4690" spans="1:13" ht="13.5" customHeight="1" x14ac:dyDescent="0.25">
      <c r="I4690" s="16">
        <v>20</v>
      </c>
      <c r="L4690" s="16" t="s">
        <v>26</v>
      </c>
      <c r="M4690" s="16" t="s">
        <v>147</v>
      </c>
    </row>
    <row r="4691" spans="1:13" ht="13.5" customHeight="1" x14ac:dyDescent="0.25">
      <c r="I4691" s="16">
        <v>210</v>
      </c>
      <c r="J4691" s="18">
        <v>0.60416666666666663</v>
      </c>
      <c r="K4691" s="18">
        <v>0.75</v>
      </c>
      <c r="L4691" s="16" t="s">
        <v>26</v>
      </c>
      <c r="M4691" s="15" t="s">
        <v>817</v>
      </c>
    </row>
    <row r="4693" spans="1:13" ht="13.5" customHeight="1" x14ac:dyDescent="0.25">
      <c r="A4693" s="16" t="s">
        <v>816</v>
      </c>
      <c r="B4693" s="16" t="s">
        <v>2</v>
      </c>
      <c r="C4693" s="16" t="s">
        <v>16</v>
      </c>
      <c r="D4693" s="15" t="s">
        <v>548</v>
      </c>
      <c r="E4693" s="15"/>
      <c r="F4693" s="16">
        <v>340.24</v>
      </c>
      <c r="G4693" s="16">
        <v>10</v>
      </c>
      <c r="H4693" s="16" t="s">
        <v>22</v>
      </c>
      <c r="I4693" s="16">
        <v>10</v>
      </c>
      <c r="L4693" s="16" t="s">
        <v>23</v>
      </c>
    </row>
    <row r="4694" spans="1:13" ht="13.5" customHeight="1" x14ac:dyDescent="0.25">
      <c r="I4694" s="16">
        <v>100</v>
      </c>
      <c r="L4694" s="16" t="s">
        <v>32</v>
      </c>
    </row>
    <row r="4695" spans="1:13" ht="13.5" customHeight="1" x14ac:dyDescent="0.25">
      <c r="I4695" s="16">
        <v>30</v>
      </c>
      <c r="L4695" s="16" t="s">
        <v>33</v>
      </c>
      <c r="M4695" s="15"/>
    </row>
    <row r="4696" spans="1:13" ht="13.5" customHeight="1" x14ac:dyDescent="0.25">
      <c r="I4696" s="16">
        <v>30</v>
      </c>
      <c r="L4696" s="16" t="s">
        <v>29</v>
      </c>
      <c r="M4696" s="15"/>
    </row>
    <row r="4697" spans="1:13" ht="13.5" customHeight="1" x14ac:dyDescent="0.25">
      <c r="I4697" s="16">
        <v>30</v>
      </c>
      <c r="L4697" s="16" t="s">
        <v>25</v>
      </c>
      <c r="M4697" s="16" t="s">
        <v>45</v>
      </c>
    </row>
    <row r="4698" spans="1:13" ht="13.5" customHeight="1" x14ac:dyDescent="0.25">
      <c r="I4698" s="16">
        <v>20</v>
      </c>
      <c r="L4698" s="16" t="s">
        <v>27</v>
      </c>
    </row>
    <row r="4699" spans="1:13" ht="13.5" customHeight="1" x14ac:dyDescent="0.25">
      <c r="I4699" s="16">
        <v>20</v>
      </c>
      <c r="L4699" s="16" t="s">
        <v>26</v>
      </c>
      <c r="M4699" s="16" t="s">
        <v>147</v>
      </c>
    </row>
    <row r="4700" spans="1:13" ht="13.5" customHeight="1" x14ac:dyDescent="0.25">
      <c r="I4700" s="16">
        <v>20</v>
      </c>
      <c r="L4700" s="16" t="s">
        <v>25</v>
      </c>
      <c r="M4700" s="16" t="s">
        <v>137</v>
      </c>
    </row>
    <row r="4701" spans="1:13" ht="13.5" customHeight="1" x14ac:dyDescent="0.25">
      <c r="I4701" s="16">
        <v>35</v>
      </c>
      <c r="L4701" s="16" t="s">
        <v>26</v>
      </c>
      <c r="M4701" s="15" t="s">
        <v>818</v>
      </c>
    </row>
    <row r="4702" spans="1:13" ht="13.5" customHeight="1" x14ac:dyDescent="0.25">
      <c r="I4702" s="16">
        <v>30</v>
      </c>
      <c r="L4702" s="16" t="s">
        <v>24</v>
      </c>
      <c r="M4702" s="16" t="s">
        <v>819</v>
      </c>
    </row>
    <row r="4703" spans="1:13" ht="13.5" customHeight="1" x14ac:dyDescent="0.25">
      <c r="I4703" s="16">
        <v>20</v>
      </c>
      <c r="L4703" s="16" t="s">
        <v>26</v>
      </c>
      <c r="M4703" s="16" t="s">
        <v>820</v>
      </c>
    </row>
    <row r="4705" spans="1:13" ht="13.5" customHeight="1" x14ac:dyDescent="0.25">
      <c r="A4705" s="16" t="s">
        <v>821</v>
      </c>
      <c r="B4705" s="16" t="s">
        <v>0</v>
      </c>
      <c r="C4705" s="16" t="s">
        <v>6</v>
      </c>
      <c r="D4705" s="16" t="s">
        <v>21</v>
      </c>
      <c r="F4705" s="16">
        <f>27.45+37.83+31.88+38.55+38.57+30.34+38.16</f>
        <v>242.77999999999997</v>
      </c>
      <c r="G4705" s="16">
        <v>7</v>
      </c>
      <c r="H4705" s="16" t="s">
        <v>22</v>
      </c>
      <c r="I4705" s="16">
        <v>10</v>
      </c>
      <c r="L4705" s="16" t="s">
        <v>23</v>
      </c>
    </row>
    <row r="4706" spans="1:13" ht="13.5" customHeight="1" x14ac:dyDescent="0.25">
      <c r="I4706" s="16">
        <v>70</v>
      </c>
      <c r="L4706" s="16" t="s">
        <v>32</v>
      </c>
    </row>
    <row r="4707" spans="1:13" ht="13.5" customHeight="1" x14ac:dyDescent="0.25">
      <c r="I4707" s="16">
        <v>20</v>
      </c>
      <c r="L4707" s="16" t="s">
        <v>33</v>
      </c>
      <c r="M4707" s="15"/>
    </row>
    <row r="4708" spans="1:13" ht="13.5" customHeight="1" x14ac:dyDescent="0.25">
      <c r="I4708" s="16">
        <v>30</v>
      </c>
      <c r="L4708" s="16" t="s">
        <v>29</v>
      </c>
      <c r="M4708" s="15"/>
    </row>
    <row r="4709" spans="1:13" ht="13.5" customHeight="1" x14ac:dyDescent="0.25">
      <c r="I4709" s="16">
        <v>20</v>
      </c>
      <c r="L4709" s="16" t="s">
        <v>25</v>
      </c>
      <c r="M4709" s="16" t="s">
        <v>45</v>
      </c>
    </row>
    <row r="4710" spans="1:13" ht="13.5" customHeight="1" x14ac:dyDescent="0.25">
      <c r="I4710" s="16">
        <v>20</v>
      </c>
      <c r="L4710" s="16" t="s">
        <v>27</v>
      </c>
    </row>
    <row r="4711" spans="1:13" ht="13.5" customHeight="1" x14ac:dyDescent="0.25">
      <c r="I4711" s="16">
        <v>20</v>
      </c>
      <c r="L4711" s="16" t="s">
        <v>26</v>
      </c>
      <c r="M4711" s="16" t="s">
        <v>147</v>
      </c>
    </row>
    <row r="4712" spans="1:13" ht="13.5" customHeight="1" x14ac:dyDescent="0.25">
      <c r="I4712" s="16">
        <v>15</v>
      </c>
      <c r="L4712" s="16" t="s">
        <v>25</v>
      </c>
      <c r="M4712" s="16" t="s">
        <v>137</v>
      </c>
    </row>
    <row r="4713" spans="1:13" ht="13.5" customHeight="1" x14ac:dyDescent="0.25">
      <c r="I4713" s="16">
        <v>20</v>
      </c>
      <c r="L4713" s="16" t="s">
        <v>26</v>
      </c>
      <c r="M4713" s="15" t="s">
        <v>822</v>
      </c>
    </row>
    <row r="4714" spans="1:13" ht="13.5" customHeight="1" x14ac:dyDescent="0.25">
      <c r="I4714" s="16">
        <v>135</v>
      </c>
      <c r="L4714" s="16" t="s">
        <v>26</v>
      </c>
      <c r="M4714" s="15" t="s">
        <v>823</v>
      </c>
    </row>
    <row r="4716" spans="1:13" ht="13.5" customHeight="1" x14ac:dyDescent="0.25">
      <c r="A4716" s="16" t="s">
        <v>821</v>
      </c>
      <c r="B4716" s="16" t="s">
        <v>1</v>
      </c>
      <c r="C4716" s="16" t="s">
        <v>15</v>
      </c>
      <c r="D4716" s="16" t="s">
        <v>20</v>
      </c>
      <c r="F4716" s="16">
        <v>38.5</v>
      </c>
      <c r="G4716" s="16">
        <v>1</v>
      </c>
      <c r="H4716" s="16" t="s">
        <v>22</v>
      </c>
      <c r="I4716" s="16">
        <v>455</v>
      </c>
      <c r="L4716" s="16" t="s">
        <v>26</v>
      </c>
      <c r="M4716" s="15" t="s">
        <v>823</v>
      </c>
    </row>
    <row r="4717" spans="1:13" ht="13.5" customHeight="1" x14ac:dyDescent="0.25">
      <c r="I4717" s="16">
        <v>10</v>
      </c>
      <c r="L4717" s="16" t="s">
        <v>32</v>
      </c>
    </row>
    <row r="4719" spans="1:13" ht="13.5" customHeight="1" x14ac:dyDescent="0.25">
      <c r="A4719" s="16" t="s">
        <v>821</v>
      </c>
      <c r="B4719" s="16" t="s">
        <v>2</v>
      </c>
      <c r="C4719" s="16" t="s">
        <v>16</v>
      </c>
      <c r="D4719" s="15" t="s">
        <v>548</v>
      </c>
      <c r="E4719" s="15"/>
      <c r="F4719" s="16">
        <v>349.56</v>
      </c>
      <c r="G4719" s="16">
        <v>10.5</v>
      </c>
      <c r="H4719" s="16" t="s">
        <v>22</v>
      </c>
      <c r="I4719" s="16">
        <v>10</v>
      </c>
      <c r="L4719" s="16" t="s">
        <v>23</v>
      </c>
    </row>
    <row r="4720" spans="1:13" ht="13.5" customHeight="1" x14ac:dyDescent="0.25">
      <c r="I4720" s="16">
        <v>110</v>
      </c>
      <c r="L4720" s="16" t="s">
        <v>32</v>
      </c>
    </row>
    <row r="4721" spans="1:13" ht="13.5" customHeight="1" x14ac:dyDescent="0.25">
      <c r="I4721" s="16">
        <v>30</v>
      </c>
      <c r="L4721" s="16" t="s">
        <v>33</v>
      </c>
      <c r="M4721" s="15"/>
    </row>
    <row r="4722" spans="1:13" ht="13.5" customHeight="1" x14ac:dyDescent="0.25">
      <c r="I4722" s="16">
        <v>30</v>
      </c>
      <c r="L4722" s="16" t="s">
        <v>29</v>
      </c>
      <c r="M4722" s="15"/>
    </row>
    <row r="4723" spans="1:13" ht="13.5" customHeight="1" x14ac:dyDescent="0.25">
      <c r="I4723" s="16">
        <v>30</v>
      </c>
      <c r="L4723" s="16" t="s">
        <v>25</v>
      </c>
      <c r="M4723" s="16" t="s">
        <v>45</v>
      </c>
    </row>
    <row r="4724" spans="1:13" ht="13.5" customHeight="1" x14ac:dyDescent="0.25">
      <c r="I4724" s="16">
        <v>20</v>
      </c>
      <c r="L4724" s="16" t="s">
        <v>27</v>
      </c>
    </row>
    <row r="4725" spans="1:13" ht="13.5" customHeight="1" x14ac:dyDescent="0.25">
      <c r="I4725" s="16">
        <v>20</v>
      </c>
      <c r="L4725" s="16" t="s">
        <v>26</v>
      </c>
      <c r="M4725" s="16" t="s">
        <v>147</v>
      </c>
    </row>
    <row r="4726" spans="1:13" ht="13.5" customHeight="1" x14ac:dyDescent="0.25">
      <c r="I4726" s="16">
        <v>20</v>
      </c>
      <c r="L4726" s="16" t="s">
        <v>25</v>
      </c>
      <c r="M4726" s="16" t="s">
        <v>137</v>
      </c>
    </row>
    <row r="4727" spans="1:13" ht="13.5" customHeight="1" x14ac:dyDescent="0.25">
      <c r="I4727" s="16">
        <v>30</v>
      </c>
      <c r="L4727" s="16" t="s">
        <v>26</v>
      </c>
      <c r="M4727" s="16" t="s">
        <v>824</v>
      </c>
    </row>
    <row r="4729" spans="1:13" ht="13.5" customHeight="1" x14ac:dyDescent="0.25">
      <c r="A4729" s="16" t="s">
        <v>825</v>
      </c>
      <c r="B4729" s="16" t="s">
        <v>0</v>
      </c>
      <c r="C4729" s="16" t="s">
        <v>6</v>
      </c>
      <c r="D4729" s="16" t="s">
        <v>21</v>
      </c>
      <c r="F4729" s="16">
        <v>333.35</v>
      </c>
      <c r="G4729" s="16">
        <v>9.75</v>
      </c>
      <c r="H4729" s="16" t="s">
        <v>22</v>
      </c>
      <c r="I4729" s="16">
        <v>10</v>
      </c>
      <c r="L4729" s="16" t="s">
        <v>23</v>
      </c>
    </row>
    <row r="4730" spans="1:13" ht="13.5" customHeight="1" x14ac:dyDescent="0.25">
      <c r="I4730" s="16">
        <v>100</v>
      </c>
      <c r="L4730" s="16" t="s">
        <v>32</v>
      </c>
    </row>
    <row r="4731" spans="1:13" ht="13.5" customHeight="1" x14ac:dyDescent="0.25">
      <c r="I4731" s="16">
        <v>30</v>
      </c>
      <c r="L4731" s="16" t="s">
        <v>33</v>
      </c>
      <c r="M4731" s="15"/>
    </row>
    <row r="4732" spans="1:13" ht="13.5" customHeight="1" x14ac:dyDescent="0.25">
      <c r="I4732" s="16">
        <v>80</v>
      </c>
      <c r="L4732" s="16" t="s">
        <v>29</v>
      </c>
      <c r="M4732" s="15" t="s">
        <v>826</v>
      </c>
    </row>
    <row r="4733" spans="1:13" ht="13.5" customHeight="1" x14ac:dyDescent="0.25">
      <c r="I4733" s="16">
        <v>30</v>
      </c>
      <c r="L4733" s="16" t="s">
        <v>25</v>
      </c>
      <c r="M4733" s="16" t="s">
        <v>45</v>
      </c>
    </row>
    <row r="4734" spans="1:13" ht="13.5" customHeight="1" x14ac:dyDescent="0.25">
      <c r="I4734" s="16">
        <v>20</v>
      </c>
      <c r="L4734" s="16" t="s">
        <v>27</v>
      </c>
    </row>
    <row r="4735" spans="1:13" ht="13.5" customHeight="1" x14ac:dyDescent="0.25">
      <c r="I4735" s="16">
        <v>20</v>
      </c>
      <c r="L4735" s="16" t="s">
        <v>26</v>
      </c>
      <c r="M4735" s="16" t="s">
        <v>147</v>
      </c>
    </row>
    <row r="4736" spans="1:13" ht="13.5" customHeight="1" x14ac:dyDescent="0.25">
      <c r="I4736" s="16">
        <v>20</v>
      </c>
      <c r="L4736" s="16" t="s">
        <v>25</v>
      </c>
      <c r="M4736" s="16" t="s">
        <v>137</v>
      </c>
    </row>
    <row r="4738" spans="1:13" ht="13.5" customHeight="1" x14ac:dyDescent="0.25">
      <c r="A4738" s="16" t="s">
        <v>825</v>
      </c>
      <c r="B4738" s="16" t="s">
        <v>1</v>
      </c>
      <c r="C4738" s="16" t="s">
        <v>15</v>
      </c>
      <c r="D4738" s="16" t="s">
        <v>20</v>
      </c>
      <c r="F4738" s="16">
        <v>352.44</v>
      </c>
      <c r="G4738" s="16">
        <v>10</v>
      </c>
      <c r="H4738" s="16" t="s">
        <v>22</v>
      </c>
      <c r="I4738" s="16">
        <v>10</v>
      </c>
      <c r="L4738" s="16" t="s">
        <v>23</v>
      </c>
    </row>
    <row r="4739" spans="1:13" ht="13.5" customHeight="1" x14ac:dyDescent="0.25">
      <c r="I4739" s="16">
        <v>100</v>
      </c>
      <c r="L4739" s="16" t="s">
        <v>32</v>
      </c>
    </row>
    <row r="4740" spans="1:13" ht="13.5" customHeight="1" x14ac:dyDescent="0.25">
      <c r="I4740" s="16">
        <v>30</v>
      </c>
      <c r="L4740" s="16" t="s">
        <v>33</v>
      </c>
      <c r="M4740" s="15"/>
    </row>
    <row r="4741" spans="1:13" ht="13.5" customHeight="1" x14ac:dyDescent="0.25">
      <c r="I4741" s="16">
        <v>30</v>
      </c>
      <c r="L4741" s="16" t="s">
        <v>29</v>
      </c>
      <c r="M4741" s="15"/>
    </row>
    <row r="4742" spans="1:13" ht="13.5" customHeight="1" x14ac:dyDescent="0.25">
      <c r="I4742" s="16">
        <v>20</v>
      </c>
      <c r="L4742" s="16" t="s">
        <v>25</v>
      </c>
      <c r="M4742" s="16" t="s">
        <v>45</v>
      </c>
    </row>
    <row r="4743" spans="1:13" ht="13.5" customHeight="1" x14ac:dyDescent="0.25">
      <c r="I4743" s="16">
        <v>20</v>
      </c>
      <c r="L4743" s="16" t="s">
        <v>27</v>
      </c>
    </row>
    <row r="4744" spans="1:13" ht="13.5" customHeight="1" x14ac:dyDescent="0.25">
      <c r="I4744" s="16">
        <v>20</v>
      </c>
      <c r="L4744" s="16" t="s">
        <v>26</v>
      </c>
      <c r="M4744" s="16" t="s">
        <v>147</v>
      </c>
    </row>
    <row r="4745" spans="1:13" ht="13.5" customHeight="1" x14ac:dyDescent="0.25">
      <c r="I4745" s="16">
        <v>40</v>
      </c>
      <c r="L4745" s="16" t="s">
        <v>26</v>
      </c>
      <c r="M4745" s="15" t="s">
        <v>827</v>
      </c>
    </row>
    <row r="4746" spans="1:13" ht="13.5" customHeight="1" x14ac:dyDescent="0.25">
      <c r="I4746" s="16">
        <v>30</v>
      </c>
      <c r="L4746" s="16" t="s">
        <v>25</v>
      </c>
      <c r="M4746" s="16" t="s">
        <v>137</v>
      </c>
    </row>
    <row r="4748" spans="1:13" ht="13.5" customHeight="1" x14ac:dyDescent="0.25">
      <c r="A4748" s="16" t="s">
        <v>825</v>
      </c>
      <c r="B4748" s="16" t="s">
        <v>2</v>
      </c>
      <c r="C4748" s="16" t="s">
        <v>16</v>
      </c>
      <c r="D4748" s="15" t="s">
        <v>548</v>
      </c>
      <c r="E4748" s="15"/>
      <c r="F4748" s="16">
        <v>371.04</v>
      </c>
      <c r="G4748" s="16">
        <v>10</v>
      </c>
      <c r="H4748" s="16" t="s">
        <v>22</v>
      </c>
      <c r="I4748" s="16">
        <v>10</v>
      </c>
      <c r="L4748" s="16" t="s">
        <v>23</v>
      </c>
    </row>
    <row r="4749" spans="1:13" ht="13.5" customHeight="1" x14ac:dyDescent="0.25">
      <c r="I4749" s="16">
        <v>100</v>
      </c>
      <c r="L4749" s="16" t="s">
        <v>32</v>
      </c>
    </row>
    <row r="4750" spans="1:13" ht="13.5" customHeight="1" x14ac:dyDescent="0.25">
      <c r="I4750" s="16">
        <v>30</v>
      </c>
      <c r="L4750" s="16" t="s">
        <v>33</v>
      </c>
      <c r="M4750" s="15"/>
    </row>
    <row r="4751" spans="1:13" ht="13.5" customHeight="1" x14ac:dyDescent="0.25">
      <c r="I4751" s="16">
        <v>30</v>
      </c>
      <c r="L4751" s="16" t="s">
        <v>29</v>
      </c>
      <c r="M4751" s="15"/>
    </row>
    <row r="4752" spans="1:13" ht="13.5" customHeight="1" x14ac:dyDescent="0.25">
      <c r="I4752" s="16">
        <v>30</v>
      </c>
      <c r="L4752" s="16" t="s">
        <v>25</v>
      </c>
      <c r="M4752" s="16" t="s">
        <v>45</v>
      </c>
    </row>
    <row r="4753" spans="1:13" ht="13.5" customHeight="1" x14ac:dyDescent="0.25">
      <c r="I4753" s="16">
        <v>20</v>
      </c>
      <c r="L4753" s="16" t="s">
        <v>27</v>
      </c>
    </row>
    <row r="4754" spans="1:13" ht="13.5" customHeight="1" x14ac:dyDescent="0.25">
      <c r="I4754" s="16">
        <v>20</v>
      </c>
      <c r="L4754" s="16" t="s">
        <v>26</v>
      </c>
      <c r="M4754" s="16" t="s">
        <v>147</v>
      </c>
    </row>
    <row r="4755" spans="1:13" ht="13.5" customHeight="1" x14ac:dyDescent="0.25">
      <c r="D4755" s="15"/>
      <c r="E4755" s="15"/>
      <c r="I4755" s="16">
        <v>40</v>
      </c>
      <c r="L4755" s="16" t="s">
        <v>24</v>
      </c>
      <c r="M4755" s="16" t="s">
        <v>828</v>
      </c>
    </row>
    <row r="4756" spans="1:13" ht="13.5" customHeight="1" x14ac:dyDescent="0.25">
      <c r="I4756" s="16">
        <v>30</v>
      </c>
      <c r="L4756" s="16" t="s">
        <v>24</v>
      </c>
      <c r="M4756" s="15" t="s">
        <v>829</v>
      </c>
    </row>
    <row r="4757" spans="1:13" ht="13.5" customHeight="1" x14ac:dyDescent="0.25">
      <c r="M4757" s="15"/>
    </row>
    <row r="4758" spans="1:13" ht="13.5" customHeight="1" x14ac:dyDescent="0.25">
      <c r="A4758" s="16" t="s">
        <v>830</v>
      </c>
      <c r="B4758" s="16" t="s">
        <v>0</v>
      </c>
      <c r="C4758" s="16" t="s">
        <v>15</v>
      </c>
      <c r="D4758" s="16" t="s">
        <v>21</v>
      </c>
      <c r="F4758" s="16">
        <v>415.64</v>
      </c>
      <c r="G4758" s="16">
        <v>11</v>
      </c>
      <c r="H4758" s="16" t="s">
        <v>22</v>
      </c>
      <c r="I4758" s="16">
        <v>10</v>
      </c>
    </row>
    <row r="4759" spans="1:13" ht="13.5" customHeight="1" x14ac:dyDescent="0.25">
      <c r="I4759" s="16">
        <v>110</v>
      </c>
    </row>
    <row r="4760" spans="1:13" ht="13.5" customHeight="1" x14ac:dyDescent="0.25">
      <c r="I4760" s="16">
        <v>30</v>
      </c>
      <c r="M4760" s="15"/>
    </row>
    <row r="4761" spans="1:13" ht="13.5" customHeight="1" x14ac:dyDescent="0.25">
      <c r="I4761" s="16">
        <v>30</v>
      </c>
      <c r="L4761" s="16" t="s">
        <v>29</v>
      </c>
      <c r="M4761" s="15"/>
    </row>
    <row r="4762" spans="1:13" ht="13.5" customHeight="1" x14ac:dyDescent="0.25">
      <c r="I4762" s="16">
        <v>30</v>
      </c>
      <c r="L4762" s="16" t="s">
        <v>25</v>
      </c>
      <c r="M4762" s="16" t="s">
        <v>45</v>
      </c>
    </row>
    <row r="4763" spans="1:13" ht="13.5" customHeight="1" x14ac:dyDescent="0.25">
      <c r="I4763" s="16">
        <v>20</v>
      </c>
      <c r="L4763" s="16" t="s">
        <v>27</v>
      </c>
    </row>
    <row r="4764" spans="1:13" ht="13.5" customHeight="1" x14ac:dyDescent="0.25">
      <c r="I4764" s="16">
        <v>20</v>
      </c>
      <c r="L4764" s="16" t="s">
        <v>26</v>
      </c>
      <c r="M4764" s="16" t="s">
        <v>147</v>
      </c>
    </row>
    <row r="4766" spans="1:13" ht="13.5" customHeight="1" x14ac:dyDescent="0.25">
      <c r="A4766" s="16" t="s">
        <v>830</v>
      </c>
      <c r="B4766" s="16" t="s">
        <v>1</v>
      </c>
      <c r="C4766" s="16" t="s">
        <v>6</v>
      </c>
      <c r="D4766" s="16" t="s">
        <v>20</v>
      </c>
      <c r="F4766" s="16">
        <v>377.84</v>
      </c>
      <c r="G4766" s="16">
        <v>10.5</v>
      </c>
      <c r="H4766" s="16" t="s">
        <v>22</v>
      </c>
      <c r="I4766" s="16">
        <v>10</v>
      </c>
      <c r="L4766" s="16" t="s">
        <v>23</v>
      </c>
    </row>
    <row r="4767" spans="1:13" ht="13.5" customHeight="1" x14ac:dyDescent="0.25">
      <c r="I4767" s="16">
        <v>110</v>
      </c>
      <c r="L4767" s="16" t="s">
        <v>32</v>
      </c>
    </row>
    <row r="4768" spans="1:13" ht="13.5" customHeight="1" x14ac:dyDescent="0.25">
      <c r="I4768" s="16">
        <v>30</v>
      </c>
      <c r="L4768" s="16" t="s">
        <v>33</v>
      </c>
      <c r="M4768" s="15"/>
    </row>
    <row r="4769" spans="1:13" ht="13.5" customHeight="1" x14ac:dyDescent="0.25">
      <c r="I4769" s="16">
        <v>50</v>
      </c>
      <c r="L4769" s="16" t="s">
        <v>29</v>
      </c>
      <c r="M4769" s="15"/>
    </row>
    <row r="4770" spans="1:13" ht="13.5" customHeight="1" x14ac:dyDescent="0.25">
      <c r="I4770" s="16">
        <v>30</v>
      </c>
      <c r="L4770" s="16" t="s">
        <v>25</v>
      </c>
      <c r="M4770" s="16" t="s">
        <v>137</v>
      </c>
    </row>
    <row r="4771" spans="1:13" ht="13.5" customHeight="1" x14ac:dyDescent="0.25">
      <c r="I4771" s="16">
        <v>20</v>
      </c>
      <c r="L4771" s="16" t="s">
        <v>27</v>
      </c>
    </row>
    <row r="4772" spans="1:13" ht="13.5" customHeight="1" x14ac:dyDescent="0.25">
      <c r="I4772" s="16">
        <v>20</v>
      </c>
      <c r="L4772" s="16" t="s">
        <v>26</v>
      </c>
      <c r="M4772" s="16" t="s">
        <v>147</v>
      </c>
    </row>
    <row r="4773" spans="1:13" ht="13.5" customHeight="1" x14ac:dyDescent="0.25">
      <c r="I4773" s="16">
        <v>20</v>
      </c>
      <c r="L4773" s="16" t="s">
        <v>26</v>
      </c>
      <c r="M4773" s="15" t="s">
        <v>827</v>
      </c>
    </row>
    <row r="4775" spans="1:13" ht="13.5" customHeight="1" x14ac:dyDescent="0.25">
      <c r="A4775" s="16" t="s">
        <v>830</v>
      </c>
      <c r="B4775" s="16" t="s">
        <v>2</v>
      </c>
      <c r="C4775" s="16" t="s">
        <v>16</v>
      </c>
      <c r="D4775" s="15" t="s">
        <v>548</v>
      </c>
      <c r="E4775" s="15"/>
      <c r="F4775" s="16">
        <v>340.79</v>
      </c>
      <c r="G4775" s="16">
        <v>9.5</v>
      </c>
      <c r="H4775" s="16" t="s">
        <v>22</v>
      </c>
      <c r="I4775" s="16">
        <v>10</v>
      </c>
      <c r="L4775" s="16" t="s">
        <v>23</v>
      </c>
    </row>
    <row r="4776" spans="1:13" ht="13.5" customHeight="1" x14ac:dyDescent="0.25">
      <c r="I4776" s="16">
        <v>90</v>
      </c>
      <c r="L4776" s="16" t="s">
        <v>32</v>
      </c>
    </row>
    <row r="4777" spans="1:13" ht="13.5" customHeight="1" x14ac:dyDescent="0.25">
      <c r="I4777" s="16">
        <v>30</v>
      </c>
      <c r="L4777" s="16" t="s">
        <v>33</v>
      </c>
      <c r="M4777" s="15"/>
    </row>
    <row r="4778" spans="1:13" ht="13.5" customHeight="1" x14ac:dyDescent="0.25">
      <c r="I4778" s="16">
        <v>30</v>
      </c>
      <c r="L4778" s="16" t="s">
        <v>29</v>
      </c>
      <c r="M4778" s="15"/>
    </row>
    <row r="4779" spans="1:13" ht="13.5" customHeight="1" x14ac:dyDescent="0.25">
      <c r="I4779" s="16">
        <v>30</v>
      </c>
      <c r="L4779" s="16" t="s">
        <v>25</v>
      </c>
      <c r="M4779" s="16" t="s">
        <v>45</v>
      </c>
    </row>
    <row r="4780" spans="1:13" ht="13.5" customHeight="1" x14ac:dyDescent="0.25">
      <c r="I4780" s="16">
        <v>40</v>
      </c>
      <c r="L4780" s="16" t="s">
        <v>25</v>
      </c>
      <c r="M4780" s="16" t="s">
        <v>137</v>
      </c>
    </row>
    <row r="4781" spans="1:13" ht="13.5" customHeight="1" x14ac:dyDescent="0.25">
      <c r="I4781" s="16">
        <v>20</v>
      </c>
      <c r="L4781" s="16" t="s">
        <v>27</v>
      </c>
    </row>
    <row r="4782" spans="1:13" ht="13.5" customHeight="1" x14ac:dyDescent="0.25">
      <c r="I4782" s="16">
        <v>20</v>
      </c>
      <c r="L4782" s="16" t="s">
        <v>26</v>
      </c>
      <c r="M4782" s="16" t="s">
        <v>147</v>
      </c>
    </row>
    <row r="4783" spans="1:13" ht="13.5" customHeight="1" x14ac:dyDescent="0.25">
      <c r="D4783" s="15"/>
      <c r="E4783" s="15"/>
      <c r="I4783" s="16">
        <v>60</v>
      </c>
      <c r="L4783" s="16" t="s">
        <v>24</v>
      </c>
      <c r="M4783" s="16" t="s">
        <v>831</v>
      </c>
    </row>
    <row r="4784" spans="1:13" ht="13.5" customHeight="1" x14ac:dyDescent="0.25">
      <c r="M4784" s="15"/>
    </row>
    <row r="4785" spans="1:13" ht="13.5" customHeight="1" x14ac:dyDescent="0.25">
      <c r="A4785" s="16" t="s">
        <v>832</v>
      </c>
      <c r="B4785" s="16" t="s">
        <v>0</v>
      </c>
      <c r="C4785" s="16" t="s">
        <v>6</v>
      </c>
      <c r="D4785" s="16" t="s">
        <v>20</v>
      </c>
      <c r="F4785" s="16">
        <v>335.28</v>
      </c>
      <c r="G4785" s="16">
        <v>10</v>
      </c>
      <c r="H4785" s="16" t="s">
        <v>22</v>
      </c>
      <c r="I4785" s="16">
        <v>10</v>
      </c>
      <c r="L4785" s="16" t="s">
        <v>23</v>
      </c>
    </row>
    <row r="4786" spans="1:13" ht="13.5" customHeight="1" x14ac:dyDescent="0.25">
      <c r="I4786" s="16">
        <v>100</v>
      </c>
      <c r="L4786" s="16" t="s">
        <v>32</v>
      </c>
    </row>
    <row r="4787" spans="1:13" ht="13.5" customHeight="1" x14ac:dyDescent="0.25">
      <c r="I4787" s="16">
        <v>30</v>
      </c>
      <c r="L4787" s="16" t="s">
        <v>33</v>
      </c>
      <c r="M4787" s="15"/>
    </row>
    <row r="4788" spans="1:13" ht="13.5" customHeight="1" x14ac:dyDescent="0.25">
      <c r="I4788" s="16">
        <v>40</v>
      </c>
      <c r="L4788" s="16" t="s">
        <v>29</v>
      </c>
      <c r="M4788" s="15"/>
    </row>
    <row r="4789" spans="1:13" ht="13.5" customHeight="1" x14ac:dyDescent="0.25">
      <c r="I4789" s="16">
        <v>30</v>
      </c>
      <c r="L4789" s="16" t="s">
        <v>25</v>
      </c>
      <c r="M4789" s="16" t="s">
        <v>137</v>
      </c>
    </row>
    <row r="4790" spans="1:13" ht="13.5" customHeight="1" x14ac:dyDescent="0.25">
      <c r="I4790" s="16">
        <v>20</v>
      </c>
      <c r="L4790" s="16" t="s">
        <v>27</v>
      </c>
    </row>
    <row r="4791" spans="1:13" ht="13.5" customHeight="1" x14ac:dyDescent="0.25">
      <c r="I4791" s="16">
        <v>20</v>
      </c>
      <c r="L4791" s="16" t="s">
        <v>26</v>
      </c>
      <c r="M4791" s="16" t="s">
        <v>147</v>
      </c>
    </row>
    <row r="4792" spans="1:13" ht="13.5" customHeight="1" x14ac:dyDescent="0.25">
      <c r="I4792" s="16">
        <v>20</v>
      </c>
      <c r="L4792" s="16" t="s">
        <v>26</v>
      </c>
      <c r="M4792" s="15" t="s">
        <v>827</v>
      </c>
    </row>
    <row r="4793" spans="1:13" ht="13.5" customHeight="1" x14ac:dyDescent="0.25">
      <c r="I4793" s="16">
        <v>20</v>
      </c>
      <c r="L4793" s="16" t="s">
        <v>26</v>
      </c>
      <c r="M4793" s="15" t="s">
        <v>833</v>
      </c>
    </row>
    <row r="4794" spans="1:13" ht="13.5" customHeight="1" x14ac:dyDescent="0.25">
      <c r="I4794" s="16">
        <v>30</v>
      </c>
      <c r="L4794" s="16" t="s">
        <v>33</v>
      </c>
      <c r="M4794" s="15" t="s">
        <v>834</v>
      </c>
    </row>
    <row r="4796" spans="1:13" ht="13.5" customHeight="1" x14ac:dyDescent="0.25">
      <c r="A4796" s="16" t="s">
        <v>832</v>
      </c>
      <c r="B4796" s="16" t="s">
        <v>1</v>
      </c>
      <c r="C4796" s="16" t="s">
        <v>6</v>
      </c>
      <c r="D4796" s="15" t="s">
        <v>548</v>
      </c>
      <c r="E4796" s="15"/>
      <c r="F4796" s="16">
        <v>348.01</v>
      </c>
      <c r="G4796" s="16">
        <v>10.5</v>
      </c>
      <c r="H4796" s="16" t="s">
        <v>22</v>
      </c>
      <c r="I4796" s="16">
        <v>10</v>
      </c>
      <c r="L4796" s="16" t="s">
        <v>23</v>
      </c>
    </row>
    <row r="4797" spans="1:13" ht="13.5" customHeight="1" x14ac:dyDescent="0.25">
      <c r="I4797" s="16">
        <v>110</v>
      </c>
      <c r="L4797" s="16" t="s">
        <v>32</v>
      </c>
    </row>
    <row r="4798" spans="1:13" ht="13.5" customHeight="1" x14ac:dyDescent="0.25">
      <c r="I4798" s="16">
        <v>30</v>
      </c>
      <c r="L4798" s="16" t="s">
        <v>33</v>
      </c>
      <c r="M4798" s="15"/>
    </row>
    <row r="4799" spans="1:13" ht="13.5" customHeight="1" x14ac:dyDescent="0.25">
      <c r="I4799" s="16">
        <v>30</v>
      </c>
      <c r="L4799" s="16" t="s">
        <v>29</v>
      </c>
      <c r="M4799" s="15"/>
    </row>
    <row r="4800" spans="1:13" ht="13.5" customHeight="1" x14ac:dyDescent="0.25">
      <c r="I4800" s="16">
        <v>30</v>
      </c>
      <c r="L4800" s="16" t="s">
        <v>25</v>
      </c>
      <c r="M4800" s="16" t="s">
        <v>45</v>
      </c>
    </row>
    <row r="4801" spans="1:13" ht="13.5" customHeight="1" x14ac:dyDescent="0.25">
      <c r="I4801" s="16">
        <v>30</v>
      </c>
      <c r="L4801" s="16" t="s">
        <v>25</v>
      </c>
      <c r="M4801" s="16" t="s">
        <v>137</v>
      </c>
    </row>
    <row r="4802" spans="1:13" ht="13.5" customHeight="1" x14ac:dyDescent="0.25">
      <c r="I4802" s="16">
        <v>20</v>
      </c>
      <c r="L4802" s="16" t="s">
        <v>27</v>
      </c>
    </row>
    <row r="4803" spans="1:13" ht="13.5" customHeight="1" x14ac:dyDescent="0.25">
      <c r="I4803" s="16">
        <v>20</v>
      </c>
      <c r="L4803" s="16" t="s">
        <v>26</v>
      </c>
      <c r="M4803" s="16" t="s">
        <v>147</v>
      </c>
    </row>
    <row r="4804" spans="1:13" ht="13.5" customHeight="1" x14ac:dyDescent="0.25">
      <c r="I4804" s="16">
        <v>20</v>
      </c>
      <c r="L4804" s="16" t="s">
        <v>26</v>
      </c>
      <c r="M4804" s="16" t="s">
        <v>529</v>
      </c>
    </row>
    <row r="4805" spans="1:13" ht="13.5" customHeight="1" x14ac:dyDescent="0.25">
      <c r="I4805" s="16">
        <v>15</v>
      </c>
      <c r="L4805" s="16" t="s">
        <v>24</v>
      </c>
      <c r="M4805" s="16" t="s">
        <v>835</v>
      </c>
    </row>
    <row r="4807" spans="1:13" ht="13.5" customHeight="1" x14ac:dyDescent="0.25">
      <c r="A4807" s="16" t="s">
        <v>832</v>
      </c>
      <c r="B4807" s="16" t="s">
        <v>2</v>
      </c>
      <c r="C4807" s="16" t="s">
        <v>7</v>
      </c>
      <c r="D4807" s="16" t="s">
        <v>21</v>
      </c>
      <c r="F4807" s="16">
        <f>34.32+31.84+38.35+31.35+29.97+31.93+35.1+38.18+38.59+38.14</f>
        <v>347.77</v>
      </c>
      <c r="G4807" s="16">
        <v>10</v>
      </c>
      <c r="H4807" s="16" t="s">
        <v>22</v>
      </c>
      <c r="I4807" s="16">
        <v>10</v>
      </c>
      <c r="L4807" s="16" t="s">
        <v>23</v>
      </c>
    </row>
    <row r="4808" spans="1:13" ht="13.5" customHeight="1" x14ac:dyDescent="0.25">
      <c r="I4808" s="16">
        <v>90</v>
      </c>
      <c r="L4808" s="16" t="s">
        <v>32</v>
      </c>
    </row>
    <row r="4809" spans="1:13" ht="13.5" customHeight="1" x14ac:dyDescent="0.25">
      <c r="I4809" s="16">
        <v>30</v>
      </c>
      <c r="L4809" s="16" t="s">
        <v>33</v>
      </c>
      <c r="M4809" s="15"/>
    </row>
    <row r="4810" spans="1:13" ht="13.5" customHeight="1" x14ac:dyDescent="0.25">
      <c r="I4810" s="16">
        <v>30</v>
      </c>
      <c r="L4810" s="16" t="s">
        <v>29</v>
      </c>
      <c r="M4810" s="15"/>
    </row>
    <row r="4811" spans="1:13" ht="13.5" customHeight="1" x14ac:dyDescent="0.25">
      <c r="I4811" s="16">
        <v>40</v>
      </c>
      <c r="L4811" s="16" t="s">
        <v>25</v>
      </c>
      <c r="M4811" s="16" t="s">
        <v>45</v>
      </c>
    </row>
    <row r="4812" spans="1:13" ht="13.5" customHeight="1" x14ac:dyDescent="0.25">
      <c r="I4812" s="16">
        <v>40</v>
      </c>
      <c r="L4812" s="16" t="s">
        <v>25</v>
      </c>
      <c r="M4812" s="16" t="s">
        <v>137</v>
      </c>
    </row>
    <row r="4813" spans="1:13" ht="13.5" customHeight="1" x14ac:dyDescent="0.25">
      <c r="I4813" s="16">
        <v>20</v>
      </c>
      <c r="L4813" s="16" t="s">
        <v>27</v>
      </c>
    </row>
    <row r="4814" spans="1:13" ht="13.5" customHeight="1" x14ac:dyDescent="0.25">
      <c r="I4814" s="16">
        <v>20</v>
      </c>
      <c r="L4814" s="16" t="s">
        <v>26</v>
      </c>
      <c r="M4814" s="16" t="s">
        <v>147</v>
      </c>
    </row>
    <row r="4815" spans="1:13" ht="13.5" customHeight="1" x14ac:dyDescent="0.25">
      <c r="D4815" s="15"/>
      <c r="E4815" s="15"/>
      <c r="I4815" s="16">
        <v>30</v>
      </c>
      <c r="L4815" s="16" t="s">
        <v>26</v>
      </c>
      <c r="M4815" s="16" t="s">
        <v>188</v>
      </c>
    </row>
    <row r="4818" spans="1:13" ht="13.5" customHeight="1" x14ac:dyDescent="0.25">
      <c r="A4818" s="16" t="s">
        <v>836</v>
      </c>
      <c r="B4818" s="16" t="s">
        <v>0</v>
      </c>
      <c r="D4818" s="16" t="s">
        <v>20</v>
      </c>
      <c r="F4818" s="16">
        <v>363.53</v>
      </c>
      <c r="G4818" s="16">
        <v>10</v>
      </c>
      <c r="H4818" s="16" t="s">
        <v>22</v>
      </c>
      <c r="I4818" s="16">
        <v>10</v>
      </c>
      <c r="L4818" s="16" t="s">
        <v>23</v>
      </c>
    </row>
    <row r="4819" spans="1:13" ht="13.5" customHeight="1" x14ac:dyDescent="0.25">
      <c r="I4819" s="16">
        <v>100</v>
      </c>
      <c r="L4819" s="16" t="s">
        <v>32</v>
      </c>
    </row>
    <row r="4820" spans="1:13" ht="13.5" customHeight="1" x14ac:dyDescent="0.25">
      <c r="I4820" s="16">
        <v>30</v>
      </c>
      <c r="L4820" s="16" t="s">
        <v>33</v>
      </c>
      <c r="M4820" s="15"/>
    </row>
    <row r="4821" spans="1:13" ht="13.5" customHeight="1" x14ac:dyDescent="0.25">
      <c r="I4821" s="16">
        <v>50</v>
      </c>
      <c r="L4821" s="16" t="s">
        <v>29</v>
      </c>
      <c r="M4821" s="15" t="s">
        <v>838</v>
      </c>
    </row>
    <row r="4822" spans="1:13" ht="13.5" customHeight="1" x14ac:dyDescent="0.25">
      <c r="I4822" s="16">
        <v>20</v>
      </c>
      <c r="L4822" s="16" t="s">
        <v>25</v>
      </c>
      <c r="M4822" s="16" t="s">
        <v>137</v>
      </c>
    </row>
    <row r="4823" spans="1:13" ht="13.5" customHeight="1" x14ac:dyDescent="0.25">
      <c r="I4823" s="16">
        <v>20</v>
      </c>
      <c r="L4823" s="16" t="s">
        <v>27</v>
      </c>
    </row>
    <row r="4824" spans="1:13" ht="13.5" customHeight="1" x14ac:dyDescent="0.25">
      <c r="I4824" s="16">
        <v>20</v>
      </c>
      <c r="L4824" s="16" t="s">
        <v>26</v>
      </c>
      <c r="M4824" s="16" t="s">
        <v>147</v>
      </c>
    </row>
    <row r="4825" spans="1:13" ht="13.5" customHeight="1" x14ac:dyDescent="0.25">
      <c r="I4825" s="16">
        <v>30</v>
      </c>
      <c r="L4825" s="16" t="s">
        <v>26</v>
      </c>
      <c r="M4825" s="15" t="s">
        <v>837</v>
      </c>
    </row>
    <row r="4827" spans="1:13" ht="13.5" customHeight="1" x14ac:dyDescent="0.25">
      <c r="A4827" s="16" t="s">
        <v>836</v>
      </c>
      <c r="B4827" s="16" t="s">
        <v>1</v>
      </c>
      <c r="C4827" s="16" t="s">
        <v>16</v>
      </c>
      <c r="D4827" s="15" t="s">
        <v>548</v>
      </c>
      <c r="E4827" s="15"/>
      <c r="F4827" s="16">
        <v>360.03</v>
      </c>
      <c r="G4827" s="16">
        <v>10</v>
      </c>
      <c r="H4827" s="16" t="s">
        <v>22</v>
      </c>
      <c r="I4827" s="16">
        <v>10</v>
      </c>
      <c r="L4827" s="16" t="s">
        <v>23</v>
      </c>
    </row>
    <row r="4828" spans="1:13" ht="13.5" customHeight="1" x14ac:dyDescent="0.25">
      <c r="I4828" s="16">
        <v>100</v>
      </c>
      <c r="L4828" s="16" t="s">
        <v>32</v>
      </c>
    </row>
    <row r="4829" spans="1:13" ht="13.5" customHeight="1" x14ac:dyDescent="0.25">
      <c r="I4829" s="16">
        <v>30</v>
      </c>
      <c r="L4829" s="16" t="s">
        <v>33</v>
      </c>
      <c r="M4829" s="15"/>
    </row>
    <row r="4830" spans="1:13" ht="13.5" customHeight="1" x14ac:dyDescent="0.25">
      <c r="I4830" s="16">
        <v>30</v>
      </c>
      <c r="L4830" s="16" t="s">
        <v>29</v>
      </c>
      <c r="M4830" s="15"/>
    </row>
    <row r="4831" spans="1:13" ht="13.5" customHeight="1" x14ac:dyDescent="0.25">
      <c r="I4831" s="16">
        <v>30</v>
      </c>
      <c r="L4831" s="16" t="s">
        <v>25</v>
      </c>
      <c r="M4831" s="16" t="s">
        <v>45</v>
      </c>
    </row>
    <row r="4832" spans="1:13" ht="13.5" customHeight="1" x14ac:dyDescent="0.25">
      <c r="I4832" s="16">
        <v>40</v>
      </c>
      <c r="L4832" s="16" t="s">
        <v>25</v>
      </c>
      <c r="M4832" s="16" t="s">
        <v>137</v>
      </c>
    </row>
    <row r="4833" spans="1:13" ht="13.5" customHeight="1" x14ac:dyDescent="0.25">
      <c r="I4833" s="16">
        <v>20</v>
      </c>
      <c r="L4833" s="16" t="s">
        <v>27</v>
      </c>
    </row>
    <row r="4834" spans="1:13" ht="13.5" customHeight="1" x14ac:dyDescent="0.25">
      <c r="I4834" s="16">
        <v>20</v>
      </c>
      <c r="L4834" s="16" t="s">
        <v>26</v>
      </c>
      <c r="M4834" s="16" t="s">
        <v>147</v>
      </c>
    </row>
    <row r="4835" spans="1:13" ht="13.5" customHeight="1" x14ac:dyDescent="0.25">
      <c r="I4835" s="16">
        <v>20</v>
      </c>
      <c r="L4835" s="16" t="s">
        <v>25</v>
      </c>
      <c r="M4835" s="16" t="s">
        <v>785</v>
      </c>
    </row>
    <row r="4836" spans="1:13" ht="13.5" customHeight="1" x14ac:dyDescent="0.25">
      <c r="I4836" s="16">
        <v>20</v>
      </c>
      <c r="L4836" s="16" t="s">
        <v>24</v>
      </c>
      <c r="M4836" s="16" t="s">
        <v>819</v>
      </c>
    </row>
    <row r="4837" spans="1:13" ht="13.5" customHeight="1" x14ac:dyDescent="0.25">
      <c r="I4837" s="16">
        <v>30</v>
      </c>
      <c r="L4837" s="16" t="s">
        <v>25</v>
      </c>
      <c r="M4837" s="16" t="s">
        <v>839</v>
      </c>
    </row>
    <row r="4839" spans="1:13" ht="13.5" customHeight="1" x14ac:dyDescent="0.25">
      <c r="A4839" s="16" t="s">
        <v>836</v>
      </c>
      <c r="B4839" s="16" t="s">
        <v>2</v>
      </c>
      <c r="C4839" s="16" t="s">
        <v>6</v>
      </c>
      <c r="D4839" s="16" t="s">
        <v>21</v>
      </c>
      <c r="F4839" s="16">
        <v>286.51</v>
      </c>
      <c r="G4839" s="16">
        <v>8</v>
      </c>
      <c r="H4839" s="16" t="s">
        <v>22</v>
      </c>
      <c r="I4839" s="16">
        <v>10</v>
      </c>
      <c r="L4839" s="16" t="s">
        <v>23</v>
      </c>
    </row>
    <row r="4840" spans="1:13" ht="13.5" customHeight="1" x14ac:dyDescent="0.25">
      <c r="I4840" s="16">
        <v>90</v>
      </c>
      <c r="L4840" s="16" t="s">
        <v>32</v>
      </c>
    </row>
    <row r="4841" spans="1:13" ht="13.5" customHeight="1" x14ac:dyDescent="0.25">
      <c r="I4841" s="16">
        <v>25</v>
      </c>
      <c r="L4841" s="16" t="s">
        <v>33</v>
      </c>
      <c r="M4841" s="15"/>
    </row>
    <row r="4842" spans="1:13" ht="13.5" customHeight="1" x14ac:dyDescent="0.25">
      <c r="I4842" s="16">
        <v>30</v>
      </c>
      <c r="L4842" s="16" t="s">
        <v>29</v>
      </c>
      <c r="M4842" s="15"/>
    </row>
    <row r="4843" spans="1:13" ht="13.5" customHeight="1" x14ac:dyDescent="0.25">
      <c r="I4843" s="16">
        <v>30</v>
      </c>
      <c r="L4843" s="16" t="s">
        <v>25</v>
      </c>
      <c r="M4843" s="16" t="s">
        <v>45</v>
      </c>
    </row>
    <row r="4844" spans="1:13" ht="13.5" customHeight="1" x14ac:dyDescent="0.25">
      <c r="I4844" s="16">
        <v>30</v>
      </c>
      <c r="L4844" s="16" t="s">
        <v>25</v>
      </c>
      <c r="M4844" s="16" t="s">
        <v>137</v>
      </c>
    </row>
    <row r="4845" spans="1:13" ht="13.5" customHeight="1" x14ac:dyDescent="0.25">
      <c r="I4845" s="16">
        <v>20</v>
      </c>
      <c r="L4845" s="16" t="s">
        <v>27</v>
      </c>
    </row>
    <row r="4846" spans="1:13" ht="13.5" customHeight="1" x14ac:dyDescent="0.25">
      <c r="I4846" s="16">
        <v>20</v>
      </c>
      <c r="L4846" s="16" t="s">
        <v>26</v>
      </c>
      <c r="M4846" s="16" t="s">
        <v>147</v>
      </c>
    </row>
    <row r="4847" spans="1:13" ht="13.5" customHeight="1" x14ac:dyDescent="0.25">
      <c r="D4847" s="15"/>
      <c r="E4847" s="15"/>
      <c r="I4847" s="16">
        <v>95</v>
      </c>
      <c r="L4847" s="16" t="s">
        <v>26</v>
      </c>
      <c r="M4847" s="16" t="s">
        <v>840</v>
      </c>
    </row>
    <row r="4848" spans="1:13" ht="13.5" customHeight="1" x14ac:dyDescent="0.25">
      <c r="D4848" s="15"/>
      <c r="E4848" s="15"/>
    </row>
    <row r="4849" spans="1:13" ht="13.5" customHeight="1" x14ac:dyDescent="0.25">
      <c r="A4849" s="16" t="s">
        <v>841</v>
      </c>
      <c r="B4849" s="16" t="s">
        <v>0</v>
      </c>
      <c r="C4849" s="16" t="s">
        <v>15</v>
      </c>
      <c r="D4849" s="16" t="s">
        <v>20</v>
      </c>
      <c r="H4849" s="16" t="s">
        <v>22</v>
      </c>
      <c r="I4849" s="16">
        <v>480</v>
      </c>
      <c r="L4849" s="16" t="s">
        <v>26</v>
      </c>
    </row>
    <row r="4850" spans="1:13" ht="13.5" customHeight="1" x14ac:dyDescent="0.25">
      <c r="D4850" s="22"/>
      <c r="E4850" s="22"/>
    </row>
    <row r="4851" spans="1:13" ht="13.5" customHeight="1" x14ac:dyDescent="0.25">
      <c r="A4851" s="16" t="s">
        <v>841</v>
      </c>
      <c r="B4851" s="16" t="s">
        <v>1</v>
      </c>
      <c r="C4851" s="16" t="s">
        <v>16</v>
      </c>
      <c r="D4851" s="15" t="s">
        <v>548</v>
      </c>
      <c r="E4851" s="15"/>
      <c r="H4851" s="16" t="s">
        <v>22</v>
      </c>
      <c r="I4851" s="16">
        <v>480</v>
      </c>
      <c r="L4851" s="16" t="s">
        <v>26</v>
      </c>
    </row>
    <row r="4853" spans="1:13" ht="13.5" customHeight="1" x14ac:dyDescent="0.25">
      <c r="A4853" s="16" t="s">
        <v>841</v>
      </c>
      <c r="B4853" s="16" t="s">
        <v>2</v>
      </c>
      <c r="C4853" s="16" t="s">
        <v>7</v>
      </c>
      <c r="D4853" s="16" t="s">
        <v>21</v>
      </c>
      <c r="H4853" s="16" t="s">
        <v>22</v>
      </c>
      <c r="I4853" s="16">
        <v>480</v>
      </c>
      <c r="L4853" s="16" t="s">
        <v>26</v>
      </c>
    </row>
    <row r="4855" spans="1:13" ht="13.5" customHeight="1" x14ac:dyDescent="0.25">
      <c r="A4855" s="16" t="s">
        <v>842</v>
      </c>
      <c r="B4855" s="16" t="s">
        <v>0</v>
      </c>
      <c r="C4855" s="16" t="s">
        <v>15</v>
      </c>
      <c r="D4855" s="16" t="s">
        <v>20</v>
      </c>
      <c r="H4855" s="16" t="s">
        <v>22</v>
      </c>
      <c r="I4855" s="16">
        <v>480</v>
      </c>
      <c r="L4855" s="16" t="s">
        <v>26</v>
      </c>
    </row>
    <row r="4857" spans="1:13" ht="13.5" customHeight="1" x14ac:dyDescent="0.25">
      <c r="A4857" s="16" t="s">
        <v>842</v>
      </c>
      <c r="B4857" s="16" t="s">
        <v>1</v>
      </c>
      <c r="C4857" s="16" t="s">
        <v>16</v>
      </c>
      <c r="D4857" s="15" t="s">
        <v>548</v>
      </c>
      <c r="E4857" s="15"/>
      <c r="F4857" s="16">
        <v>9.4499999999999993</v>
      </c>
      <c r="G4857" s="16">
        <v>0.25</v>
      </c>
      <c r="H4857" s="16" t="s">
        <v>22</v>
      </c>
      <c r="I4857" s="16">
        <v>450</v>
      </c>
      <c r="L4857" s="16" t="s">
        <v>26</v>
      </c>
    </row>
    <row r="4858" spans="1:13" ht="13.5" customHeight="1" x14ac:dyDescent="0.25">
      <c r="I4858" s="16">
        <v>10</v>
      </c>
      <c r="L4858" s="16" t="s">
        <v>32</v>
      </c>
    </row>
    <row r="4859" spans="1:13" ht="13.5" customHeight="1" x14ac:dyDescent="0.25">
      <c r="I4859" s="16">
        <v>10</v>
      </c>
      <c r="L4859" s="16" t="s">
        <v>33</v>
      </c>
    </row>
    <row r="4861" spans="1:13" ht="13.5" customHeight="1" x14ac:dyDescent="0.25">
      <c r="A4861" s="16" t="s">
        <v>842</v>
      </c>
      <c r="B4861" s="16" t="s">
        <v>2</v>
      </c>
      <c r="C4861" s="16" t="s">
        <v>6</v>
      </c>
      <c r="D4861" s="16" t="s">
        <v>21</v>
      </c>
      <c r="F4861" s="16">
        <f>33.59+37.58+38.09+30.3+27.65+30.5+31.73</f>
        <v>229.44</v>
      </c>
      <c r="G4861" s="16">
        <v>7</v>
      </c>
      <c r="H4861" s="16" t="s">
        <v>22</v>
      </c>
      <c r="I4861" s="16">
        <v>10</v>
      </c>
      <c r="L4861" s="16" t="s">
        <v>23</v>
      </c>
    </row>
    <row r="4862" spans="1:13" ht="13.5" customHeight="1" x14ac:dyDescent="0.25">
      <c r="I4862" s="16">
        <v>70</v>
      </c>
      <c r="L4862" s="16" t="s">
        <v>32</v>
      </c>
    </row>
    <row r="4863" spans="1:13" ht="13.5" customHeight="1" x14ac:dyDescent="0.25">
      <c r="I4863" s="16">
        <v>25</v>
      </c>
      <c r="L4863" s="16" t="s">
        <v>33</v>
      </c>
      <c r="M4863" s="15"/>
    </row>
    <row r="4864" spans="1:13" ht="13.5" customHeight="1" x14ac:dyDescent="0.25">
      <c r="I4864" s="16">
        <v>20</v>
      </c>
      <c r="L4864" s="16" t="s">
        <v>29</v>
      </c>
      <c r="M4864" s="15"/>
    </row>
    <row r="4865" spans="1:14" ht="13.5" customHeight="1" x14ac:dyDescent="0.25">
      <c r="I4865" s="16">
        <v>10</v>
      </c>
      <c r="L4865" s="16" t="s">
        <v>25</v>
      </c>
      <c r="M4865" s="16" t="s">
        <v>45</v>
      </c>
    </row>
    <row r="4866" spans="1:14" ht="13.5" customHeight="1" x14ac:dyDescent="0.25">
      <c r="I4866" s="16">
        <v>10</v>
      </c>
      <c r="L4866" s="16" t="s">
        <v>25</v>
      </c>
      <c r="M4866" s="16" t="s">
        <v>137</v>
      </c>
    </row>
    <row r="4867" spans="1:14" ht="13.5" customHeight="1" x14ac:dyDescent="0.25">
      <c r="I4867" s="16">
        <v>10</v>
      </c>
      <c r="L4867" s="16" t="s">
        <v>27</v>
      </c>
    </row>
    <row r="4868" spans="1:14" ht="13.5" customHeight="1" x14ac:dyDescent="0.25">
      <c r="D4868" s="15"/>
      <c r="E4868" s="15"/>
      <c r="I4868" s="16">
        <v>210</v>
      </c>
      <c r="L4868" s="16" t="s">
        <v>26</v>
      </c>
      <c r="M4868" s="16" t="s">
        <v>843</v>
      </c>
    </row>
    <row r="4869" spans="1:14" ht="13.5" customHeight="1" x14ac:dyDescent="0.25">
      <c r="I4869" s="16">
        <v>30</v>
      </c>
      <c r="L4869" s="16" t="s">
        <v>26</v>
      </c>
      <c r="M4869" s="16" t="s">
        <v>844</v>
      </c>
    </row>
    <row r="4871" spans="1:14" ht="13.5" customHeight="1" x14ac:dyDescent="0.25">
      <c r="A4871" s="16" t="s">
        <v>845</v>
      </c>
      <c r="B4871" s="16" t="s">
        <v>0</v>
      </c>
      <c r="C4871" s="16" t="s">
        <v>15</v>
      </c>
      <c r="D4871" s="16" t="s">
        <v>20</v>
      </c>
      <c r="F4871" s="16">
        <v>283.27</v>
      </c>
      <c r="G4871" s="16">
        <v>8</v>
      </c>
      <c r="H4871" s="16" t="s">
        <v>22</v>
      </c>
      <c r="I4871" s="16">
        <v>10</v>
      </c>
      <c r="L4871" s="16" t="s">
        <v>23</v>
      </c>
    </row>
    <row r="4872" spans="1:14" ht="13.5" customHeight="1" x14ac:dyDescent="0.25">
      <c r="I4872" s="16">
        <v>90</v>
      </c>
      <c r="L4872" s="16" t="s">
        <v>32</v>
      </c>
    </row>
    <row r="4873" spans="1:14" ht="13.5" customHeight="1" x14ac:dyDescent="0.25">
      <c r="I4873" s="16">
        <v>30</v>
      </c>
      <c r="L4873" s="16" t="s">
        <v>33</v>
      </c>
      <c r="M4873" s="15"/>
    </row>
    <row r="4874" spans="1:14" ht="13.5" customHeight="1" x14ac:dyDescent="0.25">
      <c r="I4874" s="16">
        <v>40</v>
      </c>
      <c r="L4874" s="16" t="s">
        <v>29</v>
      </c>
      <c r="M4874" s="15"/>
    </row>
    <row r="4875" spans="1:14" ht="13.5" customHeight="1" x14ac:dyDescent="0.25">
      <c r="I4875" s="16">
        <v>15</v>
      </c>
      <c r="L4875" s="16" t="s">
        <v>25</v>
      </c>
      <c r="M4875" s="16" t="s">
        <v>45</v>
      </c>
    </row>
    <row r="4876" spans="1:14" ht="13.5" customHeight="1" x14ac:dyDescent="0.25">
      <c r="I4876" s="16">
        <v>20</v>
      </c>
      <c r="L4876" s="16" t="s">
        <v>27</v>
      </c>
    </row>
    <row r="4877" spans="1:14" ht="13.5" customHeight="1" x14ac:dyDescent="0.25">
      <c r="I4877" s="16">
        <v>20</v>
      </c>
      <c r="L4877" s="16" t="s">
        <v>26</v>
      </c>
      <c r="M4877" s="16" t="s">
        <v>147</v>
      </c>
    </row>
    <row r="4878" spans="1:14" ht="13.5" customHeight="1" x14ac:dyDescent="0.25">
      <c r="I4878" s="16">
        <v>30</v>
      </c>
      <c r="L4878" s="16" t="s">
        <v>25</v>
      </c>
      <c r="M4878" s="16" t="s">
        <v>137</v>
      </c>
      <c r="N4878" s="15" t="s">
        <v>114</v>
      </c>
    </row>
    <row r="4879" spans="1:14" ht="13.5" customHeight="1" x14ac:dyDescent="0.25">
      <c r="I4879" s="16">
        <v>50</v>
      </c>
      <c r="L4879" s="16" t="s">
        <v>26</v>
      </c>
      <c r="M4879" s="15" t="s">
        <v>846</v>
      </c>
    </row>
    <row r="4880" spans="1:14" ht="13.5" customHeight="1" x14ac:dyDescent="0.25">
      <c r="I4880" s="16">
        <v>30</v>
      </c>
      <c r="L4880" s="16" t="s">
        <v>26</v>
      </c>
      <c r="M4880" s="15" t="s">
        <v>847</v>
      </c>
    </row>
    <row r="4881" spans="1:13" ht="13.5" customHeight="1" x14ac:dyDescent="0.25">
      <c r="I4881" s="16">
        <v>60</v>
      </c>
      <c r="L4881" s="16" t="s">
        <v>26</v>
      </c>
      <c r="M4881" s="16" t="s">
        <v>844</v>
      </c>
    </row>
    <row r="4883" spans="1:13" ht="13.5" customHeight="1" x14ac:dyDescent="0.25">
      <c r="A4883" s="16" t="s">
        <v>845</v>
      </c>
      <c r="B4883" s="16" t="s">
        <v>1</v>
      </c>
      <c r="C4883" s="16" t="s">
        <v>16</v>
      </c>
      <c r="D4883" s="15" t="s">
        <v>548</v>
      </c>
      <c r="E4883" s="15"/>
      <c r="F4883" s="16">
        <v>357.48</v>
      </c>
      <c r="G4883" s="16">
        <v>10.5</v>
      </c>
      <c r="H4883" s="16" t="s">
        <v>22</v>
      </c>
      <c r="I4883" s="16">
        <v>10</v>
      </c>
      <c r="L4883" s="16" t="s">
        <v>23</v>
      </c>
    </row>
    <row r="4884" spans="1:13" ht="13.5" customHeight="1" x14ac:dyDescent="0.25">
      <c r="I4884" s="16">
        <v>110</v>
      </c>
      <c r="L4884" s="16" t="s">
        <v>32</v>
      </c>
    </row>
    <row r="4885" spans="1:13" ht="13.5" customHeight="1" x14ac:dyDescent="0.25">
      <c r="I4885" s="16">
        <v>30</v>
      </c>
      <c r="L4885" s="16" t="s">
        <v>33</v>
      </c>
      <c r="M4885" s="15"/>
    </row>
    <row r="4886" spans="1:13" ht="13.5" customHeight="1" x14ac:dyDescent="0.25">
      <c r="I4886" s="16">
        <v>20</v>
      </c>
      <c r="L4886" s="16" t="s">
        <v>29</v>
      </c>
      <c r="M4886" s="15"/>
    </row>
    <row r="4887" spans="1:13" ht="13.5" customHeight="1" x14ac:dyDescent="0.25">
      <c r="I4887" s="16">
        <v>30</v>
      </c>
      <c r="L4887" s="16" t="s">
        <v>25</v>
      </c>
      <c r="M4887" s="16" t="s">
        <v>45</v>
      </c>
    </row>
    <row r="4888" spans="1:13" ht="13.5" customHeight="1" x14ac:dyDescent="0.25">
      <c r="I4888" s="16">
        <v>20</v>
      </c>
      <c r="L4888" s="16" t="s">
        <v>27</v>
      </c>
    </row>
    <row r="4889" spans="1:13" ht="13.5" customHeight="1" x14ac:dyDescent="0.25">
      <c r="I4889" s="16">
        <v>20</v>
      </c>
      <c r="L4889" s="16" t="s">
        <v>26</v>
      </c>
      <c r="M4889" s="16" t="s">
        <v>147</v>
      </c>
    </row>
    <row r="4890" spans="1:13" ht="13.5" customHeight="1" x14ac:dyDescent="0.25">
      <c r="I4890" s="16">
        <v>20</v>
      </c>
      <c r="L4890" s="16" t="s">
        <v>25</v>
      </c>
      <c r="M4890" s="16" t="s">
        <v>137</v>
      </c>
    </row>
    <row r="4891" spans="1:13" ht="13.5" customHeight="1" x14ac:dyDescent="0.25">
      <c r="I4891" s="16">
        <v>60</v>
      </c>
      <c r="L4891" s="16" t="s">
        <v>26</v>
      </c>
      <c r="M4891" s="15" t="s">
        <v>848</v>
      </c>
    </row>
    <row r="4893" spans="1:13" ht="13.5" customHeight="1" x14ac:dyDescent="0.25">
      <c r="A4893" s="16" t="s">
        <v>845</v>
      </c>
      <c r="B4893" s="16" t="s">
        <v>2</v>
      </c>
      <c r="C4893" s="16" t="s">
        <v>192</v>
      </c>
      <c r="D4893" s="16" t="s">
        <v>21</v>
      </c>
      <c r="F4893" s="16">
        <f>15.21+37.66+28.55+31.51+31.14+31.18+38.21+38.32+38.08+38.48+38.1+8.07+8.07</f>
        <v>382.58000000000004</v>
      </c>
      <c r="G4893" s="16">
        <v>11</v>
      </c>
      <c r="H4893" s="16" t="s">
        <v>22</v>
      </c>
      <c r="I4893" s="16">
        <v>10</v>
      </c>
      <c r="L4893" s="16" t="s">
        <v>23</v>
      </c>
    </row>
    <row r="4894" spans="1:13" ht="13.5" customHeight="1" x14ac:dyDescent="0.25">
      <c r="I4894" s="16">
        <v>110</v>
      </c>
      <c r="L4894" s="16" t="s">
        <v>32</v>
      </c>
    </row>
    <row r="4895" spans="1:13" ht="13.5" customHeight="1" x14ac:dyDescent="0.25">
      <c r="I4895" s="16">
        <v>30</v>
      </c>
      <c r="L4895" s="16" t="s">
        <v>33</v>
      </c>
      <c r="M4895" s="15"/>
    </row>
    <row r="4896" spans="1:13" ht="13.5" customHeight="1" x14ac:dyDescent="0.25">
      <c r="I4896" s="16">
        <v>20</v>
      </c>
      <c r="L4896" s="16" t="s">
        <v>29</v>
      </c>
      <c r="M4896" s="15"/>
    </row>
    <row r="4897" spans="1:13" ht="13.5" customHeight="1" x14ac:dyDescent="0.25">
      <c r="I4897" s="16">
        <v>30</v>
      </c>
      <c r="L4897" s="16" t="s">
        <v>25</v>
      </c>
      <c r="M4897" s="16" t="s">
        <v>45</v>
      </c>
    </row>
    <row r="4898" spans="1:13" ht="13.5" customHeight="1" x14ac:dyDescent="0.25">
      <c r="I4898" s="16">
        <v>20</v>
      </c>
      <c r="L4898" s="16" t="s">
        <v>27</v>
      </c>
    </row>
    <row r="4899" spans="1:13" ht="13.5" customHeight="1" x14ac:dyDescent="0.25">
      <c r="I4899" s="16">
        <v>20</v>
      </c>
      <c r="L4899" s="16" t="s">
        <v>26</v>
      </c>
      <c r="M4899" s="16" t="s">
        <v>147</v>
      </c>
    </row>
    <row r="4900" spans="1:13" ht="13.5" customHeight="1" x14ac:dyDescent="0.25">
      <c r="I4900" s="16">
        <v>20</v>
      </c>
      <c r="L4900" s="16" t="s">
        <v>25</v>
      </c>
      <c r="M4900" s="16" t="s">
        <v>137</v>
      </c>
    </row>
    <row r="4903" spans="1:13" ht="13.5" customHeight="1" x14ac:dyDescent="0.25">
      <c r="A4903" s="16" t="s">
        <v>849</v>
      </c>
      <c r="B4903" s="16" t="s">
        <v>0</v>
      </c>
      <c r="C4903" s="16" t="s">
        <v>15</v>
      </c>
      <c r="D4903" s="16" t="s">
        <v>20</v>
      </c>
      <c r="F4903" s="16">
        <v>391.05</v>
      </c>
      <c r="G4903" s="16">
        <v>11</v>
      </c>
      <c r="H4903" s="16" t="s">
        <v>22</v>
      </c>
      <c r="I4903" s="16">
        <v>10</v>
      </c>
      <c r="L4903" s="16" t="s">
        <v>23</v>
      </c>
    </row>
    <row r="4904" spans="1:13" ht="13.5" customHeight="1" x14ac:dyDescent="0.25">
      <c r="I4904" s="16">
        <v>110</v>
      </c>
      <c r="L4904" s="16" t="s">
        <v>32</v>
      </c>
    </row>
    <row r="4905" spans="1:13" ht="13.5" customHeight="1" x14ac:dyDescent="0.25">
      <c r="I4905" s="16">
        <v>30</v>
      </c>
      <c r="L4905" s="16" t="s">
        <v>33</v>
      </c>
      <c r="M4905" s="15"/>
    </row>
    <row r="4906" spans="1:13" ht="13.5" customHeight="1" x14ac:dyDescent="0.25">
      <c r="I4906" s="16">
        <v>20</v>
      </c>
      <c r="L4906" s="16" t="s">
        <v>29</v>
      </c>
      <c r="M4906" s="15"/>
    </row>
    <row r="4907" spans="1:13" ht="13.5" customHeight="1" x14ac:dyDescent="0.25">
      <c r="I4907" s="16">
        <v>15</v>
      </c>
      <c r="L4907" s="16" t="s">
        <v>25</v>
      </c>
      <c r="M4907" s="16" t="s">
        <v>45</v>
      </c>
    </row>
    <row r="4908" spans="1:13" ht="13.5" customHeight="1" x14ac:dyDescent="0.25">
      <c r="I4908" s="16">
        <v>20</v>
      </c>
      <c r="L4908" s="16" t="s">
        <v>27</v>
      </c>
    </row>
    <row r="4909" spans="1:13" ht="13.5" customHeight="1" x14ac:dyDescent="0.25">
      <c r="I4909" s="16">
        <v>20</v>
      </c>
      <c r="L4909" s="16" t="s">
        <v>26</v>
      </c>
      <c r="M4909" s="16" t="s">
        <v>147</v>
      </c>
    </row>
    <row r="4910" spans="1:13" ht="13.5" customHeight="1" x14ac:dyDescent="0.25">
      <c r="I4910" s="16">
        <v>20</v>
      </c>
      <c r="L4910" s="16" t="s">
        <v>25</v>
      </c>
      <c r="M4910" s="16" t="s">
        <v>137</v>
      </c>
    </row>
    <row r="4911" spans="1:13" ht="13.5" customHeight="1" x14ac:dyDescent="0.25">
      <c r="I4911" s="16">
        <v>20</v>
      </c>
      <c r="L4911" s="16" t="s">
        <v>26</v>
      </c>
      <c r="M4911" s="15" t="s">
        <v>827</v>
      </c>
    </row>
    <row r="4912" spans="1:13" ht="13.5" customHeight="1" x14ac:dyDescent="0.25">
      <c r="M4912" s="15"/>
    </row>
    <row r="4913" spans="1:13" ht="13.5" customHeight="1" x14ac:dyDescent="0.25">
      <c r="A4913" s="16" t="s">
        <v>174</v>
      </c>
      <c r="B4913" s="16" t="s">
        <v>1</v>
      </c>
      <c r="C4913" s="16" t="s">
        <v>16</v>
      </c>
      <c r="D4913" s="15" t="s">
        <v>548</v>
      </c>
      <c r="E4913" s="15"/>
      <c r="F4913" s="16">
        <v>389.97</v>
      </c>
      <c r="G4913" s="16">
        <v>11</v>
      </c>
      <c r="H4913" s="16" t="s">
        <v>22</v>
      </c>
      <c r="I4913" s="16">
        <v>10</v>
      </c>
      <c r="L4913" s="16" t="s">
        <v>23</v>
      </c>
    </row>
    <row r="4914" spans="1:13" ht="13.5" customHeight="1" x14ac:dyDescent="0.25">
      <c r="I4914" s="16">
        <v>110</v>
      </c>
      <c r="L4914" s="16" t="s">
        <v>32</v>
      </c>
    </row>
    <row r="4915" spans="1:13" ht="13.5" customHeight="1" x14ac:dyDescent="0.25">
      <c r="I4915" s="16">
        <v>30</v>
      </c>
      <c r="L4915" s="16" t="s">
        <v>33</v>
      </c>
      <c r="M4915" s="15"/>
    </row>
    <row r="4916" spans="1:13" ht="13.5" customHeight="1" x14ac:dyDescent="0.25">
      <c r="I4916" s="16">
        <v>20</v>
      </c>
      <c r="L4916" s="16" t="s">
        <v>29</v>
      </c>
      <c r="M4916" s="15"/>
    </row>
    <row r="4917" spans="1:13" ht="13.5" customHeight="1" x14ac:dyDescent="0.25">
      <c r="I4917" s="16">
        <v>30</v>
      </c>
      <c r="L4917" s="16" t="s">
        <v>25</v>
      </c>
      <c r="M4917" s="16" t="s">
        <v>45</v>
      </c>
    </row>
    <row r="4918" spans="1:13" ht="13.5" customHeight="1" x14ac:dyDescent="0.25">
      <c r="I4918" s="16">
        <v>20</v>
      </c>
      <c r="L4918" s="16" t="s">
        <v>27</v>
      </c>
    </row>
    <row r="4919" spans="1:13" ht="13.5" customHeight="1" x14ac:dyDescent="0.25">
      <c r="I4919" s="16">
        <v>20</v>
      </c>
      <c r="L4919" s="16" t="s">
        <v>26</v>
      </c>
      <c r="M4919" s="16" t="s">
        <v>147</v>
      </c>
    </row>
    <row r="4920" spans="1:13" ht="13.5" customHeight="1" x14ac:dyDescent="0.25">
      <c r="I4920" s="16">
        <v>20</v>
      </c>
      <c r="L4920" s="16" t="s">
        <v>25</v>
      </c>
      <c r="M4920" s="16" t="s">
        <v>137</v>
      </c>
    </row>
    <row r="4921" spans="1:13" ht="13.5" customHeight="1" x14ac:dyDescent="0.25">
      <c r="M4921" s="15"/>
    </row>
    <row r="4922" spans="1:13" ht="13.5" customHeight="1" x14ac:dyDescent="0.25">
      <c r="A4922" s="16" t="s">
        <v>174</v>
      </c>
      <c r="B4922" s="16" t="s">
        <v>2</v>
      </c>
      <c r="C4922" s="16" t="s">
        <v>192</v>
      </c>
      <c r="D4922" s="16" t="s">
        <v>21</v>
      </c>
      <c r="F4922" s="16">
        <f>17.12+34.85+31.34+31.41+37.94+31.87+31.52+36.97+38.09+38.21+38.17+8.35+8.35</f>
        <v>384.19000000000005</v>
      </c>
      <c r="G4922" s="16">
        <v>11</v>
      </c>
      <c r="H4922" s="16" t="s">
        <v>22</v>
      </c>
      <c r="I4922" s="16">
        <v>10</v>
      </c>
      <c r="L4922" s="16" t="s">
        <v>23</v>
      </c>
    </row>
    <row r="4923" spans="1:13" ht="13.5" customHeight="1" x14ac:dyDescent="0.25">
      <c r="I4923" s="16">
        <v>100</v>
      </c>
      <c r="L4923" s="16" t="s">
        <v>32</v>
      </c>
    </row>
    <row r="4924" spans="1:13" ht="13.5" customHeight="1" x14ac:dyDescent="0.25">
      <c r="I4924" s="16">
        <v>30</v>
      </c>
      <c r="L4924" s="16" t="s">
        <v>33</v>
      </c>
      <c r="M4924" s="15"/>
    </row>
    <row r="4925" spans="1:13" ht="13.5" customHeight="1" x14ac:dyDescent="0.25">
      <c r="I4925" s="16">
        <v>20</v>
      </c>
      <c r="L4925" s="16" t="s">
        <v>29</v>
      </c>
      <c r="M4925" s="15"/>
    </row>
    <row r="4926" spans="1:13" ht="13.5" customHeight="1" x14ac:dyDescent="0.25">
      <c r="I4926" s="16">
        <v>20</v>
      </c>
      <c r="L4926" s="16" t="s">
        <v>25</v>
      </c>
      <c r="M4926" s="16" t="s">
        <v>45</v>
      </c>
    </row>
    <row r="4927" spans="1:13" ht="13.5" customHeight="1" x14ac:dyDescent="0.25">
      <c r="I4927" s="16">
        <v>20</v>
      </c>
      <c r="L4927" s="16" t="s">
        <v>27</v>
      </c>
    </row>
    <row r="4928" spans="1:13" ht="13.5" customHeight="1" x14ac:dyDescent="0.25">
      <c r="I4928" s="16">
        <v>20</v>
      </c>
      <c r="L4928" s="16" t="s">
        <v>26</v>
      </c>
      <c r="M4928" s="16" t="s">
        <v>147</v>
      </c>
    </row>
    <row r="4930" spans="1:13" ht="13.5" customHeight="1" x14ac:dyDescent="0.25">
      <c r="A4930" s="16" t="s">
        <v>850</v>
      </c>
      <c r="B4930" s="16" t="s">
        <v>0</v>
      </c>
      <c r="C4930" s="16" t="s">
        <v>6</v>
      </c>
      <c r="D4930" s="16" t="s">
        <v>20</v>
      </c>
      <c r="F4930" s="16">
        <v>396.04</v>
      </c>
      <c r="G4930" s="16">
        <v>11</v>
      </c>
      <c r="H4930" s="16" t="s">
        <v>22</v>
      </c>
      <c r="I4930" s="16">
        <v>10</v>
      </c>
      <c r="L4930" s="16" t="s">
        <v>23</v>
      </c>
    </row>
    <row r="4931" spans="1:13" ht="13.5" customHeight="1" x14ac:dyDescent="0.25">
      <c r="I4931" s="16">
        <v>110</v>
      </c>
      <c r="L4931" s="16" t="s">
        <v>32</v>
      </c>
    </row>
    <row r="4932" spans="1:13" ht="13.5" customHeight="1" x14ac:dyDescent="0.25">
      <c r="I4932" s="16">
        <v>30</v>
      </c>
      <c r="L4932" s="16" t="s">
        <v>33</v>
      </c>
      <c r="M4932" s="15"/>
    </row>
    <row r="4933" spans="1:13" ht="13.5" customHeight="1" x14ac:dyDescent="0.25">
      <c r="I4933" s="16">
        <v>20</v>
      </c>
      <c r="L4933" s="16" t="s">
        <v>29</v>
      </c>
      <c r="M4933" s="15"/>
    </row>
    <row r="4934" spans="1:13" ht="13.5" customHeight="1" x14ac:dyDescent="0.25">
      <c r="I4934" s="16">
        <v>20</v>
      </c>
      <c r="L4934" s="16" t="s">
        <v>27</v>
      </c>
    </row>
    <row r="4935" spans="1:13" ht="13.5" customHeight="1" x14ac:dyDescent="0.25">
      <c r="I4935" s="16">
        <v>20</v>
      </c>
      <c r="L4935" s="16" t="s">
        <v>26</v>
      </c>
      <c r="M4935" s="16" t="s">
        <v>147</v>
      </c>
    </row>
    <row r="4936" spans="1:13" ht="13.5" customHeight="1" x14ac:dyDescent="0.25">
      <c r="I4936" s="16">
        <v>30</v>
      </c>
      <c r="L4936" s="16" t="s">
        <v>25</v>
      </c>
      <c r="M4936" s="16" t="s">
        <v>137</v>
      </c>
    </row>
    <row r="4938" spans="1:13" ht="13.5" customHeight="1" x14ac:dyDescent="0.25">
      <c r="A4938" s="16" t="s">
        <v>175</v>
      </c>
      <c r="B4938" s="16" t="s">
        <v>1</v>
      </c>
      <c r="C4938" s="16" t="s">
        <v>6</v>
      </c>
      <c r="D4938" s="15" t="s">
        <v>548</v>
      </c>
      <c r="E4938" s="15"/>
      <c r="F4938" s="16">
        <v>378.07</v>
      </c>
      <c r="G4938" s="16">
        <v>11</v>
      </c>
      <c r="H4938" s="16" t="s">
        <v>22</v>
      </c>
      <c r="I4938" s="16">
        <v>10</v>
      </c>
      <c r="L4938" s="16" t="s">
        <v>23</v>
      </c>
    </row>
    <row r="4939" spans="1:13" ht="13.5" customHeight="1" x14ac:dyDescent="0.25">
      <c r="I4939" s="16">
        <v>110</v>
      </c>
      <c r="L4939" s="16" t="s">
        <v>32</v>
      </c>
    </row>
    <row r="4940" spans="1:13" ht="13.5" customHeight="1" x14ac:dyDescent="0.25">
      <c r="I4940" s="16">
        <v>30</v>
      </c>
      <c r="L4940" s="16" t="s">
        <v>33</v>
      </c>
      <c r="M4940" s="15"/>
    </row>
    <row r="4941" spans="1:13" ht="13.5" customHeight="1" x14ac:dyDescent="0.25">
      <c r="I4941" s="16">
        <v>20</v>
      </c>
      <c r="L4941" s="16" t="s">
        <v>29</v>
      </c>
      <c r="M4941" s="15"/>
    </row>
    <row r="4942" spans="1:13" ht="13.5" customHeight="1" x14ac:dyDescent="0.25">
      <c r="I4942" s="16">
        <v>30</v>
      </c>
      <c r="L4942" s="16" t="s">
        <v>25</v>
      </c>
      <c r="M4942" s="16" t="s">
        <v>45</v>
      </c>
    </row>
    <row r="4943" spans="1:13" ht="13.5" customHeight="1" x14ac:dyDescent="0.25">
      <c r="I4943" s="16">
        <v>20</v>
      </c>
      <c r="L4943" s="16" t="s">
        <v>27</v>
      </c>
    </row>
    <row r="4944" spans="1:13" ht="13.5" customHeight="1" x14ac:dyDescent="0.25">
      <c r="I4944" s="16">
        <v>20</v>
      </c>
      <c r="L4944" s="16" t="s">
        <v>26</v>
      </c>
      <c r="M4944" s="16" t="s">
        <v>147</v>
      </c>
    </row>
    <row r="4945" spans="1:13" ht="13.5" customHeight="1" x14ac:dyDescent="0.25">
      <c r="I4945" s="16">
        <v>20</v>
      </c>
      <c r="L4945" s="16" t="s">
        <v>25</v>
      </c>
      <c r="M4945" s="16" t="s">
        <v>137</v>
      </c>
    </row>
    <row r="4946" spans="1:13" ht="13.5" customHeight="1" x14ac:dyDescent="0.25">
      <c r="M4946" s="15"/>
    </row>
    <row r="4947" spans="1:13" ht="13.5" customHeight="1" x14ac:dyDescent="0.25">
      <c r="A4947" s="16" t="s">
        <v>175</v>
      </c>
      <c r="B4947" s="16" t="s">
        <v>2</v>
      </c>
      <c r="C4947" s="16" t="s">
        <v>192</v>
      </c>
      <c r="D4947" s="16" t="s">
        <v>21</v>
      </c>
      <c r="F4947" s="16">
        <f>24.65+38.15+38.07+38.06+38.32+31.4+38.39+24.71+38.21</f>
        <v>309.95999999999998</v>
      </c>
      <c r="G4947" s="16">
        <v>8.5</v>
      </c>
      <c r="H4947" s="16" t="s">
        <v>22</v>
      </c>
      <c r="I4947" s="16">
        <v>10</v>
      </c>
      <c r="L4947" s="16" t="s">
        <v>23</v>
      </c>
    </row>
    <row r="4948" spans="1:13" ht="13.5" customHeight="1" x14ac:dyDescent="0.25">
      <c r="I4948" s="16">
        <v>80</v>
      </c>
      <c r="L4948" s="16" t="s">
        <v>32</v>
      </c>
    </row>
    <row r="4949" spans="1:13" ht="13.5" customHeight="1" x14ac:dyDescent="0.25">
      <c r="I4949" s="16">
        <v>20</v>
      </c>
      <c r="L4949" s="16" t="s">
        <v>33</v>
      </c>
      <c r="M4949" s="15"/>
    </row>
    <row r="4950" spans="1:13" ht="13.5" customHeight="1" x14ac:dyDescent="0.25">
      <c r="I4950" s="16">
        <v>25</v>
      </c>
      <c r="L4950" s="16" t="s">
        <v>29</v>
      </c>
      <c r="M4950" s="15"/>
    </row>
    <row r="4951" spans="1:13" ht="13.5" customHeight="1" x14ac:dyDescent="0.25">
      <c r="I4951" s="16">
        <v>40</v>
      </c>
      <c r="L4951" s="16" t="s">
        <v>25</v>
      </c>
      <c r="M4951" s="16" t="s">
        <v>45</v>
      </c>
    </row>
    <row r="4952" spans="1:13" ht="13.5" customHeight="1" x14ac:dyDescent="0.25">
      <c r="I4952" s="16">
        <v>20</v>
      </c>
      <c r="L4952" s="16" t="s">
        <v>27</v>
      </c>
    </row>
    <row r="4953" spans="1:13" ht="13.5" customHeight="1" x14ac:dyDescent="0.25">
      <c r="I4953" s="16">
        <v>20</v>
      </c>
      <c r="L4953" s="16" t="s">
        <v>26</v>
      </c>
      <c r="M4953" s="16" t="s">
        <v>147</v>
      </c>
    </row>
    <row r="4954" spans="1:13" ht="13.5" customHeight="1" x14ac:dyDescent="0.25">
      <c r="I4954" s="16">
        <v>30</v>
      </c>
      <c r="L4954" s="16" t="s">
        <v>26</v>
      </c>
      <c r="M4954" s="16" t="s">
        <v>851</v>
      </c>
    </row>
    <row r="4955" spans="1:13" ht="13.5" customHeight="1" x14ac:dyDescent="0.25">
      <c r="I4955" s="16">
        <v>60</v>
      </c>
      <c r="L4955" s="16" t="s">
        <v>24</v>
      </c>
      <c r="M4955" s="16" t="s">
        <v>149</v>
      </c>
    </row>
    <row r="4956" spans="1:13" ht="13.5" customHeight="1" x14ac:dyDescent="0.25">
      <c r="I4956" s="16">
        <v>10</v>
      </c>
      <c r="L4956" s="16" t="s">
        <v>26</v>
      </c>
      <c r="M4956" s="15" t="s">
        <v>167</v>
      </c>
    </row>
    <row r="4958" spans="1:13" ht="13.5" customHeight="1" x14ac:dyDescent="0.25">
      <c r="A4958" s="16" t="s">
        <v>852</v>
      </c>
      <c r="B4958" s="16" t="s">
        <v>0</v>
      </c>
      <c r="C4958" s="16" t="s">
        <v>6</v>
      </c>
      <c r="D4958" s="15" t="s">
        <v>548</v>
      </c>
      <c r="E4958" s="15"/>
      <c r="F4958" s="16">
        <v>328.25</v>
      </c>
      <c r="G4958" s="16">
        <v>9.5</v>
      </c>
      <c r="H4958" s="16" t="s">
        <v>22</v>
      </c>
      <c r="I4958" s="16">
        <v>10</v>
      </c>
      <c r="L4958" s="16" t="s">
        <v>23</v>
      </c>
    </row>
    <row r="4959" spans="1:13" ht="13.5" customHeight="1" x14ac:dyDescent="0.25">
      <c r="I4959" s="16">
        <v>110</v>
      </c>
      <c r="L4959" s="16" t="s">
        <v>32</v>
      </c>
    </row>
    <row r="4960" spans="1:13" ht="13.5" customHeight="1" x14ac:dyDescent="0.25">
      <c r="I4960" s="16">
        <v>30</v>
      </c>
      <c r="L4960" s="16" t="s">
        <v>33</v>
      </c>
      <c r="M4960" s="15"/>
    </row>
    <row r="4961" spans="1:18" ht="13.5" customHeight="1" x14ac:dyDescent="0.25">
      <c r="I4961" s="16">
        <v>40</v>
      </c>
      <c r="L4961" s="16" t="s">
        <v>29</v>
      </c>
      <c r="M4961" s="15" t="s">
        <v>855</v>
      </c>
    </row>
    <row r="4962" spans="1:18" ht="13.5" customHeight="1" x14ac:dyDescent="0.25">
      <c r="I4962" s="16">
        <v>30</v>
      </c>
      <c r="L4962" s="16" t="s">
        <v>25</v>
      </c>
      <c r="M4962" s="16" t="s">
        <v>854</v>
      </c>
    </row>
    <row r="4963" spans="1:18" ht="13.5" customHeight="1" x14ac:dyDescent="0.25">
      <c r="I4963" s="16">
        <v>20</v>
      </c>
      <c r="L4963" s="16" t="s">
        <v>25</v>
      </c>
      <c r="M4963" s="16" t="s">
        <v>36</v>
      </c>
    </row>
    <row r="4964" spans="1:18" ht="13.5" customHeight="1" x14ac:dyDescent="0.25">
      <c r="I4964" s="16">
        <v>20</v>
      </c>
      <c r="L4964" s="16" t="s">
        <v>26</v>
      </c>
      <c r="M4964" s="16" t="s">
        <v>147</v>
      </c>
    </row>
    <row r="4965" spans="1:18" ht="13.5" customHeight="1" x14ac:dyDescent="0.25">
      <c r="I4965" s="16">
        <v>20</v>
      </c>
      <c r="L4965" s="16" t="s">
        <v>25</v>
      </c>
      <c r="M4965" s="16" t="s">
        <v>137</v>
      </c>
    </row>
    <row r="4966" spans="1:18" ht="13.5" customHeight="1" x14ac:dyDescent="0.25">
      <c r="I4966" s="16">
        <v>60</v>
      </c>
      <c r="L4966" s="16" t="s">
        <v>26</v>
      </c>
      <c r="M4966" s="16" t="s">
        <v>853</v>
      </c>
    </row>
    <row r="4968" spans="1:18" ht="13.5" customHeight="1" x14ac:dyDescent="0.25">
      <c r="A4968" s="16">
        <v>13.042026</v>
      </c>
      <c r="B4968" s="16" t="s">
        <v>1</v>
      </c>
      <c r="C4968" s="16" t="s">
        <v>192</v>
      </c>
      <c r="D4968" s="16" t="s">
        <v>21</v>
      </c>
      <c r="F4968" s="16">
        <v>300.14</v>
      </c>
      <c r="G4968" s="16">
        <v>9</v>
      </c>
      <c r="H4968" s="16" t="s">
        <v>22</v>
      </c>
      <c r="I4968" s="16">
        <v>10</v>
      </c>
      <c r="L4968" s="16" t="s">
        <v>23</v>
      </c>
      <c r="N4968" s="16" t="s">
        <v>23</v>
      </c>
      <c r="O4968" s="16"/>
    </row>
    <row r="4969" spans="1:18" ht="13.5" customHeight="1" x14ac:dyDescent="0.25">
      <c r="I4969" s="16">
        <v>90</v>
      </c>
      <c r="L4969" s="16" t="s">
        <v>32</v>
      </c>
      <c r="N4969" s="16" t="s">
        <v>32</v>
      </c>
      <c r="O4969" s="16"/>
    </row>
    <row r="4970" spans="1:18" ht="13.5" customHeight="1" x14ac:dyDescent="0.25">
      <c r="I4970" s="16">
        <v>20</v>
      </c>
      <c r="L4970" s="16" t="s">
        <v>33</v>
      </c>
      <c r="M4970" s="15"/>
      <c r="N4970" s="16" t="s">
        <v>33</v>
      </c>
    </row>
    <row r="4971" spans="1:18" ht="13.5" customHeight="1" x14ac:dyDescent="0.25">
      <c r="I4971" s="16">
        <v>25</v>
      </c>
      <c r="L4971" s="16" t="s">
        <v>29</v>
      </c>
      <c r="M4971" s="15"/>
      <c r="N4971" s="16" t="s">
        <v>29</v>
      </c>
    </row>
    <row r="4972" spans="1:18" ht="13.5" customHeight="1" x14ac:dyDescent="0.25">
      <c r="I4972" s="16">
        <v>40</v>
      </c>
      <c r="L4972" s="16" t="s">
        <v>25</v>
      </c>
      <c r="M4972" s="16" t="s">
        <v>45</v>
      </c>
      <c r="N4972" s="16" t="s">
        <v>25</v>
      </c>
      <c r="O4972" s="16" t="s">
        <v>45</v>
      </c>
    </row>
    <row r="4973" spans="1:18" ht="13.5" customHeight="1" x14ac:dyDescent="0.25">
      <c r="I4973" s="16">
        <v>20</v>
      </c>
      <c r="L4973" s="16" t="s">
        <v>27</v>
      </c>
      <c r="N4973" s="16" t="s">
        <v>27</v>
      </c>
      <c r="O4973" s="16"/>
    </row>
    <row r="4974" spans="1:18" ht="13.5" customHeight="1" x14ac:dyDescent="0.25">
      <c r="I4974" s="16">
        <v>60</v>
      </c>
      <c r="L4974" s="16" t="s">
        <v>26</v>
      </c>
      <c r="M4974" s="16" t="s">
        <v>147</v>
      </c>
      <c r="N4974" s="16" t="s">
        <v>26</v>
      </c>
      <c r="O4974" s="16" t="s">
        <v>147</v>
      </c>
    </row>
    <row r="4975" spans="1:18" ht="13.5" customHeight="1" x14ac:dyDescent="0.25">
      <c r="I4975" s="16">
        <v>60</v>
      </c>
      <c r="L4975" s="16" t="s">
        <v>26</v>
      </c>
      <c r="M4975" s="15" t="s">
        <v>856</v>
      </c>
      <c r="N4975" s="16" t="s">
        <v>26</v>
      </c>
      <c r="O4975" s="16" t="s">
        <v>851</v>
      </c>
    </row>
    <row r="4976" spans="1:18" ht="13.5" customHeight="1" x14ac:dyDescent="0.25">
      <c r="M4976" s="15" t="s">
        <v>857</v>
      </c>
      <c r="N4976" s="16" t="s">
        <v>24</v>
      </c>
      <c r="O4976" s="16" t="s">
        <v>149</v>
      </c>
      <c r="R4976" s="15" t="s">
        <v>857</v>
      </c>
    </row>
    <row r="4977" spans="1:13" ht="13.5" customHeight="1" x14ac:dyDescent="0.25">
      <c r="A4977" s="16" t="s">
        <v>852</v>
      </c>
      <c r="B4977" s="16" t="s">
        <v>2</v>
      </c>
      <c r="C4977" s="16" t="s">
        <v>15</v>
      </c>
      <c r="D4977" s="16" t="s">
        <v>20</v>
      </c>
      <c r="F4977" s="16">
        <v>388.59</v>
      </c>
      <c r="G4977" s="16">
        <v>10.75</v>
      </c>
      <c r="H4977" s="16" t="s">
        <v>22</v>
      </c>
      <c r="I4977" s="16">
        <v>10</v>
      </c>
      <c r="L4977" s="16" t="s">
        <v>23</v>
      </c>
    </row>
    <row r="4978" spans="1:13" ht="13.5" customHeight="1" x14ac:dyDescent="0.25">
      <c r="I4978" s="16">
        <v>110</v>
      </c>
      <c r="L4978" s="16" t="s">
        <v>32</v>
      </c>
    </row>
    <row r="4979" spans="1:13" ht="13.5" customHeight="1" x14ac:dyDescent="0.25">
      <c r="I4979" s="16">
        <v>30</v>
      </c>
      <c r="L4979" s="16" t="s">
        <v>33</v>
      </c>
      <c r="M4979" s="15"/>
    </row>
    <row r="4980" spans="1:13" ht="13.5" customHeight="1" x14ac:dyDescent="0.25">
      <c r="I4980" s="16">
        <v>60</v>
      </c>
      <c r="L4980" s="16" t="s">
        <v>29</v>
      </c>
      <c r="M4980" s="15"/>
    </row>
    <row r="4981" spans="1:13" ht="13.5" customHeight="1" x14ac:dyDescent="0.25">
      <c r="I4981" s="16">
        <v>20</v>
      </c>
      <c r="L4981" s="16" t="s">
        <v>25</v>
      </c>
      <c r="M4981" s="16" t="s">
        <v>45</v>
      </c>
    </row>
    <row r="4982" spans="1:13" ht="13.5" customHeight="1" x14ac:dyDescent="0.25">
      <c r="I4982" s="16">
        <v>20</v>
      </c>
      <c r="L4982" s="16" t="s">
        <v>27</v>
      </c>
    </row>
    <row r="4983" spans="1:13" ht="13.5" customHeight="1" x14ac:dyDescent="0.25">
      <c r="I4983" s="16">
        <v>20</v>
      </c>
      <c r="L4983" s="16" t="s">
        <v>26</v>
      </c>
      <c r="M4983" s="16" t="s">
        <v>147</v>
      </c>
    </row>
    <row r="4985" spans="1:13" ht="13.5" customHeight="1" x14ac:dyDescent="0.25">
      <c r="A4985" s="16" t="s">
        <v>858</v>
      </c>
      <c r="B4985" s="16" t="s">
        <v>0</v>
      </c>
      <c r="C4985" s="16" t="s">
        <v>16</v>
      </c>
      <c r="D4985" s="15" t="s">
        <v>548</v>
      </c>
      <c r="E4985" s="15"/>
      <c r="F4985" s="16">
        <v>386.27</v>
      </c>
      <c r="G4985" s="16">
        <v>10.5</v>
      </c>
      <c r="H4985" s="16" t="s">
        <v>22</v>
      </c>
      <c r="I4985" s="16">
        <v>10</v>
      </c>
      <c r="L4985" s="16" t="s">
        <v>23</v>
      </c>
    </row>
    <row r="4986" spans="1:13" ht="13.5" customHeight="1" x14ac:dyDescent="0.25">
      <c r="I4986" s="16">
        <v>110</v>
      </c>
      <c r="L4986" s="16" t="s">
        <v>32</v>
      </c>
    </row>
    <row r="4987" spans="1:13" ht="13.5" customHeight="1" x14ac:dyDescent="0.25">
      <c r="I4987" s="16">
        <v>30</v>
      </c>
      <c r="L4987" s="16" t="s">
        <v>33</v>
      </c>
      <c r="M4987" s="15"/>
    </row>
    <row r="4988" spans="1:13" ht="13.5" customHeight="1" x14ac:dyDescent="0.25">
      <c r="I4988" s="16">
        <v>20</v>
      </c>
      <c r="L4988" s="16" t="s">
        <v>29</v>
      </c>
      <c r="M4988" s="15"/>
    </row>
    <row r="4989" spans="1:13" ht="13.5" customHeight="1" x14ac:dyDescent="0.25">
      <c r="I4989" s="16">
        <v>30</v>
      </c>
      <c r="L4989" s="16" t="s">
        <v>25</v>
      </c>
      <c r="M4989" s="16" t="s">
        <v>45</v>
      </c>
    </row>
    <row r="4990" spans="1:13" ht="13.5" customHeight="1" x14ac:dyDescent="0.25">
      <c r="I4990" s="16">
        <v>20</v>
      </c>
      <c r="L4990" s="16" t="s">
        <v>27</v>
      </c>
    </row>
    <row r="4991" spans="1:13" ht="13.5" customHeight="1" x14ac:dyDescent="0.25">
      <c r="I4991" s="16">
        <v>20</v>
      </c>
      <c r="L4991" s="16" t="s">
        <v>26</v>
      </c>
      <c r="M4991" s="16" t="s">
        <v>147</v>
      </c>
    </row>
    <row r="4992" spans="1:13" ht="13.5" customHeight="1" x14ac:dyDescent="0.25">
      <c r="I4992" s="16">
        <v>20</v>
      </c>
      <c r="L4992" s="16" t="s">
        <v>25</v>
      </c>
      <c r="M4992" s="16" t="s">
        <v>137</v>
      </c>
    </row>
    <row r="4993" spans="1:15" ht="13.5" customHeight="1" x14ac:dyDescent="0.25">
      <c r="I4993" s="16">
        <v>40</v>
      </c>
      <c r="L4993" s="16" t="s">
        <v>24</v>
      </c>
      <c r="M4993" s="15" t="s">
        <v>859</v>
      </c>
    </row>
    <row r="4995" spans="1:15" ht="13.5" customHeight="1" x14ac:dyDescent="0.25">
      <c r="A4995" s="16" t="s">
        <v>858</v>
      </c>
      <c r="B4995" s="16" t="s">
        <v>1</v>
      </c>
      <c r="C4995" s="16" t="s">
        <v>6</v>
      </c>
      <c r="D4995" s="16" t="s">
        <v>21</v>
      </c>
      <c r="F4995" s="16">
        <f>19.3+31.5+31.3+28.74+32.75+38.27+38.19+31.66+37.95+38.36</f>
        <v>328.02</v>
      </c>
      <c r="G4995" s="16">
        <v>9.5</v>
      </c>
      <c r="H4995" s="16" t="s">
        <v>22</v>
      </c>
      <c r="I4995" s="16">
        <v>10</v>
      </c>
      <c r="L4995" s="16" t="s">
        <v>23</v>
      </c>
      <c r="N4995" s="16" t="s">
        <v>23</v>
      </c>
      <c r="O4995" s="16"/>
    </row>
    <row r="4996" spans="1:15" ht="13.5" customHeight="1" x14ac:dyDescent="0.25">
      <c r="I4996" s="16">
        <v>100</v>
      </c>
      <c r="L4996" s="16" t="s">
        <v>32</v>
      </c>
      <c r="N4996" s="16" t="s">
        <v>32</v>
      </c>
      <c r="O4996" s="16"/>
    </row>
    <row r="4997" spans="1:15" ht="13.5" customHeight="1" x14ac:dyDescent="0.25">
      <c r="I4997" s="16">
        <v>30</v>
      </c>
      <c r="L4997" s="16" t="s">
        <v>33</v>
      </c>
      <c r="M4997" s="15"/>
      <c r="N4997" s="16" t="s">
        <v>33</v>
      </c>
    </row>
    <row r="4998" spans="1:15" ht="13.5" customHeight="1" x14ac:dyDescent="0.25">
      <c r="I4998" s="16">
        <v>30</v>
      </c>
      <c r="L4998" s="16" t="s">
        <v>29</v>
      </c>
      <c r="M4998" s="15"/>
      <c r="N4998" s="16" t="s">
        <v>29</v>
      </c>
    </row>
    <row r="4999" spans="1:15" ht="13.5" customHeight="1" x14ac:dyDescent="0.25">
      <c r="I4999" s="16">
        <v>30</v>
      </c>
      <c r="L4999" s="16" t="s">
        <v>25</v>
      </c>
      <c r="M4999" s="16" t="s">
        <v>45</v>
      </c>
      <c r="N4999" s="16" t="s">
        <v>25</v>
      </c>
      <c r="O4999" s="16" t="s">
        <v>45</v>
      </c>
    </row>
    <row r="5000" spans="1:15" ht="13.5" customHeight="1" x14ac:dyDescent="0.25">
      <c r="I5000" s="16">
        <v>20</v>
      </c>
      <c r="L5000" s="16" t="s">
        <v>27</v>
      </c>
      <c r="N5000" s="16" t="s">
        <v>27</v>
      </c>
      <c r="O5000" s="16"/>
    </row>
    <row r="5001" spans="1:15" ht="13.5" customHeight="1" x14ac:dyDescent="0.25">
      <c r="I5001" s="16">
        <v>20</v>
      </c>
      <c r="L5001" s="16" t="s">
        <v>26</v>
      </c>
      <c r="M5001" s="16" t="s">
        <v>147</v>
      </c>
      <c r="N5001" s="16" t="s">
        <v>26</v>
      </c>
      <c r="O5001" s="16" t="s">
        <v>147</v>
      </c>
    </row>
    <row r="5002" spans="1:15" ht="13.5" customHeight="1" x14ac:dyDescent="0.25">
      <c r="I5002" s="16">
        <v>30</v>
      </c>
      <c r="L5002" s="16" t="s">
        <v>25</v>
      </c>
      <c r="M5002" s="15" t="s">
        <v>36</v>
      </c>
      <c r="N5002" s="16" t="s">
        <v>26</v>
      </c>
      <c r="O5002" s="16" t="s">
        <v>851</v>
      </c>
    </row>
    <row r="5003" spans="1:15" ht="13.5" customHeight="1" x14ac:dyDescent="0.25">
      <c r="I5003" s="16">
        <v>30</v>
      </c>
      <c r="L5003" s="16" t="s">
        <v>33</v>
      </c>
      <c r="M5003" s="15" t="s">
        <v>861</v>
      </c>
      <c r="N5003" s="16" t="s">
        <v>24</v>
      </c>
      <c r="O5003" s="16" t="s">
        <v>149</v>
      </c>
    </row>
    <row r="5004" spans="1:15" ht="13.5" customHeight="1" x14ac:dyDescent="0.25">
      <c r="I5004" s="16">
        <v>10</v>
      </c>
      <c r="L5004" s="16" t="s">
        <v>26</v>
      </c>
      <c r="M5004" s="16" t="s">
        <v>860</v>
      </c>
    </row>
    <row r="5006" spans="1:15" ht="13.5" customHeight="1" x14ac:dyDescent="0.25">
      <c r="A5006" s="16" t="s">
        <v>858</v>
      </c>
      <c r="B5006" s="16" t="s">
        <v>2</v>
      </c>
      <c r="C5006" s="16" t="s">
        <v>15</v>
      </c>
      <c r="D5006" s="16" t="s">
        <v>20</v>
      </c>
      <c r="F5006" s="16">
        <v>377.23</v>
      </c>
      <c r="G5006" s="16">
        <v>10</v>
      </c>
      <c r="H5006" s="16" t="s">
        <v>22</v>
      </c>
      <c r="I5006" s="16">
        <v>10</v>
      </c>
      <c r="L5006" s="16" t="s">
        <v>23</v>
      </c>
    </row>
    <row r="5007" spans="1:15" ht="13.5" customHeight="1" x14ac:dyDescent="0.25">
      <c r="I5007" s="16">
        <v>100</v>
      </c>
      <c r="L5007" s="16" t="s">
        <v>32</v>
      </c>
    </row>
    <row r="5008" spans="1:15" ht="13.5" customHeight="1" x14ac:dyDescent="0.25">
      <c r="I5008" s="16">
        <v>40</v>
      </c>
      <c r="L5008" s="16" t="s">
        <v>33</v>
      </c>
      <c r="M5008" s="15"/>
    </row>
    <row r="5009" spans="1:14" ht="13.5" customHeight="1" x14ac:dyDescent="0.25">
      <c r="I5009" s="16">
        <v>80</v>
      </c>
      <c r="L5009" s="16" t="s">
        <v>29</v>
      </c>
      <c r="M5009" s="15"/>
    </row>
    <row r="5010" spans="1:14" ht="13.5" customHeight="1" x14ac:dyDescent="0.25">
      <c r="I5010" s="16">
        <v>20</v>
      </c>
      <c r="L5010" s="16" t="s">
        <v>25</v>
      </c>
      <c r="M5010" s="16" t="s">
        <v>45</v>
      </c>
    </row>
    <row r="5011" spans="1:14" ht="13.5" customHeight="1" x14ac:dyDescent="0.25">
      <c r="I5011" s="16">
        <v>20</v>
      </c>
      <c r="L5011" s="16" t="s">
        <v>27</v>
      </c>
    </row>
    <row r="5012" spans="1:14" ht="13.5" customHeight="1" x14ac:dyDescent="0.25">
      <c r="I5012" s="16">
        <v>20</v>
      </c>
      <c r="L5012" s="16" t="s">
        <v>26</v>
      </c>
      <c r="M5012" s="16" t="s">
        <v>147</v>
      </c>
    </row>
    <row r="5013" spans="1:14" ht="13.5" customHeight="1" x14ac:dyDescent="0.25">
      <c r="I5013" s="16">
        <v>50</v>
      </c>
      <c r="L5013" s="16" t="s">
        <v>29</v>
      </c>
      <c r="M5013" s="15" t="s">
        <v>862</v>
      </c>
    </row>
    <row r="5014" spans="1:14" ht="13.5" customHeight="1" x14ac:dyDescent="0.25">
      <c r="N5014" s="15" t="s">
        <v>862</v>
      </c>
    </row>
    <row r="5015" spans="1:14" ht="13.5" customHeight="1" x14ac:dyDescent="0.25">
      <c r="A5015" s="16" t="s">
        <v>863</v>
      </c>
      <c r="B5015" s="16" t="s">
        <v>0</v>
      </c>
      <c r="C5015" s="16" t="s">
        <v>16</v>
      </c>
      <c r="D5015" s="15" t="s">
        <v>548</v>
      </c>
      <c r="E5015" s="15"/>
      <c r="F5015" s="16">
        <v>357.58</v>
      </c>
      <c r="G5015" s="16">
        <v>10</v>
      </c>
      <c r="H5015" s="16" t="s">
        <v>22</v>
      </c>
      <c r="I5015" s="16">
        <v>10</v>
      </c>
      <c r="L5015" s="16" t="s">
        <v>23</v>
      </c>
    </row>
    <row r="5016" spans="1:14" ht="13.5" customHeight="1" x14ac:dyDescent="0.25">
      <c r="I5016" s="16">
        <v>30</v>
      </c>
      <c r="L5016" s="16" t="s">
        <v>25</v>
      </c>
      <c r="M5016" s="16" t="s">
        <v>45</v>
      </c>
    </row>
    <row r="5017" spans="1:14" ht="13.5" customHeight="1" x14ac:dyDescent="0.25">
      <c r="I5017" s="16">
        <v>20</v>
      </c>
      <c r="L5017" s="16" t="s">
        <v>27</v>
      </c>
    </row>
    <row r="5018" spans="1:14" ht="13.5" customHeight="1" x14ac:dyDescent="0.25">
      <c r="I5018" s="16">
        <v>20</v>
      </c>
      <c r="L5018" s="16" t="s">
        <v>25</v>
      </c>
      <c r="M5018" s="16" t="s">
        <v>137</v>
      </c>
    </row>
    <row r="5019" spans="1:14" ht="13.5" customHeight="1" x14ac:dyDescent="0.25">
      <c r="I5019" s="16">
        <v>30</v>
      </c>
      <c r="L5019" s="16" t="s">
        <v>24</v>
      </c>
      <c r="M5019" s="15" t="s">
        <v>859</v>
      </c>
    </row>
    <row r="5025" spans="1:13" ht="13.5" customHeight="1" x14ac:dyDescent="0.25">
      <c r="A5025" s="16" t="s">
        <v>863</v>
      </c>
      <c r="B5025" s="16" t="s">
        <v>1</v>
      </c>
      <c r="C5025" s="16" t="s">
        <v>192</v>
      </c>
      <c r="D5025" s="16" t="s">
        <v>21</v>
      </c>
      <c r="F5025" s="16">
        <v>236.72</v>
      </c>
      <c r="G5025" s="16">
        <v>7</v>
      </c>
      <c r="H5025" s="16" t="s">
        <v>22</v>
      </c>
      <c r="I5025" s="16">
        <v>10</v>
      </c>
      <c r="L5025" s="16" t="s">
        <v>23</v>
      </c>
    </row>
    <row r="5026" spans="1:13" ht="13.5" customHeight="1" x14ac:dyDescent="0.25">
      <c r="I5026" s="16">
        <v>30</v>
      </c>
      <c r="L5026" s="16" t="s">
        <v>25</v>
      </c>
      <c r="M5026" s="16" t="s">
        <v>45</v>
      </c>
    </row>
    <row r="5027" spans="1:13" ht="13.5" customHeight="1" x14ac:dyDescent="0.25">
      <c r="I5027" s="16">
        <v>30</v>
      </c>
      <c r="L5027" s="16" t="s">
        <v>25</v>
      </c>
      <c r="M5027" s="16" t="s">
        <v>137</v>
      </c>
    </row>
    <row r="5028" spans="1:13" ht="13.5" customHeight="1" x14ac:dyDescent="0.25">
      <c r="I5028" s="16">
        <v>30</v>
      </c>
      <c r="L5028" s="16" t="s">
        <v>24</v>
      </c>
      <c r="M5028" s="15" t="s">
        <v>122</v>
      </c>
    </row>
    <row r="5029" spans="1:13" ht="13.5" customHeight="1" x14ac:dyDescent="0.25">
      <c r="I5029" s="16">
        <v>150</v>
      </c>
      <c r="L5029" s="16" t="s">
        <v>26</v>
      </c>
      <c r="M5029" s="15" t="s">
        <v>864</v>
      </c>
    </row>
    <row r="5030" spans="1:13" ht="13.5" customHeight="1" x14ac:dyDescent="0.25">
      <c r="I5030" s="16">
        <v>10</v>
      </c>
      <c r="L5030" s="16" t="s">
        <v>24</v>
      </c>
      <c r="M5030" s="15" t="s">
        <v>117</v>
      </c>
    </row>
    <row r="5031" spans="1:13" ht="13.5" customHeight="1" x14ac:dyDescent="0.25">
      <c r="I5031" s="16">
        <v>30</v>
      </c>
      <c r="L5031" s="16" t="s">
        <v>26</v>
      </c>
      <c r="M5031" s="15" t="s">
        <v>154</v>
      </c>
    </row>
    <row r="5033" spans="1:13" ht="13.5" customHeight="1" x14ac:dyDescent="0.25">
      <c r="A5033" s="16" t="s">
        <v>863</v>
      </c>
      <c r="B5033" s="16" t="s">
        <v>2</v>
      </c>
      <c r="C5033" s="16" t="s">
        <v>15</v>
      </c>
      <c r="D5033" s="16" t="s">
        <v>20</v>
      </c>
      <c r="F5033" s="16">
        <v>375.33</v>
      </c>
      <c r="G5033" s="16">
        <v>11</v>
      </c>
      <c r="H5033" s="16" t="s">
        <v>22</v>
      </c>
      <c r="I5033" s="16">
        <v>10</v>
      </c>
      <c r="L5033" s="16" t="s">
        <v>23</v>
      </c>
    </row>
    <row r="5034" spans="1:13" ht="13.5" customHeight="1" x14ac:dyDescent="0.25">
      <c r="I5034" s="16">
        <v>110</v>
      </c>
      <c r="L5034" s="16" t="s">
        <v>33</v>
      </c>
      <c r="M5034" s="15"/>
    </row>
    <row r="5035" spans="1:13" ht="13.5" customHeight="1" x14ac:dyDescent="0.25">
      <c r="I5035" s="16">
        <v>50</v>
      </c>
      <c r="L5035" s="16" t="s">
        <v>29</v>
      </c>
      <c r="M5035" s="15"/>
    </row>
    <row r="5036" spans="1:13" ht="13.5" customHeight="1" x14ac:dyDescent="0.25">
      <c r="I5036" s="16">
        <v>20</v>
      </c>
      <c r="L5036" s="16" t="s">
        <v>25</v>
      </c>
      <c r="M5036" s="16" t="s">
        <v>137</v>
      </c>
    </row>
    <row r="5037" spans="1:13" ht="13.5" customHeight="1" x14ac:dyDescent="0.25">
      <c r="I5037" s="16">
        <v>20</v>
      </c>
      <c r="L5037" s="16" t="s">
        <v>27</v>
      </c>
    </row>
    <row r="5038" spans="1:13" ht="13.5" customHeight="1" x14ac:dyDescent="0.25">
      <c r="I5038" s="16">
        <v>20</v>
      </c>
      <c r="L5038" s="16" t="s">
        <v>26</v>
      </c>
      <c r="M5038" s="16" t="s">
        <v>147</v>
      </c>
    </row>
    <row r="5039" spans="1:13" ht="13.5" customHeight="1" x14ac:dyDescent="0.25">
      <c r="M5039" s="15"/>
    </row>
    <row r="5040" spans="1:13" ht="13.5" customHeight="1" x14ac:dyDescent="0.25">
      <c r="A5040" s="16" t="s">
        <v>865</v>
      </c>
      <c r="B5040" s="16" t="s">
        <v>0</v>
      </c>
      <c r="C5040" s="16" t="s">
        <v>16</v>
      </c>
      <c r="D5040" s="15" t="s">
        <v>548</v>
      </c>
      <c r="E5040" s="15"/>
      <c r="F5040" s="16">
        <v>373.21</v>
      </c>
      <c r="G5040" s="16">
        <v>10</v>
      </c>
      <c r="H5040" s="16" t="s">
        <v>22</v>
      </c>
      <c r="I5040" s="16">
        <v>10</v>
      </c>
      <c r="L5040" s="16" t="s">
        <v>23</v>
      </c>
    </row>
    <row r="5041" spans="1:13" ht="13.5" customHeight="1" x14ac:dyDescent="0.25">
      <c r="I5041" s="16">
        <v>40</v>
      </c>
      <c r="L5041" s="16" t="s">
        <v>33</v>
      </c>
      <c r="M5041" s="15"/>
    </row>
    <row r="5042" spans="1:13" ht="13.5" customHeight="1" x14ac:dyDescent="0.25">
      <c r="I5042" s="16">
        <v>40</v>
      </c>
      <c r="L5042" s="16" t="s">
        <v>29</v>
      </c>
      <c r="M5042" s="15"/>
    </row>
    <row r="5043" spans="1:13" ht="13.5" customHeight="1" x14ac:dyDescent="0.25">
      <c r="I5043" s="16">
        <v>20</v>
      </c>
      <c r="L5043" s="16" t="s">
        <v>25</v>
      </c>
      <c r="M5043" s="16" t="s">
        <v>137</v>
      </c>
    </row>
    <row r="5044" spans="1:13" ht="13.5" customHeight="1" x14ac:dyDescent="0.25">
      <c r="I5044" s="16">
        <v>20</v>
      </c>
      <c r="L5044" s="16" t="s">
        <v>27</v>
      </c>
    </row>
    <row r="5045" spans="1:13" ht="13.5" customHeight="1" x14ac:dyDescent="0.25">
      <c r="I5045" s="16">
        <v>35</v>
      </c>
      <c r="L5045" s="16" t="s">
        <v>26</v>
      </c>
      <c r="M5045" s="15" t="s">
        <v>848</v>
      </c>
    </row>
    <row r="5047" spans="1:13" ht="13.5" customHeight="1" x14ac:dyDescent="0.25">
      <c r="A5047" s="16" t="s">
        <v>865</v>
      </c>
      <c r="B5047" s="16" t="s">
        <v>1</v>
      </c>
      <c r="C5047" s="16" t="s">
        <v>192</v>
      </c>
      <c r="D5047" s="16" t="s">
        <v>21</v>
      </c>
      <c r="F5047" s="16">
        <f>38.31+30.49+31.91+38.1+38+37.72+38.48+38.52</f>
        <v>291.52999999999997</v>
      </c>
      <c r="G5047" s="16">
        <v>8</v>
      </c>
      <c r="H5047" s="16" t="s">
        <v>22</v>
      </c>
      <c r="I5047" s="16">
        <v>10</v>
      </c>
      <c r="L5047" s="16" t="s">
        <v>23</v>
      </c>
    </row>
    <row r="5048" spans="1:13" ht="13.5" customHeight="1" x14ac:dyDescent="0.25">
      <c r="I5048" s="16">
        <v>25</v>
      </c>
      <c r="L5048" s="16" t="s">
        <v>33</v>
      </c>
      <c r="M5048" s="15"/>
    </row>
    <row r="5049" spans="1:13" ht="13.5" customHeight="1" x14ac:dyDescent="0.25">
      <c r="I5049" s="16">
        <v>20</v>
      </c>
      <c r="L5049" s="16" t="s">
        <v>29</v>
      </c>
      <c r="M5049" s="15"/>
    </row>
    <row r="5050" spans="1:13" ht="13.5" customHeight="1" x14ac:dyDescent="0.25">
      <c r="I5050" s="16">
        <v>10</v>
      </c>
      <c r="L5050" s="16" t="s">
        <v>25</v>
      </c>
      <c r="M5050" s="16" t="s">
        <v>137</v>
      </c>
    </row>
    <row r="5051" spans="1:13" ht="13.5" customHeight="1" x14ac:dyDescent="0.25">
      <c r="I5051" s="16">
        <v>5</v>
      </c>
      <c r="L5051" s="16" t="s">
        <v>27</v>
      </c>
    </row>
    <row r="5052" spans="1:13" ht="13.5" customHeight="1" x14ac:dyDescent="0.25">
      <c r="I5052" s="16">
        <v>40</v>
      </c>
      <c r="L5052" s="16" t="s">
        <v>26</v>
      </c>
      <c r="M5052" s="15" t="s">
        <v>866</v>
      </c>
    </row>
    <row r="5053" spans="1:13" ht="13.5" customHeight="1" x14ac:dyDescent="0.25">
      <c r="I5053" s="16">
        <v>30</v>
      </c>
      <c r="L5053" s="16" t="s">
        <v>168</v>
      </c>
      <c r="M5053" s="16" t="s">
        <v>867</v>
      </c>
    </row>
    <row r="5054" spans="1:13" ht="13.5" customHeight="1" x14ac:dyDescent="0.25">
      <c r="I5054" s="16">
        <v>60</v>
      </c>
      <c r="L5054" s="16" t="s">
        <v>24</v>
      </c>
      <c r="M5054" s="16" t="s">
        <v>868</v>
      </c>
    </row>
    <row r="5056" spans="1:13" ht="13.5" customHeight="1" x14ac:dyDescent="0.25">
      <c r="A5056" s="16" t="s">
        <v>865</v>
      </c>
      <c r="B5056" s="16" t="s">
        <v>2</v>
      </c>
      <c r="C5056" s="16" t="s">
        <v>15</v>
      </c>
      <c r="D5056" s="16" t="s">
        <v>20</v>
      </c>
      <c r="F5056" s="16">
        <v>267.35000000000002</v>
      </c>
      <c r="G5056" s="16">
        <v>7</v>
      </c>
      <c r="H5056" s="16" t="s">
        <v>22</v>
      </c>
      <c r="I5056" s="16">
        <v>10</v>
      </c>
      <c r="L5056" s="16" t="s">
        <v>23</v>
      </c>
    </row>
    <row r="5057" spans="1:13" ht="13.5" customHeight="1" x14ac:dyDescent="0.25">
      <c r="I5057" s="16">
        <v>70</v>
      </c>
      <c r="L5057" s="16" t="s">
        <v>33</v>
      </c>
      <c r="M5057" s="15"/>
    </row>
    <row r="5058" spans="1:13" ht="13.5" customHeight="1" x14ac:dyDescent="0.25">
      <c r="I5058" s="16">
        <v>40</v>
      </c>
      <c r="L5058" s="16" t="s">
        <v>29</v>
      </c>
      <c r="M5058" s="15"/>
    </row>
    <row r="5059" spans="1:13" ht="13.5" customHeight="1" x14ac:dyDescent="0.25">
      <c r="I5059" s="16">
        <v>20</v>
      </c>
      <c r="L5059" s="16" t="s">
        <v>25</v>
      </c>
      <c r="M5059" s="16" t="s">
        <v>137</v>
      </c>
    </row>
    <row r="5060" spans="1:13" ht="13.5" customHeight="1" x14ac:dyDescent="0.25">
      <c r="I5060" s="16">
        <v>20</v>
      </c>
      <c r="L5060" s="16" t="s">
        <v>27</v>
      </c>
    </row>
    <row r="5061" spans="1:13" ht="13.5" customHeight="1" x14ac:dyDescent="0.25">
      <c r="I5061" s="16">
        <v>20</v>
      </c>
      <c r="L5061" s="16" t="s">
        <v>26</v>
      </c>
      <c r="M5061" s="16" t="s">
        <v>147</v>
      </c>
    </row>
    <row r="5062" spans="1:13" ht="13.5" customHeight="1" x14ac:dyDescent="0.25">
      <c r="I5062" s="16">
        <v>50</v>
      </c>
      <c r="L5062" s="16" t="s">
        <v>24</v>
      </c>
      <c r="M5062" s="15" t="s">
        <v>869</v>
      </c>
    </row>
    <row r="5063" spans="1:13" ht="13.5" customHeight="1" x14ac:dyDescent="0.25">
      <c r="I5063" s="16">
        <v>150</v>
      </c>
      <c r="L5063" s="16" t="s">
        <v>26</v>
      </c>
      <c r="M5063" s="15" t="s">
        <v>870</v>
      </c>
    </row>
    <row r="5066" spans="1:13" ht="13.5" customHeight="1" x14ac:dyDescent="0.25">
      <c r="A5066" s="16" t="s">
        <v>871</v>
      </c>
      <c r="B5066" s="16" t="s">
        <v>0</v>
      </c>
      <c r="C5066" s="16" t="s">
        <v>16</v>
      </c>
      <c r="D5066" s="15" t="s">
        <v>548</v>
      </c>
      <c r="E5066" s="15"/>
      <c r="F5066" s="16">
        <v>215.67</v>
      </c>
      <c r="G5066" s="16">
        <v>6</v>
      </c>
      <c r="H5066" s="16" t="s">
        <v>22</v>
      </c>
      <c r="I5066" s="16">
        <v>10</v>
      </c>
      <c r="L5066" s="16" t="s">
        <v>23</v>
      </c>
    </row>
    <row r="5067" spans="1:13" ht="13.5" customHeight="1" x14ac:dyDescent="0.25">
      <c r="I5067" s="16">
        <v>20</v>
      </c>
      <c r="L5067" s="16" t="s">
        <v>33</v>
      </c>
      <c r="M5067" s="15"/>
    </row>
    <row r="5068" spans="1:13" ht="13.5" customHeight="1" x14ac:dyDescent="0.25">
      <c r="I5068" s="16">
        <v>20</v>
      </c>
      <c r="L5068" s="16" t="s">
        <v>29</v>
      </c>
      <c r="M5068" s="15"/>
    </row>
    <row r="5069" spans="1:13" ht="13.5" customHeight="1" x14ac:dyDescent="0.25">
      <c r="I5069" s="16">
        <v>20</v>
      </c>
      <c r="L5069" s="16" t="s">
        <v>25</v>
      </c>
      <c r="M5069" s="16" t="s">
        <v>137</v>
      </c>
    </row>
    <row r="5070" spans="1:13" ht="13.5" customHeight="1" x14ac:dyDescent="0.25">
      <c r="I5070" s="16">
        <v>10</v>
      </c>
      <c r="L5070" s="16" t="s">
        <v>27</v>
      </c>
    </row>
    <row r="5071" spans="1:13" ht="13.5" customHeight="1" x14ac:dyDescent="0.25">
      <c r="I5071" s="16">
        <v>20</v>
      </c>
      <c r="L5071" s="16" t="s">
        <v>26</v>
      </c>
      <c r="M5071" s="16" t="s">
        <v>147</v>
      </c>
    </row>
    <row r="5072" spans="1:13" ht="13.5" customHeight="1" x14ac:dyDescent="0.25">
      <c r="I5072" s="16">
        <v>210</v>
      </c>
      <c r="L5072" s="16" t="s">
        <v>26</v>
      </c>
      <c r="M5072" s="15" t="s">
        <v>872</v>
      </c>
    </row>
    <row r="5073" spans="1:13" ht="13.5" customHeight="1" x14ac:dyDescent="0.25">
      <c r="M5073" s="15"/>
    </row>
    <row r="5074" spans="1:13" ht="13.5" customHeight="1" x14ac:dyDescent="0.25">
      <c r="A5074" s="16" t="s">
        <v>871</v>
      </c>
      <c r="B5074" s="16" t="s">
        <v>1</v>
      </c>
      <c r="C5074" s="16" t="s">
        <v>192</v>
      </c>
      <c r="D5074" s="16" t="s">
        <v>21</v>
      </c>
      <c r="F5074" s="16">
        <v>0</v>
      </c>
      <c r="G5074" s="16">
        <v>0</v>
      </c>
      <c r="H5074" s="16" t="s">
        <v>22</v>
      </c>
      <c r="I5074" s="16">
        <v>480</v>
      </c>
      <c r="L5074" s="16" t="s">
        <v>26</v>
      </c>
      <c r="M5074" s="15" t="s">
        <v>667</v>
      </c>
    </row>
    <row r="5077" spans="1:13" ht="13.5" customHeight="1" x14ac:dyDescent="0.25">
      <c r="A5077" s="16" t="s">
        <v>871</v>
      </c>
      <c r="B5077" s="16" t="s">
        <v>2</v>
      </c>
      <c r="C5077" s="16" t="s">
        <v>6</v>
      </c>
      <c r="D5077" s="16" t="s">
        <v>20</v>
      </c>
      <c r="F5077" s="16">
        <v>360.07</v>
      </c>
      <c r="G5077" s="16">
        <v>9.75</v>
      </c>
      <c r="H5077" s="16" t="s">
        <v>22</v>
      </c>
      <c r="I5077" s="16">
        <v>10</v>
      </c>
      <c r="L5077" s="16" t="s">
        <v>23</v>
      </c>
    </row>
    <row r="5078" spans="1:13" ht="13.5" customHeight="1" x14ac:dyDescent="0.25">
      <c r="I5078" s="16">
        <v>100</v>
      </c>
      <c r="L5078" s="16" t="s">
        <v>33</v>
      </c>
      <c r="M5078" s="15"/>
    </row>
    <row r="5079" spans="1:13" ht="13.5" customHeight="1" x14ac:dyDescent="0.25">
      <c r="I5079" s="16">
        <v>50</v>
      </c>
      <c r="L5079" s="16" t="s">
        <v>29</v>
      </c>
      <c r="M5079" s="15"/>
    </row>
    <row r="5080" spans="1:13" ht="13.5" customHeight="1" x14ac:dyDescent="0.25">
      <c r="I5080" s="16">
        <v>20</v>
      </c>
      <c r="L5080" s="16" t="s">
        <v>25</v>
      </c>
      <c r="M5080" s="16" t="s">
        <v>137</v>
      </c>
    </row>
    <row r="5081" spans="1:13" ht="13.5" customHeight="1" x14ac:dyDescent="0.25">
      <c r="I5081" s="16">
        <v>20</v>
      </c>
      <c r="L5081" s="16" t="s">
        <v>27</v>
      </c>
    </row>
    <row r="5082" spans="1:13" ht="13.5" customHeight="1" x14ac:dyDescent="0.25">
      <c r="I5082" s="16">
        <v>20</v>
      </c>
      <c r="L5082" s="16" t="s">
        <v>26</v>
      </c>
      <c r="M5082" s="16" t="s">
        <v>147</v>
      </c>
    </row>
    <row r="5083" spans="1:13" ht="13.5" customHeight="1" x14ac:dyDescent="0.25">
      <c r="I5083" s="16">
        <v>50</v>
      </c>
      <c r="L5083" s="16" t="s">
        <v>26</v>
      </c>
      <c r="M5083" s="15" t="s">
        <v>874</v>
      </c>
    </row>
    <row r="5084" spans="1:13" ht="13.5" customHeight="1" x14ac:dyDescent="0.25">
      <c r="I5084" s="16">
        <v>40</v>
      </c>
      <c r="L5084" s="16" t="s">
        <v>26</v>
      </c>
      <c r="M5084" s="15" t="s">
        <v>873</v>
      </c>
    </row>
    <row r="5086" spans="1:13" ht="13.5" customHeight="1" x14ac:dyDescent="0.25">
      <c r="A5086" s="16" t="s">
        <v>875</v>
      </c>
      <c r="B5086" s="16" t="s">
        <v>0</v>
      </c>
      <c r="C5086" s="16" t="s">
        <v>16</v>
      </c>
      <c r="D5086" s="15" t="s">
        <v>548</v>
      </c>
      <c r="E5086" s="15"/>
      <c r="F5086" s="16">
        <v>351.39</v>
      </c>
      <c r="G5086" s="16">
        <v>10.25</v>
      </c>
      <c r="H5086" s="16" t="s">
        <v>22</v>
      </c>
      <c r="I5086" s="16">
        <v>10</v>
      </c>
      <c r="L5086" s="16" t="s">
        <v>23</v>
      </c>
    </row>
    <row r="5087" spans="1:13" ht="13.5" customHeight="1" x14ac:dyDescent="0.25">
      <c r="I5087" s="16">
        <v>30</v>
      </c>
      <c r="L5087" s="16" t="s">
        <v>33</v>
      </c>
      <c r="M5087" s="15"/>
    </row>
    <row r="5088" spans="1:13" ht="13.5" customHeight="1" x14ac:dyDescent="0.25">
      <c r="I5088" s="16">
        <v>20</v>
      </c>
      <c r="L5088" s="16" t="s">
        <v>29</v>
      </c>
      <c r="M5088" s="15"/>
    </row>
    <row r="5089" spans="1:13" ht="13.5" customHeight="1" x14ac:dyDescent="0.25">
      <c r="I5089" s="16">
        <v>20</v>
      </c>
      <c r="L5089" s="16" t="s">
        <v>25</v>
      </c>
      <c r="M5089" s="16" t="s">
        <v>137</v>
      </c>
    </row>
    <row r="5090" spans="1:13" ht="13.5" customHeight="1" x14ac:dyDescent="0.25">
      <c r="I5090" s="16">
        <v>10</v>
      </c>
      <c r="L5090" s="16" t="s">
        <v>27</v>
      </c>
    </row>
    <row r="5091" spans="1:13" ht="13.5" customHeight="1" x14ac:dyDescent="0.25">
      <c r="I5091" s="16">
        <v>20</v>
      </c>
      <c r="L5091" s="16" t="s">
        <v>26</v>
      </c>
      <c r="M5091" s="16" t="s">
        <v>147</v>
      </c>
    </row>
    <row r="5092" spans="1:13" ht="13.5" customHeight="1" x14ac:dyDescent="0.25">
      <c r="I5092" s="16">
        <v>30</v>
      </c>
      <c r="L5092" s="16" t="s">
        <v>26</v>
      </c>
      <c r="M5092" s="16" t="s">
        <v>876</v>
      </c>
    </row>
    <row r="5094" spans="1:13" ht="13.5" customHeight="1" x14ac:dyDescent="0.25">
      <c r="A5094" s="16" t="s">
        <v>875</v>
      </c>
      <c r="B5094" s="16" t="s">
        <v>1</v>
      </c>
      <c r="C5094" s="16" t="s">
        <v>192</v>
      </c>
      <c r="D5094" s="16" t="s">
        <v>21</v>
      </c>
      <c r="F5094" s="16">
        <v>397.48</v>
      </c>
      <c r="G5094" s="16">
        <v>11</v>
      </c>
      <c r="H5094" s="16" t="s">
        <v>22</v>
      </c>
      <c r="I5094" s="16">
        <v>10</v>
      </c>
      <c r="L5094" s="16" t="s">
        <v>23</v>
      </c>
    </row>
    <row r="5095" spans="1:13" ht="13.5" customHeight="1" x14ac:dyDescent="0.25">
      <c r="I5095" s="16">
        <v>25</v>
      </c>
      <c r="L5095" s="16" t="s">
        <v>33</v>
      </c>
      <c r="M5095" s="15"/>
    </row>
    <row r="5096" spans="1:13" ht="13.5" customHeight="1" x14ac:dyDescent="0.25">
      <c r="I5096" s="16">
        <v>30</v>
      </c>
      <c r="L5096" s="16" t="s">
        <v>29</v>
      </c>
      <c r="M5096" s="15"/>
    </row>
    <row r="5097" spans="1:13" ht="13.5" customHeight="1" x14ac:dyDescent="0.25">
      <c r="I5097" s="16">
        <v>20</v>
      </c>
      <c r="L5097" s="16" t="s">
        <v>25</v>
      </c>
      <c r="M5097" s="16" t="s">
        <v>137</v>
      </c>
    </row>
    <row r="5098" spans="1:13" ht="13.5" customHeight="1" x14ac:dyDescent="0.25">
      <c r="I5098" s="16">
        <v>10</v>
      </c>
      <c r="L5098" s="16" t="s">
        <v>27</v>
      </c>
    </row>
    <row r="5099" spans="1:13" ht="13.5" customHeight="1" x14ac:dyDescent="0.25">
      <c r="I5099" s="16">
        <v>20</v>
      </c>
      <c r="L5099" s="16" t="s">
        <v>26</v>
      </c>
      <c r="M5099" s="16" t="s">
        <v>147</v>
      </c>
    </row>
    <row r="5100" spans="1:13" ht="13.5" customHeight="1" x14ac:dyDescent="0.25">
      <c r="I5100" s="16">
        <v>25</v>
      </c>
      <c r="L5100" s="16" t="s">
        <v>26</v>
      </c>
      <c r="M5100" s="16" t="s">
        <v>105</v>
      </c>
    </row>
    <row r="5102" spans="1:13" ht="13.5" customHeight="1" x14ac:dyDescent="0.25">
      <c r="A5102" s="16" t="s">
        <v>875</v>
      </c>
      <c r="B5102" s="16" t="s">
        <v>2</v>
      </c>
      <c r="C5102" s="16" t="s">
        <v>6</v>
      </c>
      <c r="D5102" s="16" t="s">
        <v>20</v>
      </c>
      <c r="F5102" s="16">
        <v>258.91000000000003</v>
      </c>
      <c r="G5102" s="16">
        <v>7</v>
      </c>
      <c r="H5102" s="16" t="s">
        <v>22</v>
      </c>
      <c r="I5102" s="16">
        <v>10</v>
      </c>
      <c r="L5102" s="16" t="s">
        <v>23</v>
      </c>
    </row>
    <row r="5103" spans="1:13" ht="13.5" customHeight="1" x14ac:dyDescent="0.25">
      <c r="I5103" s="16">
        <v>80</v>
      </c>
      <c r="L5103" s="16" t="s">
        <v>33</v>
      </c>
      <c r="M5103" s="15"/>
    </row>
    <row r="5104" spans="1:13" ht="13.5" customHeight="1" x14ac:dyDescent="0.25">
      <c r="I5104" s="16">
        <v>30</v>
      </c>
      <c r="L5104" s="16" t="s">
        <v>29</v>
      </c>
      <c r="M5104" s="15"/>
    </row>
    <row r="5105" spans="1:13" ht="13.5" customHeight="1" x14ac:dyDescent="0.25">
      <c r="I5105" s="16">
        <v>20</v>
      </c>
      <c r="L5105" s="16" t="s">
        <v>25</v>
      </c>
      <c r="M5105" s="16" t="s">
        <v>137</v>
      </c>
    </row>
    <row r="5106" spans="1:13" ht="13.5" customHeight="1" x14ac:dyDescent="0.25">
      <c r="I5106" s="16">
        <v>20</v>
      </c>
      <c r="L5106" s="16" t="s">
        <v>27</v>
      </c>
    </row>
    <row r="5107" spans="1:13" ht="13.5" customHeight="1" x14ac:dyDescent="0.25">
      <c r="I5107" s="16">
        <v>20</v>
      </c>
      <c r="L5107" s="16" t="s">
        <v>26</v>
      </c>
      <c r="M5107" s="16" t="s">
        <v>147</v>
      </c>
    </row>
    <row r="5108" spans="1:13" ht="13.5" customHeight="1" x14ac:dyDescent="0.25">
      <c r="I5108" s="16">
        <v>180</v>
      </c>
      <c r="L5108" s="16" t="s">
        <v>26</v>
      </c>
      <c r="M5108" s="15" t="s">
        <v>877</v>
      </c>
    </row>
    <row r="5110" spans="1:13" ht="13.5" customHeight="1" x14ac:dyDescent="0.25">
      <c r="A5110" s="16" t="s">
        <v>878</v>
      </c>
      <c r="B5110" s="16" t="s">
        <v>0</v>
      </c>
      <c r="C5110" s="16" t="s">
        <v>16</v>
      </c>
      <c r="D5110" s="15" t="s">
        <v>548</v>
      </c>
      <c r="E5110" s="15"/>
      <c r="F5110" s="16">
        <v>288.63</v>
      </c>
      <c r="G5110" s="16">
        <v>8</v>
      </c>
      <c r="H5110" s="16" t="s">
        <v>22</v>
      </c>
      <c r="I5110" s="16">
        <v>10</v>
      </c>
      <c r="L5110" s="16" t="s">
        <v>23</v>
      </c>
    </row>
    <row r="5111" spans="1:13" ht="13.5" customHeight="1" x14ac:dyDescent="0.25">
      <c r="I5111" s="16">
        <v>30</v>
      </c>
      <c r="L5111" s="16" t="s">
        <v>33</v>
      </c>
      <c r="M5111" s="15"/>
    </row>
    <row r="5112" spans="1:13" ht="13.5" customHeight="1" x14ac:dyDescent="0.25">
      <c r="I5112" s="16">
        <v>20</v>
      </c>
      <c r="L5112" s="16" t="s">
        <v>29</v>
      </c>
      <c r="M5112" s="15"/>
    </row>
    <row r="5113" spans="1:13" ht="13.5" customHeight="1" x14ac:dyDescent="0.25">
      <c r="I5113" s="16">
        <v>20</v>
      </c>
      <c r="L5113" s="16" t="s">
        <v>25</v>
      </c>
      <c r="M5113" s="16" t="s">
        <v>137</v>
      </c>
    </row>
    <row r="5114" spans="1:13" ht="13.5" customHeight="1" x14ac:dyDescent="0.25">
      <c r="I5114" s="16">
        <v>10</v>
      </c>
      <c r="L5114" s="16" t="s">
        <v>27</v>
      </c>
    </row>
    <row r="5115" spans="1:13" ht="13.5" customHeight="1" x14ac:dyDescent="0.25">
      <c r="I5115" s="16">
        <v>20</v>
      </c>
      <c r="L5115" s="16" t="s">
        <v>26</v>
      </c>
      <c r="M5115" s="16" t="s">
        <v>147</v>
      </c>
    </row>
    <row r="5116" spans="1:13" ht="13.5" customHeight="1" x14ac:dyDescent="0.25">
      <c r="I5116" s="16">
        <v>150</v>
      </c>
      <c r="L5116" s="16" t="s">
        <v>26</v>
      </c>
      <c r="M5116" s="15" t="s">
        <v>877</v>
      </c>
    </row>
    <row r="5117" spans="1:13" ht="13.5" customHeight="1" x14ac:dyDescent="0.25">
      <c r="I5117" s="16">
        <v>20</v>
      </c>
      <c r="L5117" s="16" t="s">
        <v>26</v>
      </c>
      <c r="M5117" s="16" t="s">
        <v>529</v>
      </c>
    </row>
    <row r="5119" spans="1:13" ht="13.5" customHeight="1" x14ac:dyDescent="0.25">
      <c r="A5119" s="16" t="s">
        <v>878</v>
      </c>
      <c r="B5119" s="16" t="s">
        <v>1</v>
      </c>
      <c r="C5119" s="16" t="s">
        <v>7</v>
      </c>
      <c r="D5119" s="16" t="s">
        <v>21</v>
      </c>
      <c r="F5119" s="16">
        <f>32.44+29.89+37.93+37.73+32.61</f>
        <v>170.59999999999997</v>
      </c>
      <c r="G5119" s="16">
        <v>5</v>
      </c>
      <c r="H5119" s="16" t="s">
        <v>22</v>
      </c>
      <c r="I5119" s="16">
        <v>10</v>
      </c>
      <c r="L5119" s="16" t="s">
        <v>23</v>
      </c>
    </row>
    <row r="5120" spans="1:13" ht="13.5" customHeight="1" x14ac:dyDescent="0.25">
      <c r="I5120" s="16">
        <v>15</v>
      </c>
      <c r="L5120" s="16" t="s">
        <v>33</v>
      </c>
      <c r="M5120" s="15"/>
    </row>
    <row r="5121" spans="1:13" ht="13.5" customHeight="1" x14ac:dyDescent="0.25">
      <c r="I5121" s="16">
        <v>10</v>
      </c>
      <c r="L5121" s="16" t="s">
        <v>29</v>
      </c>
      <c r="M5121" s="15"/>
    </row>
    <row r="5122" spans="1:13" ht="13.5" customHeight="1" x14ac:dyDescent="0.25">
      <c r="I5122" s="16">
        <v>10</v>
      </c>
      <c r="L5122" s="16" t="s">
        <v>25</v>
      </c>
      <c r="M5122" s="16" t="s">
        <v>137</v>
      </c>
    </row>
    <row r="5123" spans="1:13" ht="13.5" customHeight="1" x14ac:dyDescent="0.25">
      <c r="I5123" s="16">
        <v>20</v>
      </c>
      <c r="L5123" s="16" t="s">
        <v>26</v>
      </c>
      <c r="M5123" s="16" t="s">
        <v>147</v>
      </c>
    </row>
    <row r="5124" spans="1:13" ht="13.5" customHeight="1" x14ac:dyDescent="0.25">
      <c r="I5124" s="16">
        <v>260</v>
      </c>
      <c r="L5124" s="16" t="s">
        <v>26</v>
      </c>
      <c r="M5124" s="15" t="s">
        <v>879</v>
      </c>
    </row>
    <row r="5125" spans="1:13" ht="13.5" customHeight="1" x14ac:dyDescent="0.25">
      <c r="I5125" s="16">
        <v>20</v>
      </c>
      <c r="L5125" s="16" t="s">
        <v>26</v>
      </c>
      <c r="M5125" s="16" t="s">
        <v>148</v>
      </c>
    </row>
    <row r="5127" spans="1:13" ht="13.5" customHeight="1" x14ac:dyDescent="0.25">
      <c r="A5127" s="16" t="s">
        <v>878</v>
      </c>
      <c r="B5127" s="16" t="s">
        <v>2</v>
      </c>
      <c r="C5127" s="16" t="s">
        <v>6</v>
      </c>
      <c r="D5127" s="16" t="s">
        <v>20</v>
      </c>
      <c r="F5127" s="16">
        <v>336.8</v>
      </c>
      <c r="G5127" s="16">
        <v>9.5</v>
      </c>
      <c r="H5127" s="16" t="s">
        <v>22</v>
      </c>
      <c r="I5127" s="16">
        <v>10</v>
      </c>
      <c r="L5127" s="16" t="s">
        <v>23</v>
      </c>
    </row>
    <row r="5128" spans="1:13" ht="13.5" customHeight="1" x14ac:dyDescent="0.25">
      <c r="I5128" s="16">
        <v>100</v>
      </c>
      <c r="L5128" s="16" t="s">
        <v>33</v>
      </c>
      <c r="M5128" s="15"/>
    </row>
    <row r="5129" spans="1:13" ht="13.5" customHeight="1" x14ac:dyDescent="0.25">
      <c r="I5129" s="16">
        <v>30</v>
      </c>
      <c r="L5129" s="16" t="s">
        <v>29</v>
      </c>
      <c r="M5129" s="15"/>
    </row>
    <row r="5130" spans="1:13" ht="13.5" customHeight="1" x14ac:dyDescent="0.25">
      <c r="I5130" s="16">
        <v>20</v>
      </c>
      <c r="L5130" s="16" t="s">
        <v>25</v>
      </c>
      <c r="M5130" s="16" t="s">
        <v>137</v>
      </c>
    </row>
    <row r="5131" spans="1:13" ht="13.5" customHeight="1" x14ac:dyDescent="0.25">
      <c r="I5131" s="16">
        <v>20</v>
      </c>
      <c r="L5131" s="16" t="s">
        <v>27</v>
      </c>
    </row>
    <row r="5132" spans="1:13" ht="13.5" customHeight="1" x14ac:dyDescent="0.25">
      <c r="I5132" s="16">
        <v>20</v>
      </c>
      <c r="L5132" s="16" t="s">
        <v>26</v>
      </c>
      <c r="M5132" s="16" t="s">
        <v>147</v>
      </c>
    </row>
    <row r="5133" spans="1:13" ht="13.5" customHeight="1" x14ac:dyDescent="0.25">
      <c r="I5133" s="16">
        <v>60</v>
      </c>
      <c r="L5133" s="16" t="s">
        <v>26</v>
      </c>
      <c r="M5133" s="15" t="s">
        <v>880</v>
      </c>
    </row>
    <row r="5134" spans="1:13" ht="13.5" customHeight="1" x14ac:dyDescent="0.25">
      <c r="I5134" s="16">
        <v>20</v>
      </c>
      <c r="L5134" s="16" t="s">
        <v>26</v>
      </c>
      <c r="M5134" s="16" t="s">
        <v>881</v>
      </c>
    </row>
    <row r="5135" spans="1:13" ht="13.5" customHeight="1" x14ac:dyDescent="0.25">
      <c r="I5135" s="16">
        <v>20</v>
      </c>
      <c r="L5135" s="16" t="s">
        <v>24</v>
      </c>
      <c r="M5135" s="16" t="s">
        <v>173</v>
      </c>
    </row>
    <row r="5137" spans="1:13" ht="13.5" customHeight="1" x14ac:dyDescent="0.25">
      <c r="A5137" s="16" t="s">
        <v>878</v>
      </c>
      <c r="B5137" s="16" t="s">
        <v>0</v>
      </c>
      <c r="C5137" s="16" t="s">
        <v>192</v>
      </c>
      <c r="D5137" s="16" t="s">
        <v>21</v>
      </c>
      <c r="F5137" s="16">
        <f>19.89+37.98+38.31+38.02+38.16+38.29+27.34+22.81+36.32+38.11+37.71</f>
        <v>372.94</v>
      </c>
      <c r="G5137" s="16">
        <v>10.5</v>
      </c>
      <c r="H5137" s="16" t="s">
        <v>22</v>
      </c>
      <c r="I5137" s="16">
        <v>10</v>
      </c>
      <c r="L5137" s="16" t="s">
        <v>23</v>
      </c>
    </row>
    <row r="5138" spans="1:13" ht="13.5" customHeight="1" x14ac:dyDescent="0.25">
      <c r="I5138" s="16">
        <v>25</v>
      </c>
      <c r="L5138" s="16" t="s">
        <v>33</v>
      </c>
      <c r="M5138" s="15"/>
    </row>
    <row r="5139" spans="1:13" ht="13.5" customHeight="1" x14ac:dyDescent="0.25">
      <c r="I5139" s="16">
        <v>20</v>
      </c>
      <c r="L5139" s="16" t="s">
        <v>29</v>
      </c>
      <c r="M5139" s="15"/>
    </row>
    <row r="5140" spans="1:13" ht="13.5" customHeight="1" x14ac:dyDescent="0.25">
      <c r="I5140" s="16">
        <v>20</v>
      </c>
      <c r="L5140" s="16" t="s">
        <v>25</v>
      </c>
      <c r="M5140" s="16" t="s">
        <v>137</v>
      </c>
    </row>
    <row r="5141" spans="1:13" ht="13.5" customHeight="1" x14ac:dyDescent="0.25">
      <c r="I5141" s="16">
        <v>10</v>
      </c>
      <c r="L5141" s="16" t="s">
        <v>26</v>
      </c>
      <c r="M5141" s="16" t="s">
        <v>147</v>
      </c>
    </row>
    <row r="5142" spans="1:13" ht="13.5" customHeight="1" x14ac:dyDescent="0.25">
      <c r="I5142" s="16">
        <v>30</v>
      </c>
      <c r="L5142" s="16" t="s">
        <v>26</v>
      </c>
      <c r="M5142" s="15" t="s">
        <v>882</v>
      </c>
    </row>
    <row r="5143" spans="1:13" ht="13.5" customHeight="1" x14ac:dyDescent="0.25">
      <c r="I5143" s="16">
        <v>20</v>
      </c>
      <c r="L5143" s="16" t="s">
        <v>26</v>
      </c>
      <c r="M5143" s="16" t="s">
        <v>148</v>
      </c>
    </row>
    <row r="5145" spans="1:13" ht="13.5" customHeight="1" x14ac:dyDescent="0.25">
      <c r="A5145" s="16" t="s">
        <v>883</v>
      </c>
      <c r="B5145" s="16" t="s">
        <v>1</v>
      </c>
      <c r="C5145" s="16" t="s">
        <v>7</v>
      </c>
      <c r="D5145" s="16" t="s">
        <v>20</v>
      </c>
      <c r="F5145" s="16">
        <v>369.66</v>
      </c>
      <c r="G5145" s="16">
        <v>10.5</v>
      </c>
      <c r="H5145" s="16" t="s">
        <v>22</v>
      </c>
      <c r="I5145" s="16">
        <v>10</v>
      </c>
      <c r="L5145" s="16" t="s">
        <v>23</v>
      </c>
    </row>
    <row r="5146" spans="1:13" ht="13.5" customHeight="1" x14ac:dyDescent="0.25">
      <c r="I5146" s="16">
        <v>110</v>
      </c>
      <c r="L5146" s="16" t="s">
        <v>32</v>
      </c>
    </row>
    <row r="5147" spans="1:13" ht="13.5" customHeight="1" x14ac:dyDescent="0.25">
      <c r="I5147" s="16">
        <v>30</v>
      </c>
      <c r="L5147" s="16" t="s">
        <v>33</v>
      </c>
      <c r="M5147" s="15"/>
    </row>
    <row r="5148" spans="1:13" ht="13.5" customHeight="1" x14ac:dyDescent="0.25">
      <c r="I5148" s="16">
        <v>40</v>
      </c>
      <c r="L5148" s="16" t="s">
        <v>29</v>
      </c>
      <c r="M5148" s="15"/>
    </row>
    <row r="5149" spans="1:13" ht="13.5" customHeight="1" x14ac:dyDescent="0.25">
      <c r="I5149" s="16">
        <v>30</v>
      </c>
      <c r="L5149" s="16" t="s">
        <v>25</v>
      </c>
      <c r="M5149" s="16" t="s">
        <v>45</v>
      </c>
    </row>
    <row r="5150" spans="1:13" ht="13.5" customHeight="1" x14ac:dyDescent="0.25">
      <c r="I5150" s="16">
        <v>20</v>
      </c>
      <c r="L5150" s="16" t="s">
        <v>27</v>
      </c>
    </row>
    <row r="5151" spans="1:13" ht="13.5" customHeight="1" x14ac:dyDescent="0.25">
      <c r="I5151" s="16">
        <v>20</v>
      </c>
      <c r="L5151" s="16" t="s">
        <v>26</v>
      </c>
      <c r="M5151" s="16" t="s">
        <v>147</v>
      </c>
    </row>
    <row r="5153" spans="1:13" ht="13.5" customHeight="1" x14ac:dyDescent="0.25">
      <c r="A5153" s="16" t="s">
        <v>883</v>
      </c>
      <c r="B5153" s="16" t="s">
        <v>2</v>
      </c>
      <c r="C5153" s="16" t="s">
        <v>6</v>
      </c>
      <c r="D5153" s="15" t="s">
        <v>548</v>
      </c>
      <c r="E5153" s="15"/>
      <c r="F5153" s="16">
        <v>339.11</v>
      </c>
      <c r="G5153" s="16">
        <v>9.75</v>
      </c>
      <c r="H5153" s="16" t="s">
        <v>22</v>
      </c>
      <c r="I5153" s="16">
        <v>10</v>
      </c>
      <c r="L5153" s="16" t="s">
        <v>23</v>
      </c>
    </row>
    <row r="5154" spans="1:13" ht="13.5" customHeight="1" x14ac:dyDescent="0.25">
      <c r="I5154" s="16">
        <v>30</v>
      </c>
      <c r="L5154" s="16" t="s">
        <v>33</v>
      </c>
      <c r="M5154" s="15"/>
    </row>
    <row r="5155" spans="1:13" ht="13.5" customHeight="1" x14ac:dyDescent="0.25">
      <c r="I5155" s="16">
        <v>20</v>
      </c>
      <c r="L5155" s="16" t="s">
        <v>29</v>
      </c>
      <c r="M5155" s="15"/>
    </row>
    <row r="5156" spans="1:13" ht="13.5" customHeight="1" x14ac:dyDescent="0.25">
      <c r="I5156" s="16">
        <v>20</v>
      </c>
      <c r="L5156" s="16" t="s">
        <v>25</v>
      </c>
      <c r="M5156" s="16" t="s">
        <v>137</v>
      </c>
    </row>
    <row r="5157" spans="1:13" ht="13.5" customHeight="1" x14ac:dyDescent="0.25">
      <c r="I5157" s="16">
        <v>10</v>
      </c>
      <c r="L5157" s="16" t="s">
        <v>27</v>
      </c>
    </row>
    <row r="5158" spans="1:13" ht="13.5" customHeight="1" x14ac:dyDescent="0.25">
      <c r="I5158" s="16">
        <v>20</v>
      </c>
      <c r="L5158" s="16" t="s">
        <v>26</v>
      </c>
      <c r="M5158" s="16" t="s">
        <v>147</v>
      </c>
    </row>
    <row r="5159" spans="1:13" ht="13.5" customHeight="1" x14ac:dyDescent="0.25">
      <c r="I5159" s="16">
        <v>25</v>
      </c>
      <c r="L5159" s="16" t="s">
        <v>26</v>
      </c>
      <c r="M5159" s="15" t="s">
        <v>885</v>
      </c>
    </row>
    <row r="5160" spans="1:13" ht="13.5" customHeight="1" x14ac:dyDescent="0.25">
      <c r="I5160" s="16">
        <v>35</v>
      </c>
      <c r="L5160" s="16" t="s">
        <v>26</v>
      </c>
      <c r="M5160" s="16" t="s">
        <v>884</v>
      </c>
    </row>
    <row r="5161" spans="1:13" ht="13.5" customHeight="1" x14ac:dyDescent="0.25">
      <c r="I5161" s="16">
        <v>30</v>
      </c>
      <c r="L5161" s="16" t="s">
        <v>26</v>
      </c>
      <c r="M5161" s="16" t="s">
        <v>886</v>
      </c>
    </row>
    <row r="5164" spans="1:13" ht="13.5" customHeight="1" x14ac:dyDescent="0.25">
      <c r="A5164" s="16" t="s">
        <v>889</v>
      </c>
      <c r="B5164" s="16" t="s">
        <v>0</v>
      </c>
      <c r="C5164" s="16" t="s">
        <v>192</v>
      </c>
      <c r="D5164" s="16" t="s">
        <v>21</v>
      </c>
      <c r="F5164" s="16">
        <v>316.8</v>
      </c>
      <c r="G5164" s="16">
        <v>8.5</v>
      </c>
      <c r="H5164" s="16" t="s">
        <v>22</v>
      </c>
      <c r="I5164" s="16">
        <v>10</v>
      </c>
      <c r="L5164" s="16" t="s">
        <v>23</v>
      </c>
    </row>
    <row r="5165" spans="1:13" ht="13.5" customHeight="1" x14ac:dyDescent="0.25">
      <c r="I5165" s="16">
        <v>20</v>
      </c>
      <c r="L5165" s="16" t="s">
        <v>25</v>
      </c>
      <c r="M5165" s="16" t="s">
        <v>137</v>
      </c>
    </row>
    <row r="5166" spans="1:13" ht="13.5" customHeight="1" x14ac:dyDescent="0.25">
      <c r="I5166" s="16">
        <v>140</v>
      </c>
      <c r="L5166" s="16" t="s">
        <v>26</v>
      </c>
      <c r="M5166" s="15" t="s">
        <v>887</v>
      </c>
    </row>
    <row r="5167" spans="1:13" ht="13.5" customHeight="1" x14ac:dyDescent="0.25">
      <c r="I5167" s="16">
        <v>20</v>
      </c>
      <c r="L5167" s="16" t="s">
        <v>26</v>
      </c>
      <c r="M5167" s="16" t="s">
        <v>148</v>
      </c>
    </row>
    <row r="5168" spans="1:13" ht="13.5" customHeight="1" x14ac:dyDescent="0.25">
      <c r="I5168" s="16">
        <v>20</v>
      </c>
      <c r="L5168" s="16" t="s">
        <v>26</v>
      </c>
      <c r="M5168" s="16" t="s">
        <v>888</v>
      </c>
    </row>
    <row r="5169" spans="1:13" ht="13.5" customHeight="1" x14ac:dyDescent="0.25">
      <c r="L5169" s="16" t="s">
        <v>24</v>
      </c>
    </row>
    <row r="5171" spans="1:13" ht="13.5" customHeight="1" x14ac:dyDescent="0.25">
      <c r="A5171" s="16" t="s">
        <v>889</v>
      </c>
      <c r="B5171" s="16" t="s">
        <v>1</v>
      </c>
      <c r="C5171" s="16" t="s">
        <v>7</v>
      </c>
      <c r="D5171" s="16" t="s">
        <v>20</v>
      </c>
      <c r="F5171" s="16">
        <v>300.79000000000002</v>
      </c>
      <c r="G5171" s="16">
        <v>8.5</v>
      </c>
      <c r="H5171" s="16" t="s">
        <v>22</v>
      </c>
      <c r="I5171" s="16">
        <v>10</v>
      </c>
      <c r="L5171" s="16" t="s">
        <v>23</v>
      </c>
    </row>
    <row r="5172" spans="1:13" ht="13.5" customHeight="1" x14ac:dyDescent="0.25">
      <c r="I5172" s="16">
        <v>80</v>
      </c>
      <c r="L5172" s="16" t="s">
        <v>32</v>
      </c>
    </row>
    <row r="5173" spans="1:13" ht="13.5" customHeight="1" x14ac:dyDescent="0.25">
      <c r="I5173" s="16">
        <v>20</v>
      </c>
      <c r="L5173" s="16" t="s">
        <v>33</v>
      </c>
      <c r="M5173" s="15"/>
    </row>
    <row r="5174" spans="1:13" ht="13.5" customHeight="1" x14ac:dyDescent="0.25">
      <c r="I5174" s="16">
        <v>40</v>
      </c>
      <c r="L5174" s="16" t="s">
        <v>29</v>
      </c>
      <c r="M5174" s="15"/>
    </row>
    <row r="5175" spans="1:13" ht="13.5" customHeight="1" x14ac:dyDescent="0.25">
      <c r="I5175" s="16">
        <v>30</v>
      </c>
      <c r="L5175" s="16" t="s">
        <v>25</v>
      </c>
      <c r="M5175" s="16" t="s">
        <v>45</v>
      </c>
    </row>
    <row r="5176" spans="1:13" ht="13.5" customHeight="1" x14ac:dyDescent="0.25">
      <c r="I5176" s="16">
        <v>20</v>
      </c>
      <c r="L5176" s="16" t="s">
        <v>27</v>
      </c>
    </row>
    <row r="5177" spans="1:13" ht="13.5" customHeight="1" x14ac:dyDescent="0.25">
      <c r="I5177" s="16">
        <v>20</v>
      </c>
      <c r="L5177" s="16" t="s">
        <v>26</v>
      </c>
      <c r="M5177" s="16" t="s">
        <v>147</v>
      </c>
    </row>
    <row r="5178" spans="1:13" ht="13.5" customHeight="1" x14ac:dyDescent="0.25">
      <c r="I5178" s="16">
        <v>50</v>
      </c>
      <c r="L5178" s="16" t="s">
        <v>26</v>
      </c>
      <c r="M5178" s="15" t="s">
        <v>890</v>
      </c>
    </row>
    <row r="5179" spans="1:13" ht="13.5" customHeight="1" x14ac:dyDescent="0.25">
      <c r="I5179" s="16">
        <v>70</v>
      </c>
      <c r="L5179" s="16" t="s">
        <v>26</v>
      </c>
      <c r="M5179" s="15" t="s">
        <v>891</v>
      </c>
    </row>
    <row r="5183" spans="1:13" ht="13.5" customHeight="1" x14ac:dyDescent="0.25">
      <c r="A5183" s="16" t="s">
        <v>889</v>
      </c>
      <c r="B5183" s="16" t="s">
        <v>2</v>
      </c>
      <c r="C5183" s="16" t="s">
        <v>16</v>
      </c>
      <c r="D5183" s="15" t="s">
        <v>548</v>
      </c>
      <c r="E5183" s="15"/>
      <c r="F5183" s="16">
        <v>321.82</v>
      </c>
      <c r="G5183" s="16">
        <v>9</v>
      </c>
      <c r="H5183" s="16" t="s">
        <v>22</v>
      </c>
      <c r="I5183" s="16">
        <v>10</v>
      </c>
      <c r="L5183" s="16" t="s">
        <v>23</v>
      </c>
    </row>
    <row r="5184" spans="1:13" ht="13.5" customHeight="1" x14ac:dyDescent="0.25">
      <c r="I5184" s="16">
        <v>100</v>
      </c>
      <c r="L5184" s="16" t="s">
        <v>32</v>
      </c>
    </row>
    <row r="5185" spans="1:14" ht="13.5" customHeight="1" x14ac:dyDescent="0.25">
      <c r="I5185" s="16">
        <v>20</v>
      </c>
      <c r="L5185" s="16" t="s">
        <v>33</v>
      </c>
      <c r="M5185" s="15"/>
    </row>
    <row r="5186" spans="1:14" ht="13.5" customHeight="1" x14ac:dyDescent="0.25">
      <c r="I5186" s="16">
        <v>40</v>
      </c>
      <c r="L5186" s="16" t="s">
        <v>29</v>
      </c>
      <c r="M5186" s="15"/>
    </row>
    <row r="5187" spans="1:14" ht="13.5" customHeight="1" x14ac:dyDescent="0.25">
      <c r="I5187" s="16">
        <v>30</v>
      </c>
      <c r="L5187" s="16" t="s">
        <v>25</v>
      </c>
      <c r="M5187" s="16" t="s">
        <v>45</v>
      </c>
    </row>
    <row r="5188" spans="1:14" ht="13.5" customHeight="1" x14ac:dyDescent="0.25">
      <c r="I5188" s="16">
        <v>20</v>
      </c>
      <c r="L5188" s="16" t="s">
        <v>27</v>
      </c>
    </row>
    <row r="5189" spans="1:14" ht="13.5" customHeight="1" x14ac:dyDescent="0.25">
      <c r="I5189" s="16">
        <v>20</v>
      </c>
      <c r="L5189" s="16" t="s">
        <v>26</v>
      </c>
      <c r="M5189" s="16" t="s">
        <v>147</v>
      </c>
    </row>
    <row r="5190" spans="1:14" ht="13.5" customHeight="1" x14ac:dyDescent="0.25">
      <c r="I5190" s="16">
        <v>70</v>
      </c>
      <c r="L5190" s="16" t="s">
        <v>24</v>
      </c>
      <c r="M5190" s="15" t="s">
        <v>892</v>
      </c>
    </row>
    <row r="5192" spans="1:14" ht="13.5" customHeight="1" x14ac:dyDescent="0.25">
      <c r="A5192" s="16" t="s">
        <v>893</v>
      </c>
      <c r="B5192" s="16" t="s">
        <v>0</v>
      </c>
      <c r="C5192" s="16" t="s">
        <v>192</v>
      </c>
      <c r="D5192" s="16" t="s">
        <v>21</v>
      </c>
      <c r="F5192" s="16">
        <f>35.38+28.82+28.66+38.17+38.42+38.12+28.69+38.03+38.12+30.81+2.352</f>
        <v>345.57199999999995</v>
      </c>
      <c r="G5192" s="16">
        <v>10</v>
      </c>
      <c r="H5192" s="16" t="s">
        <v>22</v>
      </c>
      <c r="I5192" s="16">
        <v>10</v>
      </c>
      <c r="L5192" s="16" t="s">
        <v>23</v>
      </c>
    </row>
    <row r="5193" spans="1:14" ht="13.5" customHeight="1" x14ac:dyDescent="0.25">
      <c r="I5193" s="16">
        <v>20</v>
      </c>
      <c r="L5193" s="16" t="s">
        <v>33</v>
      </c>
      <c r="M5193" s="15"/>
    </row>
    <row r="5194" spans="1:14" ht="13.5" customHeight="1" x14ac:dyDescent="0.25">
      <c r="I5194" s="16">
        <v>20</v>
      </c>
      <c r="L5194" s="16" t="s">
        <v>29</v>
      </c>
      <c r="M5194" s="15"/>
    </row>
    <row r="5195" spans="1:14" ht="13.5" customHeight="1" x14ac:dyDescent="0.25">
      <c r="I5195" s="16">
        <v>20</v>
      </c>
      <c r="L5195" s="16" t="s">
        <v>25</v>
      </c>
      <c r="M5195" s="16" t="s">
        <v>137</v>
      </c>
    </row>
    <row r="5196" spans="1:14" ht="13.5" customHeight="1" x14ac:dyDescent="0.25">
      <c r="I5196" s="16">
        <v>15</v>
      </c>
      <c r="L5196" s="16" t="s">
        <v>26</v>
      </c>
      <c r="M5196" s="16" t="s">
        <v>147</v>
      </c>
    </row>
    <row r="5197" spans="1:14" ht="13.5" customHeight="1" x14ac:dyDescent="0.25">
      <c r="I5197" s="16">
        <v>20</v>
      </c>
      <c r="L5197" s="16" t="s">
        <v>25</v>
      </c>
      <c r="M5197" s="16" t="s">
        <v>45</v>
      </c>
    </row>
    <row r="5198" spans="1:14" ht="13.5" customHeight="1" x14ac:dyDescent="0.25">
      <c r="I5198" s="16">
        <v>30</v>
      </c>
      <c r="L5198" s="16" t="s">
        <v>24</v>
      </c>
      <c r="M5198" s="16" t="s">
        <v>13</v>
      </c>
    </row>
    <row r="5200" spans="1:14" ht="13.5" customHeight="1" x14ac:dyDescent="0.25">
      <c r="A5200" s="16" t="s">
        <v>893</v>
      </c>
      <c r="B5200" s="16" t="s">
        <v>1</v>
      </c>
      <c r="C5200" s="16" t="s">
        <v>7</v>
      </c>
      <c r="D5200" s="16" t="s">
        <v>20</v>
      </c>
      <c r="F5200" s="16">
        <v>352.55</v>
      </c>
      <c r="G5200" s="16">
        <v>10</v>
      </c>
      <c r="H5200" s="16" t="s">
        <v>22</v>
      </c>
      <c r="I5200" s="16">
        <v>10</v>
      </c>
      <c r="L5200" s="16" t="s">
        <v>23</v>
      </c>
      <c r="N5200" s="16"/>
    </row>
    <row r="5201" spans="1:14" ht="13.5" customHeight="1" x14ac:dyDescent="0.25">
      <c r="I5201" s="16">
        <v>20</v>
      </c>
      <c r="L5201" s="16" t="s">
        <v>33</v>
      </c>
      <c r="N5201" s="16"/>
    </row>
    <row r="5202" spans="1:14" ht="13.5" customHeight="1" x14ac:dyDescent="0.25">
      <c r="I5202" s="16">
        <v>40</v>
      </c>
      <c r="L5202" s="16" t="s">
        <v>29</v>
      </c>
      <c r="M5202" s="15"/>
    </row>
    <row r="5203" spans="1:14" ht="13.5" customHeight="1" x14ac:dyDescent="0.25">
      <c r="I5203" s="16">
        <v>30</v>
      </c>
      <c r="L5203" s="16" t="s">
        <v>25</v>
      </c>
      <c r="M5203" s="15"/>
    </row>
    <row r="5204" spans="1:14" ht="13.5" customHeight="1" x14ac:dyDescent="0.25">
      <c r="I5204" s="16">
        <v>20</v>
      </c>
      <c r="L5204" s="16" t="s">
        <v>27</v>
      </c>
      <c r="M5204" s="16" t="s">
        <v>45</v>
      </c>
    </row>
    <row r="5205" spans="1:14" ht="13.5" customHeight="1" x14ac:dyDescent="0.25">
      <c r="I5205" s="16">
        <v>20</v>
      </c>
      <c r="L5205" s="16" t="s">
        <v>26</v>
      </c>
      <c r="M5205" s="16" t="s">
        <v>147</v>
      </c>
    </row>
    <row r="5206" spans="1:14" ht="13.5" customHeight="1" x14ac:dyDescent="0.25">
      <c r="I5206" s="16">
        <v>30</v>
      </c>
      <c r="L5206" s="16" t="s">
        <v>26</v>
      </c>
      <c r="M5206" s="15" t="s">
        <v>894</v>
      </c>
    </row>
    <row r="5208" spans="1:14" ht="13.5" customHeight="1" x14ac:dyDescent="0.25">
      <c r="A5208" s="16" t="s">
        <v>893</v>
      </c>
      <c r="B5208" s="16" t="s">
        <v>2</v>
      </c>
      <c r="C5208" s="16" t="s">
        <v>16</v>
      </c>
      <c r="D5208" s="15" t="s">
        <v>548</v>
      </c>
      <c r="E5208" s="15"/>
      <c r="F5208" s="16">
        <v>342.15</v>
      </c>
      <c r="G5208" s="16">
        <v>10</v>
      </c>
      <c r="H5208" s="16" t="s">
        <v>22</v>
      </c>
      <c r="I5208" s="16">
        <v>10</v>
      </c>
      <c r="L5208" s="16" t="s">
        <v>23</v>
      </c>
    </row>
    <row r="5209" spans="1:14" ht="13.5" customHeight="1" x14ac:dyDescent="0.25">
      <c r="I5209" s="16">
        <v>100</v>
      </c>
      <c r="L5209" s="16" t="s">
        <v>32</v>
      </c>
    </row>
    <row r="5210" spans="1:14" ht="13.5" customHeight="1" x14ac:dyDescent="0.25">
      <c r="I5210" s="16">
        <v>20</v>
      </c>
      <c r="L5210" s="16" t="s">
        <v>33</v>
      </c>
      <c r="M5210" s="15"/>
    </row>
    <row r="5211" spans="1:14" ht="13.5" customHeight="1" x14ac:dyDescent="0.25">
      <c r="I5211" s="16">
        <v>30</v>
      </c>
      <c r="L5211" s="16" t="s">
        <v>29</v>
      </c>
      <c r="M5211" s="15"/>
    </row>
    <row r="5212" spans="1:14" ht="13.5" customHeight="1" x14ac:dyDescent="0.25">
      <c r="I5212" s="16">
        <v>30</v>
      </c>
      <c r="L5212" s="16" t="s">
        <v>25</v>
      </c>
      <c r="M5212" s="16" t="s">
        <v>45</v>
      </c>
    </row>
    <row r="5213" spans="1:14" ht="13.5" customHeight="1" x14ac:dyDescent="0.25">
      <c r="I5213" s="16">
        <v>20</v>
      </c>
      <c r="L5213" s="16" t="s">
        <v>27</v>
      </c>
    </row>
    <row r="5214" spans="1:14" ht="13.5" customHeight="1" x14ac:dyDescent="0.25">
      <c r="I5214" s="16">
        <v>25</v>
      </c>
      <c r="L5214" s="16" t="s">
        <v>26</v>
      </c>
      <c r="M5214" s="16" t="s">
        <v>147</v>
      </c>
    </row>
    <row r="5215" spans="1:14" ht="13.5" customHeight="1" x14ac:dyDescent="0.25">
      <c r="I5215" s="16">
        <v>35</v>
      </c>
      <c r="L5215" s="16" t="s">
        <v>24</v>
      </c>
      <c r="M5215" s="15" t="s">
        <v>895</v>
      </c>
    </row>
    <row r="5216" spans="1:14" ht="13.5" customHeight="1" x14ac:dyDescent="0.25">
      <c r="I5216" s="16">
        <v>20</v>
      </c>
      <c r="L5216" s="16" t="s">
        <v>26</v>
      </c>
      <c r="M5216" s="15" t="s">
        <v>896</v>
      </c>
    </row>
    <row r="5218" spans="1:13" ht="13.5" customHeight="1" x14ac:dyDescent="0.25">
      <c r="A5218" s="16" t="s">
        <v>897</v>
      </c>
      <c r="B5218" s="16" t="s">
        <v>0</v>
      </c>
      <c r="C5218" s="16" t="s">
        <v>192</v>
      </c>
      <c r="D5218" s="16" t="s">
        <v>21</v>
      </c>
      <c r="F5218" s="16">
        <f>38.02+21.65+37.66+27.45+27.63+36.1+31.82+21.64+27.08</f>
        <v>269.04999999999995</v>
      </c>
      <c r="G5218" s="16">
        <v>9</v>
      </c>
      <c r="H5218" s="16" t="s">
        <v>22</v>
      </c>
      <c r="I5218" s="16">
        <v>10</v>
      </c>
      <c r="L5218" s="16" t="s">
        <v>23</v>
      </c>
    </row>
    <row r="5219" spans="1:13" ht="13.5" customHeight="1" x14ac:dyDescent="0.25">
      <c r="I5219" s="16">
        <v>20</v>
      </c>
      <c r="L5219" s="16" t="s">
        <v>33</v>
      </c>
      <c r="M5219" s="15"/>
    </row>
    <row r="5220" spans="1:13" ht="13.5" customHeight="1" x14ac:dyDescent="0.25">
      <c r="I5220" s="16">
        <v>20</v>
      </c>
      <c r="L5220" s="16" t="s">
        <v>29</v>
      </c>
      <c r="M5220" s="15"/>
    </row>
    <row r="5221" spans="1:13" ht="13.5" customHeight="1" x14ac:dyDescent="0.25">
      <c r="I5221" s="16">
        <v>20</v>
      </c>
      <c r="L5221" s="16" t="s">
        <v>25</v>
      </c>
      <c r="M5221" s="16" t="s">
        <v>137</v>
      </c>
    </row>
    <row r="5222" spans="1:13" ht="13.5" customHeight="1" x14ac:dyDescent="0.25">
      <c r="I5222" s="16">
        <v>15</v>
      </c>
      <c r="L5222" s="16" t="s">
        <v>26</v>
      </c>
      <c r="M5222" s="16" t="s">
        <v>147</v>
      </c>
    </row>
    <row r="5223" spans="1:13" ht="13.5" customHeight="1" x14ac:dyDescent="0.25">
      <c r="I5223" s="16">
        <v>20</v>
      </c>
      <c r="L5223" s="16" t="s">
        <v>25</v>
      </c>
      <c r="M5223" s="16" t="s">
        <v>45</v>
      </c>
    </row>
    <row r="5224" spans="1:13" ht="13.5" customHeight="1" x14ac:dyDescent="0.25">
      <c r="I5224" s="16">
        <v>20</v>
      </c>
      <c r="L5224" s="16" t="s">
        <v>26</v>
      </c>
      <c r="M5224" s="16" t="s">
        <v>181</v>
      </c>
    </row>
    <row r="5225" spans="1:13" ht="13.5" customHeight="1" x14ac:dyDescent="0.25">
      <c r="I5225" s="16">
        <v>150</v>
      </c>
      <c r="L5225" s="16" t="s">
        <v>26</v>
      </c>
      <c r="M5225" s="16" t="s">
        <v>898</v>
      </c>
    </row>
    <row r="5227" spans="1:13" ht="13.5" customHeight="1" x14ac:dyDescent="0.25">
      <c r="A5227" s="16" t="s">
        <v>897</v>
      </c>
      <c r="B5227" s="16" t="s">
        <v>1</v>
      </c>
      <c r="D5227" s="16" t="s">
        <v>20</v>
      </c>
      <c r="F5227" s="16">
        <v>354.55</v>
      </c>
      <c r="G5227" s="16">
        <v>11</v>
      </c>
      <c r="H5227" s="16" t="s">
        <v>22</v>
      </c>
      <c r="I5227" s="16">
        <v>10</v>
      </c>
      <c r="L5227" s="16" t="s">
        <v>23</v>
      </c>
    </row>
    <row r="5228" spans="1:13" ht="13.5" customHeight="1" x14ac:dyDescent="0.25">
      <c r="I5228" s="16">
        <v>20</v>
      </c>
      <c r="L5228" s="16" t="s">
        <v>33</v>
      </c>
    </row>
    <row r="5229" spans="1:13" ht="13.5" customHeight="1" x14ac:dyDescent="0.25">
      <c r="I5229" s="16">
        <v>50</v>
      </c>
      <c r="L5229" s="16" t="s">
        <v>29</v>
      </c>
      <c r="M5229" s="15"/>
    </row>
    <row r="5230" spans="1:13" ht="13.5" customHeight="1" x14ac:dyDescent="0.25">
      <c r="I5230" s="16">
        <v>30</v>
      </c>
      <c r="L5230" s="16" t="s">
        <v>25</v>
      </c>
      <c r="M5230" s="15"/>
    </row>
    <row r="5231" spans="1:13" ht="13.5" customHeight="1" x14ac:dyDescent="0.25">
      <c r="I5231" s="16">
        <v>20</v>
      </c>
      <c r="L5231" s="16" t="s">
        <v>27</v>
      </c>
      <c r="M5231" s="16" t="s">
        <v>45</v>
      </c>
    </row>
    <row r="5232" spans="1:13" ht="13.5" customHeight="1" x14ac:dyDescent="0.25">
      <c r="I5232" s="16">
        <v>20</v>
      </c>
      <c r="L5232" s="16" t="s">
        <v>26</v>
      </c>
      <c r="M5232" s="16" t="s">
        <v>147</v>
      </c>
    </row>
    <row r="5233" spans="1:13" ht="13.5" customHeight="1" x14ac:dyDescent="0.25">
      <c r="I5233" s="16">
        <v>30</v>
      </c>
      <c r="L5233" s="16" t="s">
        <v>26</v>
      </c>
      <c r="M5233" s="15" t="s">
        <v>894</v>
      </c>
    </row>
    <row r="5235" spans="1:13" ht="13.5" customHeight="1" x14ac:dyDescent="0.25">
      <c r="A5235" s="16" t="s">
        <v>897</v>
      </c>
      <c r="B5235" s="16" t="s">
        <v>2</v>
      </c>
      <c r="C5235" s="16" t="s">
        <v>16</v>
      </c>
      <c r="D5235" s="15" t="s">
        <v>548</v>
      </c>
      <c r="E5235" s="15"/>
      <c r="F5235" s="16">
        <v>245.38</v>
      </c>
      <c r="G5235" s="16">
        <v>7.5</v>
      </c>
      <c r="H5235" s="16" t="s">
        <v>22</v>
      </c>
      <c r="I5235" s="16">
        <v>10</v>
      </c>
      <c r="L5235" s="16" t="s">
        <v>23</v>
      </c>
    </row>
    <row r="5236" spans="1:13" ht="13.5" customHeight="1" x14ac:dyDescent="0.25">
      <c r="I5236" s="16">
        <v>80</v>
      </c>
      <c r="L5236" s="16" t="s">
        <v>32</v>
      </c>
    </row>
    <row r="5237" spans="1:13" ht="13.5" customHeight="1" x14ac:dyDescent="0.25">
      <c r="I5237" s="16">
        <v>20</v>
      </c>
      <c r="L5237" s="16" t="s">
        <v>33</v>
      </c>
      <c r="M5237" s="15"/>
    </row>
    <row r="5238" spans="1:13" ht="13.5" customHeight="1" x14ac:dyDescent="0.25">
      <c r="I5238" s="16">
        <v>30</v>
      </c>
      <c r="L5238" s="16" t="s">
        <v>29</v>
      </c>
      <c r="M5238" s="15"/>
    </row>
    <row r="5239" spans="1:13" ht="13.5" customHeight="1" x14ac:dyDescent="0.25">
      <c r="I5239" s="16">
        <v>30</v>
      </c>
      <c r="L5239" s="16" t="s">
        <v>25</v>
      </c>
      <c r="M5239" s="16" t="s">
        <v>45</v>
      </c>
    </row>
    <row r="5240" spans="1:13" ht="13.5" customHeight="1" x14ac:dyDescent="0.25">
      <c r="I5240" s="16">
        <v>20</v>
      </c>
      <c r="L5240" s="16" t="s">
        <v>27</v>
      </c>
    </row>
    <row r="5241" spans="1:13" ht="13.5" customHeight="1" x14ac:dyDescent="0.25">
      <c r="I5241" s="16">
        <v>20</v>
      </c>
      <c r="L5241" s="16" t="s">
        <v>26</v>
      </c>
      <c r="M5241" s="16" t="s">
        <v>147</v>
      </c>
    </row>
    <row r="5242" spans="1:13" ht="13.5" customHeight="1" x14ac:dyDescent="0.25">
      <c r="I5242" s="16">
        <v>60</v>
      </c>
      <c r="L5242" s="16" t="s">
        <v>26</v>
      </c>
      <c r="M5242" s="15" t="s">
        <v>900</v>
      </c>
    </row>
    <row r="5243" spans="1:13" ht="13.5" customHeight="1" x14ac:dyDescent="0.25">
      <c r="I5243" s="16">
        <v>90</v>
      </c>
      <c r="L5243" s="16" t="s">
        <v>26</v>
      </c>
      <c r="M5243" s="15" t="s">
        <v>181</v>
      </c>
    </row>
    <row r="5244" spans="1:13" ht="13.5" customHeight="1" x14ac:dyDescent="0.25">
      <c r="I5244" s="16">
        <v>20</v>
      </c>
      <c r="L5244" s="16" t="s">
        <v>26</v>
      </c>
      <c r="M5244" s="16" t="s">
        <v>899</v>
      </c>
    </row>
    <row r="5246" spans="1:13" ht="13.5" customHeight="1" x14ac:dyDescent="0.25">
      <c r="A5246" s="16" t="s">
        <v>901</v>
      </c>
      <c r="B5246" s="16" t="s">
        <v>0</v>
      </c>
      <c r="C5246" s="16" t="s">
        <v>192</v>
      </c>
      <c r="D5246" s="16" t="s">
        <v>21</v>
      </c>
      <c r="F5246" s="16">
        <v>307.64</v>
      </c>
      <c r="G5246" s="16">
        <v>10.5</v>
      </c>
      <c r="H5246" s="16" t="s">
        <v>22</v>
      </c>
      <c r="I5246" s="16">
        <v>10</v>
      </c>
      <c r="L5246" s="16" t="s">
        <v>23</v>
      </c>
    </row>
    <row r="5247" spans="1:13" ht="13.5" customHeight="1" x14ac:dyDescent="0.25">
      <c r="I5247" s="16">
        <v>20</v>
      </c>
      <c r="L5247" s="16" t="s">
        <v>33</v>
      </c>
      <c r="M5247" s="15"/>
    </row>
    <row r="5248" spans="1:13" ht="13.5" customHeight="1" x14ac:dyDescent="0.25">
      <c r="I5248" s="16">
        <v>30</v>
      </c>
      <c r="L5248" s="16" t="s">
        <v>29</v>
      </c>
      <c r="M5248" s="15"/>
    </row>
    <row r="5249" spans="1:13" ht="13.5" customHeight="1" x14ac:dyDescent="0.25">
      <c r="I5249" s="16">
        <v>30</v>
      </c>
      <c r="L5249" s="16" t="s">
        <v>25</v>
      </c>
      <c r="M5249" s="16" t="s">
        <v>45</v>
      </c>
    </row>
    <row r="5250" spans="1:13" ht="13.5" customHeight="1" x14ac:dyDescent="0.25">
      <c r="I5250" s="16">
        <v>20</v>
      </c>
      <c r="L5250" s="16" t="s">
        <v>27</v>
      </c>
    </row>
    <row r="5251" spans="1:13" ht="13.5" customHeight="1" x14ac:dyDescent="0.25">
      <c r="I5251" s="16">
        <v>40</v>
      </c>
      <c r="L5251" s="16" t="s">
        <v>26</v>
      </c>
      <c r="M5251" s="15" t="s">
        <v>129</v>
      </c>
    </row>
    <row r="5252" spans="1:13" ht="13.5" customHeight="1" x14ac:dyDescent="0.25">
      <c r="I5252" s="16">
        <v>30</v>
      </c>
      <c r="L5252" s="16" t="s">
        <v>168</v>
      </c>
      <c r="M5252" s="16" t="s">
        <v>117</v>
      </c>
    </row>
    <row r="5253" spans="1:13" ht="13.5" customHeight="1" x14ac:dyDescent="0.25">
      <c r="I5253" s="16">
        <v>20</v>
      </c>
      <c r="L5253" s="16" t="s">
        <v>26</v>
      </c>
      <c r="M5253" s="16" t="s">
        <v>148</v>
      </c>
    </row>
    <row r="5255" spans="1:13" ht="13.5" customHeight="1" x14ac:dyDescent="0.25">
      <c r="A5255" s="16" t="s">
        <v>901</v>
      </c>
      <c r="B5255" s="16" t="s">
        <v>1</v>
      </c>
      <c r="D5255" s="16" t="s">
        <v>20</v>
      </c>
      <c r="F5255" s="16">
        <v>360.03</v>
      </c>
      <c r="G5255" s="16">
        <v>11</v>
      </c>
      <c r="H5255" s="16" t="s">
        <v>22</v>
      </c>
      <c r="I5255" s="16">
        <v>10</v>
      </c>
      <c r="L5255" s="16" t="s">
        <v>23</v>
      </c>
    </row>
    <row r="5256" spans="1:13" ht="13.5" customHeight="1" x14ac:dyDescent="0.25">
      <c r="I5256" s="16">
        <v>20</v>
      </c>
      <c r="L5256" s="16" t="s">
        <v>33</v>
      </c>
    </row>
    <row r="5257" spans="1:13" ht="13.5" customHeight="1" x14ac:dyDescent="0.25">
      <c r="I5257" s="16">
        <v>40</v>
      </c>
      <c r="L5257" s="16" t="s">
        <v>29</v>
      </c>
      <c r="M5257" s="15"/>
    </row>
    <row r="5258" spans="1:13" ht="13.5" customHeight="1" x14ac:dyDescent="0.25">
      <c r="I5258" s="16">
        <v>30</v>
      </c>
      <c r="L5258" s="16" t="s">
        <v>25</v>
      </c>
      <c r="M5258" s="15"/>
    </row>
    <row r="5259" spans="1:13" ht="13.5" customHeight="1" x14ac:dyDescent="0.25">
      <c r="I5259" s="16">
        <v>20</v>
      </c>
      <c r="L5259" s="16" t="s">
        <v>27</v>
      </c>
      <c r="M5259" s="16" t="s">
        <v>45</v>
      </c>
    </row>
    <row r="5260" spans="1:13" ht="13.5" customHeight="1" x14ac:dyDescent="0.25">
      <c r="I5260" s="16">
        <v>20</v>
      </c>
      <c r="L5260" s="16" t="s">
        <v>26</v>
      </c>
      <c r="M5260" s="16" t="s">
        <v>147</v>
      </c>
    </row>
    <row r="5262" spans="1:13" ht="13.5" customHeight="1" x14ac:dyDescent="0.25">
      <c r="A5262" s="16" t="s">
        <v>901</v>
      </c>
      <c r="B5262" s="16" t="s">
        <v>2</v>
      </c>
      <c r="C5262" s="16" t="s">
        <v>16</v>
      </c>
      <c r="D5262" s="15" t="s">
        <v>548</v>
      </c>
      <c r="E5262" s="15"/>
      <c r="F5262" s="16">
        <v>325.64</v>
      </c>
      <c r="G5262" s="16">
        <v>10.5</v>
      </c>
      <c r="H5262" s="16" t="s">
        <v>22</v>
      </c>
      <c r="I5262" s="16">
        <v>10</v>
      </c>
      <c r="L5262" s="16" t="s">
        <v>23</v>
      </c>
    </row>
    <row r="5263" spans="1:13" ht="13.5" customHeight="1" x14ac:dyDescent="0.25">
      <c r="I5263" s="16">
        <v>20</v>
      </c>
      <c r="L5263" s="16" t="s">
        <v>33</v>
      </c>
    </row>
    <row r="5264" spans="1:13" ht="13.5" customHeight="1" x14ac:dyDescent="0.25">
      <c r="I5264" s="16">
        <v>40</v>
      </c>
      <c r="L5264" s="16" t="s">
        <v>29</v>
      </c>
      <c r="M5264" s="15"/>
    </row>
    <row r="5265" spans="1:13" ht="13.5" customHeight="1" x14ac:dyDescent="0.25">
      <c r="I5265" s="16">
        <v>30</v>
      </c>
      <c r="L5265" s="16" t="s">
        <v>25</v>
      </c>
      <c r="M5265" s="15"/>
    </row>
    <row r="5266" spans="1:13" ht="13.5" customHeight="1" x14ac:dyDescent="0.25">
      <c r="I5266" s="16">
        <v>20</v>
      </c>
      <c r="L5266" s="16" t="s">
        <v>27</v>
      </c>
      <c r="M5266" s="16" t="s">
        <v>45</v>
      </c>
    </row>
    <row r="5267" spans="1:13" ht="13.5" customHeight="1" x14ac:dyDescent="0.25">
      <c r="I5267" s="16">
        <v>25</v>
      </c>
      <c r="L5267" s="16" t="s">
        <v>26</v>
      </c>
      <c r="M5267" s="16" t="s">
        <v>147</v>
      </c>
    </row>
    <row r="5268" spans="1:13" ht="13.5" customHeight="1" x14ac:dyDescent="0.25">
      <c r="I5268" s="16">
        <v>20</v>
      </c>
      <c r="L5268" s="16" t="s">
        <v>26</v>
      </c>
      <c r="M5268" s="16" t="s">
        <v>902</v>
      </c>
    </row>
    <row r="5270" spans="1:13" ht="13.5" customHeight="1" x14ac:dyDescent="0.25">
      <c r="A5270" s="16" t="s">
        <v>903</v>
      </c>
      <c r="B5270" s="16" t="s">
        <v>0</v>
      </c>
      <c r="C5270" s="16" t="s">
        <v>192</v>
      </c>
      <c r="D5270" s="16" t="s">
        <v>21</v>
      </c>
      <c r="F5270" s="16">
        <f>18.2+38.1+38.3+38.43+33.38+33.32+30.99+31.48+27.6</f>
        <v>289.8</v>
      </c>
      <c r="G5270" s="16">
        <v>8.5</v>
      </c>
      <c r="H5270" s="16" t="s">
        <v>22</v>
      </c>
      <c r="I5270" s="16">
        <v>10</v>
      </c>
      <c r="L5270" s="16" t="s">
        <v>23</v>
      </c>
    </row>
    <row r="5271" spans="1:13" ht="13.5" customHeight="1" x14ac:dyDescent="0.25">
      <c r="A5271" s="33"/>
      <c r="B5271" s="33"/>
      <c r="C5271" s="33"/>
      <c r="D5271" s="33"/>
      <c r="E5271" s="33"/>
      <c r="F5271" s="33"/>
      <c r="G5271" s="33"/>
      <c r="H5271" s="33"/>
      <c r="I5271" s="16">
        <v>20</v>
      </c>
      <c r="L5271" s="16" t="s">
        <v>33</v>
      </c>
      <c r="M5271" s="15"/>
    </row>
    <row r="5272" spans="1:13" ht="13.5" customHeight="1" x14ac:dyDescent="0.25">
      <c r="A5272" s="33"/>
      <c r="B5272" s="33"/>
      <c r="C5272" s="33"/>
      <c r="D5272" s="33"/>
      <c r="E5272" s="33"/>
      <c r="F5272" s="33"/>
      <c r="G5272" s="33"/>
      <c r="H5272" s="33"/>
      <c r="I5272" s="16">
        <v>20</v>
      </c>
      <c r="L5272" s="16" t="s">
        <v>29</v>
      </c>
      <c r="M5272" s="15"/>
    </row>
    <row r="5273" spans="1:13" ht="13.5" customHeight="1" x14ac:dyDescent="0.25">
      <c r="A5273" s="33"/>
      <c r="B5273" s="33"/>
      <c r="C5273" s="33"/>
      <c r="D5273" s="33"/>
      <c r="E5273" s="33"/>
      <c r="F5273" s="33"/>
      <c r="G5273" s="33"/>
      <c r="H5273" s="33"/>
      <c r="I5273" s="16">
        <v>15</v>
      </c>
      <c r="L5273" s="16" t="s">
        <v>25</v>
      </c>
      <c r="M5273" s="16" t="s">
        <v>45</v>
      </c>
    </row>
    <row r="5274" spans="1:13" ht="13.5" customHeight="1" x14ac:dyDescent="0.25">
      <c r="A5274" s="33"/>
      <c r="B5274" s="33"/>
      <c r="C5274" s="33"/>
      <c r="D5274" s="33"/>
      <c r="E5274" s="33"/>
      <c r="F5274" s="33"/>
      <c r="G5274" s="33"/>
      <c r="H5274" s="33"/>
      <c r="I5274" s="16">
        <v>30</v>
      </c>
      <c r="L5274" s="16" t="s">
        <v>27</v>
      </c>
    </row>
    <row r="5275" spans="1:13" ht="13.5" customHeight="1" x14ac:dyDescent="0.25">
      <c r="A5275" s="33"/>
      <c r="B5275" s="33"/>
      <c r="C5275" s="33"/>
      <c r="D5275" s="33"/>
      <c r="E5275" s="33"/>
      <c r="F5275" s="33"/>
      <c r="G5275" s="33"/>
      <c r="H5275" s="33"/>
      <c r="I5275" s="16">
        <v>120</v>
      </c>
      <c r="L5275" s="16" t="s">
        <v>26</v>
      </c>
      <c r="M5275" s="15" t="s">
        <v>904</v>
      </c>
    </row>
    <row r="5276" spans="1:13" ht="13.5" customHeight="1" x14ac:dyDescent="0.25">
      <c r="A5276" s="33"/>
      <c r="B5276" s="33"/>
      <c r="C5276" s="33"/>
      <c r="D5276" s="33"/>
      <c r="E5276" s="33"/>
      <c r="F5276" s="33"/>
      <c r="G5276" s="33"/>
      <c r="H5276" s="33"/>
      <c r="I5276" s="16">
        <v>20</v>
      </c>
      <c r="L5276" s="16" t="s">
        <v>168</v>
      </c>
      <c r="M5276" s="16" t="s">
        <v>117</v>
      </c>
    </row>
    <row r="5277" spans="1:13" ht="13.5" customHeight="1" x14ac:dyDescent="0.25">
      <c r="A5277" s="33"/>
      <c r="B5277" s="33"/>
      <c r="C5277" s="33"/>
      <c r="D5277" s="33"/>
      <c r="E5277" s="33"/>
      <c r="F5277" s="33"/>
      <c r="G5277" s="33"/>
      <c r="H5277" s="33"/>
      <c r="I5277" s="16">
        <v>20</v>
      </c>
      <c r="L5277" s="16" t="s">
        <v>24</v>
      </c>
      <c r="M5277" s="16" t="s">
        <v>148</v>
      </c>
    </row>
    <row r="5278" spans="1:13" ht="13.5" customHeight="1" x14ac:dyDescent="0.25">
      <c r="A5278" s="33"/>
      <c r="B5278" s="33"/>
      <c r="C5278" s="33"/>
      <c r="D5278" s="33"/>
      <c r="E5278" s="33"/>
      <c r="F5278" s="33"/>
      <c r="G5278" s="33"/>
      <c r="H5278" s="33"/>
    </row>
    <row r="5279" spans="1:13" ht="13.5" customHeight="1" x14ac:dyDescent="0.25">
      <c r="A5279" s="16" t="s">
        <v>903</v>
      </c>
      <c r="B5279" s="16" t="s">
        <v>1</v>
      </c>
      <c r="D5279" s="16" t="s">
        <v>20</v>
      </c>
      <c r="F5279" s="16">
        <v>318.32</v>
      </c>
      <c r="G5279" s="16">
        <v>9</v>
      </c>
      <c r="H5279" s="16" t="s">
        <v>22</v>
      </c>
      <c r="I5279" s="16">
        <v>10</v>
      </c>
      <c r="L5279" s="16" t="s">
        <v>23</v>
      </c>
    </row>
    <row r="5280" spans="1:13" ht="13.5" customHeight="1" x14ac:dyDescent="0.25">
      <c r="I5280" s="16">
        <v>20</v>
      </c>
      <c r="L5280" s="16" t="s">
        <v>33</v>
      </c>
    </row>
    <row r="5281" spans="1:13" ht="13.5" customHeight="1" x14ac:dyDescent="0.25">
      <c r="I5281" s="16">
        <v>40</v>
      </c>
      <c r="L5281" s="16" t="s">
        <v>29</v>
      </c>
      <c r="M5281" s="15"/>
    </row>
    <row r="5282" spans="1:13" ht="13.5" customHeight="1" x14ac:dyDescent="0.25">
      <c r="I5282" s="16">
        <v>30</v>
      </c>
      <c r="L5282" s="16" t="s">
        <v>25</v>
      </c>
      <c r="M5282" s="15"/>
    </row>
    <row r="5283" spans="1:13" ht="13.5" customHeight="1" x14ac:dyDescent="0.25">
      <c r="I5283" s="16">
        <v>20</v>
      </c>
      <c r="L5283" s="16" t="s">
        <v>27</v>
      </c>
      <c r="M5283" s="16" t="s">
        <v>45</v>
      </c>
    </row>
    <row r="5284" spans="1:13" ht="13.5" customHeight="1" x14ac:dyDescent="0.25">
      <c r="I5284" s="16">
        <v>20</v>
      </c>
      <c r="L5284" s="16" t="s">
        <v>26</v>
      </c>
      <c r="M5284" s="16" t="s">
        <v>147</v>
      </c>
    </row>
    <row r="5285" spans="1:13" ht="13.5" customHeight="1" x14ac:dyDescent="0.25">
      <c r="I5285" s="16">
        <v>110</v>
      </c>
      <c r="L5285" s="16" t="s">
        <v>26</v>
      </c>
      <c r="M5285" s="15" t="s">
        <v>187</v>
      </c>
    </row>
    <row r="5287" spans="1:13" ht="13.5" customHeight="1" x14ac:dyDescent="0.25">
      <c r="A5287" s="16" t="s">
        <v>903</v>
      </c>
      <c r="B5287" s="16" t="s">
        <v>2</v>
      </c>
      <c r="C5287" s="16" t="s">
        <v>16</v>
      </c>
      <c r="D5287" s="15" t="s">
        <v>548</v>
      </c>
      <c r="E5287" s="15"/>
      <c r="F5287" s="16">
        <v>322.87</v>
      </c>
      <c r="G5287" s="16">
        <v>10</v>
      </c>
      <c r="H5287" s="16" t="s">
        <v>22</v>
      </c>
      <c r="I5287" s="16">
        <v>10</v>
      </c>
      <c r="L5287" s="16" t="s">
        <v>23</v>
      </c>
    </row>
    <row r="5288" spans="1:13" ht="13.5" customHeight="1" x14ac:dyDescent="0.25">
      <c r="I5288" s="16">
        <v>20</v>
      </c>
      <c r="L5288" s="16" t="s">
        <v>33</v>
      </c>
    </row>
    <row r="5289" spans="1:13" ht="13.5" customHeight="1" x14ac:dyDescent="0.25">
      <c r="I5289" s="16">
        <v>20</v>
      </c>
      <c r="L5289" s="16" t="s">
        <v>29</v>
      </c>
      <c r="M5289" s="15"/>
    </row>
    <row r="5290" spans="1:13" ht="13.5" customHeight="1" x14ac:dyDescent="0.25">
      <c r="I5290" s="16">
        <v>30</v>
      </c>
      <c r="L5290" s="16" t="s">
        <v>25</v>
      </c>
      <c r="M5290" s="15"/>
    </row>
    <row r="5291" spans="1:13" ht="13.5" customHeight="1" x14ac:dyDescent="0.25">
      <c r="I5291" s="16">
        <v>20</v>
      </c>
      <c r="L5291" s="16" t="s">
        <v>27</v>
      </c>
      <c r="M5291" s="16" t="s">
        <v>45</v>
      </c>
    </row>
    <row r="5292" spans="1:13" ht="13.5" customHeight="1" x14ac:dyDescent="0.25">
      <c r="I5292" s="16">
        <v>20</v>
      </c>
      <c r="L5292" s="16" t="s">
        <v>26</v>
      </c>
      <c r="M5292" s="16" t="s">
        <v>147</v>
      </c>
    </row>
    <row r="5293" spans="1:13" ht="13.5" customHeight="1" x14ac:dyDescent="0.25">
      <c r="I5293" s="16">
        <v>90</v>
      </c>
      <c r="L5293" s="16" t="s">
        <v>26</v>
      </c>
      <c r="M5293" s="16" t="s">
        <v>905</v>
      </c>
    </row>
    <row r="5295" spans="1:13" ht="13.5" customHeight="1" x14ac:dyDescent="0.25">
      <c r="A5295" s="16" t="s">
        <v>906</v>
      </c>
      <c r="B5295" s="16" t="s">
        <v>0</v>
      </c>
      <c r="D5295" s="16" t="s">
        <v>21</v>
      </c>
      <c r="F5295" s="16">
        <f>38.43+38.52+38.23+38.47+38.13+31.56+37.95+27.33+38.3+38.46+31.66</f>
        <v>397.04</v>
      </c>
      <c r="G5295" s="16">
        <v>11</v>
      </c>
      <c r="H5295" s="16" t="s">
        <v>22</v>
      </c>
      <c r="I5295" s="16">
        <v>10</v>
      </c>
      <c r="L5295" s="16" t="s">
        <v>23</v>
      </c>
    </row>
    <row r="5296" spans="1:13" ht="13.5" customHeight="1" x14ac:dyDescent="0.25">
      <c r="I5296" s="16">
        <v>20</v>
      </c>
      <c r="L5296" s="16" t="s">
        <v>33</v>
      </c>
    </row>
    <row r="5297" spans="1:13" ht="13.5" customHeight="1" x14ac:dyDescent="0.25">
      <c r="I5297" s="16">
        <v>30</v>
      </c>
      <c r="L5297" s="16" t="s">
        <v>29</v>
      </c>
      <c r="M5297" s="15"/>
    </row>
    <row r="5298" spans="1:13" ht="13.5" customHeight="1" x14ac:dyDescent="0.25">
      <c r="I5298" s="16">
        <v>20</v>
      </c>
      <c r="L5298" s="16" t="s">
        <v>25</v>
      </c>
      <c r="M5298" s="15"/>
    </row>
    <row r="5299" spans="1:13" ht="13.5" customHeight="1" x14ac:dyDescent="0.25">
      <c r="I5299" s="16">
        <v>20</v>
      </c>
      <c r="L5299" s="16" t="s">
        <v>27</v>
      </c>
      <c r="M5299" s="16" t="s">
        <v>45</v>
      </c>
    </row>
    <row r="5300" spans="1:13" ht="13.5" customHeight="1" x14ac:dyDescent="0.25">
      <c r="I5300" s="16">
        <v>20</v>
      </c>
      <c r="L5300" s="16" t="s">
        <v>26</v>
      </c>
      <c r="M5300" s="16" t="s">
        <v>147</v>
      </c>
    </row>
    <row r="5301" spans="1:13" ht="13.5" customHeight="1" x14ac:dyDescent="0.25">
      <c r="I5301" s="16">
        <v>30</v>
      </c>
      <c r="L5301" s="16" t="s">
        <v>24</v>
      </c>
      <c r="M5301" s="16" t="s">
        <v>907</v>
      </c>
    </row>
    <row r="5303" spans="1:13" ht="13.5" customHeight="1" x14ac:dyDescent="0.25">
      <c r="A5303" s="16" t="s">
        <v>906</v>
      </c>
      <c r="B5303" s="16" t="s">
        <v>1</v>
      </c>
      <c r="D5303" s="16" t="s">
        <v>20</v>
      </c>
      <c r="F5303" s="16">
        <v>394.54</v>
      </c>
      <c r="G5303" s="16">
        <v>11</v>
      </c>
      <c r="H5303" s="16" t="s">
        <v>22</v>
      </c>
      <c r="I5303" s="16">
        <v>10</v>
      </c>
      <c r="L5303" s="16" t="s">
        <v>23</v>
      </c>
    </row>
    <row r="5304" spans="1:13" ht="13.5" customHeight="1" x14ac:dyDescent="0.25">
      <c r="I5304" s="16">
        <v>20</v>
      </c>
      <c r="L5304" s="16" t="s">
        <v>33</v>
      </c>
    </row>
    <row r="5305" spans="1:13" ht="13.5" customHeight="1" x14ac:dyDescent="0.25">
      <c r="I5305" s="16">
        <v>40</v>
      </c>
      <c r="L5305" s="16" t="s">
        <v>29</v>
      </c>
      <c r="M5305" s="15"/>
    </row>
    <row r="5306" spans="1:13" ht="13.5" customHeight="1" x14ac:dyDescent="0.25">
      <c r="I5306" s="16">
        <v>30</v>
      </c>
      <c r="L5306" s="16" t="s">
        <v>25</v>
      </c>
      <c r="M5306" s="16" t="s">
        <v>137</v>
      </c>
    </row>
    <row r="5307" spans="1:13" ht="13.5" customHeight="1" x14ac:dyDescent="0.25">
      <c r="I5307" s="16">
        <v>20</v>
      </c>
      <c r="L5307" s="16" t="s">
        <v>27</v>
      </c>
    </row>
    <row r="5308" spans="1:13" ht="13.5" customHeight="1" x14ac:dyDescent="0.25">
      <c r="I5308" s="16">
        <v>20</v>
      </c>
      <c r="L5308" s="16" t="s">
        <v>26</v>
      </c>
      <c r="M5308" s="16" t="s">
        <v>147</v>
      </c>
    </row>
    <row r="5310" spans="1:13" ht="13.5" customHeight="1" x14ac:dyDescent="0.25">
      <c r="A5310" s="16" t="s">
        <v>906</v>
      </c>
      <c r="B5310" s="16" t="s">
        <v>2</v>
      </c>
      <c r="C5310" s="16" t="s">
        <v>15</v>
      </c>
      <c r="D5310" s="15" t="s">
        <v>548</v>
      </c>
      <c r="E5310" s="15"/>
      <c r="F5310" s="16">
        <v>379.12</v>
      </c>
      <c r="G5310" s="16">
        <v>11</v>
      </c>
      <c r="H5310" s="16" t="s">
        <v>22</v>
      </c>
      <c r="I5310" s="16">
        <v>10</v>
      </c>
      <c r="L5310" s="16" t="s">
        <v>23</v>
      </c>
    </row>
    <row r="5311" spans="1:13" ht="13.5" customHeight="1" x14ac:dyDescent="0.25">
      <c r="I5311" s="16">
        <v>20</v>
      </c>
      <c r="L5311" s="16" t="s">
        <v>33</v>
      </c>
    </row>
    <row r="5312" spans="1:13" ht="13.5" customHeight="1" x14ac:dyDescent="0.25">
      <c r="I5312" s="16">
        <v>40</v>
      </c>
      <c r="L5312" s="16" t="s">
        <v>29</v>
      </c>
      <c r="M5312" s="15"/>
    </row>
    <row r="5313" spans="1:13" ht="13.5" customHeight="1" x14ac:dyDescent="0.25">
      <c r="I5313" s="16">
        <v>30</v>
      </c>
      <c r="L5313" s="16" t="s">
        <v>25</v>
      </c>
      <c r="M5313" s="16" t="s">
        <v>137</v>
      </c>
    </row>
    <row r="5314" spans="1:13" ht="13.5" customHeight="1" x14ac:dyDescent="0.25">
      <c r="I5314" s="16">
        <v>20</v>
      </c>
      <c r="L5314" s="16" t="s">
        <v>27</v>
      </c>
    </row>
    <row r="5315" spans="1:13" ht="13.5" customHeight="1" x14ac:dyDescent="0.25">
      <c r="I5315" s="16">
        <v>20</v>
      </c>
      <c r="L5315" s="16" t="s">
        <v>26</v>
      </c>
      <c r="M5315" s="16" t="s">
        <v>147</v>
      </c>
    </row>
    <row r="5317" spans="1:13" ht="13.5" customHeight="1" x14ac:dyDescent="0.25">
      <c r="A5317" s="16" t="s">
        <v>908</v>
      </c>
      <c r="B5317" s="16" t="s">
        <v>0</v>
      </c>
      <c r="D5317" s="16" t="s">
        <v>20</v>
      </c>
      <c r="F5317" s="16">
        <v>376.63</v>
      </c>
      <c r="G5317" s="16">
        <v>11</v>
      </c>
      <c r="H5317" s="16" t="s">
        <v>22</v>
      </c>
      <c r="I5317" s="16">
        <v>10</v>
      </c>
      <c r="L5317" s="16" t="s">
        <v>23</v>
      </c>
    </row>
    <row r="5318" spans="1:13" ht="13.5" customHeight="1" x14ac:dyDescent="0.25">
      <c r="I5318" s="16">
        <v>20</v>
      </c>
      <c r="L5318" s="16" t="s">
        <v>33</v>
      </c>
    </row>
    <row r="5319" spans="1:13" ht="13.5" customHeight="1" x14ac:dyDescent="0.25">
      <c r="I5319" s="16">
        <v>40</v>
      </c>
      <c r="L5319" s="16" t="s">
        <v>29</v>
      </c>
      <c r="M5319" s="15"/>
    </row>
    <row r="5320" spans="1:13" ht="13.5" customHeight="1" x14ac:dyDescent="0.25">
      <c r="I5320" s="16">
        <v>30</v>
      </c>
      <c r="L5320" s="16" t="s">
        <v>25</v>
      </c>
      <c r="M5320" s="16" t="s">
        <v>137</v>
      </c>
    </row>
    <row r="5321" spans="1:13" ht="13.5" customHeight="1" x14ac:dyDescent="0.25">
      <c r="I5321" s="16">
        <v>20</v>
      </c>
      <c r="L5321" s="16" t="s">
        <v>27</v>
      </c>
    </row>
    <row r="5322" spans="1:13" ht="13.5" customHeight="1" x14ac:dyDescent="0.25">
      <c r="I5322" s="16">
        <v>20</v>
      </c>
      <c r="L5322" s="16" t="s">
        <v>26</v>
      </c>
      <c r="M5322" s="16" t="s">
        <v>147</v>
      </c>
    </row>
    <row r="5324" spans="1:13" ht="13.5" customHeight="1" x14ac:dyDescent="0.25">
      <c r="A5324" s="16" t="s">
        <v>908</v>
      </c>
      <c r="B5324" s="16" t="s">
        <v>1</v>
      </c>
      <c r="C5324" s="16" t="s">
        <v>192</v>
      </c>
      <c r="D5324" s="15" t="s">
        <v>548</v>
      </c>
      <c r="E5324" s="15"/>
      <c r="F5324" s="16">
        <v>368.53</v>
      </c>
      <c r="G5324" s="16">
        <v>10</v>
      </c>
      <c r="H5324" s="16" t="s">
        <v>22</v>
      </c>
      <c r="I5324" s="16">
        <v>10</v>
      </c>
      <c r="L5324" s="16" t="s">
        <v>23</v>
      </c>
    </row>
    <row r="5325" spans="1:13" ht="13.5" customHeight="1" x14ac:dyDescent="0.25">
      <c r="I5325" s="16">
        <v>20</v>
      </c>
      <c r="L5325" s="16" t="s">
        <v>33</v>
      </c>
    </row>
    <row r="5326" spans="1:13" ht="13.5" customHeight="1" x14ac:dyDescent="0.25">
      <c r="I5326" s="16">
        <v>40</v>
      </c>
      <c r="L5326" s="16" t="s">
        <v>29</v>
      </c>
      <c r="M5326" s="15"/>
    </row>
    <row r="5327" spans="1:13" ht="13.5" customHeight="1" x14ac:dyDescent="0.25">
      <c r="I5327" s="16">
        <v>30</v>
      </c>
      <c r="L5327" s="16" t="s">
        <v>25</v>
      </c>
      <c r="M5327" s="16" t="s">
        <v>137</v>
      </c>
    </row>
    <row r="5328" spans="1:13" ht="13.5" customHeight="1" x14ac:dyDescent="0.25">
      <c r="I5328" s="16">
        <v>20</v>
      </c>
      <c r="L5328" s="16" t="s">
        <v>27</v>
      </c>
    </row>
    <row r="5329" spans="1:13" ht="13.5" customHeight="1" x14ac:dyDescent="0.25">
      <c r="I5329" s="16">
        <v>20</v>
      </c>
      <c r="L5329" s="16" t="s">
        <v>26</v>
      </c>
      <c r="M5329" s="16" t="s">
        <v>147</v>
      </c>
    </row>
    <row r="5330" spans="1:13" ht="13.5" customHeight="1" x14ac:dyDescent="0.25">
      <c r="I5330" s="16">
        <v>40</v>
      </c>
      <c r="L5330" s="16" t="s">
        <v>24</v>
      </c>
      <c r="M5330" s="16" t="s">
        <v>909</v>
      </c>
    </row>
    <row r="5331" spans="1:13" ht="13.5" customHeight="1" x14ac:dyDescent="0.25">
      <c r="I5331" s="16">
        <v>20</v>
      </c>
      <c r="L5331" s="16" t="s">
        <v>25</v>
      </c>
      <c r="M5331" s="16" t="s">
        <v>36</v>
      </c>
    </row>
    <row r="5333" spans="1:13" ht="13.5" customHeight="1" x14ac:dyDescent="0.25">
      <c r="A5333" s="16" t="s">
        <v>908</v>
      </c>
      <c r="B5333" s="16" t="s">
        <v>2</v>
      </c>
      <c r="C5333" s="16" t="s">
        <v>15</v>
      </c>
      <c r="D5333" s="16" t="s">
        <v>21</v>
      </c>
      <c r="F5333" s="16">
        <f>38.53+38.24+37.94+38.23+30.72+26.77+38.16+38.27+32.82+32.98+1.166+9.298+9.29</f>
        <v>372.41400000000004</v>
      </c>
      <c r="G5333" s="16">
        <v>10.5</v>
      </c>
      <c r="H5333" s="16" t="s">
        <v>22</v>
      </c>
      <c r="I5333" s="16">
        <v>10</v>
      </c>
      <c r="L5333" s="16" t="s">
        <v>23</v>
      </c>
    </row>
    <row r="5334" spans="1:13" ht="13.5" customHeight="1" x14ac:dyDescent="0.25">
      <c r="I5334" s="16">
        <v>20</v>
      </c>
      <c r="L5334" s="16" t="s">
        <v>33</v>
      </c>
    </row>
    <row r="5335" spans="1:13" ht="13.5" customHeight="1" x14ac:dyDescent="0.25">
      <c r="I5335" s="16">
        <v>30</v>
      </c>
      <c r="L5335" s="16" t="s">
        <v>29</v>
      </c>
      <c r="M5335" s="15"/>
    </row>
    <row r="5336" spans="1:13" ht="13.5" customHeight="1" x14ac:dyDescent="0.25">
      <c r="I5336" s="16">
        <v>40</v>
      </c>
      <c r="L5336" s="16" t="s">
        <v>25</v>
      </c>
      <c r="M5336" s="15" t="s">
        <v>911</v>
      </c>
    </row>
    <row r="5337" spans="1:13" ht="13.5" customHeight="1" x14ac:dyDescent="0.25">
      <c r="I5337" s="16">
        <v>20</v>
      </c>
      <c r="L5337" s="16" t="s">
        <v>27</v>
      </c>
    </row>
    <row r="5338" spans="1:13" ht="13.5" customHeight="1" x14ac:dyDescent="0.25">
      <c r="I5338" s="16">
        <v>20</v>
      </c>
      <c r="L5338" s="16" t="s">
        <v>26</v>
      </c>
      <c r="M5338" s="16" t="s">
        <v>147</v>
      </c>
    </row>
    <row r="5339" spans="1:13" ht="13.5" customHeight="1" x14ac:dyDescent="0.25">
      <c r="I5339" s="16">
        <v>40</v>
      </c>
      <c r="L5339" s="16" t="s">
        <v>26</v>
      </c>
      <c r="M5339" s="16" t="s">
        <v>140</v>
      </c>
    </row>
    <row r="5342" spans="1:13" ht="13.5" customHeight="1" x14ac:dyDescent="0.25">
      <c r="A5342" s="16" t="s">
        <v>910</v>
      </c>
      <c r="B5342" s="16" t="s">
        <v>0</v>
      </c>
      <c r="C5342" s="16" t="s">
        <v>7</v>
      </c>
      <c r="D5342" s="16" t="s">
        <v>20</v>
      </c>
      <c r="F5342" s="16">
        <v>400.36</v>
      </c>
      <c r="G5342" s="16">
        <v>11</v>
      </c>
      <c r="H5342" s="16" t="s">
        <v>22</v>
      </c>
      <c r="I5342" s="16">
        <v>10</v>
      </c>
      <c r="L5342" s="16" t="s">
        <v>23</v>
      </c>
    </row>
    <row r="5343" spans="1:13" ht="13.5" customHeight="1" x14ac:dyDescent="0.25">
      <c r="I5343" s="16">
        <v>40</v>
      </c>
      <c r="L5343" s="16" t="s">
        <v>33</v>
      </c>
      <c r="M5343" s="15" t="s">
        <v>912</v>
      </c>
    </row>
    <row r="5344" spans="1:13" ht="13.5" customHeight="1" x14ac:dyDescent="0.25">
      <c r="I5344" s="16">
        <v>40</v>
      </c>
      <c r="L5344" s="16" t="s">
        <v>29</v>
      </c>
      <c r="M5344" s="15"/>
    </row>
    <row r="5345" spans="1:13" ht="13.5" customHeight="1" x14ac:dyDescent="0.25">
      <c r="I5345" s="16">
        <v>30</v>
      </c>
      <c r="L5345" s="16" t="s">
        <v>25</v>
      </c>
      <c r="M5345" s="16" t="s">
        <v>137</v>
      </c>
    </row>
    <row r="5346" spans="1:13" ht="13.5" customHeight="1" x14ac:dyDescent="0.25">
      <c r="I5346" s="16">
        <v>20</v>
      </c>
      <c r="L5346" s="16" t="s">
        <v>27</v>
      </c>
    </row>
    <row r="5347" spans="1:13" ht="13.5" customHeight="1" x14ac:dyDescent="0.25">
      <c r="I5347" s="16">
        <v>20</v>
      </c>
      <c r="L5347" s="16" t="s">
        <v>26</v>
      </c>
      <c r="M5347" s="16" t="s">
        <v>147</v>
      </c>
    </row>
    <row r="5349" spans="1:13" ht="13.5" customHeight="1" x14ac:dyDescent="0.25">
      <c r="A5349" s="16" t="s">
        <v>908</v>
      </c>
      <c r="B5349" s="16" t="s">
        <v>1</v>
      </c>
      <c r="C5349" s="16" t="s">
        <v>913</v>
      </c>
      <c r="D5349" s="15" t="s">
        <v>548</v>
      </c>
      <c r="E5349" s="15"/>
      <c r="F5349" s="16">
        <v>404.89</v>
      </c>
      <c r="G5349" s="16">
        <v>11</v>
      </c>
      <c r="H5349" s="16" t="s">
        <v>22</v>
      </c>
      <c r="I5349" s="16">
        <v>10</v>
      </c>
      <c r="L5349" s="16" t="s">
        <v>23</v>
      </c>
    </row>
    <row r="5350" spans="1:13" ht="13.5" customHeight="1" x14ac:dyDescent="0.25">
      <c r="I5350" s="16">
        <v>20</v>
      </c>
      <c r="L5350" s="16" t="s">
        <v>33</v>
      </c>
    </row>
    <row r="5351" spans="1:13" ht="13.5" customHeight="1" x14ac:dyDescent="0.25">
      <c r="I5351" s="16">
        <v>40</v>
      </c>
      <c r="L5351" s="16" t="s">
        <v>29</v>
      </c>
      <c r="M5351" s="15"/>
    </row>
    <row r="5352" spans="1:13" ht="13.5" customHeight="1" x14ac:dyDescent="0.25">
      <c r="I5352" s="16">
        <v>30</v>
      </c>
      <c r="L5352" s="16" t="s">
        <v>25</v>
      </c>
      <c r="M5352" s="16" t="s">
        <v>137</v>
      </c>
    </row>
    <row r="5353" spans="1:13" ht="13.5" customHeight="1" x14ac:dyDescent="0.25">
      <c r="I5353" s="16">
        <v>20</v>
      </c>
      <c r="L5353" s="16" t="s">
        <v>27</v>
      </c>
    </row>
    <row r="5354" spans="1:13" ht="13.5" customHeight="1" x14ac:dyDescent="0.25">
      <c r="I5354" s="16">
        <v>20</v>
      </c>
      <c r="L5354" s="16" t="s">
        <v>26</v>
      </c>
      <c r="M5354" s="16" t="s">
        <v>147</v>
      </c>
    </row>
    <row r="5355" spans="1:13" ht="13.5" customHeight="1" x14ac:dyDescent="0.25">
      <c r="I5355" s="16">
        <v>20</v>
      </c>
      <c r="L5355" s="16" t="s">
        <v>26</v>
      </c>
      <c r="M5355" s="16" t="s">
        <v>914</v>
      </c>
    </row>
    <row r="5357" spans="1:13" ht="13.5" customHeight="1" x14ac:dyDescent="0.25">
      <c r="A5357" s="16" t="s">
        <v>910</v>
      </c>
      <c r="B5357" s="16" t="s">
        <v>2</v>
      </c>
      <c r="C5357" s="16" t="s">
        <v>15</v>
      </c>
      <c r="D5357" s="16" t="s">
        <v>21</v>
      </c>
      <c r="F5357" s="16">
        <f>17.98+38.29+38.52+38.26+38.07+38.52+31.4+31.43+38.55+38.25+36.92</f>
        <v>386.19</v>
      </c>
      <c r="G5357" s="16">
        <v>10.5</v>
      </c>
      <c r="H5357" s="16" t="s">
        <v>22</v>
      </c>
      <c r="I5357" s="16">
        <v>10</v>
      </c>
      <c r="L5357" s="16" t="s">
        <v>23</v>
      </c>
    </row>
    <row r="5358" spans="1:13" ht="13.5" customHeight="1" x14ac:dyDescent="0.25">
      <c r="I5358" s="16">
        <v>20</v>
      </c>
      <c r="L5358" s="16" t="s">
        <v>33</v>
      </c>
    </row>
    <row r="5359" spans="1:13" ht="13.5" customHeight="1" x14ac:dyDescent="0.25">
      <c r="I5359" s="16">
        <v>30</v>
      </c>
      <c r="L5359" s="16" t="s">
        <v>29</v>
      </c>
      <c r="M5359" s="15"/>
    </row>
    <row r="5360" spans="1:13" ht="13.5" customHeight="1" x14ac:dyDescent="0.25">
      <c r="I5360" s="16">
        <v>25</v>
      </c>
      <c r="L5360" s="16" t="s">
        <v>25</v>
      </c>
      <c r="M5360" s="15"/>
    </row>
    <row r="5361" spans="1:13" ht="13.5" customHeight="1" x14ac:dyDescent="0.25">
      <c r="I5361" s="16">
        <v>15</v>
      </c>
      <c r="L5361" s="16" t="s">
        <v>27</v>
      </c>
    </row>
    <row r="5362" spans="1:13" ht="13.5" customHeight="1" x14ac:dyDescent="0.25">
      <c r="I5362" s="16">
        <v>10</v>
      </c>
      <c r="L5362" s="16" t="s">
        <v>26</v>
      </c>
      <c r="M5362" s="16" t="s">
        <v>147</v>
      </c>
    </row>
    <row r="5363" spans="1:13" ht="13.5" customHeight="1" x14ac:dyDescent="0.25">
      <c r="I5363" s="16">
        <v>80</v>
      </c>
      <c r="L5363" s="16" t="s">
        <v>26</v>
      </c>
      <c r="M5363" s="16" t="s">
        <v>915</v>
      </c>
    </row>
    <row r="5365" spans="1:13" ht="13.5" customHeight="1" x14ac:dyDescent="0.25">
      <c r="A5365" s="16" t="s">
        <v>916</v>
      </c>
      <c r="B5365" s="16" t="s">
        <v>0</v>
      </c>
      <c r="C5365" s="16" t="s">
        <v>15</v>
      </c>
      <c r="D5365" s="16" t="s">
        <v>20</v>
      </c>
      <c r="F5365" s="16">
        <v>296.02</v>
      </c>
      <c r="G5365" s="16">
        <v>8.5</v>
      </c>
      <c r="H5365" s="16" t="s">
        <v>22</v>
      </c>
      <c r="I5365" s="16">
        <v>10</v>
      </c>
      <c r="L5365" s="16" t="s">
        <v>23</v>
      </c>
    </row>
    <row r="5366" spans="1:13" ht="13.5" customHeight="1" x14ac:dyDescent="0.25">
      <c r="I5366" s="16">
        <v>20</v>
      </c>
      <c r="L5366" s="16" t="s">
        <v>33</v>
      </c>
    </row>
    <row r="5367" spans="1:13" ht="13.5" customHeight="1" x14ac:dyDescent="0.25">
      <c r="I5367" s="16">
        <v>30</v>
      </c>
      <c r="L5367" s="16" t="s">
        <v>29</v>
      </c>
      <c r="M5367" s="15"/>
    </row>
    <row r="5368" spans="1:13" ht="13.5" customHeight="1" x14ac:dyDescent="0.25">
      <c r="I5368" s="16">
        <v>20</v>
      </c>
      <c r="L5368" s="16" t="s">
        <v>25</v>
      </c>
      <c r="M5368" s="16" t="s">
        <v>137</v>
      </c>
    </row>
    <row r="5369" spans="1:13" ht="13.5" customHeight="1" x14ac:dyDescent="0.25">
      <c r="I5369" s="16">
        <v>10</v>
      </c>
      <c r="L5369" s="16" t="s">
        <v>27</v>
      </c>
    </row>
    <row r="5370" spans="1:13" ht="13.5" customHeight="1" x14ac:dyDescent="0.25">
      <c r="I5370" s="16">
        <v>20</v>
      </c>
      <c r="L5370" s="16" t="s">
        <v>26</v>
      </c>
      <c r="M5370" s="16" t="s">
        <v>147</v>
      </c>
    </row>
    <row r="5371" spans="1:13" ht="13.5" customHeight="1" x14ac:dyDescent="0.25">
      <c r="I5371" s="16">
        <v>120</v>
      </c>
      <c r="L5371" s="16" t="s">
        <v>26</v>
      </c>
      <c r="M5371" s="16" t="s">
        <v>917</v>
      </c>
    </row>
    <row r="5373" spans="1:13" ht="13.5" customHeight="1" x14ac:dyDescent="0.25">
      <c r="A5373" s="16" t="s">
        <v>916</v>
      </c>
      <c r="B5373" s="16" t="s">
        <v>1</v>
      </c>
      <c r="C5373" s="16" t="s">
        <v>913</v>
      </c>
      <c r="D5373" s="15" t="s">
        <v>548</v>
      </c>
      <c r="E5373" s="15"/>
      <c r="F5373" s="16">
        <v>322.64999999999998</v>
      </c>
      <c r="G5373" s="16">
        <v>9.5</v>
      </c>
      <c r="H5373" s="16" t="s">
        <v>22</v>
      </c>
      <c r="I5373" s="16">
        <v>10</v>
      </c>
      <c r="L5373" s="16" t="s">
        <v>23</v>
      </c>
    </row>
    <row r="5374" spans="1:13" ht="13.5" customHeight="1" x14ac:dyDescent="0.25">
      <c r="I5374" s="16">
        <v>30</v>
      </c>
      <c r="L5374" s="16" t="s">
        <v>33</v>
      </c>
    </row>
    <row r="5375" spans="1:13" ht="13.5" customHeight="1" x14ac:dyDescent="0.25">
      <c r="I5375" s="16">
        <v>60</v>
      </c>
      <c r="L5375" s="16" t="s">
        <v>29</v>
      </c>
      <c r="M5375" s="15" t="s">
        <v>919</v>
      </c>
    </row>
    <row r="5376" spans="1:13" ht="13.5" customHeight="1" x14ac:dyDescent="0.25">
      <c r="I5376" s="16">
        <v>30</v>
      </c>
      <c r="L5376" s="16" t="s">
        <v>25</v>
      </c>
      <c r="M5376" s="16" t="s">
        <v>137</v>
      </c>
    </row>
    <row r="5377" spans="1:13" ht="13.5" customHeight="1" x14ac:dyDescent="0.25">
      <c r="I5377" s="16">
        <v>20</v>
      </c>
      <c r="L5377" s="16" t="s">
        <v>27</v>
      </c>
    </row>
    <row r="5378" spans="1:13" ht="13.5" customHeight="1" x14ac:dyDescent="0.25">
      <c r="I5378" s="16">
        <v>20</v>
      </c>
      <c r="L5378" s="16" t="s">
        <v>26</v>
      </c>
      <c r="M5378" s="16" t="s">
        <v>147</v>
      </c>
    </row>
    <row r="5379" spans="1:13" ht="13.5" customHeight="1" x14ac:dyDescent="0.25">
      <c r="I5379" s="16">
        <v>90</v>
      </c>
      <c r="L5379" s="16" t="s">
        <v>24</v>
      </c>
      <c r="M5379" s="16" t="s">
        <v>918</v>
      </c>
    </row>
    <row r="5381" spans="1:13" ht="13.5" customHeight="1" x14ac:dyDescent="0.25">
      <c r="A5381" s="16" t="s">
        <v>916</v>
      </c>
      <c r="B5381" s="16" t="s">
        <v>2</v>
      </c>
      <c r="C5381" s="16" t="s">
        <v>192</v>
      </c>
      <c r="D5381" s="16" t="s">
        <v>21</v>
      </c>
      <c r="F5381" s="16">
        <v>318.91000000000003</v>
      </c>
      <c r="G5381" s="16">
        <v>9.5</v>
      </c>
      <c r="H5381" s="16" t="s">
        <v>22</v>
      </c>
      <c r="I5381" s="16">
        <v>10</v>
      </c>
      <c r="L5381" s="16" t="s">
        <v>23</v>
      </c>
    </row>
    <row r="5382" spans="1:13" ht="13.5" customHeight="1" x14ac:dyDescent="0.25">
      <c r="I5382" s="16">
        <v>20</v>
      </c>
      <c r="L5382" s="16" t="s">
        <v>33</v>
      </c>
    </row>
    <row r="5383" spans="1:13" ht="13.5" customHeight="1" x14ac:dyDescent="0.25">
      <c r="I5383" s="16">
        <v>70</v>
      </c>
      <c r="L5383" s="16" t="s">
        <v>29</v>
      </c>
      <c r="M5383" s="15" t="s">
        <v>920</v>
      </c>
    </row>
    <row r="5384" spans="1:13" ht="13.5" customHeight="1" x14ac:dyDescent="0.25">
      <c r="I5384" s="16">
        <v>30</v>
      </c>
      <c r="L5384" s="16" t="s">
        <v>25</v>
      </c>
      <c r="M5384" s="15"/>
    </row>
    <row r="5385" spans="1:13" ht="13.5" customHeight="1" x14ac:dyDescent="0.25">
      <c r="I5385" s="16">
        <v>10</v>
      </c>
      <c r="L5385" s="16" t="s">
        <v>27</v>
      </c>
    </row>
    <row r="5386" spans="1:13" ht="13.5" customHeight="1" x14ac:dyDescent="0.25">
      <c r="I5386" s="16">
        <v>10</v>
      </c>
      <c r="L5386" s="16" t="s">
        <v>26</v>
      </c>
      <c r="M5386" s="16" t="s">
        <v>147</v>
      </c>
    </row>
    <row r="5387" spans="1:13" ht="13.5" customHeight="1" x14ac:dyDescent="0.25">
      <c r="I5387" s="16">
        <v>30</v>
      </c>
      <c r="L5387" s="16" t="s">
        <v>24</v>
      </c>
      <c r="M5387" s="16" t="s">
        <v>122</v>
      </c>
    </row>
    <row r="5388" spans="1:13" ht="13.5" customHeight="1" x14ac:dyDescent="0.25">
      <c r="M5388" s="15"/>
    </row>
    <row r="5389" spans="1:13" ht="13.5" customHeight="1" x14ac:dyDescent="0.25">
      <c r="A5389" s="16" t="s">
        <v>921</v>
      </c>
      <c r="B5389" s="16" t="s">
        <v>0</v>
      </c>
      <c r="C5389" s="16" t="s">
        <v>15</v>
      </c>
      <c r="D5389" s="16" t="s">
        <v>20</v>
      </c>
      <c r="F5389" s="16">
        <v>379.06</v>
      </c>
      <c r="G5389" s="16">
        <v>11</v>
      </c>
      <c r="H5389" s="16" t="s">
        <v>22</v>
      </c>
      <c r="I5389" s="16">
        <v>10</v>
      </c>
      <c r="L5389" s="16" t="s">
        <v>23</v>
      </c>
    </row>
    <row r="5390" spans="1:13" ht="13.5" customHeight="1" x14ac:dyDescent="0.25">
      <c r="I5390" s="16">
        <v>20</v>
      </c>
      <c r="L5390" s="16" t="s">
        <v>33</v>
      </c>
    </row>
    <row r="5391" spans="1:13" ht="13.5" customHeight="1" x14ac:dyDescent="0.25">
      <c r="I5391" s="16">
        <v>30</v>
      </c>
      <c r="L5391" s="16" t="s">
        <v>29</v>
      </c>
      <c r="M5391" s="15"/>
    </row>
    <row r="5392" spans="1:13" ht="13.5" customHeight="1" x14ac:dyDescent="0.25">
      <c r="I5392" s="16">
        <v>20</v>
      </c>
      <c r="L5392" s="16" t="s">
        <v>25</v>
      </c>
      <c r="M5392" s="16" t="s">
        <v>137</v>
      </c>
    </row>
    <row r="5393" spans="1:13" ht="13.5" customHeight="1" x14ac:dyDescent="0.25">
      <c r="I5393" s="16">
        <v>10</v>
      </c>
      <c r="L5393" s="16" t="s">
        <v>27</v>
      </c>
    </row>
    <row r="5395" spans="1:13" ht="13.5" customHeight="1" x14ac:dyDescent="0.25">
      <c r="A5395" s="16" t="s">
        <v>921</v>
      </c>
      <c r="B5395" s="16" t="s">
        <v>1</v>
      </c>
      <c r="C5395" s="16" t="s">
        <v>913</v>
      </c>
      <c r="D5395" s="15" t="s">
        <v>548</v>
      </c>
      <c r="E5395" s="15"/>
      <c r="F5395" s="16">
        <v>332.68</v>
      </c>
      <c r="G5395" s="16">
        <v>10.5</v>
      </c>
      <c r="H5395" s="16" t="s">
        <v>22</v>
      </c>
      <c r="I5395" s="16">
        <v>10</v>
      </c>
      <c r="L5395" s="16" t="s">
        <v>23</v>
      </c>
    </row>
    <row r="5396" spans="1:13" ht="13.5" customHeight="1" x14ac:dyDescent="0.25">
      <c r="I5396" s="16">
        <v>30</v>
      </c>
      <c r="L5396" s="16" t="s">
        <v>33</v>
      </c>
    </row>
    <row r="5397" spans="1:13" ht="13.5" customHeight="1" x14ac:dyDescent="0.25">
      <c r="I5397" s="16">
        <v>30</v>
      </c>
      <c r="L5397" s="16" t="s">
        <v>29</v>
      </c>
      <c r="M5397" s="15"/>
    </row>
    <row r="5398" spans="1:13" ht="13.5" customHeight="1" x14ac:dyDescent="0.25">
      <c r="I5398" s="16">
        <v>30</v>
      </c>
      <c r="L5398" s="16" t="s">
        <v>25</v>
      </c>
      <c r="M5398" s="16" t="s">
        <v>137</v>
      </c>
    </row>
    <row r="5399" spans="1:13" ht="13.5" customHeight="1" x14ac:dyDescent="0.25">
      <c r="I5399" s="16">
        <v>20</v>
      </c>
      <c r="L5399" s="16" t="s">
        <v>27</v>
      </c>
    </row>
    <row r="5400" spans="1:13" ht="13.5" customHeight="1" x14ac:dyDescent="0.25">
      <c r="I5400" s="16">
        <v>20</v>
      </c>
      <c r="L5400" s="16" t="s">
        <v>26</v>
      </c>
      <c r="M5400" s="16" t="s">
        <v>147</v>
      </c>
    </row>
    <row r="5401" spans="1:13" ht="13.5" customHeight="1" x14ac:dyDescent="0.25">
      <c r="I5401" s="16">
        <v>15</v>
      </c>
      <c r="L5401" s="16" t="s">
        <v>26</v>
      </c>
      <c r="M5401" s="16" t="s">
        <v>922</v>
      </c>
    </row>
    <row r="5402" spans="1:13" ht="13.5" customHeight="1" x14ac:dyDescent="0.25">
      <c r="I5402" s="16">
        <v>60</v>
      </c>
      <c r="L5402" s="16" t="s">
        <v>690</v>
      </c>
      <c r="M5402" s="16" t="s">
        <v>923</v>
      </c>
    </row>
    <row r="5404" spans="1:13" ht="13.5" customHeight="1" x14ac:dyDescent="0.25">
      <c r="A5404" s="16" t="s">
        <v>921</v>
      </c>
      <c r="B5404" s="16" t="s">
        <v>2</v>
      </c>
      <c r="C5404" s="16" t="s">
        <v>192</v>
      </c>
      <c r="D5404" s="16" t="s">
        <v>21</v>
      </c>
      <c r="F5404" s="16">
        <f>25.74+30.56+38.57+38.39+32.59+38.56+38.33+31.47+37.64+25.76+25.67</f>
        <v>363.28000000000003</v>
      </c>
      <c r="G5404" s="16">
        <v>11</v>
      </c>
      <c r="H5404" s="16" t="s">
        <v>22</v>
      </c>
      <c r="I5404" s="16">
        <v>10</v>
      </c>
      <c r="L5404" s="16" t="s">
        <v>23</v>
      </c>
    </row>
    <row r="5405" spans="1:13" ht="13.5" customHeight="1" x14ac:dyDescent="0.25">
      <c r="I5405" s="16">
        <v>20</v>
      </c>
      <c r="L5405" s="16" t="s">
        <v>33</v>
      </c>
    </row>
    <row r="5406" spans="1:13" ht="13.5" customHeight="1" x14ac:dyDescent="0.25">
      <c r="I5406" s="16">
        <v>30</v>
      </c>
      <c r="L5406" s="16" t="s">
        <v>29</v>
      </c>
      <c r="M5406" s="15"/>
    </row>
    <row r="5407" spans="1:13" ht="13.5" customHeight="1" x14ac:dyDescent="0.25">
      <c r="I5407" s="16">
        <v>20</v>
      </c>
      <c r="L5407" s="16" t="s">
        <v>25</v>
      </c>
      <c r="M5407" s="16" t="s">
        <v>137</v>
      </c>
    </row>
    <row r="5408" spans="1:13" ht="13.5" customHeight="1" x14ac:dyDescent="0.25">
      <c r="I5408" s="16">
        <v>10</v>
      </c>
      <c r="L5408" s="16" t="s">
        <v>27</v>
      </c>
    </row>
    <row r="5409" spans="1:13" ht="13.5" customHeight="1" x14ac:dyDescent="0.25">
      <c r="I5409" s="16">
        <v>20</v>
      </c>
      <c r="L5409" s="16" t="s">
        <v>26</v>
      </c>
      <c r="M5409" s="16" t="s">
        <v>147</v>
      </c>
    </row>
    <row r="5411" spans="1:13" ht="13.5" customHeight="1" x14ac:dyDescent="0.25">
      <c r="A5411" s="16" t="s">
        <v>924</v>
      </c>
      <c r="B5411" s="16" t="s">
        <v>0</v>
      </c>
      <c r="C5411" s="16" t="s">
        <v>15</v>
      </c>
      <c r="D5411" s="16" t="s">
        <v>20</v>
      </c>
      <c r="F5411" s="16">
        <v>311.58999999999997</v>
      </c>
      <c r="G5411" s="16">
        <v>9</v>
      </c>
      <c r="H5411" s="16" t="s">
        <v>22</v>
      </c>
      <c r="I5411" s="16">
        <v>10</v>
      </c>
      <c r="L5411" s="16" t="s">
        <v>23</v>
      </c>
    </row>
    <row r="5412" spans="1:13" ht="13.5" customHeight="1" x14ac:dyDescent="0.25">
      <c r="I5412" s="16">
        <v>20</v>
      </c>
      <c r="L5412" s="16" t="s">
        <v>33</v>
      </c>
    </row>
    <row r="5413" spans="1:13" ht="13.5" customHeight="1" x14ac:dyDescent="0.25">
      <c r="I5413" s="16">
        <v>30</v>
      </c>
      <c r="L5413" s="16" t="s">
        <v>29</v>
      </c>
      <c r="M5413" s="15"/>
    </row>
    <row r="5414" spans="1:13" ht="13.5" customHeight="1" x14ac:dyDescent="0.25">
      <c r="I5414" s="16">
        <v>20</v>
      </c>
      <c r="L5414" s="16" t="s">
        <v>25</v>
      </c>
      <c r="M5414" s="16" t="s">
        <v>137</v>
      </c>
    </row>
    <row r="5415" spans="1:13" ht="13.5" customHeight="1" x14ac:dyDescent="0.25">
      <c r="I5415" s="16">
        <v>10</v>
      </c>
      <c r="L5415" s="16" t="s">
        <v>27</v>
      </c>
    </row>
    <row r="5416" spans="1:13" ht="13.5" customHeight="1" x14ac:dyDescent="0.25">
      <c r="I5416" s="16">
        <v>35</v>
      </c>
      <c r="L5416" s="16" t="s">
        <v>26</v>
      </c>
      <c r="M5416" s="16" t="s">
        <v>925</v>
      </c>
    </row>
    <row r="5417" spans="1:13" ht="13.5" customHeight="1" x14ac:dyDescent="0.25">
      <c r="I5417" s="16">
        <v>60</v>
      </c>
      <c r="L5417" s="16" t="s">
        <v>378</v>
      </c>
      <c r="M5417" s="16" t="s">
        <v>926</v>
      </c>
    </row>
    <row r="5419" spans="1:13" ht="13.5" customHeight="1" x14ac:dyDescent="0.25">
      <c r="A5419" s="16" t="s">
        <v>924</v>
      </c>
      <c r="B5419" s="16" t="s">
        <v>1</v>
      </c>
      <c r="C5419" s="16" t="s">
        <v>913</v>
      </c>
      <c r="D5419" s="15" t="s">
        <v>548</v>
      </c>
      <c r="E5419" s="15"/>
      <c r="F5419" s="16">
        <v>330.8</v>
      </c>
      <c r="G5419" s="16">
        <v>10.25</v>
      </c>
      <c r="H5419" s="16" t="s">
        <v>22</v>
      </c>
      <c r="I5419" s="16">
        <v>10</v>
      </c>
      <c r="L5419" s="16" t="s">
        <v>23</v>
      </c>
    </row>
    <row r="5420" spans="1:13" ht="13.5" customHeight="1" x14ac:dyDescent="0.25">
      <c r="I5420" s="16">
        <v>30</v>
      </c>
      <c r="L5420" s="16" t="s">
        <v>33</v>
      </c>
    </row>
    <row r="5421" spans="1:13" ht="13.5" customHeight="1" x14ac:dyDescent="0.25">
      <c r="I5421" s="16">
        <v>60</v>
      </c>
      <c r="L5421" s="16" t="s">
        <v>29</v>
      </c>
      <c r="M5421" s="16" t="s">
        <v>926</v>
      </c>
    </row>
    <row r="5422" spans="1:13" ht="13.5" customHeight="1" x14ac:dyDescent="0.25">
      <c r="I5422" s="16">
        <v>20</v>
      </c>
      <c r="L5422" s="16" t="s">
        <v>25</v>
      </c>
      <c r="M5422" s="16" t="s">
        <v>137</v>
      </c>
    </row>
    <row r="5423" spans="1:13" ht="13.5" customHeight="1" x14ac:dyDescent="0.25">
      <c r="I5423" s="16">
        <v>20</v>
      </c>
      <c r="L5423" s="16" t="s">
        <v>27</v>
      </c>
    </row>
    <row r="5424" spans="1:13" ht="13.5" customHeight="1" x14ac:dyDescent="0.25">
      <c r="I5424" s="16">
        <v>20</v>
      </c>
      <c r="L5424" s="16" t="s">
        <v>26</v>
      </c>
      <c r="M5424" s="16" t="s">
        <v>147</v>
      </c>
    </row>
    <row r="5426" spans="1:13" ht="13.5" customHeight="1" x14ac:dyDescent="0.25">
      <c r="A5426" s="16" t="s">
        <v>924</v>
      </c>
      <c r="B5426" s="16" t="s">
        <v>2</v>
      </c>
      <c r="C5426" s="16" t="s">
        <v>192</v>
      </c>
      <c r="D5426" s="16" t="s">
        <v>21</v>
      </c>
      <c r="F5426" s="16">
        <f>33.94+37.64+28.63+37.87+31.65+30.68+27.78+21.6+31.11+38.36</f>
        <v>319.26</v>
      </c>
      <c r="G5426" s="16">
        <v>9.5</v>
      </c>
      <c r="H5426" s="16" t="s">
        <v>22</v>
      </c>
      <c r="I5426" s="16">
        <v>10</v>
      </c>
      <c r="L5426" s="16" t="s">
        <v>23</v>
      </c>
    </row>
    <row r="5427" spans="1:13" ht="13.5" customHeight="1" x14ac:dyDescent="0.25">
      <c r="I5427" s="16">
        <v>20</v>
      </c>
      <c r="L5427" s="16" t="s">
        <v>33</v>
      </c>
    </row>
    <row r="5428" spans="1:13" ht="13.5" customHeight="1" x14ac:dyDescent="0.25">
      <c r="I5428" s="16">
        <v>60</v>
      </c>
      <c r="L5428" s="16" t="s">
        <v>29</v>
      </c>
      <c r="M5428" s="16" t="s">
        <v>927</v>
      </c>
    </row>
    <row r="5429" spans="1:13" ht="13.5" customHeight="1" x14ac:dyDescent="0.25">
      <c r="I5429" s="16">
        <v>30</v>
      </c>
      <c r="L5429" s="16" t="s">
        <v>25</v>
      </c>
      <c r="M5429" s="16" t="s">
        <v>137</v>
      </c>
    </row>
    <row r="5430" spans="1:13" ht="13.5" customHeight="1" x14ac:dyDescent="0.25">
      <c r="I5430" s="16">
        <v>10</v>
      </c>
      <c r="L5430" s="16" t="s">
        <v>27</v>
      </c>
    </row>
    <row r="5431" spans="1:13" ht="13.5" customHeight="1" x14ac:dyDescent="0.25">
      <c r="I5431" s="16">
        <v>20</v>
      </c>
      <c r="L5431" s="16" t="s">
        <v>26</v>
      </c>
      <c r="M5431" s="16" t="s">
        <v>147</v>
      </c>
    </row>
    <row r="5433" spans="1:13" ht="13.5" customHeight="1" x14ac:dyDescent="0.25">
      <c r="A5433" s="16" t="s">
        <v>928</v>
      </c>
      <c r="B5433" s="16" t="s">
        <v>0</v>
      </c>
      <c r="C5433" s="16" t="s">
        <v>15</v>
      </c>
      <c r="D5433" s="16" t="s">
        <v>20</v>
      </c>
      <c r="F5433" s="16">
        <v>353.476</v>
      </c>
      <c r="G5433" s="16">
        <v>11</v>
      </c>
      <c r="H5433" s="16" t="s">
        <v>22</v>
      </c>
      <c r="I5433" s="16">
        <v>10</v>
      </c>
      <c r="L5433" s="16" t="s">
        <v>23</v>
      </c>
    </row>
    <row r="5434" spans="1:13" ht="13.5" customHeight="1" x14ac:dyDescent="0.25">
      <c r="I5434" s="16">
        <v>20</v>
      </c>
      <c r="L5434" s="16" t="s">
        <v>33</v>
      </c>
    </row>
    <row r="5435" spans="1:13" ht="13.5" customHeight="1" x14ac:dyDescent="0.25">
      <c r="I5435" s="16">
        <v>30</v>
      </c>
      <c r="L5435" s="16" t="s">
        <v>29</v>
      </c>
    </row>
    <row r="5436" spans="1:13" ht="13.5" customHeight="1" x14ac:dyDescent="0.25">
      <c r="I5436" s="16">
        <v>20</v>
      </c>
      <c r="L5436" s="16" t="s">
        <v>25</v>
      </c>
      <c r="M5436" s="16" t="s">
        <v>137</v>
      </c>
    </row>
    <row r="5437" spans="1:13" ht="13.5" customHeight="1" x14ac:dyDescent="0.25">
      <c r="I5437" s="16">
        <v>10</v>
      </c>
      <c r="L5437" s="16" t="s">
        <v>27</v>
      </c>
    </row>
    <row r="5438" spans="1:13" ht="13.5" customHeight="1" x14ac:dyDescent="0.25">
      <c r="I5438" s="16">
        <v>20</v>
      </c>
      <c r="L5438" s="16" t="s">
        <v>26</v>
      </c>
      <c r="M5438" s="16" t="s">
        <v>147</v>
      </c>
    </row>
    <row r="5440" spans="1:13" ht="13.5" customHeight="1" x14ac:dyDescent="0.25">
      <c r="A5440" s="16" t="s">
        <v>928</v>
      </c>
      <c r="B5440" s="16" t="s">
        <v>1</v>
      </c>
      <c r="C5440" s="16" t="s">
        <v>913</v>
      </c>
      <c r="D5440" s="15" t="s">
        <v>548</v>
      </c>
      <c r="E5440" s="15"/>
      <c r="F5440" s="16">
        <v>342.86099999999999</v>
      </c>
      <c r="G5440" s="16">
        <v>10.5</v>
      </c>
      <c r="H5440" s="16" t="s">
        <v>22</v>
      </c>
      <c r="I5440" s="16">
        <v>10</v>
      </c>
      <c r="L5440" s="16" t="s">
        <v>23</v>
      </c>
    </row>
    <row r="5441" spans="1:13" ht="13.5" customHeight="1" x14ac:dyDescent="0.25">
      <c r="I5441" s="16">
        <v>30</v>
      </c>
      <c r="L5441" s="16" t="s">
        <v>33</v>
      </c>
    </row>
    <row r="5442" spans="1:13" ht="13.5" customHeight="1" x14ac:dyDescent="0.25">
      <c r="I5442" s="16">
        <v>60</v>
      </c>
      <c r="L5442" s="16" t="s">
        <v>29</v>
      </c>
      <c r="M5442" s="16" t="s">
        <v>926</v>
      </c>
    </row>
    <row r="5443" spans="1:13" ht="13.5" customHeight="1" x14ac:dyDescent="0.25">
      <c r="I5443" s="16">
        <v>20</v>
      </c>
      <c r="L5443" s="16" t="s">
        <v>25</v>
      </c>
      <c r="M5443" s="16" t="s">
        <v>137</v>
      </c>
    </row>
    <row r="5444" spans="1:13" ht="13.5" customHeight="1" x14ac:dyDescent="0.25">
      <c r="I5444" s="16">
        <v>20</v>
      </c>
      <c r="L5444" s="16" t="s">
        <v>27</v>
      </c>
    </row>
    <row r="5445" spans="1:13" ht="13.5" customHeight="1" x14ac:dyDescent="0.25">
      <c r="I5445" s="16">
        <v>20</v>
      </c>
      <c r="L5445" s="16" t="s">
        <v>26</v>
      </c>
      <c r="M5445" s="16" t="s">
        <v>147</v>
      </c>
    </row>
    <row r="5446" spans="1:13" ht="13.5" customHeight="1" x14ac:dyDescent="0.25">
      <c r="I5446" s="16">
        <v>30</v>
      </c>
      <c r="L5446" s="16" t="s">
        <v>24</v>
      </c>
      <c r="M5446" s="16" t="s">
        <v>907</v>
      </c>
    </row>
    <row r="5448" spans="1:13" ht="13.5" customHeight="1" x14ac:dyDescent="0.25">
      <c r="A5448" s="16" t="s">
        <v>928</v>
      </c>
      <c r="B5448" s="16" t="s">
        <v>2</v>
      </c>
      <c r="C5448" s="16" t="s">
        <v>192</v>
      </c>
      <c r="D5448" s="16" t="s">
        <v>21</v>
      </c>
      <c r="F5448" s="16">
        <v>332.13</v>
      </c>
      <c r="G5448" s="16">
        <v>11</v>
      </c>
      <c r="H5448" s="16" t="s">
        <v>22</v>
      </c>
      <c r="I5448" s="16">
        <v>10</v>
      </c>
      <c r="L5448" s="16" t="s">
        <v>23</v>
      </c>
    </row>
    <row r="5449" spans="1:13" ht="13.5" customHeight="1" x14ac:dyDescent="0.25">
      <c r="I5449" s="16">
        <v>20</v>
      </c>
      <c r="L5449" s="16" t="s">
        <v>33</v>
      </c>
    </row>
    <row r="5450" spans="1:13" ht="13.5" customHeight="1" x14ac:dyDescent="0.25">
      <c r="I5450" s="16">
        <v>30</v>
      </c>
      <c r="L5450" s="16" t="s">
        <v>29</v>
      </c>
    </row>
    <row r="5451" spans="1:13" ht="13.5" customHeight="1" x14ac:dyDescent="0.25">
      <c r="I5451" s="16">
        <v>20</v>
      </c>
      <c r="L5451" s="16" t="s">
        <v>25</v>
      </c>
      <c r="M5451" s="16" t="s">
        <v>137</v>
      </c>
    </row>
    <row r="5452" spans="1:13" ht="13.5" customHeight="1" x14ac:dyDescent="0.25">
      <c r="I5452" s="16">
        <v>10</v>
      </c>
      <c r="L5452" s="16" t="s">
        <v>27</v>
      </c>
    </row>
    <row r="5453" spans="1:13" ht="13.5" customHeight="1" x14ac:dyDescent="0.25">
      <c r="I5453" s="16">
        <v>20</v>
      </c>
      <c r="L5453" s="16" t="s">
        <v>26</v>
      </c>
      <c r="M5453" s="16" t="s">
        <v>147</v>
      </c>
    </row>
    <row r="5455" spans="1:13" ht="13.5" customHeight="1" x14ac:dyDescent="0.25">
      <c r="A5455" s="16" t="s">
        <v>929</v>
      </c>
      <c r="B5455" s="16" t="s">
        <v>0</v>
      </c>
      <c r="C5455" s="16" t="s">
        <v>15</v>
      </c>
      <c r="D5455" s="16" t="s">
        <v>20</v>
      </c>
      <c r="F5455" s="16">
        <v>319.58999999999997</v>
      </c>
      <c r="G5455" s="16">
        <v>10.5</v>
      </c>
      <c r="H5455" s="16" t="s">
        <v>22</v>
      </c>
      <c r="I5455" s="16">
        <v>10</v>
      </c>
      <c r="L5455" s="16" t="s">
        <v>23</v>
      </c>
    </row>
    <row r="5456" spans="1:13" ht="13.5" customHeight="1" x14ac:dyDescent="0.25">
      <c r="I5456" s="16">
        <v>30</v>
      </c>
      <c r="L5456" s="16" t="s">
        <v>33</v>
      </c>
    </row>
    <row r="5457" spans="1:13" ht="13.5" customHeight="1" x14ac:dyDescent="0.25">
      <c r="I5457" s="16">
        <v>30</v>
      </c>
      <c r="L5457" s="16" t="s">
        <v>29</v>
      </c>
    </row>
    <row r="5458" spans="1:13" ht="13.5" customHeight="1" x14ac:dyDescent="0.25">
      <c r="I5458" s="16">
        <v>40</v>
      </c>
      <c r="L5458" s="16" t="s">
        <v>25</v>
      </c>
      <c r="M5458" s="16" t="s">
        <v>137</v>
      </c>
    </row>
    <row r="5459" spans="1:13" ht="13.5" customHeight="1" x14ac:dyDescent="0.25">
      <c r="I5459" s="16">
        <v>20</v>
      </c>
      <c r="L5459" s="16" t="s">
        <v>27</v>
      </c>
    </row>
    <row r="5460" spans="1:13" ht="13.5" customHeight="1" x14ac:dyDescent="0.25">
      <c r="I5460" s="16">
        <v>15</v>
      </c>
      <c r="L5460" s="16" t="s">
        <v>26</v>
      </c>
      <c r="M5460" s="16" t="s">
        <v>147</v>
      </c>
    </row>
    <row r="5461" spans="1:13" ht="13.5" customHeight="1" x14ac:dyDescent="0.25">
      <c r="I5461" s="16">
        <v>20</v>
      </c>
      <c r="L5461" s="16" t="s">
        <v>24</v>
      </c>
      <c r="M5461" s="16" t="s">
        <v>907</v>
      </c>
    </row>
    <row r="5463" spans="1:13" ht="13.5" customHeight="1" x14ac:dyDescent="0.25">
      <c r="A5463" s="16" t="s">
        <v>929</v>
      </c>
      <c r="B5463" s="16" t="s">
        <v>1</v>
      </c>
      <c r="C5463" s="16" t="s">
        <v>913</v>
      </c>
      <c r="D5463" s="15" t="s">
        <v>548</v>
      </c>
      <c r="E5463" s="15"/>
      <c r="F5463" s="16">
        <v>346.41</v>
      </c>
      <c r="G5463" s="16">
        <v>10</v>
      </c>
      <c r="H5463" s="16" t="s">
        <v>22</v>
      </c>
      <c r="I5463" s="16">
        <v>10</v>
      </c>
      <c r="L5463" s="16" t="s">
        <v>23</v>
      </c>
    </row>
    <row r="5464" spans="1:13" ht="13.5" customHeight="1" x14ac:dyDescent="0.25">
      <c r="I5464" s="16">
        <v>30</v>
      </c>
      <c r="L5464" s="16" t="s">
        <v>33</v>
      </c>
    </row>
    <row r="5465" spans="1:13" ht="13.5" customHeight="1" x14ac:dyDescent="0.25">
      <c r="I5465" s="16">
        <v>60</v>
      </c>
      <c r="L5465" s="16" t="s">
        <v>29</v>
      </c>
    </row>
    <row r="5466" spans="1:13" ht="13.5" customHeight="1" x14ac:dyDescent="0.25">
      <c r="I5466" s="16">
        <v>20</v>
      </c>
      <c r="L5466" s="16" t="s">
        <v>25</v>
      </c>
      <c r="M5466" s="16" t="s">
        <v>137</v>
      </c>
    </row>
    <row r="5467" spans="1:13" ht="13.5" customHeight="1" x14ac:dyDescent="0.25">
      <c r="I5467" s="16">
        <v>20</v>
      </c>
      <c r="L5467" s="16" t="s">
        <v>27</v>
      </c>
    </row>
    <row r="5468" spans="1:13" ht="13.5" customHeight="1" x14ac:dyDescent="0.25">
      <c r="I5468" s="16">
        <v>20</v>
      </c>
      <c r="L5468" s="16" t="s">
        <v>26</v>
      </c>
      <c r="M5468" s="16" t="s">
        <v>147</v>
      </c>
    </row>
    <row r="5469" spans="1:13" ht="13.5" customHeight="1" x14ac:dyDescent="0.25">
      <c r="I5469" s="16">
        <v>20</v>
      </c>
      <c r="L5469" s="16" t="s">
        <v>24</v>
      </c>
      <c r="M5469" s="16" t="s">
        <v>907</v>
      </c>
    </row>
    <row r="5470" spans="1:13" ht="13.5" customHeight="1" x14ac:dyDescent="0.25">
      <c r="I5470" s="16">
        <v>20</v>
      </c>
      <c r="L5470" s="16" t="s">
        <v>25</v>
      </c>
      <c r="M5470" s="16" t="s">
        <v>36</v>
      </c>
    </row>
    <row r="5472" spans="1:13" ht="13.5" customHeight="1" x14ac:dyDescent="0.25">
      <c r="A5472" s="16" t="s">
        <v>929</v>
      </c>
      <c r="B5472" s="16" t="s">
        <v>2</v>
      </c>
      <c r="C5472" s="16" t="s">
        <v>6</v>
      </c>
      <c r="D5472" s="16" t="s">
        <v>21</v>
      </c>
      <c r="F5472" s="16">
        <v>278.66000000000003</v>
      </c>
      <c r="G5472" s="16">
        <v>8</v>
      </c>
      <c r="H5472" s="16" t="s">
        <v>22</v>
      </c>
      <c r="I5472" s="16">
        <v>10</v>
      </c>
      <c r="L5472" s="16" t="s">
        <v>23</v>
      </c>
    </row>
    <row r="5473" spans="1:13" ht="13.5" customHeight="1" x14ac:dyDescent="0.25">
      <c r="I5473" s="16">
        <v>20</v>
      </c>
      <c r="L5473" s="16" t="s">
        <v>33</v>
      </c>
    </row>
    <row r="5474" spans="1:13" ht="13.5" customHeight="1" x14ac:dyDescent="0.25">
      <c r="I5474" s="16">
        <v>40</v>
      </c>
      <c r="L5474" s="16" t="s">
        <v>29</v>
      </c>
    </row>
    <row r="5475" spans="1:13" ht="13.5" customHeight="1" x14ac:dyDescent="0.25">
      <c r="I5475" s="16">
        <v>20</v>
      </c>
      <c r="L5475" s="16" t="s">
        <v>25</v>
      </c>
      <c r="M5475" s="16" t="s">
        <v>137</v>
      </c>
    </row>
    <row r="5476" spans="1:13" ht="13.5" customHeight="1" x14ac:dyDescent="0.25">
      <c r="I5476" s="16">
        <v>10</v>
      </c>
      <c r="L5476" s="16" t="s">
        <v>27</v>
      </c>
    </row>
    <row r="5477" spans="1:13" ht="13.5" customHeight="1" x14ac:dyDescent="0.25">
      <c r="I5477" s="16">
        <v>20</v>
      </c>
      <c r="L5477" s="16" t="s">
        <v>26</v>
      </c>
      <c r="M5477" s="16" t="s">
        <v>147</v>
      </c>
    </row>
    <row r="5478" spans="1:13" ht="13.5" customHeight="1" x14ac:dyDescent="0.25">
      <c r="I5478" s="16">
        <v>130</v>
      </c>
      <c r="L5478" s="16" t="s">
        <v>26</v>
      </c>
      <c r="M5478" s="16" t="s">
        <v>930</v>
      </c>
    </row>
    <row r="5480" spans="1:13" ht="13.5" customHeight="1" x14ac:dyDescent="0.25">
      <c r="A5480" s="16" t="s">
        <v>932</v>
      </c>
      <c r="B5480" s="16" t="s">
        <v>0</v>
      </c>
      <c r="C5480" s="16" t="s">
        <v>15</v>
      </c>
      <c r="D5480" s="15" t="s">
        <v>548</v>
      </c>
      <c r="E5480" s="15"/>
      <c r="F5480" s="16">
        <v>264.21800000000002</v>
      </c>
      <c r="G5480" s="16">
        <v>8.5</v>
      </c>
      <c r="H5480" s="16" t="s">
        <v>22</v>
      </c>
      <c r="I5480" s="16">
        <v>10</v>
      </c>
      <c r="L5480" s="16" t="s">
        <v>23</v>
      </c>
    </row>
    <row r="5481" spans="1:13" ht="13.5" customHeight="1" x14ac:dyDescent="0.25">
      <c r="I5481" s="16">
        <v>20</v>
      </c>
      <c r="L5481" s="16" t="s">
        <v>33</v>
      </c>
    </row>
    <row r="5482" spans="1:13" ht="13.5" customHeight="1" x14ac:dyDescent="0.25">
      <c r="I5482" s="16">
        <v>30</v>
      </c>
      <c r="L5482" s="16" t="s">
        <v>29</v>
      </c>
    </row>
    <row r="5483" spans="1:13" ht="13.5" customHeight="1" x14ac:dyDescent="0.25">
      <c r="I5483" s="16">
        <v>20</v>
      </c>
      <c r="L5483" s="16" t="s">
        <v>25</v>
      </c>
      <c r="M5483" s="16" t="s">
        <v>137</v>
      </c>
    </row>
    <row r="5484" spans="1:13" ht="13.5" customHeight="1" x14ac:dyDescent="0.25">
      <c r="I5484" s="16">
        <v>10</v>
      </c>
      <c r="L5484" s="16" t="s">
        <v>27</v>
      </c>
    </row>
    <row r="5485" spans="1:13" ht="13.5" customHeight="1" x14ac:dyDescent="0.25">
      <c r="I5485" s="16">
        <v>20</v>
      </c>
      <c r="L5485" s="16" t="s">
        <v>26</v>
      </c>
      <c r="M5485" s="16" t="s">
        <v>147</v>
      </c>
    </row>
    <row r="5486" spans="1:13" ht="13.5" customHeight="1" x14ac:dyDescent="0.25">
      <c r="I5486" s="16">
        <v>130</v>
      </c>
      <c r="L5486" s="16" t="s">
        <v>26</v>
      </c>
      <c r="M5486" s="16" t="s">
        <v>931</v>
      </c>
    </row>
    <row r="5489" spans="1:13" ht="13.5" customHeight="1" x14ac:dyDescent="0.25">
      <c r="A5489" s="16" t="s">
        <v>932</v>
      </c>
      <c r="B5489" s="16" t="s">
        <v>1</v>
      </c>
      <c r="D5489" s="16" t="s">
        <v>21</v>
      </c>
      <c r="F5489" s="16">
        <v>327.31</v>
      </c>
      <c r="G5489" s="16">
        <v>10</v>
      </c>
      <c r="H5489" s="16" t="s">
        <v>22</v>
      </c>
      <c r="I5489" s="16">
        <v>10</v>
      </c>
      <c r="L5489" s="16" t="s">
        <v>23</v>
      </c>
    </row>
    <row r="5490" spans="1:13" ht="13.5" customHeight="1" x14ac:dyDescent="0.25">
      <c r="I5490" s="16">
        <v>20</v>
      </c>
      <c r="L5490" s="16" t="s">
        <v>33</v>
      </c>
    </row>
    <row r="5491" spans="1:13" ht="13.5" customHeight="1" x14ac:dyDescent="0.25">
      <c r="I5491" s="16">
        <v>90</v>
      </c>
      <c r="L5491" s="16" t="s">
        <v>29</v>
      </c>
      <c r="M5491" s="16" t="s">
        <v>933</v>
      </c>
    </row>
    <row r="5492" spans="1:13" ht="13.5" customHeight="1" x14ac:dyDescent="0.25">
      <c r="I5492" s="16">
        <v>20</v>
      </c>
      <c r="L5492" s="16" t="s">
        <v>25</v>
      </c>
      <c r="M5492" s="16" t="s">
        <v>137</v>
      </c>
    </row>
    <row r="5493" spans="1:13" ht="13.5" customHeight="1" x14ac:dyDescent="0.25">
      <c r="I5493" s="16">
        <v>10</v>
      </c>
      <c r="L5493" s="16" t="s">
        <v>27</v>
      </c>
    </row>
    <row r="5494" spans="1:13" ht="13.5" customHeight="1" x14ac:dyDescent="0.25">
      <c r="I5494" s="16">
        <v>20</v>
      </c>
      <c r="L5494" s="16" t="s">
        <v>26</v>
      </c>
      <c r="M5494" s="16" t="s">
        <v>147</v>
      </c>
    </row>
    <row r="5496" spans="1:13" ht="13.5" customHeight="1" x14ac:dyDescent="0.25">
      <c r="A5496" s="16" t="s">
        <v>932</v>
      </c>
      <c r="B5496" s="16" t="s">
        <v>2</v>
      </c>
      <c r="C5496" s="16" t="s">
        <v>6</v>
      </c>
      <c r="D5496" s="16" t="s">
        <v>20</v>
      </c>
      <c r="F5496" s="16">
        <f>13.55+37.95+31.54+27.43+31.23+30.84+31.21+28.22+28.3+37.88+30.61</f>
        <v>328.76</v>
      </c>
      <c r="G5496" s="16">
        <v>10.5</v>
      </c>
      <c r="H5496" s="16" t="s">
        <v>22</v>
      </c>
      <c r="I5496" s="16">
        <v>10</v>
      </c>
      <c r="L5496" s="16" t="s">
        <v>23</v>
      </c>
    </row>
    <row r="5497" spans="1:13" ht="13.5" customHeight="1" x14ac:dyDescent="0.25">
      <c r="I5497" s="16">
        <v>30</v>
      </c>
      <c r="L5497" s="16" t="s">
        <v>33</v>
      </c>
    </row>
    <row r="5498" spans="1:13" ht="13.5" customHeight="1" x14ac:dyDescent="0.25">
      <c r="I5498" s="16">
        <v>60</v>
      </c>
      <c r="L5498" s="16" t="s">
        <v>29</v>
      </c>
      <c r="M5498" s="16" t="s">
        <v>934</v>
      </c>
    </row>
    <row r="5499" spans="1:13" ht="13.5" customHeight="1" x14ac:dyDescent="0.25">
      <c r="I5499" s="16">
        <v>20</v>
      </c>
      <c r="L5499" s="16" t="s">
        <v>25</v>
      </c>
      <c r="M5499" s="16" t="s">
        <v>137</v>
      </c>
    </row>
    <row r="5500" spans="1:13" ht="13.5" customHeight="1" x14ac:dyDescent="0.25">
      <c r="I5500" s="16">
        <v>20</v>
      </c>
      <c r="L5500" s="16" t="s">
        <v>27</v>
      </c>
    </row>
    <row r="5501" spans="1:13" ht="13.5" customHeight="1" x14ac:dyDescent="0.25">
      <c r="I5501" s="16">
        <v>15</v>
      </c>
      <c r="L5501" s="16" t="s">
        <v>26</v>
      </c>
      <c r="M5501" s="16" t="s">
        <v>147</v>
      </c>
    </row>
    <row r="5503" spans="1:13" ht="13.5" customHeight="1" x14ac:dyDescent="0.25">
      <c r="A5503" s="16" t="s">
        <v>935</v>
      </c>
      <c r="B5503" s="16" t="s">
        <v>0</v>
      </c>
      <c r="C5503" s="16" t="s">
        <v>936</v>
      </c>
      <c r="D5503" s="15" t="s">
        <v>548</v>
      </c>
      <c r="E5503" s="15"/>
      <c r="F5503" s="16">
        <v>102.52</v>
      </c>
      <c r="G5503" s="16">
        <v>3</v>
      </c>
      <c r="H5503" s="16" t="s">
        <v>22</v>
      </c>
      <c r="I5503" s="16">
        <v>10</v>
      </c>
      <c r="L5503" s="16" t="s">
        <v>23</v>
      </c>
    </row>
    <row r="5504" spans="1:13" ht="13.5" customHeight="1" x14ac:dyDescent="0.25">
      <c r="I5504" s="16">
        <v>15</v>
      </c>
      <c r="L5504" s="16" t="s">
        <v>33</v>
      </c>
    </row>
    <row r="5505" spans="1:13" ht="13.5" customHeight="1" x14ac:dyDescent="0.25">
      <c r="I5505" s="16">
        <v>15</v>
      </c>
      <c r="L5505" s="16" t="s">
        <v>29</v>
      </c>
    </row>
    <row r="5506" spans="1:13" ht="13.5" customHeight="1" x14ac:dyDescent="0.25">
      <c r="I5506" s="16">
        <v>20</v>
      </c>
      <c r="L5506" s="16" t="s">
        <v>26</v>
      </c>
      <c r="M5506" s="16" t="s">
        <v>147</v>
      </c>
    </row>
    <row r="5507" spans="1:13" ht="13.5" customHeight="1" x14ac:dyDescent="0.25">
      <c r="I5507" s="16">
        <v>270</v>
      </c>
      <c r="L5507" s="16" t="s">
        <v>26</v>
      </c>
      <c r="M5507" s="16" t="s">
        <v>102</v>
      </c>
    </row>
    <row r="5509" spans="1:13" ht="13.5" customHeight="1" x14ac:dyDescent="0.25">
      <c r="A5509" s="16" t="s">
        <v>935</v>
      </c>
      <c r="B5509" s="16" t="s">
        <v>1</v>
      </c>
      <c r="C5509" s="16" t="s">
        <v>192</v>
      </c>
      <c r="D5509" s="16" t="s">
        <v>21</v>
      </c>
      <c r="F5509" s="16">
        <v>0</v>
      </c>
      <c r="G5509" s="16">
        <v>0</v>
      </c>
      <c r="H5509" s="16" t="s">
        <v>22</v>
      </c>
      <c r="I5509" s="16">
        <v>480</v>
      </c>
      <c r="L5509" s="16" t="s">
        <v>26</v>
      </c>
      <c r="M5509" s="16" t="s">
        <v>121</v>
      </c>
    </row>
    <row r="5511" spans="1:13" ht="13.5" customHeight="1" x14ac:dyDescent="0.25">
      <c r="A5511" s="16" t="s">
        <v>935</v>
      </c>
      <c r="B5511" s="16" t="s">
        <v>2</v>
      </c>
      <c r="C5511" s="16" t="s">
        <v>6</v>
      </c>
      <c r="D5511" s="16" t="s">
        <v>20</v>
      </c>
      <c r="F5511" s="16">
        <v>0</v>
      </c>
      <c r="G5511" s="16">
        <v>0</v>
      </c>
      <c r="H5511" s="16" t="s">
        <v>22</v>
      </c>
      <c r="I5511" s="16">
        <v>480</v>
      </c>
      <c r="L5511" s="16" t="s">
        <v>26</v>
      </c>
      <c r="M5511" s="16" t="s">
        <v>121</v>
      </c>
    </row>
    <row r="5513" spans="1:13" ht="13.5" customHeight="1" x14ac:dyDescent="0.25">
      <c r="A5513" s="16" t="s">
        <v>937</v>
      </c>
      <c r="B5513" s="16" t="s">
        <v>0</v>
      </c>
      <c r="C5513" s="16" t="s">
        <v>936</v>
      </c>
      <c r="D5513" s="15" t="s">
        <v>548</v>
      </c>
      <c r="E5513" s="15"/>
      <c r="F5513" s="16">
        <v>371.22</v>
      </c>
      <c r="G5513" s="16">
        <v>10</v>
      </c>
      <c r="H5513" s="16" t="s">
        <v>22</v>
      </c>
      <c r="I5513" s="16">
        <v>10</v>
      </c>
      <c r="L5513" s="16" t="s">
        <v>23</v>
      </c>
    </row>
    <row r="5514" spans="1:13" ht="13.5" customHeight="1" x14ac:dyDescent="0.25">
      <c r="I5514" s="16">
        <v>20</v>
      </c>
      <c r="L5514" s="16" t="s">
        <v>33</v>
      </c>
    </row>
    <row r="5515" spans="1:13" ht="13.5" customHeight="1" x14ac:dyDescent="0.25">
      <c r="I5515" s="16">
        <v>30</v>
      </c>
      <c r="L5515" s="16" t="s">
        <v>29</v>
      </c>
    </row>
    <row r="5516" spans="1:13" ht="13.5" customHeight="1" x14ac:dyDescent="0.25">
      <c r="I5516" s="16">
        <v>20</v>
      </c>
      <c r="L5516" s="16" t="s">
        <v>25</v>
      </c>
      <c r="M5516" s="16" t="s">
        <v>137</v>
      </c>
    </row>
    <row r="5517" spans="1:13" ht="13.5" customHeight="1" x14ac:dyDescent="0.25">
      <c r="I5517" s="16">
        <v>10</v>
      </c>
      <c r="L5517" s="16" t="s">
        <v>27</v>
      </c>
    </row>
    <row r="5518" spans="1:13" ht="13.5" customHeight="1" x14ac:dyDescent="0.25">
      <c r="I5518" s="16">
        <v>20</v>
      </c>
      <c r="L5518" s="16" t="s">
        <v>26</v>
      </c>
      <c r="M5518" s="16" t="s">
        <v>147</v>
      </c>
    </row>
    <row r="5519" spans="1:13" ht="13.5" customHeight="1" x14ac:dyDescent="0.25">
      <c r="I5519" s="16">
        <v>50</v>
      </c>
      <c r="L5519" s="16" t="s">
        <v>26</v>
      </c>
      <c r="M5519" s="16" t="s">
        <v>938</v>
      </c>
    </row>
    <row r="5521" spans="1:13" ht="13.5" customHeight="1" x14ac:dyDescent="0.25">
      <c r="A5521" s="16" t="s">
        <v>937</v>
      </c>
      <c r="B5521" s="16" t="s">
        <v>1</v>
      </c>
      <c r="C5521" s="16" t="s">
        <v>192</v>
      </c>
      <c r="D5521" s="16" t="s">
        <v>21</v>
      </c>
      <c r="F5521" s="16">
        <v>374.4</v>
      </c>
      <c r="G5521" s="16">
        <v>11</v>
      </c>
      <c r="H5521" s="16" t="s">
        <v>22</v>
      </c>
      <c r="I5521" s="16">
        <v>10</v>
      </c>
      <c r="L5521" s="16" t="s">
        <v>23</v>
      </c>
    </row>
    <row r="5522" spans="1:13" ht="13.5" customHeight="1" x14ac:dyDescent="0.25">
      <c r="I5522" s="16">
        <v>30</v>
      </c>
      <c r="L5522" s="16" t="s">
        <v>33</v>
      </c>
    </row>
    <row r="5523" spans="1:13" ht="13.5" customHeight="1" x14ac:dyDescent="0.25">
      <c r="I5523" s="16">
        <v>30</v>
      </c>
      <c r="L5523" s="16" t="s">
        <v>29</v>
      </c>
    </row>
    <row r="5524" spans="1:13" ht="13.5" customHeight="1" x14ac:dyDescent="0.25">
      <c r="I5524" s="16">
        <v>40</v>
      </c>
      <c r="L5524" s="16" t="s">
        <v>25</v>
      </c>
      <c r="M5524" s="16" t="s">
        <v>137</v>
      </c>
    </row>
    <row r="5525" spans="1:13" ht="13.5" customHeight="1" x14ac:dyDescent="0.25">
      <c r="I5525" s="16">
        <v>10</v>
      </c>
      <c r="L5525" s="16" t="s">
        <v>27</v>
      </c>
    </row>
    <row r="5527" spans="1:13" ht="13.5" customHeight="1" x14ac:dyDescent="0.25">
      <c r="A5527" s="16" t="s">
        <v>937</v>
      </c>
      <c r="B5527" s="16" t="s">
        <v>2</v>
      </c>
      <c r="C5527" s="16" t="s">
        <v>15</v>
      </c>
      <c r="D5527" s="16" t="s">
        <v>20</v>
      </c>
      <c r="F5527" s="16">
        <v>294.3</v>
      </c>
      <c r="G5527" s="16">
        <v>8</v>
      </c>
      <c r="H5527" s="16" t="s">
        <v>22</v>
      </c>
      <c r="I5527" s="16">
        <v>10</v>
      </c>
      <c r="L5527" s="16" t="s">
        <v>23</v>
      </c>
    </row>
    <row r="5528" spans="1:13" ht="13.5" customHeight="1" x14ac:dyDescent="0.25">
      <c r="I5528" s="16">
        <v>30</v>
      </c>
      <c r="L5528" s="16" t="s">
        <v>33</v>
      </c>
    </row>
    <row r="5529" spans="1:13" ht="13.5" customHeight="1" x14ac:dyDescent="0.25">
      <c r="I5529" s="16">
        <v>30</v>
      </c>
      <c r="L5529" s="16" t="s">
        <v>29</v>
      </c>
    </row>
    <row r="5530" spans="1:13" ht="13.5" customHeight="1" x14ac:dyDescent="0.25">
      <c r="I5530" s="16">
        <v>20</v>
      </c>
      <c r="L5530" s="16" t="s">
        <v>25</v>
      </c>
      <c r="M5530" s="16" t="s">
        <v>137</v>
      </c>
    </row>
    <row r="5531" spans="1:13" ht="13.5" customHeight="1" x14ac:dyDescent="0.25">
      <c r="I5531" s="16">
        <v>20</v>
      </c>
      <c r="L5531" s="16" t="s">
        <v>27</v>
      </c>
    </row>
    <row r="5532" spans="1:13" ht="13.5" customHeight="1" x14ac:dyDescent="0.25">
      <c r="I5532" s="16">
        <v>20</v>
      </c>
      <c r="L5532" s="16" t="s">
        <v>26</v>
      </c>
      <c r="M5532" s="16" t="s">
        <v>147</v>
      </c>
    </row>
    <row r="5533" spans="1:13" ht="13.5" customHeight="1" x14ac:dyDescent="0.25">
      <c r="I5533" s="16">
        <v>120</v>
      </c>
      <c r="L5533" s="16" t="s">
        <v>24</v>
      </c>
      <c r="M5533" s="16" t="s">
        <v>939</v>
      </c>
    </row>
    <row r="5535" spans="1:13" ht="13.5" customHeight="1" x14ac:dyDescent="0.25">
      <c r="A5535" s="16" t="s">
        <v>940</v>
      </c>
      <c r="B5535" s="16" t="s">
        <v>0</v>
      </c>
      <c r="C5535" s="16" t="s">
        <v>936</v>
      </c>
      <c r="D5535" s="15" t="s">
        <v>548</v>
      </c>
      <c r="E5535" s="15"/>
      <c r="F5535" s="16">
        <v>321.10000000000002</v>
      </c>
      <c r="G5535" s="16">
        <v>9.5</v>
      </c>
      <c r="H5535" s="16" t="s">
        <v>22</v>
      </c>
      <c r="I5535" s="16">
        <v>10</v>
      </c>
      <c r="L5535" s="16" t="s">
        <v>23</v>
      </c>
    </row>
    <row r="5536" spans="1:13" ht="13.5" customHeight="1" x14ac:dyDescent="0.25">
      <c r="I5536" s="16">
        <v>30</v>
      </c>
      <c r="L5536" s="16" t="s">
        <v>33</v>
      </c>
    </row>
    <row r="5537" spans="1:13" ht="13.5" customHeight="1" x14ac:dyDescent="0.25">
      <c r="I5537" s="16">
        <v>80</v>
      </c>
      <c r="L5537" s="16" t="s">
        <v>29</v>
      </c>
      <c r="M5537" s="16" t="s">
        <v>941</v>
      </c>
    </row>
    <row r="5538" spans="1:13" ht="13.5" customHeight="1" x14ac:dyDescent="0.25">
      <c r="I5538" s="16">
        <v>40</v>
      </c>
      <c r="L5538" s="16" t="s">
        <v>25</v>
      </c>
      <c r="M5538" s="16" t="s">
        <v>137</v>
      </c>
    </row>
    <row r="5539" spans="1:13" ht="13.5" customHeight="1" x14ac:dyDescent="0.25">
      <c r="I5539" s="16">
        <v>10</v>
      </c>
      <c r="L5539" s="16" t="s">
        <v>27</v>
      </c>
    </row>
    <row r="5540" spans="1:13" ht="13.5" customHeight="1" x14ac:dyDescent="0.25">
      <c r="I5540" s="16">
        <v>20</v>
      </c>
      <c r="L5540" s="16" t="s">
        <v>26</v>
      </c>
      <c r="M5540" s="16" t="s">
        <v>147</v>
      </c>
    </row>
    <row r="5542" spans="1:13" ht="13.5" customHeight="1" x14ac:dyDescent="0.25">
      <c r="A5542" s="16" t="s">
        <v>940</v>
      </c>
      <c r="B5542" s="16" t="s">
        <v>1</v>
      </c>
      <c r="C5542" s="16" t="s">
        <v>192</v>
      </c>
      <c r="D5542" s="16" t="s">
        <v>21</v>
      </c>
      <c r="F5542" s="16">
        <v>355.49</v>
      </c>
      <c r="G5542" s="16">
        <v>10.5</v>
      </c>
      <c r="H5542" s="16" t="s">
        <v>22</v>
      </c>
      <c r="I5542" s="16">
        <v>10</v>
      </c>
      <c r="L5542" s="16" t="s">
        <v>23</v>
      </c>
    </row>
    <row r="5543" spans="1:13" ht="13.5" customHeight="1" x14ac:dyDescent="0.25">
      <c r="I5543" s="16">
        <v>30</v>
      </c>
      <c r="L5543" s="16" t="s">
        <v>33</v>
      </c>
    </row>
    <row r="5544" spans="1:13" ht="13.5" customHeight="1" x14ac:dyDescent="0.25">
      <c r="I5544" s="16">
        <v>30</v>
      </c>
      <c r="L5544" s="16" t="s">
        <v>29</v>
      </c>
    </row>
    <row r="5545" spans="1:13" ht="13.5" customHeight="1" x14ac:dyDescent="0.25">
      <c r="I5545" s="16">
        <v>30</v>
      </c>
      <c r="L5545" s="16" t="s">
        <v>25</v>
      </c>
      <c r="M5545" s="16" t="s">
        <v>137</v>
      </c>
    </row>
    <row r="5546" spans="1:13" ht="13.5" customHeight="1" x14ac:dyDescent="0.25">
      <c r="I5546" s="16">
        <v>10</v>
      </c>
      <c r="L5546" s="16" t="s">
        <v>27</v>
      </c>
    </row>
    <row r="5547" spans="1:13" ht="13.5" customHeight="1" x14ac:dyDescent="0.25">
      <c r="I5547" s="16">
        <v>30</v>
      </c>
      <c r="L5547" s="16" t="s">
        <v>26</v>
      </c>
      <c r="M5547" s="16" t="s">
        <v>165</v>
      </c>
    </row>
    <row r="5548" spans="1:13" ht="13.5" customHeight="1" x14ac:dyDescent="0.25">
      <c r="I5548" s="16">
        <v>20</v>
      </c>
      <c r="L5548" s="16" t="s">
        <v>25</v>
      </c>
      <c r="M5548" s="16" t="s">
        <v>36</v>
      </c>
    </row>
    <row r="5550" spans="1:13" ht="13.5" customHeight="1" x14ac:dyDescent="0.25">
      <c r="A5550" s="16" t="s">
        <v>940</v>
      </c>
      <c r="B5550" s="16" t="s">
        <v>2</v>
      </c>
      <c r="C5550" s="16" t="s">
        <v>15</v>
      </c>
      <c r="D5550" s="16" t="s">
        <v>20</v>
      </c>
      <c r="F5550" s="16">
        <v>324.69</v>
      </c>
      <c r="G5550" s="16">
        <v>10.5</v>
      </c>
      <c r="H5550" s="16" t="s">
        <v>22</v>
      </c>
      <c r="I5550" s="16">
        <v>10</v>
      </c>
      <c r="L5550" s="16" t="s">
        <v>23</v>
      </c>
    </row>
    <row r="5551" spans="1:13" ht="13.5" customHeight="1" x14ac:dyDescent="0.25">
      <c r="I5551" s="16">
        <v>20</v>
      </c>
      <c r="L5551" s="16" t="s">
        <v>33</v>
      </c>
    </row>
    <row r="5552" spans="1:13" ht="13.5" customHeight="1" x14ac:dyDescent="0.25">
      <c r="I5552" s="16">
        <v>70</v>
      </c>
      <c r="L5552" s="16" t="s">
        <v>29</v>
      </c>
      <c r="M5552" s="15" t="s">
        <v>942</v>
      </c>
    </row>
    <row r="5553" spans="1:13" ht="13.5" customHeight="1" x14ac:dyDescent="0.25">
      <c r="I5553" s="16">
        <v>30</v>
      </c>
      <c r="L5553" s="16" t="s">
        <v>25</v>
      </c>
      <c r="M5553" s="15"/>
    </row>
    <row r="5554" spans="1:13" ht="13.5" customHeight="1" x14ac:dyDescent="0.25">
      <c r="I5554" s="16">
        <v>10</v>
      </c>
      <c r="L5554" s="16" t="s">
        <v>27</v>
      </c>
    </row>
    <row r="5555" spans="1:13" ht="13.5" customHeight="1" x14ac:dyDescent="0.25">
      <c r="I5555" s="16">
        <v>10</v>
      </c>
      <c r="L5555" s="16" t="s">
        <v>26</v>
      </c>
      <c r="M5555" s="16" t="s">
        <v>147</v>
      </c>
    </row>
    <row r="5557" spans="1:13" ht="13.5" customHeight="1" x14ac:dyDescent="0.25">
      <c r="A5557" s="16" t="s">
        <v>940</v>
      </c>
      <c r="B5557" s="16" t="s">
        <v>0</v>
      </c>
      <c r="C5557" s="16" t="s">
        <v>936</v>
      </c>
      <c r="D5557" s="15" t="s">
        <v>548</v>
      </c>
      <c r="E5557" s="15"/>
      <c r="F5557" s="16">
        <v>344.08</v>
      </c>
      <c r="G5557" s="16">
        <v>10</v>
      </c>
      <c r="H5557" s="16" t="s">
        <v>22</v>
      </c>
      <c r="I5557" s="16">
        <v>10</v>
      </c>
      <c r="L5557" s="16" t="s">
        <v>23</v>
      </c>
    </row>
    <row r="5558" spans="1:13" ht="13.5" customHeight="1" x14ac:dyDescent="0.25">
      <c r="I5558" s="16">
        <v>30</v>
      </c>
      <c r="L5558" s="16" t="s">
        <v>33</v>
      </c>
    </row>
    <row r="5559" spans="1:13" ht="13.5" customHeight="1" x14ac:dyDescent="0.25">
      <c r="I5559" s="16">
        <v>80</v>
      </c>
      <c r="L5559" s="16" t="s">
        <v>29</v>
      </c>
      <c r="M5559" s="16" t="s">
        <v>941</v>
      </c>
    </row>
    <row r="5560" spans="1:13" ht="13.5" customHeight="1" x14ac:dyDescent="0.25">
      <c r="I5560" s="16">
        <v>40</v>
      </c>
      <c r="L5560" s="16" t="s">
        <v>25</v>
      </c>
      <c r="M5560" s="16" t="s">
        <v>137</v>
      </c>
    </row>
    <row r="5561" spans="1:13" ht="13.5" customHeight="1" x14ac:dyDescent="0.25">
      <c r="I5561" s="16">
        <v>10</v>
      </c>
      <c r="L5561" s="16" t="s">
        <v>27</v>
      </c>
    </row>
    <row r="5562" spans="1:13" ht="13.5" customHeight="1" x14ac:dyDescent="0.25">
      <c r="I5562" s="16">
        <v>20</v>
      </c>
      <c r="L5562" s="16" t="s">
        <v>26</v>
      </c>
      <c r="M5562" s="16" t="s">
        <v>147</v>
      </c>
    </row>
    <row r="5563" spans="1:13" ht="13.5" customHeight="1" x14ac:dyDescent="0.25">
      <c r="I5563" s="16">
        <v>35</v>
      </c>
      <c r="L5563" s="16" t="s">
        <v>26</v>
      </c>
      <c r="M5563" s="16" t="s">
        <v>943</v>
      </c>
    </row>
    <row r="5565" spans="1:13" ht="13.5" customHeight="1" x14ac:dyDescent="0.25">
      <c r="A5565" s="16" t="s">
        <v>944</v>
      </c>
      <c r="B5565" s="16" t="s">
        <v>1</v>
      </c>
      <c r="C5565" s="16" t="s">
        <v>192</v>
      </c>
      <c r="D5565" s="16" t="s">
        <v>21</v>
      </c>
      <c r="F5565" s="16">
        <v>345.9</v>
      </c>
      <c r="G5565" s="16">
        <v>9.75</v>
      </c>
      <c r="H5565" s="16" t="s">
        <v>22</v>
      </c>
      <c r="I5565" s="16">
        <v>10</v>
      </c>
      <c r="L5565" s="16" t="s">
        <v>23</v>
      </c>
    </row>
    <row r="5566" spans="1:13" ht="13.5" customHeight="1" x14ac:dyDescent="0.25">
      <c r="I5566" s="16">
        <v>30</v>
      </c>
      <c r="L5566" s="16" t="s">
        <v>33</v>
      </c>
    </row>
    <row r="5567" spans="1:13" ht="13.5" customHeight="1" x14ac:dyDescent="0.25">
      <c r="I5567" s="16">
        <v>30</v>
      </c>
      <c r="L5567" s="16" t="s">
        <v>29</v>
      </c>
    </row>
    <row r="5568" spans="1:13" ht="13.5" customHeight="1" x14ac:dyDescent="0.25">
      <c r="I5568" s="16">
        <v>30</v>
      </c>
      <c r="L5568" s="16" t="s">
        <v>25</v>
      </c>
      <c r="M5568" s="16" t="s">
        <v>36</v>
      </c>
    </row>
    <row r="5569" spans="1:13" ht="13.5" customHeight="1" x14ac:dyDescent="0.25">
      <c r="I5569" s="16">
        <v>10</v>
      </c>
      <c r="L5569" s="16" t="s">
        <v>27</v>
      </c>
    </row>
    <row r="5570" spans="1:13" ht="13.5" customHeight="1" x14ac:dyDescent="0.25">
      <c r="I5570" s="16">
        <v>20</v>
      </c>
      <c r="L5570" s="16" t="s">
        <v>26</v>
      </c>
      <c r="M5570" s="16" t="s">
        <v>147</v>
      </c>
    </row>
    <row r="5571" spans="1:13" ht="13.5" customHeight="1" x14ac:dyDescent="0.25">
      <c r="I5571" s="16">
        <v>25</v>
      </c>
      <c r="L5571" s="16" t="s">
        <v>26</v>
      </c>
      <c r="M5571" s="16" t="s">
        <v>165</v>
      </c>
    </row>
    <row r="5573" spans="1:13" ht="13.5" customHeight="1" x14ac:dyDescent="0.25">
      <c r="A5573" s="16" t="s">
        <v>944</v>
      </c>
      <c r="B5573" s="16" t="s">
        <v>2</v>
      </c>
      <c r="C5573" s="16" t="s">
        <v>15</v>
      </c>
      <c r="D5573" s="16" t="s">
        <v>20</v>
      </c>
      <c r="F5573" s="16">
        <v>333.43</v>
      </c>
      <c r="G5573" s="16">
        <v>9</v>
      </c>
      <c r="H5573" s="16" t="s">
        <v>22</v>
      </c>
      <c r="I5573" s="16">
        <v>10</v>
      </c>
      <c r="L5573" s="16" t="s">
        <v>23</v>
      </c>
    </row>
    <row r="5574" spans="1:13" ht="13.5" customHeight="1" x14ac:dyDescent="0.25">
      <c r="I5574" s="16">
        <v>30</v>
      </c>
      <c r="L5574" s="16" t="s">
        <v>33</v>
      </c>
    </row>
    <row r="5575" spans="1:13" ht="13.5" customHeight="1" x14ac:dyDescent="0.25">
      <c r="I5575" s="16">
        <v>70</v>
      </c>
      <c r="L5575" s="16" t="s">
        <v>29</v>
      </c>
      <c r="M5575" s="15"/>
    </row>
    <row r="5576" spans="1:13" ht="13.5" customHeight="1" x14ac:dyDescent="0.25">
      <c r="I5576" s="16">
        <v>40</v>
      </c>
      <c r="L5576" s="16" t="s">
        <v>25</v>
      </c>
      <c r="M5576" s="16" t="s">
        <v>137</v>
      </c>
    </row>
    <row r="5577" spans="1:13" ht="13.5" customHeight="1" x14ac:dyDescent="0.25">
      <c r="I5577" s="16">
        <v>10</v>
      </c>
      <c r="L5577" s="16" t="s">
        <v>27</v>
      </c>
    </row>
    <row r="5578" spans="1:13" ht="13.5" customHeight="1" x14ac:dyDescent="0.25">
      <c r="I5578" s="16">
        <v>10</v>
      </c>
      <c r="L5578" s="16" t="s">
        <v>26</v>
      </c>
      <c r="M5578" s="16" t="s">
        <v>147</v>
      </c>
    </row>
    <row r="5579" spans="1:13" ht="13.5" customHeight="1" x14ac:dyDescent="0.25">
      <c r="I5579" s="16">
        <v>20</v>
      </c>
      <c r="L5579" s="16" t="s">
        <v>168</v>
      </c>
      <c r="M5579" s="15" t="s">
        <v>117</v>
      </c>
    </row>
    <row r="5581" spans="1:13" ht="13.5" customHeight="1" x14ac:dyDescent="0.25">
      <c r="A5581" s="16" t="s">
        <v>945</v>
      </c>
      <c r="B5581" s="16" t="s">
        <v>0</v>
      </c>
      <c r="C5581" s="16" t="s">
        <v>7</v>
      </c>
      <c r="D5581" s="15" t="s">
        <v>548</v>
      </c>
      <c r="E5581" s="15"/>
      <c r="F5581" s="16">
        <v>408.75</v>
      </c>
      <c r="G5581" s="16">
        <v>10.75</v>
      </c>
      <c r="H5581" s="16" t="s">
        <v>22</v>
      </c>
      <c r="I5581" s="16">
        <v>10</v>
      </c>
      <c r="L5581" s="16" t="s">
        <v>23</v>
      </c>
    </row>
    <row r="5582" spans="1:13" ht="13.5" customHeight="1" x14ac:dyDescent="0.25">
      <c r="I5582" s="16">
        <v>30</v>
      </c>
      <c r="L5582" s="16" t="s">
        <v>33</v>
      </c>
    </row>
    <row r="5583" spans="1:13" ht="13.5" customHeight="1" x14ac:dyDescent="0.25">
      <c r="I5583" s="16">
        <v>50</v>
      </c>
      <c r="L5583" s="16" t="s">
        <v>29</v>
      </c>
    </row>
    <row r="5584" spans="1:13" ht="13.5" customHeight="1" x14ac:dyDescent="0.25">
      <c r="I5584" s="16">
        <v>40</v>
      </c>
      <c r="L5584" s="16" t="s">
        <v>25</v>
      </c>
      <c r="M5584" s="16" t="s">
        <v>137</v>
      </c>
    </row>
    <row r="5585" spans="1:13" ht="13.5" customHeight="1" x14ac:dyDescent="0.25">
      <c r="I5585" s="16">
        <v>10</v>
      </c>
      <c r="L5585" s="16" t="s">
        <v>27</v>
      </c>
    </row>
    <row r="5586" spans="1:13" ht="13.5" customHeight="1" x14ac:dyDescent="0.25">
      <c r="I5586" s="16">
        <v>20</v>
      </c>
      <c r="L5586" s="16" t="s">
        <v>26</v>
      </c>
      <c r="M5586" s="16" t="s">
        <v>147</v>
      </c>
    </row>
    <row r="5587" spans="1:13" ht="13.5" customHeight="1" x14ac:dyDescent="0.25">
      <c r="M5587" s="16" t="s">
        <v>943</v>
      </c>
    </row>
    <row r="5590" spans="1:13" ht="13.5" customHeight="1" x14ac:dyDescent="0.25">
      <c r="A5590" s="16" t="s">
        <v>945</v>
      </c>
      <c r="B5590" s="16" t="s">
        <v>1</v>
      </c>
      <c r="C5590" s="16" t="s">
        <v>192</v>
      </c>
      <c r="D5590" s="16" t="s">
        <v>21</v>
      </c>
      <c r="F5590" s="16">
        <v>290.57</v>
      </c>
      <c r="G5590" s="16">
        <v>7.75</v>
      </c>
      <c r="H5590" s="16" t="s">
        <v>22</v>
      </c>
      <c r="I5590" s="16">
        <v>10</v>
      </c>
      <c r="L5590" s="16" t="s">
        <v>23</v>
      </c>
    </row>
    <row r="5591" spans="1:13" ht="13.5" customHeight="1" x14ac:dyDescent="0.25">
      <c r="I5591" s="16">
        <v>20</v>
      </c>
      <c r="L5591" s="16" t="s">
        <v>33</v>
      </c>
    </row>
    <row r="5592" spans="1:13" ht="13.5" customHeight="1" x14ac:dyDescent="0.25">
      <c r="I5592" s="16">
        <v>20</v>
      </c>
      <c r="L5592" s="16" t="s">
        <v>29</v>
      </c>
    </row>
    <row r="5593" spans="1:13" ht="13.5" customHeight="1" x14ac:dyDescent="0.25">
      <c r="I5593" s="16">
        <v>20</v>
      </c>
      <c r="L5593" s="16" t="s">
        <v>25</v>
      </c>
      <c r="M5593" s="16" t="s">
        <v>36</v>
      </c>
    </row>
    <row r="5594" spans="1:13" ht="13.5" customHeight="1" x14ac:dyDescent="0.25">
      <c r="I5594" s="16">
        <v>10</v>
      </c>
      <c r="L5594" s="16" t="s">
        <v>27</v>
      </c>
    </row>
    <row r="5595" spans="1:13" ht="13.5" customHeight="1" x14ac:dyDescent="0.25">
      <c r="I5595" s="16">
        <v>20</v>
      </c>
      <c r="L5595" s="16" t="s">
        <v>26</v>
      </c>
      <c r="M5595" s="16" t="s">
        <v>147</v>
      </c>
    </row>
    <row r="5596" spans="1:13" ht="13.5" customHeight="1" x14ac:dyDescent="0.25">
      <c r="I5596" s="16">
        <v>150</v>
      </c>
      <c r="L5596" s="16" t="s">
        <v>26</v>
      </c>
      <c r="M5596" s="16" t="s">
        <v>14</v>
      </c>
    </row>
    <row r="5598" spans="1:13" ht="13.5" customHeight="1" x14ac:dyDescent="0.25">
      <c r="A5598" s="16" t="s">
        <v>945</v>
      </c>
      <c r="B5598" s="16" t="s">
        <v>2</v>
      </c>
      <c r="C5598" s="16" t="s">
        <v>15</v>
      </c>
      <c r="D5598" s="16" t="s">
        <v>20</v>
      </c>
      <c r="F5598" s="16">
        <v>362.66</v>
      </c>
      <c r="G5598" s="16">
        <v>9.75</v>
      </c>
      <c r="H5598" s="16" t="s">
        <v>22</v>
      </c>
      <c r="I5598" s="16">
        <v>10</v>
      </c>
      <c r="L5598" s="16" t="s">
        <v>23</v>
      </c>
    </row>
    <row r="5599" spans="1:13" ht="13.5" customHeight="1" x14ac:dyDescent="0.25">
      <c r="I5599" s="16">
        <v>30</v>
      </c>
      <c r="L5599" s="16" t="s">
        <v>33</v>
      </c>
    </row>
    <row r="5600" spans="1:13" ht="13.5" customHeight="1" x14ac:dyDescent="0.25">
      <c r="I5600" s="16">
        <v>50</v>
      </c>
      <c r="L5600" s="16" t="s">
        <v>29</v>
      </c>
      <c r="M5600" s="15"/>
    </row>
    <row r="5601" spans="1:13" ht="13.5" customHeight="1" x14ac:dyDescent="0.25">
      <c r="I5601" s="16">
        <v>40</v>
      </c>
      <c r="L5601" s="16" t="s">
        <v>25</v>
      </c>
      <c r="M5601" s="16" t="s">
        <v>137</v>
      </c>
    </row>
    <row r="5602" spans="1:13" ht="13.5" customHeight="1" x14ac:dyDescent="0.25">
      <c r="I5602" s="16">
        <v>10</v>
      </c>
      <c r="L5602" s="16" t="s">
        <v>27</v>
      </c>
    </row>
    <row r="5603" spans="1:13" ht="13.5" customHeight="1" x14ac:dyDescent="0.25">
      <c r="I5603" s="16">
        <v>10</v>
      </c>
      <c r="L5603" s="16" t="s">
        <v>26</v>
      </c>
      <c r="M5603" s="16" t="s">
        <v>147</v>
      </c>
    </row>
    <row r="5604" spans="1:13" ht="13.5" customHeight="1" x14ac:dyDescent="0.25">
      <c r="I5604" s="16">
        <v>90</v>
      </c>
      <c r="L5604" s="16" t="s">
        <v>26</v>
      </c>
      <c r="M5604" s="16" t="s">
        <v>14</v>
      </c>
    </row>
    <row r="5606" spans="1:13" ht="13.5" customHeight="1" x14ac:dyDescent="0.25">
      <c r="A5606" s="16" t="s">
        <v>946</v>
      </c>
      <c r="B5606" s="16" t="s">
        <v>0</v>
      </c>
      <c r="C5606" s="16" t="s">
        <v>936</v>
      </c>
      <c r="D5606" s="15" t="s">
        <v>548</v>
      </c>
      <c r="E5606" s="15"/>
      <c r="F5606" s="16">
        <v>310.35000000000002</v>
      </c>
      <c r="G5606" s="16">
        <v>8.25</v>
      </c>
      <c r="H5606" s="16" t="s">
        <v>22</v>
      </c>
      <c r="I5606" s="16">
        <v>10</v>
      </c>
      <c r="L5606" s="16" t="s">
        <v>23</v>
      </c>
    </row>
    <row r="5607" spans="1:13" ht="13.5" customHeight="1" x14ac:dyDescent="0.25">
      <c r="I5607" s="16">
        <v>30</v>
      </c>
      <c r="L5607" s="16" t="s">
        <v>33</v>
      </c>
    </row>
    <row r="5608" spans="1:13" ht="13.5" customHeight="1" x14ac:dyDescent="0.25">
      <c r="I5608" s="16">
        <v>50</v>
      </c>
      <c r="L5608" s="16" t="s">
        <v>29</v>
      </c>
    </row>
    <row r="5609" spans="1:13" ht="13.5" customHeight="1" x14ac:dyDescent="0.25">
      <c r="I5609" s="16">
        <v>40</v>
      </c>
      <c r="L5609" s="16" t="s">
        <v>25</v>
      </c>
      <c r="M5609" s="16" t="s">
        <v>137</v>
      </c>
    </row>
    <row r="5610" spans="1:13" ht="13.5" customHeight="1" x14ac:dyDescent="0.25">
      <c r="I5610" s="16">
        <v>10</v>
      </c>
      <c r="L5610" s="16" t="s">
        <v>27</v>
      </c>
    </row>
    <row r="5611" spans="1:13" ht="13.5" customHeight="1" x14ac:dyDescent="0.25">
      <c r="I5611" s="16">
        <v>20</v>
      </c>
      <c r="L5611" s="16" t="s">
        <v>26</v>
      </c>
      <c r="M5611" s="16" t="s">
        <v>147</v>
      </c>
    </row>
    <row r="5612" spans="1:13" ht="13.5" customHeight="1" x14ac:dyDescent="0.25">
      <c r="I5612" s="16">
        <v>150</v>
      </c>
      <c r="L5612" s="16" t="s">
        <v>26</v>
      </c>
      <c r="M5612" s="16" t="s">
        <v>14</v>
      </c>
    </row>
    <row r="5614" spans="1:13" ht="13.5" customHeight="1" x14ac:dyDescent="0.25">
      <c r="A5614" s="16" t="s">
        <v>946</v>
      </c>
      <c r="B5614" s="16" t="s">
        <v>1</v>
      </c>
      <c r="C5614" s="16" t="s">
        <v>192</v>
      </c>
      <c r="D5614" s="16" t="s">
        <v>21</v>
      </c>
      <c r="F5614" s="16">
        <f>37.57+38.2+38.36+38.6+37.87+37.46+38.08+38.43+38.38+31.49+31.38</f>
        <v>405.82000000000005</v>
      </c>
      <c r="G5614" s="16">
        <v>11</v>
      </c>
      <c r="H5614" s="16" t="s">
        <v>22</v>
      </c>
      <c r="I5614" s="16">
        <v>10</v>
      </c>
      <c r="L5614" s="16" t="s">
        <v>23</v>
      </c>
    </row>
    <row r="5615" spans="1:13" ht="13.5" customHeight="1" x14ac:dyDescent="0.25">
      <c r="I5615" s="16">
        <v>25</v>
      </c>
      <c r="L5615" s="16" t="s">
        <v>33</v>
      </c>
    </row>
    <row r="5616" spans="1:13" ht="13.5" customHeight="1" x14ac:dyDescent="0.25">
      <c r="I5616" s="16">
        <v>40</v>
      </c>
      <c r="L5616" s="16" t="s">
        <v>29</v>
      </c>
      <c r="M5616" s="15"/>
    </row>
    <row r="5617" spans="1:13" ht="13.5" customHeight="1" x14ac:dyDescent="0.25">
      <c r="I5617" s="16">
        <v>30</v>
      </c>
      <c r="L5617" s="16" t="s">
        <v>25</v>
      </c>
      <c r="M5617" s="15"/>
    </row>
    <row r="5618" spans="1:13" ht="13.5" customHeight="1" x14ac:dyDescent="0.25">
      <c r="I5618" s="16">
        <v>10</v>
      </c>
      <c r="L5618" s="16" t="s">
        <v>27</v>
      </c>
    </row>
    <row r="5619" spans="1:13" ht="13.5" customHeight="1" x14ac:dyDescent="0.25">
      <c r="I5619" s="16">
        <v>10</v>
      </c>
      <c r="L5619" s="16" t="s">
        <v>26</v>
      </c>
      <c r="M5619" s="16" t="s">
        <v>147</v>
      </c>
    </row>
    <row r="5621" spans="1:13" ht="13.5" customHeight="1" x14ac:dyDescent="0.25">
      <c r="A5621" s="16" t="s">
        <v>946</v>
      </c>
      <c r="B5621" s="16" t="s">
        <v>2</v>
      </c>
      <c r="C5621" s="16" t="s">
        <v>15</v>
      </c>
      <c r="D5621" s="16" t="s">
        <v>20</v>
      </c>
      <c r="F5621" s="16">
        <v>342.06</v>
      </c>
      <c r="G5621" s="16">
        <v>9.75</v>
      </c>
      <c r="H5621" s="16" t="s">
        <v>22</v>
      </c>
      <c r="I5621" s="16">
        <v>10</v>
      </c>
      <c r="L5621" s="16" t="s">
        <v>23</v>
      </c>
    </row>
    <row r="5622" spans="1:13" ht="13.5" customHeight="1" x14ac:dyDescent="0.25">
      <c r="I5622" s="16">
        <v>30</v>
      </c>
      <c r="L5622" s="16" t="s">
        <v>33</v>
      </c>
    </row>
    <row r="5623" spans="1:13" ht="13.5" customHeight="1" x14ac:dyDescent="0.25">
      <c r="I5623" s="16">
        <v>50</v>
      </c>
      <c r="L5623" s="16" t="s">
        <v>29</v>
      </c>
      <c r="M5623" s="15"/>
    </row>
    <row r="5624" spans="1:13" ht="13.5" customHeight="1" x14ac:dyDescent="0.25">
      <c r="I5624" s="16">
        <v>40</v>
      </c>
      <c r="L5624" s="16" t="s">
        <v>25</v>
      </c>
      <c r="M5624" s="15" t="s">
        <v>949</v>
      </c>
    </row>
    <row r="5625" spans="1:13" ht="13.5" customHeight="1" x14ac:dyDescent="0.25">
      <c r="I5625" s="16">
        <v>10</v>
      </c>
      <c r="L5625" s="16" t="s">
        <v>27</v>
      </c>
    </row>
    <row r="5626" spans="1:13" ht="13.5" customHeight="1" x14ac:dyDescent="0.25">
      <c r="I5626" s="16">
        <v>10</v>
      </c>
      <c r="L5626" s="16" t="s">
        <v>26</v>
      </c>
      <c r="M5626" s="16" t="s">
        <v>147</v>
      </c>
    </row>
    <row r="5627" spans="1:13" ht="13.5" customHeight="1" x14ac:dyDescent="0.25">
      <c r="I5627" s="16">
        <v>25</v>
      </c>
      <c r="L5627" s="16" t="s">
        <v>25</v>
      </c>
      <c r="M5627" s="16" t="s">
        <v>950</v>
      </c>
    </row>
    <row r="5628" spans="1:13" ht="13.5" customHeight="1" x14ac:dyDescent="0.25">
      <c r="I5628" s="16">
        <v>40</v>
      </c>
      <c r="L5628" s="16" t="s">
        <v>168</v>
      </c>
      <c r="M5628" s="16" t="s">
        <v>948</v>
      </c>
    </row>
    <row r="5629" spans="1:13" ht="13.5" customHeight="1" x14ac:dyDescent="0.25">
      <c r="I5629" s="16">
        <v>35</v>
      </c>
      <c r="L5629" s="16" t="s">
        <v>26</v>
      </c>
      <c r="M5629" s="16" t="s">
        <v>947</v>
      </c>
    </row>
    <row r="5630" spans="1:13" ht="13.5" customHeight="1" x14ac:dyDescent="0.25">
      <c r="I5630" s="16">
        <v>20</v>
      </c>
      <c r="L5630" s="16" t="s">
        <v>25</v>
      </c>
      <c r="M5630" s="16" t="s">
        <v>951</v>
      </c>
    </row>
    <row r="5631" spans="1:13" ht="13.5" customHeight="1" x14ac:dyDescent="0.25">
      <c r="I5631" s="16">
        <v>20</v>
      </c>
    </row>
    <row r="5633" spans="1:14" ht="13.5" customHeight="1" x14ac:dyDescent="0.25">
      <c r="A5633" s="16" t="s">
        <v>953</v>
      </c>
      <c r="B5633" s="16" t="s">
        <v>0</v>
      </c>
      <c r="C5633" s="16" t="s">
        <v>6</v>
      </c>
      <c r="D5633" s="16" t="s">
        <v>21</v>
      </c>
      <c r="F5633" s="16">
        <f>21.6+37.41+37.81+38.59+38.27+38.22+38.07+38.4+38.16+27.4+2.348</f>
        <v>356.27799999999996</v>
      </c>
      <c r="G5633" s="16">
        <v>10</v>
      </c>
      <c r="H5633" s="16" t="s">
        <v>22</v>
      </c>
      <c r="I5633" s="16">
        <v>10</v>
      </c>
      <c r="L5633" s="16" t="s">
        <v>23</v>
      </c>
    </row>
    <row r="5634" spans="1:14" ht="13.5" customHeight="1" x14ac:dyDescent="0.25">
      <c r="I5634" s="16">
        <v>25</v>
      </c>
      <c r="L5634" s="16" t="s">
        <v>33</v>
      </c>
    </row>
    <row r="5635" spans="1:14" ht="13.5" customHeight="1" x14ac:dyDescent="0.25">
      <c r="I5635" s="16">
        <v>30</v>
      </c>
      <c r="L5635" s="16" t="s">
        <v>29</v>
      </c>
      <c r="M5635" s="15"/>
    </row>
    <row r="5636" spans="1:14" ht="13.5" customHeight="1" x14ac:dyDescent="0.25">
      <c r="I5636" s="16">
        <v>30</v>
      </c>
      <c r="L5636" s="16" t="s">
        <v>25</v>
      </c>
      <c r="M5636" s="15" t="s">
        <v>949</v>
      </c>
    </row>
    <row r="5637" spans="1:14" ht="13.5" customHeight="1" x14ac:dyDescent="0.25">
      <c r="I5637" s="16">
        <v>10</v>
      </c>
      <c r="L5637" s="16" t="s">
        <v>27</v>
      </c>
    </row>
    <row r="5638" spans="1:14" ht="13.5" customHeight="1" x14ac:dyDescent="0.25">
      <c r="I5638" s="16">
        <v>10</v>
      </c>
      <c r="L5638" s="16" t="s">
        <v>26</v>
      </c>
      <c r="M5638" s="16" t="s">
        <v>147</v>
      </c>
    </row>
    <row r="5639" spans="1:14" ht="13.5" customHeight="1" x14ac:dyDescent="0.25">
      <c r="I5639" s="16">
        <v>60</v>
      </c>
      <c r="L5639" s="16" t="s">
        <v>168</v>
      </c>
      <c r="M5639" s="16" t="s">
        <v>952</v>
      </c>
    </row>
    <row r="5641" spans="1:14" ht="13.5" customHeight="1" x14ac:dyDescent="0.25">
      <c r="A5641" s="16" t="s">
        <v>953</v>
      </c>
      <c r="B5641" s="16" t="s">
        <v>1</v>
      </c>
      <c r="C5641" s="16" t="s">
        <v>936</v>
      </c>
      <c r="D5641" s="16" t="s">
        <v>20</v>
      </c>
      <c r="F5641" s="16">
        <v>196.18</v>
      </c>
      <c r="G5641" s="16">
        <v>5.75</v>
      </c>
      <c r="H5641" s="16" t="s">
        <v>22</v>
      </c>
      <c r="I5641" s="16">
        <v>10</v>
      </c>
      <c r="L5641" s="16" t="s">
        <v>23</v>
      </c>
    </row>
    <row r="5642" spans="1:14" ht="13.5" customHeight="1" x14ac:dyDescent="0.25">
      <c r="I5642" s="16">
        <v>15</v>
      </c>
      <c r="L5642" s="16" t="s">
        <v>33</v>
      </c>
    </row>
    <row r="5643" spans="1:14" ht="13.5" customHeight="1" x14ac:dyDescent="0.25">
      <c r="I5643" s="16">
        <v>15</v>
      </c>
      <c r="L5643" s="16" t="s">
        <v>29</v>
      </c>
      <c r="M5643" s="15"/>
    </row>
    <row r="5644" spans="1:14" ht="13.5" customHeight="1" x14ac:dyDescent="0.25">
      <c r="I5644" s="16">
        <v>60</v>
      </c>
      <c r="L5644" s="16" t="s">
        <v>25</v>
      </c>
      <c r="M5644" s="15" t="s">
        <v>949</v>
      </c>
    </row>
    <row r="5645" spans="1:14" ht="13.5" customHeight="1" x14ac:dyDescent="0.25">
      <c r="I5645" s="16">
        <v>10</v>
      </c>
      <c r="L5645" s="16" t="s">
        <v>27</v>
      </c>
    </row>
    <row r="5646" spans="1:14" ht="13.5" customHeight="1" x14ac:dyDescent="0.25">
      <c r="I5646" s="16">
        <v>10</v>
      </c>
      <c r="L5646" s="16" t="s">
        <v>26</v>
      </c>
      <c r="M5646" s="16" t="s">
        <v>147</v>
      </c>
    </row>
    <row r="5647" spans="1:14" ht="13.5" customHeight="1" x14ac:dyDescent="0.25">
      <c r="I5647" s="16">
        <v>25</v>
      </c>
      <c r="L5647" s="16" t="s">
        <v>26</v>
      </c>
      <c r="M5647" s="15" t="s">
        <v>955</v>
      </c>
    </row>
    <row r="5648" spans="1:14" ht="13.5" customHeight="1" x14ac:dyDescent="0.25">
      <c r="I5648" s="16">
        <v>180</v>
      </c>
      <c r="L5648" s="16" t="s">
        <v>168</v>
      </c>
      <c r="M5648" s="16" t="s">
        <v>954</v>
      </c>
      <c r="N5648" s="16" t="s">
        <v>25</v>
      </c>
    </row>
    <row r="5650" spans="1:13" ht="13.5" customHeight="1" x14ac:dyDescent="0.25">
      <c r="A5650" s="16" t="s">
        <v>953</v>
      </c>
      <c r="B5650" s="16" t="s">
        <v>2</v>
      </c>
      <c r="C5650" s="16" t="s">
        <v>15</v>
      </c>
      <c r="D5650" s="16" t="s">
        <v>19</v>
      </c>
      <c r="E5650" s="16" t="s">
        <v>958</v>
      </c>
      <c r="F5650" s="16">
        <v>204.41</v>
      </c>
      <c r="G5650" s="16">
        <v>5.5</v>
      </c>
      <c r="H5650" s="16" t="s">
        <v>22</v>
      </c>
      <c r="I5650" s="16">
        <v>10</v>
      </c>
      <c r="L5650" s="16" t="s">
        <v>23</v>
      </c>
    </row>
    <row r="5651" spans="1:13" ht="13.5" customHeight="1" x14ac:dyDescent="0.25">
      <c r="I5651" s="16">
        <v>15</v>
      </c>
      <c r="L5651" s="16" t="s">
        <v>33</v>
      </c>
    </row>
    <row r="5652" spans="1:13" ht="13.5" customHeight="1" x14ac:dyDescent="0.25">
      <c r="I5652" s="16">
        <v>15</v>
      </c>
      <c r="L5652" s="16" t="s">
        <v>29</v>
      </c>
      <c r="M5652" s="15"/>
    </row>
    <row r="5653" spans="1:13" ht="13.5" customHeight="1" x14ac:dyDescent="0.25">
      <c r="I5653" s="16">
        <v>15</v>
      </c>
      <c r="L5653" s="16" t="s">
        <v>25</v>
      </c>
      <c r="M5653" s="15" t="s">
        <v>949</v>
      </c>
    </row>
    <row r="5654" spans="1:13" ht="13.5" customHeight="1" x14ac:dyDescent="0.25">
      <c r="I5654" s="16">
        <v>10</v>
      </c>
      <c r="L5654" s="16" t="s">
        <v>27</v>
      </c>
    </row>
    <row r="5655" spans="1:13" ht="13.5" customHeight="1" x14ac:dyDescent="0.25">
      <c r="I5655" s="16">
        <v>10</v>
      </c>
      <c r="L5655" s="16" t="s">
        <v>26</v>
      </c>
      <c r="M5655" s="16" t="s">
        <v>147</v>
      </c>
    </row>
    <row r="5656" spans="1:13" ht="13.5" customHeight="1" x14ac:dyDescent="0.25">
      <c r="I5656" s="16">
        <v>150</v>
      </c>
      <c r="L5656" s="16" t="s">
        <v>168</v>
      </c>
      <c r="M5656" s="16" t="s">
        <v>954</v>
      </c>
    </row>
    <row r="5657" spans="1:13" ht="13.5" customHeight="1" x14ac:dyDescent="0.25">
      <c r="I5657" s="16">
        <v>60</v>
      </c>
      <c r="L5657" s="16" t="s">
        <v>25</v>
      </c>
      <c r="M5657" s="16" t="s">
        <v>117</v>
      </c>
    </row>
    <row r="5658" spans="1:13" ht="13.5" customHeight="1" x14ac:dyDescent="0.25">
      <c r="I5658" s="16">
        <v>20</v>
      </c>
      <c r="L5658" s="16" t="s">
        <v>690</v>
      </c>
      <c r="M5658" s="16" t="s">
        <v>956</v>
      </c>
    </row>
    <row r="5660" spans="1:13" ht="13.5" customHeight="1" x14ac:dyDescent="0.25">
      <c r="A5660" s="16" t="s">
        <v>962</v>
      </c>
      <c r="B5660" s="16" t="s">
        <v>0</v>
      </c>
      <c r="C5660" s="16" t="s">
        <v>6</v>
      </c>
      <c r="D5660" s="16" t="s">
        <v>21</v>
      </c>
      <c r="E5660" s="16" t="s">
        <v>958</v>
      </c>
      <c r="F5660" s="16">
        <f>30.93+38.05+38.27+38.29+32.27+38.08+38.21+37.2+38.54</f>
        <v>329.84000000000003</v>
      </c>
      <c r="G5660" s="16">
        <v>9</v>
      </c>
      <c r="H5660" s="16" t="s">
        <v>22</v>
      </c>
      <c r="I5660" s="16">
        <v>10</v>
      </c>
      <c r="L5660" s="16" t="s">
        <v>23</v>
      </c>
    </row>
    <row r="5661" spans="1:13" ht="13.5" customHeight="1" x14ac:dyDescent="0.25">
      <c r="I5661" s="16">
        <v>20</v>
      </c>
      <c r="L5661" s="16" t="s">
        <v>33</v>
      </c>
    </row>
    <row r="5662" spans="1:13" ht="13.5" customHeight="1" x14ac:dyDescent="0.25">
      <c r="I5662" s="16">
        <v>70</v>
      </c>
      <c r="L5662" s="16" t="s">
        <v>29</v>
      </c>
      <c r="M5662" s="15" t="s">
        <v>960</v>
      </c>
    </row>
    <row r="5663" spans="1:13" ht="13.5" customHeight="1" x14ac:dyDescent="0.25">
      <c r="I5663" s="16">
        <v>30</v>
      </c>
      <c r="L5663" s="16" t="s">
        <v>25</v>
      </c>
      <c r="M5663" s="15"/>
    </row>
    <row r="5664" spans="1:13" ht="13.5" customHeight="1" x14ac:dyDescent="0.25">
      <c r="I5664" s="16">
        <v>10</v>
      </c>
      <c r="L5664" s="16" t="s">
        <v>27</v>
      </c>
    </row>
    <row r="5665" spans="1:14" ht="13.5" customHeight="1" x14ac:dyDescent="0.25">
      <c r="I5665" s="16">
        <v>10</v>
      </c>
      <c r="L5665" s="16" t="s">
        <v>26</v>
      </c>
      <c r="M5665" s="16" t="s">
        <v>147</v>
      </c>
    </row>
    <row r="5666" spans="1:14" ht="13.5" customHeight="1" x14ac:dyDescent="0.25">
      <c r="I5666" s="16">
        <v>30</v>
      </c>
      <c r="L5666" s="16" t="s">
        <v>26</v>
      </c>
      <c r="M5666" s="16" t="s">
        <v>961</v>
      </c>
    </row>
    <row r="5667" spans="1:14" ht="13.5" customHeight="1" x14ac:dyDescent="0.25">
      <c r="I5667" s="16">
        <v>20</v>
      </c>
      <c r="L5667" s="16" t="s">
        <v>25</v>
      </c>
      <c r="M5667" s="16" t="s">
        <v>36</v>
      </c>
    </row>
    <row r="5669" spans="1:14" ht="13.5" customHeight="1" x14ac:dyDescent="0.25">
      <c r="A5669" s="16" t="s">
        <v>962</v>
      </c>
      <c r="B5669" s="16" t="s">
        <v>1</v>
      </c>
      <c r="C5669" s="16" t="s">
        <v>936</v>
      </c>
      <c r="D5669" s="16" t="s">
        <v>20</v>
      </c>
      <c r="E5669" s="16" t="s">
        <v>963</v>
      </c>
      <c r="F5669" s="16">
        <v>274.29000000000002</v>
      </c>
      <c r="G5669" s="16">
        <v>7.5</v>
      </c>
      <c r="H5669" s="16" t="s">
        <v>22</v>
      </c>
      <c r="I5669" s="16">
        <v>10</v>
      </c>
      <c r="L5669" s="16" t="s">
        <v>23</v>
      </c>
    </row>
    <row r="5670" spans="1:14" ht="13.5" customHeight="1" x14ac:dyDescent="0.25">
      <c r="C5670" s="16" t="s">
        <v>192</v>
      </c>
      <c r="I5670" s="16">
        <v>15</v>
      </c>
      <c r="L5670" s="16" t="s">
        <v>33</v>
      </c>
    </row>
    <row r="5671" spans="1:14" ht="13.5" customHeight="1" x14ac:dyDescent="0.25">
      <c r="I5671" s="16">
        <v>30</v>
      </c>
      <c r="L5671" s="16" t="s">
        <v>29</v>
      </c>
      <c r="M5671" s="15"/>
    </row>
    <row r="5672" spans="1:14" ht="13.5" customHeight="1" x14ac:dyDescent="0.25">
      <c r="I5672" s="16">
        <v>40</v>
      </c>
      <c r="L5672" s="16" t="s">
        <v>25</v>
      </c>
      <c r="M5672" s="15" t="s">
        <v>949</v>
      </c>
    </row>
    <row r="5673" spans="1:14" ht="13.5" customHeight="1" x14ac:dyDescent="0.25">
      <c r="I5673" s="16">
        <v>10</v>
      </c>
      <c r="L5673" s="16" t="s">
        <v>27</v>
      </c>
    </row>
    <row r="5674" spans="1:14" ht="13.5" customHeight="1" x14ac:dyDescent="0.25">
      <c r="I5674" s="16">
        <v>10</v>
      </c>
      <c r="L5674" s="16" t="s">
        <v>26</v>
      </c>
      <c r="M5674" s="16" t="s">
        <v>147</v>
      </c>
    </row>
    <row r="5675" spans="1:14" ht="13.5" customHeight="1" x14ac:dyDescent="0.25">
      <c r="I5675" s="16">
        <v>25</v>
      </c>
      <c r="L5675" s="16" t="s">
        <v>26</v>
      </c>
      <c r="M5675" s="15" t="s">
        <v>955</v>
      </c>
    </row>
    <row r="5676" spans="1:14" ht="13.5" customHeight="1" x14ac:dyDescent="0.25">
      <c r="I5676" s="16">
        <v>50</v>
      </c>
      <c r="L5676" s="15" t="s">
        <v>101</v>
      </c>
      <c r="M5676" s="16" t="s">
        <v>136</v>
      </c>
    </row>
    <row r="5677" spans="1:14" ht="13.5" customHeight="1" x14ac:dyDescent="0.25">
      <c r="I5677" s="16">
        <v>60</v>
      </c>
      <c r="L5677" s="16" t="s">
        <v>168</v>
      </c>
      <c r="M5677" s="15" t="s">
        <v>964</v>
      </c>
    </row>
    <row r="5679" spans="1:14" ht="13.5" customHeight="1" x14ac:dyDescent="0.25">
      <c r="A5679" s="16" t="s">
        <v>962</v>
      </c>
      <c r="B5679" s="16" t="s">
        <v>2</v>
      </c>
      <c r="C5679" s="16" t="s">
        <v>16</v>
      </c>
      <c r="D5679" s="16" t="s">
        <v>19</v>
      </c>
      <c r="E5679" s="16" t="s">
        <v>963</v>
      </c>
      <c r="F5679" s="16">
        <v>332.096</v>
      </c>
      <c r="G5679" s="16">
        <v>9.5</v>
      </c>
      <c r="H5679" s="16" t="s">
        <v>22</v>
      </c>
      <c r="I5679" s="16">
        <v>10</v>
      </c>
      <c r="L5679" s="16" t="s">
        <v>23</v>
      </c>
      <c r="N5679" s="16"/>
    </row>
    <row r="5680" spans="1:14" ht="13.5" customHeight="1" x14ac:dyDescent="0.25">
      <c r="I5680" s="16">
        <v>30</v>
      </c>
      <c r="L5680" s="16" t="s">
        <v>33</v>
      </c>
    </row>
    <row r="5681" spans="1:13" ht="13.5" customHeight="1" x14ac:dyDescent="0.25">
      <c r="I5681" s="16">
        <v>15</v>
      </c>
      <c r="L5681" s="16" t="s">
        <v>29</v>
      </c>
      <c r="M5681" s="15"/>
    </row>
    <row r="5682" spans="1:13" ht="13.5" customHeight="1" x14ac:dyDescent="0.25">
      <c r="I5682" s="16">
        <v>15</v>
      </c>
      <c r="L5682" s="16" t="s">
        <v>25</v>
      </c>
      <c r="M5682" s="15" t="s">
        <v>949</v>
      </c>
    </row>
    <row r="5683" spans="1:13" ht="13.5" customHeight="1" x14ac:dyDescent="0.25">
      <c r="I5683" s="16">
        <v>10</v>
      </c>
      <c r="L5683" s="16" t="s">
        <v>27</v>
      </c>
    </row>
    <row r="5684" spans="1:13" ht="13.5" customHeight="1" x14ac:dyDescent="0.25">
      <c r="I5684" s="16">
        <v>10</v>
      </c>
      <c r="L5684" s="16" t="s">
        <v>26</v>
      </c>
      <c r="M5684" s="16" t="s">
        <v>147</v>
      </c>
    </row>
    <row r="5685" spans="1:13" ht="13.5" customHeight="1" x14ac:dyDescent="0.25">
      <c r="I5685" s="16">
        <v>40</v>
      </c>
      <c r="L5685" s="16" t="s">
        <v>24</v>
      </c>
      <c r="M5685" s="15" t="s">
        <v>965</v>
      </c>
    </row>
    <row r="5686" spans="1:13" ht="13.5" customHeight="1" x14ac:dyDescent="0.25">
      <c r="I5686" s="16">
        <v>30</v>
      </c>
      <c r="L5686" s="16" t="s">
        <v>26</v>
      </c>
      <c r="M5686" s="15" t="s">
        <v>964</v>
      </c>
    </row>
    <row r="5688" spans="1:13" ht="13.5" customHeight="1" x14ac:dyDescent="0.25">
      <c r="A5688" s="16" t="s">
        <v>966</v>
      </c>
      <c r="B5688" s="16" t="s">
        <v>0</v>
      </c>
      <c r="C5688" s="16" t="s">
        <v>936</v>
      </c>
      <c r="D5688" s="16" t="s">
        <v>21</v>
      </c>
      <c r="E5688" s="16" t="s">
        <v>963</v>
      </c>
      <c r="F5688" s="16">
        <f>9.24+38.22+37.42+37.75</f>
        <v>122.63</v>
      </c>
      <c r="G5688" s="16">
        <v>3.5</v>
      </c>
      <c r="H5688" s="16" t="s">
        <v>22</v>
      </c>
      <c r="I5688" s="16">
        <v>10</v>
      </c>
      <c r="L5688" s="16" t="s">
        <v>23</v>
      </c>
    </row>
    <row r="5689" spans="1:13" ht="13.5" customHeight="1" x14ac:dyDescent="0.25">
      <c r="I5689" s="16">
        <v>10</v>
      </c>
      <c r="L5689" s="16" t="s">
        <v>33</v>
      </c>
    </row>
    <row r="5690" spans="1:13" ht="13.5" customHeight="1" x14ac:dyDescent="0.25">
      <c r="I5690" s="16">
        <v>15</v>
      </c>
      <c r="L5690" s="16" t="s">
        <v>29</v>
      </c>
      <c r="M5690" s="16" t="s">
        <v>968</v>
      </c>
    </row>
    <row r="5691" spans="1:13" ht="13.5" customHeight="1" x14ac:dyDescent="0.25">
      <c r="I5691" s="16">
        <v>10</v>
      </c>
      <c r="L5691" s="16" t="s">
        <v>25</v>
      </c>
      <c r="M5691" s="15"/>
    </row>
    <row r="5692" spans="1:13" ht="13.5" customHeight="1" x14ac:dyDescent="0.25">
      <c r="I5692" s="16">
        <v>10</v>
      </c>
      <c r="L5692" s="16" t="s">
        <v>26</v>
      </c>
      <c r="M5692" s="16" t="s">
        <v>147</v>
      </c>
    </row>
    <row r="5693" spans="1:13" ht="13.5" customHeight="1" x14ac:dyDescent="0.25">
      <c r="I5693" s="16">
        <v>80</v>
      </c>
      <c r="L5693" s="16" t="s">
        <v>26</v>
      </c>
      <c r="M5693" s="16" t="s">
        <v>967</v>
      </c>
    </row>
    <row r="5694" spans="1:13" ht="13.5" customHeight="1" x14ac:dyDescent="0.25">
      <c r="I5694" s="16">
        <v>30</v>
      </c>
      <c r="L5694" s="16" t="s">
        <v>26</v>
      </c>
      <c r="M5694" s="16" t="s">
        <v>148</v>
      </c>
    </row>
    <row r="5695" spans="1:13" ht="13.5" customHeight="1" x14ac:dyDescent="0.25">
      <c r="I5695" s="16">
        <v>20</v>
      </c>
      <c r="L5695" s="16" t="s">
        <v>24</v>
      </c>
      <c r="M5695" s="16" t="s">
        <v>176</v>
      </c>
    </row>
    <row r="5696" spans="1:13" ht="13.5" customHeight="1" x14ac:dyDescent="0.25">
      <c r="I5696" s="16">
        <v>180</v>
      </c>
      <c r="J5696" s="18">
        <v>0.45833333333333331</v>
      </c>
      <c r="K5696" s="18">
        <v>8.3333333333333329E-2</v>
      </c>
      <c r="L5696" s="16" t="s">
        <v>26</v>
      </c>
      <c r="M5696" s="16" t="s">
        <v>121</v>
      </c>
    </row>
    <row r="5698" spans="1:13" ht="13.5" customHeight="1" x14ac:dyDescent="0.25">
      <c r="A5698" s="16" t="s">
        <v>966</v>
      </c>
      <c r="B5698" s="16" t="s">
        <v>1</v>
      </c>
      <c r="C5698" s="16" t="s">
        <v>192</v>
      </c>
      <c r="D5698" s="16" t="s">
        <v>20</v>
      </c>
      <c r="E5698" s="16" t="s">
        <v>963</v>
      </c>
      <c r="F5698" s="16">
        <v>180.08</v>
      </c>
      <c r="G5698" s="16">
        <v>5</v>
      </c>
      <c r="H5698" s="16" t="s">
        <v>22</v>
      </c>
      <c r="I5698" s="16">
        <v>10</v>
      </c>
      <c r="L5698" s="16" t="s">
        <v>23</v>
      </c>
    </row>
    <row r="5699" spans="1:13" ht="13.5" customHeight="1" x14ac:dyDescent="0.25">
      <c r="I5699" s="16">
        <v>20</v>
      </c>
      <c r="L5699" s="16" t="s">
        <v>33</v>
      </c>
    </row>
    <row r="5700" spans="1:13" ht="13.5" customHeight="1" x14ac:dyDescent="0.25">
      <c r="I5700" s="16">
        <v>20</v>
      </c>
      <c r="L5700" s="16" t="s">
        <v>29</v>
      </c>
      <c r="M5700" s="15"/>
    </row>
    <row r="5701" spans="1:13" ht="13.5" customHeight="1" x14ac:dyDescent="0.25">
      <c r="I5701" s="16">
        <v>10</v>
      </c>
      <c r="L5701" s="16" t="s">
        <v>27</v>
      </c>
    </row>
    <row r="5702" spans="1:13" ht="13.5" customHeight="1" x14ac:dyDescent="0.25">
      <c r="I5702" s="16">
        <v>10</v>
      </c>
      <c r="L5702" s="16" t="s">
        <v>26</v>
      </c>
      <c r="M5702" s="16" t="s">
        <v>147</v>
      </c>
    </row>
    <row r="5703" spans="1:13" ht="13.5" customHeight="1" x14ac:dyDescent="0.25">
      <c r="I5703" s="16">
        <v>250</v>
      </c>
      <c r="L5703" s="16" t="s">
        <v>26</v>
      </c>
      <c r="M5703" s="16" t="s">
        <v>121</v>
      </c>
    </row>
    <row r="5704" spans="1:13" ht="13.5" customHeight="1" x14ac:dyDescent="0.25">
      <c r="I5704" s="16">
        <v>30</v>
      </c>
      <c r="L5704" s="16" t="s">
        <v>25</v>
      </c>
      <c r="M5704" s="15" t="s">
        <v>949</v>
      </c>
    </row>
    <row r="5705" spans="1:13" ht="13.5" customHeight="1" x14ac:dyDescent="0.25">
      <c r="M5705" s="15"/>
    </row>
    <row r="5706" spans="1:13" ht="13.5" customHeight="1" x14ac:dyDescent="0.25">
      <c r="A5706" s="16" t="s">
        <v>966</v>
      </c>
      <c r="B5706" s="16" t="s">
        <v>2</v>
      </c>
      <c r="C5706" s="16" t="s">
        <v>16</v>
      </c>
      <c r="D5706" s="16" t="s">
        <v>19</v>
      </c>
      <c r="E5706" s="16" t="s">
        <v>963</v>
      </c>
      <c r="F5706" s="16">
        <v>322.49</v>
      </c>
      <c r="G5706" s="16">
        <v>9.5</v>
      </c>
      <c r="H5706" s="16" t="s">
        <v>22</v>
      </c>
      <c r="I5706" s="16">
        <v>10</v>
      </c>
      <c r="L5706" s="16" t="s">
        <v>23</v>
      </c>
    </row>
    <row r="5707" spans="1:13" ht="13.5" customHeight="1" x14ac:dyDescent="0.25">
      <c r="I5707" s="16">
        <v>30</v>
      </c>
      <c r="L5707" s="16" t="s">
        <v>33</v>
      </c>
    </row>
    <row r="5708" spans="1:13" ht="13.5" customHeight="1" x14ac:dyDescent="0.25">
      <c r="I5708" s="16">
        <v>15</v>
      </c>
      <c r="L5708" s="16" t="s">
        <v>29</v>
      </c>
      <c r="M5708" s="15"/>
    </row>
    <row r="5709" spans="1:13" ht="13.5" customHeight="1" x14ac:dyDescent="0.25">
      <c r="I5709" s="16">
        <v>15</v>
      </c>
      <c r="L5709" s="16" t="s">
        <v>25</v>
      </c>
      <c r="M5709" s="15" t="s">
        <v>949</v>
      </c>
    </row>
    <row r="5710" spans="1:13" ht="13.5" customHeight="1" x14ac:dyDescent="0.25">
      <c r="I5710" s="16">
        <v>10</v>
      </c>
      <c r="L5710" s="16" t="s">
        <v>27</v>
      </c>
    </row>
    <row r="5711" spans="1:13" ht="13.5" customHeight="1" x14ac:dyDescent="0.25">
      <c r="I5711" s="16">
        <v>10</v>
      </c>
      <c r="L5711" s="16" t="s">
        <v>26</v>
      </c>
      <c r="M5711" s="16" t="s">
        <v>147</v>
      </c>
    </row>
    <row r="5712" spans="1:13" ht="13.5" customHeight="1" x14ac:dyDescent="0.25">
      <c r="I5712" s="16">
        <v>40</v>
      </c>
      <c r="L5712" s="16" t="s">
        <v>24</v>
      </c>
      <c r="M5712" s="15" t="s">
        <v>969</v>
      </c>
    </row>
    <row r="5713" spans="1:13" ht="13.5" customHeight="1" x14ac:dyDescent="0.25">
      <c r="I5713" s="16">
        <v>30</v>
      </c>
      <c r="L5713" s="16" t="s">
        <v>26</v>
      </c>
      <c r="M5713" s="15" t="s">
        <v>964</v>
      </c>
    </row>
    <row r="5714" spans="1:13" ht="13.5" customHeight="1" x14ac:dyDescent="0.25">
      <c r="I5714" s="16">
        <v>20</v>
      </c>
      <c r="L5714" s="16" t="s">
        <v>25</v>
      </c>
      <c r="M5714" s="16" t="s">
        <v>48</v>
      </c>
    </row>
    <row r="5716" spans="1:13" ht="13.5" customHeight="1" x14ac:dyDescent="0.25">
      <c r="A5716" s="16" t="s">
        <v>970</v>
      </c>
      <c r="B5716" s="16" t="s">
        <v>0</v>
      </c>
      <c r="C5716" s="16" t="s">
        <v>936</v>
      </c>
      <c r="D5716" s="16" t="s">
        <v>21</v>
      </c>
      <c r="E5716" s="16" t="s">
        <v>958</v>
      </c>
      <c r="F5716" s="16">
        <f>27.82+36.23+38.39+37.49+28.02+36.6+37.01+37.5+36.19+9.18+9.17</f>
        <v>333.6</v>
      </c>
      <c r="G5716" s="16">
        <v>9.5</v>
      </c>
      <c r="H5716" s="16" t="s">
        <v>22</v>
      </c>
      <c r="I5716" s="16">
        <v>10</v>
      </c>
      <c r="L5716" s="16" t="s">
        <v>23</v>
      </c>
    </row>
    <row r="5717" spans="1:13" ht="13.5" customHeight="1" x14ac:dyDescent="0.25">
      <c r="I5717" s="16">
        <v>25</v>
      </c>
      <c r="L5717" s="16" t="s">
        <v>33</v>
      </c>
    </row>
    <row r="5718" spans="1:13" ht="13.5" customHeight="1" x14ac:dyDescent="0.25">
      <c r="I5718" s="16">
        <v>20</v>
      </c>
      <c r="L5718" s="16" t="s">
        <v>29</v>
      </c>
      <c r="M5718" s="15"/>
    </row>
    <row r="5719" spans="1:13" ht="13.5" customHeight="1" x14ac:dyDescent="0.25">
      <c r="I5719" s="16">
        <v>15</v>
      </c>
      <c r="L5719" s="16" t="s">
        <v>25</v>
      </c>
      <c r="M5719" s="15" t="s">
        <v>949</v>
      </c>
    </row>
    <row r="5720" spans="1:13" ht="13.5" customHeight="1" x14ac:dyDescent="0.25">
      <c r="I5720" s="16">
        <v>10</v>
      </c>
      <c r="L5720" s="16" t="s">
        <v>26</v>
      </c>
      <c r="M5720" s="16" t="s">
        <v>147</v>
      </c>
    </row>
    <row r="5721" spans="1:13" ht="13.5" customHeight="1" x14ac:dyDescent="0.25">
      <c r="I5721" s="16">
        <v>20</v>
      </c>
      <c r="L5721" s="16" t="s">
        <v>24</v>
      </c>
      <c r="M5721" s="15" t="s">
        <v>969</v>
      </c>
    </row>
    <row r="5722" spans="1:13" ht="13.5" customHeight="1" x14ac:dyDescent="0.25">
      <c r="I5722" s="16">
        <v>45</v>
      </c>
      <c r="L5722" s="16" t="s">
        <v>26</v>
      </c>
      <c r="M5722" s="15" t="s">
        <v>971</v>
      </c>
    </row>
    <row r="5723" spans="1:13" ht="13.5" customHeight="1" x14ac:dyDescent="0.25">
      <c r="I5723" s="16">
        <v>20</v>
      </c>
      <c r="L5723" s="16" t="s">
        <v>26</v>
      </c>
      <c r="M5723" s="16" t="s">
        <v>972</v>
      </c>
    </row>
    <row r="5724" spans="1:13" ht="13.5" customHeight="1" x14ac:dyDescent="0.25">
      <c r="I5724" s="16">
        <v>30</v>
      </c>
      <c r="L5724" s="16" t="s">
        <v>24</v>
      </c>
      <c r="M5724" s="16" t="s">
        <v>907</v>
      </c>
    </row>
    <row r="5725" spans="1:13" ht="13.5" customHeight="1" x14ac:dyDescent="0.25">
      <c r="I5725" s="16">
        <v>20</v>
      </c>
      <c r="L5725" s="16" t="s">
        <v>26</v>
      </c>
      <c r="M5725" s="15" t="s">
        <v>964</v>
      </c>
    </row>
    <row r="5727" spans="1:13" ht="13.5" customHeight="1" x14ac:dyDescent="0.25">
      <c r="A5727" s="16" t="s">
        <v>970</v>
      </c>
      <c r="B5727" s="16" t="s">
        <v>1</v>
      </c>
      <c r="C5727" s="16" t="s">
        <v>15</v>
      </c>
      <c r="D5727" s="16" t="s">
        <v>20</v>
      </c>
      <c r="E5727" s="16" t="s">
        <v>963</v>
      </c>
      <c r="F5727" s="16">
        <f>17.86+32.67+38.42+38.53+31.05+36.82+36.99+36.88+32.56+32.61+32.53+1.3+7.8+7.79</f>
        <v>383.81000000000012</v>
      </c>
      <c r="G5727" s="16">
        <v>11</v>
      </c>
      <c r="H5727" s="16" t="s">
        <v>22</v>
      </c>
      <c r="I5727" s="16">
        <v>10</v>
      </c>
      <c r="L5727" s="16" t="s">
        <v>23</v>
      </c>
    </row>
    <row r="5728" spans="1:13" ht="13.5" customHeight="1" x14ac:dyDescent="0.25">
      <c r="I5728" s="16">
        <v>100</v>
      </c>
      <c r="L5728" s="16" t="s">
        <v>32</v>
      </c>
    </row>
    <row r="5729" spans="1:13" ht="13.5" customHeight="1" x14ac:dyDescent="0.25">
      <c r="I5729" s="16">
        <v>30</v>
      </c>
      <c r="L5729" s="16" t="s">
        <v>33</v>
      </c>
    </row>
    <row r="5730" spans="1:13" ht="13.5" customHeight="1" x14ac:dyDescent="0.25">
      <c r="I5730" s="16">
        <v>40</v>
      </c>
      <c r="L5730" s="16" t="s">
        <v>29</v>
      </c>
      <c r="M5730" s="15"/>
    </row>
    <row r="5731" spans="1:13" ht="13.5" customHeight="1" x14ac:dyDescent="0.25">
      <c r="I5731" s="16">
        <v>10</v>
      </c>
      <c r="L5731" s="16" t="s">
        <v>27</v>
      </c>
    </row>
    <row r="5732" spans="1:13" ht="13.5" customHeight="1" x14ac:dyDescent="0.25">
      <c r="I5732" s="16">
        <v>15</v>
      </c>
      <c r="L5732" s="16" t="s">
        <v>26</v>
      </c>
      <c r="M5732" s="16" t="s">
        <v>147</v>
      </c>
    </row>
    <row r="5733" spans="1:13" ht="13.5" customHeight="1" x14ac:dyDescent="0.25">
      <c r="I5733" s="16">
        <v>60</v>
      </c>
      <c r="L5733" s="16" t="s">
        <v>25</v>
      </c>
      <c r="M5733" s="15" t="s">
        <v>949</v>
      </c>
    </row>
    <row r="5735" spans="1:13" ht="13.5" customHeight="1" x14ac:dyDescent="0.25">
      <c r="A5735" s="16" t="s">
        <v>970</v>
      </c>
      <c r="B5735" s="16" t="s">
        <v>2</v>
      </c>
      <c r="C5735" s="16" t="s">
        <v>16</v>
      </c>
      <c r="D5735" s="16" t="s">
        <v>19</v>
      </c>
      <c r="E5735" s="16" t="s">
        <v>963</v>
      </c>
      <c r="F5735" s="16">
        <v>328.42</v>
      </c>
      <c r="G5735" s="16">
        <v>9.5</v>
      </c>
      <c r="H5735" s="16" t="s">
        <v>22</v>
      </c>
      <c r="I5735" s="16">
        <v>10</v>
      </c>
      <c r="L5735" s="16" t="s">
        <v>23</v>
      </c>
    </row>
    <row r="5736" spans="1:13" ht="13.5" customHeight="1" x14ac:dyDescent="0.25">
      <c r="I5736" s="16">
        <v>30</v>
      </c>
      <c r="L5736" s="16" t="s">
        <v>33</v>
      </c>
    </row>
    <row r="5737" spans="1:13" ht="13.5" customHeight="1" x14ac:dyDescent="0.25">
      <c r="I5737" s="16">
        <v>15</v>
      </c>
      <c r="L5737" s="16" t="s">
        <v>29</v>
      </c>
      <c r="M5737" s="15"/>
    </row>
    <row r="5738" spans="1:13" ht="13.5" customHeight="1" x14ac:dyDescent="0.25">
      <c r="I5738" s="16">
        <v>15</v>
      </c>
      <c r="L5738" s="16" t="s">
        <v>25</v>
      </c>
      <c r="M5738" s="15" t="s">
        <v>949</v>
      </c>
    </row>
    <row r="5739" spans="1:13" ht="13.5" customHeight="1" x14ac:dyDescent="0.25">
      <c r="I5739" s="16">
        <v>10</v>
      </c>
      <c r="L5739" s="16" t="s">
        <v>27</v>
      </c>
    </row>
    <row r="5740" spans="1:13" ht="13.5" customHeight="1" x14ac:dyDescent="0.25">
      <c r="I5740" s="16">
        <v>10</v>
      </c>
      <c r="L5740" s="16" t="s">
        <v>26</v>
      </c>
      <c r="M5740" s="16" t="s">
        <v>147</v>
      </c>
    </row>
    <row r="5741" spans="1:13" ht="13.5" customHeight="1" x14ac:dyDescent="0.25">
      <c r="I5741" s="16">
        <v>40</v>
      </c>
      <c r="L5741" s="16" t="s">
        <v>24</v>
      </c>
      <c r="M5741" s="15" t="s">
        <v>969</v>
      </c>
    </row>
    <row r="5742" spans="1:13" ht="13.5" customHeight="1" x14ac:dyDescent="0.25">
      <c r="I5742" s="16">
        <v>20</v>
      </c>
      <c r="L5742" s="16" t="s">
        <v>26</v>
      </c>
      <c r="M5742" s="15" t="s">
        <v>964</v>
      </c>
    </row>
    <row r="5743" spans="1:13" ht="13.5" customHeight="1" x14ac:dyDescent="0.25">
      <c r="I5743" s="16">
        <v>40</v>
      </c>
      <c r="L5743" s="16" t="s">
        <v>24</v>
      </c>
      <c r="M5743" s="16" t="s">
        <v>973</v>
      </c>
    </row>
    <row r="5744" spans="1:13" ht="13.5" customHeight="1" x14ac:dyDescent="0.25">
      <c r="I5744" s="16">
        <v>20</v>
      </c>
      <c r="L5744" s="16" t="s">
        <v>25</v>
      </c>
      <c r="M5744" s="16" t="s">
        <v>974</v>
      </c>
    </row>
    <row r="5745" spans="9:13" ht="13.5" customHeight="1" x14ac:dyDescent="0.25">
      <c r="I5745" s="16">
        <v>50</v>
      </c>
      <c r="L5745" s="16" t="s">
        <v>25</v>
      </c>
      <c r="M5745" s="16" t="s">
        <v>975</v>
      </c>
    </row>
  </sheetData>
  <sheetProtection formatColumns="0" selectLockedCells="1" selectUnlockedCells="1"/>
  <autoFilter ref="A1:N10">
    <filterColumn colId="0" showButton="0"/>
    <filterColumn colId="1"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autoFilter>
  <mergeCells count="1">
    <mergeCell ref="A1:M1"/>
  </mergeCells>
  <conditionalFormatting sqref="F140:F158">
    <cfRule type="dataBar" priority="151">
      <dataBar>
        <cfvo type="min"/>
        <cfvo type="max"/>
        <color rgb="FF638EC6"/>
      </dataBar>
      <extLst>
        <ext xmlns:x14="http://schemas.microsoft.com/office/spreadsheetml/2009/9/main" uri="{B025F937-C7B1-47D3-B67F-A62EFF666E3E}">
          <x14:id>{A037356E-BB33-45FB-A156-6FD7F7536ABC}</x14:id>
        </ext>
      </extLst>
    </cfRule>
  </conditionalFormatting>
  <conditionalFormatting sqref="F167:F174">
    <cfRule type="dataBar" priority="150">
      <dataBar>
        <cfvo type="min"/>
        <cfvo type="max"/>
        <color rgb="FF638EC6"/>
      </dataBar>
      <extLst>
        <ext xmlns:x14="http://schemas.microsoft.com/office/spreadsheetml/2009/9/main" uri="{B025F937-C7B1-47D3-B67F-A62EFF666E3E}">
          <x14:id>{775F305D-B45F-431C-ABF4-76FEAB2D2EE6}</x14:id>
        </ext>
      </extLst>
    </cfRule>
  </conditionalFormatting>
  <conditionalFormatting sqref="F178:F185">
    <cfRule type="dataBar" priority="149">
      <dataBar>
        <cfvo type="min"/>
        <cfvo type="max"/>
        <color rgb="FF638EC6"/>
      </dataBar>
      <extLst>
        <ext xmlns:x14="http://schemas.microsoft.com/office/spreadsheetml/2009/9/main" uri="{B025F937-C7B1-47D3-B67F-A62EFF666E3E}">
          <x14:id>{EA0C09F7-B423-48EC-B1F5-A194928B2815}</x14:id>
        </ext>
      </extLst>
    </cfRule>
  </conditionalFormatting>
  <conditionalFormatting sqref="F189:F196">
    <cfRule type="dataBar" priority="148">
      <dataBar>
        <cfvo type="min"/>
        <cfvo type="max"/>
        <color rgb="FF638EC6"/>
      </dataBar>
      <extLst>
        <ext xmlns:x14="http://schemas.microsoft.com/office/spreadsheetml/2009/9/main" uri="{B025F937-C7B1-47D3-B67F-A62EFF666E3E}">
          <x14:id>{B68546C0-749B-4C11-8820-CC7BAC2D4BE4}</x14:id>
        </ext>
      </extLst>
    </cfRule>
  </conditionalFormatting>
  <conditionalFormatting sqref="F200:F207">
    <cfRule type="dataBar" priority="147">
      <dataBar>
        <cfvo type="min"/>
        <cfvo type="max"/>
        <color rgb="FF638EC6"/>
      </dataBar>
      <extLst>
        <ext xmlns:x14="http://schemas.microsoft.com/office/spreadsheetml/2009/9/main" uri="{B025F937-C7B1-47D3-B67F-A62EFF666E3E}">
          <x14:id>{81B04D91-350C-448C-A6F4-A02D27531D6A}</x14:id>
        </ext>
      </extLst>
    </cfRule>
  </conditionalFormatting>
  <conditionalFormatting sqref="F211:F218">
    <cfRule type="dataBar" priority="146">
      <dataBar>
        <cfvo type="min"/>
        <cfvo type="max"/>
        <color rgb="FF638EC6"/>
      </dataBar>
      <extLst>
        <ext xmlns:x14="http://schemas.microsoft.com/office/spreadsheetml/2009/9/main" uri="{B025F937-C7B1-47D3-B67F-A62EFF666E3E}">
          <x14:id>{07CE581B-274B-4DD1-B47A-4A5BCF81BA4F}</x14:id>
        </ext>
      </extLst>
    </cfRule>
  </conditionalFormatting>
  <conditionalFormatting sqref="F220:F227">
    <cfRule type="dataBar" priority="145">
      <dataBar>
        <cfvo type="min"/>
        <cfvo type="max"/>
        <color rgb="FF638EC6"/>
      </dataBar>
      <extLst>
        <ext xmlns:x14="http://schemas.microsoft.com/office/spreadsheetml/2009/9/main" uri="{B025F937-C7B1-47D3-B67F-A62EFF666E3E}">
          <x14:id>{0A0389FA-F37A-4983-ABD6-01899A2A2430}</x14:id>
        </ext>
      </extLst>
    </cfRule>
  </conditionalFormatting>
  <conditionalFormatting sqref="F232:F237">
    <cfRule type="dataBar" priority="144">
      <dataBar>
        <cfvo type="min"/>
        <cfvo type="max"/>
        <color rgb="FF638EC6"/>
      </dataBar>
      <extLst>
        <ext xmlns:x14="http://schemas.microsoft.com/office/spreadsheetml/2009/9/main" uri="{B025F937-C7B1-47D3-B67F-A62EFF666E3E}">
          <x14:id>{921195F5-0B22-459C-8F9A-9570727EBB08}</x14:id>
        </ext>
      </extLst>
    </cfRule>
  </conditionalFormatting>
  <conditionalFormatting sqref="F238:F245">
    <cfRule type="dataBar" priority="143">
      <dataBar>
        <cfvo type="min"/>
        <cfvo type="max"/>
        <color rgb="FF638EC6"/>
      </dataBar>
      <extLst>
        <ext xmlns:x14="http://schemas.microsoft.com/office/spreadsheetml/2009/9/main" uri="{B025F937-C7B1-47D3-B67F-A62EFF666E3E}">
          <x14:id>{6E0CB6CC-340D-4C13-84E3-3812D5568B2F}</x14:id>
        </ext>
      </extLst>
    </cfRule>
  </conditionalFormatting>
  <conditionalFormatting sqref="F247:F254">
    <cfRule type="dataBar" priority="142">
      <dataBar>
        <cfvo type="min"/>
        <cfvo type="max"/>
        <color rgb="FF638EC6"/>
      </dataBar>
      <extLst>
        <ext xmlns:x14="http://schemas.microsoft.com/office/spreadsheetml/2009/9/main" uri="{B025F937-C7B1-47D3-B67F-A62EFF666E3E}">
          <x14:id>{FC88883A-E3F6-4C2F-9086-E4FA5B7CE223}</x14:id>
        </ext>
      </extLst>
    </cfRule>
  </conditionalFormatting>
  <conditionalFormatting sqref="F259:F266">
    <cfRule type="dataBar" priority="141">
      <dataBar>
        <cfvo type="min"/>
        <cfvo type="max"/>
        <color rgb="FF638EC6"/>
      </dataBar>
      <extLst>
        <ext xmlns:x14="http://schemas.microsoft.com/office/spreadsheetml/2009/9/main" uri="{B025F937-C7B1-47D3-B67F-A62EFF666E3E}">
          <x14:id>{5567C832-E498-4C8A-8804-7F085E1E184E}</x14:id>
        </ext>
      </extLst>
    </cfRule>
  </conditionalFormatting>
  <conditionalFormatting sqref="F268:F275">
    <cfRule type="dataBar" priority="140">
      <dataBar>
        <cfvo type="min"/>
        <cfvo type="max"/>
        <color rgb="FF638EC6"/>
      </dataBar>
      <extLst>
        <ext xmlns:x14="http://schemas.microsoft.com/office/spreadsheetml/2009/9/main" uri="{B025F937-C7B1-47D3-B67F-A62EFF666E3E}">
          <x14:id>{3D872CF8-C9F0-43D3-8720-12D5B1A4FA63}</x14:id>
        </ext>
      </extLst>
    </cfRule>
  </conditionalFormatting>
  <conditionalFormatting sqref="F278:F285">
    <cfRule type="dataBar" priority="139">
      <dataBar>
        <cfvo type="min"/>
        <cfvo type="max"/>
        <color rgb="FF638EC6"/>
      </dataBar>
      <extLst>
        <ext xmlns:x14="http://schemas.microsoft.com/office/spreadsheetml/2009/9/main" uri="{B025F937-C7B1-47D3-B67F-A62EFF666E3E}">
          <x14:id>{0A30BE10-0E27-4A95-B747-96600398BEC4}</x14:id>
        </ext>
      </extLst>
    </cfRule>
  </conditionalFormatting>
  <conditionalFormatting sqref="F287:F294">
    <cfRule type="dataBar" priority="138">
      <dataBar>
        <cfvo type="min"/>
        <cfvo type="max"/>
        <color rgb="FF638EC6"/>
      </dataBar>
      <extLst>
        <ext xmlns:x14="http://schemas.microsoft.com/office/spreadsheetml/2009/9/main" uri="{B025F937-C7B1-47D3-B67F-A62EFF666E3E}">
          <x14:id>{4A049CF2-72F9-40C0-A2C3-68E55CD3F07B}</x14:id>
        </ext>
      </extLst>
    </cfRule>
  </conditionalFormatting>
  <conditionalFormatting sqref="F296:F303">
    <cfRule type="dataBar" priority="137">
      <dataBar>
        <cfvo type="min"/>
        <cfvo type="max"/>
        <color rgb="FF638EC6"/>
      </dataBar>
      <extLst>
        <ext xmlns:x14="http://schemas.microsoft.com/office/spreadsheetml/2009/9/main" uri="{B025F937-C7B1-47D3-B67F-A62EFF666E3E}">
          <x14:id>{F5113E12-4C42-4020-9110-97424E5EC7FD}</x14:id>
        </ext>
      </extLst>
    </cfRule>
  </conditionalFormatting>
  <conditionalFormatting sqref="F309:F316">
    <cfRule type="dataBar" priority="136">
      <dataBar>
        <cfvo type="min"/>
        <cfvo type="max"/>
        <color rgb="FF638EC6"/>
      </dataBar>
      <extLst>
        <ext xmlns:x14="http://schemas.microsoft.com/office/spreadsheetml/2009/9/main" uri="{B025F937-C7B1-47D3-B67F-A62EFF666E3E}">
          <x14:id>{52DD2789-2A71-4838-9E27-93DF1DE3D6E0}</x14:id>
        </ext>
      </extLst>
    </cfRule>
  </conditionalFormatting>
  <conditionalFormatting sqref="F320:F327">
    <cfRule type="dataBar" priority="135">
      <dataBar>
        <cfvo type="min"/>
        <cfvo type="max"/>
        <color rgb="FF638EC6"/>
      </dataBar>
      <extLst>
        <ext xmlns:x14="http://schemas.microsoft.com/office/spreadsheetml/2009/9/main" uri="{B025F937-C7B1-47D3-B67F-A62EFF666E3E}">
          <x14:id>{B3D0970C-2A96-4D54-8840-71B3C1749388}</x14:id>
        </ext>
      </extLst>
    </cfRule>
  </conditionalFormatting>
  <conditionalFormatting sqref="F332:F339">
    <cfRule type="dataBar" priority="134">
      <dataBar>
        <cfvo type="min"/>
        <cfvo type="max"/>
        <color rgb="FF638EC6"/>
      </dataBar>
      <extLst>
        <ext xmlns:x14="http://schemas.microsoft.com/office/spreadsheetml/2009/9/main" uri="{B025F937-C7B1-47D3-B67F-A62EFF666E3E}">
          <x14:id>{BBBE3431-5152-4DF4-87BC-0DF998B7E5BE}</x14:id>
        </ext>
      </extLst>
    </cfRule>
  </conditionalFormatting>
  <conditionalFormatting sqref="F344:F351">
    <cfRule type="dataBar" priority="133">
      <dataBar>
        <cfvo type="min"/>
        <cfvo type="max"/>
        <color rgb="FF638EC6"/>
      </dataBar>
      <extLst>
        <ext xmlns:x14="http://schemas.microsoft.com/office/spreadsheetml/2009/9/main" uri="{B025F937-C7B1-47D3-B67F-A62EFF666E3E}">
          <x14:id>{8BD4FBD4-C790-40CE-829D-37E0C9D40E50}</x14:id>
        </ext>
      </extLst>
    </cfRule>
  </conditionalFormatting>
  <conditionalFormatting sqref="F355:F362">
    <cfRule type="dataBar" priority="132">
      <dataBar>
        <cfvo type="min"/>
        <cfvo type="max"/>
        <color rgb="FF638EC6"/>
      </dataBar>
      <extLst>
        <ext xmlns:x14="http://schemas.microsoft.com/office/spreadsheetml/2009/9/main" uri="{B025F937-C7B1-47D3-B67F-A62EFF666E3E}">
          <x14:id>{53A0027C-0756-4766-AD83-9E3F7C6CBB81}</x14:id>
        </ext>
      </extLst>
    </cfRule>
  </conditionalFormatting>
  <conditionalFormatting sqref="F366:F373">
    <cfRule type="dataBar" priority="131">
      <dataBar>
        <cfvo type="min"/>
        <cfvo type="max"/>
        <color rgb="FF638EC6"/>
      </dataBar>
      <extLst>
        <ext xmlns:x14="http://schemas.microsoft.com/office/spreadsheetml/2009/9/main" uri="{B025F937-C7B1-47D3-B67F-A62EFF666E3E}">
          <x14:id>{098898FF-AC7C-4232-B94C-40817ACD6BCD}</x14:id>
        </ext>
      </extLst>
    </cfRule>
  </conditionalFormatting>
  <conditionalFormatting sqref="F375:F382">
    <cfRule type="dataBar" priority="130">
      <dataBar>
        <cfvo type="min"/>
        <cfvo type="max"/>
        <color rgb="FF638EC6"/>
      </dataBar>
      <extLst>
        <ext xmlns:x14="http://schemas.microsoft.com/office/spreadsheetml/2009/9/main" uri="{B025F937-C7B1-47D3-B67F-A62EFF666E3E}">
          <x14:id>{15BFB187-FDCA-49BB-A3ED-3881FB34034E}</x14:id>
        </ext>
      </extLst>
    </cfRule>
  </conditionalFormatting>
  <conditionalFormatting sqref="F384:F391">
    <cfRule type="dataBar" priority="129">
      <dataBar>
        <cfvo type="min"/>
        <cfvo type="max"/>
        <color rgb="FF638EC6"/>
      </dataBar>
      <extLst>
        <ext xmlns:x14="http://schemas.microsoft.com/office/spreadsheetml/2009/9/main" uri="{B025F937-C7B1-47D3-B67F-A62EFF666E3E}">
          <x14:id>{C072EFC5-5E50-4F92-A502-E159513FE845}</x14:id>
        </ext>
      </extLst>
    </cfRule>
  </conditionalFormatting>
  <conditionalFormatting sqref="F394:F401">
    <cfRule type="dataBar" priority="128">
      <dataBar>
        <cfvo type="min"/>
        <cfvo type="max"/>
        <color rgb="FF638EC6"/>
      </dataBar>
      <extLst>
        <ext xmlns:x14="http://schemas.microsoft.com/office/spreadsheetml/2009/9/main" uri="{B025F937-C7B1-47D3-B67F-A62EFF666E3E}">
          <x14:id>{33956F62-C694-4983-B84C-37E9DDB2F7F2}</x14:id>
        </ext>
      </extLst>
    </cfRule>
  </conditionalFormatting>
  <conditionalFormatting sqref="F404:F411">
    <cfRule type="dataBar" priority="127">
      <dataBar>
        <cfvo type="min"/>
        <cfvo type="max"/>
        <color rgb="FF638EC6"/>
      </dataBar>
      <extLst>
        <ext xmlns:x14="http://schemas.microsoft.com/office/spreadsheetml/2009/9/main" uri="{B025F937-C7B1-47D3-B67F-A62EFF666E3E}">
          <x14:id>{FC7E5E46-249B-4DE7-A30F-B092C67A92E7}</x14:id>
        </ext>
      </extLst>
    </cfRule>
  </conditionalFormatting>
  <conditionalFormatting sqref="F417:F424">
    <cfRule type="dataBar" priority="126">
      <dataBar>
        <cfvo type="min"/>
        <cfvo type="max"/>
        <color rgb="FF638EC6"/>
      </dataBar>
      <extLst>
        <ext xmlns:x14="http://schemas.microsoft.com/office/spreadsheetml/2009/9/main" uri="{B025F937-C7B1-47D3-B67F-A62EFF666E3E}">
          <x14:id>{D2E142A0-E166-4084-9358-8A8937A70EA0}</x14:id>
        </ext>
      </extLst>
    </cfRule>
  </conditionalFormatting>
  <conditionalFormatting sqref="F427:F434">
    <cfRule type="dataBar" priority="125">
      <dataBar>
        <cfvo type="min"/>
        <cfvo type="max"/>
        <color rgb="FF638EC6"/>
      </dataBar>
      <extLst>
        <ext xmlns:x14="http://schemas.microsoft.com/office/spreadsheetml/2009/9/main" uri="{B025F937-C7B1-47D3-B67F-A62EFF666E3E}">
          <x14:id>{E454825A-616A-400D-855B-4FD29012A01E}</x14:id>
        </ext>
      </extLst>
    </cfRule>
  </conditionalFormatting>
  <conditionalFormatting sqref="F437:F444">
    <cfRule type="dataBar" priority="124">
      <dataBar>
        <cfvo type="min"/>
        <cfvo type="max"/>
        <color rgb="FF638EC6"/>
      </dataBar>
      <extLst>
        <ext xmlns:x14="http://schemas.microsoft.com/office/spreadsheetml/2009/9/main" uri="{B025F937-C7B1-47D3-B67F-A62EFF666E3E}">
          <x14:id>{29729330-0056-465A-A6A7-E429B79373B2}</x14:id>
        </ext>
      </extLst>
    </cfRule>
  </conditionalFormatting>
  <conditionalFormatting sqref="F446:F453">
    <cfRule type="dataBar" priority="123">
      <dataBar>
        <cfvo type="min"/>
        <cfvo type="max"/>
        <color rgb="FF638EC6"/>
      </dataBar>
      <extLst>
        <ext xmlns:x14="http://schemas.microsoft.com/office/spreadsheetml/2009/9/main" uri="{B025F937-C7B1-47D3-B67F-A62EFF666E3E}">
          <x14:id>{B8A9F449-14DC-4787-AA14-E18F04825CDA}</x14:id>
        </ext>
      </extLst>
    </cfRule>
  </conditionalFormatting>
  <conditionalFormatting sqref="F458:F465">
    <cfRule type="dataBar" priority="122">
      <dataBar>
        <cfvo type="min"/>
        <cfvo type="max"/>
        <color rgb="FF638EC6"/>
      </dataBar>
      <extLst>
        <ext xmlns:x14="http://schemas.microsoft.com/office/spreadsheetml/2009/9/main" uri="{B025F937-C7B1-47D3-B67F-A62EFF666E3E}">
          <x14:id>{A4C4D377-1DB9-4DB0-BBDD-FEC15F07F25F}</x14:id>
        </ext>
      </extLst>
    </cfRule>
  </conditionalFormatting>
  <conditionalFormatting sqref="F467:F474">
    <cfRule type="dataBar" priority="121">
      <dataBar>
        <cfvo type="min"/>
        <cfvo type="max"/>
        <color rgb="FF638EC6"/>
      </dataBar>
      <extLst>
        <ext xmlns:x14="http://schemas.microsoft.com/office/spreadsheetml/2009/9/main" uri="{B025F937-C7B1-47D3-B67F-A62EFF666E3E}">
          <x14:id>{F08067DA-26A0-4CC5-A885-94327DEF0390}</x14:id>
        </ext>
      </extLst>
    </cfRule>
  </conditionalFormatting>
  <conditionalFormatting sqref="F478:F485">
    <cfRule type="dataBar" priority="120">
      <dataBar>
        <cfvo type="min"/>
        <cfvo type="max"/>
        <color rgb="FF638EC6"/>
      </dataBar>
      <extLst>
        <ext xmlns:x14="http://schemas.microsoft.com/office/spreadsheetml/2009/9/main" uri="{B025F937-C7B1-47D3-B67F-A62EFF666E3E}">
          <x14:id>{B9CB9552-4A95-4C04-ACD3-361BFB79ED75}</x14:id>
        </ext>
      </extLst>
    </cfRule>
  </conditionalFormatting>
  <conditionalFormatting sqref="F488:F495">
    <cfRule type="dataBar" priority="119">
      <dataBar>
        <cfvo type="min"/>
        <cfvo type="max"/>
        <color rgb="FF638EC6"/>
      </dataBar>
      <extLst>
        <ext xmlns:x14="http://schemas.microsoft.com/office/spreadsheetml/2009/9/main" uri="{B025F937-C7B1-47D3-B67F-A62EFF666E3E}">
          <x14:id>{42E425FB-632D-449E-A9FA-B9C8683CA246}</x14:id>
        </ext>
      </extLst>
    </cfRule>
  </conditionalFormatting>
  <conditionalFormatting sqref="F499:F506">
    <cfRule type="dataBar" priority="118">
      <dataBar>
        <cfvo type="min"/>
        <cfvo type="max"/>
        <color rgb="FF638EC6"/>
      </dataBar>
      <extLst>
        <ext xmlns:x14="http://schemas.microsoft.com/office/spreadsheetml/2009/9/main" uri="{B025F937-C7B1-47D3-B67F-A62EFF666E3E}">
          <x14:id>{81F53E5F-4776-450A-B1D1-3F8E5446FF85}</x14:id>
        </ext>
      </extLst>
    </cfRule>
  </conditionalFormatting>
  <conditionalFormatting sqref="F508:F515">
    <cfRule type="dataBar" priority="117">
      <dataBar>
        <cfvo type="min"/>
        <cfvo type="max"/>
        <color rgb="FF638EC6"/>
      </dataBar>
      <extLst>
        <ext xmlns:x14="http://schemas.microsoft.com/office/spreadsheetml/2009/9/main" uri="{B025F937-C7B1-47D3-B67F-A62EFF666E3E}">
          <x14:id>{8A4390D3-E4DB-4959-8DD3-AE2EB5A6B0A4}</x14:id>
        </ext>
      </extLst>
    </cfRule>
  </conditionalFormatting>
  <conditionalFormatting sqref="F518:F525">
    <cfRule type="dataBar" priority="116">
      <dataBar>
        <cfvo type="min"/>
        <cfvo type="max"/>
        <color rgb="FF638EC6"/>
      </dataBar>
      <extLst>
        <ext xmlns:x14="http://schemas.microsoft.com/office/spreadsheetml/2009/9/main" uri="{B025F937-C7B1-47D3-B67F-A62EFF666E3E}">
          <x14:id>{ED8D6677-ECBC-4645-A382-862F2C194AD3}</x14:id>
        </ext>
      </extLst>
    </cfRule>
  </conditionalFormatting>
  <conditionalFormatting sqref="F528:F535">
    <cfRule type="dataBar" priority="115">
      <dataBar>
        <cfvo type="min"/>
        <cfvo type="max"/>
        <color rgb="FF638EC6"/>
      </dataBar>
      <extLst>
        <ext xmlns:x14="http://schemas.microsoft.com/office/spreadsheetml/2009/9/main" uri="{B025F937-C7B1-47D3-B67F-A62EFF666E3E}">
          <x14:id>{B06A54D1-6C46-402C-B01E-AAA8EA0789D8}</x14:id>
        </ext>
      </extLst>
    </cfRule>
  </conditionalFormatting>
  <conditionalFormatting sqref="F537:F544">
    <cfRule type="dataBar" priority="114">
      <dataBar>
        <cfvo type="min"/>
        <cfvo type="max"/>
        <color rgb="FF638EC6"/>
      </dataBar>
      <extLst>
        <ext xmlns:x14="http://schemas.microsoft.com/office/spreadsheetml/2009/9/main" uri="{B025F937-C7B1-47D3-B67F-A62EFF666E3E}">
          <x14:id>{EA5CD118-9F1D-4E93-86DA-3F1E6426F4B7}</x14:id>
        </ext>
      </extLst>
    </cfRule>
  </conditionalFormatting>
  <conditionalFormatting sqref="F548:F554">
    <cfRule type="dataBar" priority="113">
      <dataBar>
        <cfvo type="min"/>
        <cfvo type="max"/>
        <color rgb="FF638EC6"/>
      </dataBar>
      <extLst>
        <ext xmlns:x14="http://schemas.microsoft.com/office/spreadsheetml/2009/9/main" uri="{B025F937-C7B1-47D3-B67F-A62EFF666E3E}">
          <x14:id>{578AB36A-7FC4-406D-8C22-FED8BEB34D5C}</x14:id>
        </ext>
      </extLst>
    </cfRule>
  </conditionalFormatting>
  <conditionalFormatting sqref="F560:F567">
    <cfRule type="dataBar" priority="112">
      <dataBar>
        <cfvo type="min"/>
        <cfvo type="max"/>
        <color rgb="FF638EC6"/>
      </dataBar>
      <extLst>
        <ext xmlns:x14="http://schemas.microsoft.com/office/spreadsheetml/2009/9/main" uri="{B025F937-C7B1-47D3-B67F-A62EFF666E3E}">
          <x14:id>{C20EB6D4-EFD5-4E46-A850-A193D83492D1}</x14:id>
        </ext>
      </extLst>
    </cfRule>
  </conditionalFormatting>
  <conditionalFormatting sqref="F569:F576">
    <cfRule type="dataBar" priority="111">
      <dataBar>
        <cfvo type="min"/>
        <cfvo type="max"/>
        <color rgb="FF638EC6"/>
      </dataBar>
      <extLst>
        <ext xmlns:x14="http://schemas.microsoft.com/office/spreadsheetml/2009/9/main" uri="{B025F937-C7B1-47D3-B67F-A62EFF666E3E}">
          <x14:id>{45437A3A-18A1-47BD-92BC-94945DAB74F9}</x14:id>
        </ext>
      </extLst>
    </cfRule>
  </conditionalFormatting>
  <conditionalFormatting sqref="F579:F586">
    <cfRule type="dataBar" priority="110">
      <dataBar>
        <cfvo type="min"/>
        <cfvo type="max"/>
        <color rgb="FF638EC6"/>
      </dataBar>
      <extLst>
        <ext xmlns:x14="http://schemas.microsoft.com/office/spreadsheetml/2009/9/main" uri="{B025F937-C7B1-47D3-B67F-A62EFF666E3E}">
          <x14:id>{F76B7495-EAF0-44B9-81B0-A4EAD608070F}</x14:id>
        </ext>
      </extLst>
    </cfRule>
  </conditionalFormatting>
  <conditionalFormatting sqref="F588">
    <cfRule type="dataBar" priority="109">
      <dataBar>
        <cfvo type="min"/>
        <cfvo type="max"/>
        <color rgb="FF638EC6"/>
      </dataBar>
      <extLst>
        <ext xmlns:x14="http://schemas.microsoft.com/office/spreadsheetml/2009/9/main" uri="{B025F937-C7B1-47D3-B67F-A62EFF666E3E}">
          <x14:id>{19FAD4FC-BEB4-48A5-BBCC-2AE0E6ACDB94}</x14:id>
        </ext>
      </extLst>
    </cfRule>
  </conditionalFormatting>
  <conditionalFormatting sqref="F589:F596">
    <cfRule type="dataBar" priority="108">
      <dataBar>
        <cfvo type="min"/>
        <cfvo type="max"/>
        <color rgb="FF638EC6"/>
      </dataBar>
      <extLst>
        <ext xmlns:x14="http://schemas.microsoft.com/office/spreadsheetml/2009/9/main" uri="{B025F937-C7B1-47D3-B67F-A62EFF666E3E}">
          <x14:id>{60A871D8-0D9A-45EE-BE4C-7F92BE073530}</x14:id>
        </ext>
      </extLst>
    </cfRule>
  </conditionalFormatting>
  <conditionalFormatting sqref="F598:F605">
    <cfRule type="dataBar" priority="107">
      <dataBar>
        <cfvo type="min"/>
        <cfvo type="max"/>
        <color rgb="FF638EC6"/>
      </dataBar>
      <extLst>
        <ext xmlns:x14="http://schemas.microsoft.com/office/spreadsheetml/2009/9/main" uri="{B025F937-C7B1-47D3-B67F-A62EFF666E3E}">
          <x14:id>{D7042FDA-A7DB-4AF1-BEB0-7D32713D7B90}</x14:id>
        </ext>
      </extLst>
    </cfRule>
  </conditionalFormatting>
  <conditionalFormatting sqref="F612:F619">
    <cfRule type="dataBar" priority="106">
      <dataBar>
        <cfvo type="min"/>
        <cfvo type="max"/>
        <color rgb="FF638EC6"/>
      </dataBar>
      <extLst>
        <ext xmlns:x14="http://schemas.microsoft.com/office/spreadsheetml/2009/9/main" uri="{B025F937-C7B1-47D3-B67F-A62EFF666E3E}">
          <x14:id>{2522B8B0-635F-4BEE-B76D-EFC829DACEE1}</x14:id>
        </ext>
      </extLst>
    </cfRule>
  </conditionalFormatting>
  <conditionalFormatting sqref="F623:F630">
    <cfRule type="dataBar" priority="105">
      <dataBar>
        <cfvo type="min"/>
        <cfvo type="max"/>
        <color rgb="FF638EC6"/>
      </dataBar>
      <extLst>
        <ext xmlns:x14="http://schemas.microsoft.com/office/spreadsheetml/2009/9/main" uri="{B025F937-C7B1-47D3-B67F-A62EFF666E3E}">
          <x14:id>{61885466-AD9D-4BB5-A7BB-58527FAA9C9A}</x14:id>
        </ext>
      </extLst>
    </cfRule>
  </conditionalFormatting>
  <conditionalFormatting sqref="F633:F640">
    <cfRule type="dataBar" priority="104">
      <dataBar>
        <cfvo type="min"/>
        <cfvo type="max"/>
        <color rgb="FF638EC6"/>
      </dataBar>
      <extLst>
        <ext xmlns:x14="http://schemas.microsoft.com/office/spreadsheetml/2009/9/main" uri="{B025F937-C7B1-47D3-B67F-A62EFF666E3E}">
          <x14:id>{892D0065-4350-4E27-9D0A-CF8A08AFEDAF}</x14:id>
        </ext>
      </extLst>
    </cfRule>
  </conditionalFormatting>
  <conditionalFormatting sqref="F643:F650">
    <cfRule type="dataBar" priority="103">
      <dataBar>
        <cfvo type="min"/>
        <cfvo type="max"/>
        <color rgb="FF638EC6"/>
      </dataBar>
      <extLst>
        <ext xmlns:x14="http://schemas.microsoft.com/office/spreadsheetml/2009/9/main" uri="{B025F937-C7B1-47D3-B67F-A62EFF666E3E}">
          <x14:id>{59B604B5-F703-4EAC-AF12-DE6956F93ED6}</x14:id>
        </ext>
      </extLst>
    </cfRule>
  </conditionalFormatting>
  <conditionalFormatting sqref="F654:F661">
    <cfRule type="dataBar" priority="102">
      <dataBar>
        <cfvo type="min"/>
        <cfvo type="max"/>
        <color rgb="FF638EC6"/>
      </dataBar>
      <extLst>
        <ext xmlns:x14="http://schemas.microsoft.com/office/spreadsheetml/2009/9/main" uri="{B025F937-C7B1-47D3-B67F-A62EFF666E3E}">
          <x14:id>{EBAB4A34-5C7C-4526-9827-CD666B513566}</x14:id>
        </ext>
      </extLst>
    </cfRule>
  </conditionalFormatting>
  <conditionalFormatting sqref="F664:F671">
    <cfRule type="dataBar" priority="100">
      <dataBar>
        <cfvo type="min"/>
        <cfvo type="max"/>
        <color rgb="FF638EC6"/>
      </dataBar>
      <extLst>
        <ext xmlns:x14="http://schemas.microsoft.com/office/spreadsheetml/2009/9/main" uri="{B025F937-C7B1-47D3-B67F-A62EFF666E3E}">
          <x14:id>{375CCBFB-7015-4AEB-BBF0-93E6C040589B}</x14:id>
        </ext>
      </extLst>
    </cfRule>
  </conditionalFormatting>
  <conditionalFormatting sqref="F672">
    <cfRule type="dataBar" priority="99">
      <dataBar>
        <cfvo type="min"/>
        <cfvo type="max"/>
        <color rgb="FF638EC6"/>
      </dataBar>
      <extLst>
        <ext xmlns:x14="http://schemas.microsoft.com/office/spreadsheetml/2009/9/main" uri="{B025F937-C7B1-47D3-B67F-A62EFF666E3E}">
          <x14:id>{AF6D6705-4CB4-4779-86FC-ADBA17E2DF70}</x14:id>
        </ext>
      </extLst>
    </cfRule>
  </conditionalFormatting>
  <conditionalFormatting sqref="F673:F680">
    <cfRule type="dataBar" priority="98">
      <dataBar>
        <cfvo type="min"/>
        <cfvo type="max"/>
        <color rgb="FF638EC6"/>
      </dataBar>
      <extLst>
        <ext xmlns:x14="http://schemas.microsoft.com/office/spreadsheetml/2009/9/main" uri="{B025F937-C7B1-47D3-B67F-A62EFF666E3E}">
          <x14:id>{9702559A-698A-4785-ACF3-8BBFE1459E29}</x14:id>
        </ext>
      </extLst>
    </cfRule>
  </conditionalFormatting>
  <conditionalFormatting sqref="F682:F689">
    <cfRule type="dataBar" priority="97">
      <dataBar>
        <cfvo type="min"/>
        <cfvo type="max"/>
        <color rgb="FF638EC6"/>
      </dataBar>
      <extLst>
        <ext xmlns:x14="http://schemas.microsoft.com/office/spreadsheetml/2009/9/main" uri="{B025F937-C7B1-47D3-B67F-A62EFF666E3E}">
          <x14:id>{EE483646-3802-4CF8-A6D6-FB79B0376360}</x14:id>
        </ext>
      </extLst>
    </cfRule>
  </conditionalFormatting>
  <conditionalFormatting sqref="F692:F699">
    <cfRule type="dataBar" priority="96">
      <dataBar>
        <cfvo type="min"/>
        <cfvo type="max"/>
        <color rgb="FF638EC6"/>
      </dataBar>
      <extLst>
        <ext xmlns:x14="http://schemas.microsoft.com/office/spreadsheetml/2009/9/main" uri="{B025F937-C7B1-47D3-B67F-A62EFF666E3E}">
          <x14:id>{5D47641A-A60B-44B7-9F96-557AFCE77290}</x14:id>
        </ext>
      </extLst>
    </cfRule>
  </conditionalFormatting>
  <conditionalFormatting sqref="F702:F712">
    <cfRule type="dataBar" priority="95">
      <dataBar>
        <cfvo type="min"/>
        <cfvo type="max"/>
        <color rgb="FF638EC6"/>
      </dataBar>
      <extLst>
        <ext xmlns:x14="http://schemas.microsoft.com/office/spreadsheetml/2009/9/main" uri="{B025F937-C7B1-47D3-B67F-A62EFF666E3E}">
          <x14:id>{14A45DF2-BD0B-4D4C-8502-851FAC07E7BA}</x14:id>
        </ext>
      </extLst>
    </cfRule>
  </conditionalFormatting>
  <conditionalFormatting sqref="F713:F720">
    <cfRule type="dataBar" priority="94">
      <dataBar>
        <cfvo type="min"/>
        <cfvo type="max"/>
        <color rgb="FF638EC6"/>
      </dataBar>
      <extLst>
        <ext xmlns:x14="http://schemas.microsoft.com/office/spreadsheetml/2009/9/main" uri="{B025F937-C7B1-47D3-B67F-A62EFF666E3E}">
          <x14:id>{0F919ACD-34AB-4957-8BA4-BCF3189910AC}</x14:id>
        </ext>
      </extLst>
    </cfRule>
  </conditionalFormatting>
  <conditionalFormatting sqref="F724:F731">
    <cfRule type="dataBar" priority="93">
      <dataBar>
        <cfvo type="min"/>
        <cfvo type="max"/>
        <color rgb="FF638EC6"/>
      </dataBar>
      <extLst>
        <ext xmlns:x14="http://schemas.microsoft.com/office/spreadsheetml/2009/9/main" uri="{B025F937-C7B1-47D3-B67F-A62EFF666E3E}">
          <x14:id>{9FAB0D9A-5355-4D60-B14F-D219DCBB84E4}</x14:id>
        </ext>
      </extLst>
    </cfRule>
  </conditionalFormatting>
  <conditionalFormatting sqref="F734:F741">
    <cfRule type="dataBar" priority="92">
      <dataBar>
        <cfvo type="min"/>
        <cfvo type="max"/>
        <color rgb="FF638EC6"/>
      </dataBar>
      <extLst>
        <ext xmlns:x14="http://schemas.microsoft.com/office/spreadsheetml/2009/9/main" uri="{B025F937-C7B1-47D3-B67F-A62EFF666E3E}">
          <x14:id>{688726C3-71CC-4F97-B034-10A52734D7F6}</x14:id>
        </ext>
      </extLst>
    </cfRule>
  </conditionalFormatting>
  <conditionalFormatting sqref="F745:F752">
    <cfRule type="dataBar" priority="91">
      <dataBar>
        <cfvo type="min"/>
        <cfvo type="max"/>
        <color rgb="FF638EC6"/>
      </dataBar>
      <extLst>
        <ext xmlns:x14="http://schemas.microsoft.com/office/spreadsheetml/2009/9/main" uri="{B025F937-C7B1-47D3-B67F-A62EFF666E3E}">
          <x14:id>{DDCEF345-DF6E-42B8-9DD1-081D4A6335B9}</x14:id>
        </ext>
      </extLst>
    </cfRule>
  </conditionalFormatting>
  <conditionalFormatting sqref="F756:F763">
    <cfRule type="dataBar" priority="90">
      <dataBar>
        <cfvo type="min"/>
        <cfvo type="max"/>
        <color rgb="FF638EC6"/>
      </dataBar>
      <extLst>
        <ext xmlns:x14="http://schemas.microsoft.com/office/spreadsheetml/2009/9/main" uri="{B025F937-C7B1-47D3-B67F-A62EFF666E3E}">
          <x14:id>{E1586CE1-14E8-4929-AF2D-559F07E76C6B}</x14:id>
        </ext>
      </extLst>
    </cfRule>
  </conditionalFormatting>
  <conditionalFormatting sqref="F767:F774">
    <cfRule type="dataBar" priority="89">
      <dataBar>
        <cfvo type="min"/>
        <cfvo type="max"/>
        <color rgb="FF638EC6"/>
      </dataBar>
      <extLst>
        <ext xmlns:x14="http://schemas.microsoft.com/office/spreadsheetml/2009/9/main" uri="{B025F937-C7B1-47D3-B67F-A62EFF666E3E}">
          <x14:id>{547348DA-C381-4BD6-A9CA-C8318CDCD997}</x14:id>
        </ext>
      </extLst>
    </cfRule>
  </conditionalFormatting>
  <conditionalFormatting sqref="F777">
    <cfRule type="dataBar" priority="88">
      <dataBar>
        <cfvo type="min"/>
        <cfvo type="max"/>
        <color rgb="FF638EC6"/>
      </dataBar>
      <extLst>
        <ext xmlns:x14="http://schemas.microsoft.com/office/spreadsheetml/2009/9/main" uri="{B025F937-C7B1-47D3-B67F-A62EFF666E3E}">
          <x14:id>{AE63338F-743C-473B-ABD2-0F1AA05EA58F}</x14:id>
        </ext>
      </extLst>
    </cfRule>
  </conditionalFormatting>
  <conditionalFormatting sqref="F778:F785">
    <cfRule type="dataBar" priority="87">
      <dataBar>
        <cfvo type="min"/>
        <cfvo type="max"/>
        <color rgb="FF638EC6"/>
      </dataBar>
      <extLst>
        <ext xmlns:x14="http://schemas.microsoft.com/office/spreadsheetml/2009/9/main" uri="{B025F937-C7B1-47D3-B67F-A62EFF666E3E}">
          <x14:id>{C3B96C70-FEF1-4DB0-B13B-795F702521BF}</x14:id>
        </ext>
      </extLst>
    </cfRule>
  </conditionalFormatting>
  <conditionalFormatting sqref="F788:F795">
    <cfRule type="dataBar" priority="86">
      <dataBar>
        <cfvo type="min"/>
        <cfvo type="max"/>
        <color rgb="FF638EC6"/>
      </dataBar>
      <extLst>
        <ext xmlns:x14="http://schemas.microsoft.com/office/spreadsheetml/2009/9/main" uri="{B025F937-C7B1-47D3-B67F-A62EFF666E3E}">
          <x14:id>{9B0B2790-5171-4D5D-908B-E531FB89A35E}</x14:id>
        </ext>
      </extLst>
    </cfRule>
  </conditionalFormatting>
  <conditionalFormatting sqref="F799:F806">
    <cfRule type="dataBar" priority="85">
      <dataBar>
        <cfvo type="min"/>
        <cfvo type="max"/>
        <color rgb="FF638EC6"/>
      </dataBar>
      <extLst>
        <ext xmlns:x14="http://schemas.microsoft.com/office/spreadsheetml/2009/9/main" uri="{B025F937-C7B1-47D3-B67F-A62EFF666E3E}">
          <x14:id>{BAC3DE60-C805-44AF-8B51-B31E56741355}</x14:id>
        </ext>
      </extLst>
    </cfRule>
  </conditionalFormatting>
  <conditionalFormatting sqref="F811:F815">
    <cfRule type="dataBar" priority="154">
      <dataBar>
        <cfvo type="min"/>
        <cfvo type="max"/>
        <color rgb="FF638EC6"/>
      </dataBar>
      <extLst>
        <ext xmlns:x14="http://schemas.microsoft.com/office/spreadsheetml/2009/9/main" uri="{B025F937-C7B1-47D3-B67F-A62EFF666E3E}">
          <x14:id>{5FA5D2CB-E3E0-4157-9F5E-3DB31B33C68B}</x14:id>
        </ext>
      </extLst>
    </cfRule>
  </conditionalFormatting>
  <conditionalFormatting sqref="F818:F825">
    <cfRule type="dataBar" priority="83">
      <dataBar>
        <cfvo type="min"/>
        <cfvo type="max"/>
        <color rgb="FF638EC6"/>
      </dataBar>
      <extLst>
        <ext xmlns:x14="http://schemas.microsoft.com/office/spreadsheetml/2009/9/main" uri="{B025F937-C7B1-47D3-B67F-A62EFF666E3E}">
          <x14:id>{7C1AD411-7E2F-44E9-ACF4-17335F2F661E}</x14:id>
        </ext>
      </extLst>
    </cfRule>
  </conditionalFormatting>
  <conditionalFormatting sqref="F828:F835">
    <cfRule type="dataBar" priority="82">
      <dataBar>
        <cfvo type="min"/>
        <cfvo type="max"/>
        <color rgb="FF638EC6"/>
      </dataBar>
      <extLst>
        <ext xmlns:x14="http://schemas.microsoft.com/office/spreadsheetml/2009/9/main" uri="{B025F937-C7B1-47D3-B67F-A62EFF666E3E}">
          <x14:id>{7FF20CE1-5CD3-4891-85E5-12709F1BF26F}</x14:id>
        </ext>
      </extLst>
    </cfRule>
  </conditionalFormatting>
  <conditionalFormatting sqref="F837:F843">
    <cfRule type="dataBar" priority="155">
      <dataBar>
        <cfvo type="min"/>
        <cfvo type="max"/>
        <color rgb="FF638EC6"/>
      </dataBar>
      <extLst>
        <ext xmlns:x14="http://schemas.microsoft.com/office/spreadsheetml/2009/9/main" uri="{B025F937-C7B1-47D3-B67F-A62EFF666E3E}">
          <x14:id>{8656AF53-6545-47AE-ABCF-0D05F4EEB203}</x14:id>
        </ext>
      </extLst>
    </cfRule>
  </conditionalFormatting>
  <conditionalFormatting sqref="F846">
    <cfRule type="dataBar" priority="80">
      <dataBar>
        <cfvo type="min"/>
        <cfvo type="max"/>
        <color rgb="FF638EC6"/>
      </dataBar>
      <extLst>
        <ext xmlns:x14="http://schemas.microsoft.com/office/spreadsheetml/2009/9/main" uri="{B025F937-C7B1-47D3-B67F-A62EFF666E3E}">
          <x14:id>{37FF7DD5-0FDA-49EF-8529-11053A529859}</x14:id>
        </ext>
      </extLst>
    </cfRule>
  </conditionalFormatting>
  <conditionalFormatting sqref="F847:F854">
    <cfRule type="dataBar" priority="79">
      <dataBar>
        <cfvo type="min"/>
        <cfvo type="max"/>
        <color rgb="FF638EC6"/>
      </dataBar>
      <extLst>
        <ext xmlns:x14="http://schemas.microsoft.com/office/spreadsheetml/2009/9/main" uri="{B025F937-C7B1-47D3-B67F-A62EFF666E3E}">
          <x14:id>{E92848BA-4A4C-4AB5-9606-62D824F7DCCF}</x14:id>
        </ext>
      </extLst>
    </cfRule>
  </conditionalFormatting>
  <conditionalFormatting sqref="F857:F864">
    <cfRule type="dataBar" priority="78">
      <dataBar>
        <cfvo type="min"/>
        <cfvo type="max"/>
        <color rgb="FF638EC6"/>
      </dataBar>
      <extLst>
        <ext xmlns:x14="http://schemas.microsoft.com/office/spreadsheetml/2009/9/main" uri="{B025F937-C7B1-47D3-B67F-A62EFF666E3E}">
          <x14:id>{7E150911-4A0D-4CA9-A526-5886DE649CF7}</x14:id>
        </ext>
      </extLst>
    </cfRule>
  </conditionalFormatting>
  <conditionalFormatting sqref="F869:F876">
    <cfRule type="dataBar" priority="77">
      <dataBar>
        <cfvo type="min"/>
        <cfvo type="max"/>
        <color rgb="FF638EC6"/>
      </dataBar>
      <extLst>
        <ext xmlns:x14="http://schemas.microsoft.com/office/spreadsheetml/2009/9/main" uri="{B025F937-C7B1-47D3-B67F-A62EFF666E3E}">
          <x14:id>{821F96D4-35CE-4236-87DB-25C9139D761E}</x14:id>
        </ext>
      </extLst>
    </cfRule>
  </conditionalFormatting>
  <conditionalFormatting sqref="F879:F886">
    <cfRule type="dataBar" priority="76">
      <dataBar>
        <cfvo type="min"/>
        <cfvo type="max"/>
        <color rgb="FF638EC6"/>
      </dataBar>
      <extLst>
        <ext xmlns:x14="http://schemas.microsoft.com/office/spreadsheetml/2009/9/main" uri="{B025F937-C7B1-47D3-B67F-A62EFF666E3E}">
          <x14:id>{B0C74FFC-DEEF-416B-BA98-5699AFB9DC83}</x14:id>
        </ext>
      </extLst>
    </cfRule>
  </conditionalFormatting>
  <conditionalFormatting sqref="F890:F897">
    <cfRule type="dataBar" priority="75">
      <dataBar>
        <cfvo type="min"/>
        <cfvo type="max"/>
        <color rgb="FF638EC6"/>
      </dataBar>
      <extLst>
        <ext xmlns:x14="http://schemas.microsoft.com/office/spreadsheetml/2009/9/main" uri="{B025F937-C7B1-47D3-B67F-A62EFF666E3E}">
          <x14:id>{EF8802F8-A1FA-456E-9B26-555F58441658}</x14:id>
        </ext>
      </extLst>
    </cfRule>
  </conditionalFormatting>
  <conditionalFormatting sqref="F901:F908">
    <cfRule type="dataBar" priority="74">
      <dataBar>
        <cfvo type="min"/>
        <cfvo type="max"/>
        <color rgb="FF638EC6"/>
      </dataBar>
      <extLst>
        <ext xmlns:x14="http://schemas.microsoft.com/office/spreadsheetml/2009/9/main" uri="{B025F937-C7B1-47D3-B67F-A62EFF666E3E}">
          <x14:id>{90FB95E5-1A18-4F18-B1CF-758FBEE6E5BA}</x14:id>
        </ext>
      </extLst>
    </cfRule>
  </conditionalFormatting>
  <conditionalFormatting sqref="F911:F918">
    <cfRule type="dataBar" priority="73">
      <dataBar>
        <cfvo type="min"/>
        <cfvo type="max"/>
        <color rgb="FF638EC6"/>
      </dataBar>
      <extLst>
        <ext xmlns:x14="http://schemas.microsoft.com/office/spreadsheetml/2009/9/main" uri="{B025F937-C7B1-47D3-B67F-A62EFF666E3E}">
          <x14:id>{9DB3897B-DEB5-4F9A-ACFC-229E295E1D69}</x14:id>
        </ext>
      </extLst>
    </cfRule>
  </conditionalFormatting>
  <conditionalFormatting sqref="F923:F930">
    <cfRule type="dataBar" priority="72">
      <dataBar>
        <cfvo type="min"/>
        <cfvo type="max"/>
        <color rgb="FF638EC6"/>
      </dataBar>
      <extLst>
        <ext xmlns:x14="http://schemas.microsoft.com/office/spreadsheetml/2009/9/main" uri="{B025F937-C7B1-47D3-B67F-A62EFF666E3E}">
          <x14:id>{FECCE3A3-1325-4E56-B428-A66B73F99491}</x14:id>
        </ext>
      </extLst>
    </cfRule>
  </conditionalFormatting>
  <conditionalFormatting sqref="F932:F939">
    <cfRule type="dataBar" priority="71">
      <dataBar>
        <cfvo type="min"/>
        <cfvo type="max"/>
        <color rgb="FF638EC6"/>
      </dataBar>
      <extLst>
        <ext xmlns:x14="http://schemas.microsoft.com/office/spreadsheetml/2009/9/main" uri="{B025F937-C7B1-47D3-B67F-A62EFF666E3E}">
          <x14:id>{8113634B-0CDC-4EF7-B833-2FA4F14755BF}</x14:id>
        </ext>
      </extLst>
    </cfRule>
  </conditionalFormatting>
  <conditionalFormatting sqref="F943:F950">
    <cfRule type="dataBar" priority="70">
      <dataBar>
        <cfvo type="min"/>
        <cfvo type="max"/>
        <color rgb="FF638EC6"/>
      </dataBar>
      <extLst>
        <ext xmlns:x14="http://schemas.microsoft.com/office/spreadsheetml/2009/9/main" uri="{B025F937-C7B1-47D3-B67F-A62EFF666E3E}">
          <x14:id>{AE8D3009-486C-4EFD-9203-862C51E7C873}</x14:id>
        </ext>
      </extLst>
    </cfRule>
  </conditionalFormatting>
  <conditionalFormatting sqref="F951:F958">
    <cfRule type="dataBar" priority="69">
      <dataBar>
        <cfvo type="min"/>
        <cfvo type="max"/>
        <color rgb="FF638EC6"/>
      </dataBar>
      <extLst>
        <ext xmlns:x14="http://schemas.microsoft.com/office/spreadsheetml/2009/9/main" uri="{B025F937-C7B1-47D3-B67F-A62EFF666E3E}">
          <x14:id>{B55D246C-CC32-4D30-9285-ADACF54085C0}</x14:id>
        </ext>
      </extLst>
    </cfRule>
  </conditionalFormatting>
  <conditionalFormatting sqref="F962:F969">
    <cfRule type="dataBar" priority="68">
      <dataBar>
        <cfvo type="min"/>
        <cfvo type="max"/>
        <color rgb="FF638EC6"/>
      </dataBar>
      <extLst>
        <ext xmlns:x14="http://schemas.microsoft.com/office/spreadsheetml/2009/9/main" uri="{B025F937-C7B1-47D3-B67F-A62EFF666E3E}">
          <x14:id>{367401B6-B31C-4498-BA13-2CB7D2F43129}</x14:id>
        </ext>
      </extLst>
    </cfRule>
  </conditionalFormatting>
  <conditionalFormatting sqref="F971:F976">
    <cfRule type="dataBar" priority="67">
      <dataBar>
        <cfvo type="min"/>
        <cfvo type="max"/>
        <color rgb="FF638EC6"/>
      </dataBar>
      <extLst>
        <ext xmlns:x14="http://schemas.microsoft.com/office/spreadsheetml/2009/9/main" uri="{B025F937-C7B1-47D3-B67F-A62EFF666E3E}">
          <x14:id>{5738A435-1FA6-430C-A4FC-0229630D7445}</x14:id>
        </ext>
      </extLst>
    </cfRule>
  </conditionalFormatting>
  <conditionalFormatting sqref="F980:F987">
    <cfRule type="dataBar" priority="66">
      <dataBar>
        <cfvo type="min"/>
        <cfvo type="max"/>
        <color rgb="FF638EC6"/>
      </dataBar>
      <extLst>
        <ext xmlns:x14="http://schemas.microsoft.com/office/spreadsheetml/2009/9/main" uri="{B025F937-C7B1-47D3-B67F-A62EFF666E3E}">
          <x14:id>{2F05A46E-7C43-4FF6-8D13-B3F4A27058BB}</x14:id>
        </ext>
      </extLst>
    </cfRule>
  </conditionalFormatting>
  <conditionalFormatting sqref="F1008:F1015">
    <cfRule type="dataBar" priority="65">
      <dataBar>
        <cfvo type="min"/>
        <cfvo type="max"/>
        <color rgb="FF638EC6"/>
      </dataBar>
      <extLst>
        <ext xmlns:x14="http://schemas.microsoft.com/office/spreadsheetml/2009/9/main" uri="{B025F937-C7B1-47D3-B67F-A62EFF666E3E}">
          <x14:id>{5A5631D6-E0FF-4D28-930A-6C0EB821A64B}</x14:id>
        </ext>
      </extLst>
    </cfRule>
  </conditionalFormatting>
  <conditionalFormatting sqref="F1043:F1050">
    <cfRule type="dataBar" priority="64">
      <dataBar>
        <cfvo type="min"/>
        <cfvo type="max"/>
        <color rgb="FF638EC6"/>
      </dataBar>
      <extLst>
        <ext xmlns:x14="http://schemas.microsoft.com/office/spreadsheetml/2009/9/main" uri="{B025F937-C7B1-47D3-B67F-A62EFF666E3E}">
          <x14:id>{56E94794-F0B2-4A12-BA72-BBEDF4E307D1}</x14:id>
        </ext>
      </extLst>
    </cfRule>
  </conditionalFormatting>
  <conditionalFormatting sqref="F1078:F1085">
    <cfRule type="dataBar" priority="63">
      <dataBar>
        <cfvo type="min"/>
        <cfvo type="max"/>
        <color rgb="FF638EC6"/>
      </dataBar>
      <extLst>
        <ext xmlns:x14="http://schemas.microsoft.com/office/spreadsheetml/2009/9/main" uri="{B025F937-C7B1-47D3-B67F-A62EFF666E3E}">
          <x14:id>{F86EA26F-5ADE-47B9-8634-8FA92C8E169A}</x14:id>
        </ext>
      </extLst>
    </cfRule>
  </conditionalFormatting>
  <conditionalFormatting sqref="F1099:F1106">
    <cfRule type="dataBar" priority="62">
      <dataBar>
        <cfvo type="min"/>
        <cfvo type="max"/>
        <color rgb="FF638EC6"/>
      </dataBar>
      <extLst>
        <ext xmlns:x14="http://schemas.microsoft.com/office/spreadsheetml/2009/9/main" uri="{B025F937-C7B1-47D3-B67F-A62EFF666E3E}">
          <x14:id>{5FE721A6-117B-418E-8D6E-0D496EC8B078}</x14:id>
        </ext>
      </extLst>
    </cfRule>
  </conditionalFormatting>
  <conditionalFormatting sqref="F1122:F1129">
    <cfRule type="dataBar" priority="61">
      <dataBar>
        <cfvo type="min"/>
        <cfvo type="max"/>
        <color rgb="FF638EC6"/>
      </dataBar>
      <extLst>
        <ext xmlns:x14="http://schemas.microsoft.com/office/spreadsheetml/2009/9/main" uri="{B025F937-C7B1-47D3-B67F-A62EFF666E3E}">
          <x14:id>{033F1A86-6706-4FAE-8234-0E5622EB1517}</x14:id>
        </ext>
      </extLst>
    </cfRule>
  </conditionalFormatting>
  <conditionalFormatting sqref="F1154:F1161">
    <cfRule type="dataBar" priority="60">
      <dataBar>
        <cfvo type="min"/>
        <cfvo type="max"/>
        <color rgb="FF638EC6"/>
      </dataBar>
      <extLst>
        <ext xmlns:x14="http://schemas.microsoft.com/office/spreadsheetml/2009/9/main" uri="{B025F937-C7B1-47D3-B67F-A62EFF666E3E}">
          <x14:id>{7651CDE8-847D-4194-9127-F9555F159E7D}</x14:id>
        </ext>
      </extLst>
    </cfRule>
  </conditionalFormatting>
  <conditionalFormatting sqref="F1186:F1193">
    <cfRule type="dataBar" priority="59">
      <dataBar>
        <cfvo type="min"/>
        <cfvo type="max"/>
        <color rgb="FF638EC6"/>
      </dataBar>
      <extLst>
        <ext xmlns:x14="http://schemas.microsoft.com/office/spreadsheetml/2009/9/main" uri="{B025F937-C7B1-47D3-B67F-A62EFF666E3E}">
          <x14:id>{97001539-A5B0-46BE-A3F8-1443D05FB243}</x14:id>
        </ext>
      </extLst>
    </cfRule>
  </conditionalFormatting>
  <conditionalFormatting sqref="F1210:F1217">
    <cfRule type="dataBar" priority="58">
      <dataBar>
        <cfvo type="min"/>
        <cfvo type="max"/>
        <color rgb="FF638EC6"/>
      </dataBar>
      <extLst>
        <ext xmlns:x14="http://schemas.microsoft.com/office/spreadsheetml/2009/9/main" uri="{B025F937-C7B1-47D3-B67F-A62EFF666E3E}">
          <x14:id>{C9B7CE9D-925E-48D3-B467-0B9E98CF0357}</x14:id>
        </ext>
      </extLst>
    </cfRule>
  </conditionalFormatting>
  <conditionalFormatting sqref="F1234:F1241">
    <cfRule type="dataBar" priority="57">
      <dataBar>
        <cfvo type="min"/>
        <cfvo type="max"/>
        <color rgb="FF638EC6"/>
      </dataBar>
      <extLst>
        <ext xmlns:x14="http://schemas.microsoft.com/office/spreadsheetml/2009/9/main" uri="{B025F937-C7B1-47D3-B67F-A62EFF666E3E}">
          <x14:id>{A2CFDFCE-ADA0-4A2A-9619-DA2F774762AA}</x14:id>
        </ext>
      </extLst>
    </cfRule>
  </conditionalFormatting>
  <conditionalFormatting sqref="F1244:F1251">
    <cfRule type="dataBar" priority="56">
      <dataBar>
        <cfvo type="min"/>
        <cfvo type="max"/>
        <color rgb="FF638EC6"/>
      </dataBar>
      <extLst>
        <ext xmlns:x14="http://schemas.microsoft.com/office/spreadsheetml/2009/9/main" uri="{B025F937-C7B1-47D3-B67F-A62EFF666E3E}">
          <x14:id>{01FE9D81-5449-4598-920A-1DB56B4C469B}</x14:id>
        </ext>
      </extLst>
    </cfRule>
  </conditionalFormatting>
  <conditionalFormatting sqref="F1266:F1273">
    <cfRule type="dataBar" priority="55">
      <dataBar>
        <cfvo type="min"/>
        <cfvo type="max"/>
        <color rgb="FF638EC6"/>
      </dataBar>
      <extLst>
        <ext xmlns:x14="http://schemas.microsoft.com/office/spreadsheetml/2009/9/main" uri="{B025F937-C7B1-47D3-B67F-A62EFF666E3E}">
          <x14:id>{AC5D204A-5240-45A3-899B-110710D217DF}</x14:id>
        </ext>
      </extLst>
    </cfRule>
  </conditionalFormatting>
  <conditionalFormatting sqref="F1275:F1282">
    <cfRule type="dataBar" priority="54">
      <dataBar>
        <cfvo type="min"/>
        <cfvo type="max"/>
        <color rgb="FF638EC6"/>
      </dataBar>
      <extLst>
        <ext xmlns:x14="http://schemas.microsoft.com/office/spreadsheetml/2009/9/main" uri="{B025F937-C7B1-47D3-B67F-A62EFF666E3E}">
          <x14:id>{F029B2BC-9759-4455-BBA4-EF5C47F917FF}</x14:id>
        </ext>
      </extLst>
    </cfRule>
  </conditionalFormatting>
  <conditionalFormatting sqref="F1286:F1293">
    <cfRule type="dataBar" priority="53">
      <dataBar>
        <cfvo type="min"/>
        <cfvo type="max"/>
        <color rgb="FF638EC6"/>
      </dataBar>
      <extLst>
        <ext xmlns:x14="http://schemas.microsoft.com/office/spreadsheetml/2009/9/main" uri="{B025F937-C7B1-47D3-B67F-A62EFF666E3E}">
          <x14:id>{F71D4702-0B27-402A-BC1C-71410F4798EC}</x14:id>
        </ext>
      </extLst>
    </cfRule>
  </conditionalFormatting>
  <conditionalFormatting sqref="F1295:F1302">
    <cfRule type="dataBar" priority="52">
      <dataBar>
        <cfvo type="min"/>
        <cfvo type="max"/>
        <color rgb="FF638EC6"/>
      </dataBar>
      <extLst>
        <ext xmlns:x14="http://schemas.microsoft.com/office/spreadsheetml/2009/9/main" uri="{B025F937-C7B1-47D3-B67F-A62EFF666E3E}">
          <x14:id>{619AB126-5C69-44B2-83AD-D5657090AB1D}</x14:id>
        </ext>
      </extLst>
    </cfRule>
  </conditionalFormatting>
  <conditionalFormatting sqref="F1306:F1313">
    <cfRule type="dataBar" priority="51">
      <dataBar>
        <cfvo type="min"/>
        <cfvo type="max"/>
        <color rgb="FF638EC6"/>
      </dataBar>
      <extLst>
        <ext xmlns:x14="http://schemas.microsoft.com/office/spreadsheetml/2009/9/main" uri="{B025F937-C7B1-47D3-B67F-A62EFF666E3E}">
          <x14:id>{E4A7601C-63A3-4DBF-8CE5-ED503E4999BA}</x14:id>
        </ext>
      </extLst>
    </cfRule>
  </conditionalFormatting>
  <conditionalFormatting sqref="F1318:F1325">
    <cfRule type="dataBar" priority="50">
      <dataBar>
        <cfvo type="min"/>
        <cfvo type="max"/>
        <color rgb="FF638EC6"/>
      </dataBar>
      <extLst>
        <ext xmlns:x14="http://schemas.microsoft.com/office/spreadsheetml/2009/9/main" uri="{B025F937-C7B1-47D3-B67F-A62EFF666E3E}">
          <x14:id>{DA9D8369-7282-4FAA-824A-75E012C38903}</x14:id>
        </ext>
      </extLst>
    </cfRule>
  </conditionalFormatting>
  <conditionalFormatting sqref="F1327:F1334">
    <cfRule type="dataBar" priority="49">
      <dataBar>
        <cfvo type="min"/>
        <cfvo type="max"/>
        <color rgb="FF638EC6"/>
      </dataBar>
      <extLst>
        <ext xmlns:x14="http://schemas.microsoft.com/office/spreadsheetml/2009/9/main" uri="{B025F937-C7B1-47D3-B67F-A62EFF666E3E}">
          <x14:id>{9918C39D-15E4-45BB-821C-7BC2BD5FC5A0}</x14:id>
        </ext>
      </extLst>
    </cfRule>
  </conditionalFormatting>
  <conditionalFormatting sqref="F1337:F1344">
    <cfRule type="dataBar" priority="48">
      <dataBar>
        <cfvo type="min"/>
        <cfvo type="max"/>
        <color rgb="FF638EC6"/>
      </dataBar>
      <extLst>
        <ext xmlns:x14="http://schemas.microsoft.com/office/spreadsheetml/2009/9/main" uri="{B025F937-C7B1-47D3-B67F-A62EFF666E3E}">
          <x14:id>{9CDF3ACB-38E1-4575-930B-BA3EA399DFE5}</x14:id>
        </ext>
      </extLst>
    </cfRule>
  </conditionalFormatting>
  <conditionalFormatting sqref="F1348">
    <cfRule type="dataBar" priority="47">
      <dataBar>
        <cfvo type="min"/>
        <cfvo type="max"/>
        <color rgb="FF638EC6"/>
      </dataBar>
      <extLst>
        <ext xmlns:x14="http://schemas.microsoft.com/office/spreadsheetml/2009/9/main" uri="{B025F937-C7B1-47D3-B67F-A62EFF666E3E}">
          <x14:id>{95821876-E5D6-4EC1-A081-2C6FF854A7E8}</x14:id>
        </ext>
      </extLst>
    </cfRule>
  </conditionalFormatting>
  <conditionalFormatting sqref="F1349:F1356">
    <cfRule type="dataBar" priority="46">
      <dataBar>
        <cfvo type="min"/>
        <cfvo type="max"/>
        <color rgb="FF638EC6"/>
      </dataBar>
      <extLst>
        <ext xmlns:x14="http://schemas.microsoft.com/office/spreadsheetml/2009/9/main" uri="{B025F937-C7B1-47D3-B67F-A62EFF666E3E}">
          <x14:id>{2F6C7934-2750-48F7-92F4-6CBB23AF7267}</x14:id>
        </ext>
      </extLst>
    </cfRule>
  </conditionalFormatting>
  <conditionalFormatting sqref="F1359:F1366">
    <cfRule type="dataBar" priority="45">
      <dataBar>
        <cfvo type="min"/>
        <cfvo type="max"/>
        <color rgb="FF638EC6"/>
      </dataBar>
      <extLst>
        <ext xmlns:x14="http://schemas.microsoft.com/office/spreadsheetml/2009/9/main" uri="{B025F937-C7B1-47D3-B67F-A62EFF666E3E}">
          <x14:id>{5F0B6FE0-6545-486F-AD86-72C3CF3CB9BA}</x14:id>
        </ext>
      </extLst>
    </cfRule>
  </conditionalFormatting>
  <conditionalFormatting sqref="F1369:F1376">
    <cfRule type="dataBar" priority="44">
      <dataBar>
        <cfvo type="min"/>
        <cfvo type="max"/>
        <color rgb="FF638EC6"/>
      </dataBar>
      <extLst>
        <ext xmlns:x14="http://schemas.microsoft.com/office/spreadsheetml/2009/9/main" uri="{B025F937-C7B1-47D3-B67F-A62EFF666E3E}">
          <x14:id>{4969BA27-1FBD-42AA-96F3-A542904EE886}</x14:id>
        </ext>
      </extLst>
    </cfRule>
  </conditionalFormatting>
  <conditionalFormatting sqref="F1378:F1385">
    <cfRule type="dataBar" priority="43">
      <dataBar>
        <cfvo type="min"/>
        <cfvo type="max"/>
        <color rgb="FF638EC6"/>
      </dataBar>
      <extLst>
        <ext xmlns:x14="http://schemas.microsoft.com/office/spreadsheetml/2009/9/main" uri="{B025F937-C7B1-47D3-B67F-A62EFF666E3E}">
          <x14:id>{C37DCE4D-49FE-47FD-A1C6-D8C8D430B082}</x14:id>
        </ext>
      </extLst>
    </cfRule>
  </conditionalFormatting>
  <conditionalFormatting sqref="F1388:F1395">
    <cfRule type="dataBar" priority="42">
      <dataBar>
        <cfvo type="min"/>
        <cfvo type="max"/>
        <color rgb="FF638EC6"/>
      </dataBar>
      <extLst>
        <ext xmlns:x14="http://schemas.microsoft.com/office/spreadsheetml/2009/9/main" uri="{B025F937-C7B1-47D3-B67F-A62EFF666E3E}">
          <x14:id>{755A8F53-31DF-4FE8-8F0F-3CC2997B03B3}</x14:id>
        </ext>
      </extLst>
    </cfRule>
  </conditionalFormatting>
  <conditionalFormatting sqref="F1398:F1405">
    <cfRule type="dataBar" priority="41">
      <dataBar>
        <cfvo type="min"/>
        <cfvo type="max"/>
        <color rgb="FF638EC6"/>
      </dataBar>
      <extLst>
        <ext xmlns:x14="http://schemas.microsoft.com/office/spreadsheetml/2009/9/main" uri="{B025F937-C7B1-47D3-B67F-A62EFF666E3E}">
          <x14:id>{0B0E0DB9-EB7B-4775-8104-D589F7637CEC}</x14:id>
        </ext>
      </extLst>
    </cfRule>
  </conditionalFormatting>
  <conditionalFormatting sqref="F1409:F1416">
    <cfRule type="dataBar" priority="40">
      <dataBar>
        <cfvo type="min"/>
        <cfvo type="max"/>
        <color rgb="FF638EC6"/>
      </dataBar>
      <extLst>
        <ext xmlns:x14="http://schemas.microsoft.com/office/spreadsheetml/2009/9/main" uri="{B025F937-C7B1-47D3-B67F-A62EFF666E3E}">
          <x14:id>{BE219A57-7AAA-4CFB-8DE7-8625705BE7FA}</x14:id>
        </ext>
      </extLst>
    </cfRule>
  </conditionalFormatting>
  <conditionalFormatting sqref="F1427:F1428">
    <cfRule type="dataBar" priority="39">
      <dataBar>
        <cfvo type="min"/>
        <cfvo type="max"/>
        <color rgb="FF638EC6"/>
      </dataBar>
      <extLst>
        <ext xmlns:x14="http://schemas.microsoft.com/office/spreadsheetml/2009/9/main" uri="{B025F937-C7B1-47D3-B67F-A62EFF666E3E}">
          <x14:id>{B8ACBBB8-2BF9-4C94-A7D0-79A72A96FEF7}</x14:id>
        </ext>
      </extLst>
    </cfRule>
  </conditionalFormatting>
  <conditionalFormatting sqref="F1418:F1426">
    <cfRule type="dataBar" priority="38">
      <dataBar>
        <cfvo type="min"/>
        <cfvo type="max"/>
        <color rgb="FF638EC6"/>
      </dataBar>
      <extLst>
        <ext xmlns:x14="http://schemas.microsoft.com/office/spreadsheetml/2009/9/main" uri="{B025F937-C7B1-47D3-B67F-A62EFF666E3E}">
          <x14:id>{22664057-3DCD-4524-B251-588CFEDA466C}</x14:id>
        </ext>
      </extLst>
    </cfRule>
  </conditionalFormatting>
  <conditionalFormatting sqref="F1429:F1436">
    <cfRule type="dataBar" priority="37">
      <dataBar>
        <cfvo type="min"/>
        <cfvo type="max"/>
        <color rgb="FF638EC6"/>
      </dataBar>
      <extLst>
        <ext xmlns:x14="http://schemas.microsoft.com/office/spreadsheetml/2009/9/main" uri="{B025F937-C7B1-47D3-B67F-A62EFF666E3E}">
          <x14:id>{E4293356-2238-4D83-8CA8-1BE7DAD8660E}</x14:id>
        </ext>
      </extLst>
    </cfRule>
  </conditionalFormatting>
  <conditionalFormatting sqref="F1439:F1446">
    <cfRule type="dataBar" priority="36">
      <dataBar>
        <cfvo type="min"/>
        <cfvo type="max"/>
        <color rgb="FF638EC6"/>
      </dataBar>
      <extLst>
        <ext xmlns:x14="http://schemas.microsoft.com/office/spreadsheetml/2009/9/main" uri="{B025F937-C7B1-47D3-B67F-A62EFF666E3E}">
          <x14:id>{3921EE7B-16D7-4CE6-B419-31C5B710890E}</x14:id>
        </ext>
      </extLst>
    </cfRule>
  </conditionalFormatting>
  <conditionalFormatting sqref="F1448:F1456">
    <cfRule type="dataBar" priority="35">
      <dataBar>
        <cfvo type="min"/>
        <cfvo type="max"/>
        <color rgb="FF638EC6"/>
      </dataBar>
      <extLst>
        <ext xmlns:x14="http://schemas.microsoft.com/office/spreadsheetml/2009/9/main" uri="{B025F937-C7B1-47D3-B67F-A62EFF666E3E}">
          <x14:id>{B7B8185C-1A7D-4513-9C02-2B3A1B693839}</x14:id>
        </ext>
      </extLst>
    </cfRule>
  </conditionalFormatting>
  <conditionalFormatting sqref="F1460:F1467">
    <cfRule type="dataBar" priority="34">
      <dataBar>
        <cfvo type="min"/>
        <cfvo type="max"/>
        <color rgb="FF638EC6"/>
      </dataBar>
      <extLst>
        <ext xmlns:x14="http://schemas.microsoft.com/office/spreadsheetml/2009/9/main" uri="{B025F937-C7B1-47D3-B67F-A62EFF666E3E}">
          <x14:id>{303AAD5A-0FE1-4615-95C9-76347D1AC37B}</x14:id>
        </ext>
      </extLst>
    </cfRule>
  </conditionalFormatting>
  <conditionalFormatting sqref="F1471:F1478">
    <cfRule type="dataBar" priority="33">
      <dataBar>
        <cfvo type="min"/>
        <cfvo type="max"/>
        <color rgb="FF638EC6"/>
      </dataBar>
      <extLst>
        <ext xmlns:x14="http://schemas.microsoft.com/office/spreadsheetml/2009/9/main" uri="{B025F937-C7B1-47D3-B67F-A62EFF666E3E}">
          <x14:id>{914B4C1B-371A-4EB8-9D5F-74A0E77A6045}</x14:id>
        </ext>
      </extLst>
    </cfRule>
  </conditionalFormatting>
  <conditionalFormatting sqref="F1481:F1489">
    <cfRule type="dataBar" priority="32">
      <dataBar>
        <cfvo type="min"/>
        <cfvo type="max"/>
        <color rgb="FF638EC6"/>
      </dataBar>
      <extLst>
        <ext xmlns:x14="http://schemas.microsoft.com/office/spreadsheetml/2009/9/main" uri="{B025F937-C7B1-47D3-B67F-A62EFF666E3E}">
          <x14:id>{D9286E3B-3E9F-4BF6-B9B1-77CDFE4C0903}</x14:id>
        </ext>
      </extLst>
    </cfRule>
  </conditionalFormatting>
  <conditionalFormatting sqref="F1492:F1499">
    <cfRule type="dataBar" priority="30">
      <dataBar>
        <cfvo type="min"/>
        <cfvo type="max"/>
        <color rgb="FF638EC6"/>
      </dataBar>
      <extLst>
        <ext xmlns:x14="http://schemas.microsoft.com/office/spreadsheetml/2009/9/main" uri="{B025F937-C7B1-47D3-B67F-A62EFF666E3E}">
          <x14:id>{F5803F58-91C7-4C83-82C8-244C67F31E98}</x14:id>
        </ext>
      </extLst>
    </cfRule>
  </conditionalFormatting>
  <conditionalFormatting sqref="F1502:F1509">
    <cfRule type="dataBar" priority="29">
      <dataBar>
        <cfvo type="min"/>
        <cfvo type="max"/>
        <color rgb="FF638EC6"/>
      </dataBar>
      <extLst>
        <ext xmlns:x14="http://schemas.microsoft.com/office/spreadsheetml/2009/9/main" uri="{B025F937-C7B1-47D3-B67F-A62EFF666E3E}">
          <x14:id>{BBC451F1-F902-49C8-A1C1-F4CD1256EF7C}</x14:id>
        </ext>
      </extLst>
    </cfRule>
  </conditionalFormatting>
  <conditionalFormatting sqref="F1513:F1520">
    <cfRule type="dataBar" priority="28">
      <dataBar>
        <cfvo type="min"/>
        <cfvo type="max"/>
        <color rgb="FF638EC6"/>
      </dataBar>
      <extLst>
        <ext xmlns:x14="http://schemas.microsoft.com/office/spreadsheetml/2009/9/main" uri="{B025F937-C7B1-47D3-B67F-A62EFF666E3E}">
          <x14:id>{48F5163F-09A5-4E6C-9388-1257DC5D46B9}</x14:id>
        </ext>
      </extLst>
    </cfRule>
  </conditionalFormatting>
  <conditionalFormatting sqref="F1523:F1530">
    <cfRule type="dataBar" priority="26">
      <dataBar>
        <cfvo type="min"/>
        <cfvo type="max"/>
        <color rgb="FF638EC6"/>
      </dataBar>
      <extLst>
        <ext xmlns:x14="http://schemas.microsoft.com/office/spreadsheetml/2009/9/main" uri="{B025F937-C7B1-47D3-B67F-A62EFF666E3E}">
          <x14:id>{2E5C5D6D-5C80-44D4-9321-2B5520D9F124}</x14:id>
        </ext>
      </extLst>
    </cfRule>
  </conditionalFormatting>
  <conditionalFormatting sqref="F1533:F1540">
    <cfRule type="dataBar" priority="25">
      <dataBar>
        <cfvo type="min"/>
        <cfvo type="max"/>
        <color rgb="FF638EC6"/>
      </dataBar>
      <extLst>
        <ext xmlns:x14="http://schemas.microsoft.com/office/spreadsheetml/2009/9/main" uri="{B025F937-C7B1-47D3-B67F-A62EFF666E3E}">
          <x14:id>{07C3334F-1251-4F21-B1E2-265291301906}</x14:id>
        </ext>
      </extLst>
    </cfRule>
  </conditionalFormatting>
  <conditionalFormatting sqref="F1544:F1551">
    <cfRule type="dataBar" priority="24">
      <dataBar>
        <cfvo type="min"/>
        <cfvo type="max"/>
        <color rgb="FF638EC6"/>
      </dataBar>
      <extLst>
        <ext xmlns:x14="http://schemas.microsoft.com/office/spreadsheetml/2009/9/main" uri="{B025F937-C7B1-47D3-B67F-A62EFF666E3E}">
          <x14:id>{77DBE159-1F3A-4CA4-B3D3-EA492002E380}</x14:id>
        </ext>
      </extLst>
    </cfRule>
  </conditionalFormatting>
  <conditionalFormatting sqref="F1553:F1560">
    <cfRule type="dataBar" priority="23">
      <dataBar>
        <cfvo type="min"/>
        <cfvo type="max"/>
        <color rgb="FF638EC6"/>
      </dataBar>
      <extLst>
        <ext xmlns:x14="http://schemas.microsoft.com/office/spreadsheetml/2009/9/main" uri="{B025F937-C7B1-47D3-B67F-A62EFF666E3E}">
          <x14:id>{0869AC45-47C4-4C0B-A9A3-A6BA9F04C7FA}</x14:id>
        </ext>
      </extLst>
    </cfRule>
  </conditionalFormatting>
  <conditionalFormatting sqref="F1564:F1572">
    <cfRule type="dataBar" priority="22">
      <dataBar>
        <cfvo type="min"/>
        <cfvo type="max"/>
        <color rgb="FF638EC6"/>
      </dataBar>
      <extLst>
        <ext xmlns:x14="http://schemas.microsoft.com/office/spreadsheetml/2009/9/main" uri="{B025F937-C7B1-47D3-B67F-A62EFF666E3E}">
          <x14:id>{1F958340-123F-44E7-9A92-014175012248}</x14:id>
        </ext>
      </extLst>
    </cfRule>
  </conditionalFormatting>
  <conditionalFormatting sqref="F1575:F1581">
    <cfRule type="dataBar" priority="21">
      <dataBar>
        <cfvo type="min"/>
        <cfvo type="max"/>
        <color rgb="FF638EC6"/>
      </dataBar>
      <extLst>
        <ext xmlns:x14="http://schemas.microsoft.com/office/spreadsheetml/2009/9/main" uri="{B025F937-C7B1-47D3-B67F-A62EFF666E3E}">
          <x14:id>{E044D876-AF18-4A16-B014-D82C9134FAA7}</x14:id>
        </ext>
      </extLst>
    </cfRule>
  </conditionalFormatting>
  <conditionalFormatting sqref="F1584:F1591">
    <cfRule type="dataBar" priority="20">
      <dataBar>
        <cfvo type="min"/>
        <cfvo type="max"/>
        <color rgb="FF638EC6"/>
      </dataBar>
      <extLst>
        <ext xmlns:x14="http://schemas.microsoft.com/office/spreadsheetml/2009/9/main" uri="{B025F937-C7B1-47D3-B67F-A62EFF666E3E}">
          <x14:id>{C2953A81-09AC-4C48-A25B-4A05D55576B9}</x14:id>
        </ext>
      </extLst>
    </cfRule>
  </conditionalFormatting>
  <conditionalFormatting sqref="F1594:F1601">
    <cfRule type="dataBar" priority="19">
      <dataBar>
        <cfvo type="min"/>
        <cfvo type="max"/>
        <color rgb="FF638EC6"/>
      </dataBar>
      <extLst>
        <ext xmlns:x14="http://schemas.microsoft.com/office/spreadsheetml/2009/9/main" uri="{B025F937-C7B1-47D3-B67F-A62EFF666E3E}">
          <x14:id>{A248C79E-A3D0-4D53-A5BC-04F34C709FFA}</x14:id>
        </ext>
      </extLst>
    </cfRule>
  </conditionalFormatting>
  <conditionalFormatting sqref="F1606:F1612">
    <cfRule type="dataBar" priority="18">
      <dataBar>
        <cfvo type="min"/>
        <cfvo type="max"/>
        <color rgb="FF638EC6"/>
      </dataBar>
      <extLst>
        <ext xmlns:x14="http://schemas.microsoft.com/office/spreadsheetml/2009/9/main" uri="{B025F937-C7B1-47D3-B67F-A62EFF666E3E}">
          <x14:id>{722F1FCC-4FAF-468F-B142-AB24DDDD0AED}</x14:id>
        </ext>
      </extLst>
    </cfRule>
  </conditionalFormatting>
  <conditionalFormatting sqref="F1615:F1622">
    <cfRule type="dataBar" priority="17">
      <dataBar>
        <cfvo type="min"/>
        <cfvo type="max"/>
        <color rgb="FF638EC6"/>
      </dataBar>
      <extLst>
        <ext xmlns:x14="http://schemas.microsoft.com/office/spreadsheetml/2009/9/main" uri="{B025F937-C7B1-47D3-B67F-A62EFF666E3E}">
          <x14:id>{05D62DC3-4054-438E-865E-123E6B461146}</x14:id>
        </ext>
      </extLst>
    </cfRule>
  </conditionalFormatting>
  <conditionalFormatting sqref="F1628:F1635">
    <cfRule type="dataBar" priority="16">
      <dataBar>
        <cfvo type="min"/>
        <cfvo type="max"/>
        <color rgb="FF638EC6"/>
      </dataBar>
      <extLst>
        <ext xmlns:x14="http://schemas.microsoft.com/office/spreadsheetml/2009/9/main" uri="{B025F937-C7B1-47D3-B67F-A62EFF666E3E}">
          <x14:id>{0CBA3957-BF21-4AFF-BE66-7164C485579F}</x14:id>
        </ext>
      </extLst>
    </cfRule>
  </conditionalFormatting>
  <conditionalFormatting sqref="F1640:F1646">
    <cfRule type="dataBar" priority="15">
      <dataBar>
        <cfvo type="min"/>
        <cfvo type="max"/>
        <color rgb="FF638EC6"/>
      </dataBar>
      <extLst>
        <ext xmlns:x14="http://schemas.microsoft.com/office/spreadsheetml/2009/9/main" uri="{B025F937-C7B1-47D3-B67F-A62EFF666E3E}">
          <x14:id>{57D9B36C-D000-400C-853B-7890E5ED0CB4}</x14:id>
        </ext>
      </extLst>
    </cfRule>
  </conditionalFormatting>
  <conditionalFormatting sqref="F1649:F1656">
    <cfRule type="dataBar" priority="14">
      <dataBar>
        <cfvo type="min"/>
        <cfvo type="max"/>
        <color rgb="FF638EC6"/>
      </dataBar>
      <extLst>
        <ext xmlns:x14="http://schemas.microsoft.com/office/spreadsheetml/2009/9/main" uri="{B025F937-C7B1-47D3-B67F-A62EFF666E3E}">
          <x14:id>{4E471D3C-09BB-402A-AC3A-00215735B114}</x14:id>
        </ext>
      </extLst>
    </cfRule>
  </conditionalFormatting>
  <conditionalFormatting sqref="F1659:F1666">
    <cfRule type="dataBar" priority="13">
      <dataBar>
        <cfvo type="min"/>
        <cfvo type="max"/>
        <color rgb="FF638EC6"/>
      </dataBar>
      <extLst>
        <ext xmlns:x14="http://schemas.microsoft.com/office/spreadsheetml/2009/9/main" uri="{B025F937-C7B1-47D3-B67F-A62EFF666E3E}">
          <x14:id>{AFA7C725-CB35-4436-81DB-AB1ADBF9AF79}</x14:id>
        </ext>
      </extLst>
    </cfRule>
  </conditionalFormatting>
  <conditionalFormatting sqref="F1670:F1676">
    <cfRule type="dataBar" priority="12">
      <dataBar>
        <cfvo type="min"/>
        <cfvo type="max"/>
        <color rgb="FF638EC6"/>
      </dataBar>
      <extLst>
        <ext xmlns:x14="http://schemas.microsoft.com/office/spreadsheetml/2009/9/main" uri="{B025F937-C7B1-47D3-B67F-A62EFF666E3E}">
          <x14:id>{4084D365-54BA-4DCB-828D-6B3AA575121D}</x14:id>
        </ext>
      </extLst>
    </cfRule>
  </conditionalFormatting>
  <conditionalFormatting sqref="F1680:F1687">
    <cfRule type="dataBar" priority="11">
      <dataBar>
        <cfvo type="min"/>
        <cfvo type="max"/>
        <color rgb="FF638EC6"/>
      </dataBar>
      <extLst>
        <ext xmlns:x14="http://schemas.microsoft.com/office/spreadsheetml/2009/9/main" uri="{B025F937-C7B1-47D3-B67F-A62EFF666E3E}">
          <x14:id>{95195B3D-F3E3-490F-8551-65E6A9EC003C}</x14:id>
        </ext>
      </extLst>
    </cfRule>
  </conditionalFormatting>
  <conditionalFormatting sqref="F1692:F1698">
    <cfRule type="dataBar" priority="10">
      <dataBar>
        <cfvo type="min"/>
        <cfvo type="max"/>
        <color rgb="FF638EC6"/>
      </dataBar>
      <extLst>
        <ext xmlns:x14="http://schemas.microsoft.com/office/spreadsheetml/2009/9/main" uri="{B025F937-C7B1-47D3-B67F-A62EFF666E3E}">
          <x14:id>{4C9AD332-2B4F-472F-8C25-4BEBD3F15159}</x14:id>
        </ext>
      </extLst>
    </cfRule>
  </conditionalFormatting>
  <conditionalFormatting sqref="F1703:F1705">
    <cfRule type="dataBar" priority="9">
      <dataBar>
        <cfvo type="min"/>
        <cfvo type="max"/>
        <color rgb="FF638EC6"/>
      </dataBar>
      <extLst>
        <ext xmlns:x14="http://schemas.microsoft.com/office/spreadsheetml/2009/9/main" uri="{B025F937-C7B1-47D3-B67F-A62EFF666E3E}">
          <x14:id>{72A46C3A-E70D-48D8-B34D-60DC20337F71}</x14:id>
        </ext>
      </extLst>
    </cfRule>
  </conditionalFormatting>
  <conditionalFormatting sqref="F1709:F1716">
    <cfRule type="dataBar" priority="8">
      <dataBar>
        <cfvo type="min"/>
        <cfvo type="max"/>
        <color rgb="FF638EC6"/>
      </dataBar>
      <extLst>
        <ext xmlns:x14="http://schemas.microsoft.com/office/spreadsheetml/2009/9/main" uri="{B025F937-C7B1-47D3-B67F-A62EFF666E3E}">
          <x14:id>{5BA13507-6DD3-46F0-835B-E44EA9567B45}</x14:id>
        </ext>
      </extLst>
    </cfRule>
  </conditionalFormatting>
  <conditionalFormatting sqref="F1722:F1728">
    <cfRule type="dataBar" priority="7">
      <dataBar>
        <cfvo type="min"/>
        <cfvo type="max"/>
        <color rgb="FF638EC6"/>
      </dataBar>
      <extLst>
        <ext xmlns:x14="http://schemas.microsoft.com/office/spreadsheetml/2009/9/main" uri="{B025F937-C7B1-47D3-B67F-A62EFF666E3E}">
          <x14:id>{3E7E0401-4E8E-4DE1-B04F-38D332EBDFB4}</x14:id>
        </ext>
      </extLst>
    </cfRule>
  </conditionalFormatting>
  <conditionalFormatting sqref="F1741:F1747">
    <cfRule type="dataBar" priority="6">
      <dataBar>
        <cfvo type="min"/>
        <cfvo type="max"/>
        <color rgb="FF638EC6"/>
      </dataBar>
      <extLst>
        <ext xmlns:x14="http://schemas.microsoft.com/office/spreadsheetml/2009/9/main" uri="{B025F937-C7B1-47D3-B67F-A62EFF666E3E}">
          <x14:id>{6C935669-4279-4FD5-ACFB-18C5366E5B4A}</x14:id>
        </ext>
      </extLst>
    </cfRule>
  </conditionalFormatting>
  <conditionalFormatting sqref="F1770:F1776">
    <cfRule type="dataBar" priority="5">
      <dataBar>
        <cfvo type="min"/>
        <cfvo type="max"/>
        <color rgb="FF638EC6"/>
      </dataBar>
      <extLst>
        <ext xmlns:x14="http://schemas.microsoft.com/office/spreadsheetml/2009/9/main" uri="{B025F937-C7B1-47D3-B67F-A62EFF666E3E}">
          <x14:id>{420ED20E-5581-40A0-B4C4-461EA1E6D403}</x14:id>
        </ext>
      </extLst>
    </cfRule>
  </conditionalFormatting>
  <conditionalFormatting sqref="F1798:F1804">
    <cfRule type="dataBar" priority="4">
      <dataBar>
        <cfvo type="min"/>
        <cfvo type="max"/>
        <color rgb="FF638EC6"/>
      </dataBar>
      <extLst>
        <ext xmlns:x14="http://schemas.microsoft.com/office/spreadsheetml/2009/9/main" uri="{B025F937-C7B1-47D3-B67F-A62EFF666E3E}">
          <x14:id>{CC7741E1-338B-41C2-89BF-EC1DAC7581AE}</x14:id>
        </ext>
      </extLst>
    </cfRule>
  </conditionalFormatting>
  <conditionalFormatting sqref="F1856:F1862">
    <cfRule type="dataBar" priority="3">
      <dataBar>
        <cfvo type="min"/>
        <cfvo type="max"/>
        <color rgb="FF638EC6"/>
      </dataBar>
      <extLst>
        <ext xmlns:x14="http://schemas.microsoft.com/office/spreadsheetml/2009/9/main" uri="{B025F937-C7B1-47D3-B67F-A62EFF666E3E}">
          <x14:id>{C0A8248D-FE8F-494F-8716-6606F7BD0F4C}</x14:id>
        </ext>
      </extLst>
    </cfRule>
  </conditionalFormatting>
  <conditionalFormatting sqref="F1892:F1898">
    <cfRule type="dataBar" priority="2">
      <dataBar>
        <cfvo type="min"/>
        <cfvo type="max"/>
        <color rgb="FF638EC6"/>
      </dataBar>
      <extLst>
        <ext xmlns:x14="http://schemas.microsoft.com/office/spreadsheetml/2009/9/main" uri="{B025F937-C7B1-47D3-B67F-A62EFF666E3E}">
          <x14:id>{109C6A16-8EAB-45E7-A7C9-067100A6EA47}</x14:id>
        </ext>
      </extLst>
    </cfRule>
  </conditionalFormatting>
  <conditionalFormatting sqref="F1928:F1934">
    <cfRule type="dataBar" priority="1">
      <dataBar>
        <cfvo type="min"/>
        <cfvo type="max"/>
        <color rgb="FF638EC6"/>
      </dataBar>
      <extLst>
        <ext xmlns:x14="http://schemas.microsoft.com/office/spreadsheetml/2009/9/main" uri="{B025F937-C7B1-47D3-B67F-A62EFF666E3E}">
          <x14:id>{1B0CA718-9E6A-471B-B791-F19257A88C2B}</x14:id>
        </ext>
      </extLst>
    </cfRule>
  </conditionalFormatting>
  <pageMargins left="0.7" right="0.7" top="0.75" bottom="0.75" header="0.3" footer="0.3"/>
  <pageSetup paperSize="9" scale="22" orientation="portrait" r:id="rId1"/>
  <rowBreaks count="2" manualBreakCount="2">
    <brk id="4824" max="16" man="1"/>
    <brk id="4909" max="16" man="1"/>
  </rowBreaks>
  <colBreaks count="1" manualBreakCount="1">
    <brk id="11" max="4983" man="1"/>
  </colBreaks>
  <extLst>
    <ext xmlns:x14="http://schemas.microsoft.com/office/spreadsheetml/2009/9/main" uri="{78C0D931-6437-407d-A8EE-F0AAD7539E65}">
      <x14:conditionalFormattings>
        <x14:conditionalFormatting xmlns:xm="http://schemas.microsoft.com/office/excel/2006/main">
          <x14:cfRule type="dataBar" id="{A037356E-BB33-45FB-A156-6FD7F7536ABC}">
            <x14:dataBar minLength="0" maxLength="100" gradient="0">
              <x14:cfvo type="autoMin"/>
              <x14:cfvo type="autoMax"/>
              <x14:negativeFillColor rgb="FFFF0000"/>
              <x14:axisColor rgb="FF000000"/>
            </x14:dataBar>
          </x14:cfRule>
          <xm:sqref>F140:F158</xm:sqref>
        </x14:conditionalFormatting>
        <x14:conditionalFormatting xmlns:xm="http://schemas.microsoft.com/office/excel/2006/main">
          <x14:cfRule type="dataBar" id="{775F305D-B45F-431C-ABF4-76FEAB2D2EE6}">
            <x14:dataBar minLength="0" maxLength="100" gradient="0">
              <x14:cfvo type="autoMin"/>
              <x14:cfvo type="autoMax"/>
              <x14:negativeFillColor rgb="FFFF0000"/>
              <x14:axisColor rgb="FF000000"/>
            </x14:dataBar>
          </x14:cfRule>
          <xm:sqref>F167:F174</xm:sqref>
        </x14:conditionalFormatting>
        <x14:conditionalFormatting xmlns:xm="http://schemas.microsoft.com/office/excel/2006/main">
          <x14:cfRule type="dataBar" id="{EA0C09F7-B423-48EC-B1F5-A194928B2815}">
            <x14:dataBar minLength="0" maxLength="100" gradient="0">
              <x14:cfvo type="autoMin"/>
              <x14:cfvo type="autoMax"/>
              <x14:negativeFillColor rgb="FFFF0000"/>
              <x14:axisColor rgb="FF000000"/>
            </x14:dataBar>
          </x14:cfRule>
          <xm:sqref>F178:F185</xm:sqref>
        </x14:conditionalFormatting>
        <x14:conditionalFormatting xmlns:xm="http://schemas.microsoft.com/office/excel/2006/main">
          <x14:cfRule type="dataBar" id="{B68546C0-749B-4C11-8820-CC7BAC2D4BE4}">
            <x14:dataBar minLength="0" maxLength="100" gradient="0">
              <x14:cfvo type="autoMin"/>
              <x14:cfvo type="autoMax"/>
              <x14:negativeFillColor rgb="FFFF0000"/>
              <x14:axisColor rgb="FF000000"/>
            </x14:dataBar>
          </x14:cfRule>
          <xm:sqref>F189:F196</xm:sqref>
        </x14:conditionalFormatting>
        <x14:conditionalFormatting xmlns:xm="http://schemas.microsoft.com/office/excel/2006/main">
          <x14:cfRule type="dataBar" id="{81B04D91-350C-448C-A6F4-A02D27531D6A}">
            <x14:dataBar minLength="0" maxLength="100" gradient="0">
              <x14:cfvo type="autoMin"/>
              <x14:cfvo type="autoMax"/>
              <x14:negativeFillColor rgb="FFFF0000"/>
              <x14:axisColor rgb="FF000000"/>
            </x14:dataBar>
          </x14:cfRule>
          <xm:sqref>F200:F207</xm:sqref>
        </x14:conditionalFormatting>
        <x14:conditionalFormatting xmlns:xm="http://schemas.microsoft.com/office/excel/2006/main">
          <x14:cfRule type="dataBar" id="{07CE581B-274B-4DD1-B47A-4A5BCF81BA4F}">
            <x14:dataBar minLength="0" maxLength="100" gradient="0">
              <x14:cfvo type="autoMin"/>
              <x14:cfvo type="autoMax"/>
              <x14:negativeFillColor rgb="FFFF0000"/>
              <x14:axisColor rgb="FF000000"/>
            </x14:dataBar>
          </x14:cfRule>
          <xm:sqref>F211:F218</xm:sqref>
        </x14:conditionalFormatting>
        <x14:conditionalFormatting xmlns:xm="http://schemas.microsoft.com/office/excel/2006/main">
          <x14:cfRule type="dataBar" id="{0A0389FA-F37A-4983-ABD6-01899A2A2430}">
            <x14:dataBar minLength="0" maxLength="100" gradient="0">
              <x14:cfvo type="autoMin"/>
              <x14:cfvo type="autoMax"/>
              <x14:negativeFillColor rgb="FFFF0000"/>
              <x14:axisColor rgb="FF000000"/>
            </x14:dataBar>
          </x14:cfRule>
          <xm:sqref>F220:F227</xm:sqref>
        </x14:conditionalFormatting>
        <x14:conditionalFormatting xmlns:xm="http://schemas.microsoft.com/office/excel/2006/main">
          <x14:cfRule type="dataBar" id="{921195F5-0B22-459C-8F9A-9570727EBB08}">
            <x14:dataBar minLength="0" maxLength="100" gradient="0">
              <x14:cfvo type="autoMin"/>
              <x14:cfvo type="autoMax"/>
              <x14:negativeFillColor rgb="FFFF0000"/>
              <x14:axisColor rgb="FF000000"/>
            </x14:dataBar>
          </x14:cfRule>
          <xm:sqref>F232:F237</xm:sqref>
        </x14:conditionalFormatting>
        <x14:conditionalFormatting xmlns:xm="http://schemas.microsoft.com/office/excel/2006/main">
          <x14:cfRule type="dataBar" id="{6E0CB6CC-340D-4C13-84E3-3812D5568B2F}">
            <x14:dataBar minLength="0" maxLength="100" gradient="0">
              <x14:cfvo type="autoMin"/>
              <x14:cfvo type="autoMax"/>
              <x14:negativeFillColor rgb="FFFF0000"/>
              <x14:axisColor rgb="FF000000"/>
            </x14:dataBar>
          </x14:cfRule>
          <xm:sqref>F238:F245</xm:sqref>
        </x14:conditionalFormatting>
        <x14:conditionalFormatting xmlns:xm="http://schemas.microsoft.com/office/excel/2006/main">
          <x14:cfRule type="dataBar" id="{FC88883A-E3F6-4C2F-9086-E4FA5B7CE223}">
            <x14:dataBar minLength="0" maxLength="100" gradient="0">
              <x14:cfvo type="autoMin"/>
              <x14:cfvo type="autoMax"/>
              <x14:negativeFillColor rgb="FFFF0000"/>
              <x14:axisColor rgb="FF000000"/>
            </x14:dataBar>
          </x14:cfRule>
          <xm:sqref>F247:F254</xm:sqref>
        </x14:conditionalFormatting>
        <x14:conditionalFormatting xmlns:xm="http://schemas.microsoft.com/office/excel/2006/main">
          <x14:cfRule type="dataBar" id="{5567C832-E498-4C8A-8804-7F085E1E184E}">
            <x14:dataBar minLength="0" maxLength="100" gradient="0">
              <x14:cfvo type="autoMin"/>
              <x14:cfvo type="autoMax"/>
              <x14:negativeFillColor rgb="FFFF0000"/>
              <x14:axisColor rgb="FF000000"/>
            </x14:dataBar>
          </x14:cfRule>
          <xm:sqref>F259:F266</xm:sqref>
        </x14:conditionalFormatting>
        <x14:conditionalFormatting xmlns:xm="http://schemas.microsoft.com/office/excel/2006/main">
          <x14:cfRule type="dataBar" id="{3D872CF8-C9F0-43D3-8720-12D5B1A4FA63}">
            <x14:dataBar minLength="0" maxLength="100" gradient="0">
              <x14:cfvo type="autoMin"/>
              <x14:cfvo type="autoMax"/>
              <x14:negativeFillColor rgb="FFFF0000"/>
              <x14:axisColor rgb="FF000000"/>
            </x14:dataBar>
          </x14:cfRule>
          <xm:sqref>F268:F275</xm:sqref>
        </x14:conditionalFormatting>
        <x14:conditionalFormatting xmlns:xm="http://schemas.microsoft.com/office/excel/2006/main">
          <x14:cfRule type="dataBar" id="{0A30BE10-0E27-4A95-B747-96600398BEC4}">
            <x14:dataBar minLength="0" maxLength="100" gradient="0">
              <x14:cfvo type="autoMin"/>
              <x14:cfvo type="autoMax"/>
              <x14:negativeFillColor rgb="FFFF0000"/>
              <x14:axisColor rgb="FF000000"/>
            </x14:dataBar>
          </x14:cfRule>
          <xm:sqref>F278:F285</xm:sqref>
        </x14:conditionalFormatting>
        <x14:conditionalFormatting xmlns:xm="http://schemas.microsoft.com/office/excel/2006/main">
          <x14:cfRule type="dataBar" id="{4A049CF2-72F9-40C0-A2C3-68E55CD3F07B}">
            <x14:dataBar minLength="0" maxLength="100" gradient="0">
              <x14:cfvo type="autoMin"/>
              <x14:cfvo type="autoMax"/>
              <x14:negativeFillColor rgb="FFFF0000"/>
              <x14:axisColor rgb="FF000000"/>
            </x14:dataBar>
          </x14:cfRule>
          <xm:sqref>F287:F294</xm:sqref>
        </x14:conditionalFormatting>
        <x14:conditionalFormatting xmlns:xm="http://schemas.microsoft.com/office/excel/2006/main">
          <x14:cfRule type="dataBar" id="{F5113E12-4C42-4020-9110-97424E5EC7FD}">
            <x14:dataBar minLength="0" maxLength="100" gradient="0">
              <x14:cfvo type="autoMin"/>
              <x14:cfvo type="autoMax"/>
              <x14:negativeFillColor rgb="FFFF0000"/>
              <x14:axisColor rgb="FF000000"/>
            </x14:dataBar>
          </x14:cfRule>
          <xm:sqref>F296:F303</xm:sqref>
        </x14:conditionalFormatting>
        <x14:conditionalFormatting xmlns:xm="http://schemas.microsoft.com/office/excel/2006/main">
          <x14:cfRule type="dataBar" id="{52DD2789-2A71-4838-9E27-93DF1DE3D6E0}">
            <x14:dataBar minLength="0" maxLength="100" gradient="0">
              <x14:cfvo type="autoMin"/>
              <x14:cfvo type="autoMax"/>
              <x14:negativeFillColor rgb="FFFF0000"/>
              <x14:axisColor rgb="FF000000"/>
            </x14:dataBar>
          </x14:cfRule>
          <xm:sqref>F309:F316</xm:sqref>
        </x14:conditionalFormatting>
        <x14:conditionalFormatting xmlns:xm="http://schemas.microsoft.com/office/excel/2006/main">
          <x14:cfRule type="dataBar" id="{B3D0970C-2A96-4D54-8840-71B3C1749388}">
            <x14:dataBar minLength="0" maxLength="100" gradient="0">
              <x14:cfvo type="autoMin"/>
              <x14:cfvo type="autoMax"/>
              <x14:negativeFillColor rgb="FFFF0000"/>
              <x14:axisColor rgb="FF000000"/>
            </x14:dataBar>
          </x14:cfRule>
          <xm:sqref>F320:F327</xm:sqref>
        </x14:conditionalFormatting>
        <x14:conditionalFormatting xmlns:xm="http://schemas.microsoft.com/office/excel/2006/main">
          <x14:cfRule type="dataBar" id="{BBBE3431-5152-4DF4-87BC-0DF998B7E5BE}">
            <x14:dataBar minLength="0" maxLength="100" gradient="0">
              <x14:cfvo type="autoMin"/>
              <x14:cfvo type="autoMax"/>
              <x14:negativeFillColor rgb="FFFF0000"/>
              <x14:axisColor rgb="FF000000"/>
            </x14:dataBar>
          </x14:cfRule>
          <xm:sqref>F332:F339</xm:sqref>
        </x14:conditionalFormatting>
        <x14:conditionalFormatting xmlns:xm="http://schemas.microsoft.com/office/excel/2006/main">
          <x14:cfRule type="dataBar" id="{8BD4FBD4-C790-40CE-829D-37E0C9D40E50}">
            <x14:dataBar minLength="0" maxLength="100" gradient="0">
              <x14:cfvo type="autoMin"/>
              <x14:cfvo type="autoMax"/>
              <x14:negativeFillColor rgb="FFFF0000"/>
              <x14:axisColor rgb="FF000000"/>
            </x14:dataBar>
          </x14:cfRule>
          <xm:sqref>F344:F351</xm:sqref>
        </x14:conditionalFormatting>
        <x14:conditionalFormatting xmlns:xm="http://schemas.microsoft.com/office/excel/2006/main">
          <x14:cfRule type="dataBar" id="{53A0027C-0756-4766-AD83-9E3F7C6CBB81}">
            <x14:dataBar minLength="0" maxLength="100" gradient="0">
              <x14:cfvo type="autoMin"/>
              <x14:cfvo type="autoMax"/>
              <x14:negativeFillColor rgb="FFFF0000"/>
              <x14:axisColor rgb="FF000000"/>
            </x14:dataBar>
          </x14:cfRule>
          <xm:sqref>F355:F362</xm:sqref>
        </x14:conditionalFormatting>
        <x14:conditionalFormatting xmlns:xm="http://schemas.microsoft.com/office/excel/2006/main">
          <x14:cfRule type="dataBar" id="{098898FF-AC7C-4232-B94C-40817ACD6BCD}">
            <x14:dataBar minLength="0" maxLength="100" gradient="0">
              <x14:cfvo type="autoMin"/>
              <x14:cfvo type="autoMax"/>
              <x14:negativeFillColor rgb="FFFF0000"/>
              <x14:axisColor rgb="FF000000"/>
            </x14:dataBar>
          </x14:cfRule>
          <xm:sqref>F366:F373</xm:sqref>
        </x14:conditionalFormatting>
        <x14:conditionalFormatting xmlns:xm="http://schemas.microsoft.com/office/excel/2006/main">
          <x14:cfRule type="dataBar" id="{15BFB187-FDCA-49BB-A3ED-3881FB34034E}">
            <x14:dataBar minLength="0" maxLength="100" gradient="0">
              <x14:cfvo type="autoMin"/>
              <x14:cfvo type="autoMax"/>
              <x14:negativeFillColor rgb="FFFF0000"/>
              <x14:axisColor rgb="FF000000"/>
            </x14:dataBar>
          </x14:cfRule>
          <xm:sqref>F375:F382</xm:sqref>
        </x14:conditionalFormatting>
        <x14:conditionalFormatting xmlns:xm="http://schemas.microsoft.com/office/excel/2006/main">
          <x14:cfRule type="dataBar" id="{C072EFC5-5E50-4F92-A502-E159513FE845}">
            <x14:dataBar minLength="0" maxLength="100" gradient="0">
              <x14:cfvo type="autoMin"/>
              <x14:cfvo type="autoMax"/>
              <x14:negativeFillColor rgb="FFFF0000"/>
              <x14:axisColor rgb="FF000000"/>
            </x14:dataBar>
          </x14:cfRule>
          <xm:sqref>F384:F391</xm:sqref>
        </x14:conditionalFormatting>
        <x14:conditionalFormatting xmlns:xm="http://schemas.microsoft.com/office/excel/2006/main">
          <x14:cfRule type="dataBar" id="{33956F62-C694-4983-B84C-37E9DDB2F7F2}">
            <x14:dataBar minLength="0" maxLength="100" gradient="0">
              <x14:cfvo type="autoMin"/>
              <x14:cfvo type="autoMax"/>
              <x14:negativeFillColor rgb="FFFF0000"/>
              <x14:axisColor rgb="FF000000"/>
            </x14:dataBar>
          </x14:cfRule>
          <xm:sqref>F394:F401</xm:sqref>
        </x14:conditionalFormatting>
        <x14:conditionalFormatting xmlns:xm="http://schemas.microsoft.com/office/excel/2006/main">
          <x14:cfRule type="dataBar" id="{FC7E5E46-249B-4DE7-A30F-B092C67A92E7}">
            <x14:dataBar minLength="0" maxLength="100" gradient="0">
              <x14:cfvo type="autoMin"/>
              <x14:cfvo type="autoMax"/>
              <x14:negativeFillColor rgb="FFFF0000"/>
              <x14:axisColor rgb="FF000000"/>
            </x14:dataBar>
          </x14:cfRule>
          <xm:sqref>F404:F411</xm:sqref>
        </x14:conditionalFormatting>
        <x14:conditionalFormatting xmlns:xm="http://schemas.microsoft.com/office/excel/2006/main">
          <x14:cfRule type="dataBar" id="{D2E142A0-E166-4084-9358-8A8937A70EA0}">
            <x14:dataBar minLength="0" maxLength="100" gradient="0">
              <x14:cfvo type="autoMin"/>
              <x14:cfvo type="autoMax"/>
              <x14:negativeFillColor rgb="FFFF0000"/>
              <x14:axisColor rgb="FF000000"/>
            </x14:dataBar>
          </x14:cfRule>
          <xm:sqref>F417:F424</xm:sqref>
        </x14:conditionalFormatting>
        <x14:conditionalFormatting xmlns:xm="http://schemas.microsoft.com/office/excel/2006/main">
          <x14:cfRule type="dataBar" id="{E454825A-616A-400D-855B-4FD29012A01E}">
            <x14:dataBar minLength="0" maxLength="100" gradient="0">
              <x14:cfvo type="autoMin"/>
              <x14:cfvo type="autoMax"/>
              <x14:negativeFillColor rgb="FFFF0000"/>
              <x14:axisColor rgb="FF000000"/>
            </x14:dataBar>
          </x14:cfRule>
          <xm:sqref>F427:F434</xm:sqref>
        </x14:conditionalFormatting>
        <x14:conditionalFormatting xmlns:xm="http://schemas.microsoft.com/office/excel/2006/main">
          <x14:cfRule type="dataBar" id="{29729330-0056-465A-A6A7-E429B79373B2}">
            <x14:dataBar minLength="0" maxLength="100" gradient="0">
              <x14:cfvo type="autoMin"/>
              <x14:cfvo type="autoMax"/>
              <x14:negativeFillColor rgb="FFFF0000"/>
              <x14:axisColor rgb="FF000000"/>
            </x14:dataBar>
          </x14:cfRule>
          <xm:sqref>F437:F444</xm:sqref>
        </x14:conditionalFormatting>
        <x14:conditionalFormatting xmlns:xm="http://schemas.microsoft.com/office/excel/2006/main">
          <x14:cfRule type="dataBar" id="{B8A9F449-14DC-4787-AA14-E18F04825CDA}">
            <x14:dataBar minLength="0" maxLength="100" gradient="0">
              <x14:cfvo type="autoMin"/>
              <x14:cfvo type="autoMax"/>
              <x14:negativeFillColor rgb="FFFF0000"/>
              <x14:axisColor rgb="FF000000"/>
            </x14:dataBar>
          </x14:cfRule>
          <xm:sqref>F446:F453</xm:sqref>
        </x14:conditionalFormatting>
        <x14:conditionalFormatting xmlns:xm="http://schemas.microsoft.com/office/excel/2006/main">
          <x14:cfRule type="dataBar" id="{A4C4D377-1DB9-4DB0-BBDD-FEC15F07F25F}">
            <x14:dataBar minLength="0" maxLength="100" gradient="0">
              <x14:cfvo type="autoMin"/>
              <x14:cfvo type="autoMax"/>
              <x14:negativeFillColor rgb="FFFF0000"/>
              <x14:axisColor rgb="FF000000"/>
            </x14:dataBar>
          </x14:cfRule>
          <xm:sqref>F458:F465</xm:sqref>
        </x14:conditionalFormatting>
        <x14:conditionalFormatting xmlns:xm="http://schemas.microsoft.com/office/excel/2006/main">
          <x14:cfRule type="dataBar" id="{F08067DA-26A0-4CC5-A885-94327DEF0390}">
            <x14:dataBar minLength="0" maxLength="100" gradient="0">
              <x14:cfvo type="autoMin"/>
              <x14:cfvo type="autoMax"/>
              <x14:negativeFillColor rgb="FFFF0000"/>
              <x14:axisColor rgb="FF000000"/>
            </x14:dataBar>
          </x14:cfRule>
          <xm:sqref>F467:F474</xm:sqref>
        </x14:conditionalFormatting>
        <x14:conditionalFormatting xmlns:xm="http://schemas.microsoft.com/office/excel/2006/main">
          <x14:cfRule type="dataBar" id="{B9CB9552-4A95-4C04-ACD3-361BFB79ED75}">
            <x14:dataBar minLength="0" maxLength="100" gradient="0">
              <x14:cfvo type="autoMin"/>
              <x14:cfvo type="autoMax"/>
              <x14:negativeFillColor rgb="FFFF0000"/>
              <x14:axisColor rgb="FF000000"/>
            </x14:dataBar>
          </x14:cfRule>
          <xm:sqref>F478:F485</xm:sqref>
        </x14:conditionalFormatting>
        <x14:conditionalFormatting xmlns:xm="http://schemas.microsoft.com/office/excel/2006/main">
          <x14:cfRule type="dataBar" id="{42E425FB-632D-449E-A9FA-B9C8683CA246}">
            <x14:dataBar minLength="0" maxLength="100" gradient="0">
              <x14:cfvo type="autoMin"/>
              <x14:cfvo type="autoMax"/>
              <x14:negativeFillColor rgb="FFFF0000"/>
              <x14:axisColor rgb="FF000000"/>
            </x14:dataBar>
          </x14:cfRule>
          <xm:sqref>F488:F495</xm:sqref>
        </x14:conditionalFormatting>
        <x14:conditionalFormatting xmlns:xm="http://schemas.microsoft.com/office/excel/2006/main">
          <x14:cfRule type="dataBar" id="{81F53E5F-4776-450A-B1D1-3F8E5446FF85}">
            <x14:dataBar minLength="0" maxLength="100" gradient="0">
              <x14:cfvo type="autoMin"/>
              <x14:cfvo type="autoMax"/>
              <x14:negativeFillColor rgb="FFFF0000"/>
              <x14:axisColor rgb="FF000000"/>
            </x14:dataBar>
          </x14:cfRule>
          <xm:sqref>F499:F506</xm:sqref>
        </x14:conditionalFormatting>
        <x14:conditionalFormatting xmlns:xm="http://schemas.microsoft.com/office/excel/2006/main">
          <x14:cfRule type="dataBar" id="{8A4390D3-E4DB-4959-8DD3-AE2EB5A6B0A4}">
            <x14:dataBar minLength="0" maxLength="100" gradient="0">
              <x14:cfvo type="autoMin"/>
              <x14:cfvo type="autoMax"/>
              <x14:negativeFillColor rgb="FFFF0000"/>
              <x14:axisColor rgb="FF000000"/>
            </x14:dataBar>
          </x14:cfRule>
          <xm:sqref>F508:F515</xm:sqref>
        </x14:conditionalFormatting>
        <x14:conditionalFormatting xmlns:xm="http://schemas.microsoft.com/office/excel/2006/main">
          <x14:cfRule type="dataBar" id="{ED8D6677-ECBC-4645-A382-862F2C194AD3}">
            <x14:dataBar minLength="0" maxLength="100" gradient="0">
              <x14:cfvo type="autoMin"/>
              <x14:cfvo type="autoMax"/>
              <x14:negativeFillColor rgb="FFFF0000"/>
              <x14:axisColor rgb="FF000000"/>
            </x14:dataBar>
          </x14:cfRule>
          <xm:sqref>F518:F525</xm:sqref>
        </x14:conditionalFormatting>
        <x14:conditionalFormatting xmlns:xm="http://schemas.microsoft.com/office/excel/2006/main">
          <x14:cfRule type="dataBar" id="{B06A54D1-6C46-402C-B01E-AAA8EA0789D8}">
            <x14:dataBar minLength="0" maxLength="100" gradient="0">
              <x14:cfvo type="autoMin"/>
              <x14:cfvo type="autoMax"/>
              <x14:negativeFillColor rgb="FFFF0000"/>
              <x14:axisColor rgb="FF000000"/>
            </x14:dataBar>
          </x14:cfRule>
          <xm:sqref>F528:F535</xm:sqref>
        </x14:conditionalFormatting>
        <x14:conditionalFormatting xmlns:xm="http://schemas.microsoft.com/office/excel/2006/main">
          <x14:cfRule type="dataBar" id="{EA5CD118-9F1D-4E93-86DA-3F1E6426F4B7}">
            <x14:dataBar minLength="0" maxLength="100" gradient="0">
              <x14:cfvo type="autoMin"/>
              <x14:cfvo type="autoMax"/>
              <x14:negativeFillColor rgb="FFFF0000"/>
              <x14:axisColor rgb="FF000000"/>
            </x14:dataBar>
          </x14:cfRule>
          <xm:sqref>F537:F544</xm:sqref>
        </x14:conditionalFormatting>
        <x14:conditionalFormatting xmlns:xm="http://schemas.microsoft.com/office/excel/2006/main">
          <x14:cfRule type="dataBar" id="{578AB36A-7FC4-406D-8C22-FED8BEB34D5C}">
            <x14:dataBar minLength="0" maxLength="100" gradient="0">
              <x14:cfvo type="autoMin"/>
              <x14:cfvo type="autoMax"/>
              <x14:negativeFillColor rgb="FFFF0000"/>
              <x14:axisColor rgb="FF000000"/>
            </x14:dataBar>
          </x14:cfRule>
          <xm:sqref>F548:F554</xm:sqref>
        </x14:conditionalFormatting>
        <x14:conditionalFormatting xmlns:xm="http://schemas.microsoft.com/office/excel/2006/main">
          <x14:cfRule type="dataBar" id="{C20EB6D4-EFD5-4E46-A850-A193D83492D1}">
            <x14:dataBar minLength="0" maxLength="100" gradient="0">
              <x14:cfvo type="autoMin"/>
              <x14:cfvo type="autoMax"/>
              <x14:negativeFillColor rgb="FFFF0000"/>
              <x14:axisColor rgb="FF000000"/>
            </x14:dataBar>
          </x14:cfRule>
          <xm:sqref>F560:F567</xm:sqref>
        </x14:conditionalFormatting>
        <x14:conditionalFormatting xmlns:xm="http://schemas.microsoft.com/office/excel/2006/main">
          <x14:cfRule type="dataBar" id="{45437A3A-18A1-47BD-92BC-94945DAB74F9}">
            <x14:dataBar minLength="0" maxLength="100" gradient="0">
              <x14:cfvo type="autoMin"/>
              <x14:cfvo type="autoMax"/>
              <x14:negativeFillColor rgb="FFFF0000"/>
              <x14:axisColor rgb="FF000000"/>
            </x14:dataBar>
          </x14:cfRule>
          <xm:sqref>F569:F576</xm:sqref>
        </x14:conditionalFormatting>
        <x14:conditionalFormatting xmlns:xm="http://schemas.microsoft.com/office/excel/2006/main">
          <x14:cfRule type="dataBar" id="{F76B7495-EAF0-44B9-81B0-A4EAD608070F}">
            <x14:dataBar minLength="0" maxLength="100" gradient="0">
              <x14:cfvo type="autoMin"/>
              <x14:cfvo type="autoMax"/>
              <x14:negativeFillColor rgb="FFFF0000"/>
              <x14:axisColor rgb="FF000000"/>
            </x14:dataBar>
          </x14:cfRule>
          <xm:sqref>F579:F586</xm:sqref>
        </x14:conditionalFormatting>
        <x14:conditionalFormatting xmlns:xm="http://schemas.microsoft.com/office/excel/2006/main">
          <x14:cfRule type="dataBar" id="{19FAD4FC-BEB4-48A5-BBCC-2AE0E6ACDB94}">
            <x14:dataBar minLength="0" maxLength="100" gradient="0">
              <x14:cfvo type="autoMin"/>
              <x14:cfvo type="autoMax"/>
              <x14:negativeFillColor rgb="FFFF0000"/>
              <x14:axisColor rgb="FF000000"/>
            </x14:dataBar>
          </x14:cfRule>
          <xm:sqref>F588</xm:sqref>
        </x14:conditionalFormatting>
        <x14:conditionalFormatting xmlns:xm="http://schemas.microsoft.com/office/excel/2006/main">
          <x14:cfRule type="dataBar" id="{60A871D8-0D9A-45EE-BE4C-7F92BE073530}">
            <x14:dataBar minLength="0" maxLength="100" gradient="0">
              <x14:cfvo type="autoMin"/>
              <x14:cfvo type="autoMax"/>
              <x14:negativeFillColor rgb="FFFF0000"/>
              <x14:axisColor rgb="FF000000"/>
            </x14:dataBar>
          </x14:cfRule>
          <xm:sqref>F589:F596</xm:sqref>
        </x14:conditionalFormatting>
        <x14:conditionalFormatting xmlns:xm="http://schemas.microsoft.com/office/excel/2006/main">
          <x14:cfRule type="dataBar" id="{D7042FDA-A7DB-4AF1-BEB0-7D32713D7B90}">
            <x14:dataBar minLength="0" maxLength="100" gradient="0">
              <x14:cfvo type="autoMin"/>
              <x14:cfvo type="autoMax"/>
              <x14:negativeFillColor rgb="FFFF0000"/>
              <x14:axisColor rgb="FF000000"/>
            </x14:dataBar>
          </x14:cfRule>
          <xm:sqref>F598:F605</xm:sqref>
        </x14:conditionalFormatting>
        <x14:conditionalFormatting xmlns:xm="http://schemas.microsoft.com/office/excel/2006/main">
          <x14:cfRule type="dataBar" id="{2522B8B0-635F-4BEE-B76D-EFC829DACEE1}">
            <x14:dataBar minLength="0" maxLength="100" gradient="0">
              <x14:cfvo type="autoMin"/>
              <x14:cfvo type="autoMax"/>
              <x14:negativeFillColor rgb="FFFF0000"/>
              <x14:axisColor rgb="FF000000"/>
            </x14:dataBar>
          </x14:cfRule>
          <xm:sqref>F612:F619</xm:sqref>
        </x14:conditionalFormatting>
        <x14:conditionalFormatting xmlns:xm="http://schemas.microsoft.com/office/excel/2006/main">
          <x14:cfRule type="dataBar" id="{61885466-AD9D-4BB5-A7BB-58527FAA9C9A}">
            <x14:dataBar minLength="0" maxLength="100" gradient="0">
              <x14:cfvo type="autoMin"/>
              <x14:cfvo type="autoMax"/>
              <x14:negativeFillColor rgb="FFFF0000"/>
              <x14:axisColor rgb="FF000000"/>
            </x14:dataBar>
          </x14:cfRule>
          <xm:sqref>F623:F630</xm:sqref>
        </x14:conditionalFormatting>
        <x14:conditionalFormatting xmlns:xm="http://schemas.microsoft.com/office/excel/2006/main">
          <x14:cfRule type="dataBar" id="{892D0065-4350-4E27-9D0A-CF8A08AFEDAF}">
            <x14:dataBar minLength="0" maxLength="100" gradient="0">
              <x14:cfvo type="autoMin"/>
              <x14:cfvo type="autoMax"/>
              <x14:negativeFillColor rgb="FFFF0000"/>
              <x14:axisColor rgb="FF000000"/>
            </x14:dataBar>
          </x14:cfRule>
          <xm:sqref>F633:F640</xm:sqref>
        </x14:conditionalFormatting>
        <x14:conditionalFormatting xmlns:xm="http://schemas.microsoft.com/office/excel/2006/main">
          <x14:cfRule type="dataBar" id="{59B604B5-F703-4EAC-AF12-DE6956F93ED6}">
            <x14:dataBar minLength="0" maxLength="100" gradient="0">
              <x14:cfvo type="autoMin"/>
              <x14:cfvo type="autoMax"/>
              <x14:negativeFillColor rgb="FFFF0000"/>
              <x14:axisColor rgb="FF000000"/>
            </x14:dataBar>
          </x14:cfRule>
          <xm:sqref>F643:F650</xm:sqref>
        </x14:conditionalFormatting>
        <x14:conditionalFormatting xmlns:xm="http://schemas.microsoft.com/office/excel/2006/main">
          <x14:cfRule type="dataBar" id="{EBAB4A34-5C7C-4526-9827-CD666B513566}">
            <x14:dataBar minLength="0" maxLength="100" gradient="0">
              <x14:cfvo type="autoMin"/>
              <x14:cfvo type="autoMax"/>
              <x14:negativeFillColor rgb="FFFF0000"/>
              <x14:axisColor rgb="FF000000"/>
            </x14:dataBar>
          </x14:cfRule>
          <xm:sqref>F654:F661</xm:sqref>
        </x14:conditionalFormatting>
        <x14:conditionalFormatting xmlns:xm="http://schemas.microsoft.com/office/excel/2006/main">
          <x14:cfRule type="dataBar" id="{375CCBFB-7015-4AEB-BBF0-93E6C040589B}">
            <x14:dataBar minLength="0" maxLength="100" gradient="0">
              <x14:cfvo type="autoMin"/>
              <x14:cfvo type="autoMax"/>
              <x14:negativeFillColor rgb="FFFF0000"/>
              <x14:axisColor rgb="FF000000"/>
            </x14:dataBar>
          </x14:cfRule>
          <xm:sqref>F664:F671</xm:sqref>
        </x14:conditionalFormatting>
        <x14:conditionalFormatting xmlns:xm="http://schemas.microsoft.com/office/excel/2006/main">
          <x14:cfRule type="dataBar" id="{AF6D6705-4CB4-4779-86FC-ADBA17E2DF70}">
            <x14:dataBar minLength="0" maxLength="100" gradient="0">
              <x14:cfvo type="autoMin"/>
              <x14:cfvo type="autoMax"/>
              <x14:negativeFillColor rgb="FFFF0000"/>
              <x14:axisColor rgb="FF000000"/>
            </x14:dataBar>
          </x14:cfRule>
          <xm:sqref>F672</xm:sqref>
        </x14:conditionalFormatting>
        <x14:conditionalFormatting xmlns:xm="http://schemas.microsoft.com/office/excel/2006/main">
          <x14:cfRule type="dataBar" id="{9702559A-698A-4785-ACF3-8BBFE1459E29}">
            <x14:dataBar minLength="0" maxLength="100" gradient="0">
              <x14:cfvo type="autoMin"/>
              <x14:cfvo type="autoMax"/>
              <x14:negativeFillColor rgb="FFFF0000"/>
              <x14:axisColor rgb="FF000000"/>
            </x14:dataBar>
          </x14:cfRule>
          <xm:sqref>F673:F680</xm:sqref>
        </x14:conditionalFormatting>
        <x14:conditionalFormatting xmlns:xm="http://schemas.microsoft.com/office/excel/2006/main">
          <x14:cfRule type="dataBar" id="{EE483646-3802-4CF8-A6D6-FB79B0376360}">
            <x14:dataBar minLength="0" maxLength="100" gradient="0">
              <x14:cfvo type="autoMin"/>
              <x14:cfvo type="autoMax"/>
              <x14:negativeFillColor rgb="FFFF0000"/>
              <x14:axisColor rgb="FF000000"/>
            </x14:dataBar>
          </x14:cfRule>
          <xm:sqref>F682:F689</xm:sqref>
        </x14:conditionalFormatting>
        <x14:conditionalFormatting xmlns:xm="http://schemas.microsoft.com/office/excel/2006/main">
          <x14:cfRule type="dataBar" id="{5D47641A-A60B-44B7-9F96-557AFCE77290}">
            <x14:dataBar minLength="0" maxLength="100" gradient="0">
              <x14:cfvo type="autoMin"/>
              <x14:cfvo type="autoMax"/>
              <x14:negativeFillColor rgb="FFFF0000"/>
              <x14:axisColor rgb="FF000000"/>
            </x14:dataBar>
          </x14:cfRule>
          <xm:sqref>F692:F699</xm:sqref>
        </x14:conditionalFormatting>
        <x14:conditionalFormatting xmlns:xm="http://schemas.microsoft.com/office/excel/2006/main">
          <x14:cfRule type="dataBar" id="{14A45DF2-BD0B-4D4C-8502-851FAC07E7BA}">
            <x14:dataBar minLength="0" maxLength="100" gradient="0">
              <x14:cfvo type="autoMin"/>
              <x14:cfvo type="autoMax"/>
              <x14:negativeFillColor rgb="FFFF0000"/>
              <x14:axisColor rgb="FF000000"/>
            </x14:dataBar>
          </x14:cfRule>
          <xm:sqref>F702:F712</xm:sqref>
        </x14:conditionalFormatting>
        <x14:conditionalFormatting xmlns:xm="http://schemas.microsoft.com/office/excel/2006/main">
          <x14:cfRule type="dataBar" id="{0F919ACD-34AB-4957-8BA4-BCF3189910AC}">
            <x14:dataBar minLength="0" maxLength="100" gradient="0">
              <x14:cfvo type="autoMin"/>
              <x14:cfvo type="autoMax"/>
              <x14:negativeFillColor rgb="FFFF0000"/>
              <x14:axisColor rgb="FF000000"/>
            </x14:dataBar>
          </x14:cfRule>
          <xm:sqref>F713:F720</xm:sqref>
        </x14:conditionalFormatting>
        <x14:conditionalFormatting xmlns:xm="http://schemas.microsoft.com/office/excel/2006/main">
          <x14:cfRule type="dataBar" id="{9FAB0D9A-5355-4D60-B14F-D219DCBB84E4}">
            <x14:dataBar minLength="0" maxLength="100" gradient="0">
              <x14:cfvo type="autoMin"/>
              <x14:cfvo type="autoMax"/>
              <x14:negativeFillColor rgb="FFFF0000"/>
              <x14:axisColor rgb="FF000000"/>
            </x14:dataBar>
          </x14:cfRule>
          <xm:sqref>F724:F731</xm:sqref>
        </x14:conditionalFormatting>
        <x14:conditionalFormatting xmlns:xm="http://schemas.microsoft.com/office/excel/2006/main">
          <x14:cfRule type="dataBar" id="{688726C3-71CC-4F97-B034-10A52734D7F6}">
            <x14:dataBar minLength="0" maxLength="100" gradient="0">
              <x14:cfvo type="autoMin"/>
              <x14:cfvo type="autoMax"/>
              <x14:negativeFillColor rgb="FFFF0000"/>
              <x14:axisColor rgb="FF000000"/>
            </x14:dataBar>
          </x14:cfRule>
          <xm:sqref>F734:F741</xm:sqref>
        </x14:conditionalFormatting>
        <x14:conditionalFormatting xmlns:xm="http://schemas.microsoft.com/office/excel/2006/main">
          <x14:cfRule type="dataBar" id="{DDCEF345-DF6E-42B8-9DD1-081D4A6335B9}">
            <x14:dataBar minLength="0" maxLength="100" gradient="0">
              <x14:cfvo type="autoMin"/>
              <x14:cfvo type="autoMax"/>
              <x14:negativeFillColor rgb="FFFF0000"/>
              <x14:axisColor rgb="FF000000"/>
            </x14:dataBar>
          </x14:cfRule>
          <xm:sqref>F745:F752</xm:sqref>
        </x14:conditionalFormatting>
        <x14:conditionalFormatting xmlns:xm="http://schemas.microsoft.com/office/excel/2006/main">
          <x14:cfRule type="dataBar" id="{E1586CE1-14E8-4929-AF2D-559F07E76C6B}">
            <x14:dataBar minLength="0" maxLength="100" gradient="0">
              <x14:cfvo type="autoMin"/>
              <x14:cfvo type="autoMax"/>
              <x14:negativeFillColor rgb="FFFF0000"/>
              <x14:axisColor rgb="FF000000"/>
            </x14:dataBar>
          </x14:cfRule>
          <xm:sqref>F756:F763</xm:sqref>
        </x14:conditionalFormatting>
        <x14:conditionalFormatting xmlns:xm="http://schemas.microsoft.com/office/excel/2006/main">
          <x14:cfRule type="dataBar" id="{547348DA-C381-4BD6-A9CA-C8318CDCD997}">
            <x14:dataBar minLength="0" maxLength="100" gradient="0">
              <x14:cfvo type="autoMin"/>
              <x14:cfvo type="autoMax"/>
              <x14:negativeFillColor rgb="FFFF0000"/>
              <x14:axisColor rgb="FF000000"/>
            </x14:dataBar>
          </x14:cfRule>
          <xm:sqref>F767:F774</xm:sqref>
        </x14:conditionalFormatting>
        <x14:conditionalFormatting xmlns:xm="http://schemas.microsoft.com/office/excel/2006/main">
          <x14:cfRule type="dataBar" id="{AE63338F-743C-473B-ABD2-0F1AA05EA58F}">
            <x14:dataBar minLength="0" maxLength="100" gradient="0">
              <x14:cfvo type="autoMin"/>
              <x14:cfvo type="autoMax"/>
              <x14:negativeFillColor rgb="FFFF0000"/>
              <x14:axisColor rgb="FF000000"/>
            </x14:dataBar>
          </x14:cfRule>
          <xm:sqref>F777</xm:sqref>
        </x14:conditionalFormatting>
        <x14:conditionalFormatting xmlns:xm="http://schemas.microsoft.com/office/excel/2006/main">
          <x14:cfRule type="dataBar" id="{C3B96C70-FEF1-4DB0-B13B-795F702521BF}">
            <x14:dataBar minLength="0" maxLength="100" gradient="0">
              <x14:cfvo type="autoMin"/>
              <x14:cfvo type="autoMax"/>
              <x14:negativeFillColor rgb="FFFF0000"/>
              <x14:axisColor rgb="FF000000"/>
            </x14:dataBar>
          </x14:cfRule>
          <xm:sqref>F778:F785</xm:sqref>
        </x14:conditionalFormatting>
        <x14:conditionalFormatting xmlns:xm="http://schemas.microsoft.com/office/excel/2006/main">
          <x14:cfRule type="dataBar" id="{9B0B2790-5171-4D5D-908B-E531FB89A35E}">
            <x14:dataBar minLength="0" maxLength="100" gradient="0">
              <x14:cfvo type="autoMin"/>
              <x14:cfvo type="autoMax"/>
              <x14:negativeFillColor rgb="FFFF0000"/>
              <x14:axisColor rgb="FF000000"/>
            </x14:dataBar>
          </x14:cfRule>
          <xm:sqref>F788:F795</xm:sqref>
        </x14:conditionalFormatting>
        <x14:conditionalFormatting xmlns:xm="http://schemas.microsoft.com/office/excel/2006/main">
          <x14:cfRule type="dataBar" id="{BAC3DE60-C805-44AF-8B51-B31E56741355}">
            <x14:dataBar minLength="0" maxLength="100" gradient="0">
              <x14:cfvo type="autoMin"/>
              <x14:cfvo type="autoMax"/>
              <x14:negativeFillColor rgb="FFFF0000"/>
              <x14:axisColor rgb="FF000000"/>
            </x14:dataBar>
          </x14:cfRule>
          <xm:sqref>F799:F806</xm:sqref>
        </x14:conditionalFormatting>
        <x14:conditionalFormatting xmlns:xm="http://schemas.microsoft.com/office/excel/2006/main">
          <x14:cfRule type="dataBar" id="{5FA5D2CB-E3E0-4157-9F5E-3DB31B33C68B}">
            <x14:dataBar minLength="0" maxLength="100" gradient="0">
              <x14:cfvo type="autoMin"/>
              <x14:cfvo type="autoMax"/>
              <x14:negativeFillColor rgb="FFFF0000"/>
              <x14:axisColor rgb="FF000000"/>
            </x14:dataBar>
          </x14:cfRule>
          <xm:sqref>F811:F815</xm:sqref>
        </x14:conditionalFormatting>
        <x14:conditionalFormatting xmlns:xm="http://schemas.microsoft.com/office/excel/2006/main">
          <x14:cfRule type="dataBar" id="{7C1AD411-7E2F-44E9-ACF4-17335F2F661E}">
            <x14:dataBar minLength="0" maxLength="100" gradient="0">
              <x14:cfvo type="autoMin"/>
              <x14:cfvo type="autoMax"/>
              <x14:negativeFillColor rgb="FFFF0000"/>
              <x14:axisColor rgb="FF000000"/>
            </x14:dataBar>
          </x14:cfRule>
          <xm:sqref>F818:F825</xm:sqref>
        </x14:conditionalFormatting>
        <x14:conditionalFormatting xmlns:xm="http://schemas.microsoft.com/office/excel/2006/main">
          <x14:cfRule type="dataBar" id="{7FF20CE1-5CD3-4891-85E5-12709F1BF26F}">
            <x14:dataBar minLength="0" maxLength="100" gradient="0">
              <x14:cfvo type="autoMin"/>
              <x14:cfvo type="autoMax"/>
              <x14:negativeFillColor rgb="FFFF0000"/>
              <x14:axisColor rgb="FF000000"/>
            </x14:dataBar>
          </x14:cfRule>
          <xm:sqref>F828:F835</xm:sqref>
        </x14:conditionalFormatting>
        <x14:conditionalFormatting xmlns:xm="http://schemas.microsoft.com/office/excel/2006/main">
          <x14:cfRule type="dataBar" id="{8656AF53-6545-47AE-ABCF-0D05F4EEB203}">
            <x14:dataBar minLength="0" maxLength="100" gradient="0">
              <x14:cfvo type="autoMin"/>
              <x14:cfvo type="autoMax"/>
              <x14:negativeFillColor rgb="FFFF0000"/>
              <x14:axisColor rgb="FF000000"/>
            </x14:dataBar>
          </x14:cfRule>
          <xm:sqref>F837:F843</xm:sqref>
        </x14:conditionalFormatting>
        <x14:conditionalFormatting xmlns:xm="http://schemas.microsoft.com/office/excel/2006/main">
          <x14:cfRule type="dataBar" id="{37FF7DD5-0FDA-49EF-8529-11053A529859}">
            <x14:dataBar minLength="0" maxLength="100" gradient="0">
              <x14:cfvo type="autoMin"/>
              <x14:cfvo type="autoMax"/>
              <x14:negativeFillColor rgb="FFFF0000"/>
              <x14:axisColor rgb="FF000000"/>
            </x14:dataBar>
          </x14:cfRule>
          <xm:sqref>F846</xm:sqref>
        </x14:conditionalFormatting>
        <x14:conditionalFormatting xmlns:xm="http://schemas.microsoft.com/office/excel/2006/main">
          <x14:cfRule type="dataBar" id="{E92848BA-4A4C-4AB5-9606-62D824F7DCCF}">
            <x14:dataBar minLength="0" maxLength="100" gradient="0">
              <x14:cfvo type="autoMin"/>
              <x14:cfvo type="autoMax"/>
              <x14:negativeFillColor rgb="FFFF0000"/>
              <x14:axisColor rgb="FF000000"/>
            </x14:dataBar>
          </x14:cfRule>
          <xm:sqref>F847:F854</xm:sqref>
        </x14:conditionalFormatting>
        <x14:conditionalFormatting xmlns:xm="http://schemas.microsoft.com/office/excel/2006/main">
          <x14:cfRule type="dataBar" id="{7E150911-4A0D-4CA9-A526-5886DE649CF7}">
            <x14:dataBar minLength="0" maxLength="100" gradient="0">
              <x14:cfvo type="autoMin"/>
              <x14:cfvo type="autoMax"/>
              <x14:negativeFillColor rgb="FFFF0000"/>
              <x14:axisColor rgb="FF000000"/>
            </x14:dataBar>
          </x14:cfRule>
          <xm:sqref>F857:F864</xm:sqref>
        </x14:conditionalFormatting>
        <x14:conditionalFormatting xmlns:xm="http://schemas.microsoft.com/office/excel/2006/main">
          <x14:cfRule type="dataBar" id="{821F96D4-35CE-4236-87DB-25C9139D761E}">
            <x14:dataBar minLength="0" maxLength="100" gradient="0">
              <x14:cfvo type="autoMin"/>
              <x14:cfvo type="autoMax"/>
              <x14:negativeFillColor rgb="FFFF0000"/>
              <x14:axisColor rgb="FF000000"/>
            </x14:dataBar>
          </x14:cfRule>
          <xm:sqref>F869:F876</xm:sqref>
        </x14:conditionalFormatting>
        <x14:conditionalFormatting xmlns:xm="http://schemas.microsoft.com/office/excel/2006/main">
          <x14:cfRule type="dataBar" id="{B0C74FFC-DEEF-416B-BA98-5699AFB9DC83}">
            <x14:dataBar minLength="0" maxLength="100" gradient="0">
              <x14:cfvo type="autoMin"/>
              <x14:cfvo type="autoMax"/>
              <x14:negativeFillColor rgb="FFFF0000"/>
              <x14:axisColor rgb="FF000000"/>
            </x14:dataBar>
          </x14:cfRule>
          <xm:sqref>F879:F886</xm:sqref>
        </x14:conditionalFormatting>
        <x14:conditionalFormatting xmlns:xm="http://schemas.microsoft.com/office/excel/2006/main">
          <x14:cfRule type="dataBar" id="{EF8802F8-A1FA-456E-9B26-555F58441658}">
            <x14:dataBar minLength="0" maxLength="100" gradient="0">
              <x14:cfvo type="autoMin"/>
              <x14:cfvo type="autoMax"/>
              <x14:negativeFillColor rgb="FFFF0000"/>
              <x14:axisColor rgb="FF000000"/>
            </x14:dataBar>
          </x14:cfRule>
          <xm:sqref>F890:F897</xm:sqref>
        </x14:conditionalFormatting>
        <x14:conditionalFormatting xmlns:xm="http://schemas.microsoft.com/office/excel/2006/main">
          <x14:cfRule type="dataBar" id="{90FB95E5-1A18-4F18-B1CF-758FBEE6E5BA}">
            <x14:dataBar minLength="0" maxLength="100" gradient="0">
              <x14:cfvo type="autoMin"/>
              <x14:cfvo type="autoMax"/>
              <x14:negativeFillColor rgb="FFFF0000"/>
              <x14:axisColor rgb="FF000000"/>
            </x14:dataBar>
          </x14:cfRule>
          <xm:sqref>F901:F908</xm:sqref>
        </x14:conditionalFormatting>
        <x14:conditionalFormatting xmlns:xm="http://schemas.microsoft.com/office/excel/2006/main">
          <x14:cfRule type="dataBar" id="{9DB3897B-DEB5-4F9A-ACFC-229E295E1D69}">
            <x14:dataBar minLength="0" maxLength="100" gradient="0">
              <x14:cfvo type="autoMin"/>
              <x14:cfvo type="autoMax"/>
              <x14:negativeFillColor rgb="FFFF0000"/>
              <x14:axisColor rgb="FF000000"/>
            </x14:dataBar>
          </x14:cfRule>
          <xm:sqref>F911:F918</xm:sqref>
        </x14:conditionalFormatting>
        <x14:conditionalFormatting xmlns:xm="http://schemas.microsoft.com/office/excel/2006/main">
          <x14:cfRule type="dataBar" id="{FECCE3A3-1325-4E56-B428-A66B73F99491}">
            <x14:dataBar minLength="0" maxLength="100" gradient="0">
              <x14:cfvo type="autoMin"/>
              <x14:cfvo type="autoMax"/>
              <x14:negativeFillColor rgb="FFFF0000"/>
              <x14:axisColor rgb="FF000000"/>
            </x14:dataBar>
          </x14:cfRule>
          <xm:sqref>F923:F930</xm:sqref>
        </x14:conditionalFormatting>
        <x14:conditionalFormatting xmlns:xm="http://schemas.microsoft.com/office/excel/2006/main">
          <x14:cfRule type="dataBar" id="{8113634B-0CDC-4EF7-B833-2FA4F14755BF}">
            <x14:dataBar minLength="0" maxLength="100" gradient="0">
              <x14:cfvo type="autoMin"/>
              <x14:cfvo type="autoMax"/>
              <x14:negativeFillColor rgb="FFFF0000"/>
              <x14:axisColor rgb="FF000000"/>
            </x14:dataBar>
          </x14:cfRule>
          <xm:sqref>F932:F939</xm:sqref>
        </x14:conditionalFormatting>
        <x14:conditionalFormatting xmlns:xm="http://schemas.microsoft.com/office/excel/2006/main">
          <x14:cfRule type="dataBar" id="{AE8D3009-486C-4EFD-9203-862C51E7C873}">
            <x14:dataBar minLength="0" maxLength="100" gradient="0">
              <x14:cfvo type="autoMin"/>
              <x14:cfvo type="autoMax"/>
              <x14:negativeFillColor rgb="FFFF0000"/>
              <x14:axisColor rgb="FF000000"/>
            </x14:dataBar>
          </x14:cfRule>
          <xm:sqref>F943:F950</xm:sqref>
        </x14:conditionalFormatting>
        <x14:conditionalFormatting xmlns:xm="http://schemas.microsoft.com/office/excel/2006/main">
          <x14:cfRule type="dataBar" id="{B55D246C-CC32-4D30-9285-ADACF54085C0}">
            <x14:dataBar minLength="0" maxLength="100" gradient="0">
              <x14:cfvo type="autoMin"/>
              <x14:cfvo type="autoMax"/>
              <x14:negativeFillColor rgb="FFFF0000"/>
              <x14:axisColor rgb="FF000000"/>
            </x14:dataBar>
          </x14:cfRule>
          <xm:sqref>F951:F958</xm:sqref>
        </x14:conditionalFormatting>
        <x14:conditionalFormatting xmlns:xm="http://schemas.microsoft.com/office/excel/2006/main">
          <x14:cfRule type="dataBar" id="{367401B6-B31C-4498-BA13-2CB7D2F43129}">
            <x14:dataBar minLength="0" maxLength="100" gradient="0">
              <x14:cfvo type="autoMin"/>
              <x14:cfvo type="autoMax"/>
              <x14:negativeFillColor rgb="FFFF0000"/>
              <x14:axisColor rgb="FF000000"/>
            </x14:dataBar>
          </x14:cfRule>
          <xm:sqref>F962:F969</xm:sqref>
        </x14:conditionalFormatting>
        <x14:conditionalFormatting xmlns:xm="http://schemas.microsoft.com/office/excel/2006/main">
          <x14:cfRule type="dataBar" id="{5738A435-1FA6-430C-A4FC-0229630D7445}">
            <x14:dataBar minLength="0" maxLength="100" gradient="0">
              <x14:cfvo type="autoMin"/>
              <x14:cfvo type="autoMax"/>
              <x14:negativeFillColor rgb="FFFF0000"/>
              <x14:axisColor rgb="FF000000"/>
            </x14:dataBar>
          </x14:cfRule>
          <xm:sqref>F971:F976</xm:sqref>
        </x14:conditionalFormatting>
        <x14:conditionalFormatting xmlns:xm="http://schemas.microsoft.com/office/excel/2006/main">
          <x14:cfRule type="dataBar" id="{2F05A46E-7C43-4FF6-8D13-B3F4A27058BB}">
            <x14:dataBar minLength="0" maxLength="100" gradient="0">
              <x14:cfvo type="autoMin"/>
              <x14:cfvo type="autoMax"/>
              <x14:negativeFillColor rgb="FFFF0000"/>
              <x14:axisColor rgb="FF000000"/>
            </x14:dataBar>
          </x14:cfRule>
          <xm:sqref>F980:F987</xm:sqref>
        </x14:conditionalFormatting>
        <x14:conditionalFormatting xmlns:xm="http://schemas.microsoft.com/office/excel/2006/main">
          <x14:cfRule type="dataBar" id="{5A5631D6-E0FF-4D28-930A-6C0EB821A64B}">
            <x14:dataBar minLength="0" maxLength="100" gradient="0">
              <x14:cfvo type="autoMin"/>
              <x14:cfvo type="autoMax"/>
              <x14:negativeFillColor rgb="FFFF0000"/>
              <x14:axisColor rgb="FF000000"/>
            </x14:dataBar>
          </x14:cfRule>
          <xm:sqref>F1008:F1015</xm:sqref>
        </x14:conditionalFormatting>
        <x14:conditionalFormatting xmlns:xm="http://schemas.microsoft.com/office/excel/2006/main">
          <x14:cfRule type="dataBar" id="{56E94794-F0B2-4A12-BA72-BBEDF4E307D1}">
            <x14:dataBar minLength="0" maxLength="100" gradient="0">
              <x14:cfvo type="autoMin"/>
              <x14:cfvo type="autoMax"/>
              <x14:negativeFillColor rgb="FFFF0000"/>
              <x14:axisColor rgb="FF000000"/>
            </x14:dataBar>
          </x14:cfRule>
          <xm:sqref>F1043:F1050</xm:sqref>
        </x14:conditionalFormatting>
        <x14:conditionalFormatting xmlns:xm="http://schemas.microsoft.com/office/excel/2006/main">
          <x14:cfRule type="dataBar" id="{F86EA26F-5ADE-47B9-8634-8FA92C8E169A}">
            <x14:dataBar minLength="0" maxLength="100" gradient="0">
              <x14:cfvo type="autoMin"/>
              <x14:cfvo type="autoMax"/>
              <x14:negativeFillColor rgb="FFFF0000"/>
              <x14:axisColor rgb="FF000000"/>
            </x14:dataBar>
          </x14:cfRule>
          <xm:sqref>F1078:F1085</xm:sqref>
        </x14:conditionalFormatting>
        <x14:conditionalFormatting xmlns:xm="http://schemas.microsoft.com/office/excel/2006/main">
          <x14:cfRule type="dataBar" id="{5FE721A6-117B-418E-8D6E-0D496EC8B078}">
            <x14:dataBar minLength="0" maxLength="100" gradient="0">
              <x14:cfvo type="autoMin"/>
              <x14:cfvo type="autoMax"/>
              <x14:negativeFillColor rgb="FFFF0000"/>
              <x14:axisColor rgb="FF000000"/>
            </x14:dataBar>
          </x14:cfRule>
          <xm:sqref>F1099:F1106</xm:sqref>
        </x14:conditionalFormatting>
        <x14:conditionalFormatting xmlns:xm="http://schemas.microsoft.com/office/excel/2006/main">
          <x14:cfRule type="dataBar" id="{033F1A86-6706-4FAE-8234-0E5622EB1517}">
            <x14:dataBar minLength="0" maxLength="100" gradient="0">
              <x14:cfvo type="autoMin"/>
              <x14:cfvo type="autoMax"/>
              <x14:negativeFillColor rgb="FFFF0000"/>
              <x14:axisColor rgb="FF000000"/>
            </x14:dataBar>
          </x14:cfRule>
          <xm:sqref>F1122:F1129</xm:sqref>
        </x14:conditionalFormatting>
        <x14:conditionalFormatting xmlns:xm="http://schemas.microsoft.com/office/excel/2006/main">
          <x14:cfRule type="dataBar" id="{7651CDE8-847D-4194-9127-F9555F159E7D}">
            <x14:dataBar minLength="0" maxLength="100" gradient="0">
              <x14:cfvo type="autoMin"/>
              <x14:cfvo type="autoMax"/>
              <x14:negativeFillColor rgb="FFFF0000"/>
              <x14:axisColor rgb="FF000000"/>
            </x14:dataBar>
          </x14:cfRule>
          <xm:sqref>F1154:F1161</xm:sqref>
        </x14:conditionalFormatting>
        <x14:conditionalFormatting xmlns:xm="http://schemas.microsoft.com/office/excel/2006/main">
          <x14:cfRule type="dataBar" id="{97001539-A5B0-46BE-A3F8-1443D05FB243}">
            <x14:dataBar minLength="0" maxLength="100" gradient="0">
              <x14:cfvo type="autoMin"/>
              <x14:cfvo type="autoMax"/>
              <x14:negativeFillColor rgb="FFFF0000"/>
              <x14:axisColor rgb="FF000000"/>
            </x14:dataBar>
          </x14:cfRule>
          <xm:sqref>F1186:F1193</xm:sqref>
        </x14:conditionalFormatting>
        <x14:conditionalFormatting xmlns:xm="http://schemas.microsoft.com/office/excel/2006/main">
          <x14:cfRule type="dataBar" id="{C9B7CE9D-925E-48D3-B467-0B9E98CF0357}">
            <x14:dataBar minLength="0" maxLength="100" gradient="0">
              <x14:cfvo type="autoMin"/>
              <x14:cfvo type="autoMax"/>
              <x14:negativeFillColor rgb="FFFF0000"/>
              <x14:axisColor rgb="FF000000"/>
            </x14:dataBar>
          </x14:cfRule>
          <xm:sqref>F1210:F1217</xm:sqref>
        </x14:conditionalFormatting>
        <x14:conditionalFormatting xmlns:xm="http://schemas.microsoft.com/office/excel/2006/main">
          <x14:cfRule type="dataBar" id="{A2CFDFCE-ADA0-4A2A-9619-DA2F774762AA}">
            <x14:dataBar minLength="0" maxLength="100" gradient="0">
              <x14:cfvo type="autoMin"/>
              <x14:cfvo type="autoMax"/>
              <x14:negativeFillColor rgb="FFFF0000"/>
              <x14:axisColor rgb="FF000000"/>
            </x14:dataBar>
          </x14:cfRule>
          <xm:sqref>F1234:F1241</xm:sqref>
        </x14:conditionalFormatting>
        <x14:conditionalFormatting xmlns:xm="http://schemas.microsoft.com/office/excel/2006/main">
          <x14:cfRule type="dataBar" id="{01FE9D81-5449-4598-920A-1DB56B4C469B}">
            <x14:dataBar minLength="0" maxLength="100" gradient="0">
              <x14:cfvo type="autoMin"/>
              <x14:cfvo type="autoMax"/>
              <x14:negativeFillColor rgb="FFFF0000"/>
              <x14:axisColor rgb="FF000000"/>
            </x14:dataBar>
          </x14:cfRule>
          <xm:sqref>F1244:F1251</xm:sqref>
        </x14:conditionalFormatting>
        <x14:conditionalFormatting xmlns:xm="http://schemas.microsoft.com/office/excel/2006/main">
          <x14:cfRule type="dataBar" id="{AC5D204A-5240-45A3-899B-110710D217DF}">
            <x14:dataBar minLength="0" maxLength="100" gradient="0">
              <x14:cfvo type="autoMin"/>
              <x14:cfvo type="autoMax"/>
              <x14:negativeFillColor rgb="FFFF0000"/>
              <x14:axisColor rgb="FF000000"/>
            </x14:dataBar>
          </x14:cfRule>
          <xm:sqref>F1266:F1273</xm:sqref>
        </x14:conditionalFormatting>
        <x14:conditionalFormatting xmlns:xm="http://schemas.microsoft.com/office/excel/2006/main">
          <x14:cfRule type="dataBar" id="{F029B2BC-9759-4455-BBA4-EF5C47F917FF}">
            <x14:dataBar minLength="0" maxLength="100" gradient="0">
              <x14:cfvo type="autoMin"/>
              <x14:cfvo type="autoMax"/>
              <x14:negativeFillColor rgb="FFFF0000"/>
              <x14:axisColor rgb="FF000000"/>
            </x14:dataBar>
          </x14:cfRule>
          <xm:sqref>F1275:F1282</xm:sqref>
        </x14:conditionalFormatting>
        <x14:conditionalFormatting xmlns:xm="http://schemas.microsoft.com/office/excel/2006/main">
          <x14:cfRule type="dataBar" id="{F71D4702-0B27-402A-BC1C-71410F4798EC}">
            <x14:dataBar minLength="0" maxLength="100" gradient="0">
              <x14:cfvo type="autoMin"/>
              <x14:cfvo type="autoMax"/>
              <x14:negativeFillColor rgb="FFFF0000"/>
              <x14:axisColor rgb="FF000000"/>
            </x14:dataBar>
          </x14:cfRule>
          <xm:sqref>F1286:F1293</xm:sqref>
        </x14:conditionalFormatting>
        <x14:conditionalFormatting xmlns:xm="http://schemas.microsoft.com/office/excel/2006/main">
          <x14:cfRule type="dataBar" id="{619AB126-5C69-44B2-83AD-D5657090AB1D}">
            <x14:dataBar minLength="0" maxLength="100" gradient="0">
              <x14:cfvo type="autoMin"/>
              <x14:cfvo type="autoMax"/>
              <x14:negativeFillColor rgb="FFFF0000"/>
              <x14:axisColor rgb="FF000000"/>
            </x14:dataBar>
          </x14:cfRule>
          <xm:sqref>F1295:F1302</xm:sqref>
        </x14:conditionalFormatting>
        <x14:conditionalFormatting xmlns:xm="http://schemas.microsoft.com/office/excel/2006/main">
          <x14:cfRule type="dataBar" id="{E4A7601C-63A3-4DBF-8CE5-ED503E4999BA}">
            <x14:dataBar minLength="0" maxLength="100" gradient="0">
              <x14:cfvo type="autoMin"/>
              <x14:cfvo type="autoMax"/>
              <x14:negativeFillColor rgb="FFFF0000"/>
              <x14:axisColor rgb="FF000000"/>
            </x14:dataBar>
          </x14:cfRule>
          <xm:sqref>F1306:F1313</xm:sqref>
        </x14:conditionalFormatting>
        <x14:conditionalFormatting xmlns:xm="http://schemas.microsoft.com/office/excel/2006/main">
          <x14:cfRule type="dataBar" id="{DA9D8369-7282-4FAA-824A-75E012C38903}">
            <x14:dataBar minLength="0" maxLength="100" gradient="0">
              <x14:cfvo type="autoMin"/>
              <x14:cfvo type="autoMax"/>
              <x14:negativeFillColor rgb="FFFF0000"/>
              <x14:axisColor rgb="FF000000"/>
            </x14:dataBar>
          </x14:cfRule>
          <xm:sqref>F1318:F1325</xm:sqref>
        </x14:conditionalFormatting>
        <x14:conditionalFormatting xmlns:xm="http://schemas.microsoft.com/office/excel/2006/main">
          <x14:cfRule type="dataBar" id="{9918C39D-15E4-45BB-821C-7BC2BD5FC5A0}">
            <x14:dataBar minLength="0" maxLength="100" gradient="0">
              <x14:cfvo type="autoMin"/>
              <x14:cfvo type="autoMax"/>
              <x14:negativeFillColor rgb="FFFF0000"/>
              <x14:axisColor rgb="FF000000"/>
            </x14:dataBar>
          </x14:cfRule>
          <xm:sqref>F1327:F1334</xm:sqref>
        </x14:conditionalFormatting>
        <x14:conditionalFormatting xmlns:xm="http://schemas.microsoft.com/office/excel/2006/main">
          <x14:cfRule type="dataBar" id="{9CDF3ACB-38E1-4575-930B-BA3EA399DFE5}">
            <x14:dataBar minLength="0" maxLength="100" gradient="0">
              <x14:cfvo type="autoMin"/>
              <x14:cfvo type="autoMax"/>
              <x14:negativeFillColor rgb="FFFF0000"/>
              <x14:axisColor rgb="FF000000"/>
            </x14:dataBar>
          </x14:cfRule>
          <xm:sqref>F1337:F1344</xm:sqref>
        </x14:conditionalFormatting>
        <x14:conditionalFormatting xmlns:xm="http://schemas.microsoft.com/office/excel/2006/main">
          <x14:cfRule type="dataBar" id="{95821876-E5D6-4EC1-A081-2C6FF854A7E8}">
            <x14:dataBar minLength="0" maxLength="100" gradient="0">
              <x14:cfvo type="autoMin"/>
              <x14:cfvo type="autoMax"/>
              <x14:negativeFillColor rgb="FFFF0000"/>
              <x14:axisColor rgb="FF000000"/>
            </x14:dataBar>
          </x14:cfRule>
          <xm:sqref>F1348</xm:sqref>
        </x14:conditionalFormatting>
        <x14:conditionalFormatting xmlns:xm="http://schemas.microsoft.com/office/excel/2006/main">
          <x14:cfRule type="dataBar" id="{2F6C7934-2750-48F7-92F4-6CBB23AF7267}">
            <x14:dataBar minLength="0" maxLength="100" gradient="0">
              <x14:cfvo type="autoMin"/>
              <x14:cfvo type="autoMax"/>
              <x14:negativeFillColor rgb="FFFF0000"/>
              <x14:axisColor rgb="FF000000"/>
            </x14:dataBar>
          </x14:cfRule>
          <xm:sqref>F1349:F1356</xm:sqref>
        </x14:conditionalFormatting>
        <x14:conditionalFormatting xmlns:xm="http://schemas.microsoft.com/office/excel/2006/main">
          <x14:cfRule type="dataBar" id="{5F0B6FE0-6545-486F-AD86-72C3CF3CB9BA}">
            <x14:dataBar minLength="0" maxLength="100" gradient="0">
              <x14:cfvo type="autoMin"/>
              <x14:cfvo type="autoMax"/>
              <x14:negativeFillColor rgb="FFFF0000"/>
              <x14:axisColor rgb="FF000000"/>
            </x14:dataBar>
          </x14:cfRule>
          <xm:sqref>F1359:F1366</xm:sqref>
        </x14:conditionalFormatting>
        <x14:conditionalFormatting xmlns:xm="http://schemas.microsoft.com/office/excel/2006/main">
          <x14:cfRule type="dataBar" id="{4969BA27-1FBD-42AA-96F3-A542904EE886}">
            <x14:dataBar minLength="0" maxLength="100" gradient="0">
              <x14:cfvo type="autoMin"/>
              <x14:cfvo type="autoMax"/>
              <x14:negativeFillColor rgb="FFFF0000"/>
              <x14:axisColor rgb="FF000000"/>
            </x14:dataBar>
          </x14:cfRule>
          <xm:sqref>F1369:F1376</xm:sqref>
        </x14:conditionalFormatting>
        <x14:conditionalFormatting xmlns:xm="http://schemas.microsoft.com/office/excel/2006/main">
          <x14:cfRule type="dataBar" id="{C37DCE4D-49FE-47FD-A1C6-D8C8D430B082}">
            <x14:dataBar minLength="0" maxLength="100" gradient="0">
              <x14:cfvo type="autoMin"/>
              <x14:cfvo type="autoMax"/>
              <x14:negativeFillColor rgb="FFFF0000"/>
              <x14:axisColor rgb="FF000000"/>
            </x14:dataBar>
          </x14:cfRule>
          <xm:sqref>F1378:F1385</xm:sqref>
        </x14:conditionalFormatting>
        <x14:conditionalFormatting xmlns:xm="http://schemas.microsoft.com/office/excel/2006/main">
          <x14:cfRule type="dataBar" id="{755A8F53-31DF-4FE8-8F0F-3CC2997B03B3}">
            <x14:dataBar minLength="0" maxLength="100" gradient="0">
              <x14:cfvo type="autoMin"/>
              <x14:cfvo type="autoMax"/>
              <x14:negativeFillColor rgb="FFFF0000"/>
              <x14:axisColor rgb="FF000000"/>
            </x14:dataBar>
          </x14:cfRule>
          <xm:sqref>F1388:F1395</xm:sqref>
        </x14:conditionalFormatting>
        <x14:conditionalFormatting xmlns:xm="http://schemas.microsoft.com/office/excel/2006/main">
          <x14:cfRule type="dataBar" id="{0B0E0DB9-EB7B-4775-8104-D589F7637CEC}">
            <x14:dataBar minLength="0" maxLength="100" gradient="0">
              <x14:cfvo type="autoMin"/>
              <x14:cfvo type="autoMax"/>
              <x14:negativeFillColor rgb="FFFF0000"/>
              <x14:axisColor rgb="FF000000"/>
            </x14:dataBar>
          </x14:cfRule>
          <xm:sqref>F1398:F1405</xm:sqref>
        </x14:conditionalFormatting>
        <x14:conditionalFormatting xmlns:xm="http://schemas.microsoft.com/office/excel/2006/main">
          <x14:cfRule type="dataBar" id="{BE219A57-7AAA-4CFB-8DE7-8625705BE7FA}">
            <x14:dataBar minLength="0" maxLength="100" gradient="0">
              <x14:cfvo type="autoMin"/>
              <x14:cfvo type="autoMax"/>
              <x14:negativeFillColor rgb="FFFF0000"/>
              <x14:axisColor rgb="FF000000"/>
            </x14:dataBar>
          </x14:cfRule>
          <xm:sqref>F1409:F1416</xm:sqref>
        </x14:conditionalFormatting>
        <x14:conditionalFormatting xmlns:xm="http://schemas.microsoft.com/office/excel/2006/main">
          <x14:cfRule type="dataBar" id="{B8ACBBB8-2BF9-4C94-A7D0-79A72A96FEF7}">
            <x14:dataBar minLength="0" maxLength="100" gradient="0">
              <x14:cfvo type="autoMin"/>
              <x14:cfvo type="autoMax"/>
              <x14:negativeFillColor rgb="FFFF0000"/>
              <x14:axisColor rgb="FF000000"/>
            </x14:dataBar>
          </x14:cfRule>
          <xm:sqref>F1427:F1428</xm:sqref>
        </x14:conditionalFormatting>
        <x14:conditionalFormatting xmlns:xm="http://schemas.microsoft.com/office/excel/2006/main">
          <x14:cfRule type="dataBar" id="{22664057-3DCD-4524-B251-588CFEDA466C}">
            <x14:dataBar minLength="0" maxLength="100" gradient="0">
              <x14:cfvo type="autoMin"/>
              <x14:cfvo type="autoMax"/>
              <x14:negativeFillColor rgb="FFFF0000"/>
              <x14:axisColor rgb="FF000000"/>
            </x14:dataBar>
          </x14:cfRule>
          <xm:sqref>F1418:F1426</xm:sqref>
        </x14:conditionalFormatting>
        <x14:conditionalFormatting xmlns:xm="http://schemas.microsoft.com/office/excel/2006/main">
          <x14:cfRule type="dataBar" id="{E4293356-2238-4D83-8CA8-1BE7DAD8660E}">
            <x14:dataBar minLength="0" maxLength="100" gradient="0">
              <x14:cfvo type="autoMin"/>
              <x14:cfvo type="autoMax"/>
              <x14:negativeFillColor rgb="FFFF0000"/>
              <x14:axisColor rgb="FF000000"/>
            </x14:dataBar>
          </x14:cfRule>
          <xm:sqref>F1429:F1436</xm:sqref>
        </x14:conditionalFormatting>
        <x14:conditionalFormatting xmlns:xm="http://schemas.microsoft.com/office/excel/2006/main">
          <x14:cfRule type="dataBar" id="{3921EE7B-16D7-4CE6-B419-31C5B710890E}">
            <x14:dataBar minLength="0" maxLength="100" gradient="0">
              <x14:cfvo type="autoMin"/>
              <x14:cfvo type="autoMax"/>
              <x14:negativeFillColor rgb="FFFF0000"/>
              <x14:axisColor rgb="FF000000"/>
            </x14:dataBar>
          </x14:cfRule>
          <xm:sqref>F1439:F1446</xm:sqref>
        </x14:conditionalFormatting>
        <x14:conditionalFormatting xmlns:xm="http://schemas.microsoft.com/office/excel/2006/main">
          <x14:cfRule type="dataBar" id="{B7B8185C-1A7D-4513-9C02-2B3A1B693839}">
            <x14:dataBar minLength="0" maxLength="100" gradient="0">
              <x14:cfvo type="autoMin"/>
              <x14:cfvo type="autoMax"/>
              <x14:negativeFillColor rgb="FFFF0000"/>
              <x14:axisColor rgb="FF000000"/>
            </x14:dataBar>
          </x14:cfRule>
          <xm:sqref>F1448:F1456</xm:sqref>
        </x14:conditionalFormatting>
        <x14:conditionalFormatting xmlns:xm="http://schemas.microsoft.com/office/excel/2006/main">
          <x14:cfRule type="dataBar" id="{303AAD5A-0FE1-4615-95C9-76347D1AC37B}">
            <x14:dataBar minLength="0" maxLength="100" gradient="0">
              <x14:cfvo type="autoMin"/>
              <x14:cfvo type="autoMax"/>
              <x14:negativeFillColor rgb="FFFF0000"/>
              <x14:axisColor rgb="FF000000"/>
            </x14:dataBar>
          </x14:cfRule>
          <xm:sqref>F1460:F1467</xm:sqref>
        </x14:conditionalFormatting>
        <x14:conditionalFormatting xmlns:xm="http://schemas.microsoft.com/office/excel/2006/main">
          <x14:cfRule type="dataBar" id="{914B4C1B-371A-4EB8-9D5F-74A0E77A6045}">
            <x14:dataBar minLength="0" maxLength="100" gradient="0">
              <x14:cfvo type="autoMin"/>
              <x14:cfvo type="autoMax"/>
              <x14:negativeFillColor rgb="FFFF0000"/>
              <x14:axisColor rgb="FF000000"/>
            </x14:dataBar>
          </x14:cfRule>
          <xm:sqref>F1471:F1478</xm:sqref>
        </x14:conditionalFormatting>
        <x14:conditionalFormatting xmlns:xm="http://schemas.microsoft.com/office/excel/2006/main">
          <x14:cfRule type="dataBar" id="{D9286E3B-3E9F-4BF6-B9B1-77CDFE4C0903}">
            <x14:dataBar minLength="0" maxLength="100" gradient="0">
              <x14:cfvo type="autoMin"/>
              <x14:cfvo type="autoMax"/>
              <x14:negativeFillColor rgb="FFFF0000"/>
              <x14:axisColor rgb="FF000000"/>
            </x14:dataBar>
          </x14:cfRule>
          <xm:sqref>F1481:F1489</xm:sqref>
        </x14:conditionalFormatting>
        <x14:conditionalFormatting xmlns:xm="http://schemas.microsoft.com/office/excel/2006/main">
          <x14:cfRule type="dataBar" id="{F5803F58-91C7-4C83-82C8-244C67F31E98}">
            <x14:dataBar minLength="0" maxLength="100" gradient="0">
              <x14:cfvo type="autoMin"/>
              <x14:cfvo type="autoMax"/>
              <x14:negativeFillColor rgb="FFFF0000"/>
              <x14:axisColor rgb="FF000000"/>
            </x14:dataBar>
          </x14:cfRule>
          <xm:sqref>F1492:F1499</xm:sqref>
        </x14:conditionalFormatting>
        <x14:conditionalFormatting xmlns:xm="http://schemas.microsoft.com/office/excel/2006/main">
          <x14:cfRule type="dataBar" id="{BBC451F1-F902-49C8-A1C1-F4CD1256EF7C}">
            <x14:dataBar minLength="0" maxLength="100" gradient="0">
              <x14:cfvo type="autoMin"/>
              <x14:cfvo type="autoMax"/>
              <x14:negativeFillColor rgb="FFFF0000"/>
              <x14:axisColor rgb="FF000000"/>
            </x14:dataBar>
          </x14:cfRule>
          <xm:sqref>F1502:F1509</xm:sqref>
        </x14:conditionalFormatting>
        <x14:conditionalFormatting xmlns:xm="http://schemas.microsoft.com/office/excel/2006/main">
          <x14:cfRule type="dataBar" id="{48F5163F-09A5-4E6C-9388-1257DC5D46B9}">
            <x14:dataBar minLength="0" maxLength="100" gradient="0">
              <x14:cfvo type="autoMin"/>
              <x14:cfvo type="autoMax"/>
              <x14:negativeFillColor rgb="FFFF0000"/>
              <x14:axisColor rgb="FF000000"/>
            </x14:dataBar>
          </x14:cfRule>
          <xm:sqref>F1513:F1520</xm:sqref>
        </x14:conditionalFormatting>
        <x14:conditionalFormatting xmlns:xm="http://schemas.microsoft.com/office/excel/2006/main">
          <x14:cfRule type="dataBar" id="{2E5C5D6D-5C80-44D4-9321-2B5520D9F124}">
            <x14:dataBar minLength="0" maxLength="100" gradient="0">
              <x14:cfvo type="autoMin"/>
              <x14:cfvo type="autoMax"/>
              <x14:negativeFillColor rgb="FFFF0000"/>
              <x14:axisColor rgb="FF000000"/>
            </x14:dataBar>
          </x14:cfRule>
          <xm:sqref>F1523:F1530</xm:sqref>
        </x14:conditionalFormatting>
        <x14:conditionalFormatting xmlns:xm="http://schemas.microsoft.com/office/excel/2006/main">
          <x14:cfRule type="dataBar" id="{07C3334F-1251-4F21-B1E2-265291301906}">
            <x14:dataBar minLength="0" maxLength="100" gradient="0">
              <x14:cfvo type="autoMin"/>
              <x14:cfvo type="autoMax"/>
              <x14:negativeFillColor rgb="FFFF0000"/>
              <x14:axisColor rgb="FF000000"/>
            </x14:dataBar>
          </x14:cfRule>
          <xm:sqref>F1533:F1540</xm:sqref>
        </x14:conditionalFormatting>
        <x14:conditionalFormatting xmlns:xm="http://schemas.microsoft.com/office/excel/2006/main">
          <x14:cfRule type="dataBar" id="{77DBE159-1F3A-4CA4-B3D3-EA492002E380}">
            <x14:dataBar minLength="0" maxLength="100" gradient="0">
              <x14:cfvo type="autoMin"/>
              <x14:cfvo type="autoMax"/>
              <x14:negativeFillColor rgb="FFFF0000"/>
              <x14:axisColor rgb="FF000000"/>
            </x14:dataBar>
          </x14:cfRule>
          <xm:sqref>F1544:F1551</xm:sqref>
        </x14:conditionalFormatting>
        <x14:conditionalFormatting xmlns:xm="http://schemas.microsoft.com/office/excel/2006/main">
          <x14:cfRule type="dataBar" id="{0869AC45-47C4-4C0B-A9A3-A6BA9F04C7FA}">
            <x14:dataBar minLength="0" maxLength="100" gradient="0">
              <x14:cfvo type="autoMin"/>
              <x14:cfvo type="autoMax"/>
              <x14:negativeFillColor rgb="FFFF0000"/>
              <x14:axisColor rgb="FF000000"/>
            </x14:dataBar>
          </x14:cfRule>
          <xm:sqref>F1553:F1560</xm:sqref>
        </x14:conditionalFormatting>
        <x14:conditionalFormatting xmlns:xm="http://schemas.microsoft.com/office/excel/2006/main">
          <x14:cfRule type="dataBar" id="{1F958340-123F-44E7-9A92-014175012248}">
            <x14:dataBar minLength="0" maxLength="100" gradient="0">
              <x14:cfvo type="autoMin"/>
              <x14:cfvo type="autoMax"/>
              <x14:negativeFillColor rgb="FFFF0000"/>
              <x14:axisColor rgb="FF000000"/>
            </x14:dataBar>
          </x14:cfRule>
          <xm:sqref>F1564:F1572</xm:sqref>
        </x14:conditionalFormatting>
        <x14:conditionalFormatting xmlns:xm="http://schemas.microsoft.com/office/excel/2006/main">
          <x14:cfRule type="dataBar" id="{E044D876-AF18-4A16-B014-D82C9134FAA7}">
            <x14:dataBar minLength="0" maxLength="100" gradient="0">
              <x14:cfvo type="autoMin"/>
              <x14:cfvo type="autoMax"/>
              <x14:negativeFillColor rgb="FFFF0000"/>
              <x14:axisColor rgb="FF000000"/>
            </x14:dataBar>
          </x14:cfRule>
          <xm:sqref>F1575:F1581</xm:sqref>
        </x14:conditionalFormatting>
        <x14:conditionalFormatting xmlns:xm="http://schemas.microsoft.com/office/excel/2006/main">
          <x14:cfRule type="dataBar" id="{C2953A81-09AC-4C48-A25B-4A05D55576B9}">
            <x14:dataBar minLength="0" maxLength="100" gradient="0">
              <x14:cfvo type="autoMin"/>
              <x14:cfvo type="autoMax"/>
              <x14:negativeFillColor rgb="FFFF0000"/>
              <x14:axisColor rgb="FF000000"/>
            </x14:dataBar>
          </x14:cfRule>
          <xm:sqref>F1584:F1591</xm:sqref>
        </x14:conditionalFormatting>
        <x14:conditionalFormatting xmlns:xm="http://schemas.microsoft.com/office/excel/2006/main">
          <x14:cfRule type="dataBar" id="{A248C79E-A3D0-4D53-A5BC-04F34C709FFA}">
            <x14:dataBar minLength="0" maxLength="100" gradient="0">
              <x14:cfvo type="autoMin"/>
              <x14:cfvo type="autoMax"/>
              <x14:negativeFillColor rgb="FFFF0000"/>
              <x14:axisColor rgb="FF000000"/>
            </x14:dataBar>
          </x14:cfRule>
          <xm:sqref>F1594:F1601</xm:sqref>
        </x14:conditionalFormatting>
        <x14:conditionalFormatting xmlns:xm="http://schemas.microsoft.com/office/excel/2006/main">
          <x14:cfRule type="dataBar" id="{722F1FCC-4FAF-468F-B142-AB24DDDD0AED}">
            <x14:dataBar minLength="0" maxLength="100" gradient="0">
              <x14:cfvo type="autoMin"/>
              <x14:cfvo type="autoMax"/>
              <x14:negativeFillColor rgb="FFFF0000"/>
              <x14:axisColor rgb="FF000000"/>
            </x14:dataBar>
          </x14:cfRule>
          <xm:sqref>F1606:F1612</xm:sqref>
        </x14:conditionalFormatting>
        <x14:conditionalFormatting xmlns:xm="http://schemas.microsoft.com/office/excel/2006/main">
          <x14:cfRule type="dataBar" id="{05D62DC3-4054-438E-865E-123E6B461146}">
            <x14:dataBar minLength="0" maxLength="100" gradient="0">
              <x14:cfvo type="autoMin"/>
              <x14:cfvo type="autoMax"/>
              <x14:negativeFillColor rgb="FFFF0000"/>
              <x14:axisColor rgb="FF000000"/>
            </x14:dataBar>
          </x14:cfRule>
          <xm:sqref>F1615:F1622</xm:sqref>
        </x14:conditionalFormatting>
        <x14:conditionalFormatting xmlns:xm="http://schemas.microsoft.com/office/excel/2006/main">
          <x14:cfRule type="dataBar" id="{0CBA3957-BF21-4AFF-BE66-7164C485579F}">
            <x14:dataBar minLength="0" maxLength="100" gradient="0">
              <x14:cfvo type="autoMin"/>
              <x14:cfvo type="autoMax"/>
              <x14:negativeFillColor rgb="FFFF0000"/>
              <x14:axisColor rgb="FF000000"/>
            </x14:dataBar>
          </x14:cfRule>
          <xm:sqref>F1628:F1635</xm:sqref>
        </x14:conditionalFormatting>
        <x14:conditionalFormatting xmlns:xm="http://schemas.microsoft.com/office/excel/2006/main">
          <x14:cfRule type="dataBar" id="{57D9B36C-D000-400C-853B-7890E5ED0CB4}">
            <x14:dataBar minLength="0" maxLength="100" gradient="0">
              <x14:cfvo type="autoMin"/>
              <x14:cfvo type="autoMax"/>
              <x14:negativeFillColor rgb="FFFF0000"/>
              <x14:axisColor rgb="FF000000"/>
            </x14:dataBar>
          </x14:cfRule>
          <xm:sqref>F1640:F1646</xm:sqref>
        </x14:conditionalFormatting>
        <x14:conditionalFormatting xmlns:xm="http://schemas.microsoft.com/office/excel/2006/main">
          <x14:cfRule type="dataBar" id="{4E471D3C-09BB-402A-AC3A-00215735B114}">
            <x14:dataBar minLength="0" maxLength="100" gradient="0">
              <x14:cfvo type="autoMin"/>
              <x14:cfvo type="autoMax"/>
              <x14:negativeFillColor rgb="FFFF0000"/>
              <x14:axisColor rgb="FF000000"/>
            </x14:dataBar>
          </x14:cfRule>
          <xm:sqref>F1649:F1656</xm:sqref>
        </x14:conditionalFormatting>
        <x14:conditionalFormatting xmlns:xm="http://schemas.microsoft.com/office/excel/2006/main">
          <x14:cfRule type="dataBar" id="{AFA7C725-CB35-4436-81DB-AB1ADBF9AF79}">
            <x14:dataBar minLength="0" maxLength="100" gradient="0">
              <x14:cfvo type="autoMin"/>
              <x14:cfvo type="autoMax"/>
              <x14:negativeFillColor rgb="FFFF0000"/>
              <x14:axisColor rgb="FF000000"/>
            </x14:dataBar>
          </x14:cfRule>
          <xm:sqref>F1659:F1666</xm:sqref>
        </x14:conditionalFormatting>
        <x14:conditionalFormatting xmlns:xm="http://schemas.microsoft.com/office/excel/2006/main">
          <x14:cfRule type="dataBar" id="{4084D365-54BA-4DCB-828D-6B3AA575121D}">
            <x14:dataBar minLength="0" maxLength="100" gradient="0">
              <x14:cfvo type="autoMin"/>
              <x14:cfvo type="autoMax"/>
              <x14:negativeFillColor rgb="FFFF0000"/>
              <x14:axisColor rgb="FF000000"/>
            </x14:dataBar>
          </x14:cfRule>
          <xm:sqref>F1670:F1676</xm:sqref>
        </x14:conditionalFormatting>
        <x14:conditionalFormatting xmlns:xm="http://schemas.microsoft.com/office/excel/2006/main">
          <x14:cfRule type="dataBar" id="{95195B3D-F3E3-490F-8551-65E6A9EC003C}">
            <x14:dataBar minLength="0" maxLength="100" gradient="0">
              <x14:cfvo type="autoMin"/>
              <x14:cfvo type="autoMax"/>
              <x14:negativeFillColor rgb="FFFF0000"/>
              <x14:axisColor rgb="FF000000"/>
            </x14:dataBar>
          </x14:cfRule>
          <xm:sqref>F1680:F1687</xm:sqref>
        </x14:conditionalFormatting>
        <x14:conditionalFormatting xmlns:xm="http://schemas.microsoft.com/office/excel/2006/main">
          <x14:cfRule type="dataBar" id="{4C9AD332-2B4F-472F-8C25-4BEBD3F15159}">
            <x14:dataBar minLength="0" maxLength="100" gradient="0">
              <x14:cfvo type="autoMin"/>
              <x14:cfvo type="autoMax"/>
              <x14:negativeFillColor rgb="FFFF0000"/>
              <x14:axisColor rgb="FF000000"/>
            </x14:dataBar>
          </x14:cfRule>
          <xm:sqref>F1692:F1698</xm:sqref>
        </x14:conditionalFormatting>
        <x14:conditionalFormatting xmlns:xm="http://schemas.microsoft.com/office/excel/2006/main">
          <x14:cfRule type="dataBar" id="{72A46C3A-E70D-48D8-B34D-60DC20337F71}">
            <x14:dataBar minLength="0" maxLength="100" gradient="0">
              <x14:cfvo type="autoMin"/>
              <x14:cfvo type="autoMax"/>
              <x14:negativeFillColor rgb="FFFF0000"/>
              <x14:axisColor rgb="FF000000"/>
            </x14:dataBar>
          </x14:cfRule>
          <xm:sqref>F1703:F1705</xm:sqref>
        </x14:conditionalFormatting>
        <x14:conditionalFormatting xmlns:xm="http://schemas.microsoft.com/office/excel/2006/main">
          <x14:cfRule type="dataBar" id="{5BA13507-6DD3-46F0-835B-E44EA9567B45}">
            <x14:dataBar minLength="0" maxLength="100" gradient="0">
              <x14:cfvo type="autoMin"/>
              <x14:cfvo type="autoMax"/>
              <x14:negativeFillColor rgb="FFFF0000"/>
              <x14:axisColor rgb="FF000000"/>
            </x14:dataBar>
          </x14:cfRule>
          <xm:sqref>F1709:F1716</xm:sqref>
        </x14:conditionalFormatting>
        <x14:conditionalFormatting xmlns:xm="http://schemas.microsoft.com/office/excel/2006/main">
          <x14:cfRule type="dataBar" id="{3E7E0401-4E8E-4DE1-B04F-38D332EBDFB4}">
            <x14:dataBar minLength="0" maxLength="100" gradient="0">
              <x14:cfvo type="autoMin"/>
              <x14:cfvo type="autoMax"/>
              <x14:negativeFillColor rgb="FFFF0000"/>
              <x14:axisColor rgb="FF000000"/>
            </x14:dataBar>
          </x14:cfRule>
          <xm:sqref>F1722:F1728</xm:sqref>
        </x14:conditionalFormatting>
        <x14:conditionalFormatting xmlns:xm="http://schemas.microsoft.com/office/excel/2006/main">
          <x14:cfRule type="dataBar" id="{6C935669-4279-4FD5-ACFB-18C5366E5B4A}">
            <x14:dataBar minLength="0" maxLength="100" gradient="0">
              <x14:cfvo type="autoMin"/>
              <x14:cfvo type="autoMax"/>
              <x14:negativeFillColor rgb="FFFF0000"/>
              <x14:axisColor rgb="FF000000"/>
            </x14:dataBar>
          </x14:cfRule>
          <xm:sqref>F1741:F1747</xm:sqref>
        </x14:conditionalFormatting>
        <x14:conditionalFormatting xmlns:xm="http://schemas.microsoft.com/office/excel/2006/main">
          <x14:cfRule type="dataBar" id="{420ED20E-5581-40A0-B4C4-461EA1E6D403}">
            <x14:dataBar minLength="0" maxLength="100" gradient="0">
              <x14:cfvo type="autoMin"/>
              <x14:cfvo type="autoMax"/>
              <x14:negativeFillColor rgb="FFFF0000"/>
              <x14:axisColor rgb="FF000000"/>
            </x14:dataBar>
          </x14:cfRule>
          <xm:sqref>F1770:F1776</xm:sqref>
        </x14:conditionalFormatting>
        <x14:conditionalFormatting xmlns:xm="http://schemas.microsoft.com/office/excel/2006/main">
          <x14:cfRule type="dataBar" id="{CC7741E1-338B-41C2-89BF-EC1DAC7581AE}">
            <x14:dataBar minLength="0" maxLength="100" gradient="0">
              <x14:cfvo type="autoMin"/>
              <x14:cfvo type="autoMax"/>
              <x14:negativeFillColor rgb="FFFF0000"/>
              <x14:axisColor rgb="FF000000"/>
            </x14:dataBar>
          </x14:cfRule>
          <xm:sqref>F1798:F1804</xm:sqref>
        </x14:conditionalFormatting>
        <x14:conditionalFormatting xmlns:xm="http://schemas.microsoft.com/office/excel/2006/main">
          <x14:cfRule type="dataBar" id="{C0A8248D-FE8F-494F-8716-6606F7BD0F4C}">
            <x14:dataBar minLength="0" maxLength="100" gradient="0">
              <x14:cfvo type="autoMin"/>
              <x14:cfvo type="autoMax"/>
              <x14:negativeFillColor rgb="FFFF0000"/>
              <x14:axisColor rgb="FF000000"/>
            </x14:dataBar>
          </x14:cfRule>
          <xm:sqref>F1856:F1862</xm:sqref>
        </x14:conditionalFormatting>
        <x14:conditionalFormatting xmlns:xm="http://schemas.microsoft.com/office/excel/2006/main">
          <x14:cfRule type="dataBar" id="{109C6A16-8EAB-45E7-A7C9-067100A6EA47}">
            <x14:dataBar minLength="0" maxLength="100" gradient="0">
              <x14:cfvo type="autoMin"/>
              <x14:cfvo type="autoMax"/>
              <x14:negativeFillColor rgb="FFFF0000"/>
              <x14:axisColor rgb="FF000000"/>
            </x14:dataBar>
          </x14:cfRule>
          <xm:sqref>F1892:F1898</xm:sqref>
        </x14:conditionalFormatting>
        <x14:conditionalFormatting xmlns:xm="http://schemas.microsoft.com/office/excel/2006/main">
          <x14:cfRule type="dataBar" id="{1B0CA718-9E6A-471B-B791-F19257A88C2B}">
            <x14:dataBar minLength="0" maxLength="100" gradient="0">
              <x14:cfvo type="autoMin"/>
              <x14:cfvo type="autoMax"/>
              <x14:negativeFillColor rgb="FFFF0000"/>
              <x14:axisColor rgb="FF000000"/>
            </x14:dataBar>
          </x14:cfRule>
          <xm:sqref>F1928:F1934</xm:sqref>
        </x14:conditionalFormatting>
      </x14:conditionalFormattings>
    </ext>
    <ext xmlns:x14="http://schemas.microsoft.com/office/spreadsheetml/2009/9/main" uri="{CCE6A557-97BC-4b89-ADB6-D9C93CAAB3DF}">
      <x14:dataValidations xmlns:xm="http://schemas.microsoft.com/office/excel/2006/main" disablePrompts="1" count="5">
        <x14:dataValidation type="list" allowBlank="1" showInputMessage="1" showErrorMessage="1">
          <x14:formula1>
            <xm:f>Sheet3!$D$6:$D$11</xm:f>
          </x14:formula1>
          <xm:sqref>C3 C5 C21 C23 C27:C28 C30 C39 C49:C50 C52 C60 C70 C79 C81 C97:C98 C107 C129 C131 C149 C158 C178 C189 C200 C211 C220 C232 C238 C247 C259 C268 C287 C296 C320 C332 C355 C366 C384 C394 C417 C427 C446 C458 C467 C478 C499 C508 C528 C537 C560 C569 C579 C588:C589 C598 C610 C612 C623 C633 C643 C654 C664 C672:C673 C682 C692 C702 C710 C713 C724 C734 C745 C756 C767 C777:C778 C788 C799 C811 C818 C828 C837 C846:C847 C857 C869 C879 C890 C901 C911 C923 C932 C943 C951 C962 C971 C980 C989 C998 C1008 C1021 C1032 C1043 C1055 C1066 C1078 C1089 C1099 C1111 C1122 C1142 C1154 C1175 C1197 C1199 C1223 C1234 C1254 C1266 C1275 C1286 C1295 C1318 C1327 C1348:C1349 C1359 C1378 C1388 C1409 C1426 C1418 C1439 C1456 C1448 C1460 C1489 C1481 C1492 C1502 C1513 C1523 C1533 C1553 C1572 C1564 C1584 C1594 C1615 C1628 C1649 C1659 C1680 C1691 C1709 C1721 C1731 C1740 C1760 C1769 C1788 C1797 C1808 C1828 C1843:C1844 C1854:C1855 C1880 C1890:C1891 C1914 C1926:C1927 C1938 C1949 C1969 C1980 C2003 C2016 C2037 C2040 C2060 C2072 C2091 C2100 C2120 C2130 C2139 C2149 C2159 C2168 C2177 C2189 C2200 C2211 C2221 C2230 C2242 C2253 C2265 C2279 C2288 C2299 C2311 C2322 C2332 C2345 C2355 C2365:C2366 C2377 C2387 C2398 C2410 C2421:C2422 C2432 C2457 C2471 C2486 C2507 C2520 C2541 C2567 C2579 C2603 C2613 C2623 C2635 C2658 C2668 C2690 C2698:C2699 C2722 C2733 C2751 C2760 C2779 C2788 C2808 C2817 C2827 C2835 C2844 C2854 C2864 C2884 C2894 C2914 C2925 C2945 C2954 C2966:C2968 C2978 C2996 C3005 C3025:C3026 C3036 C3055 C3066 C3079 C3090 C3098 C3100 C3112 C3132 C3136 C3148 C3158 C3180 C3190 C3210 C3219 C3239 C3248 C3257 C3266 C3286 C3297 C3317 C3328 C3349 C3358 C3378 C3387 C3407 C3419 C3437 C3447 C3459 C3468 C3479 C3489 C3499 C3522 C3532 C3555 C3565 C3588 C3597 C3620 C3632 C3652 C3663 C3685 C3696 C3706 C3715 C3747 C3770 C3779 C3799 C3808 C3832 C3840 C3862 C3870 C3880 C3891 C3922:C3923 C3944 C3955 C3977 C3988 C4007 C4017 C4039 C4041 C4062 C4071 C4080 C4089 C4098 C4107 C4118 C4130 C4139 C4149 C4171 C4181 C4202 C4213 C4238 C4247 C4267 C4276 C4295 C4306 C4328 C4338 C4347 C4356 C4383 C4394 C4416 C4423 C4449 C4458 C4483 C4492 C4505 C4515 C4525 C4535 C4548 C4560 C4569 C4579 C4588 C4598 C4607 C4616 C4626 C4635 C4645 C4656 C4665 C4675 C4684 C4693 C4705 C4716 C4719 C4729 C4738 C4748 C4755 C4758:C4759 C4766 C4775 C4783 C4785 C4796 C4807 C4815 C4818 C4827 C4839 C4853 C4847:C4851 C4855 C4857 C4861 C4868 C4871 C4883 C4903 C4913 C4929:C4930 C4938 C4958 C4977 C4985 C5005:C5006 C5015 C4995 C5033 C5040 C5055:C5056 C5066 C5077 C5086 C5101:C5102 C5110 C5119 C5127 C5145 C5153 C5171 C5183 C5200 C5208 C5227 C5235 C5255 C5262 C5279 C5287 C5295 C5302:C5303 C5310 C5317 C5333 C5342 C5357 C5365 C5389 C5411 C5433 C5455 C5472 C5480 C5489 C5496 C5503 C5511 C5513 C5527 C5535 C5550 C5557 C5573 C5581 C5598 C5606 C5621 C5633 C5641 C5650 C5660 C5669 C5679 C5688 C5697 C5706 C5716 C5727 C5735</xm:sqref>
        </x14:dataValidation>
        <x14:dataValidation type="list" allowBlank="1" showInputMessage="1" showErrorMessage="1">
          <x14:formula1>
            <xm:f>Sheet3!$D$14</xm:f>
          </x14:formula1>
          <xm:sqref>H3 H12 H21 H27:H28 H36 H39 H49:H50 H58 H60:H61 H70 H79 H89 H97:H98 H107 H119 H129 H131 H140 H149 H158 H167 H178 H189 H200 H211 H220 H232 H238 H247 H259 H268 H278 H287 H296 H309 H320 H332 H344 H355 H366 H375 H384 H394 H404 H417 H427 H437 H446 H458 H467 H478 H488 H499 H508 H518 H528 H537 H547 H560 H569 H579 H588:H589 H598 H610 H612 H623 H633 H643 H654 H664 H672:H673 H682 H692 H702 H710 H713 H724 H734 H745 H756 H767 H777:H778 H788 H799 H811 H818 H828 H837 H846:H847 H857 H869 H879 H890 H901 H911 H923 H932 H943 H951 H962 H971 H980 H989 H998 H1008 H1021 H1032 H1043 H1055 H1066 H1078 H1089 H1099 H1111 H1122 H1132 H1142 H1154 H1164 H1175 H1186 H1197 H1199 H1210 H1223 H1234 H1244 H1254 H1266 H1275 H1286 H1295 H1306 H1318 H1327 H1337 H1348:H1349 H1359 H1369 H1378 H1388 H1398 H1409 H1426 H1418 H1429 H1439 H1456 H1448 H1460 H1471 H1489 H1481 H1492 H1502 H1513 H1523 H1533 H1544 H1553 H1572 H1564 H1574 H1584 H1594 H1605 H1615 H1628 H1639 H1649 H1659 H1669 H1680 H1691 H1702 H1709 H1721 H1731 H1740 H1752 H1760 H1769 H1780 H1788 H1797 H1808 H1817 H1828 H1834 H1843:H1844 H1854:H1855 H1868 H1880 H1890:H1891 H1902 H1914 H1926:H1927 H1938 H1949 H1960 H1969 H1980 H1992 H2003 H2016 H2027 H2037 H2040 H2050 H2060 H2072 H2082 H2091 H2100 H2110 H2120 H2130 H2139 H2149 H2159 H2168 H2177 H2189 H2200 H2211 H2221 H2230 H2242 H2253 H2265 H2279 H2288 H2299 H2311 H2322 H2332 H2345 H2355 H2365:H2366 H2377 H2387 H2398 H2410 H2421:H2422 H2432 H2445 H2457 H2471 H2486 H2497 H2507 H2520 H2531 H2541 H2554 H2567 H2579 H2590 H2603 H2613 H2623 H2635 H2647 H2658 H2668 H2678 H2690 H2698:H2699 H2709 H2722 H2733 H2742 H2751 H2760 H2770 H2779 H2788 H2799 H2808 H2817 H2827 H2835 H2844 H2854 H2864 H2875 H2884 H2894 H2905 H2914 H2925 H2935 H2945 H2954 H2957 H2966:H2968 H2978 H2987 H2996 H3005 H3015 H3025:H3026 H3036 H3046 H3055 H3066 H3079 H3090 H3098 H3100:H3101 H3112 H3124 H3132 H3136 H3148 H3158 H3168 H3180 H3190 H3202 H3210 H3219 H3229 H3239 H3248 H3257 H3266 H3276 H3286 H3297 H3308 H3317 H3328 H3338 H3349 H3358 H3367 H3378 H3387 H3396 H3407 H3419 H3428 H3437 H3447 H3459 H3468 H3479 H3489 H3499 H3511 H3522 H3532 H3544 H3555 H3565 H3578 H3588 H3597 H3609 H3620 H3632 H3642 H3652 H3663 H3676 H3685 H3696 H3706 H3715 H3727 H3736 H3747 H3759 H3770 H3779 H3789:H3790 H3799 H3808 H3820:H3821 H3832 H3840 H3851 H3862 H3870 H3880 H3891 H3900 H3912 H3922:H3923 H3933 H3944 H3955 H3965 H3977 H3988 H3997 H4007 H4017 H4029 H4039 H4041 H4051 H4062 H4071 H4080 H4089 H4098 H4107 H4118 H4130 H4139 H4149 H4162 H4171 H4181 H4192 H4202 H4213 H4226 H4238 H4247 H4256 H4267 H4276 H4285 H4295 H4306 H4315 H4328 H4338 H4347 H4356 H4368 H4383 H4394 H4405 H4416 H4423 H4435 H4449 H4458 H4472 H4483 H4492 H4505 H4515 H4525 H4535 H4548 H4560 H4569 H4579 H4588 H4598 H4607 H4616 H4626 H4635 H4645 H4656 H4665 H4675 H4684 H4693 H4705 H4716 H4719 H4729 H4738 H4748 H4755 H4758 H4766 H4775 H4783 H4785 H4796 H4807 H4815 H4818 H4827 H4839 H4853 H4847:H4851 H4855 H4857 H4861 H4868 H4871 H4883 H4893 H4903 H4913 H4922 H4929:H4930 H4938 H4947 H4958 H4968 H4977 H4985 H4995 H5005:H5006 H5015 H5025 H5033 H5040 H5047 H5055:H5056 H5066 H5073:H5074 H5077 H5086 H5094 H5101:H5102 H5110 H5119 H5127 H5137 H5145 H5153 H5164 H5171 H5183 H5192 H5200 H5208 H5218 H5227 H5235 H5246 H5255 H5262 H5270 H5279 H5287 H5295 H5302:H5303 H5310 H5317 H5324 H5333 H5342 H5349 H5357 H5365 H5373 H5381 H5389 H5395 H5404 H5411 H5419 H5426 H5433 H5440 H5448 H5455 H5463 H5472 H5480 H5489 H5496 H5503 H5509 H5511 H5513 H5521 H5527 H5535 H5542 H5547 H5550 H5557 H5565 H5570 H5573 H5581 H5590 H5595 H5598 H5606 H5614 H5621 H5633 H5641 H5650 H5660 H5669 H5679 H5688 H5697:H5698 H5706 H5716 H5727:H5728 H5735</xm:sqref>
        </x14:dataValidation>
        <x14:dataValidation type="list" allowBlank="1" showInputMessage="1" showErrorMessage="1">
          <x14:formula1>
            <xm:f>Sheet3!$E$6:$E$8</xm:f>
          </x14:formula1>
          <xm:sqref>D3:E3 D12:E12 D21:E21 P4:P6 P13 P22 D27:E28 D36:E36 D39:E39 D49:E50 D58:E58 D60:E61 D70:E70 D79:E79 D89:E89 D97:E98 D107:E107 D119:E119 D129:E129 D131:E131 D140:E140 D149:E149 D158:E158 D167:E167 D178:E178 D189:E189 D200:E200 D211:E211 D220:E220 D232:E232 D238:E238 D247:E247 D259:E259 D268:E268 D278:E278 D287:E287 D296:E296 D309:E309 D320:E320 D332:E332 D344:E344 D355:E355 D366:E366 D375:E375 D384:E384 D394:E394 D404:E404 D417:E417 D427:E427 D437:E437 D446:E446 D458:E458 D467:E467 D478:E478 D488:E488 D499:E499 D508:E508 D518:E518 D528:E528 D537:E537 D547:E547 D560:E560 D569:E569 D579:E579 D588:E589 D598:E598 D610:E610 D612:E612 D623:E623 D633:E633 D643:E643 D654:E654 D664:E664 D672:E673 D682:E682 D692:E692 D702:E702 D710:E710 D713:E713 D724:E724 D734:E734 D745:E745 D756:E756 D767:E767 D777:E778 D788:E788 D799:E799 D811:E811 D818:E818 D828:E828 D837:E837 D846:E847 D857:E857 D869:E869 D879:E879 D890:E890 D901:E901 D911:E911 D923:E923 D932:E932 D943:E943 D951:E951 D962:E962 D971:E971 D980:E980 D989:E989 D998:E998 D1008:E1008 D1021:E1021 D1032:E1032 D1043:E1043 D1055:E1055 D1066:E1066 D1078:E1078 D1089:E1089 D1099:E1099 D1111:E1111 D1122:E1122 D1132:E1132 D1142:E1142 D1154:E1154 D1164:E1164 D1175:E1175 D1186:E1186 D1197:E1197 D1199:E1199 D1210:E1210 D1223:E1223 D1234:E1234 D1244:E1244 D1254:E1254 D1266:E1266 D1275:E1275 D1286:E1286 D1295:E1295 D1306:E1306 D1318:E1318 D1327:E1327 D1337:E1337 D1348:E1349 D1359:E1359 D1369:E1369 D1378:E1378 D1388:E1388 D1398:E1398 D1409:E1409 D1426:E1426 D1418:E1418 D1429:E1429 D1439:E1439 D1456:E1456 D1448:E1448 D1460:E1460 D1471:E1471 D1489:E1489 D1481:E1481 D1492:E1492 D1502:E1502 D1513:E1513 D1523:E1523 D1533:E1533 D1544:E1544 D1553:E1553 D1572:E1572 D1564:E1564 D1574:E1574 D1584:E1584 D1594:E1594 D1605:E1605 D1615:E1615 D1628:E1628 D1639:E1639 D1649:E1649 D1659:E1659 D1669:E1669 D1680:E1680 D1691:E1691 D1702:E1702 D1709:E1709 D1721:E1721 D1731:E1731 D1740:E1740 D1752:E1752 D1760:E1760 D1769:E1769 D1780:E1780 D1788:E1788 D1797:E1797 D1808:E1808 D1817:E1817 D1828:E1828 D1834:E1834 D1843:E1844 D1854:E1855 D1868:E1868 D1880:E1880 D1890:E1891 D1902:E1902 D1914:E1914 D1926:E1927 D1938:E1938 D1949:E1949 D1960:E1960 D1969:E1969 D1980:E1980 D1992:E1992 D2003:E2003 D2016:E2016 D2027:E2027 D2037:E2037 D2040:E2040 D2050:E2050 D2060:E2060 D2072:E2072 D2082:E2082 D2091:E2091 D2100:E2100 D2110:E2110 D2120:E2120 D2130:E2130 D2139:E2139 D2149:E2149 D2159:E2159 D2168:E2168 D2177:E2177 D2189:E2189 D2200:E2200 D2211:E2211 D2221:E2221 D2230:E2230 D2242:E2242 D2253:E2253 D2265:E2265 D2279:E2279 D2288:E2288 D2299:E2299 D2567:E2567 D2322:E2322 D2332:E2332 O2583 D2355:E2355 D2365:E2366 D2387:E2387 D2410:E2410 D2421:E2422 D2445:E2445 D2457:E2457 D2486:E2486 D2497:E2497 D2520:E2520 D2531:E2531 D2590:E2590 D2554:E2554 D2603:E2603 D2623:E2623 D2635:E2635 D2647:E2647 D2658:E2658 D2678:E2678 D2690:E2690 D2709:E2709 D2722:E2722 D2742:E2742 D2751:E2751 D2770:E2770 D2779:E2779 D2799:E2799 D2808:E2808 D2827:E2827 D2835:E2835 D2854:E2854 D3468:E3468 D2875:E2875 D2884:E2884 D3459:E3459 D2905:E2905 D2914:E2914 D3286:E3286 D2935:E2935 D2945:E2945 D3437:E3437 D2957:E2957 D2966:E2968 D3428:E3428 D2987:E2987 D2996:E2996 D3317:E3317 D3015:E3015 D3025:E3026 D3407:E3407 D3046:E3046 D3396:E3396 D3066:E3066 D3079:E3079 D3387:E3387 D3098:E3098 D3100:E3101 D3112:E3112 D3378:E3378 D3132:E3132 D3136:E3136 D3148:E3148 D3367:E3367 D3168:E3168 D3180:E3180 D3308:E3308 D3202:E3202 D3210:E3210 D3349:E3349 D3229:E3229 D3239:E3239 D3338:E3338 D3257:E3257 D3266:E3266 D3276:E3276 D3489:E3489 D3511:E3511 D3522:E3522 D3544:E3544 D3555:E3555 D3578:E3578 D3588:E3588 D3609:E3609 D3620:E3620 D3642:E3642 D3652:E3652 D3676:E3676 D3685:E3685 D3706:E3706 D3727:E3727 D3736:E3736 D3759:E3759 D3770:E3770 D3789:E3790 D3799:E3799 D3820:E3821 D3832:E3832 D3851:E3851 D3862:E3862 D3880:E3880 D3891:E3891 D3912:E3912 D3922:E3923 D3933:E3933 D3944:E3944 D4162:E4162 D3965:E3965 D3977:E3977 D4267:E4267 D3997:E3997 D4007:E4007 D4256:E4256 D4029:E4029 D4039:E4039 D4171:E4171 D4051:E4051 D4062:E4062 D4238:E4238 D4080:E4080 D4089:E4089 D4226:E4226 D4107:E4107 D4118:E4118 D4192:E4192 D4139:E4139 D4202:E4202 D4285:E4285 D4295:E4295 D4315:E4315 D4328:E4328 D4347:E4347 D4368:E4368 D4383:E4383 D4405:E4405 D4416:E4416 D4435:E4435 D4449:E4449 D4472:E4472 D4483:E4483 D4505:E4505 D4515:E4515 D4535:E4535 D4548:E4548 D4569:E4569 D4579:E4579 D4588:E4588 D4598:E4598 D4616:E4616 D4626:E4626 D4645:E4645 D4656:E4656 D4675:E4675 D4684:E4684 D4705:E4705 D4716:E4716 D4729:E4729 D4738:E4738 D4758:E4758 D4766:E4766 D4785:E4785 D4807:E4807 D4818:E4818 D4839:E4839 D4853:E4853 D4849:E4850 D4855:E4855 D4861:E4861 D4871:E4871 D4893:E4893 D4903:E4903 D4922:E4922 D4929:E4930 D4947:E4947 D4968:E4968 D4977:E4977 D4995:E4995 D5005:E5006 D5025:E5025 D5033:E5033 D5055:E5056 D5047:E5047 D5073:E5074 D5077:E5077 D5094:E5094 D5101:E5102 D5119:E5119 D5127:E5127 D5137:E5137 D5145:E5145 D5164:E5164 D5171:E5171 D5192:E5192 D5200:E5200 D5218:E5218 D5227:E5227 D5246:E5246 D5255:E5255 D5270:E5270 D5279:E5279 D5295:E5295 D5302:E5303 D5317:E5317 D5333:E5333 D5342:E5342 D5357:E5357 D5365:E5365 D5381:E5381 D5389:E5389 D5404:E5404 D5411:E5411 D5426:E5426 D5433:E5433 D5448:E5448 D5455:E5455 D5472:E5472 D5511:E5511 D5489:E5489 D5496:E5496 D5509:E5509 D5521:E5521 D5527:E5527 D5542:E5542 D5547:E5547 D5550:E5550 D5565:E5565 D5570:E5570 D5573:E5573 D5590:E5590 D5595:E5595 D5598:E5598 D5614:E5614 D5621:E5621 D5633:E5633 D5641:E5641 D5650 D5660 D5669 D5679 D5688 D5697:D5698 D5706 D5716 D5727:D5728 D5735</xm:sqref>
        </x14:dataValidation>
        <x14:dataValidation type="list" allowBlank="1" showInputMessage="1" showErrorMessage="1">
          <x14:formula1>
            <xm:f>Sheet3!$L$7:$L$56</xm:f>
          </x14:formula1>
          <xm:sqref>M1:M2 M7:M8 M11 M16:M17 M20 M25:M26 M32:M33 M37:M38 M43:M44 M54:M55 M65:M66 M69:M76 M78 M83:M84 M88 M93:M94 M97:M104 M106 M111:M112 M115:M118 M123:M124 M128 M130 M135:M136 M139 M144:M145 M148:M155 M157 M162:M163 M166 M171:M172 M177:M184 M186:M195 M199 M204:M205 M211:M217 M219:M226 M230:M232 M239:M244 M237 M246:M253 M263:M265 M255:M261 M267:M270 M272:M274 M276:M277 M282:M283 M286:M289 M291:M293 M295:M298 M300:M303 M306:M307 M311 M313:M314 M318:M322 M324:M326 M331:M334 M336:M338 M340:M343 M348:M349 M346 M359:M361 M353:M356 M366:M372 M374 M377 M379:M380 M383:M385 M388:M390 M393:M400 M403 M408:M409 M406 M414:M418 M421:M423 M426:M433 M435:M436 M439 M441:M442 M445:M447 M450:M452 M457 M460 M462:M463 M466 M471:M472 M469 M477 M482:M483 M480 M487 M490 M492:M493 M501 M503:M504 M510 M512:M513 M517 M522:M523 M520 M527 M532:M533 M530 M536 M541:M542 M539 M546 M549 M551:M552 M556 M558:M559 M562 M564:M565 M568 M571 M573:M574 M578 M581 M583:M584 M593:M594 M591 M597 M602:M603 M600 M606:M611 M614 M616:M617 M620 M622 M625 M627:M628 M632 M637:M638 M635 M641:M642 M647:M648 M645 M653 M658:M659 M656 M663 M666 M668:M669 M675 M677:M678 M681 M684 M686:M687 M691 M696:M697 M694 M701 M704 M706:M707 M712 M717:M718 M715 M723 M726 M728:M729 M733 M738:M739 M736 M742:M744 M747 M749:M750 M755 M760:M761 M758 M766 M769 M771:M772 M776 M782:M783 M780 M786:M787 M790 M793 M798 M803:M804 M801 M810 M813 M815 M817:M820 M822:M824 M827 M830 M832:M833 M836 M839:M841 M846:M849 M851:M853 M856 M861:M862 M859 M865:M868 M871:M874 M883:M885 M878:M881 M887:M889 M892 M894:M895 M900:M903 M905:M907 M915:M917 M909:M913 M919:M922 M928 M925:M926 M936:M938 M932:M934 M940:M945 M947:M953 M955:M957 M961 M964:M965 M967 M972:M973 M970 M975:M976 M979:M982 M984:M986 M988:M991 M993:M995 M1002:M1004 M999:M1000 M997 M1007:M1009 M1012:M1014 M1020:M1023 M1025:M1027 M1031 M1033:M1034 M1036:M1038 M1040:M1044 M1047:M1049 M1059:M1061 M1056:M1057 M1054 M1064:M1065 M1070:M1072 M1067:M1068 M1082:M1084 M1074:M1079 M1088:M1090 M1093:M1095 M1098:M1100 M1103:M1105 M1109:M1112 M1115:M1117 M1121:M1123 M1126:M1128 M1136:M1138 M1132:M1133 M1146:M1148 M1140:M1143 M1151:M1155 M1158:M1160 M1165 M1168:M1170 M1163 M1174:M1176 M1179:M1181 M1184:M1187 M1190:M1192 M1196 M1203:M1205 M1200 M1198 M1208:M1211 M1214:M1216 M1222:M1223 M1228:M1230 M1225 M1233:M1235 M1238:M1240 M1242:M1245 M1248:M1250 M1253:M1255 M1258:M1260 M1265:M1267 M1270:M1272 M1274:M1276 M1279:M1281 M1284:M1287 M1290:M1292 M1294:M1296 M1299:M1301 M1305:M1307 M1310:M1312 M1316:M1319 M1322:M1324 M1331:M1333 M1327:M1328 M1335:M1338 M1345 M1341:M1343 M1348:M1350 M1353:M1355 M1358:M1360 M1363:M1365 M1368:M1370 M1373:M1375 M1377:M1379 M1382:M1384 M1387:M1389 M1392:M1394 M1397:M1399 M1402:M1404 M1407:M1410 M1413:M1415 M1418:M1419 M1422:M1424 M1426:M1427 M1433:M1435 M1429:M1430 M1438:M1440 M1443:M1445 M1447:M1449 M1452:M1454 M1456:M1461 M1464:M1466 M1470:M1472 M1475:M1477 M1480:M1482 M1485:M1487 M1489 M1496:M1498 M1491:M1493 M1501:M1503 M1506:M1508 M1512:M1514 M1517:M1519 M1522:M1524 M1527:M1529 R1523:R1524 R1527:R1529 M1537:M1539 M1533:M1534 M1542:M1545 M1548:M1550 M1557:M1559 M1553:M1554 M1563:M1565 M1568:M1570 M1572:M1575 M1578:M1580 M1583:M1585 M1588:M1590 M1593:M1595 M1598:M1600 M1604:M1606 M1609:M1611 M1614:M1616 M1619:M1621 M1627:M1629 M1632:M1634 M1643:M1645 M1639:M1640 M1648:M1650 M1655 M1653 M1658:M1660 M1663:M1665 M1668:M1670 M1673:M1675 M1679:M1681 M1684 M1686 M1690:M1692 M1695:M1697 M1701:M1703 M1707:M1710 M1715 M1713 M1720:M1722 M1725:M1727 M1730:M1732 M1735:M1737 M1739:M1741 M1744:M1746 M1749 M1751:M1753 M1756:M1761 M1764:M1766 M1768:M1770 M1773:M1775 M1779:M1781 M1784:M1789 M1792:M1794 M1796:M1798 M1801:M1803 M1806:M1809 M1812:M1814 M1816:M1818 N1826 M1821:M1823 M1838:M1840 M1827:M1828 M1830 M1834:M1835 M1843:M1845 M1848:M1850 M1859:M1861 M1855:M1856 M1867:M1869 M1872:M1874 M1878:M1881 M1884:M1886 M1889 M1891:M1892 M1895:M1897 M1906:M1908 M1903 M1901 M1912:M1915 M1918:M1920 M1925 M1931:M1933 M1927:M1928 M1937 M1939 M1942:M1944 M1948:M1950 M1953:M1955 M1958 M1963:M1965 M1960 M1975 M1970 M1973 M1979 M1984:M1986 M1981 M1990:M1992 M1995:M1997 M2001:M2002 M2007 M2009 M2004 M2015:M2017 M2020:M2022 M2026:M2027 M2030:M2032 M2036 M2038:M2041 M2044:M2046 M2048:M2051 M2054:M2056 M2058:M2059 M2061 M2064 M2066 M2071:M2073 M2076:M2078 M2080:M2083 M2086:M2088 M2090 M2097 M2092 M2095 M2104:M2106 M2099:M2101 M2108:M2111 M2114:M2116 M2119 M2124 M2126 M2121 M2129:M2131 M2134:M2136 M2138:M2140 M2143:M2145 M2153:M2155 M2149:M2150 M2158:M2160 M2163:M2165 M2167:M2169 M2172:M2174 M2181:M2183 M2177:M2178 M2185:M2190 M2193:M2195 M2199:M2201 M2204:M2206 M2210:M2212 M2215:M2217 M2220:M2222 M2225:M2227 M2234:M2236 M2230:M2231 M2241:M2243 M2246:M2248 M2252:M2254 M2257:M2259 M2263:M2266 M2269:M2271 M2278:M2280 M2283:M2284 M2292:M2294 M2288:M2289 M2298:M2300 M2303:M2305 M2310:M2312 M2315:M2316 M2321:M2323 M2326:M2328 M2331:M2333 M2336:M2338 M2349:M2351 M2345:M2346 M2354:M2356 M2359:M2361 M2365:M2367 M2370:M2372 M2375:M2378 M2381:M2383 M2386:M2388 M2391:M2393 M2397:M2399 M2402:M2404 M2409:M2411 M2414:M2416 M2419:M2423 M2426:M2428 M2431:M2433 M2436:M2438 M2443:M2446 M2449:M2451 M2456:M2458 M2461:M2462 M2470:M2472 M2475:M2477 N2481 M2490:M2492 M2495:M2498 M2501:M2502 M2506:M2508 M2511:M2512 M2516 M2482:M2483 M2485:M2487 M2518:M2521 M2524:M2526 M2530:M2532 M2535:M2536 M2540:M2542 M2545:M2547 M2553:M2555 M2558:M2560 M2565:M2568 M2571:M2572 M2583:M2585 M2578:M2580 M2588:M2591 M2594:M2596 M2602:M2604 M2607:M2608 M2612:M2614 M2617:M2619 M2622:M2624 M2627:M2628 M2633:M2636 M2639:M2640 M2645:M2648 M2651:M2652 M2657:M2659 M2662:M2663 M2667:M2669 M2672:M2674 M2676:M2679 M2682:M2683 M2688:M2691 M2694:M2695 M2698:M2700 M2703:M2705 M2708:M2710 M2713:M2714 M2719:M2720 M2722:M2723 M2726:M2727 M2737:M2738 M2742:M2743 M2746:M2748 M2751:M2752 M2755:M2756 M2764:M2765 M2770:M2771 M2774:M2776 M2779:M2780 M2792:M2793 M2799:M2800 M2808:M2809 M2812 M2821:M2822 M2827:M2828 M2835:M2836 M2848:M2849 M2854:M2855 M2858 M2864:M2865 M2868:M2870 M2875:M2876 M2879:M2881 M2884:M2885 M2888 M2894:M2895 M2898:M2900 M2905:M2906 M2909:M2911 M2914:M2915 M2918 M2925:M2926 M2929:M2931 M2935:M2936 M2939:M2941 M2945:M2946 M2949 M2952:N2952 M2951 M2954 M2957:M2958 M2961:M2963 M2966:M2969 M2972 M2978:M2979 M2982:M2984 M2987:M2988 M2991:M2993 M2996:M2997 M3000 M3005:M3006 M3009:M3011 M3015:M3016 M3019:M3021 M3025:M3027 M3030 M3036:M3037 M3040:M3042 M3046:M3047 M3050:M3052 M3055:M3056 M3059:M3061 M3066:M3067 M3070:M3072 M3079:M3080 M3083 M3090:M3091 M3094:M3096 M3098:M3102 M3105:M3107 M3116:M3117 M3124:M3125 M3128:M3130 M3136:M3137 M3140:M3142 M3152:M3153 M3158:M3159 M3162:M3164 M3168:M3169 M3173:M3174 M3184:M3185 M3190:M3191 M3194:M3196 M3206 M3203 M3214:M3215 M3219:M3220 M3223:M3225 M3233:M3234 M3243:M3244 M3248:M3249 M3252:M3254 M3261:M3262 M3270:M3271 M3280:M3281 M3290:M3291 O3294 N3295 R3294 M3301:M3302 M3312:M3313 M3321:M3322 M3332:M3333 M3342:M3343 M3353:M3354 M3362:M3363 M3371:M3372 M3382:M3383 M3391:M3392 M3400:M3401 M3411 M3423:M3424 M3431:M3432 M3441:M3442 M3451:M3452 M3462:M3463 M3472:M3473 M3483:M3484 M3492:M3493 M3503:M3504 M3514:M3515 M3525:M3526 M3536:M3537 M3548:M3549 M3558:M3559 M3569:M3570 M3582:M3583 M3591:M3592 M3601:M3602 M3613 M3625:M3626 M3636:M3637 M3646 M3657:M3658 M3667:M3668 M3680 M3690 M3700:M3701 M3710 M3719:M3720 M3731:M3732 M3740:M3741 M3751:M3752 M3763:M3764 M3783:M3784 M3794:M3795 M3812:M3813 M3825:M3826 M3838 M3844:M3845 M3855:M3856 M3868 M3874:M3875 M3884:M3885 M3897 M3904:M3905 M3916:M3917 M3929 M3937:M3938 M3947:M3948 M3959:M3960 M3969:M3970 M3980:M3981 M3992:M3993 M4001:M4002 M4010:M4012 M4021:M4022 M4033:M4034 M4045:M4046 M4055:M4056 M4066 M4075:M4076 M4084:M4085 M4093:M4094 M4102:M4103 M4111:M4112 M4122:M4123 M4134:M4135 M4143:M4144 M4153:M4154 M4166:M4167 M4175:M4176 M4185:M4186 M4196:M4197 M4206:M4207 M4217:M4218 M4230:M4231 M4242:M4243 M4251:M4252 M4260:M4261 M4271:M4272 M4280:M4281 M4289:M4290 M4299:M4300 M4310:M4311 M4319:M4320 M4332:M4333 M4342:M4343 M4351:M4352 M4360:M4361 M4372:M4373 M4387 M4398:M4399 M4409:M4410 M4427:M4428 M4439:M4440 M4453 M4456 M4462:M4463 M4476:M4477 M4487 M4490 M4496:M4497 M4509 M4512:M4513 M4519 M4522 M4529:M4530 M4539 M4542:M4544 M4552 M4555 M4564 M4567:M4568 M4573 M4576:M4578 M4583 M4586 M4592 M4595:M4596 M4602 M4605 M4611 M4614 M4620 M4623 M4630 M4633 M4639 M4642 M4649 M4652 M4660 M4669 M4672 M4679 M4682 M4688 M4697 M4700 M4709 M4712 M4723 M4726 M4733 M4736 M4742 M4746 M4752 M4762 M4770 M4779:M4781 M4789 M4800:M4802 M4811:M4813 M4822 M4831:M4833 M4843:M4845 M4865:M4867 M4892 M4890 M4875 M4878 M4887 M4900 M4897 M4907 M4910 M4920 M4917 M4926 M4936:M4937 M4945 M4942 M4951 M4965 M4962 O4972 M4972 M4981 M4992 M4989 O4999 M4999 M5010 M5018 M5016 M5026:M5027 M5036 M5043 M5050 M5059 M5069 M5080 M5089 M5097 M5105 M5113 M5122 M5130 M5140 M5149 M5156 M5165 M5175 M5187 M5195 M5197 M5204 M5212 M5221 M5223 M5231 M5239 M5249 M5259 M5266 M5273 M5283 M5291 M5299 M5306:M5307 M5313:M5314 M5320:M5321 M5327:M5328 M5337 M5345:M5346 M5352:M5353 M5361 M5368:M5369 M5376:M5377 M5385 M5392:M5393 M5398:M5399 M5407:M5408 M5414:M5415 M5422:M5423 M5429:M5430 M5436 M5443:M5444 M5451 M5458 M5466:M5467 M5475 M5483 M5492 M5499 M5512 M5516 M5524 M5530 M5538 M5545 M5554 M5560 M5576:M5577 M5584 M5601:M5602 M5609 M5618 M5625 M5637 M5645 M5654 M5664 M5673 M5683 M5701 M5710 M5731 M5739</xm:sqref>
        </x14:dataValidation>
        <x14:dataValidation type="list" allowBlank="1" showInputMessage="1" showErrorMessage="1">
          <x14:formula1>
            <xm:f>Sheet3!$G$6:$G$14</xm:f>
          </x14:formula1>
          <xm:sqref>L3:L175 L177:L209 P1006 L211:L1356 Q1523:Q1532 L1358:L1623 L1626:L1637 L1639:L1749 L1751:L2011 N2312 L2310:L2373 L2375:L2384 L2386:L2405 L2407:L2417 L2419:L2429 L2431:L2439 L2441 L2252:L2308 L2013:L2250 L2443:L2462 L2464:L2478 L2480:L2481 L2483:L2502 L2504:L2512 L2514:L2517 L2519:L2536 L2538:L2575 L2578:L2610 L2612:L2642 L2644:L2663 L2666:L2675 L2677:L2695 L2697:L2706 Q2722:Q2723 L2708:L2727 L2729:L3207 L3209:L3304 L3306:L3325 L3327:L3335 L3337:L3346 L3348:L3375 L3377:L3404 L3406:L3414 L3416:L3435 L3437:L3551 L3553:L3585 L3587:L3615 L3617:L3629 L3631:L3648 L3650:L3660 L3662:L3672 L3674:L3693 L3695:L4158 F4762:F4764 L4160:L4757 N4968:N4976 N4995:N5003 L4761:L5052 L5054:L5416 L5418:L5424 N5648 N5679 L5426:L5675 L5677:L1048576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F5:K8"/>
  <sheetViews>
    <sheetView topLeftCell="B1" workbookViewId="0">
      <selection activeCell="H14" sqref="H14"/>
    </sheetView>
  </sheetViews>
  <sheetFormatPr defaultRowHeight="15" x14ac:dyDescent="0.25"/>
  <cols>
    <col min="6" max="6" width="8" customWidth="1"/>
    <col min="7" max="7" width="37.5703125" customWidth="1"/>
    <col min="8" max="8" width="21.28515625" customWidth="1"/>
  </cols>
  <sheetData>
    <row r="5" spans="6:11" ht="6" customHeight="1" x14ac:dyDescent="0.25"/>
    <row r="6" spans="6:11" ht="21" x14ac:dyDescent="0.25">
      <c r="F6" s="8"/>
      <c r="G6" s="19" t="s">
        <v>19</v>
      </c>
      <c r="H6" s="20">
        <f>'delay report'!Q4</f>
        <v>20749.244999999999</v>
      </c>
      <c r="I6" s="8"/>
      <c r="J6" s="8"/>
      <c r="K6" s="8"/>
    </row>
    <row r="7" spans="6:11" ht="21" x14ac:dyDescent="0.25">
      <c r="F7" s="8"/>
      <c r="G7" s="19" t="s">
        <v>21</v>
      </c>
      <c r="H7" s="20">
        <f>'delay report'!Q5</f>
        <v>19577.833999999999</v>
      </c>
      <c r="I7" s="8"/>
      <c r="J7" s="8"/>
      <c r="K7" s="8"/>
    </row>
    <row r="8" spans="6:11" ht="21" x14ac:dyDescent="0.25">
      <c r="F8" s="8"/>
      <c r="G8" s="19" t="s">
        <v>20</v>
      </c>
      <c r="H8" s="20">
        <f>'delay report'!Q6</f>
        <v>21377.297000000002</v>
      </c>
      <c r="I8" s="8"/>
      <c r="J8" s="8"/>
      <c r="K8" s="8"/>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Sheet3!$E$6:$E$8</xm:f>
          </x14:formula1>
          <xm:sqref>G6:G8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22" workbookViewId="0">
      <selection activeCell="V10" sqref="V10"/>
    </sheetView>
  </sheetViews>
  <sheetFormatPr defaultRowHeight="15" x14ac:dyDescent="0.25"/>
  <cols>
    <col min="1" max="1" width="19.28515625" customWidth="1"/>
  </cols>
  <sheetData/>
  <pageMargins left="0.25" right="0.25"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B6:M951"/>
  <sheetViews>
    <sheetView topLeftCell="H40" workbookViewId="0">
      <selection activeCell="I52" sqref="I52"/>
    </sheetView>
  </sheetViews>
  <sheetFormatPr defaultRowHeight="15" x14ac:dyDescent="0.25"/>
  <cols>
    <col min="2" max="2" width="9.140625" style="1"/>
    <col min="4" max="4" width="19" bestFit="1" customWidth="1"/>
    <col min="5" max="5" width="26" customWidth="1"/>
    <col min="7" max="7" width="33.42578125" customWidth="1"/>
    <col min="8" max="8" width="5.85546875" customWidth="1"/>
    <col min="9" max="9" width="51.85546875" bestFit="1" customWidth="1"/>
    <col min="10" max="10" width="41.5703125" bestFit="1" customWidth="1"/>
    <col min="11" max="11" width="38.7109375" bestFit="1" customWidth="1"/>
    <col min="12" max="12" width="50.5703125" bestFit="1" customWidth="1"/>
  </cols>
  <sheetData>
    <row r="6" spans="2:12" x14ac:dyDescent="0.25">
      <c r="B6" s="3" t="s">
        <v>0</v>
      </c>
      <c r="D6" s="5" t="s">
        <v>15</v>
      </c>
      <c r="E6" s="4" t="s">
        <v>19</v>
      </c>
      <c r="G6" s="4" t="s">
        <v>23</v>
      </c>
      <c r="I6" s="6" t="s">
        <v>23</v>
      </c>
      <c r="J6" s="6" t="s">
        <v>24</v>
      </c>
      <c r="K6" s="6" t="s">
        <v>25</v>
      </c>
      <c r="L6" s="6" t="s">
        <v>26</v>
      </c>
    </row>
    <row r="7" spans="2:12" x14ac:dyDescent="0.25">
      <c r="B7" s="3" t="s">
        <v>1</v>
      </c>
      <c r="D7" s="5" t="s">
        <v>16</v>
      </c>
      <c r="E7" s="4" t="s">
        <v>21</v>
      </c>
      <c r="G7" s="4" t="s">
        <v>32</v>
      </c>
      <c r="I7" s="2" t="s">
        <v>30</v>
      </c>
      <c r="J7" s="4" t="s">
        <v>37</v>
      </c>
      <c r="K7" s="4" t="s">
        <v>45</v>
      </c>
      <c r="L7" s="4" t="s">
        <v>62</v>
      </c>
    </row>
    <row r="8" spans="2:12" x14ac:dyDescent="0.25">
      <c r="B8" s="3" t="s">
        <v>2</v>
      </c>
      <c r="D8" s="5" t="s">
        <v>17</v>
      </c>
      <c r="E8" s="4" t="s">
        <v>20</v>
      </c>
      <c r="G8" s="4" t="s">
        <v>33</v>
      </c>
      <c r="J8" s="4" t="s">
        <v>38</v>
      </c>
      <c r="K8" s="4" t="s">
        <v>46</v>
      </c>
      <c r="L8" s="4" t="s">
        <v>68</v>
      </c>
    </row>
    <row r="9" spans="2:12" x14ac:dyDescent="0.25">
      <c r="D9" s="5" t="s">
        <v>7</v>
      </c>
      <c r="G9" s="4" t="s">
        <v>24</v>
      </c>
      <c r="L9" s="1" t="s">
        <v>110</v>
      </c>
    </row>
    <row r="10" spans="2:12" x14ac:dyDescent="0.25">
      <c r="D10" s="5" t="s">
        <v>6</v>
      </c>
      <c r="G10" s="4" t="s">
        <v>25</v>
      </c>
      <c r="J10" s="4" t="s">
        <v>96</v>
      </c>
      <c r="K10" s="4" t="s">
        <v>47</v>
      </c>
      <c r="L10" s="4" t="s">
        <v>92</v>
      </c>
    </row>
    <row r="11" spans="2:12" x14ac:dyDescent="0.25">
      <c r="D11" s="5" t="s">
        <v>18</v>
      </c>
      <c r="G11" s="4" t="s">
        <v>26</v>
      </c>
      <c r="I11" s="10" t="s">
        <v>32</v>
      </c>
      <c r="J11" s="4" t="s">
        <v>39</v>
      </c>
      <c r="K11" s="4" t="s">
        <v>48</v>
      </c>
      <c r="L11" s="4" t="s">
        <v>93</v>
      </c>
    </row>
    <row r="12" spans="2:12" x14ac:dyDescent="0.25">
      <c r="G12" s="4" t="s">
        <v>29</v>
      </c>
      <c r="I12" s="1" t="s">
        <v>31</v>
      </c>
      <c r="J12" s="4" t="s">
        <v>40</v>
      </c>
      <c r="K12" s="4" t="s">
        <v>5</v>
      </c>
      <c r="L12" s="4" t="s">
        <v>94</v>
      </c>
    </row>
    <row r="13" spans="2:12" x14ac:dyDescent="0.25">
      <c r="G13" s="4" t="s">
        <v>27</v>
      </c>
      <c r="J13" s="4" t="s">
        <v>13</v>
      </c>
      <c r="K13" s="4" t="s">
        <v>49</v>
      </c>
      <c r="L13" s="4" t="s">
        <v>73</v>
      </c>
    </row>
    <row r="14" spans="2:12" x14ac:dyDescent="0.25">
      <c r="D14" s="5" t="s">
        <v>22</v>
      </c>
      <c r="G14" s="4" t="s">
        <v>28</v>
      </c>
      <c r="J14" s="4" t="s">
        <v>155</v>
      </c>
      <c r="K14" s="4" t="s">
        <v>50</v>
      </c>
      <c r="L14" s="4" t="s">
        <v>76</v>
      </c>
    </row>
    <row r="15" spans="2:12" x14ac:dyDescent="0.25">
      <c r="G15" s="4" t="s">
        <v>106</v>
      </c>
      <c r="I15" s="10" t="s">
        <v>33</v>
      </c>
      <c r="J15" s="4" t="s">
        <v>41</v>
      </c>
      <c r="K15" s="4" t="s">
        <v>51</v>
      </c>
      <c r="L15" s="4" t="s">
        <v>77</v>
      </c>
    </row>
    <row r="16" spans="2:12" x14ac:dyDescent="0.25">
      <c r="I16" s="1" t="s">
        <v>34</v>
      </c>
      <c r="J16" s="4" t="s">
        <v>95</v>
      </c>
      <c r="K16" s="4" t="s">
        <v>52</v>
      </c>
      <c r="L16" s="4" t="s">
        <v>87</v>
      </c>
    </row>
    <row r="17" spans="5:12" x14ac:dyDescent="0.25">
      <c r="J17" s="4" t="s">
        <v>97</v>
      </c>
      <c r="K17" s="4" t="s">
        <v>102</v>
      </c>
      <c r="L17" s="4" t="s">
        <v>55</v>
      </c>
    </row>
    <row r="18" spans="5:12" x14ac:dyDescent="0.25">
      <c r="K18" s="4" t="s">
        <v>53</v>
      </c>
      <c r="L18" s="4" t="s">
        <v>61</v>
      </c>
    </row>
    <row r="19" spans="5:12" x14ac:dyDescent="0.25">
      <c r="I19" s="10"/>
      <c r="J19" s="6" t="s">
        <v>28</v>
      </c>
      <c r="L19" s="4" t="s">
        <v>60</v>
      </c>
    </row>
    <row r="20" spans="5:12" x14ac:dyDescent="0.25">
      <c r="I20" s="3" t="s">
        <v>35</v>
      </c>
      <c r="J20" s="4" t="s">
        <v>42</v>
      </c>
      <c r="K20" s="6" t="s">
        <v>101</v>
      </c>
      <c r="L20" s="4" t="s">
        <v>63</v>
      </c>
    </row>
    <row r="21" spans="5:12" x14ac:dyDescent="0.25">
      <c r="I21" s="4" t="s">
        <v>36</v>
      </c>
      <c r="J21" s="4" t="s">
        <v>43</v>
      </c>
      <c r="K21" s="4" t="s">
        <v>54</v>
      </c>
      <c r="L21" s="4" t="s">
        <v>72</v>
      </c>
    </row>
    <row r="22" spans="5:12" x14ac:dyDescent="0.25">
      <c r="I22" s="4" t="s">
        <v>98</v>
      </c>
      <c r="J22" s="4" t="s">
        <v>44</v>
      </c>
      <c r="K22" s="4" t="s">
        <v>99</v>
      </c>
      <c r="L22" s="7" t="s">
        <v>66</v>
      </c>
    </row>
    <row r="23" spans="5:12" x14ac:dyDescent="0.25">
      <c r="I23" s="4" t="s">
        <v>142</v>
      </c>
      <c r="K23" s="4" t="s">
        <v>100</v>
      </c>
      <c r="L23" s="4" t="s">
        <v>65</v>
      </c>
    </row>
    <row r="24" spans="5:12" x14ac:dyDescent="0.25">
      <c r="L24" s="4" t="s">
        <v>151</v>
      </c>
    </row>
    <row r="25" spans="5:12" x14ac:dyDescent="0.25">
      <c r="J25" t="s">
        <v>96</v>
      </c>
      <c r="K25" s="4" t="s">
        <v>133</v>
      </c>
      <c r="L25" s="4" t="s">
        <v>14</v>
      </c>
    </row>
    <row r="26" spans="5:12" x14ac:dyDescent="0.25">
      <c r="J26" s="11" t="s">
        <v>127</v>
      </c>
      <c r="L26" s="4" t="s">
        <v>104</v>
      </c>
    </row>
    <row r="27" spans="5:12" x14ac:dyDescent="0.25">
      <c r="J27" t="s">
        <v>128</v>
      </c>
      <c r="K27" t="s">
        <v>134</v>
      </c>
      <c r="L27" s="4" t="s">
        <v>80</v>
      </c>
    </row>
    <row r="28" spans="5:12" x14ac:dyDescent="0.25">
      <c r="J28" s="1" t="s">
        <v>129</v>
      </c>
      <c r="L28" s="4" t="s">
        <v>81</v>
      </c>
    </row>
    <row r="29" spans="5:12" x14ac:dyDescent="0.25">
      <c r="J29" t="s">
        <v>130</v>
      </c>
      <c r="L29" s="4" t="s">
        <v>67</v>
      </c>
    </row>
    <row r="30" spans="5:12" x14ac:dyDescent="0.25">
      <c r="L30" s="4" t="s">
        <v>69</v>
      </c>
    </row>
    <row r="31" spans="5:12" x14ac:dyDescent="0.25">
      <c r="I31" s="4" t="s">
        <v>157</v>
      </c>
      <c r="J31" s="4" t="s">
        <v>131</v>
      </c>
      <c r="L31" s="4" t="s">
        <v>71</v>
      </c>
    </row>
    <row r="32" spans="5:12" x14ac:dyDescent="0.25">
      <c r="E32" t="s">
        <v>138</v>
      </c>
      <c r="L32" s="7" t="s">
        <v>70</v>
      </c>
    </row>
    <row r="33" spans="9:12" x14ac:dyDescent="0.25">
      <c r="J33" t="s">
        <v>132</v>
      </c>
      <c r="K33" s="4" t="s">
        <v>141</v>
      </c>
      <c r="L33" s="4" t="s">
        <v>74</v>
      </c>
    </row>
    <row r="34" spans="9:12" x14ac:dyDescent="0.25">
      <c r="J34" s="8"/>
      <c r="L34" s="4" t="s">
        <v>59</v>
      </c>
    </row>
    <row r="35" spans="9:12" x14ac:dyDescent="0.25">
      <c r="L35" s="4" t="s">
        <v>88</v>
      </c>
    </row>
    <row r="36" spans="9:12" x14ac:dyDescent="0.25">
      <c r="J36" s="3" t="s">
        <v>144</v>
      </c>
      <c r="L36" s="4" t="s">
        <v>64</v>
      </c>
    </row>
    <row r="37" spans="9:12" x14ac:dyDescent="0.25">
      <c r="J37" s="4"/>
      <c r="L37" s="4" t="s">
        <v>102</v>
      </c>
    </row>
    <row r="38" spans="9:12" x14ac:dyDescent="0.25">
      <c r="J38" s="3" t="s">
        <v>139</v>
      </c>
      <c r="L38" s="4" t="s">
        <v>91</v>
      </c>
    </row>
    <row r="39" spans="9:12" x14ac:dyDescent="0.25">
      <c r="L39" s="4" t="s">
        <v>107</v>
      </c>
    </row>
    <row r="40" spans="9:12" x14ac:dyDescent="0.25">
      <c r="J40" s="4" t="s">
        <v>145</v>
      </c>
      <c r="L40" s="4" t="s">
        <v>105</v>
      </c>
    </row>
    <row r="41" spans="9:12" x14ac:dyDescent="0.25">
      <c r="J41" s="4"/>
      <c r="L41" s="4" t="s">
        <v>78</v>
      </c>
    </row>
    <row r="42" spans="9:12" x14ac:dyDescent="0.25">
      <c r="I42" s="4" t="s">
        <v>156</v>
      </c>
      <c r="L42" s="4" t="s">
        <v>79</v>
      </c>
    </row>
    <row r="43" spans="9:12" x14ac:dyDescent="0.25">
      <c r="J43" s="4" t="s">
        <v>77</v>
      </c>
      <c r="L43" s="4" t="s">
        <v>85</v>
      </c>
    </row>
    <row r="44" spans="9:12" x14ac:dyDescent="0.25">
      <c r="L44" s="4" t="s">
        <v>86</v>
      </c>
    </row>
    <row r="45" spans="9:12" x14ac:dyDescent="0.25">
      <c r="L45" s="4" t="s">
        <v>89</v>
      </c>
    </row>
    <row r="46" spans="9:12" x14ac:dyDescent="0.25">
      <c r="L46" s="4" t="s">
        <v>109</v>
      </c>
    </row>
    <row r="47" spans="9:12" x14ac:dyDescent="0.25">
      <c r="J47" s="4" t="s">
        <v>153</v>
      </c>
      <c r="L47" s="4" t="s">
        <v>90</v>
      </c>
    </row>
    <row r="48" spans="9:12" x14ac:dyDescent="0.25">
      <c r="L48" s="4" t="s">
        <v>108</v>
      </c>
    </row>
    <row r="49" spans="9:13" x14ac:dyDescent="0.25">
      <c r="I49" s="4" t="s">
        <v>158</v>
      </c>
      <c r="L49" s="4" t="s">
        <v>83</v>
      </c>
    </row>
    <row r="50" spans="9:13" x14ac:dyDescent="0.25">
      <c r="J50" t="s">
        <v>135</v>
      </c>
      <c r="L50" s="4" t="s">
        <v>82</v>
      </c>
    </row>
    <row r="51" spans="9:13" x14ac:dyDescent="0.25">
      <c r="L51" s="4" t="s">
        <v>84</v>
      </c>
    </row>
    <row r="52" spans="9:13" x14ac:dyDescent="0.25">
      <c r="I52" t="s">
        <v>160</v>
      </c>
      <c r="J52" t="s">
        <v>136</v>
      </c>
      <c r="L52" s="4" t="s">
        <v>75</v>
      </c>
    </row>
    <row r="53" spans="9:13" x14ac:dyDescent="0.25">
      <c r="K53" t="s">
        <v>125</v>
      </c>
      <c r="L53" s="4" t="s">
        <v>56</v>
      </c>
    </row>
    <row r="54" spans="9:13" x14ac:dyDescent="0.25">
      <c r="L54" s="4" t="s">
        <v>57</v>
      </c>
    </row>
    <row r="55" spans="9:13" x14ac:dyDescent="0.25">
      <c r="L55" s="9" t="s">
        <v>58</v>
      </c>
    </row>
    <row r="56" spans="9:13" x14ac:dyDescent="0.25">
      <c r="L56" s="4" t="s">
        <v>103</v>
      </c>
      <c r="M56" s="4"/>
    </row>
    <row r="57" spans="9:13" x14ac:dyDescent="0.25">
      <c r="K57" t="s">
        <v>159</v>
      </c>
    </row>
    <row r="58" spans="9:13" x14ac:dyDescent="0.25">
      <c r="J58" s="2" t="s">
        <v>115</v>
      </c>
    </row>
    <row r="63" spans="9:13" x14ac:dyDescent="0.25">
      <c r="K63" s="4" t="s">
        <v>152</v>
      </c>
    </row>
    <row r="950" spans="8:9" x14ac:dyDescent="0.25">
      <c r="I950" t="s">
        <v>24</v>
      </c>
    </row>
    <row r="951" spans="8:9" x14ac:dyDescent="0.25">
      <c r="H951">
        <v>60</v>
      </c>
    </row>
  </sheetData>
  <sortState ref="I7:L56">
    <sortCondition ref="L7"/>
  </sortState>
  <dataValidations count="2">
    <dataValidation type="list" allowBlank="1" showInputMessage="1" showErrorMessage="1" sqref="L55">
      <formula1>IF(K56="MAINTENANCE BREAKDOWN",MAINTENANCE_BREAKDOWN,IF(K56="CRANE DELAY",CRANE_DELAY,IF(K56="PACKAGING DELAY",PACKAGING_DELAY,IF(K56="OPERATION DELAY",OPERATION_DELAY,IF(K56="SCRAP REMOVAL",SCRAP,IF(K56="HR DELAY",HR_DELAY))))))</formula1>
    </dataValidation>
    <dataValidation type="list" allowBlank="1" showInputMessage="1" showErrorMessage="1" sqref="J58 J36">
      <formula1>IF(#REF!="MAINTENANCE BREAKDOWN",MAINTENANCE_BREAKDOWN,IF(#REF!="CRANE DELAY",CRANE_DELAY,IF(#REF!="PACKAGING DELAY",PACKAGING_DELAY,IF(#REF!="OPERATION DELAY",OPERATION_DELAY,IF(#REF!="SCRAP REMOVAL",SCRAP,IF(#REF!="HR DELAY",HR_DELAY))))))</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8</vt:i4>
      </vt:variant>
    </vt:vector>
  </HeadingPairs>
  <TitlesOfParts>
    <vt:vector size="12" baseType="lpstr">
      <vt:lpstr>delay report</vt:lpstr>
      <vt:lpstr>Sheet2</vt:lpstr>
      <vt:lpstr>Sheet1</vt:lpstr>
      <vt:lpstr>Sheet3</vt:lpstr>
      <vt:lpstr>CRANE_DELAY</vt:lpstr>
      <vt:lpstr>HR_DELAY</vt:lpstr>
      <vt:lpstr>MAINTENANCE_BREAKDOWN</vt:lpstr>
      <vt:lpstr>OPERATION_DELAY</vt:lpstr>
      <vt:lpstr>PACKAGING_DELAY</vt:lpstr>
      <vt:lpstr>'delay report'!Print_Area</vt:lpstr>
      <vt:lpstr>SCRAP</vt:lpstr>
      <vt:lpstr>SCRAP_REMOVAL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Redmi Note 8 Pro</dc:creator>
  <cp:lastModifiedBy>Abhay Sahoo</cp:lastModifiedBy>
  <cp:lastPrinted>2026-05-03T07:31:51Z</cp:lastPrinted>
  <dcterms:created xsi:type="dcterms:W3CDTF">2006-09-15T13:00:00Z</dcterms:created>
  <dcterms:modified xsi:type="dcterms:W3CDTF">2026-05-15T00:24:55Z</dcterms:modified>
</cp:coreProperties>
</file>